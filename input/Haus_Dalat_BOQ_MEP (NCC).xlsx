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1. ĐOÀN NHẤT - PHÒNG KINH DOANH\#NĂM 2026\06232026 - HAUS ĐÀ LẠT - TÒA A1\Hồ sơ gửi NCC\"/>
    </mc:Choice>
  </mc:AlternateContent>
  <xr:revisionPtr revIDLastSave="0" documentId="13_ncr:1_{EE86F30F-333E-4995-9EA3-E0F77C0E01A0}" xr6:coauthVersionLast="47" xr6:coauthVersionMax="47" xr10:uidLastSave="{00000000-0000-0000-0000-000000000000}"/>
  <bookViews>
    <workbookView xWindow="-108" yWindow="-108" windowWidth="23256" windowHeight="12576" tabRatio="774" activeTab="2" xr2:uid="{00000000-000D-0000-FFFF-FFFF00000000}"/>
  </bookViews>
  <sheets>
    <sheet name="SUMMARY" sheetId="1" r:id="rId1"/>
    <sheet name="Bill 01 - Prelims" sheetId="2" r:id="rId2"/>
    <sheet name="DHKK" sheetId="3" r:id="rId3"/>
    <sheet name="CTN" sheetId="4" r:id="rId4"/>
    <sheet name="DIEN" sheetId="5" r:id="rId5"/>
    <sheet name="DIEN NHE" sheetId="6" r:id="rId6"/>
    <sheet name="FA" sheetId="7" r:id="rId7"/>
    <sheet name="PCCC" sheetId="8" r:id="rId8"/>
    <sheet name="Điều chỉnh" sheetId="9" r:id="rId9"/>
  </sheets>
  <definedNames>
    <definedName nam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localSheetId="2" hidden="1">{"'Sheet1'!$L$16"}</definedName>
    <definedName name="__________________________________________________________________a1" localSheetId="8" hidden="1">{"'Sheet1'!$L$16"}</definedName>
    <definedName name="__________________________________________________________________a1" hidden="1">{"'Sheet1'!$L$16"}</definedName>
    <definedName name="_________________________________________________________________a1" localSheetId="1" hidden="1">{"'Sheet1'!$L$16"}</definedName>
    <definedName name="________________________________________________________________a1" localSheetId="1" hidden="1">{"'Sheet1'!$L$16"}</definedName>
    <definedName name="________________________________________________________________a1" localSheetId="2" hidden="1">{"'Sheet1'!$L$16"}</definedName>
    <definedName name="________________________________________________________________a1" localSheetId="8" hidden="1">{"'Sheet1'!$L$16"}</definedName>
    <definedName name="________________________________________________________________a1" hidden="1">{"'Sheet1'!$L$16"}</definedName>
    <definedName name="_______________________________________________________________a1" localSheetId="1" hidden="1">{"'Sheet1'!$L$16"}</definedName>
    <definedName name="_______________________________________________________________a1" localSheetId="2" hidden="1">{"'Sheet1'!$L$16"}</definedName>
    <definedName name="_______________________________________________________________a1" localSheetId="8" hidden="1">{"'Sheet1'!$L$16"}</definedName>
    <definedName name="_______________________________________________________________a1" hidden="1">{"'Sheet1'!$L$16"}</definedName>
    <definedName name="______________________________________________________________a1" localSheetId="1" hidden="1">{"'Sheet1'!$L$16"}</definedName>
    <definedName name="______________________________________________________________a1" localSheetId="2" hidden="1">{"'Sheet1'!$L$16"}</definedName>
    <definedName name="______________________________________________________________a1" localSheetId="8" hidden="1">{"'Sheet1'!$L$16"}</definedName>
    <definedName name="______________________________________________________________a1" hidden="1">{"'Sheet1'!$L$16"}</definedName>
    <definedName name="_____________________________________________________________a1" localSheetId="1" hidden="1">{"'Sheet1'!$L$16"}</definedName>
    <definedName name="_____________________________________________________________a1" localSheetId="2" hidden="1">{"'Sheet1'!$L$16"}</definedName>
    <definedName name="_____________________________________________________________a1" localSheetId="8" hidden="1">{"'Sheet1'!$L$16"}</definedName>
    <definedName name="_____________________________________________________________a1" hidden="1">{"'Sheet1'!$L$16"}</definedName>
    <definedName name="____________________________________________________________a1" localSheetId="1" hidden="1">{"'Sheet1'!$L$16"}</definedName>
    <definedName name="____________________________________________________________a1" localSheetId="2" hidden="1">{"'Sheet1'!$L$16"}</definedName>
    <definedName name="____________________________________________________________a1" localSheetId="8" hidden="1">{"'Sheet1'!$L$16"}</definedName>
    <definedName name="____________________________________________________________a1" hidden="1">{"'Sheet1'!$L$16"}</definedName>
    <definedName name="___________________________________________________________a1" localSheetId="1" hidden="1">{"'Sheet1'!$L$16"}</definedName>
    <definedName name="___________________________________________________________a1" localSheetId="2" hidden="1">{"'Sheet1'!$L$16"}</definedName>
    <definedName name="___________________________________________________________a1" localSheetId="8" hidden="1">{"'Sheet1'!$L$16"}</definedName>
    <definedName name="___________________________________________________________a1" hidden="1">{"'Sheet1'!$L$16"}</definedName>
    <definedName name="__________________________________________________________a1" localSheetId="1" hidden="1">{"'Sheet1'!$L$16"}</definedName>
    <definedName name="__________________________________________________________a1" localSheetId="2" hidden="1">{"'Sheet1'!$L$16"}</definedName>
    <definedName name="__________________________________________________________a1" localSheetId="8" hidden="1">{"'Sheet1'!$L$16"}</definedName>
    <definedName name="__________________________________________________________a1" hidden="1">{"'Sheet1'!$L$16"}</definedName>
    <definedName name="_________________________________________________________a1" localSheetId="1" hidden="1">{"'Sheet1'!$L$16"}</definedName>
    <definedName name="_________________________________________________________a1" localSheetId="2" hidden="1">{"'Sheet1'!$L$16"}</definedName>
    <definedName name="_________________________________________________________a1" localSheetId="8" hidden="1">{"'Sheet1'!$L$16"}</definedName>
    <definedName name="_________________________________________________________a1" hidden="1">{"'Sheet1'!$L$16"}</definedName>
    <definedName name="________________________________________________________a1" localSheetId="1" hidden="1">{"'Sheet1'!$L$16"}</definedName>
    <definedName name="________________________________________________________a1" localSheetId="2" hidden="1">{"'Sheet1'!$L$16"}</definedName>
    <definedName name="________________________________________________________a1" localSheetId="8" hidden="1">{"'Sheet1'!$L$16"}</definedName>
    <definedName name="________________________________________________________a1" hidden="1">{"'Sheet1'!$L$16"}</definedName>
    <definedName name="_______________________________________________________a1" localSheetId="1" hidden="1">{"'Sheet1'!$L$16"}</definedName>
    <definedName name="_______________________________________________________a1" localSheetId="2" hidden="1">{"'Sheet1'!$L$16"}</definedName>
    <definedName name="_______________________________________________________a1" localSheetId="8" hidden="1">{"'Sheet1'!$L$16"}</definedName>
    <definedName name="_______________________________________________________a1" hidden="1">{"'Sheet1'!$L$16"}</definedName>
    <definedName name="______________________________________________________a1" localSheetId="1" hidden="1">{"'Sheet1'!$L$16"}</definedName>
    <definedName name="______________________________________________________a1" localSheetId="2" hidden="1">{"'Sheet1'!$L$16"}</definedName>
    <definedName name="______________________________________________________a1" localSheetId="8" hidden="1">{"'Sheet1'!$L$16"}</definedName>
    <definedName name="______________________________________________________a1" hidden="1">{"'Sheet1'!$L$16"}</definedName>
    <definedName name="_____________________________________________________a1" localSheetId="1" hidden="1">{"'Sheet1'!$L$16"}</definedName>
    <definedName name="_____________________________________________________a1" localSheetId="2" hidden="1">{"'Sheet1'!$L$16"}</definedName>
    <definedName name="_____________________________________________________a1" localSheetId="8" hidden="1">{"'Sheet1'!$L$16"}</definedName>
    <definedName name="_____________________________________________________a1" hidden="1">{"'Sheet1'!$L$16"}</definedName>
    <definedName name="____________________________________________________a1" localSheetId="1" hidden="1">{"'Sheet1'!$L$16"}</definedName>
    <definedName name="____________________________________________________a1" localSheetId="2" hidden="1">{"'Sheet1'!$L$16"}</definedName>
    <definedName name="____________________________________________________a1" localSheetId="8" hidden="1">{"'Sheet1'!$L$16"}</definedName>
    <definedName name="____________________________________________________a1" hidden="1">{"'Sheet1'!$L$16"}</definedName>
    <definedName name="___________________________________________________a1" localSheetId="1" hidden="1">{"'Sheet1'!$L$16"}</definedName>
    <definedName name="___________________________________________________a1" localSheetId="2" hidden="1">{"'Sheet1'!$L$16"}</definedName>
    <definedName name="___________________________________________________a1" localSheetId="8" hidden="1">{"'Sheet1'!$L$16"}</definedName>
    <definedName name="___________________________________________________a1" hidden="1">{"'Sheet1'!$L$16"}</definedName>
    <definedName name="__________________________________________________a1" localSheetId="1" hidden="1">{"'Sheet1'!$L$16"}</definedName>
    <definedName name="__________________________________________________a1" localSheetId="2" hidden="1">{"'Sheet1'!$L$16"}</definedName>
    <definedName name="__________________________________________________a1" localSheetId="8" hidden="1">{"'Sheet1'!$L$16"}</definedName>
    <definedName name="__________________________________________________a1" hidden="1">{"'Sheet1'!$L$16"}</definedName>
    <definedName name="_________________________________________________a1" localSheetId="1" hidden="1">{"'Sheet1'!$L$16"}</definedName>
    <definedName name="_________________________________________________a1" localSheetId="2" hidden="1">{"'Sheet1'!$L$16"}</definedName>
    <definedName name="_________________________________________________a1" localSheetId="8" hidden="1">{"'Sheet1'!$L$16"}</definedName>
    <definedName name="_________________________________________________a1" hidden="1">{"'Sheet1'!$L$16"}</definedName>
    <definedName name="________________________________________________a1" localSheetId="1" hidden="1">{"'Sheet1'!$L$16"}</definedName>
    <definedName name="________________________________________________a1" localSheetId="2" hidden="1">{"'Sheet1'!$L$16"}</definedName>
    <definedName name="________________________________________________a1" localSheetId="8" hidden="1">{"'Sheet1'!$L$16"}</definedName>
    <definedName name="________________________________________________a1" hidden="1">{"'Sheet1'!$L$16"}</definedName>
    <definedName name="_______________________________________________a1" localSheetId="1" hidden="1">{"'Sheet1'!$L$16"}</definedName>
    <definedName name="_______________________________________________a1" localSheetId="2" hidden="1">{"'Sheet1'!$L$16"}</definedName>
    <definedName name="_______________________________________________a1" localSheetId="8" hidden="1">{"'Sheet1'!$L$16"}</definedName>
    <definedName name="_______________________________________________a1" hidden="1">{"'Sheet1'!$L$16"}</definedName>
    <definedName name="______________________________________________a1" localSheetId="1" hidden="1">{"'Sheet1'!$L$16"}</definedName>
    <definedName name="______________________________________________a1" localSheetId="2" hidden="1">{"'Sheet1'!$L$16"}</definedName>
    <definedName name="______________________________________________a1" localSheetId="8" hidden="1">{"'Sheet1'!$L$16"}</definedName>
    <definedName name="______________________________________________a1" hidden="1">{"'Sheet1'!$L$16"}</definedName>
    <definedName name="_____________________________________________a1" localSheetId="1" hidden="1">{"'Sheet1'!$L$16"}</definedName>
    <definedName name="_____________________________________________a1" localSheetId="2" hidden="1">{"'Sheet1'!$L$16"}</definedName>
    <definedName name="_____________________________________________a1" localSheetId="8" hidden="1">{"'Sheet1'!$L$16"}</definedName>
    <definedName name="_____________________________________________a1" hidden="1">{"'Sheet1'!$L$16"}</definedName>
    <definedName name="_____________________________________________PA3" localSheetId="1" hidden="1">{"'Sheet1'!$L$16"}</definedName>
    <definedName name="_____________________________________________PA3" localSheetId="2" hidden="1">{"'Sheet1'!$L$16"}</definedName>
    <definedName name="_____________________________________________PA3" localSheetId="8" hidden="1">{"'Sheet1'!$L$16"}</definedName>
    <definedName name="_____________________________________________PA3" hidden="1">{"'Sheet1'!$L$16"}</definedName>
    <definedName name="____________________________________________a1" localSheetId="1" hidden="1">{"'Sheet1'!$L$16"}</definedName>
    <definedName name="____________________________________________a1" localSheetId="2" hidden="1">{"'Sheet1'!$L$16"}</definedName>
    <definedName name="____________________________________________a1" localSheetId="8" hidden="1">{"'Sheet1'!$L$16"}</definedName>
    <definedName name="____________________________________________a1" hidden="1">{"'Sheet1'!$L$16"}</definedName>
    <definedName name="____________________________________________PA3" localSheetId="1" hidden="1">{"'Sheet1'!$L$16"}</definedName>
    <definedName name="____________________________________________PA3" localSheetId="2" hidden="1">{"'Sheet1'!$L$16"}</definedName>
    <definedName name="____________________________________________PA3" localSheetId="8" hidden="1">{"'Sheet1'!$L$16"}</definedName>
    <definedName name="____________________________________________PA3" hidden="1">{"'Sheet1'!$L$16"}</definedName>
    <definedName name="___________________________________________a1" localSheetId="1" hidden="1">{"'Sheet1'!$L$16"}</definedName>
    <definedName name="___________________________________________a1" localSheetId="2" hidden="1">{"'Sheet1'!$L$16"}</definedName>
    <definedName name="___________________________________________a1" localSheetId="8" hidden="1">{"'Sheet1'!$L$16"}</definedName>
    <definedName name="___________________________________________a1" hidden="1">{"'Sheet1'!$L$16"}</definedName>
    <definedName name="__________________________________________a1" localSheetId="1" hidden="1">{"'Sheet1'!$L$16"}</definedName>
    <definedName name="__________________________________________a1" localSheetId="2" hidden="1">{"'Sheet1'!$L$16"}</definedName>
    <definedName name="__________________________________________a1" localSheetId="8" hidden="1">{"'Sheet1'!$L$16"}</definedName>
    <definedName name="__________________________________________a1" hidden="1">{"'Sheet1'!$L$16"}</definedName>
    <definedName name="__________________________________________PA3" localSheetId="1" hidden="1">{"'Sheet1'!$L$16"}</definedName>
    <definedName name="__________________________________________PA3" localSheetId="2" hidden="1">{"'Sheet1'!$L$16"}</definedName>
    <definedName name="__________________________________________PA3" localSheetId="8" hidden="1">{"'Sheet1'!$L$16"}</definedName>
    <definedName name="__________________________________________PA3" hidden="1">{"'Sheet1'!$L$16"}</definedName>
    <definedName name="_________________________________________a1" localSheetId="1" hidden="1">{"'Sheet1'!$L$16"}</definedName>
    <definedName name="_________________________________________a1" localSheetId="2" hidden="1">{"'Sheet1'!$L$16"}</definedName>
    <definedName name="_________________________________________a1" localSheetId="8" hidden="1">{"'Sheet1'!$L$16"}</definedName>
    <definedName name="_________________________________________a1" hidden="1">{"'Sheet1'!$L$16"}</definedName>
    <definedName name="_________________________________________PA3" localSheetId="1" hidden="1">{"'Sheet1'!$L$16"}</definedName>
    <definedName name="_________________________________________PA3" localSheetId="2" hidden="1">{"'Sheet1'!$L$16"}</definedName>
    <definedName name="_________________________________________PA3" localSheetId="8" hidden="1">{"'Sheet1'!$L$16"}</definedName>
    <definedName name="_________________________________________PA3" hidden="1">{"'Sheet1'!$L$16"}</definedName>
    <definedName name="________________________________________a1" localSheetId="1" hidden="1">{"'Sheet1'!$L$16"}</definedName>
    <definedName name="________________________________________a1" localSheetId="2" hidden="1">{"'Sheet1'!$L$16"}</definedName>
    <definedName name="________________________________________a1" localSheetId="8" hidden="1">{"'Sheet1'!$L$16"}</definedName>
    <definedName name="________________________________________a1" hidden="1">{"'Sheet1'!$L$16"}</definedName>
    <definedName name="________________________________________PA3" localSheetId="1" hidden="1">{"'Sheet1'!$L$16"}</definedName>
    <definedName name="________________________________________PA3" localSheetId="2" hidden="1">{"'Sheet1'!$L$16"}</definedName>
    <definedName name="________________________________________PA3" localSheetId="8" hidden="1">{"'Sheet1'!$L$16"}</definedName>
    <definedName name="________________________________________PA3" hidden="1">{"'Sheet1'!$L$16"}</definedName>
    <definedName name="_______________________________________a1" localSheetId="1" hidden="1">{"'Sheet1'!$L$16"}</definedName>
    <definedName name="_______________________________________a1" localSheetId="2" hidden="1">{"'Sheet1'!$L$16"}</definedName>
    <definedName name="_______________________________________a1" localSheetId="8" hidden="1">{"'Sheet1'!$L$16"}</definedName>
    <definedName name="_______________________________________a1" hidden="1">{"'Sheet1'!$L$16"}</definedName>
    <definedName name="_______________________________________PA3" localSheetId="1" hidden="1">{"'Sheet1'!$L$16"}</definedName>
    <definedName name="_______________________________________PA3" localSheetId="2" hidden="1">{"'Sheet1'!$L$16"}</definedName>
    <definedName name="_______________________________________PA3" localSheetId="8" hidden="1">{"'Sheet1'!$L$16"}</definedName>
    <definedName name="_______________________________________PA3" hidden="1">{"'Sheet1'!$L$16"}</definedName>
    <definedName name="______________________________________a1" localSheetId="1" hidden="1">{"'Sheet1'!$L$16"}</definedName>
    <definedName name="______________________________________a1" localSheetId="2" hidden="1">{"'Sheet1'!$L$16"}</definedName>
    <definedName name="______________________________________a1" localSheetId="8" hidden="1">{"'Sheet1'!$L$16"}</definedName>
    <definedName name="______________________________________a1" hidden="1">{"'Sheet1'!$L$16"}</definedName>
    <definedName name="______________________________________PA3" localSheetId="1" hidden="1">{"'Sheet1'!$L$16"}</definedName>
    <definedName name="______________________________________PA3" localSheetId="2" hidden="1">{"'Sheet1'!$L$16"}</definedName>
    <definedName name="______________________________________PA3" localSheetId="8" hidden="1">{"'Sheet1'!$L$16"}</definedName>
    <definedName name="______________________________________PA3" hidden="1">{"'Sheet1'!$L$16"}</definedName>
    <definedName name="_____________________________________a1" localSheetId="1" hidden="1">{"'Sheet1'!$L$16"}</definedName>
    <definedName name="_____________________________________a1" localSheetId="2" hidden="1">{"'Sheet1'!$L$16"}</definedName>
    <definedName name="_____________________________________a1" localSheetId="8" hidden="1">{"'Sheet1'!$L$16"}</definedName>
    <definedName name="_____________________________________a1" hidden="1">{"'Sheet1'!$L$16"}</definedName>
    <definedName name="_____________________________________PA3" localSheetId="1" hidden="1">{"'Sheet1'!$L$16"}</definedName>
    <definedName name="_____________________________________PA3" localSheetId="2" hidden="1">{"'Sheet1'!$L$16"}</definedName>
    <definedName name="_____________________________________PA3" localSheetId="8" hidden="1">{"'Sheet1'!$L$16"}</definedName>
    <definedName name="_____________________________________PA3" hidden="1">{"'Sheet1'!$L$16"}</definedName>
    <definedName name="____________________________________a1" localSheetId="1" hidden="1">{"'Sheet1'!$L$16"}</definedName>
    <definedName name="____________________________________a1" localSheetId="2" hidden="1">{"'Sheet1'!$L$16"}</definedName>
    <definedName name="____________________________________a1" localSheetId="8" hidden="1">{"'Sheet1'!$L$16"}</definedName>
    <definedName name="____________________________________a1" hidden="1">{"'Sheet1'!$L$16"}</definedName>
    <definedName name="____________________________________PA3" localSheetId="1" hidden="1">{"'Sheet1'!$L$16"}</definedName>
    <definedName name="____________________________________PA3" localSheetId="2" hidden="1">{"'Sheet1'!$L$16"}</definedName>
    <definedName name="____________________________________PA3" localSheetId="8" hidden="1">{"'Sheet1'!$L$16"}</definedName>
    <definedName name="____________________________________PA3" hidden="1">{"'Sheet1'!$L$16"}</definedName>
    <definedName name="___________________________________a1" localSheetId="1" hidden="1">{"'Sheet1'!$L$16"}</definedName>
    <definedName name="___________________________________a1" localSheetId="2" hidden="1">{"'Sheet1'!$L$16"}</definedName>
    <definedName name="___________________________________a1" localSheetId="8" hidden="1">{"'Sheet1'!$L$16"}</definedName>
    <definedName name="___________________________________a1" hidden="1">{"'Sheet1'!$L$16"}</definedName>
    <definedName name="__________________________________a1" localSheetId="1" hidden="1">{"'Sheet1'!$L$16"}</definedName>
    <definedName name="__________________________________a1" localSheetId="2" hidden="1">{"'Sheet1'!$L$16"}</definedName>
    <definedName name="__________________________________a1" localSheetId="8" hidden="1">{"'Sheet1'!$L$16"}</definedName>
    <definedName name="__________________________________a1" hidden="1">{"'Sheet1'!$L$16"}</definedName>
    <definedName name="__________________________________PA3" localSheetId="1" hidden="1">{"'Sheet1'!$L$16"}</definedName>
    <definedName name="__________________________________PA3" localSheetId="2" hidden="1">{"'Sheet1'!$L$16"}</definedName>
    <definedName name="__________________________________PA3" localSheetId="8" hidden="1">{"'Sheet1'!$L$16"}</definedName>
    <definedName name="__________________________________PA3" hidden="1">{"'Sheet1'!$L$16"}</definedName>
    <definedName name="__________________________________VT3" localSheetId="1" hidden="1">{"'Sheet1'!$L$16"}</definedName>
    <definedName name="__________________________________VT3" localSheetId="2" hidden="1">{"'Sheet1'!$L$16"}</definedName>
    <definedName name="__________________________________VT3" localSheetId="8" hidden="1">{"'Sheet1'!$L$16"}</definedName>
    <definedName name="__________________________________VT3" hidden="1">{"'Sheet1'!$L$16"}</definedName>
    <definedName name="_________________________________a1" localSheetId="1" hidden="1">{"'Sheet1'!$L$16"}</definedName>
    <definedName name="_________________________________a1" localSheetId="2" hidden="1">{"'Sheet1'!$L$16"}</definedName>
    <definedName name="_________________________________a1" localSheetId="8" hidden="1">{"'Sheet1'!$L$16"}</definedName>
    <definedName name="_________________________________a1" hidden="1">{"'Sheet1'!$L$16"}</definedName>
    <definedName name="_________________________________NSO2" localSheetId="1" hidden="1">{"'Sheet1'!$L$16"}</definedName>
    <definedName name="_________________________________NSO2" localSheetId="2" hidden="1">{"'Sheet1'!$L$16"}</definedName>
    <definedName name="_________________________________NSO2" localSheetId="8" hidden="1">{"'Sheet1'!$L$16"}</definedName>
    <definedName name="_________________________________NSO2" hidden="1">{"'Sheet1'!$L$16"}</definedName>
    <definedName name="_________________________________PA3" localSheetId="1" hidden="1">{"'Sheet1'!$L$16"}</definedName>
    <definedName name="_________________________________PA3" localSheetId="2" hidden="1">{"'Sheet1'!$L$16"}</definedName>
    <definedName name="_________________________________PA3" localSheetId="8" hidden="1">{"'Sheet1'!$L$16"}</definedName>
    <definedName name="_________________________________PA3" hidden="1">{"'Sheet1'!$L$16"}</definedName>
    <definedName name="________________________________a1" localSheetId="1" hidden="1">{"'Sheet1'!$L$16"}</definedName>
    <definedName name="________________________________a1" localSheetId="2" hidden="1">{"'Sheet1'!$L$16"}</definedName>
    <definedName name="________________________________a1" localSheetId="8" hidden="1">{"'Sheet1'!$L$16"}</definedName>
    <definedName name="________________________________a1" hidden="1">{"'Sheet1'!$L$16"}</definedName>
    <definedName name="________________________________VT3" localSheetId="1" hidden="1">{"'Sheet1'!$L$16"}</definedName>
    <definedName name="________________________________VT3" localSheetId="2" hidden="1">{"'Sheet1'!$L$16"}</definedName>
    <definedName name="________________________________VT3" localSheetId="8" hidden="1">{"'Sheet1'!$L$16"}</definedName>
    <definedName name="________________________________VT3" hidden="1">{"'Sheet1'!$L$16"}</definedName>
    <definedName name="_______________________________a1" localSheetId="1" hidden="1">{"'Sheet1'!$L$16"}</definedName>
    <definedName name="_______________________________a1" localSheetId="2" hidden="1">{"'Sheet1'!$L$16"}</definedName>
    <definedName name="_______________________________a1" localSheetId="8" hidden="1">{"'Sheet1'!$L$16"}</definedName>
    <definedName name="_______________________________a1" hidden="1">{"'Sheet1'!$L$16"}</definedName>
    <definedName name="_______________________________NSO2" localSheetId="1" hidden="1">{"'Sheet1'!$L$16"}</definedName>
    <definedName name="_______________________________NSO2" localSheetId="2" hidden="1">{"'Sheet1'!$L$16"}</definedName>
    <definedName name="_______________________________NSO2" localSheetId="8" hidden="1">{"'Sheet1'!$L$16"}</definedName>
    <definedName name="_______________________________NSO2" hidden="1">{"'Sheet1'!$L$16"}</definedName>
    <definedName name="_______________________________PA3" localSheetId="1" hidden="1">{"'Sheet1'!$L$16"}</definedName>
    <definedName name="_______________________________PA3" localSheetId="2" hidden="1">{"'Sheet1'!$L$16"}</definedName>
    <definedName name="_______________________________PA3" localSheetId="8" hidden="1">{"'Sheet1'!$L$16"}</definedName>
    <definedName name="_______________________________PA3" hidden="1">{"'Sheet1'!$L$16"}</definedName>
    <definedName name="______________________________a1" localSheetId="1" hidden="1">{"'Sheet1'!$L$16"}</definedName>
    <definedName name="______________________________a1" localSheetId="2" hidden="1">{"'Sheet1'!$L$16"}</definedName>
    <definedName name="______________________________a1" localSheetId="8" hidden="1">{"'Sheet1'!$L$16"}</definedName>
    <definedName name="______________________________a1" hidden="1">{"'Sheet1'!$L$16"}</definedName>
    <definedName name="______________________________Goi8" localSheetId="1" hidden="1">{"'Sheet1'!$L$16"}</definedName>
    <definedName name="______________________________Goi8" localSheetId="2" hidden="1">{"'Sheet1'!$L$16"}</definedName>
    <definedName name="______________________________Goi8" localSheetId="8" hidden="1">{"'Sheet1'!$L$16"}</definedName>
    <definedName name="______________________________Goi8" hidden="1">{"'Sheet1'!$L$16"}</definedName>
    <definedName name="______________________________PA3" localSheetId="1" hidden="1">{"'Sheet1'!$L$16"}</definedName>
    <definedName name="______________________________PA3" localSheetId="2" hidden="1">{"'Sheet1'!$L$16"}</definedName>
    <definedName name="______________________________PA3" localSheetId="8" hidden="1">{"'Sheet1'!$L$16"}</definedName>
    <definedName name="______________________________PA3" hidden="1">{"'Sheet1'!$L$16"}</definedName>
    <definedName name="______________________________SCL4" localSheetId="1" hidden="1">{"'Sheet1'!$L$16"}</definedName>
    <definedName name="______________________________SCL4" localSheetId="2" hidden="1">{"'Sheet1'!$L$16"}</definedName>
    <definedName name="______________________________SCL4" localSheetId="8" hidden="1">{"'Sheet1'!$L$16"}</definedName>
    <definedName name="______________________________SCL4" hidden="1">{"'Sheet1'!$L$16"}</definedName>
    <definedName name="______________________________VT3" localSheetId="1" hidden="1">{"'Sheet1'!$L$16"}</definedName>
    <definedName name="______________________________VT3" localSheetId="2" hidden="1">{"'Sheet1'!$L$16"}</definedName>
    <definedName name="______________________________VT3" localSheetId="8" hidden="1">{"'Sheet1'!$L$16"}</definedName>
    <definedName name="______________________________VT3" hidden="1">{"'Sheet1'!$L$16"}</definedName>
    <definedName name="_____________________________a1" localSheetId="1" hidden="1">{"'Sheet1'!$L$16"}</definedName>
    <definedName name="_____________________________a1" localSheetId="2" hidden="1">{"'Sheet1'!$L$16"}</definedName>
    <definedName name="_____________________________a1" localSheetId="8" hidden="1">{"'Sheet1'!$L$16"}</definedName>
    <definedName name="_____________________________a1" hidden="1">{"'Sheet1'!$L$16"}</definedName>
    <definedName name="_____________________________CN1" localSheetId="1" hidden="1">{"'Sheet1'!$L$16"}</definedName>
    <definedName name="_____________________________CN1" localSheetId="2" hidden="1">{"'Sheet1'!$L$16"}</definedName>
    <definedName name="_____________________________CN1" localSheetId="8" hidden="1">{"'Sheet1'!$L$16"}</definedName>
    <definedName name="_____________________________CN1" hidden="1">{"'Sheet1'!$L$16"}</definedName>
    <definedName name="_____________________________Goi8" localSheetId="1" hidden="1">{"'Sheet1'!$L$16"}</definedName>
    <definedName name="_____________________________Goi8" localSheetId="2" hidden="1">{"'Sheet1'!$L$16"}</definedName>
    <definedName name="_____________________________Goi8" localSheetId="8" hidden="1">{"'Sheet1'!$L$16"}</definedName>
    <definedName name="_____________________________Goi8" hidden="1">{"'Sheet1'!$L$16"}</definedName>
    <definedName name="_____________________________NSO2" localSheetId="1" hidden="1">{"'Sheet1'!$L$16"}</definedName>
    <definedName name="_____________________________NSO2" localSheetId="2" hidden="1">{"'Sheet1'!$L$16"}</definedName>
    <definedName name="_____________________________NSO2" localSheetId="8" hidden="1">{"'Sheet1'!$L$16"}</definedName>
    <definedName name="_____________________________NSO2" hidden="1">{"'Sheet1'!$L$16"}</definedName>
    <definedName name="_____________________________PA3" localSheetId="1" hidden="1">{"'Sheet1'!$L$16"}</definedName>
    <definedName name="_____________________________PA3" localSheetId="2" hidden="1">{"'Sheet1'!$L$16"}</definedName>
    <definedName name="_____________________________PA3" localSheetId="8" hidden="1">{"'Sheet1'!$L$16"}</definedName>
    <definedName name="_____________________________PA3" hidden="1">{"'Sheet1'!$L$16"}</definedName>
    <definedName name="_____________________________SCL4" localSheetId="1" hidden="1">{"'Sheet1'!$L$16"}</definedName>
    <definedName name="_____________________________SCL4" localSheetId="2" hidden="1">{"'Sheet1'!$L$16"}</definedName>
    <definedName name="_____________________________SCL4" localSheetId="8" hidden="1">{"'Sheet1'!$L$16"}</definedName>
    <definedName name="_____________________________SCL4" hidden="1">{"'Sheet1'!$L$16"}</definedName>
    <definedName name="_____________________________VT3" localSheetId="1" hidden="1">{"'Sheet1'!$L$16"}</definedName>
    <definedName name="_____________________________VT3" localSheetId="2" hidden="1">{"'Sheet1'!$L$16"}</definedName>
    <definedName name="_____________________________VT3" localSheetId="8" hidden="1">{"'Sheet1'!$L$16"}</definedName>
    <definedName name="_____________________________VT3" hidden="1">{"'Sheet1'!$L$16"}</definedName>
    <definedName name="____________________________a1" localSheetId="1" hidden="1">{"'Sheet1'!$L$16"}</definedName>
    <definedName name="____________________________a1" localSheetId="2" hidden="1">{"'Sheet1'!$L$16"}</definedName>
    <definedName name="____________________________a1" localSheetId="8" hidden="1">{"'Sheet1'!$L$16"}</definedName>
    <definedName name="____________________________a1" hidden="1">{"'Sheet1'!$L$16"}</definedName>
    <definedName name="____________________________BG12" localSheetId="1" hidden="1">{"'Sheet1'!$L$16"}</definedName>
    <definedName name="____________________________BG12" localSheetId="2" hidden="1">{"'Sheet1'!$L$16"}</definedName>
    <definedName name="____________________________BG12" localSheetId="8" hidden="1">{"'Sheet1'!$L$16"}</definedName>
    <definedName name="____________________________BG12" hidden="1">{"'Sheet1'!$L$16"}</definedName>
    <definedName name="____________________________CN1" localSheetId="1" hidden="1">{"'Sheet1'!$L$16"}</definedName>
    <definedName name="____________________________CN1" localSheetId="2" hidden="1">{"'Sheet1'!$L$16"}</definedName>
    <definedName name="____________________________CN1" localSheetId="8" hidden="1">{"'Sheet1'!$L$16"}</definedName>
    <definedName name="____________________________CN1" hidden="1">{"'Sheet1'!$L$16"}</definedName>
    <definedName name="____________________________Goi8" localSheetId="1" hidden="1">{"'Sheet1'!$L$16"}</definedName>
    <definedName name="____________________________Goi8" localSheetId="2" hidden="1">{"'Sheet1'!$L$16"}</definedName>
    <definedName name="____________________________Goi8" localSheetId="8" hidden="1">{"'Sheet1'!$L$16"}</definedName>
    <definedName name="____________________________Goi8" hidden="1">{"'Sheet1'!$L$16"}</definedName>
    <definedName name="____________________________SCL4" localSheetId="1" hidden="1">{"'Sheet1'!$L$16"}</definedName>
    <definedName name="____________________________SCL4" localSheetId="2" hidden="1">{"'Sheet1'!$L$16"}</definedName>
    <definedName name="____________________________SCL4" localSheetId="8" hidden="1">{"'Sheet1'!$L$16"}</definedName>
    <definedName name="____________________________SCL4" hidden="1">{"'Sheet1'!$L$16"}</definedName>
    <definedName name="____________________________VT3" localSheetId="1" hidden="1">{"'Sheet1'!$L$16"}</definedName>
    <definedName name="____________________________VT3" localSheetId="2" hidden="1">{"'Sheet1'!$L$16"}</definedName>
    <definedName name="____________________________VT3" localSheetId="8" hidden="1">{"'Sheet1'!$L$16"}</definedName>
    <definedName name="____________________________VT3" hidden="1">{"'Sheet1'!$L$16"}</definedName>
    <definedName name="___________________________a1" localSheetId="1" hidden="1">{"'Sheet1'!$L$16"}</definedName>
    <definedName name="___________________________a1" localSheetId="2" hidden="1">{"'Sheet1'!$L$16"}</definedName>
    <definedName name="___________________________a1" localSheetId="8" hidden="1">{"'Sheet1'!$L$16"}</definedName>
    <definedName name="___________________________a1" hidden="1">{"'Sheet1'!$L$16"}</definedName>
    <definedName name="___________________________BG12" localSheetId="1" hidden="1">{"'Sheet1'!$L$16"}</definedName>
    <definedName name="___________________________BG12" localSheetId="2" hidden="1">{"'Sheet1'!$L$16"}</definedName>
    <definedName name="___________________________BG12" localSheetId="8" hidden="1">{"'Sheet1'!$L$16"}</definedName>
    <definedName name="___________________________BG12" hidden="1">{"'Sheet1'!$L$16"}</definedName>
    <definedName name="___________________________CN1" localSheetId="1" hidden="1">{"'Sheet1'!$L$16"}</definedName>
    <definedName name="___________________________CN1" localSheetId="2" hidden="1">{"'Sheet1'!$L$16"}</definedName>
    <definedName name="___________________________CN1" localSheetId="8" hidden="1">{"'Sheet1'!$L$16"}</definedName>
    <definedName name="___________________________CN1" hidden="1">{"'Sheet1'!$L$16"}</definedName>
    <definedName name="___________________________Goi8" localSheetId="1" hidden="1">{"'Sheet1'!$L$16"}</definedName>
    <definedName name="___________________________Goi8" localSheetId="2" hidden="1">{"'Sheet1'!$L$16"}</definedName>
    <definedName name="___________________________Goi8" localSheetId="8" hidden="1">{"'Sheet1'!$L$16"}</definedName>
    <definedName name="___________________________Goi8" hidden="1">{"'Sheet1'!$L$16"}</definedName>
    <definedName name="___________________________NSO2" localSheetId="1" hidden="1">{"'Sheet1'!$L$16"}</definedName>
    <definedName name="___________________________NSO2" localSheetId="2" hidden="1">{"'Sheet1'!$L$16"}</definedName>
    <definedName name="___________________________NSO2" localSheetId="8" hidden="1">{"'Sheet1'!$L$16"}</definedName>
    <definedName name="___________________________NSO2" hidden="1">{"'Sheet1'!$L$16"}</definedName>
    <definedName name="___________________________PA3" localSheetId="1" hidden="1">{"'Sheet1'!$L$16"}</definedName>
    <definedName name="___________________________PA3" localSheetId="2" hidden="1">{"'Sheet1'!$L$16"}</definedName>
    <definedName name="___________________________PA3" localSheetId="8" hidden="1">{"'Sheet1'!$L$16"}</definedName>
    <definedName name="___________________________PA3" hidden="1">{"'Sheet1'!$L$16"}</definedName>
    <definedName name="___________________________SCL4" localSheetId="1" hidden="1">{"'Sheet1'!$L$16"}</definedName>
    <definedName name="___________________________SCL4" localSheetId="2" hidden="1">{"'Sheet1'!$L$16"}</definedName>
    <definedName name="___________________________SCL4" localSheetId="8" hidden="1">{"'Sheet1'!$L$16"}</definedName>
    <definedName name="___________________________SCL4" hidden="1">{"'Sheet1'!$L$16"}</definedName>
    <definedName name="___________________________VT3" localSheetId="1" hidden="1">{"'Sheet1'!$L$16"}</definedName>
    <definedName name="___________________________VT3" localSheetId="2" hidden="1">{"'Sheet1'!$L$16"}</definedName>
    <definedName name="___________________________VT3" localSheetId="8" hidden="1">{"'Sheet1'!$L$16"}</definedName>
    <definedName name="___________________________VT3" hidden="1">{"'Sheet1'!$L$16"}</definedName>
    <definedName name="__________________________a1" localSheetId="1" hidden="1">{"'Sheet1'!$L$16"}</definedName>
    <definedName name="__________________________a1" localSheetId="2" hidden="1">{"'Sheet1'!$L$16"}</definedName>
    <definedName name="__________________________a1" localSheetId="8" hidden="1">{"'Sheet1'!$L$16"}</definedName>
    <definedName name="__________________________a1" hidden="1">{"'Sheet1'!$L$16"}</definedName>
    <definedName name="__________________________BG12" localSheetId="1" hidden="1">{"'Sheet1'!$L$16"}</definedName>
    <definedName name="__________________________BG12" localSheetId="2" hidden="1">{"'Sheet1'!$L$16"}</definedName>
    <definedName name="__________________________BG12" localSheetId="8" hidden="1">{"'Sheet1'!$L$16"}</definedName>
    <definedName name="__________________________BG12" hidden="1">{"'Sheet1'!$L$16"}</definedName>
    <definedName name="__________________________CN1" localSheetId="1" hidden="1">{"'Sheet1'!$L$16"}</definedName>
    <definedName name="__________________________CN1" localSheetId="2" hidden="1">{"'Sheet1'!$L$16"}</definedName>
    <definedName name="__________________________CN1" localSheetId="8" hidden="1">{"'Sheet1'!$L$16"}</definedName>
    <definedName name="__________________________CN1" hidden="1">{"'Sheet1'!$L$16"}</definedName>
    <definedName name="__________________________Goi8" localSheetId="1" hidden="1">{"'Sheet1'!$L$16"}</definedName>
    <definedName name="__________________________Goi8" localSheetId="2" hidden="1">{"'Sheet1'!$L$16"}</definedName>
    <definedName name="__________________________Goi8" localSheetId="8" hidden="1">{"'Sheet1'!$L$16"}</definedName>
    <definedName name="__________________________Goi8" hidden="1">{"'Sheet1'!$L$16"}</definedName>
    <definedName name="__________________________PA3" localSheetId="1" hidden="1">{"'Sheet1'!$L$16"}</definedName>
    <definedName name="__________________________PA3" localSheetId="2" hidden="1">{"'Sheet1'!$L$16"}</definedName>
    <definedName name="__________________________PA3" localSheetId="8" hidden="1">{"'Sheet1'!$L$16"}</definedName>
    <definedName name="__________________________PA3" hidden="1">{"'Sheet1'!$L$16"}</definedName>
    <definedName name="__________________________SCL4" localSheetId="1" hidden="1">{"'Sheet1'!$L$16"}</definedName>
    <definedName name="__________________________SCL4" localSheetId="2" hidden="1">{"'Sheet1'!$L$16"}</definedName>
    <definedName name="__________________________SCL4" localSheetId="8" hidden="1">{"'Sheet1'!$L$16"}</definedName>
    <definedName name="__________________________SCL4" hidden="1">{"'Sheet1'!$L$16"}</definedName>
    <definedName name="__________________________tt3" localSheetId="1" hidden="1">{"'Sheet1'!$L$16"}</definedName>
    <definedName name="__________________________tt3" localSheetId="2" hidden="1">{"'Sheet1'!$L$16"}</definedName>
    <definedName name="__________________________tt3" localSheetId="8" hidden="1">{"'Sheet1'!$L$16"}</definedName>
    <definedName name="__________________________tt3" hidden="1">{"'Sheet1'!$L$16"}</definedName>
    <definedName name="__________________________VT3" localSheetId="1" hidden="1">{"'Sheet1'!$L$16"}</definedName>
    <definedName name="__________________________VT3" localSheetId="2" hidden="1">{"'Sheet1'!$L$16"}</definedName>
    <definedName name="__________________________VT3" localSheetId="8" hidden="1">{"'Sheet1'!$L$16"}</definedName>
    <definedName name="__________________________VT3" hidden="1">{"'Sheet1'!$L$16"}</definedName>
    <definedName name="_________________________a1" localSheetId="1" hidden="1">{"'Sheet1'!$L$16"}</definedName>
    <definedName name="_________________________a1" localSheetId="2" hidden="1">{"'Sheet1'!$L$16"}</definedName>
    <definedName name="_________________________a1" localSheetId="8" hidden="1">{"'Sheet1'!$L$16"}</definedName>
    <definedName name="_________________________a1" hidden="1">{"'Sheet1'!$L$16"}</definedName>
    <definedName name="_________________________BG12" localSheetId="1" hidden="1">{"'Sheet1'!$L$16"}</definedName>
    <definedName name="_________________________BG12" localSheetId="2" hidden="1">{"'Sheet1'!$L$16"}</definedName>
    <definedName name="_________________________BG12" localSheetId="8" hidden="1">{"'Sheet1'!$L$16"}</definedName>
    <definedName name="_________________________BG12" hidden="1">{"'Sheet1'!$L$16"}</definedName>
    <definedName name="_________________________CN1" localSheetId="1" hidden="1">{"'Sheet1'!$L$16"}</definedName>
    <definedName name="_________________________CN1" localSheetId="2" hidden="1">{"'Sheet1'!$L$16"}</definedName>
    <definedName name="_________________________CN1" localSheetId="8" hidden="1">{"'Sheet1'!$L$16"}</definedName>
    <definedName name="_________________________CN1" hidden="1">{"'Sheet1'!$L$16"}</definedName>
    <definedName name="_________________________Goi8" localSheetId="1" hidden="1">{"'Sheet1'!$L$16"}</definedName>
    <definedName name="_________________________Goi8" localSheetId="2" hidden="1">{"'Sheet1'!$L$16"}</definedName>
    <definedName name="_________________________Goi8" localSheetId="8" hidden="1">{"'Sheet1'!$L$16"}</definedName>
    <definedName name="_________________________Goi8" hidden="1">{"'Sheet1'!$L$16"}</definedName>
    <definedName name="_________________________NSO2" localSheetId="1" hidden="1">{"'Sheet1'!$L$16"}</definedName>
    <definedName name="_________________________NSO2" localSheetId="2" hidden="1">{"'Sheet1'!$L$16"}</definedName>
    <definedName name="_________________________NSO2" localSheetId="8" hidden="1">{"'Sheet1'!$L$16"}</definedName>
    <definedName name="_________________________NSO2" hidden="1">{"'Sheet1'!$L$16"}</definedName>
    <definedName name="_________________________PA3" localSheetId="1" hidden="1">{"'Sheet1'!$L$16"}</definedName>
    <definedName name="_________________________PA3" localSheetId="2" hidden="1">{"'Sheet1'!$L$16"}</definedName>
    <definedName name="_________________________PA3" localSheetId="8" hidden="1">{"'Sheet1'!$L$16"}</definedName>
    <definedName name="_________________________PA3" hidden="1">{"'Sheet1'!$L$16"}</definedName>
    <definedName name="_________________________SCL4" localSheetId="1" hidden="1">{"'Sheet1'!$L$16"}</definedName>
    <definedName name="_________________________SCL4" localSheetId="2" hidden="1">{"'Sheet1'!$L$16"}</definedName>
    <definedName name="_________________________SCL4" localSheetId="8" hidden="1">{"'Sheet1'!$L$16"}</definedName>
    <definedName name="_________________________SCL4" hidden="1">{"'Sheet1'!$L$16"}</definedName>
    <definedName name="_________________________VT3" localSheetId="1" hidden="1">{"'Sheet1'!$L$16"}</definedName>
    <definedName name="_________________________VT3" localSheetId="2" hidden="1">{"'Sheet1'!$L$16"}</definedName>
    <definedName name="_________________________VT3" localSheetId="8" hidden="1">{"'Sheet1'!$L$16"}</definedName>
    <definedName name="_________________________VT3" hidden="1">{"'Sheet1'!$L$16"}</definedName>
    <definedName name="________________________a1" localSheetId="1" hidden="1">{"'Sheet1'!$L$16"}</definedName>
    <definedName name="________________________a1" localSheetId="2" hidden="1">{"'Sheet1'!$L$16"}</definedName>
    <definedName name="________________________a1" localSheetId="8" hidden="1">{"'Sheet1'!$L$16"}</definedName>
    <definedName name="________________________a1" hidden="1">{"'Sheet1'!$L$16"}</definedName>
    <definedName name="________________________BG12" localSheetId="1" hidden="1">{"'Sheet1'!$L$16"}</definedName>
    <definedName name="________________________BG12" localSheetId="2" hidden="1">{"'Sheet1'!$L$16"}</definedName>
    <definedName name="________________________BG12" localSheetId="8" hidden="1">{"'Sheet1'!$L$16"}</definedName>
    <definedName name="________________________BG12" hidden="1">{"'Sheet1'!$L$16"}</definedName>
    <definedName name="________________________CN1" localSheetId="1" hidden="1">{"'Sheet1'!$L$16"}</definedName>
    <definedName name="________________________CN1" localSheetId="2" hidden="1">{"'Sheet1'!$L$16"}</definedName>
    <definedName name="________________________CN1" localSheetId="8" hidden="1">{"'Sheet1'!$L$16"}</definedName>
    <definedName name="________________________CN1" hidden="1">{"'Sheet1'!$L$16"}</definedName>
    <definedName name="________________________Goi8" localSheetId="1" hidden="1">{"'Sheet1'!$L$16"}</definedName>
    <definedName name="________________________Goi8" localSheetId="2" hidden="1">{"'Sheet1'!$L$16"}</definedName>
    <definedName name="________________________Goi8" localSheetId="8" hidden="1">{"'Sheet1'!$L$16"}</definedName>
    <definedName name="________________________Goi8" hidden="1">{"'Sheet1'!$L$16"}</definedName>
    <definedName name="________________________PA3" localSheetId="1" hidden="1">{"'Sheet1'!$L$16"}</definedName>
    <definedName name="________________________PA3" localSheetId="2" hidden="1">{"'Sheet1'!$L$16"}</definedName>
    <definedName name="________________________PA3" localSheetId="8" hidden="1">{"'Sheet1'!$L$16"}</definedName>
    <definedName name="________________________PA3" hidden="1">{"'Sheet1'!$L$16"}</definedName>
    <definedName name="________________________SCL4" localSheetId="1" hidden="1">{"'Sheet1'!$L$16"}</definedName>
    <definedName name="________________________SCL4" localSheetId="2" hidden="1">{"'Sheet1'!$L$16"}</definedName>
    <definedName name="________________________SCL4" localSheetId="8" hidden="1">{"'Sheet1'!$L$16"}</definedName>
    <definedName name="________________________SCL4" hidden="1">{"'Sheet1'!$L$16"}</definedName>
    <definedName name="________________________tt3" localSheetId="1" hidden="1">{"'Sheet1'!$L$16"}</definedName>
    <definedName name="________________________tt3" localSheetId="2" hidden="1">{"'Sheet1'!$L$16"}</definedName>
    <definedName name="________________________tt3" localSheetId="8" hidden="1">{"'Sheet1'!$L$16"}</definedName>
    <definedName name="________________________tt3" hidden="1">{"'Sheet1'!$L$16"}</definedName>
    <definedName name="________________________VT3" localSheetId="1" hidden="1">{"'Sheet1'!$L$16"}</definedName>
    <definedName name="________________________VT3" localSheetId="2" hidden="1">{"'Sheet1'!$L$16"}</definedName>
    <definedName name="________________________VT3" localSheetId="8" hidden="1">{"'Sheet1'!$L$16"}</definedName>
    <definedName name="________________________VT3" hidden="1">{"'Sheet1'!$L$16"}</definedName>
    <definedName name="_______________________a1" localSheetId="1" hidden="1">{"'Sheet1'!$L$16"}</definedName>
    <definedName name="_______________________a1" localSheetId="2" hidden="1">{"'Sheet1'!$L$16"}</definedName>
    <definedName name="_______________________a1" localSheetId="8" hidden="1">{"'Sheet1'!$L$16"}</definedName>
    <definedName name="_______________________a1" hidden="1">{"'Sheet1'!$L$16"}</definedName>
    <definedName name="_______________________BG12" localSheetId="1" hidden="1">{"'Sheet1'!$L$16"}</definedName>
    <definedName name="_______________________BG12" localSheetId="2" hidden="1">{"'Sheet1'!$L$16"}</definedName>
    <definedName name="_______________________BG12" localSheetId="8" hidden="1">{"'Sheet1'!$L$16"}</definedName>
    <definedName name="_______________________BG12" hidden="1">{"'Sheet1'!$L$16"}</definedName>
    <definedName name="_______________________CN1" localSheetId="1" hidden="1">{"'Sheet1'!$L$16"}</definedName>
    <definedName name="_______________________CN1" localSheetId="2" hidden="1">{"'Sheet1'!$L$16"}</definedName>
    <definedName name="_______________________CN1" localSheetId="8" hidden="1">{"'Sheet1'!$L$16"}</definedName>
    <definedName name="_______________________CN1" hidden="1">{"'Sheet1'!$L$16"}</definedName>
    <definedName name="_______________________Goi8" localSheetId="1" hidden="1">{"'Sheet1'!$L$16"}</definedName>
    <definedName name="_______________________Goi8" localSheetId="2" hidden="1">{"'Sheet1'!$L$16"}</definedName>
    <definedName name="_______________________Goi8" localSheetId="8" hidden="1">{"'Sheet1'!$L$16"}</definedName>
    <definedName name="_______________________Goi8" hidden="1">{"'Sheet1'!$L$16"}</definedName>
    <definedName name="_______________________NSO2" localSheetId="1" hidden="1">{"'Sheet1'!$L$16"}</definedName>
    <definedName name="_______________________NSO2" localSheetId="2" hidden="1">{"'Sheet1'!$L$16"}</definedName>
    <definedName name="_______________________NSO2" localSheetId="8" hidden="1">{"'Sheet1'!$L$16"}</definedName>
    <definedName name="_______________________NSO2" hidden="1">{"'Sheet1'!$L$16"}</definedName>
    <definedName name="_______________________PA3" localSheetId="1" hidden="1">{"'Sheet1'!$L$16"}</definedName>
    <definedName name="_______________________PA3" localSheetId="2" hidden="1">{"'Sheet1'!$L$16"}</definedName>
    <definedName name="_______________________PA3" localSheetId="8" hidden="1">{"'Sheet1'!$L$16"}</definedName>
    <definedName name="_______________________PA3" hidden="1">{"'Sheet1'!$L$16"}</definedName>
    <definedName name="_______________________SCL4" localSheetId="1" hidden="1">{"'Sheet1'!$L$16"}</definedName>
    <definedName name="_______________________SCL4" localSheetId="2" hidden="1">{"'Sheet1'!$L$16"}</definedName>
    <definedName name="_______________________SCL4" localSheetId="8" hidden="1">{"'Sheet1'!$L$16"}</definedName>
    <definedName name="_______________________SCL4" hidden="1">{"'Sheet1'!$L$16"}</definedName>
    <definedName name="_______________________VT3" localSheetId="1" hidden="1">{"'Sheet1'!$L$16"}</definedName>
    <definedName name="_______________________VT3" localSheetId="2" hidden="1">{"'Sheet1'!$L$16"}</definedName>
    <definedName name="_______________________VT3" localSheetId="8" hidden="1">{"'Sheet1'!$L$16"}</definedName>
    <definedName name="_______________________VT3" hidden="1">{"'Sheet1'!$L$16"}</definedName>
    <definedName name="______________________a1" localSheetId="1" hidden="1">{"'Sheet1'!$L$16"}</definedName>
    <definedName name="______________________a1" localSheetId="2" hidden="1">{"'Sheet1'!$L$16"}</definedName>
    <definedName name="______________________a1" localSheetId="8" hidden="1">{"'Sheet1'!$L$16"}</definedName>
    <definedName name="______________________a1" hidden="1">{"'Sheet1'!$L$16"}</definedName>
    <definedName name="______________________BG12" localSheetId="1" hidden="1">{"'Sheet1'!$L$16"}</definedName>
    <definedName name="______________________BG12" localSheetId="2" hidden="1">{"'Sheet1'!$L$16"}</definedName>
    <definedName name="______________________BG12" localSheetId="8" hidden="1">{"'Sheet1'!$L$16"}</definedName>
    <definedName name="______________________BG12" hidden="1">{"'Sheet1'!$L$16"}</definedName>
    <definedName name="______________________CN1" localSheetId="1" hidden="1">{"'Sheet1'!$L$16"}</definedName>
    <definedName name="______________________CN1" localSheetId="2" hidden="1">{"'Sheet1'!$L$16"}</definedName>
    <definedName name="______________________CN1" localSheetId="8" hidden="1">{"'Sheet1'!$L$16"}</definedName>
    <definedName name="______________________CN1" hidden="1">{"'Sheet1'!$L$16"}</definedName>
    <definedName name="______________________Goi8" localSheetId="1" hidden="1">{"'Sheet1'!$L$16"}</definedName>
    <definedName name="______________________Goi8" localSheetId="2" hidden="1">{"'Sheet1'!$L$16"}</definedName>
    <definedName name="______________________Goi8" localSheetId="8" hidden="1">{"'Sheet1'!$L$16"}</definedName>
    <definedName name="______________________Goi8" hidden="1">{"'Sheet1'!$L$16"}</definedName>
    <definedName name="______________________PA3" localSheetId="1" hidden="1">{"'Sheet1'!$L$16"}</definedName>
    <definedName name="______________________PA3" localSheetId="2" hidden="1">{"'Sheet1'!$L$16"}</definedName>
    <definedName name="______________________PA3" localSheetId="8" hidden="1">{"'Sheet1'!$L$16"}</definedName>
    <definedName name="______________________PA3" hidden="1">{"'Sheet1'!$L$16"}</definedName>
    <definedName name="______________________SCL4" localSheetId="1" hidden="1">{"'Sheet1'!$L$16"}</definedName>
    <definedName name="______________________SCL4" localSheetId="2" hidden="1">{"'Sheet1'!$L$16"}</definedName>
    <definedName name="______________________SCL4" localSheetId="8" hidden="1">{"'Sheet1'!$L$16"}</definedName>
    <definedName name="______________________SCL4" hidden="1">{"'Sheet1'!$L$16"}</definedName>
    <definedName name="______________________tt3" localSheetId="1" hidden="1">{"'Sheet1'!$L$16"}</definedName>
    <definedName name="______________________tt3" localSheetId="2" hidden="1">{"'Sheet1'!$L$16"}</definedName>
    <definedName name="______________________tt3" localSheetId="8" hidden="1">{"'Sheet1'!$L$16"}</definedName>
    <definedName name="______________________tt3" hidden="1">{"'Sheet1'!$L$16"}</definedName>
    <definedName name="______________________VT3" localSheetId="1" hidden="1">{"'Sheet1'!$L$16"}</definedName>
    <definedName name="______________________VT3" localSheetId="2" hidden="1">{"'Sheet1'!$L$16"}</definedName>
    <definedName name="______________________VT3" localSheetId="8" hidden="1">{"'Sheet1'!$L$16"}</definedName>
    <definedName name="______________________VT3" hidden="1">{"'Sheet1'!$L$16"}</definedName>
    <definedName name="_____________________a1" localSheetId="1" hidden="1">{"'Sheet1'!$L$16"}</definedName>
    <definedName name="_____________________a1" localSheetId="2" hidden="1">{"'Sheet1'!$L$16"}</definedName>
    <definedName name="_____________________a1" localSheetId="8" hidden="1">{"'Sheet1'!$L$16"}</definedName>
    <definedName name="_____________________a1" hidden="1">{"'Sheet1'!$L$16"}</definedName>
    <definedName name="_____________________BG12" localSheetId="1" hidden="1">{"'Sheet1'!$L$16"}</definedName>
    <definedName name="_____________________BG12" localSheetId="2" hidden="1">{"'Sheet1'!$L$16"}</definedName>
    <definedName name="_____________________BG12" localSheetId="8" hidden="1">{"'Sheet1'!$L$16"}</definedName>
    <definedName name="_____________________BG12" hidden="1">{"'Sheet1'!$L$16"}</definedName>
    <definedName name="_____________________CN1" localSheetId="1" hidden="1">{"'Sheet1'!$L$16"}</definedName>
    <definedName name="_____________________CN1" localSheetId="2" hidden="1">{"'Sheet1'!$L$16"}</definedName>
    <definedName name="_____________________CN1" localSheetId="8" hidden="1">{"'Sheet1'!$L$16"}</definedName>
    <definedName name="_____________________CN1" hidden="1">{"'Sheet1'!$L$16"}</definedName>
    <definedName name="_____________________Goi8" localSheetId="1" hidden="1">{"'Sheet1'!$L$16"}</definedName>
    <definedName name="_____________________Goi8" localSheetId="2" hidden="1">{"'Sheet1'!$L$16"}</definedName>
    <definedName name="_____________________Goi8" localSheetId="8" hidden="1">{"'Sheet1'!$L$16"}</definedName>
    <definedName name="_____________________Goi8" hidden="1">{"'Sheet1'!$L$16"}</definedName>
    <definedName name="_____________________NSO2" localSheetId="1" hidden="1">{"'Sheet1'!$L$16"}</definedName>
    <definedName name="_____________________NSO2" localSheetId="2" hidden="1">{"'Sheet1'!$L$16"}</definedName>
    <definedName name="_____________________NSO2" localSheetId="8" hidden="1">{"'Sheet1'!$L$16"}</definedName>
    <definedName name="_____________________NSO2" hidden="1">{"'Sheet1'!$L$16"}</definedName>
    <definedName name="_____________________PA3" localSheetId="1" hidden="1">{"'Sheet1'!$L$16"}</definedName>
    <definedName name="_____________________PA3" localSheetId="2" hidden="1">{"'Sheet1'!$L$16"}</definedName>
    <definedName name="_____________________PA3" localSheetId="8" hidden="1">{"'Sheet1'!$L$16"}</definedName>
    <definedName name="_____________________PA3" hidden="1">{"'Sheet1'!$L$16"}</definedName>
    <definedName name="_____________________SCL4" localSheetId="1" hidden="1">{"'Sheet1'!$L$16"}</definedName>
    <definedName name="_____________________SCL4" localSheetId="2" hidden="1">{"'Sheet1'!$L$16"}</definedName>
    <definedName name="_____________________SCL4" localSheetId="8" hidden="1">{"'Sheet1'!$L$16"}</definedName>
    <definedName name="_____________________SCL4" hidden="1">{"'Sheet1'!$L$16"}</definedName>
    <definedName name="_____________________VT3" localSheetId="1" hidden="1">{"'Sheet1'!$L$16"}</definedName>
    <definedName name="_____________________VT3" localSheetId="2" hidden="1">{"'Sheet1'!$L$16"}</definedName>
    <definedName name="_____________________VT3" localSheetId="8" hidden="1">{"'Sheet1'!$L$16"}</definedName>
    <definedName name="_____________________VT3" hidden="1">{"'Sheet1'!$L$16"}</definedName>
    <definedName name="____________________a1" localSheetId="1" hidden="1">{"'Sheet1'!$L$16"}</definedName>
    <definedName name="____________________a1" localSheetId="2" hidden="1">{"'Sheet1'!$L$16"}</definedName>
    <definedName name="____________________a1" localSheetId="8" hidden="1">{"'Sheet1'!$L$16"}</definedName>
    <definedName name="____________________a1" hidden="1">{"'Sheet1'!$L$16"}</definedName>
    <definedName name="____________________BG12" localSheetId="1" hidden="1">{"'Sheet1'!$L$16"}</definedName>
    <definedName name="____________________BG12" localSheetId="2" hidden="1">{"'Sheet1'!$L$16"}</definedName>
    <definedName name="____________________BG12" localSheetId="8" hidden="1">{"'Sheet1'!$L$16"}</definedName>
    <definedName name="____________________BG12" hidden="1">{"'Sheet1'!$L$16"}</definedName>
    <definedName name="____________________CN1" localSheetId="1" hidden="1">{"'Sheet1'!$L$16"}</definedName>
    <definedName name="____________________CN1" localSheetId="2" hidden="1">{"'Sheet1'!$L$16"}</definedName>
    <definedName name="____________________CN1" localSheetId="8" hidden="1">{"'Sheet1'!$L$16"}</definedName>
    <definedName name="____________________CN1" hidden="1">{"'Sheet1'!$L$16"}</definedName>
    <definedName name="____________________Goi8" localSheetId="1" hidden="1">{"'Sheet1'!$L$16"}</definedName>
    <definedName name="____________________Goi8" localSheetId="2" hidden="1">{"'Sheet1'!$L$16"}</definedName>
    <definedName name="____________________Goi8" localSheetId="8" hidden="1">{"'Sheet1'!$L$16"}</definedName>
    <definedName name="____________________Goi8" hidden="1">{"'Sheet1'!$L$16"}</definedName>
    <definedName name="____________________m4" localSheetId="1" hidden="1">{"'Sheet1'!$L$16"}</definedName>
    <definedName name="____________________m4" localSheetId="2" hidden="1">{"'Sheet1'!$L$16"}</definedName>
    <definedName name="____________________m4" localSheetId="8" hidden="1">{"'Sheet1'!$L$16"}</definedName>
    <definedName name="____________________m4" hidden="1">{"'Sheet1'!$L$16"}</definedName>
    <definedName name="____________________PA3" localSheetId="1" hidden="1">{"'Sheet1'!$L$16"}</definedName>
    <definedName name="____________________PA3" localSheetId="2" hidden="1">{"'Sheet1'!$L$16"}</definedName>
    <definedName name="____________________PA3" localSheetId="8" hidden="1">{"'Sheet1'!$L$16"}</definedName>
    <definedName name="____________________PA3" hidden="1">{"'Sheet1'!$L$16"}</definedName>
    <definedName name="____________________SCL4" localSheetId="1" hidden="1">{"'Sheet1'!$L$16"}</definedName>
    <definedName name="____________________SCL4" localSheetId="2" hidden="1">{"'Sheet1'!$L$16"}</definedName>
    <definedName name="____________________SCL4" localSheetId="8" hidden="1">{"'Sheet1'!$L$16"}</definedName>
    <definedName name="____________________SCL4" hidden="1">{"'Sheet1'!$L$16"}</definedName>
    <definedName name="____________________tt3" localSheetId="1" hidden="1">{"'Sheet1'!$L$16"}</definedName>
    <definedName name="____________________tt3" localSheetId="2" hidden="1">{"'Sheet1'!$L$16"}</definedName>
    <definedName name="____________________tt3" localSheetId="8" hidden="1">{"'Sheet1'!$L$16"}</definedName>
    <definedName name="____________________tt3" hidden="1">{"'Sheet1'!$L$16"}</definedName>
    <definedName name="____________________VT3" localSheetId="1" hidden="1">{"'Sheet1'!$L$16"}</definedName>
    <definedName name="____________________VT3" localSheetId="2" hidden="1">{"'Sheet1'!$L$16"}</definedName>
    <definedName name="____________________VT3" localSheetId="8" hidden="1">{"'Sheet1'!$L$16"}</definedName>
    <definedName name="____________________VT3" hidden="1">{"'Sheet1'!$L$16"}</definedName>
    <definedName name="___________________a1" localSheetId="1" hidden="1">{"'Sheet1'!$L$16"}</definedName>
    <definedName name="___________________a1" localSheetId="2" hidden="1">{"'Sheet1'!$L$16"}</definedName>
    <definedName name="___________________a1" localSheetId="8" hidden="1">{"'Sheet1'!$L$16"}</definedName>
    <definedName name="___________________a1" hidden="1">{"'Sheet1'!$L$16"}</definedName>
    <definedName name="___________________a1_1" localSheetId="1" hidden="1">{"'Sheet1'!$L$16"}</definedName>
    <definedName name="___________________a1_1" localSheetId="2" hidden="1">{"'Sheet1'!$L$16"}</definedName>
    <definedName name="___________________a1_1" localSheetId="8" hidden="1">{"'Sheet1'!$L$16"}</definedName>
    <definedName name="___________________a1_1" hidden="1">{"'Sheet1'!$L$16"}</definedName>
    <definedName name="___________________BG12" localSheetId="1" hidden="1">{"'Sheet1'!$L$16"}</definedName>
    <definedName name="___________________BG12" localSheetId="2" hidden="1">{"'Sheet1'!$L$16"}</definedName>
    <definedName name="___________________BG12" localSheetId="8" hidden="1">{"'Sheet1'!$L$16"}</definedName>
    <definedName name="___________________BG12" hidden="1">{"'Sheet1'!$L$16"}</definedName>
    <definedName name="___________________CN1" localSheetId="1" hidden="1">{"'Sheet1'!$L$16"}</definedName>
    <definedName name="___________________CN1" localSheetId="2" hidden="1">{"'Sheet1'!$L$16"}</definedName>
    <definedName name="___________________CN1" localSheetId="8" hidden="1">{"'Sheet1'!$L$16"}</definedName>
    <definedName name="___________________CN1" hidden="1">{"'Sheet1'!$L$16"}</definedName>
    <definedName name="___________________Goi8" localSheetId="1" hidden="1">{"'Sheet1'!$L$16"}</definedName>
    <definedName name="___________________Goi8" localSheetId="2" hidden="1">{"'Sheet1'!$L$16"}</definedName>
    <definedName name="___________________Goi8" localSheetId="8" hidden="1">{"'Sheet1'!$L$16"}</definedName>
    <definedName name="___________________Goi8" hidden="1">{"'Sheet1'!$L$16"}</definedName>
    <definedName name="___________________Goi8_1" localSheetId="1" hidden="1">{"'Sheet1'!$L$16"}</definedName>
    <definedName name="___________________Goi8_1" localSheetId="2" hidden="1">{"'Sheet1'!$L$16"}</definedName>
    <definedName name="___________________Goi8_1" localSheetId="8" hidden="1">{"'Sheet1'!$L$16"}</definedName>
    <definedName name="___________________Goi8_1" hidden="1">{"'Sheet1'!$L$16"}</definedName>
    <definedName name="___________________m4" localSheetId="1" hidden="1">{"'Sheet1'!$L$16"}</definedName>
    <definedName name="___________________m4" localSheetId="2" hidden="1">{"'Sheet1'!$L$16"}</definedName>
    <definedName name="___________________m4" localSheetId="8" hidden="1">{"'Sheet1'!$L$16"}</definedName>
    <definedName name="___________________m4" hidden="1">{"'Sheet1'!$L$16"}</definedName>
    <definedName name="___________________NSO2" localSheetId="1" hidden="1">{"'Sheet1'!$L$16"}</definedName>
    <definedName name="___________________NSO2" localSheetId="2" hidden="1">{"'Sheet1'!$L$16"}</definedName>
    <definedName name="___________________NSO2" localSheetId="8" hidden="1">{"'Sheet1'!$L$16"}</definedName>
    <definedName name="___________________NSO2" hidden="1">{"'Sheet1'!$L$16"}</definedName>
    <definedName name="___________________PA3" localSheetId="1" hidden="1">{"'Sheet1'!$L$16"}</definedName>
    <definedName name="___________________PA3" localSheetId="2" hidden="1">{"'Sheet1'!$L$16"}</definedName>
    <definedName name="___________________PA3" localSheetId="8" hidden="1">{"'Sheet1'!$L$16"}</definedName>
    <definedName name="___________________PA3" hidden="1">{"'Sheet1'!$L$16"}</definedName>
    <definedName name="___________________SCL4" localSheetId="1" hidden="1">{"'Sheet1'!$L$16"}</definedName>
    <definedName name="___________________SCL4" localSheetId="2" hidden="1">{"'Sheet1'!$L$16"}</definedName>
    <definedName name="___________________SCL4" localSheetId="8" hidden="1">{"'Sheet1'!$L$16"}</definedName>
    <definedName name="___________________SCL4" hidden="1">{"'Sheet1'!$L$16"}</definedName>
    <definedName name="___________________SCL4_1" localSheetId="1" hidden="1">{"'Sheet1'!$L$16"}</definedName>
    <definedName name="___________________SCL4_1" localSheetId="2" hidden="1">{"'Sheet1'!$L$16"}</definedName>
    <definedName name="___________________SCL4_1" localSheetId="8" hidden="1">{"'Sheet1'!$L$16"}</definedName>
    <definedName name="___________________SCL4_1" hidden="1">{"'Sheet1'!$L$16"}</definedName>
    <definedName name="___________________VT3" localSheetId="1" hidden="1">{"'Sheet1'!$L$16"}</definedName>
    <definedName name="___________________VT3" localSheetId="2" hidden="1">{"'Sheet1'!$L$16"}</definedName>
    <definedName name="___________________VT3" localSheetId="8" hidden="1">{"'Sheet1'!$L$16"}</definedName>
    <definedName name="___________________VT3" hidden="1">{"'Sheet1'!$L$16"}</definedName>
    <definedName name="__________________a1" localSheetId="1" hidden="1">{"'Sheet1'!$L$16"}</definedName>
    <definedName name="__________________a1" localSheetId="2" hidden="1">{"'Sheet1'!$L$16"}</definedName>
    <definedName name="__________________a1" localSheetId="8" hidden="1">{"'Sheet1'!$L$16"}</definedName>
    <definedName name="__________________a1" hidden="1">{"'Sheet1'!$L$16"}</definedName>
    <definedName name="__________________BG12" localSheetId="1" hidden="1">{"'Sheet1'!$L$16"}</definedName>
    <definedName name="__________________BG12" localSheetId="2" hidden="1">{"'Sheet1'!$L$16"}</definedName>
    <definedName name="__________________BG12" localSheetId="8" hidden="1">{"'Sheet1'!$L$16"}</definedName>
    <definedName name="__________________BG12" hidden="1">{"'Sheet1'!$L$16"}</definedName>
    <definedName name="__________________CN1" localSheetId="1" hidden="1">{"'Sheet1'!$L$16"}</definedName>
    <definedName name="__________________CN1" localSheetId="2" hidden="1">{"'Sheet1'!$L$16"}</definedName>
    <definedName name="__________________CN1" localSheetId="8" hidden="1">{"'Sheet1'!$L$16"}</definedName>
    <definedName name="__________________CN1" hidden="1">{"'Sheet1'!$L$16"}</definedName>
    <definedName name="__________________DT10" localSheetId="1" hidden="1">{"'Sheet1'!$L$16"}</definedName>
    <definedName name="__________________DT10" localSheetId="2" hidden="1">{"'Sheet1'!$L$16"}</definedName>
    <definedName name="__________________DT10" localSheetId="8" hidden="1">{"'Sheet1'!$L$16"}</definedName>
    <definedName name="__________________DT10" hidden="1">{"'Sheet1'!$L$16"}</definedName>
    <definedName name="__________________Goi8" localSheetId="1" hidden="1">{"'Sheet1'!$L$16"}</definedName>
    <definedName name="__________________Goi8" localSheetId="2" hidden="1">{"'Sheet1'!$L$16"}</definedName>
    <definedName name="__________________Goi8" localSheetId="8" hidden="1">{"'Sheet1'!$L$16"}</definedName>
    <definedName name="__________________Goi8" hidden="1">{"'Sheet1'!$L$16"}</definedName>
    <definedName name="__________________h1" localSheetId="1" hidden="1">{"'Sheet1'!$L$16"}</definedName>
    <definedName name="__________________h1" localSheetId="2" hidden="1">{"'Sheet1'!$L$16"}</definedName>
    <definedName name="__________________h1" localSheetId="8" hidden="1">{"'Sheet1'!$L$16"}</definedName>
    <definedName name="__________________h1" hidden="1">{"'Sheet1'!$L$16"}</definedName>
    <definedName name="__________________hu1" localSheetId="1" hidden="1">{"'Sheet1'!$L$16"}</definedName>
    <definedName name="__________________hu1" localSheetId="2" hidden="1">{"'Sheet1'!$L$16"}</definedName>
    <definedName name="__________________hu1" localSheetId="8" hidden="1">{"'Sheet1'!$L$16"}</definedName>
    <definedName name="__________________hu1" hidden="1">{"'Sheet1'!$L$16"}</definedName>
    <definedName name="__________________hu2" localSheetId="1" hidden="1">{"'Sheet1'!$L$16"}</definedName>
    <definedName name="__________________hu2" localSheetId="2" hidden="1">{"'Sheet1'!$L$16"}</definedName>
    <definedName name="__________________hu2" localSheetId="8" hidden="1">{"'Sheet1'!$L$16"}</definedName>
    <definedName name="__________________hu2" hidden="1">{"'Sheet1'!$L$16"}</definedName>
    <definedName name="__________________hu5" localSheetId="1" hidden="1">{"'Sheet1'!$L$16"}</definedName>
    <definedName name="__________________hu5" localSheetId="2" hidden="1">{"'Sheet1'!$L$16"}</definedName>
    <definedName name="__________________hu5" localSheetId="8" hidden="1">{"'Sheet1'!$L$16"}</definedName>
    <definedName name="__________________hu5" hidden="1">{"'Sheet1'!$L$16"}</definedName>
    <definedName name="__________________hu6" localSheetId="1" hidden="1">{"'Sheet1'!$L$16"}</definedName>
    <definedName name="__________________hu6" localSheetId="2" hidden="1">{"'Sheet1'!$L$16"}</definedName>
    <definedName name="__________________hu6" localSheetId="8" hidden="1">{"'Sheet1'!$L$16"}</definedName>
    <definedName name="__________________hu6" hidden="1">{"'Sheet1'!$L$16"}</definedName>
    <definedName name="__________________hu7" localSheetId="1" hidden="1">{"'Sheet1'!$L$16"}</definedName>
    <definedName name="__________________hu7" localSheetId="2" hidden="1">{"'Sheet1'!$L$16"}</definedName>
    <definedName name="__________________hu7" localSheetId="8" hidden="1">{"'Sheet1'!$L$16"}</definedName>
    <definedName name="__________________hu7" hidden="1">{"'Sheet1'!$L$16"}</definedName>
    <definedName name="__________________LAN3" localSheetId="1" hidden="1">{"'Sheet1'!$L$16"}</definedName>
    <definedName name="__________________LAN3" localSheetId="2" hidden="1">{"'Sheet1'!$L$16"}</definedName>
    <definedName name="__________________LAN3" localSheetId="8" hidden="1">{"'Sheet1'!$L$16"}</definedName>
    <definedName name="__________________LAN3" hidden="1">{"'Sheet1'!$L$16"}</definedName>
    <definedName name="__________________m4" localSheetId="1" hidden="1">{"'Sheet1'!$L$16"}</definedName>
    <definedName name="__________________m4" localSheetId="2" hidden="1">{"'Sheet1'!$L$16"}</definedName>
    <definedName name="__________________m4" localSheetId="8" hidden="1">{"'Sheet1'!$L$16"}</definedName>
    <definedName name="__________________m4" hidden="1">{"'Sheet1'!$L$16"}</definedName>
    <definedName name="__________________NSO2" localSheetId="1" hidden="1">{"'Sheet1'!$L$16"}</definedName>
    <definedName name="__________________NSO2" localSheetId="2" hidden="1">{"'Sheet1'!$L$16"}</definedName>
    <definedName name="__________________NSO2" localSheetId="8" hidden="1">{"'Sheet1'!$L$16"}</definedName>
    <definedName name="__________________NSO2" hidden="1">{"'Sheet1'!$L$16"}</definedName>
    <definedName name="__________________PA3" localSheetId="1" hidden="1">{"'Sheet1'!$L$16"}</definedName>
    <definedName name="__________________PA3" localSheetId="2" hidden="1">{"'Sheet1'!$L$16"}</definedName>
    <definedName name="__________________PA3" localSheetId="8" hidden="1">{"'Sheet1'!$L$16"}</definedName>
    <definedName name="__________________PA3" hidden="1">{"'Sheet1'!$L$16"}</definedName>
    <definedName name="__________________SCL4" localSheetId="1" hidden="1">{"'Sheet1'!$L$16"}</definedName>
    <definedName name="__________________SCL4" localSheetId="2" hidden="1">{"'Sheet1'!$L$16"}</definedName>
    <definedName name="__________________SCL4" localSheetId="8" hidden="1">{"'Sheet1'!$L$16"}</definedName>
    <definedName name="__________________SCL4" hidden="1">{"'Sheet1'!$L$16"}</definedName>
    <definedName name="__________________T10" localSheetId="1" hidden="1">{"'Sheet1'!$L$16"}</definedName>
    <definedName name="__________________T10" localSheetId="2" hidden="1">{"'Sheet1'!$L$16"}</definedName>
    <definedName name="__________________T10" localSheetId="8" hidden="1">{"'Sheet1'!$L$16"}</definedName>
    <definedName name="__________________T10" hidden="1">{"'Sheet1'!$L$16"}</definedName>
    <definedName name="__________________TM2" localSheetId="1" hidden="1">{"'Sheet1'!$L$16"}</definedName>
    <definedName name="__________________TM2" localSheetId="2" hidden="1">{"'Sheet1'!$L$16"}</definedName>
    <definedName name="__________________TM2" localSheetId="8" hidden="1">{"'Sheet1'!$L$16"}</definedName>
    <definedName name="__________________TM2" hidden="1">{"'Sheet1'!$L$16"}</definedName>
    <definedName name="__________________tt3" localSheetId="1" hidden="1">{"'Sheet1'!$L$16"}</definedName>
    <definedName name="__________________tt3" localSheetId="2" hidden="1">{"'Sheet1'!$L$16"}</definedName>
    <definedName name="__________________tt3" localSheetId="8" hidden="1">{"'Sheet1'!$L$16"}</definedName>
    <definedName name="__________________tt3" hidden="1">{"'Sheet1'!$L$16"}</definedName>
    <definedName name="__________________VT3" localSheetId="1" hidden="1">{"'Sheet1'!$L$16"}</definedName>
    <definedName name="__________________VT3" localSheetId="2" hidden="1">{"'Sheet1'!$L$16"}</definedName>
    <definedName name="__________________VT3" localSheetId="8" hidden="1">{"'Sheet1'!$L$16"}</definedName>
    <definedName name="__________________VT3" hidden="1">{"'Sheet1'!$L$16"}</definedName>
    <definedName name="_________________a1" localSheetId="1" hidden="1">{"'Sheet1'!$L$16"}</definedName>
    <definedName name="_________________a1" localSheetId="2" hidden="1">{"'Sheet1'!$L$16"}</definedName>
    <definedName name="_________________a1" localSheetId="8" hidden="1">{"'Sheet1'!$L$16"}</definedName>
    <definedName name="_________________a1" hidden="1">{"'Sheet1'!$L$16"}</definedName>
    <definedName name="_________________a1_1" localSheetId="1" hidden="1">{"'Sheet1'!$L$16"}</definedName>
    <definedName name="_________________a1_1" localSheetId="2" hidden="1">{"'Sheet1'!$L$16"}</definedName>
    <definedName name="_________________a1_1" localSheetId="8" hidden="1">{"'Sheet1'!$L$16"}</definedName>
    <definedName name="_________________a1_1" hidden="1">{"'Sheet1'!$L$16"}</definedName>
    <definedName name="_________________BG12" localSheetId="1" hidden="1">{"'Sheet1'!$L$16"}</definedName>
    <definedName name="_________________BG12" localSheetId="2" hidden="1">{"'Sheet1'!$L$16"}</definedName>
    <definedName name="_________________BG12" localSheetId="8" hidden="1">{"'Sheet1'!$L$16"}</definedName>
    <definedName name="_________________BG12" hidden="1">{"'Sheet1'!$L$16"}</definedName>
    <definedName name="_________________CN1" localSheetId="1" hidden="1">{"'Sheet1'!$L$16"}</definedName>
    <definedName name="_________________CN1" localSheetId="2" hidden="1">{"'Sheet1'!$L$16"}</definedName>
    <definedName name="_________________CN1" localSheetId="8" hidden="1">{"'Sheet1'!$L$16"}</definedName>
    <definedName name="_________________CN1" hidden="1">{"'Sheet1'!$L$16"}</definedName>
    <definedName name="_________________DT10" localSheetId="1" hidden="1">{"'Sheet1'!$L$16"}</definedName>
    <definedName name="_________________DT10" localSheetId="2" hidden="1">{"'Sheet1'!$L$16"}</definedName>
    <definedName name="_________________DT10" localSheetId="8" hidden="1">{"'Sheet1'!$L$16"}</definedName>
    <definedName name="_________________DT10" hidden="1">{"'Sheet1'!$L$16"}</definedName>
    <definedName name="_________________Goi8" localSheetId="1" hidden="1">{"'Sheet1'!$L$16"}</definedName>
    <definedName name="_________________Goi8" localSheetId="2" hidden="1">{"'Sheet1'!$L$16"}</definedName>
    <definedName name="_________________Goi8" localSheetId="8" hidden="1">{"'Sheet1'!$L$16"}</definedName>
    <definedName name="_________________Goi8" hidden="1">{"'Sheet1'!$L$16"}</definedName>
    <definedName name="_________________Goi8_1" localSheetId="1" hidden="1">{"'Sheet1'!$L$16"}</definedName>
    <definedName name="_________________Goi8_1" localSheetId="2" hidden="1">{"'Sheet1'!$L$16"}</definedName>
    <definedName name="_________________Goi8_1" localSheetId="8" hidden="1">{"'Sheet1'!$L$16"}</definedName>
    <definedName name="_________________Goi8_1" hidden="1">{"'Sheet1'!$L$16"}</definedName>
    <definedName name="_________________h1" localSheetId="1" hidden="1">{"'Sheet1'!$L$16"}</definedName>
    <definedName name="_________________h1" localSheetId="2" hidden="1">{"'Sheet1'!$L$16"}</definedName>
    <definedName name="_________________h1" localSheetId="8" hidden="1">{"'Sheet1'!$L$16"}</definedName>
    <definedName name="_________________h1" hidden="1">{"'Sheet1'!$L$16"}</definedName>
    <definedName name="_________________hu1" localSheetId="1" hidden="1">{"'Sheet1'!$L$16"}</definedName>
    <definedName name="_________________hu1" localSheetId="2" hidden="1">{"'Sheet1'!$L$16"}</definedName>
    <definedName name="_________________hu1" localSheetId="8" hidden="1">{"'Sheet1'!$L$16"}</definedName>
    <definedName name="_________________hu1" hidden="1">{"'Sheet1'!$L$16"}</definedName>
    <definedName name="_________________hu2" localSheetId="1" hidden="1">{"'Sheet1'!$L$16"}</definedName>
    <definedName name="_________________hu2" localSheetId="2" hidden="1">{"'Sheet1'!$L$16"}</definedName>
    <definedName name="_________________hu2" localSheetId="8" hidden="1">{"'Sheet1'!$L$16"}</definedName>
    <definedName name="_________________hu2" hidden="1">{"'Sheet1'!$L$16"}</definedName>
    <definedName name="_________________hu5" localSheetId="1" hidden="1">{"'Sheet1'!$L$16"}</definedName>
    <definedName name="_________________hu5" localSheetId="2" hidden="1">{"'Sheet1'!$L$16"}</definedName>
    <definedName name="_________________hu5" localSheetId="8" hidden="1">{"'Sheet1'!$L$16"}</definedName>
    <definedName name="_________________hu5" hidden="1">{"'Sheet1'!$L$16"}</definedName>
    <definedName name="_________________hu6" localSheetId="1" hidden="1">{"'Sheet1'!$L$16"}</definedName>
    <definedName name="_________________hu6" localSheetId="2" hidden="1">{"'Sheet1'!$L$16"}</definedName>
    <definedName name="_________________hu6" localSheetId="8" hidden="1">{"'Sheet1'!$L$16"}</definedName>
    <definedName name="_________________hu6" hidden="1">{"'Sheet1'!$L$16"}</definedName>
    <definedName name="_________________hu7" localSheetId="1" hidden="1">{"'Sheet1'!$L$16"}</definedName>
    <definedName name="_________________hu7" localSheetId="2" hidden="1">{"'Sheet1'!$L$16"}</definedName>
    <definedName name="_________________hu7" localSheetId="8" hidden="1">{"'Sheet1'!$L$16"}</definedName>
    <definedName name="_________________hu7" hidden="1">{"'Sheet1'!$L$16"}</definedName>
    <definedName name="_________________Lan1" localSheetId="1" hidden="1">{"'Sheet1'!$L$16"}</definedName>
    <definedName name="_________________Lan1" localSheetId="2" hidden="1">{"'Sheet1'!$L$16"}</definedName>
    <definedName name="_________________Lan1" localSheetId="8" hidden="1">{"'Sheet1'!$L$16"}</definedName>
    <definedName name="_________________Lan1" hidden="1">{"'Sheet1'!$L$16"}</definedName>
    <definedName name="_________________LAN3" localSheetId="1" hidden="1">{"'Sheet1'!$L$16"}</definedName>
    <definedName name="_________________LAN3" localSheetId="2" hidden="1">{"'Sheet1'!$L$16"}</definedName>
    <definedName name="_________________LAN3" localSheetId="8" hidden="1">{"'Sheet1'!$L$16"}</definedName>
    <definedName name="_________________LAN3" hidden="1">{"'Sheet1'!$L$16"}</definedName>
    <definedName name="_________________m4" localSheetId="1" hidden="1">{"'Sheet1'!$L$16"}</definedName>
    <definedName name="_________________m4" localSheetId="2" hidden="1">{"'Sheet1'!$L$16"}</definedName>
    <definedName name="_________________m4" localSheetId="8" hidden="1">{"'Sheet1'!$L$16"}</definedName>
    <definedName name="_________________m4" hidden="1">{"'Sheet1'!$L$16"}</definedName>
    <definedName name="_________________NSO2" localSheetId="1" hidden="1">{"'Sheet1'!$L$16"}</definedName>
    <definedName name="_________________NSO2" localSheetId="2" hidden="1">{"'Sheet1'!$L$16"}</definedName>
    <definedName name="_________________NSO2" localSheetId="8" hidden="1">{"'Sheet1'!$L$16"}</definedName>
    <definedName name="_________________NSO2" hidden="1">{"'Sheet1'!$L$16"}</definedName>
    <definedName name="_________________PA3" localSheetId="1" hidden="1">{"'Sheet1'!$L$16"}</definedName>
    <definedName name="_________________PA3" localSheetId="2" hidden="1">{"'Sheet1'!$L$16"}</definedName>
    <definedName name="_________________PA3" localSheetId="8" hidden="1">{"'Sheet1'!$L$16"}</definedName>
    <definedName name="_________________PA3" hidden="1">{"'Sheet1'!$L$16"}</definedName>
    <definedName name="_________________SCL4" localSheetId="1" hidden="1">{"'Sheet1'!$L$16"}</definedName>
    <definedName name="_________________SCL4" localSheetId="2" hidden="1">{"'Sheet1'!$L$16"}</definedName>
    <definedName name="_________________SCL4" localSheetId="8" hidden="1">{"'Sheet1'!$L$16"}</definedName>
    <definedName name="_________________SCL4" hidden="1">{"'Sheet1'!$L$16"}</definedName>
    <definedName name="_________________SCL4_1" localSheetId="1" hidden="1">{"'Sheet1'!$L$16"}</definedName>
    <definedName name="_________________SCL4_1" localSheetId="2" hidden="1">{"'Sheet1'!$L$16"}</definedName>
    <definedName name="_________________SCL4_1" localSheetId="8" hidden="1">{"'Sheet1'!$L$16"}</definedName>
    <definedName name="_________________SCL4_1" hidden="1">{"'Sheet1'!$L$16"}</definedName>
    <definedName name="_________________T10" localSheetId="1" hidden="1">{"'Sheet1'!$L$16"}</definedName>
    <definedName name="_________________T10" localSheetId="2" hidden="1">{"'Sheet1'!$L$16"}</definedName>
    <definedName name="_________________T10" localSheetId="8" hidden="1">{"'Sheet1'!$L$16"}</definedName>
    <definedName name="_________________T10" hidden="1">{"'Sheet1'!$L$16"}</definedName>
    <definedName name="_________________TM2" localSheetId="1" hidden="1">{"'Sheet1'!$L$16"}</definedName>
    <definedName name="_________________TM2" localSheetId="2" hidden="1">{"'Sheet1'!$L$16"}</definedName>
    <definedName name="_________________TM2" localSheetId="8" hidden="1">{"'Sheet1'!$L$16"}</definedName>
    <definedName name="_________________TM2" hidden="1">{"'Sheet1'!$L$16"}</definedName>
    <definedName name="_________________TH1" localSheetId="1" hidden="1">{"'Sheet1'!$L$16"}</definedName>
    <definedName name="_________________TH1" localSheetId="2" hidden="1">{"'Sheet1'!$L$16"}</definedName>
    <definedName name="_________________TH1" localSheetId="8" hidden="1">{"'Sheet1'!$L$16"}</definedName>
    <definedName name="_________________TH1" hidden="1">{"'Sheet1'!$L$16"}</definedName>
    <definedName name="_________________VT3" localSheetId="1" hidden="1">{"'Sheet1'!$L$16"}</definedName>
    <definedName name="_________________VT3" localSheetId="2" hidden="1">{"'Sheet1'!$L$16"}</definedName>
    <definedName name="_________________VT3" localSheetId="8" hidden="1">{"'Sheet1'!$L$16"}</definedName>
    <definedName name="_________________VT3" hidden="1">{"'Sheet1'!$L$16"}</definedName>
    <definedName name="________________a1" localSheetId="1" hidden="1">{"'Sheet1'!$L$16"}</definedName>
    <definedName name="________________a1" localSheetId="2" hidden="1">{"'Sheet1'!$L$16"}</definedName>
    <definedName name="________________a1" localSheetId="8" hidden="1">{"'Sheet1'!$L$16"}</definedName>
    <definedName name="________________a1" hidden="1">{"'Sheet1'!$L$16"}</definedName>
    <definedName name="________________BG12" localSheetId="1" hidden="1">{"'Sheet1'!$L$16"}</definedName>
    <definedName name="________________BG12" localSheetId="2" hidden="1">{"'Sheet1'!$L$16"}</definedName>
    <definedName name="________________BG12" localSheetId="8" hidden="1">{"'Sheet1'!$L$16"}</definedName>
    <definedName name="________________BG12" hidden="1">{"'Sheet1'!$L$16"}</definedName>
    <definedName name="________________CN1" localSheetId="1" hidden="1">{"'Sheet1'!$L$16"}</definedName>
    <definedName name="________________CN1" localSheetId="2" hidden="1">{"'Sheet1'!$L$16"}</definedName>
    <definedName name="________________CN1" localSheetId="8" hidden="1">{"'Sheet1'!$L$16"}</definedName>
    <definedName name="________________CN1" hidden="1">{"'Sheet1'!$L$16"}</definedName>
    <definedName name="________________DT10" localSheetId="1" hidden="1">{"'Sheet1'!$L$16"}</definedName>
    <definedName name="________________DT10" localSheetId="2" hidden="1">{"'Sheet1'!$L$16"}</definedName>
    <definedName name="________________DT10" localSheetId="8" hidden="1">{"'Sheet1'!$L$16"}</definedName>
    <definedName name="________________DT10" hidden="1">{"'Sheet1'!$L$16"}</definedName>
    <definedName name="________________Goi8" localSheetId="1" hidden="1">{"'Sheet1'!$L$16"}</definedName>
    <definedName name="________________Goi8" localSheetId="2" hidden="1">{"'Sheet1'!$L$16"}</definedName>
    <definedName name="________________Goi8" localSheetId="8" hidden="1">{"'Sheet1'!$L$16"}</definedName>
    <definedName name="________________Goi8" hidden="1">{"'Sheet1'!$L$16"}</definedName>
    <definedName name="________________h1" localSheetId="1" hidden="1">{"'Sheet1'!$L$16"}</definedName>
    <definedName name="________________h1" localSheetId="2" hidden="1">{"'Sheet1'!$L$16"}</definedName>
    <definedName name="________________h1" localSheetId="8" hidden="1">{"'Sheet1'!$L$16"}</definedName>
    <definedName name="________________h1" hidden="1">{"'Sheet1'!$L$16"}</definedName>
    <definedName name="________________hu1" localSheetId="1" hidden="1">{"'Sheet1'!$L$16"}</definedName>
    <definedName name="________________hu1" localSheetId="2" hidden="1">{"'Sheet1'!$L$16"}</definedName>
    <definedName name="________________hu1" localSheetId="8" hidden="1">{"'Sheet1'!$L$16"}</definedName>
    <definedName name="________________hu1" hidden="1">{"'Sheet1'!$L$16"}</definedName>
    <definedName name="________________hu2" localSheetId="1" hidden="1">{"'Sheet1'!$L$16"}</definedName>
    <definedName name="________________hu2" localSheetId="2" hidden="1">{"'Sheet1'!$L$16"}</definedName>
    <definedName name="________________hu2" localSheetId="8" hidden="1">{"'Sheet1'!$L$16"}</definedName>
    <definedName name="________________hu2" hidden="1">{"'Sheet1'!$L$16"}</definedName>
    <definedName name="________________hu5" localSheetId="1" hidden="1">{"'Sheet1'!$L$16"}</definedName>
    <definedName name="________________hu5" localSheetId="2" hidden="1">{"'Sheet1'!$L$16"}</definedName>
    <definedName name="________________hu5" localSheetId="8" hidden="1">{"'Sheet1'!$L$16"}</definedName>
    <definedName name="________________hu5" hidden="1">{"'Sheet1'!$L$16"}</definedName>
    <definedName name="________________hu6" localSheetId="1" hidden="1">{"'Sheet1'!$L$16"}</definedName>
    <definedName name="________________hu6" localSheetId="2" hidden="1">{"'Sheet1'!$L$16"}</definedName>
    <definedName name="________________hu6" localSheetId="8" hidden="1">{"'Sheet1'!$L$16"}</definedName>
    <definedName name="________________hu6" hidden="1">{"'Sheet1'!$L$16"}</definedName>
    <definedName name="________________hu7" localSheetId="1" hidden="1">{"'Sheet1'!$L$16"}</definedName>
    <definedName name="________________hu7" localSheetId="2" hidden="1">{"'Sheet1'!$L$16"}</definedName>
    <definedName name="________________hu7" localSheetId="8" hidden="1">{"'Sheet1'!$L$16"}</definedName>
    <definedName name="________________hu7" hidden="1">{"'Sheet1'!$L$16"}</definedName>
    <definedName name="________________Lan1" localSheetId="1" hidden="1">{"'Sheet1'!$L$16"}</definedName>
    <definedName name="________________Lan1" localSheetId="2" hidden="1">{"'Sheet1'!$L$16"}</definedName>
    <definedName name="________________Lan1" localSheetId="8" hidden="1">{"'Sheet1'!$L$16"}</definedName>
    <definedName name="________________Lan1" hidden="1">{"'Sheet1'!$L$16"}</definedName>
    <definedName name="________________LAN3" localSheetId="1" hidden="1">{"'Sheet1'!$L$16"}</definedName>
    <definedName name="________________LAN3" localSheetId="2" hidden="1">{"'Sheet1'!$L$16"}</definedName>
    <definedName name="________________LAN3" localSheetId="8" hidden="1">{"'Sheet1'!$L$16"}</definedName>
    <definedName name="________________LAN3" hidden="1">{"'Sheet1'!$L$16"}</definedName>
    <definedName name="________________m4" localSheetId="1" hidden="1">{"'Sheet1'!$L$16"}</definedName>
    <definedName name="________________m4" localSheetId="2" hidden="1">{"'Sheet1'!$L$16"}</definedName>
    <definedName name="________________m4" localSheetId="8" hidden="1">{"'Sheet1'!$L$16"}</definedName>
    <definedName name="________________m4" hidden="1">{"'Sheet1'!$L$16"}</definedName>
    <definedName name="________________NSO2" localSheetId="1" hidden="1">{"'Sheet1'!$L$16"}</definedName>
    <definedName name="________________NSO2" localSheetId="2" hidden="1">{"'Sheet1'!$L$16"}</definedName>
    <definedName name="________________NSO2" localSheetId="8" hidden="1">{"'Sheet1'!$L$16"}</definedName>
    <definedName name="________________NSO2" hidden="1">{"'Sheet1'!$L$16"}</definedName>
    <definedName name="________________P3" localSheetId="1" hidden="1">{#N/A,#N/A,FALSE,"特殊室（ＢＱ表）"}</definedName>
    <definedName name="________________P3" localSheetId="2" hidden="1">{#N/A,#N/A,FALSE,"特殊室（ＢＱ表）"}</definedName>
    <definedName name="________________P3" localSheetId="8" hidden="1">{#N/A,#N/A,FALSE,"特殊室（ＢＱ表）"}</definedName>
    <definedName name="________________P3" hidden="1">{#N/A,#N/A,FALSE,"特殊室（ＢＱ表）"}</definedName>
    <definedName name="________________PA3" localSheetId="1" hidden="1">{"'Sheet1'!$L$16"}</definedName>
    <definedName name="________________PA3" localSheetId="2" hidden="1">{"'Sheet1'!$L$16"}</definedName>
    <definedName name="________________PA3" localSheetId="8" hidden="1">{"'Sheet1'!$L$16"}</definedName>
    <definedName name="________________PA3" hidden="1">{"'Sheet1'!$L$16"}</definedName>
    <definedName name="________________PPP3" localSheetId="1" hidden="1">{#N/A,#N/A,FALSE,"特殊室（ＢＱ表）"}</definedName>
    <definedName name="________________PPP3" localSheetId="2" hidden="1">{#N/A,#N/A,FALSE,"特殊室（ＢＱ表）"}</definedName>
    <definedName name="________________PPP3" localSheetId="8" hidden="1">{#N/A,#N/A,FALSE,"特殊室（ＢＱ表）"}</definedName>
    <definedName name="________________PPP3" hidden="1">{#N/A,#N/A,FALSE,"特殊室（ＢＱ表）"}</definedName>
    <definedName name="________________PPP33" localSheetId="1" hidden="1">{#N/A,#N/A,FALSE,"特殊室（ＢＱ表）"}</definedName>
    <definedName name="________________PPP33" localSheetId="2" hidden="1">{#N/A,#N/A,FALSE,"特殊室（ＢＱ表）"}</definedName>
    <definedName name="________________PPP33" localSheetId="8" hidden="1">{#N/A,#N/A,FALSE,"特殊室（ＢＱ表）"}</definedName>
    <definedName name="________________PPP33" hidden="1">{#N/A,#N/A,FALSE,"特殊室（ＢＱ表）"}</definedName>
    <definedName name="________________ppp34" localSheetId="1" hidden="1">{#N/A,#N/A,FALSE,"特殊室（ＢＱ表）"}</definedName>
    <definedName name="________________ppp34" localSheetId="2" hidden="1">{#N/A,#N/A,FALSE,"特殊室（ＢＱ表）"}</definedName>
    <definedName name="________________ppp34" localSheetId="8" hidden="1">{#N/A,#N/A,FALSE,"特殊室（ＢＱ表）"}</definedName>
    <definedName name="________________ppp34" hidden="1">{#N/A,#N/A,FALSE,"特殊室（ＢＱ表）"}</definedName>
    <definedName name="________________ppp3444" localSheetId="1" hidden="1">{#N/A,#N/A,FALSE,"特殊室（ＢＱ表）"}</definedName>
    <definedName name="________________ppp3444" localSheetId="2" hidden="1">{#N/A,#N/A,FALSE,"特殊室（ＢＱ表）"}</definedName>
    <definedName name="________________ppp3444" localSheetId="8" hidden="1">{#N/A,#N/A,FALSE,"特殊室（ＢＱ表）"}</definedName>
    <definedName name="________________ppp3444" hidden="1">{#N/A,#N/A,FALSE,"特殊室（ＢＱ表）"}</definedName>
    <definedName name="________________SCL4" localSheetId="1" hidden="1">{"'Sheet1'!$L$16"}</definedName>
    <definedName name="________________SCL4" localSheetId="2" hidden="1">{"'Sheet1'!$L$16"}</definedName>
    <definedName name="________________SCL4" localSheetId="8" hidden="1">{"'Sheet1'!$L$16"}</definedName>
    <definedName name="________________SCL4" hidden="1">{"'Sheet1'!$L$16"}</definedName>
    <definedName name="________________T10" localSheetId="1" hidden="1">{"'Sheet1'!$L$16"}</definedName>
    <definedName name="________________T10" localSheetId="2" hidden="1">{"'Sheet1'!$L$16"}</definedName>
    <definedName name="________________T10" localSheetId="8" hidden="1">{"'Sheet1'!$L$16"}</definedName>
    <definedName name="________________T10" hidden="1">{"'Sheet1'!$L$16"}</definedName>
    <definedName name="________________TM2" localSheetId="1" hidden="1">{"'Sheet1'!$L$16"}</definedName>
    <definedName name="________________TM2" localSheetId="2" hidden="1">{"'Sheet1'!$L$16"}</definedName>
    <definedName name="________________TM2" localSheetId="8" hidden="1">{"'Sheet1'!$L$16"}</definedName>
    <definedName name="________________TM2" hidden="1">{"'Sheet1'!$L$16"}</definedName>
    <definedName name="________________tt3" localSheetId="1" hidden="1">{"'Sheet1'!$L$16"}</definedName>
    <definedName name="________________tt3" localSheetId="2" hidden="1">{"'Sheet1'!$L$16"}</definedName>
    <definedName name="________________tt3" localSheetId="8" hidden="1">{"'Sheet1'!$L$16"}</definedName>
    <definedName name="________________tt3" hidden="1">{"'Sheet1'!$L$16"}</definedName>
    <definedName name="________________TH1" localSheetId="1" hidden="1">{"'Sheet1'!$L$16"}</definedName>
    <definedName name="________________TH1" localSheetId="2" hidden="1">{"'Sheet1'!$L$16"}</definedName>
    <definedName name="________________TH1" localSheetId="8" hidden="1">{"'Sheet1'!$L$16"}</definedName>
    <definedName name="________________TH1" hidden="1">{"'Sheet1'!$L$16"}</definedName>
    <definedName name="________________THT11" localSheetId="1" hidden="1">{"'Sheet1'!$L$16"}</definedName>
    <definedName name="________________THT11" localSheetId="2" hidden="1">{"'Sheet1'!$L$16"}</definedName>
    <definedName name="________________THT11" localSheetId="8" hidden="1">{"'Sheet1'!$L$16"}</definedName>
    <definedName name="________________THT11" hidden="1">{"'Sheet1'!$L$16"}</definedName>
    <definedName name="________________VT3" localSheetId="1" hidden="1">{"'Sheet1'!$L$16"}</definedName>
    <definedName name="________________VT3" localSheetId="2" hidden="1">{"'Sheet1'!$L$16"}</definedName>
    <definedName name="________________VT3" localSheetId="8" hidden="1">{"'Sheet1'!$L$16"}</definedName>
    <definedName name="________________VT3" hidden="1">{"'Sheet1'!$L$16"}</definedName>
    <definedName name="_______________a1" localSheetId="1" hidden="1">{"'Sheet1'!$L$16"}</definedName>
    <definedName name="_______________a1" localSheetId="2" hidden="1">{"'Sheet1'!$L$16"}</definedName>
    <definedName name="_______________a1" localSheetId="8" hidden="1">{"'Sheet1'!$L$16"}</definedName>
    <definedName name="_______________a1" hidden="1">{"'Sheet1'!$L$16"}</definedName>
    <definedName name="_______________a129" localSheetId="1" hidden="1">{"Offgrid",#N/A,FALSE,"OFFGRID";"Region",#N/A,FALSE,"REGION";"Offgrid -2",#N/A,FALSE,"OFFGRID";"WTP",#N/A,FALSE,"WTP";"WTP -2",#N/A,FALSE,"WTP";"Project",#N/A,FALSE,"PROJECT";"Summary -2",#N/A,FALSE,"SUMMARY"}</definedName>
    <definedName name="_______________a129" localSheetId="2" hidden="1">{"Offgrid",#N/A,FALSE,"OFFGRID";"Region",#N/A,FALSE,"REGION";"Offgrid -2",#N/A,FALSE,"OFFGRID";"WTP",#N/A,FALSE,"WTP";"WTP -2",#N/A,FALSE,"WTP";"Project",#N/A,FALSE,"PROJECT";"Summary -2",#N/A,FALSE,"SUMMARY"}</definedName>
    <definedName name="_______________a129" localSheetId="8"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1"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a130" localSheetId="8"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localSheetId="1" hidden="1">{"'Sheet1'!$L$16"}</definedName>
    <definedName name="_______________BG12" localSheetId="2" hidden="1">{"'Sheet1'!$L$16"}</definedName>
    <definedName name="_______________BG12" localSheetId="8" hidden="1">{"'Sheet1'!$L$16"}</definedName>
    <definedName name="_______________BG12" hidden="1">{"'Sheet1'!$L$16"}</definedName>
    <definedName name="_______________CN1" localSheetId="1" hidden="1">{"'Sheet1'!$L$16"}</definedName>
    <definedName name="_______________CN1" localSheetId="2" hidden="1">{"'Sheet1'!$L$16"}</definedName>
    <definedName name="_______________CN1" localSheetId="8" hidden="1">{"'Sheet1'!$L$16"}</definedName>
    <definedName name="_______________CN1" hidden="1">{"'Sheet1'!$L$16"}</definedName>
    <definedName name="_______________DT10" localSheetId="1" hidden="1">{"'Sheet1'!$L$16"}</definedName>
    <definedName name="_______________DT10" localSheetId="2" hidden="1">{"'Sheet1'!$L$16"}</definedName>
    <definedName name="_______________DT10" localSheetId="8" hidden="1">{"'Sheet1'!$L$16"}</definedName>
    <definedName name="_______________DT10" hidden="1">{"'Sheet1'!$L$16"}</definedName>
    <definedName name="_______________Goi8" localSheetId="1" hidden="1">{"'Sheet1'!$L$16"}</definedName>
    <definedName name="_______________Goi8" localSheetId="2" hidden="1">{"'Sheet1'!$L$16"}</definedName>
    <definedName name="_______________Goi8" localSheetId="8" hidden="1">{"'Sheet1'!$L$16"}</definedName>
    <definedName name="_______________Goi8" hidden="1">{"'Sheet1'!$L$16"}</definedName>
    <definedName name="_______________h1" localSheetId="1" hidden="1">{"'Sheet1'!$L$16"}</definedName>
    <definedName name="_______________h1" localSheetId="2" hidden="1">{"'Sheet1'!$L$16"}</definedName>
    <definedName name="_______________h1" localSheetId="8" hidden="1">{"'Sheet1'!$L$16"}</definedName>
    <definedName name="_______________h1" hidden="1">{"'Sheet1'!$L$16"}</definedName>
    <definedName name="_______________hu1" localSheetId="1" hidden="1">{"'Sheet1'!$L$16"}</definedName>
    <definedName name="_______________hu1" localSheetId="2" hidden="1">{"'Sheet1'!$L$16"}</definedName>
    <definedName name="_______________hu1" localSheetId="8" hidden="1">{"'Sheet1'!$L$16"}</definedName>
    <definedName name="_______________hu1" hidden="1">{"'Sheet1'!$L$16"}</definedName>
    <definedName name="_______________hu2" localSheetId="1" hidden="1">{"'Sheet1'!$L$16"}</definedName>
    <definedName name="_______________hu2" localSheetId="2" hidden="1">{"'Sheet1'!$L$16"}</definedName>
    <definedName name="_______________hu2" localSheetId="8" hidden="1">{"'Sheet1'!$L$16"}</definedName>
    <definedName name="_______________hu2" hidden="1">{"'Sheet1'!$L$16"}</definedName>
    <definedName name="_______________hu5" localSheetId="1" hidden="1">{"'Sheet1'!$L$16"}</definedName>
    <definedName name="_______________hu5" localSheetId="2" hidden="1">{"'Sheet1'!$L$16"}</definedName>
    <definedName name="_______________hu5" localSheetId="8" hidden="1">{"'Sheet1'!$L$16"}</definedName>
    <definedName name="_______________hu5" hidden="1">{"'Sheet1'!$L$16"}</definedName>
    <definedName name="_______________hu6" localSheetId="1" hidden="1">{"'Sheet1'!$L$16"}</definedName>
    <definedName name="_______________hu6" localSheetId="2" hidden="1">{"'Sheet1'!$L$16"}</definedName>
    <definedName name="_______________hu6" localSheetId="8" hidden="1">{"'Sheet1'!$L$16"}</definedName>
    <definedName name="_______________hu6" hidden="1">{"'Sheet1'!$L$16"}</definedName>
    <definedName name="_______________hu7" localSheetId="1" hidden="1">{"'Sheet1'!$L$16"}</definedName>
    <definedName name="_______________hu7" localSheetId="2" hidden="1">{"'Sheet1'!$L$16"}</definedName>
    <definedName name="_______________hu7" localSheetId="8" hidden="1">{"'Sheet1'!$L$16"}</definedName>
    <definedName name="_______________hu7" hidden="1">{"'Sheet1'!$L$16"}</definedName>
    <definedName name="_______________Lan1" localSheetId="1" hidden="1">{"'Sheet1'!$L$16"}</definedName>
    <definedName name="_______________Lan1" localSheetId="2" hidden="1">{"'Sheet1'!$L$16"}</definedName>
    <definedName name="_______________Lan1" localSheetId="8" hidden="1">{"'Sheet1'!$L$16"}</definedName>
    <definedName name="_______________Lan1" hidden="1">{"'Sheet1'!$L$16"}</definedName>
    <definedName name="_______________LAN3" localSheetId="1" hidden="1">{"'Sheet1'!$L$16"}</definedName>
    <definedName name="_______________LAN3" localSheetId="2" hidden="1">{"'Sheet1'!$L$16"}</definedName>
    <definedName name="_______________LAN3" localSheetId="8" hidden="1">{"'Sheet1'!$L$16"}</definedName>
    <definedName name="_______________LAN3" hidden="1">{"'Sheet1'!$L$16"}</definedName>
    <definedName name="_______________m4" localSheetId="1" hidden="1">{"'Sheet1'!$L$16"}</definedName>
    <definedName name="_______________m4" localSheetId="2" hidden="1">{"'Sheet1'!$L$16"}</definedName>
    <definedName name="_______________m4" localSheetId="8" hidden="1">{"'Sheet1'!$L$16"}</definedName>
    <definedName name="_______________m4" hidden="1">{"'Sheet1'!$L$16"}</definedName>
    <definedName name="_______________NSO2" localSheetId="1" hidden="1">{"'Sheet1'!$L$16"}</definedName>
    <definedName name="_______________NSO2" localSheetId="2" hidden="1">{"'Sheet1'!$L$16"}</definedName>
    <definedName name="_______________NSO2" localSheetId="8" hidden="1">{"'Sheet1'!$L$16"}</definedName>
    <definedName name="_______________NSO2" hidden="1">{"'Sheet1'!$L$16"}</definedName>
    <definedName name="_______________ngk1109" localSheetId="1" hidden="1">{#N/A,#N/A,FALSE,"估價單  (3)"}</definedName>
    <definedName name="_______________ngk1109" localSheetId="2" hidden="1">{#N/A,#N/A,FALSE,"估價單  (3)"}</definedName>
    <definedName name="_______________ngk1109" localSheetId="8" hidden="1">{#N/A,#N/A,FALSE,"估價單  (3)"}</definedName>
    <definedName name="_______________ngk1109" hidden="1">{#N/A,#N/A,FALSE,"估價單  (3)"}</definedName>
    <definedName name="_______________P3" localSheetId="1" hidden="1">{#N/A,#N/A,FALSE,"特殊室（ＢＱ表）"}</definedName>
    <definedName name="_______________P3" localSheetId="2" hidden="1">{#N/A,#N/A,FALSE,"特殊室（ＢＱ表）"}</definedName>
    <definedName name="_______________P3" localSheetId="8" hidden="1">{#N/A,#N/A,FALSE,"特殊室（ＢＱ表）"}</definedName>
    <definedName name="_______________P3" hidden="1">{#N/A,#N/A,FALSE,"特殊室（ＢＱ表）"}</definedName>
    <definedName name="_______________PA3" localSheetId="1" hidden="1">{"'Sheet1'!$L$16"}</definedName>
    <definedName name="_______________PA3" localSheetId="2" hidden="1">{"'Sheet1'!$L$16"}</definedName>
    <definedName name="_______________PA3" localSheetId="8" hidden="1">{"'Sheet1'!$L$16"}</definedName>
    <definedName name="_______________PA3" hidden="1">{"'Sheet1'!$L$16"}</definedName>
    <definedName name="_______________PPP3" localSheetId="1" hidden="1">{#N/A,#N/A,FALSE,"特殊室（ＢＱ表）"}</definedName>
    <definedName name="_______________PPP3" localSheetId="2" hidden="1">{#N/A,#N/A,FALSE,"特殊室（ＢＱ表）"}</definedName>
    <definedName name="_______________PPP3" localSheetId="8" hidden="1">{#N/A,#N/A,FALSE,"特殊室（ＢＱ表）"}</definedName>
    <definedName name="_______________PPP3" hidden="1">{#N/A,#N/A,FALSE,"特殊室（ＢＱ表）"}</definedName>
    <definedName name="_______________PPP33" localSheetId="1" hidden="1">{#N/A,#N/A,FALSE,"特殊室（ＢＱ表）"}</definedName>
    <definedName name="_______________PPP33" localSheetId="2" hidden="1">{#N/A,#N/A,FALSE,"特殊室（ＢＱ表）"}</definedName>
    <definedName name="_______________PPP33" localSheetId="8" hidden="1">{#N/A,#N/A,FALSE,"特殊室（ＢＱ表）"}</definedName>
    <definedName name="_______________PPP33" hidden="1">{#N/A,#N/A,FALSE,"特殊室（ＢＱ表）"}</definedName>
    <definedName name="_______________ppp34" localSheetId="1" hidden="1">{#N/A,#N/A,FALSE,"特殊室（ＢＱ表）"}</definedName>
    <definedName name="_______________ppp34" localSheetId="2" hidden="1">{#N/A,#N/A,FALSE,"特殊室（ＢＱ表）"}</definedName>
    <definedName name="_______________ppp34" localSheetId="8" hidden="1">{#N/A,#N/A,FALSE,"特殊室（ＢＱ表）"}</definedName>
    <definedName name="_______________ppp34" hidden="1">{#N/A,#N/A,FALSE,"特殊室（ＢＱ表）"}</definedName>
    <definedName name="_______________ppp3444" localSheetId="1" hidden="1">{#N/A,#N/A,FALSE,"特殊室（ＢＱ表）"}</definedName>
    <definedName name="_______________ppp3444" localSheetId="2" hidden="1">{#N/A,#N/A,FALSE,"特殊室（ＢＱ表）"}</definedName>
    <definedName name="_______________ppp3444" localSheetId="8" hidden="1">{#N/A,#N/A,FALSE,"特殊室（ＢＱ表）"}</definedName>
    <definedName name="_______________ppp3444" hidden="1">{#N/A,#N/A,FALSE,"特殊室（ＢＱ表）"}</definedName>
    <definedName name="_______________SCL4" localSheetId="1" hidden="1">{"'Sheet1'!$L$16"}</definedName>
    <definedName name="_______________SCL4" localSheetId="2" hidden="1">{"'Sheet1'!$L$16"}</definedName>
    <definedName name="_______________SCL4" localSheetId="8" hidden="1">{"'Sheet1'!$L$16"}</definedName>
    <definedName name="_______________SCL4" hidden="1">{"'Sheet1'!$L$16"}</definedName>
    <definedName name="_______________T10" localSheetId="1" hidden="1">{"'Sheet1'!$L$16"}</definedName>
    <definedName name="_______________T10" localSheetId="2" hidden="1">{"'Sheet1'!$L$16"}</definedName>
    <definedName name="_______________T10" localSheetId="8" hidden="1">{"'Sheet1'!$L$16"}</definedName>
    <definedName name="_______________T10" hidden="1">{"'Sheet1'!$L$16"}</definedName>
    <definedName name="_______________TM2" localSheetId="1" hidden="1">{"'Sheet1'!$L$16"}</definedName>
    <definedName name="_______________TM2" localSheetId="2" hidden="1">{"'Sheet1'!$L$16"}</definedName>
    <definedName name="_______________TM2" localSheetId="8" hidden="1">{"'Sheet1'!$L$16"}</definedName>
    <definedName name="_______________TM2" hidden="1">{"'Sheet1'!$L$16"}</definedName>
    <definedName name="_______________tt3" localSheetId="1" hidden="1">{"'Sheet1'!$L$16"}</definedName>
    <definedName name="_______________tt3" localSheetId="2" hidden="1">{"'Sheet1'!$L$16"}</definedName>
    <definedName name="_______________tt3" localSheetId="8" hidden="1">{"'Sheet1'!$L$16"}</definedName>
    <definedName name="_______________tt3" hidden="1">{"'Sheet1'!$L$16"}</definedName>
    <definedName name="_______________TV2" localSheetId="1" hidden="1">{"'Sheet1'!$L$16"}</definedName>
    <definedName name="_______________TV2" localSheetId="2" hidden="1">{"'Sheet1'!$L$16"}</definedName>
    <definedName name="_______________TV2" localSheetId="8" hidden="1">{"'Sheet1'!$L$16"}</definedName>
    <definedName name="_______________TV2" hidden="1">{"'Sheet1'!$L$16"}</definedName>
    <definedName name="_______________TH1" localSheetId="1" hidden="1">{"'Sheet1'!$L$16"}</definedName>
    <definedName name="_______________TH1" localSheetId="2" hidden="1">{"'Sheet1'!$L$16"}</definedName>
    <definedName name="_______________TH1" localSheetId="8" hidden="1">{"'Sheet1'!$L$16"}</definedName>
    <definedName name="_______________TH1" hidden="1">{"'Sheet1'!$L$16"}</definedName>
    <definedName name="_______________THT11" localSheetId="1" hidden="1">{"'Sheet1'!$L$16"}</definedName>
    <definedName name="_______________THT11" localSheetId="2" hidden="1">{"'Sheet1'!$L$16"}</definedName>
    <definedName name="_______________THT11" localSheetId="8" hidden="1">{"'Sheet1'!$L$16"}</definedName>
    <definedName name="_______________THT11" hidden="1">{"'Sheet1'!$L$16"}</definedName>
    <definedName name="_______________VT3" localSheetId="1" hidden="1">{"'Sheet1'!$L$16"}</definedName>
    <definedName name="_______________VT3" localSheetId="2" hidden="1">{"'Sheet1'!$L$16"}</definedName>
    <definedName name="_______________VT3" localSheetId="8" hidden="1">{"'Sheet1'!$L$16"}</definedName>
    <definedName name="_______________VT3" hidden="1">{"'Sheet1'!$L$16"}</definedName>
    <definedName name="_______________xlfn.BAHTTEXT" hidden="1">#NAME?</definedName>
    <definedName name="______________a1" localSheetId="1" hidden="1">{"'Sheet1'!$L$16"}</definedName>
    <definedName name="______________a1" localSheetId="2" hidden="1">{"'Sheet1'!$L$16"}</definedName>
    <definedName name="______________a1" localSheetId="8" hidden="1">{"'Sheet1'!$L$16"}</definedName>
    <definedName name="______________a1" hidden="1">{"'Sheet1'!$L$16"}</definedName>
    <definedName name="______________a1_1" localSheetId="1" hidden="1">{"'Sheet1'!$L$16"}</definedName>
    <definedName name="______________a1_1" localSheetId="2" hidden="1">{"'Sheet1'!$L$16"}</definedName>
    <definedName name="______________a1_1" localSheetId="8" hidden="1">{"'Sheet1'!$L$16"}</definedName>
    <definedName name="______________a1_1" hidden="1">{"'Sheet1'!$L$16"}</definedName>
    <definedName name="______________a129" localSheetId="1" hidden="1">{"Offgrid",#N/A,FALSE,"OFFGRID";"Region",#N/A,FALSE,"REGION";"Offgrid -2",#N/A,FALSE,"OFFGRID";"WTP",#N/A,FALSE,"WTP";"WTP -2",#N/A,FALSE,"WTP";"Project",#N/A,FALSE,"PROJECT";"Summary -2",#N/A,FALSE,"SUMMARY"}</definedName>
    <definedName name="______________a129" localSheetId="2" hidden="1">{"Offgrid",#N/A,FALSE,"OFFGRID";"Region",#N/A,FALSE,"REGION";"Offgrid -2",#N/A,FALSE,"OFFGRID";"WTP",#N/A,FALSE,"WTP";"WTP -2",#N/A,FALSE,"WTP";"Project",#N/A,FALSE,"PROJECT";"Summary -2",#N/A,FALSE,"SUMMARY"}</definedName>
    <definedName name="______________a129" localSheetId="8"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1"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a130" localSheetId="8"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localSheetId="1" hidden="1">{"'Sheet1'!$L$16"}</definedName>
    <definedName name="______________BG12" localSheetId="2" hidden="1">{"'Sheet1'!$L$16"}</definedName>
    <definedName name="______________BG12" localSheetId="8" hidden="1">{"'Sheet1'!$L$16"}</definedName>
    <definedName name="______________BG12" hidden="1">{"'Sheet1'!$L$16"}</definedName>
    <definedName name="______________CN1" localSheetId="1" hidden="1">{"'Sheet1'!$L$16"}</definedName>
    <definedName name="______________CN1" localSheetId="2" hidden="1">{"'Sheet1'!$L$16"}</definedName>
    <definedName name="______________CN1" localSheetId="8" hidden="1">{"'Sheet1'!$L$16"}</definedName>
    <definedName name="______________CN1" hidden="1">{"'Sheet1'!$L$16"}</definedName>
    <definedName name="______________DT10" localSheetId="1" hidden="1">{"'Sheet1'!$L$16"}</definedName>
    <definedName name="______________DT10" localSheetId="2" hidden="1">{"'Sheet1'!$L$16"}</definedName>
    <definedName name="______________DT10" localSheetId="8" hidden="1">{"'Sheet1'!$L$16"}</definedName>
    <definedName name="______________DT10" hidden="1">{"'Sheet1'!$L$16"}</definedName>
    <definedName name="______________Goi8" localSheetId="1" hidden="1">{"'Sheet1'!$L$16"}</definedName>
    <definedName name="______________Goi8" localSheetId="2" hidden="1">{"'Sheet1'!$L$16"}</definedName>
    <definedName name="______________Goi8" localSheetId="8" hidden="1">{"'Sheet1'!$L$16"}</definedName>
    <definedName name="______________Goi8" hidden="1">{"'Sheet1'!$L$16"}</definedName>
    <definedName name="______________Goi8_1" localSheetId="1" hidden="1">{"'Sheet1'!$L$16"}</definedName>
    <definedName name="______________Goi8_1" localSheetId="2" hidden="1">{"'Sheet1'!$L$16"}</definedName>
    <definedName name="______________Goi8_1" localSheetId="8" hidden="1">{"'Sheet1'!$L$16"}</definedName>
    <definedName name="______________Goi8_1" hidden="1">{"'Sheet1'!$L$16"}</definedName>
    <definedName name="______________h1" localSheetId="1" hidden="1">{"'Sheet1'!$L$16"}</definedName>
    <definedName name="______________h1" localSheetId="2" hidden="1">{"'Sheet1'!$L$16"}</definedName>
    <definedName name="______________h1" localSheetId="8" hidden="1">{"'Sheet1'!$L$16"}</definedName>
    <definedName name="______________h1" hidden="1">{"'Sheet1'!$L$16"}</definedName>
    <definedName name="______________hu1" localSheetId="1" hidden="1">{"'Sheet1'!$L$16"}</definedName>
    <definedName name="______________hu1" localSheetId="2" hidden="1">{"'Sheet1'!$L$16"}</definedName>
    <definedName name="______________hu1" localSheetId="8" hidden="1">{"'Sheet1'!$L$16"}</definedName>
    <definedName name="______________hu1" hidden="1">{"'Sheet1'!$L$16"}</definedName>
    <definedName name="______________hu2" localSheetId="1" hidden="1">{"'Sheet1'!$L$16"}</definedName>
    <definedName name="______________hu2" localSheetId="2" hidden="1">{"'Sheet1'!$L$16"}</definedName>
    <definedName name="______________hu2" localSheetId="8" hidden="1">{"'Sheet1'!$L$16"}</definedName>
    <definedName name="______________hu2" hidden="1">{"'Sheet1'!$L$16"}</definedName>
    <definedName name="______________hu5" localSheetId="1" hidden="1">{"'Sheet1'!$L$16"}</definedName>
    <definedName name="______________hu5" localSheetId="2" hidden="1">{"'Sheet1'!$L$16"}</definedName>
    <definedName name="______________hu5" localSheetId="8" hidden="1">{"'Sheet1'!$L$16"}</definedName>
    <definedName name="______________hu5" hidden="1">{"'Sheet1'!$L$16"}</definedName>
    <definedName name="______________hu6" localSheetId="1" hidden="1">{"'Sheet1'!$L$16"}</definedName>
    <definedName name="______________hu6" localSheetId="2" hidden="1">{"'Sheet1'!$L$16"}</definedName>
    <definedName name="______________hu6" localSheetId="8" hidden="1">{"'Sheet1'!$L$16"}</definedName>
    <definedName name="______________hu6" hidden="1">{"'Sheet1'!$L$16"}</definedName>
    <definedName name="______________hu7" localSheetId="1" hidden="1">{"'Sheet1'!$L$16"}</definedName>
    <definedName name="______________hu7" localSheetId="2" hidden="1">{"'Sheet1'!$L$16"}</definedName>
    <definedName name="______________hu7" localSheetId="8" hidden="1">{"'Sheet1'!$L$16"}</definedName>
    <definedName name="______________hu7" hidden="1">{"'Sheet1'!$L$16"}</definedName>
    <definedName name="______________Lan1" localSheetId="1" hidden="1">{"'Sheet1'!$L$16"}</definedName>
    <definedName name="______________Lan1" localSheetId="2" hidden="1">{"'Sheet1'!$L$16"}</definedName>
    <definedName name="______________Lan1" localSheetId="8" hidden="1">{"'Sheet1'!$L$16"}</definedName>
    <definedName name="______________Lan1" hidden="1">{"'Sheet1'!$L$16"}</definedName>
    <definedName name="______________LAN3" localSheetId="1" hidden="1">{"'Sheet1'!$L$16"}</definedName>
    <definedName name="______________LAN3" localSheetId="2" hidden="1">{"'Sheet1'!$L$16"}</definedName>
    <definedName name="______________LAN3" localSheetId="8" hidden="1">{"'Sheet1'!$L$16"}</definedName>
    <definedName name="______________LAN3" hidden="1">{"'Sheet1'!$L$16"}</definedName>
    <definedName name="______________NSO2" localSheetId="1" hidden="1">{"'Sheet1'!$L$16"}</definedName>
    <definedName name="______________NSO2" localSheetId="2" hidden="1">{"'Sheet1'!$L$16"}</definedName>
    <definedName name="______________NSO2" localSheetId="8" hidden="1">{"'Sheet1'!$L$16"}</definedName>
    <definedName name="______________NSO2" hidden="1">{"'Sheet1'!$L$16"}</definedName>
    <definedName name="______________ngk1109" localSheetId="1" hidden="1">{#N/A,#N/A,FALSE,"估價單  (3)"}</definedName>
    <definedName name="______________ngk1109" localSheetId="2" hidden="1">{#N/A,#N/A,FALSE,"估價單  (3)"}</definedName>
    <definedName name="______________ngk1109" localSheetId="8" hidden="1">{#N/A,#N/A,FALSE,"估價單  (3)"}</definedName>
    <definedName name="______________ngk1109" hidden="1">{#N/A,#N/A,FALSE,"估價單  (3)"}</definedName>
    <definedName name="______________P3" localSheetId="1" hidden="1">{#N/A,#N/A,FALSE,"特殊室（ＢＱ表）"}</definedName>
    <definedName name="______________P3" localSheetId="2" hidden="1">{#N/A,#N/A,FALSE,"特殊室（ＢＱ表）"}</definedName>
    <definedName name="______________P3" localSheetId="8" hidden="1">{#N/A,#N/A,FALSE,"特殊室（ＢＱ表）"}</definedName>
    <definedName name="______________P3" hidden="1">{#N/A,#N/A,FALSE,"特殊室（ＢＱ表）"}</definedName>
    <definedName name="______________PA3" localSheetId="1" hidden="1">{"'Sheet1'!$L$16"}</definedName>
    <definedName name="______________PA3" localSheetId="2" hidden="1">{"'Sheet1'!$L$16"}</definedName>
    <definedName name="______________PA3" localSheetId="8" hidden="1">{"'Sheet1'!$L$16"}</definedName>
    <definedName name="______________PA3" hidden="1">{"'Sheet1'!$L$16"}</definedName>
    <definedName name="______________PPP3" localSheetId="1" hidden="1">{#N/A,#N/A,FALSE,"特殊室（ＢＱ表）"}</definedName>
    <definedName name="______________PPP3" localSheetId="2" hidden="1">{#N/A,#N/A,FALSE,"特殊室（ＢＱ表）"}</definedName>
    <definedName name="______________PPP3" localSheetId="8" hidden="1">{#N/A,#N/A,FALSE,"特殊室（ＢＱ表）"}</definedName>
    <definedName name="______________PPP3" hidden="1">{#N/A,#N/A,FALSE,"特殊室（ＢＱ表）"}</definedName>
    <definedName name="______________PPP33" localSheetId="1" hidden="1">{#N/A,#N/A,FALSE,"特殊室（ＢＱ表）"}</definedName>
    <definedName name="______________PPP33" localSheetId="2" hidden="1">{#N/A,#N/A,FALSE,"特殊室（ＢＱ表）"}</definedName>
    <definedName name="______________PPP33" localSheetId="8" hidden="1">{#N/A,#N/A,FALSE,"特殊室（ＢＱ表）"}</definedName>
    <definedName name="______________PPP33" hidden="1">{#N/A,#N/A,FALSE,"特殊室（ＢＱ表）"}</definedName>
    <definedName name="______________ppp34" localSheetId="1" hidden="1">{#N/A,#N/A,FALSE,"特殊室（ＢＱ表）"}</definedName>
    <definedName name="______________ppp34" localSheetId="2" hidden="1">{#N/A,#N/A,FALSE,"特殊室（ＢＱ表）"}</definedName>
    <definedName name="______________ppp34" localSheetId="8" hidden="1">{#N/A,#N/A,FALSE,"特殊室（ＢＱ表）"}</definedName>
    <definedName name="______________ppp34" hidden="1">{#N/A,#N/A,FALSE,"特殊室（ＢＱ表）"}</definedName>
    <definedName name="______________ppp3444" localSheetId="1" hidden="1">{#N/A,#N/A,FALSE,"特殊室（ＢＱ表）"}</definedName>
    <definedName name="______________ppp3444" localSheetId="2" hidden="1">{#N/A,#N/A,FALSE,"特殊室（ＢＱ表）"}</definedName>
    <definedName name="______________ppp3444" localSheetId="8" hidden="1">{#N/A,#N/A,FALSE,"特殊室（ＢＱ表）"}</definedName>
    <definedName name="______________ppp3444" hidden="1">{#N/A,#N/A,FALSE,"特殊室（ＢＱ表）"}</definedName>
    <definedName name="______________SCL4" localSheetId="1" hidden="1">{"'Sheet1'!$L$16"}</definedName>
    <definedName name="______________SCL4" localSheetId="2" hidden="1">{"'Sheet1'!$L$16"}</definedName>
    <definedName name="______________SCL4" localSheetId="8" hidden="1">{"'Sheet1'!$L$16"}</definedName>
    <definedName name="______________SCL4" hidden="1">{"'Sheet1'!$L$16"}</definedName>
    <definedName name="______________SCL4_1" localSheetId="1" hidden="1">{"'Sheet1'!$L$16"}</definedName>
    <definedName name="______________SCL4_1" localSheetId="2" hidden="1">{"'Sheet1'!$L$16"}</definedName>
    <definedName name="______________SCL4_1" localSheetId="8" hidden="1">{"'Sheet1'!$L$16"}</definedName>
    <definedName name="______________SCL4_1" hidden="1">{"'Sheet1'!$L$16"}</definedName>
    <definedName name="______________T10" localSheetId="1" hidden="1">{"'Sheet1'!$L$16"}</definedName>
    <definedName name="______________T10" localSheetId="2" hidden="1">{"'Sheet1'!$L$16"}</definedName>
    <definedName name="______________T10" localSheetId="8" hidden="1">{"'Sheet1'!$L$16"}</definedName>
    <definedName name="______________T10" hidden="1">{"'Sheet1'!$L$16"}</definedName>
    <definedName name="______________TM2" localSheetId="1" hidden="1">{"'Sheet1'!$L$16"}</definedName>
    <definedName name="______________TM2" localSheetId="2" hidden="1">{"'Sheet1'!$L$16"}</definedName>
    <definedName name="______________TM2" localSheetId="8" hidden="1">{"'Sheet1'!$L$16"}</definedName>
    <definedName name="______________TM2" hidden="1">{"'Sheet1'!$L$16"}</definedName>
    <definedName name="______________tu4" localSheetId="1" hidden="1">{"'Sheet1'!$L$16"}</definedName>
    <definedName name="______________tu4" localSheetId="2" hidden="1">{"'Sheet1'!$L$16"}</definedName>
    <definedName name="______________tu4" localSheetId="8" hidden="1">{"'Sheet1'!$L$16"}</definedName>
    <definedName name="______________tu4" hidden="1">{"'Sheet1'!$L$16"}</definedName>
    <definedName name="______________TV2" localSheetId="1" hidden="1">{"'Sheet1'!$L$16"}</definedName>
    <definedName name="______________TV2" localSheetId="2" hidden="1">{"'Sheet1'!$L$16"}</definedName>
    <definedName name="______________TV2" localSheetId="8" hidden="1">{"'Sheet1'!$L$16"}</definedName>
    <definedName name="______________TV2" hidden="1">{"'Sheet1'!$L$16"}</definedName>
    <definedName name="______________TH1" localSheetId="1" hidden="1">{"'Sheet1'!$L$16"}</definedName>
    <definedName name="______________TH1" localSheetId="2" hidden="1">{"'Sheet1'!$L$16"}</definedName>
    <definedName name="______________TH1" localSheetId="8" hidden="1">{"'Sheet1'!$L$16"}</definedName>
    <definedName name="______________TH1" hidden="1">{"'Sheet1'!$L$16"}</definedName>
    <definedName name="______________THT11" localSheetId="1" hidden="1">{"'Sheet1'!$L$16"}</definedName>
    <definedName name="______________THT11" localSheetId="2" hidden="1">{"'Sheet1'!$L$16"}</definedName>
    <definedName name="______________THT11" localSheetId="8" hidden="1">{"'Sheet1'!$L$16"}</definedName>
    <definedName name="______________THT11" hidden="1">{"'Sheet1'!$L$16"}</definedName>
    <definedName name="______________VT3" localSheetId="1" hidden="1">{"'Sheet1'!$L$16"}</definedName>
    <definedName name="______________VT3" localSheetId="2" hidden="1">{"'Sheet1'!$L$16"}</definedName>
    <definedName name="______________VT3" localSheetId="8" hidden="1">{"'Sheet1'!$L$16"}</definedName>
    <definedName name="______________VT3" hidden="1">{"'Sheet1'!$L$16"}</definedName>
    <definedName name="______________xlfn.BAHTTEXT" hidden="1">#NAME?</definedName>
    <definedName name="_____________a1" localSheetId="1" hidden="1">{"'Sheet1'!$L$16"}</definedName>
    <definedName name="_____________a1" localSheetId="2" hidden="1">{"'Sheet1'!$L$16"}</definedName>
    <definedName name="_____________a1" localSheetId="8" hidden="1">{"'Sheet1'!$L$16"}</definedName>
    <definedName name="_____________a1" hidden="1">{"'Sheet1'!$L$16"}</definedName>
    <definedName name="_____________a1_1" localSheetId="1" hidden="1">{"'Sheet1'!$L$16"}</definedName>
    <definedName name="_____________a1_1" localSheetId="2" hidden="1">{"'Sheet1'!$L$16"}</definedName>
    <definedName name="_____________a1_1" localSheetId="8" hidden="1">{"'Sheet1'!$L$16"}</definedName>
    <definedName name="_____________a1_1" hidden="1">{"'Sheet1'!$L$16"}</definedName>
    <definedName name="_____________a129" localSheetId="1" hidden="1">{"Offgrid",#N/A,FALSE,"OFFGRID";"Region",#N/A,FALSE,"REGION";"Offgrid -2",#N/A,FALSE,"OFFGRID";"WTP",#N/A,FALSE,"WTP";"WTP -2",#N/A,FALSE,"WTP";"Project",#N/A,FALSE,"PROJECT";"Summary -2",#N/A,FALSE,"SUMMARY"}</definedName>
    <definedName name="_____________a129" localSheetId="2" hidden="1">{"Offgrid",#N/A,FALSE,"OFFGRID";"Region",#N/A,FALSE,"REGION";"Offgrid -2",#N/A,FALSE,"OFFGRID";"WTP",#N/A,FALSE,"WTP";"WTP -2",#N/A,FALSE,"WTP";"Project",#N/A,FALSE,"PROJECT";"Summary -2",#N/A,FALSE,"SUMMARY"}</definedName>
    <definedName name="_____________a129" localSheetId="8"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1"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a130" localSheetId="8"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localSheetId="1" hidden="1">{"'Sheet1'!$L$16"}</definedName>
    <definedName name="_____________BG12" localSheetId="2" hidden="1">{"'Sheet1'!$L$16"}</definedName>
    <definedName name="_____________BG12" localSheetId="8" hidden="1">{"'Sheet1'!$L$16"}</definedName>
    <definedName name="_____________BG12" hidden="1">{"'Sheet1'!$L$16"}</definedName>
    <definedName name="_____________CN1" localSheetId="1" hidden="1">{"'Sheet1'!$L$16"}</definedName>
    <definedName name="_____________CN1" localSheetId="2" hidden="1">{"'Sheet1'!$L$16"}</definedName>
    <definedName name="_____________CN1" localSheetId="8" hidden="1">{"'Sheet1'!$L$16"}</definedName>
    <definedName name="_____________CN1" hidden="1">{"'Sheet1'!$L$16"}</definedName>
    <definedName name="_____________DT10" localSheetId="1" hidden="1">{"'Sheet1'!$L$16"}</definedName>
    <definedName name="_____________DT10" localSheetId="2" hidden="1">{"'Sheet1'!$L$16"}</definedName>
    <definedName name="_____________DT10" localSheetId="8" hidden="1">{"'Sheet1'!$L$16"}</definedName>
    <definedName name="_____________DT10" hidden="1">{"'Sheet1'!$L$16"}</definedName>
    <definedName name="_____________Goi8" localSheetId="1" hidden="1">{"'Sheet1'!$L$16"}</definedName>
    <definedName name="_____________Goi8" localSheetId="2" hidden="1">{"'Sheet1'!$L$16"}</definedName>
    <definedName name="_____________Goi8" localSheetId="8" hidden="1">{"'Sheet1'!$L$16"}</definedName>
    <definedName name="_____________Goi8" hidden="1">{"'Sheet1'!$L$16"}</definedName>
    <definedName name="_____________Goi8_1" localSheetId="1" hidden="1">{"'Sheet1'!$L$16"}</definedName>
    <definedName name="_____________Goi8_1" localSheetId="2" hidden="1">{"'Sheet1'!$L$16"}</definedName>
    <definedName name="_____________Goi8_1" localSheetId="8" hidden="1">{"'Sheet1'!$L$16"}</definedName>
    <definedName name="_____________Goi8_1" hidden="1">{"'Sheet1'!$L$16"}</definedName>
    <definedName name="_____________h1" localSheetId="1" hidden="1">{"'Sheet1'!$L$16"}</definedName>
    <definedName name="_____________h1" localSheetId="2" hidden="1">{"'Sheet1'!$L$16"}</definedName>
    <definedName name="_____________h1" localSheetId="8" hidden="1">{"'Sheet1'!$L$16"}</definedName>
    <definedName name="_____________h1" hidden="1">{"'Sheet1'!$L$16"}</definedName>
    <definedName name="_____________hu1" localSheetId="1" hidden="1">{"'Sheet1'!$L$16"}</definedName>
    <definedName name="_____________hu1" localSheetId="2" hidden="1">{"'Sheet1'!$L$16"}</definedName>
    <definedName name="_____________hu1" localSheetId="8" hidden="1">{"'Sheet1'!$L$16"}</definedName>
    <definedName name="_____________hu1" hidden="1">{"'Sheet1'!$L$16"}</definedName>
    <definedName name="_____________hu2" localSheetId="1" hidden="1">{"'Sheet1'!$L$16"}</definedName>
    <definedName name="_____________hu2" localSheetId="2" hidden="1">{"'Sheet1'!$L$16"}</definedName>
    <definedName name="_____________hu2" localSheetId="8" hidden="1">{"'Sheet1'!$L$16"}</definedName>
    <definedName name="_____________hu2" hidden="1">{"'Sheet1'!$L$16"}</definedName>
    <definedName name="_____________hu5" localSheetId="1" hidden="1">{"'Sheet1'!$L$16"}</definedName>
    <definedName name="_____________hu5" localSheetId="2" hidden="1">{"'Sheet1'!$L$16"}</definedName>
    <definedName name="_____________hu5" localSheetId="8" hidden="1">{"'Sheet1'!$L$16"}</definedName>
    <definedName name="_____________hu5" hidden="1">{"'Sheet1'!$L$16"}</definedName>
    <definedName name="_____________hu6" localSheetId="1" hidden="1">{"'Sheet1'!$L$16"}</definedName>
    <definedName name="_____________hu6" localSheetId="2" hidden="1">{"'Sheet1'!$L$16"}</definedName>
    <definedName name="_____________hu6" localSheetId="8" hidden="1">{"'Sheet1'!$L$16"}</definedName>
    <definedName name="_____________hu6" hidden="1">{"'Sheet1'!$L$16"}</definedName>
    <definedName name="_____________hu7" localSheetId="1" hidden="1">{"'Sheet1'!$L$16"}</definedName>
    <definedName name="_____________hu7" localSheetId="2" hidden="1">{"'Sheet1'!$L$16"}</definedName>
    <definedName name="_____________hu7" localSheetId="8" hidden="1">{"'Sheet1'!$L$16"}</definedName>
    <definedName name="_____________hu7" hidden="1">{"'Sheet1'!$L$16"}</definedName>
    <definedName name="_____________Lan1" localSheetId="1" hidden="1">{"'Sheet1'!$L$16"}</definedName>
    <definedName name="_____________Lan1" localSheetId="2" hidden="1">{"'Sheet1'!$L$16"}</definedName>
    <definedName name="_____________Lan1" localSheetId="8" hidden="1">{"'Sheet1'!$L$16"}</definedName>
    <definedName name="_____________Lan1" hidden="1">{"'Sheet1'!$L$16"}</definedName>
    <definedName name="_____________LAN3" localSheetId="1" hidden="1">{"'Sheet1'!$L$16"}</definedName>
    <definedName name="_____________LAN3" localSheetId="2" hidden="1">{"'Sheet1'!$L$16"}</definedName>
    <definedName name="_____________LAN3" localSheetId="8" hidden="1">{"'Sheet1'!$L$16"}</definedName>
    <definedName name="_____________LAN3" hidden="1">{"'Sheet1'!$L$16"}</definedName>
    <definedName name="_____________lop111" localSheetId="1" hidden="1">{#N/A,#N/A,FALSE,"特殊室（ＢＱ表）"}</definedName>
    <definedName name="_____________lop111" localSheetId="2" hidden="1">{#N/A,#N/A,FALSE,"特殊室（ＢＱ表）"}</definedName>
    <definedName name="_____________lop111" localSheetId="8" hidden="1">{#N/A,#N/A,FALSE,"特殊室（ＢＱ表）"}</definedName>
    <definedName name="_____________lop111" hidden="1">{#N/A,#N/A,FALSE,"特殊室（ＢＱ表）"}</definedName>
    <definedName name="_____________m4" localSheetId="1" hidden="1">{"'Sheet1'!$L$16"}</definedName>
    <definedName name="_____________m4" localSheetId="2" hidden="1">{"'Sheet1'!$L$16"}</definedName>
    <definedName name="_____________m4" localSheetId="8" hidden="1">{"'Sheet1'!$L$16"}</definedName>
    <definedName name="_____________m4" hidden="1">{"'Sheet1'!$L$16"}</definedName>
    <definedName name="_____________NO2" hidden="1">#REF!</definedName>
    <definedName name="_____________NSO2" localSheetId="1" hidden="1">{"'Sheet1'!$L$16"}</definedName>
    <definedName name="_____________NSO2" localSheetId="2" hidden="1">{"'Sheet1'!$L$16"}</definedName>
    <definedName name="_____________NSO2" localSheetId="8" hidden="1">{"'Sheet1'!$L$16"}</definedName>
    <definedName name="_____________NSO2" hidden="1">{"'Sheet1'!$L$16"}</definedName>
    <definedName name="_____________ngk1109" localSheetId="1" hidden="1">{#N/A,#N/A,FALSE,"估價單  (3)"}</definedName>
    <definedName name="_____________ngk1109" localSheetId="2" hidden="1">{#N/A,#N/A,FALSE,"估價單  (3)"}</definedName>
    <definedName name="_____________ngk1109" localSheetId="8" hidden="1">{#N/A,#N/A,FALSE,"估價單  (3)"}</definedName>
    <definedName name="_____________ngk1109" hidden="1">{#N/A,#N/A,FALSE,"估價單  (3)"}</definedName>
    <definedName name="_____________P3" localSheetId="1" hidden="1">{#N/A,#N/A,FALSE,"特殊室（ＢＱ表）"}</definedName>
    <definedName name="_____________P3" localSheetId="2" hidden="1">{#N/A,#N/A,FALSE,"特殊室（ＢＱ表）"}</definedName>
    <definedName name="_____________P3" localSheetId="8" hidden="1">{#N/A,#N/A,FALSE,"特殊室（ＢＱ表）"}</definedName>
    <definedName name="_____________P3" hidden="1">{#N/A,#N/A,FALSE,"特殊室（ＢＱ表）"}</definedName>
    <definedName name="_____________PA3" localSheetId="1" hidden="1">{"'Sheet1'!$L$16"}</definedName>
    <definedName name="_____________PA3" localSheetId="2" hidden="1">{"'Sheet1'!$L$16"}</definedName>
    <definedName name="_____________PA3" localSheetId="8" hidden="1">{"'Sheet1'!$L$16"}</definedName>
    <definedName name="_____________PA3" hidden="1">{"'Sheet1'!$L$16"}</definedName>
    <definedName name="_____________PPP3" localSheetId="1" hidden="1">{#N/A,#N/A,FALSE,"特殊室（ＢＱ表）"}</definedName>
    <definedName name="_____________PPP3" localSheetId="2" hidden="1">{#N/A,#N/A,FALSE,"特殊室（ＢＱ表）"}</definedName>
    <definedName name="_____________PPP3" localSheetId="8" hidden="1">{#N/A,#N/A,FALSE,"特殊室（ＢＱ表）"}</definedName>
    <definedName name="_____________PPP3" hidden="1">{#N/A,#N/A,FALSE,"特殊室（ＢＱ表）"}</definedName>
    <definedName name="_____________PPP33" localSheetId="1" hidden="1">{#N/A,#N/A,FALSE,"特殊室（ＢＱ表）"}</definedName>
    <definedName name="_____________PPP33" localSheetId="2" hidden="1">{#N/A,#N/A,FALSE,"特殊室（ＢＱ表）"}</definedName>
    <definedName name="_____________PPP33" localSheetId="8" hidden="1">{#N/A,#N/A,FALSE,"特殊室（ＢＱ表）"}</definedName>
    <definedName name="_____________PPP33" hidden="1">{#N/A,#N/A,FALSE,"特殊室（ＢＱ表）"}</definedName>
    <definedName name="_____________ppp34" localSheetId="1" hidden="1">{#N/A,#N/A,FALSE,"特殊室（ＢＱ表）"}</definedName>
    <definedName name="_____________ppp34" localSheetId="2" hidden="1">{#N/A,#N/A,FALSE,"特殊室（ＢＱ表）"}</definedName>
    <definedName name="_____________ppp34" localSheetId="8" hidden="1">{#N/A,#N/A,FALSE,"特殊室（ＢＱ表）"}</definedName>
    <definedName name="_____________ppp34" hidden="1">{#N/A,#N/A,FALSE,"特殊室（ＢＱ表）"}</definedName>
    <definedName name="_____________ppp3444" localSheetId="1" hidden="1">{#N/A,#N/A,FALSE,"特殊室（ＢＱ表）"}</definedName>
    <definedName name="_____________ppp3444" localSheetId="2" hidden="1">{#N/A,#N/A,FALSE,"特殊室（ＢＱ表）"}</definedName>
    <definedName name="_____________ppp3444" localSheetId="8" hidden="1">{#N/A,#N/A,FALSE,"特殊室（ＢＱ表）"}</definedName>
    <definedName name="_____________ppp3444" hidden="1">{#N/A,#N/A,FALSE,"特殊室（ＢＱ表）"}</definedName>
    <definedName name="_____________SCL4" localSheetId="1" hidden="1">{"'Sheet1'!$L$16"}</definedName>
    <definedName name="_____________SCL4" localSheetId="2" hidden="1">{"'Sheet1'!$L$16"}</definedName>
    <definedName name="_____________SCL4" localSheetId="8" hidden="1">{"'Sheet1'!$L$16"}</definedName>
    <definedName name="_____________SCL4" hidden="1">{"'Sheet1'!$L$16"}</definedName>
    <definedName name="_____________SCL4_1" localSheetId="1" hidden="1">{"'Sheet1'!$L$16"}</definedName>
    <definedName name="_____________SCL4_1" localSheetId="2" hidden="1">{"'Sheet1'!$L$16"}</definedName>
    <definedName name="_____________SCL4_1" localSheetId="8" hidden="1">{"'Sheet1'!$L$16"}</definedName>
    <definedName name="_____________SCL4_1" hidden="1">{"'Sheet1'!$L$16"}</definedName>
    <definedName name="_____________T10" localSheetId="1" hidden="1">{"'Sheet1'!$L$16"}</definedName>
    <definedName name="_____________T10" localSheetId="2" hidden="1">{"'Sheet1'!$L$16"}</definedName>
    <definedName name="_____________T10" localSheetId="8" hidden="1">{"'Sheet1'!$L$16"}</definedName>
    <definedName name="_____________T10" hidden="1">{"'Sheet1'!$L$16"}</definedName>
    <definedName name="_____________TM2" localSheetId="1" hidden="1">{"'Sheet1'!$L$16"}</definedName>
    <definedName name="_____________TM2" localSheetId="2" hidden="1">{"'Sheet1'!$L$16"}</definedName>
    <definedName name="_____________TM2" localSheetId="8" hidden="1">{"'Sheet1'!$L$16"}</definedName>
    <definedName name="_____________TM2" hidden="1">{"'Sheet1'!$L$16"}</definedName>
    <definedName name="_____________tt3" localSheetId="1" hidden="1">{"'Sheet1'!$L$16"}</definedName>
    <definedName name="_____________tt3" localSheetId="2" hidden="1">{"'Sheet1'!$L$16"}</definedName>
    <definedName name="_____________tt3" localSheetId="8" hidden="1">{"'Sheet1'!$L$16"}</definedName>
    <definedName name="_____________tt3" hidden="1">{"'Sheet1'!$L$16"}</definedName>
    <definedName name="_____________tu4" localSheetId="1" hidden="1">{"'Sheet1'!$L$16"}</definedName>
    <definedName name="_____________tu4" localSheetId="2" hidden="1">{"'Sheet1'!$L$16"}</definedName>
    <definedName name="_____________tu4" localSheetId="8" hidden="1">{"'Sheet1'!$L$16"}</definedName>
    <definedName name="_____________tu4" hidden="1">{"'Sheet1'!$L$16"}</definedName>
    <definedName name="_____________TV2" localSheetId="1" hidden="1">{"'Sheet1'!$L$16"}</definedName>
    <definedName name="_____________TV2" localSheetId="2" hidden="1">{"'Sheet1'!$L$16"}</definedName>
    <definedName name="_____________TV2" localSheetId="8" hidden="1">{"'Sheet1'!$L$16"}</definedName>
    <definedName name="_____________TV2" hidden="1">{"'Sheet1'!$L$16"}</definedName>
    <definedName name="_____________TH1" localSheetId="1" hidden="1">{"'Sheet1'!$L$16"}</definedName>
    <definedName name="_____________TH1" localSheetId="2" hidden="1">{"'Sheet1'!$L$16"}</definedName>
    <definedName name="_____________TH1" localSheetId="8" hidden="1">{"'Sheet1'!$L$16"}</definedName>
    <definedName name="_____________TH1" hidden="1">{"'Sheet1'!$L$16"}</definedName>
    <definedName name="_____________THT11" localSheetId="1" hidden="1">{"'Sheet1'!$L$16"}</definedName>
    <definedName name="_____________THT11" localSheetId="2" hidden="1">{"'Sheet1'!$L$16"}</definedName>
    <definedName name="_____________THT11" localSheetId="8" hidden="1">{"'Sheet1'!$L$16"}</definedName>
    <definedName name="_____________THT11" hidden="1">{"'Sheet1'!$L$16"}</definedName>
    <definedName name="_____________VT3" localSheetId="1" hidden="1">{"'Sheet1'!$L$16"}</definedName>
    <definedName name="_____________VT3" localSheetId="2" hidden="1">{"'Sheet1'!$L$16"}</definedName>
    <definedName name="_____________VT3" localSheetId="8" hidden="1">{"'Sheet1'!$L$16"}</definedName>
    <definedName name="_____________VT3" hidden="1">{"'Sheet1'!$L$16"}</definedName>
    <definedName name="_____________xlfn.BAHTTEXT" hidden="1">#NAME?</definedName>
    <definedName name="____________a1" localSheetId="1" hidden="1">{"'Sheet1'!$L$16"}</definedName>
    <definedName name="____________a1" localSheetId="2" hidden="1">{"'Sheet1'!$L$16"}</definedName>
    <definedName name="____________a1" localSheetId="8" hidden="1">{"'Sheet1'!$L$16"}</definedName>
    <definedName name="____________a1" hidden="1">{"'Sheet1'!$L$16"}</definedName>
    <definedName name="____________a1_1" localSheetId="1" hidden="1">{"'Sheet1'!$L$16"}</definedName>
    <definedName name="____________a1_1" localSheetId="2" hidden="1">{"'Sheet1'!$L$16"}</definedName>
    <definedName name="____________a1_1" localSheetId="8" hidden="1">{"'Sheet1'!$L$16"}</definedName>
    <definedName name="____________a1_1" hidden="1">{"'Sheet1'!$L$16"}</definedName>
    <definedName name="____________a129" localSheetId="1" hidden="1">{"Offgrid",#N/A,FALSE,"OFFGRID";"Region",#N/A,FALSE,"REGION";"Offgrid -2",#N/A,FALSE,"OFFGRID";"WTP",#N/A,FALSE,"WTP";"WTP -2",#N/A,FALSE,"WTP";"Project",#N/A,FALSE,"PROJECT";"Summary -2",#N/A,FALSE,"SUMMARY"}</definedName>
    <definedName name="____________a129" localSheetId="2" hidden="1">{"Offgrid",#N/A,FALSE,"OFFGRID";"Region",#N/A,FALSE,"REGION";"Offgrid -2",#N/A,FALSE,"OFFGRID";"WTP",#N/A,FALSE,"WTP";"WTP -2",#N/A,FALSE,"WTP";"Project",#N/A,FALSE,"PROJECT";"Summary -2",#N/A,FALSE,"SUMMARY"}</definedName>
    <definedName name="____________a129" localSheetId="8"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1"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a130" localSheetId="8"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localSheetId="1" hidden="1">{"'Sheet1'!$L$16"}</definedName>
    <definedName name="____________BG12" localSheetId="2" hidden="1">{"'Sheet1'!$L$16"}</definedName>
    <definedName name="____________BG12" localSheetId="8" hidden="1">{"'Sheet1'!$L$16"}</definedName>
    <definedName name="____________BG12" hidden="1">{"'Sheet1'!$L$16"}</definedName>
    <definedName name="____________CN1" localSheetId="1" hidden="1">{"'Sheet1'!$L$16"}</definedName>
    <definedName name="____________CN1" localSheetId="2" hidden="1">{"'Sheet1'!$L$16"}</definedName>
    <definedName name="____________CN1" localSheetId="8" hidden="1">{"'Sheet1'!$L$16"}</definedName>
    <definedName name="____________CN1" hidden="1">{"'Sheet1'!$L$16"}</definedName>
    <definedName name="____________DT10" localSheetId="1" hidden="1">{"'Sheet1'!$L$16"}</definedName>
    <definedName name="____________DT10" localSheetId="2" hidden="1">{"'Sheet1'!$L$16"}</definedName>
    <definedName name="____________DT10" localSheetId="8" hidden="1">{"'Sheet1'!$L$16"}</definedName>
    <definedName name="____________DT10" hidden="1">{"'Sheet1'!$L$16"}</definedName>
    <definedName name="____________Goi8" localSheetId="1" hidden="1">{"'Sheet1'!$L$16"}</definedName>
    <definedName name="____________Goi8" localSheetId="2" hidden="1">{"'Sheet1'!$L$16"}</definedName>
    <definedName name="____________Goi8" localSheetId="8" hidden="1">{"'Sheet1'!$L$16"}</definedName>
    <definedName name="____________Goi8" hidden="1">{"'Sheet1'!$L$16"}</definedName>
    <definedName name="____________Goi8_1" localSheetId="1" hidden="1">{"'Sheet1'!$L$16"}</definedName>
    <definedName name="____________Goi8_1" localSheetId="2" hidden="1">{"'Sheet1'!$L$16"}</definedName>
    <definedName name="____________Goi8_1" localSheetId="8" hidden="1">{"'Sheet1'!$L$16"}</definedName>
    <definedName name="____________Goi8_1" hidden="1">{"'Sheet1'!$L$16"}</definedName>
    <definedName name="____________Lan1" localSheetId="1" hidden="1">{"'Sheet1'!$L$16"}</definedName>
    <definedName name="____________Lan1" localSheetId="2" hidden="1">{"'Sheet1'!$L$16"}</definedName>
    <definedName name="____________Lan1" localSheetId="8" hidden="1">{"'Sheet1'!$L$16"}</definedName>
    <definedName name="____________Lan1" hidden="1">{"'Sheet1'!$L$16"}</definedName>
    <definedName name="____________LAN3" localSheetId="1" hidden="1">{"'Sheet1'!$L$16"}</definedName>
    <definedName name="____________LAN3" localSheetId="2" hidden="1">{"'Sheet1'!$L$16"}</definedName>
    <definedName name="____________LAN3" localSheetId="8" hidden="1">{"'Sheet1'!$L$16"}</definedName>
    <definedName name="____________LAN3" hidden="1">{"'Sheet1'!$L$16"}</definedName>
    <definedName name="____________lop111" localSheetId="1" hidden="1">{#N/A,#N/A,FALSE,"特殊室（ＢＱ表）"}</definedName>
    <definedName name="____________lop111" localSheetId="2" hidden="1">{#N/A,#N/A,FALSE,"特殊室（ＢＱ表）"}</definedName>
    <definedName name="____________lop111" localSheetId="8" hidden="1">{#N/A,#N/A,FALSE,"特殊室（ＢＱ表）"}</definedName>
    <definedName name="____________lop111" hidden="1">{#N/A,#N/A,FALSE,"特殊室（ＢＱ表）"}</definedName>
    <definedName name="____________m4" localSheetId="1" hidden="1">{"'Sheet1'!$L$16"}</definedName>
    <definedName name="____________m4" localSheetId="2" hidden="1">{"'Sheet1'!$L$16"}</definedName>
    <definedName name="____________m4" localSheetId="8" hidden="1">{"'Sheet1'!$L$16"}</definedName>
    <definedName name="____________m4" hidden="1">{"'Sheet1'!$L$16"}</definedName>
    <definedName name="____________NO2" hidden="1">#REF!</definedName>
    <definedName name="____________NSO2" localSheetId="1" hidden="1">{"'Sheet1'!$L$16"}</definedName>
    <definedName name="____________NSO2" localSheetId="2" hidden="1">{"'Sheet1'!$L$16"}</definedName>
    <definedName name="____________NSO2" localSheetId="8" hidden="1">{"'Sheet1'!$L$16"}</definedName>
    <definedName name="____________NSO2" hidden="1">{"'Sheet1'!$L$16"}</definedName>
    <definedName name="____________ngk1109" localSheetId="1" hidden="1">{#N/A,#N/A,FALSE,"估價單  (3)"}</definedName>
    <definedName name="____________ngk1109" localSheetId="2" hidden="1">{#N/A,#N/A,FALSE,"估價單  (3)"}</definedName>
    <definedName name="____________ngk1109" localSheetId="8" hidden="1">{#N/A,#N/A,FALSE,"估價單  (3)"}</definedName>
    <definedName name="____________ngk1109" hidden="1">{#N/A,#N/A,FALSE,"估價單  (3)"}</definedName>
    <definedName name="____________P3" localSheetId="1" hidden="1">{#N/A,#N/A,FALSE,"特殊室（ＢＱ表）"}</definedName>
    <definedName name="____________P3" localSheetId="2" hidden="1">{#N/A,#N/A,FALSE,"特殊室（ＢＱ表）"}</definedName>
    <definedName name="____________P3" localSheetId="8" hidden="1">{#N/A,#N/A,FALSE,"特殊室（ＢＱ表）"}</definedName>
    <definedName name="____________P3" hidden="1">{#N/A,#N/A,FALSE,"特殊室（ＢＱ表）"}</definedName>
    <definedName name="____________PA3" localSheetId="1" hidden="1">{"'Sheet1'!$L$16"}</definedName>
    <definedName name="____________PA3" localSheetId="2" hidden="1">{"'Sheet1'!$L$16"}</definedName>
    <definedName name="____________PA3" localSheetId="8" hidden="1">{"'Sheet1'!$L$16"}</definedName>
    <definedName name="____________PA3" hidden="1">{"'Sheet1'!$L$16"}</definedName>
    <definedName name="____________PPP3" localSheetId="1" hidden="1">{#N/A,#N/A,FALSE,"特殊室（ＢＱ表）"}</definedName>
    <definedName name="____________PPP3" localSheetId="2" hidden="1">{#N/A,#N/A,FALSE,"特殊室（ＢＱ表）"}</definedName>
    <definedName name="____________PPP3" localSheetId="8" hidden="1">{#N/A,#N/A,FALSE,"特殊室（ＢＱ表）"}</definedName>
    <definedName name="____________PPP3" hidden="1">{#N/A,#N/A,FALSE,"特殊室（ＢＱ表）"}</definedName>
    <definedName name="____________PPP33" localSheetId="1" hidden="1">{#N/A,#N/A,FALSE,"特殊室（ＢＱ表）"}</definedName>
    <definedName name="____________PPP33" localSheetId="2" hidden="1">{#N/A,#N/A,FALSE,"特殊室（ＢＱ表）"}</definedName>
    <definedName name="____________PPP33" localSheetId="8" hidden="1">{#N/A,#N/A,FALSE,"特殊室（ＢＱ表）"}</definedName>
    <definedName name="____________PPP33" hidden="1">{#N/A,#N/A,FALSE,"特殊室（ＢＱ表）"}</definedName>
    <definedName name="____________ppp34" localSheetId="1" hidden="1">{#N/A,#N/A,FALSE,"特殊室（ＢＱ表）"}</definedName>
    <definedName name="____________ppp34" localSheetId="2" hidden="1">{#N/A,#N/A,FALSE,"特殊室（ＢＱ表）"}</definedName>
    <definedName name="____________ppp34" localSheetId="8" hidden="1">{#N/A,#N/A,FALSE,"特殊室（ＢＱ表）"}</definedName>
    <definedName name="____________ppp34" hidden="1">{#N/A,#N/A,FALSE,"特殊室（ＢＱ表）"}</definedName>
    <definedName name="____________ppp3444" localSheetId="1" hidden="1">{#N/A,#N/A,FALSE,"特殊室（ＢＱ表）"}</definedName>
    <definedName name="____________ppp3444" localSheetId="2" hidden="1">{#N/A,#N/A,FALSE,"特殊室（ＢＱ表）"}</definedName>
    <definedName name="____________ppp3444" localSheetId="8" hidden="1">{#N/A,#N/A,FALSE,"特殊室（ＢＱ表）"}</definedName>
    <definedName name="____________ppp3444" hidden="1">{#N/A,#N/A,FALSE,"特殊室（ＢＱ表）"}</definedName>
    <definedName name="____________SCL4" localSheetId="1" hidden="1">{"'Sheet1'!$L$16"}</definedName>
    <definedName name="____________SCL4" localSheetId="2" hidden="1">{"'Sheet1'!$L$16"}</definedName>
    <definedName name="____________SCL4" localSheetId="8" hidden="1">{"'Sheet1'!$L$16"}</definedName>
    <definedName name="____________SCL4" hidden="1">{"'Sheet1'!$L$16"}</definedName>
    <definedName name="____________SCL4_1" localSheetId="1" hidden="1">{"'Sheet1'!$L$16"}</definedName>
    <definedName name="____________SCL4_1" localSheetId="2" hidden="1">{"'Sheet1'!$L$16"}</definedName>
    <definedName name="____________SCL4_1" localSheetId="8" hidden="1">{"'Sheet1'!$L$16"}</definedName>
    <definedName name="____________SCL4_1" hidden="1">{"'Sheet1'!$L$16"}</definedName>
    <definedName name="____________T3" localSheetId="1" hidden="1">{"'Sheet1'!$L$16"}</definedName>
    <definedName name="____________T3" localSheetId="2" hidden="1">{"'Sheet1'!$L$16"}</definedName>
    <definedName name="____________T3" localSheetId="8" hidden="1">{"'Sheet1'!$L$16"}</definedName>
    <definedName name="____________T3" hidden="1">{"'Sheet1'!$L$16"}</definedName>
    <definedName name="____________TM2" localSheetId="1" hidden="1">{"'Sheet1'!$L$16"}</definedName>
    <definedName name="____________TM2" localSheetId="2" hidden="1">{"'Sheet1'!$L$16"}</definedName>
    <definedName name="____________TM2" localSheetId="8" hidden="1">{"'Sheet1'!$L$16"}</definedName>
    <definedName name="____________TM2" hidden="1">{"'Sheet1'!$L$16"}</definedName>
    <definedName name="____________tt3" localSheetId="1" hidden="1">{"'Sheet1'!$L$16"}</definedName>
    <definedName name="____________tt3" localSheetId="2" hidden="1">{"'Sheet1'!$L$16"}</definedName>
    <definedName name="____________tt3" localSheetId="8" hidden="1">{"'Sheet1'!$L$16"}</definedName>
    <definedName name="____________tt3" hidden="1">{"'Sheet1'!$L$16"}</definedName>
    <definedName name="____________tu4" localSheetId="1" hidden="1">{"'Sheet1'!$L$16"}</definedName>
    <definedName name="____________tu4" localSheetId="2" hidden="1">{"'Sheet1'!$L$16"}</definedName>
    <definedName name="____________tu4" localSheetId="8" hidden="1">{"'Sheet1'!$L$16"}</definedName>
    <definedName name="____________tu4" hidden="1">{"'Sheet1'!$L$16"}</definedName>
    <definedName name="____________TV2" localSheetId="1" hidden="1">{"'Sheet1'!$L$16"}</definedName>
    <definedName name="____________TV2" localSheetId="2" hidden="1">{"'Sheet1'!$L$16"}</definedName>
    <definedName name="____________TV2" localSheetId="8" hidden="1">{"'Sheet1'!$L$16"}</definedName>
    <definedName name="____________TV2" hidden="1">{"'Sheet1'!$L$16"}</definedName>
    <definedName name="____________TH1" localSheetId="1" hidden="1">{"'Sheet1'!$L$16"}</definedName>
    <definedName name="____________TH1" localSheetId="2" hidden="1">{"'Sheet1'!$L$16"}</definedName>
    <definedName name="____________TH1" localSheetId="8" hidden="1">{"'Sheet1'!$L$16"}</definedName>
    <definedName name="____________TH1" hidden="1">{"'Sheet1'!$L$16"}</definedName>
    <definedName name="____________THT11" localSheetId="1" hidden="1">{"'Sheet1'!$L$16"}</definedName>
    <definedName name="____________THT11" localSheetId="2" hidden="1">{"'Sheet1'!$L$16"}</definedName>
    <definedName name="____________THT11" localSheetId="8" hidden="1">{"'Sheet1'!$L$16"}</definedName>
    <definedName name="____________THT11" hidden="1">{"'Sheet1'!$L$16"}</definedName>
    <definedName name="____________VT3" localSheetId="1" hidden="1">{"'Sheet1'!$L$16"}</definedName>
    <definedName name="____________VT3" localSheetId="2" hidden="1">{"'Sheet1'!$L$16"}</definedName>
    <definedName name="____________VT3" localSheetId="8" hidden="1">{"'Sheet1'!$L$16"}</definedName>
    <definedName name="____________VT3" hidden="1">{"'Sheet1'!$L$16"}</definedName>
    <definedName name="____________xlfn.BAHTTEXT" hidden="1">#NAME?</definedName>
    <definedName name="___________a1" localSheetId="1" hidden="1">{"'Sheet1'!$L$16"}</definedName>
    <definedName name="___________a1" localSheetId="2" hidden="1">{"'Sheet1'!$L$16"}</definedName>
    <definedName name="___________a1" localSheetId="8" hidden="1">{"'Sheet1'!$L$16"}</definedName>
    <definedName name="___________a1" hidden="1">{"'Sheet1'!$L$16"}</definedName>
    <definedName name="___________a1_1" localSheetId="1" hidden="1">{"'Sheet1'!$L$16"}</definedName>
    <definedName name="___________a1_1" localSheetId="2" hidden="1">{"'Sheet1'!$L$16"}</definedName>
    <definedName name="___________a1_1" localSheetId="8" hidden="1">{"'Sheet1'!$L$16"}</definedName>
    <definedName name="___________a1_1" hidden="1">{"'Sheet1'!$L$16"}</definedName>
    <definedName name="___________a129" localSheetId="1" hidden="1">{"Offgrid",#N/A,FALSE,"OFFGRID";"Region",#N/A,FALSE,"REGION";"Offgrid -2",#N/A,FALSE,"OFFGRID";"WTP",#N/A,FALSE,"WTP";"WTP -2",#N/A,FALSE,"WTP";"Project",#N/A,FALSE,"PROJECT";"Summary -2",#N/A,FALSE,"SUMMARY"}</definedName>
    <definedName name="___________a129" localSheetId="2" hidden="1">{"Offgrid",#N/A,FALSE,"OFFGRID";"Region",#N/A,FALSE,"REGION";"Offgrid -2",#N/A,FALSE,"OFFGRID";"WTP",#N/A,FALSE,"WTP";"WTP -2",#N/A,FALSE,"WTP";"Project",#N/A,FALSE,"PROJECT";"Summary -2",#N/A,FALSE,"SUMMARY"}</definedName>
    <definedName name="___________a129" localSheetId="8"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1"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130" localSheetId="8"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localSheetId="1" hidden="1">{"'Sheet1'!$L$16"}</definedName>
    <definedName name="___________a2" localSheetId="2" hidden="1">{"'Sheet1'!$L$16"}</definedName>
    <definedName name="___________a2" localSheetId="8" hidden="1">{"'Sheet1'!$L$16"}</definedName>
    <definedName name="___________a2" hidden="1">{"'Sheet1'!$L$16"}</definedName>
    <definedName name="___________BG12" localSheetId="1" hidden="1">{"'Sheet1'!$L$16"}</definedName>
    <definedName name="___________BG12" localSheetId="2" hidden="1">{"'Sheet1'!$L$16"}</definedName>
    <definedName name="___________BG12" localSheetId="8" hidden="1">{"'Sheet1'!$L$16"}</definedName>
    <definedName name="___________BG12" hidden="1">{"'Sheet1'!$L$16"}</definedName>
    <definedName name="___________CN1" localSheetId="1" hidden="1">{"'Sheet1'!$L$16"}</definedName>
    <definedName name="___________CN1" localSheetId="2" hidden="1">{"'Sheet1'!$L$16"}</definedName>
    <definedName name="___________CN1" localSheetId="8" hidden="1">{"'Sheet1'!$L$16"}</definedName>
    <definedName name="___________CN1" hidden="1">{"'Sheet1'!$L$16"}</definedName>
    <definedName name="___________DT10" localSheetId="1" hidden="1">{"'Sheet1'!$L$16"}</definedName>
    <definedName name="___________DT10" localSheetId="2" hidden="1">{"'Sheet1'!$L$16"}</definedName>
    <definedName name="___________DT10" localSheetId="8" hidden="1">{"'Sheet1'!$L$16"}</definedName>
    <definedName name="___________DT10" hidden="1">{"'Sheet1'!$L$16"}</definedName>
    <definedName name="___________Goi8" localSheetId="1" hidden="1">{"'Sheet1'!$L$16"}</definedName>
    <definedName name="___________Goi8" localSheetId="2" hidden="1">{"'Sheet1'!$L$16"}</definedName>
    <definedName name="___________Goi8" localSheetId="8" hidden="1">{"'Sheet1'!$L$16"}</definedName>
    <definedName name="___________Goi8" hidden="1">{"'Sheet1'!$L$16"}</definedName>
    <definedName name="___________Goi8_1" localSheetId="1" hidden="1">{"'Sheet1'!$L$16"}</definedName>
    <definedName name="___________Goi8_1" localSheetId="2" hidden="1">{"'Sheet1'!$L$16"}</definedName>
    <definedName name="___________Goi8_1" localSheetId="8" hidden="1">{"'Sheet1'!$L$16"}</definedName>
    <definedName name="___________Goi8_1" hidden="1">{"'Sheet1'!$L$16"}</definedName>
    <definedName name="___________h1" localSheetId="1" hidden="1">{"'Sheet1'!$L$16"}</definedName>
    <definedName name="___________h1" localSheetId="2" hidden="1">{"'Sheet1'!$L$16"}</definedName>
    <definedName name="___________h1" localSheetId="8" hidden="1">{"'Sheet1'!$L$16"}</definedName>
    <definedName name="___________h1" hidden="1">{"'Sheet1'!$L$16"}</definedName>
    <definedName name="___________hu1" localSheetId="1" hidden="1">{"'Sheet1'!$L$16"}</definedName>
    <definedName name="___________hu1" localSheetId="2" hidden="1">{"'Sheet1'!$L$16"}</definedName>
    <definedName name="___________hu1" localSheetId="8" hidden="1">{"'Sheet1'!$L$16"}</definedName>
    <definedName name="___________hu1" hidden="1">{"'Sheet1'!$L$16"}</definedName>
    <definedName name="___________hu2" localSheetId="1" hidden="1">{"'Sheet1'!$L$16"}</definedName>
    <definedName name="___________hu2" localSheetId="2" hidden="1">{"'Sheet1'!$L$16"}</definedName>
    <definedName name="___________hu2" localSheetId="8" hidden="1">{"'Sheet1'!$L$16"}</definedName>
    <definedName name="___________hu2" hidden="1">{"'Sheet1'!$L$16"}</definedName>
    <definedName name="___________hu5" localSheetId="1" hidden="1">{"'Sheet1'!$L$16"}</definedName>
    <definedName name="___________hu5" localSheetId="2" hidden="1">{"'Sheet1'!$L$16"}</definedName>
    <definedName name="___________hu5" localSheetId="8" hidden="1">{"'Sheet1'!$L$16"}</definedName>
    <definedName name="___________hu5" hidden="1">{"'Sheet1'!$L$16"}</definedName>
    <definedName name="___________hu6" localSheetId="1" hidden="1">{"'Sheet1'!$L$16"}</definedName>
    <definedName name="___________hu6" localSheetId="2" hidden="1">{"'Sheet1'!$L$16"}</definedName>
    <definedName name="___________hu6" localSheetId="8" hidden="1">{"'Sheet1'!$L$16"}</definedName>
    <definedName name="___________hu6" hidden="1">{"'Sheet1'!$L$16"}</definedName>
    <definedName name="___________hu7" localSheetId="1" hidden="1">{"'Sheet1'!$L$16"}</definedName>
    <definedName name="___________hu7" localSheetId="2" hidden="1">{"'Sheet1'!$L$16"}</definedName>
    <definedName name="___________hu7" localSheetId="8" hidden="1">{"'Sheet1'!$L$16"}</definedName>
    <definedName name="___________hu7" hidden="1">{"'Sheet1'!$L$16"}</definedName>
    <definedName name="___________LAN3" localSheetId="1" hidden="1">{"'Sheet1'!$L$16"}</definedName>
    <definedName name="___________LAN3" localSheetId="2" hidden="1">{"'Sheet1'!$L$16"}</definedName>
    <definedName name="___________LAN3" localSheetId="8" hidden="1">{"'Sheet1'!$L$16"}</definedName>
    <definedName name="___________LAN3" hidden="1">{"'Sheet1'!$L$16"}</definedName>
    <definedName name="___________lop111" localSheetId="1" hidden="1">{#N/A,#N/A,FALSE,"特殊室（ＢＱ表）"}</definedName>
    <definedName name="___________lop111" localSheetId="2" hidden="1">{#N/A,#N/A,FALSE,"特殊室（ＢＱ表）"}</definedName>
    <definedName name="___________lop111" localSheetId="8" hidden="1">{#N/A,#N/A,FALSE,"特殊室（ＢＱ表）"}</definedName>
    <definedName name="___________lop111" hidden="1">{#N/A,#N/A,FALSE,"特殊室（ＢＱ表）"}</definedName>
    <definedName name="___________m4" localSheetId="1" hidden="1">{"'Sheet1'!$L$16"}</definedName>
    <definedName name="___________m4" localSheetId="2" hidden="1">{"'Sheet1'!$L$16"}</definedName>
    <definedName name="___________m4" localSheetId="8" hidden="1">{"'Sheet1'!$L$16"}</definedName>
    <definedName name="___________m4" hidden="1">{"'Sheet1'!$L$16"}</definedName>
    <definedName name="___________NO1" localSheetId="1" hidden="1">#REF!</definedName>
    <definedName name="___________NO1" hidden="1">#REF!</definedName>
    <definedName name="___________NO2" localSheetId="1" hidden="1">#REF!</definedName>
    <definedName name="___________NO2" hidden="1">#REF!</definedName>
    <definedName name="___________NSO2" localSheetId="1" hidden="1">{"'Sheet1'!$L$16"}</definedName>
    <definedName name="___________NSO2" localSheetId="2" hidden="1">{"'Sheet1'!$L$16"}</definedName>
    <definedName name="___________NSO2" localSheetId="8" hidden="1">{"'Sheet1'!$L$16"}</definedName>
    <definedName name="___________NSO2" hidden="1">{"'Sheet1'!$L$16"}</definedName>
    <definedName name="___________ngk1109" localSheetId="1" hidden="1">{#N/A,#N/A,FALSE,"估價單  (3)"}</definedName>
    <definedName name="___________ngk1109" localSheetId="2" hidden="1">{#N/A,#N/A,FALSE,"估價單  (3)"}</definedName>
    <definedName name="___________ngk1109" localSheetId="8" hidden="1">{#N/A,#N/A,FALSE,"估價單  (3)"}</definedName>
    <definedName name="___________ngk1109" hidden="1">{#N/A,#N/A,FALSE,"估價單  (3)"}</definedName>
    <definedName name="___________P3" localSheetId="1" hidden="1">{#N/A,#N/A,FALSE,"特殊室（ＢＱ表）"}</definedName>
    <definedName name="___________P3" localSheetId="2" hidden="1">{#N/A,#N/A,FALSE,"特殊室（ＢＱ表）"}</definedName>
    <definedName name="___________P3" localSheetId="8" hidden="1">{#N/A,#N/A,FALSE,"特殊室（ＢＱ表）"}</definedName>
    <definedName name="___________P3" hidden="1">{#N/A,#N/A,FALSE,"特殊室（ＢＱ表）"}</definedName>
    <definedName name="___________PA3" localSheetId="1" hidden="1">{"'Sheet1'!$L$16"}</definedName>
    <definedName name="___________PA3" localSheetId="2" hidden="1">{"'Sheet1'!$L$16"}</definedName>
    <definedName name="___________PA3" localSheetId="8" hidden="1">{"'Sheet1'!$L$16"}</definedName>
    <definedName name="___________PA3" hidden="1">{"'Sheet1'!$L$16"}</definedName>
    <definedName name="___________PPP3" localSheetId="1" hidden="1">{#N/A,#N/A,FALSE,"特殊室（ＢＱ表）"}</definedName>
    <definedName name="___________PPP3" localSheetId="2" hidden="1">{#N/A,#N/A,FALSE,"特殊室（ＢＱ表）"}</definedName>
    <definedName name="___________PPP3" localSheetId="8" hidden="1">{#N/A,#N/A,FALSE,"特殊室（ＢＱ表）"}</definedName>
    <definedName name="___________PPP3" hidden="1">{#N/A,#N/A,FALSE,"特殊室（ＢＱ表）"}</definedName>
    <definedName name="___________PPP33" localSheetId="1" hidden="1">{#N/A,#N/A,FALSE,"特殊室（ＢＱ表）"}</definedName>
    <definedName name="___________PPP33" localSheetId="2" hidden="1">{#N/A,#N/A,FALSE,"特殊室（ＢＱ表）"}</definedName>
    <definedName name="___________PPP33" localSheetId="8" hidden="1">{#N/A,#N/A,FALSE,"特殊室（ＢＱ表）"}</definedName>
    <definedName name="___________PPP33" hidden="1">{#N/A,#N/A,FALSE,"特殊室（ＢＱ表）"}</definedName>
    <definedName name="___________ppp34" localSheetId="1" hidden="1">{#N/A,#N/A,FALSE,"特殊室（ＢＱ表）"}</definedName>
    <definedName name="___________ppp34" localSheetId="2" hidden="1">{#N/A,#N/A,FALSE,"特殊室（ＢＱ表）"}</definedName>
    <definedName name="___________ppp34" localSheetId="8" hidden="1">{#N/A,#N/A,FALSE,"特殊室（ＢＱ表）"}</definedName>
    <definedName name="___________ppp34" hidden="1">{#N/A,#N/A,FALSE,"特殊室（ＢＱ表）"}</definedName>
    <definedName name="___________ppp3444" localSheetId="1" hidden="1">{#N/A,#N/A,FALSE,"特殊室（ＢＱ表）"}</definedName>
    <definedName name="___________ppp3444" localSheetId="2" hidden="1">{#N/A,#N/A,FALSE,"特殊室（ＢＱ表）"}</definedName>
    <definedName name="___________ppp3444" localSheetId="8" hidden="1">{#N/A,#N/A,FALSE,"特殊室（ＢＱ表）"}</definedName>
    <definedName name="___________ppp3444" hidden="1">{#N/A,#N/A,FALSE,"特殊室（ＢＱ表）"}</definedName>
    <definedName name="___________SCL4" localSheetId="1" hidden="1">{"'Sheet1'!$L$16"}</definedName>
    <definedName name="___________SCL4" localSheetId="2" hidden="1">{"'Sheet1'!$L$16"}</definedName>
    <definedName name="___________SCL4" localSheetId="8" hidden="1">{"'Sheet1'!$L$16"}</definedName>
    <definedName name="___________SCL4" hidden="1">{"'Sheet1'!$L$16"}</definedName>
    <definedName name="___________SCL4_1" localSheetId="1" hidden="1">{"'Sheet1'!$L$16"}</definedName>
    <definedName name="___________SCL4_1" localSheetId="2" hidden="1">{"'Sheet1'!$L$16"}</definedName>
    <definedName name="___________SCL4_1" localSheetId="8" hidden="1">{"'Sheet1'!$L$16"}</definedName>
    <definedName name="___________SCL4_1" hidden="1">{"'Sheet1'!$L$16"}</definedName>
    <definedName name="___________T10" localSheetId="1" hidden="1">{"'Sheet1'!$L$16"}</definedName>
    <definedName name="___________T10" localSheetId="2" hidden="1">{"'Sheet1'!$L$16"}</definedName>
    <definedName name="___________T10" localSheetId="8" hidden="1">{"'Sheet1'!$L$16"}</definedName>
    <definedName name="___________T10" hidden="1">{"'Sheet1'!$L$16"}</definedName>
    <definedName name="___________TM2" localSheetId="1" hidden="1">{"'Sheet1'!$L$16"}</definedName>
    <definedName name="___________TM2" localSheetId="2" hidden="1">{"'Sheet1'!$L$16"}</definedName>
    <definedName name="___________TM2" localSheetId="8" hidden="1">{"'Sheet1'!$L$16"}</definedName>
    <definedName name="___________TM2" hidden="1">{"'Sheet1'!$L$16"}</definedName>
    <definedName name="___________tt3" localSheetId="1" hidden="1">{"'Sheet1'!$L$16"}</definedName>
    <definedName name="___________tt3" localSheetId="2" hidden="1">{"'Sheet1'!$L$16"}</definedName>
    <definedName name="___________tt3" localSheetId="8" hidden="1">{"'Sheet1'!$L$16"}</definedName>
    <definedName name="___________tt3" hidden="1">{"'Sheet1'!$L$16"}</definedName>
    <definedName name="___________tu4" localSheetId="1" hidden="1">{"'Sheet1'!$L$16"}</definedName>
    <definedName name="___________tu4" localSheetId="2" hidden="1">{"'Sheet1'!$L$16"}</definedName>
    <definedName name="___________tu4" localSheetId="8" hidden="1">{"'Sheet1'!$L$16"}</definedName>
    <definedName name="___________tu4" hidden="1">{"'Sheet1'!$L$16"}</definedName>
    <definedName name="___________TV2" localSheetId="1" hidden="1">{"'Sheet1'!$L$16"}</definedName>
    <definedName name="___________TV2" localSheetId="2" hidden="1">{"'Sheet1'!$L$16"}</definedName>
    <definedName name="___________TV2" localSheetId="8" hidden="1">{"'Sheet1'!$L$16"}</definedName>
    <definedName name="___________TV2" hidden="1">{"'Sheet1'!$L$16"}</definedName>
    <definedName name="___________THT11" localSheetId="1" hidden="1">{"'Sheet1'!$L$16"}</definedName>
    <definedName name="___________THT11" localSheetId="2" hidden="1">{"'Sheet1'!$L$16"}</definedName>
    <definedName name="___________THT11" localSheetId="8" hidden="1">{"'Sheet1'!$L$16"}</definedName>
    <definedName name="___________THT11" hidden="1">{"'Sheet1'!$L$16"}</definedName>
    <definedName name="___________VT3" localSheetId="1" hidden="1">{"'Sheet1'!$L$16"}</definedName>
    <definedName name="___________VT3" localSheetId="2" hidden="1">{"'Sheet1'!$L$16"}</definedName>
    <definedName name="___________VT3" localSheetId="8" hidden="1">{"'Sheet1'!$L$16"}</definedName>
    <definedName name="___________VT3" hidden="1">{"'Sheet1'!$L$16"}</definedName>
    <definedName name="___________xlfn.BAHTTEXT" hidden="1">#NAME?</definedName>
    <definedName name="__________a1" localSheetId="1" hidden="1">{"'Sheet1'!$L$16"}</definedName>
    <definedName name="__________a1" localSheetId="2" hidden="1">{"'Sheet1'!$L$16"}</definedName>
    <definedName name="__________a1" localSheetId="8" hidden="1">{"'Sheet1'!$L$16"}</definedName>
    <definedName name="__________a1" hidden="1">{"'Sheet1'!$L$16"}</definedName>
    <definedName name="__________a1_1" localSheetId="1" hidden="1">{"'Sheet1'!$L$16"}</definedName>
    <definedName name="__________a1_1" localSheetId="2" hidden="1">{"'Sheet1'!$L$16"}</definedName>
    <definedName name="__________a1_1" localSheetId="8" hidden="1">{"'Sheet1'!$L$16"}</definedName>
    <definedName name="__________a1_1" hidden="1">{"'Sheet1'!$L$16"}</definedName>
    <definedName name="__________a129" localSheetId="1" hidden="1">{"Offgrid",#N/A,FALSE,"OFFGRID";"Region",#N/A,FALSE,"REGION";"Offgrid -2",#N/A,FALSE,"OFFGRID";"WTP",#N/A,FALSE,"WTP";"WTP -2",#N/A,FALSE,"WTP";"Project",#N/A,FALSE,"PROJECT";"Summary -2",#N/A,FALSE,"SUMMARY"}</definedName>
    <definedName name="__________a129" localSheetId="2" hidden="1">{"Offgrid",#N/A,FALSE,"OFFGRID";"Region",#N/A,FALSE,"REGION";"Offgrid -2",#N/A,FALSE,"OFFGRID";"WTP",#N/A,FALSE,"WTP";"WTP -2",#N/A,FALSE,"WTP";"Project",#N/A,FALSE,"PROJECT";"Summary -2",#N/A,FALSE,"SUMMARY"}</definedName>
    <definedName name="__________a129" localSheetId="8"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1"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130" localSheetId="8"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localSheetId="1" hidden="1">{"'Sheet1'!$L$16"}</definedName>
    <definedName name="__________a2" localSheetId="2" hidden="1">{"'Sheet1'!$L$16"}</definedName>
    <definedName name="__________a2" localSheetId="8" hidden="1">{"'Sheet1'!$L$16"}</definedName>
    <definedName name="__________a2" hidden="1">{"'Sheet1'!$L$16"}</definedName>
    <definedName name="__________BG12" localSheetId="1" hidden="1">{"'Sheet1'!$L$16"}</definedName>
    <definedName name="__________BG12" localSheetId="2" hidden="1">{"'Sheet1'!$L$16"}</definedName>
    <definedName name="__________BG12" localSheetId="8" hidden="1">{"'Sheet1'!$L$16"}</definedName>
    <definedName name="__________BG12" hidden="1">{"'Sheet1'!$L$16"}</definedName>
    <definedName name="__________CN1" localSheetId="1" hidden="1">{"'Sheet1'!$L$16"}</definedName>
    <definedName name="__________CN1" localSheetId="2" hidden="1">{"'Sheet1'!$L$16"}</definedName>
    <definedName name="__________CN1" localSheetId="8" hidden="1">{"'Sheet1'!$L$16"}</definedName>
    <definedName name="__________CN1" hidden="1">{"'Sheet1'!$L$16"}</definedName>
    <definedName name="__________d1500" localSheetId="1" hidden="1">{"'Sheet1'!$L$16"}</definedName>
    <definedName name="__________d1500" localSheetId="2" hidden="1">{"'Sheet1'!$L$16"}</definedName>
    <definedName name="__________d1500" localSheetId="8" hidden="1">{"'Sheet1'!$L$16"}</definedName>
    <definedName name="__________d1500" hidden="1">{"'Sheet1'!$L$16"}</definedName>
    <definedName name="__________DT10" localSheetId="1" hidden="1">{"'Sheet1'!$L$16"}</definedName>
    <definedName name="__________DT10" localSheetId="2" hidden="1">{"'Sheet1'!$L$16"}</definedName>
    <definedName name="__________DT10" localSheetId="8" hidden="1">{"'Sheet1'!$L$16"}</definedName>
    <definedName name="__________DT10" hidden="1">{"'Sheet1'!$L$16"}</definedName>
    <definedName name="__________Goi8" localSheetId="1" hidden="1">{"'Sheet1'!$L$16"}</definedName>
    <definedName name="__________Goi8" localSheetId="2" hidden="1">{"'Sheet1'!$L$16"}</definedName>
    <definedName name="__________Goi8" localSheetId="8" hidden="1">{"'Sheet1'!$L$16"}</definedName>
    <definedName name="__________Goi8" hidden="1">{"'Sheet1'!$L$16"}</definedName>
    <definedName name="__________Goi8_1" localSheetId="1" hidden="1">{"'Sheet1'!$L$16"}</definedName>
    <definedName name="__________Goi8_1" localSheetId="2" hidden="1">{"'Sheet1'!$L$16"}</definedName>
    <definedName name="__________Goi8_1" localSheetId="8" hidden="1">{"'Sheet1'!$L$16"}</definedName>
    <definedName name="__________Goi8_1" hidden="1">{"'Sheet1'!$L$16"}</definedName>
    <definedName name="__________h1" localSheetId="1" hidden="1">{"'Sheet1'!$L$16"}</definedName>
    <definedName name="__________h1" localSheetId="2" hidden="1">{"'Sheet1'!$L$16"}</definedName>
    <definedName name="__________h1" localSheetId="8" hidden="1">{"'Sheet1'!$L$16"}</definedName>
    <definedName name="__________h1" hidden="1">{"'Sheet1'!$L$16"}</definedName>
    <definedName name="__________hu1" localSheetId="1" hidden="1">{"'Sheet1'!$L$16"}</definedName>
    <definedName name="__________hu1" localSheetId="2" hidden="1">{"'Sheet1'!$L$16"}</definedName>
    <definedName name="__________hu1" localSheetId="8" hidden="1">{"'Sheet1'!$L$16"}</definedName>
    <definedName name="__________hu1" hidden="1">{"'Sheet1'!$L$16"}</definedName>
    <definedName name="__________hu2" localSheetId="1" hidden="1">{"'Sheet1'!$L$16"}</definedName>
    <definedName name="__________hu2" localSheetId="2" hidden="1">{"'Sheet1'!$L$16"}</definedName>
    <definedName name="__________hu2" localSheetId="8" hidden="1">{"'Sheet1'!$L$16"}</definedName>
    <definedName name="__________hu2" hidden="1">{"'Sheet1'!$L$16"}</definedName>
    <definedName name="__________hu5" localSheetId="1" hidden="1">{"'Sheet1'!$L$16"}</definedName>
    <definedName name="__________hu5" localSheetId="2" hidden="1">{"'Sheet1'!$L$16"}</definedName>
    <definedName name="__________hu5" localSheetId="8" hidden="1">{"'Sheet1'!$L$16"}</definedName>
    <definedName name="__________hu5" hidden="1">{"'Sheet1'!$L$16"}</definedName>
    <definedName name="__________hu6" localSheetId="1" hidden="1">{"'Sheet1'!$L$16"}</definedName>
    <definedName name="__________hu6" localSheetId="2" hidden="1">{"'Sheet1'!$L$16"}</definedName>
    <definedName name="__________hu6" localSheetId="8" hidden="1">{"'Sheet1'!$L$16"}</definedName>
    <definedName name="__________hu6" hidden="1">{"'Sheet1'!$L$16"}</definedName>
    <definedName name="__________hu7" localSheetId="1" hidden="1">{"'Sheet1'!$L$16"}</definedName>
    <definedName name="__________hu7" localSheetId="2" hidden="1">{"'Sheet1'!$L$16"}</definedName>
    <definedName name="__________hu7" localSheetId="8" hidden="1">{"'Sheet1'!$L$16"}</definedName>
    <definedName name="__________hu7" hidden="1">{"'Sheet1'!$L$16"}</definedName>
    <definedName name="__________Lan1" localSheetId="1" hidden="1">{"'Sheet1'!$L$16"}</definedName>
    <definedName name="__________Lan1" localSheetId="2" hidden="1">{"'Sheet1'!$L$16"}</definedName>
    <definedName name="__________Lan1" localSheetId="8" hidden="1">{"'Sheet1'!$L$16"}</definedName>
    <definedName name="__________Lan1" hidden="1">{"'Sheet1'!$L$16"}</definedName>
    <definedName name="__________LAN3" localSheetId="1" hidden="1">{"'Sheet1'!$L$16"}</definedName>
    <definedName name="__________LAN3" localSheetId="2" hidden="1">{"'Sheet1'!$L$16"}</definedName>
    <definedName name="__________LAN3" localSheetId="8" hidden="1">{"'Sheet1'!$L$16"}</definedName>
    <definedName name="__________LAN3" hidden="1">{"'Sheet1'!$L$16"}</definedName>
    <definedName name="__________lop111" localSheetId="1" hidden="1">{#N/A,#N/A,FALSE,"特殊室（ＢＱ表）"}</definedName>
    <definedName name="__________lop111" localSheetId="2" hidden="1">{#N/A,#N/A,FALSE,"特殊室（ＢＱ表）"}</definedName>
    <definedName name="__________lop111" localSheetId="8" hidden="1">{#N/A,#N/A,FALSE,"特殊室（ＢＱ表）"}</definedName>
    <definedName name="__________lop111" hidden="1">{#N/A,#N/A,FALSE,"特殊室（ＢＱ表）"}</definedName>
    <definedName name="__________m4" localSheetId="1" hidden="1">{"'Sheet1'!$L$16"}</definedName>
    <definedName name="__________m4" localSheetId="2" hidden="1">{"'Sheet1'!$L$16"}</definedName>
    <definedName name="__________m4" localSheetId="8" hidden="1">{"'Sheet1'!$L$16"}</definedName>
    <definedName name="__________m4" hidden="1">{"'Sheet1'!$L$16"}</definedName>
    <definedName name="__________NO1" localSheetId="1" hidden="1">#REF!</definedName>
    <definedName name="__________NO1" hidden="1">#REF!</definedName>
    <definedName name="__________NO2" localSheetId="1" hidden="1">#REF!</definedName>
    <definedName name="__________NO2" hidden="1">#REF!</definedName>
    <definedName name="__________NSO2" localSheetId="1" hidden="1">{"'Sheet1'!$L$16"}</definedName>
    <definedName name="__________NSO2" localSheetId="2" hidden="1">{"'Sheet1'!$L$16"}</definedName>
    <definedName name="__________NSO2" localSheetId="8" hidden="1">{"'Sheet1'!$L$16"}</definedName>
    <definedName name="__________NSO2" hidden="1">{"'Sheet1'!$L$16"}</definedName>
    <definedName name="__________ngk1109" localSheetId="1" hidden="1">{#N/A,#N/A,FALSE,"估價單  (3)"}</definedName>
    <definedName name="__________ngk1109" localSheetId="2" hidden="1">{#N/A,#N/A,FALSE,"估價單  (3)"}</definedName>
    <definedName name="__________ngk1109" localSheetId="8" hidden="1">{#N/A,#N/A,FALSE,"估價單  (3)"}</definedName>
    <definedName name="__________ngk1109" hidden="1">{#N/A,#N/A,FALSE,"估價單  (3)"}</definedName>
    <definedName name="__________P3" localSheetId="1" hidden="1">{#N/A,#N/A,FALSE,"特殊室（ＢＱ表）"}</definedName>
    <definedName name="__________P3" localSheetId="2" hidden="1">{#N/A,#N/A,FALSE,"特殊室（ＢＱ表）"}</definedName>
    <definedName name="__________P3" localSheetId="8" hidden="1">{#N/A,#N/A,FALSE,"特殊室（ＢＱ表）"}</definedName>
    <definedName name="__________P3" hidden="1">{#N/A,#N/A,FALSE,"特殊室（ＢＱ表）"}</definedName>
    <definedName name="__________PA3" localSheetId="1" hidden="1">{"'Sheet1'!$L$16"}</definedName>
    <definedName name="__________PA3" localSheetId="2" hidden="1">{"'Sheet1'!$L$16"}</definedName>
    <definedName name="__________PA3" localSheetId="8" hidden="1">{"'Sheet1'!$L$16"}</definedName>
    <definedName name="__________PA3" hidden="1">{"'Sheet1'!$L$16"}</definedName>
    <definedName name="__________PPP3" localSheetId="1" hidden="1">{#N/A,#N/A,FALSE,"特殊室（ＢＱ表）"}</definedName>
    <definedName name="__________PPP3" localSheetId="2" hidden="1">{#N/A,#N/A,FALSE,"特殊室（ＢＱ表）"}</definedName>
    <definedName name="__________PPP3" localSheetId="8" hidden="1">{#N/A,#N/A,FALSE,"特殊室（ＢＱ表）"}</definedName>
    <definedName name="__________PPP3" hidden="1">{#N/A,#N/A,FALSE,"特殊室（ＢＱ表）"}</definedName>
    <definedName name="__________PPP33" localSheetId="1" hidden="1">{#N/A,#N/A,FALSE,"特殊室（ＢＱ表）"}</definedName>
    <definedName name="__________PPP33" localSheetId="2" hidden="1">{#N/A,#N/A,FALSE,"特殊室（ＢＱ表）"}</definedName>
    <definedName name="__________PPP33" localSheetId="8" hidden="1">{#N/A,#N/A,FALSE,"特殊室（ＢＱ表）"}</definedName>
    <definedName name="__________PPP33" hidden="1">{#N/A,#N/A,FALSE,"特殊室（ＢＱ表）"}</definedName>
    <definedName name="__________ppp34" localSheetId="1" hidden="1">{#N/A,#N/A,FALSE,"特殊室（ＢＱ表）"}</definedName>
    <definedName name="__________ppp34" localSheetId="2" hidden="1">{#N/A,#N/A,FALSE,"特殊室（ＢＱ表）"}</definedName>
    <definedName name="__________ppp34" localSheetId="8" hidden="1">{#N/A,#N/A,FALSE,"特殊室（ＢＱ表）"}</definedName>
    <definedName name="__________ppp34" hidden="1">{#N/A,#N/A,FALSE,"特殊室（ＢＱ表）"}</definedName>
    <definedName name="__________ppp3444" localSheetId="1" hidden="1">{#N/A,#N/A,FALSE,"特殊室（ＢＱ表）"}</definedName>
    <definedName name="__________ppp3444" localSheetId="2" hidden="1">{#N/A,#N/A,FALSE,"特殊室（ＢＱ表）"}</definedName>
    <definedName name="__________ppp3444" localSheetId="8" hidden="1">{#N/A,#N/A,FALSE,"特殊室（ＢＱ表）"}</definedName>
    <definedName name="__________ppp3444" hidden="1">{#N/A,#N/A,FALSE,"特殊室（ＢＱ表）"}</definedName>
    <definedName name="__________SCL4" localSheetId="1" hidden="1">{"'Sheet1'!$L$16"}</definedName>
    <definedName name="__________SCL4" localSheetId="2" hidden="1">{"'Sheet1'!$L$16"}</definedName>
    <definedName name="__________SCL4" localSheetId="8" hidden="1">{"'Sheet1'!$L$16"}</definedName>
    <definedName name="__________SCL4" hidden="1">{"'Sheet1'!$L$16"}</definedName>
    <definedName name="__________SCL4_1" localSheetId="1" hidden="1">{"'Sheet1'!$L$16"}</definedName>
    <definedName name="__________SCL4_1" localSheetId="2" hidden="1">{"'Sheet1'!$L$16"}</definedName>
    <definedName name="__________SCL4_1" localSheetId="8" hidden="1">{"'Sheet1'!$L$16"}</definedName>
    <definedName name="__________SCL4_1" hidden="1">{"'Sheet1'!$L$16"}</definedName>
    <definedName name="__________T10" localSheetId="1" hidden="1">{"'Sheet1'!$L$16"}</definedName>
    <definedName name="__________T10" localSheetId="2" hidden="1">{"'Sheet1'!$L$16"}</definedName>
    <definedName name="__________T10" localSheetId="8" hidden="1">{"'Sheet1'!$L$16"}</definedName>
    <definedName name="__________T10" hidden="1">{"'Sheet1'!$L$16"}</definedName>
    <definedName name="__________TM2" localSheetId="1" hidden="1">{"'Sheet1'!$L$16"}</definedName>
    <definedName name="__________TM2" localSheetId="2" hidden="1">{"'Sheet1'!$L$16"}</definedName>
    <definedName name="__________TM2" localSheetId="8" hidden="1">{"'Sheet1'!$L$16"}</definedName>
    <definedName name="__________TM2" hidden="1">{"'Sheet1'!$L$16"}</definedName>
    <definedName name="__________tt3" localSheetId="1" hidden="1">{"'Sheet1'!$L$16"}</definedName>
    <definedName name="__________tt3" localSheetId="2" hidden="1">{"'Sheet1'!$L$16"}</definedName>
    <definedName name="__________tt3" localSheetId="8" hidden="1">{"'Sheet1'!$L$16"}</definedName>
    <definedName name="__________tt3" hidden="1">{"'Sheet1'!$L$16"}</definedName>
    <definedName name="__________tu4" localSheetId="1" hidden="1">{"'Sheet1'!$L$16"}</definedName>
    <definedName name="__________tu4" localSheetId="2" hidden="1">{"'Sheet1'!$L$16"}</definedName>
    <definedName name="__________tu4" localSheetId="8" hidden="1">{"'Sheet1'!$L$16"}</definedName>
    <definedName name="__________tu4" hidden="1">{"'Sheet1'!$L$16"}</definedName>
    <definedName name="__________TH1" localSheetId="1" hidden="1">{"'Sheet1'!$L$16"}</definedName>
    <definedName name="__________TH1" localSheetId="2" hidden="1">{"'Sheet1'!$L$16"}</definedName>
    <definedName name="__________TH1" localSheetId="8" hidden="1">{"'Sheet1'!$L$16"}</definedName>
    <definedName name="__________TH1" hidden="1">{"'Sheet1'!$L$16"}</definedName>
    <definedName name="__________VT3" localSheetId="1" hidden="1">{"'Sheet1'!$L$16"}</definedName>
    <definedName name="__________VT3" localSheetId="2" hidden="1">{"'Sheet1'!$L$16"}</definedName>
    <definedName name="__________VT3" localSheetId="8" hidden="1">{"'Sheet1'!$L$16"}</definedName>
    <definedName name="__________VT3" hidden="1">{"'Sheet1'!$L$16"}</definedName>
    <definedName name="__________xlfn.BAHTTEXT" hidden="1">#NAME?</definedName>
    <definedName name="_________a1" localSheetId="1" hidden="1">{"'Sheet1'!$L$16"}</definedName>
    <definedName name="_________a1" localSheetId="2" hidden="1">{"'Sheet1'!$L$16"}</definedName>
    <definedName name="_________a1" localSheetId="8" hidden="1">{"'Sheet1'!$L$16"}</definedName>
    <definedName name="_________a1" hidden="1">{"'Sheet1'!$L$16"}</definedName>
    <definedName name="_________a1_1" localSheetId="1" hidden="1">{"'Sheet1'!$L$16"}</definedName>
    <definedName name="_________a1_1" localSheetId="2" hidden="1">{"'Sheet1'!$L$16"}</definedName>
    <definedName name="_________a1_1" localSheetId="8" hidden="1">{"'Sheet1'!$L$16"}</definedName>
    <definedName name="_________a1_1" hidden="1">{"'Sheet1'!$L$16"}</definedName>
    <definedName name="_________a129" localSheetId="1" hidden="1">{"Offgrid",#N/A,FALSE,"OFFGRID";"Region",#N/A,FALSE,"REGION";"Offgrid -2",#N/A,FALSE,"OFFGRID";"WTP",#N/A,FALSE,"WTP";"WTP -2",#N/A,FALSE,"WTP";"Project",#N/A,FALSE,"PROJECT";"Summary -2",#N/A,FALSE,"SUMMARY"}</definedName>
    <definedName name="_________a129" localSheetId="2" hidden="1">{"Offgrid",#N/A,FALSE,"OFFGRID";"Region",#N/A,FALSE,"REGION";"Offgrid -2",#N/A,FALSE,"OFFGRID";"WTP",#N/A,FALSE,"WTP";"WTP -2",#N/A,FALSE,"WTP";"Project",#N/A,FALSE,"PROJECT";"Summary -2",#N/A,FALSE,"SUMMARY"}</definedName>
    <definedName name="_________a129" localSheetId="8"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1"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130" localSheetId="8"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localSheetId="1" hidden="1">{"'Sheet1'!$L$16"}</definedName>
    <definedName name="_________a2" localSheetId="2" hidden="1">{"'Sheet1'!$L$16"}</definedName>
    <definedName name="_________a2" localSheetId="8" hidden="1">{"'Sheet1'!$L$16"}</definedName>
    <definedName name="_________a2" hidden="1">{"'Sheet1'!$L$16"}</definedName>
    <definedName name="_________BG12" localSheetId="1" hidden="1">{"'Sheet1'!$L$16"}</definedName>
    <definedName name="_________BG12" localSheetId="2" hidden="1">{"'Sheet1'!$L$16"}</definedName>
    <definedName name="_________BG12" localSheetId="8" hidden="1">{"'Sheet1'!$L$16"}</definedName>
    <definedName name="_________BG12" hidden="1">{"'Sheet1'!$L$16"}</definedName>
    <definedName name="_________CN1" localSheetId="1" hidden="1">{"'Sheet1'!$L$16"}</definedName>
    <definedName name="_________CN1" localSheetId="2" hidden="1">{"'Sheet1'!$L$16"}</definedName>
    <definedName name="_________CN1" localSheetId="8" hidden="1">{"'Sheet1'!$L$16"}</definedName>
    <definedName name="_________CN1" hidden="1">{"'Sheet1'!$L$16"}</definedName>
    <definedName name="_________d1500" localSheetId="1" hidden="1">{"'Sheet1'!$L$16"}</definedName>
    <definedName name="_________d1500" localSheetId="2" hidden="1">{"'Sheet1'!$L$16"}</definedName>
    <definedName name="_________d1500" localSheetId="8" hidden="1">{"'Sheet1'!$L$16"}</definedName>
    <definedName name="_________d1500" hidden="1">{"'Sheet1'!$L$16"}</definedName>
    <definedName name="_________DT10" localSheetId="1" hidden="1">{"'Sheet1'!$L$16"}</definedName>
    <definedName name="_________DT10" localSheetId="2" hidden="1">{"'Sheet1'!$L$16"}</definedName>
    <definedName name="_________DT10" localSheetId="8" hidden="1">{"'Sheet1'!$L$16"}</definedName>
    <definedName name="_________DT10" hidden="1">{"'Sheet1'!$L$16"}</definedName>
    <definedName name="_________Goi8" localSheetId="1" hidden="1">{"'Sheet1'!$L$16"}</definedName>
    <definedName name="_________Goi8" localSheetId="2" hidden="1">{"'Sheet1'!$L$16"}</definedName>
    <definedName name="_________Goi8" localSheetId="8" hidden="1">{"'Sheet1'!$L$16"}</definedName>
    <definedName name="_________Goi8" hidden="1">{"'Sheet1'!$L$16"}</definedName>
    <definedName name="_________Goi8_1" localSheetId="1" hidden="1">{"'Sheet1'!$L$16"}</definedName>
    <definedName name="_________Goi8_1" localSheetId="2" hidden="1">{"'Sheet1'!$L$16"}</definedName>
    <definedName name="_________Goi8_1" localSheetId="8" hidden="1">{"'Sheet1'!$L$16"}</definedName>
    <definedName name="_________Goi8_1" hidden="1">{"'Sheet1'!$L$16"}</definedName>
    <definedName name="_________h1" localSheetId="1" hidden="1">{"'Sheet1'!$L$16"}</definedName>
    <definedName name="_________h1" localSheetId="2" hidden="1">{"'Sheet1'!$L$16"}</definedName>
    <definedName name="_________h1" localSheetId="8" hidden="1">{"'Sheet1'!$L$16"}</definedName>
    <definedName name="_________h1" hidden="1">{"'Sheet1'!$L$16"}</definedName>
    <definedName name="_________hu1" localSheetId="1" hidden="1">{"'Sheet1'!$L$16"}</definedName>
    <definedName name="_________hu1" localSheetId="2" hidden="1">{"'Sheet1'!$L$16"}</definedName>
    <definedName name="_________hu1" localSheetId="8" hidden="1">{"'Sheet1'!$L$16"}</definedName>
    <definedName name="_________hu1" hidden="1">{"'Sheet1'!$L$16"}</definedName>
    <definedName name="_________hu2" localSheetId="1" hidden="1">{"'Sheet1'!$L$16"}</definedName>
    <definedName name="_________hu2" localSheetId="2" hidden="1">{"'Sheet1'!$L$16"}</definedName>
    <definedName name="_________hu2" localSheetId="8" hidden="1">{"'Sheet1'!$L$16"}</definedName>
    <definedName name="_________hu2" hidden="1">{"'Sheet1'!$L$16"}</definedName>
    <definedName name="_________hu5" localSheetId="1" hidden="1">{"'Sheet1'!$L$16"}</definedName>
    <definedName name="_________hu5" localSheetId="2" hidden="1">{"'Sheet1'!$L$16"}</definedName>
    <definedName name="_________hu5" localSheetId="8" hidden="1">{"'Sheet1'!$L$16"}</definedName>
    <definedName name="_________hu5" hidden="1">{"'Sheet1'!$L$16"}</definedName>
    <definedName name="_________hu6" localSheetId="1" hidden="1">{"'Sheet1'!$L$16"}</definedName>
    <definedName name="_________hu6" localSheetId="2" hidden="1">{"'Sheet1'!$L$16"}</definedName>
    <definedName name="_________hu6" localSheetId="8" hidden="1">{"'Sheet1'!$L$16"}</definedName>
    <definedName name="_________hu6" hidden="1">{"'Sheet1'!$L$16"}</definedName>
    <definedName name="_________hu7" localSheetId="1" hidden="1">{"'Sheet1'!$L$16"}</definedName>
    <definedName name="_________hu7" localSheetId="2" hidden="1">{"'Sheet1'!$L$16"}</definedName>
    <definedName name="_________hu7" localSheetId="8" hidden="1">{"'Sheet1'!$L$16"}</definedName>
    <definedName name="_________hu7" hidden="1">{"'Sheet1'!$L$16"}</definedName>
    <definedName name="_________Lan1" localSheetId="1" hidden="1">{"'Sheet1'!$L$16"}</definedName>
    <definedName name="_________Lan1" localSheetId="2" hidden="1">{"'Sheet1'!$L$16"}</definedName>
    <definedName name="_________Lan1" localSheetId="8" hidden="1">{"'Sheet1'!$L$16"}</definedName>
    <definedName name="_________Lan1" hidden="1">{"'Sheet1'!$L$16"}</definedName>
    <definedName name="_________LAN3" localSheetId="1" hidden="1">{"'Sheet1'!$L$16"}</definedName>
    <definedName name="_________LAN3" localSheetId="2" hidden="1">{"'Sheet1'!$L$16"}</definedName>
    <definedName name="_________LAN3" localSheetId="8" hidden="1">{"'Sheet1'!$L$16"}</definedName>
    <definedName name="_________LAN3" hidden="1">{"'Sheet1'!$L$16"}</definedName>
    <definedName name="_________lop111" localSheetId="1" hidden="1">{#N/A,#N/A,FALSE,"特殊室（ＢＱ表）"}</definedName>
    <definedName name="_________lop111" localSheetId="2" hidden="1">{#N/A,#N/A,FALSE,"特殊室（ＢＱ表）"}</definedName>
    <definedName name="_________lop111" localSheetId="8" hidden="1">{#N/A,#N/A,FALSE,"特殊室（ＢＱ表）"}</definedName>
    <definedName name="_________lop111" hidden="1">{#N/A,#N/A,FALSE,"特殊室（ＢＱ表）"}</definedName>
    <definedName name="_________m4" localSheetId="1" hidden="1">{"'Sheet1'!$L$16"}</definedName>
    <definedName name="_________m4" localSheetId="2" hidden="1">{"'Sheet1'!$L$16"}</definedName>
    <definedName name="_________m4" localSheetId="8" hidden="1">{"'Sheet1'!$L$16"}</definedName>
    <definedName name="_________m4" hidden="1">{"'Sheet1'!$L$16"}</definedName>
    <definedName name="_________NO1" localSheetId="1" hidden="1">#REF!</definedName>
    <definedName name="_________NO1" hidden="1">#REF!</definedName>
    <definedName name="_________NO2" localSheetId="1" hidden="1">#REF!</definedName>
    <definedName name="_________NO2" hidden="1">#REF!</definedName>
    <definedName name="_________NSO2" localSheetId="1" hidden="1">{"'Sheet1'!$L$16"}</definedName>
    <definedName name="_________NSO2" localSheetId="2" hidden="1">{"'Sheet1'!$L$16"}</definedName>
    <definedName name="_________NSO2" localSheetId="8" hidden="1">{"'Sheet1'!$L$16"}</definedName>
    <definedName name="_________NSO2" hidden="1">{"'Sheet1'!$L$16"}</definedName>
    <definedName name="_________ngk1109" localSheetId="1" hidden="1">{#N/A,#N/A,FALSE,"估價單  (3)"}</definedName>
    <definedName name="_________ngk1109" localSheetId="2" hidden="1">{#N/A,#N/A,FALSE,"估價單  (3)"}</definedName>
    <definedName name="_________ngk1109" localSheetId="8" hidden="1">{#N/A,#N/A,FALSE,"估價單  (3)"}</definedName>
    <definedName name="_________ngk1109" hidden="1">{#N/A,#N/A,FALSE,"估價單  (3)"}</definedName>
    <definedName name="_________P3" localSheetId="1" hidden="1">{#N/A,#N/A,FALSE,"特殊室（ＢＱ表）"}</definedName>
    <definedName name="_________P3" localSheetId="2" hidden="1">{#N/A,#N/A,FALSE,"特殊室（ＢＱ表）"}</definedName>
    <definedName name="_________P3" localSheetId="8" hidden="1">{#N/A,#N/A,FALSE,"特殊室（ＢＱ表）"}</definedName>
    <definedName name="_________P3" hidden="1">{#N/A,#N/A,FALSE,"特殊室（ＢＱ表）"}</definedName>
    <definedName name="_________PA3" localSheetId="1" hidden="1">{"'Sheet1'!$L$16"}</definedName>
    <definedName name="_________PA3" localSheetId="2" hidden="1">{"'Sheet1'!$L$16"}</definedName>
    <definedName name="_________PA3" localSheetId="8" hidden="1">{"'Sheet1'!$L$16"}</definedName>
    <definedName name="_________PA3" hidden="1">{"'Sheet1'!$L$16"}</definedName>
    <definedName name="_________PPP3" localSheetId="1" hidden="1">{#N/A,#N/A,FALSE,"特殊室（ＢＱ表）"}</definedName>
    <definedName name="_________PPP3" localSheetId="2" hidden="1">{#N/A,#N/A,FALSE,"特殊室（ＢＱ表）"}</definedName>
    <definedName name="_________PPP3" localSheetId="8" hidden="1">{#N/A,#N/A,FALSE,"特殊室（ＢＱ表）"}</definedName>
    <definedName name="_________PPP3" hidden="1">{#N/A,#N/A,FALSE,"特殊室（ＢＱ表）"}</definedName>
    <definedName name="_________PPP33" localSheetId="1" hidden="1">{#N/A,#N/A,FALSE,"特殊室（ＢＱ表）"}</definedName>
    <definedName name="_________PPP33" localSheetId="2" hidden="1">{#N/A,#N/A,FALSE,"特殊室（ＢＱ表）"}</definedName>
    <definedName name="_________PPP33" localSheetId="8" hidden="1">{#N/A,#N/A,FALSE,"特殊室（ＢＱ表）"}</definedName>
    <definedName name="_________PPP33" hidden="1">{#N/A,#N/A,FALSE,"特殊室（ＢＱ表）"}</definedName>
    <definedName name="_________ppp34" localSheetId="1" hidden="1">{#N/A,#N/A,FALSE,"特殊室（ＢＱ表）"}</definedName>
    <definedName name="_________ppp34" localSheetId="2" hidden="1">{#N/A,#N/A,FALSE,"特殊室（ＢＱ表）"}</definedName>
    <definedName name="_________ppp34" localSheetId="8" hidden="1">{#N/A,#N/A,FALSE,"特殊室（ＢＱ表）"}</definedName>
    <definedName name="_________ppp34" hidden="1">{#N/A,#N/A,FALSE,"特殊室（ＢＱ表）"}</definedName>
    <definedName name="_________ppp3444" localSheetId="1" hidden="1">{#N/A,#N/A,FALSE,"特殊室（ＢＱ表）"}</definedName>
    <definedName name="_________ppp3444" localSheetId="2" hidden="1">{#N/A,#N/A,FALSE,"特殊室（ＢＱ表）"}</definedName>
    <definedName name="_________ppp3444" localSheetId="8" hidden="1">{#N/A,#N/A,FALSE,"特殊室（ＢＱ表）"}</definedName>
    <definedName name="_________ppp3444" hidden="1">{#N/A,#N/A,FALSE,"特殊室（ＢＱ表）"}</definedName>
    <definedName name="_________SCL4" localSheetId="1" hidden="1">{"'Sheet1'!$L$16"}</definedName>
    <definedName name="_________SCL4" localSheetId="2" hidden="1">{"'Sheet1'!$L$16"}</definedName>
    <definedName name="_________SCL4" localSheetId="8" hidden="1">{"'Sheet1'!$L$16"}</definedName>
    <definedName name="_________SCL4" hidden="1">{"'Sheet1'!$L$16"}</definedName>
    <definedName name="_________SCL4_1" localSheetId="1" hidden="1">{"'Sheet1'!$L$16"}</definedName>
    <definedName name="_________SCL4_1" localSheetId="2" hidden="1">{"'Sheet1'!$L$16"}</definedName>
    <definedName name="_________SCL4_1" localSheetId="8" hidden="1">{"'Sheet1'!$L$16"}</definedName>
    <definedName name="_________SCL4_1" hidden="1">{"'Sheet1'!$L$16"}</definedName>
    <definedName name="_________T10" localSheetId="1" hidden="1">{"'Sheet1'!$L$16"}</definedName>
    <definedName name="_________T10" localSheetId="2" hidden="1">{"'Sheet1'!$L$16"}</definedName>
    <definedName name="_________T10" localSheetId="8" hidden="1">{"'Sheet1'!$L$16"}</definedName>
    <definedName name="_________T10" hidden="1">{"'Sheet1'!$L$16"}</definedName>
    <definedName name="_________T3" localSheetId="1" hidden="1">{"'Sheet1'!$L$16"}</definedName>
    <definedName name="_________T3" localSheetId="2" hidden="1">{"'Sheet1'!$L$16"}</definedName>
    <definedName name="_________T3" localSheetId="8" hidden="1">{"'Sheet1'!$L$16"}</definedName>
    <definedName name="_________T3" hidden="1">{"'Sheet1'!$L$16"}</definedName>
    <definedName name="_________TM2" localSheetId="1" hidden="1">{"'Sheet1'!$L$16"}</definedName>
    <definedName name="_________TM2" localSheetId="2" hidden="1">{"'Sheet1'!$L$16"}</definedName>
    <definedName name="_________TM2" localSheetId="8" hidden="1">{"'Sheet1'!$L$16"}</definedName>
    <definedName name="_________TM2" hidden="1">{"'Sheet1'!$L$16"}</definedName>
    <definedName name="_________TT04" hidden="1">#REF!</definedName>
    <definedName name="_________tt3" localSheetId="1" hidden="1">{"'Sheet1'!$L$16"}</definedName>
    <definedName name="_________tt3" localSheetId="2" hidden="1">{"'Sheet1'!$L$16"}</definedName>
    <definedName name="_________tt3" localSheetId="8" hidden="1">{"'Sheet1'!$L$16"}</definedName>
    <definedName name="_________tt3" hidden="1">{"'Sheet1'!$L$16"}</definedName>
    <definedName name="_________tu4" localSheetId="1" hidden="1">{"'Sheet1'!$L$16"}</definedName>
    <definedName name="_________tu4" localSheetId="2" hidden="1">{"'Sheet1'!$L$16"}</definedName>
    <definedName name="_________tu4" localSheetId="8" hidden="1">{"'Sheet1'!$L$16"}</definedName>
    <definedName name="_________tu4" hidden="1">{"'Sheet1'!$L$16"}</definedName>
    <definedName name="_________TV2" localSheetId="1" hidden="1">{"'Sheet1'!$L$16"}</definedName>
    <definedName name="_________TV2" localSheetId="2" hidden="1">{"'Sheet1'!$L$16"}</definedName>
    <definedName name="_________TV2" localSheetId="8" hidden="1">{"'Sheet1'!$L$16"}</definedName>
    <definedName name="_________TV2" hidden="1">{"'Sheet1'!$L$16"}</definedName>
    <definedName name="_________TH1" localSheetId="1" hidden="1">{"'Sheet1'!$L$16"}</definedName>
    <definedName name="_________TH1" localSheetId="2" hidden="1">{"'Sheet1'!$L$16"}</definedName>
    <definedName name="_________TH1" localSheetId="8" hidden="1">{"'Sheet1'!$L$16"}</definedName>
    <definedName name="_________TH1" hidden="1">{"'Sheet1'!$L$16"}</definedName>
    <definedName name="_________THT11" localSheetId="1" hidden="1">{"'Sheet1'!$L$16"}</definedName>
    <definedName name="_________THT11" localSheetId="2" hidden="1">{"'Sheet1'!$L$16"}</definedName>
    <definedName name="_________THT11" localSheetId="8" hidden="1">{"'Sheet1'!$L$16"}</definedName>
    <definedName name="_________THT11" hidden="1">{"'Sheet1'!$L$16"}</definedName>
    <definedName name="_________VT3" localSheetId="1" hidden="1">{"'Sheet1'!$L$16"}</definedName>
    <definedName name="_________VT3" localSheetId="2" hidden="1">{"'Sheet1'!$L$16"}</definedName>
    <definedName name="_________VT3" localSheetId="8" hidden="1">{"'Sheet1'!$L$16"}</definedName>
    <definedName name="_________VT3" hidden="1">{"'Sheet1'!$L$16"}</definedName>
    <definedName name="_________xlfn.BAHTTEXT" hidden="1">#NAME?</definedName>
    <definedName name="________a1" localSheetId="1" hidden="1">{"'Sheet1'!$L$16"}</definedName>
    <definedName name="________a1" localSheetId="2" hidden="1">{"'Sheet1'!$L$16"}</definedName>
    <definedName name="________a1" localSheetId="8" hidden="1">{"'Sheet1'!$L$16"}</definedName>
    <definedName name="________a1" hidden="1">{"'Sheet1'!$L$16"}</definedName>
    <definedName name="________a1_1" localSheetId="1" hidden="1">{"'Sheet1'!$L$16"}</definedName>
    <definedName name="________a1_1" localSheetId="2" hidden="1">{"'Sheet1'!$L$16"}</definedName>
    <definedName name="________a1_1" localSheetId="8" hidden="1">{"'Sheet1'!$L$16"}</definedName>
    <definedName name="________a1_1" hidden="1">{"'Sheet1'!$L$16"}</definedName>
    <definedName name="________a129" localSheetId="1" hidden="1">{"Offgrid",#N/A,FALSE,"OFFGRID";"Region",#N/A,FALSE,"REGION";"Offgrid -2",#N/A,FALSE,"OFFGRID";"WTP",#N/A,FALSE,"WTP";"WTP -2",#N/A,FALSE,"WTP";"Project",#N/A,FALSE,"PROJECT";"Summary -2",#N/A,FALSE,"SUMMARY"}</definedName>
    <definedName name="________a129" localSheetId="2" hidden="1">{"Offgrid",#N/A,FALSE,"OFFGRID";"Region",#N/A,FALSE,"REGION";"Offgrid -2",#N/A,FALSE,"OFFGRID";"WTP",#N/A,FALSE,"WTP";"WTP -2",#N/A,FALSE,"WTP";"Project",#N/A,FALSE,"PROJECT";"Summary -2",#N/A,FALSE,"SUMMARY"}</definedName>
    <definedName name="________a129" localSheetId="8"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130" localSheetId="8"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localSheetId="1" hidden="1">{"'Sheet1'!$L$16"}</definedName>
    <definedName name="________a2" localSheetId="2" hidden="1">{"'Sheet1'!$L$16"}</definedName>
    <definedName name="________a2" localSheetId="8" hidden="1">{"'Sheet1'!$L$16"}</definedName>
    <definedName name="________a2" hidden="1">{"'Sheet1'!$L$16"}</definedName>
    <definedName name="________BG12" localSheetId="1" hidden="1">{"'Sheet1'!$L$16"}</definedName>
    <definedName name="________BG12" localSheetId="2" hidden="1">{"'Sheet1'!$L$16"}</definedName>
    <definedName name="________BG12" localSheetId="8" hidden="1">{"'Sheet1'!$L$16"}</definedName>
    <definedName name="________BG12" hidden="1">{"'Sheet1'!$L$16"}</definedName>
    <definedName name="________CN1" localSheetId="1" hidden="1">{"'Sheet1'!$L$16"}</definedName>
    <definedName name="________CN1" localSheetId="2" hidden="1">{"'Sheet1'!$L$16"}</definedName>
    <definedName name="________CN1" localSheetId="8" hidden="1">{"'Sheet1'!$L$16"}</definedName>
    <definedName name="________CN1" hidden="1">{"'Sheet1'!$L$16"}</definedName>
    <definedName name="________d1500" localSheetId="1" hidden="1">{"'Sheet1'!$L$16"}</definedName>
    <definedName name="________d1500" localSheetId="2" hidden="1">{"'Sheet1'!$L$16"}</definedName>
    <definedName name="________d1500" localSheetId="8" hidden="1">{"'Sheet1'!$L$16"}</definedName>
    <definedName name="________d1500" hidden="1">{"'Sheet1'!$L$16"}</definedName>
    <definedName name="________DT10" localSheetId="1" hidden="1">{"'Sheet1'!$L$16"}</definedName>
    <definedName name="________DT10" localSheetId="2" hidden="1">{"'Sheet1'!$L$16"}</definedName>
    <definedName name="________DT10" localSheetId="8" hidden="1">{"'Sheet1'!$L$16"}</definedName>
    <definedName name="________DT10" hidden="1">{"'Sheet1'!$L$16"}</definedName>
    <definedName name="________Goi8" localSheetId="1" hidden="1">{"'Sheet1'!$L$16"}</definedName>
    <definedName name="________Goi8" localSheetId="2" hidden="1">{"'Sheet1'!$L$16"}</definedName>
    <definedName name="________Goi8" localSheetId="8" hidden="1">{"'Sheet1'!$L$16"}</definedName>
    <definedName name="________Goi8" hidden="1">{"'Sheet1'!$L$16"}</definedName>
    <definedName name="________Goi8_1" localSheetId="1" hidden="1">{"'Sheet1'!$L$16"}</definedName>
    <definedName name="________Goi8_1" localSheetId="2" hidden="1">{"'Sheet1'!$L$16"}</definedName>
    <definedName name="________Goi8_1" localSheetId="8" hidden="1">{"'Sheet1'!$L$16"}</definedName>
    <definedName name="________Goi8_1" hidden="1">{"'Sheet1'!$L$16"}</definedName>
    <definedName name="________h1" localSheetId="1" hidden="1">{"'Sheet1'!$L$16"}</definedName>
    <definedName name="________h1" localSheetId="2" hidden="1">{"'Sheet1'!$L$16"}</definedName>
    <definedName name="________h1" localSheetId="8" hidden="1">{"'Sheet1'!$L$16"}</definedName>
    <definedName name="________h1" hidden="1">{"'Sheet1'!$L$16"}</definedName>
    <definedName name="________hu1" localSheetId="1" hidden="1">{"'Sheet1'!$L$16"}</definedName>
    <definedName name="________hu1" localSheetId="2" hidden="1">{"'Sheet1'!$L$16"}</definedName>
    <definedName name="________hu1" localSheetId="8" hidden="1">{"'Sheet1'!$L$16"}</definedName>
    <definedName name="________hu1" hidden="1">{"'Sheet1'!$L$16"}</definedName>
    <definedName name="________hu2" localSheetId="1" hidden="1">{"'Sheet1'!$L$16"}</definedName>
    <definedName name="________hu2" localSheetId="2" hidden="1">{"'Sheet1'!$L$16"}</definedName>
    <definedName name="________hu2" localSheetId="8" hidden="1">{"'Sheet1'!$L$16"}</definedName>
    <definedName name="________hu2" hidden="1">{"'Sheet1'!$L$16"}</definedName>
    <definedName name="________hu5" localSheetId="1" hidden="1">{"'Sheet1'!$L$16"}</definedName>
    <definedName name="________hu5" localSheetId="2" hidden="1">{"'Sheet1'!$L$16"}</definedName>
    <definedName name="________hu5" localSheetId="8" hidden="1">{"'Sheet1'!$L$16"}</definedName>
    <definedName name="________hu5" hidden="1">{"'Sheet1'!$L$16"}</definedName>
    <definedName name="________hu6" localSheetId="1" hidden="1">{"'Sheet1'!$L$16"}</definedName>
    <definedName name="________hu6" localSheetId="2" hidden="1">{"'Sheet1'!$L$16"}</definedName>
    <definedName name="________hu6" localSheetId="8" hidden="1">{"'Sheet1'!$L$16"}</definedName>
    <definedName name="________hu6" hidden="1">{"'Sheet1'!$L$16"}</definedName>
    <definedName name="________hu7" localSheetId="1" hidden="1">{"'Sheet1'!$L$16"}</definedName>
    <definedName name="________hu7" localSheetId="2" hidden="1">{"'Sheet1'!$L$16"}</definedName>
    <definedName name="________hu7" localSheetId="8" hidden="1">{"'Sheet1'!$L$16"}</definedName>
    <definedName name="________hu7" hidden="1">{"'Sheet1'!$L$16"}</definedName>
    <definedName name="________key1" hidden="1">#REF!</definedName>
    <definedName name="________key2" hidden="1">#REF!</definedName>
    <definedName name="________Lan1" localSheetId="1" hidden="1">{"'Sheet1'!$L$16"}</definedName>
    <definedName name="________Lan1" localSheetId="2" hidden="1">{"'Sheet1'!$L$16"}</definedName>
    <definedName name="________Lan1" localSheetId="8" hidden="1">{"'Sheet1'!$L$16"}</definedName>
    <definedName name="________Lan1" hidden="1">{"'Sheet1'!$L$16"}</definedName>
    <definedName name="________LAN3" localSheetId="1" hidden="1">{"'Sheet1'!$L$16"}</definedName>
    <definedName name="________LAN3" localSheetId="2" hidden="1">{"'Sheet1'!$L$16"}</definedName>
    <definedName name="________LAN3" localSheetId="8" hidden="1">{"'Sheet1'!$L$16"}</definedName>
    <definedName name="________LAN3" hidden="1">{"'Sheet1'!$L$16"}</definedName>
    <definedName name="________lop111" localSheetId="1" hidden="1">{#N/A,#N/A,FALSE,"特殊室（ＢＱ表）"}</definedName>
    <definedName name="________lop111" localSheetId="2" hidden="1">{#N/A,#N/A,FALSE,"特殊室（ＢＱ表）"}</definedName>
    <definedName name="________lop111" localSheetId="8" hidden="1">{#N/A,#N/A,FALSE,"特殊室（ＢＱ表）"}</definedName>
    <definedName name="________lop111" hidden="1">{#N/A,#N/A,FALSE,"特殊室（ＢＱ表）"}</definedName>
    <definedName name="________m4" localSheetId="1" hidden="1">{"'Sheet1'!$L$16"}</definedName>
    <definedName name="________m4" localSheetId="2" hidden="1">{"'Sheet1'!$L$16"}</definedName>
    <definedName name="________m4" localSheetId="8" hidden="1">{"'Sheet1'!$L$16"}</definedName>
    <definedName name="________m4" hidden="1">{"'Sheet1'!$L$16"}</definedName>
    <definedName name="________MCC3" localSheetId="1" hidden="1">{#N/A,#N/A,FALSE,"CCTV"}</definedName>
    <definedName name="________MCC3" localSheetId="2" hidden="1">{#N/A,#N/A,FALSE,"CCTV"}</definedName>
    <definedName name="________MCC3" localSheetId="8" hidden="1">{#N/A,#N/A,FALSE,"CCTV"}</definedName>
    <definedName name="________MCC3" hidden="1">{#N/A,#N/A,FALSE,"CCTV"}</definedName>
    <definedName name="________nam1" localSheetId="1" hidden="1">{"'Sheet1'!$L$16"}</definedName>
    <definedName name="________nam1" localSheetId="2" hidden="1">{"'Sheet1'!$L$16"}</definedName>
    <definedName name="________nam1" localSheetId="8" hidden="1">{"'Sheet1'!$L$16"}</definedName>
    <definedName name="________nam1" hidden="1">{"'Sheet1'!$L$16"}</definedName>
    <definedName name="________NO1" localSheetId="1" hidden="1">#REF!</definedName>
    <definedName name="________NO1" hidden="1">#REF!</definedName>
    <definedName name="________NO2" localSheetId="1" hidden="1">#REF!</definedName>
    <definedName name="________NO2" hidden="1">#REF!</definedName>
    <definedName name="________NSO2" localSheetId="1" hidden="1">{"'Sheet1'!$L$16"}</definedName>
    <definedName name="________NSO2" localSheetId="2" hidden="1">{"'Sheet1'!$L$16"}</definedName>
    <definedName name="________NSO2" localSheetId="8" hidden="1">{"'Sheet1'!$L$16"}</definedName>
    <definedName name="________NSO2" hidden="1">{"'Sheet1'!$L$16"}</definedName>
    <definedName name="________ngk1109" localSheetId="1" hidden="1">{#N/A,#N/A,FALSE,"估價單  (3)"}</definedName>
    <definedName name="________ngk1109" localSheetId="2" hidden="1">{#N/A,#N/A,FALSE,"估價單  (3)"}</definedName>
    <definedName name="________ngk1109" localSheetId="8" hidden="1">{#N/A,#N/A,FALSE,"估價單  (3)"}</definedName>
    <definedName name="________ngk1109" hidden="1">{#N/A,#N/A,FALSE,"估價單  (3)"}</definedName>
    <definedName name="________P3" localSheetId="1" hidden="1">{#N/A,#N/A,FALSE,"特殊室（ＢＱ表）"}</definedName>
    <definedName name="________P3" localSheetId="2" hidden="1">{#N/A,#N/A,FALSE,"特殊室（ＢＱ表）"}</definedName>
    <definedName name="________P3" localSheetId="8" hidden="1">{#N/A,#N/A,FALSE,"特殊室（ＢＱ表）"}</definedName>
    <definedName name="________P3" hidden="1">{#N/A,#N/A,FALSE,"特殊室（ＢＱ表）"}</definedName>
    <definedName name="________PA3" localSheetId="1" hidden="1">{"'Sheet1'!$L$16"}</definedName>
    <definedName name="________PA3" localSheetId="2" hidden="1">{"'Sheet1'!$L$16"}</definedName>
    <definedName name="________PA3" localSheetId="8" hidden="1">{"'Sheet1'!$L$16"}</definedName>
    <definedName name="________PA3" hidden="1">{"'Sheet1'!$L$16"}</definedName>
    <definedName name="________PPP3" localSheetId="1" hidden="1">{#N/A,#N/A,FALSE,"特殊室（ＢＱ表）"}</definedName>
    <definedName name="________PPP3" localSheetId="2" hidden="1">{#N/A,#N/A,FALSE,"特殊室（ＢＱ表）"}</definedName>
    <definedName name="________PPP3" localSheetId="8" hidden="1">{#N/A,#N/A,FALSE,"特殊室（ＢＱ表）"}</definedName>
    <definedName name="________PPP3" hidden="1">{#N/A,#N/A,FALSE,"特殊室（ＢＱ表）"}</definedName>
    <definedName name="________PPP33" localSheetId="1" hidden="1">{#N/A,#N/A,FALSE,"特殊室（ＢＱ表）"}</definedName>
    <definedName name="________PPP33" localSheetId="2" hidden="1">{#N/A,#N/A,FALSE,"特殊室（ＢＱ表）"}</definedName>
    <definedName name="________PPP33" localSheetId="8" hidden="1">{#N/A,#N/A,FALSE,"特殊室（ＢＱ表）"}</definedName>
    <definedName name="________PPP33" hidden="1">{#N/A,#N/A,FALSE,"特殊室（ＢＱ表）"}</definedName>
    <definedName name="________ppp34" localSheetId="1" hidden="1">{#N/A,#N/A,FALSE,"特殊室（ＢＱ表）"}</definedName>
    <definedName name="________ppp34" localSheetId="2" hidden="1">{#N/A,#N/A,FALSE,"特殊室（ＢＱ表）"}</definedName>
    <definedName name="________ppp34" localSheetId="8" hidden="1">{#N/A,#N/A,FALSE,"特殊室（ＢＱ表）"}</definedName>
    <definedName name="________ppp34" hidden="1">{#N/A,#N/A,FALSE,"特殊室（ＢＱ表）"}</definedName>
    <definedName name="________ppp3444" localSheetId="1" hidden="1">{#N/A,#N/A,FALSE,"特殊室（ＢＱ表）"}</definedName>
    <definedName name="________ppp3444" localSheetId="2" hidden="1">{#N/A,#N/A,FALSE,"特殊室（ＢＱ表）"}</definedName>
    <definedName name="________ppp3444" localSheetId="8" hidden="1">{#N/A,#N/A,FALSE,"特殊室（ＢＱ表）"}</definedName>
    <definedName name="________ppp3444" hidden="1">{#N/A,#N/A,FALSE,"特殊室（ＢＱ表）"}</definedName>
    <definedName name="________phu3" localSheetId="1" hidden="1">{"'Sheet1'!$L$16"}</definedName>
    <definedName name="________phu3" localSheetId="2" hidden="1">{"'Sheet1'!$L$16"}</definedName>
    <definedName name="________phu3" localSheetId="8" hidden="1">{"'Sheet1'!$L$16"}</definedName>
    <definedName name="________phu3" hidden="1">{"'Sheet1'!$L$16"}</definedName>
    <definedName name="________SCL4" localSheetId="1" hidden="1">{"'Sheet1'!$L$16"}</definedName>
    <definedName name="________SCL4" localSheetId="2" hidden="1">{"'Sheet1'!$L$16"}</definedName>
    <definedName name="________SCL4" localSheetId="8" hidden="1">{"'Sheet1'!$L$16"}</definedName>
    <definedName name="________SCL4" hidden="1">{"'Sheet1'!$L$16"}</definedName>
    <definedName name="________SCL4_1" localSheetId="1" hidden="1">{"'Sheet1'!$L$16"}</definedName>
    <definedName name="________SCL4_1" localSheetId="2" hidden="1">{"'Sheet1'!$L$16"}</definedName>
    <definedName name="________SCL4_1" localSheetId="8" hidden="1">{"'Sheet1'!$L$16"}</definedName>
    <definedName name="________SCL4_1" hidden="1">{"'Sheet1'!$L$16"}</definedName>
    <definedName name="________SHI1" localSheetId="1" hidden="1">{"'Sheet1'!$L$16"}</definedName>
    <definedName name="________SHI1" localSheetId="2" hidden="1">{"'Sheet1'!$L$16"}</definedName>
    <definedName name="________SHI1" localSheetId="8" hidden="1">{"'Sheet1'!$L$16"}</definedName>
    <definedName name="________SHI1" hidden="1">{"'Sheet1'!$L$16"}</definedName>
    <definedName name="________T10" localSheetId="1" hidden="1">{"'Sheet1'!$L$16"}</definedName>
    <definedName name="________T10" localSheetId="2" hidden="1">{"'Sheet1'!$L$16"}</definedName>
    <definedName name="________T10" localSheetId="8" hidden="1">{"'Sheet1'!$L$16"}</definedName>
    <definedName name="________T10" hidden="1">{"'Sheet1'!$L$16"}</definedName>
    <definedName name="________T3" localSheetId="1" hidden="1">{"'Sheet1'!$L$16"}</definedName>
    <definedName name="________T3" localSheetId="2" hidden="1">{"'Sheet1'!$L$16"}</definedName>
    <definedName name="________T3" localSheetId="8" hidden="1">{"'Sheet1'!$L$16"}</definedName>
    <definedName name="________T3" hidden="1">{"'Sheet1'!$L$16"}</definedName>
    <definedName name="________TM2" localSheetId="1" hidden="1">{"'Sheet1'!$L$16"}</definedName>
    <definedName name="________TM2" localSheetId="2" hidden="1">{"'Sheet1'!$L$16"}</definedName>
    <definedName name="________TM2" localSheetId="8" hidden="1">{"'Sheet1'!$L$16"}</definedName>
    <definedName name="________TM2" hidden="1">{"'Sheet1'!$L$16"}</definedName>
    <definedName name="________TT04" hidden="1">#REF!</definedName>
    <definedName name="________tt3" localSheetId="1" hidden="1">{"'Sheet1'!$L$16"}</definedName>
    <definedName name="________tt3" localSheetId="2" hidden="1">{"'Sheet1'!$L$16"}</definedName>
    <definedName name="________tt3" localSheetId="8" hidden="1">{"'Sheet1'!$L$16"}</definedName>
    <definedName name="________tt3" hidden="1">{"'Sheet1'!$L$16"}</definedName>
    <definedName name="________tu4" localSheetId="1" hidden="1">{"'Sheet1'!$L$16"}</definedName>
    <definedName name="________tu4" localSheetId="2" hidden="1">{"'Sheet1'!$L$16"}</definedName>
    <definedName name="________tu4" localSheetId="8" hidden="1">{"'Sheet1'!$L$16"}</definedName>
    <definedName name="________tu4" hidden="1">{"'Sheet1'!$L$16"}</definedName>
    <definedName name="________TV2" localSheetId="1" hidden="1">{"'Sheet1'!$L$16"}</definedName>
    <definedName name="________TV2" localSheetId="2" hidden="1">{"'Sheet1'!$L$16"}</definedName>
    <definedName name="________TV2" localSheetId="8" hidden="1">{"'Sheet1'!$L$16"}</definedName>
    <definedName name="________TV2" hidden="1">{"'Sheet1'!$L$16"}</definedName>
    <definedName name="________TH1" localSheetId="1" hidden="1">{"'Sheet1'!$L$16"}</definedName>
    <definedName name="________TH1" localSheetId="2" hidden="1">{"'Sheet1'!$L$16"}</definedName>
    <definedName name="________TH1" localSheetId="8" hidden="1">{"'Sheet1'!$L$16"}</definedName>
    <definedName name="________TH1" hidden="1">{"'Sheet1'!$L$16"}</definedName>
    <definedName name="________THT11" localSheetId="1" hidden="1">{"'Sheet1'!$L$16"}</definedName>
    <definedName name="________THT11" localSheetId="2" hidden="1">{"'Sheet1'!$L$16"}</definedName>
    <definedName name="________THT11" localSheetId="8" hidden="1">{"'Sheet1'!$L$16"}</definedName>
    <definedName name="________THT11" hidden="1">{"'Sheet1'!$L$16"}</definedName>
    <definedName name="________VT3" localSheetId="1" hidden="1">{"'Sheet1'!$L$16"}</definedName>
    <definedName name="________VT3" localSheetId="2" hidden="1">{"'Sheet1'!$L$16"}</definedName>
    <definedName name="________VT3" localSheetId="8" hidden="1">{"'Sheet1'!$L$16"}</definedName>
    <definedName name="________VT3" hidden="1">{"'Sheet1'!$L$16"}</definedName>
    <definedName name="________xlfn.BAHTTEXT" hidden="1">#NAME?</definedName>
    <definedName name="_______a1" localSheetId="1" hidden="1">{"'Sheet1'!$L$16"}</definedName>
    <definedName name="_______a1" localSheetId="2" hidden="1">{"'Sheet1'!$L$16"}</definedName>
    <definedName name="_______a1" localSheetId="8" hidden="1">{"'Sheet1'!$L$16"}</definedName>
    <definedName name="_______a1" hidden="1">{"'Sheet1'!$L$16"}</definedName>
    <definedName name="_______a1_1" localSheetId="1" hidden="1">{"'Sheet1'!$L$16"}</definedName>
    <definedName name="_______a1_1" localSheetId="2" hidden="1">{"'Sheet1'!$L$16"}</definedName>
    <definedName name="_______a1_1" localSheetId="8" hidden="1">{"'Sheet1'!$L$16"}</definedName>
    <definedName name="_______a1_1" hidden="1">{"'Sheet1'!$L$16"}</definedName>
    <definedName name="_______a129" localSheetId="1" hidden="1">{"Offgrid",#N/A,FALSE,"OFFGRID";"Region",#N/A,FALSE,"REGION";"Offgrid -2",#N/A,FALSE,"OFFGRID";"WTP",#N/A,FALSE,"WTP";"WTP -2",#N/A,FALSE,"WTP";"Project",#N/A,FALSE,"PROJECT";"Summary -2",#N/A,FALSE,"SUMMARY"}</definedName>
    <definedName name="_______a129" localSheetId="2" hidden="1">{"Offgrid",#N/A,FALSE,"OFFGRID";"Region",#N/A,FALSE,"REGION";"Offgrid -2",#N/A,FALSE,"OFFGRID";"WTP",#N/A,FALSE,"WTP";"WTP -2",#N/A,FALSE,"WTP";"Project",#N/A,FALSE,"PROJECT";"Summary -2",#N/A,FALSE,"SUMMARY"}</definedName>
    <definedName name="_______a129" localSheetId="8"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130" localSheetId="8"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1" hidden="1">{"'Sheet1'!$L$16"}</definedName>
    <definedName name="_______a2" localSheetId="2" hidden="1">{"'Sheet1'!$L$16"}</definedName>
    <definedName name="_______a2" localSheetId="8" hidden="1">{"'Sheet1'!$L$16"}</definedName>
    <definedName name="_______a2" hidden="1">{"'Sheet1'!$L$16"}</definedName>
    <definedName name="_______BG12" localSheetId="1" hidden="1">{"'Sheet1'!$L$16"}</definedName>
    <definedName name="_______BG12" localSheetId="2" hidden="1">{"'Sheet1'!$L$16"}</definedName>
    <definedName name="_______BG12" localSheetId="8" hidden="1">{"'Sheet1'!$L$16"}</definedName>
    <definedName name="_______BG12" hidden="1">{"'Sheet1'!$L$16"}</definedName>
    <definedName name="_______CN1" localSheetId="1" hidden="1">{"'Sheet1'!$L$16"}</definedName>
    <definedName name="_______CN1" localSheetId="2" hidden="1">{"'Sheet1'!$L$16"}</definedName>
    <definedName name="_______CN1" localSheetId="8" hidden="1">{"'Sheet1'!$L$16"}</definedName>
    <definedName name="_______CN1" hidden="1">{"'Sheet1'!$L$16"}</definedName>
    <definedName name="_______d1500" localSheetId="1" hidden="1">{"'Sheet1'!$L$16"}</definedName>
    <definedName name="_______d1500" localSheetId="2" hidden="1">{"'Sheet1'!$L$16"}</definedName>
    <definedName name="_______d1500" localSheetId="8" hidden="1">{"'Sheet1'!$L$16"}</definedName>
    <definedName name="_______d1500" hidden="1">{"'Sheet1'!$L$16"}</definedName>
    <definedName name="_______DT10" localSheetId="1" hidden="1">{"'Sheet1'!$L$16"}</definedName>
    <definedName name="_______DT10" localSheetId="2" hidden="1">{"'Sheet1'!$L$16"}</definedName>
    <definedName name="_______DT10" localSheetId="8" hidden="1">{"'Sheet1'!$L$16"}</definedName>
    <definedName name="_______DT10" hidden="1">{"'Sheet1'!$L$16"}</definedName>
    <definedName name="_______Goi8" localSheetId="1" hidden="1">{"'Sheet1'!$L$16"}</definedName>
    <definedName name="_______Goi8" localSheetId="2" hidden="1">{"'Sheet1'!$L$16"}</definedName>
    <definedName name="_______Goi8" localSheetId="8" hidden="1">{"'Sheet1'!$L$16"}</definedName>
    <definedName name="_______Goi8" hidden="1">{"'Sheet1'!$L$16"}</definedName>
    <definedName name="_______Goi8_1" localSheetId="1" hidden="1">{"'Sheet1'!$L$16"}</definedName>
    <definedName name="_______Goi8_1" localSheetId="2" hidden="1">{"'Sheet1'!$L$16"}</definedName>
    <definedName name="_______Goi8_1" localSheetId="8" hidden="1">{"'Sheet1'!$L$16"}</definedName>
    <definedName name="_______Goi8_1" hidden="1">{"'Sheet1'!$L$16"}</definedName>
    <definedName name="_______h1" localSheetId="1" hidden="1">{"'Sheet1'!$L$16"}</definedName>
    <definedName name="_______h1" localSheetId="2" hidden="1">{"'Sheet1'!$L$16"}</definedName>
    <definedName name="_______h1" localSheetId="8" hidden="1">{"'Sheet1'!$L$16"}</definedName>
    <definedName name="_______h1" hidden="1">{"'Sheet1'!$L$16"}</definedName>
    <definedName name="_______hu1" localSheetId="1" hidden="1">{"'Sheet1'!$L$16"}</definedName>
    <definedName name="_______hu1" localSheetId="2" hidden="1">{"'Sheet1'!$L$16"}</definedName>
    <definedName name="_______hu1" localSheetId="8" hidden="1">{"'Sheet1'!$L$16"}</definedName>
    <definedName name="_______hu1" hidden="1">{"'Sheet1'!$L$16"}</definedName>
    <definedName name="_______hu2" localSheetId="1" hidden="1">{"'Sheet1'!$L$16"}</definedName>
    <definedName name="_______hu2" localSheetId="2" hidden="1">{"'Sheet1'!$L$16"}</definedName>
    <definedName name="_______hu2" localSheetId="8" hidden="1">{"'Sheet1'!$L$16"}</definedName>
    <definedName name="_______hu2" hidden="1">{"'Sheet1'!$L$16"}</definedName>
    <definedName name="_______hu5" localSheetId="1" hidden="1">{"'Sheet1'!$L$16"}</definedName>
    <definedName name="_______hu5" localSheetId="2" hidden="1">{"'Sheet1'!$L$16"}</definedName>
    <definedName name="_______hu5" localSheetId="8" hidden="1">{"'Sheet1'!$L$16"}</definedName>
    <definedName name="_______hu5" hidden="1">{"'Sheet1'!$L$16"}</definedName>
    <definedName name="_______hu6" localSheetId="1" hidden="1">{"'Sheet1'!$L$16"}</definedName>
    <definedName name="_______hu6" localSheetId="2" hidden="1">{"'Sheet1'!$L$16"}</definedName>
    <definedName name="_______hu6" localSheetId="8" hidden="1">{"'Sheet1'!$L$16"}</definedName>
    <definedName name="_______hu6" hidden="1">{"'Sheet1'!$L$16"}</definedName>
    <definedName name="_______hu7" localSheetId="1" hidden="1">{"'Sheet1'!$L$16"}</definedName>
    <definedName name="_______hu7" localSheetId="2" hidden="1">{"'Sheet1'!$L$16"}</definedName>
    <definedName name="_______hu7" localSheetId="8" hidden="1">{"'Sheet1'!$L$16"}</definedName>
    <definedName name="_______hu7" hidden="1">{"'Sheet1'!$L$16"}</definedName>
    <definedName name="_______key2" localSheetId="1" hidden="1">#REF!</definedName>
    <definedName name="_______key2" hidden="1">#REF!</definedName>
    <definedName name="_______Lan1" localSheetId="1" hidden="1">{"'Sheet1'!$L$16"}</definedName>
    <definedName name="_______Lan1" localSheetId="2" hidden="1">{"'Sheet1'!$L$16"}</definedName>
    <definedName name="_______Lan1" localSheetId="8" hidden="1">{"'Sheet1'!$L$16"}</definedName>
    <definedName name="_______Lan1" hidden="1">{"'Sheet1'!$L$16"}</definedName>
    <definedName name="_______LAN3" localSheetId="1" hidden="1">{"'Sheet1'!$L$16"}</definedName>
    <definedName name="_______LAN3" localSheetId="2" hidden="1">{"'Sheet1'!$L$16"}</definedName>
    <definedName name="_______LAN3" localSheetId="8" hidden="1">{"'Sheet1'!$L$16"}</definedName>
    <definedName name="_______LAN3" hidden="1">{"'Sheet1'!$L$16"}</definedName>
    <definedName name="_______lop111" localSheetId="1" hidden="1">{#N/A,#N/A,FALSE,"特殊室（ＢＱ表）"}</definedName>
    <definedName name="_______lop111" localSheetId="2" hidden="1">{#N/A,#N/A,FALSE,"特殊室（ＢＱ表）"}</definedName>
    <definedName name="_______lop111" localSheetId="8" hidden="1">{#N/A,#N/A,FALSE,"特殊室（ＢＱ表）"}</definedName>
    <definedName name="_______lop111" hidden="1">{#N/A,#N/A,FALSE,"特殊室（ＢＱ表）"}</definedName>
    <definedName name="_______m4" localSheetId="1" hidden="1">{"'Sheet1'!$L$16"}</definedName>
    <definedName name="_______m4" localSheetId="2" hidden="1">{"'Sheet1'!$L$16"}</definedName>
    <definedName name="_______m4" localSheetId="8" hidden="1">{"'Sheet1'!$L$16"}</definedName>
    <definedName name="_______m4" hidden="1">{"'Sheet1'!$L$16"}</definedName>
    <definedName name="_______MCC3" localSheetId="1" hidden="1">{#N/A,#N/A,FALSE,"CCTV"}</definedName>
    <definedName name="_______MCC3" localSheetId="2" hidden="1">{#N/A,#N/A,FALSE,"CCTV"}</definedName>
    <definedName name="_______MCC3" localSheetId="8" hidden="1">{#N/A,#N/A,FALSE,"CCTV"}</definedName>
    <definedName name="_______MCC3" hidden="1">{#N/A,#N/A,FALSE,"CCTV"}</definedName>
    <definedName name="_______nam1" localSheetId="1" hidden="1">{"'Sheet1'!$L$16"}</definedName>
    <definedName name="_______nam1" localSheetId="2" hidden="1">{"'Sheet1'!$L$16"}</definedName>
    <definedName name="_______nam1" localSheetId="8" hidden="1">{"'Sheet1'!$L$16"}</definedName>
    <definedName name="_______nam1" hidden="1">{"'Sheet1'!$L$16"}</definedName>
    <definedName name="_______NO1" localSheetId="1" hidden="1">#REF!</definedName>
    <definedName name="_______NO1" hidden="1">#REF!</definedName>
    <definedName name="_______NO2" localSheetId="1" hidden="1">#REF!</definedName>
    <definedName name="_______NO2" hidden="1">#REF!</definedName>
    <definedName name="_______NSO2" localSheetId="1" hidden="1">{"'Sheet1'!$L$16"}</definedName>
    <definedName name="_______NSO2" localSheetId="2" hidden="1">{"'Sheet1'!$L$16"}</definedName>
    <definedName name="_______NSO2" localSheetId="8" hidden="1">{"'Sheet1'!$L$16"}</definedName>
    <definedName name="_______NSO2" hidden="1">{"'Sheet1'!$L$16"}</definedName>
    <definedName name="_______ngk1109" localSheetId="1" hidden="1">{#N/A,#N/A,FALSE,"估價單  (3)"}</definedName>
    <definedName name="_______ngk1109" localSheetId="2" hidden="1">{#N/A,#N/A,FALSE,"估價單  (3)"}</definedName>
    <definedName name="_______ngk1109" localSheetId="8" hidden="1">{#N/A,#N/A,FALSE,"估價單  (3)"}</definedName>
    <definedName name="_______ngk1109" hidden="1">{#N/A,#N/A,FALSE,"估價單  (3)"}</definedName>
    <definedName name="_______P3" localSheetId="1" hidden="1">{#N/A,#N/A,FALSE,"特殊室（ＢＱ表）"}</definedName>
    <definedName name="_______P3" localSheetId="2" hidden="1">{#N/A,#N/A,FALSE,"特殊室（ＢＱ表）"}</definedName>
    <definedName name="_______P3" localSheetId="8" hidden="1">{#N/A,#N/A,FALSE,"特殊室（ＢＱ表）"}</definedName>
    <definedName name="_______P3" hidden="1">{#N/A,#N/A,FALSE,"特殊室（ＢＱ表）"}</definedName>
    <definedName name="_______PA3" localSheetId="1" hidden="1">{"'Sheet1'!$L$16"}</definedName>
    <definedName name="_______PA3" localSheetId="2" hidden="1">{"'Sheet1'!$L$16"}</definedName>
    <definedName name="_______PA3" localSheetId="8" hidden="1">{"'Sheet1'!$L$16"}</definedName>
    <definedName name="_______PA3" hidden="1">{"'Sheet1'!$L$16"}</definedName>
    <definedName name="_______PPP3" localSheetId="1" hidden="1">{#N/A,#N/A,FALSE,"特殊室（ＢＱ表）"}</definedName>
    <definedName name="_______PPP3" localSheetId="2" hidden="1">{#N/A,#N/A,FALSE,"特殊室（ＢＱ表）"}</definedName>
    <definedName name="_______PPP3" localSheetId="8" hidden="1">{#N/A,#N/A,FALSE,"特殊室（ＢＱ表）"}</definedName>
    <definedName name="_______PPP3" hidden="1">{#N/A,#N/A,FALSE,"特殊室（ＢＱ表）"}</definedName>
    <definedName name="_______PPP33" localSheetId="1" hidden="1">{#N/A,#N/A,FALSE,"特殊室（ＢＱ表）"}</definedName>
    <definedName name="_______PPP33" localSheetId="2" hidden="1">{#N/A,#N/A,FALSE,"特殊室（ＢＱ表）"}</definedName>
    <definedName name="_______PPP33" localSheetId="8" hidden="1">{#N/A,#N/A,FALSE,"特殊室（ＢＱ表）"}</definedName>
    <definedName name="_______PPP33" hidden="1">{#N/A,#N/A,FALSE,"特殊室（ＢＱ表）"}</definedName>
    <definedName name="_______ppp34" localSheetId="1" hidden="1">{#N/A,#N/A,FALSE,"特殊室（ＢＱ表）"}</definedName>
    <definedName name="_______ppp34" localSheetId="2" hidden="1">{#N/A,#N/A,FALSE,"特殊室（ＢＱ表）"}</definedName>
    <definedName name="_______ppp34" localSheetId="8" hidden="1">{#N/A,#N/A,FALSE,"特殊室（ＢＱ表）"}</definedName>
    <definedName name="_______ppp34" hidden="1">{#N/A,#N/A,FALSE,"特殊室（ＢＱ表）"}</definedName>
    <definedName name="_______ppp3444" localSheetId="1" hidden="1">{#N/A,#N/A,FALSE,"特殊室（ＢＱ表）"}</definedName>
    <definedName name="_______ppp3444" localSheetId="2" hidden="1">{#N/A,#N/A,FALSE,"特殊室（ＢＱ表）"}</definedName>
    <definedName name="_______ppp3444" localSheetId="8" hidden="1">{#N/A,#N/A,FALSE,"特殊室（ＢＱ表）"}</definedName>
    <definedName name="_______ppp3444" hidden="1">{#N/A,#N/A,FALSE,"特殊室（ＢＱ表）"}</definedName>
    <definedName name="_______phu3" localSheetId="1" hidden="1">{"'Sheet1'!$L$16"}</definedName>
    <definedName name="_______phu3" localSheetId="2" hidden="1">{"'Sheet1'!$L$16"}</definedName>
    <definedName name="_______phu3" localSheetId="8" hidden="1">{"'Sheet1'!$L$16"}</definedName>
    <definedName name="_______phu3" hidden="1">{"'Sheet1'!$L$16"}</definedName>
    <definedName name="_______SCL4" localSheetId="1" hidden="1">{"'Sheet1'!$L$16"}</definedName>
    <definedName name="_______SCL4" localSheetId="2" hidden="1">{"'Sheet1'!$L$16"}</definedName>
    <definedName name="_______SCL4" localSheetId="8" hidden="1">{"'Sheet1'!$L$16"}</definedName>
    <definedName name="_______SCL4" hidden="1">{"'Sheet1'!$L$16"}</definedName>
    <definedName name="_______SCL4_1" localSheetId="1" hidden="1">{"'Sheet1'!$L$16"}</definedName>
    <definedName name="_______SCL4_1" localSheetId="2" hidden="1">{"'Sheet1'!$L$16"}</definedName>
    <definedName name="_______SCL4_1" localSheetId="8" hidden="1">{"'Sheet1'!$L$16"}</definedName>
    <definedName name="_______SCL4_1" hidden="1">{"'Sheet1'!$L$16"}</definedName>
    <definedName name="_______SHI1" localSheetId="1" hidden="1">{"'Sheet1'!$L$16"}</definedName>
    <definedName name="_______SHI1" localSheetId="2" hidden="1">{"'Sheet1'!$L$16"}</definedName>
    <definedName name="_______SHI1" localSheetId="8" hidden="1">{"'Sheet1'!$L$16"}</definedName>
    <definedName name="_______SHI1" hidden="1">{"'Sheet1'!$L$16"}</definedName>
    <definedName name="_______T10" localSheetId="1" hidden="1">{"'Sheet1'!$L$16"}</definedName>
    <definedName name="_______T10" localSheetId="2" hidden="1">{"'Sheet1'!$L$16"}</definedName>
    <definedName name="_______T10" localSheetId="8" hidden="1">{"'Sheet1'!$L$16"}</definedName>
    <definedName name="_______T10" hidden="1">{"'Sheet1'!$L$16"}</definedName>
    <definedName name="_______T3" localSheetId="1" hidden="1">{"'Sheet1'!$L$16"}</definedName>
    <definedName name="_______T3" localSheetId="2" hidden="1">{"'Sheet1'!$L$16"}</definedName>
    <definedName name="_______T3" localSheetId="8" hidden="1">{"'Sheet1'!$L$16"}</definedName>
    <definedName name="_______T3" hidden="1">{"'Sheet1'!$L$16"}</definedName>
    <definedName name="_______TM2" localSheetId="1" hidden="1">{"'Sheet1'!$L$16"}</definedName>
    <definedName name="_______TM2" localSheetId="2" hidden="1">{"'Sheet1'!$L$16"}</definedName>
    <definedName name="_______TM2" localSheetId="8" hidden="1">{"'Sheet1'!$L$16"}</definedName>
    <definedName name="_______TM2" hidden="1">{"'Sheet1'!$L$16"}</definedName>
    <definedName name="_______TT04" hidden="1">#REF!</definedName>
    <definedName name="_______tt3" localSheetId="1" hidden="1">{"'Sheet1'!$L$16"}</definedName>
    <definedName name="_______tt3" localSheetId="2" hidden="1">{"'Sheet1'!$L$16"}</definedName>
    <definedName name="_______tt3" localSheetId="8" hidden="1">{"'Sheet1'!$L$16"}</definedName>
    <definedName name="_______tt3" hidden="1">{"'Sheet1'!$L$16"}</definedName>
    <definedName name="_______tu4" localSheetId="1" hidden="1">{"'Sheet1'!$L$16"}</definedName>
    <definedName name="_______tu4" localSheetId="2" hidden="1">{"'Sheet1'!$L$16"}</definedName>
    <definedName name="_______tu4" localSheetId="8" hidden="1">{"'Sheet1'!$L$16"}</definedName>
    <definedName name="_______tu4" hidden="1">{"'Sheet1'!$L$16"}</definedName>
    <definedName name="_______TV2" localSheetId="1" hidden="1">{"'Sheet1'!$L$16"}</definedName>
    <definedName name="_______TV2" localSheetId="2" hidden="1">{"'Sheet1'!$L$16"}</definedName>
    <definedName name="_______TV2" localSheetId="8" hidden="1">{"'Sheet1'!$L$16"}</definedName>
    <definedName name="_______TV2" hidden="1">{"'Sheet1'!$L$16"}</definedName>
    <definedName name="_______TH1" localSheetId="1" hidden="1">{"'Sheet1'!$L$16"}</definedName>
    <definedName name="_______TH1" localSheetId="2" hidden="1">{"'Sheet1'!$L$16"}</definedName>
    <definedName name="_______TH1" localSheetId="8" hidden="1">{"'Sheet1'!$L$16"}</definedName>
    <definedName name="_______TH1" hidden="1">{"'Sheet1'!$L$16"}</definedName>
    <definedName name="_______THT11" localSheetId="1" hidden="1">{"'Sheet1'!$L$16"}</definedName>
    <definedName name="_______THT11" localSheetId="2" hidden="1">{"'Sheet1'!$L$16"}</definedName>
    <definedName name="_______THT11" localSheetId="8" hidden="1">{"'Sheet1'!$L$16"}</definedName>
    <definedName name="_______THT11" hidden="1">{"'Sheet1'!$L$16"}</definedName>
    <definedName name="_______VT3" localSheetId="1" hidden="1">{"'Sheet1'!$L$16"}</definedName>
    <definedName name="_______VT3" localSheetId="2" hidden="1">{"'Sheet1'!$L$16"}</definedName>
    <definedName name="_______VT3" localSheetId="8" hidden="1">{"'Sheet1'!$L$16"}</definedName>
    <definedName name="_______VT3" hidden="1">{"'Sheet1'!$L$16"}</definedName>
    <definedName name="_______xlfn.BAHTTEXT" hidden="1">#NAME?</definedName>
    <definedName name="______4__123Graph_Aｸﾞﾗﾌ_2" hidden="1">#REF!</definedName>
    <definedName name="______a1" localSheetId="1" hidden="1">{"'Sheet1'!$L$16"}</definedName>
    <definedName name="______a1" localSheetId="2" hidden="1">{"'Sheet1'!$L$16"}</definedName>
    <definedName name="______a1" localSheetId="8" hidden="1">{"'Sheet1'!$L$16"}</definedName>
    <definedName name="______a1" hidden="1">{"'Sheet1'!$L$16"}</definedName>
    <definedName name="______a1_1" localSheetId="1" hidden="1">{"'Sheet1'!$L$16"}</definedName>
    <definedName name="______a1_1" localSheetId="2" hidden="1">{"'Sheet1'!$L$16"}</definedName>
    <definedName name="______a1_1" localSheetId="8" hidden="1">{"'Sheet1'!$L$16"}</definedName>
    <definedName name="______a1_1" hidden="1">{"'Sheet1'!$L$16"}</definedName>
    <definedName name="______a129" localSheetId="1" hidden="1">{"Offgrid",#N/A,FALSE,"OFFGRID";"Region",#N/A,FALSE,"REGION";"Offgrid -2",#N/A,FALSE,"OFFGRID";"WTP",#N/A,FALSE,"WTP";"WTP -2",#N/A,FALSE,"WTP";"Project",#N/A,FALSE,"PROJECT";"Summary -2",#N/A,FALSE,"SUMMARY"}</definedName>
    <definedName name="______a129" localSheetId="2" hidden="1">{"Offgrid",#N/A,FALSE,"OFFGRID";"Region",#N/A,FALSE,"REGION";"Offgrid -2",#N/A,FALSE,"OFFGRID";"WTP",#N/A,FALSE,"WTP";"WTP -2",#N/A,FALSE,"WTP";"Project",#N/A,FALSE,"PROJECT";"Summary -2",#N/A,FALSE,"SUMMARY"}</definedName>
    <definedName name="______a129" localSheetId="8"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130" localSheetId="8"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1" hidden="1">{"'Sheet1'!$L$16"}</definedName>
    <definedName name="______a2" localSheetId="2" hidden="1">{"'Sheet1'!$L$16"}</definedName>
    <definedName name="______a2" localSheetId="8" hidden="1">{"'Sheet1'!$L$16"}</definedName>
    <definedName name="______a2" hidden="1">{"'Sheet1'!$L$16"}</definedName>
    <definedName name="______b01" localSheetId="1" hidden="1">{#N/A,#N/A,FALSE,"MARCH"}</definedName>
    <definedName name="______b01" localSheetId="2" hidden="1">{#N/A,#N/A,FALSE,"MARCH"}</definedName>
    <definedName name="______b01" localSheetId="8" hidden="1">{#N/A,#N/A,FALSE,"MARCH"}</definedName>
    <definedName name="______b01" hidden="1">{#N/A,#N/A,FALSE,"MARCH"}</definedName>
    <definedName name="______ba1" localSheetId="1" hidden="1">{#N/A,#N/A,FALSE,"Chi tiÆt"}</definedName>
    <definedName name="______ba1" localSheetId="2" hidden="1">{#N/A,#N/A,FALSE,"Chi tiÆt"}</definedName>
    <definedName name="______ba1" localSheetId="8" hidden="1">{#N/A,#N/A,FALSE,"Chi tiÆt"}</definedName>
    <definedName name="______ba1" hidden="1">{#N/A,#N/A,FALSE,"Chi tiÆt"}</definedName>
    <definedName name="______ba2" localSheetId="1" hidden="1">{#N/A,#N/A,FALSE,"Chi tiÆt"}</definedName>
    <definedName name="______ba2" localSheetId="2" hidden="1">{#N/A,#N/A,FALSE,"Chi tiÆt"}</definedName>
    <definedName name="______ba2" localSheetId="8" hidden="1">{#N/A,#N/A,FALSE,"Chi tiÆt"}</definedName>
    <definedName name="______ba2" hidden="1">{#N/A,#N/A,FALSE,"Chi tiÆt"}</definedName>
    <definedName name="______BG12" localSheetId="1" hidden="1">{"'Sheet1'!$L$16"}</definedName>
    <definedName name="______BG12" localSheetId="2" hidden="1">{"'Sheet1'!$L$16"}</definedName>
    <definedName name="______BG12" localSheetId="8" hidden="1">{"'Sheet1'!$L$16"}</definedName>
    <definedName name="______BG12" hidden="1">{"'Sheet1'!$L$16"}</definedName>
    <definedName name="______CN1" localSheetId="1" hidden="1">{"'Sheet1'!$L$16"}</definedName>
    <definedName name="______CN1" localSheetId="2" hidden="1">{"'Sheet1'!$L$16"}</definedName>
    <definedName name="______CN1" localSheetId="8" hidden="1">{"'Sheet1'!$L$16"}</definedName>
    <definedName name="______CN1" hidden="1">{"'Sheet1'!$L$16"}</definedName>
    <definedName name="______ct2005" localSheetId="1" hidden="1">{"'Sheet1'!$L$16"}</definedName>
    <definedName name="______ct2005" localSheetId="2" hidden="1">{"'Sheet1'!$L$16"}</definedName>
    <definedName name="______ct2005" localSheetId="8" hidden="1">{"'Sheet1'!$L$16"}</definedName>
    <definedName name="______ct2005" hidden="1">{"'Sheet1'!$L$16"}</definedName>
    <definedName name="______d1500" localSheetId="1" hidden="1">{"'Sheet1'!$L$16"}</definedName>
    <definedName name="______d1500" localSheetId="2" hidden="1">{"'Sheet1'!$L$16"}</definedName>
    <definedName name="______d1500" localSheetId="8" hidden="1">{"'Sheet1'!$L$16"}</definedName>
    <definedName name="______d1500" hidden="1">{"'Sheet1'!$L$16"}</definedName>
    <definedName name="______DT10" localSheetId="1" hidden="1">{"'Sheet1'!$L$16"}</definedName>
    <definedName name="______DT10" localSheetId="2" hidden="1">{"'Sheet1'!$L$16"}</definedName>
    <definedName name="______DT10" localSheetId="8" hidden="1">{"'Sheet1'!$L$16"}</definedName>
    <definedName name="______DT10" hidden="1">{"'Sheet1'!$L$16"}</definedName>
    <definedName name="______FAB4" hidden="1">#REF!</definedName>
    <definedName name="______Goi8" localSheetId="1" hidden="1">{"'Sheet1'!$L$16"}</definedName>
    <definedName name="______Goi8" localSheetId="2" hidden="1">{"'Sheet1'!$L$16"}</definedName>
    <definedName name="______Goi8" localSheetId="8" hidden="1">{"'Sheet1'!$L$16"}</definedName>
    <definedName name="______Goi8" hidden="1">{"'Sheet1'!$L$16"}</definedName>
    <definedName name="______Goi8_1" localSheetId="1" hidden="1">{"'Sheet1'!$L$16"}</definedName>
    <definedName name="______Goi8_1" localSheetId="2" hidden="1">{"'Sheet1'!$L$16"}</definedName>
    <definedName name="______Goi8_1" localSheetId="8" hidden="1">{"'Sheet1'!$L$16"}</definedName>
    <definedName name="______Goi8_1" hidden="1">{"'Sheet1'!$L$16"}</definedName>
    <definedName name="______h1" localSheetId="1" hidden="1">{"'Sheet1'!$L$16"}</definedName>
    <definedName name="______h1" localSheetId="2" hidden="1">{"'Sheet1'!$L$16"}</definedName>
    <definedName name="______h1" localSheetId="8" hidden="1">{"'Sheet1'!$L$16"}</definedName>
    <definedName name="______h1" hidden="1">{"'Sheet1'!$L$16"}</definedName>
    <definedName name="______hh1219" localSheetId="1" hidden="1">{"'Sheet1'!$L$16"}</definedName>
    <definedName name="______hh1219" localSheetId="2" hidden="1">{"'Sheet1'!$L$16"}</definedName>
    <definedName name="______hh1219" localSheetId="8" hidden="1">{"'Sheet1'!$L$16"}</definedName>
    <definedName name="______hh1219" hidden="1">{"'Sheet1'!$L$16"}</definedName>
    <definedName name="______hu1" localSheetId="1" hidden="1">{"'Sheet1'!$L$16"}</definedName>
    <definedName name="______hu1" localSheetId="2" hidden="1">{"'Sheet1'!$L$16"}</definedName>
    <definedName name="______hu1" localSheetId="8" hidden="1">{"'Sheet1'!$L$16"}</definedName>
    <definedName name="______hu1" hidden="1">{"'Sheet1'!$L$16"}</definedName>
    <definedName name="______hu2" localSheetId="1" hidden="1">{"'Sheet1'!$L$16"}</definedName>
    <definedName name="______hu2" localSheetId="2" hidden="1">{"'Sheet1'!$L$16"}</definedName>
    <definedName name="______hu2" localSheetId="8" hidden="1">{"'Sheet1'!$L$16"}</definedName>
    <definedName name="______hu2" hidden="1">{"'Sheet1'!$L$16"}</definedName>
    <definedName name="______hu5" localSheetId="1" hidden="1">{"'Sheet1'!$L$16"}</definedName>
    <definedName name="______hu5" localSheetId="2" hidden="1">{"'Sheet1'!$L$16"}</definedName>
    <definedName name="______hu5" localSheetId="8" hidden="1">{"'Sheet1'!$L$16"}</definedName>
    <definedName name="______hu5" hidden="1">{"'Sheet1'!$L$16"}</definedName>
    <definedName name="______hu6" localSheetId="1" hidden="1">{"'Sheet1'!$L$16"}</definedName>
    <definedName name="______hu6" localSheetId="2" hidden="1">{"'Sheet1'!$L$16"}</definedName>
    <definedName name="______hu6" localSheetId="8" hidden="1">{"'Sheet1'!$L$16"}</definedName>
    <definedName name="______hu6" hidden="1">{"'Sheet1'!$L$16"}</definedName>
    <definedName name="______hu7" localSheetId="1" hidden="1">{"'Sheet1'!$L$16"}</definedName>
    <definedName name="______hu7" localSheetId="2" hidden="1">{"'Sheet1'!$L$16"}</definedName>
    <definedName name="______hu7" localSheetId="8" hidden="1">{"'Sheet1'!$L$16"}</definedName>
    <definedName name="______hu7" hidden="1">{"'Sheet1'!$L$16"}</definedName>
    <definedName name="______key1" hidden="1">#REF!</definedName>
    <definedName name="______key2" hidden="1">#REF!</definedName>
    <definedName name="______Lan1" localSheetId="1" hidden="1">{"'Sheet1'!$L$16"}</definedName>
    <definedName name="______Lan1" localSheetId="2" hidden="1">{"'Sheet1'!$L$16"}</definedName>
    <definedName name="______Lan1" localSheetId="8" hidden="1">{"'Sheet1'!$L$16"}</definedName>
    <definedName name="______Lan1" hidden="1">{"'Sheet1'!$L$16"}</definedName>
    <definedName name="______LAN3" localSheetId="1" hidden="1">{"'Sheet1'!$L$16"}</definedName>
    <definedName name="______LAN3" localSheetId="2" hidden="1">{"'Sheet1'!$L$16"}</definedName>
    <definedName name="______LAN3" localSheetId="8" hidden="1">{"'Sheet1'!$L$16"}</definedName>
    <definedName name="______LAN3" hidden="1">{"'Sheet1'!$L$16"}</definedName>
    <definedName name="______ld2" localSheetId="1" hidden="1">{"'Sheet1'!$L$16"}</definedName>
    <definedName name="______ld2" localSheetId="2" hidden="1">{"'Sheet1'!$L$16"}</definedName>
    <definedName name="______ld2" localSheetId="8" hidden="1">{"'Sheet1'!$L$16"}</definedName>
    <definedName name="______ld2" hidden="1">{"'Sheet1'!$L$16"}</definedName>
    <definedName name="______lop111" localSheetId="1" hidden="1">{#N/A,#N/A,FALSE,"特殊室（ＢＱ表）"}</definedName>
    <definedName name="______lop111" localSheetId="2" hidden="1">{#N/A,#N/A,FALSE,"特殊室（ＢＱ表）"}</definedName>
    <definedName name="______lop111" localSheetId="8" hidden="1">{#N/A,#N/A,FALSE,"特殊室（ＢＱ表）"}</definedName>
    <definedName name="______lop111" hidden="1">{#N/A,#N/A,FALSE,"特殊室（ＢＱ表）"}</definedName>
    <definedName name="______m4" localSheetId="1" hidden="1">{"'Sheet1'!$L$16"}</definedName>
    <definedName name="______m4" localSheetId="2" hidden="1">{"'Sheet1'!$L$16"}</definedName>
    <definedName name="______m4" localSheetId="8" hidden="1">{"'Sheet1'!$L$16"}</definedName>
    <definedName name="______m4" hidden="1">{"'Sheet1'!$L$16"}</definedName>
    <definedName name="______MCC3" localSheetId="1" hidden="1">{#N/A,#N/A,FALSE,"CCTV"}</definedName>
    <definedName name="______MCC3" localSheetId="2" hidden="1">{#N/A,#N/A,FALSE,"CCTV"}</definedName>
    <definedName name="______MCC3" localSheetId="8" hidden="1">{#N/A,#N/A,FALSE,"CCTV"}</definedName>
    <definedName name="______MCC3" hidden="1">{#N/A,#N/A,FALSE,"CCTV"}</definedName>
    <definedName name="______nam1" localSheetId="1" hidden="1">{"'Sheet1'!$L$16"}</definedName>
    <definedName name="______nam1" localSheetId="2" hidden="1">{"'Sheet1'!$L$16"}</definedName>
    <definedName name="______nam1" localSheetId="8" hidden="1">{"'Sheet1'!$L$16"}</definedName>
    <definedName name="______nam1" hidden="1">{"'Sheet1'!$L$16"}</definedName>
    <definedName name="______NO1" localSheetId="1" hidden="1">#REF!</definedName>
    <definedName name="______NO1" hidden="1">#REF!</definedName>
    <definedName name="______NO2" localSheetId="1" hidden="1">#REF!</definedName>
    <definedName name="______NO2" hidden="1">#REF!</definedName>
    <definedName name="______NSO2" localSheetId="1" hidden="1">{"'Sheet1'!$L$16"}</definedName>
    <definedName name="______NSO2" localSheetId="2" hidden="1">{"'Sheet1'!$L$16"}</definedName>
    <definedName name="______NSO2" localSheetId="8" hidden="1">{"'Sheet1'!$L$16"}</definedName>
    <definedName name="______NSO2" hidden="1">{"'Sheet1'!$L$16"}</definedName>
    <definedName name="______ngk1109" localSheetId="1" hidden="1">{#N/A,#N/A,FALSE,"估價單  (3)"}</definedName>
    <definedName name="______ngk1109" localSheetId="2" hidden="1">{#N/A,#N/A,FALSE,"估價單  (3)"}</definedName>
    <definedName name="______ngk1109" localSheetId="8" hidden="1">{#N/A,#N/A,FALSE,"估價單  (3)"}</definedName>
    <definedName name="______ngk1109" hidden="1">{#N/A,#N/A,FALSE,"估價單  (3)"}</definedName>
    <definedName name="______P3" localSheetId="1" hidden="1">{#N/A,#N/A,FALSE,"特殊室（ＢＱ表）"}</definedName>
    <definedName name="______P3" localSheetId="2" hidden="1">{#N/A,#N/A,FALSE,"特殊室（ＢＱ表）"}</definedName>
    <definedName name="______P3" localSheetId="8" hidden="1">{#N/A,#N/A,FALSE,"特殊室（ＢＱ表）"}</definedName>
    <definedName name="______P3" hidden="1">{#N/A,#N/A,FALSE,"特殊室（ＢＱ表）"}</definedName>
    <definedName name="______PA3" localSheetId="1" hidden="1">{"'Sheet1'!$L$16"}</definedName>
    <definedName name="______PA3" localSheetId="2" hidden="1">{"'Sheet1'!$L$16"}</definedName>
    <definedName name="______PA3" localSheetId="8" hidden="1">{"'Sheet1'!$L$16"}</definedName>
    <definedName name="______PA3" hidden="1">{"'Sheet1'!$L$16"}</definedName>
    <definedName name="______PPP3" localSheetId="1" hidden="1">{#N/A,#N/A,FALSE,"特殊室（ＢＱ表）"}</definedName>
    <definedName name="______PPP3" localSheetId="2" hidden="1">{#N/A,#N/A,FALSE,"特殊室（ＢＱ表）"}</definedName>
    <definedName name="______PPP3" localSheetId="8" hidden="1">{#N/A,#N/A,FALSE,"特殊室（ＢＱ表）"}</definedName>
    <definedName name="______PPP3" hidden="1">{#N/A,#N/A,FALSE,"特殊室（ＢＱ表）"}</definedName>
    <definedName name="______PPP33" localSheetId="1" hidden="1">{#N/A,#N/A,FALSE,"特殊室（ＢＱ表）"}</definedName>
    <definedName name="______PPP33" localSheetId="2" hidden="1">{#N/A,#N/A,FALSE,"特殊室（ＢＱ表）"}</definedName>
    <definedName name="______PPP33" localSheetId="8" hidden="1">{#N/A,#N/A,FALSE,"特殊室（ＢＱ表）"}</definedName>
    <definedName name="______PPP33" hidden="1">{#N/A,#N/A,FALSE,"特殊室（ＢＱ表）"}</definedName>
    <definedName name="______ppp34" localSheetId="1" hidden="1">{#N/A,#N/A,FALSE,"特殊室（ＢＱ表）"}</definedName>
    <definedName name="______ppp34" localSheetId="2" hidden="1">{#N/A,#N/A,FALSE,"特殊室（ＢＱ表）"}</definedName>
    <definedName name="______ppp34" localSheetId="8" hidden="1">{#N/A,#N/A,FALSE,"特殊室（ＢＱ表）"}</definedName>
    <definedName name="______ppp34" hidden="1">{#N/A,#N/A,FALSE,"特殊室（ＢＱ表）"}</definedName>
    <definedName name="______ppp3444" localSheetId="1" hidden="1">{#N/A,#N/A,FALSE,"特殊室（ＢＱ表）"}</definedName>
    <definedName name="______ppp3444" localSheetId="2" hidden="1">{#N/A,#N/A,FALSE,"特殊室（ＢＱ表）"}</definedName>
    <definedName name="______ppp3444" localSheetId="8" hidden="1">{#N/A,#N/A,FALSE,"特殊室（ＢＱ表）"}</definedName>
    <definedName name="______ppp3444" hidden="1">{#N/A,#N/A,FALSE,"特殊室（ＢＱ表）"}</definedName>
    <definedName name="______phu3" localSheetId="1" hidden="1">{"'Sheet1'!$L$16"}</definedName>
    <definedName name="______phu3" localSheetId="2" hidden="1">{"'Sheet1'!$L$16"}</definedName>
    <definedName name="______phu3" localSheetId="8" hidden="1">{"'Sheet1'!$L$16"}</definedName>
    <definedName name="______phu3" hidden="1">{"'Sheet1'!$L$16"}</definedName>
    <definedName name="______SCL4" localSheetId="1" hidden="1">{"'Sheet1'!$L$16"}</definedName>
    <definedName name="______SCL4" localSheetId="2" hidden="1">{"'Sheet1'!$L$16"}</definedName>
    <definedName name="______SCL4" localSheetId="8" hidden="1">{"'Sheet1'!$L$16"}</definedName>
    <definedName name="______SCL4" hidden="1">{"'Sheet1'!$L$16"}</definedName>
    <definedName name="______SCL4_1" localSheetId="1" hidden="1">{"'Sheet1'!$L$16"}</definedName>
    <definedName name="______SCL4_1" localSheetId="2" hidden="1">{"'Sheet1'!$L$16"}</definedName>
    <definedName name="______SCL4_1" localSheetId="8" hidden="1">{"'Sheet1'!$L$16"}</definedName>
    <definedName name="______SCL4_1" hidden="1">{"'Sheet1'!$L$16"}</definedName>
    <definedName name="______SHI1" localSheetId="1" hidden="1">{"'Sheet1'!$L$16"}</definedName>
    <definedName name="______SHI1" localSheetId="2" hidden="1">{"'Sheet1'!$L$16"}</definedName>
    <definedName name="______SHI1" localSheetId="8" hidden="1">{"'Sheet1'!$L$16"}</definedName>
    <definedName name="______SHI1" hidden="1">{"'Sheet1'!$L$16"}</definedName>
    <definedName name="______T1" localSheetId="1" hidden="1">{#N/A,#N/A,FALSE,"Chi tiÆt"}</definedName>
    <definedName name="______T1" localSheetId="2" hidden="1">{#N/A,#N/A,FALSE,"Chi tiÆt"}</definedName>
    <definedName name="______T1" localSheetId="8" hidden="1">{#N/A,#N/A,FALSE,"Chi tiÆt"}</definedName>
    <definedName name="______T1" hidden="1">{#N/A,#N/A,FALSE,"Chi tiÆt"}</definedName>
    <definedName name="______T10" localSheetId="1" hidden="1">{"'Sheet1'!$L$16"}</definedName>
    <definedName name="______T10" localSheetId="2" hidden="1">{"'Sheet1'!$L$16"}</definedName>
    <definedName name="______T10" localSheetId="8" hidden="1">{"'Sheet1'!$L$16"}</definedName>
    <definedName name="______T10" hidden="1">{"'Sheet1'!$L$16"}</definedName>
    <definedName name="______t2" localSheetId="1" hidden="1">{"'Sheet1'!$L$16"}</definedName>
    <definedName name="______t2" localSheetId="2" hidden="1">{"'Sheet1'!$L$16"}</definedName>
    <definedName name="______t2" localSheetId="8" hidden="1">{"'Sheet1'!$L$16"}</definedName>
    <definedName name="______t2" hidden="1">{"'Sheet1'!$L$16"}</definedName>
    <definedName name="______T3" localSheetId="1" hidden="1">{"'Sheet1'!$L$16"}</definedName>
    <definedName name="______t3" localSheetId="2" hidden="1">{"'Sheet1'!$L$16"}</definedName>
    <definedName name="______t3" localSheetId="8" hidden="1">{"'Sheet1'!$L$16"}</definedName>
    <definedName name="______t3" hidden="1">{"'Sheet1'!$L$16"}</definedName>
    <definedName name="______t5" localSheetId="1" hidden="1">{"'Sheet1'!$L$16"}</definedName>
    <definedName name="______t5" localSheetId="2" hidden="1">{"'Sheet1'!$L$16"}</definedName>
    <definedName name="______t5" localSheetId="8" hidden="1">{"'Sheet1'!$L$16"}</definedName>
    <definedName name="______t5" hidden="1">{"'Sheet1'!$L$16"}</definedName>
    <definedName name="______TM2" localSheetId="1" hidden="1">{"'Sheet1'!$L$16"}</definedName>
    <definedName name="______TM2" localSheetId="2" hidden="1">{"'Sheet1'!$L$16"}</definedName>
    <definedName name="______TM2" localSheetId="8" hidden="1">{"'Sheet1'!$L$16"}</definedName>
    <definedName name="______TM2" hidden="1">{"'Sheet1'!$L$16"}</definedName>
    <definedName name="______TT04" hidden="1">#REF!</definedName>
    <definedName name="______tt3" localSheetId="1" hidden="1">{"'Sheet1'!$L$16"}</definedName>
    <definedName name="______tt3" localSheetId="2" hidden="1">{"'Sheet1'!$L$16"}</definedName>
    <definedName name="______tt3" localSheetId="8" hidden="1">{"'Sheet1'!$L$16"}</definedName>
    <definedName name="______tt3" hidden="1">{"'Sheet1'!$L$16"}</definedName>
    <definedName name="______tu4" localSheetId="1" hidden="1">{"'Sheet1'!$L$16"}</definedName>
    <definedName name="______tu4" localSheetId="2" hidden="1">{"'Sheet1'!$L$16"}</definedName>
    <definedName name="______tu4" localSheetId="8" hidden="1">{"'Sheet1'!$L$16"}</definedName>
    <definedName name="______tu4" hidden="1">{"'Sheet1'!$L$16"}</definedName>
    <definedName name="______TV2" localSheetId="1" hidden="1">{"'Sheet1'!$L$16"}</definedName>
    <definedName name="______TV2" localSheetId="2" hidden="1">{"'Sheet1'!$L$16"}</definedName>
    <definedName name="______TV2" localSheetId="8" hidden="1">{"'Sheet1'!$L$16"}</definedName>
    <definedName name="______TV2" hidden="1">{"'Sheet1'!$L$16"}</definedName>
    <definedName name="______TH1" localSheetId="1" hidden="1">{"'Sheet1'!$L$16"}</definedName>
    <definedName name="______TH1" localSheetId="2" hidden="1">{"'Sheet1'!$L$16"}</definedName>
    <definedName name="______TH1" localSheetId="8" hidden="1">{"'Sheet1'!$L$16"}</definedName>
    <definedName name="______TH1" hidden="1">{"'Sheet1'!$L$16"}</definedName>
    <definedName name="______THT11" localSheetId="1" hidden="1">{"'Sheet1'!$L$16"}</definedName>
    <definedName name="______THT11" localSheetId="2" hidden="1">{"'Sheet1'!$L$16"}</definedName>
    <definedName name="______THT11" localSheetId="8" hidden="1">{"'Sheet1'!$L$16"}</definedName>
    <definedName name="______THT11" hidden="1">{"'Sheet1'!$L$16"}</definedName>
    <definedName name="______VT3" localSheetId="1" hidden="1">{"'Sheet1'!$L$16"}</definedName>
    <definedName name="______VT3" localSheetId="2" hidden="1">{"'Sheet1'!$L$16"}</definedName>
    <definedName name="______VT3" localSheetId="8"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localSheetId="1" hidden="1">{"'Sheet1'!$L$16"}</definedName>
    <definedName name="_____a1" localSheetId="2" hidden="1">{"'Sheet1'!$L$16"}</definedName>
    <definedName name="_____a1" localSheetId="8" hidden="1">{"'Sheet1'!$L$16"}</definedName>
    <definedName name="_____a1" hidden="1">{"'Sheet1'!$L$16"}</definedName>
    <definedName name="_____a1_1" localSheetId="1" hidden="1">{"'Sheet1'!$L$16"}</definedName>
    <definedName name="_____a1_1" localSheetId="2" hidden="1">{"'Sheet1'!$L$16"}</definedName>
    <definedName name="_____a1_1" localSheetId="8" hidden="1">{"'Sheet1'!$L$16"}</definedName>
    <definedName name="_____a1_1" hidden="1">{"'Sheet1'!$L$16"}</definedName>
    <definedName name="_____a129" localSheetId="1" hidden="1">{"Offgrid",#N/A,FALSE,"OFFGRID";"Region",#N/A,FALSE,"REGION";"Offgrid -2",#N/A,FALSE,"OFFGRID";"WTP",#N/A,FALSE,"WTP";"WTP -2",#N/A,FALSE,"WTP";"Project",#N/A,FALSE,"PROJECT";"Summary -2",#N/A,FALSE,"SUMMARY"}</definedName>
    <definedName name="_____a129" localSheetId="2" hidden="1">{"Offgrid",#N/A,FALSE,"OFFGRID";"Region",#N/A,FALSE,"REGION";"Offgrid -2",#N/A,FALSE,"OFFGRID";"WTP",#N/A,FALSE,"WTP";"WTP -2",#N/A,FALSE,"WTP";"Project",#N/A,FALSE,"PROJECT";"Summary -2",#N/A,FALSE,"SUMMARY"}</definedName>
    <definedName name="_____a129" localSheetId="8"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130" localSheetId="8"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1" hidden="1">{"'Sheet1'!$L$16"}</definedName>
    <definedName name="_____a2" localSheetId="2" hidden="1">{"'Sheet1'!$L$16"}</definedName>
    <definedName name="_____a2" localSheetId="8" hidden="1">{"'Sheet1'!$L$16"}</definedName>
    <definedName name="_____a2" hidden="1">{"'Sheet1'!$L$16"}</definedName>
    <definedName name="_____b01" localSheetId="1" hidden="1">{#N/A,#N/A,FALSE,"MARCH"}</definedName>
    <definedName name="_____b01" localSheetId="2" hidden="1">{#N/A,#N/A,FALSE,"MARCH"}</definedName>
    <definedName name="_____b01" localSheetId="8" hidden="1">{#N/A,#N/A,FALSE,"MARCH"}</definedName>
    <definedName name="_____b01" hidden="1">{#N/A,#N/A,FALSE,"MARCH"}</definedName>
    <definedName name="_____ba1" localSheetId="1" hidden="1">{#N/A,#N/A,FALSE,"Chi tiÆt"}</definedName>
    <definedName name="_____ba1" localSheetId="2" hidden="1">{#N/A,#N/A,FALSE,"Chi tiÆt"}</definedName>
    <definedName name="_____ba1" localSheetId="8" hidden="1">{#N/A,#N/A,FALSE,"Chi tiÆt"}</definedName>
    <definedName name="_____ba1" hidden="1">{#N/A,#N/A,FALSE,"Chi tiÆt"}</definedName>
    <definedName name="_____ba2" localSheetId="1" hidden="1">{#N/A,#N/A,FALSE,"Chi tiÆt"}</definedName>
    <definedName name="_____ba2" localSheetId="2" hidden="1">{#N/A,#N/A,FALSE,"Chi tiÆt"}</definedName>
    <definedName name="_____ba2" localSheetId="8" hidden="1">{#N/A,#N/A,FALSE,"Chi tiÆt"}</definedName>
    <definedName name="_____ba2" hidden="1">{#N/A,#N/A,FALSE,"Chi tiÆt"}</definedName>
    <definedName name="_____BG12" localSheetId="1" hidden="1">{"'Sheet1'!$L$16"}</definedName>
    <definedName name="_____BG12" localSheetId="2" hidden="1">{"'Sheet1'!$L$16"}</definedName>
    <definedName name="_____BG12" localSheetId="8" hidden="1">{"'Sheet1'!$L$16"}</definedName>
    <definedName name="_____BG12" hidden="1">{"'Sheet1'!$L$16"}</definedName>
    <definedName name="_____bht6" localSheetId="1" hidden="1">{"'Sheet1'!$L$16"}</definedName>
    <definedName name="_____bht6" localSheetId="2" hidden="1">{"'Sheet1'!$L$16"}</definedName>
    <definedName name="_____bht6" localSheetId="8" hidden="1">{"'Sheet1'!$L$16"}</definedName>
    <definedName name="_____bht6" hidden="1">{"'Sheet1'!$L$16"}</definedName>
    <definedName name="_____CN1" localSheetId="1" hidden="1">{"'Sheet1'!$L$16"}</definedName>
    <definedName name="_____CN1" localSheetId="2" hidden="1">{"'Sheet1'!$L$16"}</definedName>
    <definedName name="_____CN1" localSheetId="8" hidden="1">{"'Sheet1'!$L$16"}</definedName>
    <definedName name="_____CN1" hidden="1">{"'Sheet1'!$L$16"}</definedName>
    <definedName name="_____ct2005" localSheetId="1" hidden="1">{"'Sheet1'!$L$16"}</definedName>
    <definedName name="_____ct2005" localSheetId="2" hidden="1">{"'Sheet1'!$L$16"}</definedName>
    <definedName name="_____ct2005" localSheetId="8" hidden="1">{"'Sheet1'!$L$16"}</definedName>
    <definedName name="_____ct2005" hidden="1">{"'Sheet1'!$L$16"}</definedName>
    <definedName name="_____d1500" localSheetId="1" hidden="1">{"'Sheet1'!$L$16"}</definedName>
    <definedName name="_____d1500" localSheetId="2" hidden="1">{"'Sheet1'!$L$16"}</definedName>
    <definedName name="_____d1500" localSheetId="8" hidden="1">{"'Sheet1'!$L$16"}</definedName>
    <definedName name="_____d1500" hidden="1">{"'Sheet1'!$L$16"}</definedName>
    <definedName name="_____DT10" localSheetId="1" hidden="1">{"'Sheet1'!$L$16"}</definedName>
    <definedName name="_____DT10" localSheetId="2" hidden="1">{"'Sheet1'!$L$16"}</definedName>
    <definedName name="_____DT10" localSheetId="8" hidden="1">{"'Sheet1'!$L$16"}</definedName>
    <definedName name="_____DT10" hidden="1">{"'Sheet1'!$L$16"}</definedName>
    <definedName name="_____FAB4" hidden="1">#REF!</definedName>
    <definedName name="_____FD12" localSheetId="1" hidden="1">{"'Sheet1'!$L$16"}</definedName>
    <definedName name="_____FD12" localSheetId="2" hidden="1">{"'Sheet1'!$L$16"}</definedName>
    <definedName name="_____FD12" localSheetId="8" hidden="1">{"'Sheet1'!$L$16"}</definedName>
    <definedName name="_____FD12" hidden="1">{"'Sheet1'!$L$16"}</definedName>
    <definedName name="_____Goi8" localSheetId="1" hidden="1">{"'Sheet1'!$L$16"}</definedName>
    <definedName name="_____Goi8" localSheetId="2" hidden="1">{"'Sheet1'!$L$16"}</definedName>
    <definedName name="_____Goi8" localSheetId="8" hidden="1">{"'Sheet1'!$L$16"}</definedName>
    <definedName name="_____Goi8" hidden="1">{"'Sheet1'!$L$16"}</definedName>
    <definedName name="_____Goi8_1" localSheetId="1" hidden="1">{"'Sheet1'!$L$16"}</definedName>
    <definedName name="_____Goi8_1" localSheetId="2" hidden="1">{"'Sheet1'!$L$16"}</definedName>
    <definedName name="_____Goi8_1" localSheetId="8" hidden="1">{"'Sheet1'!$L$16"}</definedName>
    <definedName name="_____Goi8_1" hidden="1">{"'Sheet1'!$L$16"}</definedName>
    <definedName name="_____h1" localSheetId="1" hidden="1">{"'Sheet1'!$L$16"}</definedName>
    <definedName name="_____h1" localSheetId="2" hidden="1">{"'Sheet1'!$L$16"}</definedName>
    <definedName name="_____h1" localSheetId="8" hidden="1">{"'Sheet1'!$L$16"}</definedName>
    <definedName name="_____h1" hidden="1">{"'Sheet1'!$L$16"}</definedName>
    <definedName name="_____hh1219" localSheetId="1" hidden="1">{"'Sheet1'!$L$16"}</definedName>
    <definedName name="_____hh1219" localSheetId="2" hidden="1">{"'Sheet1'!$L$16"}</definedName>
    <definedName name="_____hh1219" localSheetId="8" hidden="1">{"'Sheet1'!$L$16"}</definedName>
    <definedName name="_____hh1219" hidden="1">{"'Sheet1'!$L$16"}</definedName>
    <definedName name="_____hu1" localSheetId="1" hidden="1">{"'Sheet1'!$L$16"}</definedName>
    <definedName name="_____hu1" localSheetId="2" hidden="1">{"'Sheet1'!$L$16"}</definedName>
    <definedName name="_____hu1" localSheetId="8" hidden="1">{"'Sheet1'!$L$16"}</definedName>
    <definedName name="_____hu1" hidden="1">{"'Sheet1'!$L$16"}</definedName>
    <definedName name="_____hu2" localSheetId="1" hidden="1">{"'Sheet1'!$L$16"}</definedName>
    <definedName name="_____hu2" localSheetId="2" hidden="1">{"'Sheet1'!$L$16"}</definedName>
    <definedName name="_____hu2" localSheetId="8" hidden="1">{"'Sheet1'!$L$16"}</definedName>
    <definedName name="_____hu2" hidden="1">{"'Sheet1'!$L$16"}</definedName>
    <definedName name="_____hu5" localSheetId="1" hidden="1">{"'Sheet1'!$L$16"}</definedName>
    <definedName name="_____hu5" localSheetId="2" hidden="1">{"'Sheet1'!$L$16"}</definedName>
    <definedName name="_____hu5" localSheetId="8" hidden="1">{"'Sheet1'!$L$16"}</definedName>
    <definedName name="_____hu5" hidden="1">{"'Sheet1'!$L$16"}</definedName>
    <definedName name="_____hu6" localSheetId="1" hidden="1">{"'Sheet1'!$L$16"}</definedName>
    <definedName name="_____hu6" localSheetId="2" hidden="1">{"'Sheet1'!$L$16"}</definedName>
    <definedName name="_____hu6" localSheetId="8" hidden="1">{"'Sheet1'!$L$16"}</definedName>
    <definedName name="_____hu6" hidden="1">{"'Sheet1'!$L$16"}</definedName>
    <definedName name="_____hu7" localSheetId="1" hidden="1">{"'Sheet1'!$L$16"}</definedName>
    <definedName name="_____hu7" localSheetId="2" hidden="1">{"'Sheet1'!$L$16"}</definedName>
    <definedName name="_____hu7" localSheetId="8" hidden="1">{"'Sheet1'!$L$16"}</definedName>
    <definedName name="_____hu7" hidden="1">{"'Sheet1'!$L$16"}</definedName>
    <definedName name="_____key2" localSheetId="1" hidden="1">#REF!</definedName>
    <definedName name="_____key2" hidden="1">#REF!</definedName>
    <definedName name="_____Lan1" localSheetId="1" hidden="1">{"'Sheet1'!$L$16"}</definedName>
    <definedName name="_____Lan1" localSheetId="2" hidden="1">{"'Sheet1'!$L$16"}</definedName>
    <definedName name="_____Lan1" localSheetId="8" hidden="1">{"'Sheet1'!$L$16"}</definedName>
    <definedName name="_____Lan1" hidden="1">{"'Sheet1'!$L$16"}</definedName>
    <definedName name="_____Lan2" localSheetId="1" hidden="1">{"'Sheet1'!$L$16"}</definedName>
    <definedName name="_____Lan2" localSheetId="2" hidden="1">{"'Sheet1'!$L$16"}</definedName>
    <definedName name="_____Lan2" localSheetId="8" hidden="1">{"'Sheet1'!$L$16"}</definedName>
    <definedName name="_____Lan2" hidden="1">{"'Sheet1'!$L$16"}</definedName>
    <definedName name="_____LAN3" localSheetId="1" hidden="1">{"'Sheet1'!$L$16"}</definedName>
    <definedName name="_____LAN3" localSheetId="2" hidden="1">{"'Sheet1'!$L$16"}</definedName>
    <definedName name="_____LAN3" localSheetId="8" hidden="1">{"'Sheet1'!$L$16"}</definedName>
    <definedName name="_____LAN3" hidden="1">{"'Sheet1'!$L$16"}</definedName>
    <definedName name="_____lao2" localSheetId="1" hidden="1">{"'Sheet1'!$L$16"}</definedName>
    <definedName name="_____lao2" localSheetId="2" hidden="1">{"'Sheet1'!$L$16"}</definedName>
    <definedName name="_____lao2" localSheetId="8" hidden="1">{"'Sheet1'!$L$16"}</definedName>
    <definedName name="_____lao2" hidden="1">{"'Sheet1'!$L$16"}</definedName>
    <definedName name="_____ld2" localSheetId="1" hidden="1">{"'Sheet1'!$L$16"}</definedName>
    <definedName name="_____ld2" localSheetId="2" hidden="1">{"'Sheet1'!$L$16"}</definedName>
    <definedName name="_____ld2" localSheetId="8" hidden="1">{"'Sheet1'!$L$16"}</definedName>
    <definedName name="_____ld2" hidden="1">{"'Sheet1'!$L$16"}</definedName>
    <definedName name="_____lop111" localSheetId="1" hidden="1">{#N/A,#N/A,FALSE,"特殊室（ＢＱ表）"}</definedName>
    <definedName name="_____lop111" localSheetId="2" hidden="1">{#N/A,#N/A,FALSE,"特殊室（ＢＱ表）"}</definedName>
    <definedName name="_____lop111" localSheetId="8" hidden="1">{#N/A,#N/A,FALSE,"特殊室（ＢＱ表）"}</definedName>
    <definedName name="_____lop111" hidden="1">{#N/A,#N/A,FALSE,"特殊室（ＢＱ表）"}</definedName>
    <definedName name="_____M2" localSheetId="1" hidden="1">{"'Sheet1'!$L$16"}</definedName>
    <definedName name="_____M2" localSheetId="2" hidden="1">{"'Sheet1'!$L$16"}</definedName>
    <definedName name="_____M2" localSheetId="8" hidden="1">{"'Sheet1'!$L$16"}</definedName>
    <definedName name="_____M2" hidden="1">{"'Sheet1'!$L$16"}</definedName>
    <definedName name="_____m4" localSheetId="1" hidden="1">{"'Sheet1'!$L$16"}</definedName>
    <definedName name="_____m4" localSheetId="2" hidden="1">{"'Sheet1'!$L$16"}</definedName>
    <definedName name="_____m4" localSheetId="8" hidden="1">{"'Sheet1'!$L$16"}</definedName>
    <definedName name="_____m4" hidden="1">{"'Sheet1'!$L$16"}</definedName>
    <definedName name="_____MCC3" localSheetId="1" hidden="1">{#N/A,#N/A,FALSE,"CCTV"}</definedName>
    <definedName name="_____MCC3" localSheetId="2" hidden="1">{#N/A,#N/A,FALSE,"CCTV"}</definedName>
    <definedName name="_____MCC3" localSheetId="8" hidden="1">{#N/A,#N/A,FALSE,"CCTV"}</definedName>
    <definedName name="_____MCC3" hidden="1">{#N/A,#N/A,FALSE,"CCTV"}</definedName>
    <definedName name="_____nam1" localSheetId="1" hidden="1">{"'Sheet1'!$L$16"}</definedName>
    <definedName name="_____nam1" localSheetId="2" hidden="1">{"'Sheet1'!$L$16"}</definedName>
    <definedName name="_____nam1" localSheetId="8" hidden="1">{"'Sheet1'!$L$16"}</definedName>
    <definedName name="_____nam1" hidden="1">{"'Sheet1'!$L$16"}</definedName>
    <definedName name="_____NO1" localSheetId="1" hidden="1">#REF!</definedName>
    <definedName name="_____NO1" hidden="1">#REF!</definedName>
    <definedName name="_____NO2" localSheetId="1" hidden="1">#REF!</definedName>
    <definedName name="_____NO2" hidden="1">#REF!</definedName>
    <definedName name="_____NSO2" localSheetId="1" hidden="1">{"'Sheet1'!$L$16"}</definedName>
    <definedName name="_____NSO2" localSheetId="2" hidden="1">{"'Sheet1'!$L$16"}</definedName>
    <definedName name="_____NSO2" localSheetId="8" hidden="1">{"'Sheet1'!$L$16"}</definedName>
    <definedName name="_____NSO2" hidden="1">{"'Sheet1'!$L$16"}</definedName>
    <definedName name="_____ngk1109" localSheetId="1" hidden="1">{#N/A,#N/A,FALSE,"估價單  (3)"}</definedName>
    <definedName name="_____ngk1109" localSheetId="2" hidden="1">{#N/A,#N/A,FALSE,"估價單  (3)"}</definedName>
    <definedName name="_____ngk1109" localSheetId="8" hidden="1">{#N/A,#N/A,FALSE,"估價單  (3)"}</definedName>
    <definedName name="_____ngk1109" hidden="1">{#N/A,#N/A,FALSE,"估價單  (3)"}</definedName>
    <definedName name="_____P3" localSheetId="1" hidden="1">{#N/A,#N/A,FALSE,"特殊室（ＢＱ表）"}</definedName>
    <definedName name="_____P3" localSheetId="2" hidden="1">{#N/A,#N/A,FALSE,"特殊室（ＢＱ表）"}</definedName>
    <definedName name="_____P3" localSheetId="8" hidden="1">{#N/A,#N/A,FALSE,"特殊室（ＢＱ表）"}</definedName>
    <definedName name="_____P3" hidden="1">{#N/A,#N/A,FALSE,"特殊室（ＢＱ表）"}</definedName>
    <definedName name="_____PA3" localSheetId="1" hidden="1">{"'Sheet1'!$L$16"}</definedName>
    <definedName name="_____PA3" localSheetId="2" hidden="1">{"'Sheet1'!$L$16"}</definedName>
    <definedName name="_____PA3" localSheetId="8" hidden="1">{"'Sheet1'!$L$16"}</definedName>
    <definedName name="_____PA3" hidden="1">{"'Sheet1'!$L$16"}</definedName>
    <definedName name="_____PPP3" localSheetId="1" hidden="1">{#N/A,#N/A,FALSE,"特殊室（ＢＱ表）"}</definedName>
    <definedName name="_____PPP3" localSheetId="2" hidden="1">{#N/A,#N/A,FALSE,"特殊室（ＢＱ表）"}</definedName>
    <definedName name="_____PPP3" localSheetId="8" hidden="1">{#N/A,#N/A,FALSE,"特殊室（ＢＱ表）"}</definedName>
    <definedName name="_____PPP3" hidden="1">{#N/A,#N/A,FALSE,"特殊室（ＢＱ表）"}</definedName>
    <definedName name="_____PPP33" localSheetId="1" hidden="1">{#N/A,#N/A,FALSE,"特殊室（ＢＱ表）"}</definedName>
    <definedName name="_____PPP33" localSheetId="2" hidden="1">{#N/A,#N/A,FALSE,"特殊室（ＢＱ表）"}</definedName>
    <definedName name="_____PPP33" localSheetId="8" hidden="1">{#N/A,#N/A,FALSE,"特殊室（ＢＱ表）"}</definedName>
    <definedName name="_____PPP33" hidden="1">{#N/A,#N/A,FALSE,"特殊室（ＢＱ表）"}</definedName>
    <definedName name="_____ppp34" localSheetId="1" hidden="1">{#N/A,#N/A,FALSE,"特殊室（ＢＱ表）"}</definedName>
    <definedName name="_____ppp34" localSheetId="2" hidden="1">{#N/A,#N/A,FALSE,"特殊室（ＢＱ表）"}</definedName>
    <definedName name="_____ppp34" localSheetId="8" hidden="1">{#N/A,#N/A,FALSE,"特殊室（ＢＱ表）"}</definedName>
    <definedName name="_____ppp34" hidden="1">{#N/A,#N/A,FALSE,"特殊室（ＢＱ表）"}</definedName>
    <definedName name="_____ppp3444" localSheetId="1" hidden="1">{#N/A,#N/A,FALSE,"特殊室（ＢＱ表）"}</definedName>
    <definedName name="_____ppp3444" localSheetId="2" hidden="1">{#N/A,#N/A,FALSE,"特殊室（ＢＱ表）"}</definedName>
    <definedName name="_____ppp3444" localSheetId="8" hidden="1">{#N/A,#N/A,FALSE,"特殊室（ＢＱ表）"}</definedName>
    <definedName name="_____ppp3444" hidden="1">{#N/A,#N/A,FALSE,"特殊室（ＢＱ表）"}</definedName>
    <definedName name="_____phu3" localSheetId="1" hidden="1">{"'Sheet1'!$L$16"}</definedName>
    <definedName name="_____phu3" localSheetId="2" hidden="1">{"'Sheet1'!$L$16"}</definedName>
    <definedName name="_____phu3" localSheetId="8" hidden="1">{"'Sheet1'!$L$16"}</definedName>
    <definedName name="_____phu3" hidden="1">{"'Sheet1'!$L$16"}</definedName>
    <definedName name="_____SCL4" localSheetId="1" hidden="1">{"'Sheet1'!$L$16"}</definedName>
    <definedName name="_____SCL4" localSheetId="2" hidden="1">{"'Sheet1'!$L$16"}</definedName>
    <definedName name="_____SCL4" localSheetId="8" hidden="1">{"'Sheet1'!$L$16"}</definedName>
    <definedName name="_____SCL4" hidden="1">{"'Sheet1'!$L$16"}</definedName>
    <definedName name="_____SCL4_1" localSheetId="1" hidden="1">{"'Sheet1'!$L$16"}</definedName>
    <definedName name="_____SCL4_1" localSheetId="2" hidden="1">{"'Sheet1'!$L$16"}</definedName>
    <definedName name="_____SCL4_1" localSheetId="8" hidden="1">{"'Sheet1'!$L$16"}</definedName>
    <definedName name="_____SCL4_1" hidden="1">{"'Sheet1'!$L$16"}</definedName>
    <definedName name="_____SHI1" localSheetId="1" hidden="1">{"'Sheet1'!$L$16"}</definedName>
    <definedName name="_____SHI1" localSheetId="2" hidden="1">{"'Sheet1'!$L$16"}</definedName>
    <definedName name="_____SHI1" localSheetId="8" hidden="1">{"'Sheet1'!$L$16"}</definedName>
    <definedName name="_____SHI1" hidden="1">{"'Sheet1'!$L$16"}</definedName>
    <definedName name="_____sxt5" localSheetId="1" hidden="1">{"'Sheet1'!$L$16"}</definedName>
    <definedName name="_____sxt5" localSheetId="2" hidden="1">{"'Sheet1'!$L$16"}</definedName>
    <definedName name="_____sxt5" localSheetId="8" hidden="1">{"'Sheet1'!$L$16"}</definedName>
    <definedName name="_____sxt5" hidden="1">{"'Sheet1'!$L$16"}</definedName>
    <definedName name="_____T1" localSheetId="1" hidden="1">{#N/A,#N/A,FALSE,"Chi tiÆt"}</definedName>
    <definedName name="_____T1" localSheetId="2" hidden="1">{#N/A,#N/A,FALSE,"Chi tiÆt"}</definedName>
    <definedName name="_____T1" localSheetId="8" hidden="1">{#N/A,#N/A,FALSE,"Chi tiÆt"}</definedName>
    <definedName name="_____T1" hidden="1">{#N/A,#N/A,FALSE,"Chi tiÆt"}</definedName>
    <definedName name="_____T10" localSheetId="1" hidden="1">{"'Sheet1'!$L$16"}</definedName>
    <definedName name="_____T10" localSheetId="2" hidden="1">{"'Sheet1'!$L$16"}</definedName>
    <definedName name="_____T10" localSheetId="8" hidden="1">{"'Sheet1'!$L$16"}</definedName>
    <definedName name="_____T10" hidden="1">{"'Sheet1'!$L$16"}</definedName>
    <definedName name="_____T2" localSheetId="1" hidden="1">{"'Sheet1'!$L$16"}</definedName>
    <definedName name="_____T2" localSheetId="2" hidden="1">{"'Sheet1'!$L$16"}</definedName>
    <definedName name="_____T2" localSheetId="8" hidden="1">{"'Sheet1'!$L$16"}</definedName>
    <definedName name="_____T2" hidden="1">{"'Sheet1'!$L$16"}</definedName>
    <definedName name="_____T3" localSheetId="1" hidden="1">{"'Sheet1'!$L$16"}</definedName>
    <definedName name="_____T3" localSheetId="2" hidden="1">{"'Sheet1'!$L$16"}</definedName>
    <definedName name="_____T3" localSheetId="8" hidden="1">{"'Sheet1'!$L$16"}</definedName>
    <definedName name="_____T3" hidden="1">{"'Sheet1'!$L$16"}</definedName>
    <definedName name="_____t4" localSheetId="1" hidden="1">{"'Sheet1'!$L$16"}</definedName>
    <definedName name="_____t4" localSheetId="2" hidden="1">{"'Sheet1'!$L$16"}</definedName>
    <definedName name="_____t4" localSheetId="8" hidden="1">{"'Sheet1'!$L$16"}</definedName>
    <definedName name="_____t4" hidden="1">{"'Sheet1'!$L$16"}</definedName>
    <definedName name="_____T5" localSheetId="1" hidden="1">{"'Sheet1'!$L$16"}</definedName>
    <definedName name="_____T5" localSheetId="2" hidden="1">{"'Sheet1'!$L$16"}</definedName>
    <definedName name="_____T5" localSheetId="8" hidden="1">{"'Sheet1'!$L$16"}</definedName>
    <definedName name="_____T5" hidden="1">{"'Sheet1'!$L$16"}</definedName>
    <definedName name="_____TM2" localSheetId="1" hidden="1">{"'Sheet1'!$L$16"}</definedName>
    <definedName name="_____TM2" localSheetId="2" hidden="1">{"'Sheet1'!$L$16"}</definedName>
    <definedName name="_____TM2" localSheetId="8" hidden="1">{"'Sheet1'!$L$16"}</definedName>
    <definedName name="_____TM2" hidden="1">{"'Sheet1'!$L$16"}</definedName>
    <definedName name="_____TT04" hidden="1">#REF!</definedName>
    <definedName name="_____tt3" localSheetId="1" hidden="1">{"'Sheet1'!$L$16"}</definedName>
    <definedName name="_____tt3" localSheetId="2" hidden="1">{"'Sheet1'!$L$16"}</definedName>
    <definedName name="_____tt3" localSheetId="8" hidden="1">{"'Sheet1'!$L$16"}</definedName>
    <definedName name="_____tt3" hidden="1">{"'Sheet1'!$L$16"}</definedName>
    <definedName name="_____tu4" localSheetId="1" hidden="1">{"'Sheet1'!$L$16"}</definedName>
    <definedName name="_____tu4" localSheetId="2" hidden="1">{"'Sheet1'!$L$16"}</definedName>
    <definedName name="_____tu4" localSheetId="8" hidden="1">{"'Sheet1'!$L$16"}</definedName>
    <definedName name="_____tu4" hidden="1">{"'Sheet1'!$L$16"}</definedName>
    <definedName name="_____TV2" localSheetId="1" hidden="1">{"'Sheet1'!$L$16"}</definedName>
    <definedName name="_____TV2" localSheetId="2" hidden="1">{"'Sheet1'!$L$16"}</definedName>
    <definedName name="_____TV2" localSheetId="8" hidden="1">{"'Sheet1'!$L$16"}</definedName>
    <definedName name="_____TV2" hidden="1">{"'Sheet1'!$L$16"}</definedName>
    <definedName name="_____TH1" localSheetId="1" hidden="1">{"'Sheet1'!$L$16"}</definedName>
    <definedName name="_____TH1" localSheetId="2" hidden="1">{"'Sheet1'!$L$16"}</definedName>
    <definedName name="_____TH1" localSheetId="8" hidden="1">{"'Sheet1'!$L$16"}</definedName>
    <definedName name="_____TH1" hidden="1">{"'Sheet1'!$L$16"}</definedName>
    <definedName name="_____THT11" localSheetId="1" hidden="1">{"'Sheet1'!$L$16"}</definedName>
    <definedName name="_____THT11" localSheetId="2" hidden="1">{"'Sheet1'!$L$16"}</definedName>
    <definedName name="_____THT11" localSheetId="8" hidden="1">{"'Sheet1'!$L$16"}</definedName>
    <definedName name="_____THT11" hidden="1">{"'Sheet1'!$L$16"}</definedName>
    <definedName name="_____vpt5" localSheetId="1" hidden="1">{"'Sheet1'!$L$16"}</definedName>
    <definedName name="_____vpt5" localSheetId="2" hidden="1">{"'Sheet1'!$L$16"}</definedName>
    <definedName name="_____vpt5" localSheetId="8" hidden="1">{"'Sheet1'!$L$16"}</definedName>
    <definedName name="_____vpt5" hidden="1">{"'Sheet1'!$L$16"}</definedName>
    <definedName name="_____vpt6" localSheetId="1" hidden="1">{"'Sheet1'!$L$16"}</definedName>
    <definedName name="_____vpt6" localSheetId="2" hidden="1">{"'Sheet1'!$L$16"}</definedName>
    <definedName name="_____vpt6" localSheetId="8" hidden="1">{"'Sheet1'!$L$16"}</definedName>
    <definedName name="_____vpt6" hidden="1">{"'Sheet1'!$L$16"}</definedName>
    <definedName name="_____VT3" localSheetId="1" hidden="1">{"'Sheet1'!$L$16"}</definedName>
    <definedName name="_____VT3" localSheetId="2" hidden="1">{"'Sheet1'!$L$16"}</definedName>
    <definedName name="_____VT3" localSheetId="8"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localSheetId="1" hidden="1">{"'Sheet1'!$L$16"}</definedName>
    <definedName name="____a1" localSheetId="2" hidden="1">{"'Sheet1'!$L$16"}</definedName>
    <definedName name="____a1" localSheetId="8" hidden="1">{"'Sheet1'!$L$16"}</definedName>
    <definedName name="____a1" hidden="1">{"'Sheet1'!$L$16"}</definedName>
    <definedName name="____a1_1" localSheetId="1" hidden="1">{"'Sheet1'!$L$16"}</definedName>
    <definedName name="____a1_1" localSheetId="2" hidden="1">{"'Sheet1'!$L$16"}</definedName>
    <definedName name="____a1_1" localSheetId="8" hidden="1">{"'Sheet1'!$L$16"}</definedName>
    <definedName name="____a1_1" hidden="1">{"'Sheet1'!$L$16"}</definedName>
    <definedName name="____a129" localSheetId="1"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1" hidden="1">{"'Sheet1'!$L$16"}</definedName>
    <definedName name="____a2" localSheetId="2" hidden="1">{"'Sheet1'!$L$16"}</definedName>
    <definedName name="____a2" localSheetId="8" hidden="1">{"'Sheet1'!$L$16"}</definedName>
    <definedName name="____a2" hidden="1">{"'Sheet1'!$L$16"}</definedName>
    <definedName name="____b2" localSheetId="1" hidden="1">{"'Sheet1'!$L$16"}</definedName>
    <definedName name="____b2" localSheetId="2" hidden="1">{"'Sheet1'!$L$16"}</definedName>
    <definedName name="____b2" localSheetId="8" hidden="1">{"'Sheet1'!$L$16"}</definedName>
    <definedName name="____b2" hidden="1">{"'Sheet1'!$L$16"}</definedName>
    <definedName name="____ba1" localSheetId="1" hidden="1">{#N/A,#N/A,FALSE,"Chi tiÆt"}</definedName>
    <definedName name="____ba1" localSheetId="2" hidden="1">{#N/A,#N/A,FALSE,"Chi tiÆt"}</definedName>
    <definedName name="____ba1" localSheetId="8" hidden="1">{#N/A,#N/A,FALSE,"Chi tiÆt"}</definedName>
    <definedName name="____ba1" hidden="1">{#N/A,#N/A,FALSE,"Chi tiÆt"}</definedName>
    <definedName name="____ba2" localSheetId="1" hidden="1">{#N/A,#N/A,FALSE,"Chi tiÆt"}</definedName>
    <definedName name="____ba2" localSheetId="2" hidden="1">{#N/A,#N/A,FALSE,"Chi tiÆt"}</definedName>
    <definedName name="____ba2" localSheetId="8" hidden="1">{#N/A,#N/A,FALSE,"Chi tiÆt"}</definedName>
    <definedName name="____ba2" hidden="1">{#N/A,#N/A,FALSE,"Chi tiÆt"}</definedName>
    <definedName name="____BG12" localSheetId="1" hidden="1">{"'Sheet1'!$L$16"}</definedName>
    <definedName name="____BG12" localSheetId="2" hidden="1">{"'Sheet1'!$L$16"}</definedName>
    <definedName name="____BG12" localSheetId="8" hidden="1">{"'Sheet1'!$L$16"}</definedName>
    <definedName name="____BG12" hidden="1">{"'Sheet1'!$L$16"}</definedName>
    <definedName name="____bht6" localSheetId="1" hidden="1">{"'Sheet1'!$L$16"}</definedName>
    <definedName name="____bht6" localSheetId="2" hidden="1">{"'Sheet1'!$L$16"}</definedName>
    <definedName name="____bht6" localSheetId="8" hidden="1">{"'Sheet1'!$L$16"}</definedName>
    <definedName name="____bht6" hidden="1">{"'Sheet1'!$L$16"}</definedName>
    <definedName name="____CN1" localSheetId="1" hidden="1">{"'Sheet1'!$L$16"}</definedName>
    <definedName name="____CN1" localSheetId="2" hidden="1">{"'Sheet1'!$L$16"}</definedName>
    <definedName name="____CN1" localSheetId="8" hidden="1">{"'Sheet1'!$L$16"}</definedName>
    <definedName name="____CN1" hidden="1">{"'Sheet1'!$L$16"}</definedName>
    <definedName name="____ct2005" localSheetId="1" hidden="1">{"'Sheet1'!$L$16"}</definedName>
    <definedName name="____ct2005" localSheetId="2" hidden="1">{"'Sheet1'!$L$16"}</definedName>
    <definedName name="____ct2005" localSheetId="8" hidden="1">{"'Sheet1'!$L$16"}</definedName>
    <definedName name="____ct2005" hidden="1">{"'Sheet1'!$L$16"}</definedName>
    <definedName name="____CT4" localSheetId="1" hidden="1">{"'Sheet1'!$L$16"}</definedName>
    <definedName name="____CT4" localSheetId="2" hidden="1">{"'Sheet1'!$L$16"}</definedName>
    <definedName name="____CT4" localSheetId="8" hidden="1">{"'Sheet1'!$L$16"}</definedName>
    <definedName name="____CT4" hidden="1">{"'Sheet1'!$L$16"}</definedName>
    <definedName name="____d1500" localSheetId="1" hidden="1">{"'Sheet1'!$L$16"}</definedName>
    <definedName name="____d1500" localSheetId="2" hidden="1">{"'Sheet1'!$L$16"}</definedName>
    <definedName name="____d1500" localSheetId="8" hidden="1">{"'Sheet1'!$L$16"}</definedName>
    <definedName name="____d1500" hidden="1">{"'Sheet1'!$L$16"}</definedName>
    <definedName name="____DIV3">#REF!</definedName>
    <definedName name="____DIV4">#REF!</definedName>
    <definedName name="____DT10" localSheetId="1" hidden="1">{"'Sheet1'!$L$16"}</definedName>
    <definedName name="____DT10" localSheetId="2" hidden="1">{"'Sheet1'!$L$16"}</definedName>
    <definedName name="____DT10" localSheetId="8" hidden="1">{"'Sheet1'!$L$16"}</definedName>
    <definedName name="____DT10" hidden="1">{"'Sheet1'!$L$16"}</definedName>
    <definedName name="____f1" localSheetId="1" hidden="1">{#N/A,#N/A,FALSE,"FORM A";#N/A,#N/A,FALSE,"FORM D";#N/A,#N/A,FALSE,"FORM E-1";#N/A,#N/A,FALSE,"FORM E-2";#N/A,#N/A,FALSE,"FORM F";#N/A,#N/A,FALSE,"FORM G";#N/A,#N/A,FALSE,"FORM H-1";#N/A,#N/A,FALSE,"FORM H-2";#N/A,#N/A,FALSE,"FORM H-3";#N/A,#N/A,FALSE,"FORM H-4";#N/A,#N/A,FALSE,"FORM H-5";#N/A,#N/A,FALSE,"FORM I";#N/A,#N/A,FALSE,"FORM J"}</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1" localSheetId="8" hidden="1">{#N/A,#N/A,FALSE,"FORM A";#N/A,#N/A,FALSE,"FORM D";#N/A,#N/A,FALSE,"FORM E-1";#N/A,#N/A,FALSE,"FORM E-2";#N/A,#N/A,FALSE,"FORM F";#N/A,#N/A,FALSE,"FORM G";#N/A,#N/A,FALSE,"FORM H-1";#N/A,#N/A,FALSE,"FORM H-2";#N/A,#N/A,FALSE,"FORM H-3";#N/A,#N/A,FALSE,"FORM H-4";#N/A,#N/A,FALSE,"FORM H-5";#N/A,#N/A,FALSE,"FORM I";#N/A,#N/A,FALSE,"FORM J"}</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localSheetId="1" hidden="1">{"'Sheet1'!$L$16"}</definedName>
    <definedName name="____FD12" localSheetId="2" hidden="1">{"'Sheet1'!$L$16"}</definedName>
    <definedName name="____FD12" localSheetId="8" hidden="1">{"'Sheet1'!$L$16"}</definedName>
    <definedName name="____FD12" hidden="1">{"'Sheet1'!$L$16"}</definedName>
    <definedName name="____G4211" localSheetId="1" hidden="1">{"'Sheet1'!$L$16"}</definedName>
    <definedName name="____G4211" localSheetId="2" hidden="1">{"'Sheet1'!$L$16"}</definedName>
    <definedName name="____G4211" localSheetId="8" hidden="1">{"'Sheet1'!$L$16"}</definedName>
    <definedName name="____G4211" hidden="1">{"'Sheet1'!$L$16"}</definedName>
    <definedName name="____Goi8" localSheetId="1" hidden="1">{"'Sheet1'!$L$16"}</definedName>
    <definedName name="____Goi8" localSheetId="2" hidden="1">{"'Sheet1'!$L$16"}</definedName>
    <definedName name="____Goi8" localSheetId="8" hidden="1">{"'Sheet1'!$L$16"}</definedName>
    <definedName name="____Goi8" hidden="1">{"'Sheet1'!$L$16"}</definedName>
    <definedName name="____Goi8_1" localSheetId="1" hidden="1">{"'Sheet1'!$L$16"}</definedName>
    <definedName name="____Goi8_1" localSheetId="2" hidden="1">{"'Sheet1'!$L$16"}</definedName>
    <definedName name="____Goi8_1" localSheetId="8" hidden="1">{"'Sheet1'!$L$16"}</definedName>
    <definedName name="____Goi8_1" hidden="1">{"'Sheet1'!$L$16"}</definedName>
    <definedName name="____h1" localSheetId="1" hidden="1">{"'Sheet1'!$L$16"}</definedName>
    <definedName name="____h1" localSheetId="2" hidden="1">{"'Sheet1'!$L$16"}</definedName>
    <definedName name="____h1" localSheetId="8" hidden="1">{"'Sheet1'!$L$16"}</definedName>
    <definedName name="____h1" hidden="1">{"'Sheet1'!$L$16"}</definedName>
    <definedName name="____h12" localSheetId="1" hidden="1">{"'Sheet1'!$L$16"}</definedName>
    <definedName name="____h12" localSheetId="2" hidden="1">{"'Sheet1'!$L$16"}</definedName>
    <definedName name="____h12" localSheetId="8" hidden="1">{"'Sheet1'!$L$16"}</definedName>
    <definedName name="____h12" hidden="1">{"'Sheet1'!$L$16"}</definedName>
    <definedName name="____hh1219" localSheetId="1" hidden="1">{"'Sheet1'!$L$16"}</definedName>
    <definedName name="____hh1219" localSheetId="2" hidden="1">{"'Sheet1'!$L$16"}</definedName>
    <definedName name="____hh1219" localSheetId="8" hidden="1">{"'Sheet1'!$L$16"}</definedName>
    <definedName name="____hh1219" hidden="1">{"'Sheet1'!$L$16"}</definedName>
    <definedName name="____hu1" localSheetId="1" hidden="1">{"'Sheet1'!$L$16"}</definedName>
    <definedName name="____hu1" localSheetId="2" hidden="1">{"'Sheet1'!$L$16"}</definedName>
    <definedName name="____hu1" localSheetId="8" hidden="1">{"'Sheet1'!$L$16"}</definedName>
    <definedName name="____hu1" hidden="1">{"'Sheet1'!$L$16"}</definedName>
    <definedName name="____hu2" localSheetId="1" hidden="1">{"'Sheet1'!$L$16"}</definedName>
    <definedName name="____hu2" localSheetId="2" hidden="1">{"'Sheet1'!$L$16"}</definedName>
    <definedName name="____hu2" localSheetId="8" hidden="1">{"'Sheet1'!$L$16"}</definedName>
    <definedName name="____hu2" hidden="1">{"'Sheet1'!$L$16"}</definedName>
    <definedName name="____hu5" localSheetId="1" hidden="1">{"'Sheet1'!$L$16"}</definedName>
    <definedName name="____hu5" localSheetId="2" hidden="1">{"'Sheet1'!$L$16"}</definedName>
    <definedName name="____hu5" localSheetId="8" hidden="1">{"'Sheet1'!$L$16"}</definedName>
    <definedName name="____hu5" hidden="1">{"'Sheet1'!$L$16"}</definedName>
    <definedName name="____hu6" localSheetId="1" hidden="1">{"'Sheet1'!$L$16"}</definedName>
    <definedName name="____hu6" localSheetId="2" hidden="1">{"'Sheet1'!$L$16"}</definedName>
    <definedName name="____hu6" localSheetId="8" hidden="1">{"'Sheet1'!$L$16"}</definedName>
    <definedName name="____hu6" hidden="1">{"'Sheet1'!$L$16"}</definedName>
    <definedName name="____hu7" localSheetId="1" hidden="1">{"'Sheet1'!$L$16"}</definedName>
    <definedName name="____hu7" localSheetId="2" hidden="1">{"'Sheet1'!$L$16"}</definedName>
    <definedName name="____hu7" localSheetId="8" hidden="1">{"'Sheet1'!$L$16"}</definedName>
    <definedName name="____hu7" hidden="1">{"'Sheet1'!$L$16"}</definedName>
    <definedName name="____huy1" localSheetId="1" hidden="1">{"'Sheet1'!$L$16"}</definedName>
    <definedName name="____huy1" localSheetId="2" hidden="1">{"'Sheet1'!$L$16"}</definedName>
    <definedName name="____huy1" localSheetId="8" hidden="1">{"'Sheet1'!$L$16"}</definedName>
    <definedName name="____huy1" hidden="1">{"'Sheet1'!$L$16"}</definedName>
    <definedName name="____huy2" localSheetId="1" hidden="1">{"'Sheet1'!$L$16"}</definedName>
    <definedName name="____huy2" localSheetId="2" hidden="1">{"'Sheet1'!$L$16"}</definedName>
    <definedName name="____huy2" localSheetId="8" hidden="1">{"'Sheet1'!$L$16"}</definedName>
    <definedName name="____huy2" hidden="1">{"'Sheet1'!$L$16"}</definedName>
    <definedName name="____key2" hidden="1">#REF!</definedName>
    <definedName name="____Lan1" localSheetId="1" hidden="1">{"'Sheet1'!$L$16"}</definedName>
    <definedName name="____Lan1" localSheetId="2" hidden="1">{"'Sheet1'!$L$16"}</definedName>
    <definedName name="____Lan1" localSheetId="8" hidden="1">{"'Sheet1'!$L$16"}</definedName>
    <definedName name="____Lan1" hidden="1">{"'Sheet1'!$L$16"}</definedName>
    <definedName name="____Lan2" localSheetId="1" hidden="1">{"'Sheet1'!$L$16"}</definedName>
    <definedName name="____Lan2" localSheetId="2" hidden="1">{"'Sheet1'!$L$16"}</definedName>
    <definedName name="____Lan2" localSheetId="8" hidden="1">{"'Sheet1'!$L$16"}</definedName>
    <definedName name="____Lan2" hidden="1">{"'Sheet1'!$L$16"}</definedName>
    <definedName name="____LAN3" localSheetId="1" hidden="1">{"'Sheet1'!$L$16"}</definedName>
    <definedName name="____LAN3" localSheetId="2" hidden="1">{"'Sheet1'!$L$16"}</definedName>
    <definedName name="____LAN3" localSheetId="8" hidden="1">{"'Sheet1'!$L$16"}</definedName>
    <definedName name="____LAN3" hidden="1">{"'Sheet1'!$L$16"}</definedName>
    <definedName name="____ld2" localSheetId="1" hidden="1">{"'Sheet1'!$L$16"}</definedName>
    <definedName name="____ld2" localSheetId="2" hidden="1">{"'Sheet1'!$L$16"}</definedName>
    <definedName name="____ld2" localSheetId="8" hidden="1">{"'Sheet1'!$L$16"}</definedName>
    <definedName name="____ld2" hidden="1">{"'Sheet1'!$L$16"}</definedName>
    <definedName name="____lop111" localSheetId="1" hidden="1">{#N/A,#N/A,FALSE,"特殊室（ＢＱ表）"}</definedName>
    <definedName name="____lop111" localSheetId="2" hidden="1">{#N/A,#N/A,FALSE,"特殊室（ＢＱ表）"}</definedName>
    <definedName name="____lop111" localSheetId="8" hidden="1">{#N/A,#N/A,FALSE,"特殊室（ＢＱ表）"}</definedName>
    <definedName name="____lop111" hidden="1">{#N/A,#N/A,FALSE,"特殊室（ＢＱ表）"}</definedName>
    <definedName name="____M2" localSheetId="1" hidden="1">{"'Sheet1'!$L$16"}</definedName>
    <definedName name="____M2" localSheetId="2" hidden="1">{"'Sheet1'!$L$16"}</definedName>
    <definedName name="____M2" localSheetId="8" hidden="1">{"'Sheet1'!$L$16"}</definedName>
    <definedName name="____M2" hidden="1">{"'Sheet1'!$L$16"}</definedName>
    <definedName name="____m4" localSheetId="1" hidden="1">{"'Sheet1'!$L$16"}</definedName>
    <definedName name="____m4" localSheetId="2" hidden="1">{"'Sheet1'!$L$16"}</definedName>
    <definedName name="____m4" localSheetId="8" hidden="1">{"'Sheet1'!$L$16"}</definedName>
    <definedName name="____m4" hidden="1">{"'Sheet1'!$L$16"}</definedName>
    <definedName name="____MCC3" localSheetId="1" hidden="1">{#N/A,#N/A,FALSE,"CCTV"}</definedName>
    <definedName name="____MCC3" localSheetId="2" hidden="1">{#N/A,#N/A,FALSE,"CCTV"}</definedName>
    <definedName name="____MCC3" localSheetId="8" hidden="1">{#N/A,#N/A,FALSE,"CCTV"}</definedName>
    <definedName name="____MCC3" hidden="1">{#N/A,#N/A,FALSE,"CCTV"}</definedName>
    <definedName name="____nam1" localSheetId="1" hidden="1">{"'Sheet1'!$L$16"}</definedName>
    <definedName name="____nam1" localSheetId="2" hidden="1">{"'Sheet1'!$L$16"}</definedName>
    <definedName name="____nam1" localSheetId="8" hidden="1">{"'Sheet1'!$L$16"}</definedName>
    <definedName name="____nam1" hidden="1">{"'Sheet1'!$L$16"}</definedName>
    <definedName name="____NAM11" localSheetId="1" hidden="1">{#N/A,#N/A,FALSE,"Chi tiÆt"}</definedName>
    <definedName name="____NAM11" localSheetId="2" hidden="1">{#N/A,#N/A,FALSE,"Chi tiÆt"}</definedName>
    <definedName name="____NAM11" localSheetId="8" hidden="1">{#N/A,#N/A,FALSE,"Chi tiÆt"}</definedName>
    <definedName name="____NAM11" hidden="1">{#N/A,#N/A,FALSE,"Chi tiÆt"}</definedName>
    <definedName name="____NO1" localSheetId="1" hidden="1">#REF!</definedName>
    <definedName name="____NO1" hidden="1">#REF!</definedName>
    <definedName name="____NO2" localSheetId="1" hidden="1">#REF!</definedName>
    <definedName name="____NO2" hidden="1">#REF!</definedName>
    <definedName name="____nso1" localSheetId="1" hidden="1">{"'Sheet1'!$L$16"}</definedName>
    <definedName name="____nso1" localSheetId="2" hidden="1">{"'Sheet1'!$L$16"}</definedName>
    <definedName name="____nso1" localSheetId="8" hidden="1">{"'Sheet1'!$L$16"}</definedName>
    <definedName name="____nso1" hidden="1">{"'Sheet1'!$L$16"}</definedName>
    <definedName name="____NSO2" localSheetId="1" hidden="1">{"'Sheet1'!$L$16"}</definedName>
    <definedName name="____NSO2" localSheetId="2" hidden="1">{"'Sheet1'!$L$16"}</definedName>
    <definedName name="____NSO2" localSheetId="8" hidden="1">{"'Sheet1'!$L$16"}</definedName>
    <definedName name="____NSO2" hidden="1">{"'Sheet1'!$L$16"}</definedName>
    <definedName name="____ngk1109" localSheetId="1" hidden="1">{#N/A,#N/A,FALSE,"估價單  (3)"}</definedName>
    <definedName name="____ngk1109" localSheetId="2" hidden="1">{#N/A,#N/A,FALSE,"估價單  (3)"}</definedName>
    <definedName name="____ngk1109" localSheetId="8" hidden="1">{#N/A,#N/A,FALSE,"估價單  (3)"}</definedName>
    <definedName name="____ngk1109" hidden="1">{#N/A,#N/A,FALSE,"估價單  (3)"}</definedName>
    <definedName name="____P3" localSheetId="1" hidden="1">{#N/A,#N/A,FALSE,"特殊室（ＢＱ表）"}</definedName>
    <definedName name="____P3" localSheetId="2" hidden="1">{#N/A,#N/A,FALSE,"特殊室（ＢＱ表）"}</definedName>
    <definedName name="____P3" localSheetId="8" hidden="1">{#N/A,#N/A,FALSE,"特殊室（ＢＱ表）"}</definedName>
    <definedName name="____P3" hidden="1">{#N/A,#N/A,FALSE,"特殊室（ＢＱ表）"}</definedName>
    <definedName name="____pa22" localSheetId="1" hidden="1">{"'ROOF'!$B$6","'ROOF'!$B$6","'ROOF'!$B$6","'ROOF'!$B$6"}</definedName>
    <definedName name="____pa22" localSheetId="2" hidden="1">{"'ROOF'!$B$6","'ROOF'!$B$6","'ROOF'!$B$6","'ROOF'!$B$6"}</definedName>
    <definedName name="____pa22" localSheetId="8" hidden="1">{"'ROOF'!$B$6","'ROOF'!$B$6","'ROOF'!$B$6","'ROOF'!$B$6"}</definedName>
    <definedName name="____pa22" hidden="1">{"'ROOF'!$B$6","'ROOF'!$B$6","'ROOF'!$B$6","'ROOF'!$B$6"}</definedName>
    <definedName name="____PA3" localSheetId="1" hidden="1">{"'Sheet1'!$L$16"}</definedName>
    <definedName name="____PA3" localSheetId="2" hidden="1">{"'Sheet1'!$L$16"}</definedName>
    <definedName name="____PA3" localSheetId="8" hidden="1">{"'Sheet1'!$L$16"}</definedName>
    <definedName name="____PA3" hidden="1">{"'Sheet1'!$L$16"}</definedName>
    <definedName name="____PPP3" localSheetId="1" hidden="1">{#N/A,#N/A,FALSE,"特殊室（ＢＱ表）"}</definedName>
    <definedName name="____PPP3" localSheetId="2" hidden="1">{#N/A,#N/A,FALSE,"特殊室（ＢＱ表）"}</definedName>
    <definedName name="____PPP3" localSheetId="8" hidden="1">{#N/A,#N/A,FALSE,"特殊室（ＢＱ表）"}</definedName>
    <definedName name="____PPP3" hidden="1">{#N/A,#N/A,FALSE,"特殊室（ＢＱ表）"}</definedName>
    <definedName name="____PPP33" localSheetId="1" hidden="1">{#N/A,#N/A,FALSE,"特殊室（ＢＱ表）"}</definedName>
    <definedName name="____PPP33" localSheetId="2" hidden="1">{#N/A,#N/A,FALSE,"特殊室（ＢＱ表）"}</definedName>
    <definedName name="____PPP33" localSheetId="8" hidden="1">{#N/A,#N/A,FALSE,"特殊室（ＢＱ表）"}</definedName>
    <definedName name="____PPP33" hidden="1">{#N/A,#N/A,FALSE,"特殊室（ＢＱ表）"}</definedName>
    <definedName name="____ppp34" localSheetId="1" hidden="1">{#N/A,#N/A,FALSE,"特殊室（ＢＱ表）"}</definedName>
    <definedName name="____ppp34" localSheetId="2" hidden="1">{#N/A,#N/A,FALSE,"特殊室（ＢＱ表）"}</definedName>
    <definedName name="____ppp34" localSheetId="8" hidden="1">{#N/A,#N/A,FALSE,"特殊室（ＢＱ表）"}</definedName>
    <definedName name="____ppp34" hidden="1">{#N/A,#N/A,FALSE,"特殊室（ＢＱ表）"}</definedName>
    <definedName name="____ppp3444" localSheetId="1" hidden="1">{#N/A,#N/A,FALSE,"特殊室（ＢＱ表）"}</definedName>
    <definedName name="____ppp3444" localSheetId="2" hidden="1">{#N/A,#N/A,FALSE,"特殊室（ＢＱ表）"}</definedName>
    <definedName name="____ppp3444" localSheetId="8" hidden="1">{#N/A,#N/A,FALSE,"特殊室（ＢＱ表）"}</definedName>
    <definedName name="____ppp3444" hidden="1">{#N/A,#N/A,FALSE,"特殊室（ＢＱ表）"}</definedName>
    <definedName name="____phu3" localSheetId="1" hidden="1">{"'Sheet1'!$L$16"}</definedName>
    <definedName name="____phu3" localSheetId="2" hidden="1">{"'Sheet1'!$L$16"}</definedName>
    <definedName name="____phu3" localSheetId="8" hidden="1">{"'Sheet1'!$L$16"}</definedName>
    <definedName name="____phu3" hidden="1">{"'Sheet1'!$L$16"}</definedName>
    <definedName name="____Rh90" localSheetId="1" hidden="1">{"'Sheet1'!$L$16"}</definedName>
    <definedName name="____Rh90" localSheetId="2" hidden="1">{"'Sheet1'!$L$16"}</definedName>
    <definedName name="____Rh90" localSheetId="8" hidden="1">{"'Sheet1'!$L$16"}</definedName>
    <definedName name="____Rh90" hidden="1">{"'Sheet1'!$L$16"}</definedName>
    <definedName name="____SCL4" localSheetId="1" hidden="1">{"'Sheet1'!$L$16"}</definedName>
    <definedName name="____SCL4" localSheetId="2" hidden="1">{"'Sheet1'!$L$16"}</definedName>
    <definedName name="____SCL4" localSheetId="8" hidden="1">{"'Sheet1'!$L$16"}</definedName>
    <definedName name="____SCL4" hidden="1">{"'Sheet1'!$L$16"}</definedName>
    <definedName name="____SCL4_1" localSheetId="1" hidden="1">{"'Sheet1'!$L$16"}</definedName>
    <definedName name="____SCL4_1" localSheetId="2" hidden="1">{"'Sheet1'!$L$16"}</definedName>
    <definedName name="____SCL4_1" localSheetId="8" hidden="1">{"'Sheet1'!$L$16"}</definedName>
    <definedName name="____SCL4_1" hidden="1">{"'Sheet1'!$L$16"}</definedName>
    <definedName name="____SHI1" localSheetId="1" hidden="1">{"'Sheet1'!$L$16"}</definedName>
    <definedName name="____SHI1" localSheetId="2" hidden="1">{"'Sheet1'!$L$16"}</definedName>
    <definedName name="____SHI1" localSheetId="8" hidden="1">{"'Sheet1'!$L$16"}</definedName>
    <definedName name="____SHI1" hidden="1">{"'Sheet1'!$L$16"}</definedName>
    <definedName name="____sxt5" localSheetId="1" hidden="1">{"'Sheet1'!$L$16"}</definedName>
    <definedName name="____sxt5" localSheetId="2" hidden="1">{"'Sheet1'!$L$16"}</definedName>
    <definedName name="____sxt5" localSheetId="8" hidden="1">{"'Sheet1'!$L$16"}</definedName>
    <definedName name="____sxt5" hidden="1">{"'Sheet1'!$L$16"}</definedName>
    <definedName name="____t1" localSheetId="1" hidden="1">{"'Sheet1'!$L$16"}</definedName>
    <definedName name="____t1" localSheetId="2" hidden="1">{"'Sheet1'!$L$16"}</definedName>
    <definedName name="____t1" localSheetId="8" hidden="1">{"'Sheet1'!$L$16"}</definedName>
    <definedName name="____t1" hidden="1">{"'Sheet1'!$L$16"}</definedName>
    <definedName name="____T10" localSheetId="1" hidden="1">{"'Sheet1'!$L$16"}</definedName>
    <definedName name="____T10" localSheetId="2" hidden="1">{"'Sheet1'!$L$16"}</definedName>
    <definedName name="____T10" localSheetId="8" hidden="1">{"'Sheet1'!$L$16"}</definedName>
    <definedName name="____T10" hidden="1">{"'Sheet1'!$L$16"}</definedName>
    <definedName name="____T2" localSheetId="1" hidden="1">{"'Sheet1'!$L$16"}</definedName>
    <definedName name="____T2" localSheetId="2" hidden="1">{"'Sheet1'!$L$16"}</definedName>
    <definedName name="____T2" localSheetId="8" hidden="1">{"'Sheet1'!$L$16"}</definedName>
    <definedName name="____T2" hidden="1">{"'Sheet1'!$L$16"}</definedName>
    <definedName name="____T3" localSheetId="1" hidden="1">{"'Sheet1'!$L$16"}</definedName>
    <definedName name="____T3" localSheetId="2" hidden="1">{"'Sheet1'!$L$16"}</definedName>
    <definedName name="____T3" localSheetId="8" hidden="1">{"'Sheet1'!$L$16"}</definedName>
    <definedName name="____T3" hidden="1">{"'Sheet1'!$L$16"}</definedName>
    <definedName name="____T4" localSheetId="1" hidden="1">{"'Sheet1'!$L$16"}</definedName>
    <definedName name="____T4" localSheetId="2" hidden="1">{"'Sheet1'!$L$16"}</definedName>
    <definedName name="____T4" localSheetId="8" hidden="1">{"'Sheet1'!$L$16"}</definedName>
    <definedName name="____T4" hidden="1">{"'Sheet1'!$L$16"}</definedName>
    <definedName name="____t5" localSheetId="1" hidden="1">{"'Sheet1'!$L$16"}</definedName>
    <definedName name="____t5" localSheetId="2" hidden="1">{"'Sheet1'!$L$16"}</definedName>
    <definedName name="____t5" localSheetId="8" hidden="1">{"'Sheet1'!$L$16"}</definedName>
    <definedName name="____t5" hidden="1">{"'Sheet1'!$L$16"}</definedName>
    <definedName name="____T9" localSheetId="1" hidden="1">{#N/A,#N/A,FALSE,"Chi tiÆt"}</definedName>
    <definedName name="____T9" localSheetId="2" hidden="1">{#N/A,#N/A,FALSE,"Chi tiÆt"}</definedName>
    <definedName name="____T9" localSheetId="8" hidden="1">{#N/A,#N/A,FALSE,"Chi tiÆt"}</definedName>
    <definedName name="____T9" hidden="1">{#N/A,#N/A,FALSE,"Chi tiÆt"}</definedName>
    <definedName name="____TM2" localSheetId="1" hidden="1">{"'Sheet1'!$L$16"}</definedName>
    <definedName name="____TM2" localSheetId="2" hidden="1">{"'Sheet1'!$L$16"}</definedName>
    <definedName name="____TM2" localSheetId="8" hidden="1">{"'Sheet1'!$L$16"}</definedName>
    <definedName name="____TM2" hidden="1">{"'Sheet1'!$L$16"}</definedName>
    <definedName name="____TT04" hidden="1">#REF!</definedName>
    <definedName name="____tt3" localSheetId="1" hidden="1">{"'Sheet1'!$L$16"}</definedName>
    <definedName name="____tt3" localSheetId="2" hidden="1">{"'Sheet1'!$L$16"}</definedName>
    <definedName name="____tt3" localSheetId="8" hidden="1">{"'Sheet1'!$L$16"}</definedName>
    <definedName name="____tt3" hidden="1">{"'Sheet1'!$L$16"}</definedName>
    <definedName name="____ttt1" localSheetId="1" hidden="1">{"'Sheet1'!$L$16"}</definedName>
    <definedName name="____ttt1" localSheetId="2" hidden="1">{"'Sheet1'!$L$16"}</definedName>
    <definedName name="____ttt1" localSheetId="8" hidden="1">{"'Sheet1'!$L$16"}</definedName>
    <definedName name="____ttt1" hidden="1">{"'Sheet1'!$L$16"}</definedName>
    <definedName name="____tu4" localSheetId="1" hidden="1">{"'Sheet1'!$L$16"}</definedName>
    <definedName name="____tu4" localSheetId="2" hidden="1">{"'Sheet1'!$L$16"}</definedName>
    <definedName name="____tu4" localSheetId="8" hidden="1">{"'Sheet1'!$L$16"}</definedName>
    <definedName name="____tu4" hidden="1">{"'Sheet1'!$L$16"}</definedName>
    <definedName name="____TV2" localSheetId="1" hidden="1">{"'Sheet1'!$L$16"}</definedName>
    <definedName name="____TV2" localSheetId="2" hidden="1">{"'Sheet1'!$L$16"}</definedName>
    <definedName name="____TV2" localSheetId="8" hidden="1">{"'Sheet1'!$L$16"}</definedName>
    <definedName name="____TV2" hidden="1">{"'Sheet1'!$L$16"}</definedName>
    <definedName name="____TH1" localSheetId="1" hidden="1">{"'Sheet1'!$L$16"}</definedName>
    <definedName name="____TH1" localSheetId="2" hidden="1">{"'Sheet1'!$L$16"}</definedName>
    <definedName name="____TH1" localSheetId="8" hidden="1">{"'Sheet1'!$L$16"}</definedName>
    <definedName name="____TH1" hidden="1">{"'Sheet1'!$L$16"}</definedName>
    <definedName name="____THT11" localSheetId="1" hidden="1">{"'Sheet1'!$L$16"}</definedName>
    <definedName name="____THT11" localSheetId="2" hidden="1">{"'Sheet1'!$L$16"}</definedName>
    <definedName name="____THT11" localSheetId="8" hidden="1">{"'Sheet1'!$L$16"}</definedName>
    <definedName name="____THT11" hidden="1">{"'Sheet1'!$L$16"}</definedName>
    <definedName name="____vpt5" localSheetId="1" hidden="1">{"'Sheet1'!$L$16"}</definedName>
    <definedName name="____vpt5" localSheetId="2" hidden="1">{"'Sheet1'!$L$16"}</definedName>
    <definedName name="____vpt5" localSheetId="8" hidden="1">{"'Sheet1'!$L$16"}</definedName>
    <definedName name="____vpt5" hidden="1">{"'Sheet1'!$L$16"}</definedName>
    <definedName name="____vpt6" localSheetId="1" hidden="1">{"'Sheet1'!$L$16"}</definedName>
    <definedName name="____vpt6" localSheetId="2" hidden="1">{"'Sheet1'!$L$16"}</definedName>
    <definedName name="____vpt6" localSheetId="8" hidden="1">{"'Sheet1'!$L$16"}</definedName>
    <definedName name="____vpt6" hidden="1">{"'Sheet1'!$L$16"}</definedName>
    <definedName name="____VT3" localSheetId="1" hidden="1">{"'Sheet1'!$L$16"}</definedName>
    <definedName name="____VT3" localSheetId="2" hidden="1">{"'Sheet1'!$L$16"}</definedName>
    <definedName name="____VT3" localSheetId="8" hidden="1">{"'Sheet1'!$L$16"}</definedName>
    <definedName name="____VT3" hidden="1">{"'Sheet1'!$L$16"}</definedName>
    <definedName name="____xlfn.BAHTTEXT" hidden="1">#NAME?</definedName>
    <definedName name="___1__123Graph_ACHART_1" hidden="1">#REF!</definedName>
    <definedName name="___1__123Graph_Aｸﾞﾗﾌ_1" localSheetId="1" hidden="1">#REF!</definedName>
    <definedName name="___1__123Graph_Aｸﾞﾗﾌ_1" hidden="1">#REF!</definedName>
    <definedName name="___10__123Graph_DCHART_1" localSheetId="1" hidden="1">#REF!</definedName>
    <definedName name="___10__123Graph_DCHART_1" hidden="1">#REF!</definedName>
    <definedName name="___10__123Graph_Xｸﾞﾗﾌ_5" localSheetId="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localSheetId="1" hidden="1">#REF!</definedName>
    <definedName name="___2__123Graph_Aｸﾞﾗﾌ_2" hidden="1">#REF!</definedName>
    <definedName name="___3__123Graph_Aｸﾞﾗﾌ_1" hidden="1">#REF!</definedName>
    <definedName name="___3__123Graph_Aｸﾞﾗﾌ_3" localSheetId="1" hidden="1">#REF!</definedName>
    <definedName name="___3__123Graph_Aｸﾞﾗﾌ_3" hidden="1">#REF!</definedName>
    <definedName name="___3__123Graph_BCHART_2" hidden="1">#REF!</definedName>
    <definedName name="___4__123Graph_Aｸﾞﾗﾌ_2" localSheetId="1" hidden="1">#REF!</definedName>
    <definedName name="___4__123Graph_Aｸﾞﾗﾌ_2" hidden="1">#REF!</definedName>
    <definedName name="___4__123Graph_Aｸﾞﾗﾌ_4" localSheetId="1" hidden="1">#REF!</definedName>
    <definedName name="___4__123Graph_Aｸﾞﾗﾌ_4" hidden="1">#REF!</definedName>
    <definedName name="___4__123Graph_CCHART_1" hidden="1">#REF!</definedName>
    <definedName name="___5__123Graph_Aｸﾞﾗﾌ_3" hidden="1">#REF!</definedName>
    <definedName name="___5__123Graph_Aｸﾞﾗﾌ_5" localSheetId="1" hidden="1">#REF!</definedName>
    <definedName name="___5__123Graph_Aｸﾞﾗﾌ_5" hidden="1">#REF!</definedName>
    <definedName name="___5__123Graph_DCHART_1" hidden="1">#REF!</definedName>
    <definedName name="___6__123Graph_Aｸﾞﾗﾌ_4" hidden="1">#REF!</definedName>
    <definedName name="___6__123Graph_Xｸﾞﾗﾌ_1" localSheetId="1" hidden="1">#REF!</definedName>
    <definedName name="___6__123Graph_Xｸﾞﾗﾌ_1" hidden="1">#REF!</definedName>
    <definedName name="___7__123Graph_Aｸﾞﾗﾌ_5" hidden="1">#REF!</definedName>
    <definedName name="___7__123Graph_Xｸﾞﾗﾌ_2" localSheetId="1" hidden="1">#REF!</definedName>
    <definedName name="___7__123Graph_Xｸﾞﾗﾌ_2" hidden="1">#REF!</definedName>
    <definedName name="___8__123Graph_BCHART_2" hidden="1">#REF!</definedName>
    <definedName name="___8__123Graph_Xｸﾞﾗﾌ_3" localSheetId="1" hidden="1">#REF!</definedName>
    <definedName name="___8__123Graph_Xｸﾞﾗﾌ_3" hidden="1">#REF!</definedName>
    <definedName name="___9__123Graph_CCHART_1" hidden="1">#REF!</definedName>
    <definedName name="___9__123Graph_Xｸﾞﾗﾌ_4" localSheetId="1" hidden="1">#REF!</definedName>
    <definedName name="___9__123Graph_Xｸﾞﾗﾌ_4" hidden="1">#REF!</definedName>
    <definedName name="___a1" localSheetId="1" hidden="1">{"'Sheet1'!$L$16"}</definedName>
    <definedName name="___a1" localSheetId="2" hidden="1">{"'Sheet1'!$L$16"}</definedName>
    <definedName name="___a1" localSheetId="8" hidden="1">{"'Sheet1'!$L$16"}</definedName>
    <definedName name="___a1" hidden="1">{"'Sheet1'!$L$16"}</definedName>
    <definedName name="___a1_1" localSheetId="1" hidden="1">{"'Sheet1'!$L$16"}</definedName>
    <definedName name="___a1_1" localSheetId="2" hidden="1">{"'Sheet1'!$L$16"}</definedName>
    <definedName name="___a1_1" localSheetId="8" hidden="1">{"'Sheet1'!$L$16"}</definedName>
    <definedName name="___a1_1" hidden="1">{"'Sheet1'!$L$16"}</definedName>
    <definedName name="___a129" localSheetId="1"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1" hidden="1">{"'Sheet1'!$L$16"}</definedName>
    <definedName name="___a2" localSheetId="2" hidden="1">{"'Sheet1'!$L$16"}</definedName>
    <definedName name="___a2" localSheetId="8" hidden="1">{"'Sheet1'!$L$16"}</definedName>
    <definedName name="___a2" hidden="1">{"'Sheet1'!$L$16"}</definedName>
    <definedName name="___A4" localSheetId="1" hidden="1">{"'Sheet1'!$L$16"}</definedName>
    <definedName name="___A4" localSheetId="2" hidden="1">{"'Sheet1'!$L$16"}</definedName>
    <definedName name="___A4" localSheetId="8" hidden="1">{"'Sheet1'!$L$16"}</definedName>
    <definedName name="___A4" hidden="1">{"'Sheet1'!$L$16"}</definedName>
    <definedName name="___b01" localSheetId="1" hidden="1">{#N/A,#N/A,FALSE,"MARCH"}</definedName>
    <definedName name="___b01" localSheetId="2" hidden="1">{#N/A,#N/A,FALSE,"MARCH"}</definedName>
    <definedName name="___b01" localSheetId="8" hidden="1">{#N/A,#N/A,FALSE,"MARCH"}</definedName>
    <definedName name="___b01" hidden="1">{#N/A,#N/A,FALSE,"MARCH"}</definedName>
    <definedName name="___b2" localSheetId="1" hidden="1">{"'Sheet1'!$L$16"}</definedName>
    <definedName name="___b2" localSheetId="2" hidden="1">{"'Sheet1'!$L$16"}</definedName>
    <definedName name="___b2" localSheetId="8" hidden="1">{"'Sheet1'!$L$16"}</definedName>
    <definedName name="___b2" hidden="1">{"'Sheet1'!$L$16"}</definedName>
    <definedName name="___ba1" localSheetId="1" hidden="1">{#N/A,#N/A,FALSE,"Chi tiÆt"}</definedName>
    <definedName name="___ba1" localSheetId="2" hidden="1">{#N/A,#N/A,FALSE,"Chi tiÆt"}</definedName>
    <definedName name="___ba1" localSheetId="8" hidden="1">{#N/A,#N/A,FALSE,"Chi tiÆt"}</definedName>
    <definedName name="___ba1" hidden="1">{#N/A,#N/A,FALSE,"Chi tiÆt"}</definedName>
    <definedName name="___ba2" localSheetId="1" hidden="1">{#N/A,#N/A,FALSE,"Chi tiÆt"}</definedName>
    <definedName name="___ba2" localSheetId="2" hidden="1">{#N/A,#N/A,FALSE,"Chi tiÆt"}</definedName>
    <definedName name="___ba2" localSheetId="8" hidden="1">{#N/A,#N/A,FALSE,"Chi tiÆt"}</definedName>
    <definedName name="___ba2" hidden="1">{#N/A,#N/A,FALSE,"Chi tiÆt"}</definedName>
    <definedName name="___BG12" localSheetId="1" hidden="1">{"'Sheet1'!$L$16"}</definedName>
    <definedName name="___BG12" localSheetId="2" hidden="1">{"'Sheet1'!$L$16"}</definedName>
    <definedName name="___BG12" localSheetId="8" hidden="1">{"'Sheet1'!$L$16"}</definedName>
    <definedName name="___BG12" hidden="1">{"'Sheet1'!$L$16"}</definedName>
    <definedName name="___bht6" localSheetId="1" hidden="1">{"'Sheet1'!$L$16"}</definedName>
    <definedName name="___bht6" localSheetId="2" hidden="1">{"'Sheet1'!$L$16"}</definedName>
    <definedName name="___bht6" localSheetId="8" hidden="1">{"'Sheet1'!$L$16"}</definedName>
    <definedName name="___bht6" hidden="1">{"'Sheet1'!$L$16"}</definedName>
    <definedName name="___BOQ2111" hidden="1">#REF!</definedName>
    <definedName name="___CN1" localSheetId="1" hidden="1">{"'Sheet1'!$L$16"}</definedName>
    <definedName name="___CN1" localSheetId="2" hidden="1">{"'Sheet1'!$L$16"}</definedName>
    <definedName name="___CN1" localSheetId="8" hidden="1">{"'Sheet1'!$L$16"}</definedName>
    <definedName name="___CN1" hidden="1">{"'Sheet1'!$L$16"}</definedName>
    <definedName name="___Coc39" localSheetId="1" hidden="1">{"'Sheet1'!$L$16"}</definedName>
    <definedName name="___Coc39" localSheetId="2" hidden="1">{"'Sheet1'!$L$16"}</definedName>
    <definedName name="___Coc39" localSheetId="8" hidden="1">{"'Sheet1'!$L$16"}</definedName>
    <definedName name="___Coc39" hidden="1">{"'Sheet1'!$L$16"}</definedName>
    <definedName name="___ct2005" localSheetId="1" hidden="1">{"'Sheet1'!$L$16"}</definedName>
    <definedName name="___ct2005" localSheetId="2" hidden="1">{"'Sheet1'!$L$16"}</definedName>
    <definedName name="___ct2005" localSheetId="8" hidden="1">{"'Sheet1'!$L$16"}</definedName>
    <definedName name="___ct2005" hidden="1">{"'Sheet1'!$L$16"}</definedName>
    <definedName name="___CT4" localSheetId="1" hidden="1">{"'Sheet1'!$L$16"}</definedName>
    <definedName name="___CT4" localSheetId="2" hidden="1">{"'Sheet1'!$L$16"}</definedName>
    <definedName name="___CT4" localSheetId="8" hidden="1">{"'Sheet1'!$L$16"}</definedName>
    <definedName name="___CT4" hidden="1">{"'Sheet1'!$L$16"}</definedName>
    <definedName name="___Cty501" localSheetId="1" hidden="1">{"'Sheet1'!$L$16"}</definedName>
    <definedName name="___Cty501" localSheetId="2" hidden="1">{"'Sheet1'!$L$16"}</definedName>
    <definedName name="___Cty501" localSheetId="8" hidden="1">{"'Sheet1'!$L$16"}</definedName>
    <definedName name="___Cty501" hidden="1">{"'Sheet1'!$L$16"}</definedName>
    <definedName name="___d1500" localSheetId="1" hidden="1">{"'Sheet1'!$L$16"}</definedName>
    <definedName name="___d1500" localSheetId="2" hidden="1">{"'Sheet1'!$L$16"}</definedName>
    <definedName name="___d1500" localSheetId="8"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localSheetId="1" hidden="1">{"'Sheet1'!$L$16"}</definedName>
    <definedName name="___dt1" localSheetId="2" hidden="1">{"'Sheet1'!$L$16"}</definedName>
    <definedName name="___dt1" localSheetId="8" hidden="1">{"'Sheet1'!$L$16"}</definedName>
    <definedName name="___dt1" hidden="1">{"'Sheet1'!$L$16"}</definedName>
    <definedName name="___DT10" localSheetId="1" hidden="1">{"'Sheet1'!$L$16"}</definedName>
    <definedName name="___DT10" localSheetId="2" hidden="1">{"'Sheet1'!$L$16"}</definedName>
    <definedName name="___DT10" localSheetId="8" hidden="1">{"'Sheet1'!$L$16"}</definedName>
    <definedName name="___DT10" hidden="1">{"'Sheet1'!$L$16"}</definedName>
    <definedName name="___ewt3" localSheetId="1" hidden="1">{#N/A,#N/A,FALSE,"CCTV"}</definedName>
    <definedName name="___ewt3" localSheetId="2" hidden="1">{#N/A,#N/A,FALSE,"CCTV"}</definedName>
    <definedName name="___ewt3" localSheetId="8" hidden="1">{#N/A,#N/A,FALSE,"CCTV"}</definedName>
    <definedName name="___ewt3" hidden="1">{#N/A,#N/A,FALSE,"CCTV"}</definedName>
    <definedName name="___f1" localSheetId="1" hidden="1">{#N/A,#N/A,FALSE,"FORM A";#N/A,#N/A,FALSE,"FORM D";#N/A,#N/A,FALSE,"FORM E-1";#N/A,#N/A,FALSE,"FORM E-2";#N/A,#N/A,FALSE,"FORM F";#N/A,#N/A,FALSE,"FORM G";#N/A,#N/A,FALSE,"FORM H-1";#N/A,#N/A,FALSE,"FORM H-2";#N/A,#N/A,FALSE,"FORM H-3";#N/A,#N/A,FALSE,"FORM H-4";#N/A,#N/A,FALSE,"FORM H-5";#N/A,#N/A,FALSE,"FORM I";#N/A,#N/A,FALSE,"FORM J"}</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1" localSheetId="8" hidden="1">{#N/A,#N/A,FALSE,"FORM A";#N/A,#N/A,FALSE,"FORM D";#N/A,#N/A,FALSE,"FORM E-1";#N/A,#N/A,FALSE,"FORM E-2";#N/A,#N/A,FALSE,"FORM F";#N/A,#N/A,FALSE,"FORM G";#N/A,#N/A,FALSE,"FORM H-1";#N/A,#N/A,FALSE,"FORM H-2";#N/A,#N/A,FALSE,"FORM H-3";#N/A,#N/A,FALSE,"FORM H-4";#N/A,#N/A,FALSE,"FORM H-5";#N/A,#N/A,FALSE,"FORM I";#N/A,#N/A,FALSE,"FORM J"}</definedName>
    <definedName name="___f1" hidden="1">{#N/A,#N/A,FALSE,"FORM A";#N/A,#N/A,FALSE,"FORM D";#N/A,#N/A,FALSE,"FORM E-1";#N/A,#N/A,FALSE,"FORM E-2";#N/A,#N/A,FALSE,"FORM F";#N/A,#N/A,FALSE,"FORM G";#N/A,#N/A,FALSE,"FORM H-1";#N/A,#N/A,FALSE,"FORM H-2";#N/A,#N/A,FALSE,"FORM H-3";#N/A,#N/A,FALSE,"FORM H-4";#N/A,#N/A,FALSE,"FORM H-5";#N/A,#N/A,FALSE,"FORM I";#N/A,#N/A,FALSE,"FORM J"}</definedName>
    <definedName name="___f5" localSheetId="1" hidden="1">{"'Sheet1'!$L$16"}</definedName>
    <definedName name="___f5" localSheetId="2" hidden="1">{"'Sheet1'!$L$16"}</definedName>
    <definedName name="___f5" localSheetId="8" hidden="1">{"'Sheet1'!$L$16"}</definedName>
    <definedName name="___f5" hidden="1">{"'Sheet1'!$L$16"}</definedName>
    <definedName name="___FAB4" hidden="1">#REF!</definedName>
    <definedName name="___FD12" localSheetId="1" hidden="1">{"'Sheet1'!$L$16"}</definedName>
    <definedName name="___FD12" localSheetId="2" hidden="1">{"'Sheet1'!$L$16"}</definedName>
    <definedName name="___FD12" localSheetId="8" hidden="1">{"'Sheet1'!$L$16"}</definedName>
    <definedName name="___FD12" hidden="1">{"'Sheet1'!$L$16"}</definedName>
    <definedName name="___G4211" localSheetId="1" hidden="1">{"'Sheet1'!$L$16"}</definedName>
    <definedName name="___G4211" localSheetId="2" hidden="1">{"'Sheet1'!$L$16"}</definedName>
    <definedName name="___G4211" localSheetId="8" hidden="1">{"'Sheet1'!$L$16"}</definedName>
    <definedName name="___G4211" hidden="1">{"'Sheet1'!$L$16"}</definedName>
    <definedName name="___Goi8" localSheetId="1" hidden="1">{"'Sheet1'!$L$16"}</definedName>
    <definedName name="___Goi8" localSheetId="2" hidden="1">{"'Sheet1'!$L$16"}</definedName>
    <definedName name="___Goi8" localSheetId="8" hidden="1">{"'Sheet1'!$L$16"}</definedName>
    <definedName name="___Goi8" hidden="1">{"'Sheet1'!$L$16"}</definedName>
    <definedName name="___Goi8_1" localSheetId="1" hidden="1">{"'Sheet1'!$L$16"}</definedName>
    <definedName name="___Goi8_1" localSheetId="2" hidden="1">{"'Sheet1'!$L$16"}</definedName>
    <definedName name="___Goi8_1" localSheetId="8" hidden="1">{"'Sheet1'!$L$16"}</definedName>
    <definedName name="___Goi8_1" hidden="1">{"'Sheet1'!$L$16"}</definedName>
    <definedName name="___h1" localSheetId="1" hidden="1">{"'Sheet1'!$L$16"}</definedName>
    <definedName name="___h1" localSheetId="2" hidden="1">{"'Sheet1'!$L$16"}</definedName>
    <definedName name="___h1" localSheetId="8" hidden="1">{"'Sheet1'!$L$16"}</definedName>
    <definedName name="___h1" hidden="1">{"'Sheet1'!$L$16"}</definedName>
    <definedName name="___h12" localSheetId="1" hidden="1">{"'Sheet1'!$L$16"}</definedName>
    <definedName name="___h12" localSheetId="2" hidden="1">{"'Sheet1'!$L$16"}</definedName>
    <definedName name="___h12" localSheetId="8" hidden="1">{"'Sheet1'!$L$16"}</definedName>
    <definedName name="___h12" hidden="1">{"'Sheet1'!$L$16"}</definedName>
    <definedName name="___h14" localSheetId="1" hidden="1">{"'Sheet1'!$L$16"}</definedName>
    <definedName name="___h14" localSheetId="2" hidden="1">{"'Sheet1'!$L$16"}</definedName>
    <definedName name="___h14" localSheetId="8" hidden="1">{"'Sheet1'!$L$16"}</definedName>
    <definedName name="___h14" hidden="1">{"'Sheet1'!$L$16"}</definedName>
    <definedName name="___hh1219" localSheetId="1" hidden="1">{"'Sheet1'!$L$16"}</definedName>
    <definedName name="___hh1219" localSheetId="2" hidden="1">{"'Sheet1'!$L$16"}</definedName>
    <definedName name="___hh1219" localSheetId="8" hidden="1">{"'Sheet1'!$L$16"}</definedName>
    <definedName name="___hh1219" hidden="1">{"'Sheet1'!$L$16"}</definedName>
    <definedName name="___hu1" localSheetId="1" hidden="1">{"'Sheet1'!$L$16"}</definedName>
    <definedName name="___hu1" localSheetId="2" hidden="1">{"'Sheet1'!$L$16"}</definedName>
    <definedName name="___hu1" localSheetId="8" hidden="1">{"'Sheet1'!$L$16"}</definedName>
    <definedName name="___hu1" hidden="1">{"'Sheet1'!$L$16"}</definedName>
    <definedName name="___hu2" localSheetId="1" hidden="1">{"'Sheet1'!$L$16"}</definedName>
    <definedName name="___hu2" localSheetId="2" hidden="1">{"'Sheet1'!$L$16"}</definedName>
    <definedName name="___hu2" localSheetId="8" hidden="1">{"'Sheet1'!$L$16"}</definedName>
    <definedName name="___hu2" hidden="1">{"'Sheet1'!$L$16"}</definedName>
    <definedName name="___hu5" localSheetId="1" hidden="1">{"'Sheet1'!$L$16"}</definedName>
    <definedName name="___hu5" localSheetId="2" hidden="1">{"'Sheet1'!$L$16"}</definedName>
    <definedName name="___hu5" localSheetId="8" hidden="1">{"'Sheet1'!$L$16"}</definedName>
    <definedName name="___hu5" hidden="1">{"'Sheet1'!$L$16"}</definedName>
    <definedName name="___hu6" localSheetId="1" hidden="1">{"'Sheet1'!$L$16"}</definedName>
    <definedName name="___hu6" localSheetId="2" hidden="1">{"'Sheet1'!$L$16"}</definedName>
    <definedName name="___hu6" localSheetId="8" hidden="1">{"'Sheet1'!$L$16"}</definedName>
    <definedName name="___hu6" hidden="1">{"'Sheet1'!$L$16"}</definedName>
    <definedName name="___hu7" localSheetId="1" hidden="1">{"'Sheet1'!$L$16"}</definedName>
    <definedName name="___hu7" localSheetId="2" hidden="1">{"'Sheet1'!$L$16"}</definedName>
    <definedName name="___hu7" localSheetId="8" hidden="1">{"'Sheet1'!$L$16"}</definedName>
    <definedName name="___hu7" hidden="1">{"'Sheet1'!$L$16"}</definedName>
    <definedName name="___huy1" localSheetId="1" hidden="1">{"'Sheet1'!$L$16"}</definedName>
    <definedName name="___huy1" localSheetId="2" hidden="1">{"'Sheet1'!$L$16"}</definedName>
    <definedName name="___huy1" localSheetId="8" hidden="1">{"'Sheet1'!$L$16"}</definedName>
    <definedName name="___huy1" hidden="1">{"'Sheet1'!$L$16"}</definedName>
    <definedName name="___huy2" localSheetId="1" hidden="1">{"'Sheet1'!$L$16"}</definedName>
    <definedName name="___huy2" localSheetId="2" hidden="1">{"'Sheet1'!$L$16"}</definedName>
    <definedName name="___huy2" localSheetId="8" hidden="1">{"'Sheet1'!$L$16"}</definedName>
    <definedName name="___huy2" hidden="1">{"'Sheet1'!$L$16"}</definedName>
    <definedName name="___key1" hidden="1">#REF!</definedName>
    <definedName name="___key2" localSheetId="1" hidden="1">#REF!</definedName>
    <definedName name="___key2" hidden="1">#REF!</definedName>
    <definedName name="___Lan1" localSheetId="1" hidden="1">{"'Sheet1'!$L$16"}</definedName>
    <definedName name="___Lan1" localSheetId="2" hidden="1">{"'Sheet1'!$L$16"}</definedName>
    <definedName name="___Lan1" localSheetId="8" hidden="1">{"'Sheet1'!$L$16"}</definedName>
    <definedName name="___Lan1" hidden="1">{"'Sheet1'!$L$16"}</definedName>
    <definedName name="___Lan2" localSheetId="1" hidden="1">{"'Sheet1'!$L$16"}</definedName>
    <definedName name="___Lan2" localSheetId="2" hidden="1">{"'Sheet1'!$L$16"}</definedName>
    <definedName name="___Lan2" localSheetId="8" hidden="1">{"'Sheet1'!$L$16"}</definedName>
    <definedName name="___Lan2" hidden="1">{"'Sheet1'!$L$16"}</definedName>
    <definedName name="___LAN3" localSheetId="1" hidden="1">{"'Sheet1'!$L$16"}</definedName>
    <definedName name="___LAN3" localSheetId="2" hidden="1">{"'Sheet1'!$L$16"}</definedName>
    <definedName name="___LAN3" localSheetId="8" hidden="1">{"'Sheet1'!$L$16"}</definedName>
    <definedName name="___LAN3" hidden="1">{"'Sheet1'!$L$16"}</definedName>
    <definedName name="___lao2" localSheetId="1" hidden="1">{"'Sheet1'!$L$16"}</definedName>
    <definedName name="___lao2" localSheetId="2" hidden="1">{"'Sheet1'!$L$16"}</definedName>
    <definedName name="___lao2" localSheetId="8" hidden="1">{"'Sheet1'!$L$16"}</definedName>
    <definedName name="___lao2" hidden="1">{"'Sheet1'!$L$16"}</definedName>
    <definedName name="___ld2" localSheetId="1" hidden="1">{"'Sheet1'!$L$16"}</definedName>
    <definedName name="___ld2" localSheetId="2" hidden="1">{"'Sheet1'!$L$16"}</definedName>
    <definedName name="___ld2" localSheetId="8" hidden="1">{"'Sheet1'!$L$16"}</definedName>
    <definedName name="___ld2" hidden="1">{"'Sheet1'!$L$16"}</definedName>
    <definedName name="___lk2" localSheetId="1" hidden="1">{"'Sheet1'!$L$16"}</definedName>
    <definedName name="___lk2" localSheetId="2" hidden="1">{"'Sheet1'!$L$16"}</definedName>
    <definedName name="___lk2" localSheetId="8" hidden="1">{"'Sheet1'!$L$16"}</definedName>
    <definedName name="___lk2" hidden="1">{"'Sheet1'!$L$16"}</definedName>
    <definedName name="___lop111" localSheetId="1" hidden="1">{#N/A,#N/A,FALSE,"特殊室（ＢＱ表）"}</definedName>
    <definedName name="___lop111" localSheetId="2" hidden="1">{#N/A,#N/A,FALSE,"特殊室（ＢＱ表）"}</definedName>
    <definedName name="___lop111" localSheetId="8" hidden="1">{#N/A,#N/A,FALSE,"特殊室（ＢＱ表）"}</definedName>
    <definedName name="___lop111" hidden="1">{#N/A,#N/A,FALSE,"特殊室（ＢＱ表）"}</definedName>
    <definedName name="___M2" localSheetId="1" hidden="1">{"'Sheet1'!$L$16"}</definedName>
    <definedName name="___M2" localSheetId="2" hidden="1">{"'Sheet1'!$L$16"}</definedName>
    <definedName name="___M2" localSheetId="8" hidden="1">{"'Sheet1'!$L$16"}</definedName>
    <definedName name="___M2" hidden="1">{"'Sheet1'!$L$16"}</definedName>
    <definedName name="___M36" localSheetId="1" hidden="1">{"'Sheet1'!$L$16"}</definedName>
    <definedName name="___M36" localSheetId="2" hidden="1">{"'Sheet1'!$L$16"}</definedName>
    <definedName name="___M36" localSheetId="8" hidden="1">{"'Sheet1'!$L$16"}</definedName>
    <definedName name="___M36" hidden="1">{"'Sheet1'!$L$16"}</definedName>
    <definedName name="___m4" localSheetId="1" hidden="1">{"'Sheet1'!$L$16"}</definedName>
    <definedName name="___m4" localSheetId="2" hidden="1">{"'Sheet1'!$L$16"}</definedName>
    <definedName name="___m4" localSheetId="8" hidden="1">{"'Sheet1'!$L$16"}</definedName>
    <definedName name="___m4" hidden="1">{"'Sheet1'!$L$16"}</definedName>
    <definedName name="___MCC3" localSheetId="1" hidden="1">{#N/A,#N/A,FALSE,"CCTV"}</definedName>
    <definedName name="___MCC3" localSheetId="2" hidden="1">{#N/A,#N/A,FALSE,"CCTV"}</definedName>
    <definedName name="___MCC3" localSheetId="8" hidden="1">{#N/A,#N/A,FALSE,"CCTV"}</definedName>
    <definedName name="___MCC3" hidden="1">{#N/A,#N/A,FALSE,"CCTV"}</definedName>
    <definedName name="___nam1" localSheetId="1" hidden="1">{"'Sheet1'!$L$16"}</definedName>
    <definedName name="___nam1" localSheetId="2" hidden="1">{"'Sheet1'!$L$16"}</definedName>
    <definedName name="___nam1" localSheetId="8" hidden="1">{"'Sheet1'!$L$16"}</definedName>
    <definedName name="___nam1" hidden="1">{"'Sheet1'!$L$16"}</definedName>
    <definedName name="___NAM11" localSheetId="1" hidden="1">{#N/A,#N/A,FALSE,"Chi tiÆt"}</definedName>
    <definedName name="___NAM11" localSheetId="2" hidden="1">{#N/A,#N/A,FALSE,"Chi tiÆt"}</definedName>
    <definedName name="___NAM11" localSheetId="8" hidden="1">{#N/A,#N/A,FALSE,"Chi tiÆt"}</definedName>
    <definedName name="___NAM11" hidden="1">{#N/A,#N/A,FALSE,"Chi tiÆt"}</definedName>
    <definedName name="___NO1" localSheetId="1" hidden="1">#REF!</definedName>
    <definedName name="___NO1" hidden="1">#REF!</definedName>
    <definedName name="___NO2" localSheetId="1" hidden="1">#REF!</definedName>
    <definedName name="___NO2" hidden="1">#REF!</definedName>
    <definedName name="___nso1" localSheetId="1" hidden="1">{"'Sheet1'!$L$16"}</definedName>
    <definedName name="___nso1" localSheetId="2" hidden="1">{"'Sheet1'!$L$16"}</definedName>
    <definedName name="___nso1" localSheetId="8" hidden="1">{"'Sheet1'!$L$16"}</definedName>
    <definedName name="___nso1" hidden="1">{"'Sheet1'!$L$16"}</definedName>
    <definedName name="___NSO2" localSheetId="1" hidden="1">{"'Sheet1'!$L$16"}</definedName>
    <definedName name="___NSO2" localSheetId="2" hidden="1">{"'Sheet1'!$L$16"}</definedName>
    <definedName name="___NSO2" localSheetId="8" hidden="1">{"'Sheet1'!$L$16"}</definedName>
    <definedName name="___NSO2" hidden="1">{"'Sheet1'!$L$16"}</definedName>
    <definedName name="___ngk1109" localSheetId="1" hidden="1">{#N/A,#N/A,FALSE,"估價單  (3)"}</definedName>
    <definedName name="___ngk1109" localSheetId="2" hidden="1">{#N/A,#N/A,FALSE,"估價單  (3)"}</definedName>
    <definedName name="___ngk1109" localSheetId="8" hidden="1">{#N/A,#N/A,FALSE,"估價單  (3)"}</definedName>
    <definedName name="___ngk1109" hidden="1">{#N/A,#N/A,FALSE,"估價單  (3)"}</definedName>
    <definedName name="___P3" localSheetId="1" hidden="1">{#N/A,#N/A,FALSE,"特殊室（ＢＱ表）"}</definedName>
    <definedName name="___P3" localSheetId="2" hidden="1">{#N/A,#N/A,FALSE,"特殊室（ＢＱ表）"}</definedName>
    <definedName name="___P3" localSheetId="8" hidden="1">{#N/A,#N/A,FALSE,"特殊室（ＢＱ表）"}</definedName>
    <definedName name="___P3" hidden="1">{#N/A,#N/A,FALSE,"特殊室（ＢＱ表）"}</definedName>
    <definedName name="___pa22" localSheetId="1" hidden="1">{"'ROOF'!$B$6","'ROOF'!$B$6","'ROOF'!$B$6","'ROOF'!$B$6"}</definedName>
    <definedName name="___pa22" localSheetId="2" hidden="1">{"'ROOF'!$B$6","'ROOF'!$B$6","'ROOF'!$B$6","'ROOF'!$B$6"}</definedName>
    <definedName name="___pa22" localSheetId="8" hidden="1">{"'ROOF'!$B$6","'ROOF'!$B$6","'ROOF'!$B$6","'ROOF'!$B$6"}</definedName>
    <definedName name="___pa22" hidden="1">{"'ROOF'!$B$6","'ROOF'!$B$6","'ROOF'!$B$6","'ROOF'!$B$6"}</definedName>
    <definedName name="___PA3" localSheetId="1" hidden="1">{"'Sheet1'!$L$16"}</definedName>
    <definedName name="___PA3" localSheetId="2" hidden="1">{"'Sheet1'!$L$16"}</definedName>
    <definedName name="___PA3" localSheetId="8" hidden="1">{"'Sheet1'!$L$16"}</definedName>
    <definedName name="___PA3" hidden="1">{"'Sheet1'!$L$16"}</definedName>
    <definedName name="___PK2" localSheetId="1" hidden="1">{"'장비'!$A$3:$M$12"}</definedName>
    <definedName name="___PK2" localSheetId="2" hidden="1">{"'장비'!$A$3:$M$12"}</definedName>
    <definedName name="___PK2" localSheetId="8" hidden="1">{"'장비'!$A$3:$M$12"}</definedName>
    <definedName name="___PK2" hidden="1">{"'장비'!$A$3:$M$12"}</definedName>
    <definedName name="___PKG3" localSheetId="1" hidden="1">{"'장비'!$A$3:$M$12"}</definedName>
    <definedName name="___PKG3" localSheetId="2" hidden="1">{"'장비'!$A$3:$M$12"}</definedName>
    <definedName name="___PKG3" localSheetId="8" hidden="1">{"'장비'!$A$3:$M$12"}</definedName>
    <definedName name="___PKG3" hidden="1">{"'장비'!$A$3:$M$12"}</definedName>
    <definedName name="___PPP3" localSheetId="1" hidden="1">{#N/A,#N/A,FALSE,"特殊室（ＢＱ表）"}</definedName>
    <definedName name="___PPP3" localSheetId="2" hidden="1">{#N/A,#N/A,FALSE,"特殊室（ＢＱ表）"}</definedName>
    <definedName name="___PPP3" localSheetId="8" hidden="1">{#N/A,#N/A,FALSE,"特殊室（ＢＱ表）"}</definedName>
    <definedName name="___PPP3" hidden="1">{#N/A,#N/A,FALSE,"特殊室（ＢＱ表）"}</definedName>
    <definedName name="___PPP33" localSheetId="1" hidden="1">{#N/A,#N/A,FALSE,"特殊室（ＢＱ表）"}</definedName>
    <definedName name="___PPP33" localSheetId="2" hidden="1">{#N/A,#N/A,FALSE,"特殊室（ＢＱ表）"}</definedName>
    <definedName name="___PPP33" localSheetId="8" hidden="1">{#N/A,#N/A,FALSE,"特殊室（ＢＱ表）"}</definedName>
    <definedName name="___PPP33" hidden="1">{#N/A,#N/A,FALSE,"特殊室（ＢＱ表）"}</definedName>
    <definedName name="___ppp34" localSheetId="1" hidden="1">{#N/A,#N/A,FALSE,"特殊室（ＢＱ表）"}</definedName>
    <definedName name="___ppp34" localSheetId="2" hidden="1">{#N/A,#N/A,FALSE,"特殊室（ＢＱ表）"}</definedName>
    <definedName name="___ppp34" localSheetId="8" hidden="1">{#N/A,#N/A,FALSE,"特殊室（ＢＱ表）"}</definedName>
    <definedName name="___ppp34" hidden="1">{#N/A,#N/A,FALSE,"特殊室（ＢＱ表）"}</definedName>
    <definedName name="___ppp3444" localSheetId="1" hidden="1">{#N/A,#N/A,FALSE,"特殊室（ＢＱ表）"}</definedName>
    <definedName name="___ppp3444" localSheetId="2" hidden="1">{#N/A,#N/A,FALSE,"特殊室（ＢＱ表）"}</definedName>
    <definedName name="___ppp3444" localSheetId="8" hidden="1">{#N/A,#N/A,FALSE,"特殊室（ＢＱ表）"}</definedName>
    <definedName name="___ppp3444" hidden="1">{#N/A,#N/A,FALSE,"特殊室（ＢＱ表）"}</definedName>
    <definedName name="___phu3" localSheetId="1" hidden="1">{"'Sheet1'!$L$16"}</definedName>
    <definedName name="___phu3" localSheetId="2" hidden="1">{"'Sheet1'!$L$16"}</definedName>
    <definedName name="___phu3" localSheetId="8" hidden="1">{"'Sheet1'!$L$16"}</definedName>
    <definedName name="___phu3" hidden="1">{"'Sheet1'!$L$16"}</definedName>
    <definedName name="___qqq222" localSheetId="1" hidden="1">{"'장비'!$A$3:$M$12"}</definedName>
    <definedName name="___qqq222" localSheetId="2" hidden="1">{"'장비'!$A$3:$M$12"}</definedName>
    <definedName name="___qqq222" localSheetId="8" hidden="1">{"'장비'!$A$3:$M$12"}</definedName>
    <definedName name="___qqq222" hidden="1">{"'장비'!$A$3:$M$12"}</definedName>
    <definedName name="___Rh90" localSheetId="1" hidden="1">{"'Sheet1'!$L$16"}</definedName>
    <definedName name="___Rh90" localSheetId="2" hidden="1">{"'Sheet1'!$L$16"}</definedName>
    <definedName name="___Rh90" localSheetId="8" hidden="1">{"'Sheet1'!$L$16"}</definedName>
    <definedName name="___Rh90" hidden="1">{"'Sheet1'!$L$16"}</definedName>
    <definedName name="___SCL4" localSheetId="1" hidden="1">{"'Sheet1'!$L$16"}</definedName>
    <definedName name="___SCL4" localSheetId="2" hidden="1">{"'Sheet1'!$L$16"}</definedName>
    <definedName name="___SCL4" localSheetId="8" hidden="1">{"'Sheet1'!$L$16"}</definedName>
    <definedName name="___SCL4" hidden="1">{"'Sheet1'!$L$16"}</definedName>
    <definedName name="___SCL4_1" localSheetId="1" hidden="1">{"'Sheet1'!$L$16"}</definedName>
    <definedName name="___SCL4_1" localSheetId="2" hidden="1">{"'Sheet1'!$L$16"}</definedName>
    <definedName name="___SCL4_1" localSheetId="8" hidden="1">{"'Sheet1'!$L$16"}</definedName>
    <definedName name="___SCL4_1" hidden="1">{"'Sheet1'!$L$16"}</definedName>
    <definedName name="___SHI1" localSheetId="1" hidden="1">{"'Sheet1'!$L$16"}</definedName>
    <definedName name="___SHI1" localSheetId="2" hidden="1">{"'Sheet1'!$L$16"}</definedName>
    <definedName name="___SHI1" localSheetId="8" hidden="1">{"'Sheet1'!$L$16"}</definedName>
    <definedName name="___SHI1" hidden="1">{"'Sheet1'!$L$16"}</definedName>
    <definedName name="___sum1" hidden="1">#REF!</definedName>
    <definedName name="___sxt5" localSheetId="1" hidden="1">{"'Sheet1'!$L$16"}</definedName>
    <definedName name="___sxt5" localSheetId="2" hidden="1">{"'Sheet1'!$L$16"}</definedName>
    <definedName name="___sxt5" localSheetId="8" hidden="1">{"'Sheet1'!$L$16"}</definedName>
    <definedName name="___sxt5" hidden="1">{"'Sheet1'!$L$16"}</definedName>
    <definedName name="___t1" localSheetId="1" hidden="1">{"'Sheet1'!$L$16"}</definedName>
    <definedName name="___t1" localSheetId="2" hidden="1">{"'Sheet1'!$L$16"}</definedName>
    <definedName name="___t1" localSheetId="8" hidden="1">{"'Sheet1'!$L$16"}</definedName>
    <definedName name="___t1" hidden="1">{"'Sheet1'!$L$16"}</definedName>
    <definedName name="___T10" localSheetId="1" hidden="1">{"'Sheet1'!$L$16"}</definedName>
    <definedName name="___T10" localSheetId="2" hidden="1">{"'Sheet1'!$L$16"}</definedName>
    <definedName name="___T10" localSheetId="8" hidden="1">{"'Sheet1'!$L$16"}</definedName>
    <definedName name="___T10" hidden="1">{"'Sheet1'!$L$16"}</definedName>
    <definedName name="___t2" localSheetId="1" hidden="1">{"'Sheet1'!$L$16"}</definedName>
    <definedName name="___t2" localSheetId="2" hidden="1">{"'Sheet1'!$L$16"}</definedName>
    <definedName name="___t2" localSheetId="8" hidden="1">{"'Sheet1'!$L$16"}</definedName>
    <definedName name="___t2" hidden="1">{"'Sheet1'!$L$16"}</definedName>
    <definedName name="___T3" localSheetId="1" hidden="1">{"'Sheet1'!$L$16"}</definedName>
    <definedName name="___T3" localSheetId="2" hidden="1">{"'Sheet1'!$L$16"}</definedName>
    <definedName name="___T3" localSheetId="8" hidden="1">{"'Sheet1'!$L$16"}</definedName>
    <definedName name="___T3" hidden="1">{"'Sheet1'!$L$16"}</definedName>
    <definedName name="___T4" localSheetId="1" hidden="1">{"'Sheet1'!$L$16"}</definedName>
    <definedName name="___T4" localSheetId="2" hidden="1">{"'Sheet1'!$L$16"}</definedName>
    <definedName name="___T4" localSheetId="8" hidden="1">{"'Sheet1'!$L$16"}</definedName>
    <definedName name="___T4" hidden="1">{"'Sheet1'!$L$16"}</definedName>
    <definedName name="___t5" localSheetId="1" hidden="1">{"'Sheet1'!$L$16"}</definedName>
    <definedName name="___t5" localSheetId="2" hidden="1">{"'Sheet1'!$L$16"}</definedName>
    <definedName name="___t5" localSheetId="8" hidden="1">{"'Sheet1'!$L$16"}</definedName>
    <definedName name="___t5" hidden="1">{"'Sheet1'!$L$16"}</definedName>
    <definedName name="___T9" localSheetId="1" hidden="1">{#N/A,#N/A,FALSE,"Chi tiÆt"}</definedName>
    <definedName name="___T9" localSheetId="2" hidden="1">{#N/A,#N/A,FALSE,"Chi tiÆt"}</definedName>
    <definedName name="___T9" localSheetId="8" hidden="1">{#N/A,#N/A,FALSE,"Chi tiÆt"}</definedName>
    <definedName name="___T9" hidden="1">{#N/A,#N/A,FALSE,"Chi tiÆt"}</definedName>
    <definedName name="___TB1">#REF!</definedName>
    <definedName name="___TM2" localSheetId="1" hidden="1">{"'Sheet1'!$L$16"}</definedName>
    <definedName name="___TM2" localSheetId="2" hidden="1">{"'Sheet1'!$L$16"}</definedName>
    <definedName name="___TM2" localSheetId="8" hidden="1">{"'Sheet1'!$L$16"}</definedName>
    <definedName name="___TM2" hidden="1">{"'Sheet1'!$L$16"}</definedName>
    <definedName name="___TT04" hidden="1">#REF!</definedName>
    <definedName name="___tt3" localSheetId="1" hidden="1">{"'Sheet1'!$L$16"}</definedName>
    <definedName name="___tt3" localSheetId="2" hidden="1">{"'Sheet1'!$L$16"}</definedName>
    <definedName name="___tt3" localSheetId="8" hidden="1">{"'Sheet1'!$L$16"}</definedName>
    <definedName name="___tt3" hidden="1">{"'Sheet1'!$L$16"}</definedName>
    <definedName name="___TT31" localSheetId="1" hidden="1">{"'Sheet1'!$L$16"}</definedName>
    <definedName name="___TT31" localSheetId="2" hidden="1">{"'Sheet1'!$L$16"}</definedName>
    <definedName name="___TT31" localSheetId="8" hidden="1">{"'Sheet1'!$L$16"}</definedName>
    <definedName name="___TT31" hidden="1">{"'Sheet1'!$L$16"}</definedName>
    <definedName name="___ttt1" localSheetId="1" hidden="1">{"'Sheet1'!$L$16"}</definedName>
    <definedName name="___ttt1" localSheetId="2" hidden="1">{"'Sheet1'!$L$16"}</definedName>
    <definedName name="___ttt1" localSheetId="8" hidden="1">{"'Sheet1'!$L$16"}</definedName>
    <definedName name="___ttt1" hidden="1">{"'Sheet1'!$L$16"}</definedName>
    <definedName name="___tu4" localSheetId="1" hidden="1">{"'Sheet1'!$L$16"}</definedName>
    <definedName name="___tu4" localSheetId="2" hidden="1">{"'Sheet1'!$L$16"}</definedName>
    <definedName name="___tu4" localSheetId="8" hidden="1">{"'Sheet1'!$L$16"}</definedName>
    <definedName name="___tu4" hidden="1">{"'Sheet1'!$L$16"}</definedName>
    <definedName name="___TV2" localSheetId="1" hidden="1">{"'Sheet1'!$L$16"}</definedName>
    <definedName name="___TV2" localSheetId="2" hidden="1">{"'Sheet1'!$L$16"}</definedName>
    <definedName name="___TV2" localSheetId="8" hidden="1">{"'Sheet1'!$L$16"}</definedName>
    <definedName name="___TV2" hidden="1">{"'Sheet1'!$L$16"}</definedName>
    <definedName name="___TH1" localSheetId="1" hidden="1">{"'Sheet1'!$L$16"}</definedName>
    <definedName name="___TH1" localSheetId="2" hidden="1">{"'Sheet1'!$L$16"}</definedName>
    <definedName name="___TH1" localSheetId="8" hidden="1">{"'Sheet1'!$L$16"}</definedName>
    <definedName name="___TH1" hidden="1">{"'Sheet1'!$L$16"}</definedName>
    <definedName name="___tha1" localSheetId="1" hidden="1">{"'Sheet1'!$L$16"}</definedName>
    <definedName name="___tha1" localSheetId="2" hidden="1">{"'Sheet1'!$L$16"}</definedName>
    <definedName name="___tha1" localSheetId="8" hidden="1">{"'Sheet1'!$L$16"}</definedName>
    <definedName name="___tha1" hidden="1">{"'Sheet1'!$L$16"}</definedName>
    <definedName name="___THT11" localSheetId="1" hidden="1">{"'Sheet1'!$L$16"}</definedName>
    <definedName name="___THT11" localSheetId="2" hidden="1">{"'Sheet1'!$L$16"}</definedName>
    <definedName name="___THT11" localSheetId="8" hidden="1">{"'Sheet1'!$L$16"}</definedName>
    <definedName name="___THT11" hidden="1">{"'Sheet1'!$L$16"}</definedName>
    <definedName name="___vpt5" localSheetId="1" hidden="1">{"'Sheet1'!$L$16"}</definedName>
    <definedName name="___vpt5" localSheetId="2" hidden="1">{"'Sheet1'!$L$16"}</definedName>
    <definedName name="___vpt5" localSheetId="8" hidden="1">{"'Sheet1'!$L$16"}</definedName>
    <definedName name="___vpt5" hidden="1">{"'Sheet1'!$L$16"}</definedName>
    <definedName name="___vpt6" localSheetId="1" hidden="1">{"'Sheet1'!$L$16"}</definedName>
    <definedName name="___vpt6" localSheetId="2" hidden="1">{"'Sheet1'!$L$16"}</definedName>
    <definedName name="___vpt6" localSheetId="8" hidden="1">{"'Sheet1'!$L$16"}</definedName>
    <definedName name="___vpt6" hidden="1">{"'Sheet1'!$L$16"}</definedName>
    <definedName name="___VT3" localSheetId="1" hidden="1">{"'Sheet1'!$L$16"}</definedName>
    <definedName name="___VT3" localSheetId="2" hidden="1">{"'Sheet1'!$L$16"}</definedName>
    <definedName name="___VT3" localSheetId="8" hidden="1">{"'Sheet1'!$L$16"}</definedName>
    <definedName name="___VT3" hidden="1">{"'Sheet1'!$L$16"}</definedName>
    <definedName name="___xlfn.BAHTTEXT" hidden="1">#NAME?</definedName>
    <definedName name="__1" localSheetId="1" hidden="1">{"'Sheet1'!$L$16"}</definedName>
    <definedName name="__1" localSheetId="2" hidden="1">{"'Sheet1'!$L$16"}</definedName>
    <definedName name="__1" localSheetId="8" hidden="1">{"'Sheet1'!$L$16"}</definedName>
    <definedName name="__1" hidden="1">{"'Sheet1'!$L$16"}</definedName>
    <definedName name="__1__123Graph_ACHART_1" hidden="1">#REF!</definedName>
    <definedName name="__1__123Graph_Aｸﾞﾗﾌ_1" localSheetId="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localSheetId="1" hidden="1">#REF!</definedName>
    <definedName name="__10__123Graph_Aｸﾞﾗﾌ_5" hidden="1">#REF!</definedName>
    <definedName name="__10__123Graph_DCHART_1" hidden="1">#REF!</definedName>
    <definedName name="__10__123Graph_Xｸﾞﾗﾌ_5" localSheetId="1" hidden="1">#REF!</definedName>
    <definedName name="__10__123Graph_Xｸﾞﾗﾌ_5" hidden="1">#REF!</definedName>
    <definedName name="__11___123Graph_Aｸﾞﾗﾌ_3" hidden="1">#REF!</definedName>
    <definedName name="__11__123Graph_Aｸﾞﾗﾌ_3" hidden="1">#REF!</definedName>
    <definedName name="__11__123Graph_Xｸﾞﾗﾌ_1" localSheetId="1"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localSheetId="1" hidden="1">#REF!</definedName>
    <definedName name="__12__123Graph_Xｸﾞﾗﾌ_1" hidden="1">#REF!</definedName>
    <definedName name="__12__123Graph_Xｸﾞﾗﾌ_2" localSheetId="1" hidden="1">#REF!</definedName>
    <definedName name="__12__123Graph_Xｸﾞﾗﾌ_2" hidden="1">#REF!</definedName>
    <definedName name="__123Graph_A" localSheetId="1" hidden="1">#REF!</definedName>
    <definedName name="__123Graph_A" hidden="1">#REF!</definedName>
    <definedName name="__123Graph_A120.CGM" localSheetId="1" hidden="1">#REF!</definedName>
    <definedName name="__123Graph_A120.CGM" hidden="1">#REF!</definedName>
    <definedName name="__123Graph_A150.CGM" localSheetId="1" hidden="1">#REF!</definedName>
    <definedName name="__123Graph_A150.CGM" hidden="1">#REF!</definedName>
    <definedName name="__123Graph_A180.CGM" localSheetId="1" hidden="1">#REF!</definedName>
    <definedName name="__123Graph_A180.CGM" hidden="1">#REF!</definedName>
    <definedName name="__123Graph_A210.CGM" localSheetId="1" hidden="1">#REF!</definedName>
    <definedName name="__123Graph_A210.CGM" hidden="1">#REF!</definedName>
    <definedName name="__123Graph_A240.CGM" localSheetId="1" hidden="1">#REF!</definedName>
    <definedName name="__123Graph_A240.CGM" hidden="1">#REF!</definedName>
    <definedName name="__123Graph_A270.CGM" localSheetId="1" hidden="1">#REF!</definedName>
    <definedName name="__123Graph_A270.CGM" hidden="1">#REF!</definedName>
    <definedName name="__123Graph_A300.CGM" localSheetId="1" hidden="1">#REF!</definedName>
    <definedName name="__123Graph_A300.CGM" hidden="1">#REF!</definedName>
    <definedName name="__123Graph_A60.CGN" localSheetId="1" hidden="1">#REF!</definedName>
    <definedName name="__123Graph_A60.CGN" hidden="1">#REF!</definedName>
    <definedName name="__123Graph_A90.CGM" localSheetId="1" hidden="1">#REF!</definedName>
    <definedName name="__123Graph_A90.CGM" hidden="1">#REF!</definedName>
    <definedName name="__123Graph_ACF100" hidden="1">#REF!</definedName>
    <definedName name="__123Graph_ACURRENT" localSheetId="1" hidden="1">#REF!</definedName>
    <definedName name="__123Graph_ACURRENT" hidden="1">#REF!</definedName>
    <definedName name="__123Graph_AG1" hidden="1">#REF!</definedName>
    <definedName name="__123Graph_B" localSheetId="1" hidden="1">#REF!</definedName>
    <definedName name="__123Graph_B" hidden="1">#REF!</definedName>
    <definedName name="__123Graph_B120.CGM" localSheetId="1" hidden="1">#REF!</definedName>
    <definedName name="__123Graph_B120.CGM" hidden="1">#REF!</definedName>
    <definedName name="__123Graph_B150.CGM" localSheetId="1" hidden="1">#REF!</definedName>
    <definedName name="__123Graph_B150.CGM" hidden="1">#REF!</definedName>
    <definedName name="__123Graph_B180.CGM" localSheetId="1" hidden="1">#REF!</definedName>
    <definedName name="__123Graph_B180.CGM" hidden="1">#REF!</definedName>
    <definedName name="__123Graph_B210.CGM" localSheetId="1" hidden="1">#REF!</definedName>
    <definedName name="__123Graph_B210.CGM" hidden="1">#REF!</definedName>
    <definedName name="__123Graph_B240.CGM" localSheetId="1" hidden="1">#REF!</definedName>
    <definedName name="__123Graph_B240.CGM" hidden="1">#REF!</definedName>
    <definedName name="__123Graph_B270.CGM" localSheetId="1" hidden="1">#REF!</definedName>
    <definedName name="__123Graph_B270.CGM" hidden="1">#REF!</definedName>
    <definedName name="__123Graph_B300.CGM" localSheetId="1" hidden="1">#REF!</definedName>
    <definedName name="__123Graph_B300.CGM" hidden="1">#REF!</definedName>
    <definedName name="__123Graph_B60.CGN" localSheetId="1" hidden="1">#REF!</definedName>
    <definedName name="__123Graph_B60.CGN" hidden="1">#REF!</definedName>
    <definedName name="__123Graph_B90.CGM" localSheetId="1" hidden="1">#REF!</definedName>
    <definedName name="__123Graph_B90.CGM" hidden="1">#REF!</definedName>
    <definedName name="__123Graph_BCF100" hidden="1">#REF!</definedName>
    <definedName name="__123Graph_BCURRENT" localSheetId="1" hidden="1">#REF!</definedName>
    <definedName name="__123Graph_BCURRENT" hidden="1">#REF!</definedName>
    <definedName name="__123Graph_BG1" hidden="1">#REF!</definedName>
    <definedName name="__123Graph_C" localSheetId="1" hidden="1">#REF!</definedName>
    <definedName name="__123Graph_C" hidden="1">#REF!</definedName>
    <definedName name="__123Graph_CCURRENT" localSheetId="1" hidden="1">#REF!</definedName>
    <definedName name="__123Graph_CCURRENT" hidden="1">#REF!</definedName>
    <definedName name="__123Graph_CG1" hidden="1">#REF!</definedName>
    <definedName name="__123Graph_D" localSheetId="1" hidden="1">#REF!</definedName>
    <definedName name="__123Graph_D" hidden="1">#REF!</definedName>
    <definedName name="__123Graph_DCURRENT" localSheetId="1" hidden="1">#REF!</definedName>
    <definedName name="__123Graph_DCURRENT" hidden="1">#REF!</definedName>
    <definedName name="__123Graph_DG1" hidden="1">#REF!</definedName>
    <definedName name="__123Graph_E" localSheetId="1" hidden="1">#REF!</definedName>
    <definedName name="__123Graph_E" hidden="1">#REF!</definedName>
    <definedName name="__123Graph_ECURRENT" localSheetId="1" hidden="1">#REF!</definedName>
    <definedName name="__123Graph_ECURRENT" hidden="1">#REF!</definedName>
    <definedName name="__123Graph_F" localSheetId="1" hidden="1">#REF!</definedName>
    <definedName name="__123Graph_F" hidden="1">#REF!</definedName>
    <definedName name="__123Graph_FCURRENT" localSheetId="1" hidden="1">#REF!</definedName>
    <definedName name="__123Graph_FCURRENT" hidden="1">#REF!</definedName>
    <definedName name="__123Graph_LBL_A" localSheetId="1" hidden="1">#REF!</definedName>
    <definedName name="__123Graph_LBL_A" hidden="1">#REF!</definedName>
    <definedName name="__123Graph_LBL_A120.CGM" localSheetId="1" hidden="1">#REF!</definedName>
    <definedName name="__123Graph_LBL_A120.CGM" hidden="1">#REF!</definedName>
    <definedName name="__123Graph_LBL_A150.CGM" localSheetId="1" hidden="1">#REF!</definedName>
    <definedName name="__123Graph_LBL_A150.CGM" hidden="1">#REF!</definedName>
    <definedName name="__123Graph_LBL_A180.CGM" localSheetId="1" hidden="1">#REF!</definedName>
    <definedName name="__123Graph_LBL_A180.CGM" hidden="1">#REF!</definedName>
    <definedName name="__123Graph_LBL_A210.CGM" localSheetId="1" hidden="1">#REF!</definedName>
    <definedName name="__123Graph_LBL_A210.CGM" hidden="1">#REF!</definedName>
    <definedName name="__123Graph_LBL_A240.CGM" localSheetId="1" hidden="1">#REF!</definedName>
    <definedName name="__123Graph_LBL_A240.CGM" hidden="1">#REF!</definedName>
    <definedName name="__123Graph_LBL_A270.CGM" localSheetId="1" hidden="1">#REF!</definedName>
    <definedName name="__123Graph_LBL_A270.CGM" hidden="1">#REF!</definedName>
    <definedName name="__123Graph_LBL_A300.CGM" localSheetId="1" hidden="1">#REF!</definedName>
    <definedName name="__123Graph_LBL_A300.CGM" hidden="1">#REF!</definedName>
    <definedName name="__123Graph_LBL_A60.CGN" localSheetId="1" hidden="1">#REF!</definedName>
    <definedName name="__123Graph_LBL_A60.CGN" hidden="1">#REF!</definedName>
    <definedName name="__123Graph_LBL_A90.CGM" localSheetId="1"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localSheetId="1" hidden="1">#REF!</definedName>
    <definedName name="__123Graph_X" hidden="1">#REF!</definedName>
    <definedName name="__123Graph_X120.CGM" localSheetId="1" hidden="1">#REF!</definedName>
    <definedName name="__123Graph_X120.CGM" hidden="1">#REF!</definedName>
    <definedName name="__123Graph_X150.CGM" localSheetId="1" hidden="1">#REF!</definedName>
    <definedName name="__123Graph_X150.CGM" hidden="1">#REF!</definedName>
    <definedName name="__123Graph_X180.CGM" localSheetId="1" hidden="1">#REF!</definedName>
    <definedName name="__123Graph_X180.CGM" hidden="1">#REF!</definedName>
    <definedName name="__123Graph_X210.CGM" localSheetId="1" hidden="1">#REF!</definedName>
    <definedName name="__123Graph_X210.CGM" hidden="1">#REF!</definedName>
    <definedName name="__123Graph_X240.CGM" localSheetId="1" hidden="1">#REF!</definedName>
    <definedName name="__123Graph_X240.CGM" hidden="1">#REF!</definedName>
    <definedName name="__123Graph_X270.CGM" localSheetId="1" hidden="1">#REF!</definedName>
    <definedName name="__123Graph_X270.CGM" hidden="1">#REF!</definedName>
    <definedName name="__123Graph_X300.CGM" localSheetId="1" hidden="1">#REF!</definedName>
    <definedName name="__123Graph_X300.CGM" hidden="1">#REF!</definedName>
    <definedName name="__123Graph_X60.CGN" localSheetId="1" hidden="1">#REF!</definedName>
    <definedName name="__123Graph_X60.CGN" hidden="1">#REF!</definedName>
    <definedName name="__123Graph_X90.CGM" localSheetId="1"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localSheetId="1"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localSheetId="1" hidden="1">#REF!</definedName>
    <definedName name="__14__123Graph_Xｸﾞﾗﾌ_2" hidden="1">#REF!</definedName>
    <definedName name="__14__123Graph_Xｸﾞﾗﾌ_4" localSheetId="1"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localSheetId="1"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localSheetId="1"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localSheetId="1"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localSheetId="1" hidden="1">#REF!</definedName>
    <definedName name="__2__123Graph_Aｸﾞﾗﾌ_1" hidden="1">#REF!</definedName>
    <definedName name="__2__123Graph_Aｸﾞﾗﾌ_2" localSheetId="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localSheetId="1"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localSheetId="1" hidden="1">#REF!</definedName>
    <definedName name="__3__123Graph_Aｸﾞﾗﾌ_1" hidden="1">#REF!</definedName>
    <definedName name="__3__123Graph_Aｸﾞﾗﾌ_3" localSheetId="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localSheetId="1" hidden="1">#REF!</definedName>
    <definedName name="__4__123Graph_Aｸﾞﾗﾌ_2" hidden="1">#REF!</definedName>
    <definedName name="__4__123Graph_Aｸﾞﾗﾌ_4" localSheetId="1"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localSheetId="1" hidden="1">#REF!</definedName>
    <definedName name="__5__123Graph_Aｸﾞﾗﾌ_3" hidden="1">#REF!</definedName>
    <definedName name="__5__123Graph_Aｸﾞﾗﾌ_5" localSheetId="1"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localSheetId="1" hidden="1">#REF!</definedName>
    <definedName name="__6__123Graph_Aｸﾞﾗﾌ_3" hidden="1">#REF!</definedName>
    <definedName name="__6__123Graph_Aｸﾞﾗﾌ_4" localSheetId="1" hidden="1">#REF!</definedName>
    <definedName name="__6__123Graph_Aｸﾞﾗﾌ_4" hidden="1">#REF!</definedName>
    <definedName name="__6__123Graph_Xｸﾞﾗﾌ_1" localSheetId="1"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localSheetId="1" hidden="1">#REF!</definedName>
    <definedName name="__7__123Graph_Aｸﾞﾗﾌ_5" hidden="1">#REF!</definedName>
    <definedName name="__7__123Graph_Xｸﾞﾗﾌ_2" localSheetId="1" hidden="1">#REF!</definedName>
    <definedName name="__7__123Graph_Xｸﾞﾗﾌ_2" hidden="1">#REF!</definedName>
    <definedName name="__8___123Graph_A????_5" hidden="1">#REF!</definedName>
    <definedName name="__8__123Graph_A????_5" hidden="1">#REF!</definedName>
    <definedName name="__8__123Graph_Aｸﾞﾗﾌ_4" localSheetId="1" hidden="1">#REF!</definedName>
    <definedName name="__8__123Graph_Aｸﾞﾗﾌ_4" hidden="1">#REF!</definedName>
    <definedName name="__8__123Graph_BCHART_2" hidden="1">#REF!</definedName>
    <definedName name="__8__123Graph_Xｸﾞﾗﾌ_3" localSheetId="1"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localSheetId="1" hidden="1">#REF!</definedName>
    <definedName name="__9__123Graph_Xｸﾞﾗﾌ_4" hidden="1">#REF!</definedName>
    <definedName name="__a1" localSheetId="1" hidden="1">{"'Sheet1'!$L$16"}</definedName>
    <definedName name="__a1" localSheetId="2" hidden="1">{"'Sheet1'!$L$16"}</definedName>
    <definedName name="__a1" localSheetId="8" hidden="1">{"'Sheet1'!$L$16"}</definedName>
    <definedName name="__a1" hidden="1">{"'Sheet1'!$L$16"}</definedName>
    <definedName name="__a1_1" localSheetId="1" hidden="1">{"'Sheet1'!$L$16"}</definedName>
    <definedName name="__a1_1" localSheetId="2" hidden="1">{"'Sheet1'!$L$16"}</definedName>
    <definedName name="__a1_1" localSheetId="8" hidden="1">{"'Sheet1'!$L$16"}</definedName>
    <definedName name="__a1_1" hidden="1">{"'Sheet1'!$L$16"}</definedName>
    <definedName name="__a129" localSheetId="1"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1" hidden="1">{"'Sheet1'!$L$16"}</definedName>
    <definedName name="__a2" localSheetId="2" hidden="1">{"'Sheet1'!$L$16"}</definedName>
    <definedName name="__a2" localSheetId="8" hidden="1">{"'Sheet1'!$L$16"}</definedName>
    <definedName name="__a2" hidden="1">{"'Sheet1'!$L$16"}</definedName>
    <definedName name="__A4" localSheetId="1" hidden="1">{"'Sheet1'!$L$16"}</definedName>
    <definedName name="__A4" localSheetId="2" hidden="1">{"'Sheet1'!$L$16"}</definedName>
    <definedName name="__A4" localSheetId="8" hidden="1">{"'Sheet1'!$L$16"}</definedName>
    <definedName name="__A4" hidden="1">{"'Sheet1'!$L$16"}</definedName>
    <definedName name="__a9" localSheetId="1" hidden="1">{"'Sheet1'!$L$16"}</definedName>
    <definedName name="__a9" localSheetId="2" hidden="1">{"'Sheet1'!$L$16"}</definedName>
    <definedName name="__a9" localSheetId="8" hidden="1">{"'Sheet1'!$L$16"}</definedName>
    <definedName name="__a9" hidden="1">{"'Sheet1'!$L$16"}</definedName>
    <definedName name="__b2" localSheetId="1" hidden="1">{"'Sheet1'!$L$16"}</definedName>
    <definedName name="__b2" localSheetId="2" hidden="1">{"'Sheet1'!$L$16"}</definedName>
    <definedName name="__b2" localSheetId="8" hidden="1">{"'Sheet1'!$L$16"}</definedName>
    <definedName name="__b2" hidden="1">{"'Sheet1'!$L$16"}</definedName>
    <definedName name="__ba1" localSheetId="1" hidden="1">{#N/A,#N/A,FALSE,"Chi tiÆt"}</definedName>
    <definedName name="__ba1" localSheetId="2" hidden="1">{#N/A,#N/A,FALSE,"Chi tiÆt"}</definedName>
    <definedName name="__ba1" localSheetId="8" hidden="1">{#N/A,#N/A,FALSE,"Chi tiÆt"}</definedName>
    <definedName name="__ba1" hidden="1">{#N/A,#N/A,FALSE,"Chi tiÆt"}</definedName>
    <definedName name="__ba2" localSheetId="1" hidden="1">{#N/A,#N/A,FALSE,"Chi tiÆt"}</definedName>
    <definedName name="__ba2" localSheetId="2" hidden="1">{#N/A,#N/A,FALSE,"Chi tiÆt"}</definedName>
    <definedName name="__ba2" localSheetId="8" hidden="1">{#N/A,#N/A,FALSE,"Chi tiÆt"}</definedName>
    <definedName name="__ba2" hidden="1">{#N/A,#N/A,FALSE,"Chi tiÆt"}</definedName>
    <definedName name="__BG12" localSheetId="1" hidden="1">{"'Sheet1'!$L$16"}</definedName>
    <definedName name="__BG12" localSheetId="2" hidden="1">{"'Sheet1'!$L$16"}</definedName>
    <definedName name="__BG12" localSheetId="8" hidden="1">{"'Sheet1'!$L$16"}</definedName>
    <definedName name="__BG12" hidden="1">{"'Sheet1'!$L$16"}</definedName>
    <definedName name="__bht6" localSheetId="1" hidden="1">{"'Sheet1'!$L$16"}</definedName>
    <definedName name="__bht6" localSheetId="2" hidden="1">{"'Sheet1'!$L$16"}</definedName>
    <definedName name="__bht6" localSheetId="8" hidden="1">{"'Sheet1'!$L$16"}</definedName>
    <definedName name="__bht6" hidden="1">{"'Sheet1'!$L$16"}</definedName>
    <definedName name="__BOQ2111" hidden="1">#REF!</definedName>
    <definedName name="__ccr1" localSheetId="1" hidden="1">{#N/A,#N/A,TRUE,"Cover";#N/A,#N/A,TRUE,"Conts";#N/A,#N/A,TRUE,"VOS";#N/A,#N/A,TRUE,"Warrington";#N/A,#N/A,TRUE,"Widnes"}</definedName>
    <definedName name="__ccr1" localSheetId="2"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_CDD1">#REF!</definedName>
    <definedName name="__CDD2">#REF!</definedName>
    <definedName name="__CN1" localSheetId="1" hidden="1">{"'Sheet1'!$L$16"}</definedName>
    <definedName name="__CN1" localSheetId="2" hidden="1">{"'Sheet1'!$L$16"}</definedName>
    <definedName name="__CN1" localSheetId="8" hidden="1">{"'Sheet1'!$L$16"}</definedName>
    <definedName name="__CN1" hidden="1">{"'Sheet1'!$L$16"}</definedName>
    <definedName name="__coc1000" localSheetId="1" hidden="1">{#N/A,#N/A,FALSE,"Chi tiÆt"}</definedName>
    <definedName name="__coc1000" localSheetId="2" hidden="1">{#N/A,#N/A,FALSE,"Chi tiÆt"}</definedName>
    <definedName name="__coc1000" localSheetId="8" hidden="1">{#N/A,#N/A,FALSE,"Chi tiÆt"}</definedName>
    <definedName name="__coc1000" hidden="1">{#N/A,#N/A,FALSE,"Chi tiÆt"}</definedName>
    <definedName name="__Coc39" localSheetId="1" hidden="1">{"'Sheet1'!$L$16"}</definedName>
    <definedName name="__Coc39" localSheetId="2" hidden="1">{"'Sheet1'!$L$16"}</definedName>
    <definedName name="__Coc39" localSheetId="8" hidden="1">{"'Sheet1'!$L$16"}</definedName>
    <definedName name="__Coc39" hidden="1">{"'Sheet1'!$L$16"}</definedName>
    <definedName name="__CT2" localSheetId="1" hidden="1">{"'Sheet1'!$L$16"}</definedName>
    <definedName name="__CT2" localSheetId="2" hidden="1">{"'Sheet1'!$L$16"}</definedName>
    <definedName name="__CT2" localSheetId="8" hidden="1">{"'Sheet1'!$L$16"}</definedName>
    <definedName name="__CT2" hidden="1">{"'Sheet1'!$L$16"}</definedName>
    <definedName name="__ct2005" localSheetId="1" hidden="1">{"'Sheet1'!$L$16"}</definedName>
    <definedName name="__ct2005" localSheetId="2" hidden="1">{"'Sheet1'!$L$16"}</definedName>
    <definedName name="__ct2005" localSheetId="8" hidden="1">{"'Sheet1'!$L$16"}</definedName>
    <definedName name="__ct2005" hidden="1">{"'Sheet1'!$L$16"}</definedName>
    <definedName name="__CT4" localSheetId="1" hidden="1">{"'Sheet1'!$L$16"}</definedName>
    <definedName name="__CT4" localSheetId="2" hidden="1">{"'Sheet1'!$L$16"}</definedName>
    <definedName name="__CT4" localSheetId="8" hidden="1">{"'Sheet1'!$L$16"}</definedName>
    <definedName name="__CT4" hidden="1">{"'Sheet1'!$L$16"}</definedName>
    <definedName name="__Cty501" localSheetId="1" hidden="1">{"'Sheet1'!$L$16"}</definedName>
    <definedName name="__Cty501" localSheetId="2" hidden="1">{"'Sheet1'!$L$16"}</definedName>
    <definedName name="__Cty501" localSheetId="8" hidden="1">{"'Sheet1'!$L$16"}</definedName>
    <definedName name="__Cty501" hidden="1">{"'Sheet1'!$L$16"}</definedName>
    <definedName name="__d1500" localSheetId="1" hidden="1">{"'Sheet1'!$L$16"}</definedName>
    <definedName name="__d1500" localSheetId="2" hidden="1">{"'Sheet1'!$L$16"}</definedName>
    <definedName name="__d1500" localSheetId="8" hidden="1">{"'Sheet1'!$L$16"}</definedName>
    <definedName name="__d1500" hidden="1">{"'Sheet1'!$L$16"}</definedName>
    <definedName name="__D41" localSheetId="1" hidden="1">{"'Sheet1'!$L$16"}</definedName>
    <definedName name="__D41" localSheetId="2" hidden="1">{"'Sheet1'!$L$16"}</definedName>
    <definedName name="__D41" localSheetId="8" hidden="1">{"'Sheet1'!$L$16"}</definedName>
    <definedName name="__D41" hidden="1">{"'Sheet1'!$L$16"}</definedName>
    <definedName name="__D42" localSheetId="1" hidden="1">{"'Sheet1'!$L$16"}</definedName>
    <definedName name="__D42" localSheetId="2" hidden="1">{"'Sheet1'!$L$16"}</definedName>
    <definedName name="__D42" localSheetId="8"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localSheetId="1" hidden="1">{"'Sheet1'!$L$16"}</definedName>
    <definedName name="__dt1" localSheetId="2" hidden="1">{"'Sheet1'!$L$16"}</definedName>
    <definedName name="__dt1" localSheetId="8" hidden="1">{"'Sheet1'!$L$16"}</definedName>
    <definedName name="__dt1" hidden="1">{"'Sheet1'!$L$16"}</definedName>
    <definedName name="__DT10" localSheetId="1" hidden="1">{"'Sheet1'!$L$16"}</definedName>
    <definedName name="__DT10" localSheetId="2" hidden="1">{"'Sheet1'!$L$16"}</definedName>
    <definedName name="__DT10" localSheetId="8" hidden="1">{"'Sheet1'!$L$16"}</definedName>
    <definedName name="__DT10" hidden="1">{"'Sheet1'!$L$16"}</definedName>
    <definedName name="__e2" localSheetId="1" hidden="1">{"'Sheet1'!$L$16"}</definedName>
    <definedName name="__e2" localSheetId="2" hidden="1">{"'Sheet1'!$L$16"}</definedName>
    <definedName name="__e2" localSheetId="8" hidden="1">{"'Sheet1'!$L$16"}</definedName>
    <definedName name="__e2" hidden="1">{"'Sheet1'!$L$16"}</definedName>
    <definedName name="__ewt3" localSheetId="1" hidden="1">{#N/A,#N/A,FALSE,"CCTV"}</definedName>
    <definedName name="__ewt3" localSheetId="2" hidden="1">{#N/A,#N/A,FALSE,"CCTV"}</definedName>
    <definedName name="__ewt3" localSheetId="8" hidden="1">{#N/A,#N/A,FALSE,"CCTV"}</definedName>
    <definedName name="__ewt3" hidden="1">{#N/A,#N/A,FALSE,"CCTV"}</definedName>
    <definedName name="__f1" localSheetId="1" hidden="1">{#N/A,#N/A,FALSE,"FORM A";#N/A,#N/A,FALSE,"FORM D";#N/A,#N/A,FALSE,"FORM E-1";#N/A,#N/A,FALSE,"FORM E-2";#N/A,#N/A,FALSE,"FORM F";#N/A,#N/A,FALSE,"FORM G";#N/A,#N/A,FALSE,"FORM H-1";#N/A,#N/A,FALSE,"FORM H-2";#N/A,#N/A,FALSE,"FORM H-3";#N/A,#N/A,FALSE,"FORM H-4";#N/A,#N/A,FALSE,"FORM H-5";#N/A,#N/A,FALSE,"FORM I";#N/A,#N/A,FALSE,"FORM J"}</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1" localSheetId="8" hidden="1">{#N/A,#N/A,FALSE,"FORM A";#N/A,#N/A,FALSE,"FORM D";#N/A,#N/A,FALSE,"FORM E-1";#N/A,#N/A,FALSE,"FORM E-2";#N/A,#N/A,FALSE,"FORM F";#N/A,#N/A,FALSE,"FORM G";#N/A,#N/A,FALSE,"FORM H-1";#N/A,#N/A,FALSE,"FORM H-2";#N/A,#N/A,FALSE,"FORM H-3";#N/A,#N/A,FALSE,"FORM H-4";#N/A,#N/A,FALSE,"FORM H-5";#N/A,#N/A,FALSE,"FORM I";#N/A,#N/A,FALSE,"FORM J"}</definedName>
    <definedName name="__f1" hidden="1">{#N/A,#N/A,FALSE,"FORM A";#N/A,#N/A,FALSE,"FORM D";#N/A,#N/A,FALSE,"FORM E-1";#N/A,#N/A,FALSE,"FORM E-2";#N/A,#N/A,FALSE,"FORM F";#N/A,#N/A,FALSE,"FORM G";#N/A,#N/A,FALSE,"FORM H-1";#N/A,#N/A,FALSE,"FORM H-2";#N/A,#N/A,FALSE,"FORM H-3";#N/A,#N/A,FALSE,"FORM H-4";#N/A,#N/A,FALSE,"FORM H-5";#N/A,#N/A,FALSE,"FORM I";#N/A,#N/A,FALSE,"FORM J"}</definedName>
    <definedName name="__f5" localSheetId="1" hidden="1">{"'Sheet1'!$L$16"}</definedName>
    <definedName name="__f5" localSheetId="2" hidden="1">{"'Sheet1'!$L$16"}</definedName>
    <definedName name="__f5" localSheetId="8" hidden="1">{"'Sheet1'!$L$16"}</definedName>
    <definedName name="__f5" hidden="1">{"'Sheet1'!$L$16"}</definedName>
    <definedName name="__FAB4" hidden="1">#REF!</definedName>
    <definedName name="__FD12" localSheetId="1" hidden="1">{"'Sheet1'!$L$16"}</definedName>
    <definedName name="__FD12" localSheetId="2" hidden="1">{"'Sheet1'!$L$16"}</definedName>
    <definedName name="__FD12" localSheetId="8" hidden="1">{"'Sheet1'!$L$16"}</definedName>
    <definedName name="__FD12" hidden="1">{"'Sheet1'!$L$16"}</definedName>
    <definedName name="__fd2" localSheetId="1" hidden="1">{#N/A,#N/A,TRUE,"Cover Memo";"Complete Sys. Estimate",#N/A,TRUE,"Change Summary";"Complete Sys. Estimate",#N/A,TRUE,"Estimate Summary";"Complete Sys. Estimate",#N/A,TRUE,"Dept. Summary";"Complete Sys. Estimate",#N/A,TRUE,"DOW Detail"}</definedName>
    <definedName name="__fd2" localSheetId="2" hidden="1">{#N/A,#N/A,TRUE,"Cover Memo";"Complete Sys. Estimate",#N/A,TRUE,"Change Summary";"Complete Sys. Estimate",#N/A,TRUE,"Estimate Summary";"Complete Sys. Estimate",#N/A,TRUE,"Dept. Summary";"Complete Sys. Estimate",#N/A,TRUE,"DOW Detail"}</definedName>
    <definedName name="__fd2" localSheetId="8" hidden="1">{#N/A,#N/A,TRUE,"Cover Memo";"Complete Sys. Estimate",#N/A,TRUE,"Change Summary";"Complete Sys. Estimate",#N/A,TRUE,"Estimate Summary";"Complete Sys. Estimate",#N/A,TRUE,"Dept. Summary";"Complete Sys. Estimate",#N/A,TRUE,"DOW Detail"}</definedName>
    <definedName name="__fd2" hidden="1">{#N/A,#N/A,TRUE,"Cover Memo";"Complete Sys. Estimate",#N/A,TRUE,"Change Summary";"Complete Sys. Estimate",#N/A,TRUE,"Estimate Summary";"Complete Sys. Estimate",#N/A,TRUE,"Dept. Summary";"Complete Sys. Estimate",#N/A,TRUE,"DOW Detail"}</definedName>
    <definedName name="__G4211" localSheetId="1" hidden="1">{"'Sheet1'!$L$16"}</definedName>
    <definedName name="__G4211" localSheetId="2" hidden="1">{"'Sheet1'!$L$16"}</definedName>
    <definedName name="__G4211" localSheetId="8" hidden="1">{"'Sheet1'!$L$16"}</definedName>
    <definedName name="__G4211" hidden="1">{"'Sheet1'!$L$16"}</definedName>
    <definedName name="__gk2" hidden="1">#REF!</definedName>
    <definedName name="__Goi8" localSheetId="1" hidden="1">{"'Sheet1'!$L$16"}</definedName>
    <definedName name="__Goi8" localSheetId="2" hidden="1">{"'Sheet1'!$L$16"}</definedName>
    <definedName name="__Goi8" localSheetId="8" hidden="1">{"'Sheet1'!$L$16"}</definedName>
    <definedName name="__Goi8" hidden="1">{"'Sheet1'!$L$16"}</definedName>
    <definedName name="__Goi8_1" localSheetId="1" hidden="1">{"'Sheet1'!$L$16"}</definedName>
    <definedName name="__Goi8_1" localSheetId="2" hidden="1">{"'Sheet1'!$L$16"}</definedName>
    <definedName name="__Goi8_1" localSheetId="8" hidden="1">{"'Sheet1'!$L$16"}</definedName>
    <definedName name="__Goi8_1" hidden="1">{"'Sheet1'!$L$16"}</definedName>
    <definedName name="__h1" localSheetId="1" hidden="1">{"'Sheet1'!$L$16"}</definedName>
    <definedName name="__h1" localSheetId="2" hidden="1">{"'Sheet1'!$L$16"}</definedName>
    <definedName name="__h1" localSheetId="8" hidden="1">{"'Sheet1'!$L$16"}</definedName>
    <definedName name="__h1" hidden="1">{"'Sheet1'!$L$16"}</definedName>
    <definedName name="__h12" localSheetId="1" hidden="1">{"'Sheet1'!$L$16"}</definedName>
    <definedName name="__h12" localSheetId="2" hidden="1">{"'Sheet1'!$L$16"}</definedName>
    <definedName name="__h12" localSheetId="8" hidden="1">{"'Sheet1'!$L$16"}</definedName>
    <definedName name="__h12" hidden="1">{"'Sheet1'!$L$16"}</definedName>
    <definedName name="__h14" localSheetId="1" hidden="1">{"'Sheet1'!$L$16"}</definedName>
    <definedName name="__h14" localSheetId="2" hidden="1">{"'Sheet1'!$L$16"}</definedName>
    <definedName name="__h14" localSheetId="8" hidden="1">{"'Sheet1'!$L$16"}</definedName>
    <definedName name="__h14" hidden="1">{"'Sheet1'!$L$16"}</definedName>
    <definedName name="__hh1219" localSheetId="1" hidden="1">{"'Sheet1'!$L$16"}</definedName>
    <definedName name="__hh1219" localSheetId="2" hidden="1">{"'Sheet1'!$L$16"}</definedName>
    <definedName name="__hh1219" localSheetId="8" hidden="1">{"'Sheet1'!$L$16"}</definedName>
    <definedName name="__hh1219" hidden="1">{"'Sheet1'!$L$16"}</definedName>
    <definedName name="__hu1" localSheetId="1" hidden="1">{"'Sheet1'!$L$16"}</definedName>
    <definedName name="__hu1" localSheetId="2" hidden="1">{"'Sheet1'!$L$16"}</definedName>
    <definedName name="__hu1" localSheetId="8" hidden="1">{"'Sheet1'!$L$16"}</definedName>
    <definedName name="__hu1" hidden="1">{"'Sheet1'!$L$16"}</definedName>
    <definedName name="__hu2" localSheetId="1" hidden="1">{"'Sheet1'!$L$16"}</definedName>
    <definedName name="__hu2" localSheetId="2" hidden="1">{"'Sheet1'!$L$16"}</definedName>
    <definedName name="__hu2" localSheetId="8" hidden="1">{"'Sheet1'!$L$16"}</definedName>
    <definedName name="__hu2" hidden="1">{"'Sheet1'!$L$16"}</definedName>
    <definedName name="__hu5" localSheetId="1" hidden="1">{"'Sheet1'!$L$16"}</definedName>
    <definedName name="__hu5" localSheetId="2" hidden="1">{"'Sheet1'!$L$16"}</definedName>
    <definedName name="__hu5" localSheetId="8" hidden="1">{"'Sheet1'!$L$16"}</definedName>
    <definedName name="__hu5" hidden="1">{"'Sheet1'!$L$16"}</definedName>
    <definedName name="__hu6" localSheetId="1" hidden="1">{"'Sheet1'!$L$16"}</definedName>
    <definedName name="__hu6" localSheetId="2" hidden="1">{"'Sheet1'!$L$16"}</definedName>
    <definedName name="__hu6" localSheetId="8" hidden="1">{"'Sheet1'!$L$16"}</definedName>
    <definedName name="__hu6" hidden="1">{"'Sheet1'!$L$16"}</definedName>
    <definedName name="__hu7" localSheetId="1" hidden="1">{"'Sheet1'!$L$16"}</definedName>
    <definedName name="__hu7" localSheetId="2" hidden="1">{"'Sheet1'!$L$16"}</definedName>
    <definedName name="__hu7" localSheetId="8" hidden="1">{"'Sheet1'!$L$16"}</definedName>
    <definedName name="__hu7" hidden="1">{"'Sheet1'!$L$16"}</definedName>
    <definedName name="__huy1" localSheetId="1" hidden="1">{"'Sheet1'!$L$16"}</definedName>
    <definedName name="__huy1" localSheetId="2" hidden="1">{"'Sheet1'!$L$16"}</definedName>
    <definedName name="__huy1" localSheetId="8" hidden="1">{"'Sheet1'!$L$16"}</definedName>
    <definedName name="__huy1" hidden="1">{"'Sheet1'!$L$16"}</definedName>
    <definedName name="__huy2" localSheetId="1" hidden="1">{"'Sheet1'!$L$16"}</definedName>
    <definedName name="__huy2" localSheetId="2" hidden="1">{"'Sheet1'!$L$16"}</definedName>
    <definedName name="__huy2" localSheetId="8" hidden="1">{"'Sheet1'!$L$16"}</definedName>
    <definedName name="__huy2" hidden="1">{"'Sheet1'!$L$16"}</definedName>
    <definedName name="__IntlFixup" hidden="1">TRUE</definedName>
    <definedName name="__K146" localSheetId="1" hidden="1">{"'Sheet1'!$L$16"}</definedName>
    <definedName name="__K146" localSheetId="2" hidden="1">{"'Sheet1'!$L$16"}</definedName>
    <definedName name="__K146" localSheetId="8" hidden="1">{"'Sheet1'!$L$16"}</definedName>
    <definedName name="__K146" hidden="1">{"'Sheet1'!$L$16"}</definedName>
    <definedName name="__key1" localSheetId="1" hidden="1">#REF!</definedName>
    <definedName name="__key1" hidden="1">#REF!</definedName>
    <definedName name="__key2" localSheetId="1" hidden="1">#REF!</definedName>
    <definedName name="__key2" hidden="1">#REF!</definedName>
    <definedName name="__khq3" localSheetId="1" hidden="1">{"'Sheet1'!$L$16"}</definedName>
    <definedName name="__khq3" localSheetId="2" hidden="1">{"'Sheet1'!$L$16"}</definedName>
    <definedName name="__khq3" localSheetId="8" hidden="1">{"'Sheet1'!$L$16"}</definedName>
    <definedName name="__khq3" hidden="1">{"'Sheet1'!$L$16"}</definedName>
    <definedName name="__Lan1" localSheetId="1" hidden="1">{"'Sheet1'!$L$16"}</definedName>
    <definedName name="__Lan1" localSheetId="2" hidden="1">{"'Sheet1'!$L$16"}</definedName>
    <definedName name="__Lan1" localSheetId="8" hidden="1">{"'Sheet1'!$L$16"}</definedName>
    <definedName name="__Lan1" hidden="1">{"'Sheet1'!$L$16"}</definedName>
    <definedName name="__Lan2" localSheetId="1" hidden="1">{"'Sheet1'!$L$16"}</definedName>
    <definedName name="__Lan2" localSheetId="2" hidden="1">{"'Sheet1'!$L$16"}</definedName>
    <definedName name="__Lan2" localSheetId="8" hidden="1">{"'Sheet1'!$L$16"}</definedName>
    <definedName name="__Lan2" hidden="1">{"'Sheet1'!$L$16"}</definedName>
    <definedName name="__LAN3" localSheetId="1" hidden="1">{"'Sheet1'!$L$16"}</definedName>
    <definedName name="__LAN3" localSheetId="2" hidden="1">{"'Sheet1'!$L$16"}</definedName>
    <definedName name="__LAN3" localSheetId="8" hidden="1">{"'Sheet1'!$L$16"}</definedName>
    <definedName name="__LAN3" hidden="1">{"'Sheet1'!$L$16"}</definedName>
    <definedName name="__lao2" localSheetId="1" hidden="1">{"'Sheet1'!$L$16"}</definedName>
    <definedName name="__lao2" localSheetId="2" hidden="1">{"'Sheet1'!$L$16"}</definedName>
    <definedName name="__lao2" localSheetId="8" hidden="1">{"'Sheet1'!$L$16"}</definedName>
    <definedName name="__lao2" hidden="1">{"'Sheet1'!$L$16"}</definedName>
    <definedName name="__ld2" localSheetId="1" hidden="1">{"'Sheet1'!$L$16"}</definedName>
    <definedName name="__ld2" localSheetId="2" hidden="1">{"'Sheet1'!$L$16"}</definedName>
    <definedName name="__ld2" localSheetId="8" hidden="1">{"'Sheet1'!$L$16"}</definedName>
    <definedName name="__ld2" hidden="1">{"'Sheet1'!$L$16"}</definedName>
    <definedName name="__lk2" localSheetId="1" hidden="1">{"'Sheet1'!$L$16"}</definedName>
    <definedName name="__lk2" localSheetId="2" hidden="1">{"'Sheet1'!$L$16"}</definedName>
    <definedName name="__lk2" localSheetId="8" hidden="1">{"'Sheet1'!$L$16"}</definedName>
    <definedName name="__lk2" hidden="1">{"'Sheet1'!$L$16"}</definedName>
    <definedName name="__lop111" localSheetId="1" hidden="1">{#N/A,#N/A,FALSE,"特殊室（ＢＱ表）"}</definedName>
    <definedName name="__lop111" localSheetId="2" hidden="1">{#N/A,#N/A,FALSE,"特殊室（ＢＱ表）"}</definedName>
    <definedName name="__lop111" localSheetId="8" hidden="1">{#N/A,#N/A,FALSE,"特殊室（ＢＱ表）"}</definedName>
    <definedName name="__lop111" hidden="1">{#N/A,#N/A,FALSE,"特殊室（ＢＱ表）"}</definedName>
    <definedName name="__M2" localSheetId="1" hidden="1">{"'Sheet1'!$L$16"}</definedName>
    <definedName name="__M2" localSheetId="2" hidden="1">{"'Sheet1'!$L$16"}</definedName>
    <definedName name="__M2" localSheetId="8" hidden="1">{"'Sheet1'!$L$16"}</definedName>
    <definedName name="__M2" hidden="1">{"'Sheet1'!$L$16"}</definedName>
    <definedName name="__M36" localSheetId="1" hidden="1">{"'Sheet1'!$L$16"}</definedName>
    <definedName name="__M36" localSheetId="2" hidden="1">{"'Sheet1'!$L$16"}</definedName>
    <definedName name="__M36" localSheetId="8" hidden="1">{"'Sheet1'!$L$16"}</definedName>
    <definedName name="__M36" hidden="1">{"'Sheet1'!$L$16"}</definedName>
    <definedName name="__m4" localSheetId="1" hidden="1">{"'Sheet1'!$L$16"}</definedName>
    <definedName name="__m4" localSheetId="2" hidden="1">{"'Sheet1'!$L$16"}</definedName>
    <definedName name="__m4" localSheetId="8" hidden="1">{"'Sheet1'!$L$16"}</definedName>
    <definedName name="__m4" hidden="1">{"'Sheet1'!$L$16"}</definedName>
    <definedName name="__MCC3" localSheetId="1" hidden="1">{#N/A,#N/A,FALSE,"CCTV"}</definedName>
    <definedName name="__MCC3" localSheetId="2" hidden="1">{#N/A,#N/A,FALSE,"CCTV"}</definedName>
    <definedName name="__MCC3" localSheetId="8" hidden="1">{#N/A,#N/A,FALSE,"CCTV"}</definedName>
    <definedName name="__MCC3" hidden="1">{#N/A,#N/A,FALSE,"CCTV"}</definedName>
    <definedName name="__nam1" localSheetId="1" hidden="1">{"'Sheet1'!$L$16"}</definedName>
    <definedName name="__nam1" localSheetId="2" hidden="1">{"'Sheet1'!$L$16"}</definedName>
    <definedName name="__nam1" localSheetId="8" hidden="1">{"'Sheet1'!$L$16"}</definedName>
    <definedName name="__nam1" hidden="1">{"'Sheet1'!$L$16"}</definedName>
    <definedName name="__NAM11" localSheetId="1" hidden="1">{#N/A,#N/A,FALSE,"Chi tiÆt"}</definedName>
    <definedName name="__NAM11" localSheetId="2" hidden="1">{#N/A,#N/A,FALSE,"Chi tiÆt"}</definedName>
    <definedName name="__NAM11" localSheetId="8" hidden="1">{#N/A,#N/A,FALSE,"Chi tiÆt"}</definedName>
    <definedName name="__NAM11" hidden="1">{#N/A,#N/A,FALSE,"Chi tiÆt"}</definedName>
    <definedName name="__NO1" localSheetId="1" hidden="1">#REF!</definedName>
    <definedName name="__NO1" hidden="1">#REF!</definedName>
    <definedName name="__NO2" localSheetId="1" hidden="1">#REF!</definedName>
    <definedName name="__NO2" hidden="1">#REF!</definedName>
    <definedName name="__nso1" localSheetId="1" hidden="1">{"'Sheet1'!$L$16"}</definedName>
    <definedName name="__nso1" localSheetId="2" hidden="1">{"'Sheet1'!$L$16"}</definedName>
    <definedName name="__nso1" localSheetId="8" hidden="1">{"'Sheet1'!$L$16"}</definedName>
    <definedName name="__nso1" hidden="1">{"'Sheet1'!$L$16"}</definedName>
    <definedName name="__NSO2" localSheetId="1" hidden="1">{"'Sheet1'!$L$16"}</definedName>
    <definedName name="__NSO2" localSheetId="2" hidden="1">{"'Sheet1'!$L$16"}</definedName>
    <definedName name="__NSO2" localSheetId="8" hidden="1">{"'Sheet1'!$L$16"}</definedName>
    <definedName name="__NSO2" hidden="1">{"'Sheet1'!$L$16"}</definedName>
    <definedName name="__ngk1109" localSheetId="1" hidden="1">{#N/A,#N/A,FALSE,"估價單  (3)"}</definedName>
    <definedName name="__ngk1109" localSheetId="2" hidden="1">{#N/A,#N/A,FALSE,"估價單  (3)"}</definedName>
    <definedName name="__ngk1109" localSheetId="8" hidden="1">{#N/A,#N/A,FALSE,"估價單  (3)"}</definedName>
    <definedName name="__ngk1109" hidden="1">{#N/A,#N/A,FALSE,"估價單  (3)"}</definedName>
    <definedName name="__P3" localSheetId="1" hidden="1">{#N/A,#N/A,FALSE,"特殊室（ＢＱ表）"}</definedName>
    <definedName name="__P3" localSheetId="2" hidden="1">{#N/A,#N/A,FALSE,"特殊室（ＢＱ表）"}</definedName>
    <definedName name="__P3" localSheetId="8" hidden="1">{#N/A,#N/A,FALSE,"特殊室（ＢＱ表）"}</definedName>
    <definedName name="__P3" hidden="1">{#N/A,#N/A,FALSE,"特殊室（ＢＱ表）"}</definedName>
    <definedName name="__pa22" localSheetId="1" hidden="1">{"'ROOF'!$B$6","'ROOF'!$B$6","'ROOF'!$B$6","'ROOF'!$B$6"}</definedName>
    <definedName name="__pa22" localSheetId="2" hidden="1">{"'ROOF'!$B$6","'ROOF'!$B$6","'ROOF'!$B$6","'ROOF'!$B$6"}</definedName>
    <definedName name="__pa22" localSheetId="8" hidden="1">{"'ROOF'!$B$6","'ROOF'!$B$6","'ROOF'!$B$6","'ROOF'!$B$6"}</definedName>
    <definedName name="__pa22" hidden="1">{"'ROOF'!$B$6","'ROOF'!$B$6","'ROOF'!$B$6","'ROOF'!$B$6"}</definedName>
    <definedName name="__PA3" localSheetId="1" hidden="1">{"'Sheet1'!$L$16"}</definedName>
    <definedName name="__PA3" localSheetId="2" hidden="1">{"'Sheet1'!$L$16"}</definedName>
    <definedName name="__PA3" localSheetId="8" hidden="1">{"'Sheet1'!$L$16"}</definedName>
    <definedName name="__PA3" hidden="1">{"'Sheet1'!$L$16"}</definedName>
    <definedName name="__pc120">#REF!</definedName>
    <definedName name="__pc200">#REF!</definedName>
    <definedName name="__pc300">#REF!</definedName>
    <definedName name="__PK2" localSheetId="1" hidden="1">{"'장비'!$A$3:$M$12"}</definedName>
    <definedName name="__PK2" localSheetId="2" hidden="1">{"'장비'!$A$3:$M$12"}</definedName>
    <definedName name="__PK2" localSheetId="8" hidden="1">{"'장비'!$A$3:$M$12"}</definedName>
    <definedName name="__PK2" hidden="1">{"'장비'!$A$3:$M$12"}</definedName>
    <definedName name="__PKG3" localSheetId="1" hidden="1">{"'장비'!$A$3:$M$12"}</definedName>
    <definedName name="__PKG3" localSheetId="2" hidden="1">{"'장비'!$A$3:$M$12"}</definedName>
    <definedName name="__PKG3" localSheetId="8" hidden="1">{"'장비'!$A$3:$M$12"}</definedName>
    <definedName name="__PKG3" hidden="1">{"'장비'!$A$3:$M$12"}</definedName>
    <definedName name="__PPP3" localSheetId="1" hidden="1">{#N/A,#N/A,FALSE,"特殊室（ＢＱ表）"}</definedName>
    <definedName name="__PPP3" localSheetId="2" hidden="1">{#N/A,#N/A,FALSE,"特殊室（ＢＱ表）"}</definedName>
    <definedName name="__PPP3" localSheetId="8" hidden="1">{#N/A,#N/A,FALSE,"特殊室（ＢＱ表）"}</definedName>
    <definedName name="__PPP3" hidden="1">{#N/A,#N/A,FALSE,"特殊室（ＢＱ表）"}</definedName>
    <definedName name="__PPP33" localSheetId="1" hidden="1">{#N/A,#N/A,FALSE,"特殊室（ＢＱ表）"}</definedName>
    <definedName name="__PPP33" localSheetId="2" hidden="1">{#N/A,#N/A,FALSE,"特殊室（ＢＱ表）"}</definedName>
    <definedName name="__PPP33" localSheetId="8" hidden="1">{#N/A,#N/A,FALSE,"特殊室（ＢＱ表）"}</definedName>
    <definedName name="__PPP33" hidden="1">{#N/A,#N/A,FALSE,"特殊室（ＢＱ表）"}</definedName>
    <definedName name="__ppp34" localSheetId="1" hidden="1">{#N/A,#N/A,FALSE,"特殊室（ＢＱ表）"}</definedName>
    <definedName name="__ppp34" localSheetId="2" hidden="1">{#N/A,#N/A,FALSE,"特殊室（ＢＱ表）"}</definedName>
    <definedName name="__ppp34" localSheetId="8" hidden="1">{#N/A,#N/A,FALSE,"特殊室（ＢＱ表）"}</definedName>
    <definedName name="__ppp34" hidden="1">{#N/A,#N/A,FALSE,"特殊室（ＢＱ表）"}</definedName>
    <definedName name="__ppp3444" localSheetId="1" hidden="1">{#N/A,#N/A,FALSE,"特殊室（ＢＱ表）"}</definedName>
    <definedName name="__ppp3444" localSheetId="2" hidden="1">{#N/A,#N/A,FALSE,"特殊室（ＢＱ表）"}</definedName>
    <definedName name="__ppp3444" localSheetId="8" hidden="1">{#N/A,#N/A,FALSE,"特殊室（ＢＱ表）"}</definedName>
    <definedName name="__ppp3444" hidden="1">{#N/A,#N/A,FALSE,"特殊室（ＢＱ表）"}</definedName>
    <definedName name="__pvc2">#REF!</definedName>
    <definedName name="__pvc3">#REF!</definedName>
    <definedName name="__pvc4">#REF!</definedName>
    <definedName name="__phu3" localSheetId="1" hidden="1">{"'Sheet1'!$L$16"}</definedName>
    <definedName name="__phu3" localSheetId="2" hidden="1">{"'Sheet1'!$L$16"}</definedName>
    <definedName name="__phu3" localSheetId="8" hidden="1">{"'Sheet1'!$L$16"}</definedName>
    <definedName name="__phu3" hidden="1">{"'Sheet1'!$L$16"}</definedName>
    <definedName name="__qqq222" localSheetId="1" hidden="1">{"'장비'!$A$3:$M$12"}</definedName>
    <definedName name="__qqq222" localSheetId="2" hidden="1">{"'장비'!$A$3:$M$12"}</definedName>
    <definedName name="__qqq222" localSheetId="8" hidden="1">{"'장비'!$A$3:$M$12"}</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localSheetId="1" hidden="1">{"'Sheet1'!$L$16"}</definedName>
    <definedName name="__Rh90" localSheetId="2" hidden="1">{"'Sheet1'!$L$16"}</definedName>
    <definedName name="__Rh90" localSheetId="8" hidden="1">{"'Sheet1'!$L$16"}</definedName>
    <definedName name="__Rh90" hidden="1">{"'Sheet1'!$L$16"}</definedName>
    <definedName name="__SCL4" localSheetId="1" hidden="1">{"'Sheet1'!$L$16"}</definedName>
    <definedName name="__SCL4" localSheetId="2" hidden="1">{"'Sheet1'!$L$16"}</definedName>
    <definedName name="__SCL4" localSheetId="8" hidden="1">{"'Sheet1'!$L$16"}</definedName>
    <definedName name="__SCL4" hidden="1">{"'Sheet1'!$L$16"}</definedName>
    <definedName name="__SCL4_1" localSheetId="1" hidden="1">{"'Sheet1'!$L$16"}</definedName>
    <definedName name="__SCL4_1" localSheetId="2" hidden="1">{"'Sheet1'!$L$16"}</definedName>
    <definedName name="__SCL4_1" localSheetId="8" hidden="1">{"'Sheet1'!$L$16"}</definedName>
    <definedName name="__SCL4_1" hidden="1">{"'Sheet1'!$L$16"}</definedName>
    <definedName name="__SHI1" localSheetId="1" hidden="1">{"'Sheet1'!$L$16"}</definedName>
    <definedName name="__SHI1" localSheetId="2" hidden="1">{"'Sheet1'!$L$16"}</definedName>
    <definedName name="__SHI1" localSheetId="8" hidden="1">{"'Sheet1'!$L$16"}</definedName>
    <definedName name="__SHI1" hidden="1">{"'Sheet1'!$L$16"}</definedName>
    <definedName name="__sum1" hidden="1">#REF!</definedName>
    <definedName name="__sxt5" localSheetId="1" hidden="1">{"'Sheet1'!$L$16"}</definedName>
    <definedName name="__sxt5" localSheetId="2" hidden="1">{"'Sheet1'!$L$16"}</definedName>
    <definedName name="__sxt5" localSheetId="8" hidden="1">{"'Sheet1'!$L$16"}</definedName>
    <definedName name="__sxt5" hidden="1">{"'Sheet1'!$L$16"}</definedName>
    <definedName name="__t1" localSheetId="1" hidden="1">{"'Sheet1'!$L$16"}</definedName>
    <definedName name="__t1" localSheetId="2" hidden="1">{"'Sheet1'!$L$16"}</definedName>
    <definedName name="__t1" localSheetId="8" hidden="1">{"'Sheet1'!$L$16"}</definedName>
    <definedName name="__t1" hidden="1">{"'Sheet1'!$L$16"}</definedName>
    <definedName name="__T10" localSheetId="1" hidden="1">{"'Sheet1'!$L$16"}</definedName>
    <definedName name="__T10" localSheetId="2" hidden="1">{"'Sheet1'!$L$16"}</definedName>
    <definedName name="__T10" localSheetId="8" hidden="1">{"'Sheet1'!$L$16"}</definedName>
    <definedName name="__T10" hidden="1">{"'Sheet1'!$L$16"}</definedName>
    <definedName name="__t2" localSheetId="1" hidden="1">{"'Sheet1'!$L$16"}</definedName>
    <definedName name="__t2" localSheetId="2" hidden="1">{"'Sheet1'!$L$16"}</definedName>
    <definedName name="__t2" localSheetId="8" hidden="1">{"'Sheet1'!$L$16"}</definedName>
    <definedName name="__t2" hidden="1">{"'Sheet1'!$L$16"}</definedName>
    <definedName name="__T3" localSheetId="1" hidden="1">{"'Sheet1'!$L$16"}</definedName>
    <definedName name="__T3" localSheetId="2" hidden="1">{"'Sheet1'!$L$16"}</definedName>
    <definedName name="__T3" localSheetId="8" hidden="1">{"'Sheet1'!$L$16"}</definedName>
    <definedName name="__T3" hidden="1">{"'Sheet1'!$L$16"}</definedName>
    <definedName name="__T4" localSheetId="1" hidden="1">{"'Sheet1'!$L$16"}</definedName>
    <definedName name="__T4" localSheetId="2" hidden="1">{"'Sheet1'!$L$16"}</definedName>
    <definedName name="__T4" localSheetId="8" hidden="1">{"'Sheet1'!$L$16"}</definedName>
    <definedName name="__T4" hidden="1">{"'Sheet1'!$L$16"}</definedName>
    <definedName name="__t5" localSheetId="1" hidden="1">{"'Sheet1'!$L$16"}</definedName>
    <definedName name="__t5" localSheetId="2" hidden="1">{"'Sheet1'!$L$16"}</definedName>
    <definedName name="__t5" localSheetId="8" hidden="1">{"'Sheet1'!$L$16"}</definedName>
    <definedName name="__t5" hidden="1">{"'Sheet1'!$L$16"}</definedName>
    <definedName name="__T9" localSheetId="1" hidden="1">{#N/A,#N/A,FALSE,"Chi tiÆt"}</definedName>
    <definedName name="__T9" localSheetId="2" hidden="1">{#N/A,#N/A,FALSE,"Chi tiÆt"}</definedName>
    <definedName name="__T9" localSheetId="8" hidden="1">{#N/A,#N/A,FALSE,"Chi tiÆt"}</definedName>
    <definedName name="__T9" hidden="1">{#N/A,#N/A,FALSE,"Chi tiÆt"}</definedName>
    <definedName name="__TB1">#REF!</definedName>
    <definedName name="__TM2" localSheetId="1" hidden="1">{"'Sheet1'!$L$16"}</definedName>
    <definedName name="__TM2" localSheetId="2" hidden="1">{"'Sheet1'!$L$16"}</definedName>
    <definedName name="__TM2" localSheetId="8" hidden="1">{"'Sheet1'!$L$16"}</definedName>
    <definedName name="__TM2" hidden="1">{"'Sheet1'!$L$16"}</definedName>
    <definedName name="__TT04" hidden="1">#REF!</definedName>
    <definedName name="__tt3" localSheetId="1" hidden="1">{"'Sheet1'!$L$16"}</definedName>
    <definedName name="__tt3" localSheetId="2" hidden="1">{"'Sheet1'!$L$16"}</definedName>
    <definedName name="__tt3" localSheetId="8" hidden="1">{"'Sheet1'!$L$16"}</definedName>
    <definedName name="__tt3" hidden="1">{"'Sheet1'!$L$16"}</definedName>
    <definedName name="__TT31" localSheetId="1" hidden="1">{"'Sheet1'!$L$16"}</definedName>
    <definedName name="__TT31" localSheetId="2" hidden="1">{"'Sheet1'!$L$16"}</definedName>
    <definedName name="__TT31" localSheetId="8" hidden="1">{"'Sheet1'!$L$16"}</definedName>
    <definedName name="__TT31" hidden="1">{"'Sheet1'!$L$16"}</definedName>
    <definedName name="__TT623" localSheetId="1" hidden="1">{"'Sheet1'!$L$16"}</definedName>
    <definedName name="__TT623" localSheetId="2" hidden="1">{"'Sheet1'!$L$16"}</definedName>
    <definedName name="__TT623" localSheetId="8" hidden="1">{"'Sheet1'!$L$16"}</definedName>
    <definedName name="__TT623" hidden="1">{"'Sheet1'!$L$16"}</definedName>
    <definedName name="__ttt1" localSheetId="1" hidden="1">{"'Sheet1'!$L$16"}</definedName>
    <definedName name="__ttt1" localSheetId="2" hidden="1">{"'Sheet1'!$L$16"}</definedName>
    <definedName name="__ttt1" localSheetId="8" hidden="1">{"'Sheet1'!$L$16"}</definedName>
    <definedName name="__ttt1" hidden="1">{"'Sheet1'!$L$16"}</definedName>
    <definedName name="__tu4" localSheetId="1" hidden="1">{"'Sheet1'!$L$16"}</definedName>
    <definedName name="__tu4" localSheetId="2" hidden="1">{"'Sheet1'!$L$16"}</definedName>
    <definedName name="__tu4" localSheetId="8" hidden="1">{"'Sheet1'!$L$16"}</definedName>
    <definedName name="__tu4" hidden="1">{"'Sheet1'!$L$16"}</definedName>
    <definedName name="__TV2" localSheetId="1" hidden="1">{"'Sheet1'!$L$16"}</definedName>
    <definedName name="__TV2" localSheetId="2" hidden="1">{"'Sheet1'!$L$16"}</definedName>
    <definedName name="__TV2" localSheetId="8" hidden="1">{"'Sheet1'!$L$16"}</definedName>
    <definedName name="__TV2" hidden="1">{"'Sheet1'!$L$16"}</definedName>
    <definedName name="__TH1" localSheetId="1" hidden="1">{"'Sheet1'!$L$16"}</definedName>
    <definedName name="__TH1" localSheetId="2" hidden="1">{"'Sheet1'!$L$16"}</definedName>
    <definedName name="__TH1" localSheetId="8" hidden="1">{"'Sheet1'!$L$16"}</definedName>
    <definedName name="__TH1" hidden="1">{"'Sheet1'!$L$16"}</definedName>
    <definedName name="__THT11" localSheetId="1" hidden="1">{"'Sheet1'!$L$16"}</definedName>
    <definedName name="__THT11" localSheetId="2" hidden="1">{"'Sheet1'!$L$16"}</definedName>
    <definedName name="__THT11" localSheetId="8" hidden="1">{"'Sheet1'!$L$16"}</definedName>
    <definedName name="__THT11" hidden="1">{"'Sheet1'!$L$16"}</definedName>
    <definedName name="__UI33" localSheetId="1" hidden="1">{"'Sheet1'!$L$16"}</definedName>
    <definedName name="__UI33" localSheetId="2" hidden="1">{"'Sheet1'!$L$16"}</definedName>
    <definedName name="__UI33" localSheetId="8" hidden="1">{"'Sheet1'!$L$16"}</definedName>
    <definedName name="__UI33" hidden="1">{"'Sheet1'!$L$16"}</definedName>
    <definedName name="__vpt5" localSheetId="1" hidden="1">{"'Sheet1'!$L$16"}</definedName>
    <definedName name="__vpt5" localSheetId="2" hidden="1">{"'Sheet1'!$L$16"}</definedName>
    <definedName name="__vpt5" localSheetId="8" hidden="1">{"'Sheet1'!$L$16"}</definedName>
    <definedName name="__vpt5" hidden="1">{"'Sheet1'!$L$16"}</definedName>
    <definedName name="__vpt6" localSheetId="1" hidden="1">{"'Sheet1'!$L$16"}</definedName>
    <definedName name="__vpt6" localSheetId="2" hidden="1">{"'Sheet1'!$L$16"}</definedName>
    <definedName name="__vpt6" localSheetId="8" hidden="1">{"'Sheet1'!$L$16"}</definedName>
    <definedName name="__vpt6" hidden="1">{"'Sheet1'!$L$16"}</definedName>
    <definedName name="__VT3" localSheetId="1" hidden="1">{"'Sheet1'!$L$16"}</definedName>
    <definedName name="__VT3" localSheetId="2" hidden="1">{"'Sheet1'!$L$16"}</definedName>
    <definedName name="__VT3" localSheetId="8" hidden="1">{"'Sheet1'!$L$16"}</definedName>
    <definedName name="__VT3" hidden="1">{"'Sheet1'!$L$16"}</definedName>
    <definedName name="__VT675" localSheetId="1" hidden="1">{"Offgrid",#N/A,FALSE,"OFFGRID";"Region",#N/A,FALSE,"REGION";"Offgrid -2",#N/A,FALSE,"OFFGRID";"WTP",#N/A,FALSE,"WTP";"WTP -2",#N/A,FALSE,"WTP";"Project",#N/A,FALSE,"PROJECT";"Summary -2",#N/A,FALSE,"SUMMARY"}</definedName>
    <definedName name="__VT675" localSheetId="2" hidden="1">{"Offgrid",#N/A,FALSE,"OFFGRID";"Region",#N/A,FALSE,"REGION";"Offgrid -2",#N/A,FALSE,"OFFGRID";"WTP",#N/A,FALSE,"WTP";"WTP -2",#N/A,FALSE,"WTP";"Project",#N/A,FALSE,"PROJECT";"Summary -2",#N/A,FALSE,"SUMMARY"}</definedName>
    <definedName name="__VT675" localSheetId="8" hidden="1">{"Offgrid",#N/A,FALSE,"OFFGRID";"Region",#N/A,FALSE,"REGION";"Offgrid -2",#N/A,FALSE,"OFFGRID";"WTP",#N/A,FALSE,"WTP";"WTP -2",#N/A,FALSE,"WTP";"Project",#N/A,FALSE,"PROJECT";"Summary -2",#N/A,FALSE,"SUMMARY"}</definedName>
    <definedName name="__VT675" hidden="1">{"Offgrid",#N/A,FALSE,"OFFGRID";"Region",#N/A,FALSE,"REGION";"Offgrid -2",#N/A,FALSE,"OFFGRID";"WTP",#N/A,FALSE,"WTP";"WTP -2",#N/A,FALSE,"WTP";"Project",#N/A,FALSE,"PROJECT";"Summary -2",#N/A,FALSE,"SUMMARY"}</definedName>
    <definedName name="__VT676" localSheetId="1"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6" localSheetId="8"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localSheetId="1"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7" localSheetId="8"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localSheetId="1"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8" localSheetId="8"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localSheetId="1"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VT679" localSheetId="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localSheetId="1" hidden="1">{#N/A,#N/A,FALSE,"mgtsum.XLS";#N/A,#N/A,FALSE,"CAPONE";#N/A,#N/A,FALSE,"CAPTWO";#N/A,#N/A,FALSE,"CAPTHREE"}</definedName>
    <definedName name="__WRN2.P854._.addendum." localSheetId="2" hidden="1">{#N/A,#N/A,FALSE,"mgtsum.XLS";#N/A,#N/A,FALSE,"CAPONE";#N/A,#N/A,FALSE,"CAPTWO";#N/A,#N/A,FALSE,"CAPTHREE"}</definedName>
    <definedName name="__WRN2.P854._.addendum." localSheetId="8" hidden="1">{#N/A,#N/A,FALSE,"mgtsum.XLS";#N/A,#N/A,FALSE,"CAPONE";#N/A,#N/A,FALSE,"CAPTWO";#N/A,#N/A,FALSE,"CAPTHREE"}</definedName>
    <definedName name="__WRN2.P854._.addendum." hidden="1">{#N/A,#N/A,FALSE,"mgtsum.XLS";#N/A,#N/A,FALSE,"CAPONE";#N/A,#N/A,FALSE,"CAPTWO";#N/A,#N/A,FALSE,"CAPTHREE"}</definedName>
    <definedName name="__wrn3.p854._.addendum." localSheetId="1" hidden="1">{#N/A,#N/A,FALSE,"mgtsum.XLS";#N/A,#N/A,FALSE,"CAPONE";#N/A,#N/A,FALSE,"CAPTWO";#N/A,#N/A,FALSE,"CAPTHREE"}</definedName>
    <definedName name="__wrn3.p854._.addendum." localSheetId="2" hidden="1">{#N/A,#N/A,FALSE,"mgtsum.XLS";#N/A,#N/A,FALSE,"CAPONE";#N/A,#N/A,FALSE,"CAPTWO";#N/A,#N/A,FALSE,"CAPTHREE"}</definedName>
    <definedName name="__wrn3.p854._.addendum." localSheetId="8"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localSheetId="1" hidden="1">#REF!</definedName>
    <definedName name="_1__123Graph_A????_1" hidden="1">#REF!</definedName>
    <definedName name="_1__123Graph_ACHART_1" hidden="1">#REF!</definedName>
    <definedName name="_1__123Graph_Aｸﾞﾗﾌ_1" localSheetId="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localSheetId="1" hidden="1">#REF!</definedName>
    <definedName name="_10__123Graph_Aｸﾞﾗﾌ_1" hidden="1">#REF!</definedName>
    <definedName name="_10__123Graph_Aｸﾞﾗﾌ_2" localSheetId="1" hidden="1">#REF!</definedName>
    <definedName name="_10__123Graph_Aｸﾞﾗﾌ_2" hidden="1">#REF!</definedName>
    <definedName name="_10__123Graph_Aｸﾞﾗﾌ_3" hidden="1">#REF!</definedName>
    <definedName name="_10__123Graph_Aｸﾞﾗﾌ_4" localSheetId="1" hidden="1">#REF!</definedName>
    <definedName name="_10__123Graph_Aｸﾞﾗﾌ_4" hidden="1">#REF!</definedName>
    <definedName name="_10__123Graph_Aｸﾞﾗﾌ_5" localSheetId="1" hidden="1">#REF!</definedName>
    <definedName name="_10__123Graph_Aｸﾞﾗﾌ_5" hidden="1">#REF!</definedName>
    <definedName name="_10__123Graph_DCHART_1" hidden="1">#REF!</definedName>
    <definedName name="_10__123Graph_Xｸﾞﾗﾌ_1" localSheetId="1" hidden="1">#REF!</definedName>
    <definedName name="_10__123Graph_Xｸﾞﾗﾌ_1" hidden="1">#REF!</definedName>
    <definedName name="_10__123Graph_Xｸﾞﾗﾌ_2" hidden="1">#REF!</definedName>
    <definedName name="_10__123Graph_Xｸﾞﾗﾌ_3" localSheetId="1" hidden="1">#REF!</definedName>
    <definedName name="_10__123Graph_Xｸﾞﾗﾌ_3" hidden="1">#REF!</definedName>
    <definedName name="_10__123Graph_Xｸﾞﾗﾌ_5" localSheetId="1" hidden="1">#REF!</definedName>
    <definedName name="_10__123Graph_Xｸﾞﾗﾌ_5" hidden="1">#REF!</definedName>
    <definedName name="_10_0__123Grap" hidden="1">#REF!</definedName>
    <definedName name="_100__123Graph_Xｸﾞﾗﾌ_3" localSheetId="1" hidden="1">#REF!</definedName>
    <definedName name="_100__123Graph_Xｸﾞﾗﾌ_3" hidden="1">#REF!</definedName>
    <definedName name="_1000A01">#N/A</definedName>
    <definedName name="_103__123Graph_X????_4" localSheetId="1" hidden="1">#REF!</definedName>
    <definedName name="_103__123Graph_X????_4" hidden="1">#REF!</definedName>
    <definedName name="_103__123Graph_Xｸﾞﾗﾌ_5" localSheetId="1" hidden="1">#REF!</definedName>
    <definedName name="_103__123Graph_Xｸﾞﾗﾌ_5" hidden="1">#REF!</definedName>
    <definedName name="_106__123Graph_Xｸﾞﾗﾌ_4" localSheetId="1" hidden="1">#REF!</definedName>
    <definedName name="_106__123Graph_Xｸﾞﾗﾌ_4" hidden="1">#REF!</definedName>
    <definedName name="_108__123Graph_X????_5" localSheetId="1"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localSheetId="1" hidden="1">#REF!</definedName>
    <definedName name="_11__123Graph_Aｸﾞﾗﾌ_2" hidden="1">#REF!</definedName>
    <definedName name="_11__123Graph_Aｸﾞﾗﾌ_3" localSheetId="1" hidden="1">#REF!</definedName>
    <definedName name="_11__123Graph_Aｸﾞﾗﾌ_3" hidden="1">#REF!</definedName>
    <definedName name="_11__123Graph_Aｸﾞﾗﾌ_4" hidden="1">#REF!</definedName>
    <definedName name="_11__123Graph_Aｸﾞﾗﾌ_5" localSheetId="1" hidden="1">#REF!</definedName>
    <definedName name="_11__123Graph_Aｸﾞﾗﾌ_5" hidden="1">#REF!</definedName>
    <definedName name="_11__123Graph_BCHART_1" hidden="1">#REF!</definedName>
    <definedName name="_11__123Graph_X????_1" localSheetId="1" hidden="1">#REF!</definedName>
    <definedName name="_11__123Graph_X????_1" hidden="1">#REF!</definedName>
    <definedName name="_11__123Graph_Xｸﾞﾗﾌ_1" localSheetId="1" hidden="1">#REF!</definedName>
    <definedName name="_11__123Graph_Xｸﾞﾗﾌ_1" hidden="1">#REF!</definedName>
    <definedName name="_11__123Graph_Xｸﾞﾗﾌ_2" localSheetId="1" hidden="1">#REF!</definedName>
    <definedName name="_11__123Graph_Xｸﾞﾗﾌ_2" hidden="1">#REF!</definedName>
    <definedName name="_11__123Graph_Xｸﾞﾗﾌ_3" hidden="1">#REF!</definedName>
    <definedName name="_11__123Graph_Xｸﾞﾗﾌ_4" localSheetId="1" hidden="1">#REF!</definedName>
    <definedName name="_11__123Graph_Xｸﾞﾗﾌ_4" hidden="1">#REF!</definedName>
    <definedName name="_112__123Graph_Xｸﾞﾗﾌ_5" localSheetId="1" hidden="1">#REF!</definedName>
    <definedName name="_112__123Graph_Xｸﾞﾗﾌ_5" hidden="1">#REF!</definedName>
    <definedName name="_116__123Graph_Xｸﾞﾗﾌ_1" localSheetId="1" hidden="1">#REF!</definedName>
    <definedName name="_116__123Graph_Xｸﾞﾗﾌ_1" hidden="1">#REF!</definedName>
    <definedName name="_11P3_" localSheetId="1" hidden="1">{#N/A,#N/A,FALSE,"特殊室（ＢＱ表）"}</definedName>
    <definedName name="_11P3_" localSheetId="2" hidden="1">{#N/A,#N/A,FALSE,"特殊室（ＢＱ表）"}</definedName>
    <definedName name="_11P3_" localSheetId="8" hidden="1">{#N/A,#N/A,FALSE,"特殊室（ＢＱ表）"}</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localSheetId="1" hidden="1">#REF!</definedName>
    <definedName name="_12__123Graph_A????_2" hidden="1">#REF!</definedName>
    <definedName name="_12__123Graph_A????_3" hidden="1">#REF!</definedName>
    <definedName name="_12__123Graph_Aｸﾞﾗﾌ_3" localSheetId="1" hidden="1">#REF!</definedName>
    <definedName name="_12__123Graph_Aｸﾞﾗﾌ_3" hidden="1">#REF!</definedName>
    <definedName name="_12__123Graph_Aｸﾞﾗﾌ_4" localSheetId="1" hidden="1">#REF!</definedName>
    <definedName name="_12__123Graph_Aｸﾞﾗﾌ_4" hidden="1">#REF!</definedName>
    <definedName name="_12__123Graph_Aｸﾞﾗﾌ_5" localSheetId="1" hidden="1">#REF!</definedName>
    <definedName name="_12__123Graph_Aｸﾞﾗﾌ_5" hidden="1">#REF!</definedName>
    <definedName name="_12__123Graph_BCHART_1" hidden="1">#REF!</definedName>
    <definedName name="_12__123Graph_X????_2" localSheetId="1" hidden="1">#REF!</definedName>
    <definedName name="_12__123Graph_X????_2" hidden="1">#REF!</definedName>
    <definedName name="_12__123Graph_Xｸﾞﾗﾌ_1" localSheetId="1" hidden="1">#REF!</definedName>
    <definedName name="_12__123Graph_Xｸﾞﾗﾌ_1" hidden="1">#REF!</definedName>
    <definedName name="_12__123Graph_Xｸﾞﾗﾌ_2" localSheetId="1" hidden="1">#REF!</definedName>
    <definedName name="_12__123Graph_Xｸﾞﾗﾌ_2" hidden="1">#REF!</definedName>
    <definedName name="_12__123Graph_Xｸﾞﾗﾌ_3" localSheetId="1" hidden="1">#REF!</definedName>
    <definedName name="_12__123Graph_Xｸﾞﾗﾌ_3" hidden="1">#REF!</definedName>
    <definedName name="_12__123Graph_Xｸﾞﾗﾌ_4" hidden="1">#REF!</definedName>
    <definedName name="_12__123Graph_Xｸﾞﾗﾌ_5" localSheetId="1" hidden="1">#REF!</definedName>
    <definedName name="_12__123Graph_Xｸﾞﾗﾌ_5" hidden="1">#REF!</definedName>
    <definedName name="_123" hidden="1">#REF!</definedName>
    <definedName name="_123321" localSheetId="1" hidden="1">#REF!</definedName>
    <definedName name="_123321" hidden="1">#REF!</definedName>
    <definedName name="_12345" localSheetId="1" hidden="1">#REF!</definedName>
    <definedName name="_12345" hidden="1">#REF!</definedName>
    <definedName name="_123678" localSheetId="1" hidden="1">#REF!</definedName>
    <definedName name="_123678" hidden="1">#REF!</definedName>
    <definedName name="_123graph_B" hidden="1">#REF!</definedName>
    <definedName name="_123Graph_F" localSheetId="1" hidden="1">#REF!</definedName>
    <definedName name="_123Graph_F" hidden="1">#REF!</definedName>
    <definedName name="_124__123Graph_Xｸﾞﾗﾌ_2" localSheetId="1"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localSheetId="1" hidden="1">#REF!</definedName>
    <definedName name="_13__123Graph_Aｸﾞﾗﾌ_4" hidden="1">#REF!</definedName>
    <definedName name="_13__123Graph_Aｸﾞﾗﾌ_5" localSheetId="1" hidden="1">#REF!</definedName>
    <definedName name="_13__123Graph_Aｸﾞﾗﾌ_5" hidden="1">#REF!</definedName>
    <definedName name="_13__123Graph_X????_3" localSheetId="1" hidden="1">#REF!</definedName>
    <definedName name="_13__123Graph_X????_3" hidden="1">#REF!</definedName>
    <definedName name="_13__123Graph_Xｸﾞﾗﾌ_2" hidden="1">#REF!</definedName>
    <definedName name="_13__123Graph_Xｸﾞﾗﾌ_3" localSheetId="1" hidden="1">#REF!</definedName>
    <definedName name="_13__123Graph_Xｸﾞﾗﾌ_3" hidden="1">#REF!</definedName>
    <definedName name="_13__123Graph_Xｸﾞﾗﾌ_4" localSheetId="1" hidden="1">#REF!</definedName>
    <definedName name="_13__123Graph_Xｸﾞﾗﾌ_4" hidden="1">#REF!</definedName>
    <definedName name="_13__123Graph_Xｸﾞﾗﾌ_5" hidden="1">#REF!</definedName>
    <definedName name="_132__123Graph_Xｸﾞﾗﾌ_3" localSheetId="1"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localSheetId="1" hidden="1">#REF!</definedName>
    <definedName name="_14__123Graph_Aｸﾞﾗﾌ_3" hidden="1">#REF!</definedName>
    <definedName name="_14__123Graph_Aｸﾞﾗﾌ_4" localSheetId="1" hidden="1">#REF!</definedName>
    <definedName name="_14__123Graph_Aｸﾞﾗﾌ_4" hidden="1">#REF!</definedName>
    <definedName name="_14__123Graph_Aｸﾞﾗﾌ_5" localSheetId="1" hidden="1">#REF!</definedName>
    <definedName name="_14__123Graph_Aｸﾞﾗﾌ_5" hidden="1">#REF!</definedName>
    <definedName name="_14__123Graph_X????_1" localSheetId="1" hidden="1">#REF!</definedName>
    <definedName name="_14__123Graph_X????_1" hidden="1">#REF!</definedName>
    <definedName name="_14__123Graph_X????_4" localSheetId="1" hidden="1">#REF!</definedName>
    <definedName name="_14__123Graph_X????_4" hidden="1">#REF!</definedName>
    <definedName name="_14__123Graph_Xｸﾞﾗﾌ_1" localSheetId="1" hidden="1">#REF!</definedName>
    <definedName name="_14__123Graph_Xｸﾞﾗﾌ_1" hidden="1">#REF!</definedName>
    <definedName name="_14__123Graph_Xｸﾞﾗﾌ_2" localSheetId="1" hidden="1">#REF!</definedName>
    <definedName name="_14__123Graph_Xｸﾞﾗﾌ_2" hidden="1">#REF!</definedName>
    <definedName name="_14__123Graph_Xｸﾞﾗﾌ_3" hidden="1">#REF!</definedName>
    <definedName name="_14__123Graph_Xｸﾞﾗﾌ_4" localSheetId="1" hidden="1">#REF!</definedName>
    <definedName name="_14__123Graph_Xｸﾞﾗﾌ_4" hidden="1">#REF!</definedName>
    <definedName name="_14__123Graph_Xｸﾞﾗﾌ_5" localSheetId="1" hidden="1">#REF!</definedName>
    <definedName name="_14__123Graph_Xｸﾞﾗﾌ_5" hidden="1">#REF!</definedName>
    <definedName name="_140__123Graph_Xｸﾞﾗﾌ_4" localSheetId="1" hidden="1">#REF!</definedName>
    <definedName name="_140__123Graph_Xｸﾞﾗﾌ_4" hidden="1">#REF!</definedName>
    <definedName name="_148__123Graph_Xｸﾞﾗﾌ_5" localSheetId="1"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localSheetId="1" hidden="1">#REF!</definedName>
    <definedName name="_15__123Graph_X????_1" hidden="1">#REF!</definedName>
    <definedName name="_15__123Graph_X????_2" localSheetId="1" hidden="1">#REF!</definedName>
    <definedName name="_15__123Graph_X????_2" hidden="1">#REF!</definedName>
    <definedName name="_15__123Graph_X????_5" localSheetId="1" hidden="1">#REF!</definedName>
    <definedName name="_15__123Graph_X????_5" hidden="1">#REF!</definedName>
    <definedName name="_15__123Graph_Xｸﾞﾗﾌ_2" hidden="1">#REF!</definedName>
    <definedName name="_15__123Graph_Xｸﾞﾗﾌ_4" hidden="1">#REF!</definedName>
    <definedName name="_15__123Graph_Xｸﾞﾗﾌ_5" localSheetId="1"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localSheetId="1" hidden="1">#REF!</definedName>
    <definedName name="_16__123Graph_X????_2" hidden="1">#REF!</definedName>
    <definedName name="_16__123Graph_X????_3" localSheetId="1" hidden="1">#REF!</definedName>
    <definedName name="_16__123Graph_X????_3" hidden="1">#REF!</definedName>
    <definedName name="_16__123Graph_Xｸﾞﾗﾌ_1" localSheetId="1" hidden="1">#REF!</definedName>
    <definedName name="_16__123Graph_Xｸﾞﾗﾌ_1" hidden="1">#REF!</definedName>
    <definedName name="_16__123Graph_Xｸﾞﾗﾌ_2" localSheetId="1" hidden="1">#REF!</definedName>
    <definedName name="_16__123Graph_Xｸﾞﾗﾌ_2" hidden="1">#REF!</definedName>
    <definedName name="_16__123Graph_Xｸﾞﾗﾌ_3" localSheetId="1" hidden="1">#REF!</definedName>
    <definedName name="_16__123Graph_Xｸﾞﾗﾌ_3" hidden="1">#REF!</definedName>
    <definedName name="_16__123Graph_Xｸﾞﾗﾌ_5" hidden="1">#REF!</definedName>
    <definedName name="_16fd2_" localSheetId="1" hidden="1">{#N/A,#N/A,TRUE,"Cover Memo";"Complete Sys. Estimate",#N/A,TRUE,"Change Summary";"Complete Sys. Estimate",#N/A,TRUE,"Estimate Summary";"Complete Sys. Estimate",#N/A,TRUE,"Dept. Summary";"Complete Sys. Estimate",#N/A,TRUE,"DOW Detail"}</definedName>
    <definedName name="_16fd2_" localSheetId="2" hidden="1">{#N/A,#N/A,TRUE,"Cover Memo";"Complete Sys. Estimate",#N/A,TRUE,"Change Summary";"Complete Sys. Estimate",#N/A,TRUE,"Estimate Summary";"Complete Sys. Estimate",#N/A,TRUE,"Dept. Summary";"Complete Sys. Estimate",#N/A,TRUE,"DOW Detail"}</definedName>
    <definedName name="_16fd2_" localSheetId="8" hidden="1">{#N/A,#N/A,TRUE,"Cover Memo";"Complete Sys. Estimate",#N/A,TRUE,"Change Summary";"Complete Sys. Estimate",#N/A,TRUE,"Estimate Summary";"Complete Sys. Estimate",#N/A,TRUE,"Dept. Summary";"Complete Sys. Estimate",#N/A,TRUE,"DOW Detail"}</definedName>
    <definedName name="_16fd2_" hidden="1">{#N/A,#N/A,TRUE,"Cover Memo";"Complete Sys. Estimate",#N/A,TRUE,"Change Summary";"Complete Sys. Estimate",#N/A,TRUE,"Estimate Summary";"Complete Sys. Estimate",#N/A,TRUE,"Dept. Summary";"Complete Sys. Estimate",#N/A,TRUE,"DOW Detail"}</definedName>
    <definedName name="_16P3_" localSheetId="1" hidden="1">{#N/A,#N/A,FALSE,"特殊室（ＢＱ表）"}</definedName>
    <definedName name="_16P3_" localSheetId="2" hidden="1">{#N/A,#N/A,FALSE,"特殊室（ＢＱ表）"}</definedName>
    <definedName name="_16P3_" localSheetId="8" hidden="1">{#N/A,#N/A,FALSE,"特殊室（ＢＱ表）"}</definedName>
    <definedName name="_16P3_" hidden="1">{#N/A,#N/A,FALSE,"特殊室（ＢＱ表）"}</definedName>
    <definedName name="_17">#REF!</definedName>
    <definedName name="_17___123Graph_X????_4" hidden="1">#REF!</definedName>
    <definedName name="_17___123Graph_Xｸﾞﾗﾌ_2" hidden="1">#REF!</definedName>
    <definedName name="_17__123Graph_A????_1" localSheetId="1" hidden="1">#REF!</definedName>
    <definedName name="_17__123Graph_A????_1" hidden="1">#REF!</definedName>
    <definedName name="_17__123Graph_A????_2" hidden="1">#REF!</definedName>
    <definedName name="_17__123Graph_A????_3" localSheetId="1"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localSheetId="1" hidden="1">#REF!</definedName>
    <definedName name="_17__123Graph_Aｸﾞﾗﾌ_4" hidden="1">#REF!</definedName>
    <definedName name="_17__123Graph_Aｸﾞﾗﾌ_5" localSheetId="1" hidden="1">#REF!</definedName>
    <definedName name="_17__123Graph_Aｸﾞﾗﾌ_5" hidden="1">#REF!</definedName>
    <definedName name="_17__123Graph_X????_3" localSheetId="1" hidden="1">#REF!</definedName>
    <definedName name="_17__123Graph_X????_3" hidden="1">#REF!</definedName>
    <definedName name="_17__123Graph_X????_4" localSheetId="1" hidden="1">#REF!</definedName>
    <definedName name="_17__123Graph_X????_4" hidden="1">#REF!</definedName>
    <definedName name="_17__123Graph_Xｸﾞﾗﾌ_2" localSheetId="1" hidden="1">#REF!</definedName>
    <definedName name="_17__123Graph_Xｸﾞﾗﾌ_2" hidden="1">#REF!</definedName>
    <definedName name="_17__123Graph_Xｸﾞﾗﾌ_4" hidden="1">#REF!</definedName>
    <definedName name="_17a1_" localSheetId="1" hidden="1">{"'Sheet1'!$L$16"}</definedName>
    <definedName name="_17a1_" localSheetId="2" hidden="1">{"'Sheet1'!$L$16"}</definedName>
    <definedName name="_17a1_" localSheetId="8" hidden="1">{"'Sheet1'!$L$16"}</definedName>
    <definedName name="_17a1_" hidden="1">{"'Sheet1'!$L$16"}</definedName>
    <definedName name="_17fd2_" localSheetId="1" hidden="1">{#N/A,#N/A,TRUE,"Cover Memo";"Complete Sys. Estimate",#N/A,TRUE,"Change Summary";"Complete Sys. Estimate",#N/A,TRUE,"Estimate Summary";"Complete Sys. Estimate",#N/A,TRUE,"Dept. Summary";"Complete Sys. Estimate",#N/A,TRUE,"DOW Detail"}</definedName>
    <definedName name="_17fd2_" localSheetId="2" hidden="1">{#N/A,#N/A,TRUE,"Cover Memo";"Complete Sys. Estimate",#N/A,TRUE,"Change Summary";"Complete Sys. Estimate",#N/A,TRUE,"Estimate Summary";"Complete Sys. Estimate",#N/A,TRUE,"Dept. Summary";"Complete Sys. Estimate",#N/A,TRUE,"DOW Detail"}</definedName>
    <definedName name="_17fd2_" localSheetId="8" hidden="1">{#N/A,#N/A,TRUE,"Cover Memo";"Complete Sys. Estimate",#N/A,TRUE,"Change Summary";"Complete Sys. Estimate",#N/A,TRUE,"Estimate Summary";"Complete Sys. Estimate",#N/A,TRUE,"Dept. Summary";"Complete Sys. Estimate",#N/A,TRUE,"DOW Detail"}</definedName>
    <definedName name="_17fd2_" hidden="1">{#N/A,#N/A,TRUE,"Cover Memo";"Complete Sys. Estimate",#N/A,TRUE,"Change Summary";"Complete Sys. Estimate",#N/A,TRUE,"Estimate Summary";"Complete Sys. Estimate",#N/A,TRUE,"Dept. Summary";"Complete Sys. Estimate",#N/A,TRUE,"DOW Detail"}</definedName>
    <definedName name="_17P3_" localSheetId="1" hidden="1">{#N/A,#N/A,FALSE,"特殊室（ＢＱ表）"}</definedName>
    <definedName name="_17P3_" localSheetId="2" hidden="1">{#N/A,#N/A,FALSE,"特殊室（ＢＱ表）"}</definedName>
    <definedName name="_17P3_" localSheetId="8" hidden="1">{#N/A,#N/A,FALSE,"特殊室（ＢＱ表）"}</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localSheetId="1" hidden="1">#REF!</definedName>
    <definedName name="_18__123Graph_X????_4" hidden="1">#REF!</definedName>
    <definedName name="_18__123Graph_X????_5" localSheetId="1" hidden="1">#REF!</definedName>
    <definedName name="_18__123Graph_X????_5" hidden="1">#REF!</definedName>
    <definedName name="_18__123Graph_Xｸﾞﾗﾌ_1" hidden="1">#REF!</definedName>
    <definedName name="_18__123Graph_Xｸﾞﾗﾌ_2" localSheetId="1" hidden="1">#REF!</definedName>
    <definedName name="_18__123Graph_Xｸﾞﾗﾌ_2" hidden="1">#REF!</definedName>
    <definedName name="_18__123Graph_Xｸﾞﾗﾌ_3" localSheetId="1" hidden="1">#REF!</definedName>
    <definedName name="_18__123Graph_Xｸﾞﾗﾌ_3" hidden="1">#REF!</definedName>
    <definedName name="_18__123Graph_Xｸﾞﾗﾌ_4" localSheetId="1"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localSheetId="1" hidden="1">#REF!</definedName>
    <definedName name="_19__123Graph_X????_5" hidden="1">#REF!</definedName>
    <definedName name="_19__123Graph_Xｸﾞﾗﾌ_1" localSheetId="1" hidden="1">#REF!</definedName>
    <definedName name="_19__123Graph_Xｸﾞﾗﾌ_1" hidden="1">#REF!</definedName>
    <definedName name="_19__123Graph_Xｸﾞﾗﾌ_4" localSheetId="1" hidden="1">#REF!</definedName>
    <definedName name="_19__123Graph_Xｸﾞﾗﾌ_4" hidden="1">#REF!</definedName>
    <definedName name="_19_0_0_F" hidden="1">#REF!</definedName>
    <definedName name="_1CF_BY_MTH">#REF!</definedName>
    <definedName name="_1P3_" localSheetId="1" hidden="1">{#N/A,#N/A,FALSE,"特殊室（ＢＱ表）"}</definedName>
    <definedName name="_1P3_" localSheetId="2" hidden="1">{#N/A,#N/A,FALSE,"特殊室（ＢＱ表）"}</definedName>
    <definedName name="_1P3_" localSheetId="8" hidden="1">{#N/A,#N/A,FALSE,"特殊室（ＢＱ表）"}</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localSheetId="1" hidden="1">#REF!</definedName>
    <definedName name="_2__123Graph_A????_2" hidden="1">#REF!</definedName>
    <definedName name="_2__123Graph_ACHART_2" localSheetId="1" hidden="1">#REF!</definedName>
    <definedName name="_2__123Graph_ACHART_2" hidden="1">#REF!</definedName>
    <definedName name="_2__123Graph_Aｸﾞﾗﾌ_1" localSheetId="1" hidden="1">#REF!</definedName>
    <definedName name="_2__123Graph_Aｸﾞﾗﾌ_1" hidden="1">#REF!</definedName>
    <definedName name="_2__123Graph_Aｸﾞﾗﾌ_2" localSheetId="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localSheetId="1" hidden="1">#REF!</definedName>
    <definedName name="_20__123Graph_Aｸﾞﾗﾌ_5" hidden="1">#REF!</definedName>
    <definedName name="_20__123Graph_Xｸﾞﾗﾌ_1" localSheetId="1" hidden="1">#REF!</definedName>
    <definedName name="_20__123Graph_Xｸﾞﾗﾌ_1" hidden="1">#REF!</definedName>
    <definedName name="_20__123Graph_Xｸﾞﾗﾌ_2" localSheetId="1" hidden="1">#REF!</definedName>
    <definedName name="_20__123Graph_Xｸﾞﾗﾌ_2" hidden="1">#REF!</definedName>
    <definedName name="_20__123Graph_Xｸﾞﾗﾌ_3" localSheetId="1" hidden="1">#REF!</definedName>
    <definedName name="_20__123Graph_Xｸﾞﾗﾌ_3" hidden="1">#REF!</definedName>
    <definedName name="_20__123Graph_Xｸﾞﾗﾌ_4" localSheetId="1" hidden="1">#REF!</definedName>
    <definedName name="_20__123Graph_Xｸﾞﾗﾌ_4" hidden="1">#REF!</definedName>
    <definedName name="_20__123Graph_Xｸﾞﾗﾌ_5" localSheetId="1" hidden="1">#REF!</definedName>
    <definedName name="_20__123Graph_Xｸﾞﾗﾌ_5" hidden="1">#REF!</definedName>
    <definedName name="_20_0_0_F" hidden="1">#REF!</definedName>
    <definedName name="_21">#REF!</definedName>
    <definedName name="_21___123Graph_Xｸﾞﾗﾌ_3" hidden="1">#REF!</definedName>
    <definedName name="_21__123Graph_A????_2" localSheetId="1" hidden="1">#REF!</definedName>
    <definedName name="_21__123Graph_A????_2" hidden="1">#REF!</definedName>
    <definedName name="_21__123Graph_A????_5" hidden="1">#REF!</definedName>
    <definedName name="_21__123Graph_Aｸﾞﾗﾌ_4" localSheetId="1" hidden="1">#REF!</definedName>
    <definedName name="_21__123Graph_Aｸﾞﾗﾌ_4" hidden="1">#REF!</definedName>
    <definedName name="_21__123Graph_Aｸﾞﾗﾌ_5" hidden="1">#REF!</definedName>
    <definedName name="_21__123Graph_X????_1" localSheetId="1" hidden="1">#REF!</definedName>
    <definedName name="_21__123Graph_X????_1" hidden="1">#REF!</definedName>
    <definedName name="_21__123Graph_Xｸﾞﾗﾌ_1" hidden="1">#REF!</definedName>
    <definedName name="_21__123Graph_Xｸﾞﾗﾌ_2" localSheetId="1" hidden="1">#REF!</definedName>
    <definedName name="_21__123Graph_Xｸﾞﾗﾌ_2" hidden="1">#REF!</definedName>
    <definedName name="_21__123Graph_Xｸﾞﾗﾌ_3" localSheetId="1" hidden="1">#REF!</definedName>
    <definedName name="_21__123Graph_Xｸﾞﾗﾌ_3" hidden="1">#REF!</definedName>
    <definedName name="_21_0__123Grap" hidden="1">#REF!</definedName>
    <definedName name="_21P3_" localSheetId="1" hidden="1">{#N/A,#N/A,FALSE,"特殊室（ＢＱ表）"}</definedName>
    <definedName name="_21P3_" localSheetId="2" hidden="1">{#N/A,#N/A,FALSE,"特殊室（ＢＱ表）"}</definedName>
    <definedName name="_21P3_" localSheetId="8" hidden="1">{#N/A,#N/A,FALSE,"特殊室（ＢＱ表）"}</definedName>
    <definedName name="_21P3_" hidden="1">{#N/A,#N/A,FALSE,"特殊室（ＢＱ表）"}</definedName>
    <definedName name="_22">#REF!</definedName>
    <definedName name="_22___123Graph_Xｸﾞﾗﾌ_4" hidden="1">#REF!</definedName>
    <definedName name="_22__123Graph_A????_4" localSheetId="1"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localSheetId="1" hidden="1">#REF!</definedName>
    <definedName name="_22__123Graph_X????_2" hidden="1">#REF!</definedName>
    <definedName name="_22__123Graph_Xｸﾞﾗﾌ_1" localSheetId="1" hidden="1">#REF!</definedName>
    <definedName name="_22__123Graph_Xｸﾞﾗﾌ_1" hidden="1">#REF!</definedName>
    <definedName name="_22__123Graph_Xｸﾞﾗﾌ_2" hidden="1">#REF!</definedName>
    <definedName name="_22__123Graph_Xｸﾞﾗﾌ_3" localSheetId="1" hidden="1">#REF!</definedName>
    <definedName name="_22__123Graph_Xｸﾞﾗﾌ_3" hidden="1">#REF!</definedName>
    <definedName name="_22__123Graph_Xｸﾞﾗﾌ_4" localSheetId="1" hidden="1">#REF!</definedName>
    <definedName name="_22__123Graph_Xｸﾞﾗﾌ_4" hidden="1">#REF!</definedName>
    <definedName name="_22__123Graph_Xｸﾞﾗﾌ_5" localSheetId="1"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localSheetId="1" hidden="1">#REF!</definedName>
    <definedName name="_23__123Graph_A????_1" hidden="1">#REF!</definedName>
    <definedName name="_23__123Graph_Aｸﾞﾗﾌ_1" hidden="1">#REF!</definedName>
    <definedName name="_23__123Graph_X????_2" hidden="1">#REF!</definedName>
    <definedName name="_23__123Graph_X????_3" localSheetId="1" hidden="1">#REF!</definedName>
    <definedName name="_23__123Graph_X????_3" hidden="1">#REF!</definedName>
    <definedName name="_23__123Graph_Xｸﾞﾗﾌ_1" localSheetId="1" hidden="1">#REF!</definedName>
    <definedName name="_23__123Graph_Xｸﾞﾗﾌ_1" hidden="1">#REF!</definedName>
    <definedName name="_23__123Graph_Xｸﾞﾗﾌ_2" localSheetId="1" hidden="1">#REF!</definedName>
    <definedName name="_23__123Graph_Xｸﾞﾗﾌ_2" hidden="1">#REF!</definedName>
    <definedName name="_23__123Graph_Xｸﾞﾗﾌ_3" hidden="1">#REF!</definedName>
    <definedName name="_23__123Graph_Xｸﾞﾗﾌ_4" localSheetId="1" hidden="1">#REF!</definedName>
    <definedName name="_23__123Graph_Xｸﾞﾗﾌ_4" hidden="1">#REF!</definedName>
    <definedName name="_23__123Graph_Xｸﾞﾗﾌ_5" localSheetId="1"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localSheetId="1"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localSheetId="1" hidden="1">#REF!</definedName>
    <definedName name="_24__123Graph_Xｸﾞﾗﾌ_4" hidden="1">#REF!</definedName>
    <definedName name="_24__123Graph_Xｸﾞﾗﾌ_5" localSheetId="1" hidden="1">#REF!</definedName>
    <definedName name="_24__123Graph_Xｸﾞﾗﾌ_5" hidden="1">#REF!</definedName>
    <definedName name="_25">#REF!</definedName>
    <definedName name="_25__123Graph_A????_1" hidden="1">#REF!</definedName>
    <definedName name="_25__123Graph_A????_2" hidden="1">#REF!</definedName>
    <definedName name="_25__123Graph_A????_3" localSheetId="1"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localSheetId="1" hidden="1">#REF!</definedName>
    <definedName name="_25__123Graph_X????_5" hidden="1">#REF!</definedName>
    <definedName name="_25__123Graph_Xｸﾞﾗﾌ_1" hidden="1">#REF!</definedName>
    <definedName name="_25__123Graph_Xｸﾞﾗﾌ_2" localSheetId="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localSheetId="1" hidden="1">#REF!</definedName>
    <definedName name="_26__123Graph_Xｸﾞﾗﾌ_5" hidden="1">#REF!</definedName>
    <definedName name="_27">#REF!</definedName>
    <definedName name="_27__123Graph_A????_3" hidden="1">#REF!</definedName>
    <definedName name="_27__123Graph_A????_4" hidden="1">#REF!</definedName>
    <definedName name="_27__123Graph_A????_5" localSheetId="1"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localSheetId="1" hidden="1">#REF!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localSheetId="1" hidden="1">#REF!</definedName>
    <definedName name="_28__123Graph_Xｸﾞﾗﾌ_1" hidden="1">#REF!</definedName>
    <definedName name="_28__123Graph_Xｸﾞﾗﾌ_2" localSheetId="1" hidden="1">#REF!</definedName>
    <definedName name="_28__123Graph_Xｸﾞﾗﾌ_2" hidden="1">#REF!</definedName>
    <definedName name="_28__123Graph_Xｸﾞﾗﾌ_3" localSheetId="1" hidden="1">#REF!</definedName>
    <definedName name="_28__123Graph_Xｸﾞﾗﾌ_3" hidden="1">#REF!</definedName>
    <definedName name="_29">#REF!</definedName>
    <definedName name="_29__123Graph_A????_4" localSheetId="1" hidden="1">#REF!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localSheetId="1" hidden="1">{"'Sheet1'!$L$16"}</definedName>
    <definedName name="_2a1_" localSheetId="2" hidden="1">{"'Sheet1'!$L$16"}</definedName>
    <definedName name="_2a1_" localSheetId="8" hidden="1">{"'Sheet1'!$L$16"}</definedName>
    <definedName name="_2a1_" hidden="1">{"'Sheet1'!$L$16"}</definedName>
    <definedName name="_2fd2_" localSheetId="1" hidden="1">{#N/A,#N/A,TRUE,"Cover Memo";"Complete Sys. Estimate",#N/A,TRUE,"Change Summary";"Complete Sys. Estimate",#N/A,TRUE,"Estimate Summary";"Complete Sys. Estimate",#N/A,TRUE,"Dept. Summary";"Complete Sys. Estimate",#N/A,TRUE,"DOW Detail"}</definedName>
    <definedName name="_2fd2_" localSheetId="2" hidden="1">{#N/A,#N/A,TRUE,"Cover Memo";"Complete Sys. Estimate",#N/A,TRUE,"Change Summary";"Complete Sys. Estimate",#N/A,TRUE,"Estimate Summary";"Complete Sys. Estimate",#N/A,TRUE,"Dept. Summary";"Complete Sys. Estimate",#N/A,TRUE,"DOW Detail"}</definedName>
    <definedName name="_2fd2_" localSheetId="8" hidden="1">{#N/A,#N/A,TRUE,"Cover Memo";"Complete Sys. Estimate",#N/A,TRUE,"Change Summary";"Complete Sys. Estimate",#N/A,TRUE,"Estimate Summary";"Complete Sys. Estimate",#N/A,TRUE,"Dept. Summary";"Complete Sys. Estimate",#N/A,TRUE,"DOW Detail"}</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localSheetId="1" hidden="1">#REF!</definedName>
    <definedName name="_3__123Graph_A????_3" hidden="1">#REF!</definedName>
    <definedName name="_3__123Graph_ACHART_1" hidden="1">#REF!</definedName>
    <definedName name="_3__123Graph_Aｸﾞﾗﾌ_1" localSheetId="1" hidden="1">#REF!</definedName>
    <definedName name="_3__123Graph_Aｸﾞﾗﾌ_1" hidden="1">#REF!</definedName>
    <definedName name="_3__123Graph_Aｸﾞﾗﾌ_2" hidden="1">#REF!</definedName>
    <definedName name="_3__123Graph_Aｸﾞﾗﾌ_3" localSheetId="1"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localSheetId="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localSheetId="1" hidden="1">#REF!</definedName>
    <definedName name="_31__123Graph_Xｸﾞﾗﾌ_2" hidden="1">#REF!</definedName>
    <definedName name="_31__123Graph_Xｸﾞﾗﾌ_3" hidden="1">#REF!</definedName>
    <definedName name="_31__123Graph_Xｸﾞﾗﾌ_4" localSheetId="1" hidden="1">#REF!</definedName>
    <definedName name="_31__123Graph_Xｸﾞﾗﾌ_4" hidden="1">#REF!</definedName>
    <definedName name="_31__123Graph_Xｸﾞﾗﾌ_5" localSheetId="1"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localSheetId="1" hidden="1">#REF!</definedName>
    <definedName name="_33__123Graph_A????_3" hidden="1">#REF!</definedName>
    <definedName name="_33__123Graph_A????_5" localSheetId="1" hidden="1">#REF!</definedName>
    <definedName name="_33__123Graph_A????_5" hidden="1">#REF!</definedName>
    <definedName name="_33__123Graph_Aｸﾞﾗﾌ_1" localSheetId="1"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localSheetId="1" hidden="1">#REF!</definedName>
    <definedName name="_34__123Graph_Xｸﾞﾗﾌ_3" hidden="1">#REF!</definedName>
    <definedName name="_34__123Graph_Xｸﾞﾗﾌ_4" hidden="1">#REF!</definedName>
    <definedName name="_34__123Graph_Xｸﾞﾗﾌ_5" localSheetId="1"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localSheetId="1" hidden="1">#REF!</definedName>
    <definedName name="_37__123Graph_Xｸﾞﾗﾌ_4" hidden="1">#REF!</definedName>
    <definedName name="_37__123Graph_Xｸﾞﾗﾌ_5" hidden="1">#REF!</definedName>
    <definedName name="_38">#REF!</definedName>
    <definedName name="_38__123Graph_A????_4" localSheetId="1" hidden="1">#REF!</definedName>
    <definedName name="_38__123Graph_A????_4" hidden="1">#REF!</definedName>
    <definedName name="_38__123Graph_Aｸﾞﾗﾌ_1" localSheetId="1"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localSheetId="1" hidden="1">#REF!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localSheetId="1" hidden="1">{"'Sheet1'!$L$16"}</definedName>
    <definedName name="_3a1_" localSheetId="2" hidden="1">{"'Sheet1'!$L$16"}</definedName>
    <definedName name="_3a1_" localSheetId="8" hidden="1">{"'Sheet1'!$L$16"}</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localSheetId="1" hidden="1">#REF!</definedName>
    <definedName name="_4__123Graph_A????_1" hidden="1">#REF!</definedName>
    <definedName name="_4__123Graph_A????_4" localSheetId="1" hidden="1">#REF!</definedName>
    <definedName name="_4__123Graph_A????_4" hidden="1">#REF!</definedName>
    <definedName name="_4__123Graph_Aｸﾞﾗﾌ_1" localSheetId="1" hidden="1">#REF!</definedName>
    <definedName name="_4__123Graph_Aｸﾞﾗﾌ_1" hidden="1">#REF!</definedName>
    <definedName name="_4__123Graph_Aｸﾞﾗﾌ_2" localSheetId="1" hidden="1">#REF!</definedName>
    <definedName name="_4__123Graph_Aｸﾞﾗﾌ_2" hidden="1">#REF!</definedName>
    <definedName name="_4__123Graph_Aｸﾞﾗﾌ_3" hidden="1">#REF!</definedName>
    <definedName name="_4__123Graph_Aｸﾞﾗﾌ_4" localSheetId="1"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localSheetId="1"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localSheetId="1" hidden="1">#REF!</definedName>
    <definedName name="_42__123Graph_Xｸﾞﾗﾌ_3" hidden="1">#REF!</definedName>
    <definedName name="_42__123Graph_Xｸﾞﾗﾌ_4" hidden="1">#REF!</definedName>
    <definedName name="_43">#REF!</definedName>
    <definedName name="_43__123Graph_A????_5" localSheetId="1" hidden="1">#REF!</definedName>
    <definedName name="_43__123Graph_A????_5" hidden="1">#REF!</definedName>
    <definedName name="_43__123Graph_Aｸﾞﾗﾌ_2" localSheetId="1"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localSheetId="1" hidden="1">#REF!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localSheetId="1" hidden="1">#REF!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localSheetId="1" hidden="1">#REF!</definedName>
    <definedName name="_5__123Graph_A????_1" hidden="1">#REF!</definedName>
    <definedName name="_5__123Graph_A????_2" localSheetId="1" hidden="1">#REF!</definedName>
    <definedName name="_5__123Graph_A????_2" hidden="1">#REF!</definedName>
    <definedName name="_5__123Graph_A????_5" localSheetId="1" hidden="1">#REF!</definedName>
    <definedName name="_5__123Graph_A????_5" hidden="1">#REF!</definedName>
    <definedName name="_5__123Graph_Aｸﾞﾗﾌ_1" localSheetId="1" hidden="1">#REF!</definedName>
    <definedName name="_5__123Graph_Aｸﾞﾗﾌ_1" hidden="1">#REF!</definedName>
    <definedName name="_5__123Graph_Aｸﾞﾗﾌ_2" localSheetId="1" hidden="1">#REF!</definedName>
    <definedName name="_5__123Graph_Aｸﾞﾗﾌ_2" hidden="1">#REF!</definedName>
    <definedName name="_5__123Graph_Aｸﾞﾗﾌ_3" localSheetId="1" hidden="1">#REF!</definedName>
    <definedName name="_5__123Graph_Aｸﾞﾗﾌ_3" hidden="1">#REF!</definedName>
    <definedName name="_5__123Graph_Aｸﾞﾗﾌ_4" hidden="1">#REF!</definedName>
    <definedName name="_5__123Graph_Aｸﾞﾗﾌ_5" localSheetId="1"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localSheetId="1" hidden="1">#REF!</definedName>
    <definedName name="_51__123Graph_Aｸﾞﾗﾌ_1" hidden="1">#REF!</definedName>
    <definedName name="_51__123Graph_Aｸﾞﾗﾌ_4" localSheetId="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localSheetId="1" hidden="1">#REF!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localSheetId="1" hidden="1">#REF!</definedName>
    <definedName name="_57__123Graph_Aｸﾞﾗﾌ_5" hidden="1">#REF!</definedName>
    <definedName name="_58">#REF!</definedName>
    <definedName name="_58_?asadas" localSheetId="1" hidden="1">#REF!</definedName>
    <definedName name="_58_?asadas" hidden="1">#REF!</definedName>
    <definedName name="_58__123Graph_Aｸﾞﾗﾌ_5" localSheetId="1" hidden="1">#REF!</definedName>
    <definedName name="_58__123Graph_Aｸﾞﾗﾌ_5" hidden="1">#REF!</definedName>
    <definedName name="_59">#REF!</definedName>
    <definedName name="_59__123Graph_Aｸﾞﾗﾌ_2" localSheetId="1" hidden="1">#REF!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localSheetId="1" hidden="1">#REF!</definedName>
    <definedName name="_6__123Graph_A????_2" hidden="1">#REF!</definedName>
    <definedName name="_6__123Graph_A????_3" localSheetId="1" hidden="1">#REF!</definedName>
    <definedName name="_6__123Graph_A????_3" hidden="1">#REF!</definedName>
    <definedName name="_6__123Graph_ACHART_2" hidden="1">#REF!</definedName>
    <definedName name="_6__123Graph_Aｸﾞﾗﾌ_1" localSheetId="1" hidden="1">#REF!</definedName>
    <definedName name="_6__123Graph_Aｸﾞﾗﾌ_1" hidden="1">#REF!</definedName>
    <definedName name="_6__123Graph_Aｸﾞﾗﾌ_2" localSheetId="1" hidden="1">#REF!</definedName>
    <definedName name="_6__123Graph_Aｸﾞﾗﾌ_2" hidden="1">#REF!</definedName>
    <definedName name="_6__123Graph_Aｸﾞﾗﾌ_3" localSheetId="1" hidden="1">#REF!</definedName>
    <definedName name="_6__123Graph_Aｸﾞﾗﾌ_3" hidden="1">#REF!</definedName>
    <definedName name="_6__123Graph_Aｸﾞﾗﾌ_4" localSheetId="1" hidden="1">#REF!</definedName>
    <definedName name="_6__123Graph_Aｸﾞﾗﾌ_4" hidden="1">#REF!</definedName>
    <definedName name="_6__123Graph_Aｸﾞﾗﾌ_5" hidden="1">#REF!</definedName>
    <definedName name="_6__123Graph_Xｸﾞﾗﾌ_1" localSheetId="1"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localSheetId="1" hidden="1">#REF!</definedName>
    <definedName name="_62__123Graph_X????_1" hidden="1">#REF!</definedName>
    <definedName name="_66__123Graph_X????_2" localSheetId="1" hidden="1">#REF!</definedName>
    <definedName name="_66__123Graph_X????_2" hidden="1">#REF!</definedName>
    <definedName name="_66__123Graph_Xｸﾞﾗﾌ_3" hidden="1">#REF!</definedName>
    <definedName name="_67__123Graph_Aｸﾞﾗﾌ_3" localSheetId="1" hidden="1">#REF!</definedName>
    <definedName name="_67__123Graph_Aｸﾞﾗﾌ_3" hidden="1">#REF!</definedName>
    <definedName name="_67__123Graph_X????_2" localSheetId="1" hidden="1">#REF!</definedName>
    <definedName name="_67__123Graph_X????_2" hidden="1">#REF!</definedName>
    <definedName name="_6fd2_" localSheetId="1" hidden="1">{#N/A,#N/A,TRUE,"Cover Memo";"Complete Sys. Estimate",#N/A,TRUE,"Change Summary";"Complete Sys. Estimate",#N/A,TRUE,"Estimate Summary";"Complete Sys. Estimate",#N/A,TRUE,"Dept. Summary";"Complete Sys. Estimate",#N/A,TRUE,"DOW Detail"}</definedName>
    <definedName name="_6fd2_" localSheetId="2" hidden="1">{#N/A,#N/A,TRUE,"Cover Memo";"Complete Sys. Estimate",#N/A,TRUE,"Change Summary";"Complete Sys. Estimate",#N/A,TRUE,"Estimate Summary";"Complete Sys. Estimate",#N/A,TRUE,"Dept. Summary";"Complete Sys. Estimate",#N/A,TRUE,"DOW Detail"}</definedName>
    <definedName name="_6fd2_" localSheetId="8" hidden="1">{#N/A,#N/A,TRUE,"Cover Memo";"Complete Sys. Estimate",#N/A,TRUE,"Change Summary";"Complete Sys. Estimate",#N/A,TRUE,"Estimate Summary";"Complete Sys. Estimate",#N/A,TRUE,"Dept. Summary";"Complete Sys. Estimate",#N/A,TRUE,"DOW Detail"}</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localSheetId="1" hidden="1">#REF!</definedName>
    <definedName name="_7__123Graph_A????_1" hidden="1">#REF!</definedName>
    <definedName name="_7__123Graph_A????_3" localSheetId="1" hidden="1">#REF!</definedName>
    <definedName name="_7__123Graph_A????_3" hidden="1">#REF!</definedName>
    <definedName name="_7__123Graph_A????_4" localSheetId="1" hidden="1">#REF!</definedName>
    <definedName name="_7__123Graph_A????_4" hidden="1">#REF!</definedName>
    <definedName name="_7__123Graph_Aｸﾞﾗﾌ_1" hidden="1">#REF!</definedName>
    <definedName name="_7__123Graph_Aｸﾞﾗﾌ_2" localSheetId="1" hidden="1">#REF!</definedName>
    <definedName name="_7__123Graph_Aｸﾞﾗﾌ_2" hidden="1">#REF!</definedName>
    <definedName name="_7__123Graph_Aｸﾞﾗﾌ_3" localSheetId="1" hidden="1">#REF!</definedName>
    <definedName name="_7__123Graph_Aｸﾞﾗﾌ_3" hidden="1">#REF!</definedName>
    <definedName name="_7__123Graph_Aｸﾞﾗﾌ_4" hidden="1">#REF!</definedName>
    <definedName name="_7__123Graph_Aｸﾞﾗﾌ_5" localSheetId="1" hidden="1">#REF!</definedName>
    <definedName name="_7__123Graph_Aｸﾞﾗﾌ_5" hidden="1">#REF!</definedName>
    <definedName name="_7__123Graph_Xｸﾞﾗﾌ_2" localSheetId="1" hidden="1">#REF!</definedName>
    <definedName name="_7__123Graph_Xｸﾞﾗﾌ_2" hidden="1">#REF!</definedName>
    <definedName name="_7_0__123Grap" hidden="1">#REF!</definedName>
    <definedName name="_7_0_0_F" hidden="1">#REF!</definedName>
    <definedName name="_70__123Graph_X????_3" localSheetId="1" hidden="1">#REF!</definedName>
    <definedName name="_70__123Graph_X????_3" hidden="1">#REF!</definedName>
    <definedName name="_71__123Graph_Xｸﾞﾗﾌ_4" hidden="1">#REF!</definedName>
    <definedName name="_72__123Graph_X????_3" localSheetId="1" hidden="1">#REF!</definedName>
    <definedName name="_72__123Graph_X????_3" hidden="1">#REF!</definedName>
    <definedName name="_74__123Graph_X????_4" localSheetId="1" hidden="1">#REF!</definedName>
    <definedName name="_74__123Graph_X????_4" hidden="1">#REF!</definedName>
    <definedName name="_75__123Graph_Aｸﾞﾗﾌ_4" localSheetId="1" hidden="1">#REF!</definedName>
    <definedName name="_75__123Graph_Aｸﾞﾗﾌ_4" hidden="1">#REF!</definedName>
    <definedName name="_76__123Graph_Xｸﾞﾗﾌ_5" hidden="1">#REF!</definedName>
    <definedName name="_77__123Graph_X????_4" localSheetId="1" hidden="1">#REF!</definedName>
    <definedName name="_77__123Graph_X????_4" hidden="1">#REF!</definedName>
    <definedName name="_78__123Graph_X????_5" localSheetId="1"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localSheetId="1" hidden="1">#REF!</definedName>
    <definedName name="_8__123Graph_A????_4" hidden="1">#REF!</definedName>
    <definedName name="_8__123Graph_A????_5" localSheetId="1" hidden="1">#REF!</definedName>
    <definedName name="_8__123Graph_A????_5" hidden="1">#REF!</definedName>
    <definedName name="_8__123Graph_Aｸﾞﾗﾌ_1" localSheetId="1" hidden="1">#REF!</definedName>
    <definedName name="_8__123Graph_Aｸﾞﾗﾌ_1" hidden="1">#REF!</definedName>
    <definedName name="_8__123Graph_Aｸﾞﾗﾌ_2" localSheetId="1" hidden="1">#REF!</definedName>
    <definedName name="_8__123Graph_Aｸﾞﾗﾌ_2" hidden="1">#REF!</definedName>
    <definedName name="_8__123Graph_Aｸﾞﾗﾌ_3" localSheetId="1" hidden="1">#REF!</definedName>
    <definedName name="_8__123Graph_Aｸﾞﾗﾌ_3" hidden="1">#REF!</definedName>
    <definedName name="_8__123Graph_Aｸﾞﾗﾌ_4" localSheetId="1"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localSheetId="1" hidden="1">#REF!</definedName>
    <definedName name="_8__123Graph_XCHART_1" hidden="1">#REF!</definedName>
    <definedName name="_8__123Graph_Xｸﾞﾗﾌ_1" localSheetId="1" hidden="1">#REF!</definedName>
    <definedName name="_8__123Graph_Xｸﾞﾗﾌ_1" hidden="1">#REF!</definedName>
    <definedName name="_8__123Graph_Xｸﾞﾗﾌ_3" localSheetId="1" hidden="1">#REF!</definedName>
    <definedName name="_8__123Graph_Xｸﾞﾗﾌ_3" hidden="1">#REF!</definedName>
    <definedName name="_8_0__123Grap" hidden="1">#REF!</definedName>
    <definedName name="_82__123Graph_X????_5" localSheetId="1" hidden="1">#REF!</definedName>
    <definedName name="_82__123Graph_X????_5" hidden="1">#REF!</definedName>
    <definedName name="_83__123Graph_Aｸﾞﾗﾌ_5" localSheetId="1" hidden="1">#REF!</definedName>
    <definedName name="_83__123Graph_Aｸﾞﾗﾌ_5" hidden="1">#REF!</definedName>
    <definedName name="_83__123Graph_Xｸﾞﾗﾌ_1" localSheetId="1" hidden="1">#REF!</definedName>
    <definedName name="_83__123Graph_Xｸﾞﾗﾌ_1" hidden="1">#REF!</definedName>
    <definedName name="_88__123Graph_X????_1" localSheetId="1" hidden="1">#REF!</definedName>
    <definedName name="_88__123Graph_X????_1" hidden="1">#REF!</definedName>
    <definedName name="_88__123Graph_Xｸﾞﾗﾌ_1" localSheetId="1" hidden="1">#REF!</definedName>
    <definedName name="_88__123Graph_Xｸﾞﾗﾌ_1" hidden="1">#REF!</definedName>
    <definedName name="_88__123Graph_Xｸﾞﾗﾌ_2" localSheetId="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localSheetId="1" hidden="1">#REF!</definedName>
    <definedName name="_9__123Graph_A????_5" hidden="1">#REF!</definedName>
    <definedName name="_9__123Graph_Aｸﾞﾗﾌ_1" localSheetId="1" hidden="1">#REF!</definedName>
    <definedName name="_9__123Graph_Aｸﾞﾗﾌ_1" hidden="1">#REF!</definedName>
    <definedName name="_9__123Graph_Aｸﾞﾗﾌ_2" hidden="1">#REF!</definedName>
    <definedName name="_9__123Graph_Aｸﾞﾗﾌ_3" hidden="1">#REF!</definedName>
    <definedName name="_9__123Graph_Aｸﾞﾗﾌ_4" localSheetId="1" hidden="1">#REF!</definedName>
    <definedName name="_9__123Graph_Aｸﾞﾗﾌ_4" hidden="1">#REF!</definedName>
    <definedName name="_9__123Graph_BCHART_2" hidden="1">#REF!</definedName>
    <definedName name="_9__123Graph_CCHART_1" hidden="1">#REF!</definedName>
    <definedName name="_9__123Graph_XCHART_2" localSheetId="1" hidden="1">#REF!</definedName>
    <definedName name="_9__123Graph_XCHART_2" hidden="1">#REF!</definedName>
    <definedName name="_9__123Graph_Xｸﾞﾗﾌ_1" hidden="1">#REF!</definedName>
    <definedName name="_9__123Graph_Xｸﾞﾗﾌ_2" localSheetId="1" hidden="1">#REF!</definedName>
    <definedName name="_9__123Graph_Xｸﾞﾗﾌ_2" hidden="1">#REF!</definedName>
    <definedName name="_9__123Graph_Xｸﾞﾗﾌ_4" localSheetId="1" hidden="1">#REF!</definedName>
    <definedName name="_9__123Graph_Xｸﾞﾗﾌ_4" hidden="1">#REF!</definedName>
    <definedName name="_9_0__123Grap" hidden="1">#REF!</definedName>
    <definedName name="_9_0_0__123Grap" hidden="1">#REF!</definedName>
    <definedName name="_93__123Graph_X????_2" localSheetId="1" hidden="1">#REF!</definedName>
    <definedName name="_93__123Graph_X????_2" hidden="1">#REF!</definedName>
    <definedName name="_93__123Graph_Xｸﾞﾗﾌ_3" localSheetId="1" hidden="1">#REF!</definedName>
    <definedName name="_93__123Graph_Xｸﾞﾗﾌ_3" hidden="1">#REF!</definedName>
    <definedName name="_94__123Graph_Xｸﾞﾗﾌ_2" localSheetId="1" hidden="1">#REF!</definedName>
    <definedName name="_94__123Graph_Xｸﾞﾗﾌ_2" hidden="1">#REF!</definedName>
    <definedName name="_98__123Graph_X????_3" localSheetId="1" hidden="1">#REF!</definedName>
    <definedName name="_98__123Graph_X????_3" hidden="1">#REF!</definedName>
    <definedName name="_98__123Graph_Xｸﾞﾗﾌ_4" localSheetId="1" hidden="1">#REF!</definedName>
    <definedName name="_98__123Graph_Xｸﾞﾗﾌ_4" hidden="1">#REF!</definedName>
    <definedName name="_a1" localSheetId="1" hidden="1">{"'Sheet1'!$L$16"}</definedName>
    <definedName name="_a1" localSheetId="2" hidden="1">{"'Sheet1'!$L$16"}</definedName>
    <definedName name="_a1" localSheetId="8" hidden="1">{"'Sheet1'!$L$16"}</definedName>
    <definedName name="_a1" hidden="1">{"'Sheet1'!$L$16"}</definedName>
    <definedName name="_a1_1" localSheetId="1" hidden="1">{"'Sheet1'!$L$16"}</definedName>
    <definedName name="_a1_1" localSheetId="2" hidden="1">{"'Sheet1'!$L$16"}</definedName>
    <definedName name="_a1_1" localSheetId="8" hidden="1">{"'Sheet1'!$L$16"}</definedName>
    <definedName name="_a1_1" hidden="1">{"'Sheet1'!$L$16"}</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localSheetId="1" hidden="1">{"'Sheet1'!$L$16"}</definedName>
    <definedName name="_a1s" localSheetId="2" hidden="1">{"'Sheet1'!$L$16"}</definedName>
    <definedName name="_a1s" localSheetId="8" hidden="1">{"'Sheet1'!$L$16"}</definedName>
    <definedName name="_a1s" hidden="1">{"'Sheet1'!$L$16"}</definedName>
    <definedName name="_a2" localSheetId="1" hidden="1">{"'Sheet1'!$L$16"}</definedName>
    <definedName name="_a2" localSheetId="2" hidden="1">{"'Sheet1'!$L$16"}</definedName>
    <definedName name="_a2" localSheetId="8" hidden="1">{"'Sheet1'!$L$16"}</definedName>
    <definedName name="_a2" hidden="1">{"'Sheet1'!$L$16"}</definedName>
    <definedName name="_A4" localSheetId="1" hidden="1">{"'Sheet1'!$L$16"}</definedName>
    <definedName name="_A4" localSheetId="2" hidden="1">{"'Sheet1'!$L$16"}</definedName>
    <definedName name="_A4" localSheetId="8" hidden="1">{"'Sheet1'!$L$16"}</definedName>
    <definedName name="_A4" hidden="1">{"'Sheet1'!$L$16"}</definedName>
    <definedName name="_a9" localSheetId="1" hidden="1">{"'Sheet1'!$L$16"}</definedName>
    <definedName name="_a9" localSheetId="2" hidden="1">{"'Sheet1'!$L$16"}</definedName>
    <definedName name="_a9" localSheetId="8" hidden="1">{"'Sheet1'!$L$16"}</definedName>
    <definedName name="_a9" hidden="1">{"'Sheet1'!$L$16"}</definedName>
    <definedName name="_abc" localSheetId="1" hidden="1">#REF!</definedName>
    <definedName name="_abc" hidden="1">#REF!</definedName>
    <definedName name="_b01" localSheetId="1" hidden="1">{#N/A,#N/A,FALSE,"MARCH"}</definedName>
    <definedName name="_b01" localSheetId="2" hidden="1">{#N/A,#N/A,FALSE,"MARCH"}</definedName>
    <definedName name="_b01" localSheetId="8" hidden="1">{#N/A,#N/A,FALSE,"MARCH"}</definedName>
    <definedName name="_b01" hidden="1">{#N/A,#N/A,FALSE,"MARCH"}</definedName>
    <definedName name="_b2" localSheetId="1" hidden="1">{"'Sheet1'!$L$16"}</definedName>
    <definedName name="_B2" localSheetId="2" hidden="1">{"'Sheet1'!$L$16"}</definedName>
    <definedName name="_B2" localSheetId="8" hidden="1">{"'Sheet1'!$L$16"}</definedName>
    <definedName name="_B2" hidden="1">{"'Sheet1'!$L$16"}</definedName>
    <definedName name="_ba1" localSheetId="1" hidden="1">{#N/A,#N/A,FALSE,"Chi tiÆt"}</definedName>
    <definedName name="_ba1" localSheetId="2" hidden="1">{#N/A,#N/A,FALSE,"Chi tiÆt"}</definedName>
    <definedName name="_ba1" localSheetId="8" hidden="1">{#N/A,#N/A,FALSE,"Chi tiÆt"}</definedName>
    <definedName name="_ba1" hidden="1">{#N/A,#N/A,FALSE,"Chi tiÆt"}</definedName>
    <definedName name="_ba2" localSheetId="1" hidden="1">{#N/A,#N/A,FALSE,"Chi tiÆt"}</definedName>
    <definedName name="_ba2" localSheetId="2" hidden="1">{#N/A,#N/A,FALSE,"Chi tiÆt"}</definedName>
    <definedName name="_ba2" localSheetId="8" hidden="1">{#N/A,#N/A,FALSE,"Chi tiÆt"}</definedName>
    <definedName name="_ba2" hidden="1">{#N/A,#N/A,FALSE,"Chi tiÆt"}</definedName>
    <definedName name="_BG12" localSheetId="1" hidden="1">{"'Sheet1'!$L$16"}</definedName>
    <definedName name="_BG12" localSheetId="2" hidden="1">{"'Sheet1'!$L$16"}</definedName>
    <definedName name="_BG12" localSheetId="8" hidden="1">{"'Sheet1'!$L$16"}</definedName>
    <definedName name="_BG12" hidden="1">{"'Sheet1'!$L$16"}</definedName>
    <definedName name="_bht4" localSheetId="1" hidden="1">{#N/A,#N/A,FALSE,"Chi tiÆt"}</definedName>
    <definedName name="_bht4" localSheetId="2" hidden="1">{#N/A,#N/A,FALSE,"Chi tiÆt"}</definedName>
    <definedName name="_bht4" localSheetId="8" hidden="1">{#N/A,#N/A,FALSE,"Chi tiÆt"}</definedName>
    <definedName name="_bht4" hidden="1">{#N/A,#N/A,FALSE,"Chi tiÆt"}</definedName>
    <definedName name="_bht5" localSheetId="1" hidden="1">{#N/A,#N/A,FALSE,"Chi tiÆt"}</definedName>
    <definedName name="_bht5" localSheetId="2" hidden="1">{#N/A,#N/A,FALSE,"Chi tiÆt"}</definedName>
    <definedName name="_bht5" localSheetId="8" hidden="1">{#N/A,#N/A,FALSE,"Chi tiÆt"}</definedName>
    <definedName name="_bht5" hidden="1">{#N/A,#N/A,FALSE,"Chi tiÆt"}</definedName>
    <definedName name="_bht6" localSheetId="1" hidden="1">{"'Sheet1'!$L$16"}</definedName>
    <definedName name="_bht6" localSheetId="2" hidden="1">{"'Sheet1'!$L$16"}</definedName>
    <definedName name="_bht6" localSheetId="8" hidden="1">{"'Sheet1'!$L$16"}</definedName>
    <definedName name="_bht6" hidden="1">{"'Sheet1'!$L$16"}</definedName>
    <definedName name="_BOQ2111" hidden="1">#REF!</definedName>
    <definedName name="_Builtin0" hidden="1">#REF!</definedName>
    <definedName name="_Builtin155" hidden="1">#N/A</definedName>
    <definedName name="_ccr1" localSheetId="1" hidden="1">{#N/A,#N/A,TRUE,"Cover";#N/A,#N/A,TRUE,"Conts";#N/A,#N/A,TRUE,"VOS";#N/A,#N/A,TRUE,"Warrington";#N/A,#N/A,TRUE,"Widnes"}</definedName>
    <definedName name="_ccr1" localSheetId="2"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DD1">#REF!</definedName>
    <definedName name="_CDD2">#REF!</definedName>
    <definedName name="_CN1" localSheetId="1" hidden="1">{"'Sheet1'!$L$16"}</definedName>
    <definedName name="_CN1" localSheetId="2" hidden="1">{"'Sheet1'!$L$16"}</definedName>
    <definedName name="_CN1" localSheetId="8" hidden="1">{"'Sheet1'!$L$16"}</definedName>
    <definedName name="_CN1" hidden="1">{"'Sheet1'!$L$16"}</definedName>
    <definedName name="_coc1000" localSheetId="1" hidden="1">{#N/A,#N/A,FALSE,"Chi tiÆt"}</definedName>
    <definedName name="_coc1000" localSheetId="2" hidden="1">{#N/A,#N/A,FALSE,"Chi tiÆt"}</definedName>
    <definedName name="_coc1000" localSheetId="8" hidden="1">{#N/A,#N/A,FALSE,"Chi tiÆt"}</definedName>
    <definedName name="_coc1000" hidden="1">{#N/A,#N/A,FALSE,"Chi tiÆt"}</definedName>
    <definedName name="_Coc39" localSheetId="1" hidden="1">{"'Sheet1'!$L$16"}</definedName>
    <definedName name="_Coc39" localSheetId="2" hidden="1">{"'Sheet1'!$L$16"}</definedName>
    <definedName name="_Coc39" localSheetId="8" hidden="1">{"'Sheet1'!$L$16"}</definedName>
    <definedName name="_Coc39" hidden="1">{"'Sheet1'!$L$16"}</definedName>
    <definedName name="_CT2" localSheetId="1" hidden="1">{"'Sheet1'!$L$16"}</definedName>
    <definedName name="_CT2" localSheetId="2" hidden="1">{"'Sheet1'!$L$16"}</definedName>
    <definedName name="_CT2" localSheetId="8" hidden="1">{"'Sheet1'!$L$16"}</definedName>
    <definedName name="_CT2" hidden="1">{"'Sheet1'!$L$16"}</definedName>
    <definedName name="_ct2005" localSheetId="1" hidden="1">{"'Sheet1'!$L$16"}</definedName>
    <definedName name="_ct2005" localSheetId="2" hidden="1">{"'Sheet1'!$L$16"}</definedName>
    <definedName name="_ct2005" localSheetId="8" hidden="1">{"'Sheet1'!$L$16"}</definedName>
    <definedName name="_ct2005" hidden="1">{"'Sheet1'!$L$16"}</definedName>
    <definedName name="_CT4" localSheetId="1" hidden="1">{"'Sheet1'!$L$16"}</definedName>
    <definedName name="_CT4" localSheetId="2" hidden="1">{"'Sheet1'!$L$16"}</definedName>
    <definedName name="_CT4" localSheetId="8" hidden="1">{"'Sheet1'!$L$16"}</definedName>
    <definedName name="_CT4" hidden="1">{"'Sheet1'!$L$16"}</definedName>
    <definedName name="_Cty501" localSheetId="1" hidden="1">{"'Sheet1'!$L$16"}</definedName>
    <definedName name="_Cty501" localSheetId="2" hidden="1">{"'Sheet1'!$L$16"}</definedName>
    <definedName name="_Cty501" localSheetId="8" hidden="1">{"'Sheet1'!$L$16"}</definedName>
    <definedName name="_Cty501" hidden="1">{"'Sheet1'!$L$16"}</definedName>
    <definedName name="_d12" localSheetId="1" hidden="1">{"'Sheet1'!$L$16"}</definedName>
    <definedName name="_d12" localSheetId="2" hidden="1">{"'Sheet1'!$L$16"}</definedName>
    <definedName name="_d12" localSheetId="8" hidden="1">{"'Sheet1'!$L$16"}</definedName>
    <definedName name="_d12" hidden="1">{"'Sheet1'!$L$16"}</definedName>
    <definedName name="_d1500" localSheetId="1" hidden="1">{"'Sheet1'!$L$16"}</definedName>
    <definedName name="_d1500" localSheetId="2" hidden="1">{"'Sheet1'!$L$16"}</definedName>
    <definedName name="_d1500" localSheetId="8" hidden="1">{"'Sheet1'!$L$16"}</definedName>
    <definedName name="_d1500" hidden="1">{"'Sheet1'!$L$16"}</definedName>
    <definedName name="_d2" localSheetId="1" hidden="1">{#N/A,#N/A,FALSE,"mgtsum.XLS";#N/A,#N/A,FALSE,"CAPONE";#N/A,#N/A,FALSE,"CAPTWO";#N/A,#N/A,FALSE,"CAPTHREE"}</definedName>
    <definedName name="_d2" localSheetId="2" hidden="1">{#N/A,#N/A,FALSE,"mgtsum.XLS";#N/A,#N/A,FALSE,"CAPONE";#N/A,#N/A,FALSE,"CAPTWO";#N/A,#N/A,FALSE,"CAPTHREE"}</definedName>
    <definedName name="_d2" localSheetId="8" hidden="1">{#N/A,#N/A,FALSE,"mgtsum.XLS";#N/A,#N/A,FALSE,"CAPONE";#N/A,#N/A,FALSE,"CAPTWO";#N/A,#N/A,FALSE,"CAPTHREE"}</definedName>
    <definedName name="_d2" hidden="1">{#N/A,#N/A,FALSE,"mgtsum.XLS";#N/A,#N/A,FALSE,"CAPONE";#N/A,#N/A,FALSE,"CAPTWO";#N/A,#N/A,FALSE,"CAPTHREE"}</definedName>
    <definedName name="_delete" hidden="1">#REF!</definedName>
    <definedName name="_Dist_Bin" localSheetId="1" hidden="1">#REF!</definedName>
    <definedName name="_Dist_Bin" hidden="1">#REF!</definedName>
    <definedName name="_Dist_Values" localSheetId="1"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localSheetId="1" hidden="1">{"'Sheet1'!$L$16"}</definedName>
    <definedName name="_dt1" localSheetId="2" hidden="1">{"'Sheet1'!$L$16"}</definedName>
    <definedName name="_dt1" localSheetId="8" hidden="1">{"'Sheet1'!$L$16"}</definedName>
    <definedName name="_dt1" hidden="1">{"'Sheet1'!$L$16"}</definedName>
    <definedName name="_DT10" localSheetId="1" hidden="1">{"'Sheet1'!$L$16"}</definedName>
    <definedName name="_DT10" localSheetId="2" hidden="1">{"'Sheet1'!$L$16"}</definedName>
    <definedName name="_DT10" localSheetId="8" hidden="1">{"'Sheet1'!$L$16"}</definedName>
    <definedName name="_DT10" hidden="1">{"'Sheet1'!$L$16"}</definedName>
    <definedName name="_e2" localSheetId="1" hidden="1">{"'Sheet1'!$L$16"}</definedName>
    <definedName name="_e2" localSheetId="2" hidden="1">{"'Sheet1'!$L$16"}</definedName>
    <definedName name="_e2" localSheetId="8"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localSheetId="1" hidden="1">{#N/A,#N/A,FALSE,"CCTV"}</definedName>
    <definedName name="_ewt3" localSheetId="2" hidden="1">{#N/A,#N/A,FALSE,"CCTV"}</definedName>
    <definedName name="_ewt3" localSheetId="8" hidden="1">{#N/A,#N/A,FALSE,"CCTV"}</definedName>
    <definedName name="_ewt3" hidden="1">{#N/A,#N/A,FALSE,"CCTV"}</definedName>
    <definedName name="_f" hidden="1">#REF!</definedName>
    <definedName name="_f1" localSheetId="1" hidden="1">{#N/A,#N/A,FALSE,"FORM A";#N/A,#N/A,FALSE,"FORM D";#N/A,#N/A,FALSE,"FORM E-1";#N/A,#N/A,FALSE,"FORM E-2";#N/A,#N/A,FALSE,"FORM F";#N/A,#N/A,FALSE,"FORM G";#N/A,#N/A,FALSE,"FORM H-1";#N/A,#N/A,FALSE,"FORM H-2";#N/A,#N/A,FALSE,"FORM H-3";#N/A,#N/A,FALSE,"FORM H-4";#N/A,#N/A,FALSE,"FORM H-5";#N/A,#N/A,FALSE,"FORM I";#N/A,#N/A,FALSE,"FORM J"}</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1" localSheetId="8" hidden="1">{#N/A,#N/A,FALSE,"FORM A";#N/A,#N/A,FALSE,"FORM D";#N/A,#N/A,FALSE,"FORM E-1";#N/A,#N/A,FALSE,"FORM E-2";#N/A,#N/A,FALSE,"FORM F";#N/A,#N/A,FALSE,"FORM G";#N/A,#N/A,FALSE,"FORM H-1";#N/A,#N/A,FALSE,"FORM H-2";#N/A,#N/A,FALSE,"FORM H-3";#N/A,#N/A,FALSE,"FORM H-4";#N/A,#N/A,FALSE,"FORM H-5";#N/A,#N/A,FALSE,"FORM I";#N/A,#N/A,FALSE,"FORM J"}</definedName>
    <definedName name="_f1" hidden="1">{#N/A,#N/A,FALSE,"FORM A";#N/A,#N/A,FALSE,"FORM D";#N/A,#N/A,FALSE,"FORM E-1";#N/A,#N/A,FALSE,"FORM E-2";#N/A,#N/A,FALSE,"FORM F";#N/A,#N/A,FALSE,"FORM G";#N/A,#N/A,FALSE,"FORM H-1";#N/A,#N/A,FALSE,"FORM H-2";#N/A,#N/A,FALSE,"FORM H-3";#N/A,#N/A,FALSE,"FORM H-4";#N/A,#N/A,FALSE,"FORM H-5";#N/A,#N/A,FALSE,"FORM I";#N/A,#N/A,FALSE,"FORM J"}</definedName>
    <definedName name="_f5" localSheetId="1" hidden="1">{"'Sheet1'!$L$16"}</definedName>
    <definedName name="_f5" localSheetId="2" hidden="1">{"'Sheet1'!$L$16"}</definedName>
    <definedName name="_f5" localSheetId="8" hidden="1">{"'Sheet1'!$L$16"}</definedName>
    <definedName name="_f5" hidden="1">{"'Sheet1'!$L$16"}</definedName>
    <definedName name="_FAB4" hidden="1">#REF!</definedName>
    <definedName name="_FD12" localSheetId="1" hidden="1">{"'Sheet1'!$L$16"}</definedName>
    <definedName name="_FD12" localSheetId="2" hidden="1">{"'Sheet1'!$L$16"}</definedName>
    <definedName name="_FD12" localSheetId="8" hidden="1">{"'Sheet1'!$L$16"}</definedName>
    <definedName name="_FD12" hidden="1">{"'Sheet1'!$L$16"}</definedName>
    <definedName name="_fe" hidden="1">#REF!</definedName>
    <definedName name="_FIL" localSheetId="1" hidden="1">#REF!</definedName>
    <definedName name="_FIL" hidden="1">#REF!</definedName>
    <definedName name="_Fill" localSheetId="1" hidden="1">#REF!</definedName>
    <definedName name="_Fill" hidden="1">#REF!</definedName>
    <definedName name="_Fill.1" hidden="1">#REF!</definedName>
    <definedName name="_Fill_new" hidden="1">#REF!</definedName>
    <definedName name="_FILL1" localSheetId="1" hidden="1">#REF!</definedName>
    <definedName name="_Fill1" hidden="1">#REF!</definedName>
    <definedName name="_Fill2" localSheetId="1" hidden="1">#REF!</definedName>
    <definedName name="_Fill2" hidden="1">#REF!</definedName>
    <definedName name="_FILLa" localSheetId="1" hidden="1">#REF!</definedName>
    <definedName name="_FILLa" hidden="1">#REF!</definedName>
    <definedName name="_Fillb" localSheetId="1" hidden="1">#REF!</definedName>
    <definedName name="_Fillb" hidden="1">#REF!</definedName>
    <definedName name="_xlnm._FilterDatabase" localSheetId="3" hidden="1">CTN!$A$5:$N$369</definedName>
    <definedName name="_xlnm._FilterDatabase" localSheetId="2" hidden="1">DHKK!$A$5:$K$720</definedName>
    <definedName name="_xlnm._FilterDatabase" localSheetId="4" hidden="1">DIEN!$A$4:$N$1033</definedName>
    <definedName name="_xlnm._FilterDatabase" localSheetId="5" hidden="1">'DIEN NHE'!$A$4:$N$277</definedName>
    <definedName name="_xlnm._FilterDatabase" localSheetId="6" hidden="1">FA!$A$4:$N$56</definedName>
    <definedName name="_xlnm._FilterDatabase" localSheetId="7" hidden="1">PCCC!$A$3:$N$141</definedName>
    <definedName name="_xlnm._FilterDatabase" localSheetId="0" hidden="1">SUMMARY!$A$9:$I$25</definedName>
    <definedName name="_FS1" localSheetId="1">#REF!</definedName>
    <definedName name="_FS1">#REF!</definedName>
    <definedName name="_G4211" localSheetId="1" hidden="1">{"'Sheet1'!$L$16"}</definedName>
    <definedName name="_G4211" localSheetId="2" hidden="1">{"'Sheet1'!$L$16"}</definedName>
    <definedName name="_G4211" localSheetId="8" hidden="1">{"'Sheet1'!$L$16"}</definedName>
    <definedName name="_G4211" hidden="1">{"'Sheet1'!$L$16"}</definedName>
    <definedName name="_gk2" hidden="1">#REF!</definedName>
    <definedName name="_Goi8" localSheetId="1" hidden="1">{"'Sheet1'!$L$16"}</definedName>
    <definedName name="_Goi8" localSheetId="2" hidden="1">{"'Sheet1'!$L$16"}</definedName>
    <definedName name="_Goi8" localSheetId="8" hidden="1">{"'Sheet1'!$L$16"}</definedName>
    <definedName name="_Goi8" hidden="1">{"'Sheet1'!$L$16"}</definedName>
    <definedName name="_Goi8_1" localSheetId="1" hidden="1">{"'Sheet1'!$L$16"}</definedName>
    <definedName name="_Goi8_1" localSheetId="2" hidden="1">{"'Sheet1'!$L$16"}</definedName>
    <definedName name="_Goi8_1" localSheetId="8" hidden="1">{"'Sheet1'!$L$16"}</definedName>
    <definedName name="_Goi8_1" hidden="1">{"'Sheet1'!$L$16"}</definedName>
    <definedName name="_h1" localSheetId="1" hidden="1">{"'Sheet1'!$L$16"}</definedName>
    <definedName name="_h1" localSheetId="2" hidden="1">{"'Sheet1'!$L$16"}</definedName>
    <definedName name="_h1" localSheetId="8" hidden="1">{"'Sheet1'!$L$16"}</definedName>
    <definedName name="_h1" hidden="1">{"'Sheet1'!$L$16"}</definedName>
    <definedName name="_h12" localSheetId="1" hidden="1">{"'Sheet1'!$L$16"}</definedName>
    <definedName name="_h12" localSheetId="2" hidden="1">{"'Sheet1'!$L$16"}</definedName>
    <definedName name="_h12" localSheetId="8" hidden="1">{"'Sheet1'!$L$16"}</definedName>
    <definedName name="_h12" hidden="1">{"'Sheet1'!$L$16"}</definedName>
    <definedName name="_h14" localSheetId="1" hidden="1">{"'Sheet1'!$L$16"}</definedName>
    <definedName name="_h14" localSheetId="2" hidden="1">{"'Sheet1'!$L$16"}</definedName>
    <definedName name="_h14" localSheetId="8" hidden="1">{"'Sheet1'!$L$16"}</definedName>
    <definedName name="_h14" hidden="1">{"'Sheet1'!$L$16"}</definedName>
    <definedName name="_h2" localSheetId="1" hidden="1">{"'Sheet1'!$L$16"}</definedName>
    <definedName name="_h2" localSheetId="2" hidden="1">{"'Sheet1'!$L$16"}</definedName>
    <definedName name="_h2" localSheetId="8" hidden="1">{"'Sheet1'!$L$16"}</definedName>
    <definedName name="_h2" hidden="1">{"'Sheet1'!$L$16"}</definedName>
    <definedName name="_hh1219" localSheetId="1" hidden="1">{"'Sheet1'!$L$16"}</definedName>
    <definedName name="_hh1219" localSheetId="2" hidden="1">{"'Sheet1'!$L$16"}</definedName>
    <definedName name="_hh1219" localSheetId="8" hidden="1">{"'Sheet1'!$L$16"}</definedName>
    <definedName name="_hh1219" hidden="1">{"'Sheet1'!$L$16"}</definedName>
    <definedName name="_hu1" localSheetId="1" hidden="1">{"'Sheet1'!$L$16"}</definedName>
    <definedName name="_hu1" localSheetId="2" hidden="1">{"'Sheet1'!$L$16"}</definedName>
    <definedName name="_hu1" localSheetId="8" hidden="1">{"'Sheet1'!$L$16"}</definedName>
    <definedName name="_hu1" hidden="1">{"'Sheet1'!$L$16"}</definedName>
    <definedName name="_hu2" localSheetId="1" hidden="1">{"'Sheet1'!$L$16"}</definedName>
    <definedName name="_hu2" localSheetId="2" hidden="1">{"'Sheet1'!$L$16"}</definedName>
    <definedName name="_hu2" localSheetId="8" hidden="1">{"'Sheet1'!$L$16"}</definedName>
    <definedName name="_hu2" hidden="1">{"'Sheet1'!$L$16"}</definedName>
    <definedName name="_hu5" localSheetId="1" hidden="1">{"'Sheet1'!$L$16"}</definedName>
    <definedName name="_hu5" localSheetId="2" hidden="1">{"'Sheet1'!$L$16"}</definedName>
    <definedName name="_hu5" localSheetId="8" hidden="1">{"'Sheet1'!$L$16"}</definedName>
    <definedName name="_hu5" hidden="1">{"'Sheet1'!$L$16"}</definedName>
    <definedName name="_hu57" localSheetId="1" hidden="1">{"'Sheet1'!$L$16"}</definedName>
    <definedName name="_hu57" localSheetId="2" hidden="1">{"'Sheet1'!$L$16"}</definedName>
    <definedName name="_hu57" localSheetId="8" hidden="1">{"'Sheet1'!$L$16"}</definedName>
    <definedName name="_hu57" hidden="1">{"'Sheet1'!$L$16"}</definedName>
    <definedName name="_hu6" localSheetId="1" hidden="1">{"'Sheet1'!$L$16"}</definedName>
    <definedName name="_hu6" localSheetId="2" hidden="1">{"'Sheet1'!$L$16"}</definedName>
    <definedName name="_hu6" localSheetId="8" hidden="1">{"'Sheet1'!$L$16"}</definedName>
    <definedName name="_hu6" hidden="1">{"'Sheet1'!$L$16"}</definedName>
    <definedName name="_hu7" localSheetId="1" hidden="1">{"'Sheet1'!$L$16"}</definedName>
    <definedName name="_hu7" localSheetId="2" hidden="1">{"'Sheet1'!$L$16"}</definedName>
    <definedName name="_hu7" localSheetId="8" hidden="1">{"'Sheet1'!$L$16"}</definedName>
    <definedName name="_hu7" hidden="1">{"'Sheet1'!$L$16"}</definedName>
    <definedName name="_huy1" localSheetId="1" hidden="1">{"'Sheet1'!$L$16"}</definedName>
    <definedName name="_huy1" localSheetId="2" hidden="1">{"'Sheet1'!$L$16"}</definedName>
    <definedName name="_huy1" localSheetId="8" hidden="1">{"'Sheet1'!$L$16"}</definedName>
    <definedName name="_huy1" hidden="1">{"'Sheet1'!$L$16"}</definedName>
    <definedName name="_huy2" localSheetId="1" hidden="1">{"'Sheet1'!$L$16"}</definedName>
    <definedName name="_huy2" localSheetId="2" hidden="1">{"'Sheet1'!$L$16"}</definedName>
    <definedName name="_huy2" localSheetId="8" hidden="1">{"'Sheet1'!$L$16"}</definedName>
    <definedName name="_huy2" hidden="1">{"'Sheet1'!$L$16"}</definedName>
    <definedName name="_k" hidden="1">#REF!</definedName>
    <definedName name="_K146" localSheetId="1" hidden="1">{"'Sheet1'!$L$16"}</definedName>
    <definedName name="_K146" localSheetId="2" hidden="1">{"'Sheet1'!$L$16"}</definedName>
    <definedName name="_K146" localSheetId="8" hidden="1">{"'Sheet1'!$L$16"}</definedName>
    <definedName name="_K146" hidden="1">{"'Sheet1'!$L$16"}</definedName>
    <definedName name="_KD2" hidden="1">#REF!</definedName>
    <definedName name="_KD3" hidden="1">#REF!</definedName>
    <definedName name="_Key1" localSheetId="1" hidden="1">#REF!</definedName>
    <definedName name="_Key1" hidden="1">#REF!</definedName>
    <definedName name="_key10" localSheetId="1" hidden="1">#REF!</definedName>
    <definedName name="_key10" hidden="1">#REF!</definedName>
    <definedName name="_KEY12" localSheetId="1" hidden="1">#REF!</definedName>
    <definedName name="_KEY12" hidden="1">#REF!</definedName>
    <definedName name="_key1a" hidden="1">#REF!</definedName>
    <definedName name="_Key1a1" hidden="1">#REF!</definedName>
    <definedName name="_Key1abc" hidden="1">#REF!</definedName>
    <definedName name="_key1as" hidden="1">#REF!</definedName>
    <definedName name="_Key2" localSheetId="1" hidden="1">#REF!</definedName>
    <definedName name="_Key2" hidden="1">#REF!</definedName>
    <definedName name="_key2a" hidden="1">#REF!</definedName>
    <definedName name="_Key2abc" hidden="1">#REF!</definedName>
    <definedName name="_key3abc" hidden="1">#REF!</definedName>
    <definedName name="_key5" localSheetId="1" hidden="1">#REF!</definedName>
    <definedName name="_key5" hidden="1">#REF!</definedName>
    <definedName name="_keydd" localSheetId="1" hidden="1">#REF!</definedName>
    <definedName name="_keydd" hidden="1">#REF!</definedName>
    <definedName name="_kfkf" hidden="1">#REF!</definedName>
    <definedName name="_KK2" hidden="1">#REF!</definedName>
    <definedName name="_KK3" hidden="1">#REF!</definedName>
    <definedName name="_kl11" localSheetId="1" hidden="1">{"'Sheet1'!$L$16"}</definedName>
    <definedName name="_kl11" localSheetId="2" hidden="1">{"'Sheet1'!$L$16"}</definedName>
    <definedName name="_kl11" localSheetId="8" hidden="1">{"'Sheet1'!$L$16"}</definedName>
    <definedName name="_kl11" hidden="1">{"'Sheet1'!$L$16"}</definedName>
    <definedName name="_kl4" localSheetId="1" hidden="1">{"'Sheet1'!$L$16"}</definedName>
    <definedName name="_kl4" localSheetId="2" hidden="1">{"'Sheet1'!$L$16"}</definedName>
    <definedName name="_kl4" localSheetId="8" hidden="1">{"'Sheet1'!$L$16"}</definedName>
    <definedName name="_kl4" hidden="1">{"'Sheet1'!$L$16"}</definedName>
    <definedName name="_kl6" localSheetId="1" hidden="1">{"'Sheet1'!$L$16"}</definedName>
    <definedName name="_kl6" localSheetId="2" hidden="1">{"'Sheet1'!$L$16"}</definedName>
    <definedName name="_kl6" localSheetId="8" hidden="1">{"'Sheet1'!$L$16"}</definedName>
    <definedName name="_kl6" hidden="1">{"'Sheet1'!$L$16"}</definedName>
    <definedName name="_KH12" localSheetId="1" hidden="1">{#N/A,#N/A,FALSE,"Chi tiÆt"}</definedName>
    <definedName name="_KH12" localSheetId="2" hidden="1">{#N/A,#N/A,FALSE,"Chi tiÆt"}</definedName>
    <definedName name="_KH12" localSheetId="8" hidden="1">{#N/A,#N/A,FALSE,"Chi tiÆt"}</definedName>
    <definedName name="_KH12" hidden="1">{#N/A,#N/A,FALSE,"Chi tiÆt"}</definedName>
    <definedName name="_khq3" localSheetId="1" hidden="1">{"'Sheet1'!$L$16"}</definedName>
    <definedName name="_khq3" localSheetId="2" hidden="1">{"'Sheet1'!$L$16"}</definedName>
    <definedName name="_khq3" localSheetId="8" hidden="1">{"'Sheet1'!$L$16"}</definedName>
    <definedName name="_khq3" hidden="1">{"'Sheet1'!$L$16"}</definedName>
    <definedName name="_Lan1" localSheetId="1" hidden="1">{"'Sheet1'!$L$16"}</definedName>
    <definedName name="_Lan1" localSheetId="2" hidden="1">{"'Sheet1'!$L$16"}</definedName>
    <definedName name="_Lan1" localSheetId="8" hidden="1">{"'Sheet1'!$L$16"}</definedName>
    <definedName name="_Lan1" hidden="1">{"'Sheet1'!$L$16"}</definedName>
    <definedName name="_Lan2" localSheetId="1" hidden="1">{"'Sheet1'!$L$16"}</definedName>
    <definedName name="_Lan2" localSheetId="2" hidden="1">{"'Sheet1'!$L$16"}</definedName>
    <definedName name="_Lan2" localSheetId="8" hidden="1">{"'Sheet1'!$L$16"}</definedName>
    <definedName name="_Lan2" hidden="1">{"'Sheet1'!$L$16"}</definedName>
    <definedName name="_LAN3" localSheetId="1" hidden="1">{"'Sheet1'!$L$16"}</definedName>
    <definedName name="_LAN3" localSheetId="2" hidden="1">{"'Sheet1'!$L$16"}</definedName>
    <definedName name="_LAN3" localSheetId="8" hidden="1">{"'Sheet1'!$L$16"}</definedName>
    <definedName name="_LAN3" hidden="1">{"'Sheet1'!$L$16"}</definedName>
    <definedName name="_lao2" localSheetId="1" hidden="1">{"'Sheet1'!$L$16"}</definedName>
    <definedName name="_lao2" localSheetId="2" hidden="1">{"'Sheet1'!$L$16"}</definedName>
    <definedName name="_lao2" localSheetId="8" hidden="1">{"'Sheet1'!$L$16"}</definedName>
    <definedName name="_lao2" hidden="1">{"'Sheet1'!$L$16"}</definedName>
    <definedName name="_ld2" localSheetId="1" hidden="1">{"'Sheet1'!$L$16"}</definedName>
    <definedName name="_ld2" localSheetId="2" hidden="1">{"'Sheet1'!$L$16"}</definedName>
    <definedName name="_ld2" localSheetId="8" hidden="1">{"'Sheet1'!$L$16"}</definedName>
    <definedName name="_ld2" hidden="1">{"'Sheet1'!$L$16"}</definedName>
    <definedName name="_lk2" localSheetId="1" hidden="1">{"'Sheet1'!$L$16"}</definedName>
    <definedName name="_lk2" localSheetId="2" hidden="1">{"'Sheet1'!$L$16"}</definedName>
    <definedName name="_lk2" localSheetId="8" hidden="1">{"'Sheet1'!$L$16"}</definedName>
    <definedName name="_lk2" hidden="1">{"'Sheet1'!$L$16"}</definedName>
    <definedName name="_LLIF" localSheetId="1" hidden="1">#REF!</definedName>
    <definedName name="_LLIF" hidden="1">#REF!</definedName>
    <definedName name="_LLIFF" localSheetId="1" hidden="1">#REF!</definedName>
    <definedName name="_LLIFF" hidden="1">#REF!</definedName>
    <definedName name="_lop111" localSheetId="1" hidden="1">{#N/A,#N/A,FALSE,"特殊室（ＢＱ表）"}</definedName>
    <definedName name="_lop111" localSheetId="2" hidden="1">{#N/A,#N/A,FALSE,"特殊室（ＢＱ表）"}</definedName>
    <definedName name="_lop111" localSheetId="8" hidden="1">{#N/A,#N/A,FALSE,"特殊室（ＢＱ表）"}</definedName>
    <definedName name="_lop111" hidden="1">{#N/A,#N/A,FALSE,"特殊室（ＢＱ表）"}</definedName>
    <definedName name="_M2" localSheetId="1" hidden="1">{"'Sheet1'!$L$16"}</definedName>
    <definedName name="_M2" localSheetId="2" hidden="1">{"'Sheet1'!$L$16"}</definedName>
    <definedName name="_M2" localSheetId="8" hidden="1">{"'Sheet1'!$L$16"}</definedName>
    <definedName name="_M2" hidden="1">{"'Sheet1'!$L$16"}</definedName>
    <definedName name="_M36" localSheetId="1" hidden="1">{"'Sheet1'!$L$16"}</definedName>
    <definedName name="_M36" localSheetId="2" hidden="1">{"'Sheet1'!$L$16"}</definedName>
    <definedName name="_M36" localSheetId="8" hidden="1">{"'Sheet1'!$L$16"}</definedName>
    <definedName name="_M36" hidden="1">{"'Sheet1'!$L$16"}</definedName>
    <definedName name="_m4" localSheetId="1" hidden="1">{"'Sheet1'!$L$16"}</definedName>
    <definedName name="_m4" localSheetId="2" hidden="1">{"'Sheet1'!$L$16"}</definedName>
    <definedName name="_m4" localSheetId="8" hidden="1">{"'Sheet1'!$L$16"}</definedName>
    <definedName name="_m4" hidden="1">{"'Sheet1'!$L$16"}</definedName>
    <definedName name="_MatInverse_In" localSheetId="1"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localSheetId="1" hidden="1">{#N/A,#N/A,FALSE,"CCTV"}</definedName>
    <definedName name="_MCC3" localSheetId="2" hidden="1">{#N/A,#N/A,FALSE,"CCTV"}</definedName>
    <definedName name="_MCC3" localSheetId="8" hidden="1">{#N/A,#N/A,FALSE,"CCTV"}</definedName>
    <definedName name="_MCC3" hidden="1">{#N/A,#N/A,FALSE,"CCTV"}</definedName>
    <definedName name="_nam1" localSheetId="1" hidden="1">{"'Sheet1'!$L$16"}</definedName>
    <definedName name="_nam1" localSheetId="2" hidden="1">{"'Sheet1'!$L$16"}</definedName>
    <definedName name="_nam1" localSheetId="8" hidden="1">{"'Sheet1'!$L$16"}</definedName>
    <definedName name="_nam1" hidden="1">{"'Sheet1'!$L$16"}</definedName>
    <definedName name="_NAM11" localSheetId="1" hidden="1">{#N/A,#N/A,FALSE,"Chi tiÆt"}</definedName>
    <definedName name="_NAM11" localSheetId="2" hidden="1">{#N/A,#N/A,FALSE,"Chi tiÆt"}</definedName>
    <definedName name="_NAM11" localSheetId="8" hidden="1">{#N/A,#N/A,FALSE,"Chi tiÆt"}</definedName>
    <definedName name="_NAM11" hidden="1">{#N/A,#N/A,FALSE,"Chi tiÆt"}</definedName>
    <definedName name="_NO1" localSheetId="1" hidden="1">#REF!</definedName>
    <definedName name="_NO1" hidden="1">#REF!</definedName>
    <definedName name="_NO2" localSheetId="1" hidden="1">#REF!</definedName>
    <definedName name="_NO2" hidden="1">#REF!</definedName>
    <definedName name="_nso1" localSheetId="1" hidden="1">{"'Sheet1'!$L$16"}</definedName>
    <definedName name="_nso1" localSheetId="2" hidden="1">{"'Sheet1'!$L$16"}</definedName>
    <definedName name="_nso1" localSheetId="8" hidden="1">{"'Sheet1'!$L$16"}</definedName>
    <definedName name="_nso1" hidden="1">{"'Sheet1'!$L$16"}</definedName>
    <definedName name="_NSO2" localSheetId="1" hidden="1">{"'Sheet1'!$L$16"}</definedName>
    <definedName name="_NSO2" localSheetId="2" hidden="1">{"'Sheet1'!$L$16"}</definedName>
    <definedName name="_NSO2" localSheetId="8" hidden="1">{"'Sheet1'!$L$16"}</definedName>
    <definedName name="_NSO2" hidden="1">{"'Sheet1'!$L$16"}</definedName>
    <definedName name="_ngk1109" localSheetId="1" hidden="1">{#N/A,#N/A,FALSE,"估價單  (3)"}</definedName>
    <definedName name="_ngk1109" localSheetId="2" hidden="1">{#N/A,#N/A,FALSE,"估價單  (3)"}</definedName>
    <definedName name="_ngk1109" localSheetId="8" hidden="1">{#N/A,#N/A,FALSE,"估價單  (3)"}</definedName>
    <definedName name="_ngk1109" hidden="1">{#N/A,#N/A,FALSE,"估價單  (3)"}</definedName>
    <definedName name="_Order1" hidden="1">255</definedName>
    <definedName name="_Order2" localSheetId="1" hidden="1">0</definedName>
    <definedName name="_Order2" hidden="1">255</definedName>
    <definedName name="_P3" localSheetId="1" hidden="1">{#N/A,#N/A,FALSE,"特殊室（ＢＱ表）"}</definedName>
    <definedName name="_P3" localSheetId="2" hidden="1">{#N/A,#N/A,FALSE,"特殊室（ＢＱ表）"}</definedName>
    <definedName name="_P3" localSheetId="8" hidden="1">{#N/A,#N/A,FALSE,"特殊室（ＢＱ表）"}</definedName>
    <definedName name="_P3" hidden="1">{#N/A,#N/A,FALSE,"特殊室（ＢＱ表）"}</definedName>
    <definedName name="_pa2" localSheetId="1" hidden="1">{"'Sheet1'!$L$16"}</definedName>
    <definedName name="_pa2" localSheetId="2" hidden="1">{"'Sheet1'!$L$16"}</definedName>
    <definedName name="_pa2" localSheetId="8" hidden="1">{"'Sheet1'!$L$16"}</definedName>
    <definedName name="_pa2" hidden="1">{"'Sheet1'!$L$16"}</definedName>
    <definedName name="_pa22" localSheetId="1" hidden="1">{"'ROOF'!$B$6","'ROOF'!$B$6","'ROOF'!$B$6","'ROOF'!$B$6"}</definedName>
    <definedName name="_pa22" localSheetId="2" hidden="1">{"'ROOF'!$B$6","'ROOF'!$B$6","'ROOF'!$B$6","'ROOF'!$B$6"}</definedName>
    <definedName name="_pa22" localSheetId="8" hidden="1">{"'ROOF'!$B$6","'ROOF'!$B$6","'ROOF'!$B$6","'ROOF'!$B$6"}</definedName>
    <definedName name="_pa22" hidden="1">{"'ROOF'!$B$6","'ROOF'!$B$6","'ROOF'!$B$6","'ROOF'!$B$6"}</definedName>
    <definedName name="_PA3" localSheetId="1" hidden="1">{"'Sheet1'!$L$16"}</definedName>
    <definedName name="_PA3" localSheetId="2" hidden="1">{"'Sheet1'!$L$16"}</definedName>
    <definedName name="_PA3" localSheetId="8" hidden="1">{"'Sheet1'!$L$16"}</definedName>
    <definedName name="_PA3" hidden="1">{"'Sheet1'!$L$16"}</definedName>
    <definedName name="_Parse_In" hidden="1">#REF!</definedName>
    <definedName name="_Parse_Out" localSheetId="1" hidden="1">#REF!</definedName>
    <definedName name="_Parse_Out" hidden="1">#REF!</definedName>
    <definedName name="_pc120">#REF!</definedName>
    <definedName name="_pc200">#REF!</definedName>
    <definedName name="_pc300">#REF!</definedName>
    <definedName name="_PK2" localSheetId="1" hidden="1">{"'장비'!$A$3:$M$12"}</definedName>
    <definedName name="_PK2" localSheetId="2" hidden="1">{"'장비'!$A$3:$M$12"}</definedName>
    <definedName name="_PK2" localSheetId="8" hidden="1">{"'장비'!$A$3:$M$12"}</definedName>
    <definedName name="_PK2" hidden="1">{"'장비'!$A$3:$M$12"}</definedName>
    <definedName name="_PKG3" localSheetId="1" hidden="1">{"'장비'!$A$3:$M$12"}</definedName>
    <definedName name="_PKG3" localSheetId="2" hidden="1">{"'장비'!$A$3:$M$12"}</definedName>
    <definedName name="_PKG3" localSheetId="8" hidden="1">{"'장비'!$A$3:$M$12"}</definedName>
    <definedName name="_PKG3" hidden="1">{"'장비'!$A$3:$M$12"}</definedName>
    <definedName name="_PP1" localSheetId="1" hidden="1">{#N/A,#N/A,FALSE,"CCTV"}</definedName>
    <definedName name="_PP1" localSheetId="2" hidden="1">{#N/A,#N/A,FALSE,"CCTV"}</definedName>
    <definedName name="_PP1" localSheetId="8" hidden="1">{#N/A,#N/A,FALSE,"CCTV"}</definedName>
    <definedName name="_PP1" hidden="1">{#N/A,#N/A,FALSE,"CCTV"}</definedName>
    <definedName name="_PPP3" localSheetId="1" hidden="1">{#N/A,#N/A,FALSE,"特殊室（ＢＱ表）"}</definedName>
    <definedName name="_PPP3" localSheetId="2" hidden="1">{#N/A,#N/A,FALSE,"特殊室（ＢＱ表）"}</definedName>
    <definedName name="_PPP3" localSheetId="8" hidden="1">{#N/A,#N/A,FALSE,"特殊室（ＢＱ表）"}</definedName>
    <definedName name="_PPP3" hidden="1">{#N/A,#N/A,FALSE,"特殊室（ＢＱ表）"}</definedName>
    <definedName name="_PPP33" localSheetId="1" hidden="1">{#N/A,#N/A,FALSE,"特殊室（ＢＱ表）"}</definedName>
    <definedName name="_PPP33" localSheetId="2" hidden="1">{#N/A,#N/A,FALSE,"特殊室（ＢＱ表）"}</definedName>
    <definedName name="_PPP33" localSheetId="8" hidden="1">{#N/A,#N/A,FALSE,"特殊室（ＢＱ表）"}</definedName>
    <definedName name="_PPP33" hidden="1">{#N/A,#N/A,FALSE,"特殊室（ＢＱ表）"}</definedName>
    <definedName name="_ppp34" localSheetId="1" hidden="1">{#N/A,#N/A,FALSE,"特殊室（ＢＱ表）"}</definedName>
    <definedName name="_ppp34" localSheetId="2" hidden="1">{#N/A,#N/A,FALSE,"特殊室（ＢＱ表）"}</definedName>
    <definedName name="_ppp34" localSheetId="8" hidden="1">{#N/A,#N/A,FALSE,"特殊室（ＢＱ表）"}</definedName>
    <definedName name="_ppp34" hidden="1">{#N/A,#N/A,FALSE,"特殊室（ＢＱ表）"}</definedName>
    <definedName name="_ppp3444" localSheetId="1" hidden="1">{#N/A,#N/A,FALSE,"特殊室（ＢＱ表）"}</definedName>
    <definedName name="_ppp3444" localSheetId="2" hidden="1">{#N/A,#N/A,FALSE,"特殊室（ＢＱ表）"}</definedName>
    <definedName name="_ppp3444" localSheetId="8" hidden="1">{#N/A,#N/A,FALSE,"特殊室（ＢＱ表）"}</definedName>
    <definedName name="_ppp3444" hidden="1">{#N/A,#N/A,FALSE,"特殊室（ＢＱ表）"}</definedName>
    <definedName name="_pvc2">#REF!</definedName>
    <definedName name="_pvc3">#REF!</definedName>
    <definedName name="_pvc4">#REF!</definedName>
    <definedName name="_phu3" localSheetId="1" hidden="1">{"'Sheet1'!$L$16"}</definedName>
    <definedName name="_phu3" localSheetId="2" hidden="1">{"'Sheet1'!$L$16"}</definedName>
    <definedName name="_phu3" localSheetId="8" hidden="1">{"'Sheet1'!$L$16"}</definedName>
    <definedName name="_phu3" hidden="1">{"'Sheet1'!$L$16"}</definedName>
    <definedName name="_q45" localSheetId="1" hidden="1">{"'용역비'!$A$4:$C$8"}</definedName>
    <definedName name="_q45" localSheetId="2" hidden="1">{"'용역비'!$A$4:$C$8"}</definedName>
    <definedName name="_q45" localSheetId="8" hidden="1">{"'용역비'!$A$4:$C$8"}</definedName>
    <definedName name="_q45" hidden="1">{"'용역비'!$A$4:$C$8"}</definedName>
    <definedName name="_qqq222" localSheetId="1" hidden="1">{"'장비'!$A$3:$M$12"}</definedName>
    <definedName name="_qqq222" localSheetId="2" hidden="1">{"'장비'!$A$3:$M$12"}</definedName>
    <definedName name="_qqq222" localSheetId="8" hidden="1">{"'장비'!$A$3:$M$12"}</definedName>
    <definedName name="_qqq222" hidden="1">{"'장비'!$A$3:$M$12"}</definedName>
    <definedName name="_r" localSheetId="1" hidden="1">{"'Sheet1'!$L$16"}</definedName>
    <definedName name="_r" localSheetId="2" hidden="1">{"'Sheet1'!$L$16"}</definedName>
    <definedName name="_r" localSheetId="8" hidden="1">{"'Sheet1'!$L$16"}</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localSheetId="1" hidden="1">#REF!</definedName>
    <definedName name="_Regression_Out" hidden="1">#REF!</definedName>
    <definedName name="_Regression_X" localSheetId="1" hidden="1">#REF!</definedName>
    <definedName name="_Regression_X" hidden="1">#REF!</definedName>
    <definedName name="_Regression_Y" localSheetId="1" hidden="1">#REF!</definedName>
    <definedName name="_Regression_Y" hidden="1">#REF!</definedName>
    <definedName name="_REV1" localSheetId="1" hidden="1">{#N/A,#N/A,TRUE,"Str.";#N/A,#N/A,TRUE,"Steel &amp; Roof";#N/A,#N/A,TRUE,"Arc.";#N/A,#N/A,TRUE,"Preliminary";#N/A,#N/A,TRUE,"Sum_Prelim"}</definedName>
    <definedName name="_REV1" localSheetId="2" hidden="1">{#N/A,#N/A,TRUE,"Str.";#N/A,#N/A,TRUE,"Steel &amp; Roof";#N/A,#N/A,TRUE,"Arc.";#N/A,#N/A,TRUE,"Preliminary";#N/A,#N/A,TRUE,"Sum_Prelim"}</definedName>
    <definedName name="_REV1" localSheetId="8" hidden="1">{#N/A,#N/A,TRUE,"Str.";#N/A,#N/A,TRUE,"Steel &amp; Roof";#N/A,#N/A,TRUE,"Arc.";#N/A,#N/A,TRUE,"Preliminary";#N/A,#N/A,TRUE,"Sum_Prelim"}</definedName>
    <definedName name="_REV1" hidden="1">{#N/A,#N/A,TRUE,"Str.";#N/A,#N/A,TRUE,"Steel &amp; Roof";#N/A,#N/A,TRUE,"Arc.";#N/A,#N/A,TRUE,"Preliminary";#N/A,#N/A,TRUE,"Sum_Prelim"}</definedName>
    <definedName name="_Rh90" localSheetId="1" hidden="1">{"'Sheet1'!$L$16"}</definedName>
    <definedName name="_Rh90" localSheetId="2" hidden="1">{"'Sheet1'!$L$16"}</definedName>
    <definedName name="_Rh90" localSheetId="8" hidden="1">{"'Sheet1'!$L$16"}</definedName>
    <definedName name="_Rh90" hidden="1">{"'Sheet1'!$L$16"}</definedName>
    <definedName name="_s" hidden="1">#REF!</definedName>
    <definedName name="_SCL4" localSheetId="1" hidden="1">{"'Sheet1'!$L$16"}</definedName>
    <definedName name="_SCL4" localSheetId="2" hidden="1">{"'Sheet1'!$L$16"}</definedName>
    <definedName name="_SCL4" localSheetId="8" hidden="1">{"'Sheet1'!$L$16"}</definedName>
    <definedName name="_SCL4" hidden="1">{"'Sheet1'!$L$16"}</definedName>
    <definedName name="_SCL4_1" localSheetId="1" hidden="1">{"'Sheet1'!$L$16"}</definedName>
    <definedName name="_SCL4_1" localSheetId="2" hidden="1">{"'Sheet1'!$L$16"}</definedName>
    <definedName name="_SCL4_1" localSheetId="8" hidden="1">{"'Sheet1'!$L$16"}</definedName>
    <definedName name="_SCL4_1" hidden="1">{"'Sheet1'!$L$16"}</definedName>
    <definedName name="_SHI1" localSheetId="1" hidden="1">{"'Sheet1'!$L$16"}</definedName>
    <definedName name="_SHI1" localSheetId="2" hidden="1">{"'Sheet1'!$L$16"}</definedName>
    <definedName name="_SHI1" localSheetId="8" hidden="1">{"'Sheet1'!$L$16"}</definedName>
    <definedName name="_SHI1" hidden="1">{"'Sheet1'!$L$16"}</definedName>
    <definedName name="_Sort" localSheetId="1" hidden="1">#REF!</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localSheetId="1" hidden="1">#REF!</definedName>
    <definedName name="_Sortmoi" hidden="1">#REF!</definedName>
    <definedName name="_SP18">#REF!</definedName>
    <definedName name="_ss1" localSheetId="1" hidden="1">{0}</definedName>
    <definedName name="_ss1" localSheetId="2" hidden="1">{0}</definedName>
    <definedName name="_ss1" localSheetId="8" hidden="1">{0}</definedName>
    <definedName name="_ss1" hidden="1">{0}</definedName>
    <definedName name="_ss4" localSheetId="1" hidden="1">{0,0,0,0;0,0,0,0;0,0,0,0;0,0,0,0;0,0,0,0;0,0,0,0;0,0,0,0}</definedName>
    <definedName name="_ss4" localSheetId="2" hidden="1">{0,0,0,0;0,0,0,0;0,0,0,0;0,0,0,0;0,0,0,0;0,0,0,0;0,0,0,0}</definedName>
    <definedName name="_ss4" localSheetId="8" hidden="1">{0,0,0,0;0,0,0,0;0,0,0,0;0,0,0,0;0,0,0,0;0,0,0,0;0,0,0,0}</definedName>
    <definedName name="_ss4" hidden="1">{0,0,0,0;0,0,0,0;0,0,0,0;0,0,0,0;0,0,0,0;0,0,0,0;0,0,0,0}</definedName>
    <definedName name="_sum1" hidden="1">#REF!</definedName>
    <definedName name="_SXT3" localSheetId="1" hidden="1">{#N/A,#N/A,FALSE,"Chi tiÆt"}</definedName>
    <definedName name="_SXT3" localSheetId="2" hidden="1">{#N/A,#N/A,FALSE,"Chi tiÆt"}</definedName>
    <definedName name="_SXT3" localSheetId="8" hidden="1">{#N/A,#N/A,FALSE,"Chi tiÆt"}</definedName>
    <definedName name="_SXT3" hidden="1">{#N/A,#N/A,FALSE,"Chi tiÆt"}</definedName>
    <definedName name="_sxt5" localSheetId="1" hidden="1">{"'Sheet1'!$L$16"}</definedName>
    <definedName name="_sxt5" localSheetId="2" hidden="1">{"'Sheet1'!$L$16"}</definedName>
    <definedName name="_sxt5" localSheetId="8" hidden="1">{"'Sheet1'!$L$16"}</definedName>
    <definedName name="_sxt5" hidden="1">{"'Sheet1'!$L$16"}</definedName>
    <definedName name="_sxt6" localSheetId="1" hidden="1">{#N/A,#N/A,FALSE,"Chi tiÆt"}</definedName>
    <definedName name="_sxt6" localSheetId="2" hidden="1">{#N/A,#N/A,FALSE,"Chi tiÆt"}</definedName>
    <definedName name="_sxt6" localSheetId="8" hidden="1">{#N/A,#N/A,FALSE,"Chi tiÆt"}</definedName>
    <definedName name="_sxt6" hidden="1">{#N/A,#N/A,FALSE,"Chi tiÆt"}</definedName>
    <definedName name="_T1" localSheetId="1" hidden="1">{#N/A,#N/A,FALSE,"Chi tiÆt"}</definedName>
    <definedName name="_T1" localSheetId="2" hidden="1">{#N/A,#N/A,FALSE,"Chi tiÆt"}</definedName>
    <definedName name="_T1" localSheetId="8" hidden="1">{#N/A,#N/A,FALSE,"Chi tiÆt"}</definedName>
    <definedName name="_T1" hidden="1">{#N/A,#N/A,FALSE,"Chi tiÆt"}</definedName>
    <definedName name="_T10" localSheetId="1" hidden="1">{"'Sheet1'!$L$16"}</definedName>
    <definedName name="_T10" localSheetId="2" hidden="1">{"'Sheet1'!$L$16"}</definedName>
    <definedName name="_T10" localSheetId="8" hidden="1">{"'Sheet1'!$L$16"}</definedName>
    <definedName name="_T10" hidden="1">{"'Sheet1'!$L$16"}</definedName>
    <definedName name="_t112" localSheetId="1" hidden="1">{#N/A,#N/A,FALSE,"Chi tiÆt"}</definedName>
    <definedName name="_t112" localSheetId="2" hidden="1">{#N/A,#N/A,FALSE,"Chi tiÆt"}</definedName>
    <definedName name="_t112" localSheetId="8" hidden="1">{#N/A,#N/A,FALSE,"Chi tiÆt"}</definedName>
    <definedName name="_t112" hidden="1">{#N/A,#N/A,FALSE,"Chi tiÆt"}</definedName>
    <definedName name="_T12" localSheetId="1" hidden="1">{"'Sheet1'!$L$16"}</definedName>
    <definedName name="_T12" localSheetId="2" hidden="1">{"'Sheet1'!$L$16"}</definedName>
    <definedName name="_T12" localSheetId="8" hidden="1">{"'Sheet1'!$L$16"}</definedName>
    <definedName name="_T12" hidden="1">{"'Sheet1'!$L$16"}</definedName>
    <definedName name="_T2" localSheetId="1" hidden="1">{"'Sheet1'!$L$16"}</definedName>
    <definedName name="_t2" localSheetId="2" hidden="1">{"'Sheet1'!$L$16"}</definedName>
    <definedName name="_t2" localSheetId="8" hidden="1">{"'Sheet1'!$L$16"}</definedName>
    <definedName name="_t2" hidden="1">{"'Sheet1'!$L$16"}</definedName>
    <definedName name="_T3" localSheetId="1" hidden="1">{"'Sheet1'!$L$16"}</definedName>
    <definedName name="_T3" localSheetId="2" hidden="1">{"'Sheet1'!$L$16"}</definedName>
    <definedName name="_T3" localSheetId="8" hidden="1">{"'Sheet1'!$L$16"}</definedName>
    <definedName name="_T3" hidden="1">{"'Sheet1'!$L$16"}</definedName>
    <definedName name="_t4" localSheetId="1" hidden="1">{"'Sheet1'!$L$16"}</definedName>
    <definedName name="_t4" localSheetId="2" hidden="1">{"'Sheet1'!$L$16"}</definedName>
    <definedName name="_t4" localSheetId="8" hidden="1">{"'Sheet1'!$L$16"}</definedName>
    <definedName name="_t4" hidden="1">{"'Sheet1'!$L$16"}</definedName>
    <definedName name="_t5" localSheetId="1" hidden="1">{"'Sheet1'!$L$16"}</definedName>
    <definedName name="_t5" localSheetId="2" hidden="1">{"'Sheet1'!$L$16"}</definedName>
    <definedName name="_t5" localSheetId="8" hidden="1">{"'Sheet1'!$L$16"}</definedName>
    <definedName name="_t5" hidden="1">{"'Sheet1'!$L$16"}</definedName>
    <definedName name="_t9" localSheetId="1" hidden="1">{"'Sheet1'!$L$16"}</definedName>
    <definedName name="_T9" localSheetId="2" hidden="1">{#N/A,#N/A,FALSE,"Chi tiÆt"}</definedName>
    <definedName name="_T9" localSheetId="8" hidden="1">{#N/A,#N/A,FALSE,"Chi tiÆt"}</definedName>
    <definedName name="_T9" hidden="1">{#N/A,#N/A,FALSE,"Chi tiÆt"}</definedName>
    <definedName name="_Table1_In1" localSheetId="1" hidden="1">#REF!</definedName>
    <definedName name="_Table1_In1" hidden="1">#REF!</definedName>
    <definedName name="_Table1_Out" localSheetId="1" hidden="1">#REF!</definedName>
    <definedName name="_Table1_Out" hidden="1">#REF!</definedName>
    <definedName name="_Table2_In1" localSheetId="1" hidden="1">#REF!</definedName>
    <definedName name="_Table2_In1" hidden="1">#REF!</definedName>
    <definedName name="_Table2_In2" localSheetId="1" hidden="1">#REF!</definedName>
    <definedName name="_Table2_In2" hidden="1">#REF!</definedName>
    <definedName name="_Table2_Out" localSheetId="1" hidden="1">#REF!</definedName>
    <definedName name="_Table2_Out" hidden="1">#REF!</definedName>
    <definedName name="_TB1">#REF!</definedName>
    <definedName name="_tb2" localSheetId="1" hidden="1">{"'Sheet1'!$L$16"}</definedName>
    <definedName name="_tb2" localSheetId="2" hidden="1">{"'Sheet1'!$L$16"}</definedName>
    <definedName name="_tb2" localSheetId="8" hidden="1">{"'Sheet1'!$L$16"}</definedName>
    <definedName name="_tb2" hidden="1">{"'Sheet1'!$L$16"}</definedName>
    <definedName name="_td1" localSheetId="1" hidden="1">{"'Sheet1'!$L$16"}</definedName>
    <definedName name="_td1" localSheetId="2" hidden="1">{"'Sheet1'!$L$16"}</definedName>
    <definedName name="_td1" localSheetId="8" hidden="1">{"'Sheet1'!$L$16"}</definedName>
    <definedName name="_td1" hidden="1">{"'Sheet1'!$L$16"}</definedName>
    <definedName name="_TM2" localSheetId="1" hidden="1">{"'Sheet1'!$L$16"}</definedName>
    <definedName name="_TM2" localSheetId="2" hidden="1">{"'Sheet1'!$L$16"}</definedName>
    <definedName name="_TM2" localSheetId="8" hidden="1">{"'Sheet1'!$L$16"}</definedName>
    <definedName name="_TM2" hidden="1">{"'Sheet1'!$L$16"}</definedName>
    <definedName name="_TT04" hidden="1">#REF!</definedName>
    <definedName name="_TT11" localSheetId="1" hidden="1">{"'Sheet1'!$L$16"}</definedName>
    <definedName name="_TT11" localSheetId="2" hidden="1">{"'Sheet1'!$L$16"}</definedName>
    <definedName name="_TT11" localSheetId="8" hidden="1">{"'Sheet1'!$L$16"}</definedName>
    <definedName name="_TT11" hidden="1">{"'Sheet1'!$L$16"}</definedName>
    <definedName name="_tt3" localSheetId="1" hidden="1">{"'Sheet1'!$L$16"}</definedName>
    <definedName name="_tt3" localSheetId="2" hidden="1">{"'Sheet1'!$L$16"}</definedName>
    <definedName name="_tt3" localSheetId="8" hidden="1">{"'Sheet1'!$L$16"}</definedName>
    <definedName name="_tt3" hidden="1">{"'Sheet1'!$L$16"}</definedName>
    <definedName name="_TT31" localSheetId="1" hidden="1">{"'Sheet1'!$L$16"}</definedName>
    <definedName name="_TT31" localSheetId="2" hidden="1">{"'Sheet1'!$L$16"}</definedName>
    <definedName name="_TT31" localSheetId="8" hidden="1">{"'Sheet1'!$L$16"}</definedName>
    <definedName name="_TT31" hidden="1">{"'Sheet1'!$L$16"}</definedName>
    <definedName name="_TT623" localSheetId="1" hidden="1">{"'Sheet1'!$L$16"}</definedName>
    <definedName name="_TT623" localSheetId="2" hidden="1">{"'Sheet1'!$L$16"}</definedName>
    <definedName name="_TT623" localSheetId="8" hidden="1">{"'Sheet1'!$L$16"}</definedName>
    <definedName name="_TT623" hidden="1">{"'Sheet1'!$L$16"}</definedName>
    <definedName name="_ttt1" localSheetId="1" hidden="1">{"'Sheet1'!$L$16"}</definedName>
    <definedName name="_ttt1" localSheetId="2" hidden="1">{"'Sheet1'!$L$16"}</definedName>
    <definedName name="_ttt1" localSheetId="8" hidden="1">{"'Sheet1'!$L$16"}</definedName>
    <definedName name="_ttt1" hidden="1">{"'Sheet1'!$L$16"}</definedName>
    <definedName name="_tu4" localSheetId="1" hidden="1">{"'Sheet1'!$L$16"}</definedName>
    <definedName name="_tu4" localSheetId="2" hidden="1">{"'Sheet1'!$L$16"}</definedName>
    <definedName name="_tu4" localSheetId="8" hidden="1">{"'Sheet1'!$L$16"}</definedName>
    <definedName name="_tu4" hidden="1">{"'Sheet1'!$L$16"}</definedName>
    <definedName name="_TV2" localSheetId="1" hidden="1">{"'Sheet1'!$L$16"}</definedName>
    <definedName name="_TV2" localSheetId="2" hidden="1">{"'Sheet1'!$L$16"}</definedName>
    <definedName name="_TV2" localSheetId="8" hidden="1">{"'Sheet1'!$L$16"}</definedName>
    <definedName name="_TV2" hidden="1">{"'Sheet1'!$L$16"}</definedName>
    <definedName name="_TH1" localSheetId="1" hidden="1">{"'Sheet1'!$L$16"}</definedName>
    <definedName name="_TH1" localSheetId="2" hidden="1">{"'Sheet1'!$L$16"}</definedName>
    <definedName name="_TH1" localSheetId="8" hidden="1">{"'Sheet1'!$L$16"}</definedName>
    <definedName name="_TH1" hidden="1">{"'Sheet1'!$L$16"}</definedName>
    <definedName name="_tha1" localSheetId="1" hidden="1">{"'Sheet1'!$L$16"}</definedName>
    <definedName name="_tha1" localSheetId="2" hidden="1">{"'Sheet1'!$L$16"}</definedName>
    <definedName name="_tha1" localSheetId="8" hidden="1">{"'Sheet1'!$L$16"}</definedName>
    <definedName name="_tha1" hidden="1">{"'Sheet1'!$L$16"}</definedName>
    <definedName name="_THT11" localSheetId="1" hidden="1">{"'Sheet1'!$L$16"}</definedName>
    <definedName name="_THT11" localSheetId="2" hidden="1">{"'Sheet1'!$L$16"}</definedName>
    <definedName name="_THT11" localSheetId="8" hidden="1">{"'Sheet1'!$L$16"}</definedName>
    <definedName name="_THT11" hidden="1">{"'Sheet1'!$L$16"}</definedName>
    <definedName name="_thu1">#REF!</definedName>
    <definedName name="_Unknown_User_Defined_Name_0" localSheetId="1" hidden="1">#REF!</definedName>
    <definedName name="_Unknown_User_Defined_Name_0" hidden="1">#REF!</definedName>
    <definedName name="_Unknown_User_Defined_Name_1" localSheetId="1" hidden="1">#REF!</definedName>
    <definedName name="_Unknown_User_Defined_Name_1" hidden="1">#REF!</definedName>
    <definedName name="_Unknown_User_Defined_Name_2" localSheetId="1" hidden="1">#REF!</definedName>
    <definedName name="_Unknown_User_Defined_Name_2" hidden="1">#REF!</definedName>
    <definedName name="_Unknown_User_Defined_Name_3" localSheetId="1" hidden="1">#REF!</definedName>
    <definedName name="_Unknown_User_Defined_Name_3" hidden="1">#REF!</definedName>
    <definedName name="_vl1" localSheetId="1" hidden="1">{"'Sheet1'!$L$16"}</definedName>
    <definedName name="_vl1" localSheetId="2" hidden="1">{"'Sheet1'!$L$16"}</definedName>
    <definedName name="_vl1" localSheetId="8" hidden="1">{"'Sheet1'!$L$16"}</definedName>
    <definedName name="_vl1" hidden="1">{"'Sheet1'!$L$16"}</definedName>
    <definedName name="_VO15" localSheetId="1" hidden="1">{"'CPA Sum'!$A$1:$X$30","'CPA'!$A$1:$K$187","'Infra Cost'!$A$1:$Q$30","'Dev't Cost'!$A$1:$AH$40","'Cashflow'!$A$1:$DG$82"}</definedName>
    <definedName name="_VO15" localSheetId="2" hidden="1">{"'CPA Sum'!$A$1:$X$30","'CPA'!$A$1:$K$187","'Infra Cost'!$A$1:$Q$30","'Dev't Cost'!$A$1:$AH$40","'Cashflow'!$A$1:$DG$82"}</definedName>
    <definedName name="_VO15" localSheetId="8" hidden="1">{"'CPA Sum'!$A$1:$X$30","'CPA'!$A$1:$K$187","'Infra Cost'!$A$1:$Q$30","'Dev't Cost'!$A$1:$AH$40","'Cashflow'!$A$1:$DG$82"}</definedName>
    <definedName name="_VO15" hidden="1">{"'CPA Sum'!$A$1:$X$30","'CPA'!$A$1:$K$187","'Infra Cost'!$A$1:$Q$30","'Dev't Cost'!$A$1:$AH$40","'Cashflow'!$A$1:$DG$82"}</definedName>
    <definedName name="_vpt5" localSheetId="1" hidden="1">{"'Sheet1'!$L$16"}</definedName>
    <definedName name="_vpt5" localSheetId="2" hidden="1">{"'Sheet1'!$L$16"}</definedName>
    <definedName name="_vpt5" localSheetId="8" hidden="1">{"'Sheet1'!$L$16"}</definedName>
    <definedName name="_vpt5" hidden="1">{"'Sheet1'!$L$16"}</definedName>
    <definedName name="_vpt6" localSheetId="1" hidden="1">{"'Sheet1'!$L$16"}</definedName>
    <definedName name="_vpt6" localSheetId="2" hidden="1">{"'Sheet1'!$L$16"}</definedName>
    <definedName name="_vpt6" localSheetId="8" hidden="1">{"'Sheet1'!$L$16"}</definedName>
    <definedName name="_vpt6" hidden="1">{"'Sheet1'!$L$16"}</definedName>
    <definedName name="_VT3" localSheetId="1" hidden="1">{"'Sheet1'!$L$16"}</definedName>
    <definedName name="_VT3" localSheetId="2" hidden="1">{"'Sheet1'!$L$16"}</definedName>
    <definedName name="_VT3" localSheetId="8" hidden="1">{"'Sheet1'!$L$16"}</definedName>
    <definedName name="_VT3" hidden="1">{"'Sheet1'!$L$16"}</definedName>
    <definedName name="_VT675" localSheetId="1" hidden="1">{"Offgrid",#N/A,FALSE,"OFFGRID";"Region",#N/A,FALSE,"REGION";"Offgrid -2",#N/A,FALSE,"OFFGRID";"WTP",#N/A,FALSE,"WTP";"WTP -2",#N/A,FALSE,"WTP";"Project",#N/A,FALSE,"PROJECT";"Summary -2",#N/A,FALSE,"SUMMARY"}</definedName>
    <definedName name="_VT675" localSheetId="2" hidden="1">{"Offgrid",#N/A,FALSE,"OFFGRID";"Region",#N/A,FALSE,"REGION";"Offgrid -2",#N/A,FALSE,"OFFGRID";"WTP",#N/A,FALSE,"WTP";"WTP -2",#N/A,FALSE,"WTP";"Project",#N/A,FALSE,"PROJECT";"Summary -2",#N/A,FALSE,"SUMMARY"}</definedName>
    <definedName name="_VT675" localSheetId="8" hidden="1">{"Offgrid",#N/A,FALSE,"OFFGRID";"Region",#N/A,FALSE,"REGION";"Offgrid -2",#N/A,FALSE,"OFFGRID";"WTP",#N/A,FALSE,"WTP";"WTP -2",#N/A,FALSE,"WTP";"Project",#N/A,FALSE,"PROJECT";"Summary -2",#N/A,FALSE,"SUMMARY"}</definedName>
    <definedName name="_VT675" hidden="1">{"Offgrid",#N/A,FALSE,"OFFGRID";"Region",#N/A,FALSE,"REGION";"Offgrid -2",#N/A,FALSE,"OFFGRID";"WTP",#N/A,FALSE,"WTP";"WTP -2",#N/A,FALSE,"WTP";"Project",#N/A,FALSE,"PROJECT";"Summary -2",#N/A,FALSE,"SUMMARY"}</definedName>
    <definedName name="_VT676" localSheetId="1"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6" localSheetId="8"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localSheetId="1"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7" localSheetId="8"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localSheetId="1"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8" localSheetId="8"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localSheetId="1"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VT679" localSheetId="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localSheetId="1" hidden="1">{#N/A,#N/A,FALSE,"mgtsum.XLS";#N/A,#N/A,FALSE,"CAPONE";#N/A,#N/A,FALSE,"CAPTWO";#N/A,#N/A,FALSE,"CAPTHREE"}</definedName>
    <definedName name="_WRN2.P854._.addendum." localSheetId="2" hidden="1">{#N/A,#N/A,FALSE,"mgtsum.XLS";#N/A,#N/A,FALSE,"CAPONE";#N/A,#N/A,FALSE,"CAPTWO";#N/A,#N/A,FALSE,"CAPTHREE"}</definedName>
    <definedName name="_WRN2.P854._.addendum." localSheetId="8" hidden="1">{#N/A,#N/A,FALSE,"mgtsum.XLS";#N/A,#N/A,FALSE,"CAPONE";#N/A,#N/A,FALSE,"CAPTWO";#N/A,#N/A,FALSE,"CAPTHREE"}</definedName>
    <definedName name="_WRN2.P854._.addendum." hidden="1">{#N/A,#N/A,FALSE,"mgtsum.XLS";#N/A,#N/A,FALSE,"CAPONE";#N/A,#N/A,FALSE,"CAPTWO";#N/A,#N/A,FALSE,"CAPTHREE"}</definedName>
    <definedName name="_wrn3.p854._.addendum." localSheetId="1" hidden="1">{#N/A,#N/A,FALSE,"mgtsum.XLS";#N/A,#N/A,FALSE,"CAPONE";#N/A,#N/A,FALSE,"CAPTWO";#N/A,#N/A,FALSE,"CAPTHREE"}</definedName>
    <definedName name="_wrn3.p854._.addendum." localSheetId="2" hidden="1">{#N/A,#N/A,FALSE,"mgtsum.XLS";#N/A,#N/A,FALSE,"CAPONE";#N/A,#N/A,FALSE,"CAPTWO";#N/A,#N/A,FALSE,"CAPTHREE"}</definedName>
    <definedName name="_wrn3.p854._.addendum." localSheetId="8" hidden="1">{#N/A,#N/A,FALSE,"mgtsum.XLS";#N/A,#N/A,FALSE,"CAPONE";#N/A,#N/A,FALSE,"CAPTWO";#N/A,#N/A,FALSE,"CAPTHREE"}</definedName>
    <definedName name="_wrn3.p854._.addendum." hidden="1">{#N/A,#N/A,FALSE,"mgtsum.XLS";#N/A,#N/A,FALSE,"CAPONE";#N/A,#N/A,FALSE,"CAPTWO";#N/A,#N/A,FALSE,"CAPTHREE"}</definedName>
    <definedName name="_재ㅐ햐" hidden="1">#REF!</definedName>
    <definedName name="¸d" localSheetId="1" hidden="1">{"'Sheet1'!$L$16"}</definedName>
    <definedName name="¸d" localSheetId="2" hidden="1">{"'Sheet1'!$L$16"}</definedName>
    <definedName name="¸d" localSheetId="8" hidden="1">{"'Sheet1'!$L$16"}</definedName>
    <definedName name="¸d" hidden="1">{"'Sheet1'!$L$16"}</definedName>
    <definedName name="¸df" localSheetId="1" hidden="1">#REF!</definedName>
    <definedName name="¸df" hidden="1">#REF!</definedName>
    <definedName name="¸dfsad" hidden="1">#REF!</definedName>
    <definedName name="¼QRWERQWR" hidden="1">#REF!</definedName>
    <definedName name="­234w4q324q32" hidden="1">#REF!</definedName>
    <definedName name="a" localSheetId="1" hidden="1">{"'Sheet1'!$L$16"}</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localSheetId="1" hidden="1">{"Offgrid",#N/A,FALSE,"OFFGRID";"Region",#N/A,FALSE,"REGION";"Offgrid -2",#N/A,FALSE,"OFFGRID";"WTP",#N/A,FALSE,"WTP";"WTP -2",#N/A,FALSE,"WTP";"Project",#N/A,FALSE,"PROJECT";"Summary -2",#N/A,FALSE,"SUMMARY"}</definedName>
    <definedName name="a129_xoa" localSheetId="2" hidden="1">{"Offgrid",#N/A,FALSE,"OFFGRID";"Region",#N/A,FALSE,"REGION";"Offgrid -2",#N/A,FALSE,"OFFGRID";"WTP",#N/A,FALSE,"WTP";"WTP -2",#N/A,FALSE,"WTP";"Project",#N/A,FALSE,"PROJECT";"Summary -2",#N/A,FALSE,"SUMMARY"}</definedName>
    <definedName name="a129_xoa" localSheetId="8"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1"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29_xoaxoa" localSheetId="8"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1"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 localSheetId="8"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1"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30_xoaxoa" localSheetId="8"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localSheetId="1" hidden="1">{"'Sheet1'!$L$16"}</definedName>
    <definedName name="a1moi" localSheetId="2" hidden="1">{"'Sheet1'!$L$16"}</definedName>
    <definedName name="a1moi" localSheetId="8" hidden="1">{"'Sheet1'!$L$16"}</definedName>
    <definedName name="a1moi" hidden="1">{"'Sheet1'!$L$16"}</definedName>
    <definedName name="a3rt" localSheetId="1" hidden="1">{"'Sheet1'!$L$16"}</definedName>
    <definedName name="a3rt" localSheetId="2" hidden="1">{"'Sheet1'!$L$16"}</definedName>
    <definedName name="a3rt" localSheetId="8" hidden="1">{"'Sheet1'!$L$16"}</definedName>
    <definedName name="a3rt" hidden="1">{"'Sheet1'!$L$16"}</definedName>
    <definedName name="aa" localSheetId="1" hidden="1">{"'Sheet1'!$L$16"}</definedName>
    <definedName name="aa" hidden="1">#REF!</definedName>
    <definedName name="aaa" localSheetId="1" hidden="1">#REF!</definedName>
    <definedName name="aaa" hidden="1">#REF!</definedName>
    <definedName name="AAA_DOCTOPS" hidden="1">"AAA_SET"</definedName>
    <definedName name="AAA_duser" hidden="1">"OFF"</definedName>
    <definedName name="AAAA" hidden="1">#REF!</definedName>
    <definedName name="aaaa1" hidden="1">#REF!</definedName>
    <definedName name="Aaaaa" localSheetId="1" hidden="1">#REF!</definedName>
    <definedName name="AAAAA" localSheetId="2" hidden="1">{0}</definedName>
    <definedName name="AAAAA" localSheetId="8" hidden="1">{0}</definedName>
    <definedName name="AAAAA" hidden="1">{0}</definedName>
    <definedName name="aaaaaa" localSheetId="1" hidden="1">{"Offgrid",#N/A,FALSE,"OFFGRID";"Region",#N/A,FALSE,"REGION";"Offgrid -2",#N/A,FALSE,"OFFGRID";"WTP",#N/A,FALSE,"WTP";"WTP -2",#N/A,FALSE,"WTP";"Project",#N/A,FALSE,"PROJECT";"Summary -2",#N/A,FALSE,"SUMMARY"}</definedName>
    <definedName name="aaaaaa" localSheetId="2" hidden="1">{"Offgrid",#N/A,FALSE,"OFFGRID";"Region",#N/A,FALSE,"REGION";"Offgrid -2",#N/A,FALSE,"OFFGRID";"WTP",#N/A,FALSE,"WTP";"WTP -2",#N/A,FALSE,"WTP";"Project",#N/A,FALSE,"PROJECT";"Summary -2",#N/A,FALSE,"SUMMARY"}</definedName>
    <definedName name="aaaaaa" localSheetId="8"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AAA" hidden="1">#REF!</definedName>
    <definedName name="aaaaaaaaaaaaaaaa" localSheetId="1" hidden="1">{#N/A,#N/A,FALSE,"CCTV"}</definedName>
    <definedName name="aaaaaaaaaaaaaaaa" localSheetId="2" hidden="1">{#N/A,#N/A,FALSE,"CCTV"}</definedName>
    <definedName name="aaaaaaaaaaaaaaaa" localSheetId="8" hidden="1">{#N/A,#N/A,FALSE,"CCTV"}</definedName>
    <definedName name="aaaaaaaaaaaaaaaa" hidden="1">{#N/A,#N/A,FALSE,"CCTV"}</definedName>
    <definedName name="aaag" localSheetId="1" hidden="1">{#N/A,#N/A,TRUE,"SUM";#N/A,#N/A,TRUE,"EE";#N/A,#N/A,TRUE,"AC";#N/A,#N/A,TRUE,"SN"}</definedName>
    <definedName name="aaag" localSheetId="2" hidden="1">{#N/A,#N/A,TRUE,"SUM";#N/A,#N/A,TRUE,"EE";#N/A,#N/A,TRUE,"AC";#N/A,#N/A,TRUE,"SN"}</definedName>
    <definedName name="aaag" localSheetId="8" hidden="1">{#N/A,#N/A,TRUE,"SUM";#N/A,#N/A,TRUE,"EE";#N/A,#N/A,TRUE,"AC";#N/A,#N/A,TRUE,"SN"}</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localSheetId="1" hidden="1">{#N/A,#N/A,FALSE,"mgtsum.XLS";#N/A,#N/A,FALSE,"CAPONE";#N/A,#N/A,FALSE,"CAPTWO";#N/A,#N/A,FALSE,"CAPTHREE"}</definedName>
    <definedName name="aakdf" localSheetId="2" hidden="1">{#N/A,#N/A,FALSE,"mgtsum.XLS";#N/A,#N/A,FALSE,"CAPONE";#N/A,#N/A,FALSE,"CAPTWO";#N/A,#N/A,FALSE,"CAPTHREE"}</definedName>
    <definedName name="aakdf" localSheetId="8" hidden="1">{#N/A,#N/A,FALSE,"mgtsum.XLS";#N/A,#N/A,FALSE,"CAPONE";#N/A,#N/A,FALSE,"CAPTWO";#N/A,#N/A,FALSE,"CAPTHREE"}</definedName>
    <definedName name="aakdf" hidden="1">{#N/A,#N/A,FALSE,"mgtsum.XLS";#N/A,#N/A,FALSE,"CAPONE";#N/A,#N/A,FALSE,"CAPTWO";#N/A,#N/A,FALSE,"CAPTHREE"}</definedName>
    <definedName name="ÀASA" localSheetId="1" hidden="1">{"'Sheet1'!$L$16"}</definedName>
    <definedName name="ÀASA" localSheetId="2" hidden="1">{"'Sheet1'!$L$16"}</definedName>
    <definedName name="ÀASA" localSheetId="8" hidden="1">{"'Sheet1'!$L$16"}</definedName>
    <definedName name="ÀASA" hidden="1">{"'Sheet1'!$L$16"}</definedName>
    <definedName name="aasasas" localSheetId="1" hidden="1">{"'Sheet1'!$L$16"}</definedName>
    <definedName name="aasasas" localSheetId="2" hidden="1">{"'Sheet1'!$L$16"}</definedName>
    <definedName name="aasasas" localSheetId="8" hidden="1">{"'Sheet1'!$L$16"}</definedName>
    <definedName name="aasasas" hidden="1">{"'Sheet1'!$L$16"}</definedName>
    <definedName name="aassa" localSheetId="1" hidden="1">{"'Sheet1'!$L$16"}</definedName>
    <definedName name="aassa" localSheetId="2" hidden="1">{"'Sheet1'!$L$16"}</definedName>
    <definedName name="aassa" localSheetId="8" hidden="1">{"'Sheet1'!$L$16"}</definedName>
    <definedName name="aassa" hidden="1">{"'Sheet1'!$L$16"}</definedName>
    <definedName name="aassdffgb" hidden="1">#REF!</definedName>
    <definedName name="AAX" localSheetId="1" hidden="1">{#N/A,#N/A,TRUE,"SUM";#N/A,#N/A,TRUE,"EE";#N/A,#N/A,TRUE,"AC";#N/A,#N/A,TRUE,"SN"}</definedName>
    <definedName name="AAX" localSheetId="2" hidden="1">{#N/A,#N/A,TRUE,"SUM";#N/A,#N/A,TRUE,"EE";#N/A,#N/A,TRUE,"AC";#N/A,#N/A,TRUE,"SN"}</definedName>
    <definedName name="AAX" localSheetId="8" hidden="1">{#N/A,#N/A,TRUE,"SUM";#N/A,#N/A,TRUE,"EE";#N/A,#N/A,TRUE,"AC";#N/A,#N/A,TRUE,"SN"}</definedName>
    <definedName name="AAX" hidden="1">{#N/A,#N/A,TRUE,"SUM";#N/A,#N/A,TRUE,"EE";#N/A,#N/A,TRUE,"AC";#N/A,#N/A,TRUE,"SN"}</definedName>
    <definedName name="ab" hidden="1">#REF!</definedName>
    <definedName name="ABAB" localSheetId="1" hidden="1">{#N/A,#N/A,FALSE,"CCTV"}</definedName>
    <definedName name="ABAB" localSheetId="2" hidden="1">{#N/A,#N/A,FALSE,"CCTV"}</definedName>
    <definedName name="ABAB" localSheetId="8" hidden="1">{#N/A,#N/A,FALSE,"CCTV"}</definedName>
    <definedName name="ABAB" hidden="1">{#N/A,#N/A,FALSE,"CCTV"}</definedName>
    <definedName name="abc" localSheetId="1" hidden="1">#REF!</definedName>
    <definedName name="abc" hidden="1">#REF!</definedName>
    <definedName name="abcd" localSheetId="1" hidden="1">{#N/A,#N/A,FALSE,"特殊室（ＢＱ表）"}</definedName>
    <definedName name="abcd" localSheetId="2" hidden="1">{#N/A,#N/A,FALSE,"特殊室（ＢＱ表）"}</definedName>
    <definedName name="abcd" localSheetId="8" hidden="1">{#N/A,#N/A,FALSE,"特殊室（ＢＱ表）"}</definedName>
    <definedName name="abcd" hidden="1">{#N/A,#N/A,FALSE,"特殊室（ＢＱ表）"}</definedName>
    <definedName name="abcdefg" localSheetId="1" hidden="1">{#N/A,#N/A,FALSE,"mgtsum.XLS";#N/A,#N/A,FALSE,"CAPONE";#N/A,#N/A,FALSE,"CAPTWO";#N/A,#N/A,FALSE,"CAPTHREE"}</definedName>
    <definedName name="abcdefg" localSheetId="2" hidden="1">{#N/A,#N/A,FALSE,"mgtsum.XLS";#N/A,#N/A,FALSE,"CAPONE";#N/A,#N/A,FALSE,"CAPTWO";#N/A,#N/A,FALSE,"CAPTHREE"}</definedName>
    <definedName name="abcdefg" localSheetId="8" hidden="1">{#N/A,#N/A,FALSE,"mgtsum.XLS";#N/A,#N/A,FALSE,"CAPONE";#N/A,#N/A,FALSE,"CAPTWO";#N/A,#N/A,FALSE,"CAPTHREE"}</definedName>
    <definedName name="abcdefg" hidden="1">{#N/A,#N/A,FALSE,"mgtsum.XLS";#N/A,#N/A,FALSE,"CAPONE";#N/A,#N/A,FALSE,"CAPTWO";#N/A,#N/A,FALSE,"CAPTHREE"}</definedName>
    <definedName name="abcxyz" localSheetId="1" hidden="1">{#N/A,#N/A,FALSE,"mgtsum.XLS";#N/A,#N/A,FALSE,"CAPONE";#N/A,#N/A,FALSE,"CAPTWO";#N/A,#N/A,FALSE,"CAPTHREE"}</definedName>
    <definedName name="abcxyz" localSheetId="2" hidden="1">{#N/A,#N/A,FALSE,"mgtsum.XLS";#N/A,#N/A,FALSE,"CAPONE";#N/A,#N/A,FALSE,"CAPTWO";#N/A,#N/A,FALSE,"CAPTHREE"}</definedName>
    <definedName name="abcxyz" localSheetId="8" hidden="1">{#N/A,#N/A,FALSE,"mgtsum.XLS";#N/A,#N/A,FALSE,"CAPONE";#N/A,#N/A,FALSE,"CAPTWO";#N/A,#N/A,FALSE,"CAPTHREE"}</definedName>
    <definedName name="abcxyz" hidden="1">{#N/A,#N/A,FALSE,"mgtsum.XLS";#N/A,#N/A,FALSE,"CAPONE";#N/A,#N/A,FALSE,"CAPTWO";#N/A,#N/A,FALSE,"CAPTHREE"}</definedName>
    <definedName name="ac" hidden="1">#REF!</definedName>
    <definedName name="acb" localSheetId="1" hidden="1">#REF!</definedName>
    <definedName name="acb" hidden="1">#REF!</definedName>
    <definedName name="acbq" localSheetId="1" hidden="1">#REF!</definedName>
    <definedName name="acbq" hidden="1">#REF!</definedName>
    <definedName name="Access_Button" localSheetId="1" hidden="1">"Активное_оборудование_Cabletron_Devices_Таблица1"</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localSheetId="1" hidden="1">{"'Sheet1'!$L$16"}</definedName>
    <definedName name="acd" localSheetId="2" hidden="1">{"'Sheet1'!$L$16"}</definedName>
    <definedName name="acd" localSheetId="8" hidden="1">{"'Sheet1'!$L$16"}</definedName>
    <definedName name="acd" hidden="1">{"'Sheet1'!$L$16"}</definedName>
    <definedName name="ACDA" hidden="1">#REF!</definedName>
    <definedName name="Acell" hidden="1">INDIRECT(ADDRESS(ROW(),COLUMN()))</definedName>
    <definedName name="ACMV" localSheetId="1" hidden="1">{"'Sheet1'!$L$16"}</definedName>
    <definedName name="ACMV" localSheetId="2" hidden="1">{"'Sheet1'!$L$16"}</definedName>
    <definedName name="ACMV" localSheetId="8" hidden="1">{"'Sheet1'!$L$16"}</definedName>
    <definedName name="ACMV" hidden="1">{"'Sheet1'!$L$16"}</definedName>
    <definedName name="ACMV_1" localSheetId="1" hidden="1">{"'Sheet1'!$L$16"}</definedName>
    <definedName name="ACMV_1" localSheetId="2" hidden="1">{"'Sheet1'!$L$16"}</definedName>
    <definedName name="ACMV_1" localSheetId="8" hidden="1">{"'Sheet1'!$L$16"}</definedName>
    <definedName name="ACMV_1" hidden="1">{"'Sheet1'!$L$16"}</definedName>
    <definedName name="AC密">#REF!</definedName>
    <definedName name="AC粗">#REF!</definedName>
    <definedName name="AD" localSheetId="1" hidden="1">#REF!</definedName>
    <definedName name="AD" hidden="1">#REF!</definedName>
    <definedName name="àd" localSheetId="1" hidden="1">#REF!</definedName>
    <definedName name="àd" hidden="1">#REF!</definedName>
    <definedName name="ád" localSheetId="1" hidden="1">{#N/A,#N/A,TRUE,"BT M200 da 10x20"}</definedName>
    <definedName name="ád" localSheetId="2" hidden="1">{#N/A,#N/A,TRUE,"BT M200 da 10x20"}</definedName>
    <definedName name="ád" localSheetId="8" hidden="1">{#N/A,#N/A,TRUE,"BT M200 da 10x20"}</definedName>
    <definedName name="ád" hidden="1">{#N/A,#N/A,TRUE,"BT M200 da 10x20"}</definedName>
    <definedName name="AD_1" localSheetId="1" hidden="1">{"'Sheet1'!$L$16"}</definedName>
    <definedName name="AD_1" localSheetId="2" hidden="1">{"'Sheet1'!$L$16"}</definedName>
    <definedName name="AD_1" localSheetId="8" hidden="1">{"'Sheet1'!$L$16"}</definedName>
    <definedName name="AD_1" hidden="1">{"'Sheet1'!$L$16"}</definedName>
    <definedName name="ada" localSheetId="1" hidden="1">{#N/A,#N/A,FALSE,"特殊室（ＢＱ表）"}</definedName>
    <definedName name="ada" localSheetId="2" hidden="1">{"'Sheet1'!$L$16"}</definedName>
    <definedName name="ada" localSheetId="8" hidden="1">{"'Sheet1'!$L$16"}</definedName>
    <definedName name="ada" hidden="1">{"'Sheet1'!$L$16"}</definedName>
    <definedName name="adad" localSheetId="1" hidden="1">{"'Sheet1'!$L$16"}</definedName>
    <definedName name="adad" localSheetId="2" hidden="1">{"'Sheet1'!$L$16"}</definedName>
    <definedName name="adad" localSheetId="8" hidden="1">{"'Sheet1'!$L$16"}</definedName>
    <definedName name="adad" hidden="1">{"'Sheet1'!$L$16"}</definedName>
    <definedName name="adadada" localSheetId="1" hidden="1">{0,0,0,0;0,0,0,0;0,0,0,0;0,0,0,0;0,0,0,0;0,0,0,0;0,0,0,0}</definedName>
    <definedName name="adadada" localSheetId="2" hidden="1">{0,0,0,0;0,0,0,0;0,0,0,0;0,0,0,0;0,0,0,0;0,0,0,0;0,0,0,0}</definedName>
    <definedName name="adadada" localSheetId="8" hidden="1">{0,0,0,0;0,0,0,0;0,0,0,0;0,0,0,0;0,0,0,0;0,0,0,0;0,0,0,0}</definedName>
    <definedName name="adadada" hidden="1">{0,0,0,0;0,0,0,0;0,0,0,0;0,0,0,0;0,0,0,0;0,0,0,0;0,0,0,0}</definedName>
    <definedName name="ADADADD" localSheetId="1" hidden="1">{"'Sheet1'!$L$16"}</definedName>
    <definedName name="ADADADD" localSheetId="2" hidden="1">{"'Sheet1'!$L$16"}</definedName>
    <definedName name="ADADADD" localSheetId="8" hidden="1">{"'Sheet1'!$L$16"}</definedName>
    <definedName name="ADADADD" hidden="1">{"'Sheet1'!$L$16"}</definedName>
    <definedName name="adaf" localSheetId="1" hidden="1">{"'Sheet1'!$L$16"}</definedName>
    <definedName name="adaf" localSheetId="2" hidden="1">{"'Sheet1'!$L$16"}</definedName>
    <definedName name="adaf" localSheetId="8" hidden="1">{"'Sheet1'!$L$16"}</definedName>
    <definedName name="adaf" hidden="1">{"'Sheet1'!$L$16"}</definedName>
    <definedName name="ÁDAF" localSheetId="1" hidden="1">{"'Sheet1'!$L$16"}</definedName>
    <definedName name="ÁDAF" localSheetId="2" hidden="1">{"'Sheet1'!$L$16"}</definedName>
    <definedName name="ÁDAF" localSheetId="8" hidden="1">{"'Sheet1'!$L$16"}</definedName>
    <definedName name="ÁDAF" hidden="1">{"'Sheet1'!$L$16"}</definedName>
    <definedName name="ádas" localSheetId="1" hidden="1">{"'Sheet1'!$L$16"}</definedName>
    <definedName name="ádas" localSheetId="2" hidden="1">{"'Sheet1'!$L$16"}</definedName>
    <definedName name="ádas" localSheetId="8" hidden="1">{"'Sheet1'!$L$16"}</definedName>
    <definedName name="ádas" hidden="1">{"'Sheet1'!$L$16"}</definedName>
    <definedName name="adasasdda" hidden="1">#REF!</definedName>
    <definedName name="ÁDASDFASFA" localSheetId="1" hidden="1">{"'Sheet1'!$L$16"}</definedName>
    <definedName name="ÁDASDFASFA" localSheetId="2" hidden="1">{"'Sheet1'!$L$16"}</definedName>
    <definedName name="ÁDASDFASFA" localSheetId="8" hidden="1">{"'Sheet1'!$L$16"}</definedName>
    <definedName name="ÁDASDFASFA" hidden="1">{"'Sheet1'!$L$16"}</definedName>
    <definedName name="adasfgdsg" localSheetId="1" hidden="1">{"'Sheet1'!$L$16"}</definedName>
    <definedName name="adasfgdsg" localSheetId="2" hidden="1">{"'Sheet1'!$L$16"}</definedName>
    <definedName name="adasfgdsg" localSheetId="8" hidden="1">{"'Sheet1'!$L$16"}</definedName>
    <definedName name="adasfgdsg" hidden="1">{"'Sheet1'!$L$16"}</definedName>
    <definedName name="adc" localSheetId="1" hidden="1">{#N/A,#N/A,FALSE,"CCTV"}</definedName>
    <definedName name="adc" localSheetId="2" hidden="1">{#N/A,#N/A,FALSE,"CCTV"}</definedName>
    <definedName name="adc" localSheetId="8" hidden="1">{#N/A,#N/A,FALSE,"CCTV"}</definedName>
    <definedName name="adc" hidden="1">{#N/A,#N/A,FALSE,"CCTV"}</definedName>
    <definedName name="ADCD" localSheetId="1" hidden="1">{#N/A,#N/A,FALSE,"特殊室（ＢＱ表）"}</definedName>
    <definedName name="ADCD" localSheetId="2" hidden="1">{#N/A,#N/A,FALSE,"特殊室（ＢＱ表）"}</definedName>
    <definedName name="ADCD" localSheetId="8" hidden="1">{#N/A,#N/A,FALSE,"特殊室（ＢＱ表）"}</definedName>
    <definedName name="ADCD" hidden="1">{#N/A,#N/A,FALSE,"特殊室（ＢＱ表）"}</definedName>
    <definedName name="ADDITIONS">#REF!</definedName>
    <definedName name="ade" localSheetId="1" hidden="1">{#N/A,#N/A,FALSE,"Chi tiÆt"}</definedName>
    <definedName name="ade" localSheetId="2" hidden="1">{#N/A,#N/A,FALSE,"Chi tiÆt"}</definedName>
    <definedName name="ade" localSheetId="8" hidden="1">{#N/A,#N/A,FALSE,"Chi tiÆt"}</definedName>
    <definedName name="ade" hidden="1">{#N/A,#N/A,FALSE,"Chi tiÆt"}</definedName>
    <definedName name="adf" localSheetId="1" hidden="1">#REF!</definedName>
    <definedName name="adf" hidden="1">#REF!</definedName>
    <definedName name="ADFF" localSheetId="1" hidden="1">#REF!</definedName>
    <definedName name="ADFF" hidden="1">#REF!</definedName>
    <definedName name="adfgg" localSheetId="1" hidden="1">#REF!</definedName>
    <definedName name="adfgg" hidden="1">#REF!</definedName>
    <definedName name="ÁDFGHJ" localSheetId="1" hidden="1">{"'Sheet1'!$L$16"}</definedName>
    <definedName name="ÁDFGHJ" localSheetId="2" hidden="1">{"'Sheet1'!$L$16"}</definedName>
    <definedName name="ÁDFGHJ" localSheetId="8" hidden="1">{"'Sheet1'!$L$16"}</definedName>
    <definedName name="ÁDFGHJ" hidden="1">{"'Sheet1'!$L$16"}</definedName>
    <definedName name="àdg" localSheetId="1" hidden="1">#REF!</definedName>
    <definedName name="àdg" hidden="1">#REF!</definedName>
    <definedName name="ADMINISTRATION" hidden="1">#REF!</definedName>
    <definedName name="Adrian" localSheetId="1" hidden="1">#REF!</definedName>
    <definedName name="Adrian" hidden="1">#REF!</definedName>
    <definedName name="ads" hidden="1">#REF!</definedName>
    <definedName name="àds" localSheetId="1" hidden="1">{"'Sheet1'!$L$16"}</definedName>
    <definedName name="àds" localSheetId="2" hidden="1">{"'Sheet1'!$L$16"}</definedName>
    <definedName name="àds" localSheetId="8" hidden="1">{"'Sheet1'!$L$16"}</definedName>
    <definedName name="àds" hidden="1">{"'Sheet1'!$L$16"}</definedName>
    <definedName name="áds" localSheetId="1" hidden="1">{"'Sheet1'!$L$16"}</definedName>
    <definedName name="áds" localSheetId="2" hidden="1">{"'Sheet1'!$L$16"}</definedName>
    <definedName name="áds" localSheetId="8" hidden="1">{"'Sheet1'!$L$16"}</definedName>
    <definedName name="áds" hidden="1">{"'Sheet1'!$L$16"}</definedName>
    <definedName name="adsadsa" localSheetId="1" hidden="1">{#N/A,#N/A,TRUE,"CS&amp;SS(AG)";#N/A,#N/A,TRUE,"CS(UG)";#N/A,#N/A,TRUE,"CSCL(UG)";#N/A,#N/A,TRUE,"KYNAR";#N/A,#N/A,TRUE,"ALLOY904";#N/A,#N/A,TRUE,"TITANIUM";#N/A,#N/A,TRUE,"STMTRACE"}</definedName>
    <definedName name="adsadsa" localSheetId="2" hidden="1">{#N/A,#N/A,TRUE,"CS&amp;SS(AG)";#N/A,#N/A,TRUE,"CS(UG)";#N/A,#N/A,TRUE,"CSCL(UG)";#N/A,#N/A,TRUE,"KYNAR";#N/A,#N/A,TRUE,"ALLOY904";#N/A,#N/A,TRUE,"TITANIUM";#N/A,#N/A,TRUE,"STMTRACE"}</definedName>
    <definedName name="adsadsa" localSheetId="8"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dsas" localSheetId="1" hidden="1">{#N/A,#N/A,FALSE,"Aging Summary";#N/A,#N/A,FALSE,"Ratio Analysis";#N/A,#N/A,FALSE,"Test 120 Day Accts";#N/A,#N/A,FALSE,"Tickmarks"}</definedName>
    <definedName name="adsas" localSheetId="2" hidden="1">{#N/A,#N/A,FALSE,"Aging Summary";#N/A,#N/A,FALSE,"Ratio Analysis";#N/A,#N/A,FALSE,"Test 120 Day Accts";#N/A,#N/A,FALSE,"Tickmarks"}</definedName>
    <definedName name="adsas" localSheetId="8" hidden="1">{#N/A,#N/A,FALSE,"Aging Summary";#N/A,#N/A,FALSE,"Ratio Analysis";#N/A,#N/A,FALSE,"Test 120 Day Accts";#N/A,#N/A,FALSE,"Tickmarks"}</definedName>
    <definedName name="adsas" hidden="1">{#N/A,#N/A,FALSE,"Aging Summary";#N/A,#N/A,FALSE,"Ratio Analysis";#N/A,#N/A,FALSE,"Test 120 Day Accts";#N/A,#N/A,FALSE,"Tickmarks"}</definedName>
    <definedName name="ádsấ" localSheetId="1" hidden="1">{#N/A,#N/A,FALSE,"Tabelle2";#N/A,#N/A,FALSE,"Tabelle1"}</definedName>
    <definedName name="ádsấ" localSheetId="2" hidden="1">{#N/A,#N/A,FALSE,"Tabelle2";#N/A,#N/A,FALSE,"Tabelle1"}</definedName>
    <definedName name="ádsấ" localSheetId="8" hidden="1">{#N/A,#N/A,FALSE,"Tabelle2";#N/A,#N/A,FALSE,"Tabelle1"}</definedName>
    <definedName name="ádsấ" hidden="1">{#N/A,#N/A,FALSE,"Tabelle2";#N/A,#N/A,FALSE,"Tabelle1"}</definedName>
    <definedName name="adsdghtyyuiui" hidden="1">#REF!</definedName>
    <definedName name="ADSFDSF" hidden="1">#REF!</definedName>
    <definedName name="ADSFFDS" hidden="1">#REF!</definedName>
    <definedName name="advass" localSheetId="1" hidden="1">{"'Sheet1'!$L$16"}</definedName>
    <definedName name="advass" localSheetId="2" hidden="1">{"'Sheet1'!$L$16"}</definedName>
    <definedName name="advass" localSheetId="8" hidden="1">{"'Sheet1'!$L$16"}</definedName>
    <definedName name="advass" hidden="1">{"'Sheet1'!$L$16"}</definedName>
    <definedName name="ae" localSheetId="1" hidden="1">{"'Sheet1'!$L$16"}</definedName>
    <definedName name="ae" localSheetId="2" hidden="1">{"'Sheet1'!$L$16"}</definedName>
    <definedName name="ae" localSheetId="8" hidden="1">{"'Sheet1'!$L$16"}</definedName>
    <definedName name="ae" hidden="1">{"'Sheet1'!$L$16"}</definedName>
    <definedName name="aefaef" localSheetId="1" hidden="1">{"'Sheet1'!$L$16"}</definedName>
    <definedName name="aefaef" localSheetId="2" hidden="1">{"'Sheet1'!$L$16"}</definedName>
    <definedName name="aefaef" localSheetId="8" hidden="1">{"'Sheet1'!$L$16"}</definedName>
    <definedName name="aefaef" hidden="1">{"'Sheet1'!$L$16"}</definedName>
    <definedName name="aefesa" localSheetId="1" hidden="1">{"'Sheet1'!$L$16"}</definedName>
    <definedName name="aefesa" localSheetId="2" hidden="1">{"'Sheet1'!$L$16"}</definedName>
    <definedName name="aefesa" localSheetId="8" hidden="1">{"'Sheet1'!$L$16"}</definedName>
    <definedName name="aefesa" hidden="1">{"'Sheet1'!$L$16"}</definedName>
    <definedName name="aesde" localSheetId="1" hidden="1">{#N/A,#N/A,FALSE,"CCTV"}</definedName>
    <definedName name="aesde" localSheetId="2" hidden="1">{#N/A,#N/A,FALSE,"CCTV"}</definedName>
    <definedName name="aesde" localSheetId="8" hidden="1">{#N/A,#N/A,FALSE,"CCTV"}</definedName>
    <definedName name="aesde" hidden="1">{#N/A,#N/A,FALSE,"CCTV"}</definedName>
    <definedName name="AEWWQAFDASF" localSheetId="1" hidden="1">{"'Sheet1'!$L$16"}</definedName>
    <definedName name="AEWWQAFDASF" localSheetId="2" hidden="1">{"'Sheet1'!$L$16"}</definedName>
    <definedName name="AEWWQAFDASF" localSheetId="8" hidden="1">{"'Sheet1'!$L$16"}</definedName>
    <definedName name="AEWWQAFDASF" hidden="1">{"'Sheet1'!$L$16"}</definedName>
    <definedName name="AFAF" localSheetId="1" hidden="1">#REF!</definedName>
    <definedName name="AFAF" hidden="1">#REF!</definedName>
    <definedName name="afafa" localSheetId="1" hidden="1">{"AnalRSA",#N/A,TRUE,"PL-Anal";"AnalIAS",#N/A,TRUE,"PL-Anal"}</definedName>
    <definedName name="afafa" localSheetId="2" hidden="1">{"AnalRSA",#N/A,TRUE,"PL-Anal";"AnalIAS",#N/A,TRUE,"PL-Anal"}</definedName>
    <definedName name="afafa" localSheetId="8" hidden="1">{"AnalRSA",#N/A,TRUE,"PL-Anal";"AnalIAS",#N/A,TRUE,"PL-Anal"}</definedName>
    <definedName name="afafa" hidden="1">{"AnalRSA",#N/A,TRUE,"PL-Anal";"AnalIAS",#N/A,TRUE,"PL-Anal"}</definedName>
    <definedName name="AFAF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F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1" hidden="1">{#N/A,#N/A,FALSE,"Chi tiÆt"}</definedName>
    <definedName name="afasfsagfas" localSheetId="2" hidden="1">{#N/A,#N/A,FALSE,"Chi tiÆt"}</definedName>
    <definedName name="afasfsagfas" localSheetId="8" hidden="1">{#N/A,#N/A,FALSE,"Chi tiÆt"}</definedName>
    <definedName name="afasfsagfas" hidden="1">{#N/A,#N/A,FALSE,"Chi tiÆt"}</definedName>
    <definedName name="AFD" hidden="1">#REF!</definedName>
    <definedName name="AFDA" localSheetId="1" hidden="1">#REF!</definedName>
    <definedName name="AFDA" hidden="1">#REF!</definedName>
    <definedName name="AFDFD" localSheetId="1" hidden="1">{#N/A,#N/A,FALSE,"Chi tiÆt"}</definedName>
    <definedName name="AFDFD" localSheetId="2" hidden="1">{#N/A,#N/A,FALSE,"Chi tiÆt"}</definedName>
    <definedName name="AFDFD" localSheetId="8" hidden="1">{#N/A,#N/A,FALSE,"Chi tiÆt"}</definedName>
    <definedName name="AFDFD" hidden="1">{#N/A,#N/A,FALSE,"Chi tiÆt"}</definedName>
    <definedName name="afdslkjf" localSheetId="1" hidden="1">{#N/A,#N/A,TRUE,"Cover Memo";"Complete Sys. Estimate",#N/A,TRUE,"Change Summary";"Complete Sys. Estimate",#N/A,TRUE,"Estimate Summary";"Complete Sys. Estimate",#N/A,TRUE,"Dept. Summary";"Complete Sys. Estimate",#N/A,TRUE,"DOW Detail"}</definedName>
    <definedName name="afdslkjf" localSheetId="2" hidden="1">{#N/A,#N/A,TRUE,"Cover Memo";"Complete Sys. Estimate",#N/A,TRUE,"Change Summary";"Complete Sys. Estimate",#N/A,TRUE,"Estimate Summary";"Complete Sys. Estimate",#N/A,TRUE,"Dept. Summary";"Complete Sys. Estimate",#N/A,TRUE,"DOW Detail"}</definedName>
    <definedName name="afdslkjf" localSheetId="8" hidden="1">{#N/A,#N/A,TRUE,"Cover Memo";"Complete Sys. Estimate",#N/A,TRUE,"Change Summary";"Complete Sys. Estimate",#N/A,TRUE,"Estimate Summary";"Complete Sys. Estimate",#N/A,TRUE,"Dept. Summary";"Complete Sys. Estimate",#N/A,TRUE,"DOW Detail"}</definedName>
    <definedName name="afdslkjf" hidden="1">{#N/A,#N/A,TRUE,"Cover Memo";"Complete Sys. Estimate",#N/A,TRUE,"Change Summary";"Complete Sys. Estimate",#N/A,TRUE,"Estimate Summary";"Complete Sys. Estimate",#N/A,TRUE,"Dept. Summary";"Complete Sys. Estimate",#N/A,TRUE,"DOW Detail"}</definedName>
    <definedName name="afff" localSheetId="1" hidden="1">{"'Sheet1'!$L$16"}</definedName>
    <definedName name="afff" localSheetId="2" hidden="1">{"'Sheet1'!$L$16"}</definedName>
    <definedName name="afff" localSheetId="8" hidden="1">{"'Sheet1'!$L$16"}</definedName>
    <definedName name="afff" hidden="1">{"'Sheet1'!$L$16"}</definedName>
    <definedName name="AFWRR" localSheetId="1" hidden="1">{"'Sheet1'!$L$16"}</definedName>
    <definedName name="AFWRR" localSheetId="2" hidden="1">{"'Sheet1'!$L$16"}</definedName>
    <definedName name="AFWRR" localSheetId="8" hidden="1">{"'Sheet1'!$L$16"}</definedName>
    <definedName name="AFWRR" hidden="1">{"'Sheet1'!$L$16"}</definedName>
    <definedName name="AGE" localSheetId="1" hidden="1">{"'Sheet1'!$L$16"}</definedName>
    <definedName name="AGE" localSheetId="2" hidden="1">{"'Sheet1'!$L$16"}</definedName>
    <definedName name="AGE" localSheetId="8" hidden="1">{"'Sheet1'!$L$16"}</definedName>
    <definedName name="AGE" hidden="1">{"'Sheet1'!$L$16"}</definedName>
    <definedName name="AH" localSheetId="1" hidden="1">{#N/A,#N/A,FALSE,"CCTV"}</definedName>
    <definedName name="ah" localSheetId="2" hidden="1">{"'Sheet1'!$L$16"}</definedName>
    <definedName name="ah" localSheetId="8" hidden="1">{"'Sheet1'!$L$16"}</definedName>
    <definedName name="ah" hidden="1">{"'Sheet1'!$L$16"}</definedName>
    <definedName name="ahah" localSheetId="1" hidden="1">{"'Sheet1'!$L$16"}</definedName>
    <definedName name="ahah" localSheetId="2" hidden="1">{"'Sheet1'!$L$16"}</definedName>
    <definedName name="ahah" localSheetId="8" hidden="1">{"'Sheet1'!$L$16"}</definedName>
    <definedName name="ahah" hidden="1">{"'Sheet1'!$L$16"}</definedName>
    <definedName name="ahajdks" localSheetId="1" hidden="1">{"'Sheet1'!$L$16"}</definedName>
    <definedName name="ahajdks" localSheetId="2" hidden="1">{"'Sheet1'!$L$16"}</definedName>
    <definedName name="ahajdks" localSheetId="8" hidden="1">{"'Sheet1'!$L$16"}</definedName>
    <definedName name="ahajdks" hidden="1">{"'Sheet1'!$L$16"}</definedName>
    <definedName name="ahdajkd" localSheetId="1" hidden="1">#REF!</definedName>
    <definedName name="ahdajkd" hidden="1">#REF!</definedName>
    <definedName name="AHGA" localSheetId="1" hidden="1">{"'Sheet1'!$L$16"}</definedName>
    <definedName name="AHGA" localSheetId="2" hidden="1">{"'Sheet1'!$L$16"}</definedName>
    <definedName name="AHGA" localSheetId="8" hidden="1">{"'Sheet1'!$L$16"}</definedName>
    <definedName name="AHGA" hidden="1">{"'Sheet1'!$L$16"}</definedName>
    <definedName name="ahtjht" localSheetId="1" hidden="1">{"'Sheet1'!$L$16"}</definedName>
    <definedName name="ahtjht" localSheetId="2" hidden="1">{"'Sheet1'!$L$16"}</definedName>
    <definedName name="ahtjht" localSheetId="8" hidden="1">{"'Sheet1'!$L$16"}</definedName>
    <definedName name="ahtjht" hidden="1">{"'Sheet1'!$L$16"}</definedName>
    <definedName name="AJH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localSheetId="1" hidden="1">{"'Sheet1'!$L$16"}</definedName>
    <definedName name="algag" localSheetId="2" hidden="1">{"'Sheet1'!$L$16"}</definedName>
    <definedName name="algag" localSheetId="8" hidden="1">{"'Sheet1'!$L$16"}</definedName>
    <definedName name="algag" hidden="1">{"'Sheet1'!$L$16"}</definedName>
    <definedName name="ALL">#REF!</definedName>
    <definedName name="ALPIN">#N/A</definedName>
    <definedName name="ALPJYOU">#N/A</definedName>
    <definedName name="ALPTOI">#N/A</definedName>
    <definedName name="am" hidden="1">#REF!</definedName>
    <definedName name="ameeenn" localSheetId="1" hidden="1">{#N/A,#N/A,FALSE,"估價單  (3)"}</definedName>
    <definedName name="ameeenn" localSheetId="2" hidden="1">{#N/A,#N/A,FALSE,"估價單  (3)"}</definedName>
    <definedName name="ameeenn" localSheetId="8" hidden="1">{#N/A,#N/A,FALSE,"估價單  (3)"}</definedName>
    <definedName name="ameeenn" hidden="1">{#N/A,#N/A,FALSE,"估價單  (3)"}</definedName>
    <definedName name="An" localSheetId="1" hidden="1">{"'Sheet1'!$L$16"}</definedName>
    <definedName name="An" localSheetId="2" hidden="1">{"'Sheet1'!$L$16"}</definedName>
    <definedName name="An" localSheetId="8" hidden="1">{"'Sheet1'!$L$16"}</definedName>
    <definedName name="An" hidden="1">{"'Sheet1'!$L$16"}</definedName>
    <definedName name="anscount" localSheetId="1" hidden="1">3</definedName>
    <definedName name="anscount" hidden="1">8</definedName>
    <definedName name="Antoan" localSheetId="1" hidden="1">{"'Sheet1'!$L$16"}</definedName>
    <definedName name="Antoan" localSheetId="2" hidden="1">{"'Sheet1'!$L$16"}</definedName>
    <definedName name="Antoan" localSheetId="8" hidden="1">{"'Sheet1'!$L$16"}</definedName>
    <definedName name="Antoan" hidden="1">{"'Sheet1'!$L$16"}</definedName>
    <definedName name="anh" localSheetId="1" hidden="1">#REF!</definedName>
    <definedName name="anh" hidden="1">#REF!</definedName>
    <definedName name="AP" hidden="1">#REF!</definedName>
    <definedName name="Appendix">#REF!</definedName>
    <definedName name="AQE" localSheetId="1" hidden="1">{"'장비'!$A$3:$M$12"}</definedName>
    <definedName name="aqe" localSheetId="2" hidden="1">{"'Sheet1'!$L$16"}</definedName>
    <definedName name="aqe" localSheetId="8" hidden="1">{"'Sheet1'!$L$16"}</definedName>
    <definedName name="aqe" hidden="1">{"'Sheet1'!$L$16"}</definedName>
    <definedName name="aqqqqq2321" hidden="1">#REF!</definedName>
    <definedName name="aqwerq" localSheetId="1" hidden="1">{"'Sheet1'!$L$16"}</definedName>
    <definedName name="aqwerq" localSheetId="2" hidden="1">{"'Sheet1'!$L$16"}</definedName>
    <definedName name="aqwerq" localSheetId="8" hidden="1">{"'Sheet1'!$L$16"}</definedName>
    <definedName name="aqwerq" hidden="1">{"'Sheet1'!$L$16"}</definedName>
    <definedName name="as" localSheetId="1" hidden="1">#REF!</definedName>
    <definedName name="as" hidden="1">#REF!</definedName>
    <definedName name="AS2DocOpenMode" hidden="1">"AS2DocumentEdit"</definedName>
    <definedName name="AS2HasNoAutoHeaderFooter" hidden="1">" "</definedName>
    <definedName name="AS2ReportLS" hidden="1">1</definedName>
    <definedName name="AS2StaticLS" localSheetId="1" hidden="1">#REF!</definedName>
    <definedName name="AS2StaticLS" hidden="1">#REF!</definedName>
    <definedName name="AS2SyncStepLS" hidden="1">0</definedName>
    <definedName name="AS2TickmarkLS" localSheetId="1" hidden="1">#REF!</definedName>
    <definedName name="AS2TickmarkLS" hidden="1">#REF!</definedName>
    <definedName name="AS2VersionLS" hidden="1">300</definedName>
    <definedName name="asa" localSheetId="1" hidden="1">{"'Sheet1'!$L$16"}</definedName>
    <definedName name="asa" localSheetId="2" hidden="1">{"'Sheet1'!$L$16"}</definedName>
    <definedName name="asa" localSheetId="8" hidden="1">{"'Sheet1'!$L$16"}</definedName>
    <definedName name="asa" hidden="1">{"'Sheet1'!$L$16"}</definedName>
    <definedName name="ASAA" hidden="1">#REF!</definedName>
    <definedName name="asas" localSheetId="1" hidden="1">{#N/A,#N/A,FALSE,"Sheet2";#N/A,#N/A,FALSE,"Sheet4";#N/A,#N/A,FALSE,"Sheet6"}</definedName>
    <definedName name="asas" localSheetId="2" hidden="1">{#N/A,#N/A,FALSE,"Sheet2";#N/A,#N/A,FALSE,"Sheet4";#N/A,#N/A,FALSE,"Sheet6"}</definedName>
    <definedName name="asas" localSheetId="8" hidden="1">{#N/A,#N/A,FALSE,"Sheet2";#N/A,#N/A,FALSE,"Sheet4";#N/A,#N/A,FALSE,"Sheet6"}</definedName>
    <definedName name="asas" hidden="1">{#N/A,#N/A,FALSE,"Sheet2";#N/A,#N/A,FALSE,"Sheet4";#N/A,#N/A,FALSE,"Sheet6"}</definedName>
    <definedName name="asca" localSheetId="1" hidden="1">{"'Sheet1'!$L$16"}</definedName>
    <definedName name="asca" localSheetId="2" hidden="1">{"'Sheet1'!$L$16"}</definedName>
    <definedName name="asca" localSheetId="8" hidden="1">{"'Sheet1'!$L$16"}</definedName>
    <definedName name="asca" hidden="1">{"'Sheet1'!$L$16"}</definedName>
    <definedName name="ascadc" hidden="1">#REF!</definedName>
    <definedName name="ASD" localSheetId="1" hidden="1">{#N/A,#N/A,TRUE,"SUM";#N/A,#N/A,TRUE,"EE";#N/A,#N/A,TRUE,"AC";#N/A,#N/A,TRUE,"SN"}</definedName>
    <definedName name="asd" hidden="1">#REF!</definedName>
    <definedName name="asda" localSheetId="1" hidden="1">#REF!</definedName>
    <definedName name="asda" hidden="1">#REF!</definedName>
    <definedName name="asdada" localSheetId="1" hidden="1">{#N/A,#N/A,FALSE,"特殊室（ＢＱ表）"}</definedName>
    <definedName name="asdada" localSheetId="2" hidden="1">{#N/A,#N/A,FALSE,"特殊室（ＢＱ表）"}</definedName>
    <definedName name="asdada" localSheetId="8" hidden="1">{#N/A,#N/A,FALSE,"特殊室（ＢＱ表）"}</definedName>
    <definedName name="asdada" hidden="1">{#N/A,#N/A,FALSE,"特殊室（ＢＱ表）"}</definedName>
    <definedName name="ASDAS" localSheetId="1" hidden="1">{"ECA Qtrs C",#N/A,TRUE,"ECA_Qtrs_C";"ECA Qtrs D",#N/A,TRUE,"ECA_Qtrs_D";"ECA Qtrs F",#N/A,TRUE,"ECA_Qtrs_F";"ECA Qtrs G",#N/A,TRUE,"ECA_Qtrs_G";"ECA SisterApt",#N/A,TRUE,"ECA_SisterApt";"ECA Nurses",#N/A,TRUE,"ECA_NursesHostel"}</definedName>
    <definedName name="ASDAS" localSheetId="2" hidden="1">{"ECA Qtrs C",#N/A,TRUE,"ECA_Qtrs_C";"ECA Qtrs D",#N/A,TRUE,"ECA_Qtrs_D";"ECA Qtrs F",#N/A,TRUE,"ECA_Qtrs_F";"ECA Qtrs G",#N/A,TRUE,"ECA_Qtrs_G";"ECA SisterApt",#N/A,TRUE,"ECA_SisterApt";"ECA Nurses",#N/A,TRUE,"ECA_NursesHostel"}</definedName>
    <definedName name="ASDAS" localSheetId="8" hidden="1">{"ECA Qtrs C",#N/A,TRUE,"ECA_Qtrs_C";"ECA Qtrs D",#N/A,TRUE,"ECA_Qtrs_D";"ECA Qtrs F",#N/A,TRUE,"ECA_Qtrs_F";"ECA Qtrs G",#N/A,TRUE,"ECA_Qtrs_G";"ECA SisterApt",#N/A,TRUE,"ECA_SisterApt";"ECA Nurses",#N/A,TRUE,"ECA_NursesHostel"}</definedName>
    <definedName name="ASDAS" hidden="1">{"ECA Qtrs C",#N/A,TRUE,"ECA_Qtrs_C";"ECA Qtrs D",#N/A,TRUE,"ECA_Qtrs_D";"ECA Qtrs F",#N/A,TRUE,"ECA_Qtrs_F";"ECA Qtrs G",#N/A,TRUE,"ECA_Qtrs_G";"ECA SisterApt",#N/A,TRUE,"ECA_SisterApt";"ECA Nurses",#N/A,TRUE,"ECA_NursesHostel"}</definedName>
    <definedName name="asdasd" localSheetId="1" hidden="1">{"'Sheet1'!$L$16"}</definedName>
    <definedName name="asdasd" localSheetId="2" hidden="1">{"'Sheet1'!$L$16"}</definedName>
    <definedName name="asdasd" localSheetId="8" hidden="1">{"'Sheet1'!$L$16"}</definedName>
    <definedName name="asdasd" hidden="1">{"'Sheet1'!$L$16"}</definedName>
    <definedName name="ASDASDSADAS" localSheetId="1" hidden="1">{"'Sheet1'!$L$16"}</definedName>
    <definedName name="ASDASDSADAS" localSheetId="2" hidden="1">{"'Sheet1'!$L$16"}</definedName>
    <definedName name="ASDASDSADAS" localSheetId="8" hidden="1">{"'Sheet1'!$L$16"}</definedName>
    <definedName name="ASDASDSADAS" hidden="1">{"'Sheet1'!$L$16"}</definedName>
    <definedName name="asdc" localSheetId="1" hidden="1">{#N/A,#N/A,FALSE,"변경관리예산";#N/A,#N/A,FALSE,"변경장비예산";#N/A,#N/A,FALSE,"변경준설예산";#N/A,#N/A,FALSE,"변경철구예산"}</definedName>
    <definedName name="asdc" localSheetId="2" hidden="1">{#N/A,#N/A,FALSE,"변경관리예산";#N/A,#N/A,FALSE,"변경장비예산";#N/A,#N/A,FALSE,"변경준설예산";#N/A,#N/A,FALSE,"변경철구예산"}</definedName>
    <definedName name="asdc" localSheetId="8" hidden="1">{#N/A,#N/A,FALSE,"변경관리예산";#N/A,#N/A,FALSE,"변경장비예산";#N/A,#N/A,FALSE,"변경준설예산";#N/A,#N/A,FALSE,"변경철구예산"}</definedName>
    <definedName name="asdc" hidden="1">{#N/A,#N/A,FALSE,"변경관리예산";#N/A,#N/A,FALSE,"변경장비예산";#N/A,#N/A,FALSE,"변경준설예산";#N/A,#N/A,FALSE,"변경철구예산"}</definedName>
    <definedName name="asdf" localSheetId="1" hidden="1">{#N/A,#N/A,FALSE,"Chi tiÆt"}</definedName>
    <definedName name="asdf" localSheetId="2" hidden="1">{#N/A,#N/A,FALSE,"Chi tiÆt"}</definedName>
    <definedName name="asdf" localSheetId="8" hidden="1">{#N/A,#N/A,FALSE,"Chi tiÆt"}</definedName>
    <definedName name="asdf" hidden="1">{#N/A,#N/A,FALSE,"Chi tiÆt"}</definedName>
    <definedName name="asdfa" localSheetId="1" hidden="1">#REF!</definedName>
    <definedName name="asdfa" hidden="1">#REF!</definedName>
    <definedName name="ASDFFD" localSheetId="1" hidden="1">#REF!</definedName>
    <definedName name="ASDFFD" hidden="1">#REF!</definedName>
    <definedName name="asdffgggh" localSheetId="1" hidden="1">{"'Sheet1'!$L$16"}</definedName>
    <definedName name="asdffgggh" localSheetId="2" hidden="1">{"'Sheet1'!$L$16"}</definedName>
    <definedName name="asdffgggh" localSheetId="8" hidden="1">{"'Sheet1'!$L$16"}</definedName>
    <definedName name="asdffgggh" hidden="1">{"'Sheet1'!$L$16"}</definedName>
    <definedName name="asdfg" localSheetId="1" hidden="1">{"'Sheet1'!$L$16"}</definedName>
    <definedName name="asdfg" localSheetId="2" hidden="1">{"'Sheet1'!$L$16"}</definedName>
    <definedName name="asdfg" localSheetId="8" hidden="1">{"'Sheet1'!$L$16"}</definedName>
    <definedName name="asdfg" hidden="1">{"'Sheet1'!$L$16"}</definedName>
    <definedName name="asdsd" hidden="1">#REF!</definedName>
    <definedName name="aserasdea" localSheetId="1" hidden="1">{"'Sheet1'!$L$16"}</definedName>
    <definedName name="aserasdea" localSheetId="2" hidden="1">{"'Sheet1'!$L$16"}</definedName>
    <definedName name="aserasdea" localSheetId="8" hidden="1">{"'Sheet1'!$L$16"}</definedName>
    <definedName name="aserasdea" hidden="1">{"'Sheet1'!$L$16"}</definedName>
    <definedName name="asf" localSheetId="1" hidden="1">{"'Sheet1'!$L$16"}</definedName>
    <definedName name="asf" localSheetId="2" hidden="1">{"'Sheet1'!$L$16"}</definedName>
    <definedName name="asf" localSheetId="8" hidden="1">{"'Sheet1'!$L$16"}</definedName>
    <definedName name="asf" hidden="1">{"'Sheet1'!$L$16"}</definedName>
    <definedName name="asfsf" localSheetId="1" hidden="1">{"'Sheet1'!$L$16"}</definedName>
    <definedName name="asfsf" localSheetId="2" hidden="1">{"'Sheet1'!$L$16"}</definedName>
    <definedName name="asfsf" localSheetId="8" hidden="1">{"'Sheet1'!$L$16"}</definedName>
    <definedName name="asfsf" hidden="1">{"'Sheet1'!$L$16"}</definedName>
    <definedName name="asggghaas" hidden="1">#REF!</definedName>
    <definedName name="asmd" localSheetId="1" hidden="1">{#N/A,#N/A,FALSE,"Chi tiÆt"}</definedName>
    <definedName name="asmd" localSheetId="2" hidden="1">{#N/A,#N/A,FALSE,"Chi tiÆt"}</definedName>
    <definedName name="asmd" localSheetId="8" hidden="1">{#N/A,#N/A,FALSE,"Chi tiÆt"}</definedName>
    <definedName name="asmd" hidden="1">{#N/A,#N/A,FALSE,"Chi tiÆt"}</definedName>
    <definedName name="ASS" localSheetId="1" hidden="1">{#N/A,#N/A,TRUE,"Cover Memo";"Complete Sys. Estimate",#N/A,TRUE,"Change Summary";"Complete Sys. Estimate",#N/A,TRUE,"Estimate Summary";"Complete Sys. Estimate",#N/A,TRUE,"Dept. Summary";"Complete Sys. Estimate",#N/A,TRUE,"DOW Detail"}</definedName>
    <definedName name="ASS" localSheetId="2" hidden="1">{"'Sheet1'!$L$16"}</definedName>
    <definedName name="ASS" localSheetId="8" hidden="1">{"'Sheet1'!$L$16"}</definedName>
    <definedName name="ASS" hidden="1">{"'Sheet1'!$L$16"}</definedName>
    <definedName name="asss" localSheetId="1" hidden="1">{"'Sheet1'!$L$16"}</definedName>
    <definedName name="asss" localSheetId="2" hidden="1">{"'Sheet1'!$L$16"}</definedName>
    <definedName name="asss" localSheetId="8" hidden="1">{"'Sheet1'!$L$16"}</definedName>
    <definedName name="asss" hidden="1">{"'Sheet1'!$L$16"}</definedName>
    <definedName name="assss" localSheetId="1" hidden="1">#REF!</definedName>
    <definedName name="assss" hidden="1">#REF!</definedName>
    <definedName name="asssss" localSheetId="1" hidden="1">{"'Sheet1'!$L$16"}</definedName>
    <definedName name="asssss" localSheetId="2" hidden="1">{"'Sheet1'!$L$16"}</definedName>
    <definedName name="asssss" localSheetId="8" hidden="1">{"'Sheet1'!$L$16"}</definedName>
    <definedName name="asssss" hidden="1">{"'Sheet1'!$L$16"}</definedName>
    <definedName name="AT" localSheetId="1" hidden="1">#REF!</definedName>
    <definedName name="AT" hidden="1">#REF!</definedName>
    <definedName name="ata" localSheetId="1" hidden="1">{#N/A,#N/A,FALSE,"CCTV"}</definedName>
    <definedName name="ata" localSheetId="2" hidden="1">{#N/A,#N/A,FALSE,"CCTV"}</definedName>
    <definedName name="ata" localSheetId="8" hidden="1">{#N/A,#N/A,FALSE,"CCTV"}</definedName>
    <definedName name="ata" hidden="1">{#N/A,#N/A,FALSE,"CCTV"}</definedName>
    <definedName name="atdakdh" hidden="1">#REF!</definedName>
    <definedName name="ATGT" localSheetId="1" hidden="1">{"'Sheet1'!$L$16"}</definedName>
    <definedName name="ATGT" localSheetId="2" hidden="1">{"'Sheet1'!$L$16"}</definedName>
    <definedName name="ATGT" localSheetId="8" hidden="1">{"'Sheet1'!$L$16"}</definedName>
    <definedName name="ATGT" hidden="1">{"'Sheet1'!$L$16"}</definedName>
    <definedName name="atien1" localSheetId="1" hidden="1">{"'Sheet1'!$L$16"}</definedName>
    <definedName name="atien1" localSheetId="2" hidden="1">{"'Sheet1'!$L$16"}</definedName>
    <definedName name="atien1" localSheetId="8" hidden="1">{"'Sheet1'!$L$16"}</definedName>
    <definedName name="atien1" hidden="1">{"'Sheet1'!$L$16"}</definedName>
    <definedName name="ATW" localSheetId="1" hidden="1">#REF!</definedName>
    <definedName name="ATW" hidden="1">#REF!</definedName>
    <definedName name="AU" localSheetId="1" hidden="1">{"'Sheet1'!$L$16"}</definedName>
    <definedName name="AU" localSheetId="2" hidden="1">{"'Sheet1'!$L$16"}</definedName>
    <definedName name="AU" localSheetId="8" hidden="1">{"'Sheet1'!$L$16"}</definedName>
    <definedName name="AU" hidden="1">{"'Sheet1'!$L$16"}</definedName>
    <definedName name="AU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1" hidden="1">{0,#N/A,FALSE,0;0,#N/A,FALSE,0;0,#N/A,FALSE,0;0,#N/A,FALSE,0;0,#N/A,FALSE,0;0,#N/A,FALSE,0;0,#N/A,FALSE,0}</definedName>
    <definedName name="avađsf" localSheetId="2" hidden="1">{0,#N/A,FALSE,0;0,#N/A,FALSE,0;0,#N/A,FALSE,0;0,#N/A,FALSE,0;0,#N/A,FALSE,0;0,#N/A,FALSE,0;0,#N/A,FALSE,0}</definedName>
    <definedName name="avađsf" localSheetId="8" hidden="1">{0,#N/A,FALSE,0;0,#N/A,FALSE,0;0,#N/A,FALSE,0;0,#N/A,FALSE,0;0,#N/A,FALSE,0;0,#N/A,FALSE,0;0,#N/A,FALSE,0}</definedName>
    <definedName name="avađsf" hidden="1">{0,#N/A,FALSE,0;0,#N/A,FALSE,0;0,#N/A,FALSE,0;0,#N/A,FALSE,0;0,#N/A,FALSE,0;0,#N/A,FALSE,0;0,#N/A,FALSE,0}</definedName>
    <definedName name="Avl">#REF!</definedName>
    <definedName name="awegw" localSheetId="1" hidden="1">{#N/A,#N/A,TRUE,"BT M200 da 10x20"}</definedName>
    <definedName name="awegw" localSheetId="2" hidden="1">{#N/A,#N/A,TRUE,"BT M200 da 10x20"}</definedName>
    <definedName name="awegw" localSheetId="8" hidden="1">{#N/A,#N/A,TRUE,"BT M200 da 10x20"}</definedName>
    <definedName name="awegw" hidden="1">{#N/A,#N/A,TRUE,"BT M200 da 10x20"}</definedName>
    <definedName name="aws" hidden="1">#REF!</definedName>
    <definedName name="ằ" localSheetId="1" hidden="1">{"'Sheet1'!$L$16"}</definedName>
    <definedName name="ằ" localSheetId="2" hidden="1">{"'Sheet1'!$L$16"}</definedName>
    <definedName name="ằ" localSheetId="8" hidden="1">{"'Sheet1'!$L$16"}</definedName>
    <definedName name="ằ" hidden="1">{"'Sheet1'!$L$16"}</definedName>
    <definedName name="ẮDAS" hidden="1">#REF!</definedName>
    <definedName name="ĂFRSGDF" localSheetId="1" hidden="1">{"'Sheet1'!$L$16"}</definedName>
    <definedName name="ĂFRSGDF" localSheetId="2" hidden="1">{"'Sheet1'!$L$16"}</definedName>
    <definedName name="ĂFRSGDF" localSheetId="8" hidden="1">{"'Sheet1'!$L$16"}</definedName>
    <definedName name="ĂFRSGDF" hidden="1">{"'Sheet1'!$L$16"}</definedName>
    <definedName name="ăg" localSheetId="1" hidden="1">{"'Sheet1'!$L$16"}</definedName>
    <definedName name="ăg" localSheetId="2" hidden="1">{"'Sheet1'!$L$16"}</definedName>
    <definedName name="ăg" localSheetId="8" hidden="1">{"'Sheet1'!$L$16"}</definedName>
    <definedName name="ăg" hidden="1">{"'Sheet1'!$L$16"}</definedName>
    <definedName name="â" localSheetId="1" hidden="1">{"'Sheet1'!$L$16"}</definedName>
    <definedName name="â" localSheetId="2" hidden="1">{"'Sheet1'!$L$16"}</definedName>
    <definedName name="â" localSheetId="8" hidden="1">{"'Sheet1'!$L$16"}</definedName>
    <definedName name="â" hidden="1">{"'Sheet1'!$L$16"}</definedName>
    <definedName name="ầ" localSheetId="1" hidden="1">{"'Sheet1'!$L$16"}</definedName>
    <definedName name="ầ" localSheetId="2" hidden="1">{"'Sheet1'!$L$16"}</definedName>
    <definedName name="ầ" localSheetId="8" hidden="1">{"'Sheet1'!$L$16"}</definedName>
    <definedName name="ầ" hidden="1">{"'Sheet1'!$L$16"}</definedName>
    <definedName name="ấdfsdfasdfsd" localSheetId="1" hidden="1">{"'Sheet1'!$L$16"}</definedName>
    <definedName name="ấdfsdfasdfsd" localSheetId="2" hidden="1">{"'Sheet1'!$L$16"}</definedName>
    <definedName name="ấdfsdfasdfsd" localSheetId="8" hidden="1">{"'Sheet1'!$L$16"}</definedName>
    <definedName name="ấdfsdfasdfsd" hidden="1">{"'Sheet1'!$L$16"}</definedName>
    <definedName name="âfA" localSheetId="1" hidden="1">{"'Sheet1'!$L$16"}</definedName>
    <definedName name="âfA" localSheetId="2" hidden="1">{"'Sheet1'!$L$16"}</definedName>
    <definedName name="âfA" localSheetId="8" hidden="1">{"'Sheet1'!$L$16"}</definedName>
    <definedName name="âfA" hidden="1">{"'Sheet1'!$L$16"}</definedName>
    <definedName name="ầgfabg" hidden="1">#REF!</definedName>
    <definedName name="ẩgg" localSheetId="1" hidden="1">{"'Sheet1'!$L$16"}</definedName>
    <definedName name="ẩgg" localSheetId="2" hidden="1">{"'Sheet1'!$L$16"}</definedName>
    <definedName name="ẩgg" localSheetId="8" hidden="1">{"'Sheet1'!$L$16"}</definedName>
    <definedName name="ẩgg" hidden="1">{"'Sheet1'!$L$16"}</definedName>
    <definedName name="ầgga" localSheetId="1" hidden="1">{"'Sheet1'!$L$16"}</definedName>
    <definedName name="ầgga" localSheetId="2" hidden="1">{"'Sheet1'!$L$16"}</definedName>
    <definedName name="ầgga" localSheetId="8" hidden="1">{"'Sheet1'!$L$16"}</definedName>
    <definedName name="ầgga" hidden="1">{"'Sheet1'!$L$16"}</definedName>
    <definedName name="ÂSSSSS" localSheetId="1" hidden="1">{"'Sheet1'!$L$16"}</definedName>
    <definedName name="ÂSSSSS" localSheetId="2" hidden="1">{"'Sheet1'!$L$16"}</definedName>
    <definedName name="ÂSSSSS" localSheetId="8" hidden="1">{"'Sheet1'!$L$16"}</definedName>
    <definedName name="ÂSSSSS" hidden="1">{"'Sheet1'!$L$16"}</definedName>
    <definedName name="b" localSheetId="1" hidden="1">#REF!</definedName>
    <definedName name="b" hidden="1">#REF!</definedName>
    <definedName name="b_101" localSheetId="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localSheetId="1" hidden="1">{"'Sheet1'!$L$16"}</definedName>
    <definedName name="b14b" localSheetId="2" hidden="1">{"'Sheet1'!$L$16"}</definedName>
    <definedName name="b14b" localSheetId="8" hidden="1">{"'Sheet1'!$L$16"}</definedName>
    <definedName name="b14b" hidden="1">{"'Sheet1'!$L$16"}</definedName>
    <definedName name="b14b1" localSheetId="1" hidden="1">{"'Sheet1'!$L$16"}</definedName>
    <definedName name="b14b1" localSheetId="2" hidden="1">{"'Sheet1'!$L$16"}</definedName>
    <definedName name="b14b1" localSheetId="8" hidden="1">{"'Sheet1'!$L$16"}</definedName>
    <definedName name="b14b1" hidden="1">{"'Sheet1'!$L$16"}</definedName>
    <definedName name="B1page18">#REF!</definedName>
    <definedName name="B1V" localSheetId="1" hidden="1">{"'ROOF'!$B$6","'ROOF'!$B$6","'ROOF'!$B$6","'ROOF'!$B$6"}</definedName>
    <definedName name="B1V" localSheetId="2" hidden="1">{"'ROOF'!$B$6","'ROOF'!$B$6","'ROOF'!$B$6","'ROOF'!$B$6"}</definedName>
    <definedName name="B1V" localSheetId="8" hidden="1">{"'ROOF'!$B$6","'ROOF'!$B$6","'ROOF'!$B$6","'ROOF'!$B$6"}</definedName>
    <definedName name="B1V" hidden="1">{"'ROOF'!$B$6","'ROOF'!$B$6","'ROOF'!$B$6","'ROOF'!$B$6"}</definedName>
    <definedName name="B2.Other" localSheetId="1" hidden="1">{"'Sheet1'!$L$16"}</definedName>
    <definedName name="B2.Other" localSheetId="2" hidden="1">{"'Sheet1'!$L$16"}</definedName>
    <definedName name="B2.Other" localSheetId="8" hidden="1">{"'Sheet1'!$L$16"}</definedName>
    <definedName name="B2.Other" hidden="1">{"'Sheet1'!$L$16"}</definedName>
    <definedName name="b22aaa" localSheetId="1" hidden="1">{"'ROOF'!$B$6","'ROOF'!$B$6","'ROOF'!$B$6","'ROOF'!$B$6"}</definedName>
    <definedName name="b22aaa" localSheetId="2" hidden="1">{"'ROOF'!$B$6","'ROOF'!$B$6","'ROOF'!$B$6","'ROOF'!$B$6"}</definedName>
    <definedName name="b22aaa" localSheetId="8" hidden="1">{"'ROOF'!$B$6","'ROOF'!$B$6","'ROOF'!$B$6","'ROOF'!$B$6"}</definedName>
    <definedName name="b22aaa" hidden="1">{"'ROOF'!$B$6","'ROOF'!$B$6","'ROOF'!$B$6","'ROOF'!$B$6"}</definedName>
    <definedName name="b2b" localSheetId="1" hidden="1">{"'ROOF'!$B$6","'ROOF'!$B$6","'ROOF'!$B$6","'ROOF'!$B$6"}</definedName>
    <definedName name="b2b" localSheetId="2" hidden="1">{"'ROOF'!$B$6","'ROOF'!$B$6","'ROOF'!$B$6","'ROOF'!$B$6"}</definedName>
    <definedName name="b2b" localSheetId="8" hidden="1">{"'ROOF'!$B$6","'ROOF'!$B$6","'ROOF'!$B$6","'ROOF'!$B$6"}</definedName>
    <definedName name="b2b" hidden="1">{"'ROOF'!$B$6","'ROOF'!$B$6","'ROOF'!$B$6","'ROOF'!$B$6"}</definedName>
    <definedName name="B2BB" localSheetId="1" hidden="1">{"'ROOF'!$B$6","'ROOF'!$B$6","'ROOF'!$B$6","'ROOF'!$B$6"}</definedName>
    <definedName name="B2BB" localSheetId="2" hidden="1">{"'ROOF'!$B$6","'ROOF'!$B$6","'ROOF'!$B$6","'ROOF'!$B$6"}</definedName>
    <definedName name="B2BB" localSheetId="8" hidden="1">{"'ROOF'!$B$6","'ROOF'!$B$6","'ROOF'!$B$6","'ROOF'!$B$6"}</definedName>
    <definedName name="B2BB" hidden="1">{"'ROOF'!$B$6","'ROOF'!$B$6","'ROOF'!$B$6","'ROOF'!$B$6"}</definedName>
    <definedName name="b2bbb" localSheetId="1" hidden="1">{"'ROOF'!$B$6","'ROOF'!$B$6","'ROOF'!$B$6","'ROOF'!$B$6"}</definedName>
    <definedName name="b2bbb" localSheetId="2" hidden="1">{"'ROOF'!$B$6","'ROOF'!$B$6","'ROOF'!$B$6","'ROOF'!$B$6"}</definedName>
    <definedName name="b2bbb" localSheetId="8" hidden="1">{"'ROOF'!$B$6","'ROOF'!$B$6","'ROOF'!$B$6","'ROOF'!$B$6"}</definedName>
    <definedName name="b2bbb" hidden="1">{"'ROOF'!$B$6","'ROOF'!$B$6","'ROOF'!$B$6","'ROOF'!$B$6"}</definedName>
    <definedName name="B2C" localSheetId="1" hidden="1">{"'ROOF'!$B$6","'ROOF'!$B$6","'ROOF'!$B$6","'ROOF'!$B$6"}</definedName>
    <definedName name="B2C" localSheetId="2" hidden="1">{"'ROOF'!$B$6","'ROOF'!$B$6","'ROOF'!$B$6","'ROOF'!$B$6"}</definedName>
    <definedName name="B2C" localSheetId="8" hidden="1">{"'ROOF'!$B$6","'ROOF'!$B$6","'ROOF'!$B$6","'ROOF'!$B$6"}</definedName>
    <definedName name="B2C" hidden="1">{"'ROOF'!$B$6","'ROOF'!$B$6","'ROOF'!$B$6","'ROOF'!$B$6"}</definedName>
    <definedName name="b2d" localSheetId="1" hidden="1">{"'ROOF'!$B$6","'ROOF'!$B$6","'ROOF'!$B$6","'ROOF'!$B$6"}</definedName>
    <definedName name="b2d" localSheetId="2" hidden="1">{"'ROOF'!$B$6","'ROOF'!$B$6","'ROOF'!$B$6","'ROOF'!$B$6"}</definedName>
    <definedName name="b2d" localSheetId="8" hidden="1">{"'ROOF'!$B$6","'ROOF'!$B$6","'ROOF'!$B$6","'ROOF'!$B$6"}</definedName>
    <definedName name="b2d" hidden="1">{"'ROOF'!$B$6","'ROOF'!$B$6","'ROOF'!$B$6","'ROOF'!$B$6"}</definedName>
    <definedName name="b2e" localSheetId="1" hidden="1">{"'ROOF'!$B$6","'ROOF'!$B$6","'ROOF'!$B$6","'ROOF'!$B$6"}</definedName>
    <definedName name="b2e" localSheetId="2" hidden="1">{"'ROOF'!$B$6","'ROOF'!$B$6","'ROOF'!$B$6","'ROOF'!$B$6"}</definedName>
    <definedName name="b2e" localSheetId="8" hidden="1">{"'ROOF'!$B$6","'ROOF'!$B$6","'ROOF'!$B$6","'ROOF'!$B$6"}</definedName>
    <definedName name="b2e" hidden="1">{"'ROOF'!$B$6","'ROOF'!$B$6","'ROOF'!$B$6","'ROOF'!$B$6"}</definedName>
    <definedName name="b2f" localSheetId="1" hidden="1">{"'ROOF'!$B$6","'ROOF'!$B$6","'ROOF'!$B$6","'ROOF'!$B$6"}</definedName>
    <definedName name="b2f" localSheetId="2" hidden="1">{"'ROOF'!$B$6","'ROOF'!$B$6","'ROOF'!$B$6","'ROOF'!$B$6"}</definedName>
    <definedName name="b2f" localSheetId="8" hidden="1">{"'ROOF'!$B$6","'ROOF'!$B$6","'ROOF'!$B$6","'ROOF'!$B$6"}</definedName>
    <definedName name="b2f" hidden="1">{"'ROOF'!$B$6","'ROOF'!$B$6","'ROOF'!$B$6","'ROOF'!$B$6"}</definedName>
    <definedName name="B2G" localSheetId="1" hidden="1">{"'ROOF'!$B$6","'ROOF'!$B$6","'ROOF'!$B$6","'ROOF'!$B$6"}</definedName>
    <definedName name="B2G" localSheetId="2" hidden="1">{"'ROOF'!$B$6","'ROOF'!$B$6","'ROOF'!$B$6","'ROOF'!$B$6"}</definedName>
    <definedName name="B2G" localSheetId="8" hidden="1">{"'ROOF'!$B$6","'ROOF'!$B$6","'ROOF'!$B$6","'ROOF'!$B$6"}</definedName>
    <definedName name="B2G" hidden="1">{"'ROOF'!$B$6","'ROOF'!$B$6","'ROOF'!$B$6","'ROOF'!$B$6"}</definedName>
    <definedName name="B2GG" localSheetId="1" hidden="1">{"'ROOF'!$B$6","'ROOF'!$B$6","'ROOF'!$B$6","'ROOF'!$B$6"}</definedName>
    <definedName name="B2GG" localSheetId="2" hidden="1">{"'ROOF'!$B$6","'ROOF'!$B$6","'ROOF'!$B$6","'ROOF'!$B$6"}</definedName>
    <definedName name="B2GG" localSheetId="8" hidden="1">{"'ROOF'!$B$6","'ROOF'!$B$6","'ROOF'!$B$6","'ROOF'!$B$6"}</definedName>
    <definedName name="B2GG" hidden="1">{"'ROOF'!$B$6","'ROOF'!$B$6","'ROOF'!$B$6","'ROOF'!$B$6"}</definedName>
    <definedName name="B2GSSL" localSheetId="1" hidden="1">{"'ROOF'!$B$6","'ROOF'!$B$6","'ROOF'!$B$6","'ROOF'!$B$6"}</definedName>
    <definedName name="B2GSSL" localSheetId="2" hidden="1">{"'ROOF'!$B$6","'ROOF'!$B$6","'ROOF'!$B$6","'ROOF'!$B$6"}</definedName>
    <definedName name="B2GSSL" localSheetId="8" hidden="1">{"'ROOF'!$B$6","'ROOF'!$B$6","'ROOF'!$B$6","'ROOF'!$B$6"}</definedName>
    <definedName name="B2GSSL" hidden="1">{"'ROOF'!$B$6","'ROOF'!$B$6","'ROOF'!$B$6","'ROOF'!$B$6"}</definedName>
    <definedName name="B2H" localSheetId="1" hidden="1">{"'ROOF'!$B$6","'ROOF'!$B$6","'ROOF'!$B$6","'ROOF'!$B$6"}</definedName>
    <definedName name="B2H" localSheetId="2" hidden="1">{"'ROOF'!$B$6","'ROOF'!$B$6","'ROOF'!$B$6","'ROOF'!$B$6"}</definedName>
    <definedName name="B2H" localSheetId="8" hidden="1">{"'ROOF'!$B$6","'ROOF'!$B$6","'ROOF'!$B$6","'ROOF'!$B$6"}</definedName>
    <definedName name="B2H" hidden="1">{"'ROOF'!$B$6","'ROOF'!$B$6","'ROOF'!$B$6","'ROOF'!$B$6"}</definedName>
    <definedName name="B2J" localSheetId="1" hidden="1">{"'ROOF'!$B$6","'ROOF'!$B$6","'ROOF'!$B$6","'ROOF'!$B$6"}</definedName>
    <definedName name="B2J" localSheetId="2" hidden="1">{"'ROOF'!$B$6","'ROOF'!$B$6","'ROOF'!$B$6","'ROOF'!$B$6"}</definedName>
    <definedName name="B2J" localSheetId="8" hidden="1">{"'ROOF'!$B$6","'ROOF'!$B$6","'ROOF'!$B$6","'ROOF'!$B$6"}</definedName>
    <definedName name="B2J" hidden="1">{"'ROOF'!$B$6","'ROOF'!$B$6","'ROOF'!$B$6","'ROOF'!$B$6"}</definedName>
    <definedName name="b2k" localSheetId="1" hidden="1">{"'ROOF'!$B$6","'ROOF'!$B$6","'ROOF'!$B$6","'ROOF'!$B$6"}</definedName>
    <definedName name="b2k" localSheetId="2" hidden="1">{"'ROOF'!$B$6","'ROOF'!$B$6","'ROOF'!$B$6","'ROOF'!$B$6"}</definedName>
    <definedName name="b2k" localSheetId="8" hidden="1">{"'ROOF'!$B$6","'ROOF'!$B$6","'ROOF'!$B$6","'ROOF'!$B$6"}</definedName>
    <definedName name="b2k" hidden="1">{"'ROOF'!$B$6","'ROOF'!$B$6","'ROOF'!$B$6","'ROOF'!$B$6"}</definedName>
    <definedName name="b2l" localSheetId="1" hidden="1">{"'ROOF'!$B$6","'ROOF'!$B$6","'ROOF'!$B$6","'ROOF'!$B$6"}</definedName>
    <definedName name="b2l" localSheetId="2" hidden="1">{"'ROOF'!$B$6","'ROOF'!$B$6","'ROOF'!$B$6","'ROOF'!$B$6"}</definedName>
    <definedName name="b2l" localSheetId="8" hidden="1">{"'ROOF'!$B$6","'ROOF'!$B$6","'ROOF'!$B$6","'ROOF'!$B$6"}</definedName>
    <definedName name="b2l" hidden="1">{"'ROOF'!$B$6","'ROOF'!$B$6","'ROOF'!$B$6","'ROOF'!$B$6"}</definedName>
    <definedName name="B3.1.9" hidden="1">#REF!</definedName>
    <definedName name="b3a" localSheetId="1" hidden="1">#REF!</definedName>
    <definedName name="b3a" hidden="1">#REF!</definedName>
    <definedName name="b3a1" localSheetId="1" hidden="1">#REF!</definedName>
    <definedName name="b3a1" hidden="1">#REF!</definedName>
    <definedName name="b3sl" localSheetId="1" hidden="1">{"'ROOF'!$B$6","'ROOF'!$B$6","'ROOF'!$B$6","'ROOF'!$B$6"}</definedName>
    <definedName name="b3sl" localSheetId="2" hidden="1">{"'ROOF'!$B$6","'ROOF'!$B$6","'ROOF'!$B$6","'ROOF'!$B$6"}</definedName>
    <definedName name="b3sl" localSheetId="8" hidden="1">{"'ROOF'!$B$6","'ROOF'!$B$6","'ROOF'!$B$6","'ROOF'!$B$6"}</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localSheetId="1" hidden="1">{"'ROOF'!$B$6","'ROOF'!$B$6","'ROOF'!$B$6","'ROOF'!$B$6"}</definedName>
    <definedName name="b5sl" localSheetId="2" hidden="1">{"'ROOF'!$B$6","'ROOF'!$B$6","'ROOF'!$B$6","'ROOF'!$B$6"}</definedName>
    <definedName name="b5sl" localSheetId="8" hidden="1">{"'ROOF'!$B$6","'ROOF'!$B$6","'ROOF'!$B$6","'ROOF'!$B$6"}</definedName>
    <definedName name="b5sl" hidden="1">{"'ROOF'!$B$6","'ROOF'!$B$6","'ROOF'!$B$6","'ROOF'!$B$6"}</definedName>
    <definedName name="b5slL" localSheetId="1" hidden="1">{"'ROOF'!$B$6","'ROOF'!$B$6","'ROOF'!$B$6","'ROOF'!$B$6"}</definedName>
    <definedName name="b5slL" localSheetId="2" hidden="1">{"'ROOF'!$B$6","'ROOF'!$B$6","'ROOF'!$B$6","'ROOF'!$B$6"}</definedName>
    <definedName name="b5slL" localSheetId="8" hidden="1">{"'ROOF'!$B$6","'ROOF'!$B$6","'ROOF'!$B$6","'ROOF'!$B$6"}</definedName>
    <definedName name="b5slL" hidden="1">{"'ROOF'!$B$6","'ROOF'!$B$6","'ROOF'!$B$6","'ROOF'!$B$6"}</definedName>
    <definedName name="B6a" localSheetId="1" hidden="1">{"'Sheet1'!$L$16"}</definedName>
    <definedName name="B6a" localSheetId="2" hidden="1">{"'Sheet1'!$L$16"}</definedName>
    <definedName name="B6a" localSheetId="8" hidden="1">{"'Sheet1'!$L$16"}</definedName>
    <definedName name="B6a" hidden="1">{"'Sheet1'!$L$16"}</definedName>
    <definedName name="bai" localSheetId="1" hidden="1">{"'Sheet1'!$L$16"}</definedName>
    <definedName name="bai" localSheetId="2" hidden="1">{"'Sheet1'!$L$16"}</definedName>
    <definedName name="bai" localSheetId="8" hidden="1">{"'Sheet1'!$L$16"}</definedName>
    <definedName name="bai" hidden="1">{"'Sheet1'!$L$16"}</definedName>
    <definedName name="banQL" localSheetId="1" hidden="1">{"'Sheet1'!$L$16"}</definedName>
    <definedName name="banQL" localSheetId="2" hidden="1">{"'Sheet1'!$L$16"}</definedName>
    <definedName name="banQL" localSheetId="8" hidden="1">{"'Sheet1'!$L$16"}</definedName>
    <definedName name="banQL" hidden="1">{"'Sheet1'!$L$16"}</definedName>
    <definedName name="BangChu">#REF!</definedName>
    <definedName name="bare">0</definedName>
    <definedName name="BARTIE">#REF!</definedName>
    <definedName name="BASIS">#REF!</definedName>
    <definedName name="BB" localSheetId="1" hidden="1">#REF!</definedName>
    <definedName name="BB" localSheetId="2" hidden="1">{#N/A,#N/A,FALSE,"Sheet1";#N/A,#N/A,FALSE,"Sheet3";#N/A,#N/A,FALSE,"Sheet5"}</definedName>
    <definedName name="BB" localSheetId="8" hidden="1">{#N/A,#N/A,FALSE,"Sheet1";#N/A,#N/A,FALSE,"Sheet3";#N/A,#N/A,FALSE,"Sheet5"}</definedName>
    <definedName name="BB" hidden="1">{#N/A,#N/A,FALSE,"Sheet1";#N/A,#N/A,FALSE,"Sheet3";#N/A,#N/A,FALSE,"Sheet5"}</definedName>
    <definedName name="BB_new" localSheetId="1" hidden="1">{"'Sheet1'!$L$16"}</definedName>
    <definedName name="BB_new" localSheetId="2" hidden="1">{"'Sheet1'!$L$16"}</definedName>
    <definedName name="BB_new" localSheetId="8" hidden="1">{"'Sheet1'!$L$16"}</definedName>
    <definedName name="BB_new" hidden="1">{"'Sheet1'!$L$16"}</definedName>
    <definedName name="BBB" localSheetId="1" hidden="1">{"'Sheet1'!$L$16"}</definedName>
    <definedName name="BBB" localSheetId="2" hidden="1">{"'Sheet1'!$L$16"}</definedName>
    <definedName name="BBB" localSheetId="8" hidden="1">{"'Sheet1'!$L$16"}</definedName>
    <definedName name="BBB" hidden="1">{"'Sheet1'!$L$16"}</definedName>
    <definedName name="bbbb" localSheetId="1" hidden="1">{"'Sheet1'!$L$16"}</definedName>
    <definedName name="bbbb" localSheetId="2" hidden="1">{"'Sheet1'!$L$16"}</definedName>
    <definedName name="bbbb" localSheetId="8" hidden="1">{"'Sheet1'!$L$16"}</definedName>
    <definedName name="bbbb" hidden="1">{"'Sheet1'!$L$16"}</definedName>
    <definedName name="ｂｂｂｂｂ" localSheetId="1" hidden="1">{"'Sheet1'!$L$16"}</definedName>
    <definedName name="ｂｂｂｂｂ" localSheetId="2" hidden="1">{"'Sheet1'!$L$16"}</definedName>
    <definedName name="ｂｂｂｂｂ" localSheetId="8" hidden="1">{"'Sheet1'!$L$16"}</definedName>
    <definedName name="ｂｂｂｂｂ" hidden="1">{"'Sheet1'!$L$16"}</definedName>
    <definedName name="bbbbbbb" localSheetId="1" hidden="1">#REF!</definedName>
    <definedName name="bbbbbbb" hidden="1">#REF!</definedName>
    <definedName name="BBBG" localSheetId="1" hidden="1">{"'Sheet1'!$L$16"}</definedName>
    <definedName name="BBBG" localSheetId="2" hidden="1">{"'Sheet1'!$L$16"}</definedName>
    <definedName name="BBBG" localSheetId="8" hidden="1">{"'Sheet1'!$L$16"}</definedName>
    <definedName name="BBBG" hidden="1">{"'Sheet1'!$L$16"}</definedName>
    <definedName name="bbfd" localSheetId="1" hidden="1">{#N/A,#N/A,FALSE,"Chi tiÆt"}</definedName>
    <definedName name="bbfd" localSheetId="2" hidden="1">{#N/A,#N/A,FALSE,"Chi tiÆt"}</definedName>
    <definedName name="bbfd" localSheetId="8" hidden="1">{#N/A,#N/A,FALSE,"Chi tiÆt"}</definedName>
    <definedName name="bbfd" hidden="1">{#N/A,#N/A,FALSE,"Chi tiÆt"}</definedName>
    <definedName name="BBKK" localSheetId="1" hidden="1">{"'Sheet1'!$L$16"}</definedName>
    <definedName name="BBKK" localSheetId="2" hidden="1">{"'Sheet1'!$L$16"}</definedName>
    <definedName name="BBKK" localSheetId="8" hidden="1">{"'Sheet1'!$L$16"}</definedName>
    <definedName name="BBKK" hidden="1">{"'Sheet1'!$L$16"}</definedName>
    <definedName name="bbv" hidden="1">#REF!</definedName>
    <definedName name="bc" localSheetId="1" hidden="1">{"'Sheet1'!$L$16"}</definedName>
    <definedName name="bc" localSheetId="2" hidden="1">{"'Sheet1'!$L$16"}</definedName>
    <definedName name="bc" localSheetId="8" hidden="1">{"'Sheet1'!$L$16"}</definedName>
    <definedName name="bc" hidden="1">{"'Sheet1'!$L$16"}</definedName>
    <definedName name="bcb" localSheetId="1" hidden="1">{"'Sheet1'!$L$16"}</definedName>
    <definedName name="bcb" localSheetId="2" hidden="1">{"'Sheet1'!$L$16"}</definedName>
    <definedName name="bcb" localSheetId="8" hidden="1">{"'Sheet1'!$L$16"}</definedName>
    <definedName name="bcb" hidden="1">{"'Sheet1'!$L$16"}</definedName>
    <definedName name="BCD" hidden="1">#REF!</definedName>
    <definedName name="BCTQ" localSheetId="1" hidden="1">{"'Sheet1'!$L$16"}</definedName>
    <definedName name="BCTQ" localSheetId="2" hidden="1">{"'Sheet1'!$L$16"}</definedName>
    <definedName name="BCTQ" localSheetId="8" hidden="1">{"'Sheet1'!$L$16"}</definedName>
    <definedName name="BCTQ" hidden="1">{"'Sheet1'!$L$16"}</definedName>
    <definedName name="BCTV" localSheetId="1" hidden="1">{"'Sheet1'!$L$16"}</definedName>
    <definedName name="BCTV" localSheetId="2" hidden="1">{"'Sheet1'!$L$16"}</definedName>
    <definedName name="BCTV" localSheetId="8" hidden="1">{"'Sheet1'!$L$16"}</definedName>
    <definedName name="BCTV" hidden="1">{"'Sheet1'!$L$16"}</definedName>
    <definedName name="bcv" localSheetId="1" hidden="1">{"'Sheet1'!$L$16"}</definedName>
    <definedName name="bcv" localSheetId="2" hidden="1">{"'Sheet1'!$L$16"}</definedName>
    <definedName name="bcv" localSheetId="8" hidden="1">{"'Sheet1'!$L$16"}</definedName>
    <definedName name="bcv" hidden="1">{"'Sheet1'!$L$16"}</definedName>
    <definedName name="BDFBDFBDF" localSheetId="1" hidden="1">{"'Sheet1'!$L$16"}</definedName>
    <definedName name="BDFBDFBDF" localSheetId="2" hidden="1">{"'Sheet1'!$L$16"}</definedName>
    <definedName name="BDFBDFBDF" localSheetId="8" hidden="1">{"'Sheet1'!$L$16"}</definedName>
    <definedName name="BDFBDFBDF" hidden="1">{"'Sheet1'!$L$16"}</definedName>
    <definedName name="BDGNDNGB" localSheetId="1" hidden="1">{"'Sheet1'!$L$16"}</definedName>
    <definedName name="BDGNDNGB" localSheetId="2" hidden="1">{"'Sheet1'!$L$16"}</definedName>
    <definedName name="BDGNDNGB" localSheetId="8" hidden="1">{"'Sheet1'!$L$16"}</definedName>
    <definedName name="BDGNDNGB" hidden="1">{"'Sheet1'!$L$16"}</definedName>
    <definedName name="bdv" localSheetId="1" hidden="1">{"'Sheet1'!$L$16"}</definedName>
    <definedName name="bdv" localSheetId="2" hidden="1">{"'Sheet1'!$L$16"}</definedName>
    <definedName name="bdv" localSheetId="8" hidden="1">{"'Sheet1'!$L$16"}</definedName>
    <definedName name="bdv" hidden="1">{"'Sheet1'!$L$16"}</definedName>
    <definedName name="bemai" localSheetId="1" hidden="1">{"'Sheet1'!$L$16"}</definedName>
    <definedName name="bemai" localSheetId="2" hidden="1">{"'Sheet1'!$L$16"}</definedName>
    <definedName name="bemai" localSheetId="8" hidden="1">{"'Sheet1'!$L$16"}</definedName>
    <definedName name="bemai" hidden="1">{"'Sheet1'!$L$16"}</definedName>
    <definedName name="BFSBFD" localSheetId="1" hidden="1">{"'Sheet1'!$L$16"}</definedName>
    <definedName name="BFSBFD" localSheetId="2" hidden="1">{"'Sheet1'!$L$16"}</definedName>
    <definedName name="BFSBFD" localSheetId="8" hidden="1">{"'Sheet1'!$L$16"}</definedName>
    <definedName name="BFSBFD" hidden="1">{"'Sheet1'!$L$16"}</definedName>
    <definedName name="bg" localSheetId="1" hidden="1">{"'Sheet1'!$L$16"}</definedName>
    <definedName name="bg" localSheetId="2" hidden="1">{"'Sheet1'!$L$16"}</definedName>
    <definedName name="bg" localSheetId="8" hidden="1">{"'Sheet1'!$L$16"}</definedName>
    <definedName name="bg" hidden="1">{"'Sheet1'!$L$16"}</definedName>
    <definedName name="BG_Del" hidden="1">15</definedName>
    <definedName name="BG_Ins" hidden="1">4</definedName>
    <definedName name="BG_Mod" hidden="1">6</definedName>
    <definedName name="BGFNC" localSheetId="1" hidden="1">{"'Sheet1'!$L$16"}</definedName>
    <definedName name="BGFNC" localSheetId="2" hidden="1">{"'Sheet1'!$L$16"}</definedName>
    <definedName name="BGFNC" localSheetId="8" hidden="1">{"'Sheet1'!$L$16"}</definedName>
    <definedName name="BGFNC" hidden="1">{"'Sheet1'!$L$16"}</definedName>
    <definedName name="BGHG" localSheetId="1" hidden="1">{#N/A,#N/A,FALSE,"估價單  (3)"}</definedName>
    <definedName name="BGHG" localSheetId="2" hidden="1">{#N/A,#N/A,FALSE,"估價單  (3)"}</definedName>
    <definedName name="BGHG" localSheetId="8" hidden="1">{#N/A,#N/A,FALSE,"估價單  (3)"}</definedName>
    <definedName name="BGHG" hidden="1">{#N/A,#N/A,FALSE,"估價單  (3)"}</definedName>
    <definedName name="bghui" localSheetId="1" hidden="1">{"'Sheet1'!$L$16"}</definedName>
    <definedName name="bghui" localSheetId="2" hidden="1">{"'Sheet1'!$L$16"}</definedName>
    <definedName name="bghui" localSheetId="8" hidden="1">{"'Sheet1'!$L$16"}</definedName>
    <definedName name="bghui" hidden="1">{"'Sheet1'!$L$16"}</definedName>
    <definedName name="BGNL" hidden="1">#REF!</definedName>
    <definedName name="BGSFGSD" localSheetId="1" hidden="1">{"'Sheet1'!$L$16"}</definedName>
    <definedName name="BGSFGSD" localSheetId="2" hidden="1">{"'Sheet1'!$L$16"}</definedName>
    <definedName name="BGSFGSD" localSheetId="8" hidden="1">{"'Sheet1'!$L$16"}</definedName>
    <definedName name="BGSFGSD" hidden="1">{"'Sheet1'!$L$16"}</definedName>
    <definedName name="Bgiang" localSheetId="1" hidden="1">{"'Sheet1'!$L$16"}</definedName>
    <definedName name="Bgiang" localSheetId="2" hidden="1">{"'Sheet1'!$L$16"}</definedName>
    <definedName name="Bgiang" localSheetId="8" hidden="1">{"'Sheet1'!$L$16"}</definedName>
    <definedName name="Bgiang" hidden="1">{"'Sheet1'!$L$16"}</definedName>
    <definedName name="BHDB" localSheetId="1" hidden="1">{"'Sheet1'!$L$16"}</definedName>
    <definedName name="BHDB" localSheetId="2" hidden="1">{"'Sheet1'!$L$16"}</definedName>
    <definedName name="BHDB" localSheetId="8" hidden="1">{"'Sheet1'!$L$16"}</definedName>
    <definedName name="BHDB" hidden="1">{"'Sheet1'!$L$16"}</definedName>
    <definedName name="BHJ" localSheetId="1" hidden="1">{#N/A,#N/A,FALSE,"Sheet6"}</definedName>
    <definedName name="BHJ" localSheetId="2" hidden="1">{#N/A,#N/A,FALSE,"Sheet6"}</definedName>
    <definedName name="BHJ" localSheetId="8" hidden="1">{#N/A,#N/A,FALSE,"Sheet6"}</definedName>
    <definedName name="BHJ" hidden="1">{#N/A,#N/A,FALSE,"Sheet6"}</definedName>
    <definedName name="Bhthang4" localSheetId="1" hidden="1">{#N/A,#N/A,FALSE,"Chi tiÆt"}</definedName>
    <definedName name="Bhthang4" localSheetId="2" hidden="1">{#N/A,#N/A,FALSE,"Chi tiÆt"}</definedName>
    <definedName name="Bhthang4" localSheetId="8" hidden="1">{#N/A,#N/A,FALSE,"Chi tiÆt"}</definedName>
    <definedName name="Bhthang4" hidden="1">{#N/A,#N/A,FALSE,"Chi tiÆt"}</definedName>
    <definedName name="bhthang5" localSheetId="1" hidden="1">{#N/A,#N/A,FALSE,"Chi tiÆt"}</definedName>
    <definedName name="bhthang5" localSheetId="2" hidden="1">{#N/A,#N/A,FALSE,"Chi tiÆt"}</definedName>
    <definedName name="bhthang5" localSheetId="8" hidden="1">{#N/A,#N/A,FALSE,"Chi tiÆt"}</definedName>
    <definedName name="bhthang5" hidden="1">{#N/A,#N/A,FALSE,"Chi tiÆt"}</definedName>
    <definedName name="bhthang6" localSheetId="1" hidden="1">{"'Sheet1'!$L$16"}</definedName>
    <definedName name="bhthang6" localSheetId="2" hidden="1">{"'Sheet1'!$L$16"}</definedName>
    <definedName name="bhthang6" localSheetId="8" hidden="1">{"'Sheet1'!$L$16"}</definedName>
    <definedName name="bhthang6" hidden="1">{"'Sheet1'!$L$16"}</definedName>
    <definedName name="BI" localSheetId="1" hidden="1">{#N/A,#N/A,FALSE,"이태원철근"}</definedName>
    <definedName name="BI" localSheetId="2" hidden="1">{#N/A,#N/A,FALSE,"이태원철근"}</definedName>
    <definedName name="BI" localSheetId="8" hidden="1">{#N/A,#N/A,FALSE,"이태원철근"}</definedName>
    <definedName name="BI" hidden="1">{#N/A,#N/A,FALSE,"이태원철근"}</definedName>
    <definedName name="BIA" localSheetId="1" hidden="1">{"'Sheet1'!$L$16"}</definedName>
    <definedName name="BIA" localSheetId="2" hidden="1">{"'Sheet1'!$L$16"}</definedName>
    <definedName name="BIA" localSheetId="8" hidden="1">{"'Sheet1'!$L$16"}</definedName>
    <definedName name="BIA" hidden="1">{"'Sheet1'!$L$16"}</definedName>
    <definedName name="Bien1" hidden="1">#REF!</definedName>
    <definedName name="bietthu" localSheetId="1" hidden="1">{"'Sheet1'!$L$16"}</definedName>
    <definedName name="bietthu" localSheetId="2" hidden="1">{"'Sheet1'!$L$16"}</definedName>
    <definedName name="bietthu" localSheetId="8" hidden="1">{"'Sheet1'!$L$16"}</definedName>
    <definedName name="bietthu" hidden="1">{"'Sheet1'!$L$16"}</definedName>
    <definedName name="BIGC" localSheetId="1" hidden="1">{#N/A,#N/A,TRUE,"Str.";#N/A,#N/A,TRUE,"Steel &amp; Roof";#N/A,#N/A,TRUE,"Arc.";#N/A,#N/A,TRUE,"Preliminary";#N/A,#N/A,TRUE,"Sum_Prelim"}</definedName>
    <definedName name="BIGC" localSheetId="2" hidden="1">{#N/A,#N/A,TRUE,"Str.";#N/A,#N/A,TRUE,"Steel &amp; Roof";#N/A,#N/A,TRUE,"Arc.";#N/A,#N/A,TRUE,"Preliminary";#N/A,#N/A,TRUE,"Sum_Prelim"}</definedName>
    <definedName name="BIGC" localSheetId="8" hidden="1">{#N/A,#N/A,TRUE,"Str.";#N/A,#N/A,TRUE,"Steel &amp; Roof";#N/A,#N/A,TRUE,"Arc.";#N/A,#N/A,TRUE,"Preliminary";#N/A,#N/A,TRUE,"Sum_Prelim"}</definedName>
    <definedName name="BIGC" hidden="1">{#N/A,#N/A,TRUE,"Str.";#N/A,#N/A,TRUE,"Steel &amp; Roof";#N/A,#N/A,TRUE,"Arc.";#N/A,#N/A,TRUE,"Preliminary";#N/A,#N/A,TRUE,"Sum_Prelim"}</definedName>
    <definedName name="bill1a" localSheetId="1" hidden="1">{"'Sheet1'!$L$16"}</definedName>
    <definedName name="bill1a" localSheetId="2" hidden="1">{"'Sheet1'!$L$16"}</definedName>
    <definedName name="bill1a" localSheetId="8" hidden="1">{"'Sheet1'!$L$16"}</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localSheetId="1" hidden="1">{"'Sheet1'!$L$16"}</definedName>
    <definedName name="Binh" localSheetId="2" hidden="1">{"'Sheet1'!$L$16"}</definedName>
    <definedName name="Binh" localSheetId="8" hidden="1">{"'Sheet1'!$L$16"}</definedName>
    <definedName name="Binh" hidden="1">{"'Sheet1'!$L$16"}</definedName>
    <definedName name="BMS" localSheetId="1" hidden="1">{"'Sheet1'!$L$16"}</definedName>
    <definedName name="BMS" localSheetId="2" hidden="1">{"'Sheet1'!$L$16"}</definedName>
    <definedName name="BMS" localSheetId="8" hidden="1">{"'Sheet1'!$L$16"}</definedName>
    <definedName name="BMS" hidden="1">{"'Sheet1'!$L$16"}</definedName>
    <definedName name="BN" localSheetId="1" hidden="1">{"'Sheet1'!$L$16"}</definedName>
    <definedName name="BN" localSheetId="2" hidden="1">{"'Sheet1'!$L$16"}</definedName>
    <definedName name="BN" localSheetId="8" hidden="1">{"'Sheet1'!$L$16"}</definedName>
    <definedName name="BN" hidden="1">{"'Sheet1'!$L$16"}</definedName>
    <definedName name="bnm" localSheetId="1" hidden="1">{#N/A,#N/A,FALSE,"Chi tiÆt"}</definedName>
    <definedName name="bnm" localSheetId="2" hidden="1">{#N/A,#N/A,FALSE,"Chi tiÆt"}</definedName>
    <definedName name="bnm" localSheetId="8" hidden="1">{#N/A,#N/A,FALSE,"Chi tiÆt"}</definedName>
    <definedName name="bnm" hidden="1">{#N/A,#N/A,FALSE,"Chi tiÆt"}</definedName>
    <definedName name="bo" localSheetId="1" hidden="1">{#N/A,#N/A,FALSE,"Chi tiÆt"}</definedName>
    <definedName name="bo" localSheetId="2" hidden="1">{#N/A,#N/A,FALSE,"Chi tiÆt"}</definedName>
    <definedName name="bo" localSheetId="8" hidden="1">{#N/A,#N/A,FALSE,"Chi tiÆt"}</definedName>
    <definedName name="bo" hidden="1">{#N/A,#N/A,FALSE,"Chi tiÆt"}</definedName>
    <definedName name="book1" localSheetId="1" hidden="1">{"'现金流量表（全部投资）'!$B$4:$P$23"}</definedName>
    <definedName name="book1" localSheetId="2" hidden="1">{"'现金流量表（全部投资）'!$B$4:$P$23"}</definedName>
    <definedName name="book1" localSheetId="8" hidden="1">{"'现金流量表（全部投资）'!$B$4:$P$23"}</definedName>
    <definedName name="book1" hidden="1">{"'现金流量表（全部投资）'!$B$4:$P$23"}</definedName>
    <definedName name="BOQ" localSheetId="1">{"Book1","BoQ2.XLS"}</definedName>
    <definedName name="BOQ" localSheetId="2">{"Book1","BoQ2.XLS"}</definedName>
    <definedName name="BOQ" localSheetId="8">{"Book1","BoQ2.XLS"}</definedName>
    <definedName name="BOQ">{"Book1","BoQ2.XLS"}</definedName>
    <definedName name="BOQA2" localSheetId="1" hidden="1">{"'Sheet1'!$L$16"}</definedName>
    <definedName name="BOQA2" localSheetId="2" hidden="1">{"'Sheet1'!$L$16"}</definedName>
    <definedName name="BOQA2" localSheetId="8" hidden="1">{"'Sheet1'!$L$16"}</definedName>
    <definedName name="BOQA2" hidden="1">{"'Sheet1'!$L$16"}</definedName>
    <definedName name="BOQCongtruong" localSheetId="1" hidden="1">#REF!</definedName>
    <definedName name="BOQCongtruong" hidden="1">#REF!</definedName>
    <definedName name="boredpile" hidden="1">#REF!</definedName>
    <definedName name="bql" localSheetId="1" hidden="1">{#N/A,#N/A,FALSE,"Chi tiÆt"}</definedName>
    <definedName name="bql" localSheetId="2" hidden="1">{#N/A,#N/A,FALSE,"Chi tiÆt"}</definedName>
    <definedName name="bql" localSheetId="8" hidden="1">{#N/A,#N/A,FALSE,"Chi tiÆt"}</definedName>
    <definedName name="bql" hidden="1">{#N/A,#N/A,FALSE,"Chi tiÆt"}</definedName>
    <definedName name="BQQ" hidden="1">#REF!</definedName>
    <definedName name="BREAK" localSheetId="1" hidden="1">{#N/A,#N/A,FALSE,"CCTV"}</definedName>
    <definedName name="BREAK" localSheetId="2" hidden="1">{#N/A,#N/A,FALSE,"CCTV"}</definedName>
    <definedName name="BREAK" localSheetId="8" hidden="1">{#N/A,#N/A,FALSE,"CCTV"}</definedName>
    <definedName name="BREAK" hidden="1">{#N/A,#N/A,FALSE,"CCTV"}</definedName>
    <definedName name="BSFSDBVSD" localSheetId="1" hidden="1">{"'Sheet1'!$L$16"}</definedName>
    <definedName name="BSFSDBVSD" localSheetId="2" hidden="1">{"'Sheet1'!$L$16"}</definedName>
    <definedName name="BSFSDBVSD" localSheetId="8" hidden="1">{"'Sheet1'!$L$16"}</definedName>
    <definedName name="BSFSDBVSD" hidden="1">{"'Sheet1'!$L$16"}</definedName>
    <definedName name="BSM">#REF!</definedName>
    <definedName name="BT" localSheetId="1" hidden="1">{#N/A,#N/A,FALSE,"손익표지";#N/A,#N/A,FALSE,"손익계산";#N/A,#N/A,FALSE,"일반관리비";#N/A,#N/A,FALSE,"영업외수익";#N/A,#N/A,FALSE,"영업외비용";#N/A,#N/A,FALSE,"매출액";#N/A,#N/A,FALSE,"요약손익";#N/A,#N/A,FALSE,"요약대차";#N/A,#N/A,FALSE,"매출채권현황";#N/A,#N/A,FALSE,"매출채권명세"}</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 localSheetId="8" hidden="1">{#N/A,#N/A,FALSE,"손익표지";#N/A,#N/A,FALSE,"손익계산";#N/A,#N/A,FALSE,"일반관리비";#N/A,#N/A,FALSE,"영업외수익";#N/A,#N/A,FALSE,"영업외비용";#N/A,#N/A,FALSE,"매출액";#N/A,#N/A,FALSE,"요약손익";#N/A,#N/A,FALSE,"요약대차";#N/A,#N/A,FALSE,"매출채권현황";#N/A,#N/A,FALSE,"매출채권명세"}</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localSheetId="1" hidden="1">{"'Sheet1'!$L$16"}</definedName>
    <definedName name="btl" localSheetId="2" hidden="1">{"'Sheet1'!$L$16"}</definedName>
    <definedName name="btl" localSheetId="8" hidden="1">{"'Sheet1'!$L$16"}</definedName>
    <definedName name="btl" hidden="1">{"'Sheet1'!$L$16"}</definedName>
    <definedName name="btnm3" localSheetId="1" hidden="1">{"'Sheet1'!$L$16"}</definedName>
    <definedName name="btnm3" localSheetId="2" hidden="1">{"'Sheet1'!$L$16"}</definedName>
    <definedName name="btnm3" localSheetId="8" hidden="1">{"'Sheet1'!$L$16"}</definedName>
    <definedName name="btnm3" hidden="1">{"'Sheet1'!$L$16"}</definedName>
    <definedName name="BTH" localSheetId="1" hidden="1">{"'Sheet1'!$L$16"}</definedName>
    <definedName name="BTH" localSheetId="2" hidden="1">{"'Sheet1'!$L$16"}</definedName>
    <definedName name="BTH" localSheetId="8" hidden="1">{"'Sheet1'!$L$16"}</definedName>
    <definedName name="BTH" hidden="1">{"'Sheet1'!$L$16"}</definedName>
    <definedName name="BTRAM">#REF!</definedName>
    <definedName name="bu" localSheetId="1" hidden="1">{"'Sheet1'!$L$16"}</definedName>
    <definedName name="bu" localSheetId="2" hidden="1">{"'Sheet1'!$L$16"}</definedName>
    <definedName name="bu" localSheetId="8" hidden="1">{"'Sheet1'!$L$16"}</definedName>
    <definedName name="bu" hidden="1">{"'Sheet1'!$L$16"}</definedName>
    <definedName name="BuGia">#REF!</definedName>
    <definedName name="buoi" localSheetId="1" hidden="1">{"'Sheet1'!$L$16"}</definedName>
    <definedName name="buoi" localSheetId="2" hidden="1">{"'Sheet1'!$L$16"}</definedName>
    <definedName name="buoi" localSheetId="8" hidden="1">{"'Sheet1'!$L$16"}</definedName>
    <definedName name="buoi" hidden="1">{"'Sheet1'!$L$16"}</definedName>
    <definedName name="bvb" localSheetId="1" hidden="1">{"NGUYEN QUI THIEP - Personal View",#N/A,FALSE,"XDCB.HT.FUR."}</definedName>
    <definedName name="bvb" localSheetId="2" hidden="1">{"NGUYEN QUI THIEP - Personal View",#N/A,FALSE,"XDCB.HT.FUR."}</definedName>
    <definedName name="bvb" localSheetId="8" hidden="1">{"NGUYEN QUI THIEP - Personal View",#N/A,FALSE,"XDCB.HT.FUR."}</definedName>
    <definedName name="bvb" hidden="1">{"NGUYEN QUI THIEP - Personal View",#N/A,FALSE,"XDCB.HT.FUR."}</definedName>
    <definedName name="bvhjggj" localSheetId="1" hidden="1">#REF!</definedName>
    <definedName name="bvhjggj" hidden="1">#REF!</definedName>
    <definedName name="bvx" localSheetId="1" hidden="1">{#N/A,#N/A,FALSE,"토공2"}</definedName>
    <definedName name="bvx" localSheetId="2" hidden="1">{#N/A,#N/A,FALSE,"토공2"}</definedName>
    <definedName name="bvx" localSheetId="8" hidden="1">{#N/A,#N/A,FALSE,"토공2"}</definedName>
    <definedName name="bvx" hidden="1">{#N/A,#N/A,FALSE,"토공2"}</definedName>
    <definedName name="BW">#REF!</definedName>
    <definedName name="BXBXCBC" localSheetId="1" hidden="1">{"'Sheet1'!$L$16"}</definedName>
    <definedName name="BXBXCBC" localSheetId="2" hidden="1">{"'Sheet1'!$L$16"}</definedName>
    <definedName name="BXBXCBC" localSheetId="8" hidden="1">{"'Sheet1'!$L$16"}</definedName>
    <definedName name="BXBXCBC" hidden="1">{"'Sheet1'!$L$16"}</definedName>
    <definedName name="bxvbx" localSheetId="1" hidden="1">{"'Sheet1'!$L$16"}</definedName>
    <definedName name="bxvbx" localSheetId="2" hidden="1">{"'Sheet1'!$L$16"}</definedName>
    <definedName name="bxvbx" localSheetId="8"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localSheetId="1" hidden="1">{"'Sheet1'!$L$16"}</definedName>
    <definedName name="ca" localSheetId="2" hidden="1">{"'Sheet1'!$L$16"}</definedName>
    <definedName name="ca" localSheetId="8" hidden="1">{"'Sheet1'!$L$16"}</definedName>
    <definedName name="ca" hidden="1">{"'Sheet1'!$L$16"}</definedName>
    <definedName name="Cable" localSheetId="1" hidden="1">{"'Sheet1'!$L$16"}</definedName>
    <definedName name="Cable" localSheetId="2" hidden="1">{"'Sheet1'!$L$16"}</definedName>
    <definedName name="Cable" localSheetId="8" hidden="1">{"'Sheet1'!$L$16"}</definedName>
    <definedName name="Cable" hidden="1">{"'Sheet1'!$L$16"}</definedName>
    <definedName name="cables" localSheetId="1" hidden="1">{"IMRAK42x8x8",#N/A,TRUE,"IMRAK 1400 42U 800X800";"IMRAK32x6x6",#N/A,TRUE,"IMRAK 1400 32U 600x600";"IMRAK42x12x8",#N/A,TRUE,"IMRAK 1400 42U 1200x800";"IMRAK15x6x4",#N/A,TRUE,"IMRAK 400 15U FRONT SECTION"}</definedName>
    <definedName name="cables" localSheetId="2" hidden="1">{"IMRAK42x8x8",#N/A,TRUE,"IMRAK 1400 42U 800X800";"IMRAK32x6x6",#N/A,TRUE,"IMRAK 1400 32U 600x600";"IMRAK42x12x8",#N/A,TRUE,"IMRAK 1400 42U 1200x800";"IMRAK15x6x4",#N/A,TRUE,"IMRAK 400 15U FRONT SECTION"}</definedName>
    <definedName name="cables" localSheetId="8" hidden="1">{"IMRAK42x8x8",#N/A,TRUE,"IMRAK 1400 42U 800X800";"IMRAK32x6x6",#N/A,TRUE,"IMRAK 1400 32U 600x600";"IMRAK42x12x8",#N/A,TRUE,"IMRAK 1400 42U 1200x800";"IMRAK15x6x4",#N/A,TRUE,"IMRAK 400 15U FRONT SECTION"}</definedName>
    <definedName name="cables" hidden="1">{"IMRAK42x8x8",#N/A,TRUE,"IMRAK 1400 42U 800X800";"IMRAK32x6x6",#N/A,TRUE,"IMRAK 1400 32U 600x600";"IMRAK42x12x8",#N/A,TRUE,"IMRAK 1400 42U 1200x800";"IMRAK15x6x4",#N/A,TRUE,"IMRAK 400 15U FRONT SECTION"}</definedName>
    <definedName name="caccccc" localSheetId="1" hidden="1">{"'Sheet1'!$L$16"}</definedName>
    <definedName name="caccccc" localSheetId="2" hidden="1">{"'Sheet1'!$L$16"}</definedName>
    <definedName name="caccccc" localSheetId="8" hidden="1">{"'Sheet1'!$L$16"}</definedName>
    <definedName name="caccccc" hidden="1">{"'Sheet1'!$L$16"}</definedName>
    <definedName name="CACSA" localSheetId="1" hidden="1">{"'Sheet1'!$L$16"}</definedName>
    <definedName name="CACSA" localSheetId="2" hidden="1">{"'Sheet1'!$L$16"}</definedName>
    <definedName name="CACSA" localSheetId="8" hidden="1">{"'Sheet1'!$L$16"}</definedName>
    <definedName name="CACSA" hidden="1">{"'Sheet1'!$L$16"}</definedName>
    <definedName name="cadca" localSheetId="1" hidden="1">#REF!</definedName>
    <definedName name="cadca" hidden="1">#REF!</definedName>
    <definedName name="CALBE" localSheetId="1" hidden="1">{"'Sheet1'!$L$16"}</definedName>
    <definedName name="CALBE" localSheetId="2" hidden="1">{"'Sheet1'!$L$16"}</definedName>
    <definedName name="CALBE" localSheetId="8" hidden="1">{"'Sheet1'!$L$16"}</definedName>
    <definedName name="CALBE" hidden="1">{"'Sheet1'!$L$16"}</definedName>
    <definedName name="cald" localSheetId="1" hidden="1">{#N/A,#N/A,FALSE,"CCTV"}</definedName>
    <definedName name="cald" localSheetId="2" hidden="1">{#N/A,#N/A,FALSE,"CCTV"}</definedName>
    <definedName name="cald" localSheetId="8" hidden="1">{#N/A,#N/A,FALSE,"CCTV"}</definedName>
    <definedName name="cald" hidden="1">{#N/A,#N/A,FALSE,"CCTV"}</definedName>
    <definedName name="came" localSheetId="1" hidden="1">{"'Sheet1'!$L$16"}</definedName>
    <definedName name="came" localSheetId="2" hidden="1">{"'Sheet1'!$L$16"}</definedName>
    <definedName name="came" localSheetId="8" hidden="1">{"'Sheet1'!$L$16"}</definedName>
    <definedName name="came" hidden="1">{"'Sheet1'!$L$16"}</definedName>
    <definedName name="CAMTC">#REF!</definedName>
    <definedName name="CANON" localSheetId="1" hidden="1">{"'Sheet1'!$L$16"}</definedName>
    <definedName name="CANON" localSheetId="2" hidden="1">{"'Sheet1'!$L$16"}</definedName>
    <definedName name="CANON" localSheetId="8" hidden="1">{"'Sheet1'!$L$16"}</definedName>
    <definedName name="CANON" hidden="1">{"'Sheet1'!$L$16"}</definedName>
    <definedName name="CANOPY" hidden="1">#REF!</definedName>
    <definedName name="canteen" localSheetId="1" hidden="1">{"'Sheet1'!$L$16"}</definedName>
    <definedName name="canteen" hidden="1">#REF!</definedName>
    <definedName name="CaododayGa" localSheetId="1" hidden="1">{"'Sheet1'!$L$16"}</definedName>
    <definedName name="CaododayGa" localSheetId="2" hidden="1">{"'Sheet1'!$L$16"}</definedName>
    <definedName name="CaododayGa" localSheetId="8" hidden="1">{"'Sheet1'!$L$16"}</definedName>
    <definedName name="CaododayGa" hidden="1">{"'Sheet1'!$L$16"}</definedName>
    <definedName name="cap" localSheetId="1" hidden="1">{"'Sheet1'!$L$16"}</definedName>
    <definedName name="cap" localSheetId="2" hidden="1">{"'Sheet1'!$L$16"}</definedName>
    <definedName name="cap" localSheetId="8" hidden="1">{"'Sheet1'!$L$16"}</definedName>
    <definedName name="cap" hidden="1">{"'Sheet1'!$L$16"}</definedName>
    <definedName name="CAPT">#REF!</definedName>
    <definedName name="CARL" localSheetId="1" hidden="1">{#N/A,#N/A,FALSE,"CCTV"}</definedName>
    <definedName name="CARL" localSheetId="2" hidden="1">{#N/A,#N/A,FALSE,"CCTV"}</definedName>
    <definedName name="CARL" localSheetId="8" hidden="1">{#N/A,#N/A,FALSE,"CCTV"}</definedName>
    <definedName name="CARL" hidden="1">{#N/A,#N/A,FALSE,"CCTV"}</definedName>
    <definedName name="CARL1" localSheetId="1" hidden="1">{#N/A,#N/A,FALSE,"CCTV"}</definedName>
    <definedName name="CARL1" localSheetId="2" hidden="1">{#N/A,#N/A,FALSE,"CCTV"}</definedName>
    <definedName name="CARL1" localSheetId="8" hidden="1">{#N/A,#N/A,FALSE,"CCTV"}</definedName>
    <definedName name="CARL1" hidden="1">{#N/A,#N/A,FALSE,"CCTV"}</definedName>
    <definedName name="CARL2" localSheetId="1" hidden="1">{#N/A,#N/A,FALSE,"CCTV"}</definedName>
    <definedName name="CARL2" localSheetId="2" hidden="1">{#N/A,#N/A,FALSE,"CCTV"}</definedName>
    <definedName name="CARL2" localSheetId="8" hidden="1">{#N/A,#N/A,FALSE,"CCTV"}</definedName>
    <definedName name="CARL2" hidden="1">{#N/A,#N/A,FALSE,"CCTV"}</definedName>
    <definedName name="cashfl" localSheetId="1" hidden="1">{#N/A,#N/A,TRUE,"Cover";#N/A,#N/A,TRUE,"Conts";#N/A,#N/A,TRUE,"VOS";#N/A,#N/A,TRUE,"Warrington";#N/A,#N/A,TRUE,"Widnes"}</definedName>
    <definedName name="cashfl" localSheetId="2"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atalogue" localSheetId="1" hidden="1">{"'Sheet1'!$L$16"}</definedName>
    <definedName name="catalogue" localSheetId="2" hidden="1">{"'Sheet1'!$L$16"}</definedName>
    <definedName name="catalogue" localSheetId="8" hidden="1">{"'Sheet1'!$L$16"}</definedName>
    <definedName name="catalogue" hidden="1">{"'Sheet1'!$L$16"}</definedName>
    <definedName name="CATIN">#N/A</definedName>
    <definedName name="CATJYOU">#N/A</definedName>
    <definedName name="CATSYU">#N/A</definedName>
    <definedName name="CATREC">#N/A</definedName>
    <definedName name="cauthang" localSheetId="1" hidden="1">{"'Sheet1'!$L$16"}</definedName>
    <definedName name="cauthang" localSheetId="2" hidden="1">{"'Sheet1'!$L$16"}</definedName>
    <definedName name="cauthang" localSheetId="8" hidden="1">{"'Sheet1'!$L$16"}</definedName>
    <definedName name="cauthang" hidden="1">{"'Sheet1'!$L$16"}</definedName>
    <definedName name="CAVT">#REF!</definedName>
    <definedName name="cay" localSheetId="1" hidden="1">{"'Sheet1'!$L$16"}</definedName>
    <definedName name="cay" localSheetId="2" hidden="1">{"'Sheet1'!$L$16"}</definedName>
    <definedName name="cay" localSheetId="8" hidden="1">{"'Sheet1'!$L$16"}</definedName>
    <definedName name="cay" hidden="1">{"'Sheet1'!$L$16"}</definedName>
    <definedName name="CẪ" localSheetId="1" hidden="1">{"'Sheet1'!$L$16"}</definedName>
    <definedName name="CẪ" localSheetId="2" hidden="1">{"'Sheet1'!$L$16"}</definedName>
    <definedName name="CẪ" localSheetId="8" hidden="1">{"'Sheet1'!$L$16"}</definedName>
    <definedName name="CẪ" hidden="1">{"'Sheet1'!$L$16"}</definedName>
    <definedName name="CBPT">#REF!</definedName>
    <definedName name="CBVT">#REF!</definedName>
    <definedName name="CBWorkbookPriority" hidden="1">-1807836116</definedName>
    <definedName name="ccc" localSheetId="1" hidden="1">{"'Sheet1'!$L$16"}</definedName>
    <definedName name="CCC" localSheetId="2" hidden="1">{"'Sheet1'!$L$16"}</definedName>
    <definedName name="CCC" localSheetId="8" hidden="1">{"'Sheet1'!$L$16"}</definedName>
    <definedName name="CCC" hidden="1">{"'Sheet1'!$L$16"}</definedName>
    <definedName name="cccc" localSheetId="1" hidden="1">{#N/A,#N/A,TRUE,"SUM";#N/A,#N/A,TRUE,"EE";#N/A,#N/A,TRUE,"AC";#N/A,#N/A,TRUE,"SN"}</definedName>
    <definedName name="cccc" localSheetId="2" hidden="1">{#N/A,#N/A,TRUE,"SUM";#N/A,#N/A,TRUE,"EE";#N/A,#N/A,TRUE,"AC";#N/A,#N/A,TRUE,"SN"}</definedName>
    <definedName name="cccc" localSheetId="8" hidden="1">{#N/A,#N/A,TRUE,"SUM";#N/A,#N/A,TRUE,"EE";#N/A,#N/A,TRUE,"AC";#N/A,#N/A,TRUE,"SN"}</definedName>
    <definedName name="cccc" hidden="1">{#N/A,#N/A,TRUE,"SUM";#N/A,#N/A,TRUE,"EE";#N/A,#N/A,TRUE,"AC";#N/A,#N/A,TRUE,"SN"}</definedName>
    <definedName name="cccccccasdasd" localSheetId="1" hidden="1">{"'Sheet1'!$L$16"}</definedName>
    <definedName name="cccccccasdasd" localSheetId="2" hidden="1">{"'Sheet1'!$L$16"}</definedName>
    <definedName name="cccccccasdasd" localSheetId="8" hidden="1">{"'Sheet1'!$L$16"}</definedName>
    <definedName name="cccccccasdasd" hidden="1">{"'Sheet1'!$L$16"}</definedName>
    <definedName name="CCCCCCCCCC" hidden="1">#REF!</definedName>
    <definedName name="CCR" localSheetId="1" hidden="1">{#N/A,#N/A,TRUE,"Cover";#N/A,#N/A,TRUE,"Conts";#N/A,#N/A,TRUE,"VOS";#N/A,#N/A,TRUE,"Warrington";#N/A,#N/A,TRUE,"Widnes"}</definedName>
    <definedName name="CCR" localSheetId="2"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D" localSheetId="1" hidden="1">#REF!</definedName>
    <definedName name="CD" hidden="1">#REF!</definedName>
    <definedName name="Çdµ" localSheetId="1" hidden="1">{"'Sheet1'!$L$16"}</definedName>
    <definedName name="Çdµ" localSheetId="2" hidden="1">{"'Sheet1'!$L$16"}</definedName>
    <definedName name="Çdµ" localSheetId="8" hidden="1">{"'Sheet1'!$L$16"}</definedName>
    <definedName name="Çdµ" hidden="1">{"'Sheet1'!$L$16"}</definedName>
    <definedName name="cdfdf" localSheetId="1" hidden="1">{#N/A,#N/A,TRUE,"1";#N/A,#N/A,TRUE,"2";#N/A,#N/A,TRUE,"3";#N/A,#N/A,TRUE,"4";#N/A,#N/A,TRUE,"5";#N/A,#N/A,TRUE,"6";#N/A,#N/A,TRUE,"7"}</definedName>
    <definedName name="cdfdf" localSheetId="2" hidden="1">{#N/A,#N/A,TRUE,"1";#N/A,#N/A,TRUE,"2";#N/A,#N/A,TRUE,"3";#N/A,#N/A,TRUE,"4";#N/A,#N/A,TRUE,"5";#N/A,#N/A,TRUE,"6";#N/A,#N/A,TRUE,"7"}</definedName>
    <definedName name="cdfdf" localSheetId="8" hidden="1">{#N/A,#N/A,TRUE,"1";#N/A,#N/A,TRUE,"2";#N/A,#N/A,TRUE,"3";#N/A,#N/A,TRUE,"4";#N/A,#N/A,TRUE,"5";#N/A,#N/A,TRUE,"6";#N/A,#N/A,TRUE,"7"}</definedName>
    <definedName name="cdfdf" hidden="1">{#N/A,#N/A,TRUE,"1";#N/A,#N/A,TRUE,"2";#N/A,#N/A,TRUE,"3";#N/A,#N/A,TRUE,"4";#N/A,#N/A,TRUE,"5";#N/A,#N/A,TRUE,"6";#N/A,#N/A,TRUE,"7"}</definedName>
    <definedName name="cds" localSheetId="1" hidden="1">#REF!</definedName>
    <definedName name="cds" hidden="1">#REF!</definedName>
    <definedName name="ced" localSheetId="1" hidden="1">{#N/A,#N/A,FALSE,"Chi tiÆt"}</definedName>
    <definedName name="ced" localSheetId="2" hidden="1">{#N/A,#N/A,FALSE,"Chi tiÆt"}</definedName>
    <definedName name="ced" localSheetId="8" hidden="1">{#N/A,#N/A,FALSE,"Chi tiÆt"}</definedName>
    <definedName name="ced" hidden="1">{#N/A,#N/A,FALSE,"Chi tiÆt"}</definedName>
    <definedName name="Celling" localSheetId="1" hidden="1">{"'Sheet1'!$L$16"}</definedName>
    <definedName name="Celling" localSheetId="2" hidden="1">{"'Sheet1'!$L$16"}</definedName>
    <definedName name="Celling" localSheetId="8" hidden="1">{"'Sheet1'!$L$16"}</definedName>
    <definedName name="Celling" hidden="1">{"'Sheet1'!$L$16"}</definedName>
    <definedName name="CF1_a129" localSheetId="1" hidden="1">{"Offgrid",#N/A,FALSE,"OFFGRID";"Region",#N/A,FALSE,"REGION";"Offgrid -2",#N/A,FALSE,"OFFGRID";"WTP",#N/A,FALSE,"WTP";"WTP -2",#N/A,FALSE,"WTP";"Project",#N/A,FALSE,"PROJECT";"Summary -2",#N/A,FALSE,"SUMMARY"}</definedName>
    <definedName name="CF1_a129" localSheetId="2" hidden="1">{"Offgrid",#N/A,FALSE,"OFFGRID";"Region",#N/A,FALSE,"REGION";"Offgrid -2",#N/A,FALSE,"OFFGRID";"WTP",#N/A,FALSE,"WTP";"WTP -2",#N/A,FALSE,"WTP";"Project",#N/A,FALSE,"PROJECT";"Summary -2",#N/A,FALSE,"SUMMARY"}</definedName>
    <definedName name="CF1_a129" localSheetId="8" hidden="1">{"Offgrid",#N/A,FALSE,"OFFGRID";"Region",#N/A,FALSE,"REGION";"Offgrid -2",#N/A,FALSE,"OFFGRID";"WTP",#N/A,FALSE,"WTP";"WTP -2",#N/A,FALSE,"WTP";"Project",#N/A,FALSE,"PROJECT";"Summary -2",#N/A,FALSE,"SUMMARY"}</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localSheetId="1" hidden="1">{"'Sheet1'!$L$16"}</definedName>
    <definedName name="cg" localSheetId="2" hidden="1">{"'Sheet1'!$L$16"}</definedName>
    <definedName name="cg" localSheetId="8" hidden="1">{"'Sheet1'!$L$16"}</definedName>
    <definedName name="cg" hidden="1">{"'Sheet1'!$L$16"}</definedName>
    <definedName name="cgghh" localSheetId="1" hidden="1">{"'Sheet1'!$L$16"}</definedName>
    <definedName name="cgghh" localSheetId="2" hidden="1">{"'Sheet1'!$L$16"}</definedName>
    <definedName name="cgghh" localSheetId="8" hidden="1">{"'Sheet1'!$L$16"}</definedName>
    <definedName name="cgghh" hidden="1">{"'Sheet1'!$L$16"}</definedName>
    <definedName name="cgmh" localSheetId="1" hidden="1">{"'용역비'!$A$4:$C$8"}</definedName>
    <definedName name="cgmh" localSheetId="2" hidden="1">{"'용역비'!$A$4:$C$8"}</definedName>
    <definedName name="cgmh" localSheetId="8" hidden="1">{"'용역비'!$A$4:$C$8"}</definedName>
    <definedName name="cgmh" hidden="1">{"'용역비'!$A$4:$C$8"}</definedName>
    <definedName name="ci" localSheetId="1" hidden="1">{"'Sheet1'!$L$16"}</definedName>
    <definedName name="ci" localSheetId="2" hidden="1">{"'Sheet1'!$L$16"}</definedName>
    <definedName name="ci" localSheetId="8" hidden="1">{"'Sheet1'!$L$16"}</definedName>
    <definedName name="ci" hidden="1">{"'Sheet1'!$L$16"}</definedName>
    <definedName name="CIP"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localSheetId="1" hidden="1">#REF!</definedName>
    <definedName name="cjh" hidden="1">#REF!</definedName>
    <definedName name="Clean" localSheetId="1" hidden="1">{#N/A,#N/A,TRUE,"Cover Memo";"Complete Sys. Estimate",#N/A,TRUE,"Change Summary";"Complete Sys. Estimate",#N/A,TRUE,"Estimate Summary";"Complete Sys. Estimate",#N/A,TRUE,"Dept. Summary";"Complete Sys. Estimate",#N/A,TRUE,"DOW Detail"}</definedName>
    <definedName name="Clean" localSheetId="2" hidden="1">{#N/A,#N/A,TRUE,"Cover Memo";"Complete Sys. Estimate",#N/A,TRUE,"Change Summary";"Complete Sys. Estimate",#N/A,TRUE,"Estimate Summary";"Complete Sys. Estimate",#N/A,TRUE,"Dept. Summary";"Complete Sys. Estimate",#N/A,TRUE,"DOW Detail"}</definedName>
    <definedName name="Clean" localSheetId="8" hidden="1">{#N/A,#N/A,TRUE,"Cover Memo";"Complete Sys. Estimate",#N/A,TRUE,"Change Summary";"Complete Sys. Estimate",#N/A,TRUE,"Estimate Summary";"Complete Sys. Estimate",#N/A,TRUE,"Dept. Summary";"Complete Sys. Estimate",#N/A,TRUE,"DOW Detail"}</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 localSheetId="1" hidden="1">{#N/A,#N/A,FALSE,"MARCH"}</definedName>
    <definedName name="CMC" localSheetId="1" hidden="1">{"'Sheet1'!$L$16"}</definedName>
    <definedName name="CMC" localSheetId="2" hidden="1">{"'Sheet1'!$L$16"}</definedName>
    <definedName name="CMC" localSheetId="8" hidden="1">{"'Sheet1'!$L$16"}</definedName>
    <definedName name="CMC" hidden="1">{"'Sheet1'!$L$16"}</definedName>
    <definedName name="CNchung" localSheetId="1" hidden="1">{"'Sheet1'!$L$16"}</definedName>
    <definedName name="CNchung" localSheetId="2" hidden="1">{"'Sheet1'!$L$16"}</definedName>
    <definedName name="CNchung" localSheetId="8" hidden="1">{"'Sheet1'!$L$16"}</definedName>
    <definedName name="CNchung" hidden="1">{"'Sheet1'!$L$16"}</definedName>
    <definedName name="CNSCL" localSheetId="1" hidden="1">{"'Sheet1'!$L$16"}</definedName>
    <definedName name="CNSCL" localSheetId="2" hidden="1">{"'Sheet1'!$L$16"}</definedName>
    <definedName name="CNSCL" localSheetId="8" hidden="1">{"'Sheet1'!$L$16"}</definedName>
    <definedName name="CNSCL" hidden="1">{"'Sheet1'!$L$16"}</definedName>
    <definedName name="cntksdtj" localSheetId="1" hidden="1">{#N/A,#N/A,FALSE,"견적갑지";#N/A,#N/A,FALSE,"총괄표";#N/A,#N/A,FALSE,"철골공사";#N/A,#N/A,FALSE,"토목공사";#N/A,#N/A,FALSE,"판넬전기공사"}</definedName>
    <definedName name="cntksdtj" localSheetId="2" hidden="1">{#N/A,#N/A,FALSE,"견적갑지";#N/A,#N/A,FALSE,"총괄표";#N/A,#N/A,FALSE,"철골공사";#N/A,#N/A,FALSE,"토목공사";#N/A,#N/A,FALSE,"판넬전기공사"}</definedName>
    <definedName name="cntksdtj" localSheetId="8" hidden="1">{#N/A,#N/A,FALSE,"견적갑지";#N/A,#N/A,FALSE,"총괄표";#N/A,#N/A,FALSE,"철골공사";#N/A,#N/A,FALSE,"토목공사";#N/A,#N/A,FALSE,"판넬전기공사"}</definedName>
    <definedName name="cntksdtj" hidden="1">{#N/A,#N/A,FALSE,"견적갑지";#N/A,#N/A,FALSE,"총괄표";#N/A,#N/A,FALSE,"철골공사";#N/A,#N/A,FALSE,"토목공사";#N/A,#N/A,FALSE,"판넬전기공사"}</definedName>
    <definedName name="co">#REF!</definedName>
    <definedName name="coba" localSheetId="1" hidden="1">#REF!</definedName>
    <definedName name="coba" hidden="1">#REF!</definedName>
    <definedName name="Coc_60" localSheetId="1" hidden="1">{"'Sheet1'!$L$16"}</definedName>
    <definedName name="Coc_60" localSheetId="2" hidden="1">{"'Sheet1'!$L$16"}</definedName>
    <definedName name="Coc_60" localSheetId="8" hidden="1">{"'Sheet1'!$L$16"}</definedName>
    <definedName name="Coc_60" hidden="1">{"'Sheet1'!$L$16"}</definedName>
    <definedName name="coccat" localSheetId="1" hidden="1">{"'Sheet1'!$L$16"}</definedName>
    <definedName name="coccat" localSheetId="2" hidden="1">{"'Sheet1'!$L$16"}</definedName>
    <definedName name="coccat" localSheetId="8" hidden="1">{"'Sheet1'!$L$16"}</definedName>
    <definedName name="coccat" hidden="1">{"'Sheet1'!$L$16"}</definedName>
    <definedName name="cocly" localSheetId="1" hidden="1">{"'Sheet1'!$L$16"}</definedName>
    <definedName name="cocly" localSheetId="2" hidden="1">{"'Sheet1'!$L$16"}</definedName>
    <definedName name="cocly" localSheetId="8" hidden="1">{"'Sheet1'!$L$16"}</definedName>
    <definedName name="cocly" hidden="1">{"'Sheet1'!$L$16"}</definedName>
    <definedName name="Code" localSheetId="1" hidden="1">#REF!</definedName>
    <definedName name="Code" hidden="1">#REF!</definedName>
    <definedName name="CODE_ID">"s3.10!$V$17:$V$29"</definedName>
    <definedName name="Column" localSheetId="1" hidden="1">#REF!</definedName>
    <definedName name="column" hidden="1">#REF!</definedName>
    <definedName name="compare" localSheetId="1" hidden="1">{#N/A,#N/A,FALSE,"Chi tiÆt"}</definedName>
    <definedName name="compare" localSheetId="2" hidden="1">{#N/A,#N/A,FALSE,"Chi tiÆt"}</definedName>
    <definedName name="compare" localSheetId="8" hidden="1">{#N/A,#N/A,FALSE,"Chi tiÆt"}</definedName>
    <definedName name="compare" hidden="1">{#N/A,#N/A,FALSE,"Chi tiÆt"}</definedName>
    <definedName name="COMPARISON">#REF!</definedName>
    <definedName name="con" localSheetId="1" hidden="1">{#N/A,#N/A,FALSE,"Chi tiÆt"}</definedName>
    <definedName name="con" localSheetId="2" hidden="1">{#N/A,#N/A,FALSE,"Chi tiÆt"}</definedName>
    <definedName name="con" localSheetId="8" hidden="1">{#N/A,#N/A,FALSE,"Chi tiÆt"}</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localSheetId="1" hidden="1">{"'Sheet1'!$L$16"}</definedName>
    <definedName name="CONGD300" localSheetId="2" hidden="1">{"'Sheet1'!$L$16"}</definedName>
    <definedName name="CONGD300" localSheetId="8" hidden="1">{"'Sheet1'!$L$16"}</definedName>
    <definedName name="CONGD300" hidden="1">{"'Sheet1'!$L$16"}</definedName>
    <definedName name="CONGPA1" localSheetId="1" hidden="1">{"'Sheet1'!$L$16"}</definedName>
    <definedName name="CONGPA1" localSheetId="2" hidden="1">{"'Sheet1'!$L$16"}</definedName>
    <definedName name="CONGPA1" localSheetId="8" hidden="1">{"'Sheet1'!$L$16"}</definedName>
    <definedName name="CONGPA1" hidden="1">{"'Sheet1'!$L$16"}</definedName>
    <definedName name="coping" localSheetId="1" hidden="1">{"ECA Qtrs C",#N/A,TRUE,"ECA_Qtrs_C";"ECA Qtrs D",#N/A,TRUE,"ECA_Qtrs_D";"ECA Qtrs F",#N/A,TRUE,"ECA_Qtrs_F";"ECA Qtrs G",#N/A,TRUE,"ECA_Qtrs_G";"ECA SisterApt",#N/A,TRUE,"ECA_SisterApt";"ECA Nurses",#N/A,TRUE,"ECA_NursesHostel"}</definedName>
    <definedName name="coping" localSheetId="2" hidden="1">{"ECA Qtrs C",#N/A,TRUE,"ECA_Qtrs_C";"ECA Qtrs D",#N/A,TRUE,"ECA_Qtrs_D";"ECA Qtrs F",#N/A,TRUE,"ECA_Qtrs_F";"ECA Qtrs G",#N/A,TRUE,"ECA_Qtrs_G";"ECA SisterApt",#N/A,TRUE,"ECA_SisterApt";"ECA Nurses",#N/A,TRUE,"ECA_NursesHostel"}</definedName>
    <definedName name="coping" localSheetId="8" hidden="1">{"ECA Qtrs C",#N/A,TRUE,"ECA_Qtrs_C";"ECA Qtrs D",#N/A,TRUE,"ECA_Qtrs_D";"ECA Qtrs F",#N/A,TRUE,"ECA_Qtrs_F";"ECA Qtrs G",#N/A,TRUE,"ECA_Qtrs_G";"ECA SisterApt",#N/A,TRUE,"ECA_SisterApt";"ECA Nurses",#N/A,TRUE,"ECA_NursesHostel"}</definedName>
    <definedName name="coping" hidden="1">{"ECA Qtrs C",#N/A,TRUE,"ECA_Qtrs_C";"ECA Qtrs D",#N/A,TRUE,"ECA_Qtrs_D";"ECA Qtrs F",#N/A,TRUE,"ECA_Qtrs_F";"ECA Qtrs G",#N/A,TRUE,"ECA_Qtrs_G";"ECA SisterApt",#N/A,TRUE,"ECA_SisterApt";"ECA Nurses",#N/A,TRUE,"ECA_NursesHostel"}</definedName>
    <definedName name="coping_1" localSheetId="1"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ing_1" localSheetId="8"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localSheetId="1" hidden="1">{"'Sheet1'!$L$16"}</definedName>
    <definedName name="copphathepviÎttung" localSheetId="2" hidden="1">{"'Sheet1'!$L$16"}</definedName>
    <definedName name="copphathepviÎttung" localSheetId="8" hidden="1">{"'Sheet1'!$L$16"}</definedName>
    <definedName name="copphathepviÎttung" hidden="1">{"'Sheet1'!$L$16"}</definedName>
    <definedName name="copy" localSheetId="1" hidden="1">{"'Sheet1'!$L$16"}</definedName>
    <definedName name="copy" localSheetId="2" hidden="1">{"'Sheet1'!$L$16"}</definedName>
    <definedName name="copy" localSheetId="8" hidden="1">{"'Sheet1'!$L$16"}</definedName>
    <definedName name="copy" hidden="1">{"'Sheet1'!$L$16"}</definedName>
    <definedName name="COST">#REF!</definedName>
    <definedName name="cost1">#REF!</definedName>
    <definedName name="COSTT" hidden="1">#REF!</definedName>
    <definedName name="CotLPTVT" localSheetId="1" hidden="1">#REF!</definedName>
    <definedName name="CotLPTVT" hidden="1">#REF!</definedName>
    <definedName name="cotycap" localSheetId="1" hidden="1">{"'Sheet1'!$L$16"}</definedName>
    <definedName name="cotycap" localSheetId="2" hidden="1">{"'Sheet1'!$L$16"}</definedName>
    <definedName name="cotycap" localSheetId="8" hidden="1">{"'Sheet1'!$L$16"}</definedName>
    <definedName name="cotycap" hidden="1">{"'Sheet1'!$L$16"}</definedName>
    <definedName name="COVE" localSheetId="1" hidden="1">{"'Sheet1'!$L$16"}</definedName>
    <definedName name="COVE" localSheetId="2" hidden="1">{"'Sheet1'!$L$16"}</definedName>
    <definedName name="COVE" localSheetId="8" hidden="1">{"'Sheet1'!$L$16"}</definedName>
    <definedName name="COVE" hidden="1">{"'Sheet1'!$L$16"}</definedName>
    <definedName name="CP" localSheetId="1" hidden="1">#REF!</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localSheetId="1" hidden="1">{#N/A,#N/A,FALSE,"Chi tiÆt"}</definedName>
    <definedName name="CPM" localSheetId="2" hidden="1">{#N/A,#N/A,FALSE,"Chi tiÆt"}</definedName>
    <definedName name="CPM" localSheetId="8" hidden="1">{#N/A,#N/A,FALSE,"Chi tiÆt"}</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localSheetId="1" hidden="1">{"'Sheet1'!$L$16"}</definedName>
    <definedName name="CPXD" localSheetId="2" hidden="1">{"'Sheet1'!$L$16"}</definedName>
    <definedName name="CPXD" localSheetId="8" hidden="1">{"'Sheet1'!$L$16"}</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localSheetId="1" hidden="1">{#N/A,#N/A,FALSE,"Chi tiÆt"}</definedName>
    <definedName name="csa" localSheetId="2" hidden="1">{#N/A,#N/A,FALSE,"Chi tiÆt"}</definedName>
    <definedName name="csa" localSheetId="8" hidden="1">{#N/A,#N/A,FALSE,"Chi tiÆt"}</definedName>
    <definedName name="csa" hidden="1">{#N/A,#N/A,FALSE,"Chi tiÆt"}</definedName>
    <definedName name="csac" localSheetId="1" hidden="1">{"'Sheet1'!$L$16"}</definedName>
    <definedName name="csac" localSheetId="2" hidden="1">{"'Sheet1'!$L$16"}</definedName>
    <definedName name="csac" localSheetId="8" hidden="1">{"'Sheet1'!$L$16"}</definedName>
    <definedName name="csac" hidden="1">{"'Sheet1'!$L$16"}</definedName>
    <definedName name="cscx" localSheetId="1" hidden="1">{"'Sheet1'!$L$16"}</definedName>
    <definedName name="cscx" localSheetId="2" hidden="1">{"'Sheet1'!$L$16"}</definedName>
    <definedName name="cscx" localSheetId="8" hidden="1">{"'Sheet1'!$L$16"}</definedName>
    <definedName name="cscx" hidden="1">{"'Sheet1'!$L$16"}</definedName>
    <definedName name="CSODJWO" localSheetId="1" hidden="1">{#N/A,#N/A,TRUE,"SUM";#N/A,#N/A,TRUE,"EE";#N/A,#N/A,TRUE,"AC";#N/A,#N/A,TRUE,"SN"}</definedName>
    <definedName name="CSODJWO" localSheetId="2" hidden="1">{#N/A,#N/A,TRUE,"SUM";#N/A,#N/A,TRUE,"EE";#N/A,#N/A,TRUE,"AC";#N/A,#N/A,TRUE,"SN"}</definedName>
    <definedName name="CSODJWO" localSheetId="8" hidden="1">{#N/A,#N/A,TRUE,"SUM";#N/A,#N/A,TRUE,"EE";#N/A,#N/A,TRUE,"AC";#N/A,#N/A,TRUE,"SN"}</definedName>
    <definedName name="CSODJWO" hidden="1">{#N/A,#N/A,TRUE,"SUM";#N/A,#N/A,TRUE,"EE";#N/A,#N/A,TRUE,"AC";#N/A,#N/A,TRUE,"SN"}</definedName>
    <definedName name="css" localSheetId="1" hidden="1">{"'Sheet1'!$L$16"}</definedName>
    <definedName name="css" localSheetId="2" hidden="1">{"'Sheet1'!$L$16"}</definedName>
    <definedName name="css" localSheetId="8" hidden="1">{"'Sheet1'!$L$16"}</definedName>
    <definedName name="css" hidden="1">{"'Sheet1'!$L$16"}</definedName>
    <definedName name="csxxc" localSheetId="1" hidden="1">{"'Sheet1'!$L$16"}</definedName>
    <definedName name="csxxc" localSheetId="2" hidden="1">{"'Sheet1'!$L$16"}</definedName>
    <definedName name="csxxc" localSheetId="8" hidden="1">{"'Sheet1'!$L$16"}</definedName>
    <definedName name="csxxc" hidden="1">{"'Sheet1'!$L$16"}</definedName>
    <definedName name="ct" localSheetId="1" hidden="1">{"'Sheet1'!$L$16"}</definedName>
    <definedName name="ct" localSheetId="2" hidden="1">{"'Sheet1'!$L$16"}</definedName>
    <definedName name="ct" localSheetId="8" hidden="1">{"'Sheet1'!$L$16"}</definedName>
    <definedName name="ct" hidden="1">{"'Sheet1'!$L$16"}</definedName>
    <definedName name="ctbbt" localSheetId="1" hidden="1">{"'Sheet1'!$L$16"}</definedName>
    <definedName name="ctbbt" localSheetId="2" hidden="1">{"'Sheet1'!$L$16"}</definedName>
    <definedName name="ctbbt" localSheetId="8" hidden="1">{"'Sheet1'!$L$16"}</definedName>
    <definedName name="ctbbt" hidden="1">{"'Sheet1'!$L$16"}</definedName>
    <definedName name="CTCT1" localSheetId="1" hidden="1">{"'Sheet1'!$L$16"}</definedName>
    <definedName name="CTCT1" localSheetId="2" hidden="1">{"'Sheet1'!$L$16"}</definedName>
    <definedName name="CTCT1" localSheetId="8" hidden="1">{"'Sheet1'!$L$16"}</definedName>
    <definedName name="CTCT1" hidden="1">{"'Sheet1'!$L$16"}</definedName>
    <definedName name="CTCT1_1" localSheetId="1" hidden="1">{"'Sheet1'!$L$16"}</definedName>
    <definedName name="CTCT1_1" localSheetId="2" hidden="1">{"'Sheet1'!$L$16"}</definedName>
    <definedName name="CTCT1_1" localSheetId="8" hidden="1">{"'Sheet1'!$L$16"}</definedName>
    <definedName name="CTCT1_1" hidden="1">{"'Sheet1'!$L$16"}</definedName>
    <definedName name="ctct2" localSheetId="1" hidden="1">{"'Sheet1'!$L$16"}</definedName>
    <definedName name="ctct2" localSheetId="2" hidden="1">{"'Sheet1'!$L$16"}</definedName>
    <definedName name="ctct2" localSheetId="8" hidden="1">{"'Sheet1'!$L$16"}</definedName>
    <definedName name="ctct2" hidden="1">{"'Sheet1'!$L$16"}</definedName>
    <definedName name="ctieu" localSheetId="1" hidden="1">{"'Sheet1'!$L$16"}</definedName>
    <definedName name="ctieu" localSheetId="2" hidden="1">{"'Sheet1'!$L$16"}</definedName>
    <definedName name="ctieu" localSheetId="8" hidden="1">{"'Sheet1'!$L$16"}</definedName>
    <definedName name="ctieu" hidden="1">{"'Sheet1'!$L$16"}</definedName>
    <definedName name="CTTC10nam" localSheetId="1" hidden="1">{"'Sheet1'!$L$16"}</definedName>
    <definedName name="CTTC10nam" localSheetId="2" hidden="1">{"'Sheet1'!$L$16"}</definedName>
    <definedName name="CTTC10nam" localSheetId="8" hidden="1">{"'Sheet1'!$L$16"}</definedName>
    <definedName name="CTTC10nam" hidden="1">{"'Sheet1'!$L$16"}</definedName>
    <definedName name="cua">#REF!</definedName>
    <definedName name="cung" localSheetId="1" hidden="1">{"'Sheet1'!$L$16"}</definedName>
    <definedName name="cung" localSheetId="2" hidden="1">{"'Sheet1'!$L$16"}</definedName>
    <definedName name="cung" localSheetId="8" hidden="1">{"'Sheet1'!$L$16"}</definedName>
    <definedName name="cung" hidden="1">{"'Sheet1'!$L$16"}</definedName>
    <definedName name="cuong" localSheetId="1" hidden="1">{"'Sheet1'!$L$16"}</definedName>
    <definedName name="cuong" localSheetId="2" hidden="1">{"'Sheet1'!$L$16"}</definedName>
    <definedName name="cuong" localSheetId="8" hidden="1">{"'Sheet1'!$L$16"}</definedName>
    <definedName name="cuong" hidden="1">{"'Sheet1'!$L$16"}</definedName>
    <definedName name="CurDate" hidden="1">#REF!</definedName>
    <definedName name="cut" hidden="1">#REF!</definedName>
    <definedName name="CVBCXBCV" localSheetId="1" hidden="1">{"'Sheet1'!$L$16"}</definedName>
    <definedName name="CVBCXBCV" localSheetId="2" hidden="1">{"'Sheet1'!$L$16"}</definedName>
    <definedName name="CVBCXBCV" localSheetId="8" hidden="1">{"'Sheet1'!$L$16"}</definedName>
    <definedName name="CVBCXBCV" hidden="1">{"'Sheet1'!$L$16"}</definedName>
    <definedName name="cvfr" localSheetId="1" hidden="1">{"'Sheet1'!$L$16"}</definedName>
    <definedName name="cvfr" localSheetId="2" hidden="1">{"'Sheet1'!$L$16"}</definedName>
    <definedName name="cvfr" localSheetId="8" hidden="1">{"'Sheet1'!$L$16"}</definedName>
    <definedName name="cvfr" hidden="1">{"'Sheet1'!$L$16"}</definedName>
    <definedName name="cxcxcxc" localSheetId="1" hidden="1">{"'Sheet1'!$L$16"}</definedName>
    <definedName name="cxcxcxc" localSheetId="2" hidden="1">{"'Sheet1'!$L$16"}</definedName>
    <definedName name="cxcxcxc" localSheetId="8" hidden="1">{"'Sheet1'!$L$16"}</definedName>
    <definedName name="cxcxcxc" hidden="1">{"'Sheet1'!$L$16"}</definedName>
    <definedName name="cxsxs" localSheetId="1" hidden="1">{"'Sheet1'!$L$16"}</definedName>
    <definedName name="cxsxs" localSheetId="2" hidden="1">{"'Sheet1'!$L$16"}</definedName>
    <definedName name="cxsxs" localSheetId="8" hidden="1">{"'Sheet1'!$L$16"}</definedName>
    <definedName name="cxsxs" hidden="1">{"'Sheet1'!$L$16"}</definedName>
    <definedName name="cxvv" localSheetId="1" hidden="1">{"'Sheet1'!$L$16"}</definedName>
    <definedName name="cxvv" localSheetId="2" hidden="1">{"'Sheet1'!$L$16"}</definedName>
    <definedName name="cxvv" localSheetId="8" hidden="1">{"'Sheet1'!$L$16"}</definedName>
    <definedName name="cxvv" hidden="1">{"'Sheet1'!$L$16"}</definedName>
    <definedName name="cxxacazc" localSheetId="1" hidden="1">{"'Sheet1'!$L$16"}</definedName>
    <definedName name="cxxacazc" localSheetId="2" hidden="1">{"'Sheet1'!$L$16"}</definedName>
    <definedName name="cxxacazc" localSheetId="8" hidden="1">{"'Sheet1'!$L$16"}</definedName>
    <definedName name="cxxacazc" hidden="1">{"'Sheet1'!$L$16"}</definedName>
    <definedName name="CHAIN" hidden="1">#REF!</definedName>
    <definedName name="Cham" localSheetId="1" hidden="1">{#N/A,#N/A,FALSE,"CCTV"}</definedName>
    <definedName name="Cham" localSheetId="2" hidden="1">{#N/A,#N/A,FALSE,"CCTV"}</definedName>
    <definedName name="Cham" localSheetId="8" hidden="1">{#N/A,#N/A,FALSE,"CCTV"}</definedName>
    <definedName name="Cham" hidden="1">{#N/A,#N/A,FALSE,"CCTV"}</definedName>
    <definedName name="Chart3" localSheetId="1" hidden="1">{"'Sheet1'!$L$16"}</definedName>
    <definedName name="Chart3" localSheetId="2" hidden="1">{"'Sheet1'!$L$16"}</definedName>
    <definedName name="Chart3" localSheetId="8" hidden="1">{"'Sheet1'!$L$16"}</definedName>
    <definedName name="Chart3" hidden="1">{"'Sheet1'!$L$16"}</definedName>
    <definedName name="Chdate" hidden="1">#REF!</definedName>
    <definedName name="chietchai2" localSheetId="1" hidden="1">{"'Sheet1'!$L$16"}</definedName>
    <definedName name="chietchai2" localSheetId="2" hidden="1">{"'Sheet1'!$L$16"}</definedName>
    <definedName name="chietchai2" localSheetId="8" hidden="1">{"'Sheet1'!$L$16"}</definedName>
    <definedName name="chietchai2" hidden="1">{"'Sheet1'!$L$16"}</definedName>
    <definedName name="chilk" localSheetId="1" hidden="1">{"'Sheet1'!$L$16"}</definedName>
    <definedName name="chilk" localSheetId="2" hidden="1">{"'Sheet1'!$L$16"}</definedName>
    <definedName name="chilk" localSheetId="8" hidden="1">{"'Sheet1'!$L$16"}</definedName>
    <definedName name="chilk" hidden="1">{"'Sheet1'!$L$16"}</definedName>
    <definedName name="ChiPhiKiemToan" hidden="1">#REF!</definedName>
    <definedName name="ChiPhiQToan" hidden="1">#REF!</definedName>
    <definedName name="chitiet" hidden="1">#REF!</definedName>
    <definedName name="chitietbgiang2" localSheetId="1" hidden="1">{"'Sheet1'!$L$16"}</definedName>
    <definedName name="chitietbgiang2" localSheetId="2" hidden="1">{"'Sheet1'!$L$16"}</definedName>
    <definedName name="chitietbgiang2" localSheetId="8" hidden="1">{"'Sheet1'!$L$16"}</definedName>
    <definedName name="chitietbgiang2" hidden="1">{"'Sheet1'!$L$16"}</definedName>
    <definedName name="chl" localSheetId="1" hidden="1">{"'Sheet1'!$L$16"}</definedName>
    <definedName name="chl" localSheetId="2" hidden="1">{"'Sheet1'!$L$16"}</definedName>
    <definedName name="chl" localSheetId="8" hidden="1">{"'Sheet1'!$L$16"}</definedName>
    <definedName name="chl" hidden="1">{"'Sheet1'!$L$16"}</definedName>
    <definedName name="CHO"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1" hidden="1">{"'Sheet1'!$L$16"}</definedName>
    <definedName name="chot3" localSheetId="2" hidden="1">{"'Sheet1'!$L$16"}</definedName>
    <definedName name="chot3" localSheetId="8" hidden="1">{"'Sheet1'!$L$16"}</definedName>
    <definedName name="chot3" hidden="1">{"'Sheet1'!$L$16"}</definedName>
    <definedName name="chottda" localSheetId="1" hidden="1">{"'Sheet1'!$L$16"}</definedName>
    <definedName name="chottda" localSheetId="2" hidden="1">{"'Sheet1'!$L$16"}</definedName>
    <definedName name="chottda" localSheetId="8" hidden="1">{"'Sheet1'!$L$16"}</definedName>
    <definedName name="chottda" hidden="1">{"'Sheet1'!$L$16"}</definedName>
    <definedName name="chuyen" localSheetId="1" hidden="1">{"'Sheet1'!$L$16"}</definedName>
    <definedName name="chuyen" localSheetId="2" hidden="1">{"'Sheet1'!$L$16"}</definedName>
    <definedName name="chuyen" localSheetId="8" hidden="1">{"'Sheet1'!$L$16"}</definedName>
    <definedName name="chuyen" hidden="1">{"'Sheet1'!$L$16"}</definedName>
    <definedName name="d" localSheetId="1" hidden="1">#REF!</definedName>
    <definedName name="d" localSheetId="2" hidden="1">{"'Sheet1'!$L$16"}</definedName>
    <definedName name="d" localSheetId="8" hidden="1">{"'Sheet1'!$L$16"}</definedName>
    <definedName name="d" hidden="1">{"'Sheet1'!$L$16"}</definedName>
    <definedName name="Ð" localSheetId="1" hidden="1">{"'Sheet1'!$L$16"}</definedName>
    <definedName name="Ð" localSheetId="2" hidden="1">{"'Sheet1'!$L$16"}</definedName>
    <definedName name="Ð" localSheetId="8"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localSheetId="1" hidden="1">{"'Sheet1'!$L$16"}</definedName>
    <definedName name="d¸" localSheetId="2" hidden="1">{"'Sheet1'!$L$16"}</definedName>
    <definedName name="d¸" localSheetId="8" hidden="1">{"'Sheet1'!$L$16"}</definedName>
    <definedName name="d¸" hidden="1">{"'Sheet1'!$L$16"}</definedName>
    <definedName name="D021161명지남양주" hidden="1">#REF!</definedName>
    <definedName name="D1D" localSheetId="1" hidden="1">{"'Sheet1'!$L$16"}</definedName>
    <definedName name="D1D" localSheetId="2" hidden="1">{"'Sheet1'!$L$16"}</definedName>
    <definedName name="D1D" localSheetId="8" hidden="1">{"'Sheet1'!$L$16"}</definedName>
    <definedName name="D1D" hidden="1">{"'Sheet1'!$L$16"}</definedName>
    <definedName name="D2a">#REF!</definedName>
    <definedName name="D3D" localSheetId="1" hidden="1">{"'Sheet1'!$L$16"}</definedName>
    <definedName name="D3D" localSheetId="2" hidden="1">{"'Sheet1'!$L$16"}</definedName>
    <definedName name="D3D" localSheetId="8" hidden="1">{"'Sheet1'!$L$16"}</definedName>
    <definedName name="D3D" hidden="1">{"'Sheet1'!$L$16"}</definedName>
    <definedName name="da" localSheetId="1" hidden="1">{"'Sheet1'!$L$16"}</definedName>
    <definedName name="da" localSheetId="2" hidden="1">{"'Sheet1'!$L$16"}</definedName>
    <definedName name="da" localSheetId="8" hidden="1">{"'Sheet1'!$L$16"}</definedName>
    <definedName name="da" hidden="1">{"'Sheet1'!$L$16"}</definedName>
    <definedName name="dà" localSheetId="1" hidden="1">{"'Sheet1'!$L$16"}</definedName>
    <definedName name="dà" localSheetId="2" hidden="1">{"'Sheet1'!$L$16"}</definedName>
    <definedName name="dà" localSheetId="8" hidden="1">{"'Sheet1'!$L$16"}</definedName>
    <definedName name="dà" hidden="1">{"'Sheet1'!$L$16"}</definedName>
    <definedName name="dá" localSheetId="1" hidden="1">{"'Sheet1'!$L$16"}</definedName>
    <definedName name="dá" localSheetId="2" hidden="1">{"'Sheet1'!$L$16"}</definedName>
    <definedName name="dá" localSheetId="8" hidden="1">{"'Sheet1'!$L$16"}</definedName>
    <definedName name="dá" hidden="1">{"'Sheet1'!$L$16"}</definedName>
    <definedName name="daa" localSheetId="1" hidden="1">{#N/A,#N/A,FALSE,"特殊室（ＢＱ表）"}</definedName>
    <definedName name="daa" localSheetId="2" hidden="1">{#N/A,#N/A,FALSE,"特殊室（ＢＱ表）"}</definedName>
    <definedName name="daa" localSheetId="8" hidden="1">{#N/A,#N/A,FALSE,"特殊室（ＢＱ表）"}</definedName>
    <definedName name="daa" hidden="1">{#N/A,#N/A,FALSE,"特殊室（ＢＱ表）"}</definedName>
    <definedName name="Dad" localSheetId="1" hidden="1">{#N/A,#N/A,FALSE,"MARCH"}</definedName>
    <definedName name="Dad" localSheetId="2" hidden="1">{#N/A,#N/A,FALSE,"MARCH"}</definedName>
    <definedName name="Dad" localSheetId="8" hidden="1">{#N/A,#N/A,FALSE,"MARCH"}</definedName>
    <definedName name="Dad" hidden="1">{#N/A,#N/A,FALSE,"MARCH"}</definedName>
    <definedName name="dada" localSheetId="1" hidden="1">{#N/A,#N/A,FALSE,"特殊室（ＢＱ表）"}</definedName>
    <definedName name="dada" localSheetId="2" hidden="1">{#N/A,#N/A,FALSE,"特殊室（ＢＱ表）"}</definedName>
    <definedName name="dada" localSheetId="8" hidden="1">{#N/A,#N/A,FALSE,"特殊室（ＢＱ表）"}</definedName>
    <definedName name="dada" hidden="1">{#N/A,#N/A,FALSE,"特殊室（ＢＱ表）"}</definedName>
    <definedName name="dadasda" localSheetId="1" hidden="1">{#N/A,#N/A,FALSE,"特殊室（ＢＱ表）"}</definedName>
    <definedName name="dadasda" localSheetId="2" hidden="1">{#N/A,#N/A,FALSE,"特殊室（ＢＱ表）"}</definedName>
    <definedName name="dadasda" localSheetId="8" hidden="1">{#N/A,#N/A,FALSE,"特殊室（ＢＱ表）"}</definedName>
    <definedName name="dadasda" hidden="1">{#N/A,#N/A,FALSE,"特殊室（ＢＱ表）"}</definedName>
    <definedName name="DADASDSADSA" localSheetId="1" hidden="1">{"'Sheet1'!$L$16"}</definedName>
    <definedName name="DADASDSADSA" localSheetId="2" hidden="1">{"'Sheet1'!$L$16"}</definedName>
    <definedName name="DADASDSADSA" localSheetId="8" hidden="1">{"'Sheet1'!$L$16"}</definedName>
    <definedName name="DADASDSADSA" hidden="1">{"'Sheet1'!$L$16"}</definedName>
    <definedName name="DAdsaD" hidden="1">#REF!</definedName>
    <definedName name="daDSD" localSheetId="1" hidden="1">{"'Sheet1'!$L$16"}</definedName>
    <definedName name="daDSD" localSheetId="2" hidden="1">{"'Sheet1'!$L$16"}</definedName>
    <definedName name="daDSD" localSheetId="8" hidden="1">{"'Sheet1'!$L$16"}</definedName>
    <definedName name="daDSD" hidden="1">{"'Sheet1'!$L$16"}</definedName>
    <definedName name="dafas" localSheetId="1" hidden="1">{#N/A,#N/A,TRUE,"BT M200 da 10x20"}</definedName>
    <definedName name="dafas" localSheetId="2" hidden="1">{#N/A,#N/A,TRUE,"BT M200 da 10x20"}</definedName>
    <definedName name="dafas" localSheetId="8" hidden="1">{#N/A,#N/A,TRUE,"BT M200 da 10x20"}</definedName>
    <definedName name="dafas" hidden="1">{#N/A,#N/A,TRUE,"BT M200 da 10x20"}</definedName>
    <definedName name="dafasfs" hidden="1">#REF!</definedName>
    <definedName name="dam" localSheetId="1" hidden="1">{"'Sheet1'!$L$16"}</definedName>
    <definedName name="dam" localSheetId="2" hidden="1">{"'Sheet1'!$L$16"}</definedName>
    <definedName name="dam" localSheetId="8" hidden="1">{"'Sheet1'!$L$16"}</definedName>
    <definedName name="dam" hidden="1">{"'Sheet1'!$L$16"}</definedName>
    <definedName name="DAMMONG" localSheetId="1" hidden="1">{"'Sheet1'!$L$16"}</definedName>
    <definedName name="DAMMONG" localSheetId="2" hidden="1">{"'Sheet1'!$L$16"}</definedName>
    <definedName name="DAMMONG" localSheetId="8" hidden="1">{"'Sheet1'!$L$16"}</definedName>
    <definedName name="DAMMONG" hidden="1">{"'Sheet1'!$L$16"}</definedName>
    <definedName name="dang" localSheetId="1" hidden="1">{"'Sheet1'!$L$16"}</definedName>
    <definedName name="dang" localSheetId="2" hidden="1">{"'Sheet1'!$L$16"}</definedName>
    <definedName name="dang" localSheetId="8" hidden="1">{"'Sheet1'!$L$16"}</definedName>
    <definedName name="dang" hidden="1">{"'Sheet1'!$L$16"}</definedName>
    <definedName name="dao" localSheetId="1" hidden="1">{"'Sheet1'!$L$16"}</definedName>
    <definedName name="dao" localSheetId="2" hidden="1">{"'Sheet1'!$L$16"}</definedName>
    <definedName name="dao" localSheetId="8" hidden="1">{"'Sheet1'!$L$16"}</definedName>
    <definedName name="dao" hidden="1">{"'Sheet1'!$L$16"}</definedName>
    <definedName name="daomuong" localSheetId="1" hidden="1">{"'Sheet1'!$L$16"}</definedName>
    <definedName name="daomuong" localSheetId="2" hidden="1">{"'Sheet1'!$L$16"}</definedName>
    <definedName name="daomuong" localSheetId="8" hidden="1">{"'Sheet1'!$L$16"}</definedName>
    <definedName name="daomuong" hidden="1">{"'Sheet1'!$L$16"}</definedName>
    <definedName name="das" localSheetId="1" hidden="1">{"'Sheet1'!$L$16"}</definedName>
    <definedName name="das" localSheetId="2" hidden="1">{"'Sheet1'!$L$16"}</definedName>
    <definedName name="das" localSheetId="8" hidden="1">{"'Sheet1'!$L$16"}</definedName>
    <definedName name="das" hidden="1">{"'Sheet1'!$L$16"}</definedName>
    <definedName name="DASDSADADS" localSheetId="1" hidden="1">{"'Sheet1'!$L$16"}</definedName>
    <definedName name="DASDSADADS" localSheetId="2" hidden="1">{"'Sheet1'!$L$16"}</definedName>
    <definedName name="DASDSADADS" localSheetId="8" hidden="1">{"'Sheet1'!$L$16"}</definedName>
    <definedName name="DASDSADADS" hidden="1">{"'Sheet1'!$L$16"}</definedName>
    <definedName name="DASDSADAS" localSheetId="1" hidden="1">{"'Sheet1'!$L$16"}</definedName>
    <definedName name="DASDSADAS" localSheetId="2" hidden="1">{"'Sheet1'!$L$16"}</definedName>
    <definedName name="DASDSADAS" localSheetId="8" hidden="1">{"'Sheet1'!$L$16"}</definedName>
    <definedName name="DASDSADAS" hidden="1">{"'Sheet1'!$L$16"}</definedName>
    <definedName name="dasdsan" hidden="1">#REF!</definedName>
    <definedName name="dase" localSheetId="1" hidden="1">{#N/A,#N/A,FALSE,"CCTV"}</definedName>
    <definedName name="dase" localSheetId="2" hidden="1">{#N/A,#N/A,FALSE,"CCTV"}</definedName>
    <definedName name="dase" localSheetId="8" hidden="1">{#N/A,#N/A,FALSE,"CCTV"}</definedName>
    <definedName name="dase" hidden="1">{#N/A,#N/A,FALSE,"CCTV"}</definedName>
    <definedName name="dat" localSheetId="1" hidden="1">{#N/A,#N/A,FALSE,"Sheet1"}</definedName>
    <definedName name="dat" localSheetId="2" hidden="1">{#N/A,#N/A,FALSE,"Sheet1"}</definedName>
    <definedName name="dat" localSheetId="8" hidden="1">{#N/A,#N/A,FALSE,"Sheet1"}</definedName>
    <definedName name="dat" hidden="1">{#N/A,#N/A,FALSE,"Sheet1"}</definedName>
    <definedName name="data" hidden="1">#REF!</definedName>
    <definedName name="data1" localSheetId="1" hidden="1">#REF!</definedName>
    <definedName name="data1" hidden="1">#REF!</definedName>
    <definedName name="data2" localSheetId="1" hidden="1">#REF!</definedName>
    <definedName name="data2" hidden="1">#REF!</definedName>
    <definedName name="data3" localSheetId="1"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localSheetId="1" hidden="1">{"'Sheet1'!$L$16"}</definedName>
    <definedName name="datct" localSheetId="2" hidden="1">{"'Sheet1'!$L$16"}</definedName>
    <definedName name="datct" localSheetId="8" hidden="1">{"'Sheet1'!$L$16"}</definedName>
    <definedName name="datct" hidden="1">{"'Sheet1'!$L$16"}</definedName>
    <definedName name="davdacsa" localSheetId="1" hidden="1">{"'Sheet1'!$L$16"}</definedName>
    <definedName name="davdacsa" localSheetId="2" hidden="1">{"'Sheet1'!$L$16"}</definedName>
    <definedName name="davdacsa" localSheetId="8" hidden="1">{"'Sheet1'!$L$16"}</definedName>
    <definedName name="davdacsa" hidden="1">{"'Sheet1'!$L$16"}</definedName>
    <definedName name="Daywork1" localSheetId="1" hidden="1">{#N/A,#N/A,FALSE,"MARCH"}</definedName>
    <definedName name="Daywork1" localSheetId="2" hidden="1">{#N/A,#N/A,FALSE,"MARCH"}</definedName>
    <definedName name="Daywork1" localSheetId="8" hidden="1">{#N/A,#N/A,FALSE,"MARCH"}</definedName>
    <definedName name="Daywork1" hidden="1">{#N/A,#N/A,FALSE,"MARCH"}</definedName>
    <definedName name="DBSDVSDVS" localSheetId="1" hidden="1">{"'Sheet1'!$L$16"}</definedName>
    <definedName name="DBSDVSDVS" localSheetId="2" hidden="1">{"'Sheet1'!$L$16"}</definedName>
    <definedName name="DBSDVSDVS" localSheetId="8" hidden="1">{"'Sheet1'!$L$16"}</definedName>
    <definedName name="DBSDVSDVS" hidden="1">{"'Sheet1'!$L$16"}</definedName>
    <definedName name="dc" localSheetId="1" hidden="1">{"'Sheet1'!$L$16"}</definedName>
    <definedName name="dc" localSheetId="2" hidden="1">{"'Sheet1'!$L$16"}</definedName>
    <definedName name="dc" localSheetId="8" hidden="1">{"'Sheet1'!$L$16"}</definedName>
    <definedName name="dc" hidden="1">{"'Sheet1'!$L$16"}</definedName>
    <definedName name="dca" localSheetId="1" hidden="1">{#N/A,#N/A,FALSE,"Chi tiÆt"}</definedName>
    <definedName name="dca" localSheetId="2" hidden="1">{#N/A,#N/A,FALSE,"Chi tiÆt"}</definedName>
    <definedName name="dca" localSheetId="8" hidden="1">{#N/A,#N/A,FALSE,"Chi tiÆt"}</definedName>
    <definedName name="dca" hidden="1">{#N/A,#N/A,FALSE,"Chi tiÆt"}</definedName>
    <definedName name="dcdxsz" localSheetId="1" hidden="1">{"'Sheet1'!$L$16"}</definedName>
    <definedName name="dcdxsz" localSheetId="2" hidden="1">{"'Sheet1'!$L$16"}</definedName>
    <definedName name="dcdxsz" localSheetId="8" hidden="1">{"'Sheet1'!$L$16"}</definedName>
    <definedName name="dcdxsz" hidden="1">{"'Sheet1'!$L$16"}</definedName>
    <definedName name="DCKS" localSheetId="1" hidden="1">{"'Sheet1'!$L$16"}</definedName>
    <definedName name="DCKS" localSheetId="2" hidden="1">{"'Sheet1'!$L$16"}</definedName>
    <definedName name="DCKS" localSheetId="8" hidden="1">{"'Sheet1'!$L$16"}</definedName>
    <definedName name="DCKS" hidden="1">{"'Sheet1'!$L$16"}</definedName>
    <definedName name="dCuocVC_Bachang" localSheetId="1" hidden="1">#REF!</definedName>
    <definedName name="dCuocVC_Bachang" hidden="1">#REF!</definedName>
    <definedName name="dcvxdsz" localSheetId="1" hidden="1">{"'Sheet1'!$L$16"}</definedName>
    <definedName name="dcvxdsz" localSheetId="2" hidden="1">{"'Sheet1'!$L$16"}</definedName>
    <definedName name="dcvxdsz" localSheetId="8" hidden="1">{"'Sheet1'!$L$16"}</definedName>
    <definedName name="dcvxdsz" hidden="1">{"'Sheet1'!$L$16"}</definedName>
    <definedName name="dd" localSheetId="1" hidden="1">{"'Sheet1'!$L$16"}</definedName>
    <definedName name="dd" localSheetId="2" hidden="1">{"'Sheet1'!$L$16"}</definedName>
    <definedName name="dd" localSheetId="8" hidden="1">{"'Sheet1'!$L$16"}</definedName>
    <definedName name="dd" hidden="1">{"'Sheet1'!$L$16"}</definedName>
    <definedName name="ddång" localSheetId="1" hidden="1">{"'Sheet1'!$L$16"}</definedName>
    <definedName name="ddång" localSheetId="2" hidden="1">{"'Sheet1'!$L$16"}</definedName>
    <definedName name="ddång" localSheetId="8" hidden="1">{"'Sheet1'!$L$16"}</definedName>
    <definedName name="ddång" hidden="1">{"'Sheet1'!$L$16"}</definedName>
    <definedName name="ddc" localSheetId="1" hidden="1">{"'Sheet1'!$L$16"}</definedName>
    <definedName name="ddc" localSheetId="2" hidden="1">{"'Sheet1'!$L$16"}</definedName>
    <definedName name="ddc" localSheetId="8" hidden="1">{"'Sheet1'!$L$16"}</definedName>
    <definedName name="ddc" hidden="1">{"'Sheet1'!$L$16"}</definedName>
    <definedName name="ddcH">#REF!</definedName>
    <definedName name="ddd" localSheetId="1" hidden="1">{"'Sheet1'!$L$16"}</definedName>
    <definedName name="ddd" localSheetId="2" hidden="1">{"'Sheet1'!$L$16"}</definedName>
    <definedName name="ddd" localSheetId="8" hidden="1">{"'Sheet1'!$L$16"}</definedName>
    <definedName name="ddd" hidden="1">{"'Sheet1'!$L$16"}</definedName>
    <definedName name="dddd" localSheetId="1" hidden="1">{"'Sheet1'!$L$16"}</definedName>
    <definedName name="dddd" localSheetId="2" hidden="1">{"'Sheet1'!$L$16"}</definedName>
    <definedName name="dddd" localSheetId="8" hidden="1">{"'Sheet1'!$L$16"}</definedName>
    <definedName name="dddd" hidden="1">{"'Sheet1'!$L$16"}</definedName>
    <definedName name="ddddd" localSheetId="1" hidden="1">{"'Sheet1'!$L$16"}</definedName>
    <definedName name="ddddd" hidden="1">#REF!</definedName>
    <definedName name="dddddd" localSheetId="1" hidden="1">{#N/A,#N/A,TRUE,"SUM";#N/A,#N/A,TRUE,"EE";#N/A,#N/A,TRUE,"AC";#N/A,#N/A,TRUE,"SN"}</definedName>
    <definedName name="dddddd" localSheetId="2" hidden="1">{"Offgrid",#N/A,FALSE,"OFFGRID";"Region",#N/A,FALSE,"REGION";"Offgrid -2",#N/A,FALSE,"OFFGRID";"WTP",#N/A,FALSE,"WTP";"WTP -2",#N/A,FALSE,"WTP";"Project",#N/A,FALSE,"PROJECT";"Summary -2",#N/A,FALSE,"SUMMARY"}</definedName>
    <definedName name="dddddd" localSheetId="8"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DDDD" localSheetId="1" hidden="1">{#N/A,#N/A,TRUE,"SUM";#N/A,#N/A,TRUE,"EE";#N/A,#N/A,TRUE,"AC";#N/A,#N/A,TRUE,"SN"}</definedName>
    <definedName name="DDDDDDDD" localSheetId="2" hidden="1">{#N/A,#N/A,TRUE,"SUM";#N/A,#N/A,TRUE,"EE";#N/A,#N/A,TRUE,"AC";#N/A,#N/A,TRUE,"SN"}</definedName>
    <definedName name="DDDDDDDD" localSheetId="8" hidden="1">{#N/A,#N/A,TRUE,"SUM";#N/A,#N/A,TRUE,"EE";#N/A,#N/A,TRUE,"AC";#N/A,#N/A,TRUE,"SN"}</definedName>
    <definedName name="DDDDDDDD" hidden="1">{#N/A,#N/A,TRUE,"SUM";#N/A,#N/A,TRUE,"EE";#N/A,#N/A,TRUE,"AC";#N/A,#N/A,TRUE,"SN"}</definedName>
    <definedName name="dddddddddd" localSheetId="1" hidden="1">#REF!</definedName>
    <definedName name="dddddddddd" hidden="1">#REF!</definedName>
    <definedName name="DDDDDDDDDDD" localSheetId="1" hidden="1">#REF!</definedName>
    <definedName name="DDDDDDDDDDD" hidden="1">#REF!</definedName>
    <definedName name="dddddddddddd" localSheetId="1" hidden="1">#REF!</definedName>
    <definedName name="dddddddddddd" hidden="1">#REF!</definedName>
    <definedName name="DDDDDDDDDDDDDDDDDDDDDDDDDDDDDDDDDDDD" hidden="1">#REF!</definedName>
    <definedName name="dddddddddddddddđ" localSheetId="1" hidden="1">{"'Sheet1'!$L$16"}</definedName>
    <definedName name="dddddddddddddddđ" localSheetId="2" hidden="1">{"'Sheet1'!$L$16"}</definedName>
    <definedName name="dddddddddddddddđ" localSheetId="8" hidden="1">{"'Sheet1'!$L$16"}</definedName>
    <definedName name="dddddddddddddddđ" hidden="1">{"'Sheet1'!$L$16"}</definedName>
    <definedName name="DDDĐ" localSheetId="1" hidden="1">{"'Sheet1'!$L$16"}</definedName>
    <definedName name="DDDĐ" localSheetId="2" hidden="1">{"'Sheet1'!$L$16"}</definedName>
    <definedName name="DDDĐ" localSheetId="8" hidden="1">{"'Sheet1'!$L$16"}</definedName>
    <definedName name="DDDĐ" hidden="1">{"'Sheet1'!$L$16"}</definedName>
    <definedName name="ddds" localSheetId="1" hidden="1">{"'Sheet1'!$L$16"}</definedName>
    <definedName name="ddds" localSheetId="2" hidden="1">{"'Sheet1'!$L$16"}</definedName>
    <definedName name="ddds" localSheetId="8" hidden="1">{"'Sheet1'!$L$16"}</definedName>
    <definedName name="ddds" hidden="1">{"'Sheet1'!$L$16"}</definedName>
    <definedName name="ddf" localSheetId="1" hidden="1">{"'Sheet1'!$L$16"}</definedName>
    <definedName name="ddf" localSheetId="2" hidden="1">{"'Sheet1'!$L$16"}</definedName>
    <definedName name="ddf" localSheetId="8" hidden="1">{"'Sheet1'!$L$16"}</definedName>
    <definedName name="ddf" hidden="1">{"'Sheet1'!$L$16"}</definedName>
    <definedName name="DDFR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localSheetId="1" hidden="1">#REF!</definedName>
    <definedName name="ddghhjjjj" hidden="1">#REF!</definedName>
    <definedName name="DE" localSheetId="1" hidden="1">#REF!</definedName>
    <definedName name="DE" hidden="1">#REF!</definedName>
    <definedName name="dede" localSheetId="1" hidden="1">{"'Sheet1'!$L$16"}</definedName>
    <definedName name="dede" localSheetId="2" hidden="1">{"'Sheet1'!$L$16"}</definedName>
    <definedName name="dede" localSheetId="8" hidden="1">{"'Sheet1'!$L$16"}</definedName>
    <definedName name="dede" hidden="1">{"'Sheet1'!$L$16"}</definedName>
    <definedName name="def" localSheetId="1" hidden="1">{#N/A,#N/A,TRUE,"BT M200 da 10x20"}</definedName>
    <definedName name="def" localSheetId="2" hidden="1">{#N/A,#N/A,TRUE,"BT M200 da 10x20"}</definedName>
    <definedName name="def" localSheetId="8" hidden="1">{#N/A,#N/A,TRUE,"BT M200 da 10x20"}</definedName>
    <definedName name="def" hidden="1">{#N/A,#N/A,TRUE,"BT M200 da 10x20"}</definedName>
    <definedName name="deí" localSheetId="1" hidden="1">{"'Sheet1'!$L$16"}</definedName>
    <definedName name="deí" localSheetId="2" hidden="1">{"'Sheet1'!$L$16"}</definedName>
    <definedName name="deí" localSheetId="8" hidden="1">{"'Sheet1'!$L$16"}</definedName>
    <definedName name="deí" hidden="1">{"'Sheet1'!$L$16"}</definedName>
    <definedName name="DenDK" localSheetId="1" hidden="1">{"'Sheet1'!$L$16"}</definedName>
    <definedName name="DenDK" localSheetId="2" hidden="1">{"'Sheet1'!$L$16"}</definedName>
    <definedName name="DenDK" localSheetId="8" hidden="1">{"'Sheet1'!$L$16"}</definedName>
    <definedName name="DenDK" hidden="1">{"'Sheet1'!$L$16"}</definedName>
    <definedName name="deqetq" localSheetId="1" hidden="1">{"'Sheet1'!$L$16"}</definedName>
    <definedName name="deqetq" localSheetId="2" hidden="1">{"'Sheet1'!$L$16"}</definedName>
    <definedName name="deqetq" localSheetId="8" hidden="1">{"'Sheet1'!$L$16"}</definedName>
    <definedName name="deqetq" hidden="1">{"'Sheet1'!$L$16"}</definedName>
    <definedName name="der" localSheetId="1">{"Book1","BoQ2.XLS"}</definedName>
    <definedName name="der" localSheetId="2">{"Book1","BoQ2.XLS"}</definedName>
    <definedName name="der" localSheetId="8">{"Book1","BoQ2.XLS"}</definedName>
    <definedName name="der">{"Book1","BoQ2.XLS"}</definedName>
    <definedName name="deviation" localSheetId="1" hidden="1">{#N/A,#N/A,FALSE,"CCTV"}</definedName>
    <definedName name="deviation" localSheetId="2" hidden="1">{#N/A,#N/A,FALSE,"CCTV"}</definedName>
    <definedName name="deviation" localSheetId="8" hidden="1">{#N/A,#N/A,FALSE,"CCTV"}</definedName>
    <definedName name="deviation" hidden="1">{#N/A,#N/A,FALSE,"CCTV"}</definedName>
    <definedName name="dewewer" hidden="1">#REF!</definedName>
    <definedName name="DEWSLDW" localSheetId="1" hidden="1">{#N/A,#N/A,TRUE,"SUM";#N/A,#N/A,TRUE,"EE";#N/A,#N/A,TRUE,"AC";#N/A,#N/A,TRUE,"SN"}</definedName>
    <definedName name="DEWSLDW" localSheetId="2" hidden="1">{#N/A,#N/A,TRUE,"SUM";#N/A,#N/A,TRUE,"EE";#N/A,#N/A,TRUE,"AC";#N/A,#N/A,TRUE,"SN"}</definedName>
    <definedName name="DEWSLDW" localSheetId="8" hidden="1">{#N/A,#N/A,TRUE,"SUM";#N/A,#N/A,TRUE,"EE";#N/A,#N/A,TRUE,"AC";#N/A,#N/A,TRUE,"SN"}</definedName>
    <definedName name="DEWSLDW" hidden="1">{#N/A,#N/A,TRUE,"SUM";#N/A,#N/A,TRUE,"EE";#N/A,#N/A,TRUE,"AC";#N/A,#N/A,TRUE,"SN"}</definedName>
    <definedName name="dex" localSheetId="1" hidden="1">{"'Sheet1'!$L$16"}</definedName>
    <definedName name="dex" localSheetId="2" hidden="1">{"'Sheet1'!$L$16"}</definedName>
    <definedName name="dex" localSheetId="8" hidden="1">{"'Sheet1'!$L$16"}</definedName>
    <definedName name="dex" hidden="1">{"'Sheet1'!$L$16"}</definedName>
    <definedName name="dÊd" hidden="1">#REF!</definedName>
    <definedName name="df" hidden="1">#REF!</definedName>
    <definedName name="dfa" localSheetId="1" hidden="1">#REF!</definedName>
    <definedName name="dfa" hidden="1">#REF!</definedName>
    <definedName name="DFADF" localSheetId="1" hidden="1">{"'Sheet1'!$L$16"}</definedName>
    <definedName name="DFADF" localSheetId="2" hidden="1">{"'Sheet1'!$L$16"}</definedName>
    <definedName name="DFADF" localSheetId="8" hidden="1">{"'Sheet1'!$L$16"}</definedName>
    <definedName name="DFADF" hidden="1">{"'Sheet1'!$L$16"}</definedName>
    <definedName name="DFADFDA" localSheetId="1" hidden="1">{"'Sheet1'!$L$16"}</definedName>
    <definedName name="DFADFDA" localSheetId="2" hidden="1">{"'Sheet1'!$L$16"}</definedName>
    <definedName name="DFADFDA" localSheetId="8" hidden="1">{"'Sheet1'!$L$16"}</definedName>
    <definedName name="DFADFDA" hidden="1">{"'Sheet1'!$L$16"}</definedName>
    <definedName name="dfadsfsdf" localSheetId="1" hidden="1">{"'Sheet1'!$L$16"}</definedName>
    <definedName name="dfadsfsdf" localSheetId="2" hidden="1">{"'Sheet1'!$L$16"}</definedName>
    <definedName name="dfadsfsdf" localSheetId="8" hidden="1">{"'Sheet1'!$L$16"}</definedName>
    <definedName name="dfadsfsdf" hidden="1">{"'Sheet1'!$L$16"}</definedName>
    <definedName name="dfafa" localSheetId="1" hidden="1">{#N/A,#N/A,FALSE,"Chi tiÆt"}</definedName>
    <definedName name="dfafa" localSheetId="2" hidden="1">{#N/A,#N/A,FALSE,"Chi tiÆt"}</definedName>
    <definedName name="dfafa" localSheetId="8" hidden="1">{#N/A,#N/A,FALSE,"Chi tiÆt"}</definedName>
    <definedName name="dfafa" hidden="1">{#N/A,#N/A,FALSE,"Chi tiÆt"}</definedName>
    <definedName name="dfas" localSheetId="1" hidden="1">#REF!</definedName>
    <definedName name="dfas" hidden="1">#REF!</definedName>
    <definedName name="dfasdfsdfsdf" localSheetId="1" hidden="1">{"'Sheet1'!$L$16"}</definedName>
    <definedName name="dfasdfsdfsdf" localSheetId="2" hidden="1">{"'Sheet1'!$L$16"}</definedName>
    <definedName name="dfasdfsdfsdf" localSheetId="8" hidden="1">{"'Sheet1'!$L$16"}</definedName>
    <definedName name="dfasdfsdfsdf" hidden="1">{"'Sheet1'!$L$16"}</definedName>
    <definedName name="dfasf" hidden="1">#REF!</definedName>
    <definedName name="dfd" localSheetId="1" hidden="1">{#N/A,#N/A,FALSE,"Sheet1";#N/A,#N/A,FALSE,"Sheet3";#N/A,#N/A,FALSE,"Sheet5"}</definedName>
    <definedName name="dfd" localSheetId="2" hidden="1">{#N/A,#N/A,FALSE,"Sheet1";#N/A,#N/A,FALSE,"Sheet3";#N/A,#N/A,FALSE,"Sheet5"}</definedName>
    <definedName name="dfd" localSheetId="8" hidden="1">{#N/A,#N/A,FALSE,"Sheet1";#N/A,#N/A,FALSE,"Sheet3";#N/A,#N/A,FALSE,"Sheet5"}</definedName>
    <definedName name="dfd" hidden="1">{#N/A,#N/A,FALSE,"Sheet1";#N/A,#N/A,FALSE,"Sheet3";#N/A,#N/A,FALSE,"Sheet5"}</definedName>
    <definedName name="DFDF" localSheetId="1" hidden="1">{"ECA Qtrs C",#N/A,TRUE,"ECA_Qtrs_C";"ECA Qtrs D",#N/A,TRUE,"ECA_Qtrs_D";"ECA Qtrs F",#N/A,TRUE,"ECA_Qtrs_F";"ECA Qtrs G",#N/A,TRUE,"ECA_Qtrs_G";"ECA SisterApt",#N/A,TRUE,"ECA_SisterApt";"ECA Nurses",#N/A,TRUE,"ECA_NursesHostel"}</definedName>
    <definedName name="DFDF" localSheetId="2" hidden="1">{"ECA Qtrs C",#N/A,TRUE,"ECA_Qtrs_C";"ECA Qtrs D",#N/A,TRUE,"ECA_Qtrs_D";"ECA Qtrs F",#N/A,TRUE,"ECA_Qtrs_F";"ECA Qtrs G",#N/A,TRUE,"ECA_Qtrs_G";"ECA SisterApt",#N/A,TRUE,"ECA_SisterApt";"ECA Nurses",#N/A,TRUE,"ECA_NursesHostel"}</definedName>
    <definedName name="DFDF" localSheetId="8"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_1" localSheetId="1"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_1" localSheetId="8"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localSheetId="1" hidden="1">{"'Sheet1'!$L$16"}</definedName>
    <definedName name="DFDFBGFBFB" localSheetId="2" hidden="1">{"'Sheet1'!$L$16"}</definedName>
    <definedName name="DFDFBGFBFB" localSheetId="8" hidden="1">{"'Sheet1'!$L$16"}</definedName>
    <definedName name="DFDFBGFBFB" hidden="1">{"'Sheet1'!$L$16"}</definedName>
    <definedName name="dfdfd" localSheetId="1" hidden="1">{"'Sheet1'!$L$16"}</definedName>
    <definedName name="dfdfd" localSheetId="2" hidden="1">{"'Sheet1'!$L$16"}</definedName>
    <definedName name="dfdfd" localSheetId="8" hidden="1">{"'Sheet1'!$L$16"}</definedName>
    <definedName name="dfdfd" hidden="1">{"'Sheet1'!$L$16"}</definedName>
    <definedName name="dfdfdf" localSheetId="1" hidden="1">{"'Sheet1'!$L$16"}</definedName>
    <definedName name="dfdfdf" localSheetId="2" hidden="1">{"'Sheet1'!$L$16"}</definedName>
    <definedName name="dfdfdf" localSheetId="8" hidden="1">{"'Sheet1'!$L$16"}</definedName>
    <definedName name="dfdfdf" hidden="1">{"'Sheet1'!$L$16"}</definedName>
    <definedName name="DFDFDS" localSheetId="1" hidden="1">{#N/A,#N/A,TRUE,"SUM";#N/A,#N/A,TRUE,"EE";#N/A,#N/A,TRUE,"AC";#N/A,#N/A,TRUE,"SN"}</definedName>
    <definedName name="DFDFDS" localSheetId="2" hidden="1">{#N/A,#N/A,TRUE,"SUM";#N/A,#N/A,TRUE,"EE";#N/A,#N/A,TRUE,"AC";#N/A,#N/A,TRUE,"SN"}</definedName>
    <definedName name="DFDFDS" localSheetId="8" hidden="1">{#N/A,#N/A,TRUE,"SUM";#N/A,#N/A,TRUE,"EE";#N/A,#N/A,TRUE,"AC";#N/A,#N/A,TRUE,"SN"}</definedName>
    <definedName name="DFDFDS" hidden="1">{#N/A,#N/A,TRUE,"SUM";#N/A,#N/A,TRUE,"EE";#N/A,#N/A,TRUE,"AC";#N/A,#N/A,TRUE,"SN"}</definedName>
    <definedName name="DFDFGE" localSheetId="1" hidden="1">{#N/A,#N/A,FALSE,"Chi tiÆt"}</definedName>
    <definedName name="DFDFGE" localSheetId="2" hidden="1">{#N/A,#N/A,FALSE,"Chi tiÆt"}</definedName>
    <definedName name="DFDFGE" localSheetId="8" hidden="1">{#N/A,#N/A,FALSE,"Chi tiÆt"}</definedName>
    <definedName name="DFDFGE" hidden="1">{#N/A,#N/A,FALSE,"Chi tiÆt"}</definedName>
    <definedName name="dfdfsdf" localSheetId="1" hidden="1">{"'Sheet1'!$L$16"}</definedName>
    <definedName name="dfdfsdf" localSheetId="2" hidden="1">{"'Sheet1'!$L$16"}</definedName>
    <definedName name="dfdfsdf" localSheetId="8" hidden="1">{"'Sheet1'!$L$16"}</definedName>
    <definedName name="dfdfsdf" hidden="1">{"'Sheet1'!$L$16"}</definedName>
    <definedName name="DFDFSDFSD" localSheetId="1" hidden="1">{#N/A,#N/A,TRUE,"SUM";#N/A,#N/A,TRUE,"EE";#N/A,#N/A,TRUE,"AC";#N/A,#N/A,TRUE,"SN"}</definedName>
    <definedName name="DFDFSDFSD" localSheetId="2" hidden="1">{#N/A,#N/A,TRUE,"SUM";#N/A,#N/A,TRUE,"EE";#N/A,#N/A,TRUE,"AC";#N/A,#N/A,TRUE,"SN"}</definedName>
    <definedName name="DFDFSDFSD" localSheetId="8" hidden="1">{#N/A,#N/A,TRUE,"SUM";#N/A,#N/A,TRUE,"EE";#N/A,#N/A,TRUE,"AC";#N/A,#N/A,TRUE,"SN"}</definedName>
    <definedName name="DFDFSDFSD" hidden="1">{#N/A,#N/A,TRUE,"SUM";#N/A,#N/A,TRUE,"EE";#N/A,#N/A,TRUE,"AC";#N/A,#N/A,TRUE,"SN"}</definedName>
    <definedName name="DFDK" hidden="1">#REF!</definedName>
    <definedName name="DFDSAFASF" localSheetId="1" hidden="1">{"'Sheet1'!$L$16"}</definedName>
    <definedName name="DFDSAFASF" localSheetId="2" hidden="1">{"'Sheet1'!$L$16"}</definedName>
    <definedName name="DFDSAFASF" localSheetId="8" hidden="1">{"'Sheet1'!$L$16"}</definedName>
    <definedName name="DFDSAFASF" hidden="1">{"'Sheet1'!$L$16"}</definedName>
    <definedName name="DFDSFA" localSheetId="1" hidden="1">{"'Sheet1'!$L$16"}</definedName>
    <definedName name="DFDSFA" localSheetId="2" hidden="1">{"'Sheet1'!$L$16"}</definedName>
    <definedName name="DFDSFA" localSheetId="8" hidden="1">{"'Sheet1'!$L$16"}</definedName>
    <definedName name="DFDSFA" hidden="1">{"'Sheet1'!$L$16"}</definedName>
    <definedName name="DFĐF" localSheetId="1" hidden="1">{"'Sheet1'!$L$16"}</definedName>
    <definedName name="DFĐF" localSheetId="2" hidden="1">{"'Sheet1'!$L$16"}</definedName>
    <definedName name="DFĐF" localSheetId="8" hidden="1">{"'Sheet1'!$L$16"}</definedName>
    <definedName name="DFĐF" hidden="1">{"'Sheet1'!$L$16"}</definedName>
    <definedName name="DFF" localSheetId="1" hidden="1">{#N/A,#N/A,TRUE,"SUM";#N/A,#N/A,TRUE,"EE";#N/A,#N/A,TRUE,"AC";#N/A,#N/A,TRUE,"SN"}</definedName>
    <definedName name="DFF" localSheetId="2" hidden="1">{#N/A,#N/A,TRUE,"SUM";#N/A,#N/A,TRUE,"EE";#N/A,#N/A,TRUE,"AC";#N/A,#N/A,TRUE,"SN"}</definedName>
    <definedName name="DFF" localSheetId="8" hidden="1">{#N/A,#N/A,TRUE,"SUM";#N/A,#N/A,TRUE,"EE";#N/A,#N/A,TRUE,"AC";#N/A,#N/A,TRUE,"SN"}</definedName>
    <definedName name="DFF" hidden="1">{#N/A,#N/A,TRUE,"SUM";#N/A,#N/A,TRUE,"EE";#N/A,#N/A,TRUE,"AC";#N/A,#N/A,TRUE,"SN"}</definedName>
    <definedName name="dffddf" localSheetId="1" hidden="1">{"'Break down'!$A$4"}</definedName>
    <definedName name="dffddf" localSheetId="2" hidden="1">{"'Break down'!$A$4"}</definedName>
    <definedName name="dffddf" localSheetId="8" hidden="1">{"'Break down'!$A$4"}</definedName>
    <definedName name="dffddf" hidden="1">{"'Break down'!$A$4"}</definedName>
    <definedName name="DFFDF" localSheetId="1" hidden="1">{#N/A,#N/A,FALSE,"CCTV"}</definedName>
    <definedName name="DFFDF" localSheetId="2" hidden="1">{#N/A,#N/A,FALSE,"CCTV"}</definedName>
    <definedName name="DFFDF" localSheetId="8" hidden="1">{#N/A,#N/A,FALSE,"CCTV"}</definedName>
    <definedName name="DFFDF" hidden="1">{#N/A,#N/A,FALSE,"CCTV"}</definedName>
    <definedName name="dfg" localSheetId="1" hidden="1">{"Offgrid",#N/A,FALSE,"OFFGRID";"Region",#N/A,FALSE,"REGION";"Offgrid -2",#N/A,FALSE,"OFFGRID";"WTP",#N/A,FALSE,"WTP";"WTP -2",#N/A,FALSE,"WTP";"Project",#N/A,FALSE,"PROJECT";"Summary -2",#N/A,FALSE,"SUMMARY"}</definedName>
    <definedName name="dfg" localSheetId="2" hidden="1">{"Offgrid",#N/A,FALSE,"OFFGRID";"Region",#N/A,FALSE,"REGION";"Offgrid -2",#N/A,FALSE,"OFFGRID";"WTP",#N/A,FALSE,"WTP";"WTP -2",#N/A,FALSE,"WTP";"Project",#N/A,FALSE,"PROJECT";"Summary -2",#N/A,FALSE,"SUMMARY"}</definedName>
    <definedName name="dfg" localSheetId="8" hidden="1">{"Offgrid",#N/A,FALSE,"OFFGRID";"Region",#N/A,FALSE,"REGION";"Offgrid -2",#N/A,FALSE,"OFFGRID";"WTP",#N/A,FALSE,"WTP";"WTP -2",#N/A,FALSE,"WTP";"Project",#N/A,FALSE,"PROJECT";"Summary -2",#N/A,FALSE,"SUMMARY"}</definedName>
    <definedName name="dfg" hidden="1">{"Offgrid",#N/A,FALSE,"OFFGRID";"Region",#N/A,FALSE,"REGION";"Offgrid -2",#N/A,FALSE,"OFFGRID";"WTP",#N/A,FALSE,"WTP";"WTP -2",#N/A,FALSE,"WTP";"Project",#N/A,FALSE,"PROJECT";"Summary -2",#N/A,FALSE,"SUMMARY"}</definedName>
    <definedName name="dfgadfa" localSheetId="1" hidden="1">{#N/A,#N/A,TRUE,"BT M200 da 10x20"}</definedName>
    <definedName name="dfgadfa" localSheetId="2" hidden="1">{#N/A,#N/A,TRUE,"BT M200 da 10x20"}</definedName>
    <definedName name="dfgadfa" localSheetId="8" hidden="1">{#N/A,#N/A,TRUE,"BT M200 da 10x20"}</definedName>
    <definedName name="dfgadfa" hidden="1">{#N/A,#N/A,TRUE,"BT M200 da 10x20"}</definedName>
    <definedName name="DFGASDFA" localSheetId="1" hidden="1">{"'Sheet1'!$L$16"}</definedName>
    <definedName name="DFGASDFA" localSheetId="2" hidden="1">{"'Sheet1'!$L$16"}</definedName>
    <definedName name="DFGASDFA" localSheetId="8" hidden="1">{"'Sheet1'!$L$16"}</definedName>
    <definedName name="DFGASDFA" hidden="1">{"'Sheet1'!$L$16"}</definedName>
    <definedName name="DFGDFGD" hidden="1">#REF!</definedName>
    <definedName name="dfggg" localSheetId="1" hidden="1">{"'Sheet1'!$L$16"}</definedName>
    <definedName name="dfggg" localSheetId="2" hidden="1">{"'Sheet1'!$L$16"}</definedName>
    <definedName name="dfggg" localSheetId="8" hidden="1">{"'Sheet1'!$L$16"}</definedName>
    <definedName name="dfggg" hidden="1">{"'Sheet1'!$L$16"}</definedName>
    <definedName name="dfgh" localSheetId="1" hidden="1">{#N/A,#N/A,FALSE,"Chi tiÆt"}</definedName>
    <definedName name="dfgh" localSheetId="2" hidden="1">{#N/A,#N/A,FALSE,"Chi tiÆt"}</definedName>
    <definedName name="dfgh" localSheetId="8" hidden="1">{#N/A,#N/A,FALSE,"Chi tiÆt"}</definedName>
    <definedName name="dfgh" hidden="1">{#N/A,#N/A,FALSE,"Chi tiÆt"}</definedName>
    <definedName name="DFGHFSGFDS" localSheetId="1" hidden="1">{"'Sheet1'!$L$16"}</definedName>
    <definedName name="DFGHFSGFDS" localSheetId="2" hidden="1">{"'Sheet1'!$L$16"}</definedName>
    <definedName name="DFGHFSGFDS" localSheetId="8" hidden="1">{"'Sheet1'!$L$16"}</definedName>
    <definedName name="DFGHFSGFDS" hidden="1">{"'Sheet1'!$L$16"}</definedName>
    <definedName name="dfgsdgf" localSheetId="1" hidden="1">#REF!</definedName>
    <definedName name="dfgsdgf" hidden="1">#REF!</definedName>
    <definedName name="dfgsdsdfe" localSheetId="1" hidden="1">{"'Sheet1'!$L$16"}</definedName>
    <definedName name="dfgsdsdfe" localSheetId="2" hidden="1">{"'Sheet1'!$L$16"}</definedName>
    <definedName name="dfgsdsdfe" localSheetId="8" hidden="1">{"'Sheet1'!$L$16"}</definedName>
    <definedName name="dfgsdsdfe" hidden="1">{"'Sheet1'!$L$16"}</definedName>
    <definedName name="dfgzxdf" localSheetId="1" hidden="1">{0,#N/A,FALSE,0;0,#N/A,FALSE,0;0,#N/A,FALSE,0;0,#N/A,FALSE,0;0,#N/A,FALSE,0;0,#N/A,FALSE,0;0,#N/A,FALSE,0}</definedName>
    <definedName name="dfgzxdf" localSheetId="2" hidden="1">{0,#N/A,FALSE,0;0,#N/A,FALSE,0;0,#N/A,FALSE,0;0,#N/A,FALSE,0;0,#N/A,FALSE,0;0,#N/A,FALSE,0;0,#N/A,FALSE,0}</definedName>
    <definedName name="dfgzxdf" localSheetId="8" hidden="1">{0,#N/A,FALSE,0;0,#N/A,FALSE,0;0,#N/A,FALSE,0;0,#N/A,FALSE,0;0,#N/A,FALSE,0;0,#N/A,FALSE,0;0,#N/A,FALSE,0}</definedName>
    <definedName name="dfgzxdf" hidden="1">{0,#N/A,FALSE,0;0,#N/A,FALSE,0;0,#N/A,FALSE,0;0,#N/A,FALSE,0;0,#N/A,FALSE,0;0,#N/A,FALSE,0;0,#N/A,FALSE,0}</definedName>
    <definedName name="dfh" localSheetId="1" hidden="1">{"'Sheet1'!$L$16"}</definedName>
    <definedName name="dfh" localSheetId="2" hidden="1">{"'Sheet1'!$L$16"}</definedName>
    <definedName name="dfh" localSheetId="8" hidden="1">{"'Sheet1'!$L$16"}</definedName>
    <definedName name="dfh" hidden="1">{"'Sheet1'!$L$16"}</definedName>
    <definedName name="dfhf" localSheetId="1" hidden="1">{"'Sheet1'!$L$16"}</definedName>
    <definedName name="dfhf" localSheetId="2" hidden="1">{"'Sheet1'!$L$16"}</definedName>
    <definedName name="dfhf" localSheetId="8" hidden="1">{"'Sheet1'!$L$16"}</definedName>
    <definedName name="dfhf" hidden="1">{"'Sheet1'!$L$16"}</definedName>
    <definedName name="dfhh" localSheetId="1" hidden="1">{#N/A,#N/A,FALSE,"Chi tiÆt"}</definedName>
    <definedName name="dfhh" localSheetId="2" hidden="1">{#N/A,#N/A,FALSE,"Chi tiÆt"}</definedName>
    <definedName name="dfhh" localSheetId="8" hidden="1">{#N/A,#N/A,FALSE,"Chi tiÆt"}</definedName>
    <definedName name="dfhh" hidden="1">{#N/A,#N/A,FALSE,"Chi tiÆt"}</definedName>
    <definedName name="dfhp" localSheetId="1" hidden="1">{"'Sheet1'!$L$16"}</definedName>
    <definedName name="dfhp" localSheetId="2" hidden="1">{"'Sheet1'!$L$16"}</definedName>
    <definedName name="dfhp" localSheetId="8" hidden="1">{"'Sheet1'!$L$16"}</definedName>
    <definedName name="dfhp" hidden="1">{"'Sheet1'!$L$16"}</definedName>
    <definedName name="dfjgw" localSheetId="1" hidden="1">{"Offgrid",#N/A,FALSE,"OFFGRID";"Region",#N/A,FALSE,"REGION";"Offgrid -2",#N/A,FALSE,"OFFGRID";"WTP",#N/A,FALSE,"WTP";"WTP -2",#N/A,FALSE,"WTP";"Project",#N/A,FALSE,"PROJECT";"Summary -2",#N/A,FALSE,"SUMMARY"}</definedName>
    <definedName name="dfjgw" localSheetId="2" hidden="1">{"Offgrid",#N/A,FALSE,"OFFGRID";"Region",#N/A,FALSE,"REGION";"Offgrid -2",#N/A,FALSE,"OFFGRID";"WTP",#N/A,FALSE,"WTP";"WTP -2",#N/A,FALSE,"WTP";"Project",#N/A,FALSE,"PROJECT";"Summary -2",#N/A,FALSE,"SUMMARY"}</definedName>
    <definedName name="dfjgw" localSheetId="8" hidden="1">{"Offgrid",#N/A,FALSE,"OFFGRID";"Region",#N/A,FALSE,"REGION";"Offgrid -2",#N/A,FALSE,"OFFGRID";"WTP",#N/A,FALSE,"WTP";"WTP -2",#N/A,FALSE,"WTP";"Project",#N/A,FALSE,"PROJECT";"Summary -2",#N/A,FALSE,"SUMMARY"}</definedName>
    <definedName name="dfjgw" hidden="1">{"Offgrid",#N/A,FALSE,"OFFGRID";"Region",#N/A,FALSE,"REGION";"Offgrid -2",#N/A,FALSE,"OFFGRID";"WTP",#N/A,FALSE,"WTP";"WTP -2",#N/A,FALSE,"WTP";"Project",#N/A,FALSE,"PROJECT";"Summary -2",#N/A,FALSE,"SUMMARY"}</definedName>
    <definedName name="DFKKFS" hidden="1">#REF!</definedName>
    <definedName name="dfs" localSheetId="1" hidden="1">{#N/A,#N/A,TRUE,"SUM";#N/A,#N/A,TRUE,"EE";#N/A,#N/A,TRUE,"AC";#N/A,#N/A,TRUE,"SN"}</definedName>
    <definedName name="dfs" localSheetId="2" hidden="1">{#N/A,#N/A,TRUE,"SUM";#N/A,#N/A,TRUE,"EE";#N/A,#N/A,TRUE,"AC";#N/A,#N/A,TRUE,"SN"}</definedName>
    <definedName name="dfs" localSheetId="8" hidden="1">{#N/A,#N/A,TRUE,"SUM";#N/A,#N/A,TRUE,"EE";#N/A,#N/A,TRUE,"AC";#N/A,#N/A,TRUE,"SN"}</definedName>
    <definedName name="dfs" hidden="1">{#N/A,#N/A,TRUE,"SUM";#N/A,#N/A,TRUE,"EE";#N/A,#N/A,TRUE,"AC";#N/A,#N/A,TRUE,"SN"}</definedName>
    <definedName name="DFSD" localSheetId="1" hidden="1">{#N/A,#N/A,FALSE,"Sheet6"}</definedName>
    <definedName name="DFSD" localSheetId="2" hidden="1">{#N/A,#N/A,FALSE,"Sheet6"}</definedName>
    <definedName name="DFSD" localSheetId="8" hidden="1">{#N/A,#N/A,FALSE,"Sheet6"}</definedName>
    <definedName name="DFSD" hidden="1">{#N/A,#N/A,FALSE,"Sheet6"}</definedName>
    <definedName name="DFSDF" localSheetId="1" hidden="1">{"'Sheet1'!$L$16"}</definedName>
    <definedName name="DFSDF" localSheetId="2" hidden="1">{"'Sheet1'!$L$16"}</definedName>
    <definedName name="DFSDF" localSheetId="8" hidden="1">{"'Sheet1'!$L$16"}</definedName>
    <definedName name="DFSDF" hidden="1">{"'Sheet1'!$L$16"}</definedName>
    <definedName name="DFSF" localSheetId="1" hidden="1">{#N/A,#N/A,FALSE,"特殊室（ＢＱ表）"}</definedName>
    <definedName name="DFSF" localSheetId="2" hidden="1">{#N/A,#N/A,FALSE,"特殊室（ＢＱ表）"}</definedName>
    <definedName name="DFSF" localSheetId="8" hidden="1">{#N/A,#N/A,FALSE,"特殊室（ＢＱ表）"}</definedName>
    <definedName name="DFSF" hidden="1">{#N/A,#N/A,FALSE,"特殊室（ＢＱ表）"}</definedName>
    <definedName name="dfsfs" hidden="1">#REF!</definedName>
    <definedName name="dfsfsd" localSheetId="1" hidden="1">{"'Sheet1'!$L$16"}</definedName>
    <definedName name="dfsfsd" localSheetId="2" hidden="1">{"'Sheet1'!$L$16"}</definedName>
    <definedName name="dfsfsd" localSheetId="8" hidden="1">{"'Sheet1'!$L$16"}</definedName>
    <definedName name="dfsfsd" hidden="1">{"'Sheet1'!$L$16"}</definedName>
    <definedName name="dfsgsag" localSheetId="1" hidden="1">{"'Sheet1'!$L$16"}</definedName>
    <definedName name="dfsgsag" localSheetId="2" hidden="1">{"'Sheet1'!$L$16"}</definedName>
    <definedName name="dfsgsag" localSheetId="8" hidden="1">{"'Sheet1'!$L$16"}</definedName>
    <definedName name="dfsgsag" hidden="1">{"'Sheet1'!$L$16"}</definedName>
    <definedName name="DFS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1" hidden="1">{"'Sheet1'!$L$16"}</definedName>
    <definedName name="DGBH" localSheetId="2" hidden="1">{"'Sheet1'!$L$16"}</definedName>
    <definedName name="DGBH" localSheetId="8" hidden="1">{"'Sheet1'!$L$16"}</definedName>
    <definedName name="DGBH" hidden="1">{"'Sheet1'!$L$16"}</definedName>
    <definedName name="dgctp2" localSheetId="1" hidden="1">{"'Sheet1'!$L$16"}</definedName>
    <definedName name="dgctp2" localSheetId="2" hidden="1">{"'Sheet1'!$L$16"}</definedName>
    <definedName name="dgctp2" localSheetId="8" hidden="1">{"'Sheet1'!$L$16"}</definedName>
    <definedName name="dgctp2" hidden="1">{"'Sheet1'!$L$16"}</definedName>
    <definedName name="DGD" hidden="1">#REF!</definedName>
    <definedName name="DGDG" localSheetId="1" hidden="1">{"'Sheet1'!$L$16"}</definedName>
    <definedName name="DGDG" localSheetId="2" hidden="1">{"'Sheet1'!$L$16"}</definedName>
    <definedName name="DGDG" localSheetId="8" hidden="1">{"'Sheet1'!$L$16"}</definedName>
    <definedName name="DGDG" hidden="1">{"'Sheet1'!$L$16"}</definedName>
    <definedName name="dgdjdkgd" localSheetId="1" hidden="1">{#N/A,#N/A,FALSE,"CCTV"}</definedName>
    <definedName name="dgdjdkgd" localSheetId="2" hidden="1">{#N/A,#N/A,FALSE,"CCTV"}</definedName>
    <definedName name="dgdjdkgd" localSheetId="8" hidden="1">{#N/A,#N/A,FALSE,"CCTV"}</definedName>
    <definedName name="dgdjdkgd" hidden="1">{#N/A,#N/A,FALSE,"CCTV"}</definedName>
    <definedName name="DGF" localSheetId="1" hidden="1">{#N/A,#N/A,FALSE,"特殊室（ＢＱ表）"}</definedName>
    <definedName name="DGF" localSheetId="2" hidden="1">{#N/A,#N/A,FALSE,"特殊室（ＢＱ表）"}</definedName>
    <definedName name="DGF" localSheetId="8" hidden="1">{#N/A,#N/A,FALSE,"特殊室（ＢＱ表）"}</definedName>
    <definedName name="DGF" hidden="1">{#N/A,#N/A,FALSE,"特殊室（ＢＱ表）"}</definedName>
    <definedName name="DGFDG" localSheetId="1" hidden="1">{#N/A,#N/A,FALSE,"特殊室（ＢＱ表）"}</definedName>
    <definedName name="DGFDG" localSheetId="2" hidden="1">{#N/A,#N/A,FALSE,"特殊室（ＢＱ表）"}</definedName>
    <definedName name="DGFDG" localSheetId="8" hidden="1">{#N/A,#N/A,FALSE,"特殊室（ＢＱ表）"}</definedName>
    <definedName name="DGFDG" hidden="1">{#N/A,#N/A,FALSE,"特殊室（ＢＱ表）"}</definedName>
    <definedName name="dgfq" localSheetId="1" hidden="1">#REF!</definedName>
    <definedName name="dgfq" hidden="1">#REF!</definedName>
    <definedName name="dggfhd" localSheetId="1" hidden="1">{#N/A,#N/A,FALSE,"Chi tiÆt"}</definedName>
    <definedName name="dggfhd" localSheetId="2" hidden="1">{#N/A,#N/A,FALSE,"Chi tiÆt"}</definedName>
    <definedName name="dggfhd" localSheetId="8" hidden="1">{#N/A,#N/A,FALSE,"Chi tiÆt"}</definedName>
    <definedName name="dggfhd" hidden="1">{#N/A,#N/A,FALSE,"Chi tiÆt"}</definedName>
    <definedName name="dghg" localSheetId="1" hidden="1">{"'Sheet1'!$L$16"}</definedName>
    <definedName name="dghg" localSheetId="2" hidden="1">{"'Sheet1'!$L$16"}</definedName>
    <definedName name="dghg" localSheetId="8" hidden="1">{"'Sheet1'!$L$16"}</definedName>
    <definedName name="dghg" hidden="1">{"'Sheet1'!$L$16"}</definedName>
    <definedName name="dghjyuk" localSheetId="1" hidden="1">{"'Sheet1'!$L$16"}</definedName>
    <definedName name="dghjyuk" localSheetId="2" hidden="1">{"'Sheet1'!$L$16"}</definedName>
    <definedName name="dghjyuk" localSheetId="8" hidden="1">{"'Sheet1'!$L$16"}</definedName>
    <definedName name="dghjyuk" hidden="1">{"'Sheet1'!$L$16"}</definedName>
    <definedName name="DGKL" localSheetId="1" hidden="1">#REF!</definedName>
    <definedName name="DGKL" hidden="1">#REF!</definedName>
    <definedName name="DGSDG" localSheetId="1" hidden="1">{"'Sheet1'!$L$16"}</definedName>
    <definedName name="DGSDG" localSheetId="2" hidden="1">{"'Sheet1'!$L$16"}</definedName>
    <definedName name="DGSDG" localSheetId="8" hidden="1">{"'Sheet1'!$L$16"}</definedName>
    <definedName name="DGSDG" hidden="1">{"'Sheet1'!$L$16"}</definedName>
    <definedName name="DGSEGWE" localSheetId="1" hidden="1">{"'Sheet1'!$L$16"}</definedName>
    <definedName name="DGSEGWE" localSheetId="2" hidden="1">{"'Sheet1'!$L$16"}</definedName>
    <definedName name="DGSEGWE" localSheetId="8" hidden="1">{"'Sheet1'!$L$16"}</definedName>
    <definedName name="DGSEGWE" hidden="1">{"'Sheet1'!$L$16"}</definedName>
    <definedName name="dgsgsg" localSheetId="1" hidden="1">{"'Sheet1'!$L$16"}</definedName>
    <definedName name="dgsgsg" localSheetId="2" hidden="1">{"'Sheet1'!$L$16"}</definedName>
    <definedName name="dgsgsg" localSheetId="8" hidden="1">{"'Sheet1'!$L$16"}</definedName>
    <definedName name="dgsgsg" hidden="1">{"'Sheet1'!$L$16"}</definedName>
    <definedName name="DGWEHWR" localSheetId="1" hidden="1">{"'Sheet1'!$L$16"}</definedName>
    <definedName name="DGWEHWR" localSheetId="2" hidden="1">{"'Sheet1'!$L$16"}</definedName>
    <definedName name="DGWEHWR" localSheetId="8" hidden="1">{"'Sheet1'!$L$16"}</definedName>
    <definedName name="DGWEHWR" hidden="1">{"'Sheet1'!$L$16"}</definedName>
    <definedName name="DHDFGSF" localSheetId="1" hidden="1">{"'Sheet1'!$L$16"}</definedName>
    <definedName name="DHDFGSF" localSheetId="2" hidden="1">{"'Sheet1'!$L$16"}</definedName>
    <definedName name="DHDFGSF" localSheetId="8" hidden="1">{"'Sheet1'!$L$16"}</definedName>
    <definedName name="DHDFGSF" hidden="1">{"'Sheet1'!$L$16"}</definedName>
    <definedName name="dhdhd" localSheetId="1" hidden="1">{"'Sheet1'!$L$16"}</definedName>
    <definedName name="dhdhd" localSheetId="2" hidden="1">{"'Sheet1'!$L$16"}</definedName>
    <definedName name="dhdhd" localSheetId="8" hidden="1">{"'Sheet1'!$L$16"}</definedName>
    <definedName name="dhdhd" hidden="1">{"'Sheet1'!$L$16"}</definedName>
    <definedName name="dhfsg" hidden="1">#REF!</definedName>
    <definedName name="dhh" localSheetId="1" hidden="1">{"'Sheet1'!$L$16"}</definedName>
    <definedName name="dhh" localSheetId="2" hidden="1">{"'Sheet1'!$L$16"}</definedName>
    <definedName name="dhh" localSheetId="8" hidden="1">{"'Sheet1'!$L$16"}</definedName>
    <definedName name="dhh" hidden="1">{"'Sheet1'!$L$16"}</definedName>
    <definedName name="dhj" localSheetId="1" hidden="1">{"'용역비'!$A$4:$C$8"}</definedName>
    <definedName name="dhj" localSheetId="2" hidden="1">{"'용역비'!$A$4:$C$8"}</definedName>
    <definedName name="dhj" localSheetId="8" hidden="1">{"'용역비'!$A$4:$C$8"}</definedName>
    <definedName name="dhj" hidden="1">{"'용역비'!$A$4:$C$8"}</definedName>
    <definedName name="DHSRHGR" localSheetId="1" hidden="1">{"'Sheet1'!$L$16"}</definedName>
    <definedName name="DHSRHGR" localSheetId="2" hidden="1">{"'Sheet1'!$L$16"}</definedName>
    <definedName name="DHSRHGR" localSheetId="8" hidden="1">{"'Sheet1'!$L$16"}</definedName>
    <definedName name="DHSRHGR" hidden="1">{"'Sheet1'!$L$16"}</definedName>
    <definedName name="dien" localSheetId="1" hidden="1">{"'Sheet1'!$L$16"}</definedName>
    <definedName name="dien" localSheetId="2" hidden="1">{"'Sheet1'!$L$16"}</definedName>
    <definedName name="dien" localSheetId="8" hidden="1">{"'Sheet1'!$L$16"}</definedName>
    <definedName name="dien" hidden="1">{"'Sheet1'!$L$16"}</definedName>
    <definedName name="Discount" localSheetId="1" hidden="1">#REF!</definedName>
    <definedName name="Discount" hidden="1">#REF!</definedName>
    <definedName name="display_area_2" localSheetId="1" hidden="1">#REF!</definedName>
    <definedName name="display_area_2" hidden="1">#REF!</definedName>
    <definedName name="dj" localSheetId="1" hidden="1">{"'Sheet1'!$L$16"}</definedName>
    <definedName name="dj" localSheetId="2" hidden="1">{"'Sheet1'!$L$16"}</definedName>
    <definedName name="dj" localSheetId="8" hidden="1">{"'Sheet1'!$L$16"}</definedName>
    <definedName name="dj" hidden="1">{"'Sheet1'!$L$16"}</definedName>
    <definedName name="DKD" localSheetId="1" hidden="1">{#N/A,#N/A,FALSE,"주간공정";#N/A,#N/A,FALSE,"주간보고";#N/A,#N/A,FALSE,"주간공정표"}</definedName>
    <definedName name="DKD" localSheetId="2" hidden="1">{#N/A,#N/A,FALSE,"주간공정";#N/A,#N/A,FALSE,"주간보고";#N/A,#N/A,FALSE,"주간공정표"}</definedName>
    <definedName name="DKD" localSheetId="8" hidden="1">{#N/A,#N/A,FALSE,"주간공정";#N/A,#N/A,FALSE,"주간보고";#N/A,#N/A,FALSE,"주간공정표"}</definedName>
    <definedName name="DKD" hidden="1">{#N/A,#N/A,FALSE,"주간공정";#N/A,#N/A,FALSE,"주간보고";#N/A,#N/A,FALSE,"주간공정표"}</definedName>
    <definedName name="dkdkdkdkd" localSheetId="1" hidden="1">{#N/A,#N/A,FALSE,"명세표"}</definedName>
    <definedName name="dkdkdkdkd" localSheetId="2" hidden="1">{#N/A,#N/A,FALSE,"명세표"}</definedName>
    <definedName name="dkdkdkdkd" localSheetId="8" hidden="1">{#N/A,#N/A,FALSE,"명세표"}</definedName>
    <definedName name="dkdkdkdkd" hidden="1">{#N/A,#N/A,FALSE,"명세표"}</definedName>
    <definedName name="dksk"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1" hidden="1">{#N/A,#N/A,FALSE,"주간공정";#N/A,#N/A,FALSE,"주간보고";#N/A,#N/A,FALSE,"주간공정표"}</definedName>
    <definedName name="DLD" localSheetId="2" hidden="1">{#N/A,#N/A,FALSE,"주간공정";#N/A,#N/A,FALSE,"주간보고";#N/A,#N/A,FALSE,"주간공정표"}</definedName>
    <definedName name="DLD" localSheetId="8" hidden="1">{#N/A,#N/A,FALSE,"주간공정";#N/A,#N/A,FALSE,"주간보고";#N/A,#N/A,FALSE,"주간공정표"}</definedName>
    <definedName name="DLD" hidden="1">{#N/A,#N/A,FALSE,"주간공정";#N/A,#N/A,FALSE,"주간보고";#N/A,#N/A,FALSE,"주간공정표"}</definedName>
    <definedName name="dldyddn" localSheetId="1" hidden="1">{"'별표'!$N$220"}</definedName>
    <definedName name="dldyddn" localSheetId="2" hidden="1">{"'별표'!$N$220"}</definedName>
    <definedName name="dldyddn" localSheetId="8" hidden="1">{"'별표'!$N$220"}</definedName>
    <definedName name="dldyddn" hidden="1">{"'별표'!$N$220"}</definedName>
    <definedName name="dlff" localSheetId="1" hidden="1">{#N/A,#N/A,FALSE,"운반시간"}</definedName>
    <definedName name="dlff" localSheetId="2" hidden="1">{#N/A,#N/A,FALSE,"운반시간"}</definedName>
    <definedName name="dlff" localSheetId="8" hidden="1">{#N/A,#N/A,FALSE,"운반시간"}</definedName>
    <definedName name="dlff" hidden="1">{#N/A,#N/A,FALSE,"운반시간"}</definedName>
    <definedName name="dmoc">#REF!</definedName>
    <definedName name="dmxl2" localSheetId="1" hidden="1">{"'Sheet1'!$L$16"}</definedName>
    <definedName name="dmxl2" localSheetId="2" hidden="1">{"'Sheet1'!$L$16"}</definedName>
    <definedName name="dmxl2" localSheetId="8" hidden="1">{"'Sheet1'!$L$16"}</definedName>
    <definedName name="dmxl2" hidden="1">{"'Sheet1'!$L$16"}</definedName>
    <definedName name="dn" localSheetId="1" hidden="1">{#N/A,#N/A,FALSE,"혼합골재"}</definedName>
    <definedName name="dn" localSheetId="2" hidden="1">{#N/A,#N/A,FALSE,"혼합골재"}</definedName>
    <definedName name="dn" localSheetId="8" hidden="1">{#N/A,#N/A,FALSE,"혼합골재"}</definedName>
    <definedName name="dn" hidden="1">{#N/A,#N/A,FALSE,"혼합골재"}</definedName>
    <definedName name="DN1_CT5" localSheetId="1" hidden="1">{"'Sheet1'!$L$16"}</definedName>
    <definedName name="DN1_CT5" localSheetId="2" hidden="1">{"'Sheet1'!$L$16"}</definedName>
    <definedName name="DN1_CT5" localSheetId="8" hidden="1">{"'Sheet1'!$L$16"}</definedName>
    <definedName name="DN1_CT5" hidden="1">{"'Sheet1'!$L$16"}</definedName>
    <definedName name="DNTT" localSheetId="1" hidden="1">{"NGUYEN QUI THIEP - Personal View",#N/A,FALSE,"XDCB.HT.FUR."}</definedName>
    <definedName name="DNTT" localSheetId="2" hidden="1">{"NGUYEN QUI THIEP - Personal View",#N/A,FALSE,"XDCB.HT.FUR."}</definedName>
    <definedName name="DNTT" localSheetId="8" hidden="1">{"NGUYEN QUI THIEP - Personal View",#N/A,FALSE,"XDCB.HT.FUR."}</definedName>
    <definedName name="DNTT" hidden="1">{"NGUYEN QUI THIEP - Personal View",#N/A,FALSE,"XDCB.HT.FUR."}</definedName>
    <definedName name="dntt10" localSheetId="1" hidden="1">{"'Sheet1'!$L$16"}</definedName>
    <definedName name="dntt10" localSheetId="2" hidden="1">{"'Sheet1'!$L$16"}</definedName>
    <definedName name="dntt10" localSheetId="8" hidden="1">{"'Sheet1'!$L$16"}</definedName>
    <definedName name="dntt10" hidden="1">{"'Sheet1'!$L$16"}</definedName>
    <definedName name="dntt9" localSheetId="1" hidden="1">{"'Sheet1'!$L$16"}</definedName>
    <definedName name="dntt9" localSheetId="2" hidden="1">{"'Sheet1'!$L$16"}</definedName>
    <definedName name="dntt9" localSheetId="8" hidden="1">{"'Sheet1'!$L$16"}</definedName>
    <definedName name="dntt9" hidden="1">{"'Sheet1'!$L$16"}</definedName>
    <definedName name="doc" localSheetId="1" hidden="1">{"'Sheet1'!$L$16"}</definedName>
    <definedName name="doc" localSheetId="2" hidden="1">{"'Sheet1'!$L$16"}</definedName>
    <definedName name="doc" localSheetId="8" hidden="1">{"'Sheet1'!$L$16"}</definedName>
    <definedName name="doc" hidden="1">{"'Sheet1'!$L$16"}</definedName>
    <definedName name="Document_array" localSheetId="1">{"Book1","BoQ2.XLS"}</definedName>
    <definedName name="Document_array" localSheetId="2">{"Book1","BoQ2.XLS"}</definedName>
    <definedName name="Document_array" localSheetId="8">{"Book1","BoQ2.XLS"}</definedName>
    <definedName name="Document_array">{"Book1","BoQ2.XLS"}</definedName>
    <definedName name="dohong" localSheetId="1" hidden="1">{"'Sheet1'!$L$16"}</definedName>
    <definedName name="dohong" localSheetId="2" hidden="1">{"'Sheet1'!$L$16"}</definedName>
    <definedName name="dohong" localSheetId="8" hidden="1">{"'Sheet1'!$L$16"}</definedName>
    <definedName name="dohong" hidden="1">{"'Sheet1'!$L$16"}</definedName>
    <definedName name="DOLA">#REF!</definedName>
    <definedName name="Domain" localSheetId="1" hidden="1">#REF!</definedName>
    <definedName name="Domain" hidden="1">#REF!</definedName>
    <definedName name="DoorArea">#REF!</definedName>
    <definedName name="DOR">1.15</definedName>
    <definedName name="dq" localSheetId="1" hidden="1">{"'Sheet1'!$L$16"}</definedName>
    <definedName name="dq" localSheetId="2" hidden="1">{"'Sheet1'!$L$16"}</definedName>
    <definedName name="dq" localSheetId="8" hidden="1">{"'Sheet1'!$L$16"}</definedName>
    <definedName name="dq" hidden="1">{"'Sheet1'!$L$16"}</definedName>
    <definedName name="dqdq" localSheetId="1" hidden="1">{"'Sheet1'!$L$16"}</definedName>
    <definedName name="dqdq" localSheetId="2" hidden="1">{"'Sheet1'!$L$16"}</definedName>
    <definedName name="dqdq" localSheetId="8" hidden="1">{"'Sheet1'!$L$16"}</definedName>
    <definedName name="dqdq" hidden="1">{"'Sheet1'!$L$16"}</definedName>
    <definedName name="dQlda_GdpVal" localSheetId="1" hidden="1">10%*([0]!dQlda_GxlGtbVal+dQlda_GcpkVal)/10^9</definedName>
    <definedName name="dQlda_GdpVal" localSheetId="2" hidden="1">10%*([0]!dQlda_GxlGtbVal+dQlda_GcpkVal)/10^9</definedName>
    <definedName name="dQlda_GdpVal" localSheetId="8" hidden="1">10%*([0]!dQlda_GxlGtbVal+dQlda_GcpkVal)/10^9</definedName>
    <definedName name="dQlda_GdpVal" hidden="1">10%*(dQlda_GxlGtbVal+dQlda_GcpkVal)/10^9</definedName>
    <definedName name="dQlda_GtongVal" localSheetId="1" hidden="1">[0]!dQlda_GxlGtbVal+dQlda_GcpkVal+10%*([0]!dQlda_GxlGtbVal+dQlda_GcpkVal)</definedName>
    <definedName name="dQlda_GtongVal" localSheetId="2" hidden="1">[0]!dQlda_GxlGtbVal+dQlda_GcpkVal+10%*([0]!dQlda_GxlGtbVal+dQlda_GcpkVal)</definedName>
    <definedName name="dQlda_GtongVal" localSheetId="8" hidden="1">[0]!dQlda_GxlGtbVal+dQlda_GcpkVal+10%*([0]!dQlda_GxlGtbVal+dQlda_GcpkVal)</definedName>
    <definedName name="dQlda_GtongVal" hidden="1">dQlda_GxlGtbVal+dQlda_GcpkVal+10%*(dQlda_GxlGtbVal+dQlda_GcpkVal)</definedName>
    <definedName name="dQlda_GxlGtbVal" localSheetId="1" hidden="1">dQlda_GxlVal+dQlda_GtbVal</definedName>
    <definedName name="dQlda_GxlGtbVal" localSheetId="2" hidden="1">dQlda_GxlVal+dQlda_GtbVal</definedName>
    <definedName name="dQlda_GxlGtbVal" localSheetId="8" hidden="1">dQlda_GxlVal+dQlda_GtbVal</definedName>
    <definedName name="dQlda_GxlGtbVal" hidden="1">dQlda_GxlVal+dQlda_GtbVal</definedName>
    <definedName name="dqw" localSheetId="1" hidden="1">{"'Sheet1'!$L$16"}</definedName>
    <definedName name="dqw" localSheetId="2" hidden="1">{"'Sheet1'!$L$16"}</definedName>
    <definedName name="dqw" localSheetId="8" hidden="1">{"'Sheet1'!$L$16"}</definedName>
    <definedName name="dqw" hidden="1">{"'Sheet1'!$L$16"}</definedName>
    <definedName name="DR" hidden="1">#REF!</definedName>
    <definedName name="dre" localSheetId="1" hidden="1">#REF!</definedName>
    <definedName name="dre" hidden="1">#REF!</definedName>
    <definedName name="ds" localSheetId="1" hidden="1">{"'Sheet1'!$L$16"}</definedName>
    <definedName name="ds" localSheetId="2" hidden="1">{"'Sheet1'!$L$16"}</definedName>
    <definedName name="ds" localSheetId="8" hidden="1">{"'Sheet1'!$L$16"}</definedName>
    <definedName name="ds" hidden="1">{"'Sheet1'!$L$16"}</definedName>
    <definedName name="dsa" localSheetId="1" hidden="1">{"'Sheet1'!$L$16"}</definedName>
    <definedName name="dsa" localSheetId="2" hidden="1">{"'Sheet1'!$L$16"}</definedName>
    <definedName name="dsa" localSheetId="8" hidden="1">{"'Sheet1'!$L$16"}</definedName>
    <definedName name="dsa" hidden="1">{"'Sheet1'!$L$16"}</definedName>
    <definedName name="dsaaee" localSheetId="1" hidden="1">{"'Sheet1'!$L$16"}</definedName>
    <definedName name="dsaaee" localSheetId="2" hidden="1">{"'Sheet1'!$L$16"}</definedName>
    <definedName name="dsaaee" localSheetId="8" hidden="1">{"'Sheet1'!$L$16"}</definedName>
    <definedName name="dsaaee" hidden="1">{"'Sheet1'!$L$16"}</definedName>
    <definedName name="dsada" localSheetId="1" hidden="1">{"'Sheet1'!$L$16"}</definedName>
    <definedName name="dsada" localSheetId="2" hidden="1">{"'Sheet1'!$L$16"}</definedName>
    <definedName name="dsada" localSheetId="8" hidden="1">{"'Sheet1'!$L$16"}</definedName>
    <definedName name="dsada" hidden="1">{"'Sheet1'!$L$16"}</definedName>
    <definedName name="dsadasdasdas" localSheetId="1" hidden="1">{"'Sheet1'!$L$16"}</definedName>
    <definedName name="dsadasdasdas" localSheetId="2" hidden="1">{"'Sheet1'!$L$16"}</definedName>
    <definedName name="dsadasdasdas" localSheetId="8" hidden="1">{"'Sheet1'!$L$16"}</definedName>
    <definedName name="dsadasdasdas" hidden="1">{"'Sheet1'!$L$16"}</definedName>
    <definedName name="DSADEDWE" localSheetId="1" hidden="1">{"'Sheet1'!$L$16"}</definedName>
    <definedName name="DSADEDWE" localSheetId="2" hidden="1">{"'Sheet1'!$L$16"}</definedName>
    <definedName name="DSADEDWE" localSheetId="8" hidden="1">{"'Sheet1'!$L$16"}</definedName>
    <definedName name="DSADEDWE" hidden="1">{"'Sheet1'!$L$16"}</definedName>
    <definedName name="dsadsa" localSheetId="1" hidden="1">{"'Sheet1'!$L$16"}</definedName>
    <definedName name="dsadsa" localSheetId="2" hidden="1">{"'Sheet1'!$L$16"}</definedName>
    <definedName name="dsadsa" localSheetId="8" hidden="1">{"'Sheet1'!$L$16"}</definedName>
    <definedName name="dsadsa" hidden="1">{"'Sheet1'!$L$16"}</definedName>
    <definedName name="dsaf" localSheetId="1" hidden="1">{"'Sheet1'!$L$16"}</definedName>
    <definedName name="dsaf" localSheetId="2" hidden="1">{"'Sheet1'!$L$16"}</definedName>
    <definedName name="dsaf" localSheetId="8" hidden="1">{"'Sheet1'!$L$16"}</definedName>
    <definedName name="dsaf" hidden="1">{"'Sheet1'!$L$16"}</definedName>
    <definedName name="dsafddsdf" localSheetId="1" hidden="1">{"'Sheet1'!$L$16"}</definedName>
    <definedName name="dsafddsdf" localSheetId="2" hidden="1">{"'Sheet1'!$L$16"}</definedName>
    <definedName name="dsafddsdf" localSheetId="8" hidden="1">{"'Sheet1'!$L$16"}</definedName>
    <definedName name="dsafddsdf" hidden="1">{"'Sheet1'!$L$16"}</definedName>
    <definedName name="dsasdasdasd" hidden="1">#REF!</definedName>
    <definedName name="DSD" localSheetId="1" hidden="1">{"'Sheet1'!$L$16"}</definedName>
    <definedName name="DSD" localSheetId="2" hidden="1">{"'Sheet1'!$L$16"}</definedName>
    <definedName name="DSD" localSheetId="8" hidden="1">{"'Sheet1'!$L$16"}</definedName>
    <definedName name="DSD" hidden="1">{"'Sheet1'!$L$16"}</definedName>
    <definedName name="DSDL" localSheetId="1" hidden="1">{"'Sheet1'!$L$16"}</definedName>
    <definedName name="DSDL" localSheetId="2" hidden="1">{"'Sheet1'!$L$16"}</definedName>
    <definedName name="DSDL" localSheetId="8" hidden="1">{"'Sheet1'!$L$16"}</definedName>
    <definedName name="DSDL" hidden="1">{"'Sheet1'!$L$16"}</definedName>
    <definedName name="dsds" localSheetId="1" hidden="1">{"'Sheet1'!$L$16"}</definedName>
    <definedName name="dsds" localSheetId="2" hidden="1">{"'Sheet1'!$L$16"}</definedName>
    <definedName name="dsds" localSheetId="8" hidden="1">{"'Sheet1'!$L$16"}</definedName>
    <definedName name="dsds" hidden="1">{"'Sheet1'!$L$16"}</definedName>
    <definedName name="dsdsd" localSheetId="1" hidden="1">{#N/A,#N/A,FALSE,"운반시간"}</definedName>
    <definedName name="dsdsd" localSheetId="2" hidden="1">{#N/A,#N/A,FALSE,"운반시간"}</definedName>
    <definedName name="dsdsd" localSheetId="8" hidden="1">{#N/A,#N/A,FALSE,"운반시간"}</definedName>
    <definedName name="dsdsd" hidden="1">{#N/A,#N/A,FALSE,"운반시간"}</definedName>
    <definedName name="DSDSDS" localSheetId="1" hidden="1">{"'Sheet1'!$L$16"}</definedName>
    <definedName name="DSDSDS" localSheetId="2" hidden="1">{"'Sheet1'!$L$16"}</definedName>
    <definedName name="DSDSDS" localSheetId="8" hidden="1">{"'Sheet1'!$L$16"}</definedName>
    <definedName name="DSDSDS" hidden="1">{"'Sheet1'!$L$16"}</definedName>
    <definedName name="dsfas" localSheetId="1" hidden="1">{"'Sheet1'!$L$16"}</definedName>
    <definedName name="dsfas" localSheetId="2" hidden="1">{"'Sheet1'!$L$16"}</definedName>
    <definedName name="dsfas" localSheetId="8" hidden="1">{"'Sheet1'!$L$16"}</definedName>
    <definedName name="dsfas" hidden="1">{"'Sheet1'!$L$16"}</definedName>
    <definedName name="dsfaws" localSheetId="1" hidden="1">{"'Sheet1'!$L$16"}</definedName>
    <definedName name="dsfaws" localSheetId="2" hidden="1">{"'Sheet1'!$L$16"}</definedName>
    <definedName name="dsfaws" localSheetId="8" hidden="1">{"'Sheet1'!$L$16"}</definedName>
    <definedName name="dsfaws" hidden="1">{"'Sheet1'!$L$16"}</definedName>
    <definedName name="dsfd" hidden="1">#REF!</definedName>
    <definedName name="DSFDS" localSheetId="1" hidden="1">{"'Sheet1'!$L$16"}</definedName>
    <definedName name="DSFDS" localSheetId="2" hidden="1">{"'Sheet1'!$L$16"}</definedName>
    <definedName name="DSFDS" localSheetId="8" hidden="1">{"'Sheet1'!$L$16"}</definedName>
    <definedName name="DSFDS" hidden="1">{"'Sheet1'!$L$16"}</definedName>
    <definedName name="DSFDSDFSD" localSheetId="1" hidden="1">{"'Sheet1'!$L$16"}</definedName>
    <definedName name="DSFDSDFSD" localSheetId="2" hidden="1">{"'Sheet1'!$L$16"}</definedName>
    <definedName name="DSFDSDFSD" localSheetId="8" hidden="1">{"'Sheet1'!$L$16"}</definedName>
    <definedName name="DSFDSDFSD" hidden="1">{"'Sheet1'!$L$16"}</definedName>
    <definedName name="dsfg" hidden="1">#REF!</definedName>
    <definedName name="dsfs" localSheetId="1" hidden="1">{"'Sheet1'!$L$16"}</definedName>
    <definedName name="dsfs" localSheetId="2" hidden="1">{"'Sheet1'!$L$16"}</definedName>
    <definedName name="dsfs" localSheetId="8" hidden="1">{"'Sheet1'!$L$16"}</definedName>
    <definedName name="dsfs" hidden="1">{"'Sheet1'!$L$16"}</definedName>
    <definedName name="dsfsad" localSheetId="1" hidden="1">{"'Sheet1'!$L$16"}</definedName>
    <definedName name="dsfsad" localSheetId="2" hidden="1">{"'Sheet1'!$L$16"}</definedName>
    <definedName name="dsfsad" localSheetId="8" hidden="1">{"'Sheet1'!$L$16"}</definedName>
    <definedName name="dsfsad" hidden="1">{"'Sheet1'!$L$16"}</definedName>
    <definedName name="dsfsdf" hidden="1">#REF!</definedName>
    <definedName name="dsfsf" hidden="1">#REF!</definedName>
    <definedName name="dsg" localSheetId="1" hidden="1">{#N/A,#N/A,FALSE,"Chi tiÆt"}</definedName>
    <definedName name="dsg" localSheetId="2" hidden="1">{#N/A,#N/A,FALSE,"Chi tiÆt"}</definedName>
    <definedName name="dsg" localSheetId="8" hidden="1">{#N/A,#N/A,FALSE,"Chi tiÆt"}</definedName>
    <definedName name="dsg" hidden="1">{#N/A,#N/A,FALSE,"Chi tiÆt"}</definedName>
    <definedName name="DSGDSG" localSheetId="1" hidden="1">{"'Sheet1'!$L$16"}</definedName>
    <definedName name="DSGDSG" localSheetId="2" hidden="1">{"'Sheet1'!$L$16"}</definedName>
    <definedName name="DSGDSG" localSheetId="8" hidden="1">{"'Sheet1'!$L$16"}</definedName>
    <definedName name="DSGDSG" hidden="1">{"'Sheet1'!$L$16"}</definedName>
    <definedName name="dsgfhtyjjt" hidden="1">#REF!</definedName>
    <definedName name="dsgsdg" localSheetId="1" hidden="1">{"'Sheet1'!$L$16"}</definedName>
    <definedName name="dsgsdg" localSheetId="2" hidden="1">{"'Sheet1'!$L$16"}</definedName>
    <definedName name="dsgsdg" localSheetId="8" hidden="1">{"'Sheet1'!$L$16"}</definedName>
    <definedName name="dsgsdg" hidden="1">{"'Sheet1'!$L$16"}</definedName>
    <definedName name="DSH" localSheetId="1" hidden="1">{#N/A,#N/A,FALSE,"Chi tiÆt"}</definedName>
    <definedName name="DSH" localSheetId="2" hidden="1">{#N/A,#N/A,FALSE,"Chi tiÆt"}</definedName>
    <definedName name="DSH" localSheetId="8" hidden="1">{#N/A,#N/A,FALSE,"Chi tiÆt"}</definedName>
    <definedName name="DSH" hidden="1">{#N/A,#N/A,FALSE,"Chi tiÆt"}</definedName>
    <definedName name="dsjk" localSheetId="1" hidden="1">{"'Sheet1'!$L$16"}</definedName>
    <definedName name="dsjk" localSheetId="2" hidden="1">{"'Sheet1'!$L$16"}</definedName>
    <definedName name="dsjk" localSheetId="8" hidden="1">{"'Sheet1'!$L$16"}</definedName>
    <definedName name="dsjk" hidden="1">{"'Sheet1'!$L$16"}</definedName>
    <definedName name="DSJKLDE" localSheetId="1" hidden="1">{#N/A,#N/A,TRUE,"SUM";#N/A,#N/A,TRUE,"EE";#N/A,#N/A,TRUE,"AC";#N/A,#N/A,TRUE,"SN"}</definedName>
    <definedName name="DSJKLDE" localSheetId="2" hidden="1">{#N/A,#N/A,TRUE,"SUM";#N/A,#N/A,TRUE,"EE";#N/A,#N/A,TRUE,"AC";#N/A,#N/A,TRUE,"SN"}</definedName>
    <definedName name="DSJKLDE" localSheetId="8" hidden="1">{#N/A,#N/A,TRUE,"SUM";#N/A,#N/A,TRUE,"EE";#N/A,#N/A,TRUE,"AC";#N/A,#N/A,TRUE,"SN"}</definedName>
    <definedName name="DSJKLDE" hidden="1">{#N/A,#N/A,TRUE,"SUM";#N/A,#N/A,TRUE,"EE";#N/A,#N/A,TRUE,"AC";#N/A,#N/A,TRUE,"SN"}</definedName>
    <definedName name="dssad" localSheetId="1" hidden="1">{"'Sheet1'!$L$16"}</definedName>
    <definedName name="dssad" localSheetId="2" hidden="1">{"'Sheet1'!$L$16"}</definedName>
    <definedName name="dssad" localSheetId="8" hidden="1">{"'Sheet1'!$L$16"}</definedName>
    <definedName name="dssad" hidden="1">{"'Sheet1'!$L$16"}</definedName>
    <definedName name="DSTD_Clear" localSheetId="1">[0]!DSTD_Clear</definedName>
    <definedName name="DSTD_Clear" localSheetId="2">#N/A</definedName>
    <definedName name="DSTD_Clear" localSheetId="8">#N/A</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localSheetId="1" hidden="1">#REF!</definedName>
    <definedName name="dt" hidden="1">#REF!</definedName>
    <definedName name="dtctnd" localSheetId="1" hidden="1">{"'Sheet1'!$L$16"}</definedName>
    <definedName name="dtctnd" localSheetId="2" hidden="1">{"'Sheet1'!$L$16"}</definedName>
    <definedName name="dtctnd" localSheetId="8" hidden="1">{"'Sheet1'!$L$16"}</definedName>
    <definedName name="dtctnd" hidden="1">{"'Sheet1'!$L$16"}</definedName>
    <definedName name="DTMG_vumua" localSheetId="1" hidden="1">{#N/A,#N/A,FALSE,"Chi tiÆt"}</definedName>
    <definedName name="DTMG_vumua" localSheetId="2" hidden="1">{#N/A,#N/A,FALSE,"Chi tiÆt"}</definedName>
    <definedName name="DTMG_vumua" localSheetId="8" hidden="1">{#N/A,#N/A,FALSE,"Chi tiÆt"}</definedName>
    <definedName name="DTMG_vumua" hidden="1">{#N/A,#N/A,FALSE,"Chi tiÆt"}</definedName>
    <definedName name="DTTK" localSheetId="1" hidden="1">{"'Sheet1'!$L$16"}</definedName>
    <definedName name="DTTK" localSheetId="2" hidden="1">{"'Sheet1'!$L$16"}</definedName>
    <definedName name="DTTK" localSheetId="8" hidden="1">{"'Sheet1'!$L$16"}</definedName>
    <definedName name="DTTK" hidden="1">{"'Sheet1'!$L$16"}</definedName>
    <definedName name="dthft" localSheetId="1" hidden="1">{"'Sheet1'!$L$16"}</definedName>
    <definedName name="dthft" localSheetId="2" hidden="1">{"'Sheet1'!$L$16"}</definedName>
    <definedName name="dthft" localSheetId="8" hidden="1">{"'Sheet1'!$L$16"}</definedName>
    <definedName name="dthft" hidden="1">{"'Sheet1'!$L$16"}</definedName>
    <definedName name="dTHKP_Rng" localSheetId="1" hidden="1">#REF!</definedName>
    <definedName name="dTHKP_Rng" hidden="1">#REF!</definedName>
    <definedName name="du" localSheetId="1" hidden="1">{"'Sheet1'!$L$16"}</definedName>
    <definedName name="du" localSheetId="2" hidden="1">{"'Sheet1'!$L$16"}</definedName>
    <definedName name="du" localSheetId="8" hidden="1">{"'Sheet1'!$L$16"}</definedName>
    <definedName name="du" hidden="1">{"'Sheet1'!$L$16"}</definedName>
    <definedName name="duc" localSheetId="1" hidden="1">{"'Sheet1'!$L$16"}</definedName>
    <definedName name="duc" localSheetId="2" hidden="1">{"'Sheet1'!$L$16"}</definedName>
    <definedName name="duc" localSheetId="8" hidden="1">{"'Sheet1'!$L$16"}</definedName>
    <definedName name="duc" hidden="1">{"'Sheet1'!$L$16"}</definedName>
    <definedName name="DucO" localSheetId="1" hidden="1">{"'Sheet1'!$L$16"}</definedName>
    <definedName name="DucO" localSheetId="2" hidden="1">{"'Sheet1'!$L$16"}</definedName>
    <definedName name="DucO" localSheetId="8" hidden="1">{"'Sheet1'!$L$16"}</definedName>
    <definedName name="DucO" hidden="1">{"'Sheet1'!$L$16"}</definedName>
    <definedName name="DUCT" localSheetId="1" hidden="1">{#N/A,#N/A,FALSE,"Sheet1"}</definedName>
    <definedName name="DUCT" localSheetId="2" hidden="1">{#N/A,#N/A,FALSE,"Sheet1"}</definedName>
    <definedName name="DUCT" localSheetId="8" hidden="1">{#N/A,#N/A,FALSE,"Sheet1"}</definedName>
    <definedName name="DUCT" hidden="1">{#N/A,#N/A,FALSE,"Sheet1"}</definedName>
    <definedName name="dudwhd" localSheetId="1" hidden="1">{#N/A,#N/A,FALSE,"CCTV"}</definedName>
    <definedName name="dudwhd" localSheetId="2" hidden="1">{#N/A,#N/A,FALSE,"CCTV"}</definedName>
    <definedName name="dudwhd" localSheetId="8" hidden="1">{#N/A,#N/A,FALSE,"CCTV"}</definedName>
    <definedName name="dudwhd" hidden="1">{#N/A,#N/A,FALSE,"CCTV"}</definedName>
    <definedName name="dumbwaiter" localSheetId="1" hidden="1">{#N/A,#N/A,FALSE,"Sheet1";#N/A,#N/A,FALSE,"Sheet3";#N/A,#N/A,FALSE,"Sheet5"}</definedName>
    <definedName name="dumbwaiter" localSheetId="2" hidden="1">{#N/A,#N/A,FALSE,"Sheet1";#N/A,#N/A,FALSE,"Sheet3";#N/A,#N/A,FALSE,"Sheet5"}</definedName>
    <definedName name="dumbwaiter" localSheetId="8" hidden="1">{#N/A,#N/A,FALSE,"Sheet1";#N/A,#N/A,FALSE,"Sheet3";#N/A,#N/A,FALSE,"Sheet5"}</definedName>
    <definedName name="dumbwaiter" hidden="1">{#N/A,#N/A,FALSE,"Sheet1";#N/A,#N/A,FALSE,"Sheet3";#N/A,#N/A,FALSE,"Sheet5"}</definedName>
    <definedName name="DUNG" localSheetId="1" hidden="1">{"'Sheet1'!$L$16"}</definedName>
    <definedName name="DUNG" localSheetId="2" hidden="1">{"'Sheet1'!$L$16"}</definedName>
    <definedName name="DUNG" localSheetId="8" hidden="1">{"'Sheet1'!$L$16"}</definedName>
    <definedName name="DUNG" hidden="1">{"'Sheet1'!$L$16"}</definedName>
    <definedName name="DUOIMAI">#N/A</definedName>
    <definedName name="Duong1" localSheetId="1" hidden="1">{"'Sheet1'!$L$16"}</definedName>
    <definedName name="Duong1" localSheetId="2" hidden="1">{"'Sheet1'!$L$16"}</definedName>
    <definedName name="Duong1" localSheetId="8" hidden="1">{"'Sheet1'!$L$16"}</definedName>
    <definedName name="Duong1" hidden="1">{"'Sheet1'!$L$16"}</definedName>
    <definedName name="Duongnaco" localSheetId="1" hidden="1">{"'Sheet1'!$L$16"}</definedName>
    <definedName name="Duongnaco" localSheetId="2" hidden="1">{"'Sheet1'!$L$16"}</definedName>
    <definedName name="Duongnaco" localSheetId="8" hidden="1">{"'Sheet1'!$L$16"}</definedName>
    <definedName name="Duongnaco" hidden="1">{"'Sheet1'!$L$16"}</definedName>
    <definedName name="DUT" hidden="1">#REF!</definedName>
    <definedName name="dutoanbenuoc" localSheetId="1" hidden="1">{"'Sheet1'!$L$16"}</definedName>
    <definedName name="dutoanbenuoc" localSheetId="2" hidden="1">{"'Sheet1'!$L$16"}</definedName>
    <definedName name="dutoanbenuoc" localSheetId="8" hidden="1">{"'Sheet1'!$L$16"}</definedName>
    <definedName name="dutoanbenuoc" hidden="1">{"'Sheet1'!$L$16"}</definedName>
    <definedName name="dutoanc2" localSheetId="1" hidden="1">{"'Sheet1'!$L$16"}</definedName>
    <definedName name="dutoanc2" localSheetId="2" hidden="1">{"'Sheet1'!$L$16"}</definedName>
    <definedName name="dutoanc2" localSheetId="8" hidden="1">{"'Sheet1'!$L$16"}</definedName>
    <definedName name="dutoanc2" hidden="1">{"'Sheet1'!$L$16"}</definedName>
    <definedName name="Dutoandien" localSheetId="1" hidden="1">{"'Sheet1'!$L$16"}</definedName>
    <definedName name="Dutoandien" localSheetId="2" hidden="1">{"'Sheet1'!$L$16"}</definedName>
    <definedName name="Dutoandien" localSheetId="8" hidden="1">{"'Sheet1'!$L$16"}</definedName>
    <definedName name="Dutoandien" hidden="1">{"'Sheet1'!$L$16"}</definedName>
    <definedName name="dutruchiphi" localSheetId="1" hidden="1">{"NGUYEN QUI THIEP - Personal View",#N/A,FALSE,"XDCB.HT.FUR."}</definedName>
    <definedName name="dutruchiphi" localSheetId="2" hidden="1">{"NGUYEN QUI THIEP - Personal View",#N/A,FALSE,"XDCB.HT.FUR."}</definedName>
    <definedName name="dutruchiphi" localSheetId="8" hidden="1">{"NGUYEN QUI THIEP - Personal View",#N/A,FALSE,"XDCB.HT.FUR."}</definedName>
    <definedName name="dutruchiphi" hidden="1">{"NGUYEN QUI THIEP - Personal View",#N/A,FALSE,"XDCB.HT.FUR."}</definedName>
    <definedName name="duy" localSheetId="1" hidden="1">#REF!</definedName>
    <definedName name="duy" hidden="1">#REF!</definedName>
    <definedName name="duyuyen" localSheetId="1" hidden="1">#REF!</definedName>
    <definedName name="duyuyen" hidden="1">#REF!</definedName>
    <definedName name="DVGEWVBEW" localSheetId="1" hidden="1">{"'Sheet1'!$L$16"}</definedName>
    <definedName name="DVGEWVBEW" localSheetId="2" hidden="1">{"'Sheet1'!$L$16"}</definedName>
    <definedName name="DVGEWVBEW" localSheetId="8" hidden="1">{"'Sheet1'!$L$16"}</definedName>
    <definedName name="DVGEWVBEW" hidden="1">{"'Sheet1'!$L$16"}</definedName>
    <definedName name="DWPRICE" localSheetId="1" hidden="1">#REF!</definedName>
    <definedName name="DWPRICE" hidden="1">#REF!</definedName>
    <definedName name="dwqwq" hidden="1">#REF!</definedName>
    <definedName name="DZ" localSheetId="1" hidden="1">{"'Sheet1'!$L$16"}</definedName>
    <definedName name="DZ" localSheetId="2" hidden="1">{"'Sheet1'!$L$16"}</definedName>
    <definedName name="DZ" localSheetId="8" hidden="1">{"'Sheet1'!$L$16"}</definedName>
    <definedName name="DZ" hidden="1">{"'Sheet1'!$L$16"}</definedName>
    <definedName name="đ" localSheetId="1" hidden="1">#REF!</definedName>
    <definedName name="đ" hidden="1">#REF!</definedName>
    <definedName name="đasadas" localSheetId="1" hidden="1">#REF!</definedName>
    <definedName name="đasadas" hidden="1">#REF!</definedName>
    <definedName name="đầ" hidden="1">#REF!</definedName>
    <definedName name="đấ" localSheetId="1" hidden="1">{"'Sheet1'!$L$16"}</definedName>
    <definedName name="đấ" localSheetId="2" hidden="1">{"'Sheet1'!$L$16"}</definedName>
    <definedName name="đấ" localSheetId="8" hidden="1">{"'Sheet1'!$L$16"}</definedName>
    <definedName name="đấ" hidden="1">{"'Sheet1'!$L$16"}</definedName>
    <definedName name="đe" localSheetId="1" hidden="1">{"'Sheet1'!$L$16"}</definedName>
    <definedName name="đe" localSheetId="2" hidden="1">{"'Sheet1'!$L$16"}</definedName>
    <definedName name="đe" localSheetId="8" hidden="1">{"'Sheet1'!$L$16"}</definedName>
    <definedName name="đe" hidden="1">{"'Sheet1'!$L$16"}</definedName>
    <definedName name="đff" hidden="1">#REF!</definedName>
    <definedName name="đhf" localSheetId="1" hidden="1">{"'Sheet1'!$L$16"}</definedName>
    <definedName name="đhf" localSheetId="2" hidden="1">{"'Sheet1'!$L$16"}</definedName>
    <definedName name="đhf" localSheetId="8" hidden="1">{"'Sheet1'!$L$16"}</definedName>
    <definedName name="đhf" hidden="1">{"'Sheet1'!$L$16"}</definedName>
    <definedName name="E" localSheetId="1" hidden="1">{#N/A,#N/A,FALSE,"CCTV"}</definedName>
    <definedName name="e" localSheetId="2" hidden="1">{#N/A,#N/A,FALSE,"Chi tiÆt"}</definedName>
    <definedName name="e" localSheetId="8" hidden="1">{#N/A,#N/A,FALSE,"Chi tiÆt"}</definedName>
    <definedName name="e" hidden="1">{#N/A,#N/A,FALSE,"Chi tiÆt"}</definedName>
    <definedName name="Ẻ" localSheetId="1" hidden="1">{"'Sheet1'!$L$16"}</definedName>
    <definedName name="Ẻ" localSheetId="2" hidden="1">{"'Sheet1'!$L$16"}</definedName>
    <definedName name="Ẻ" localSheetId="8" hidden="1">{"'Sheet1'!$L$16"}</definedName>
    <definedName name="Ẻ" hidden="1">{"'Sheet1'!$L$16"}</definedName>
    <definedName name="e4y" localSheetId="1" hidden="1">{#N/A,#N/A,FALSE,"Chi tiÆt"}</definedName>
    <definedName name="e4y" localSheetId="2" hidden="1">{#N/A,#N/A,FALSE,"Chi tiÆt"}</definedName>
    <definedName name="e4y" localSheetId="8" hidden="1">{#N/A,#N/A,FALSE,"Chi tiÆt"}</definedName>
    <definedName name="e4y" hidden="1">{#N/A,#N/A,FALSE,"Chi tiÆt"}</definedName>
    <definedName name="èafe" localSheetId="1" hidden="1">{"'Sheet1'!$L$16"}</definedName>
    <definedName name="èafe" localSheetId="2" hidden="1">{"'Sheet1'!$L$16"}</definedName>
    <definedName name="èafe" localSheetId="8" hidden="1">{"'Sheet1'!$L$16"}</definedName>
    <definedName name="èafe" hidden="1">{"'Sheet1'!$L$16"}</definedName>
    <definedName name="ED" localSheetId="1" hidden="1">{#N/A,#N/A,FALSE,"CCTV"}</definedName>
    <definedName name="ED" localSheetId="2" hidden="1">{#N/A,#N/A,FALSE,"CCTV"}</definedName>
    <definedName name="ED" localSheetId="8" hidden="1">{#N/A,#N/A,FALSE,"CCTV"}</definedName>
    <definedName name="ED" hidden="1">{#N/A,#N/A,FALSE,"CCTV"}</definedName>
    <definedName name="edd" localSheetId="1" hidden="1">{"'Sheet1'!$L$16"}</definedName>
    <definedName name="edd" localSheetId="2" hidden="1">{"'Sheet1'!$L$16"}</definedName>
    <definedName name="edd" localSheetId="8" hidden="1">{"'Sheet1'!$L$16"}</definedName>
    <definedName name="edd" hidden="1">{"'Sheet1'!$L$16"}</definedName>
    <definedName name="edssqq" localSheetId="1" hidden="1">{#N/A,#N/A,FALSE,"혼합골재"}</definedName>
    <definedName name="edssqq" localSheetId="2" hidden="1">{#N/A,#N/A,FALSE,"혼합골재"}</definedName>
    <definedName name="edssqq" localSheetId="8" hidden="1">{#N/A,#N/A,FALSE,"혼합골재"}</definedName>
    <definedName name="edssqq" hidden="1">{#N/A,#N/A,FALSE,"혼합골재"}</definedName>
    <definedName name="edwfrhjy" hidden="1">#REF!</definedName>
    <definedName name="edwtgfdsgf" localSheetId="1" hidden="1">{"'Sheet1'!$L$16"}</definedName>
    <definedName name="edwtgfdsgf" localSheetId="2" hidden="1">{"'Sheet1'!$L$16"}</definedName>
    <definedName name="edwtgfdsgf" localSheetId="8" hidden="1">{"'Sheet1'!$L$16"}</definedName>
    <definedName name="edwtgfdsgf" hidden="1">{"'Sheet1'!$L$16"}</definedName>
    <definedName name="ee" localSheetId="1" hidden="1">{#N/A,#N/A,FALSE,"단가표지"}</definedName>
    <definedName name="ee" localSheetId="2" hidden="1">{#N/A,#N/A,FALSE,"단가표지"}</definedName>
    <definedName name="ee" localSheetId="8" hidden="1">{#N/A,#N/A,FALSE,"단가표지"}</definedName>
    <definedName name="ee" hidden="1">{#N/A,#N/A,FALSE,"단가표지"}</definedName>
    <definedName name="EEE" localSheetId="1" hidden="1">{#N/A,#N/A,FALSE,"Sheet6"}</definedName>
    <definedName name="EEE" localSheetId="2" hidden="1">{#N/A,#N/A,FALSE,"Sheet6"}</definedName>
    <definedName name="EEE" localSheetId="8" hidden="1">{#N/A,#N/A,FALSE,"Sheet6"}</definedName>
    <definedName name="EEE" hidden="1">{#N/A,#N/A,FALSE,"Sheet6"}</definedName>
    <definedName name="eee.송운" localSheetId="1" hidden="1">{#N/A,#N/A,FALSE,"운반시간"}</definedName>
    <definedName name="eee.송운" localSheetId="2" hidden="1">{#N/A,#N/A,FALSE,"운반시간"}</definedName>
    <definedName name="eee.송운" localSheetId="8" hidden="1">{#N/A,#N/A,FALSE,"운반시간"}</definedName>
    <definedName name="eee.송운" hidden="1">{#N/A,#N/A,FALSE,"운반시간"}</definedName>
    <definedName name="eeee" localSheetId="1" hidden="1">{#N/A,#N/A,FALSE,"사업총괄";#N/A,#N/A,FALSE,"장비사업";#N/A,#N/A,FALSE,"철구사업";#N/A,#N/A,FALSE,"준설사업"}</definedName>
    <definedName name="eeee" localSheetId="2" hidden="1">{#N/A,#N/A,FALSE,"사업총괄";#N/A,#N/A,FALSE,"장비사업";#N/A,#N/A,FALSE,"철구사업";#N/A,#N/A,FALSE,"준설사업"}</definedName>
    <definedName name="eeee" localSheetId="8" hidden="1">{#N/A,#N/A,FALSE,"사업총괄";#N/A,#N/A,FALSE,"장비사업";#N/A,#N/A,FALSE,"철구사업";#N/A,#N/A,FALSE,"준설사업"}</definedName>
    <definedName name="eeee" hidden="1">{#N/A,#N/A,FALSE,"사업총괄";#N/A,#N/A,FALSE,"장비사업";#N/A,#N/A,FALSE,"철구사업";#N/A,#N/A,FALSE,"준설사업"}</definedName>
    <definedName name="eeeee" localSheetId="1" hidden="1">{#N/A,#N/A,TRUE,"SUM";#N/A,#N/A,TRUE,"EE";#N/A,#N/A,TRUE,"AC";#N/A,#N/A,TRUE,"SN"}</definedName>
    <definedName name="eeeee" localSheetId="2" hidden="1">{#N/A,#N/A,TRUE,"SUM";#N/A,#N/A,TRUE,"EE";#N/A,#N/A,TRUE,"AC";#N/A,#N/A,TRUE,"SN"}</definedName>
    <definedName name="eeeee" localSheetId="8" hidden="1">{#N/A,#N/A,TRUE,"SUM";#N/A,#N/A,TRUE,"EE";#N/A,#N/A,TRUE,"AC";#N/A,#N/A,TRUE,"SN"}</definedName>
    <definedName name="eeeee" hidden="1">{#N/A,#N/A,TRUE,"SUM";#N/A,#N/A,TRUE,"EE";#N/A,#N/A,TRUE,"AC";#N/A,#N/A,TRUE,"SN"}</definedName>
    <definedName name="EEEEEEE" hidden="1">#REF!</definedName>
    <definedName name="EEEEEEEEE" hidden="1">#REF!</definedName>
    <definedName name="eeeeeeeeeee" localSheetId="1" hidden="1">#REF!</definedName>
    <definedName name="eeeeeeeeeee" hidden="1">#REF!</definedName>
    <definedName name="EEEEEEEEEEEEEEEEEE" localSheetId="1" hidden="1">{#N/A,#N/A,FALSE,"CCTV"}</definedName>
    <definedName name="EEEEEEEEEEEEEEEEEE" localSheetId="2" hidden="1">{#N/A,#N/A,FALSE,"CCTV"}</definedName>
    <definedName name="EEEEEEEEEEEEEEEEEE" localSheetId="8" hidden="1">{#N/A,#N/A,FALSE,"CCTV"}</definedName>
    <definedName name="EEEEEEEEEEEEEEEEEE" hidden="1">{#N/A,#N/A,FALSE,"CCTV"}</definedName>
    <definedName name="eef" localSheetId="1" hidden="1">{"'Sheet1'!$L$16"}</definedName>
    <definedName name="eef" localSheetId="2" hidden="1">{"'Sheet1'!$L$16"}</definedName>
    <definedName name="eef" localSheetId="8" hidden="1">{"'Sheet1'!$L$16"}</definedName>
    <definedName name="eef" hidden="1">{"'Sheet1'!$L$16"}</definedName>
    <definedName name="EEFEWA" hidden="1">#REF!</definedName>
    <definedName name="eerefdg" localSheetId="1" hidden="1">{#N/A,#N/A,FALSE,"CCTV"}</definedName>
    <definedName name="eerefdg" localSheetId="2" hidden="1">{#N/A,#N/A,FALSE,"CCTV"}</definedName>
    <definedName name="eerefdg" localSheetId="8" hidden="1">{#N/A,#N/A,FALSE,"CCTV"}</definedName>
    <definedName name="eerefdg" hidden="1">{#N/A,#N/A,FALSE,"CCTV"}</definedName>
    <definedName name="EFWTR" hidden="1">#REF!</definedName>
    <definedName name="ẻger" localSheetId="1" hidden="1">{#N/A,#N/A,TRUE,"BT M200 da 10x20"}</definedName>
    <definedName name="ẻger" localSheetId="2" hidden="1">{#N/A,#N/A,TRUE,"BT M200 da 10x20"}</definedName>
    <definedName name="ẻger" localSheetId="8" hidden="1">{#N/A,#N/A,TRUE,"BT M200 da 10x20"}</definedName>
    <definedName name="ẻger" hidden="1">{#N/A,#N/A,TRUE,"BT M200 da 10x20"}</definedName>
    <definedName name="ẻgwe" localSheetId="1" hidden="1">{"'Sheet1'!$L$16"}</definedName>
    <definedName name="ẻgwe" localSheetId="2" hidden="1">{"'Sheet1'!$L$16"}</definedName>
    <definedName name="ẻgwe" localSheetId="8" hidden="1">{"'Sheet1'!$L$16"}</definedName>
    <definedName name="ẻgwe" hidden="1">{"'Sheet1'!$L$16"}</definedName>
    <definedName name="ẻgwrq" hidden="1">#REF!</definedName>
    <definedName name="eïhd" localSheetId="1" hidden="1">{"'Sheet1'!$L$16"}</definedName>
    <definedName name="eïhd" localSheetId="2" hidden="1">{"'Sheet1'!$L$16"}</definedName>
    <definedName name="eïhd" localSheetId="8" hidden="1">{"'Sheet1'!$L$16"}</definedName>
    <definedName name="eïhd" hidden="1">{"'Sheet1'!$L$16"}</definedName>
    <definedName name="ej" localSheetId="1" hidden="1">{"'용역비'!$A$4:$C$8"}</definedName>
    <definedName name="ej" localSheetId="2" hidden="1">{"'용역비'!$A$4:$C$8"}</definedName>
    <definedName name="ej" localSheetId="8" hidden="1">{"'용역비'!$A$4:$C$8"}</definedName>
    <definedName name="ej" hidden="1">{"'용역비'!$A$4:$C$8"}</definedName>
    <definedName name="EK" hidden="1">#REF!</definedName>
    <definedName name="EL" localSheetId="1" hidden="1">{"'Sheet1'!$L$16"}</definedName>
    <definedName name="EL" localSheetId="2" hidden="1">{"'Sheet1'!$L$16"}</definedName>
    <definedName name="EL" localSheetId="8" hidden="1">{"'Sheet1'!$L$16"}</definedName>
    <definedName name="EL" hidden="1">{"'Sheet1'!$L$16"}</definedName>
    <definedName name="Ele" localSheetId="1" hidden="1">{"'Break down'!$A$4"}</definedName>
    <definedName name="Ele" localSheetId="2" hidden="1">{"'Break down'!$A$4"}</definedName>
    <definedName name="Ele" localSheetId="8" hidden="1">{"'Break down'!$A$4"}</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localSheetId="1" hidden="1">{#N/A,#N/A,FALSE,"주간공정";#N/A,#N/A,FALSE,"주간보고";#N/A,#N/A,FALSE,"주간공정표"}</definedName>
    <definedName name="ELELLELEELE" localSheetId="2" hidden="1">{#N/A,#N/A,FALSE,"주간공정";#N/A,#N/A,FALSE,"주간보고";#N/A,#N/A,FALSE,"주간공정표"}</definedName>
    <definedName name="ELELLELEELE" localSheetId="8" hidden="1">{#N/A,#N/A,FALSE,"주간공정";#N/A,#N/A,FALSE,"주간보고";#N/A,#N/A,FALSE,"주간공정표"}</definedName>
    <definedName name="ELELLELEELE" hidden="1">{#N/A,#N/A,FALSE,"주간공정";#N/A,#N/A,FALSE,"주간보고";#N/A,#N/A,FALSE,"주간공정표"}</definedName>
    <definedName name="elle18" localSheetId="1" hidden="1">{#N/A,#N/A,FALSE,"CCTV"}</definedName>
    <definedName name="elle18" localSheetId="2" hidden="1">{#N/A,#N/A,FALSE,"CCTV"}</definedName>
    <definedName name="elle18" localSheetId="8" hidden="1">{#N/A,#N/A,FALSE,"CCTV"}</definedName>
    <definedName name="elle18" hidden="1">{#N/A,#N/A,FALSE,"CCTV"}</definedName>
    <definedName name="ELLEN1" localSheetId="1" hidden="1">{#N/A,#N/A,FALSE,"CCTV"}</definedName>
    <definedName name="ELLEN1" localSheetId="2" hidden="1">{#N/A,#N/A,FALSE,"CCTV"}</definedName>
    <definedName name="ELLEN1" localSheetId="8" hidden="1">{#N/A,#N/A,FALSE,"CCTV"}</definedName>
    <definedName name="ELLEN1" hidden="1">{#N/A,#N/A,FALSE,"CCTV"}</definedName>
    <definedName name="ELLEN10" localSheetId="1" hidden="1">{#N/A,#N/A,FALSE,"CCTV"}</definedName>
    <definedName name="ELLEN10" localSheetId="2" hidden="1">{#N/A,#N/A,FALSE,"CCTV"}</definedName>
    <definedName name="ELLEN10" localSheetId="8" hidden="1">{#N/A,#N/A,FALSE,"CCTV"}</definedName>
    <definedName name="ELLEN10" hidden="1">{#N/A,#N/A,FALSE,"CCTV"}</definedName>
    <definedName name="ELLEN11" localSheetId="1" hidden="1">{#N/A,#N/A,FALSE,"CCTV"}</definedName>
    <definedName name="ELLEN11" localSheetId="2" hidden="1">{#N/A,#N/A,FALSE,"CCTV"}</definedName>
    <definedName name="ELLEN11" localSheetId="8" hidden="1">{#N/A,#N/A,FALSE,"CCTV"}</definedName>
    <definedName name="ELLEN11" hidden="1">{#N/A,#N/A,FALSE,"CCTV"}</definedName>
    <definedName name="ELLEN12" localSheetId="1" hidden="1">{#N/A,#N/A,FALSE,"CCTV"}</definedName>
    <definedName name="ELLEN12" localSheetId="2" hidden="1">{#N/A,#N/A,FALSE,"CCTV"}</definedName>
    <definedName name="ELLEN12" localSheetId="8" hidden="1">{#N/A,#N/A,FALSE,"CCTV"}</definedName>
    <definedName name="ELLEN12" hidden="1">{#N/A,#N/A,FALSE,"CCTV"}</definedName>
    <definedName name="ELLEN13" localSheetId="1" hidden="1">{#N/A,#N/A,FALSE,"CCTV"}</definedName>
    <definedName name="ELLEN13" localSheetId="2" hidden="1">{#N/A,#N/A,FALSE,"CCTV"}</definedName>
    <definedName name="ELLEN13" localSheetId="8" hidden="1">{#N/A,#N/A,FALSE,"CCTV"}</definedName>
    <definedName name="ELLEN13" hidden="1">{#N/A,#N/A,FALSE,"CCTV"}</definedName>
    <definedName name="ELLEN14" localSheetId="1" hidden="1">{#N/A,#N/A,FALSE,"CCTV"}</definedName>
    <definedName name="ELLEN14" localSheetId="2" hidden="1">{#N/A,#N/A,FALSE,"CCTV"}</definedName>
    <definedName name="ELLEN14" localSheetId="8" hidden="1">{#N/A,#N/A,FALSE,"CCTV"}</definedName>
    <definedName name="ELLEN14" hidden="1">{#N/A,#N/A,FALSE,"CCTV"}</definedName>
    <definedName name="ELLEN15" localSheetId="1" hidden="1">{#N/A,#N/A,FALSE,"CCTV"}</definedName>
    <definedName name="ELLEN15" localSheetId="2" hidden="1">{#N/A,#N/A,FALSE,"CCTV"}</definedName>
    <definedName name="ELLEN15" localSheetId="8" hidden="1">{#N/A,#N/A,FALSE,"CCTV"}</definedName>
    <definedName name="ELLEN15" hidden="1">{#N/A,#N/A,FALSE,"CCTV"}</definedName>
    <definedName name="ELLEN16" localSheetId="1" hidden="1">{#N/A,#N/A,FALSE,"CCTV"}</definedName>
    <definedName name="ELLEN16" localSheetId="2" hidden="1">{#N/A,#N/A,FALSE,"CCTV"}</definedName>
    <definedName name="ELLEN16" localSheetId="8" hidden="1">{#N/A,#N/A,FALSE,"CCTV"}</definedName>
    <definedName name="ELLEN16" hidden="1">{#N/A,#N/A,FALSE,"CCTV"}</definedName>
    <definedName name="ELLEN17" localSheetId="1" hidden="1">{#N/A,#N/A,FALSE,"CCTV"}</definedName>
    <definedName name="ELLEN17" localSheetId="2" hidden="1">{#N/A,#N/A,FALSE,"CCTV"}</definedName>
    <definedName name="ELLEN17" localSheetId="8" hidden="1">{#N/A,#N/A,FALSE,"CCTV"}</definedName>
    <definedName name="ELLEN17" hidden="1">{#N/A,#N/A,FALSE,"CCTV"}</definedName>
    <definedName name="ELLEN18" localSheetId="1" hidden="1">{#N/A,#N/A,FALSE,"CCTV"}</definedName>
    <definedName name="ELLEN18" localSheetId="2" hidden="1">{#N/A,#N/A,FALSE,"CCTV"}</definedName>
    <definedName name="ELLEN18" localSheetId="8" hidden="1">{#N/A,#N/A,FALSE,"CCTV"}</definedName>
    <definedName name="ELLEN18" hidden="1">{#N/A,#N/A,FALSE,"CCTV"}</definedName>
    <definedName name="ELLEN19" localSheetId="1" hidden="1">{#N/A,#N/A,FALSE,"CCTV"}</definedName>
    <definedName name="ELLEN19" localSheetId="2" hidden="1">{#N/A,#N/A,FALSE,"CCTV"}</definedName>
    <definedName name="ELLEN19" localSheetId="8" hidden="1">{#N/A,#N/A,FALSE,"CCTV"}</definedName>
    <definedName name="ELLEN19" hidden="1">{#N/A,#N/A,FALSE,"CCTV"}</definedName>
    <definedName name="ELLEN2" localSheetId="1" hidden="1">{#N/A,#N/A,FALSE,"CCTV"}</definedName>
    <definedName name="ELLEN2" localSheetId="2" hidden="1">{#N/A,#N/A,FALSE,"CCTV"}</definedName>
    <definedName name="ELLEN2" localSheetId="8" hidden="1">{#N/A,#N/A,FALSE,"CCTV"}</definedName>
    <definedName name="ELLEN2" hidden="1">{#N/A,#N/A,FALSE,"CCTV"}</definedName>
    <definedName name="ELLEN3" localSheetId="1" hidden="1">{#N/A,#N/A,FALSE,"CCTV"}</definedName>
    <definedName name="ELLEN3" localSheetId="2" hidden="1">{#N/A,#N/A,FALSE,"CCTV"}</definedName>
    <definedName name="ELLEN3" localSheetId="8" hidden="1">{#N/A,#N/A,FALSE,"CCTV"}</definedName>
    <definedName name="ELLEN3" hidden="1">{#N/A,#N/A,FALSE,"CCTV"}</definedName>
    <definedName name="ELLEN4" localSheetId="1" hidden="1">{#N/A,#N/A,FALSE,"CCTV"}</definedName>
    <definedName name="ELLEN4" localSheetId="2" hidden="1">{#N/A,#N/A,FALSE,"CCTV"}</definedName>
    <definedName name="ELLEN4" localSheetId="8" hidden="1">{#N/A,#N/A,FALSE,"CCTV"}</definedName>
    <definedName name="ELLEN4" hidden="1">{#N/A,#N/A,FALSE,"CCTV"}</definedName>
    <definedName name="ELLEN5" localSheetId="1" hidden="1">{#N/A,#N/A,FALSE,"CCTV"}</definedName>
    <definedName name="ELLEN5" localSheetId="2" hidden="1">{#N/A,#N/A,FALSE,"CCTV"}</definedName>
    <definedName name="ELLEN5" localSheetId="8" hidden="1">{#N/A,#N/A,FALSE,"CCTV"}</definedName>
    <definedName name="ELLEN5" hidden="1">{#N/A,#N/A,FALSE,"CCTV"}</definedName>
    <definedName name="ELLEN6" localSheetId="1" hidden="1">{#N/A,#N/A,FALSE,"CCTV"}</definedName>
    <definedName name="ELLEN6" localSheetId="2" hidden="1">{#N/A,#N/A,FALSE,"CCTV"}</definedName>
    <definedName name="ELLEN6" localSheetId="8" hidden="1">{#N/A,#N/A,FALSE,"CCTV"}</definedName>
    <definedName name="ELLEN6" hidden="1">{#N/A,#N/A,FALSE,"CCTV"}</definedName>
    <definedName name="ELLEN7" localSheetId="1" hidden="1">{#N/A,#N/A,FALSE,"CCTV"}</definedName>
    <definedName name="ELLEN7" localSheetId="2" hidden="1">{#N/A,#N/A,FALSE,"CCTV"}</definedName>
    <definedName name="ELLEN7" localSheetId="8" hidden="1">{#N/A,#N/A,FALSE,"CCTV"}</definedName>
    <definedName name="ELLEN7" hidden="1">{#N/A,#N/A,FALSE,"CCTV"}</definedName>
    <definedName name="ELLEN8" localSheetId="1" hidden="1">{#N/A,#N/A,FALSE,"CCTV"}</definedName>
    <definedName name="ELLEN8" localSheetId="2" hidden="1">{#N/A,#N/A,FALSE,"CCTV"}</definedName>
    <definedName name="ELLEN8" localSheetId="8" hidden="1">{#N/A,#N/A,FALSE,"CCTV"}</definedName>
    <definedName name="ELLEN8" hidden="1">{#N/A,#N/A,FALSE,"CCTV"}</definedName>
    <definedName name="ELLEN9" localSheetId="1" hidden="1">{#N/A,#N/A,FALSE,"CCTV"}</definedName>
    <definedName name="ELLEN9" localSheetId="2" hidden="1">{#N/A,#N/A,FALSE,"CCTV"}</definedName>
    <definedName name="ELLEN9" localSheetId="8" hidden="1">{#N/A,#N/A,FALSE,"CCTV"}</definedName>
    <definedName name="ELLEN9" hidden="1">{#N/A,#N/A,FALSE,"CCTV"}</definedName>
    <definedName name="elv" localSheetId="1" hidden="1">{"'Sheet1'!$L$16"}</definedName>
    <definedName name="elv" localSheetId="2" hidden="1">{"'Sheet1'!$L$16"}</definedName>
    <definedName name="elv" localSheetId="8" hidden="1">{"'Sheet1'!$L$16"}</definedName>
    <definedName name="elv" hidden="1">{"'Sheet1'!$L$16"}</definedName>
    <definedName name="en" localSheetId="1" hidden="1">{#N/A,#N/A,FALSE,"변경관리예산";#N/A,#N/A,FALSE,"변경장비예산";#N/A,#N/A,FALSE,"변경준설예산";#N/A,#N/A,FALSE,"변경철구예산"}</definedName>
    <definedName name="en" localSheetId="2" hidden="1">{#N/A,#N/A,FALSE,"변경관리예산";#N/A,#N/A,FALSE,"변경장비예산";#N/A,#N/A,FALSE,"변경준설예산";#N/A,#N/A,FALSE,"변경철구예산"}</definedName>
    <definedName name="en" localSheetId="8" hidden="1">{#N/A,#N/A,FALSE,"변경관리예산";#N/A,#N/A,FALSE,"변경장비예산";#N/A,#N/A,FALSE,"변경준설예산";#N/A,#N/A,FALSE,"변경철구예산"}</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localSheetId="1" hidden="1">#REF!</definedName>
    <definedName name="EndElectExternal" hidden="1">#REF!</definedName>
    <definedName name="EndElectHotel">#REF!</definedName>
    <definedName name="EndElectOffice">#REF!</definedName>
    <definedName name="EndElectPodium">#REF!</definedName>
    <definedName name="enfgfgfdffddddddddddddddddd" localSheetId="1" hidden="1">{#N/A,#N/A,FALSE,"Chi tiÆt"}</definedName>
    <definedName name="enfgfgfdffddddddddddddddddd" localSheetId="2" hidden="1">{#N/A,#N/A,FALSE,"Chi tiÆt"}</definedName>
    <definedName name="enfgfgfdffddddddddddddddddd" localSheetId="8" hidden="1">{#N/A,#N/A,FALSE,"Chi tiÆt"}</definedName>
    <definedName name="enfgfgfdffddddddddddddddddd" hidden="1">{#N/A,#N/A,FALSE,"Chi tiÆt"}</definedName>
    <definedName name="ENJ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localSheetId="1" hidden="1">#REF!</definedName>
    <definedName name="eq" hidden="1">#REF!</definedName>
    <definedName name="er" localSheetId="1" hidden="1">{0,0,0,0;0,0,0,0;0,0,0,0;0,0,0,0;0,0,0,0;0,0,0,0;0,0,0,0}</definedName>
    <definedName name="er" localSheetId="2" hidden="1">{0,0,0,0;0,0,0,0;0,0,0,0;0,0,0,0;0,0,0,0;0,0,0,0;0,0,0,0}</definedName>
    <definedName name="er" localSheetId="8" hidden="1">{0,0,0,0;0,0,0,0;0,0,0,0;0,0,0,0;0,0,0,0;0,0,0,0;0,0,0,0}</definedName>
    <definedName name="er" hidden="1">{0,0,0,0;0,0,0,0;0,0,0,0;0,0,0,0;0,0,0,0;0,0,0,0;0,0,0,0}</definedName>
    <definedName name="erere" hidden="1">#REF!</definedName>
    <definedName name="­erewarqewrqr" hidden="1">#REF!</definedName>
    <definedName name="ERR" localSheetId="1" hidden="1">#REF!</definedName>
    <definedName name="ERR" hidden="1">#REF!</definedName>
    <definedName name="ERT" localSheetId="1" hidden="1">{"'Sheet1'!$L$16"}</definedName>
    <definedName name="ERT" localSheetId="2" hidden="1">{"'Sheet1'!$L$16"}</definedName>
    <definedName name="ERT" localSheetId="8" hidden="1">{"'Sheet1'!$L$16"}</definedName>
    <definedName name="ERT" hidden="1">{"'Sheet1'!$L$16"}</definedName>
    <definedName name="erteeh" hidden="1">#REF!</definedName>
    <definedName name="ertwqtg" localSheetId="1" hidden="1">{"'Sheet1'!$L$16"}</definedName>
    <definedName name="ertwqtg" localSheetId="2" hidden="1">{"'Sheet1'!$L$16"}</definedName>
    <definedName name="ertwqtg" localSheetId="8" hidden="1">{"'Sheet1'!$L$16"}</definedName>
    <definedName name="ertwqtg" hidden="1">{"'Sheet1'!$L$16"}</definedName>
    <definedName name="ertyertye" localSheetId="1" hidden="1">{"'용역비'!$A$4:$C$8"}</definedName>
    <definedName name="ertyertye" localSheetId="2" hidden="1">{"'용역비'!$A$4:$C$8"}</definedName>
    <definedName name="ertyertye" localSheetId="8" hidden="1">{"'용역비'!$A$4:$C$8"}</definedName>
    <definedName name="ertyertye" hidden="1">{"'용역비'!$A$4:$C$8"}</definedName>
    <definedName name="erw" localSheetId="1" hidden="1">#REF!</definedName>
    <definedName name="erw" hidden="1">#REF!</definedName>
    <definedName name="eryhrtgabqergerggbvrth" localSheetId="1" hidden="1">#REF!</definedName>
    <definedName name="eryhrtgabqergerggbvrth" hidden="1">#REF!</definedName>
    <definedName name="es" localSheetId="1" hidden="1">{"'Sheet1'!$L$16"}</definedName>
    <definedName name="es" localSheetId="2" hidden="1">{"'Sheet1'!$L$16"}</definedName>
    <definedName name="es" localSheetId="8" hidden="1">{"'Sheet1'!$L$16"}</definedName>
    <definedName name="es" hidden="1">{"'Sheet1'!$L$16"}</definedName>
    <definedName name="estimateb" localSheetId="1" hidden="1">{#N/A,#N/A,TRUE,"Cover";#N/A,#N/A,TRUE,"Conts";#N/A,#N/A,TRUE,"VOS";#N/A,#N/A,TRUE,"Warrington";#N/A,#N/A,TRUE,"Widnes"}</definedName>
    <definedName name="estimateb" localSheetId="2"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qgsg_đhs" localSheetId="1" hidden="1">{"'Sheet1'!$L$16"}</definedName>
    <definedName name="etqgsg_đhs" localSheetId="2" hidden="1">{"'Sheet1'!$L$16"}</definedName>
    <definedName name="etqgsg_đhs" localSheetId="8" hidden="1">{"'Sheet1'!$L$16"}</definedName>
    <definedName name="etqgsg_đhs" hidden="1">{"'Sheet1'!$L$16"}</definedName>
    <definedName name="ettr" localSheetId="1" hidden="1">{#N/A,#N/A,FALSE,"Chi tiÆt"}</definedName>
    <definedName name="ettr" localSheetId="2" hidden="1">{#N/A,#N/A,FALSE,"Chi tiÆt"}</definedName>
    <definedName name="ettr" localSheetId="8" hidden="1">{#N/A,#N/A,FALSE,"Chi tiÆt"}</definedName>
    <definedName name="ettr" hidden="1">{#N/A,#N/A,FALSE,"Chi tiÆt"}</definedName>
    <definedName name="etuiuti" localSheetId="1" hidden="1">{"'Sheet1'!$L$16"}</definedName>
    <definedName name="etuiuti" localSheetId="2" hidden="1">{"'Sheet1'!$L$16"}</definedName>
    <definedName name="etuiuti" localSheetId="8" hidden="1">{"'Sheet1'!$L$16"}</definedName>
    <definedName name="etuiuti" hidden="1">{"'Sheet1'!$L$16"}</definedName>
    <definedName name="ETWE" localSheetId="1" hidden="1">{#N/A,#N/A,FALSE,"Sheet6"}</definedName>
    <definedName name="ETWE" localSheetId="2" hidden="1">{#N/A,#N/A,FALSE,"Sheet6"}</definedName>
    <definedName name="ETWE" localSheetId="8" hidden="1">{#N/A,#N/A,FALSE,"Sheet6"}</definedName>
    <definedName name="ETWE" hidden="1">{#N/A,#N/A,FALSE,"Sheet6"}</definedName>
    <definedName name="ETWEGF" localSheetId="1" hidden="1">{#N/A,#N/A,FALSE,"Sheet6"}</definedName>
    <definedName name="ETWEGF" localSheetId="2" hidden="1">{#N/A,#N/A,FALSE,"Sheet6"}</definedName>
    <definedName name="ETWEGF" localSheetId="8" hidden="1">{#N/A,#N/A,FALSE,"Sheet6"}</definedName>
    <definedName name="ETWEGF" hidden="1">{#N/A,#N/A,FALSE,"Sheet6"}</definedName>
    <definedName name="ẺTWTW" localSheetId="1" hidden="1">{"'Sheet1'!$L$16"}</definedName>
    <definedName name="ẺTWTW" localSheetId="2" hidden="1">{"'Sheet1'!$L$16"}</definedName>
    <definedName name="ẺTWTW" localSheetId="8" hidden="1">{"'Sheet1'!$L$16"}</definedName>
    <definedName name="ẺTWTW" hidden="1">{"'Sheet1'!$L$16"}</definedName>
    <definedName name="etyj" localSheetId="1" hidden="1">{"'용역비'!$A$4:$C$8"}</definedName>
    <definedName name="etyj" localSheetId="2" hidden="1">{"'용역비'!$A$4:$C$8"}</definedName>
    <definedName name="etyj" localSheetId="8" hidden="1">{"'용역비'!$A$4:$C$8"}</definedName>
    <definedName name="etyj" hidden="1">{"'용역비'!$A$4:$C$8"}</definedName>
    <definedName name="etyjj" localSheetId="1" hidden="1">{"'용역비'!$A$4:$C$8"}</definedName>
    <definedName name="etyjj" localSheetId="2" hidden="1">{"'용역비'!$A$4:$C$8"}</definedName>
    <definedName name="etyjj" localSheetId="8" hidden="1">{"'용역비'!$A$4:$C$8"}</definedName>
    <definedName name="etyjj" hidden="1">{"'용역비'!$A$4:$C$8"}</definedName>
    <definedName name="eù" localSheetId="1">{"Book1"}</definedName>
    <definedName name="eù" localSheetId="2">{"Book1"}</definedName>
    <definedName name="eù" localSheetId="8">{"Book1"}</definedName>
    <definedName name="eù">{"Book1"}</definedName>
    <definedName name="eûtheí" localSheetId="1" hidden="1">{"'Sheet1'!$L$16"}</definedName>
    <definedName name="eûtheí" localSheetId="2" hidden="1">{"'Sheet1'!$L$16"}</definedName>
    <definedName name="eûtheí" localSheetId="8" hidden="1">{"'Sheet1'!$L$16"}</definedName>
    <definedName name="eûtheí" hidden="1">{"'Sheet1'!$L$16"}</definedName>
    <definedName name="ewdsd" localSheetId="1" hidden="1">{"'Break down'!$A$4"}</definedName>
    <definedName name="ewdsd" localSheetId="2" hidden="1">{"'Break down'!$A$4"}</definedName>
    <definedName name="ewdsd" localSheetId="8" hidden="1">{"'Break down'!$A$4"}</definedName>
    <definedName name="ewdsd" hidden="1">{"'Break down'!$A$4"}</definedName>
    <definedName name="ewe" hidden="1">#REF!</definedName>
    <definedName name="EWEREWRE" localSheetId="1" hidden="1">{"'Sheet1'!$L$16"}</definedName>
    <definedName name="EWEREWRE" localSheetId="2" hidden="1">{"'Sheet1'!$L$16"}</definedName>
    <definedName name="EWEREWRE" localSheetId="8" hidden="1">{"'Sheet1'!$L$16"}</definedName>
    <definedName name="EWEREWRE" hidden="1">{"'Sheet1'!$L$16"}</definedName>
    <definedName name="èwerwe" localSheetId="1" hidden="1">{"'Sheet1'!$L$16"}</definedName>
    <definedName name="èwerwe" localSheetId="2" hidden="1">{"'Sheet1'!$L$16"}</definedName>
    <definedName name="èwerwe" localSheetId="8" hidden="1">{"'Sheet1'!$L$16"}</definedName>
    <definedName name="èwerwe" hidden="1">{"'Sheet1'!$L$16"}</definedName>
    <definedName name="ẺWERWE" localSheetId="1" hidden="1">{"'Sheet1'!$L$16"}</definedName>
    <definedName name="ẺWERWE" localSheetId="2" hidden="1">{"'Sheet1'!$L$16"}</definedName>
    <definedName name="ẺWERWE" localSheetId="8" hidden="1">{"'Sheet1'!$L$16"}</definedName>
    <definedName name="ẺWERWE" hidden="1">{"'Sheet1'!$L$16"}</definedName>
    <definedName name="ewewewe" localSheetId="1" hidden="1">#REF!</definedName>
    <definedName name="ewewewe" hidden="1">#REF!</definedName>
    <definedName name="ewfawg" hidden="1">#REF!</definedName>
    <definedName name="ewrfewr" localSheetId="1" hidden="1">{"'Sheet1'!$L$16"}</definedName>
    <definedName name="ewrfewr" localSheetId="2" hidden="1">{"'Sheet1'!$L$16"}</definedName>
    <definedName name="ewrfewr" localSheetId="8" hidden="1">{"'Sheet1'!$L$16"}</definedName>
    <definedName name="ewrfewr" hidden="1">{"'Sheet1'!$L$16"}</definedName>
    <definedName name="ewrfqewrrefeqrftr" localSheetId="1" hidden="1">{"'Sheet1'!$L$16"}</definedName>
    <definedName name="ewrfqewrrefeqrftr" localSheetId="2" hidden="1">{"'Sheet1'!$L$16"}</definedName>
    <definedName name="ewrfqewrrefeqrftr" localSheetId="8" hidden="1">{"'Sheet1'!$L$16"}</definedName>
    <definedName name="ewrfqewrrefeqrftr" hidden="1">{"'Sheet1'!$L$16"}</definedName>
    <definedName name="ewrfwe" localSheetId="1" hidden="1">{"'Sheet1'!$L$16"}</definedName>
    <definedName name="ewrfwe" localSheetId="2" hidden="1">{"'Sheet1'!$L$16"}</definedName>
    <definedName name="ewrfwe" localSheetId="8" hidden="1">{"'Sheet1'!$L$16"}</definedName>
    <definedName name="ewrfwe" hidden="1">{"'Sheet1'!$L$16"}</definedName>
    <definedName name="ewrfwef" localSheetId="1" hidden="1">{"'Sheet1'!$L$16"}</definedName>
    <definedName name="ewrfwef" localSheetId="2" hidden="1">{"'Sheet1'!$L$16"}</definedName>
    <definedName name="ewrfwef" localSheetId="8" hidden="1">{"'Sheet1'!$L$16"}</definedName>
    <definedName name="ewrfwef" hidden="1">{"'Sheet1'!$L$16"}</definedName>
    <definedName name="ewrwerwe" hidden="1">#REF!</definedName>
    <definedName name="ews" localSheetId="1" hidden="1">{0}</definedName>
    <definedName name="ews" localSheetId="2" hidden="1">{0}</definedName>
    <definedName name="ews" localSheetId="8" hidden="1">{0}</definedName>
    <definedName name="ews" hidden="1">{0}</definedName>
    <definedName name="ewtgyqyewy" localSheetId="1" hidden="1">{"'Sheet1'!$L$16"}</definedName>
    <definedName name="ewtgyqyewy" localSheetId="2" hidden="1">{"'Sheet1'!$L$16"}</definedName>
    <definedName name="ewtgyqyewy" localSheetId="8" hidden="1">{"'Sheet1'!$L$16"}</definedName>
    <definedName name="ewtgyqyewy" hidden="1">{"'Sheet1'!$L$16"}</definedName>
    <definedName name="EWTWV" localSheetId="1" hidden="1">{#N/A,#N/A,FALSE,"Sheet6"}</definedName>
    <definedName name="EWTWV" localSheetId="2" hidden="1">{#N/A,#N/A,FALSE,"Sheet6"}</definedName>
    <definedName name="EWTWV" localSheetId="8" hidden="1">{#N/A,#N/A,FALSE,"Sheet6"}</definedName>
    <definedName name="EWTWV" hidden="1">{#N/A,#N/A,FALSE,"Sheet6"}</definedName>
    <definedName name="ewwq" localSheetId="1" hidden="1">{"'Sheet1'!$L$16"}</definedName>
    <definedName name="ewwq" localSheetId="2" hidden="1">{"'Sheet1'!$L$16"}</definedName>
    <definedName name="ewwq" localSheetId="8" hidden="1">{"'Sheet1'!$L$16"}</definedName>
    <definedName name="ewwq" hidden="1">{"'Sheet1'!$L$16"}</definedName>
    <definedName name="Excavati" localSheetId="1" hidden="1">{#N/A,#N/A,FALSE,"Chi tiÆt"}</definedName>
    <definedName name="Excavati" localSheetId="2" hidden="1">{#N/A,#N/A,FALSE,"Chi tiÆt"}</definedName>
    <definedName name="Excavati" localSheetId="8" hidden="1">{#N/A,#N/A,FALSE,"Chi tiÆt"}</definedName>
    <definedName name="Excavati" hidden="1">{#N/A,#N/A,FALSE,"Chi tiÆt"}</definedName>
    <definedName name="eXCLUSIONS" localSheetId="1" hidden="1">{#N/A,#N/A,TRUE,"Cover";#N/A,#N/A,TRUE,"Conts";#N/A,#N/A,TRUE,"VOS";#N/A,#N/A,TRUE,"Warrington";#N/A,#N/A,TRUE,"Widnes"}</definedName>
    <definedName name="eXCLUSIONS" localSheetId="2" hidden="1">{#N/A,#N/A,TRUE,"Cover";#N/A,#N/A,TRUE,"Conts";#N/A,#N/A,TRUE,"VOS";#N/A,#N/A,TRUE,"Warrington";#N/A,#N/A,TRUE,"Widnes"}</definedName>
    <definedName name="eXCLUSIONS" localSheetId="8" hidden="1">{#N/A,#N/A,TRUE,"Cover";#N/A,#N/A,TRUE,"Conts";#N/A,#N/A,TRUE,"VOS";#N/A,#N/A,TRUE,"Warrington";#N/A,#N/A,TRUE,"Widnes"}</definedName>
    <definedName name="eXCLUSIONS" hidden="1">{#N/A,#N/A,TRUE,"Cover";#N/A,#N/A,TRUE,"Conts";#N/A,#N/A,TRUE,"VOS";#N/A,#N/A,TRUE,"Warrington";#N/A,#N/A,TRUE,"Widnes"}</definedName>
    <definedName name="explorer" localSheetId="1" hidden="1">{"'Sheet1'!$L$16"}</definedName>
    <definedName name="explorer" localSheetId="2" hidden="1">{"'Sheet1'!$L$16"}</definedName>
    <definedName name="explorer" localSheetId="8" hidden="1">{"'Sheet1'!$L$16"}</definedName>
    <definedName name="explorer" hidden="1">{"'Sheet1'!$L$16"}</definedName>
    <definedName name="External_work">#REF!</definedName>
    <definedName name="ê" hidden="1">#REF!</definedName>
    <definedName name="Êc" localSheetId="1" hidden="1">{"'Sheet1'!$L$16"}</definedName>
    <definedName name="Êc" localSheetId="2" hidden="1">{"'Sheet1'!$L$16"}</definedName>
    <definedName name="Êc" localSheetId="8" hidden="1">{"'Sheet1'!$L$16"}</definedName>
    <definedName name="Êc" hidden="1">{"'Sheet1'!$L$16"}</definedName>
    <definedName name="ÊR" localSheetId="1" hidden="1">{"'Sheet1'!$L$16"}</definedName>
    <definedName name="ÊR" localSheetId="2" hidden="1">{"'Sheet1'!$L$16"}</definedName>
    <definedName name="ÊR" localSheetId="8" hidden="1">{"'Sheet1'!$L$16"}</definedName>
    <definedName name="ÊR" hidden="1">{"'Sheet1'!$L$16"}</definedName>
    <definedName name="êre" localSheetId="1" hidden="1">{"'Sheet1'!$L$16"}</definedName>
    <definedName name="êre" localSheetId="2" hidden="1">{"'Sheet1'!$L$16"}</definedName>
    <definedName name="êre" localSheetId="8" hidden="1">{"'Sheet1'!$L$16"}</definedName>
    <definedName name="êre" hidden="1">{"'Sheet1'!$L$16"}</definedName>
    <definedName name="f" localSheetId="1" hidden="1">#REF!</definedName>
    <definedName name="f" localSheetId="2" hidden="1">{#N/A,#N/A,FALSE,"Sheet1"}</definedName>
    <definedName name="f" localSheetId="8" hidden="1">{#N/A,#N/A,FALSE,"Sheet1"}</definedName>
    <definedName name="f" hidden="1">{#N/A,#N/A,FALSE,"Sheet1"}</definedName>
    <definedName name="F5TF" hidden="1">#REF!</definedName>
    <definedName name="F6A" localSheetId="1" hidden="1">{"'Sheet1'!$L$16"}</definedName>
    <definedName name="F6A" localSheetId="2" hidden="1">{"'Sheet1'!$L$16"}</definedName>
    <definedName name="F6A" localSheetId="8" hidden="1">{"'Sheet1'!$L$16"}</definedName>
    <definedName name="F6A" hidden="1">{"'Sheet1'!$L$16"}</definedName>
    <definedName name="F6B" localSheetId="1" hidden="1">{"'Sheet1'!$L$16"}</definedName>
    <definedName name="F6B" localSheetId="2" hidden="1">{"'Sheet1'!$L$16"}</definedName>
    <definedName name="F6B" localSheetId="8" hidden="1">{"'Sheet1'!$L$16"}</definedName>
    <definedName name="F6B" hidden="1">{"'Sheet1'!$L$16"}</definedName>
    <definedName name="fáaafafaf" localSheetId="1" hidden="1">{"'Sheet1'!$L$16"}</definedName>
    <definedName name="fáaafafaf" localSheetId="2" hidden="1">{"'Sheet1'!$L$16"}</definedName>
    <definedName name="fáaafafaf" localSheetId="8" hidden="1">{"'Sheet1'!$L$16"}</definedName>
    <definedName name="fáaafafaf" hidden="1">{"'Sheet1'!$L$16"}</definedName>
    <definedName name="factor">#REF!</definedName>
    <definedName name="FACTORY" localSheetId="1" hidden="1">{#N/A,#N/A,TRUE,"SUM";#N/A,#N/A,TRUE,"EE";#N/A,#N/A,TRUE,"AC";#N/A,#N/A,TRUE,"SN"}</definedName>
    <definedName name="FACTORY" localSheetId="2" hidden="1">{#N/A,#N/A,TRUE,"SUM";#N/A,#N/A,TRUE,"EE";#N/A,#N/A,TRUE,"AC";#N/A,#N/A,TRUE,"SN"}</definedName>
    <definedName name="FACTORY" localSheetId="8" hidden="1">{#N/A,#N/A,TRUE,"SUM";#N/A,#N/A,TRUE,"EE";#N/A,#N/A,TRUE,"AC";#N/A,#N/A,TRUE,"SN"}</definedName>
    <definedName name="FACTORY" hidden="1">{#N/A,#N/A,TRUE,"SUM";#N/A,#N/A,TRUE,"EE";#N/A,#N/A,TRUE,"AC";#N/A,#N/A,TRUE,"SN"}</definedName>
    <definedName name="factory4" localSheetId="1" hidden="1">{"'Sheet1'!$L$16"}</definedName>
    <definedName name="factory4" localSheetId="2" hidden="1">{"'Sheet1'!$L$16"}</definedName>
    <definedName name="factory4" localSheetId="8" hidden="1">{"'Sheet1'!$L$16"}</definedName>
    <definedName name="factory4" hidden="1">{"'Sheet1'!$L$16"}</definedName>
    <definedName name="fad" localSheetId="1" hidden="1">#REF!</definedName>
    <definedName name="fad" hidden="1">#REF!</definedName>
    <definedName name="fae" localSheetId="1" hidden="1">{"'Sheet1'!$L$16"}</definedName>
    <definedName name="fae" localSheetId="2" hidden="1">{"'Sheet1'!$L$16"}</definedName>
    <definedName name="fae" localSheetId="8" hidden="1">{"'Sheet1'!$L$16"}</definedName>
    <definedName name="fae" hidden="1">{"'Sheet1'!$L$16"}</definedName>
    <definedName name="faefeaw" localSheetId="1" hidden="1">#REF!</definedName>
    <definedName name="faefeaw" hidden="1">#REF!</definedName>
    <definedName name="FAFA" localSheetId="1" hidden="1">{"'Sheet1'!$L$16"}</definedName>
    <definedName name="FAFA" localSheetId="2" hidden="1">{"'Sheet1'!$L$16"}</definedName>
    <definedName name="FAFA" localSheetId="8" hidden="1">{"'Sheet1'!$L$16"}</definedName>
    <definedName name="FAFA" hidden="1">{"'Sheet1'!$L$16"}</definedName>
    <definedName name="fafafda" localSheetId="1" hidden="1">{"AnalRSA",#N/A,TRUE,"PL-Anal";"AnalIAS",#N/A,TRUE,"PL-Anal"}</definedName>
    <definedName name="fafafda" localSheetId="2" hidden="1">{"AnalRSA",#N/A,TRUE,"PL-Anal";"AnalIAS",#N/A,TRUE,"PL-Anal"}</definedName>
    <definedName name="fafafda" localSheetId="8" hidden="1">{"AnalRSA",#N/A,TRUE,"PL-Anal";"AnalIAS",#N/A,TRUE,"PL-Anal"}</definedName>
    <definedName name="fafafda" hidden="1">{"AnalRSA",#N/A,TRUE,"PL-Anal";"AnalIAS",#N/A,TRUE,"PL-Anal"}</definedName>
    <definedName name="fafsda" localSheetId="1" hidden="1">#REF!</definedName>
    <definedName name="fafsda" hidden="1">#REF!</definedName>
    <definedName name="faqwfgqwgqw" localSheetId="1" hidden="1">#REF!</definedName>
    <definedName name="faqwfgqwgqw" hidden="1">#REF!</definedName>
    <definedName name="fasdfsdfsdfsdf" localSheetId="1" hidden="1">{"'Sheet1'!$L$16"}</definedName>
    <definedName name="fasdfsdfsdfsdf" localSheetId="2" hidden="1">{"'Sheet1'!$L$16"}</definedName>
    <definedName name="fasdfsdfsdfsdf" localSheetId="8" hidden="1">{"'Sheet1'!$L$16"}</definedName>
    <definedName name="fasdfsdfsdfsdf" hidden="1">{"'Sheet1'!$L$16"}</definedName>
    <definedName name="fasfa" localSheetId="1" hidden="1">{"'Sheet1'!$L$16"}</definedName>
    <definedName name="fasfa" localSheetId="2" hidden="1">{"'Sheet1'!$L$16"}</definedName>
    <definedName name="fasfa" localSheetId="8" hidden="1">{"'Sheet1'!$L$16"}</definedName>
    <definedName name="fasfa" hidden="1">{"'Sheet1'!$L$16"}</definedName>
    <definedName name="fasfaga" localSheetId="1" hidden="1">{"'Sheet1'!$L$16"}</definedName>
    <definedName name="fasfaga" localSheetId="2" hidden="1">{"'Sheet1'!$L$16"}</definedName>
    <definedName name="fasfaga" localSheetId="8" hidden="1">{"'Sheet1'!$L$16"}</definedName>
    <definedName name="fasfaga" hidden="1">{"'Sheet1'!$L$16"}</definedName>
    <definedName name="fasfsadfs" localSheetId="1" hidden="1">{"'Sheet1'!$L$16"}</definedName>
    <definedName name="fasfsadfs" localSheetId="2" hidden="1">{"'Sheet1'!$L$16"}</definedName>
    <definedName name="fasfsadfs" localSheetId="8" hidden="1">{"'Sheet1'!$L$16"}</definedName>
    <definedName name="fasfsadfs" hidden="1">{"'Sheet1'!$L$16"}</definedName>
    <definedName name="fbdg" hidden="1">#REF!</definedName>
    <definedName name="FBSEEBASD" localSheetId="1" hidden="1">{"'Sheet1'!$L$16"}</definedName>
    <definedName name="FBSEEBASD" localSheetId="2" hidden="1">{"'Sheet1'!$L$16"}</definedName>
    <definedName name="FBSEEBASD" localSheetId="8" hidden="1">{"'Sheet1'!$L$16"}</definedName>
    <definedName name="FBSEEBASD" hidden="1">{"'Sheet1'!$L$16"}</definedName>
    <definedName name="fÇ" localSheetId="1" hidden="1">{"'Sheet1'!$L$16"}</definedName>
    <definedName name="fÇ" localSheetId="2" hidden="1">{"'Sheet1'!$L$16"}</definedName>
    <definedName name="fÇ" localSheetId="8" hidden="1">{"'Sheet1'!$L$16"}</definedName>
    <definedName name="fÇ" hidden="1">{"'Sheet1'!$L$16"}</definedName>
    <definedName name="fcae" localSheetId="1" hidden="1">{"'Sheet1'!$L$16"}</definedName>
    <definedName name="fcae" localSheetId="2" hidden="1">{"'Sheet1'!$L$16"}</definedName>
    <definedName name="fcae" localSheetId="8" hidden="1">{"'Sheet1'!$L$16"}</definedName>
    <definedName name="fcae" hidden="1">{"'Sheet1'!$L$16"}</definedName>
    <definedName name="FCode" localSheetId="1" hidden="1">#REF!</definedName>
    <definedName name="FCode" hidden="1">#REF!</definedName>
    <definedName name="fcxbv" hidden="1">#REF!</definedName>
    <definedName name="fd" localSheetId="1" hidden="1">{#N/A,#N/A,TRUE,"Cover Memo";"Complete Sys. Estimate",#N/A,TRUE,"Change Summary";"Complete Sys. Estimate",#N/A,TRUE,"Estimate Summary";"Complete Sys. Estimate",#N/A,TRUE,"Dept. Summary";"Complete Sys. Estimate",#N/A,TRUE,"DOW Detail"}</definedName>
    <definedName name="fd" localSheetId="2" hidden="1">{#N/A,#N/A,TRUE,"Cover Memo";"Complete Sys. Estimate",#N/A,TRUE,"Change Summary";"Complete Sys. Estimate",#N/A,TRUE,"Estimate Summary";"Complete Sys. Estimate",#N/A,TRUE,"Dept. Summary";"Complete Sys. Estimate",#N/A,TRUE,"DOW Detail"}</definedName>
    <definedName name="fd" localSheetId="8" hidden="1">{#N/A,#N/A,TRUE,"Cover Memo";"Complete Sys. Estimate",#N/A,TRUE,"Change Summary";"Complete Sys. Estimate",#N/A,TRUE,"Estimate Summary";"Complete Sys. Estimate",#N/A,TRUE,"Dept. Summary";"Complete Sys. Estimate",#N/A,TRUE,"DOW Detail"}</definedName>
    <definedName name="fd" hidden="1">{#N/A,#N/A,TRUE,"Cover Memo";"Complete Sys. Estimate",#N/A,TRUE,"Change Summary";"Complete Sys. Estimate",#N/A,TRUE,"Estimate Summary";"Complete Sys. Estimate",#N/A,TRUE,"Dept. Summary";"Complete Sys. Estimate",#N/A,TRUE,"DOW Detail"}</definedName>
    <definedName name="fda" localSheetId="1" hidden="1">#REF!</definedName>
    <definedName name="fda" hidden="1">#REF!</definedName>
    <definedName name="FDAFW" localSheetId="1" hidden="1">{"'Sheet1'!$L$16"}</definedName>
    <definedName name="FDAFW" localSheetId="2" hidden="1">{"'Sheet1'!$L$16"}</definedName>
    <definedName name="FDAFW" localSheetId="8" hidden="1">{"'Sheet1'!$L$16"}</definedName>
    <definedName name="FDAFW" hidden="1">{"'Sheet1'!$L$16"}</definedName>
    <definedName name="fdasfa" localSheetId="1" hidden="1">{"'Sheet1'!$L$16"}</definedName>
    <definedName name="fdasfa" localSheetId="2" hidden="1">{"'Sheet1'!$L$16"}</definedName>
    <definedName name="fdasfa" localSheetId="8" hidden="1">{"'Sheet1'!$L$16"}</definedName>
    <definedName name="fdasfa" hidden="1">{"'Sheet1'!$L$16"}</definedName>
    <definedName name="fdasfdsa" localSheetId="1" hidden="1">{#N/A,#N/A,FALSE,"Chi tiÆt"}</definedName>
    <definedName name="fdasfdsa" localSheetId="2" hidden="1">{#N/A,#N/A,FALSE,"Chi tiÆt"}</definedName>
    <definedName name="fdasfdsa" localSheetId="8" hidden="1">{#N/A,#N/A,FALSE,"Chi tiÆt"}</definedName>
    <definedName name="fdasfdsa" hidden="1">{#N/A,#N/A,FALSE,"Chi tiÆt"}</definedName>
    <definedName name="fdds" localSheetId="1" hidden="1">{"'Sheet1'!$L$16"}</definedName>
    <definedName name="fdds" localSheetId="2" hidden="1">{"'Sheet1'!$L$16"}</definedName>
    <definedName name="fdds" localSheetId="8" hidden="1">{"'Sheet1'!$L$16"}</definedName>
    <definedName name="fdds" hidden="1">{"'Sheet1'!$L$16"}</definedName>
    <definedName name="FDED" localSheetId="1" hidden="1">#REF!</definedName>
    <definedName name="FDED" hidden="1">#REF!</definedName>
    <definedName name="fdf" localSheetId="1" hidden="1">{#N/A,#N/A,FALSE,"CCTV"}</definedName>
    <definedName name="fdf" localSheetId="2" hidden="1">{#N/A,#N/A,FALSE,"CCTV"}</definedName>
    <definedName name="fdf" localSheetId="8" hidden="1">{#N/A,#N/A,FALSE,"CCTV"}</definedName>
    <definedName name="fdf" hidden="1">{#N/A,#N/A,FALSE,"CCTV"}</definedName>
    <definedName name="fdf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 localSheetId="2" hidden="1">{#N/A,#N/A,TRUE,"Cover Memo";"Complete Sys. Estimate",#N/A,TRUE,"Change Summary";"Complete Sys. Estimate",#N/A,TRUE,"Estimate Summary";"Complete Sys. Estimate",#N/A,TRUE,"Dept. Summary";"Complete Sys. Estimate",#N/A,TRUE,"DOW Detail"}</definedName>
    <definedName name="fdfd" localSheetId="8" hidden="1">{#N/A,#N/A,TRUE,"Cover Memo";"Complete Sys. Estimate",#N/A,TRUE,"Change Summary";"Complete Sys. Estimate",#N/A,TRUE,"Estimate Summary";"Complete Sys. Estimate",#N/A,TRUE,"Dept. Summary";"Complete Sys. Estimate",#N/A,TRUE,"DOW Detail"}</definedName>
    <definedName name="fdfd" hidden="1">{#N/A,#N/A,TRUE,"Cover Memo";"Complete Sys. Estimate",#N/A,TRUE,"Change Summary";"Complete Sys. Estimate",#N/A,TRUE,"Estimate Summary";"Complete Sys. Estimate",#N/A,TRUE,"Dept. Summary";"Complete Sys. Estimate",#N/A,TRUE,"DOW Detail"}</definedName>
    <definedName name="fdfd2" localSheetId="1"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2" localSheetId="8"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localSheetId="1" hidden="1">{"'Sheet1'!$L$16"}</definedName>
    <definedName name="FDFDF" localSheetId="2" hidden="1">{"'Sheet1'!$L$16"}</definedName>
    <definedName name="FDFDF" localSheetId="8" hidden="1">{"'Sheet1'!$L$16"}</definedName>
    <definedName name="FDFDF" hidden="1">{"'Sheet1'!$L$16"}</definedName>
    <definedName name="FDFDSF" localSheetId="1" hidden="1">{#N/A,#N/A,TRUE,"SUM";#N/A,#N/A,TRUE,"EE";#N/A,#N/A,TRUE,"AC";#N/A,#N/A,TRUE,"SN"}</definedName>
    <definedName name="FDFDSF" localSheetId="2" hidden="1">{#N/A,#N/A,TRUE,"SUM";#N/A,#N/A,TRUE,"EE";#N/A,#N/A,TRUE,"AC";#N/A,#N/A,TRUE,"SN"}</definedName>
    <definedName name="FDFDSF" localSheetId="8" hidden="1">{#N/A,#N/A,TRUE,"SUM";#N/A,#N/A,TRUE,"EE";#N/A,#N/A,TRUE,"AC";#N/A,#N/A,TRUE,"SN"}</definedName>
    <definedName name="FDFDSF" hidden="1">{#N/A,#N/A,TRUE,"SUM";#N/A,#N/A,TRUE,"EE";#N/A,#N/A,TRUE,"AC";#N/A,#N/A,TRUE,"SN"}</definedName>
    <definedName name="fdfs" localSheetId="1" hidden="1">{#N/A,#N/A,TRUE,"SUM";#N/A,#N/A,TRUE,"EE";#N/A,#N/A,TRUE,"AC";#N/A,#N/A,TRUE,"SN"}</definedName>
    <definedName name="fdfs" localSheetId="2" hidden="1">{#N/A,#N/A,TRUE,"SUM";#N/A,#N/A,TRUE,"EE";#N/A,#N/A,TRUE,"AC";#N/A,#N/A,TRUE,"SN"}</definedName>
    <definedName name="fdfs" localSheetId="8" hidden="1">{#N/A,#N/A,TRUE,"SUM";#N/A,#N/A,TRUE,"EE";#N/A,#N/A,TRUE,"AC";#N/A,#N/A,TRUE,"SN"}</definedName>
    <definedName name="fdfs" hidden="1">{#N/A,#N/A,TRUE,"SUM";#N/A,#N/A,TRUE,"EE";#N/A,#N/A,TRUE,"AC";#N/A,#N/A,TRUE,"SN"}</definedName>
    <definedName name="fdfs2" localSheetId="1" hidden="1">{#N/A,#N/A,TRUE,"SUM";#N/A,#N/A,TRUE,"EE";#N/A,#N/A,TRUE,"AC";#N/A,#N/A,TRUE,"SN"}</definedName>
    <definedName name="fdfs2" localSheetId="2" hidden="1">{#N/A,#N/A,TRUE,"SUM";#N/A,#N/A,TRUE,"EE";#N/A,#N/A,TRUE,"AC";#N/A,#N/A,TRUE,"SN"}</definedName>
    <definedName name="fdfs2" localSheetId="8" hidden="1">{#N/A,#N/A,TRUE,"SUM";#N/A,#N/A,TRUE,"EE";#N/A,#N/A,TRUE,"AC";#N/A,#N/A,TRUE,"SN"}</definedName>
    <definedName name="fdfs2" hidden="1">{#N/A,#N/A,TRUE,"SUM";#N/A,#N/A,TRUE,"EE";#N/A,#N/A,TRUE,"AC";#N/A,#N/A,TRUE,"SN"}</definedName>
    <definedName name="fdfsdfs" localSheetId="1" hidden="1">{#N/A,#N/A,TRUE,"SUM";#N/A,#N/A,TRUE,"EE";#N/A,#N/A,TRUE,"AC";#N/A,#N/A,TRUE,"SN"}</definedName>
    <definedName name="fdfsdfs" localSheetId="2" hidden="1">{#N/A,#N/A,TRUE,"SUM";#N/A,#N/A,TRUE,"EE";#N/A,#N/A,TRUE,"AC";#N/A,#N/A,TRUE,"SN"}</definedName>
    <definedName name="fdfsdfs" localSheetId="8" hidden="1">{#N/A,#N/A,TRUE,"SUM";#N/A,#N/A,TRUE,"EE";#N/A,#N/A,TRUE,"AC";#N/A,#N/A,TRUE,"SN"}</definedName>
    <definedName name="fdfsdfs" hidden="1">{#N/A,#N/A,TRUE,"SUM";#N/A,#N/A,TRUE,"EE";#N/A,#N/A,TRUE,"AC";#N/A,#N/A,TRUE,"SN"}</definedName>
    <definedName name="fdfsf" localSheetId="1" hidden="1">{#N/A,#N/A,FALSE,"Chi tiÆt"}</definedName>
    <definedName name="fdfsf" localSheetId="2" hidden="1">{#N/A,#N/A,FALSE,"Chi tiÆt"}</definedName>
    <definedName name="fdfsf" localSheetId="8" hidden="1">{#N/A,#N/A,FALSE,"Chi tiÆt"}</definedName>
    <definedName name="fdfsf" hidden="1">{#N/A,#N/A,FALSE,"Chi tiÆt"}</definedName>
    <definedName name="fdg" localSheetId="1" hidden="1">{"'Sheet1'!$L$16"}</definedName>
    <definedName name="fdg" localSheetId="2" hidden="1">{"'Sheet1'!$L$16"}</definedName>
    <definedName name="fdg" localSheetId="8" hidden="1">{"'Sheet1'!$L$16"}</definedName>
    <definedName name="fdg" hidden="1">{"'Sheet1'!$L$16"}</definedName>
    <definedName name="fdgdg" localSheetId="1" hidden="1">{#N/A,#N/A,TRUE,"Cover Memo";"Complete Sys. Estimate",#N/A,TRUE,"Change Summary";"Complete Sys. Estimate",#N/A,TRUE,"Estimate Summary";"Complete Sys. Estimate",#N/A,TRUE,"Dept. Summary";"Complete Sys. Estimate",#N/A,TRUE,"DOW Detail"}</definedName>
    <definedName name="fdgdg" localSheetId="2" hidden="1">{#N/A,#N/A,TRUE,"Cover Memo";"Complete Sys. Estimate",#N/A,TRUE,"Change Summary";"Complete Sys. Estimate",#N/A,TRUE,"Estimate Summary";"Complete Sys. Estimate",#N/A,TRUE,"Dept. Summary";"Complete Sys. Estimate",#N/A,TRUE,"DOW Detail"}</definedName>
    <definedName name="fdgdg" localSheetId="8" hidden="1">{#N/A,#N/A,TRUE,"Cover Memo";"Complete Sys. Estimate",#N/A,TRUE,"Change Summary";"Complete Sys. Estimate",#N/A,TRUE,"Estimate Summary";"Complete Sys. Estimate",#N/A,TRUE,"Dept. Summary";"Complete Sys. Estimate",#N/A,TRUE,"DOW Detail"}</definedName>
    <definedName name="fdgdg" hidden="1">{#N/A,#N/A,TRUE,"Cover Memo";"Complete Sys. Estimate",#N/A,TRUE,"Change Summary";"Complete Sys. Estimate",#N/A,TRUE,"Estimate Summary";"Complete Sys. Estimate",#N/A,TRUE,"Dept. Summary";"Complete Sys. Estimate",#N/A,TRUE,"DOW Detail"}</definedName>
    <definedName name="FDGDGDF" localSheetId="1" hidden="1">{"ECA Qtrs C",#N/A,TRUE,"ECA_Qtrs_C";"ECA Qtrs D",#N/A,TRUE,"ECA_Qtrs_D";"ECA Qtrs F",#N/A,TRUE,"ECA_Qtrs_F";"ECA Qtrs G",#N/A,TRUE,"ECA_Qtrs_G";"ECA SisterApt",#N/A,TRUE,"ECA_SisterApt";"ECA Nurses",#N/A,TRUE,"ECA_NursesHostel"}</definedName>
    <definedName name="FDGDGDF" localSheetId="2" hidden="1">{"ECA Qtrs C",#N/A,TRUE,"ECA_Qtrs_C";"ECA Qtrs D",#N/A,TRUE,"ECA_Qtrs_D";"ECA Qtrs F",#N/A,TRUE,"ECA_Qtrs_F";"ECA Qtrs G",#N/A,TRUE,"ECA_Qtrs_G";"ECA SisterApt",#N/A,TRUE,"ECA_SisterApt";"ECA Nurses",#N/A,TRUE,"ECA_NursesHostel"}</definedName>
    <definedName name="FDGDGDF" localSheetId="8" hidden="1">{"ECA Qtrs C",#N/A,TRUE,"ECA_Qtrs_C";"ECA Qtrs D",#N/A,TRUE,"ECA_Qtrs_D";"ECA Qtrs F",#N/A,TRUE,"ECA_Qtrs_F";"ECA Qtrs G",#N/A,TRUE,"ECA_Qtrs_G";"ECA SisterApt",#N/A,TRUE,"ECA_SisterApt";"ECA Nurses",#N/A,TRUE,"ECA_NursesHostel"}</definedName>
    <definedName name="FDGDGDF" hidden="1">{"ECA Qtrs C",#N/A,TRUE,"ECA_Qtrs_C";"ECA Qtrs D",#N/A,TRUE,"ECA_Qtrs_D";"ECA Qtrs F",#N/A,TRUE,"ECA_Qtrs_F";"ECA Qtrs G",#N/A,TRUE,"ECA_Qtrs_G";"ECA SisterApt",#N/A,TRUE,"ECA_SisterApt";"ECA Nurses",#N/A,TRUE,"ECA_NursesHostel"}</definedName>
    <definedName name="fdgfg" localSheetId="1" hidden="1">{"'Sheet1'!$L$16"}</definedName>
    <definedName name="fdgfg" localSheetId="2" hidden="1">{"'Sheet1'!$L$16"}</definedName>
    <definedName name="fdgfg" localSheetId="8" hidden="1">{"'Sheet1'!$L$16"}</definedName>
    <definedName name="fdgfg" hidden="1">{"'Sheet1'!$L$16"}</definedName>
    <definedName name="fdgfgjghhk" hidden="1">#REF!</definedName>
    <definedName name="fdgssda" localSheetId="1" hidden="1">{"'Sheet1'!$L$16"}</definedName>
    <definedName name="fdgssda" localSheetId="2" hidden="1">{"'Sheet1'!$L$16"}</definedName>
    <definedName name="fdgssda" localSheetId="8" hidden="1">{"'Sheet1'!$L$16"}</definedName>
    <definedName name="fdgssda" hidden="1">{"'Sheet1'!$L$16"}</definedName>
    <definedName name="fdhgf" localSheetId="1" hidden="1">{"'Sheet1'!$L$16"}</definedName>
    <definedName name="fdhgf" localSheetId="2" hidden="1">{"'Sheet1'!$L$16"}</definedName>
    <definedName name="fdhgf" localSheetId="8" hidden="1">{"'Sheet1'!$L$16"}</definedName>
    <definedName name="fdhgf" hidden="1">{"'Sheet1'!$L$16"}</definedName>
    <definedName name="fdsd" localSheetId="1" hidden="1">#REF!</definedName>
    <definedName name="fdsd" hidden="1">#REF!</definedName>
    <definedName name="fdsdf" localSheetId="1" hidden="1">{"'Sheet1'!$L$16"}</definedName>
    <definedName name="fdsdf" localSheetId="2" hidden="1">{"'Sheet1'!$L$16"}</definedName>
    <definedName name="fdsdf" localSheetId="8" hidden="1">{"'Sheet1'!$L$16"}</definedName>
    <definedName name="fdsdf" hidden="1">{"'Sheet1'!$L$16"}</definedName>
    <definedName name="fdsfds" localSheetId="1" hidden="1">{"ECA Qtrs C",#N/A,TRUE,"ECA_Qtrs_C";"ECA Qtrs D",#N/A,TRUE,"ECA_Qtrs_D";"ECA Qtrs F",#N/A,TRUE,"ECA_Qtrs_F";"ECA Qtrs G",#N/A,TRUE,"ECA_Qtrs_G";"ECA SisterApt",#N/A,TRUE,"ECA_SisterApt";"ECA Nurses",#N/A,TRUE,"ECA_NursesHostel"}</definedName>
    <definedName name="fdsfds" localSheetId="2" hidden="1">{"ECA Qtrs C",#N/A,TRUE,"ECA_Qtrs_C";"ECA Qtrs D",#N/A,TRUE,"ECA_Qtrs_D";"ECA Qtrs F",#N/A,TRUE,"ECA_Qtrs_F";"ECA Qtrs G",#N/A,TRUE,"ECA_Qtrs_G";"ECA SisterApt",#N/A,TRUE,"ECA_SisterApt";"ECA Nurses",#N/A,TRUE,"ECA_NursesHostel"}</definedName>
    <definedName name="fdsfds" localSheetId="8" hidden="1">{"ECA Qtrs C",#N/A,TRUE,"ECA_Qtrs_C";"ECA Qtrs D",#N/A,TRUE,"ECA_Qtrs_D";"ECA Qtrs F",#N/A,TRUE,"ECA_Qtrs_F";"ECA Qtrs G",#N/A,TRUE,"ECA_Qtrs_G";"ECA SisterApt",#N/A,TRUE,"ECA_SisterApt";"ECA Nurses",#N/A,TRUE,"ECA_NursesHostel"}</definedName>
    <definedName name="fdsfds" hidden="1">{"ECA Qtrs C",#N/A,TRUE,"ECA_Qtrs_C";"ECA Qtrs D",#N/A,TRUE,"ECA_Qtrs_D";"ECA Qtrs F",#N/A,TRUE,"ECA_Qtrs_F";"ECA Qtrs G",#N/A,TRUE,"ECA_Qtrs_G";"ECA SisterApt",#N/A,TRUE,"ECA_SisterApt";"ECA Nurses",#N/A,TRUE,"ECA_NursesHostel"}</definedName>
    <definedName name="fdsff" localSheetId="1" hidden="1">{"'Sheet1'!$L$16"}</definedName>
    <definedName name="fdsff" localSheetId="2" hidden="1">{"'Sheet1'!$L$16"}</definedName>
    <definedName name="fdsff" localSheetId="8" hidden="1">{"'Sheet1'!$L$16"}</definedName>
    <definedName name="fdsff" hidden="1">{"'Sheet1'!$L$16"}</definedName>
    <definedName name="fdsfsdfd" localSheetId="1" hidden="1">{"'Sheet1'!$L$16"}</definedName>
    <definedName name="fdsfsdfd" localSheetId="2" hidden="1">{"'Sheet1'!$L$16"}</definedName>
    <definedName name="fdsfsdfd" localSheetId="8" hidden="1">{"'Sheet1'!$L$16"}</definedName>
    <definedName name="fdsfsdfd" hidden="1">{"'Sheet1'!$L$16"}</definedName>
    <definedName name="fđhh" localSheetId="1" hidden="1">{"'Sheet1'!$L$16"}</definedName>
    <definedName name="fđhh" localSheetId="2" hidden="1">{"'Sheet1'!$L$16"}</definedName>
    <definedName name="fđhh" localSheetId="8" hidden="1">{"'Sheet1'!$L$16"}</definedName>
    <definedName name="fđhh" hidden="1">{"'Sheet1'!$L$16"}</definedName>
    <definedName name="FEDSBSD" localSheetId="1" hidden="1">{"'Sheet1'!$L$16"}</definedName>
    <definedName name="FEDSBSD" localSheetId="2" hidden="1">{"'Sheet1'!$L$16"}</definedName>
    <definedName name="FEDSBSD" localSheetId="8" hidden="1">{"'Sheet1'!$L$16"}</definedName>
    <definedName name="FEDSBSD" hidden="1">{"'Sheet1'!$L$16"}</definedName>
    <definedName name="Fees.1" localSheetId="1" hidden="1">{#N/A,#N/A,TRUE,"Cover";#N/A,#N/A,TRUE,"Conts";#N/A,#N/A,TRUE,"VOS";#N/A,#N/A,TRUE,"Warrington";#N/A,#N/A,TRUE,"Widnes"}</definedName>
    <definedName name="Fees.1" localSheetId="2"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ef" localSheetId="1" hidden="1">{"'Sheet1'!$L$16"}</definedName>
    <definedName name="fef" localSheetId="2" hidden="1">{"'Sheet1'!$L$16"}</definedName>
    <definedName name="fef" localSheetId="8" hidden="1">{"'Sheet1'!$L$16"}</definedName>
    <definedName name="fef" hidden="1">{"'Sheet1'!$L$16"}</definedName>
    <definedName name="FEFE" localSheetId="1" hidden="1">{"'Sheet1'!$L$16"}</definedName>
    <definedName name="FEFE" localSheetId="2" hidden="1">{"'Sheet1'!$L$16"}</definedName>
    <definedName name="FEFE" localSheetId="8" hidden="1">{"'Sheet1'!$L$16"}</definedName>
    <definedName name="FEFE" hidden="1">{"'Sheet1'!$L$16"}</definedName>
    <definedName name="fefrefewfe" hidden="1">#REF!</definedName>
    <definedName name="FERQAA" localSheetId="1" hidden="1">{"'Sheet1'!$L$16"}</definedName>
    <definedName name="FERQAA" localSheetId="2" hidden="1">{"'Sheet1'!$L$16"}</definedName>
    <definedName name="FERQAA" localSheetId="8" hidden="1">{"'Sheet1'!$L$16"}</definedName>
    <definedName name="FERQAA" hidden="1">{"'Sheet1'!$L$16"}</definedName>
    <definedName name="ff" localSheetId="1" hidden="1">#REF!</definedName>
    <definedName name="ff" hidden="1">#REF!</definedName>
    <definedName name="ffas" localSheetId="1" hidden="1">{"'Sheet1'!$L$16"}</definedName>
    <definedName name="ffas" localSheetId="2" hidden="1">{"'Sheet1'!$L$16"}</definedName>
    <definedName name="ffas" localSheetId="8" hidden="1">{"'Sheet1'!$L$16"}</definedName>
    <definedName name="ffas" hidden="1">{"'Sheet1'!$L$16"}</definedName>
    <definedName name="ffdfc" localSheetId="1" hidden="1">{"'Sheet1'!$L$16"}</definedName>
    <definedName name="ffdfc" localSheetId="2" hidden="1">{"'Sheet1'!$L$16"}</definedName>
    <definedName name="ffdfc" localSheetId="8" hidden="1">{"'Sheet1'!$L$16"}</definedName>
    <definedName name="ffdfc" hidden="1">{"'Sheet1'!$L$16"}</definedName>
    <definedName name="FFDFG" localSheetId="1" hidden="1">#REF!</definedName>
    <definedName name="FFDFG" hidden="1">#REF!</definedName>
    <definedName name="fff" localSheetId="1" hidden="1">{"'Sheet1'!$L$16"}</definedName>
    <definedName name="fff" localSheetId="2" hidden="1">{"'Sheet1'!$L$16"}</definedName>
    <definedName name="fff" localSheetId="8" hidden="1">{"'Sheet1'!$L$16"}</definedName>
    <definedName name="fff" hidden="1">{"'Sheet1'!$L$16"}</definedName>
    <definedName name="Fffef" localSheetId="1" hidden="1">{#N/A,#N/A,FALSE,"MARCH"}</definedName>
    <definedName name="Fffef" localSheetId="2" hidden="1">{#N/A,#N/A,FALSE,"MARCH"}</definedName>
    <definedName name="Fffef" localSheetId="8" hidden="1">{#N/A,#N/A,FALSE,"MARCH"}</definedName>
    <definedName name="Fffef" hidden="1">{#N/A,#N/A,FALSE,"MARCH"}</definedName>
    <definedName name="ffff" localSheetId="1" hidden="1">{"'Sheet1'!$L$16"}</definedName>
    <definedName name="ffff" localSheetId="2" hidden="1">{"'Sheet1'!$L$16"}</definedName>
    <definedName name="ffff" localSheetId="8" hidden="1">{"'Sheet1'!$L$16"}</definedName>
    <definedName name="ffff" hidden="1">{"'Sheet1'!$L$16"}</definedName>
    <definedName name="ffffd" localSheetId="1" hidden="1">{#N/A,#N/A,TRUE,"SUM";#N/A,#N/A,TRUE,"EE";#N/A,#N/A,TRUE,"AC";#N/A,#N/A,TRUE,"SN"}</definedName>
    <definedName name="ffffd" localSheetId="2" hidden="1">{#N/A,#N/A,TRUE,"SUM";#N/A,#N/A,TRUE,"EE";#N/A,#N/A,TRUE,"AC";#N/A,#N/A,TRUE,"SN"}</definedName>
    <definedName name="ffffd" localSheetId="8" hidden="1">{#N/A,#N/A,TRUE,"SUM";#N/A,#N/A,TRUE,"EE";#N/A,#N/A,TRUE,"AC";#N/A,#N/A,TRUE,"SN"}</definedName>
    <definedName name="ffffd" hidden="1">{#N/A,#N/A,TRUE,"SUM";#N/A,#N/A,TRUE,"EE";#N/A,#N/A,TRUE,"AC";#N/A,#N/A,TRUE,"SN"}</definedName>
    <definedName name="fffffffffffffff" localSheetId="1" hidden="1">{"'Sheet1'!$L$16"}</definedName>
    <definedName name="fffffffffffffff" localSheetId="2" hidden="1">{"'Sheet1'!$L$16"}</definedName>
    <definedName name="fffffffffffffff" localSheetId="8" hidden="1">{"'Sheet1'!$L$16"}</definedName>
    <definedName name="fffffffffffffff" hidden="1">{"'Sheet1'!$L$16"}</definedName>
    <definedName name="ffqq" hidden="1">#REF!</definedName>
    <definedName name="fg" localSheetId="1" hidden="1">{"'Sheet1'!$L$16"}</definedName>
    <definedName name="fg" localSheetId="2" hidden="1">{"'Sheet1'!$L$16"}</definedName>
    <definedName name="fg" localSheetId="8" hidden="1">{"'Sheet1'!$L$16"}</definedName>
    <definedName name="fg" hidden="1">{"'Sheet1'!$L$16"}</definedName>
    <definedName name="fgaergrea" hidden="1">#REF!</definedName>
    <definedName name="FGDFAG" localSheetId="1" hidden="1">{"'Sheet1'!$L$16"}</definedName>
    <definedName name="FGDFAG" localSheetId="2" hidden="1">{"'Sheet1'!$L$16"}</definedName>
    <definedName name="FGDFAG" localSheetId="8" hidden="1">{"'Sheet1'!$L$16"}</definedName>
    <definedName name="FGDFAG" hidden="1">{"'Sheet1'!$L$16"}</definedName>
    <definedName name="FGDFGH" localSheetId="1" hidden="1">{"'Sheet1'!$L$16"}</definedName>
    <definedName name="FGDFGH" localSheetId="2" hidden="1">{"'Sheet1'!$L$16"}</definedName>
    <definedName name="FGDFGH" localSheetId="8" hidden="1">{"'Sheet1'!$L$16"}</definedName>
    <definedName name="FGDFGH" hidden="1">{"'Sheet1'!$L$16"}</definedName>
    <definedName name="FGDFHG" localSheetId="1" hidden="1">{"'Sheet1'!$L$16"}</definedName>
    <definedName name="FGDFHG" localSheetId="2" hidden="1">{"'Sheet1'!$L$16"}</definedName>
    <definedName name="FGDFHG" localSheetId="8" hidden="1">{"'Sheet1'!$L$16"}</definedName>
    <definedName name="FGDFHG" hidden="1">{"'Sheet1'!$L$16"}</definedName>
    <definedName name="FGF" localSheetId="1" hidden="1">{#N/A,#N/A,FALSE,"Sheet2";#N/A,#N/A,FALSE,"Sheet4";#N/A,#N/A,FALSE,"Sheet6"}</definedName>
    <definedName name="FGF" localSheetId="2" hidden="1">{#N/A,#N/A,FALSE,"Sheet2";#N/A,#N/A,FALSE,"Sheet4";#N/A,#N/A,FALSE,"Sheet6"}</definedName>
    <definedName name="FGF" localSheetId="8" hidden="1">{#N/A,#N/A,FALSE,"Sheet2";#N/A,#N/A,FALSE,"Sheet4";#N/A,#N/A,FALSE,"Sheet6"}</definedName>
    <definedName name="FGF" hidden="1">{#N/A,#N/A,FALSE,"Sheet2";#N/A,#N/A,FALSE,"Sheet4";#N/A,#N/A,FALSE,"Sheet6"}</definedName>
    <definedName name="fgfdg" hidden="1">#REF!</definedName>
    <definedName name="fgff" localSheetId="1" hidden="1">{#N/A,#N/A,TRUE,"SUM";#N/A,#N/A,TRUE,"EE";#N/A,#N/A,TRUE,"AC";#N/A,#N/A,TRUE,"SN"}</definedName>
    <definedName name="fgff" localSheetId="2" hidden="1">{#N/A,#N/A,TRUE,"SUM";#N/A,#N/A,TRUE,"EE";#N/A,#N/A,TRUE,"AC";#N/A,#N/A,TRUE,"SN"}</definedName>
    <definedName name="fgff" localSheetId="8" hidden="1">{#N/A,#N/A,TRUE,"SUM";#N/A,#N/A,TRUE,"EE";#N/A,#N/A,TRUE,"AC";#N/A,#N/A,TRUE,"SN"}</definedName>
    <definedName name="fgff" hidden="1">{#N/A,#N/A,TRUE,"SUM";#N/A,#N/A,TRUE,"EE";#N/A,#N/A,TRUE,"AC";#N/A,#N/A,TRUE,"SN"}</definedName>
    <definedName name="fgfg" localSheetId="1" hidden="1">#REF!</definedName>
    <definedName name="fgfg" localSheetId="2" hidden="1">{#N/A,#N/A,TRUE,"BT M200 da 10x20"}</definedName>
    <definedName name="fgfg" localSheetId="8" hidden="1">{#N/A,#N/A,TRUE,"BT M200 da 10x20"}</definedName>
    <definedName name="fgfg" hidden="1">{#N/A,#N/A,TRUE,"BT M200 da 10x20"}</definedName>
    <definedName name="fgfgf" localSheetId="1" hidden="1">{"'Sheet1'!$L$16"}</definedName>
    <definedName name="fgfgf" localSheetId="2" hidden="1">{"'Sheet1'!$L$16"}</definedName>
    <definedName name="fgfgf" localSheetId="8" hidden="1">{"'Sheet1'!$L$16"}</definedName>
    <definedName name="fgfgf" hidden="1">{"'Sheet1'!$L$16"}</definedName>
    <definedName name="fgfgfg" localSheetId="1" hidden="1">{"'Sheet1'!$L$16"}</definedName>
    <definedName name="fgfgfg" localSheetId="2" hidden="1">{"'Sheet1'!$L$16"}</definedName>
    <definedName name="fgfgfg" localSheetId="8" hidden="1">{"'Sheet1'!$L$16"}</definedName>
    <definedName name="fgfgfg" hidden="1">{"'Sheet1'!$L$16"}</definedName>
    <definedName name="fgfgfgfg" localSheetId="1" hidden="1">{#N/A,#N/A,TRUE,"BT M200 da 10x20"}</definedName>
    <definedName name="fgfgfgfg" localSheetId="2" hidden="1">{#N/A,#N/A,TRUE,"BT M200 da 10x20"}</definedName>
    <definedName name="fgfgfgfg" localSheetId="8" hidden="1">{#N/A,#N/A,TRUE,"BT M200 da 10x20"}</definedName>
    <definedName name="fgfgfgfg" hidden="1">{#N/A,#N/A,TRUE,"BT M200 da 10x20"}</definedName>
    <definedName name="fgfgfgfgf" localSheetId="1" hidden="1">{"'Sheet1'!$L$16"}</definedName>
    <definedName name="fgfgfgfgf" localSheetId="2" hidden="1">{"'Sheet1'!$L$16"}</definedName>
    <definedName name="fgfgfgfgf" localSheetId="8" hidden="1">{"'Sheet1'!$L$16"}</definedName>
    <definedName name="fgfgfgfgf" hidden="1">{"'Sheet1'!$L$16"}</definedName>
    <definedName name="fgfh" hidden="1">#REF!</definedName>
    <definedName name="fgg" localSheetId="1" hidden="1">{"'장비'!$A$3:$M$12"}</definedName>
    <definedName name="fgg" localSheetId="2" hidden="1">{"'장비'!$A$3:$M$12"}</definedName>
    <definedName name="fgg" localSheetId="8" hidden="1">{"'장비'!$A$3:$M$12"}</definedName>
    <definedName name="fgg" hidden="1">{"'장비'!$A$3:$M$12"}</definedName>
    <definedName name="fggfgfgfg" localSheetId="1" hidden="1">{"'Sheet1'!$L$16"}</definedName>
    <definedName name="fggfgfgfg" localSheetId="2" hidden="1">{"'Sheet1'!$L$16"}</definedName>
    <definedName name="fggfgfgfg" localSheetId="8" hidden="1">{"'Sheet1'!$L$16"}</definedName>
    <definedName name="fggfgfgfg" hidden="1">{"'Sheet1'!$L$16"}</definedName>
    <definedName name="FGH" localSheetId="1" hidden="1">{#N/A,#N/A,FALSE,"估價單  (3)"}</definedName>
    <definedName name="fgh" hidden="1">#REF!</definedName>
    <definedName name="fghbys" localSheetId="1" hidden="1">#REF!</definedName>
    <definedName name="fghbys" hidden="1">#REF!</definedName>
    <definedName name="FGHDGFHDF" localSheetId="1" hidden="1">{"'Sheet1'!$L$16"}</definedName>
    <definedName name="FGHDGFHDF" localSheetId="2" hidden="1">{"'Sheet1'!$L$16"}</definedName>
    <definedName name="FGHDGFHDF" localSheetId="8" hidden="1">{"'Sheet1'!$L$16"}</definedName>
    <definedName name="FGHDGFHDF" hidden="1">{"'Sheet1'!$L$16"}</definedName>
    <definedName name="FGHDGHD" localSheetId="1" hidden="1">{"'Sheet1'!$L$16"}</definedName>
    <definedName name="FGHDGHD" localSheetId="2" hidden="1">{"'Sheet1'!$L$16"}</definedName>
    <definedName name="FGHDGHD" localSheetId="8" hidden="1">{"'Sheet1'!$L$16"}</definedName>
    <definedName name="FGHDGHD" hidden="1">{"'Sheet1'!$L$16"}</definedName>
    <definedName name="FGHH" localSheetId="1" hidden="1">{#N/A,#N/A,FALSE,"CCTV"}</definedName>
    <definedName name="FGHH" localSheetId="2" hidden="1">{#N/A,#N/A,FALSE,"CCTV"}</definedName>
    <definedName name="FGHH" localSheetId="8" hidden="1">{#N/A,#N/A,FALSE,"CCTV"}</definedName>
    <definedName name="FGHH" hidden="1">{#N/A,#N/A,FALSE,"CCTV"}</definedName>
    <definedName name="FGJFGH" localSheetId="1" hidden="1">{"'Sheet1'!$L$16"}</definedName>
    <definedName name="FGJFGH" localSheetId="2" hidden="1">{"'Sheet1'!$L$16"}</definedName>
    <definedName name="FGJFGH" localSheetId="8" hidden="1">{"'Sheet1'!$L$16"}</definedName>
    <definedName name="FGJFGH" hidden="1">{"'Sheet1'!$L$16"}</definedName>
    <definedName name="fgjft" localSheetId="1" hidden="1">{#N/A,#N/A,FALSE,"Sheet6"}</definedName>
    <definedName name="fgjft" localSheetId="2" hidden="1">{#N/A,#N/A,FALSE,"Sheet6"}</definedName>
    <definedName name="fgjft" localSheetId="8" hidden="1">{#N/A,#N/A,FALSE,"Sheet6"}</definedName>
    <definedName name="fgjft" hidden="1">{#N/A,#N/A,FALSE,"Sheet6"}</definedName>
    <definedName name="fgjj" localSheetId="1" hidden="1">{"'Sheet1'!$L$16"}</definedName>
    <definedName name="fgjj" localSheetId="2" hidden="1">{"'Sheet1'!$L$16"}</definedName>
    <definedName name="fgjj" localSheetId="8" hidden="1">{"'Sheet1'!$L$16"}</definedName>
    <definedName name="fgjj" hidden="1">{"'Sheet1'!$L$16"}</definedName>
    <definedName name="fgn" localSheetId="1" hidden="1">{"'Sheet1'!$L$16"}</definedName>
    <definedName name="fgn" localSheetId="2" hidden="1">{"'Sheet1'!$L$16"}</definedName>
    <definedName name="fgn" localSheetId="8" hidden="1">{"'Sheet1'!$L$16"}</definedName>
    <definedName name="fgn" hidden="1">{"'Sheet1'!$L$16"}</definedName>
    <definedName name="FGNHGFH" hidden="1">#REF!</definedName>
    <definedName name="fgsdaa" localSheetId="1" hidden="1">{#N/A,#N/A,TRUE,"BT M200 da 10x20"}</definedName>
    <definedName name="fgsdaa" localSheetId="2" hidden="1">{#N/A,#N/A,TRUE,"BT M200 da 10x20"}</definedName>
    <definedName name="fgsdaa" localSheetId="8" hidden="1">{#N/A,#N/A,TRUE,"BT M200 da 10x20"}</definedName>
    <definedName name="fgsdaa" hidden="1">{#N/A,#N/A,TRUE,"BT M200 da 10x20"}</definedName>
    <definedName name="fgㅗ" localSheetId="1" hidden="1">{#N/A,#N/A,FALSE,"집계표"}</definedName>
    <definedName name="fgㅗ" localSheetId="2" hidden="1">{#N/A,#N/A,FALSE,"집계표"}</definedName>
    <definedName name="fgㅗ" localSheetId="8" hidden="1">{#N/A,#N/A,FALSE,"집계표"}</definedName>
    <definedName name="fgㅗ" hidden="1">{#N/A,#N/A,FALSE,"집계표"}</definedName>
    <definedName name="fh" hidden="1">#REF!</definedName>
    <definedName name="fhdfh" localSheetId="1" hidden="1">{"'Sheet1'!$L$16"}</definedName>
    <definedName name="fhdfh" localSheetId="2" hidden="1">{"'Sheet1'!$L$16"}</definedName>
    <definedName name="fhdfh" localSheetId="8" hidden="1">{"'Sheet1'!$L$16"}</definedName>
    <definedName name="fhdfh" hidden="1">{"'Sheet1'!$L$16"}</definedName>
    <definedName name="fhf" localSheetId="1" hidden="1">{0,0,0,0}</definedName>
    <definedName name="fhf" localSheetId="2" hidden="1">{0,0,0,0}</definedName>
    <definedName name="fhf" localSheetId="8" hidden="1">{0,0,0,0}</definedName>
    <definedName name="fhf" hidden="1">{0,0,0,0}</definedName>
    <definedName name="fhfdyh" localSheetId="1" hidden="1">{"'Sheet1'!$L$16"}</definedName>
    <definedName name="fhfdyh" localSheetId="2" hidden="1">{"'Sheet1'!$L$16"}</definedName>
    <definedName name="fhfdyh" localSheetId="8" hidden="1">{"'Sheet1'!$L$16"}</definedName>
    <definedName name="fhfdyh" hidden="1">{"'Sheet1'!$L$16"}</definedName>
    <definedName name="FHFH" hidden="1">#REF!</definedName>
    <definedName name="FHFK" hidden="1">#REF!</definedName>
    <definedName name="fhgj" localSheetId="1" hidden="1">{"'Sheet1'!$L$16"}</definedName>
    <definedName name="fhgj" localSheetId="2" hidden="1">{"'Sheet1'!$L$16"}</definedName>
    <definedName name="fhgj" localSheetId="8" hidden="1">{"'Sheet1'!$L$16"}</definedName>
    <definedName name="fhgj" hidden="1">{"'Sheet1'!$L$16"}</definedName>
    <definedName name="FHJHJHG" localSheetId="1" hidden="1">{"'Sheet1'!$L$16"}</definedName>
    <definedName name="FHJHJHG" localSheetId="2" hidden="1">{"'Sheet1'!$L$16"}</definedName>
    <definedName name="FHJHJHG" localSheetId="8" hidden="1">{"'Sheet1'!$L$16"}</definedName>
    <definedName name="FHJHJHG" hidden="1">{"'Sheet1'!$L$16"}</definedName>
    <definedName name="fill" localSheetId="1" hidden="1">#REF!</definedName>
    <definedName name="fill" hidden="1">#REF!</definedName>
    <definedName name="FILL1" localSheetId="1" hidden="1">#REF!</definedName>
    <definedName name="FILL1" hidden="1">#REF!</definedName>
    <definedName name="FILLL" localSheetId="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localSheetId="1" hidden="1">{"'용역비'!$A$4:$C$8"}</definedName>
    <definedName name="FK" localSheetId="2" hidden="1">{"'용역비'!$A$4:$C$8"}</definedName>
    <definedName name="FK" localSheetId="8" hidden="1">{"'용역비'!$A$4:$C$8"}</definedName>
    <definedName name="FK" hidden="1">{"'용역비'!$A$4:$C$8"}</definedName>
    <definedName name="FKFKFKFKF" localSheetId="1" hidden="1">{#N/A,#N/A,FALSE,"주간공정";#N/A,#N/A,FALSE,"주간보고";#N/A,#N/A,FALSE,"주간공정표"}</definedName>
    <definedName name="FKFKFKFKF" localSheetId="2" hidden="1">{#N/A,#N/A,FALSE,"주간공정";#N/A,#N/A,FALSE,"주간보고";#N/A,#N/A,FALSE,"주간공정표"}</definedName>
    <definedName name="FKFKFKFKF" localSheetId="8" hidden="1">{#N/A,#N/A,FALSE,"주간공정";#N/A,#N/A,FALSE,"주간보고";#N/A,#N/A,FALSE,"주간공정표"}</definedName>
    <definedName name="FKFKFKFKF" hidden="1">{#N/A,#N/A,FALSE,"주간공정";#N/A,#N/A,FALSE,"주간보고";#N/A,#N/A,FALSE,"주간공정표"}</definedName>
    <definedName name="FOR" localSheetId="1" hidden="1">{#N/A,#N/A,FALSE,"CCTV"}</definedName>
    <definedName name="FOR" localSheetId="2" hidden="1">{#N/A,#N/A,FALSE,"CCTV"}</definedName>
    <definedName name="FOR" localSheetId="8" hidden="1">{#N/A,#N/A,FALSE,"CCTV"}</definedName>
    <definedName name="FOR" hidden="1">{#N/A,#N/A,FALSE,"CCTV"}</definedName>
    <definedName name="form" localSheetId="1" hidden="1">{"'ELEC'!$A$2:$H$216","'ELEC'!$C$2:$D$2"}</definedName>
    <definedName name="form" localSheetId="2" hidden="1">{"'ELEC'!$A$2:$H$216","'ELEC'!$C$2:$D$2"}</definedName>
    <definedName name="form" localSheetId="8" hidden="1">{"'ELEC'!$A$2:$H$216","'ELEC'!$C$2:$D$2"}</definedName>
    <definedName name="form" hidden="1">{"'ELEC'!$A$2:$H$216","'ELEC'!$C$2:$D$2"}</definedName>
    <definedName name="FORMAT" localSheetId="1" hidden="1">{#N/A,#N/A,FALSE,"CCTV"}</definedName>
    <definedName name="FORMAT" localSheetId="2" hidden="1">{#N/A,#N/A,FALSE,"CCTV"}</definedName>
    <definedName name="FORMAT" localSheetId="8" hidden="1">{#N/A,#N/A,FALSE,"CCTV"}</definedName>
    <definedName name="FORMAT" hidden="1">{#N/A,#N/A,FALSE,"CCTV"}</definedName>
    <definedName name="FQWERWE" localSheetId="1" hidden="1">#REF!</definedName>
    <definedName name="FQWERWE" hidden="1">#REF!</definedName>
    <definedName name="FReport5" localSheetId="1" hidden="1">{#N/A,#N/A,FALSE,"MARCH"}</definedName>
    <definedName name="FReport5" localSheetId="2" hidden="1">{#N/A,#N/A,FALSE,"MARCH"}</definedName>
    <definedName name="FReport5" localSheetId="8" hidden="1">{#N/A,#N/A,FALSE,"MARCH"}</definedName>
    <definedName name="FReport5" hidden="1">{#N/A,#N/A,FALSE,"MARCH"}</definedName>
    <definedName name="FREPRT6" localSheetId="1" hidden="1">{#N/A,#N/A,FALSE,"MARCH"}</definedName>
    <definedName name="FREPRT6" localSheetId="2" hidden="1">{#N/A,#N/A,FALSE,"MARCH"}</definedName>
    <definedName name="FREPRT6" localSheetId="8" hidden="1">{#N/A,#N/A,FALSE,"MARCH"}</definedName>
    <definedName name="FREPRT6" hidden="1">{#N/A,#N/A,FALSE,"MARCH"}</definedName>
    <definedName name="FS">#REF!</definedName>
    <definedName name="fsd" localSheetId="1" hidden="1">{#N/A,#N/A,FALSE,"mgtsum.XLS";#N/A,#N/A,FALSE,"CAPONE";#N/A,#N/A,FALSE,"CAPTWO";#N/A,#N/A,FALSE,"CAPTHREE"}</definedName>
    <definedName name="fsd" localSheetId="2" hidden="1">{#N/A,#N/A,FALSE,"mgtsum.XLS";#N/A,#N/A,FALSE,"CAPONE";#N/A,#N/A,FALSE,"CAPTWO";#N/A,#N/A,FALSE,"CAPTHREE"}</definedName>
    <definedName name="fsd" localSheetId="8" hidden="1">{#N/A,#N/A,FALSE,"mgtsum.XLS";#N/A,#N/A,FALSE,"CAPONE";#N/A,#N/A,FALSE,"CAPTWO";#N/A,#N/A,FALSE,"CAPTHREE"}</definedName>
    <definedName name="fsd" hidden="1">{#N/A,#N/A,FALSE,"mgtsum.XLS";#N/A,#N/A,FALSE,"CAPONE";#N/A,#N/A,FALSE,"CAPTWO";#N/A,#N/A,FALSE,"CAPTHREE"}</definedName>
    <definedName name="fsdd" hidden="1">#REF!</definedName>
    <definedName name="fsdf" localSheetId="1" hidden="1">{"'Sheet1'!$L$16"}</definedName>
    <definedName name="fsdf" localSheetId="2" hidden="1">{"'Sheet1'!$L$16"}</definedName>
    <definedName name="fsdf" localSheetId="8" hidden="1">{"'Sheet1'!$L$16"}</definedName>
    <definedName name="fsdf" hidden="1">{"'Sheet1'!$L$16"}</definedName>
    <definedName name="fsdfdsf" localSheetId="1" hidden="1">{"'Sheet1'!$L$16"}</definedName>
    <definedName name="fsdfdsf" localSheetId="2" hidden="1">{"'Sheet1'!$L$16"}</definedName>
    <definedName name="fsdfdsf" localSheetId="8" hidden="1">{"'Sheet1'!$L$16"}</definedName>
    <definedName name="fsdfdsf" hidden="1">{"'Sheet1'!$L$16"}</definedName>
    <definedName name="FSDFĐ" localSheetId="1" hidden="1">{"'Sheet1'!$L$16"}</definedName>
    <definedName name="FSDFĐ" localSheetId="2" hidden="1">{"'Sheet1'!$L$16"}</definedName>
    <definedName name="FSDFĐ" localSheetId="8" hidden="1">{"'Sheet1'!$L$16"}</definedName>
    <definedName name="FSDFĐ" hidden="1">{"'Sheet1'!$L$16"}</definedName>
    <definedName name="FSDFEW" localSheetId="1" hidden="1">{"'Sheet1'!$L$16"}</definedName>
    <definedName name="FSDFEW" localSheetId="2" hidden="1">{"'Sheet1'!$L$16"}</definedName>
    <definedName name="FSDFEW" localSheetId="8" hidden="1">{"'Sheet1'!$L$16"}</definedName>
    <definedName name="FSDFEW" hidden="1">{"'Sheet1'!$L$16"}</definedName>
    <definedName name="fsdfs" localSheetId="1" hidden="1">{"'Sheet1'!$L$16"}</definedName>
    <definedName name="fsdfs" localSheetId="2" hidden="1">{"'Sheet1'!$L$16"}</definedName>
    <definedName name="fsdfs" localSheetId="8" hidden="1">{"'Sheet1'!$L$16"}</definedName>
    <definedName name="fsdfs" hidden="1">{"'Sheet1'!$L$16"}</definedName>
    <definedName name="fsdfsd" localSheetId="1" hidden="1">{#N/A,#N/A,FALSE,"Chi tiÆt"}</definedName>
    <definedName name="fsdfsd" localSheetId="2" hidden="1">{#N/A,#N/A,FALSE,"Chi tiÆt"}</definedName>
    <definedName name="fsdfsd" localSheetId="8" hidden="1">{#N/A,#N/A,FALSE,"Chi tiÆt"}</definedName>
    <definedName name="fsdfsd" hidden="1">{#N/A,#N/A,FALSE,"Chi tiÆt"}</definedName>
    <definedName name="FSDFSDF" localSheetId="1" hidden="1">{#N/A,#N/A,TRUE,"SUM";#N/A,#N/A,TRUE,"EE";#N/A,#N/A,TRUE,"AC";#N/A,#N/A,TRUE,"SN"}</definedName>
    <definedName name="FSDFSDF" localSheetId="2" hidden="1">{#N/A,#N/A,TRUE,"SUM";#N/A,#N/A,TRUE,"EE";#N/A,#N/A,TRUE,"AC";#N/A,#N/A,TRUE,"SN"}</definedName>
    <definedName name="FSDFSDF" localSheetId="8" hidden="1">{#N/A,#N/A,TRUE,"SUM";#N/A,#N/A,TRUE,"EE";#N/A,#N/A,TRUE,"AC";#N/A,#N/A,TRUE,"SN"}</definedName>
    <definedName name="FSDFSDF" hidden="1">{#N/A,#N/A,TRUE,"SUM";#N/A,#N/A,TRUE,"EE";#N/A,#N/A,TRUE,"AC";#N/A,#N/A,TRUE,"SN"}</definedName>
    <definedName name="FSDFSĐ" localSheetId="1" hidden="1">{"'Sheet1'!$L$16"}</definedName>
    <definedName name="FSDFSĐ" localSheetId="2" hidden="1">{"'Sheet1'!$L$16"}</definedName>
    <definedName name="FSDFSĐ" localSheetId="8" hidden="1">{"'Sheet1'!$L$16"}</definedName>
    <definedName name="FSDFSĐ" hidden="1">{"'Sheet1'!$L$16"}</definedName>
    <definedName name="fsdfsf" localSheetId="1" hidden="1">{"ECA Qtrs C",#N/A,TRUE,"ECA_Qtrs_C";"ECA Qtrs D",#N/A,TRUE,"ECA_Qtrs_D";"ECA Qtrs F",#N/A,TRUE,"ECA_Qtrs_F";"ECA Qtrs G",#N/A,TRUE,"ECA_Qtrs_G";"ECA SisterApt",#N/A,TRUE,"ECA_SisterApt";"ECA Nurses",#N/A,TRUE,"ECA_NursesHostel"}</definedName>
    <definedName name="fsdfsf" localSheetId="2" hidden="1">{"ECA Qtrs C",#N/A,TRUE,"ECA_Qtrs_C";"ECA Qtrs D",#N/A,TRUE,"ECA_Qtrs_D";"ECA Qtrs F",#N/A,TRUE,"ECA_Qtrs_F";"ECA Qtrs G",#N/A,TRUE,"ECA_Qtrs_G";"ECA SisterApt",#N/A,TRUE,"ECA_SisterApt";"ECA Nurses",#N/A,TRUE,"ECA_NursesHostel"}</definedName>
    <definedName name="fsdfsf" localSheetId="8" hidden="1">{"ECA Qtrs C",#N/A,TRUE,"ECA_Qtrs_C";"ECA Qtrs D",#N/A,TRUE,"ECA_Qtrs_D";"ECA Qtrs F",#N/A,TRUE,"ECA_Qtrs_F";"ECA Qtrs G",#N/A,TRUE,"ECA_Qtrs_G";"ECA SisterApt",#N/A,TRUE,"ECA_SisterApt";"ECA Nurses",#N/A,TRUE,"ECA_NursesHostel"}</definedName>
    <definedName name="fsdfsf" hidden="1">{"ECA Qtrs C",#N/A,TRUE,"ECA_Qtrs_C";"ECA Qtrs D",#N/A,TRUE,"ECA_Qtrs_D";"ECA Qtrs F",#N/A,TRUE,"ECA_Qtrs_F";"ECA Qtrs G",#N/A,TRUE,"ECA_Qtrs_G";"ECA SisterApt",#N/A,TRUE,"ECA_SisterApt";"ECA Nurses",#N/A,TRUE,"ECA_NursesHostel"}</definedName>
    <definedName name="FSE" localSheetId="1" hidden="1">{#N/A,#N/A,TRUE,"Cover Memo";"Ride Estimate",#N/A,TRUE,"Change Summary";"Ride Estimate",#N/A,TRUE,"Estimate Summary";"Ride Estimate",#N/A,TRUE,"Dept. Summary";"Ride Estimate",#N/A,TRUE,"DOW Detail"}</definedName>
    <definedName name="FSE" localSheetId="2" hidden="1">{#N/A,#N/A,TRUE,"Cover Memo";"Ride Estimate",#N/A,TRUE,"Change Summary";"Ride Estimate",#N/A,TRUE,"Estimate Summary";"Ride Estimate",#N/A,TRUE,"Dept. Summary";"Ride Estimate",#N/A,TRUE,"DOW Detail"}</definedName>
    <definedName name="FSE" localSheetId="8" hidden="1">{#N/A,#N/A,TRUE,"Cover Memo";"Ride Estimate",#N/A,TRUE,"Change Summary";"Ride Estimate",#N/A,TRUE,"Estimate Summary";"Ride Estimate",#N/A,TRUE,"Dept. Summary";"Ride Estimate",#N/A,TRUE,"DOW Detail"}</definedName>
    <definedName name="FSE" hidden="1">{#N/A,#N/A,TRUE,"Cover Memo";"Ride Estimate",#N/A,TRUE,"Change Summary";"Ride Estimate",#N/A,TRUE,"Estimate Summary";"Ride Estimate",#N/A,TRUE,"Dept. Summary";"Ride Estimate",#N/A,TRUE,"DOW Detail"}</definedName>
    <definedName name="FSED" localSheetId="1"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ED" localSheetId="8"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localSheetId="1" hidden="1">{"'Sheet1'!$L$16"}</definedName>
    <definedName name="fsf" localSheetId="2" hidden="1">{"'Sheet1'!$L$16"}</definedName>
    <definedName name="fsf" localSheetId="8" hidden="1">{"'Sheet1'!$L$16"}</definedName>
    <definedName name="fsf" hidden="1">{"'Sheet1'!$L$16"}</definedName>
    <definedName name="FSFE" localSheetId="1" hidden="1">{#N/A,#N/A,TRUE,"Cover Memo";"Complete Sys. Estimate",#N/A,TRUE,"Change Summary";"Complete Sys. Estimate",#N/A,TRUE,"Estimate Summary";"Complete Sys. Estimate",#N/A,TRUE,"Dept. Summary";"Complete Sys. Estimate",#N/A,TRUE,"DOW Detail"}</definedName>
    <definedName name="FSFE" localSheetId="2" hidden="1">{#N/A,#N/A,TRUE,"Cover Memo";"Complete Sys. Estimate",#N/A,TRUE,"Change Summary";"Complete Sys. Estimate",#N/A,TRUE,"Estimate Summary";"Complete Sys. Estimate",#N/A,TRUE,"Dept. Summary";"Complete Sys. Estimate",#N/A,TRUE,"DOW Detail"}</definedName>
    <definedName name="FSFE" localSheetId="8" hidden="1">{#N/A,#N/A,TRUE,"Cover Memo";"Complete Sys. Estimate",#N/A,TRUE,"Change Summary";"Complete Sys. Estimate",#N/A,TRUE,"Estimate Summary";"Complete Sys. Estimate",#N/A,TRUE,"Dept. Summary";"Complete Sys. Estimate",#N/A,TRUE,"DOW Detail"}</definedName>
    <definedName name="FSFE" hidden="1">{#N/A,#N/A,TRUE,"Cover Memo";"Complete Sys. Estimate",#N/A,TRUE,"Change Summary";"Complete Sys. Estimate",#N/A,TRUE,"Estimate Summary";"Complete Sys. Estimate",#N/A,TRUE,"Dept. Summary";"Complete Sys. Estimate",#N/A,TRUE,"DOW Detail"}</definedName>
    <definedName name="fsfsd" localSheetId="1" hidden="1">{"'Sheet1'!$L$16"}</definedName>
    <definedName name="fsfsd" localSheetId="2" hidden="1">{"'Sheet1'!$L$16"}</definedName>
    <definedName name="fsfsd" localSheetId="8" hidden="1">{"'Sheet1'!$L$16"}</definedName>
    <definedName name="fsfsd" hidden="1">{"'Sheet1'!$L$16"}</definedName>
    <definedName name="fsfsf" localSheetId="1" hidden="1">{"'Sheet1'!$L$16"}</definedName>
    <definedName name="fsfsf" localSheetId="2" hidden="1">{"'Sheet1'!$L$16"}</definedName>
    <definedName name="fsfsf" localSheetId="8" hidden="1">{"'Sheet1'!$L$16"}</definedName>
    <definedName name="fsfsf" hidden="1">{"'Sheet1'!$L$16"}</definedName>
    <definedName name="fsfsfdd" localSheetId="1" hidden="1">{"'Sheet1'!$L$16"}</definedName>
    <definedName name="fsfsfdd" localSheetId="2" hidden="1">{"'Sheet1'!$L$16"}</definedName>
    <definedName name="fsfsfdd" localSheetId="8" hidden="1">{"'Sheet1'!$L$16"}</definedName>
    <definedName name="fsfsfdd" hidden="1">{"'Sheet1'!$L$16"}</definedName>
    <definedName name="fsg" localSheetId="1" hidden="1">#REF!</definedName>
    <definedName name="fsg" hidden="1">#REF!</definedName>
    <definedName name="fsm" localSheetId="1" hidden="1">{"'CPA Sum'!$A$1:$X$30","'CPA'!$A$1:$K$187","'Infra Cost'!$A$1:$Q$30","'Dev't Cost'!$A$1:$AH$40","'Cashflow'!$A$1:$DG$82"}</definedName>
    <definedName name="fsm" localSheetId="2" hidden="1">{"'CPA Sum'!$A$1:$X$30","'CPA'!$A$1:$K$187","'Infra Cost'!$A$1:$Q$30","'Dev't Cost'!$A$1:$AH$40","'Cashflow'!$A$1:$DG$82"}</definedName>
    <definedName name="fsm" localSheetId="8" hidden="1">{"'CPA Sum'!$A$1:$X$30","'CPA'!$A$1:$K$187","'Infra Cost'!$A$1:$Q$30","'Dev't Cost'!$A$1:$AH$40","'Cashflow'!$A$1:$DG$82"}</definedName>
    <definedName name="fsm" hidden="1">{"'CPA Sum'!$A$1:$X$30","'CPA'!$A$1:$K$187","'Infra Cost'!$A$1:$Q$30","'Dev't Cost'!$A$1:$AH$40","'Cashflow'!$A$1:$DG$82"}</definedName>
    <definedName name="fso" localSheetId="1" hidden="1">#REF!</definedName>
    <definedName name="fso" hidden="1">#REF!</definedName>
    <definedName name="fszg" localSheetId="1" hidden="1">{"'Sheet1'!$L$16"}</definedName>
    <definedName name="fszg" localSheetId="2" hidden="1">{"'Sheet1'!$L$16"}</definedName>
    <definedName name="fszg" localSheetId="8" hidden="1">{"'Sheet1'!$L$16"}</definedName>
    <definedName name="fszg" hidden="1">{"'Sheet1'!$L$16"}</definedName>
    <definedName name="fu" localSheetId="1" hidden="1">{"Offgrid",#N/A,FALSE,"OFFGRID";"Region",#N/A,FALSE,"REGION";"Offgrid -2",#N/A,FALSE,"OFFGRID";"WTP",#N/A,FALSE,"WTP";"WTP -2",#N/A,FALSE,"WTP";"Project",#N/A,FALSE,"PROJECT";"Summary -2",#N/A,FALSE,"SUMMARY"}</definedName>
    <definedName name="fu" localSheetId="2" hidden="1">{"Offgrid",#N/A,FALSE,"OFFGRID";"Region",#N/A,FALSE,"REGION";"Offgrid -2",#N/A,FALSE,"OFFGRID";"WTP",#N/A,FALSE,"WTP";"WTP -2",#N/A,FALSE,"WTP";"Project",#N/A,FALSE,"PROJECT";"Summary -2",#N/A,FALSE,"SUMMARY"}</definedName>
    <definedName name="fu" localSheetId="8"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CK" localSheetId="1" hidden="1">#REF!</definedName>
    <definedName name="FUCK" hidden="1">#REF!</definedName>
    <definedName name="FULL" localSheetId="1" hidden="1">#REF!</definedName>
    <definedName name="FULL" hidden="1">#REF!</definedName>
    <definedName name="fw" localSheetId="1" hidden="1">#REF!</definedName>
    <definedName name="fw" hidden="1">#REF!</definedName>
    <definedName name="fwef" localSheetId="1" hidden="1">#REF!</definedName>
    <definedName name="fwef" hidden="1">#REF!</definedName>
    <definedName name="fwerfaef" localSheetId="1" hidden="1">{#N/A,#N/A,FALSE,"Tabelle2";#N/A,#N/A,FALSE,"Tabelle1"}</definedName>
    <definedName name="fwerfaef" localSheetId="2" hidden="1">{#N/A,#N/A,FALSE,"Tabelle2";#N/A,#N/A,FALSE,"Tabelle1"}</definedName>
    <definedName name="fwerfaef" localSheetId="8" hidden="1">{#N/A,#N/A,FALSE,"Tabelle2";#N/A,#N/A,FALSE,"Tabelle1"}</definedName>
    <definedName name="fwerfaef" hidden="1">{#N/A,#N/A,FALSE,"Tabelle2";#N/A,#N/A,FALSE,"Tabelle1"}</definedName>
    <definedName name="FWSE" hidden="1">#REF!</definedName>
    <definedName name="FXBFXB" localSheetId="1" hidden="1">{"'Sheet1'!$L$16"}</definedName>
    <definedName name="FXBFXB" localSheetId="2" hidden="1">{"'Sheet1'!$L$16"}</definedName>
    <definedName name="FXBFXB" localSheetId="8" hidden="1">{"'Sheet1'!$L$16"}</definedName>
    <definedName name="FXBFXB" hidden="1">{"'Sheet1'!$L$16"}</definedName>
    <definedName name="g" localSheetId="1" hidden="1">{"'Sheet1'!$L$16"}</definedName>
    <definedName name="g" localSheetId="2" hidden="1">{"'Sheet1'!$L$16"}</definedName>
    <definedName name="g" localSheetId="8" hidden="1">{"'Sheet1'!$L$16"}</definedName>
    <definedName name="g" hidden="1">{"'Sheet1'!$L$16"}</definedName>
    <definedName name="ga" localSheetId="1" hidden="1">{"'Sheet1'!$L$16"}</definedName>
    <definedName name="ga" localSheetId="2" hidden="1">{"'Sheet1'!$L$16"}</definedName>
    <definedName name="ga" localSheetId="8" hidden="1">{"'Sheet1'!$L$16"}</definedName>
    <definedName name="ga" hidden="1">{"'Sheet1'!$L$16"}</definedName>
    <definedName name="GÀGF" localSheetId="1" hidden="1">{"'Sheet1'!$L$16"}</definedName>
    <definedName name="GÀGF" localSheetId="2" hidden="1">{"'Sheet1'!$L$16"}</definedName>
    <definedName name="GÀGF" localSheetId="8" hidden="1">{"'Sheet1'!$L$16"}</definedName>
    <definedName name="GÀGF" hidden="1">{"'Sheet1'!$L$16"}</definedName>
    <definedName name="gas" hidden="1">#REF!</definedName>
    <definedName name="găgawg" hidden="1">#REF!</definedName>
    <definedName name="gbb" localSheetId="1" hidden="1">{"'Sheet1'!$L$16"}</definedName>
    <definedName name="gbb" localSheetId="2" hidden="1">{"'Sheet1'!$L$16"}</definedName>
    <definedName name="gbb" localSheetId="8" hidden="1">{"'Sheet1'!$L$16"}</definedName>
    <definedName name="gbb" hidden="1">{"'Sheet1'!$L$16"}</definedName>
    <definedName name="gbdff" localSheetId="1" hidden="1">{#N/A,#N/A,FALSE,"Chi tiÆt"}</definedName>
    <definedName name="gbdff" localSheetId="2" hidden="1">{#N/A,#N/A,FALSE,"Chi tiÆt"}</definedName>
    <definedName name="gbdff" localSheetId="8" hidden="1">{#N/A,#N/A,FALSE,"Chi tiÆt"}</definedName>
    <definedName name="gbdff" hidden="1">{#N/A,#N/A,FALSE,"Chi tiÆt"}</definedName>
    <definedName name="gbdg" localSheetId="1" hidden="1">{"'Sheet1'!$L$16"}</definedName>
    <definedName name="gbdg" localSheetId="2" hidden="1">{"'Sheet1'!$L$16"}</definedName>
    <definedName name="gbdg" localSheetId="8" hidden="1">{"'Sheet1'!$L$16"}</definedName>
    <definedName name="gbdg" hidden="1">{"'Sheet1'!$L$16"}</definedName>
    <definedName name="gcm" localSheetId="1" hidden="1">{"'Sheet1'!$L$16"}</definedName>
    <definedName name="gcm" localSheetId="2" hidden="1">{"'Sheet1'!$L$16"}</definedName>
    <definedName name="gcm" localSheetId="8" hidden="1">{"'Sheet1'!$L$16"}</definedName>
    <definedName name="gcm" hidden="1">{"'Sheet1'!$L$16"}</definedName>
    <definedName name="GD" localSheetId="1" hidden="1">{#N/A,#N/A,FALSE,"特殊室（ＢＱ表）"}</definedName>
    <definedName name="gd" localSheetId="2" hidden="1">{"'Sheet1'!$L$16"}</definedName>
    <definedName name="gd" localSheetId="8" hidden="1">{"'Sheet1'!$L$16"}</definedName>
    <definedName name="gd" hidden="1">{"'Sheet1'!$L$16"}</definedName>
    <definedName name="gdf" hidden="1">#REF!</definedName>
    <definedName name="gdfg" localSheetId="1" hidden="1">{0}</definedName>
    <definedName name="gdfg" localSheetId="2" hidden="1">{0}</definedName>
    <definedName name="gdfg" localSheetId="8" hidden="1">{0}</definedName>
    <definedName name="gdfg" hidden="1">{0}</definedName>
    <definedName name="gdfgdfgdf" localSheetId="1" hidden="1">{"'Sheet1'!$L$16"}</definedName>
    <definedName name="gdfgdfgdf" localSheetId="2" hidden="1">{"'Sheet1'!$L$16"}</definedName>
    <definedName name="gdfgdfgdf" localSheetId="8" hidden="1">{"'Sheet1'!$L$16"}</definedName>
    <definedName name="gdfgdfgdf" hidden="1">{"'Sheet1'!$L$16"}</definedName>
    <definedName name="gdfgds" hidden="1">#REF!</definedName>
    <definedName name="gdg" localSheetId="1" hidden="1">{"'Sheet1'!$L$16"}</definedName>
    <definedName name="gdg" localSheetId="2" hidden="1">{"'Sheet1'!$L$16"}</definedName>
    <definedName name="gdg" localSheetId="8" hidden="1">{"'Sheet1'!$L$16"}</definedName>
    <definedName name="gdg" hidden="1">{"'Sheet1'!$L$16"}</definedName>
    <definedName name="gdgdg." localSheetId="1" hidden="1">{"'Sheet1'!$L$16"}</definedName>
    <definedName name="gdgdg." localSheetId="2" hidden="1">{"'Sheet1'!$L$16"}</definedName>
    <definedName name="gdgdg." localSheetId="8" hidden="1">{"'Sheet1'!$L$16"}</definedName>
    <definedName name="gdgdg." hidden="1">{"'Sheet1'!$L$16"}</definedName>
    <definedName name="GDGDS" localSheetId="1" hidden="1">{"'Sheet1'!$L$16"}</definedName>
    <definedName name="GDGDS" localSheetId="2" hidden="1">{"'Sheet1'!$L$16"}</definedName>
    <definedName name="GDGDS" localSheetId="8" hidden="1">{"'Sheet1'!$L$16"}</definedName>
    <definedName name="GDGDS" hidden="1">{"'Sheet1'!$L$16"}</definedName>
    <definedName name="gdgfgf" localSheetId="1" hidden="1">{"'Sheet1'!$L$16"}</definedName>
    <definedName name="gdgfgf" localSheetId="2" hidden="1">{"'Sheet1'!$L$16"}</definedName>
    <definedName name="gdgfgf" localSheetId="8" hidden="1">{"'Sheet1'!$L$16"}</definedName>
    <definedName name="gdgfgf" hidden="1">{"'Sheet1'!$L$16"}</definedName>
    <definedName name="gdh" localSheetId="1" hidden="1">{"'Sheet1'!$L$16"}</definedName>
    <definedName name="gdh" localSheetId="2" hidden="1">{"'Sheet1'!$L$16"}</definedName>
    <definedName name="gdh" localSheetId="8" hidden="1">{"'Sheet1'!$L$16"}</definedName>
    <definedName name="gdh" hidden="1">{"'Sheet1'!$L$16"}</definedName>
    <definedName name="gdjf" localSheetId="1" hidden="1">{#N/A,#N/A,FALSE,"Chi tiÆt"}</definedName>
    <definedName name="gdjf" localSheetId="2" hidden="1">{#N/A,#N/A,FALSE,"Chi tiÆt"}</definedName>
    <definedName name="gdjf" localSheetId="8" hidden="1">{#N/A,#N/A,FALSE,"Chi tiÆt"}</definedName>
    <definedName name="gdjf" hidden="1">{#N/A,#N/A,FALSE,"Chi tiÆt"}</definedName>
    <definedName name="gdret" localSheetId="1" hidden="1">{"'Sheet1'!$L$16"}</definedName>
    <definedName name="gdret" localSheetId="2" hidden="1">{"'Sheet1'!$L$16"}</definedName>
    <definedName name="gdret" localSheetId="8" hidden="1">{"'Sheet1'!$L$16"}</definedName>
    <definedName name="gdret" hidden="1">{"'Sheet1'!$L$16"}</definedName>
    <definedName name="GDRFHDF" localSheetId="1" hidden="1">{"'Sheet1'!$L$16"}</definedName>
    <definedName name="GDRFHDF" localSheetId="2" hidden="1">{"'Sheet1'!$L$16"}</definedName>
    <definedName name="GDRFHDF" localSheetId="8" hidden="1">{"'Sheet1'!$L$16"}</definedName>
    <definedName name="GDRFHDF" hidden="1">{"'Sheet1'!$L$16"}</definedName>
    <definedName name="GDS" localSheetId="1" hidden="1">{"'Sheet1'!$L$16"}</definedName>
    <definedName name="GDS" localSheetId="2" hidden="1">{"'Sheet1'!$L$16"}</definedName>
    <definedName name="GDS" localSheetId="8" hidden="1">{"'Sheet1'!$L$16"}</definedName>
    <definedName name="GDS" hidden="1">{"'Sheet1'!$L$16"}</definedName>
    <definedName name="ge" localSheetId="1" hidden="1">{"'Sheet1'!$L$16"}</definedName>
    <definedName name="ge" localSheetId="2" hidden="1">{"'Sheet1'!$L$16"}</definedName>
    <definedName name="ge" localSheetId="8" hidden="1">{"'Sheet1'!$L$16"}</definedName>
    <definedName name="ge" hidden="1">{"'Sheet1'!$L$16"}</definedName>
    <definedName name="gegE" hidden="1">#REF!</definedName>
    <definedName name="GÈGEWG" localSheetId="1" hidden="1">{"'Sheet1'!$L$16"}</definedName>
    <definedName name="GÈGEWG" localSheetId="2" hidden="1">{"'Sheet1'!$L$16"}</definedName>
    <definedName name="GÈGEWG" localSheetId="8" hidden="1">{"'Sheet1'!$L$16"}</definedName>
    <definedName name="GÈGEWG" hidden="1">{"'Sheet1'!$L$16"}</definedName>
    <definedName name="gẻgweg" hidden="1">#REF!</definedName>
    <definedName name="GEMCO" hidden="1">#REF!</definedName>
    <definedName name="gergre" hidden="1">#REF!</definedName>
    <definedName name="GEWGEW" localSheetId="1" hidden="1">{"'Sheet1'!$L$16"}</definedName>
    <definedName name="GEWGEW" localSheetId="2" hidden="1">{"'Sheet1'!$L$16"}</definedName>
    <definedName name="GEWGEW" localSheetId="8" hidden="1">{"'Sheet1'!$L$16"}</definedName>
    <definedName name="GEWGEW" hidden="1">{"'Sheet1'!$L$16"}</definedName>
    <definedName name="gfd" hidden="1">#REF!</definedName>
    <definedName name="gfdg" localSheetId="1" hidden="1">{#N/A,#N/A,FALSE,"特殊室（ＢＱ表）"}</definedName>
    <definedName name="gfdg" localSheetId="2" hidden="1">{"'Sheet1'!$L$16"}</definedName>
    <definedName name="gfdg" localSheetId="8" hidden="1">{"'Sheet1'!$L$16"}</definedName>
    <definedName name="gfdg" hidden="1">{"'Sheet1'!$L$16"}</definedName>
    <definedName name="gfdgfd" hidden="1">#REF!</definedName>
    <definedName name="GFF" localSheetId="1" hidden="1">#REF!</definedName>
    <definedName name="GFF" hidden="1">#REF!</definedName>
    <definedName name="gfg" localSheetId="1" hidden="1">#REF!</definedName>
    <definedName name="gfg" hidden="1">#REF!</definedName>
    <definedName name="gfgdfg" localSheetId="1" hidden="1">#REF!</definedName>
    <definedName name="gfgdfg" hidden="1">#REF!</definedName>
    <definedName name="gfgf" hidden="1">#REF!</definedName>
    <definedName name="GFGFG" localSheetId="1" hidden="1">{"'Sheet1'!$L$16"}</definedName>
    <definedName name="GFGFG" localSheetId="2" hidden="1">{"'Sheet1'!$L$16"}</definedName>
    <definedName name="GFGFG" localSheetId="8" hidden="1">{"'Sheet1'!$L$16"}</definedName>
    <definedName name="GFGFG" hidden="1">{"'Sheet1'!$L$16"}</definedName>
    <definedName name="gfgfgfgfgfg" localSheetId="1" hidden="1">{"'Sheet1'!$L$16"}</definedName>
    <definedName name="gfgfgfgfgfg" localSheetId="2" hidden="1">{"'Sheet1'!$L$16"}</definedName>
    <definedName name="gfgfgfgfgfg" localSheetId="8" hidden="1">{"'Sheet1'!$L$16"}</definedName>
    <definedName name="gfgfgfgfgfg" hidden="1">{"'Sheet1'!$L$16"}</definedName>
    <definedName name="gfh" localSheetId="1" hidden="1">{"ECA Qtrs C",#N/A,TRUE,"ECA_Qtrs_C";"ECA Qtrs D",#N/A,TRUE,"ECA_Qtrs_D";"ECA Qtrs F",#N/A,TRUE,"ECA_Qtrs_F";"ECA Qtrs G",#N/A,TRUE,"ECA_Qtrs_G";"ECA SisterApt",#N/A,TRUE,"ECA_SisterApt";"ECA Nurses",#N/A,TRUE,"ECA_NursesHostel"}</definedName>
    <definedName name="gfh" localSheetId="2" hidden="1">{"ECA Qtrs C",#N/A,TRUE,"ECA_Qtrs_C";"ECA Qtrs D",#N/A,TRUE,"ECA_Qtrs_D";"ECA Qtrs F",#N/A,TRUE,"ECA_Qtrs_F";"ECA Qtrs G",#N/A,TRUE,"ECA_Qtrs_G";"ECA SisterApt",#N/A,TRUE,"ECA_SisterApt";"ECA Nurses",#N/A,TRUE,"ECA_NursesHostel"}</definedName>
    <definedName name="gfh" localSheetId="8" hidden="1">{"ECA Qtrs C",#N/A,TRUE,"ECA_Qtrs_C";"ECA Qtrs D",#N/A,TRUE,"ECA_Qtrs_D";"ECA Qtrs F",#N/A,TRUE,"ECA_Qtrs_F";"ECA Qtrs G",#N/A,TRUE,"ECA_Qtrs_G";"ECA SisterApt",#N/A,TRUE,"ECA_SisterApt";"ECA Nurses",#N/A,TRUE,"ECA_NursesHostel"}</definedName>
    <definedName name="gfh" hidden="1">{"ECA Qtrs C",#N/A,TRUE,"ECA_Qtrs_C";"ECA Qtrs D",#N/A,TRUE,"ECA_Qtrs_D";"ECA Qtrs F",#N/A,TRUE,"ECA_Qtrs_F";"ECA Qtrs G",#N/A,TRUE,"ECA_Qtrs_G";"ECA SisterApt",#N/A,TRUE,"ECA_SisterApt";"ECA Nurses",#N/A,TRUE,"ECA_NursesHostel"}</definedName>
    <definedName name="gfhgfh">#REF!</definedName>
    <definedName name="gfj" localSheetId="1" hidden="1">{"'Sheet1'!$L$16"}</definedName>
    <definedName name="gfj" localSheetId="2" hidden="1">{"'Sheet1'!$L$16"}</definedName>
    <definedName name="gfj" localSheetId="8" hidden="1">{"'Sheet1'!$L$16"}</definedName>
    <definedName name="gfj" hidden="1">{"'Sheet1'!$L$16"}</definedName>
    <definedName name="gfjf" localSheetId="1" hidden="1">{#N/A,#N/A,FALSE,"Sheet6"}</definedName>
    <definedName name="gfjf" localSheetId="2" hidden="1">{#N/A,#N/A,FALSE,"Sheet6"}</definedName>
    <definedName name="gfjf" localSheetId="8" hidden="1">{#N/A,#N/A,FALSE,"Sheet6"}</definedName>
    <definedName name="gfjf" hidden="1">{#N/A,#N/A,FALSE,"Sheet6"}</definedName>
    <definedName name="gfjnfg" localSheetId="1" hidden="1">{"'Sheet1'!$L$16"}</definedName>
    <definedName name="gfjnfg" localSheetId="2" hidden="1">{"'Sheet1'!$L$16"}</definedName>
    <definedName name="gfjnfg" localSheetId="8" hidden="1">{"'Sheet1'!$L$16"}</definedName>
    <definedName name="gfjnfg" hidden="1">{"'Sheet1'!$L$16"}</definedName>
    <definedName name="GFNGHFN" localSheetId="1" hidden="1">{"'Sheet1'!$L$16"}</definedName>
    <definedName name="GFNGHFN" localSheetId="2" hidden="1">{"'Sheet1'!$L$16"}</definedName>
    <definedName name="GFNGHFN" localSheetId="8" hidden="1">{"'Sheet1'!$L$16"}</definedName>
    <definedName name="GFNGHFN" hidden="1">{"'Sheet1'!$L$16"}</definedName>
    <definedName name="GFSDFSF" localSheetId="1" hidden="1">{"'Sheet1'!$L$16"}</definedName>
    <definedName name="GFSDFSF" localSheetId="2" hidden="1">{"'Sheet1'!$L$16"}</definedName>
    <definedName name="GFSDFSF" localSheetId="8" hidden="1">{"'Sheet1'!$L$16"}</definedName>
    <definedName name="GFSDFSF" hidden="1">{"'Sheet1'!$L$16"}</definedName>
    <definedName name="gfxhfh" localSheetId="1" hidden="1">{"'Sheet1'!$L$16"}</definedName>
    <definedName name="gfxhfh" localSheetId="2" hidden="1">{"'Sheet1'!$L$16"}</definedName>
    <definedName name="gfxhfh" localSheetId="8" hidden="1">{"'Sheet1'!$L$16"}</definedName>
    <definedName name="gfxhfh" hidden="1">{"'Sheet1'!$L$16"}</definedName>
    <definedName name="GFㄹㅇ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1" hidden="1">#REF!</definedName>
    <definedName name="GG" hidden="1">#REF!</definedName>
    <definedName name="GGBC1" localSheetId="1" hidden="1">{"'Sheet1'!$L$16"}</definedName>
    <definedName name="GGBC1" localSheetId="2" hidden="1">{"'Sheet1'!$L$16"}</definedName>
    <definedName name="GGBC1" localSheetId="8" hidden="1">{"'Sheet1'!$L$16"}</definedName>
    <definedName name="GGBC1" hidden="1">{"'Sheet1'!$L$16"}</definedName>
    <definedName name="ggf" hidden="1">#REF!</definedName>
    <definedName name="GGG" localSheetId="1" hidden="1">#REF!</definedName>
    <definedName name="GGG" hidden="1">#REF!</definedName>
    <definedName name="ggger" localSheetId="1" hidden="1">{#N/A,#N/A,FALSE,"지침";#N/A,#N/A,FALSE,"환경분석";#N/A,#N/A,FALSE,"Sheet16"}</definedName>
    <definedName name="ggger" localSheetId="2" hidden="1">{#N/A,#N/A,FALSE,"지침";#N/A,#N/A,FALSE,"환경분석";#N/A,#N/A,FALSE,"Sheet16"}</definedName>
    <definedName name="ggger" localSheetId="8" hidden="1">{#N/A,#N/A,FALSE,"지침";#N/A,#N/A,FALSE,"환경분석";#N/A,#N/A,FALSE,"Sheet16"}</definedName>
    <definedName name="ggger" hidden="1">{#N/A,#N/A,FALSE,"지침";#N/A,#N/A,FALSE,"환경분석";#N/A,#N/A,FALSE,"Sheet16"}</definedName>
    <definedName name="gggfdgdfg" hidden="1">#REF!</definedName>
    <definedName name="GGGG" localSheetId="1" hidden="1">#REF!</definedName>
    <definedName name="GGGG" hidden="1">#REF!</definedName>
    <definedName name="GGGGG" localSheetId="1" hidden="1">{#N/A,#N/A,TRUE,"SUM";#N/A,#N/A,TRUE,"EE";#N/A,#N/A,TRUE,"AC";#N/A,#N/A,TRUE,"SN"}</definedName>
    <definedName name="GGGGG" localSheetId="2" hidden="1">{#N/A,#N/A,TRUE,"SUM";#N/A,#N/A,TRUE,"EE";#N/A,#N/A,TRUE,"AC";#N/A,#N/A,TRUE,"SN"}</definedName>
    <definedName name="GGGGG" localSheetId="8" hidden="1">{#N/A,#N/A,TRUE,"SUM";#N/A,#N/A,TRUE,"EE";#N/A,#N/A,TRUE,"AC";#N/A,#N/A,TRUE,"SN"}</definedName>
    <definedName name="GGGGG" hidden="1">{#N/A,#N/A,TRUE,"SUM";#N/A,#N/A,TRUE,"EE";#N/A,#N/A,TRUE,"AC";#N/A,#N/A,TRUE,"SN"}</definedName>
    <definedName name="GGGGGG" localSheetId="1" hidden="1">#REF!</definedName>
    <definedName name="GGGGGG" hidden="1">#REF!</definedName>
    <definedName name="ggggggg" localSheetId="1" hidden="1">{#N/A,#N/A,FALSE,"전력간선"}</definedName>
    <definedName name="ggggggg" localSheetId="2" hidden="1">{#N/A,#N/A,FALSE,"전력간선"}</definedName>
    <definedName name="ggggggg" localSheetId="8" hidden="1">{#N/A,#N/A,FALSE,"전력간선"}</definedName>
    <definedName name="ggggggg" hidden="1">{#N/A,#N/A,FALSE,"전력간선"}</definedName>
    <definedName name="gggppiou" localSheetId="1" hidden="1">{#N/A,#N/A,FALSE,"Chi tiÆt"}</definedName>
    <definedName name="gggppiou" localSheetId="2" hidden="1">{#N/A,#N/A,FALSE,"Chi tiÆt"}</definedName>
    <definedName name="gggppiou" localSheetId="8" hidden="1">{#N/A,#N/A,FALSE,"Chi tiÆt"}</definedName>
    <definedName name="gggppiou" hidden="1">{#N/A,#N/A,FALSE,"Chi tiÆt"}</definedName>
    <definedName name="GGGTR"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1" hidden="1">{"'Sheet1'!$L$16"}</definedName>
    <definedName name="GGRGH" localSheetId="2" hidden="1">{"'Sheet1'!$L$16"}</definedName>
    <definedName name="GGRGH" localSheetId="8" hidden="1">{"'Sheet1'!$L$16"}</definedName>
    <definedName name="GGRGH" hidden="1">{"'Sheet1'!$L$16"}</definedName>
    <definedName name="ggsf" localSheetId="1" hidden="1">#REF!</definedName>
    <definedName name="ggsf" hidden="1">#REF!</definedName>
    <definedName name="ggss" localSheetId="1" hidden="1">{"'Sheet1'!$L$16"}</definedName>
    <definedName name="ggss" localSheetId="2" hidden="1">{"'Sheet1'!$L$16"}</definedName>
    <definedName name="ggss" localSheetId="8" hidden="1">{"'Sheet1'!$L$16"}</definedName>
    <definedName name="ggss" hidden="1">{"'Sheet1'!$L$16"}</definedName>
    <definedName name="GGTRE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1" hidden="1">#REF!</definedName>
    <definedName name="GH" hidden="1">#REF!</definedName>
    <definedName name="gh4w" localSheetId="1" hidden="1">#REF!</definedName>
    <definedName name="gh4w" hidden="1">#REF!</definedName>
    <definedName name="ghcfg" localSheetId="1" hidden="1">#REF!</definedName>
    <definedName name="ghcfg" hidden="1">#REF!</definedName>
    <definedName name="ghdg" hidden="1">#REF!</definedName>
    <definedName name="ghf" localSheetId="1" hidden="1">{#N/A,#N/A,FALSE,"Chi tiÆt"}</definedName>
    <definedName name="ghf" localSheetId="2" hidden="1">{#N/A,#N/A,FALSE,"Chi tiÆt"}</definedName>
    <definedName name="ghf" localSheetId="8" hidden="1">{#N/A,#N/A,FALSE,"Chi tiÆt"}</definedName>
    <definedName name="ghf" hidden="1">{#N/A,#N/A,FALSE,"Chi tiÆt"}</definedName>
    <definedName name="ghfj" localSheetId="1" hidden="1">{#N/A,#N/A,FALSE,"Sheet6"}</definedName>
    <definedName name="ghfj" localSheetId="2" hidden="1">{#N/A,#N/A,FALSE,"Sheet6"}</definedName>
    <definedName name="ghfj" localSheetId="8" hidden="1">{#N/A,#N/A,FALSE,"Sheet6"}</definedName>
    <definedName name="ghfj" hidden="1">{#N/A,#N/A,FALSE,"Sheet6"}</definedName>
    <definedName name="ghg" localSheetId="1" hidden="1">{"'Sheet1'!$L$16"}</definedName>
    <definedName name="ghg" localSheetId="2" hidden="1">{"'Sheet1'!$L$16"}</definedName>
    <definedName name="ghg" localSheetId="8" hidden="1">{"'Sheet1'!$L$16"}</definedName>
    <definedName name="ghg" hidden="1">{"'Sheet1'!$L$16"}</definedName>
    <definedName name="GHGF" localSheetId="1" hidden="1">{#N/A,#N/A,FALSE,"Sheet6"}</definedName>
    <definedName name="GHGF" localSheetId="2" hidden="1">{#N/A,#N/A,FALSE,"Sheet6"}</definedName>
    <definedName name="GHGF" localSheetId="8" hidden="1">{#N/A,#N/A,FALSE,"Sheet6"}</definedName>
    <definedName name="GHGF" hidden="1">{#N/A,#N/A,FALSE,"Sheet6"}</definedName>
    <definedName name="GHG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localSheetId="1" hidden="1">{#N/A,#N/A,FALSE,"Chi tiÆt"}</definedName>
    <definedName name="ghh" localSheetId="2" hidden="1">{#N/A,#N/A,FALSE,"Chi tiÆt"}</definedName>
    <definedName name="ghh" localSheetId="8" hidden="1">{#N/A,#N/A,FALSE,"Chi tiÆt"}</definedName>
    <definedName name="ghh" hidden="1">{#N/A,#N/A,FALSE,"Chi tiÆt"}</definedName>
    <definedName name="ghhdsg" hidden="1">#REF!</definedName>
    <definedName name="ghhgfj" localSheetId="1" hidden="1">#REF!</definedName>
    <definedName name="ghhgfj" hidden="1">#REF!</definedName>
    <definedName name="ghhh" localSheetId="1" hidden="1">{"'Sheet1'!$L$16"}</definedName>
    <definedName name="ghhh" localSheetId="2" hidden="1">{"'Sheet1'!$L$16"}</definedName>
    <definedName name="ghhh" localSheetId="8" hidden="1">{"'Sheet1'!$L$16"}</definedName>
    <definedName name="ghhh" hidden="1">{"'Sheet1'!$L$16"}</definedName>
    <definedName name="ghj" localSheetId="1" hidden="1">{"'Sheet1'!$L$16"}</definedName>
    <definedName name="ghj" localSheetId="2" hidden="1">{"'Sheet1'!$L$16"}</definedName>
    <definedName name="ghj" localSheetId="8" hidden="1">{"'Sheet1'!$L$16"}</definedName>
    <definedName name="ghj" hidden="1">{"'Sheet1'!$L$16"}</definedName>
    <definedName name="ghjgj" localSheetId="1" hidden="1">#REF!</definedName>
    <definedName name="ghjgj" hidden="1">#REF!</definedName>
    <definedName name="ghjhgj" localSheetId="1" hidden="1">{"'Sheet1'!$L$16"}</definedName>
    <definedName name="ghjhgj" localSheetId="2" hidden="1">{"'Sheet1'!$L$16"}</definedName>
    <definedName name="ghjhgj" localSheetId="8" hidden="1">{"'Sheet1'!$L$16"}</definedName>
    <definedName name="ghjhgj" hidden="1">{"'Sheet1'!$L$16"}</definedName>
    <definedName name="GHK" localSheetId="1" hidden="1">{"'용역비'!$A$4:$C$8"}</definedName>
    <definedName name="GHK" localSheetId="2" hidden="1">{"'용역비'!$A$4:$C$8"}</definedName>
    <definedName name="GHK" localSheetId="8" hidden="1">{"'용역비'!$A$4:$C$8"}</definedName>
    <definedName name="GHK" hidden="1">{"'용역비'!$A$4:$C$8"}</definedName>
    <definedName name="ghsd" hidden="1">#REF!</definedName>
    <definedName name="GHTRH" localSheetId="1" hidden="1">{#N/A,#N/A,FALSE,"Sheet6"}</definedName>
    <definedName name="GHTRH" localSheetId="2" hidden="1">{#N/A,#N/A,FALSE,"Sheet6"}</definedName>
    <definedName name="GHTRH" localSheetId="8" hidden="1">{#N/A,#N/A,FALSE,"Sheet6"}</definedName>
    <definedName name="GHTRH" hidden="1">{#N/A,#N/A,FALSE,"Sheet6"}</definedName>
    <definedName name="gÎ" hidden="1">#REF!</definedName>
    <definedName name="gj" localSheetId="1" hidden="1">#REF!</definedName>
    <definedName name="gj" hidden="1">#REF!</definedName>
    <definedName name="gjfd" localSheetId="1" hidden="1">{"'Sheet1'!$L$16"}</definedName>
    <definedName name="gjfd" localSheetId="2" hidden="1">{"'Sheet1'!$L$16"}</definedName>
    <definedName name="gjfd" localSheetId="8" hidden="1">{"'Sheet1'!$L$16"}</definedName>
    <definedName name="gjfd" hidden="1">{"'Sheet1'!$L$16"}</definedName>
    <definedName name="gjfgvfh" localSheetId="1" hidden="1">{#N/A,#N/A,FALSE,"特殊室（ＢＱ表）"}</definedName>
    <definedName name="gjfgvfh" localSheetId="2" hidden="1">{#N/A,#N/A,FALSE,"特殊室（ＢＱ表）"}</definedName>
    <definedName name="gjfgvfh" localSheetId="8" hidden="1">{#N/A,#N/A,FALSE,"特殊室（ＢＱ表）"}</definedName>
    <definedName name="gjfgvfh" hidden="1">{#N/A,#N/A,FALSE,"特殊室（ＢＱ表）"}</definedName>
    <definedName name="GJG" hidden="1">#REF!</definedName>
    <definedName name="gjgjghh" localSheetId="1" hidden="1">#REF!</definedName>
    <definedName name="gjgjghh" hidden="1">#REF!</definedName>
    <definedName name="gjhhn" localSheetId="1" hidden="1">{"'Sheet1'!$L$16"}</definedName>
    <definedName name="gjhhn" localSheetId="2" hidden="1">{"'Sheet1'!$L$16"}</definedName>
    <definedName name="gjhhn" localSheetId="8" hidden="1">{"'Sheet1'!$L$16"}</definedName>
    <definedName name="gjhhn" hidden="1">{"'Sheet1'!$L$16"}</definedName>
    <definedName name="gjhi" localSheetId="1" hidden="1">{"'Sheet1'!$L$16"}</definedName>
    <definedName name="gjhi" localSheetId="2" hidden="1">{"'Sheet1'!$L$16"}</definedName>
    <definedName name="gjhi" localSheetId="8" hidden="1">{"'Sheet1'!$L$16"}</definedName>
    <definedName name="gjhi" hidden="1">{"'Sheet1'!$L$16"}</definedName>
    <definedName name="gjk" localSheetId="1" hidden="1">{0}</definedName>
    <definedName name="gjk" localSheetId="2" hidden="1">{0}</definedName>
    <definedName name="gjk" localSheetId="8" hidden="1">{0}</definedName>
    <definedName name="gjk" hidden="1">{0}</definedName>
    <definedName name="gjkj" localSheetId="1" hidden="1">{"'Sheet1'!$L$16"}</definedName>
    <definedName name="gjkj" localSheetId="2" hidden="1">{"'Sheet1'!$L$16"}</definedName>
    <definedName name="gjkj" localSheetId="8" hidden="1">{"'Sheet1'!$L$16"}</definedName>
    <definedName name="gjkj" hidden="1">{"'Sheet1'!$L$16"}</definedName>
    <definedName name="GJKHJFG" localSheetId="1" hidden="1">{"'Sheet1'!$L$16"}</definedName>
    <definedName name="GJKHJFG" localSheetId="2" hidden="1">{"'Sheet1'!$L$16"}</definedName>
    <definedName name="GJKHJFG" localSheetId="8" hidden="1">{"'Sheet1'!$L$16"}</definedName>
    <definedName name="GJKHJFG" hidden="1">{"'Sheet1'!$L$16"}</definedName>
    <definedName name="GJKHK" localSheetId="1" hidden="1">{"'Sheet1'!$L$16"}</definedName>
    <definedName name="GJKHK" localSheetId="2" hidden="1">{"'Sheet1'!$L$16"}</definedName>
    <definedName name="GJKHK" localSheetId="8" hidden="1">{"'Sheet1'!$L$16"}</definedName>
    <definedName name="GJKHK" hidden="1">{"'Sheet1'!$L$16"}</definedName>
    <definedName name="gjrđjsjs" localSheetId="1" hidden="1">{"'Sheet1'!$L$16"}</definedName>
    <definedName name="gjrđjsjs" localSheetId="2" hidden="1">{"'Sheet1'!$L$16"}</definedName>
    <definedName name="gjrđjsjs" localSheetId="8" hidden="1">{"'Sheet1'!$L$16"}</definedName>
    <definedName name="gjrđjsjs" hidden="1">{"'Sheet1'!$L$16"}</definedName>
    <definedName name="GLASS견적의뢰용" hidden="1">#REF!</definedName>
    <definedName name="glhlhl" localSheetId="1" hidden="1">{"'Sheet1'!$L$16"}</definedName>
    <definedName name="glhlhl" localSheetId="2" hidden="1">{"'Sheet1'!$L$16"}</definedName>
    <definedName name="glhlhl" localSheetId="8" hidden="1">{"'Sheet1'!$L$16"}</definedName>
    <definedName name="glhlhl" hidden="1">{"'Sheet1'!$L$16"}</definedName>
    <definedName name="glllhlh" localSheetId="1" hidden="1">{"'Sheet1'!$L$16"}</definedName>
    <definedName name="glllhlh" localSheetId="2" hidden="1">{"'Sheet1'!$L$16"}</definedName>
    <definedName name="glllhlh" localSheetId="8" hidden="1">{"'Sheet1'!$L$16"}</definedName>
    <definedName name="glllhlh" hidden="1">{"'Sheet1'!$L$16"}</definedName>
    <definedName name="GMG" localSheetId="1" hidden="1">{#N/A,#N/A,FALSE,"特殊室（ＢＱ表）"}</definedName>
    <definedName name="GMG" localSheetId="2" hidden="1">{#N/A,#N/A,FALSE,"特殊室（ＢＱ表）"}</definedName>
    <definedName name="GMG" localSheetId="8" hidden="1">{#N/A,#N/A,FALSE,"特殊室（ＢＱ表）"}</definedName>
    <definedName name="GMG" hidden="1">{#N/A,#N/A,FALSE,"特殊室（ＢＱ表）"}</definedName>
    <definedName name="gndfd" localSheetId="1" hidden="1">{"'Sheet1'!$L$16"}</definedName>
    <definedName name="gndfd" localSheetId="2" hidden="1">{"'Sheet1'!$L$16"}</definedName>
    <definedName name="gndfd" localSheetId="8" hidden="1">{"'Sheet1'!$L$16"}</definedName>
    <definedName name="gndfd" hidden="1">{"'Sheet1'!$L$16"}</definedName>
    <definedName name="gnfgf" localSheetId="1" hidden="1">{#N/A,#N/A,FALSE,"Chi tiÆt"}</definedName>
    <definedName name="gnfgf" localSheetId="2" hidden="1">{#N/A,#N/A,FALSE,"Chi tiÆt"}</definedName>
    <definedName name="gnfgf" localSheetId="8" hidden="1">{#N/A,#N/A,FALSE,"Chi tiÆt"}</definedName>
    <definedName name="gnfgf" hidden="1">{#N/A,#N/A,FALSE,"Chi tiÆt"}</definedName>
    <definedName name="GNFKD" localSheetId="1" hidden="1">{#N/A,#N/A,TRUE,"SUM";#N/A,#N/A,TRUE,"EE";#N/A,#N/A,TRUE,"AC";#N/A,#N/A,TRUE,"SN"}</definedName>
    <definedName name="GNFKD" localSheetId="2" hidden="1">{#N/A,#N/A,TRUE,"SUM";#N/A,#N/A,TRUE,"EE";#N/A,#N/A,TRUE,"AC";#N/A,#N/A,TRUE,"SN"}</definedName>
    <definedName name="GNFKD" localSheetId="8" hidden="1">{#N/A,#N/A,TRUE,"SUM";#N/A,#N/A,TRUE,"EE";#N/A,#N/A,TRUE,"AC";#N/A,#N/A,TRUE,"SN"}</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localSheetId="1" hidden="1">{#N/A,#N/A,TRUE,"Cover Memo";"Complete Sys. Estimate",#N/A,TRUE,"Change Summary";"Complete Sys. Estimate",#N/A,TRUE,"Estimate Summary";"Complete Sys. Estimate",#N/A,TRUE,"Dept. Summary";"Complete Sys. Estimate",#N/A,TRUE,"DOW Detail"}</definedName>
    <definedName name="GR" localSheetId="2" hidden="1">{#N/A,#N/A,TRUE,"Cover Memo";"Complete Sys. Estimate",#N/A,TRUE,"Change Summary";"Complete Sys. Estimate",#N/A,TRUE,"Estimate Summary";"Complete Sys. Estimate",#N/A,TRUE,"Dept. Summary";"Complete Sys. Estimate",#N/A,TRUE,"DOW Detail"}</definedName>
    <definedName name="GR" localSheetId="8" hidden="1">{#N/A,#N/A,TRUE,"Cover Memo";"Complete Sys. Estimate",#N/A,TRUE,"Change Summary";"Complete Sys. Estimate",#N/A,TRUE,"Estimate Summary";"Complete Sys. Estimate",#N/A,TRUE,"Dept. Summary";"Complete Sys. Estimate",#N/A,TRUE,"DOW Detail"}</definedName>
    <definedName name="GR" hidden="1">{#N/A,#N/A,TRUE,"Cover Memo";"Complete Sys. Estimate",#N/A,TRUE,"Change Summary";"Complete Sys. Estimate",#N/A,TRUE,"Estimate Summary";"Complete Sys. Estimate",#N/A,TRUE,"Dept. Summary";"Complete Sys. Estimate",#N/A,TRUE,"DOW Detail"}</definedName>
    <definedName name="gra" localSheetId="1" hidden="1">{"'Sheet1'!$L$16"}</definedName>
    <definedName name="gra" localSheetId="2" hidden="1">{"'Sheet1'!$L$16"}</definedName>
    <definedName name="gra" localSheetId="8" hidden="1">{"'Sheet1'!$L$16"}</definedName>
    <definedName name="gra" hidden="1">{"'Sheet1'!$L$16"}</definedName>
    <definedName name="grap_b" localSheetId="1" hidden="1">#REF!</definedName>
    <definedName name="grap_b" hidden="1">#REF!</definedName>
    <definedName name="GREG4E" localSheetId="1" hidden="1">{"'Sheet1'!$L$16"}</definedName>
    <definedName name="GREG4E" localSheetId="2" hidden="1">{"'Sheet1'!$L$16"}</definedName>
    <definedName name="GREG4E" localSheetId="8" hidden="1">{"'Sheet1'!$L$16"}</definedName>
    <definedName name="GREG4E" hidden="1">{"'Sheet1'!$L$16"}</definedName>
    <definedName name="gregre" hidden="1">#REF!</definedName>
    <definedName name="gresg" localSheetId="1" hidden="1">{"'Sheet1'!$L$16"}</definedName>
    <definedName name="gresg" localSheetId="2" hidden="1">{"'Sheet1'!$L$16"}</definedName>
    <definedName name="gresg" localSheetId="8" hidden="1">{"'Sheet1'!$L$16"}</definedName>
    <definedName name="gresg" hidden="1">{"'Sheet1'!$L$16"}</definedName>
    <definedName name="grew" localSheetId="1" hidden="1">#REF!</definedName>
    <definedName name="grew" hidden="1">#REF!</definedName>
    <definedName name="grgeg" hidden="1">#REF!</definedName>
    <definedName name="gsdbsa" localSheetId="1" hidden="1">{#N/A,#N/A,FALSE,"Chi tiÆt"}</definedName>
    <definedName name="gsdbsa" localSheetId="2" hidden="1">{#N/A,#N/A,FALSE,"Chi tiÆt"}</definedName>
    <definedName name="gsdbsa" localSheetId="8" hidden="1">{#N/A,#N/A,FALSE,"Chi tiÆt"}</definedName>
    <definedName name="gsdbsa" hidden="1">{#N/A,#N/A,FALSE,"Chi tiÆt"}</definedName>
    <definedName name="GSDGA" localSheetId="1" hidden="1">{"'Sheet1'!$L$16"}</definedName>
    <definedName name="GSDGA" localSheetId="2" hidden="1">{"'Sheet1'!$L$16"}</definedName>
    <definedName name="GSDGA" localSheetId="8" hidden="1">{"'Sheet1'!$L$16"}</definedName>
    <definedName name="GSDGA" hidden="1">{"'Sheet1'!$L$16"}</definedName>
    <definedName name="GSETGS" localSheetId="1" hidden="1">{#N/A,#N/A,FALSE,"Sheet6"}</definedName>
    <definedName name="GSETGS" localSheetId="2" hidden="1">{#N/A,#N/A,FALSE,"Sheet6"}</definedName>
    <definedName name="GSETGS" localSheetId="8" hidden="1">{#N/A,#N/A,FALSE,"Sheet6"}</definedName>
    <definedName name="GSETGS" hidden="1">{#N/A,#N/A,FALSE,"Sheet6"}</definedName>
    <definedName name="GSFFAFSFSDF" localSheetId="1" hidden="1">{"'Sheet1'!$L$16"}</definedName>
    <definedName name="GSFFAFSFSDF" localSheetId="2" hidden="1">{"'Sheet1'!$L$16"}</definedName>
    <definedName name="GSFFAFSFSDF" localSheetId="8" hidden="1">{"'Sheet1'!$L$16"}</definedName>
    <definedName name="GSFFAFSFSDF" hidden="1">{"'Sheet1'!$L$16"}</definedName>
    <definedName name="GSGSD" localSheetId="1" hidden="1">{"'Sheet1'!$L$16"}</definedName>
    <definedName name="GSGSD" localSheetId="2" hidden="1">{"'Sheet1'!$L$16"}</definedName>
    <definedName name="GSGSD" localSheetId="8" hidden="1">{"'Sheet1'!$L$16"}</definedName>
    <definedName name="GSGSD" hidden="1">{"'Sheet1'!$L$16"}</definedName>
    <definedName name="gshsdgf" localSheetId="1" hidden="1">{#N/A,#N/A,FALSE,"부대2"}</definedName>
    <definedName name="gshsdgf" localSheetId="2" hidden="1">{#N/A,#N/A,FALSE,"부대2"}</definedName>
    <definedName name="gshsdgf" localSheetId="8" hidden="1">{#N/A,#N/A,FALSE,"부대2"}</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localSheetId="1" hidden="1">{"'ROOF'!$B$6","'ROOF'!$B$6","'ROOF'!$B$6","'ROOF'!$B$6"}</definedName>
    <definedName name="gssl" localSheetId="2" hidden="1">{"'ROOF'!$B$6","'ROOF'!$B$6","'ROOF'!$B$6","'ROOF'!$B$6"}</definedName>
    <definedName name="gssl" localSheetId="8" hidden="1">{"'ROOF'!$B$6","'ROOF'!$B$6","'ROOF'!$B$6","'ROOF'!$B$6"}</definedName>
    <definedName name="gssl" hidden="1">{"'ROOF'!$B$6","'ROOF'!$B$6","'ROOF'!$B$6","'ROOF'!$B$6"}</definedName>
    <definedName name="GST">#REF!</definedName>
    <definedName name="GSummary" hidden="1">#REF!</definedName>
    <definedName name="gswee" hidden="1">#REF!</definedName>
    <definedName name="gteyhưez" localSheetId="1" hidden="1">{"'Sheet1'!$L$16"}</definedName>
    <definedName name="gteyhưez" localSheetId="2" hidden="1">{"'Sheet1'!$L$16"}</definedName>
    <definedName name="gteyhưez" localSheetId="8" hidden="1">{"'Sheet1'!$L$16"}</definedName>
    <definedName name="gteyhưez" hidden="1">{"'Sheet1'!$L$16"}</definedName>
    <definedName name="GTOTAL" localSheetId="1" hidden="1">{"'Sheet1'!$L$16"}</definedName>
    <definedName name="GTOTAL" localSheetId="2" hidden="1">{"'Sheet1'!$L$16"}</definedName>
    <definedName name="GTOTAL" localSheetId="8" hidden="1">{"'Sheet1'!$L$16"}</definedName>
    <definedName name="GTOTAL" hidden="1">{"'Sheet1'!$L$16"}</definedName>
    <definedName name="GTVLPhu" hidden="1">#REF!</definedName>
    <definedName name="guestroom" localSheetId="1" hidden="1">{#N/A,#N/A,TRUE,"Cover Memo";"Complete Sys. Estimate",#N/A,TRUE,"Change Summary";"Complete Sys. Estimate",#N/A,TRUE,"Estimate Summary";"Complete Sys. Estimate",#N/A,TRUE,"Dept. Summary";"Complete Sys. Estimate",#N/A,TRUE,"DOW Detail"}</definedName>
    <definedName name="guestroom" localSheetId="2" hidden="1">{#N/A,#N/A,TRUE,"Cover Memo";"Complete Sys. Estimate",#N/A,TRUE,"Change Summary";"Complete Sys. Estimate",#N/A,TRUE,"Estimate Summary";"Complete Sys. Estimate",#N/A,TRUE,"Dept. Summary";"Complete Sys. Estimate",#N/A,TRUE,"DOW Detail"}</definedName>
    <definedName name="guestroom" localSheetId="8" hidden="1">{#N/A,#N/A,TRUE,"Cover Memo";"Complete Sys. Estimate",#N/A,TRUE,"Change Summary";"Complete Sys. Estimate",#N/A,TRUE,"Estimate Summary";"Complete Sys. Estimate",#N/A,TRUE,"Dept. Summary";"Complete Sys. Estimate",#N/A,TRUE,"DOW Detail"}</definedName>
    <definedName name="guestroom" hidden="1">{#N/A,#N/A,TRUE,"Cover Memo";"Complete Sys. Estimate",#N/A,TRUE,"Change Summary";"Complete Sys. Estimate",#N/A,TRUE,"Estimate Summary";"Complete Sys. Estimate",#N/A,TRUE,"Dept. Summary";"Complete Sys. Estimate",#N/A,TRUE,"DOW Detail"}</definedName>
    <definedName name="guo" localSheetId="1" hidden="1">{#N/A,#N/A,FALSE,"Sheet6"}</definedName>
    <definedName name="guo" localSheetId="2" hidden="1">{#N/A,#N/A,FALSE,"Sheet6"}</definedName>
    <definedName name="guo" localSheetId="8" hidden="1">{#N/A,#N/A,FALSE,"Sheet6"}</definedName>
    <definedName name="guo" hidden="1">{#N/A,#N/A,FALSE,"Sheet6"}</definedName>
    <definedName name="GUUUUUU" localSheetId="1" hidden="1">{"ECA Qtrs C",#N/A,TRUE,"ECA_Qtrs_C";"ECA Qtrs D",#N/A,TRUE,"ECA_Qtrs_D";"ECA Qtrs F",#N/A,TRUE,"ECA_Qtrs_F";"ECA Qtrs G",#N/A,TRUE,"ECA_Qtrs_G";"ECA SisterApt",#N/A,TRUE,"ECA_SisterApt";"ECA Nurses",#N/A,TRUE,"ECA_NursesHostel"}</definedName>
    <definedName name="GUUUUUU" localSheetId="2" hidden="1">{"ECA Qtrs C",#N/A,TRUE,"ECA_Qtrs_C";"ECA Qtrs D",#N/A,TRUE,"ECA_Qtrs_D";"ECA Qtrs F",#N/A,TRUE,"ECA_Qtrs_F";"ECA Qtrs G",#N/A,TRUE,"ECA_Qtrs_G";"ECA SisterApt",#N/A,TRUE,"ECA_SisterApt";"ECA Nurses",#N/A,TRUE,"ECA_NursesHostel"}</definedName>
    <definedName name="GUUUUUU" localSheetId="8" hidden="1">{"ECA Qtrs C",#N/A,TRUE,"ECA_Qtrs_C";"ECA Qtrs D",#N/A,TRUE,"ECA_Qtrs_D";"ECA Qtrs F",#N/A,TRUE,"ECA_Qtrs_F";"ECA Qtrs G",#N/A,TRUE,"ECA_Qtrs_G";"ECA SisterApt",#N/A,TRUE,"ECA_SisterApt";"ECA Nurses",#N/A,TRUE,"ECA_NursesHostel"}</definedName>
    <definedName name="GUUUUUU" hidden="1">{"ECA Qtrs C",#N/A,TRUE,"ECA_Qtrs_C";"ECA Qtrs D",#N/A,TRUE,"ECA_Qtrs_D";"ECA Qtrs F",#N/A,TRUE,"ECA_Qtrs_F";"ECA Qtrs G",#N/A,TRUE,"ECA_Qtrs_G";"ECA SisterApt",#N/A,TRUE,"ECA_SisterApt";"ECA Nurses",#N/A,TRUE,"ECA_NursesHostel"}</definedName>
    <definedName name="GƯD" localSheetId="1" hidden="1">{"'Sheet1'!$L$16"}</definedName>
    <definedName name="GƯD" localSheetId="2" hidden="1">{"'Sheet1'!$L$16"}</definedName>
    <definedName name="GƯD" localSheetId="8" hidden="1">{"'Sheet1'!$L$16"}</definedName>
    <definedName name="GƯD" hidden="1">{"'Sheet1'!$L$16"}</definedName>
    <definedName name="GƯEGWEGED" localSheetId="1" hidden="1">{"'Sheet1'!$L$16"}</definedName>
    <definedName name="GƯEGWEGED" localSheetId="2" hidden="1">{"'Sheet1'!$L$16"}</definedName>
    <definedName name="GƯEGWEGED" localSheetId="8" hidden="1">{"'Sheet1'!$L$16"}</definedName>
    <definedName name="GƯEGWEGED" hidden="1">{"'Sheet1'!$L$16"}</definedName>
    <definedName name="GV" localSheetId="1" hidden="1">{#N/A,#N/A,FALSE,"CCTV"}</definedName>
    <definedName name="GV" localSheetId="2" hidden="1">{#N/A,#N/A,FALSE,"CCTV"}</definedName>
    <definedName name="GV" localSheetId="8" hidden="1">{#N/A,#N/A,FALSE,"CCTV"}</definedName>
    <definedName name="GV" hidden="1">{#N/A,#N/A,FALSE,"CCTV"}</definedName>
    <definedName name="gvjgkjh" localSheetId="1" hidden="1">{"'Sheet1'!$L$16"}</definedName>
    <definedName name="gvjgkjh" localSheetId="2" hidden="1">{"'Sheet1'!$L$16"}</definedName>
    <definedName name="gvjgkjh" localSheetId="8" hidden="1">{"'Sheet1'!$L$16"}</definedName>
    <definedName name="gvjgkjh" hidden="1">{"'Sheet1'!$L$16"}</definedName>
    <definedName name="gwewfw" hidden="1">#REF!</definedName>
    <definedName name="Gxd">#REF!</definedName>
    <definedName name="GYG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localSheetId="1" hidden="1">{"'Sheet1'!$L$16"}</definedName>
    <definedName name="giao" localSheetId="2" hidden="1">{"'Sheet1'!$L$16"}</definedName>
    <definedName name="giao" localSheetId="8" hidden="1">{"'Sheet1'!$L$16"}</definedName>
    <definedName name="giao" hidden="1">{"'Sheet1'!$L$16"}</definedName>
    <definedName name="h" localSheetId="1" hidden="1">{"'Sheet1'!$L$16"}</definedName>
    <definedName name="h" localSheetId="2" hidden="1">{"'Sheet1'!$L$16"}</definedName>
    <definedName name="h" localSheetId="8" hidden="1">{"'Sheet1'!$L$16"}</definedName>
    <definedName name="h" hidden="1">{"'Sheet1'!$L$16"}</definedName>
    <definedName name="h_1" localSheetId="1" hidden="1">{"'Sheet1'!$L$16"}</definedName>
    <definedName name="h_1" localSheetId="2" hidden="1">{"'Sheet1'!$L$16"}</definedName>
    <definedName name="h_1" localSheetId="8" hidden="1">{"'Sheet1'!$L$16"}</definedName>
    <definedName name="h_1" hidden="1">{"'Sheet1'!$L$16"}</definedName>
    <definedName name="h_xoa" localSheetId="1" hidden="1">{"'Sheet1'!$L$16"}</definedName>
    <definedName name="h_xoa" localSheetId="2" hidden="1">{"'Sheet1'!$L$16"}</definedName>
    <definedName name="h_xoa" localSheetId="8" hidden="1">{"'Sheet1'!$L$16"}</definedName>
    <definedName name="h_xoa" hidden="1">{"'Sheet1'!$L$16"}</definedName>
    <definedName name="h_xoa_1" localSheetId="1" hidden="1">{"'Sheet1'!$L$16"}</definedName>
    <definedName name="h_xoa_1" localSheetId="2" hidden="1">{"'Sheet1'!$L$16"}</definedName>
    <definedName name="h_xoa_1" localSheetId="8" hidden="1">{"'Sheet1'!$L$16"}</definedName>
    <definedName name="h_xoa_1" hidden="1">{"'Sheet1'!$L$16"}</definedName>
    <definedName name="h_xoa2" localSheetId="1" hidden="1">{"'Sheet1'!$L$16"}</definedName>
    <definedName name="h_xoa2" localSheetId="2" hidden="1">{"'Sheet1'!$L$16"}</definedName>
    <definedName name="h_xoa2" localSheetId="8" hidden="1">{"'Sheet1'!$L$16"}</definedName>
    <definedName name="h_xoa2" hidden="1">{"'Sheet1'!$L$16"}</definedName>
    <definedName name="h_xoa2_1" localSheetId="1" hidden="1">{"'Sheet1'!$L$16"}</definedName>
    <definedName name="h_xoa2_1" localSheetId="2" hidden="1">{"'Sheet1'!$L$16"}</definedName>
    <definedName name="h_xoa2_1" localSheetId="8" hidden="1">{"'Sheet1'!$L$16"}</definedName>
    <definedName name="h_xoa2_1" hidden="1">{"'Sheet1'!$L$16"}</definedName>
    <definedName name="h_xoa3" localSheetId="1" hidden="1">{"'Sheet1'!$L$16"}</definedName>
    <definedName name="h_xoa3" localSheetId="2" hidden="1">{"'Sheet1'!$L$16"}</definedName>
    <definedName name="h_xoa3" localSheetId="8" hidden="1">{"'Sheet1'!$L$16"}</definedName>
    <definedName name="h_xoa3" hidden="1">{"'Sheet1'!$L$16"}</definedName>
    <definedName name="HA" localSheetId="1" hidden="1">{"'Sheet1'!$L$16"}</definedName>
    <definedName name="HA" localSheetId="2" hidden="1">{"'Sheet1'!$L$16"}</definedName>
    <definedName name="HA" localSheetId="8" hidden="1">{"'Sheet1'!$L$16"}</definedName>
    <definedName name="HA" hidden="1">{"'Sheet1'!$L$16"}</definedName>
    <definedName name="hai" localSheetId="1" hidden="1">#REF!</definedName>
    <definedName name="hai" hidden="1">#REF!</definedName>
    <definedName name="halong" localSheetId="1" hidden="1">{"'Sheet1'!$L$16"}</definedName>
    <definedName name="halong" localSheetId="2" hidden="1">{"'Sheet1'!$L$16"}</definedName>
    <definedName name="halong" localSheetId="8" hidden="1">{"'Sheet1'!$L$16"}</definedName>
    <definedName name="halong" hidden="1">{"'Sheet1'!$L$16"}</definedName>
    <definedName name="han" localSheetId="1" hidden="1">#REF!</definedName>
    <definedName name="han" hidden="1">#REF!</definedName>
    <definedName name="hanh" localSheetId="1" hidden="1">{"'Sheet1'!$L$16"}</definedName>
    <definedName name="hanh" localSheetId="2" hidden="1">{"'Sheet1'!$L$16"}</definedName>
    <definedName name="hanh" localSheetId="8" hidden="1">{"'Sheet1'!$L$16"}</definedName>
    <definedName name="hanh" hidden="1">{"'Sheet1'!$L$16"}</definedName>
    <definedName name="HAO" localSheetId="1" hidden="1">{#N/A,#N/A,FALSE,"Sheet1"}</definedName>
    <definedName name="HAO" localSheetId="2" hidden="1">{#N/A,#N/A,FALSE,"Sheet1"}</definedName>
    <definedName name="HAO" localSheetId="8" hidden="1">{#N/A,#N/A,FALSE,"Sheet1"}</definedName>
    <definedName name="HAO" hidden="1">{#N/A,#N/A,FALSE,"Sheet1"}</definedName>
    <definedName name="haq" localSheetId="1" hidden="1">{"'Sheet1'!$L$16"}</definedName>
    <definedName name="haq" localSheetId="2" hidden="1">{"'Sheet1'!$L$16"}</definedName>
    <definedName name="haq" localSheetId="8" hidden="1">{"'Sheet1'!$L$16"}</definedName>
    <definedName name="haq" hidden="1">{"'Sheet1'!$L$16"}</definedName>
    <definedName name="hardwar" hidden="1">#REF!</definedName>
    <definedName name="hau" localSheetId="1" hidden="1">{"'Sheet1'!$L$16"}</definedName>
    <definedName name="hau" localSheetId="2" hidden="1">{"'Sheet1'!$L$16"}</definedName>
    <definedName name="hau" localSheetId="8" hidden="1">{"'Sheet1'!$L$16"}</definedName>
    <definedName name="hau" hidden="1">{"'Sheet1'!$L$16"}</definedName>
    <definedName name="hb" localSheetId="1" hidden="1">{"'Sheet1'!$L$16"}</definedName>
    <definedName name="hb" localSheetId="2" hidden="1">{"'Sheet1'!$L$16"}</definedName>
    <definedName name="hb" localSheetId="8" hidden="1">{"'Sheet1'!$L$16"}</definedName>
    <definedName name="hb" hidden="1">{"'Sheet1'!$L$16"}</definedName>
    <definedName name="hbbbbbb" localSheetId="1" hidden="1">{"'Sheet1'!$L$16"}</definedName>
    <definedName name="hbbbbbb" localSheetId="2" hidden="1">{"'Sheet1'!$L$16"}</definedName>
    <definedName name="hbbbbbb" localSheetId="8" hidden="1">{"'Sheet1'!$L$16"}</definedName>
    <definedName name="hbbbbbb" hidden="1">{"'Sheet1'!$L$16"}</definedName>
    <definedName name="hbhbh" localSheetId="1" hidden="1">{"'Sheet1'!$L$16"}</definedName>
    <definedName name="hbhbh" localSheetId="2" hidden="1">{"'Sheet1'!$L$16"}</definedName>
    <definedName name="hbhbh" localSheetId="8" hidden="1">{"'Sheet1'!$L$16"}</definedName>
    <definedName name="hbhbh" hidden="1">{"'Sheet1'!$L$16"}</definedName>
    <definedName name="HCNA" localSheetId="1" hidden="1">{"'Sheet1'!$L$16"}</definedName>
    <definedName name="HCNA" localSheetId="2" hidden="1">{"'Sheet1'!$L$16"}</definedName>
    <definedName name="HCNA" localSheetId="8" hidden="1">{"'Sheet1'!$L$16"}</definedName>
    <definedName name="HCNA" hidden="1">{"'Sheet1'!$L$16"}</definedName>
    <definedName name="hd" hidden="1">#REF!</definedName>
    <definedName name="HDFGHFD" localSheetId="1" hidden="1">{"'Sheet1'!$L$16"}</definedName>
    <definedName name="HDFGHFD" localSheetId="2" hidden="1">{"'Sheet1'!$L$16"}</definedName>
    <definedName name="HDFGHFD" localSheetId="8" hidden="1">{"'Sheet1'!$L$16"}</definedName>
    <definedName name="HDFGHFD" hidden="1">{"'Sheet1'!$L$16"}</definedName>
    <definedName name="hdfhdgf" hidden="1">#REF!</definedName>
    <definedName name="hdfhdh" hidden="1">#REF!</definedName>
    <definedName name="hdghndgnhg" hidden="1">#REF!</definedName>
    <definedName name="HDGUJ" localSheetId="1" hidden="1">{"'Sheet1'!$L$16"}</definedName>
    <definedName name="HDGUJ" localSheetId="2" hidden="1">{"'Sheet1'!$L$16"}</definedName>
    <definedName name="HDGUJ" localSheetId="8" hidden="1">{"'Sheet1'!$L$16"}</definedName>
    <definedName name="HDGUJ" hidden="1">{"'Sheet1'!$L$16"}</definedName>
    <definedName name="hdh" localSheetId="1" hidden="1">#REF!</definedName>
    <definedName name="hdh" hidden="1">#REF!</definedName>
    <definedName name="hdhgd"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1" hidden="1">{#N/A,#N/A,FALSE,"Chi tiÆt"}</definedName>
    <definedName name="hdhj" localSheetId="2" hidden="1">{#N/A,#N/A,FALSE,"Chi tiÆt"}</definedName>
    <definedName name="hdhj" localSheetId="8" hidden="1">{#N/A,#N/A,FALSE,"Chi tiÆt"}</definedName>
    <definedName name="hdhj" hidden="1">{#N/A,#N/A,FALSE,"Chi tiÆt"}</definedName>
    <definedName name="HDPE15">#REF!</definedName>
    <definedName name="HDPE20">#REF!</definedName>
    <definedName name="HDPE30">#REF!</definedName>
    <definedName name="HDPE4">#REF!</definedName>
    <definedName name="hdyt" localSheetId="1" hidden="1">{"'Sheet1'!$L$16"}</definedName>
    <definedName name="hdyt" localSheetId="2" hidden="1">{"'Sheet1'!$L$16"}</definedName>
    <definedName name="hdyt" localSheetId="8" hidden="1">{"'Sheet1'!$L$16"}</definedName>
    <definedName name="hdyt" hidden="1">{"'Sheet1'!$L$16"}</definedName>
    <definedName name="he" localSheetId="1" hidden="1">#REF!</definedName>
    <definedName name="he" hidden="1">#REF!</definedName>
    <definedName name="Heä_soá_laép_xaø_H">1.7</definedName>
    <definedName name="hee_opjg" localSheetId="1" hidden="1">{"'Sheet1'!$L$16"}</definedName>
    <definedName name="hee_opjg" localSheetId="2" hidden="1">{"'Sheet1'!$L$16"}</definedName>
    <definedName name="hee_opjg" localSheetId="8" hidden="1">{"'Sheet1'!$L$16"}</definedName>
    <definedName name="hee_opjg" hidden="1">{"'Sheet1'!$L$16"}</definedName>
    <definedName name="hehdhdh"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1" hidden="1">{#N/A,#N/A,FALSE,"Chi tiÆt"}</definedName>
    <definedName name="hehehe" localSheetId="2" hidden="1">{#N/A,#N/A,FALSE,"Chi tiÆt"}</definedName>
    <definedName name="hehehe" localSheetId="8" hidden="1">{#N/A,#N/A,FALSE,"Chi tiÆt"}</definedName>
    <definedName name="hehehe" hidden="1">{#N/A,#N/A,FALSE,"Chi tiÆt"}</definedName>
    <definedName name="hehgeh" hidden="1">#REF!</definedName>
    <definedName name="hehreh" localSheetId="1" hidden="1">{"'Sheet1'!$L$16"}</definedName>
    <definedName name="hehreh" localSheetId="2" hidden="1">{"'Sheet1'!$L$16"}</definedName>
    <definedName name="hehreh" localSheetId="8" hidden="1">{"'Sheet1'!$L$16"}</definedName>
    <definedName name="hehreh" hidden="1">{"'Sheet1'!$L$16"}</definedName>
    <definedName name="help" localSheetId="1" hidden="1">{"summary",#N/A,FALSE,"Summary";"parameter",#N/A,FALSE,"Parameter Summary";"detail",#N/A,FALSE,"Detail";"gsf",#N/A,FALSE,"GSF"}</definedName>
    <definedName name="help" localSheetId="2" hidden="1">{"summary",#N/A,FALSE,"Summary";"parameter",#N/A,FALSE,"Parameter Summary";"detail",#N/A,FALSE,"Detail";"gsf",#N/A,FALSE,"GSF"}</definedName>
    <definedName name="help" localSheetId="8" hidden="1">{"summary",#N/A,FALSE,"Summary";"parameter",#N/A,FALSE,"Parameter Summary";"detail",#N/A,FALSE,"Detail";"gsf",#N/A,FALSE,"GSF"}</definedName>
    <definedName name="help" hidden="1">{"summary",#N/A,FALSE,"Summary";"parameter",#N/A,FALSE,"Parameter Summary";"detail",#N/A,FALSE,"Detail";"gsf",#N/A,FALSE,"GSF"}</definedName>
    <definedName name="help1" localSheetId="1" hidden="1">{#N/A,#N/A,FALSE,"Project Summary";#N/A,#N/A,FALSE,"Parameter Summary";#N/A,#N/A,FALSE,"Budget Control Report";#N/A,#N/A,FALSE,"DETAIL.XLS"}</definedName>
    <definedName name="help1" localSheetId="2" hidden="1">{#N/A,#N/A,FALSE,"Project Summary";#N/A,#N/A,FALSE,"Parameter Summary";#N/A,#N/A,FALSE,"Budget Control Report";#N/A,#N/A,FALSE,"DETAIL.XLS"}</definedName>
    <definedName name="help1" localSheetId="8" hidden="1">{#N/A,#N/A,FALSE,"Project Summary";#N/A,#N/A,FALSE,"Parameter Summary";#N/A,#N/A,FALSE,"Budget Control Report";#N/A,#N/A,FALSE,"DETAIL.XLS"}</definedName>
    <definedName name="help1" hidden="1">{#N/A,#N/A,FALSE,"Project Summary";#N/A,#N/A,FALSE,"Parameter Summary";#N/A,#N/A,FALSE,"Budget Control Report";#N/A,#N/A,FALSE,"DETAIL.XLS"}</definedName>
    <definedName name="hergyew" localSheetId="1" hidden="1">{"'Sheet1'!$L$16"}</definedName>
    <definedName name="hergyew" localSheetId="2" hidden="1">{"'Sheet1'!$L$16"}</definedName>
    <definedName name="hergyew" localSheetId="8" hidden="1">{"'Sheet1'!$L$16"}</definedName>
    <definedName name="hergyew" hidden="1">{"'Sheet1'!$L$16"}</definedName>
    <definedName name="herse" localSheetId="1" hidden="1">{#N/A,#N/A,FALSE,"Chi tiÆt"}</definedName>
    <definedName name="herse" localSheetId="2" hidden="1">{#N/A,#N/A,FALSE,"Chi tiÆt"}</definedName>
    <definedName name="herse" localSheetId="8" hidden="1">{#N/A,#N/A,FALSE,"Chi tiÆt"}</definedName>
    <definedName name="herse" hidden="1">{#N/A,#N/A,FALSE,"Chi tiÆt"}</definedName>
    <definedName name="hery" hidden="1">#REF!</definedName>
    <definedName name="HETH" localSheetId="1" hidden="1">{"'Sheet1'!$L$16"}</definedName>
    <definedName name="HETH" localSheetId="2" hidden="1">{"'Sheet1'!$L$16"}</definedName>
    <definedName name="HETH" localSheetId="8" hidden="1">{"'Sheet1'!$L$16"}</definedName>
    <definedName name="HETH" hidden="1">{"'Sheet1'!$L$16"}</definedName>
    <definedName name="hethongthoatnuocngoainha" localSheetId="1" hidden="1">#REF!</definedName>
    <definedName name="hethongthoatnuocngoainha" hidden="1">#REF!</definedName>
    <definedName name="hẻy" localSheetId="1" hidden="1">{"'Sheet1'!$L$16"}</definedName>
    <definedName name="hẻy" localSheetId="2" hidden="1">{"'Sheet1'!$L$16"}</definedName>
    <definedName name="hẻy" localSheetId="8" hidden="1">{"'Sheet1'!$L$16"}</definedName>
    <definedName name="hẻy" hidden="1">{"'Sheet1'!$L$16"}</definedName>
    <definedName name="HFGHFGHDG" localSheetId="1" hidden="1">{"'Sheet1'!$L$16"}</definedName>
    <definedName name="HFGHFGHDG" localSheetId="2" hidden="1">{"'Sheet1'!$L$16"}</definedName>
    <definedName name="HFGHFGHDG" localSheetId="8" hidden="1">{"'Sheet1'!$L$16"}</definedName>
    <definedName name="HFGHFGHDG" hidden="1">{"'Sheet1'!$L$16"}</definedName>
    <definedName name="hfgk" localSheetId="1" hidden="1">{#N/A,#N/A,FALSE,"特殊室（ＢＱ表）"}</definedName>
    <definedName name="hfgk" localSheetId="2" hidden="1">{#N/A,#N/A,FALSE,"特殊室（ＢＱ表）"}</definedName>
    <definedName name="hfgk" localSheetId="8" hidden="1">{#N/A,#N/A,FALSE,"特殊室（ＢＱ表）"}</definedName>
    <definedName name="hfgk" hidden="1">{#N/A,#N/A,FALSE,"特殊室（ＢＱ表）"}</definedName>
    <definedName name="hfgsdf" localSheetId="1" hidden="1">{"'Sheet1'!$L$16"}</definedName>
    <definedName name="hfgsdf" localSheetId="2" hidden="1">{"'Sheet1'!$L$16"}</definedName>
    <definedName name="hfgsdf" localSheetId="8" hidden="1">{"'Sheet1'!$L$16"}</definedName>
    <definedName name="hfgsdf" hidden="1">{"'Sheet1'!$L$16"}</definedName>
    <definedName name="hfgsdf_1" localSheetId="1" hidden="1">{"'Sheet1'!$L$16"}</definedName>
    <definedName name="hfgsdf_1" localSheetId="2" hidden="1">{"'Sheet1'!$L$16"}</definedName>
    <definedName name="hfgsdf_1" localSheetId="8" hidden="1">{"'Sheet1'!$L$16"}</definedName>
    <definedName name="hfgsdf_1" hidden="1">{"'Sheet1'!$L$16"}</definedName>
    <definedName name="hfh" hidden="1">#REF!</definedName>
    <definedName name="hg" localSheetId="1" hidden="1">{"'Sheet1'!$L$16"}</definedName>
    <definedName name="hg" localSheetId="2" hidden="1">{"'Sheet1'!$L$16"}</definedName>
    <definedName name="hg" localSheetId="8" hidden="1">{"'Sheet1'!$L$16"}</definedName>
    <definedName name="hg" hidden="1">{"'Sheet1'!$L$16"}</definedName>
    <definedName name="HGDHDFG" localSheetId="1" hidden="1">{"'Sheet1'!$L$16"}</definedName>
    <definedName name="HGDHDFG" localSheetId="2" hidden="1">{"'Sheet1'!$L$16"}</definedName>
    <definedName name="HGDHDFG" localSheetId="8" hidden="1">{"'Sheet1'!$L$16"}</definedName>
    <definedName name="HGDHDFG" hidden="1">{"'Sheet1'!$L$16"}</definedName>
    <definedName name="hgdhdghd" localSheetId="1" hidden="1">{"'Sheet1'!$L$16"}</definedName>
    <definedName name="hgdhdghd" localSheetId="2" hidden="1">{"'Sheet1'!$L$16"}</definedName>
    <definedName name="hgdhdghd" localSheetId="8" hidden="1">{"'Sheet1'!$L$16"}</definedName>
    <definedName name="hgdhdghd" hidden="1">{"'Sheet1'!$L$16"}</definedName>
    <definedName name="hgf" hidden="1">#REF!</definedName>
    <definedName name="hgfagl" localSheetId="1" hidden="1">#REF!</definedName>
    <definedName name="hgfagl" hidden="1">#REF!</definedName>
    <definedName name="HGFGJHG" localSheetId="1" hidden="1">{"'Sheet1'!$L$16"}</definedName>
    <definedName name="HGFGJHG" localSheetId="2" hidden="1">{"'Sheet1'!$L$16"}</definedName>
    <definedName name="HGFGJHG" localSheetId="8" hidden="1">{"'Sheet1'!$L$16"}</definedName>
    <definedName name="HGFGJHG" hidden="1">{"'Sheet1'!$L$16"}</definedName>
    <definedName name="HGF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localSheetId="1" hidden="1">{#N/A,#N/A,FALSE,"Chi tiÆt"}</definedName>
    <definedName name="hggf" localSheetId="2" hidden="1">{#N/A,#N/A,FALSE,"Chi tiÆt"}</definedName>
    <definedName name="hggf" localSheetId="8" hidden="1">{#N/A,#N/A,FALSE,"Chi tiÆt"}</definedName>
    <definedName name="hggf" hidden="1">{#N/A,#N/A,FALSE,"Chi tiÆt"}</definedName>
    <definedName name="hggg" localSheetId="1" hidden="1">{"'Sheet1'!$L$16"}</definedName>
    <definedName name="hggg" localSheetId="2" hidden="1">{"'Sheet1'!$L$16"}</definedName>
    <definedName name="hggg" localSheetId="8" hidden="1">{"'Sheet1'!$L$16"}</definedName>
    <definedName name="hggg" hidden="1">{"'Sheet1'!$L$16"}</definedName>
    <definedName name="HGH" localSheetId="1" hidden="1">{"'Sheet1'!$L$16"}</definedName>
    <definedName name="HGH" localSheetId="2" hidden="1">{"'Sheet1'!$L$16"}</definedName>
    <definedName name="HGH" localSheetId="8" hidden="1">{"'Sheet1'!$L$16"}</definedName>
    <definedName name="HGH" hidden="1">{"'Sheet1'!$L$16"}</definedName>
    <definedName name="HGHG" localSheetId="1" hidden="1">{"'Sheet1'!$L$16"}</definedName>
    <definedName name="HGHG" localSheetId="2" hidden="1">{"'Sheet1'!$L$16"}</definedName>
    <definedName name="HGHG" localSheetId="8" hidden="1">{"'Sheet1'!$L$16"}</definedName>
    <definedName name="HGHG" hidden="1">{"'Sheet1'!$L$16"}</definedName>
    <definedName name="hghghg" localSheetId="1" hidden="1">{"'Sheet1'!$L$16"}</definedName>
    <definedName name="hghghg" localSheetId="2" hidden="1">{"'Sheet1'!$L$16"}</definedName>
    <definedName name="hghghg" localSheetId="8" hidden="1">{"'Sheet1'!$L$16"}</definedName>
    <definedName name="hghghg" hidden="1">{"'Sheet1'!$L$16"}</definedName>
    <definedName name="hgj" localSheetId="1" hidden="1">{#N/A,#N/A,FALSE,"Sheet6"}</definedName>
    <definedName name="hgj" localSheetId="2" hidden="1">{#N/A,#N/A,FALSE,"Sheet6"}</definedName>
    <definedName name="hgj" localSheetId="8" hidden="1">{#N/A,#N/A,FALSE,"Sheet6"}</definedName>
    <definedName name="hgj" hidden="1">{#N/A,#N/A,FALSE,"Sheet6"}</definedName>
    <definedName name="hgjhkh" localSheetId="1" hidden="1">{"'Sheet1'!$L$16"}</definedName>
    <definedName name="hgjhkh" localSheetId="2" hidden="1">{"'Sheet1'!$L$16"}</definedName>
    <definedName name="hgjhkh" localSheetId="8" hidden="1">{"'Sheet1'!$L$16"}</definedName>
    <definedName name="hgjhkh" hidden="1">{"'Sheet1'!$L$16"}</definedName>
    <definedName name="hgjjjh" localSheetId="1" hidden="1">{"'Sheet1'!$L$16"}</definedName>
    <definedName name="hgjjjh" localSheetId="2" hidden="1">{"'Sheet1'!$L$16"}</definedName>
    <definedName name="hgjjjh" localSheetId="8" hidden="1">{"'Sheet1'!$L$16"}</definedName>
    <definedName name="hgjjjh" hidden="1">{"'Sheet1'!$L$16"}</definedName>
    <definedName name="HGKUK" hidden="1">#REF!</definedName>
    <definedName name="hgre_zdfhgfd" localSheetId="1" hidden="1">{"'Sheet1'!$L$16"}</definedName>
    <definedName name="hgre_zdfhgfd" localSheetId="2" hidden="1">{"'Sheet1'!$L$16"}</definedName>
    <definedName name="hgre_zdfhgfd" localSheetId="8" hidden="1">{"'Sheet1'!$L$16"}</definedName>
    <definedName name="hgre_zdfhgfd" hidden="1">{"'Sheet1'!$L$16"}</definedName>
    <definedName name="hgrf" localSheetId="1" hidden="1">{"'Sheet1'!$L$16"}</definedName>
    <definedName name="hgrf" localSheetId="2" hidden="1">{"'Sheet1'!$L$16"}</definedName>
    <definedName name="hgrf" localSheetId="8" hidden="1">{"'Sheet1'!$L$16"}</definedName>
    <definedName name="hgrf" hidden="1">{"'Sheet1'!$L$16"}</definedName>
    <definedName name="hgsa" localSheetId="1" hidden="1">{#N/A,#N/A,FALSE,"Chi tiÆt"}</definedName>
    <definedName name="hgsa" localSheetId="2" hidden="1">{#N/A,#N/A,FALSE,"Chi tiÆt"}</definedName>
    <definedName name="hgsa" localSheetId="8" hidden="1">{#N/A,#N/A,FALSE,"Chi tiÆt"}</definedName>
    <definedName name="hgsa" hidden="1">{#N/A,#N/A,FALSE,"Chi tiÆt"}</definedName>
    <definedName name="hh" localSheetId="1" hidden="1">{"'Sheet1'!$L$16"}</definedName>
    <definedName name="hh" localSheetId="2" hidden="1">{"'Sheet1'!$L$16"}</definedName>
    <definedName name="hh" localSheetId="8" hidden="1">{"'Sheet1'!$L$16"}</definedName>
    <definedName name="hh" hidden="1">{"'Sheet1'!$L$16"}</definedName>
    <definedName name="hhb" localSheetId="1" hidden="1">{"'Sheet1'!$L$16"}</definedName>
    <definedName name="hhb" localSheetId="2" hidden="1">{"'Sheet1'!$L$16"}</definedName>
    <definedName name="hhb" localSheetId="8" hidden="1">{"'Sheet1'!$L$16"}</definedName>
    <definedName name="hhb" hidden="1">{"'Sheet1'!$L$16"}</definedName>
    <definedName name="HHG" localSheetId="1" hidden="1">{"'ROOF'!$B$6","'ROOF'!$B$6","'ROOF'!$B$6","'ROOF'!$B$6"}</definedName>
    <definedName name="HHG" localSheetId="2" hidden="1">{"'ROOF'!$B$6","'ROOF'!$B$6","'ROOF'!$B$6","'ROOF'!$B$6"}</definedName>
    <definedName name="HHG" localSheetId="8" hidden="1">{"'ROOF'!$B$6","'ROOF'!$B$6","'ROOF'!$B$6","'ROOF'!$B$6"}</definedName>
    <definedName name="HHG" hidden="1">{"'ROOF'!$B$6","'ROOF'!$B$6","'ROOF'!$B$6","'ROOF'!$B$6"}</definedName>
    <definedName name="hhgggggg" localSheetId="1" hidden="1">{"'Sheet1'!$L$16"}</definedName>
    <definedName name="hhgggggg" localSheetId="2" hidden="1">{"'Sheet1'!$L$16"}</definedName>
    <definedName name="hhgggggg" localSheetId="8" hidden="1">{"'Sheet1'!$L$16"}</definedName>
    <definedName name="hhgggggg" hidden="1">{"'Sheet1'!$L$16"}</definedName>
    <definedName name="hhghg" localSheetId="1" hidden="1">{"'Sheet1'!$L$16"}</definedName>
    <definedName name="hhghg" localSheetId="2" hidden="1">{"'Sheet1'!$L$16"}</definedName>
    <definedName name="hhghg" localSheetId="8" hidden="1">{"'Sheet1'!$L$16"}</definedName>
    <definedName name="hhghg" hidden="1">{"'Sheet1'!$L$16"}</definedName>
    <definedName name="hhh" localSheetId="1" hidden="1">#REF!</definedName>
    <definedName name="hhh" hidden="1">#REF!</definedName>
    <definedName name="HHHH" hidden="1">#REF!</definedName>
    <definedName name="hhhhh" localSheetId="1" hidden="1">#REF!</definedName>
    <definedName name="hhhhh" hidden="1">#REF!</definedName>
    <definedName name="HHHHHH" localSheetId="1" hidden="1">{#N/A,#N/A,TRUE,"SUM";#N/A,#N/A,TRUE,"EE";#N/A,#N/A,TRUE,"AC";#N/A,#N/A,TRUE,"SN"}</definedName>
    <definedName name="HHHHHH" localSheetId="2" hidden="1">{#N/A,#N/A,TRUE,"SUM";#N/A,#N/A,TRUE,"EE";#N/A,#N/A,TRUE,"AC";#N/A,#N/A,TRUE,"SN"}</definedName>
    <definedName name="HHHHHH" localSheetId="8" hidden="1">{#N/A,#N/A,TRUE,"SUM";#N/A,#N/A,TRUE,"EE";#N/A,#N/A,TRUE,"AC";#N/A,#N/A,TRUE,"SN"}</definedName>
    <definedName name="HHHHHH" hidden="1">{#N/A,#N/A,TRUE,"SUM";#N/A,#N/A,TRUE,"EE";#N/A,#N/A,TRUE,"AC";#N/A,#N/A,TRUE,"SN"}</definedName>
    <definedName name="hhhhhhh" localSheetId="1" hidden="1">{"'Sheet1'!$L$16"}</definedName>
    <definedName name="hhhhhhh" localSheetId="2" hidden="1">{"'Sheet1'!$L$16"}</definedName>
    <definedName name="hhhhhhh" localSheetId="8" hidden="1">{"'Sheet1'!$L$16"}</definedName>
    <definedName name="hhhhhhh" hidden="1">{"'Sheet1'!$L$16"}</definedName>
    <definedName name="hhhhhu" localSheetId="1" hidden="1">{"'Sheet1'!$L$16"}</definedName>
    <definedName name="hhhhhu" localSheetId="2" hidden="1">{"'Sheet1'!$L$16"}</definedName>
    <definedName name="hhhhhu" localSheetId="8" hidden="1">{"'Sheet1'!$L$16"}</definedName>
    <definedName name="hhhhhu" hidden="1">{"'Sheet1'!$L$16"}</definedName>
    <definedName name="hhhlll" localSheetId="1" hidden="1">{"'Sheet1'!$L$16"}</definedName>
    <definedName name="hhhlll" localSheetId="2" hidden="1">{"'Sheet1'!$L$16"}</definedName>
    <definedName name="hhhlll" localSheetId="8" hidden="1">{"'Sheet1'!$L$16"}</definedName>
    <definedName name="hhhlll" hidden="1">{"'Sheet1'!$L$16"}</definedName>
    <definedName name="hhjd" localSheetId="1" hidden="1">{0}</definedName>
    <definedName name="hhjd" localSheetId="2" hidden="1">{0}</definedName>
    <definedName name="hhjd" localSheetId="8" hidden="1">{0}</definedName>
    <definedName name="hhjd" hidden="1">{0}</definedName>
    <definedName name="HiddenRows" localSheetId="1" hidden="1">#REF!</definedName>
    <definedName name="HiddenRows" hidden="1">#REF!</definedName>
    <definedName name="hiep" localSheetId="1" hidden="1">{#N/A,#N/A,FALSE,"Chi tiÆt"}</definedName>
    <definedName name="hiep" localSheetId="2" hidden="1">{#N/A,#N/A,FALSE,"Chi tiÆt"}</definedName>
    <definedName name="hiep" localSheetId="8" hidden="1">{#N/A,#N/A,FALSE,"Chi tiÆt"}</definedName>
    <definedName name="hiep" hidden="1">{#N/A,#N/A,FALSE,"Chi tiÆt"}</definedName>
    <definedName name="hiept2" localSheetId="1" hidden="1">{"'Sheet1'!$L$16"}</definedName>
    <definedName name="hiept2" localSheetId="2" hidden="1">{"'Sheet1'!$L$16"}</definedName>
    <definedName name="hiept2" localSheetId="8" hidden="1">{"'Sheet1'!$L$16"}</definedName>
    <definedName name="hiept2" hidden="1">{"'Sheet1'!$L$16"}</definedName>
    <definedName name="hieu" localSheetId="1" hidden="1">{"'Sheet1'!$L$16"}</definedName>
    <definedName name="hieu" localSheetId="2" hidden="1">{"'Sheet1'!$L$16"}</definedName>
    <definedName name="hieu" localSheetId="8" hidden="1">{"'Sheet1'!$L$16"}</definedName>
    <definedName name="hieu" hidden="1">{"'Sheet1'!$L$16"}</definedName>
    <definedName name="HIGE" hidden="1">#REF!</definedName>
    <definedName name="HIGH" hidden="1">#REF!</definedName>
    <definedName name="hihi" localSheetId="1" hidden="1">{"'Sheet1'!$L$16"}</definedName>
    <definedName name="hihi" localSheetId="2" hidden="1">{"'Sheet1'!$L$16"}</definedName>
    <definedName name="hihi" localSheetId="8" hidden="1">{"'Sheet1'!$L$16"}</definedName>
    <definedName name="hihi" hidden="1">{"'Sheet1'!$L$16"}</definedName>
    <definedName name="HIKH" hidden="1">#REF!</definedName>
    <definedName name="hj" localSheetId="1" hidden="1">{#N/A,#N/A,FALSE,"Chi tiÆt"}</definedName>
    <definedName name="hj" localSheetId="2" hidden="1">{#N/A,#N/A,FALSE,"Sheet6"}</definedName>
    <definedName name="hj" localSheetId="8" hidden="1">{#N/A,#N/A,FALSE,"Sheet6"}</definedName>
    <definedName name="hj" hidden="1">{#N/A,#N/A,FALSE,"Sheet6"}</definedName>
    <definedName name="hjgs" localSheetId="1" hidden="1">#REF!</definedName>
    <definedName name="hjgs" hidden="1">#REF!</definedName>
    <definedName name="HJHH" localSheetId="1" hidden="1">{"ECA Qtrs C",#N/A,TRUE,"ECA_Qtrs_C";"ECA Qtrs D",#N/A,TRUE,"ECA_Qtrs_D";"ECA Qtrs F",#N/A,TRUE,"ECA_Qtrs_F";"ECA Qtrs G",#N/A,TRUE,"ECA_Qtrs_G";"ECA SisterApt",#N/A,TRUE,"ECA_SisterApt";"ECA Nurses",#N/A,TRUE,"ECA_NursesHostel"}</definedName>
    <definedName name="HJHH" localSheetId="2" hidden="1">{"ECA Qtrs C",#N/A,TRUE,"ECA_Qtrs_C";"ECA Qtrs D",#N/A,TRUE,"ECA_Qtrs_D";"ECA Qtrs F",#N/A,TRUE,"ECA_Qtrs_F";"ECA Qtrs G",#N/A,TRUE,"ECA_Qtrs_G";"ECA SisterApt",#N/A,TRUE,"ECA_SisterApt";"ECA Nurses",#N/A,TRUE,"ECA_NursesHostel"}</definedName>
    <definedName name="HJHH" localSheetId="8"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HH_1" localSheetId="1"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HH_1" localSheetId="8"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localSheetId="1" hidden="1">{"'Sheet1'!$L$16"}</definedName>
    <definedName name="hjjkl" localSheetId="2" hidden="1">{"'Sheet1'!$L$16"}</definedName>
    <definedName name="hjjkl" localSheetId="8" hidden="1">{"'Sheet1'!$L$16"}</definedName>
    <definedName name="hjjkl" hidden="1">{"'Sheet1'!$L$16"}</definedName>
    <definedName name="hjjpu" localSheetId="1" hidden="1">{"'Sheet1'!$L$16"}</definedName>
    <definedName name="hjjpu" localSheetId="2" hidden="1">{"'Sheet1'!$L$16"}</definedName>
    <definedName name="hjjpu" localSheetId="8" hidden="1">{"'Sheet1'!$L$16"}</definedName>
    <definedName name="hjjpu" hidden="1">{"'Sheet1'!$L$16"}</definedName>
    <definedName name="hjjþu" localSheetId="1" hidden="1">{"'Sheet1'!$L$16"}</definedName>
    <definedName name="hjjþu" localSheetId="2" hidden="1">{"'Sheet1'!$L$16"}</definedName>
    <definedName name="hjjþu" localSheetId="8" hidden="1">{"'Sheet1'!$L$16"}</definedName>
    <definedName name="hjjþu" hidden="1">{"'Sheet1'!$L$16"}</definedName>
    <definedName name="hjk" localSheetId="1" hidden="1">{#N/A,#N/A,FALSE,"MARCH"}</definedName>
    <definedName name="hjk" localSheetId="2" hidden="1">{"'Sheet1'!$L$16"}</definedName>
    <definedName name="hjk" localSheetId="8" hidden="1">{"'Sheet1'!$L$16"}</definedName>
    <definedName name="hjk" hidden="1">{"'Sheet1'!$L$16"}</definedName>
    <definedName name="hjkl" localSheetId="1" hidden="1">#REF!</definedName>
    <definedName name="hjkl" hidden="1">#REF!</definedName>
    <definedName name="HJTHE" localSheetId="1" hidden="1">{"'Sheet1'!$L$16"}</definedName>
    <definedName name="HJTHE" localSheetId="2" hidden="1">{"'Sheet1'!$L$16"}</definedName>
    <definedName name="HJTHE" localSheetId="8" hidden="1">{"'Sheet1'!$L$16"}</definedName>
    <definedName name="HJTHE" hidden="1">{"'Sheet1'!$L$16"}</definedName>
    <definedName name="hkilgu" localSheetId="1" hidden="1">{#N/A,#N/A,FALSE,"포장2"}</definedName>
    <definedName name="hkilgu" localSheetId="2" hidden="1">{#N/A,#N/A,FALSE,"포장2"}</definedName>
    <definedName name="hkilgu" localSheetId="8" hidden="1">{#N/A,#N/A,FALSE,"포장2"}</definedName>
    <definedName name="hkilgu" hidden="1">{#N/A,#N/A,FALSE,"포장2"}</definedName>
    <definedName name="HKJH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1" hidden="1">{"'Sheet1'!$L$16"}</definedName>
    <definedName name="hkjlj" localSheetId="2" hidden="1">{"'Sheet1'!$L$16"}</definedName>
    <definedName name="hkjlj" localSheetId="8" hidden="1">{"'Sheet1'!$L$16"}</definedName>
    <definedName name="hkjlj" hidden="1">{"'Sheet1'!$L$16"}</definedName>
    <definedName name="hkl" localSheetId="1" hidden="1">{"'Sheet1'!$L$16"}</definedName>
    <definedName name="hkl" localSheetId="2" hidden="1">{"'Sheet1'!$L$16"}</definedName>
    <definedName name="hkl" localSheetId="8" hidden="1">{"'Sheet1'!$L$16"}</definedName>
    <definedName name="hkl" hidden="1">{"'Sheet1'!$L$16"}</definedName>
    <definedName name="hklhj" localSheetId="1" hidden="1">{"'Sheet1'!$L$16"}</definedName>
    <definedName name="hklhj" localSheetId="2" hidden="1">{"'Sheet1'!$L$16"}</definedName>
    <definedName name="hklhj" localSheetId="8" hidden="1">{"'Sheet1'!$L$16"}</definedName>
    <definedName name="hklhj" hidden="1">{"'Sheet1'!$L$16"}</definedName>
    <definedName name="hl">#REF!</definedName>
    <definedName name="hllgljl" localSheetId="1" hidden="1">{"'Sheet1'!$L$16"}</definedName>
    <definedName name="hllgljl" localSheetId="2" hidden="1">{"'Sheet1'!$L$16"}</definedName>
    <definedName name="hllgljl" localSheetId="8" hidden="1">{"'Sheet1'!$L$16"}</definedName>
    <definedName name="hllgljl" hidden="1">{"'Sheet1'!$L$16"}</definedName>
    <definedName name="hlo" localSheetId="1" hidden="1">#REF!</definedName>
    <definedName name="hlo" hidden="1">#REF!</definedName>
    <definedName name="hm">#REF!</definedName>
    <definedName name="HMFDFG" localSheetId="1" hidden="1">{"'Sheet1'!$L$16"}</definedName>
    <definedName name="HMFDFG" localSheetId="2" hidden="1">{"'Sheet1'!$L$16"}</definedName>
    <definedName name="HMFDFG" localSheetId="8" hidden="1">{"'Sheet1'!$L$16"}</definedName>
    <definedName name="HMFDFG" hidden="1">{"'Sheet1'!$L$16"}</definedName>
    <definedName name="HMFGMFG" localSheetId="1" hidden="1">{"'Sheet1'!$L$16"}</definedName>
    <definedName name="HMFGMFG" localSheetId="2" hidden="1">{"'Sheet1'!$L$16"}</definedName>
    <definedName name="HMFGMFG" localSheetId="8" hidden="1">{"'Sheet1'!$L$16"}</definedName>
    <definedName name="HMFGMFG" hidden="1">{"'Sheet1'!$L$16"}</definedName>
    <definedName name="ho" localSheetId="1" hidden="1">{"'Sheet1'!$L$16"}</definedName>
    <definedName name="ho" localSheetId="2" hidden="1">{"'Sheet1'!$L$16"}</definedName>
    <definedName name="ho" localSheetId="8" hidden="1">{"'Sheet1'!$L$16"}</definedName>
    <definedName name="ho" hidden="1">{"'Sheet1'!$L$16"}</definedName>
    <definedName name="hoa" localSheetId="1" hidden="1">{"'Sheet1'!$L$16"}</definedName>
    <definedName name="hoa" localSheetId="2" hidden="1">{"'Sheet1'!$L$16"}</definedName>
    <definedName name="hoa" localSheetId="8" hidden="1">{"'Sheet1'!$L$16"}</definedName>
    <definedName name="hoa" hidden="1">{"'Sheet1'!$L$16"}</definedName>
    <definedName name="hoanthien" localSheetId="1" hidden="1">#REF!</definedName>
    <definedName name="hoanthien" hidden="1">#REF!</definedName>
    <definedName name="Hoang" localSheetId="1" hidden="1">{"'Sheet1'!$L$16"}</definedName>
    <definedName name="Hoang" localSheetId="2" hidden="1">{"'Sheet1'!$L$16"}</definedName>
    <definedName name="Hoang" localSheetId="8" hidden="1">{"'Sheet1'!$L$16"}</definedName>
    <definedName name="Hoang" hidden="1">{"'Sheet1'!$L$16"}</definedName>
    <definedName name="hoc" localSheetId="1" hidden="1">{"'Sheet1'!$L$16"}</definedName>
    <definedName name="hoc" localSheetId="2" hidden="1">{"'Sheet1'!$L$16"}</definedName>
    <definedName name="hoc" localSheetId="8" hidden="1">{"'Sheet1'!$L$16"}</definedName>
    <definedName name="hoc" hidden="1">{"'Sheet1'!$L$16"}</definedName>
    <definedName name="hoe" localSheetId="1" hidden="1">{#N/A,#N/A,FALSE,"Chi tiÆt"}</definedName>
    <definedName name="hoe" localSheetId="2" hidden="1">{#N/A,#N/A,FALSE,"Chi tiÆt"}</definedName>
    <definedName name="hoe" localSheetId="8" hidden="1">{#N/A,#N/A,FALSE,"Chi tiÆt"}</definedName>
    <definedName name="hoe" hidden="1">{#N/A,#N/A,FALSE,"Chi tiÆt"}</definedName>
    <definedName name="hoi" localSheetId="1" hidden="1">{0}</definedName>
    <definedName name="hoi" localSheetId="2" hidden="1">{0}</definedName>
    <definedName name="hoi" localSheetId="8" hidden="1">{0}</definedName>
    <definedName name="hoi" hidden="1">{0}</definedName>
    <definedName name="hong" localSheetId="1" hidden="1">{"'Sheet1'!$L$16"}</definedName>
    <definedName name="hong" localSheetId="2" hidden="1">{"'Sheet1'!$L$16"}</definedName>
    <definedName name="hong" localSheetId="8" hidden="1">{"'Sheet1'!$L$16"}</definedName>
    <definedName name="hong" hidden="1">{"'Sheet1'!$L$16"}</definedName>
    <definedName name="hp" localSheetId="1" hidden="1">{"'Sheet1'!$L$16"}</definedName>
    <definedName name="hp" localSheetId="2" hidden="1">{"'Sheet1'!$L$16"}</definedName>
    <definedName name="hp" localSheetId="8" hidden="1">{"'Sheet1'!$L$16"}</definedName>
    <definedName name="hp" hidden="1">{"'Sheet1'!$L$16"}</definedName>
    <definedName name="HREHRE" localSheetId="1" hidden="1">{"'Sheet1'!$L$16"}</definedName>
    <definedName name="HREHRE" localSheetId="2" hidden="1">{"'Sheet1'!$L$16"}</definedName>
    <definedName name="HREHRE" localSheetId="8"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localSheetId="1" hidden="1">{#N/A,#N/A,FALSE,"CCTV"}</definedName>
    <definedName name="HTD" localSheetId="2" hidden="1">{#N/A,#N/A,FALSE,"CCTV"}</definedName>
    <definedName name="HTD" localSheetId="8" hidden="1">{#N/A,#N/A,FALSE,"CCTV"}</definedName>
    <definedName name="HTD" hidden="1">{#N/A,#N/A,FALSE,"CCTV"}</definedName>
    <definedName name="HTDLS">#REF!</definedName>
    <definedName name="hteye"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1" hidden="1">{"'Sheet1'!$L$16"}</definedName>
    <definedName name="htlm" localSheetId="2" hidden="1">{"'Sheet1'!$L$16"}</definedName>
    <definedName name="htlm" localSheetId="8" hidden="1">{"'Sheet1'!$L$16"}</definedName>
    <definedName name="htlm" hidden="1">{"'Sheet1'!$L$16"}</definedName>
    <definedName name="html" localSheetId="1" hidden="1">{"'Sheet1'!$L$16"}</definedName>
    <definedName name="html" localSheetId="2" hidden="1">{"'Sheet1'!$L$16"}</definedName>
    <definedName name="html" localSheetId="8" hidden="1">{"'Sheet1'!$L$16"}</definedName>
    <definedName name="html" hidden="1">{"'Sheet1'!$L$16"}</definedName>
    <definedName name="HTML_CodePage" hidden="1">950</definedName>
    <definedName name="HTML_Control" localSheetId="1" hidden="1">{"'Sheet1'!$L$16"}</definedName>
    <definedName name="HTML_Control" localSheetId="2" hidden="1">{"'Sheet1'!$L$16"}</definedName>
    <definedName name="HTML_Control" localSheetId="8" hidden="1">{"'Sheet1'!$L$16"}</definedName>
    <definedName name="HTML_Control" hidden="1">{"'Sheet1'!$L$16"}</definedName>
    <definedName name="HTML_Control_1" localSheetId="1" hidden="1">{"'Sheet1'!$L$16"}</definedName>
    <definedName name="HTML_Control_1" localSheetId="2" hidden="1">{"'Sheet1'!$L$16"}</definedName>
    <definedName name="HTML_Control_1" localSheetId="8" hidden="1">{"'Sheet1'!$L$16"}</definedName>
    <definedName name="HTML_Control_1" hidden="1">{"'Sheet1'!$L$16"}</definedName>
    <definedName name="html_control_xoa2" localSheetId="1" hidden="1">{"'Sheet1'!$L$16"}</definedName>
    <definedName name="html_control_xoa2" localSheetId="2" hidden="1">{"'Sheet1'!$L$16"}</definedName>
    <definedName name="html_control_xoa2" localSheetId="8" hidden="1">{"'Sheet1'!$L$16"}</definedName>
    <definedName name="html_control_xoa2" hidden="1">{"'Sheet1'!$L$16"}</definedName>
    <definedName name="html_control_xoa2_1" localSheetId="1" hidden="1">{"'Sheet1'!$L$16"}</definedName>
    <definedName name="html_control_xoa2_1" localSheetId="2" hidden="1">{"'Sheet1'!$L$16"}</definedName>
    <definedName name="html_control_xoa2_1" localSheetId="8" hidden="1">{"'Sheet1'!$L$16"}</definedName>
    <definedName name="html_control_xoa2_1" hidden="1">{"'Sheet1'!$L$16"}</definedName>
    <definedName name="HTML_Control1" localSheetId="1" hidden="1">{"'Sheet1'!$L$16"}</definedName>
    <definedName name="HTML_Control1" localSheetId="2" hidden="1">{"'Sheet1'!$L$16"}</definedName>
    <definedName name="HTML_Control1" localSheetId="8" hidden="1">{"'Sheet1'!$L$16"}</definedName>
    <definedName name="HTML_Control1" hidden="1">{"'Sheet1'!$L$16"}</definedName>
    <definedName name="HTML_Control1_1" localSheetId="1" hidden="1">{"'Sheet1'!$L$16"}</definedName>
    <definedName name="HTML_Control1_1" localSheetId="2" hidden="1">{"'Sheet1'!$L$16"}</definedName>
    <definedName name="HTML_Control1_1" localSheetId="8" hidden="1">{"'Sheet1'!$L$16"}</definedName>
    <definedName name="HTML_Control1_1" hidden="1">{"'Sheet1'!$L$16"}</definedName>
    <definedName name="HTML_Controlmoi" localSheetId="1" hidden="1">{"'Sheet1'!$L$16"}</definedName>
    <definedName name="HTML_Controlmoi" localSheetId="2" hidden="1">{"'Sheet1'!$L$16"}</definedName>
    <definedName name="HTML_Controlmoi" localSheetId="8"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localSheetId="1" hidden="1">"C:\2689\Q\國內\00q3961台化龍德PTA3建造\MyHTML.htm"</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localSheetId="1" hidden="1">{"'Sheet1'!$L$16"}</definedName>
    <definedName name="html2" localSheetId="2" hidden="1">{"'Sheet1'!$L$16"}</definedName>
    <definedName name="html2" localSheetId="8" hidden="1">{"'Sheet1'!$L$16"}</definedName>
    <definedName name="html2" hidden="1">{"'Sheet1'!$L$16"}</definedName>
    <definedName name="HTMLCount" hidden="1">1</definedName>
    <definedName name="HTMLcpnmtrol" localSheetId="1" hidden="1">{"'Sheet1'!$L$16"}</definedName>
    <definedName name="HTMLcpnmtrol" localSheetId="2" hidden="1">{"'Sheet1'!$L$16"}</definedName>
    <definedName name="HTMLcpnmtrol" localSheetId="8" hidden="1">{"'Sheet1'!$L$16"}</definedName>
    <definedName name="HTMLcpnmtrol" hidden="1">{"'Sheet1'!$L$16"}</definedName>
    <definedName name="htmll" localSheetId="1" hidden="1">{"'Sheet1'!$L$16"}</definedName>
    <definedName name="htmll" localSheetId="2" hidden="1">{"'Sheet1'!$L$16"}</definedName>
    <definedName name="htmll" localSheetId="8" hidden="1">{"'Sheet1'!$L$16"}</definedName>
    <definedName name="htmll" hidden="1">{"'Sheet1'!$L$16"}</definedName>
    <definedName name="hþ" localSheetId="1" hidden="1">{"'Sheet1'!$L$16"}</definedName>
    <definedName name="hþ" localSheetId="2" hidden="1">{"'Sheet1'!$L$16"}</definedName>
    <definedName name="hþ" localSheetId="8" hidden="1">{"'Sheet1'!$L$16"}</definedName>
    <definedName name="hþ" hidden="1">{"'Sheet1'!$L$16"}</definedName>
    <definedName name="HTHTR" localSheetId="1" hidden="1">{"'Sheet1'!$L$16"}</definedName>
    <definedName name="HTHTR" localSheetId="2" hidden="1">{"'Sheet1'!$L$16"}</definedName>
    <definedName name="HTHTR" localSheetId="8" hidden="1">{"'Sheet1'!$L$16"}</definedName>
    <definedName name="HTHTR" hidden="1">{"'Sheet1'!$L$16"}</definedName>
    <definedName name="hþwr" localSheetId="1" hidden="1">{"'Sheet1'!$L$16"}</definedName>
    <definedName name="hþwr" localSheetId="2" hidden="1">{"'Sheet1'!$L$16"}</definedName>
    <definedName name="hþwr" localSheetId="8" hidden="1">{"'Sheet1'!$L$16"}</definedName>
    <definedName name="hþwr" hidden="1">{"'Sheet1'!$L$16"}</definedName>
    <definedName name="HTR" localSheetId="1" hidden="1">{#N/A,#N/A,FALSE,"이태원철근"}</definedName>
    <definedName name="HTR" localSheetId="2" hidden="1">{#N/A,#N/A,FALSE,"이태원철근"}</definedName>
    <definedName name="HTR" localSheetId="8" hidden="1">{#N/A,#N/A,FALSE,"이태원철근"}</definedName>
    <definedName name="HTR" hidden="1">{#N/A,#N/A,FALSE,"이태원철근"}</definedName>
    <definedName name="htrhrt" localSheetId="1" hidden="1">{"'Sheet1'!$L$16"}</definedName>
    <definedName name="htrhrt" localSheetId="2" hidden="1">{"'Sheet1'!$L$16"}</definedName>
    <definedName name="htrhrt" localSheetId="8" hidden="1">{"'Sheet1'!$L$16"}</definedName>
    <definedName name="htrhrt" hidden="1">{"'Sheet1'!$L$16"}</definedName>
    <definedName name="hu" localSheetId="1" hidden="1">{"'Sheet1'!$L$16"}</definedName>
    <definedName name="hu" localSheetId="2" hidden="1">{"'Sheet1'!$L$16"}</definedName>
    <definedName name="hu" localSheetId="8" hidden="1">{"'Sheet1'!$L$16"}</definedName>
    <definedName name="hu" hidden="1">{"'Sheet1'!$L$16"}</definedName>
    <definedName name="hu_1" localSheetId="1" hidden="1">{"'Sheet1'!$L$16"}</definedName>
    <definedName name="hu_1" localSheetId="2" hidden="1">{"'Sheet1'!$L$16"}</definedName>
    <definedName name="hu_1" localSheetId="8" hidden="1">{"'Sheet1'!$L$16"}</definedName>
    <definedName name="hu_1" hidden="1">{"'Sheet1'!$L$16"}</definedName>
    <definedName name="hud" localSheetId="1" hidden="1">{"'Sheet1'!$L$16"}</definedName>
    <definedName name="hud" localSheetId="2" hidden="1">{"'Sheet1'!$L$16"}</definedName>
    <definedName name="hud" localSheetId="8" hidden="1">{"'Sheet1'!$L$16"}</definedName>
    <definedName name="hud" hidden="1">{"'Sheet1'!$L$16"}</definedName>
    <definedName name="hudas" localSheetId="1" hidden="1">{"'Sheet1'!$L$16"}</definedName>
    <definedName name="hudas" localSheetId="2" hidden="1">{"'Sheet1'!$L$16"}</definedName>
    <definedName name="hudas" localSheetId="8" hidden="1">{"'Sheet1'!$L$16"}</definedName>
    <definedName name="hudas" hidden="1">{"'Sheet1'!$L$16"}</definedName>
    <definedName name="HUE" localSheetId="1" hidden="1">{"'Sheet1'!$L$16"}</definedName>
    <definedName name="HUE" localSheetId="2" hidden="1">{"'Sheet1'!$L$16"}</definedName>
    <definedName name="HUE" localSheetId="8" hidden="1">{"'Sheet1'!$L$16"}</definedName>
    <definedName name="HUE" hidden="1">{"'Sheet1'!$L$16"}</definedName>
    <definedName name="HU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1" hidden="1">{"'Sheet1'!$L$16"}</definedName>
    <definedName name="hui" localSheetId="2" hidden="1">{"'Sheet1'!$L$16"}</definedName>
    <definedName name="hui" localSheetId="8" hidden="1">{"'Sheet1'!$L$16"}</definedName>
    <definedName name="hui" hidden="1">{"'Sheet1'!$L$16"}</definedName>
    <definedName name="hung" localSheetId="1" hidden="1">{"'Sheet1'!$L$16"}</definedName>
    <definedName name="HUNG" localSheetId="2" hidden="1">{#N/A,#N/A,FALSE,"Chi tiÆt"}</definedName>
    <definedName name="HUNG" localSheetId="8" hidden="1">{#N/A,#N/A,FALSE,"Chi tiÆt"}</definedName>
    <definedName name="HUNG" hidden="1">{#N/A,#N/A,FALSE,"Chi tiÆt"}</definedName>
    <definedName name="hung3" localSheetId="1" hidden="1">{"'Sheet1'!$L$16"}</definedName>
    <definedName name="hung3" localSheetId="2" hidden="1">{"'Sheet1'!$L$16"}</definedName>
    <definedName name="hung3" localSheetId="8" hidden="1">{"'Sheet1'!$L$16"}</definedName>
    <definedName name="hung3" hidden="1">{"'Sheet1'!$L$16"}</definedName>
    <definedName name="hunh" localSheetId="1" hidden="1">{"'Sheet1'!$L$16"}</definedName>
    <definedName name="hunh" localSheetId="2" hidden="1">{"'Sheet1'!$L$16"}</definedName>
    <definedName name="hunh" localSheetId="8" hidden="1">{"'Sheet1'!$L$16"}</definedName>
    <definedName name="hunh" hidden="1">{"'Sheet1'!$L$16"}</definedName>
    <definedName name="huong" localSheetId="1" hidden="1">{"'Sheet1'!$L$16"}</definedName>
    <definedName name="huong" localSheetId="2" hidden="1">{"'Sheet1'!$L$16"}</definedName>
    <definedName name="huong" localSheetId="8" hidden="1">{"'Sheet1'!$L$16"}</definedName>
    <definedName name="huong" hidden="1">{"'Sheet1'!$L$16"}</definedName>
    <definedName name="hut" localSheetId="1" hidden="1">{"'Sheet1'!$L$16"}</definedName>
    <definedName name="hut" localSheetId="2" hidden="1">{"'Sheet1'!$L$16"}</definedName>
    <definedName name="hut" localSheetId="8" hidden="1">{"'Sheet1'!$L$16"}</definedName>
    <definedName name="hut" hidden="1">{"'Sheet1'!$L$16"}</definedName>
    <definedName name="HUU" localSheetId="1" hidden="1">{"'Sheet1'!$L$16"}</definedName>
    <definedName name="HUU" localSheetId="2" hidden="1">{"'Sheet1'!$L$16"}</definedName>
    <definedName name="HUU" localSheetId="8" hidden="1">{"'Sheet1'!$L$16"}</definedName>
    <definedName name="HUU" hidden="1">{"'Sheet1'!$L$16"}</definedName>
    <definedName name="huy" localSheetId="1" hidden="1">{"'Sheet1'!$L$16"}</definedName>
    <definedName name="huy" localSheetId="2" hidden="1">{"'Sheet1'!$L$16"}</definedName>
    <definedName name="huy" localSheetId="8" hidden="1">{"'Sheet1'!$L$16"}</definedName>
    <definedName name="huy" hidden="1">{"'Sheet1'!$L$16"}</definedName>
    <definedName name="huy_1" localSheetId="1" hidden="1">{"'Sheet1'!$L$16"}</definedName>
    <definedName name="huy_1" localSheetId="2" hidden="1">{"'Sheet1'!$L$16"}</definedName>
    <definedName name="huy_1" localSheetId="8" hidden="1">{"'Sheet1'!$L$16"}</definedName>
    <definedName name="huy_1" hidden="1">{"'Sheet1'!$L$16"}</definedName>
    <definedName name="huy_xoa" localSheetId="1" hidden="1">{"'Sheet1'!$L$16"}</definedName>
    <definedName name="huy_xoa" localSheetId="2" hidden="1">{"'Sheet1'!$L$16"}</definedName>
    <definedName name="huy_xoa" localSheetId="8" hidden="1">{"'Sheet1'!$L$16"}</definedName>
    <definedName name="huy_xoa" hidden="1">{"'Sheet1'!$L$16"}</definedName>
    <definedName name="huy_xoa_1" localSheetId="1" hidden="1">{"'Sheet1'!$L$16"}</definedName>
    <definedName name="huy_xoa_1" localSheetId="2" hidden="1">{"'Sheet1'!$L$16"}</definedName>
    <definedName name="huy_xoa_1" localSheetId="8" hidden="1">{"'Sheet1'!$L$16"}</definedName>
    <definedName name="huy_xoa_1" hidden="1">{"'Sheet1'!$L$16"}</definedName>
    <definedName name="huy_xoa2" localSheetId="1" hidden="1">{"'Sheet1'!$L$16"}</definedName>
    <definedName name="huy_xoa2" localSheetId="2" hidden="1">{"'Sheet1'!$L$16"}</definedName>
    <definedName name="huy_xoa2" localSheetId="8" hidden="1">{"'Sheet1'!$L$16"}</definedName>
    <definedName name="huy_xoa2" hidden="1">{"'Sheet1'!$L$16"}</definedName>
    <definedName name="huy_xoa2_1" localSheetId="1" hidden="1">{"'Sheet1'!$L$16"}</definedName>
    <definedName name="huy_xoa2_1" localSheetId="2" hidden="1">{"'Sheet1'!$L$16"}</definedName>
    <definedName name="huy_xoa2_1" localSheetId="8" hidden="1">{"'Sheet1'!$L$16"}</definedName>
    <definedName name="huy_xoa2_1" hidden="1">{"'Sheet1'!$L$16"}</definedName>
    <definedName name="huyen" localSheetId="1" hidden="1">{"'Sheet1'!$L$16"}</definedName>
    <definedName name="huyen" localSheetId="2" hidden="1">{"'Sheet1'!$L$16"}</definedName>
    <definedName name="huyen" localSheetId="8" hidden="1">{"'Sheet1'!$L$16"}</definedName>
    <definedName name="huyen" hidden="1">{"'Sheet1'!$L$16"}</definedName>
    <definedName name="huyhoa" localSheetId="1" hidden="1">{"'Sheet1'!$L$16"}</definedName>
    <definedName name="huyhoa" localSheetId="2" hidden="1">{"'Sheet1'!$L$16"}</definedName>
    <definedName name="huyhoa" localSheetId="8" hidden="1">{"'Sheet1'!$L$16"}</definedName>
    <definedName name="huyhoa" hidden="1">{"'Sheet1'!$L$16"}</definedName>
    <definedName name="huyhu" localSheetId="1" hidden="1">{"'Sheet1'!$L$16"}</definedName>
    <definedName name="huyhu" localSheetId="2" hidden="1">{"'Sheet1'!$L$16"}</definedName>
    <definedName name="huyhu" localSheetId="8" hidden="1">{"'Sheet1'!$L$16"}</definedName>
    <definedName name="huyhu" hidden="1">{"'Sheet1'!$L$16"}</definedName>
    <definedName name="huymoi" localSheetId="1" hidden="1">{"'Sheet1'!$L$16"}</definedName>
    <definedName name="huymoi" localSheetId="2" hidden="1">{"'Sheet1'!$L$16"}</definedName>
    <definedName name="huymoi" localSheetId="8" hidden="1">{"'Sheet1'!$L$16"}</definedName>
    <definedName name="huymoi" hidden="1">{"'Sheet1'!$L$16"}</definedName>
    <definedName name="HUYØ" localSheetId="1" hidden="1">{"'Sheet1'!$L$16"}</definedName>
    <definedName name="HUYØ" localSheetId="2" hidden="1">{"'Sheet1'!$L$16"}</definedName>
    <definedName name="HUYØ" localSheetId="8" hidden="1">{"'Sheet1'!$L$16"}</definedName>
    <definedName name="HUYØ" hidden="1">{"'Sheet1'!$L$16"}</definedName>
    <definedName name="huyy" localSheetId="1" hidden="1">{"'Sheet1'!$L$16"}</definedName>
    <definedName name="huyy" localSheetId="2" hidden="1">{"'Sheet1'!$L$16"}</definedName>
    <definedName name="huyy" localSheetId="8" hidden="1">{"'Sheet1'!$L$16"}</definedName>
    <definedName name="huyy" hidden="1">{"'Sheet1'!$L$16"}</definedName>
    <definedName name="huyyy" localSheetId="1" hidden="1">{"'Sheet1'!$L$16"}</definedName>
    <definedName name="huyyy" localSheetId="2" hidden="1">{"'Sheet1'!$L$16"}</definedName>
    <definedName name="huyyy" localSheetId="8" hidden="1">{"'Sheet1'!$L$16"}</definedName>
    <definedName name="huyyy" hidden="1">{"'Sheet1'!$L$16"}</definedName>
    <definedName name="hvac" hidden="1">#REF!</definedName>
    <definedName name="hvjhvj" localSheetId="1" hidden="1">{"'Sheet1'!$L$16"}</definedName>
    <definedName name="hvjhvj" localSheetId="2" hidden="1">{"'Sheet1'!$L$16"}</definedName>
    <definedName name="hvjhvj" localSheetId="8" hidden="1">{"'Sheet1'!$L$16"}</definedName>
    <definedName name="hvjhvj" hidden="1">{"'Sheet1'!$L$16"}</definedName>
    <definedName name="HW">1.15</definedName>
    <definedName name="hy" localSheetId="1" hidden="1">{"'Sheet1'!$L$16"}</definedName>
    <definedName name="hy" localSheetId="2" hidden="1">{"'Sheet1'!$L$16"}</definedName>
    <definedName name="hy" localSheetId="8" hidden="1">{"'Sheet1'!$L$16"}</definedName>
    <definedName name="hy" hidden="1">{"'Sheet1'!$L$16"}</definedName>
    <definedName name="hygy" hidden="1">#REF!</definedName>
    <definedName name="I" hidden="1">#REF!</definedName>
    <definedName name="icic">#N/A</definedName>
    <definedName name="ii" localSheetId="1" hidden="1">{#N/A,#N/A,FALSE,"CCTV"}</definedName>
    <definedName name="ii" localSheetId="2" hidden="1">{#N/A,#N/A,FALSE,"지침";#N/A,#N/A,FALSE,"환경분석";#N/A,#N/A,FALSE,"Sheet16"}</definedName>
    <definedName name="ii" localSheetId="8" hidden="1">{#N/A,#N/A,FALSE,"지침";#N/A,#N/A,FALSE,"환경분석";#N/A,#N/A,FALSE,"Sheet16"}</definedName>
    <definedName name="ii" hidden="1">{#N/A,#N/A,FALSE,"지침";#N/A,#N/A,FALSE,"환경분석";#N/A,#N/A,FALSE,"Sheet16"}</definedName>
    <definedName name="III" localSheetId="1" hidden="1">{#N/A,#N/A,TRUE,"Cover Memo";"Facility Estimate",#N/A,TRUE,"Change Summary";"Facility Estimate",#N/A,TRUE,"Estimate Summary";"Facility Estimate",#N/A,TRUE,"Dept. Summary";"Facility Estimate",#N/A,TRUE,"DOW Detail"}</definedName>
    <definedName name="III" localSheetId="2" hidden="1">{#N/A,#N/A,TRUE,"Cover Memo";"Facility Estimate",#N/A,TRUE,"Change Summary";"Facility Estimate",#N/A,TRUE,"Estimate Summary";"Facility Estimate",#N/A,TRUE,"Dept. Summary";"Facility Estimate",#N/A,TRUE,"DOW Detail"}</definedName>
    <definedName name="III" localSheetId="8" hidden="1">{#N/A,#N/A,TRUE,"Cover Memo";"Facility Estimate",#N/A,TRUE,"Change Summary";"Facility Estimate",#N/A,TRUE,"Estimate Summary";"Facility Estimate",#N/A,TRUE,"Dept. Summary";"Facility Estimate",#N/A,TRUE,"DOW Detail"}</definedName>
    <definedName name="III" hidden="1">{#N/A,#N/A,TRUE,"Cover Memo";"Facility Estimate",#N/A,TRUE,"Change Summary";"Facility Estimate",#N/A,TRUE,"Estimate Summary";"Facility Estimate",#N/A,TRUE,"Dept. Summary";"Facility Estimate",#N/A,TRUE,"DOW Detail"}</definedName>
    <definedName name="iiiiiiiii" localSheetId="1" hidden="1">{#N/A,#N/A,FALSE,"지침";#N/A,#N/A,FALSE,"환경분석";#N/A,#N/A,FALSE,"Sheet16"}</definedName>
    <definedName name="iiiiiiiii" localSheetId="2" hidden="1">{#N/A,#N/A,FALSE,"지침";#N/A,#N/A,FALSE,"환경분석";#N/A,#N/A,FALSE,"Sheet16"}</definedName>
    <definedName name="iiiiiiiii" localSheetId="8" hidden="1">{#N/A,#N/A,FALSE,"지침";#N/A,#N/A,FALSE,"환경분석";#N/A,#N/A,FALSE,"Sheet16"}</definedName>
    <definedName name="iiiiiiiii" hidden="1">{#N/A,#N/A,FALSE,"지침";#N/A,#N/A,FALSE,"환경분석";#N/A,#N/A,FALSE,"Sheet16"}</definedName>
    <definedName name="IIJELLS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1" hidden="1">{"'Sheet1'!$L$16"}</definedName>
    <definedName name="ijhgfddffth" localSheetId="2" hidden="1">{"'Sheet1'!$L$16"}</definedName>
    <definedName name="ijhgfddffth" localSheetId="8" hidden="1">{"'Sheet1'!$L$16"}</definedName>
    <definedName name="ijhgfddffth" hidden="1">{"'Sheet1'!$L$16"}</definedName>
    <definedName name="ijn" localSheetId="1" hidden="1">{#N/A,#N/A,FALSE,"MARCH"}</definedName>
    <definedName name="ijn" localSheetId="2" hidden="1">{#N/A,#N/A,FALSE,"MARCH"}</definedName>
    <definedName name="ijn" localSheetId="8" hidden="1">{#N/A,#N/A,FALSE,"MARCH"}</definedName>
    <definedName name="ijn" hidden="1">{#N/A,#N/A,FALSE,"MARCH"}</definedName>
    <definedName name="IN" localSheetId="1" hidden="1">{"'Sheet1'!$L$16"}</definedName>
    <definedName name="IN" localSheetId="2" hidden="1">{"'Sheet1'!$L$16"}</definedName>
    <definedName name="IN" localSheetId="8" hidden="1">{"'Sheet1'!$L$16"}</definedName>
    <definedName name="IN" hidden="1">{"'Sheet1'!$L$16"}</definedName>
    <definedName name="Indirect" localSheetId="1" hidden="1">{"Total Indirect Manpower",#N/A,FALSE,"J";"Total Direct Manpower",#N/A,FALSE,"J";"Direct Structural Manpower",#N/A,FALSE,"J";"Direct Mechanical Manpower",#N/A,FALSE,"J";"Direct Piping Manpower",#N/A,FALSE,"J";"Direct Tanks Manpower",#N/A,FALSE,"J";"Direct ElecInstrSS Manpower",#N/A,FALSE,"J"}</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ndirect" localSheetId="8" hidden="1">{"Total Indirect Manpower",#N/A,FALSE,"J";"Total Direct Manpower",#N/A,FALSE,"J";"Direct Structural Manpower",#N/A,FALSE,"J";"Direct Mechanical Manpower",#N/A,FALSE,"J";"Direct Piping Manpower",#N/A,FALSE,"J";"Direct Tanks Manpower",#N/A,FALSE,"J";"Direct ElecInstrSS Manpower",#N/A,FALSE,"J"}</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localSheetId="1" hidden="1">{#N/A,#N/A,FALSE,"변경관리예산";#N/A,#N/A,FALSE,"변경장비예산";#N/A,#N/A,FALSE,"변경준설예산";#N/A,#N/A,FALSE,"변경철구예산"}</definedName>
    <definedName name="ityityit" localSheetId="2" hidden="1">{#N/A,#N/A,FALSE,"변경관리예산";#N/A,#N/A,FALSE,"변경장비예산";#N/A,#N/A,FALSE,"변경준설예산";#N/A,#N/A,FALSE,"변경철구예산"}</definedName>
    <definedName name="ityityit" localSheetId="8" hidden="1">{#N/A,#N/A,FALSE,"변경관리예산";#N/A,#N/A,FALSE,"변경장비예산";#N/A,#N/A,FALSE,"변경준설예산";#N/A,#N/A,FALSE,"변경철구예산"}</definedName>
    <definedName name="ityityit" hidden="1">{#N/A,#N/A,FALSE,"변경관리예산";#N/A,#N/A,FALSE,"변경장비예산";#N/A,#N/A,FALSE,"변경준설예산";#N/A,#N/A,FALSE,"변경철구예산"}</definedName>
    <definedName name="ịth" localSheetId="1" hidden="1">{"'Sheet1'!$L$16"}</definedName>
    <definedName name="ịth" localSheetId="2" hidden="1">{"'Sheet1'!$L$16"}</definedName>
    <definedName name="ịth" localSheetId="8" hidden="1">{"'Sheet1'!$L$16"}</definedName>
    <definedName name="ịth" hidden="1">{"'Sheet1'!$L$16"}</definedName>
    <definedName name="iuliupoui" localSheetId="1" hidden="1">{"'Sheet1'!$L$16"}</definedName>
    <definedName name="iuliupoui" localSheetId="2" hidden="1">{"'Sheet1'!$L$16"}</definedName>
    <definedName name="iuliupoui" localSheetId="8" hidden="1">{"'Sheet1'!$L$16"}</definedName>
    <definedName name="iuliupoui" hidden="1">{"'Sheet1'!$L$16"}</definedName>
    <definedName name="iutrir" localSheetId="1" hidden="1">{#N/A,#N/A,FALSE,"부대1"}</definedName>
    <definedName name="iutrir" localSheetId="2" hidden="1">{#N/A,#N/A,FALSE,"부대1"}</definedName>
    <definedName name="iutrir" localSheetId="8" hidden="1">{#N/A,#N/A,FALSE,"부대1"}</definedName>
    <definedName name="iutrir" hidden="1">{#N/A,#N/A,FALSE,"부대1"}</definedName>
    <definedName name="iutryeg" hidden="1">#REF!</definedName>
    <definedName name="iuutyrv" hidden="1">#REF!</definedName>
    <definedName name="IV" localSheetId="1" hidden="1">{#N/A,#N/A,TRUE,"Cover Memo";"Ride Estimate",#N/A,TRUE,"Change Summary";"Ride Estimate",#N/A,TRUE,"Estimate Summary";"Ride Estimate",#N/A,TRUE,"Dept. Summary";"Ride Estimate",#N/A,TRUE,"DOW Detail"}</definedName>
    <definedName name="IV" localSheetId="2" hidden="1">{#N/A,#N/A,TRUE,"Cover Memo";"Ride Estimate",#N/A,TRUE,"Change Summary";"Ride Estimate",#N/A,TRUE,"Estimate Summary";"Ride Estimate",#N/A,TRUE,"Dept. Summary";"Ride Estimate",#N/A,TRUE,"DOW Detail"}</definedName>
    <definedName name="IV" localSheetId="8" hidden="1">{#N/A,#N/A,TRUE,"Cover Memo";"Ride Estimate",#N/A,TRUE,"Change Summary";"Ride Estimate",#N/A,TRUE,"Estimate Summary";"Ride Estimate",#N/A,TRUE,"Dept. Summary";"Ride Estimate",#N/A,TRUE,"DOW Detail"}</definedName>
    <definedName name="IV" hidden="1">{#N/A,#N/A,TRUE,"Cover Memo";"Ride Estimate",#N/A,TRUE,"Change Summary";"Ride Estimate",#N/A,TRUE,"Estimate Summary";"Ride Estimate",#N/A,TRUE,"Dept. Summary";"Ride Estimate",#N/A,TRUE,"DOW Detail"}</definedName>
    <definedName name="iwer" localSheetId="1" hidden="1">{"'Sheet1'!$L$16"}</definedName>
    <definedName name="iwer" localSheetId="2" hidden="1">{"'Sheet1'!$L$16"}</definedName>
    <definedName name="iwer" localSheetId="8" hidden="1">{"'Sheet1'!$L$16"}</definedName>
    <definedName name="iwer" hidden="1">{"'Sheet1'!$L$16"}</definedName>
    <definedName name="iylryi" localSheetId="1" hidden="1">{"'Sheet1'!$L$16"}</definedName>
    <definedName name="iylryi" localSheetId="2" hidden="1">{"'Sheet1'!$L$16"}</definedName>
    <definedName name="iylryi" localSheetId="8" hidden="1">{"'Sheet1'!$L$16"}</definedName>
    <definedName name="iylryi" hidden="1">{"'Sheet1'!$L$16"}</definedName>
    <definedName name="Î" localSheetId="1" hidden="1">{#N/A,#N/A,FALSE,"Chi tiÆt"}</definedName>
    <definedName name="Î" localSheetId="2" hidden="1">{#N/A,#N/A,FALSE,"Chi tiÆt"}</definedName>
    <definedName name="Î" localSheetId="8" hidden="1">{#N/A,#N/A,FALSE,"Chi tiÆt"}</definedName>
    <definedName name="Î" hidden="1">{#N/A,#N/A,FALSE,"Chi tiÆt"}</definedName>
    <definedName name="Ît" localSheetId="1" hidden="1">{"'Sheet1'!$L$16"}</definedName>
    <definedName name="Ît" localSheetId="2" hidden="1">{"'Sheet1'!$L$16"}</definedName>
    <definedName name="Ît" localSheetId="8" hidden="1">{"'Sheet1'!$L$16"}</definedName>
    <definedName name="Ît" hidden="1">{"'Sheet1'!$L$16"}</definedName>
    <definedName name="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1" hidden="1">{"'Sheet1'!$L$16"}</definedName>
    <definedName name="jæít" localSheetId="2" hidden="1">{"'Sheet1'!$L$16"}</definedName>
    <definedName name="jæít" localSheetId="8" hidden="1">{"'Sheet1'!$L$16"}</definedName>
    <definedName name="jæít" hidden="1">{"'Sheet1'!$L$16"}</definedName>
    <definedName name="JDFHDH" localSheetId="1" hidden="1">{"'Sheet1'!$L$16"}</definedName>
    <definedName name="JDFHDH" localSheetId="2" hidden="1">{"'Sheet1'!$L$16"}</definedName>
    <definedName name="JDFHDH" localSheetId="8" hidden="1">{"'Sheet1'!$L$16"}</definedName>
    <definedName name="JDFHDH" hidden="1">{"'Sheet1'!$L$16"}</definedName>
    <definedName name="jfdjf" localSheetId="1" hidden="1">{#N/A,#N/A,FALSE,"Chi tiÆt"}</definedName>
    <definedName name="jfdjf" localSheetId="2" hidden="1">{#N/A,#N/A,FALSE,"Chi tiÆt"}</definedName>
    <definedName name="jfdjf" localSheetId="8" hidden="1">{#N/A,#N/A,FALSE,"Chi tiÆt"}</definedName>
    <definedName name="jfdjf" hidden="1">{#N/A,#N/A,FALSE,"Chi tiÆt"}</definedName>
    <definedName name="jfgjfjfj" hidden="1">#REF!</definedName>
    <definedName name="JF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1" hidden="1">{"'Sheet1'!$L$16"}</definedName>
    <definedName name="JFJFGHG" localSheetId="2" hidden="1">{"'Sheet1'!$L$16"}</definedName>
    <definedName name="JFJFGHG" localSheetId="8" hidden="1">{"'Sheet1'!$L$16"}</definedName>
    <definedName name="JFJFGHG" hidden="1">{"'Sheet1'!$L$16"}</definedName>
    <definedName name="jg" hidden="1">#REF!</definedName>
    <definedName name="jggui78" localSheetId="1" hidden="1">{"'Sheet1'!$L$16"}</definedName>
    <definedName name="jggui78" localSheetId="2" hidden="1">{"'Sheet1'!$L$16"}</definedName>
    <definedName name="jggui78" localSheetId="8" hidden="1">{"'Sheet1'!$L$16"}</definedName>
    <definedName name="jggui78" hidden="1">{"'Sheet1'!$L$16"}</definedName>
    <definedName name="JGHJFHJJ" localSheetId="1" hidden="1">{"'Sheet1'!$L$16"}</definedName>
    <definedName name="JGHJFHJJ" localSheetId="2" hidden="1">{"'Sheet1'!$L$16"}</definedName>
    <definedName name="JGHJFHJJ" localSheetId="8" hidden="1">{"'Sheet1'!$L$16"}</definedName>
    <definedName name="JGHJFHJJ" hidden="1">{"'Sheet1'!$L$16"}</definedName>
    <definedName name="JGJ" localSheetId="1" hidden="1">#REF!</definedName>
    <definedName name="JGJ" hidden="1">#REF!</definedName>
    <definedName name="jgtjdt" localSheetId="1" hidden="1">{"'Sheet1'!$L$16"}</definedName>
    <definedName name="jgtjdt" localSheetId="2" hidden="1">{"'Sheet1'!$L$16"}</definedName>
    <definedName name="jgtjdt" localSheetId="8" hidden="1">{"'Sheet1'!$L$16"}</definedName>
    <definedName name="jgtjdt" hidden="1">{"'Sheet1'!$L$16"}</definedName>
    <definedName name="jh" localSheetId="1" hidden="1">{"'Sheet1'!$L$16"}</definedName>
    <definedName name="jh" localSheetId="2" hidden="1">{"'Sheet1'!$L$16"}</definedName>
    <definedName name="jh" localSheetId="8" hidden="1">{"'Sheet1'!$L$16"}</definedName>
    <definedName name="jh" hidden="1">{"'Sheet1'!$L$16"}</definedName>
    <definedName name="jhakjhskjd" localSheetId="1" hidden="1">{0,0,0,0;0,0,TRUE,0;0,#N/A,FALSE,0;0,#N/A,FALSE,0;0,#N/A,FALSE,0;0,#N/A,FALSE,0;0,#N/A,FALSE,0}</definedName>
    <definedName name="jhakjhskjd" localSheetId="2" hidden="1">{0,0,0,0;0,0,TRUE,0;0,#N/A,FALSE,0;0,#N/A,FALSE,0;0,#N/A,FALSE,0;0,#N/A,FALSE,0;0,#N/A,FALSE,0}</definedName>
    <definedName name="jhakjhskjd" localSheetId="8" hidden="1">{0,0,0,0;0,0,TRUE,0;0,#N/A,FALSE,0;0,#N/A,FALSE,0;0,#N/A,FALSE,0;0,#N/A,FALSE,0;0,#N/A,FALSE,0}</definedName>
    <definedName name="jhakjhskjd" hidden="1">{0,0,0,0;0,0,TRUE,0;0,#N/A,FALSE,0;0,#N/A,FALSE,0;0,#N/A,FALSE,0;0,#N/A,FALSE,0;0,#N/A,FALSE,0}</definedName>
    <definedName name="jhfdgy" localSheetId="1" hidden="1">{"'Sheet1'!$L$16"}</definedName>
    <definedName name="jhfdgy" localSheetId="2" hidden="1">{"'Sheet1'!$L$16"}</definedName>
    <definedName name="jhfdgy" localSheetId="8" hidden="1">{"'Sheet1'!$L$16"}</definedName>
    <definedName name="jhfdgy" hidden="1">{"'Sheet1'!$L$16"}</definedName>
    <definedName name="JH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1" hidden="1">{"'Sheet1'!$L$16"}</definedName>
    <definedName name="jhjh" localSheetId="2" hidden="1">{"'Sheet1'!$L$16"}</definedName>
    <definedName name="jhjh" localSheetId="8" hidden="1">{"'Sheet1'!$L$16"}</definedName>
    <definedName name="jhjh" hidden="1">{"'Sheet1'!$L$16"}</definedName>
    <definedName name="JJFOR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1" hidden="1">{#N/A,#N/A,FALSE,"Sheet1"}</definedName>
    <definedName name="jjj" localSheetId="2" hidden="1">{#N/A,#N/A,FALSE,"Sheet1"}</definedName>
    <definedName name="jjj" localSheetId="8" hidden="1">{#N/A,#N/A,FALSE,"Sheet1"}</definedName>
    <definedName name="jjj" hidden="1">{#N/A,#N/A,FALSE,"Sheet1"}</definedName>
    <definedName name="jjjj" localSheetId="1" hidden="1">{#N/A,#N/A,FALSE,"단가표지"}</definedName>
    <definedName name="jjjj" localSheetId="2" hidden="1">{#N/A,#N/A,FALSE,"단가표지"}</definedName>
    <definedName name="jjjj" localSheetId="8" hidden="1">{#N/A,#N/A,FALSE,"단가표지"}</definedName>
    <definedName name="jjjj" hidden="1">{#N/A,#N/A,FALSE,"단가표지"}</definedName>
    <definedName name="jjjjj" localSheetId="1" hidden="1">{"'Sheet1'!$L$16"}</definedName>
    <definedName name="jjjjj" localSheetId="2" hidden="1">{"'Sheet1'!$L$16"}</definedName>
    <definedName name="jjjjj" localSheetId="8" hidden="1">{"'Sheet1'!$L$16"}</definedName>
    <definedName name="jjjjj" hidden="1">{"'Sheet1'!$L$16"}</definedName>
    <definedName name="jjkk" localSheetId="1" hidden="1">{"'Sheet1'!$L$16"}</definedName>
    <definedName name="jjkk" localSheetId="2" hidden="1">{"'Sheet1'!$L$16"}</definedName>
    <definedName name="jjkk" localSheetId="8" hidden="1">{"'Sheet1'!$L$16"}</definedName>
    <definedName name="jjkk" hidden="1">{"'Sheet1'!$L$16"}</definedName>
    <definedName name="JJSU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1" hidden="1">{#N/A,#N/A,TRUE,"SUM";#N/A,#N/A,TRUE,"EE";#N/A,#N/A,TRUE,"AC";#N/A,#N/A,TRUE,"SN"}</definedName>
    <definedName name="JKDFSJCSDKJ" localSheetId="2" hidden="1">{#N/A,#N/A,TRUE,"SUM";#N/A,#N/A,TRUE,"EE";#N/A,#N/A,TRUE,"AC";#N/A,#N/A,TRUE,"SN"}</definedName>
    <definedName name="JKDFSJCSDKJ" localSheetId="8" hidden="1">{#N/A,#N/A,TRUE,"SUM";#N/A,#N/A,TRUE,"EE";#N/A,#N/A,TRUE,"AC";#N/A,#N/A,TRUE,"SN"}</definedName>
    <definedName name="JKDFSJCSDKJ" hidden="1">{#N/A,#N/A,TRUE,"SUM";#N/A,#N/A,TRUE,"EE";#N/A,#N/A,TRUE,"AC";#N/A,#N/A,TRUE,"SN"}</definedName>
    <definedName name="jkjk" localSheetId="1" hidden="1">#REF!</definedName>
    <definedName name="jkjk" hidden="1">#REF!</definedName>
    <definedName name="jkjlkl" localSheetId="1" hidden="1">{#N/A,#N/A,FALSE,"Chi tiÆt"}</definedName>
    <definedName name="jkjlkl" localSheetId="2" hidden="1">{#N/A,#N/A,FALSE,"Chi tiÆt"}</definedName>
    <definedName name="jkjlkl" localSheetId="8" hidden="1">{#N/A,#N/A,FALSE,"Chi tiÆt"}</definedName>
    <definedName name="jkjlkl" hidden="1">{#N/A,#N/A,FALSE,"Chi tiÆt"}</definedName>
    <definedName name="jkl" localSheetId="1" hidden="1">{"'Sheet1'!$L$16"}</definedName>
    <definedName name="jkl" localSheetId="2" hidden="1">{"'Sheet1'!$L$16"}</definedName>
    <definedName name="jkl" localSheetId="8" hidden="1">{"'Sheet1'!$L$16"}</definedName>
    <definedName name="jkl" hidden="1">{"'Sheet1'!$L$16"}</definedName>
    <definedName name="JK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localSheetId="1" hidden="1">{"sintesi",#N/A,FALSE,"contrib_unit";"dett_materiali",#N/A,FALSE,"contrib_unit";"dett_lav.ne",#N/A,FALSE,"contrib_unit";"dett_altre_ind.li",#N/A,FALSE,"contrib_unit";"dett_commerciali",#N/A,FALSE,"contrib_unit"}</definedName>
    <definedName name="jkhjh" localSheetId="2" hidden="1">{"sintesi",#N/A,FALSE,"contrib_unit";"dett_materiali",#N/A,FALSE,"contrib_unit";"dett_lav.ne",#N/A,FALSE,"contrib_unit";"dett_altre_ind.li",#N/A,FALSE,"contrib_unit";"dett_commerciali",#N/A,FALSE,"contrib_unit"}</definedName>
    <definedName name="jkhjh" localSheetId="8" hidden="1">{"sintesi",#N/A,FALSE,"contrib_unit";"dett_materiali",#N/A,FALSE,"contrib_unit";"dett_lav.ne",#N/A,FALSE,"contrib_unit";"dett_altre_ind.li",#N/A,FALSE,"contrib_unit";"dett_commerciali",#N/A,FALSE,"contrib_unit"}</definedName>
    <definedName name="jkhjh" hidden="1">{"sintesi",#N/A,FALSE,"contrib_unit";"dett_materiali",#N/A,FALSE,"contrib_unit";"dett_lav.ne",#N/A,FALSE,"contrib_unit";"dett_altre_ind.li",#N/A,FALSE,"contrib_unit";"dett_commerciali",#N/A,FALSE,"contrib_unit"}</definedName>
    <definedName name="jmjkjk" localSheetId="1" hidden="1">{"'Break down'!$A$4"}</definedName>
    <definedName name="jmjkjk" localSheetId="2" hidden="1">{"'Break down'!$A$4"}</definedName>
    <definedName name="jmjkjk" localSheetId="8" hidden="1">{"'Break down'!$A$4"}</definedName>
    <definedName name="jmjkjk" hidden="1">{"'Break down'!$A$4"}</definedName>
    <definedName name="jn" localSheetId="1" hidden="1">{#N/A,#N/A,FALSE,"CCTV"}</definedName>
    <definedName name="jn" localSheetId="2" hidden="1">{#N/A,#N/A,FALSE,"CCTV"}</definedName>
    <definedName name="jn" localSheetId="8" hidden="1">{#N/A,#N/A,FALSE,"CCTV"}</definedName>
    <definedName name="jn" hidden="1">{#N/A,#N/A,FALSE,"CCTV"}</definedName>
    <definedName name="jo" localSheetId="1" hidden="1">{"'Sheet1'!$L$16"}</definedName>
    <definedName name="jo" localSheetId="2" hidden="1">{"'Sheet1'!$L$16"}</definedName>
    <definedName name="jo" localSheetId="8" hidden="1">{"'Sheet1'!$L$16"}</definedName>
    <definedName name="jo" hidden="1">{"'Sheet1'!$L$16"}</definedName>
    <definedName name="job.no" hidden="1">#REF!</definedName>
    <definedName name="jrtj" localSheetId="1" hidden="1">{#N/A,#N/A,FALSE,"Chi tiÆt"}</definedName>
    <definedName name="jrtj" localSheetId="2" hidden="1">{#N/A,#N/A,FALSE,"Chi tiÆt"}</definedName>
    <definedName name="jrtj" localSheetId="8" hidden="1">{#N/A,#N/A,FALSE,"Chi tiÆt"}</definedName>
    <definedName name="jrtj" hidden="1">{#N/A,#N/A,FALSE,"Chi tiÆt"}</definedName>
    <definedName name="JRY" localSheetId="1" hidden="1">{"'Sheet1'!$L$16"}</definedName>
    <definedName name="JRY" localSheetId="2" hidden="1">{"'Sheet1'!$L$16"}</definedName>
    <definedName name="JRY" localSheetId="8" hidden="1">{"'Sheet1'!$L$16"}</definedName>
    <definedName name="JRY" hidden="1">{"'Sheet1'!$L$16"}</definedName>
    <definedName name="jsdh" localSheetId="1" hidden="1">{"'Sheet1'!$L$16"}</definedName>
    <definedName name="jsdh" localSheetId="2" hidden="1">{"'Sheet1'!$L$16"}</definedName>
    <definedName name="jsdh" localSheetId="8" hidden="1">{"'Sheet1'!$L$16"}</definedName>
    <definedName name="jsdh" hidden="1">{"'Sheet1'!$L$16"}</definedName>
    <definedName name="jsdjs" localSheetId="1" hidden="1">{"'Sheet1'!$L$16"}</definedName>
    <definedName name="jsdjs" localSheetId="2" hidden="1">{"'Sheet1'!$L$16"}</definedName>
    <definedName name="jsdjs" localSheetId="8" hidden="1">{"'Sheet1'!$L$16"}</definedName>
    <definedName name="jsdjs" hidden="1">{"'Sheet1'!$L$16"}</definedName>
    <definedName name="JSH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localSheetId="1" hidden="1">#REF!</definedName>
    <definedName name="jspoi" hidden="1">#REF!</definedName>
    <definedName name="jsryj" localSheetId="1" hidden="1">{"'Sheet1'!$L$16"}</definedName>
    <definedName name="jsryj" localSheetId="2" hidden="1">{"'Sheet1'!$L$16"}</definedName>
    <definedName name="jsryj" localSheetId="8" hidden="1">{"'Sheet1'!$L$16"}</definedName>
    <definedName name="jsryj" hidden="1">{"'Sheet1'!$L$16"}</definedName>
    <definedName name="jt" localSheetId="1" hidden="1">{"'Sheet1'!$L$16"}</definedName>
    <definedName name="jt" localSheetId="2" hidden="1">{"'Sheet1'!$L$16"}</definedName>
    <definedName name="jt" localSheetId="8" hidden="1">{"'Sheet1'!$L$16"}</definedName>
    <definedName name="jt" hidden="1">{"'Sheet1'!$L$16"}</definedName>
    <definedName name="JTDEYW" localSheetId="1" hidden="1">{"'Sheet1'!$L$16"}</definedName>
    <definedName name="JTDEYW" localSheetId="2" hidden="1">{"'Sheet1'!$L$16"}</definedName>
    <definedName name="JTDEYW" localSheetId="8" hidden="1">{"'Sheet1'!$L$16"}</definedName>
    <definedName name="JTDEYW" hidden="1">{"'Sheet1'!$L$16"}</definedName>
    <definedName name="jtgyurtsdx"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1" hidden="1">{"'Sheet1'!$L$16"}</definedName>
    <definedName name="jtyk" localSheetId="2" hidden="1">{"'Sheet1'!$L$16"}</definedName>
    <definedName name="jtyk" localSheetId="8" hidden="1">{"'Sheet1'!$L$16"}</definedName>
    <definedName name="jtyk" hidden="1">{"'Sheet1'!$L$16"}</definedName>
    <definedName name="jtru" localSheetId="1" hidden="1">{"'Sheet1'!$L$16"}</definedName>
    <definedName name="jtru" localSheetId="2" hidden="1">{"'Sheet1'!$L$16"}</definedName>
    <definedName name="jtru" localSheetId="8" hidden="1">{"'Sheet1'!$L$16"}</definedName>
    <definedName name="jtru" hidden="1">{"'Sheet1'!$L$16"}</definedName>
    <definedName name="jtrujt" localSheetId="1" hidden="1">{#N/A,#N/A,FALSE,"부대2"}</definedName>
    <definedName name="jtrujt" localSheetId="2" hidden="1">{#N/A,#N/A,FALSE,"부대2"}</definedName>
    <definedName name="jtrujt" localSheetId="8" hidden="1">{#N/A,#N/A,FALSE,"부대2"}</definedName>
    <definedName name="jtrujt" hidden="1">{#N/A,#N/A,FALSE,"부대2"}</definedName>
    <definedName name="JUNK" localSheetId="1" hidden="1">{"SCHEDULE",#N/A,FALSE,"Fin_sched"}</definedName>
    <definedName name="JUNK" localSheetId="2" hidden="1">{"SCHEDULE",#N/A,FALSE,"Fin_sched"}</definedName>
    <definedName name="JUNK" localSheetId="8" hidden="1">{"SCHEDULE",#N/A,FALSE,"Fin_sched"}</definedName>
    <definedName name="JUNK" hidden="1">{"SCHEDULE",#N/A,FALSE,"Fin_sched"}</definedName>
    <definedName name="JUNK2" localSheetId="1" hidden="1">{"SUMMARY",#N/A,FALSE,"Fin_sched"}</definedName>
    <definedName name="JUNK2" localSheetId="2" hidden="1">{"SUMMARY",#N/A,FALSE,"Fin_sched"}</definedName>
    <definedName name="JUNK2" localSheetId="8" hidden="1">{"SUMMARY",#N/A,FALSE,"Fin_sched"}</definedName>
    <definedName name="JUNK2" hidden="1">{"SUMMARY",#N/A,FALSE,"Fin_sched"}</definedName>
    <definedName name="jy" localSheetId="1" hidden="1">#REF!</definedName>
    <definedName name="JY" localSheetId="2" hidden="1">{"'Sheet1'!$L$16"}</definedName>
    <definedName name="JY" localSheetId="8" hidden="1">{"'Sheet1'!$L$16"}</definedName>
    <definedName name="JY" hidden="1">{"'Sheet1'!$L$16"}</definedName>
    <definedName name="jyuk" localSheetId="1" hidden="1">{"'Sheet1'!$L$16"}</definedName>
    <definedName name="jyuk" localSheetId="2" hidden="1">{"'Sheet1'!$L$16"}</definedName>
    <definedName name="jyuk" localSheetId="8" hidden="1">{"'Sheet1'!$L$16"}</definedName>
    <definedName name="jyuk" hidden="1">{"'Sheet1'!$L$16"}</definedName>
    <definedName name="jýỵy" localSheetId="1" hidden="1">{"'Sheet1'!$L$16"}</definedName>
    <definedName name="jýỵy" localSheetId="2" hidden="1">{"'Sheet1'!$L$16"}</definedName>
    <definedName name="jýỵy" localSheetId="8" hidden="1">{"'Sheet1'!$L$16"}</definedName>
    <definedName name="jýỵy" hidden="1">{"'Sheet1'!$L$16"}</definedName>
    <definedName name="k" localSheetId="1" hidden="1">{"Offgrid",#N/A,FALSE,"OFFGRID";"Region",#N/A,FALSE,"REGION";"Offgrid -2",#N/A,FALSE,"OFFGRID";"WTP",#N/A,FALSE,"WTP";"WTP -2",#N/A,FALSE,"WTP";"Project",#N/A,FALSE,"PROJECT";"Summary -2",#N/A,FALSE,"SUMMARY"}</definedName>
    <definedName name="k" localSheetId="2" hidden="1">{"Offgrid",#N/A,FALSE,"OFFGRID";"Region",#N/A,FALSE,"REGION";"Offgrid -2",#N/A,FALSE,"OFFGRID";"WTP",#N/A,FALSE,"WTP";"WTP -2",#N/A,FALSE,"WTP";"Project",#N/A,FALSE,"PROJECT";"Summary -2",#N/A,FALSE,"SUMMARY"}</definedName>
    <definedName name="k" localSheetId="8"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viecBAHUNG" localSheetId="1" hidden="1">{"'Sheet1'!$L$16"}</definedName>
    <definedName name="K.viecBAHUNG" localSheetId="2" hidden="1">{"'Sheet1'!$L$16"}</definedName>
    <definedName name="K.viecBAHUNG" localSheetId="8" hidden="1">{"'Sheet1'!$L$16"}</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localSheetId="1" hidden="1">{"Offgrid",#N/A,FALSE,"OFFGRID";"Region",#N/A,FALSE,"REGION";"Offgrid -2",#N/A,FALSE,"OFFGRID";"WTP",#N/A,FALSE,"WTP";"WTP -2",#N/A,FALSE,"WTP";"Project",#N/A,FALSE,"PROJECT";"Summary -2",#N/A,FALSE,"SUMMARY"}</definedName>
    <definedName name="k_xoa" localSheetId="2" hidden="1">{"Offgrid",#N/A,FALSE,"OFFGRID";"Region",#N/A,FALSE,"REGION";"Offgrid -2",#N/A,FALSE,"OFFGRID";"WTP",#N/A,FALSE,"WTP";"WTP -2",#N/A,FALSE,"WTP";"Project",#N/A,FALSE,"PROJECT";"Summary -2",#N/A,FALSE,"SUMMARY"}</definedName>
    <definedName name="k_xoa" localSheetId="8"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1"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_xoa2" localSheetId="8"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localSheetId="1" hidden="1">{"'Sheet1'!$L$16"}</definedName>
    <definedName name="KCThep" localSheetId="2" hidden="1">{"'Sheet1'!$L$16"}</definedName>
    <definedName name="KCThep" localSheetId="8" hidden="1">{"'Sheet1'!$L$16"}</definedName>
    <definedName name="KCThep" hidden="1">{"'Sheet1'!$L$16"}</definedName>
    <definedName name="kd" localSheetId="1" hidden="1">{"SUMMARY",#N/A,FALSE,"Fin_sched"}</definedName>
    <definedName name="kd" localSheetId="2" hidden="1">{"SUMMARY",#N/A,FALSE,"Fin_sched"}</definedName>
    <definedName name="kd" localSheetId="8" hidden="1">{"SUMMARY",#N/A,FALSE,"Fin_sched"}</definedName>
    <definedName name="kd" hidden="1">{"SUMMARY",#N/A,FALSE,"Fin_sched"}</definedName>
    <definedName name="kdb">(1+10%)</definedName>
    <definedName name="KDCNThonmoi20_00" localSheetId="1" hidden="1">{"'Sheet1'!$L$16"}</definedName>
    <definedName name="KDCNThonmoi20_00" localSheetId="2" hidden="1">{"'Sheet1'!$L$16"}</definedName>
    <definedName name="KDCNThonmoi20_00" localSheetId="8" hidden="1">{"'Sheet1'!$L$16"}</definedName>
    <definedName name="KDCNThonmoi20_00" hidden="1">{"'Sheet1'!$L$16"}</definedName>
    <definedName name="KDJU" localSheetId="1" hidden="1">{"'장비'!$A$3:$M$12"}</definedName>
    <definedName name="KDJU" localSheetId="2" hidden="1">{"'장비'!$A$3:$M$12"}</definedName>
    <definedName name="KDJU" localSheetId="8" hidden="1">{"'장비'!$A$3:$M$12"}</definedName>
    <definedName name="KDJU" hidden="1">{"'장비'!$A$3:$M$12"}</definedName>
    <definedName name="kdkk" localSheetId="1" hidden="1">{"'Sheet1'!$L$16"}</definedName>
    <definedName name="kdkk" localSheetId="2" hidden="1">{"'Sheet1'!$L$16"}</definedName>
    <definedName name="kdkk" localSheetId="8" hidden="1">{"'Sheet1'!$L$16"}</definedName>
    <definedName name="kdkk" hidden="1">{"'Sheet1'!$L$16"}</definedName>
    <definedName name="Kds" hidden="1">#REF!</definedName>
    <definedName name="ke" localSheetId="1" hidden="1">#REF!</definedName>
    <definedName name="ke" hidden="1">#REF!</definedName>
    <definedName name="keo">ROUNDUP(#REF!*#REF!*#REF!*#REF!*7.85,0)</definedName>
    <definedName name="keqduct">(1+5%+12%)</definedName>
    <definedName name="kfan">(1+5%+10%)</definedName>
    <definedName name="kgdf" localSheetId="1" hidden="1">{#N/A,#N/A,FALSE,"Chi tiÆt"}</definedName>
    <definedName name="kgdf" localSheetId="2" hidden="1">{#N/A,#N/A,FALSE,"Chi tiÆt"}</definedName>
    <definedName name="kgdf" localSheetId="8" hidden="1">{#N/A,#N/A,FALSE,"Chi tiÆt"}</definedName>
    <definedName name="kgdf" hidden="1">{#N/A,#N/A,FALSE,"Chi tiÆt"}</definedName>
    <definedName name="kgh" localSheetId="1" hidden="1">{"'Sheet1'!$L$16"}</definedName>
    <definedName name="kgh" localSheetId="2" hidden="1">{"'Sheet1'!$L$16"}</definedName>
    <definedName name="kgh" localSheetId="8" hidden="1">{"'Sheet1'!$L$16"}</definedName>
    <definedName name="kgh" hidden="1">{"'Sheet1'!$L$16"}</definedName>
    <definedName name="kgj" localSheetId="1" hidden="1">{#N/A,#N/A,FALSE,"MARCH"}</definedName>
    <definedName name="kgj" localSheetId="2" hidden="1">{#N/A,#N/A,FALSE,"MARCH"}</definedName>
    <definedName name="kgj" localSheetId="8" hidden="1">{#N/A,#N/A,FALSE,"MARCH"}</definedName>
    <definedName name="kgj" hidden="1">{#N/A,#N/A,FALSE,"MARCH"}</definedName>
    <definedName name="kien" localSheetId="1" hidden="1">#REF!</definedName>
    <definedName name="Kien" localSheetId="2" hidden="1">{"'Sheet1'!$L$16"}</definedName>
    <definedName name="Kien" localSheetId="8" hidden="1">{"'Sheet1'!$L$16"}</definedName>
    <definedName name="Kien" hidden="1">{"'Sheet1'!$L$16"}</definedName>
    <definedName name="kihjgbn" hidden="1">#REF!</definedName>
    <definedName name="kihsrog" localSheetId="1" hidden="1">#REF!</definedName>
    <definedName name="kihsrog" hidden="1">#REF!</definedName>
    <definedName name="kiiuurtv" hidden="1">#REF!</definedName>
    <definedName name="kij" localSheetId="1" hidden="1">{#N/A,#N/A,FALSE,"MARCH"}</definedName>
    <definedName name="kij" localSheetId="2" hidden="1">{#N/A,#N/A,FALSE,"MARCH"}</definedName>
    <definedName name="kij" localSheetId="8" hidden="1">{#N/A,#N/A,FALSE,"MARCH"}</definedName>
    <definedName name="kij" hidden="1">{#N/A,#N/A,FALSE,"MARCH"}</definedName>
    <definedName name="kiyddfdr" localSheetId="1" hidden="1">{"'Sheet1'!$L$16"}</definedName>
    <definedName name="kiyddfdr" localSheetId="2" hidden="1">{"'Sheet1'!$L$16"}</definedName>
    <definedName name="kiyddfdr" localSheetId="8" hidden="1">{"'Sheet1'!$L$16"}</definedName>
    <definedName name="kiyddfdr" hidden="1">{"'Sheet1'!$L$16"}</definedName>
    <definedName name="kj" localSheetId="1" hidden="1">{#N/A,#N/A,FALSE,"Chi tiÆt"}</definedName>
    <definedName name="kj" localSheetId="2" hidden="1">{#N/A,#N/A,FALSE,"Chi tiÆt"}</definedName>
    <definedName name="kj" localSheetId="8" hidden="1">{#N/A,#N/A,FALSE,"Chi tiÆt"}</definedName>
    <definedName name="kj" hidden="1">{#N/A,#N/A,FALSE,"Chi tiÆt"}</definedName>
    <definedName name="kjgfk">#REF!</definedName>
    <definedName name="kjhkhj" localSheetId="1" hidden="1">{"'Sheet1'!$L$16"}</definedName>
    <definedName name="kjhkhj" localSheetId="2" hidden="1">{"'Sheet1'!$L$16"}</definedName>
    <definedName name="kjhkhj" localSheetId="8" hidden="1">{"'Sheet1'!$L$16"}</definedName>
    <definedName name="kjhkhj" hidden="1">{"'Sheet1'!$L$16"}</definedName>
    <definedName name="kjjkjgg" localSheetId="1" hidden="1">{"'Sheet1'!$L$16"}</definedName>
    <definedName name="kjjkjgg" localSheetId="2" hidden="1">{"'Sheet1'!$L$16"}</definedName>
    <definedName name="kjjkjgg" localSheetId="8" hidden="1">{"'Sheet1'!$L$16"}</definedName>
    <definedName name="kjjkjgg" hidden="1">{"'Sheet1'!$L$16"}</definedName>
    <definedName name="kjjlll" localSheetId="1" hidden="1">{"'Sheet1'!$L$16"}</definedName>
    <definedName name="kjjlll" localSheetId="2" hidden="1">{"'Sheet1'!$L$16"}</definedName>
    <definedName name="kjjlll" localSheetId="8" hidden="1">{"'Sheet1'!$L$16"}</definedName>
    <definedName name="kjjlll" hidden="1">{"'Sheet1'!$L$16"}</definedName>
    <definedName name="kjkjk" localSheetId="1" hidden="1">{"'Sheet1'!$L$16"}</definedName>
    <definedName name="kjkjk" localSheetId="2" hidden="1">{"'Sheet1'!$L$16"}</definedName>
    <definedName name="kjkjk" localSheetId="8" hidden="1">{"'Sheet1'!$L$16"}</definedName>
    <definedName name="kjkjk" hidden="1">{"'Sheet1'!$L$16"}</definedName>
    <definedName name="kjkjkj" localSheetId="1" hidden="1">{"'Sheet1'!$L$16"}</definedName>
    <definedName name="kjkjkj" localSheetId="2" hidden="1">{"'Sheet1'!$L$16"}</definedName>
    <definedName name="kjkjkj" localSheetId="8" hidden="1">{"'Sheet1'!$L$16"}</definedName>
    <definedName name="kjkjkj" hidden="1">{"'Sheet1'!$L$16"}</definedName>
    <definedName name="kjoh" localSheetId="1" hidden="1">{#N/A,#N/A,FALSE,"特殊室（ＢＱ表）"}</definedName>
    <definedName name="kjoh" localSheetId="2" hidden="1">{#N/A,#N/A,FALSE,"特殊室（ＢＱ表）"}</definedName>
    <definedName name="kjoh" localSheetId="8" hidden="1">{#N/A,#N/A,FALSE,"特殊室（ＢＱ表）"}</definedName>
    <definedName name="kjoh" hidden="1">{#N/A,#N/A,FALSE,"特殊室（ＢＱ表）"}</definedName>
    <definedName name="kjslog" hidden="1">#REF!</definedName>
    <definedName name="kk" localSheetId="1" hidden="1">#REF!</definedName>
    <definedName name="kk" hidden="1">#REF!</definedName>
    <definedName name="KK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1" hidden="1">{"'Sheet1'!$L$16"}</definedName>
    <definedName name="kkgdss" localSheetId="2" hidden="1">{"'Sheet1'!$L$16"}</definedName>
    <definedName name="kkgdss" localSheetId="8" hidden="1">{"'Sheet1'!$L$16"}</definedName>
    <definedName name="kkgdss" hidden="1">{"'Sheet1'!$L$16"}</definedName>
    <definedName name="KKISJ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1" hidden="1">{"'Sheet1'!$L$16"}</definedName>
    <definedName name="kkk" localSheetId="2" hidden="1">{"'Sheet1'!$L$16"}</definedName>
    <definedName name="kkk" localSheetId="8" hidden="1">{"'Sheet1'!$L$16"}</definedName>
    <definedName name="kkk" hidden="1">{"'Sheet1'!$L$16"}</definedName>
    <definedName name="KK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1" hidden="1">{"'Sheet1'!$L$16"}</definedName>
    <definedName name="kkkk" localSheetId="2" hidden="1">{"'Sheet1'!$L$16"}</definedName>
    <definedName name="kkkk" localSheetId="8" hidden="1">{"'Sheet1'!$L$16"}</definedName>
    <definedName name="kkkk" hidden="1">{"'Sheet1'!$L$16"}</definedName>
    <definedName name="kkkkk" localSheetId="1" hidden="1">{"'Sheet1'!$L$16"}</definedName>
    <definedName name="kkkkk" localSheetId="2" hidden="1">{"'Sheet1'!$L$16"}</definedName>
    <definedName name="kkkkk" localSheetId="8" hidden="1">{"'Sheet1'!$L$16"}</definedName>
    <definedName name="kkkkk" hidden="1">{"'Sheet1'!$L$16"}</definedName>
    <definedName name="kkkl" localSheetId="1" hidden="1">{"'Sheet1'!$L$16"}</definedName>
    <definedName name="kkkl" localSheetId="2" hidden="1">{"'Sheet1'!$L$16"}</definedName>
    <definedName name="kkkl" localSheetId="8" hidden="1">{"'Sheet1'!$L$16"}</definedName>
    <definedName name="kkkl" hidden="1">{"'Sheet1'!$L$16"}</definedName>
    <definedName name="KKKSJ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1" hidden="1">{"'Sheet1'!$L$16"}</definedName>
    <definedName name="kkl" localSheetId="2" hidden="1">{"'Sheet1'!$L$16"}</definedName>
    <definedName name="kkl" localSheetId="8" hidden="1">{"'Sheet1'!$L$16"}</definedName>
    <definedName name="kkl" hidden="1">{"'Sheet1'!$L$16"}</definedName>
    <definedName name="kkll" localSheetId="1" hidden="1">{"'Sheet1'!$L$16"}</definedName>
    <definedName name="kkll" localSheetId="2" hidden="1">{"'Sheet1'!$L$16"}</definedName>
    <definedName name="kkll" localSheetId="8" hidden="1">{"'Sheet1'!$L$16"}</definedName>
    <definedName name="kkll" hidden="1">{"'Sheet1'!$L$16"}</definedName>
    <definedName name="kklll" localSheetId="1" hidden="1">{"'Sheet1'!$L$16"}</definedName>
    <definedName name="kklll" localSheetId="2" hidden="1">{"'Sheet1'!$L$16"}</definedName>
    <definedName name="kklll" localSheetId="8" hidden="1">{"'Sheet1'!$L$16"}</definedName>
    <definedName name="kklll" hidden="1">{"'Sheet1'!$L$16"}</definedName>
    <definedName name="KKSIIE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1" hidden="1">{"'Sheet1'!$L$16"}</definedName>
    <definedName name="KL_Dai" localSheetId="2" hidden="1">{"'Sheet1'!$L$16"}</definedName>
    <definedName name="KL_Dai" localSheetId="8" hidden="1">{"'Sheet1'!$L$16"}</definedName>
    <definedName name="KL_Dai" hidden="1">{"'Sheet1'!$L$16"}</definedName>
    <definedName name="klbpif">1</definedName>
    <definedName name="KLduonggiaods" localSheetId="1" hidden="1">{"'Sheet1'!$L$16"}</definedName>
    <definedName name="KLduonggiaods" localSheetId="2" hidden="1">{"'Sheet1'!$L$16"}</definedName>
    <definedName name="KLduonggiaods" localSheetId="8" hidden="1">{"'Sheet1'!$L$16"}</definedName>
    <definedName name="KLduonggiaods" hidden="1">{"'Sheet1'!$L$16"}</definedName>
    <definedName name="klhkl" localSheetId="1" hidden="1">{#N/A,#N/A,FALSE,"CCTV"}</definedName>
    <definedName name="klhkl" localSheetId="2" hidden="1">{#N/A,#N/A,FALSE,"CCTV"}</definedName>
    <definedName name="klhkl" localSheetId="8" hidden="1">{#N/A,#N/A,FALSE,"CCTV"}</definedName>
    <definedName name="klhkl" hidden="1">{#N/A,#N/A,FALSE,"CCTV"}</definedName>
    <definedName name="kljg" localSheetId="1" hidden="1">{"'Sheet1'!$L$16"}</definedName>
    <definedName name="kljg" localSheetId="2" hidden="1">{"'Sheet1'!$L$16"}</definedName>
    <definedName name="kljg" localSheetId="8" hidden="1">{"'Sheet1'!$L$16"}</definedName>
    <definedName name="kljg" hidden="1">{"'Sheet1'!$L$16"}</definedName>
    <definedName name="klkklk" localSheetId="1" hidden="1">{#N/A,#N/A,FALSE,"Sheet1";#N/A,#N/A,FALSE,"Sheet3";#N/A,#N/A,FALSE,"Sheet5"}</definedName>
    <definedName name="klkklk" localSheetId="2" hidden="1">{#N/A,#N/A,FALSE,"Sheet1";#N/A,#N/A,FALSE,"Sheet3";#N/A,#N/A,FALSE,"Sheet5"}</definedName>
    <definedName name="klkklk" localSheetId="8" hidden="1">{#N/A,#N/A,FALSE,"Sheet1";#N/A,#N/A,FALSE,"Sheet3";#N/A,#N/A,FALSE,"Sheet5"}</definedName>
    <definedName name="klkklk" hidden="1">{#N/A,#N/A,FALSE,"Sheet1";#N/A,#N/A,FALSE,"Sheet3";#N/A,#N/A,FALSE,"Sheet5"}</definedName>
    <definedName name="KLLT" hidden="1">#REF!</definedName>
    <definedName name="klm" localSheetId="1" hidden="1">{"'Sheet1'!$L$16"}</definedName>
    <definedName name="klm" localSheetId="2" hidden="1">{"'Sheet1'!$L$16"}</definedName>
    <definedName name="klm" localSheetId="8" hidden="1">{"'Sheet1'!$L$16"}</definedName>
    <definedName name="klm" hidden="1">{"'Sheet1'!$L$16"}</definedName>
    <definedName name="klnhhh" localSheetId="1" hidden="1">{"'Sheet1'!$L$16"}</definedName>
    <definedName name="klnhhh" localSheetId="2" hidden="1">{"'Sheet1'!$L$16"}</definedName>
    <definedName name="klnhhh" localSheetId="8" hidden="1">{"'Sheet1'!$L$16"}</definedName>
    <definedName name="klnhhh" hidden="1">{"'Sheet1'!$L$16"}</definedName>
    <definedName name="KLYCAU" hidden="1">#REF!</definedName>
    <definedName name="KNDAT_CHUA_SU_DUNG" localSheetId="1" hidden="1">#REF!</definedName>
    <definedName name="KNDAT_CHUA_SU_DUNG" hidden="1">#REF!</definedName>
    <definedName name="kon" localSheetId="1" hidden="1">{"'Sheet1'!$L$16"}</definedName>
    <definedName name="kon" localSheetId="2" hidden="1">{"'Sheet1'!$L$16"}</definedName>
    <definedName name="kon" localSheetId="8" hidden="1">{"'Sheet1'!$L$16"}</definedName>
    <definedName name="kon" hidden="1">{"'Sheet1'!$L$16"}</definedName>
    <definedName name="kopen">2</definedName>
    <definedName name="kpif">1</definedName>
    <definedName name="kpump">(1+7%)</definedName>
    <definedName name="krainpi">(1+15%)</definedName>
    <definedName name="ks" localSheetId="1" hidden="1">{"'Sheet1'!$L$16"}</definedName>
    <definedName name="ks" localSheetId="2" hidden="1">{"'Sheet1'!$L$16"}</definedName>
    <definedName name="ks" localSheetId="8" hidden="1">{"'Sheet1'!$L$16"}</definedName>
    <definedName name="ks" hidden="1">{"'Sheet1'!$L$16"}</definedName>
    <definedName name="ksbn" localSheetId="1" hidden="1">{"'Sheet1'!$L$16"}</definedName>
    <definedName name="ksbn" localSheetId="2" hidden="1">{"'Sheet1'!$L$16"}</definedName>
    <definedName name="ksbn" localSheetId="8" hidden="1">{"'Sheet1'!$L$16"}</definedName>
    <definedName name="ksbn" hidden="1">{"'Sheet1'!$L$16"}</definedName>
    <definedName name="KSDA" localSheetId="1" hidden="1">{"'Sheet1'!$L$16"}</definedName>
    <definedName name="KSDA" localSheetId="2" hidden="1">{"'Sheet1'!$L$16"}</definedName>
    <definedName name="KSDA" localSheetId="8" hidden="1">{"'Sheet1'!$L$16"}</definedName>
    <definedName name="KSDA" hidden="1">{"'Sheet1'!$L$16"}</definedName>
    <definedName name="kshn" localSheetId="1" hidden="1">{"'Sheet1'!$L$16"}</definedName>
    <definedName name="kshn" localSheetId="2" hidden="1">{"'Sheet1'!$L$16"}</definedName>
    <definedName name="kshn" localSheetId="8" hidden="1">{"'Sheet1'!$L$16"}</definedName>
    <definedName name="kshn" hidden="1">{"'Sheet1'!$L$16"}</definedName>
    <definedName name="ksls" localSheetId="1" hidden="1">{"'Sheet1'!$L$16"}</definedName>
    <definedName name="ksls" localSheetId="2" hidden="1">{"'Sheet1'!$L$16"}</definedName>
    <definedName name="ksls" localSheetId="8" hidden="1">{"'Sheet1'!$L$16"}</definedName>
    <definedName name="ksls" hidden="1">{"'Sheet1'!$L$16"}</definedName>
    <definedName name="ktf" hidden="1">#REF!</definedName>
    <definedName name="kty" hidden="1">#REF!</definedName>
    <definedName name="kukek" localSheetId="1" hidden="1">{"'Sheet1'!$L$16"}</definedName>
    <definedName name="kukek" localSheetId="2" hidden="1">{"'Sheet1'!$L$16"}</definedName>
    <definedName name="kukek" localSheetId="8" hidden="1">{"'Sheet1'!$L$16"}</definedName>
    <definedName name="kukek" hidden="1">{"'Sheet1'!$L$16"}</definedName>
    <definedName name="kuklk" localSheetId="1" hidden="1">{"'Sheet1'!$L$16"}</definedName>
    <definedName name="kuklk" localSheetId="2" hidden="1">{"'Sheet1'!$L$16"}</definedName>
    <definedName name="kuklk" localSheetId="8" hidden="1">{"'Sheet1'!$L$16"}</definedName>
    <definedName name="kuklk" hidden="1">{"'Sheet1'!$L$16"}</definedName>
    <definedName name="kutkuk" localSheetId="1" hidden="1">{"'Sheet1'!$L$16"}</definedName>
    <definedName name="kutkuk" localSheetId="2" hidden="1">{"'Sheet1'!$L$16"}</definedName>
    <definedName name="kutkuk" localSheetId="8" hidden="1">{"'Sheet1'!$L$16"}</definedName>
    <definedName name="kutkuk" hidden="1">{"'Sheet1'!$L$16"}</definedName>
    <definedName name="kvalf">(1+15%)</definedName>
    <definedName name="Kye" localSheetId="1" hidden="1">#REF!</definedName>
    <definedName name="Kye" hidden="1">#REF!</definedName>
    <definedName name="kyhieu" localSheetId="1">#REF!</definedName>
    <definedName name="kyhieu">#REF!</definedName>
    <definedName name="KYUKGH" localSheetId="1" hidden="1">{"'Sheet1'!$L$16"}</definedName>
    <definedName name="KYUKGH" localSheetId="2" hidden="1">{"'Sheet1'!$L$16"}</definedName>
    <definedName name="KYUKGH" localSheetId="8" hidden="1">{"'Sheet1'!$L$16"}</definedName>
    <definedName name="KYUKGH" hidden="1">{"'Sheet1'!$L$16"}</definedName>
    <definedName name="kywer23" hidden="1">#REF!</definedName>
    <definedName name="khanh" localSheetId="1" hidden="1">#REF!</definedName>
    <definedName name="khanh" hidden="1">#REF!</definedName>
    <definedName name="khg" localSheetId="1" hidden="1">{"'Sheet1'!$L$16"}</definedName>
    <definedName name="khg" localSheetId="2" hidden="1">{"'Sheet1'!$L$16"}</definedName>
    <definedName name="khg" localSheetId="8" hidden="1">{"'Sheet1'!$L$16"}</definedName>
    <definedName name="khg" hidden="1">{"'Sheet1'!$L$16"}</definedName>
    <definedName name="KHGDFKHGFJKGF" localSheetId="1" hidden="1">#REF!</definedName>
    <definedName name="KHGDFKHGFJKGF" hidden="1">#REF!</definedName>
    <definedName name="KHKN" localSheetId="1" hidden="1">{#N/A,#N/A,FALSE,"特殊室（ＢＱ表）"}</definedName>
    <definedName name="KHKN" localSheetId="2" hidden="1">{#N/A,#N/A,FALSE,"特殊室（ＢＱ表）"}</definedName>
    <definedName name="KHKN" localSheetId="8" hidden="1">{#N/A,#N/A,FALSE,"特殊室（ＢＱ表）"}</definedName>
    <definedName name="KHKN" hidden="1">{#N/A,#N/A,FALSE,"特殊室（ＢＱ表）"}</definedName>
    <definedName name="khkttt" localSheetId="1" hidden="1">{"'Sheet1'!$L$16"}</definedName>
    <definedName name="khkttt" localSheetId="2" hidden="1">{"'Sheet1'!$L$16"}</definedName>
    <definedName name="khkttt" localSheetId="8" hidden="1">{"'Sheet1'!$L$16"}</definedName>
    <definedName name="khkttt" hidden="1">{"'Sheet1'!$L$16"}</definedName>
    <definedName name="khoas" localSheetId="1" hidden="1">{"'Sheet1'!$L$16"}</definedName>
    <definedName name="khoas" localSheetId="2" hidden="1">{"'Sheet1'!$L$16"}</definedName>
    <definedName name="khoas" localSheetId="8" hidden="1">{"'Sheet1'!$L$16"}</definedName>
    <definedName name="khoas" hidden="1">{"'Sheet1'!$L$16"}</definedName>
    <definedName name="khoi" localSheetId="1" hidden="1">#REF!</definedName>
    <definedName name="khoi" hidden="1">#REF!</definedName>
    <definedName name="KHOILUONG" localSheetId="1" hidden="1">{"'Sheet1'!$L$16"}</definedName>
    <definedName name="KHOILUONG" localSheetId="2" hidden="1">{"'Sheet1'!$L$16"}</definedName>
    <definedName name="KHOILUONG" localSheetId="8" hidden="1">{"'Sheet1'!$L$16"}</definedName>
    <definedName name="KHOILUONG" hidden="1">{"'Sheet1'!$L$16"}</definedName>
    <definedName name="KhongCT" localSheetId="1" hidden="1">{"'Sheet1'!$L$16"}</definedName>
    <definedName name="KhongCT" localSheetId="2" hidden="1">{"'Sheet1'!$L$16"}</definedName>
    <definedName name="KhongCT" localSheetId="8" hidden="1">{"'Sheet1'!$L$16"}</definedName>
    <definedName name="KhongCT" hidden="1">{"'Sheet1'!$L$16"}</definedName>
    <definedName name="khongtruotgia" localSheetId="1" hidden="1">{"'Sheet1'!$L$16"}</definedName>
    <definedName name="khongtruotgia" localSheetId="2" hidden="1">{"'Sheet1'!$L$16"}</definedName>
    <definedName name="khongtruotgia" localSheetId="8" hidden="1">{"'Sheet1'!$L$16"}</definedName>
    <definedName name="khongtruotgia" hidden="1">{"'Sheet1'!$L$16"}</definedName>
    <definedName name="khrc">(1+2%+12%)</definedName>
    <definedName name="khuyen" localSheetId="1" hidden="1">{"'Sheet1'!$L$16"}</definedName>
    <definedName name="khuyen" localSheetId="2" hidden="1">{"'Sheet1'!$L$16"}</definedName>
    <definedName name="khuyen" localSheetId="8" hidden="1">{"'Sheet1'!$L$16"}</definedName>
    <definedName name="khuyen" hidden="1">{"'Sheet1'!$L$16"}</definedName>
    <definedName name="khw">(1+10%)</definedName>
    <definedName name="l" localSheetId="1">{"Book1","BoQ2.XLS"}</definedName>
    <definedName name="l" localSheetId="2">{"Book1","BoQ2.XLS"}</definedName>
    <definedName name="l" localSheetId="8">{"Book1","BoQ2.XLS"}</definedName>
    <definedName name="l">{"Book1","BoQ2.XLS"}</definedName>
    <definedName name="l.w일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1" hidden="1">{"'Sheet1'!$L$16"}</definedName>
    <definedName name="lam" localSheetId="2" hidden="1">{"'Sheet1'!$L$16"}</definedName>
    <definedName name="lam" localSheetId="8" hidden="1">{"'Sheet1'!$L$16"}</definedName>
    <definedName name="lam" hidden="1">{"'Sheet1'!$L$16"}</definedName>
    <definedName name="lan" localSheetId="1" hidden="1">{#N/A,#N/A,TRUE,"BT M200 da 10x20"}</definedName>
    <definedName name="lan" localSheetId="2" hidden="1">{#N/A,#N/A,TRUE,"BT M200 da 10x20"}</definedName>
    <definedName name="lan" localSheetId="8" hidden="1">{#N/A,#N/A,TRUE,"BT M200 da 10x20"}</definedName>
    <definedName name="lan" hidden="1">{#N/A,#N/A,TRUE,"BT M200 da 10x20"}</definedName>
    <definedName name="LanTrai" hidden="1">#REF!</definedName>
    <definedName name="langson" localSheetId="1" hidden="1">{"'Sheet1'!$L$16"}</definedName>
    <definedName name="langson" localSheetId="2" hidden="1">{"'Sheet1'!$L$16"}</definedName>
    <definedName name="langson" localSheetId="8" hidden="1">{"'Sheet1'!$L$16"}</definedName>
    <definedName name="langson" hidden="1">{"'Sheet1'!$L$16"}</definedName>
    <definedName name="lapmoi8430" localSheetId="1" hidden="1">{"'Sheet1'!$L$16"}</definedName>
    <definedName name="lapmoi8430" localSheetId="2" hidden="1">{"'Sheet1'!$L$16"}</definedName>
    <definedName name="lapmoi8430" localSheetId="8"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localSheetId="1" hidden="1">{#N/A,#N/A,FALSE,"사업총괄";#N/A,#N/A,FALSE,"장비사업";#N/A,#N/A,FALSE,"철구사업";#N/A,#N/A,FALSE,"준설사업"}</definedName>
    <definedName name="LC산출" localSheetId="2" hidden="1">{#N/A,#N/A,FALSE,"사업총괄";#N/A,#N/A,FALSE,"장비사업";#N/A,#N/A,FALSE,"철구사업";#N/A,#N/A,FALSE,"준설사업"}</definedName>
    <definedName name="LC산출" localSheetId="8" hidden="1">{#N/A,#N/A,FALSE,"사업총괄";#N/A,#N/A,FALSE,"장비사업";#N/A,#N/A,FALSE,"철구사업";#N/A,#N/A,FALSE,"준설사업"}</definedName>
    <definedName name="LC산출" hidden="1">{#N/A,#N/A,FALSE,"사업총괄";#N/A,#N/A,FALSE,"장비사업";#N/A,#N/A,FALSE,"철구사업";#N/A,#N/A,FALSE,"준설사업"}</definedName>
    <definedName name="le" localSheetId="1" hidden="1">{"'Sheet1'!$L$16"}</definedName>
    <definedName name="le" localSheetId="2" hidden="1">{"'Sheet1'!$L$16"}</definedName>
    <definedName name="le" localSheetId="8" hidden="1">{"'Sheet1'!$L$16"}</definedName>
    <definedName name="le" hidden="1">{"'Sheet1'!$L$16"}</definedName>
    <definedName name="LEE" localSheetId="1" hidden="1">{#N/A,#N/A,FALSE,"구조2"}</definedName>
    <definedName name="LEE" localSheetId="2" hidden="1">{#N/A,#N/A,FALSE,"구조2"}</definedName>
    <definedName name="LEE" localSheetId="8" hidden="1">{#N/A,#N/A,FALSE,"구조2"}</definedName>
    <definedName name="LEE" hidden="1">{#N/A,#N/A,FALSE,"구조2"}</definedName>
    <definedName name="LEEEE"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localSheetId="1" hidden="1">{"'Sheet1'!$L$16"}</definedName>
    <definedName name="lgala" localSheetId="2" hidden="1">{"'Sheet1'!$L$16"}</definedName>
    <definedName name="lgala" localSheetId="8" hidden="1">{"'Sheet1'!$L$16"}</definedName>
    <definedName name="lgala" hidden="1">{"'Sheet1'!$L$16"}</definedName>
    <definedName name="lhhh" localSheetId="1" hidden="1">{#N/A,#N/A,FALSE,"Chi tiÆt"}</definedName>
    <definedName name="lhhh" localSheetId="2" hidden="1">{#N/A,#N/A,FALSE,"Chi tiÆt"}</definedName>
    <definedName name="lhhh" localSheetId="8" hidden="1">{#N/A,#N/A,FALSE,"Chi tiÆt"}</definedName>
    <definedName name="lhhh" hidden="1">{#N/A,#N/A,FALSE,"Chi tiÆt"}</definedName>
    <definedName name="li" localSheetId="1" hidden="1">{"'용역비'!$A$4:$C$8"}</definedName>
    <definedName name="li" localSheetId="2" hidden="1">{"'용역비'!$A$4:$C$8"}</definedName>
    <definedName name="li" localSheetId="8" hidden="1">{"'용역비'!$A$4:$C$8"}</definedName>
    <definedName name="li" hidden="1">{"'용역비'!$A$4:$C$8"}</definedName>
    <definedName name="LID">40</definedName>
    <definedName name="lie" localSheetId="1" hidden="1">{"'Sheet1'!$L$16"}</definedName>
    <definedName name="lie" localSheetId="2" hidden="1">{"'Sheet1'!$L$16"}</definedName>
    <definedName name="lie" localSheetId="8" hidden="1">{"'Sheet1'!$L$16"}</definedName>
    <definedName name="lie" hidden="1">{"'Sheet1'!$L$16"}</definedName>
    <definedName name="lifts" hidden="1">#REF!</definedName>
    <definedName name="limcount" localSheetId="1" hidden="1">13</definedName>
    <definedName name="limcount" hidden="1">4</definedName>
    <definedName name="linh" localSheetId="1" hidden="1">{"'Sheet1'!$L$16"}</definedName>
    <definedName name="linh" localSheetId="2" hidden="1">{"'Sheet1'!$L$16"}</definedName>
    <definedName name="linh" localSheetId="8" hidden="1">{"'Sheet1'!$L$16"}</definedName>
    <definedName name="linh" hidden="1">{"'Sheet1'!$L$16"}</definedName>
    <definedName name="linhT" localSheetId="1" hidden="1">{"'Sheet1'!$L$16"}</definedName>
    <definedName name="linhT" localSheetId="2" hidden="1">{"'Sheet1'!$L$16"}</definedName>
    <definedName name="linhT" localSheetId="8" hidden="1">{"'Sheet1'!$L$16"}</definedName>
    <definedName name="linhT" hidden="1">{"'Sheet1'!$L$16"}</definedName>
    <definedName name="List" localSheetId="1" hidden="1">{"'Sheet1'!$L$16"}</definedName>
    <definedName name="List" localSheetId="2" hidden="1">{"'Sheet1'!$L$16"}</definedName>
    <definedName name="List" localSheetId="8" hidden="1">{"'Sheet1'!$L$16"}</definedName>
    <definedName name="List" hidden="1">{"'Sheet1'!$L$16"}</definedName>
    <definedName name="LIUJHG" hidden="1">#REF!</definedName>
    <definedName name="ljhghg" localSheetId="1" hidden="1">{"'Sheet1'!$L$16"}</definedName>
    <definedName name="ljhghg" localSheetId="2" hidden="1">{"'Sheet1'!$L$16"}</definedName>
    <definedName name="ljhghg" localSheetId="8" hidden="1">{"'Sheet1'!$L$16"}</definedName>
    <definedName name="ljhghg" hidden="1">{"'Sheet1'!$L$16"}</definedName>
    <definedName name="ljklk" localSheetId="1" hidden="1">{"'Sheet1'!$L$16"}</definedName>
    <definedName name="ljklk" localSheetId="2" hidden="1">{"'Sheet1'!$L$16"}</definedName>
    <definedName name="ljklk" localSheetId="8" hidden="1">{"'Sheet1'!$L$16"}</definedName>
    <definedName name="ljklk" hidden="1">{"'Sheet1'!$L$16"}</definedName>
    <definedName name="ljl" localSheetId="1" hidden="1">#REF!</definedName>
    <definedName name="ljl" hidden="1">#REF!</definedName>
    <definedName name="lk" localSheetId="1" hidden="1">{#N/A,#N/A,FALSE,"mgtsum.XLS";#N/A,#N/A,FALSE,"CAPONE";#N/A,#N/A,FALSE,"CAPTWO";#N/A,#N/A,FALSE,"CAPTHREE"}</definedName>
    <definedName name="lk" localSheetId="2" hidden="1">{#N/A,#N/A,FALSE,"mgtsum.XLS";#N/A,#N/A,FALSE,"CAPONE";#N/A,#N/A,FALSE,"CAPTWO";#N/A,#N/A,FALSE,"CAPTHREE"}</definedName>
    <definedName name="lk" localSheetId="8" hidden="1">{#N/A,#N/A,FALSE,"mgtsum.XLS";#N/A,#N/A,FALSE,"CAPONE";#N/A,#N/A,FALSE,"CAPTWO";#N/A,#N/A,FALSE,"CAPTHREE"}</definedName>
    <definedName name="lk" hidden="1">{#N/A,#N/A,FALSE,"mgtsum.XLS";#N/A,#N/A,FALSE,"CAPONE";#N/A,#N/A,FALSE,"CAPTWO";#N/A,#N/A,FALSE,"CAPTHREE"}</definedName>
    <definedName name="lkj" localSheetId="1" hidden="1">{"'Sheet1'!$L$16"}</definedName>
    <definedName name="lkj" localSheetId="2" hidden="1">{"'Sheet1'!$L$16"}</definedName>
    <definedName name="lkj" localSheetId="8" hidden="1">{"'Sheet1'!$L$16"}</definedName>
    <definedName name="lkj" hidden="1">{"'Sheet1'!$L$16"}</definedName>
    <definedName name="lkjhgf" localSheetId="1" hidden="1">{"'Sheet1'!$L$16"}</definedName>
    <definedName name="lkjhgf" localSheetId="2" hidden="1">{"'Sheet1'!$L$16"}</definedName>
    <definedName name="lkjhgf" localSheetId="8" hidden="1">{"'Sheet1'!$L$16"}</definedName>
    <definedName name="lkjhgf" hidden="1">{"'Sheet1'!$L$16"}</definedName>
    <definedName name="lkklll" localSheetId="1" hidden="1">{"'Sheet1'!$L$16"}</definedName>
    <definedName name="lkklll" localSheetId="2" hidden="1">{"'Sheet1'!$L$16"}</definedName>
    <definedName name="lkklll" localSheetId="8" hidden="1">{"'Sheet1'!$L$16"}</definedName>
    <definedName name="lkklll" hidden="1">{"'Sheet1'!$L$16"}</definedName>
    <definedName name="lklkhh" localSheetId="1" hidden="1">{"'Sheet1'!$L$16"}</definedName>
    <definedName name="lklkhh" localSheetId="2" hidden="1">{"'Sheet1'!$L$16"}</definedName>
    <definedName name="lklkhh" localSheetId="8" hidden="1">{"'Sheet1'!$L$16"}</definedName>
    <definedName name="lklkhh" hidden="1">{"'Sheet1'!$L$16"}</definedName>
    <definedName name="LLDIEKK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1" hidden="1">{#N/A,#N/A,FALSE,"特殊室（ＢＱ表）"}</definedName>
    <definedName name="lll" localSheetId="2" hidden="1">{#N/A,#N/A,FALSE,"特殊室（ＢＱ表）"}</definedName>
    <definedName name="lll" localSheetId="8" hidden="1">{#N/A,#N/A,FALSE,"特殊室（ＢＱ表）"}</definedName>
    <definedName name="lll" hidden="1">{#N/A,#N/A,FALSE,"特殊室（ＢＱ表）"}</definedName>
    <definedName name="LLL\" hidden="1">#REF!</definedName>
    <definedName name="lllj" localSheetId="1" hidden="1">{"'Sheet1'!$L$16"}</definedName>
    <definedName name="lllj" localSheetId="2" hidden="1">{"'Sheet1'!$L$16"}</definedName>
    <definedName name="lllj" localSheetId="8" hidden="1">{"'Sheet1'!$L$16"}</definedName>
    <definedName name="lllj" hidden="1">{"'Sheet1'!$L$16"}</definedName>
    <definedName name="LLLL" localSheetId="1" hidden="1">{"ECA Qtrs C",#N/A,TRUE,"ECA_Qtrs_C";"ECA Qtrs D",#N/A,TRUE,"ECA_Qtrs_D";"ECA Qtrs F",#N/A,TRUE,"ECA_Qtrs_F";"ECA Qtrs G",#N/A,TRUE,"ECA_Qtrs_G";"ECA SisterApt",#N/A,TRUE,"ECA_SisterApt";"ECA Nurses",#N/A,TRUE,"ECA_NursesHostel"}</definedName>
    <definedName name="LLLL" localSheetId="2" hidden="1">{"ECA Qtrs C",#N/A,TRUE,"ECA_Qtrs_C";"ECA Qtrs D",#N/A,TRUE,"ECA_Qtrs_D";"ECA Qtrs F",#N/A,TRUE,"ECA_Qtrs_F";"ECA Qtrs G",#N/A,TRUE,"ECA_Qtrs_G";"ECA SisterApt",#N/A,TRUE,"ECA_SisterApt";"ECA Nurses",#N/A,TRUE,"ECA_NursesHostel"}</definedName>
    <definedName name="LLLL" localSheetId="8" hidden="1">{"ECA Qtrs C",#N/A,TRUE,"ECA_Qtrs_C";"ECA Qtrs D",#N/A,TRUE,"ECA_Qtrs_D";"ECA Qtrs F",#N/A,TRUE,"ECA_Qtrs_F";"ECA Qtrs G",#N/A,TRUE,"ECA_Qtrs_G";"ECA SisterApt",#N/A,TRUE,"ECA_SisterApt";"ECA Nurses",#N/A,TRUE,"ECA_NursesHostel"}</definedName>
    <definedName name="LLLL" hidden="1">{"ECA Qtrs C",#N/A,TRUE,"ECA_Qtrs_C";"ECA Qtrs D",#N/A,TRUE,"ECA_Qtrs_D";"ECA Qtrs F",#N/A,TRUE,"ECA_Qtrs_F";"ECA Qtrs G",#N/A,TRUE,"ECA_Qtrs_G";"ECA SisterApt",#N/A,TRUE,"ECA_SisterApt";"ECA Nurses",#N/A,TRUE,"ECA_NursesHostel"}</definedName>
    <definedName name="LLLLLLL" localSheetId="1" hidden="1">#REF!</definedName>
    <definedName name="LLLLLLL" hidden="1">#REF!</definedName>
    <definedName name="LLL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localSheetId="1" hidden="1">{#N/A,#N/A,FALSE,"CCTV"}</definedName>
    <definedName name="loan" localSheetId="2" hidden="1">{#N/A,#N/A,FALSE,"CCTV"}</definedName>
    <definedName name="loan" localSheetId="8" hidden="1">{#N/A,#N/A,FALSE,"CCTV"}</definedName>
    <definedName name="loan" hidden="1">{#N/A,#N/A,FALSE,"CCTV"}</definedName>
    <definedName name="LOCO" localSheetId="1" hidden="1">{"'Sheet1'!$L$16"}</definedName>
    <definedName name="LOCO" localSheetId="2" hidden="1">{"'Sheet1'!$L$16"}</definedName>
    <definedName name="LOCO" localSheetId="8" hidden="1">{"'Sheet1'!$L$16"}</definedName>
    <definedName name="LOCO" hidden="1">{"'Sheet1'!$L$16"}</definedName>
    <definedName name="LOCO2" localSheetId="1" hidden="1">{"'Sheet1'!$L$16"}</definedName>
    <definedName name="LOCO2" localSheetId="2" hidden="1">{"'Sheet1'!$L$16"}</definedName>
    <definedName name="LOCO2" localSheetId="8" hidden="1">{"'Sheet1'!$L$16"}</definedName>
    <definedName name="LOCO2" hidden="1">{"'Sheet1'!$L$16"}</definedName>
    <definedName name="LOD">120</definedName>
    <definedName name="LOIOP" hidden="1">#REF!</definedName>
    <definedName name="lon" localSheetId="1" hidden="1">{"'Sheet1'!$L$16"}</definedName>
    <definedName name="lon" localSheetId="2" hidden="1">{"'Sheet1'!$L$16"}</definedName>
    <definedName name="lon" localSheetId="8" hidden="1">{"'Sheet1'!$L$16"}</definedName>
    <definedName name="lon" hidden="1">{"'Sheet1'!$L$16"}</definedName>
    <definedName name="lontrau" localSheetId="1" hidden="1">{"'Sheet1'!$L$16"}</definedName>
    <definedName name="lontrau" localSheetId="2" hidden="1">{"'Sheet1'!$L$16"}</definedName>
    <definedName name="lontrau" localSheetId="8" hidden="1">{"'Sheet1'!$L$16"}</definedName>
    <definedName name="lontrau" hidden="1">{"'Sheet1'!$L$16"}</definedName>
    <definedName name="Long" localSheetId="1" hidden="1">{"'Sheet1'!$L$16"}</definedName>
    <definedName name="Long" localSheetId="2" hidden="1">{"'Sheet1'!$L$16"}</definedName>
    <definedName name="Long" localSheetId="8" hidden="1">{"'Sheet1'!$L$16"}</definedName>
    <definedName name="Long" hidden="1">{"'Sheet1'!$L$16"}</definedName>
    <definedName name="lop" localSheetId="1" hidden="1">{#N/A,#N/A,FALSE,"特殊室（ＢＱ表）"}</definedName>
    <definedName name="lop" localSheetId="2" hidden="1">{#N/A,#N/A,FALSE,"特殊室（ＢＱ表）"}</definedName>
    <definedName name="lop" localSheetId="8" hidden="1">{#N/A,#N/A,FALSE,"特殊室（ＢＱ表）"}</definedName>
    <definedName name="lop" hidden="1">{#N/A,#N/A,FALSE,"特殊室（ＢＱ表）"}</definedName>
    <definedName name="lop." localSheetId="1" hidden="1">{#N/A,#N/A,FALSE,"特殊室（ＢＱ表）"}</definedName>
    <definedName name="lop." localSheetId="2" hidden="1">{#N/A,#N/A,FALSE,"特殊室（ＢＱ表）"}</definedName>
    <definedName name="lop." localSheetId="8" hidden="1">{#N/A,#N/A,FALSE,"特殊室（ＢＱ表）"}</definedName>
    <definedName name="lop." hidden="1">{#N/A,#N/A,FALSE,"特殊室（ＢＱ表）"}</definedName>
    <definedName name="lt" hidden="1">#REF!</definedName>
    <definedName name="LTrai" hidden="1">#REF!</definedName>
    <definedName name="lu" localSheetId="1" hidden="1">#REF!</definedName>
    <definedName name="lu" hidden="1">#REF!</definedName>
    <definedName name="luan" localSheetId="1" hidden="1">{"'Sheet1'!$L$16"}</definedName>
    <definedName name="luan" localSheetId="2" hidden="1">{"'Sheet1'!$L$16"}</definedName>
    <definedName name="luan" localSheetId="8" hidden="1">{"'Sheet1'!$L$16"}</definedName>
    <definedName name="luan" hidden="1">{"'Sheet1'!$L$16"}</definedName>
    <definedName name="luc" hidden="1">#REF!</definedName>
    <definedName name="luong" localSheetId="1" hidden="1">{"'Sheet1'!$L$16"}</definedName>
    <definedName name="luong" localSheetId="2" hidden="1">{"'Sheet1'!$L$16"}</definedName>
    <definedName name="luong" localSheetId="8" hidden="1">{"'Sheet1'!$L$16"}</definedName>
    <definedName name="luong" hidden="1">{"'Sheet1'!$L$16"}</definedName>
    <definedName name="luyÕn" localSheetId="1" hidden="1">{"'Sheet1'!$L$16"}</definedName>
    <definedName name="luyÕn" localSheetId="2" hidden="1">{"'Sheet1'!$L$16"}</definedName>
    <definedName name="luyÕn" localSheetId="8" hidden="1">{"'Sheet1'!$L$16"}</definedName>
    <definedName name="luyÕn" hidden="1">{"'Sheet1'!$L$16"}</definedName>
    <definedName name="m">10^6</definedName>
    <definedName name="M10." localSheetId="1" hidden="1">{"'Sheet1'!$L$16"}</definedName>
    <definedName name="M10." localSheetId="2" hidden="1">{"'Sheet1'!$L$16"}</definedName>
    <definedName name="M10." localSheetId="8" hidden="1">{"'Sheet1'!$L$16"}</definedName>
    <definedName name="M10." hidden="1">{"'Sheet1'!$L$16"}</definedName>
    <definedName name="Machinary"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1" hidden="1">{#N/A,#N/A,FALSE,"估價單  (3)"}</definedName>
    <definedName name="mahe" localSheetId="2" hidden="1">{#N/A,#N/A,FALSE,"估價單  (3)"}</definedName>
    <definedName name="mahe" localSheetId="8" hidden="1">{#N/A,#N/A,FALSE,"估價單  (3)"}</definedName>
    <definedName name="mahe" hidden="1">{#N/A,#N/A,FALSE,"估價單  (3)"}</definedName>
    <definedName name="Mai" localSheetId="1" hidden="1">{"'Sheet1'!$L$16"}</definedName>
    <definedName name="Mai" localSheetId="2" hidden="1">{"'Sheet1'!$L$16"}</definedName>
    <definedName name="Mai" localSheetId="8" hidden="1">{"'Sheet1'!$L$16"}</definedName>
    <definedName name="Mai" hidden="1">{"'Sheet1'!$L$16"}</definedName>
    <definedName name="mainu" localSheetId="1" hidden="1">{"'ROOF'!$B$6","'ROOF'!$B$6","'ROOF'!$B$6","'ROOF'!$B$6"}</definedName>
    <definedName name="mainu" localSheetId="2" hidden="1">{"'ROOF'!$B$6","'ROOF'!$B$6","'ROOF'!$B$6","'ROOF'!$B$6"}</definedName>
    <definedName name="mainu" localSheetId="8" hidden="1">{"'ROOF'!$B$6","'ROOF'!$B$6","'ROOF'!$B$6","'ROOF'!$B$6"}</definedName>
    <definedName name="mainu" hidden="1">{"'ROOF'!$B$6","'ROOF'!$B$6","'ROOF'!$B$6","'ROOF'!$B$6"}</definedName>
    <definedName name="MAITAI.11.MARCH08" localSheetId="1" hidden="1">{"'Sheet1'!$L$16"}</definedName>
    <definedName name="MAITAI.11.MARCH08" localSheetId="2" hidden="1">{"'Sheet1'!$L$16"}</definedName>
    <definedName name="MAITAI.11.MARCH08" localSheetId="8" hidden="1">{"'Sheet1'!$L$16"}</definedName>
    <definedName name="MAITAI.11.MARCH08" hidden="1">{"'Sheet1'!$L$16"}</definedName>
    <definedName name="man" localSheetId="1" hidden="1">{"Total Indirect Manpower",#N/A,FALSE,"J";"Total Direct Manpower",#N/A,FALSE,"J";"Direct Structural Manpower",#N/A,FALSE,"J";"Direct Mechanical Manpower",#N/A,FALSE,"J";"Direct Piping Manpower",#N/A,FALSE,"J";"Direct Tanks Manpower",#N/A,FALSE,"J";"Direct ElecInstrSS Manpower",#N/A,FALSE,"J"}</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n" localSheetId="8" hidden="1">{"Total Indirect Manpower",#N/A,FALSE,"J";"Total Direct Manpower",#N/A,FALSE,"J";"Direct Structural Manpower",#N/A,FALSE,"J";"Direct Mechanical Manpower",#N/A,FALSE,"J";"Direct Piping Manpower",#N/A,FALSE,"J";"Direct Tanks Manpower",#N/A,FALSE,"J";"Direct ElecInstrSS Manpower",#N/A,FALSE,"J"}</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localSheetId="1" hidden="1">{#N/A,#N/A,FALSE,"MARCH"}</definedName>
    <definedName name="MAR" localSheetId="2" hidden="1">{#N/A,#N/A,FALSE,"MARCH"}</definedName>
    <definedName name="MAR" localSheetId="8" hidden="1">{#N/A,#N/A,FALSE,"MARCH"}</definedName>
    <definedName name="MAR" hidden="1">{#N/A,#N/A,FALSE,"MARCH"}</definedName>
    <definedName name="Masonry" localSheetId="1" hidden="1">{#N/A,#N/A,FALSE,"Tabelle2";#N/A,#N/A,FALSE,"Tabelle1"}</definedName>
    <definedName name="Masonry" localSheetId="2" hidden="1">{#N/A,#N/A,FALSE,"Tabelle2";#N/A,#N/A,FALSE,"Tabelle1"}</definedName>
    <definedName name="Masonry" localSheetId="8" hidden="1">{#N/A,#N/A,FALSE,"Tabelle2";#N/A,#N/A,FALSE,"Tabelle1"}</definedName>
    <definedName name="Masonry" hidden="1">{#N/A,#N/A,FALSE,"Tabelle2";#N/A,#N/A,FALSE,"Tabelle1"}</definedName>
    <definedName name="mass">#REF!</definedName>
    <definedName name="mat.spare" localSheetId="1" hidden="1">{"'ELEC'!$A$2:$H$216","'ELEC'!$C$2:$D$2"}</definedName>
    <definedName name="mat.spare" localSheetId="2" hidden="1">{"'ELEC'!$A$2:$H$216","'ELEC'!$C$2:$D$2"}</definedName>
    <definedName name="mat.spare" localSheetId="8" hidden="1">{"'ELEC'!$A$2:$H$216","'ELEC'!$C$2:$D$2"}</definedName>
    <definedName name="mat.spare" hidden="1">{"'ELEC'!$A$2:$H$216","'ELEC'!$C$2:$D$2"}</definedName>
    <definedName name="MAU" localSheetId="1" hidden="1">{"'Sheet1'!$L$16"}</definedName>
    <definedName name="MAU" localSheetId="2" hidden="1">{"'Sheet1'!$L$16"}</definedName>
    <definedName name="MAU" localSheetId="8" hidden="1">{"'Sheet1'!$L$16"}</definedName>
    <definedName name="MAU" hidden="1">{"'Sheet1'!$L$16"}</definedName>
    <definedName name="May" localSheetId="1" hidden="1">{#N/A,#N/A,FALSE,"MARCH"}</definedName>
    <definedName name="May" localSheetId="2" hidden="1">{#N/A,#N/A,FALSE,"MARCH"}</definedName>
    <definedName name="May" localSheetId="8" hidden="1">{#N/A,#N/A,FALSE,"MARCH"}</definedName>
    <definedName name="May" hidden="1">{#N/A,#N/A,FALSE,"MARCH"}</definedName>
    <definedName name="MBM" localSheetId="1" hidden="1">{#N/A,#N/A,FALSE,"特殊室（ＢＱ表）"}</definedName>
    <definedName name="mbm" localSheetId="2" hidden="1">{"'Sheet1'!$L$16"}</definedName>
    <definedName name="mbm" localSheetId="8" hidden="1">{"'Sheet1'!$L$16"}</definedName>
    <definedName name="mbm" hidden="1">{"'Sheet1'!$L$16"}</definedName>
    <definedName name="mbnbnb"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1" hidden="1">{#N/A,#N/A,FALSE,"CCTV"}</definedName>
    <definedName name="mccb" localSheetId="2" hidden="1">{#N/A,#N/A,FALSE,"CCTV"}</definedName>
    <definedName name="mccb" localSheetId="8" hidden="1">{#N/A,#N/A,FALSE,"CCTV"}</definedName>
    <definedName name="mccb" hidden="1">{#N/A,#N/A,FALSE,"CCTV"}</definedName>
    <definedName name="MCCO" localSheetId="1" hidden="1">{#N/A,#N/A,FALSE,"CCTV"}</definedName>
    <definedName name="MCCO" localSheetId="2" hidden="1">{#N/A,#N/A,FALSE,"CCTV"}</definedName>
    <definedName name="MCCO" localSheetId="8" hidden="1">{#N/A,#N/A,FALSE,"CCTV"}</definedName>
    <definedName name="MCCO" hidden="1">{#N/A,#N/A,FALSE,"CCTV"}</definedName>
    <definedName name="MCCO10" localSheetId="1" hidden="1">{#N/A,#N/A,FALSE,"CCTV"}</definedName>
    <definedName name="MCCO10" localSheetId="2" hidden="1">{#N/A,#N/A,FALSE,"CCTV"}</definedName>
    <definedName name="MCCO10" localSheetId="8" hidden="1">{#N/A,#N/A,FALSE,"CCTV"}</definedName>
    <definedName name="MCCO10" hidden="1">{#N/A,#N/A,FALSE,"CCTV"}</definedName>
    <definedName name="MCCO11" localSheetId="1" hidden="1">{#N/A,#N/A,FALSE,"CCTV"}</definedName>
    <definedName name="MCCO11" localSheetId="2" hidden="1">{#N/A,#N/A,FALSE,"CCTV"}</definedName>
    <definedName name="MCCO11" localSheetId="8" hidden="1">{#N/A,#N/A,FALSE,"CCTV"}</definedName>
    <definedName name="MCCO11" hidden="1">{#N/A,#N/A,FALSE,"CCTV"}</definedName>
    <definedName name="MCCO12" localSheetId="1" hidden="1">{#N/A,#N/A,FALSE,"CCTV"}</definedName>
    <definedName name="MCCO12" localSheetId="2" hidden="1">{#N/A,#N/A,FALSE,"CCTV"}</definedName>
    <definedName name="MCCO12" localSheetId="8" hidden="1">{#N/A,#N/A,FALSE,"CCTV"}</definedName>
    <definedName name="MCCO12" hidden="1">{#N/A,#N/A,FALSE,"CCTV"}</definedName>
    <definedName name="MCCO13" localSheetId="1" hidden="1">{#N/A,#N/A,FALSE,"CCTV"}</definedName>
    <definedName name="MCCO13" localSheetId="2" hidden="1">{#N/A,#N/A,FALSE,"CCTV"}</definedName>
    <definedName name="MCCO13" localSheetId="8" hidden="1">{#N/A,#N/A,FALSE,"CCTV"}</definedName>
    <definedName name="MCCO13" hidden="1">{#N/A,#N/A,FALSE,"CCTV"}</definedName>
    <definedName name="MCCO3" localSheetId="1" hidden="1">{#N/A,#N/A,FALSE,"CCTV"}</definedName>
    <definedName name="MCCO3" localSheetId="2" hidden="1">{#N/A,#N/A,FALSE,"CCTV"}</definedName>
    <definedName name="MCCO3" localSheetId="8" hidden="1">{#N/A,#N/A,FALSE,"CCTV"}</definedName>
    <definedName name="MCCO3" hidden="1">{#N/A,#N/A,FALSE,"CCTV"}</definedName>
    <definedName name="MCCO4" localSheetId="1" hidden="1">{#N/A,#N/A,FALSE,"CCTV"}</definedName>
    <definedName name="MCCO4" localSheetId="2" hidden="1">{#N/A,#N/A,FALSE,"CCTV"}</definedName>
    <definedName name="MCCO4" localSheetId="8" hidden="1">{#N/A,#N/A,FALSE,"CCTV"}</definedName>
    <definedName name="MCCO4" hidden="1">{#N/A,#N/A,FALSE,"CCTV"}</definedName>
    <definedName name="MCCO5" localSheetId="1" hidden="1">{#N/A,#N/A,FALSE,"CCTV"}</definedName>
    <definedName name="MCCO5" localSheetId="2" hidden="1">{#N/A,#N/A,FALSE,"CCTV"}</definedName>
    <definedName name="MCCO5" localSheetId="8" hidden="1">{#N/A,#N/A,FALSE,"CCTV"}</definedName>
    <definedName name="MCCO5" hidden="1">{#N/A,#N/A,FALSE,"CCTV"}</definedName>
    <definedName name="MCCO6" localSheetId="1" hidden="1">{#N/A,#N/A,FALSE,"CCTV"}</definedName>
    <definedName name="MCCO6" localSheetId="2" hidden="1">{#N/A,#N/A,FALSE,"CCTV"}</definedName>
    <definedName name="MCCO6" localSheetId="8" hidden="1">{#N/A,#N/A,FALSE,"CCTV"}</definedName>
    <definedName name="MCCO6" hidden="1">{#N/A,#N/A,FALSE,"CCTV"}</definedName>
    <definedName name="MCCO7" localSheetId="1" hidden="1">{#N/A,#N/A,FALSE,"CCTV"}</definedName>
    <definedName name="MCCO7" localSheetId="2" hidden="1">{#N/A,#N/A,FALSE,"CCTV"}</definedName>
    <definedName name="MCCO7" localSheetId="8" hidden="1">{#N/A,#N/A,FALSE,"CCTV"}</definedName>
    <definedName name="MCCO7" hidden="1">{#N/A,#N/A,FALSE,"CCTV"}</definedName>
    <definedName name="MCCO8" localSheetId="1" hidden="1">{#N/A,#N/A,FALSE,"CCTV"}</definedName>
    <definedName name="MCCO8" localSheetId="2" hidden="1">{#N/A,#N/A,FALSE,"CCTV"}</definedName>
    <definedName name="MCCO8" localSheetId="8" hidden="1">{#N/A,#N/A,FALSE,"CCTV"}</definedName>
    <definedName name="MCCO8" hidden="1">{#N/A,#N/A,FALSE,"CCTV"}</definedName>
    <definedName name="MCCO9" localSheetId="1" hidden="1">{#N/A,#N/A,FALSE,"CCTV"}</definedName>
    <definedName name="MCCO9" localSheetId="2" hidden="1">{#N/A,#N/A,FALSE,"CCTV"}</definedName>
    <definedName name="MCCO9" localSheetId="8" hidden="1">{#N/A,#N/A,FALSE,"CCTV"}</definedName>
    <definedName name="MCCO9" hidden="1">{#N/A,#N/A,FALSE,"CCTV"}</definedName>
    <definedName name="MCCOÙ" localSheetId="1" hidden="1">{#N/A,#N/A,FALSE,"CCTV"}</definedName>
    <definedName name="MCCOÙ" localSheetId="2" hidden="1">{#N/A,#N/A,FALSE,"CCTV"}</definedName>
    <definedName name="MCCOÙ" localSheetId="8" hidden="1">{#N/A,#N/A,FALSE,"CCTV"}</definedName>
    <definedName name="MCCOÙ" hidden="1">{#N/A,#N/A,FALSE,"CCTV"}</definedName>
    <definedName name="mck" localSheetId="1" hidden="1">{#N/A,#N/A,FALSE,"Chi tiÆt"}</definedName>
    <definedName name="mck" localSheetId="2" hidden="1">{#N/A,#N/A,FALSE,"Chi tiÆt"}</definedName>
    <definedName name="mck" localSheetId="8" hidden="1">{#N/A,#N/A,FALSE,"Chi tiÆt"}</definedName>
    <definedName name="mck" hidden="1">{#N/A,#N/A,FALSE,"Chi tiÆt"}</definedName>
    <definedName name="MData">#REF!</definedName>
    <definedName name="MDD">#REF!</definedName>
    <definedName name="Mech" localSheetId="1" hidden="1">#REF!</definedName>
    <definedName name="Mech" hidden="1">#REF!</definedName>
    <definedName name="MFGND" localSheetId="1" hidden="1">{"'Sheet1'!$L$16"}</definedName>
    <definedName name="MFGND" localSheetId="2" hidden="1">{"'Sheet1'!$L$16"}</definedName>
    <definedName name="MFGND" localSheetId="8" hidden="1">{"'Sheet1'!$L$16"}</definedName>
    <definedName name="MFGND" hidden="1">{"'Sheet1'!$L$16"}</definedName>
    <definedName name="MFHMFGNG" localSheetId="1" hidden="1">{"'Sheet1'!$L$16"}</definedName>
    <definedName name="MFHMFGNG" localSheetId="2" hidden="1">{"'Sheet1'!$L$16"}</definedName>
    <definedName name="MFHMFGNG" localSheetId="8" hidden="1">{"'Sheet1'!$L$16"}</definedName>
    <definedName name="MFHMFGNG" hidden="1">{"'Sheet1'!$L$16"}</definedName>
    <definedName name="MGB" localSheetId="1" hidden="1">{#N/A,#N/A,FALSE,"特殊室（ＢＱ表）"}</definedName>
    <definedName name="MGB" localSheetId="2" hidden="1">{#N/A,#N/A,FALSE,"特殊室（ＢＱ表）"}</definedName>
    <definedName name="MGB" localSheetId="8" hidden="1">{#N/A,#N/A,FALSE,"特殊室（ＢＱ表）"}</definedName>
    <definedName name="MGB" hidden="1">{#N/A,#N/A,FALSE,"特殊室（ＢＱ表）"}</definedName>
    <definedName name="mh" localSheetId="1" hidden="1">{"'Sheet1'!$L$16"}</definedName>
    <definedName name="mh" localSheetId="2" hidden="1">{"'Sheet1'!$L$16"}</definedName>
    <definedName name="mh" localSheetId="8" hidden="1">{"'Sheet1'!$L$16"}</definedName>
    <definedName name="mh" hidden="1">{"'Sheet1'!$L$16"}</definedName>
    <definedName name="minh" localSheetId="1" hidden="1">{"'Sheet1'!$L$16"}</definedName>
    <definedName name="minh" localSheetId="2" hidden="1">{"'Sheet1'!$L$16"}</definedName>
    <definedName name="minh" localSheetId="8" hidden="1">{"'Sheet1'!$L$16"}</definedName>
    <definedName name="minh" hidden="1">{"'Sheet1'!$L$16"}</definedName>
    <definedName name="MItem">#REF!</definedName>
    <definedName name="mj" localSheetId="1" hidden="1">{#N/A,#N/A,FALSE,"표지"}</definedName>
    <definedName name="mj" localSheetId="2" hidden="1">{#N/A,#N/A,FALSE,"표지"}</definedName>
    <definedName name="mj" localSheetId="8" hidden="1">{#N/A,#N/A,FALSE,"표지"}</definedName>
    <definedName name="mj" hidden="1">{#N/A,#N/A,FALSE,"표지"}</definedName>
    <definedName name="mm" localSheetId="1">{"Book1","BoQ2.XLS"}</definedName>
    <definedName name="mm" localSheetId="2">{"Book1","BoQ2.XLS"}</definedName>
    <definedName name="mm" localSheetId="8">{"Book1","BoQ2.XLS"}</definedName>
    <definedName name="mm">{"Book1","BoQ2.XLS"}</definedName>
    <definedName name="MMaterial">#REF!</definedName>
    <definedName name="mmlj" localSheetId="1" hidden="1">{0}</definedName>
    <definedName name="mmlj" localSheetId="2" hidden="1">{0}</definedName>
    <definedName name="mmlj" localSheetId="8" hidden="1">{0}</definedName>
    <definedName name="mmlj" hidden="1">{0}</definedName>
    <definedName name="MMM" localSheetId="1" hidden="1">{"'Sheet1'!$L$16"}</definedName>
    <definedName name="mmm" localSheetId="2" hidden="1">{"'Sheet1'!$L$16"}</definedName>
    <definedName name="mmm" localSheetId="8" hidden="1">{"'Sheet1'!$L$16"}</definedName>
    <definedName name="mmm" hidden="1">{"'Sheet1'!$L$16"}</definedName>
    <definedName name="MMMM" localSheetId="1" hidden="1">{"'Sheet1'!$L$16"}</definedName>
    <definedName name="MMMM" localSheetId="2" hidden="1">{"'Sheet1'!$L$16"}</definedName>
    <definedName name="MMMM" localSheetId="8" hidden="1">{"'Sheet1'!$L$16"}</definedName>
    <definedName name="MMMM" hidden="1">{"'Sheet1'!$L$16"}</definedName>
    <definedName name="mmmmmmmm" localSheetId="1" hidden="1">{"'Sheet1'!$L$16"}</definedName>
    <definedName name="mmmmmmmm" localSheetId="2" hidden="1">{"'Sheet1'!$L$16"}</definedName>
    <definedName name="mmmmmmmm" localSheetId="8" hidden="1">{"'Sheet1'!$L$16"}</definedName>
    <definedName name="mmmmmmmm" hidden="1">{"'Sheet1'!$L$16"}</definedName>
    <definedName name="MNB" localSheetId="1" hidden="1">{#N/A,#N/A,FALSE,"特殊室（ＢＱ表）"}</definedName>
    <definedName name="MNB" localSheetId="2" hidden="1">{#N/A,#N/A,FALSE,"特殊室（ＢＱ表）"}</definedName>
    <definedName name="MNB" localSheetId="8" hidden="1">{#N/A,#N/A,FALSE,"特殊室（ＢＱ表）"}</definedName>
    <definedName name="MNB" hidden="1">{#N/A,#N/A,FALSE,"特殊室（ＢＱ表）"}</definedName>
    <definedName name="mnjjhkj" localSheetId="1" hidden="1">{#N/A,#N/A,FALSE,"Chi tiÆt"}</definedName>
    <definedName name="mnjjhkj" localSheetId="2" hidden="1">{#N/A,#N/A,FALSE,"Chi tiÆt"}</definedName>
    <definedName name="mnjjhkj" localSheetId="8" hidden="1">{#N/A,#N/A,FALSE,"Chi tiÆt"}</definedName>
    <definedName name="mnjjhkj" hidden="1">{#N/A,#N/A,FALSE,"Chi tiÆt"}</definedName>
    <definedName name="mo" localSheetId="1" hidden="1">{"'Sheet1'!$L$16"}</definedName>
    <definedName name="mo" localSheetId="2" hidden="1">{"'Sheet1'!$L$16"}</definedName>
    <definedName name="mo" localSheetId="8" hidden="1">{"'Sheet1'!$L$16"}</definedName>
    <definedName name="mo" hidden="1">{"'Sheet1'!$L$16"}</definedName>
    <definedName name="moi" localSheetId="1" hidden="1">{"'Sheet1'!$L$16"}</definedName>
    <definedName name="moi" localSheetId="2" hidden="1">{"'Sheet1'!$L$16"}</definedName>
    <definedName name="moi" localSheetId="8" hidden="1">{"'Sheet1'!$L$16"}</definedName>
    <definedName name="moi" hidden="1">{"'Sheet1'!$L$16"}</definedName>
    <definedName name="mot" localSheetId="1" hidden="1">{"'Sheet1'!$L$16"}</definedName>
    <definedName name="mot" localSheetId="2" hidden="1">{"'Sheet1'!$L$16"}</definedName>
    <definedName name="mot" localSheetId="8"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localSheetId="1" hidden="1">{#N/A,#N/A,FALSE,"CCTV"}</definedName>
    <definedName name="MP" localSheetId="2" hidden="1">{#N/A,#N/A,FALSE,"CCTV"}</definedName>
    <definedName name="MP" localSheetId="8" hidden="1">{#N/A,#N/A,FALSE,"CCTV"}</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localSheetId="1" hidden="1">{"'Sheet1'!$L$16"}</definedName>
    <definedName name="MTYMYTMY" localSheetId="2" hidden="1">{"'Sheet1'!$L$16"}</definedName>
    <definedName name="MTYMYTMY" localSheetId="8" hidden="1">{"'Sheet1'!$L$16"}</definedName>
    <definedName name="MTYMYTMY" hidden="1">{"'Sheet1'!$L$16"}</definedName>
    <definedName name="MucDauTu" hidden="1">#REF!</definedName>
    <definedName name="MV" localSheetId="1" hidden="1">{#N/A,#N/A,FALSE,"Sheet1";#N/A,#N/A,FALSE,"Sheet3";#N/A,#N/A,FALSE,"Sheet5"}</definedName>
    <definedName name="MV" localSheetId="2" hidden="1">{#N/A,#N/A,FALSE,"Sheet1";#N/A,#N/A,FALSE,"Sheet3";#N/A,#N/A,FALSE,"Sheet5"}</definedName>
    <definedName name="MV" localSheetId="8" hidden="1">{#N/A,#N/A,FALSE,"Sheet1";#N/A,#N/A,FALSE,"Sheet3";#N/A,#N/A,FALSE,"Sheet5"}</definedName>
    <definedName name="MV" hidden="1">{#N/A,#N/A,FALSE,"Sheet1";#N/A,#N/A,FALSE,"Sheet3";#N/A,#N/A,FALSE,"Sheet5"}</definedName>
    <definedName name="mvac" localSheetId="1" hidden="1">{"'Sheet1'!$L$16"}</definedName>
    <definedName name="mvac" localSheetId="2" hidden="1">{"'Sheet1'!$L$16"}</definedName>
    <definedName name="mvac" localSheetId="8" hidden="1">{"'Sheet1'!$L$16"}</definedName>
    <definedName name="mvac" hidden="1">{"'Sheet1'!$L$16"}</definedName>
    <definedName name="MyBC">"44 NK 4001"</definedName>
    <definedName name="myclient">"UNILEVER"</definedName>
    <definedName name="mylocation">"Ho Chi Minh City,VIETNAM"</definedName>
    <definedName name="n" localSheetId="1" hidden="1">#REF!</definedName>
    <definedName name="n" hidden="1">#REF!</definedName>
    <definedName name="Na" localSheetId="1" hidden="1">{"'Sheet1'!$L$16"}</definedName>
    <definedName name="Na" localSheetId="2" hidden="1">{"'Sheet1'!$L$16"}</definedName>
    <definedName name="Na" localSheetId="8" hidden="1">{"'Sheet1'!$L$16"}</definedName>
    <definedName name="Na" hidden="1">{"'Sheet1'!$L$16"}</definedName>
    <definedName name="nam" localSheetId="1" hidden="1">{"'Sheet1'!$L$16"}</definedName>
    <definedName name="nam" localSheetId="2" hidden="1">{"'Sheet1'!$L$16"}</definedName>
    <definedName name="nam" localSheetId="8" hidden="1">{"'Sheet1'!$L$16"}</definedName>
    <definedName name="nam" hidden="1">{"'Sheet1'!$L$16"}</definedName>
    <definedName name="NAME" localSheetId="1" hidden="1">{#N/A,#N/A,TRUE,"SUM";#N/A,#N/A,TRUE,"EE";#N/A,#N/A,TRUE,"AC";#N/A,#N/A,TRUE,"SN"}</definedName>
    <definedName name="NAME" localSheetId="2" hidden="1">{#N/A,#N/A,TRUE,"SUM";#N/A,#N/A,TRUE,"EE";#N/A,#N/A,TRUE,"AC";#N/A,#N/A,TRUE,"SN"}</definedName>
    <definedName name="NAME" localSheetId="8" hidden="1">{#N/A,#N/A,TRUE,"SUM";#N/A,#N/A,TRUE,"EE";#N/A,#N/A,TRUE,"AC";#N/A,#N/A,TRUE,"SN"}</definedName>
    <definedName name="NAME" hidden="1">{#N/A,#N/A,TRUE,"SUM";#N/A,#N/A,TRUE,"EE";#N/A,#N/A,TRUE,"AC";#N/A,#N/A,TRUE,"SN"}</definedName>
    <definedName name="nandan"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localSheetId="1" hidden="1">#REF!</definedName>
    <definedName name="NB" hidden="1">#REF!</definedName>
    <definedName name="nbc" localSheetId="1" hidden="1">{"'Sheet1'!$L$16"}</definedName>
    <definedName name="nbc" localSheetId="2" hidden="1">{"'Sheet1'!$L$16"}</definedName>
    <definedName name="nbc" localSheetId="8" hidden="1">{"'Sheet1'!$L$16"}</definedName>
    <definedName name="nbc" hidden="1">{"'Sheet1'!$L$16"}</definedName>
    <definedName name="nbfđ" localSheetId="1" hidden="1">{"'Sheet1'!$L$16"}</definedName>
    <definedName name="nbfđ" localSheetId="2" hidden="1">{"'Sheet1'!$L$16"}</definedName>
    <definedName name="nbfđ" localSheetId="8" hidden="1">{"'Sheet1'!$L$16"}</definedName>
    <definedName name="nbfđ" hidden="1">{"'Sheet1'!$L$16"}</definedName>
    <definedName name="NC">#REF!</definedName>
    <definedName name="NCga" localSheetId="1" hidden="1">{"'Sheet1'!$L$16"}</definedName>
    <definedName name="NCga" localSheetId="2" hidden="1">{"'Sheet1'!$L$16"}</definedName>
    <definedName name="NCga" localSheetId="8" hidden="1">{"'Sheet1'!$L$16"}</definedName>
    <definedName name="NCga" hidden="1">{"'Sheet1'!$L$16"}</definedName>
    <definedName name="NCVBXVCB" localSheetId="1" hidden="1">{"'Sheet1'!$L$16"}</definedName>
    <definedName name="NCVBXVCB" localSheetId="2" hidden="1">{"'Sheet1'!$L$16"}</definedName>
    <definedName name="NCVBXVCB" localSheetId="8" hidden="1">{"'Sheet1'!$L$16"}</definedName>
    <definedName name="NCVBXVCB" hidden="1">{"'Sheet1'!$L$16"}</definedName>
    <definedName name="NDFNDF" localSheetId="1" hidden="1">{"'Sheet1'!$L$16"}</definedName>
    <definedName name="NDFNDF" localSheetId="2" hidden="1">{"'Sheet1'!$L$16"}</definedName>
    <definedName name="NDFNDF" localSheetId="8" hidden="1">{"'Sheet1'!$L$16"}</definedName>
    <definedName name="NDFNDF" hidden="1">{"'Sheet1'!$L$16"}</definedName>
    <definedName name="NDFNDFB" localSheetId="1" hidden="1">{"'Sheet1'!$L$16"}</definedName>
    <definedName name="NDFNDFB" localSheetId="2" hidden="1">{"'Sheet1'!$L$16"}</definedName>
    <definedName name="NDFNDFB" localSheetId="8" hidden="1">{"'Sheet1'!$L$16"}</definedName>
    <definedName name="NDFNDFB" hidden="1">{"'Sheet1'!$L$16"}</definedName>
    <definedName name="NDFNDN" localSheetId="1" hidden="1">{"'Sheet1'!$L$16"}</definedName>
    <definedName name="NDFNDN" localSheetId="2" hidden="1">{"'Sheet1'!$L$16"}</definedName>
    <definedName name="NDFNDN" localSheetId="8" hidden="1">{"'Sheet1'!$L$16"}</definedName>
    <definedName name="NDFNDN" hidden="1">{"'Sheet1'!$L$16"}</definedName>
    <definedName name="NDFNSF" localSheetId="1" hidden="1">{"'Sheet1'!$L$16"}</definedName>
    <definedName name="NDFNSF" localSheetId="2" hidden="1">{"'Sheet1'!$L$16"}</definedName>
    <definedName name="NDFNSF" localSheetId="8" hidden="1">{"'Sheet1'!$L$16"}</definedName>
    <definedName name="NDFNSF" hidden="1">{"'Sheet1'!$L$16"}</definedName>
    <definedName name="NDGFD" localSheetId="1" hidden="1">{"'Sheet1'!$L$16"}</definedName>
    <definedName name="NDGFD" localSheetId="2" hidden="1">{"'Sheet1'!$L$16"}</definedName>
    <definedName name="NDGFD" localSheetId="8" hidden="1">{"'Sheet1'!$L$16"}</definedName>
    <definedName name="NDGFD" hidden="1">{"'Sheet1'!$L$16"}</definedName>
    <definedName name="NDGNFGNG" localSheetId="1" hidden="1">{"'Sheet1'!$L$16"}</definedName>
    <definedName name="NDGNFGNG" localSheetId="2" hidden="1">{"'Sheet1'!$L$16"}</definedName>
    <definedName name="NDGNFGNG" localSheetId="8" hidden="1">{"'Sheet1'!$L$16"}</definedName>
    <definedName name="NDGNFGNG" hidden="1">{"'Sheet1'!$L$16"}</definedName>
    <definedName name="NDNSBS" localSheetId="1" hidden="1">{"'Sheet1'!$L$16"}</definedName>
    <definedName name="NDNSBS" localSheetId="2" hidden="1">{"'Sheet1'!$L$16"}</definedName>
    <definedName name="NDNSBS" localSheetId="8" hidden="1">{"'Sheet1'!$L$16"}</definedName>
    <definedName name="NDNSBS" hidden="1">{"'Sheet1'!$L$16"}</definedName>
    <definedName name="Ne" localSheetId="1" hidden="1">{"'Sheet1'!$L$16"}</definedName>
    <definedName name="Ne" localSheetId="2" hidden="1">{"'Sheet1'!$L$16"}</definedName>
    <definedName name="Ne" localSheetId="8" hidden="1">{"'Sheet1'!$L$16"}</definedName>
    <definedName name="Ne" hidden="1">{"'Sheet1'!$L$16"}</definedName>
    <definedName name="nego검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localSheetId="1" hidden="1">{#N/A,#N/A,FALSE,"Chi tiÆt"}</definedName>
    <definedName name="nepcua" localSheetId="2" hidden="1">{#N/A,#N/A,FALSE,"Chi tiÆt"}</definedName>
    <definedName name="nepcua" localSheetId="8" hidden="1">{#N/A,#N/A,FALSE,"Chi tiÆt"}</definedName>
    <definedName name="nepcua" hidden="1">{#N/A,#N/A,FALSE,"Chi tiÆt"}</definedName>
    <definedName name="ner" localSheetId="1" hidden="1">{"'Sheet1'!$L$16"}</definedName>
    <definedName name="ner" localSheetId="2" hidden="1">{"'Sheet1'!$L$16"}</definedName>
    <definedName name="ner" localSheetId="8" hidden="1">{"'Sheet1'!$L$16"}</definedName>
    <definedName name="ner" hidden="1">{"'Sheet1'!$L$16"}</definedName>
    <definedName name="NEW" localSheetId="1" hidden="1">{#N/A,#N/A,FALSE,"Chi tiÆt"}</definedName>
    <definedName name="NEW" localSheetId="2" hidden="1">{#N/A,#N/A,FALSE,"Chi tiÆt"}</definedName>
    <definedName name="NEW" localSheetId="8" hidden="1">{#N/A,#N/A,FALSE,"Chi tiÆt"}</definedName>
    <definedName name="NEW" hidden="1">{#N/A,#N/A,FALSE,"Chi tiÆt"}</definedName>
    <definedName name="NEWNAME" localSheetId="1" hidden="1">{#N/A,#N/A,FALSE,"CCTV"}</definedName>
    <definedName name="NEWNAME" localSheetId="2" hidden="1">{#N/A,#N/A,FALSE,"CCTV"}</definedName>
    <definedName name="NEWNAME" localSheetId="8" hidden="1">{#N/A,#N/A,FALSE,"CCTV"}</definedName>
    <definedName name="NEWNAME" hidden="1">{#N/A,#N/A,FALSE,"CCTV"}</definedName>
    <definedName name="NFDBDB" localSheetId="1" hidden="1">{"'Sheet1'!$L$16"}</definedName>
    <definedName name="NFDBDB" localSheetId="2" hidden="1">{"'Sheet1'!$L$16"}</definedName>
    <definedName name="NFDBDB" localSheetId="8" hidden="1">{"'Sheet1'!$L$16"}</definedName>
    <definedName name="NFDBDB" hidden="1">{"'Sheet1'!$L$16"}</definedName>
    <definedName name="NFDNDF" localSheetId="1" hidden="1">{"'Sheet1'!$L$16"}</definedName>
    <definedName name="NFDNDF" localSheetId="2" hidden="1">{"'Sheet1'!$L$16"}</definedName>
    <definedName name="NFDNDF" localSheetId="8" hidden="1">{"'Sheet1'!$L$16"}</definedName>
    <definedName name="NFDNDF" hidden="1">{"'Sheet1'!$L$16"}</definedName>
    <definedName name="NFGJH" localSheetId="1" hidden="1">{"'Sheet1'!$L$16"}</definedName>
    <definedName name="NFGJH" localSheetId="2" hidden="1">{"'Sheet1'!$L$16"}</definedName>
    <definedName name="NFGJH" localSheetId="8" hidden="1">{"'Sheet1'!$L$16"}</definedName>
    <definedName name="NFGJH" hidden="1">{"'Sheet1'!$L$16"}</definedName>
    <definedName name="NFGMGF" localSheetId="1" hidden="1">{"'Sheet1'!$L$16"}</definedName>
    <definedName name="NFGMGF" localSheetId="2" hidden="1">{"'Sheet1'!$L$16"}</definedName>
    <definedName name="NFGMGF" localSheetId="8" hidden="1">{"'Sheet1'!$L$16"}</definedName>
    <definedName name="NFGMGF" hidden="1">{"'Sheet1'!$L$16"}</definedName>
    <definedName name="NFGNDBDF" localSheetId="1" hidden="1">{"'Sheet1'!$L$16"}</definedName>
    <definedName name="NFGNDBDF" localSheetId="2" hidden="1">{"'Sheet1'!$L$16"}</definedName>
    <definedName name="NFGNDBDF" localSheetId="8" hidden="1">{"'Sheet1'!$L$16"}</definedName>
    <definedName name="NFGNDBDF" hidden="1">{"'Sheet1'!$L$16"}</definedName>
    <definedName name="NFHJYFF" localSheetId="1" hidden="1">{"'Sheet1'!$L$16"}</definedName>
    <definedName name="NFHJYFF" localSheetId="2" hidden="1">{"'Sheet1'!$L$16"}</definedName>
    <definedName name="NFHJYFF" localSheetId="8" hidden="1">{"'Sheet1'!$L$16"}</definedName>
    <definedName name="NFHJYFF" hidden="1">{"'Sheet1'!$L$16"}</definedName>
    <definedName name="NFNGFH" localSheetId="1" hidden="1">{"'Sheet1'!$L$16"}</definedName>
    <definedName name="NFNGFH" localSheetId="2" hidden="1">{"'Sheet1'!$L$16"}</definedName>
    <definedName name="NFNGFH" localSheetId="8" hidden="1">{"'Sheet1'!$L$16"}</definedName>
    <definedName name="NFNGFH" hidden="1">{"'Sheet1'!$L$16"}</definedName>
    <definedName name="NINH" localSheetId="1" hidden="1">#REF!</definedName>
    <definedName name="NINH" hidden="1">#REF!</definedName>
    <definedName name="nmhgnjm" localSheetId="1" hidden="1">#REF!</definedName>
    <definedName name="nmhgnjm" hidden="1">#REF!</definedName>
    <definedName name="nn" localSheetId="1">{"Book1","BoQ2.XLS"}</definedName>
    <definedName name="nn" localSheetId="2">{"Book1","BoQ2.XLS"}</definedName>
    <definedName name="nn" localSheetId="8">{"Book1","BoQ2.XLS"}</definedName>
    <definedName name="nn">{"Book1","BoQ2.XLS"}</definedName>
    <definedName name="nnn" localSheetId="1" hidden="1">{"'Sheet1'!$L$16"}</definedName>
    <definedName name="nnn" localSheetId="2" hidden="1">{"'Sheet1'!$L$16"}</definedName>
    <definedName name="nnn" localSheetId="8" hidden="1">{"'Sheet1'!$L$16"}</definedName>
    <definedName name="nnn" hidden="1">{"'Sheet1'!$L$16"}</definedName>
    <definedName name="nnnn" localSheetId="1" hidden="1">#REF!</definedName>
    <definedName name="nnnn" hidden="1">#REF!</definedName>
    <definedName name="nnnnn" localSheetId="1" hidden="1">{"'Sheet1'!$L$16"}</definedName>
    <definedName name="nnnnn" localSheetId="2" hidden="1">{"'Sheet1'!$L$16"}</definedName>
    <definedName name="nnnnn" localSheetId="8" hidden="1">{"'Sheet1'!$L$16"}</definedName>
    <definedName name="nnnnn" hidden="1">{"'Sheet1'!$L$16"}</definedName>
    <definedName name="NO" localSheetId="1" hidden="1">#REF!</definedName>
    <definedName name="NO" hidden="1">#REF!</definedName>
    <definedName name="No.10" localSheetId="1" hidden="1">{"'Sheet1'!$L$16"}</definedName>
    <definedName name="No.10" localSheetId="2" hidden="1">{"'Sheet1'!$L$16"}</definedName>
    <definedName name="No.10" localSheetId="8" hidden="1">{"'Sheet1'!$L$16"}</definedName>
    <definedName name="No.10" hidden="1">{"'Sheet1'!$L$16"}</definedName>
    <definedName name="No.9" localSheetId="1" hidden="1">{"'Sheet1'!$L$16"}</definedName>
    <definedName name="No.9" localSheetId="2" hidden="1">{"'Sheet1'!$L$16"}</definedName>
    <definedName name="No.9" localSheetId="8"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localSheetId="1" hidden="1">{"'Sheet1'!$L$16"}</definedName>
    <definedName name="NRBFD" localSheetId="2" hidden="1">{"'Sheet1'!$L$16"}</definedName>
    <definedName name="NRBFD" localSheetId="8" hidden="1">{"'Sheet1'!$L$16"}</definedName>
    <definedName name="NRBFD" hidden="1">{"'Sheet1'!$L$16"}</definedName>
    <definedName name="NRNRD" localSheetId="1" hidden="1">{"'Sheet1'!$L$16"}</definedName>
    <definedName name="NRNRD" localSheetId="2" hidden="1">{"'Sheet1'!$L$16"}</definedName>
    <definedName name="NRNRD" localSheetId="8" hidden="1">{"'Sheet1'!$L$16"}</definedName>
    <definedName name="NRNRD" hidden="1">{"'Sheet1'!$L$16"}</definedName>
    <definedName name="NT" localSheetId="1" hidden="1">{"'Sheet1'!$L$16"}</definedName>
    <definedName name="NT" localSheetId="2" hidden="1">{"'Sheet1'!$L$16"}</definedName>
    <definedName name="NT" localSheetId="8"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localSheetId="1" hidden="1">{"'Sheet1'!$L$16"}</definedName>
    <definedName name="nttn" localSheetId="2" hidden="1">{"'Sheet1'!$L$16"}</definedName>
    <definedName name="nttn" localSheetId="8" hidden="1">{"'Sheet1'!$L$16"}</definedName>
    <definedName name="nttn" hidden="1">{"'Sheet1'!$L$16"}</definedName>
    <definedName name="ntwrt" hidden="1">#REF!</definedName>
    <definedName name="NUOCHKHOAN" localSheetId="1" hidden="1">{"'Sheet1'!$L$16"}</definedName>
    <definedName name="NUOCHKHOAN" localSheetId="2" hidden="1">{"'Sheet1'!$L$16"}</definedName>
    <definedName name="NUOCHKHOAN" localSheetId="8" hidden="1">{"'Sheet1'!$L$16"}</definedName>
    <definedName name="NUOCHKHOAN" hidden="1">{"'Sheet1'!$L$16"}</definedName>
    <definedName name="NUOCHKHOANMOI" localSheetId="1" hidden="1">{"'Sheet1'!$L$16"}</definedName>
    <definedName name="NUOCHKHOANMOI" localSheetId="2" hidden="1">{"'Sheet1'!$L$16"}</definedName>
    <definedName name="NUOCHKHOANMOI" localSheetId="8" hidden="1">{"'Sheet1'!$L$16"}</definedName>
    <definedName name="NUOCHKHOANMOI" hidden="1">{"'Sheet1'!$L$16"}</definedName>
    <definedName name="NVCB" localSheetId="1" hidden="1">{"'Sheet1'!$L$16"}</definedName>
    <definedName name="NVCB" localSheetId="2" hidden="1">{"'Sheet1'!$L$16"}</definedName>
    <definedName name="NVCB" localSheetId="8" hidden="1">{"'Sheet1'!$L$16"}</definedName>
    <definedName name="NVCB" hidden="1">{"'Sheet1'!$L$16"}</definedName>
    <definedName name="ng" localSheetId="1" hidden="1">{"'Sheet1'!$L$16"}</definedName>
    <definedName name="ng" localSheetId="2" hidden="1">{"'Sheet1'!$L$16"}</definedName>
    <definedName name="ng" localSheetId="8" hidden="1">{"'Sheet1'!$L$16"}</definedName>
    <definedName name="ng" hidden="1">{"'Sheet1'!$L$16"}</definedName>
    <definedName name="ngfhg" hidden="1">#REF!</definedName>
    <definedName name="ngfmg" localSheetId="1" hidden="1">{#N/A,#N/A,FALSE,"Chi tiÆt"}</definedName>
    <definedName name="ngfmg" localSheetId="2" hidden="1">{#N/A,#N/A,FALSE,"Chi tiÆt"}</definedName>
    <definedName name="ngfmg" localSheetId="8" hidden="1">{#N/A,#N/A,FALSE,"Chi tiÆt"}</definedName>
    <definedName name="ngfmg" hidden="1">{#N/A,#N/A,FALSE,"Chi tiÆt"}</definedName>
    <definedName name="NGFN" localSheetId="1" hidden="1">{"'Sheet1'!$L$16"}</definedName>
    <definedName name="NGFN" localSheetId="2" hidden="1">{"'Sheet1'!$L$16"}</definedName>
    <definedName name="NGFN" localSheetId="8" hidden="1">{"'Sheet1'!$L$16"}</definedName>
    <definedName name="NGFN" hidden="1">{"'Sheet1'!$L$16"}</definedName>
    <definedName name="nghgh" localSheetId="1" hidden="1">{"'Sheet1'!$L$16"}</definedName>
    <definedName name="nghgh" localSheetId="2" hidden="1">{"'Sheet1'!$L$16"}</definedName>
    <definedName name="nghgh" localSheetId="8" hidden="1">{"'Sheet1'!$L$16"}</definedName>
    <definedName name="nghgh" hidden="1">{"'Sheet1'!$L$16"}</definedName>
    <definedName name="NGK" localSheetId="1" hidden="1">{#N/A,#N/A,FALSE,"估價單  (3)"}</definedName>
    <definedName name="NGK" localSheetId="2" hidden="1">{#N/A,#N/A,FALSE,"估價單  (3)"}</definedName>
    <definedName name="NGK" localSheetId="8" hidden="1">{#N/A,#N/A,FALSE,"估價單  (3)"}</definedName>
    <definedName name="NGK" hidden="1">{#N/A,#N/A,FALSE,"估價單  (3)"}</definedName>
    <definedName name="ngljlj" localSheetId="1" hidden="1">{"'Sheet1'!$L$16"}</definedName>
    <definedName name="ngljlj" localSheetId="2" hidden="1">{"'Sheet1'!$L$16"}</definedName>
    <definedName name="ngljlj" localSheetId="8" hidden="1">{"'Sheet1'!$L$16"}</definedName>
    <definedName name="ngljlj" hidden="1">{"'Sheet1'!$L$16"}</definedName>
    <definedName name="ngu" localSheetId="1" hidden="1">{"'Sheet1'!$L$16"}</definedName>
    <definedName name="ngu" localSheetId="2" hidden="1">{"'Sheet1'!$L$16"}</definedName>
    <definedName name="ngu" localSheetId="8" hidden="1">{"'Sheet1'!$L$16"}</definedName>
    <definedName name="ngu" hidden="1">{"'Sheet1'!$L$16"}</definedName>
    <definedName name="NguyenDiep" localSheetId="1" hidden="1">{"'Sheet1'!$L$16"}</definedName>
    <definedName name="NguyenDiep" localSheetId="2" hidden="1">{"'Sheet1'!$L$16"}</definedName>
    <definedName name="NguyenDiep" localSheetId="8" hidden="1">{"'Sheet1'!$L$16"}</definedName>
    <definedName name="NguyenDiep" hidden="1">{"'Sheet1'!$L$16"}</definedName>
    <definedName name="nguyennha" localSheetId="1" hidden="1">{"'Sheet1'!$L$16"}</definedName>
    <definedName name="nguyennha" localSheetId="2" hidden="1">{"'Sheet1'!$L$16"}</definedName>
    <definedName name="nguyennha" localSheetId="8" hidden="1">{"'Sheet1'!$L$16"}</definedName>
    <definedName name="nguyennha" hidden="1">{"'Sheet1'!$L$16"}</definedName>
    <definedName name="nham" localSheetId="1" hidden="1">{0,#VALUE!,0,0;0,#VALUE!,0,#VALUE!;0,0,0,0;#NULL!,0,0,0;0,0,TRUE,0;0,#N/A,FALSE,0;0,#N/A,FALSE,0}</definedName>
    <definedName name="nham" localSheetId="2" hidden="1">{0,#VALUE!,0,0;0,#VALUE!,0,#VALUE!;0,0,0,0;#NULL!,0,0,0;0,0,TRUE,0;0,#N/A,FALSE,0;0,#N/A,FALSE,0}</definedName>
    <definedName name="nham" localSheetId="8" hidden="1">{0,#VALUE!,0,0;0,#VALUE!,0,#VALUE!;0,0,0,0;#NULL!,0,0,0;0,0,TRUE,0;0,#N/A,FALSE,0;0,#N/A,FALSE,0}</definedName>
    <definedName name="nham" hidden="1">{0,#VALUE!,0,0;0,#VALUE!,0,#VALUE!;0,0,0,0;#NULL!,0,0,0;0,0,TRUE,0;0,#N/A,FALSE,0;0,#N/A,FALSE,0}</definedName>
    <definedName name="nhanuoc" localSheetId="1" hidden="1">{"'Sheet1'!$L$16"}</definedName>
    <definedName name="nhanuoc" localSheetId="2" hidden="1">{"'Sheet1'!$L$16"}</definedName>
    <definedName name="nhanuoc" localSheetId="8" hidden="1">{"'Sheet1'!$L$16"}</definedName>
    <definedName name="nhanuoc" hidden="1">{"'Sheet1'!$L$16"}</definedName>
    <definedName name="NHANH2_CG4" localSheetId="1" hidden="1">{"'Sheet1'!$L$16"}</definedName>
    <definedName name="NHANH2_CG4" localSheetId="2" hidden="1">{"'Sheet1'!$L$16"}</definedName>
    <definedName name="NHANH2_CG4" localSheetId="8" hidden="1">{"'Sheet1'!$L$16"}</definedName>
    <definedName name="NHANH2_CG4" hidden="1">{"'Sheet1'!$L$16"}</definedName>
    <definedName name="NHAP5P" localSheetId="1" hidden="1">{"'Sheet1'!$L$16"}</definedName>
    <definedName name="NHAP5P" localSheetId="2" hidden="1">{"'Sheet1'!$L$16"}</definedName>
    <definedName name="NHAP5P" localSheetId="8" hidden="1">{"'Sheet1'!$L$16"}</definedName>
    <definedName name="NHAP5P" hidden="1">{"'Sheet1'!$L$16"}</definedName>
    <definedName name="nharac" localSheetId="1" hidden="1">{#N/A,#N/A,FALSE,"Chi tiÆt"}</definedName>
    <definedName name="nharac" localSheetId="2" hidden="1">{#N/A,#N/A,FALSE,"Chi tiÆt"}</definedName>
    <definedName name="nharac" localSheetId="8" hidden="1">{#N/A,#N/A,FALSE,"Chi tiÆt"}</definedName>
    <definedName name="nharac" hidden="1">{#N/A,#N/A,FALSE,"Chi tiÆt"}</definedName>
    <definedName name="Nhâm_CT" hidden="1">#REF!</definedName>
    <definedName name="Nhiem" localSheetId="1" hidden="1">{"'Sheet1'!$L$16"}</definedName>
    <definedName name="Nhiem" localSheetId="2" hidden="1">{"'Sheet1'!$L$16"}</definedName>
    <definedName name="Nhiem" localSheetId="8" hidden="1">{"'Sheet1'!$L$16"}</definedName>
    <definedName name="Nhiem" hidden="1">{"'Sheet1'!$L$16"}</definedName>
    <definedName name="nhjf" localSheetId="1" hidden="1">#REF!</definedName>
    <definedName name="nhjf" hidden="1">#REF!</definedName>
    <definedName name="nhjyeru" localSheetId="1" hidden="1">{"'Sheet1'!$L$16"}</definedName>
    <definedName name="nhjyeru" localSheetId="2" hidden="1">{"'Sheet1'!$L$16"}</definedName>
    <definedName name="nhjyeru" localSheetId="8" hidden="1">{"'Sheet1'!$L$16"}</definedName>
    <definedName name="nhjyeru" hidden="1">{"'Sheet1'!$L$16"}</definedName>
    <definedName name="NhomCT" hidden="1">#REF!</definedName>
    <definedName name="nhug" localSheetId="1" hidden="1">{"một";"hai";"ba";"bốn";"năm";"sáu";"bảy";"tám";"chín";"mười";"mươi";"mốt";"lăm";"trăm";"nghìn";"triệu";"tỷ";"lẻ";"không trăm";"Bằng chử : "}</definedName>
    <definedName name="nhug" localSheetId="2" hidden="1">{"một";"hai";"ba";"bốn";"năm";"sáu";"bảy";"tám";"chín";"mười";"mươi";"mốt";"lăm";"trăm";"nghìn";"triệu";"tỷ";"lẻ";"không trăm";"Bằng chử : "}</definedName>
    <definedName name="nhug" localSheetId="8" hidden="1">{"một";"hai";"ba";"bốn";"năm";"sáu";"bảy";"tám";"chín";"mười";"mươi";"mốt";"lăm";"trăm";"nghìn";"triệu";"tỷ";"lẻ";"không trăm";"Bằng chử : "}</definedName>
    <definedName name="nhug" hidden="1">{"một";"hai";"ba";"bốn";"năm";"sáu";"bảy";"tám";"chín";"mười";"mươi";"mốt";"lăm";"trăm";"nghìn";"triệu";"tỷ";"lẻ";"không trăm";"Bằng chử : "}</definedName>
    <definedName name="NHUNG" localSheetId="1" hidden="1">zIsDgiaCTiet_Gia.VTu*2+3</definedName>
    <definedName name="NHUNG" localSheetId="2" hidden="1">zIsDgiaCTiet_Gia.VTu*2+3</definedName>
    <definedName name="NHUNG" localSheetId="8" hidden="1">zIsDgiaCTiet_Gia.VTu*2+3</definedName>
    <definedName name="NHUNG" hidden="1">zIsDgiaCTiet_Gia.VTu*2+3</definedName>
    <definedName name="o" localSheetId="1" hidden="1">{"'Sheet1'!$L$16"}</definedName>
    <definedName name="o" localSheetId="2" hidden="1">{"'Sheet1'!$L$16"}</definedName>
    <definedName name="o" localSheetId="8" hidden="1">{"'Sheet1'!$L$16"}</definedName>
    <definedName name="o" hidden="1">{"'Sheet1'!$L$16"}</definedName>
    <definedName name="oa" localSheetId="1" hidden="1">#REF!</definedName>
    <definedName name="oa" hidden="1">#REF!</definedName>
    <definedName name="õadfgdfgdf" localSheetId="1" hidden="1">{"'Sheet1'!$L$16"}</definedName>
    <definedName name="õadfgdfgdf" localSheetId="2" hidden="1">{"'Sheet1'!$L$16"}</definedName>
    <definedName name="õadfgdfgdf" localSheetId="8" hidden="1">{"'Sheet1'!$L$16"}</definedName>
    <definedName name="õadfgdfgdf" hidden="1">{"'Sheet1'!$L$16"}</definedName>
    <definedName name="oanh" localSheetId="1" hidden="1">{"'Sheet1'!$L$16"}</definedName>
    <definedName name="oanh" localSheetId="2" hidden="1">{"'Sheet1'!$L$16"}</definedName>
    <definedName name="oanh" localSheetId="8" hidden="1">{"'Sheet1'!$L$16"}</definedName>
    <definedName name="oanh" hidden="1">{"'Sheet1'!$L$16"}</definedName>
    <definedName name="OC" localSheetId="1" hidden="1">{"'Sheet1'!$L$16"}</definedName>
    <definedName name="OC" localSheetId="2" hidden="1">{"'Sheet1'!$L$16"}</definedName>
    <definedName name="OC" localSheetId="8" hidden="1">{"'Sheet1'!$L$16"}</definedName>
    <definedName name="OC" hidden="1">{"'Sheet1'!$L$16"}</definedName>
    <definedName name="ocf" hidden="1">#REF!</definedName>
    <definedName name="office" localSheetId="1" hidden="1">{"'Sheet1'!$L$16"}</definedName>
    <definedName name="office" localSheetId="2" hidden="1">{"'Sheet1'!$L$16"}</definedName>
    <definedName name="office" localSheetId="8" hidden="1">{"'Sheet1'!$L$16"}</definedName>
    <definedName name="office" hidden="1">{"'Sheet1'!$L$16"}</definedName>
    <definedName name="OH">1.05</definedName>
    <definedName name="OIJYED" localSheetId="1" hidden="1">{"'Sheet1'!$L$16"}</definedName>
    <definedName name="OIJYED" localSheetId="2" hidden="1">{"'Sheet1'!$L$16"}</definedName>
    <definedName name="OIJYED" localSheetId="8" hidden="1">{"'Sheet1'!$L$16"}</definedName>
    <definedName name="OIJYED" hidden="1">{"'Sheet1'!$L$16"}</definedName>
    <definedName name="OIL" localSheetId="1" hidden="1">{"'용역비'!$A$4:$C$8"}</definedName>
    <definedName name="OIL" localSheetId="2" hidden="1">{"'용역비'!$A$4:$C$8"}</definedName>
    <definedName name="OIL" localSheetId="8" hidden="1">{"'용역비'!$A$4:$C$8"}</definedName>
    <definedName name="OIL" hidden="1">{"'용역비'!$A$4:$C$8"}</definedName>
    <definedName name="oiuy" localSheetId="1" hidden="1">{#N/A,#N/A,FALSE,"Chi tiÆt"}</definedName>
    <definedName name="oiuy" localSheetId="2" hidden="1">{#N/A,#N/A,FALSE,"Chi tiÆt"}</definedName>
    <definedName name="oiuy" localSheetId="8" hidden="1">{#N/A,#N/A,FALSE,"Chi tiÆt"}</definedName>
    <definedName name="oiuy" hidden="1">{#N/A,#N/A,FALSE,"Chi tiÆt"}</definedName>
    <definedName name="oiy" localSheetId="1" hidden="1">{#N/A,#N/A,FALSE,"포장2"}</definedName>
    <definedName name="oiy" localSheetId="2" hidden="1">{#N/A,#N/A,FALSE,"포장2"}</definedName>
    <definedName name="oiy" localSheetId="8" hidden="1">{#N/A,#N/A,FALSE,"포장2"}</definedName>
    <definedName name="oiy" hidden="1">{#N/A,#N/A,FALSE,"포장2"}</definedName>
    <definedName name="ok" localSheetId="1" hidden="1">{#N/A,#N/A,FALSE,"MARCH"}</definedName>
    <definedName name="ok" localSheetId="2" hidden="1">{#N/A,#N/A,FALSE,"MARCH"}</definedName>
    <definedName name="ok" localSheetId="8" hidden="1">{#N/A,#N/A,FALSE,"MARCH"}</definedName>
    <definedName name="ok" hidden="1">{#N/A,#N/A,FALSE,"MARCH"}</definedName>
    <definedName name="okay" localSheetId="1" hidden="1">{#N/A,#N/A,FALSE,"mgtsum.XLS";#N/A,#N/A,FALSE,"CAPONE";#N/A,#N/A,FALSE,"CAPTWO";#N/A,#N/A,FALSE,"CAPTHREE"}</definedName>
    <definedName name="okay" localSheetId="2" hidden="1">{#N/A,#N/A,FALSE,"mgtsum.XLS";#N/A,#N/A,FALSE,"CAPONE";#N/A,#N/A,FALSE,"CAPTWO";#N/A,#N/A,FALSE,"CAPTHREE"}</definedName>
    <definedName name="okay" localSheetId="8" hidden="1">{#N/A,#N/A,FALSE,"mgtsum.XLS";#N/A,#N/A,FALSE,"CAPONE";#N/A,#N/A,FALSE,"CAPTWO";#N/A,#N/A,FALSE,"CAPTHREE"}</definedName>
    <definedName name="okay" hidden="1">{#N/A,#N/A,FALSE,"mgtsum.XLS";#N/A,#N/A,FALSE,"CAPONE";#N/A,#N/A,FALSE,"CAPTWO";#N/A,#N/A,FALSE,"CAPTHREE"}</definedName>
    <definedName name="okko" localSheetId="1" hidden="1">{#N/A,#N/A,FALSE,"MARCH"}</definedName>
    <definedName name="okko" localSheetId="2" hidden="1">{#N/A,#N/A,FALSE,"MARCH"}</definedName>
    <definedName name="okko" localSheetId="8" hidden="1">{#N/A,#N/A,FALSE,"MARCH"}</definedName>
    <definedName name="okko" hidden="1">{#N/A,#N/A,FALSE,"MARCH"}</definedName>
    <definedName name="old" localSheetId="1" hidden="1">{"'ELEC'!$A$2:$H$216","'ELEC'!$C$2:$D$2"}</definedName>
    <definedName name="old" localSheetId="2" hidden="1">{"'ELEC'!$A$2:$H$216","'ELEC'!$C$2:$D$2"}</definedName>
    <definedName name="old" localSheetId="8" hidden="1">{"'ELEC'!$A$2:$H$216","'ELEC'!$C$2:$D$2"}</definedName>
    <definedName name="old" hidden="1">{"'ELEC'!$A$2:$H$216","'ELEC'!$C$2:$D$2"}</definedName>
    <definedName name="olk" localSheetId="1" hidden="1">{#N/A,#N/A,FALSE,"特殊室（ＢＱ表）"}</definedName>
    <definedName name="olk" localSheetId="2" hidden="1">{#N/A,#N/A,FALSE,"特殊室（ＢＱ表）"}</definedName>
    <definedName name="olk" localSheetId="8" hidden="1">{#N/A,#N/A,FALSE,"特殊室（ＢＱ表）"}</definedName>
    <definedName name="olk" hidden="1">{#N/A,#N/A,FALSE,"特殊室（ＢＱ表）"}</definedName>
    <definedName name="ONP" hidden="1">#REF!</definedName>
    <definedName name="ong" hidden="1">#REF!</definedName>
    <definedName name="OO" localSheetId="1" hidden="1">#REF!</definedName>
    <definedName name="OO" hidden="1">#REF!</definedName>
    <definedName name="OOO"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localSheetId="1" hidden="1">{"'Sheet1'!$L$16"}</definedName>
    <definedName name="opiuy" localSheetId="2" hidden="1">{"'Sheet1'!$L$16"}</definedName>
    <definedName name="opiuy" localSheetId="8" hidden="1">{"'Sheet1'!$L$16"}</definedName>
    <definedName name="opiuy" hidden="1">{"'Sheet1'!$L$16"}</definedName>
    <definedName name="opo" localSheetId="1" hidden="1">{#N/A,#N/A,FALSE,"지침";#N/A,#N/A,FALSE,"환경분석";#N/A,#N/A,FALSE,"Sheet16"}</definedName>
    <definedName name="opo" localSheetId="2" hidden="1">{#N/A,#N/A,FALSE,"지침";#N/A,#N/A,FALSE,"환경분석";#N/A,#N/A,FALSE,"Sheet16"}</definedName>
    <definedName name="opo" localSheetId="8" hidden="1">{#N/A,#N/A,FALSE,"지침";#N/A,#N/A,FALSE,"환경분석";#N/A,#N/A,FALSE,"Sheet16"}</definedName>
    <definedName name="opo" hidden="1">{#N/A,#N/A,FALSE,"지침";#N/A,#N/A,FALSE,"환경분석";#N/A,#N/A,FALSE,"Sheet16"}</definedName>
    <definedName name="ops">#N/A</definedName>
    <definedName name="order2" hidden="1">0</definedName>
    <definedName name="OrderTable" localSheetId="1" hidden="1">#REF!</definedName>
    <definedName name="OrderTable" hidden="1">#REF!</definedName>
    <definedName name="ouioyoigoigyiyugi" localSheetId="1" hidden="1">#REF!</definedName>
    <definedName name="ouioyoigoigyiyugi" hidden="1">#REF!</definedName>
    <definedName name="ôclsaclnmc" localSheetId="1" hidden="1">{"'Sheet1'!$L$16"}</definedName>
    <definedName name="ôclsaclnmc" localSheetId="2" hidden="1">{"'Sheet1'!$L$16"}</definedName>
    <definedName name="ôclsaclnmc" localSheetId="8" hidden="1">{"'Sheet1'!$L$16"}</definedName>
    <definedName name="ôclsaclnmc" hidden="1">{"'Sheet1'!$L$16"}</definedName>
    <definedName name="Ống" hidden="1">#REF!</definedName>
    <definedName name="p" localSheetId="1" hidden="1">{"'Sheet1'!$L$16"}</definedName>
    <definedName name="p" localSheetId="2" hidden="1">{"'Sheet1'!$L$16"}</definedName>
    <definedName name="p" localSheetId="8" hidden="1">{"'Sheet1'!$L$16"}</definedName>
    <definedName name="p" hidden="1">{"'Sheet1'!$L$16"}</definedName>
    <definedName name="P.R.D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localSheetId="1" hidden="1">{"'Sheet1'!$L$16"}</definedName>
    <definedName name="PAIII_" localSheetId="2" hidden="1">{"'Sheet1'!$L$16"}</definedName>
    <definedName name="PAIII_" localSheetId="8" hidden="1">{"'Sheet1'!$L$16"}</definedName>
    <definedName name="PAIII_" hidden="1">{"'Sheet1'!$L$16"}</definedName>
    <definedName name="Panel" localSheetId="1" hidden="1">{#N/A,#N/A,TRUE,"SUM";#N/A,#N/A,TRUE,"EE";#N/A,#N/A,TRUE,"AC";#N/A,#N/A,TRUE,"SN"}</definedName>
    <definedName name="Panel" localSheetId="2" hidden="1">{#N/A,#N/A,TRUE,"SUM";#N/A,#N/A,TRUE,"EE";#N/A,#N/A,TRUE,"AC";#N/A,#N/A,TRUE,"SN"}</definedName>
    <definedName name="Panel" localSheetId="8" hidden="1">{#N/A,#N/A,TRUE,"SUM";#N/A,#N/A,TRUE,"EE";#N/A,#N/A,TRUE,"AC";#N/A,#N/A,TRUE,"SN"}</definedName>
    <definedName name="Panel" hidden="1">{#N/A,#N/A,TRUE,"SUM";#N/A,#N/A,TRUE,"EE";#N/A,#N/A,TRUE,"AC";#N/A,#N/A,TRUE,"SN"}</definedName>
    <definedName name="Panel_name">#REF!</definedName>
    <definedName name="patrickk" localSheetId="1"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8" hidden="1">{#N/A,#N/A,FALSE,"récap";#N/A,#N/A,FALSE,"hypothèses";#N/A,#N/A,FALSE,"Serv Génér";#N/A,#N/A,FALSE,"A-R paroi";#N/A,#N/A,FALSE,"paroi moulée";#N/A,#N/A,FALSE,"préfondés";#N/A,#N/A,FALSE,"A-R injection";#N/A,#N/A,FALSE,"forages";#N/A,#N/A,FALSE,"injection";#N/A,#N/A,FALSE,"pompage";#N/A,#N/A,FALSE,"comparatif";#N/A,#N/A,FALSE,"échéancier"}</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localSheetId="1" hidden="1">{"'Sheet1'!$L$16"}</definedName>
    <definedName name="PC" localSheetId="2" hidden="1">{"'Sheet1'!$L$16"}</definedName>
    <definedName name="PC" localSheetId="8" hidden="1">{"'Sheet1'!$L$16"}</definedName>
    <definedName name="PC" hidden="1">{"'Sheet1'!$L$16"}</definedName>
    <definedName name="pgq" localSheetId="1" hidden="1">#REF!</definedName>
    <definedName name="pgq" hidden="1">#REF!</definedName>
    <definedName name="PGV" localSheetId="1" hidden="1">#REF!</definedName>
    <definedName name="PGV" hidden="1">#REF!</definedName>
    <definedName name="Piling" localSheetId="1" hidden="1">{#N/A,#N/A,FALSE,"CCTV"}</definedName>
    <definedName name="Piling" localSheetId="2" hidden="1">{#N/A,#N/A,FALSE,"CCTV"}</definedName>
    <definedName name="Piling" localSheetId="8" hidden="1">{#N/A,#N/A,FALSE,"CCTV"}</definedName>
    <definedName name="Piling" hidden="1">{#N/A,#N/A,FALSE,"CCTV"}</definedName>
    <definedName name="Pipe" localSheetId="1" hidden="1">{#N/A,#N/A,FALSE,"CCTV"}</definedName>
    <definedName name="Pipe" localSheetId="2" hidden="1">{#N/A,#N/A,FALSE,"CCTV"}</definedName>
    <definedName name="Pipe" localSheetId="8" hidden="1">{#N/A,#N/A,FALSE,"CCTV"}</definedName>
    <definedName name="Pipe" hidden="1">{#N/A,#N/A,FALSE,"CCTV"}</definedName>
    <definedName name="PlucBcaoTD" localSheetId="1" hidden="1">{"'Sheet1'!$L$16"}</definedName>
    <definedName name="PlucBcaoTD" localSheetId="2" hidden="1">{"'Sheet1'!$L$16"}</definedName>
    <definedName name="PlucBcaoTD" localSheetId="8" hidden="1">{"'Sheet1'!$L$16"}</definedName>
    <definedName name="PlucBcaoTD" hidden="1">{"'Sheet1'!$L$16"}</definedName>
    <definedName name="PMS" localSheetId="1" hidden="1">{"'Sheet1'!$L$16"}</definedName>
    <definedName name="PMS" localSheetId="2" hidden="1">{"'Sheet1'!$L$16"}</definedName>
    <definedName name="PMS" localSheetId="8" hidden="1">{"'Sheet1'!$L$16"}</definedName>
    <definedName name="PMS" hidden="1">{"'Sheet1'!$L$16"}</definedName>
    <definedName name="po" localSheetId="1" hidden="1">{#N/A,#N/A,FALSE,"CCTV"}</definedName>
    <definedName name="po">#REF!</definedName>
    <definedName name="poi" localSheetId="1" hidden="1">{"'Sheet1'!$L$16"}</definedName>
    <definedName name="poi" localSheetId="2" hidden="1">{"'Sheet1'!$L$16"}</definedName>
    <definedName name="poi" localSheetId="8" hidden="1">{"'Sheet1'!$L$16"}</definedName>
    <definedName name="poi" hidden="1">{"'Sheet1'!$L$16"}</definedName>
    <definedName name="pol" localSheetId="1" hidden="1">{#N/A,#N/A,FALSE,"Chi tiÆt"}</definedName>
    <definedName name="pol" localSheetId="2" hidden="1">{#N/A,#N/A,FALSE,"Chi tiÆt"}</definedName>
    <definedName name="pol" localSheetId="8" hidden="1">{#N/A,#N/A,FALSE,"Chi tiÆt"}</definedName>
    <definedName name="pol" hidden="1">{#N/A,#N/A,FALSE,"Chi tiÆt"}</definedName>
    <definedName name="pope" localSheetId="1" hidden="1">{"'Sheet1'!$L$16"}</definedName>
    <definedName name="pope" localSheetId="2" hidden="1">{"'Sheet1'!$L$16"}</definedName>
    <definedName name="pope" localSheetId="8" hidden="1">{"'Sheet1'!$L$16"}</definedName>
    <definedName name="pope" hidden="1">{"'Sheet1'!$L$16"}</definedName>
    <definedName name="Port1" localSheetId="1" hidden="1">{#N/A,#N/A,FALSE,"特殊室（ＢＱ表）"}</definedName>
    <definedName name="Port1" localSheetId="2" hidden="1">{#N/A,#N/A,FALSE,"特殊室（ＢＱ表）"}</definedName>
    <definedName name="Port1" localSheetId="8" hidden="1">{#N/A,#N/A,FALSE,"特殊室（ＢＱ表）"}</definedName>
    <definedName name="Port1" hidden="1">{#N/A,#N/A,FALSE,"特殊室（ＢＱ表）"}</definedName>
    <definedName name="port11" localSheetId="1" hidden="1">{#N/A,#N/A,FALSE,"特殊室（ＢＱ表）"}</definedName>
    <definedName name="port11" localSheetId="2" hidden="1">{#N/A,#N/A,FALSE,"特殊室（ＢＱ表）"}</definedName>
    <definedName name="port11" localSheetId="8" hidden="1">{#N/A,#N/A,FALSE,"特殊室（ＢＱ表）"}</definedName>
    <definedName name="port11" hidden="1">{#N/A,#N/A,FALSE,"特殊室（ＢＱ表）"}</definedName>
    <definedName name="pp" localSheetId="1" hidden="1">{#N/A,#N/A,FALSE,"OUTPUT SHEET "}</definedName>
    <definedName name="pp" localSheetId="2" hidden="1">{#N/A,#N/A,FALSE,"OUTPUT SHEET "}</definedName>
    <definedName name="pp" localSheetId="8" hidden="1">{#N/A,#N/A,FALSE,"OUTPUT SHEET "}</definedName>
    <definedName name="pp" hidden="1">{#N/A,#N/A,FALSE,"OUTPUT SHEET "}</definedName>
    <definedName name="ppp" localSheetId="1" hidden="1">{#N/A,#N/A,FALSE,"特殊室（ＢＱ表）"}</definedName>
    <definedName name="ppp" hidden="1">#REF!</definedName>
    <definedName name="PPPP" localSheetId="1" hidden="1">{"'Sheet1'!$L$16"}</definedName>
    <definedName name="PPPP" localSheetId="2" hidden="1">{"'Sheet1'!$L$16"}</definedName>
    <definedName name="PPPP" localSheetId="8" hidden="1">{"'Sheet1'!$L$16"}</definedName>
    <definedName name="PPPP" hidden="1">{"'Sheet1'!$L$16"}</definedName>
    <definedName name="ppppp" localSheetId="1" hidden="1">{#N/A,#N/A,FALSE,"지침";#N/A,#N/A,FALSE,"환경분석";#N/A,#N/A,FALSE,"Sheet16"}</definedName>
    <definedName name="ppppp" localSheetId="2" hidden="1">{#N/A,#N/A,FALSE,"지침";#N/A,#N/A,FALSE,"환경분석";#N/A,#N/A,FALSE,"Sheet16"}</definedName>
    <definedName name="ppppp" localSheetId="8" hidden="1">{#N/A,#N/A,FALSE,"지침";#N/A,#N/A,FALSE,"환경분석";#N/A,#N/A,FALSE,"Sheet16"}</definedName>
    <definedName name="ppppp" hidden="1">{#N/A,#N/A,FALSE,"지침";#N/A,#N/A,FALSE,"환경분석";#N/A,#N/A,FALSE,"Sheet16"}</definedName>
    <definedName name="Prelim">0.1</definedName>
    <definedName name="prepared.by" hidden="1">#REF!</definedName>
    <definedName name="pri" localSheetId="1" hidden="1">{#N/A,#N/A,TRUE,"Str.";#N/A,#N/A,TRUE,"Steel &amp; Roof";#N/A,#N/A,TRUE,"Arc.";#N/A,#N/A,TRUE,"Preliminary";#N/A,#N/A,TRUE,"Sum_Prelim"}</definedName>
    <definedName name="pri" localSheetId="2" hidden="1">{#N/A,#N/A,TRUE,"Str.";#N/A,#N/A,TRUE,"Steel &amp; Roof";#N/A,#N/A,TRUE,"Arc.";#N/A,#N/A,TRUE,"Preliminary";#N/A,#N/A,TRUE,"Sum_Prelim"}</definedName>
    <definedName name="pri" localSheetId="8" hidden="1">{#N/A,#N/A,TRUE,"Str.";#N/A,#N/A,TRUE,"Steel &amp; Roof";#N/A,#N/A,TRUE,"Arc.";#N/A,#N/A,TRUE,"Preliminary";#N/A,#N/A,TRUE,"Sum_Prelim"}</definedName>
    <definedName name="pri" hidden="1">{#N/A,#N/A,TRUE,"Str.";#N/A,#N/A,TRUE,"Steel &amp; Roof";#N/A,#N/A,TRUE,"Arc.";#N/A,#N/A,TRUE,"Preliminary";#N/A,#N/A,TRUE,"Sum_Prelim"}</definedName>
    <definedName name="_xlnm.Print_Area" localSheetId="1">'Bill 01 - Prelims'!$B$1:$H$178</definedName>
    <definedName name="_xlnm.Print_Area" localSheetId="4">DIEN!$A$1:$N$1034</definedName>
    <definedName name="_xlnm.Print_Area" localSheetId="5">'DIEN NHE'!$A$1:$N$279</definedName>
    <definedName name="_xlnm.Print_Area" localSheetId="0">SUMMARY!$B$1:$I$33</definedName>
    <definedName name="Print_Area_MI" localSheetId="1">#REF!</definedName>
    <definedName name="Print_Area_MI">#REF!</definedName>
    <definedName name="Print_Area_Reset" localSheetId="1">OFFSET(Full_Print,0,0,Last_Row)</definedName>
    <definedName name="Print_Area_Reset" localSheetId="2">OFFSET(Full_Print,0,0,Last_Row)</definedName>
    <definedName name="Print_Area_Reset" localSheetId="8">OFFSET(Full_Print,0,0,Last_Row)</definedName>
    <definedName name="Print_Area_Reset">OFFSET(Full_Print,0,0,Last_Row)</definedName>
    <definedName name="_xlnm.Print_Titles" localSheetId="1">'Bill 01 - Prelims'!$1:$8</definedName>
    <definedName name="PRINT_TITLES_MI">#REF!</definedName>
    <definedName name="ProdForm" localSheetId="1" hidden="1">#REF!</definedName>
    <definedName name="ProdForm" hidden="1">#REF!</definedName>
    <definedName name="Product" localSheetId="1" hidden="1">#REF!</definedName>
    <definedName name="Product" hidden="1">#REF!</definedName>
    <definedName name="PRODUCTION" localSheetId="1" hidden="1">{"'Sheet1'!$L$16"}</definedName>
    <definedName name="PRODUCTION" localSheetId="2" hidden="1">{"'Sheet1'!$L$16"}</definedName>
    <definedName name="PRODUCTION" localSheetId="8" hidden="1">{"'Sheet1'!$L$16"}</definedName>
    <definedName name="PRODUCTION" hidden="1">{"'Sheet1'!$L$16"}</definedName>
    <definedName name="psm" localSheetId="1" hidden="1">{"'Sheet1'!$L$16"}</definedName>
    <definedName name="psm" localSheetId="2" hidden="1">{"'Sheet1'!$L$16"}</definedName>
    <definedName name="psm" localSheetId="8" hidden="1">{"'Sheet1'!$L$16"}</definedName>
    <definedName name="psm" hidden="1">{"'Sheet1'!$L$16"}</definedName>
    <definedName name="pst" localSheetId="1" hidden="1">{"'Sheet1'!$L$16"}</definedName>
    <definedName name="pst" localSheetId="2" hidden="1">{"'Sheet1'!$L$16"}</definedName>
    <definedName name="pst" localSheetId="8" hidden="1">{"'Sheet1'!$L$16"}</definedName>
    <definedName name="pst" hidden="1">{"'Sheet1'!$L$16"}</definedName>
    <definedName name="ptdg">#REF!</definedName>
    <definedName name="ptich3" localSheetId="1" hidden="1">{"'Sheet1'!$L$16"}</definedName>
    <definedName name="ptich3" localSheetId="2" hidden="1">{"'Sheet1'!$L$16"}</definedName>
    <definedName name="ptich3" localSheetId="8" hidden="1">{"'Sheet1'!$L$16"}</definedName>
    <definedName name="ptich3" hidden="1">{"'Sheet1'!$L$16"}</definedName>
    <definedName name="PtichDTL">#N/A</definedName>
    <definedName name="PUBLIC" localSheetId="1" hidden="1">{"'Sheet1'!$L$16"}</definedName>
    <definedName name="PUBLIC" localSheetId="2" hidden="1">{"'Sheet1'!$L$16"}</definedName>
    <definedName name="PUBLIC" localSheetId="8" hidden="1">{"'Sheet1'!$L$16"}</definedName>
    <definedName name="PUBLIC" hidden="1">{"'Sheet1'!$L$16"}</definedName>
    <definedName name="PUC">#REF!</definedName>
    <definedName name="PVC" localSheetId="1" hidden="1">{"'Sheet1'!$L$16"}</definedName>
    <definedName name="PVC" localSheetId="2" hidden="1">{"'Sheet1'!$L$16"}</definedName>
    <definedName name="PVC" localSheetId="8" hidden="1">{"'Sheet1'!$L$16"}</definedName>
    <definedName name="PVC" hidden="1">{"'Sheet1'!$L$16"}</definedName>
    <definedName name="PH">#REF!</definedName>
    <definedName name="phantich3" localSheetId="1" hidden="1">{"'Sheet1'!$L$16"}</definedName>
    <definedName name="phantich3" localSheetId="2" hidden="1">{"'Sheet1'!$L$16"}</definedName>
    <definedName name="phantich3" localSheetId="8" hidden="1">{"'Sheet1'!$L$16"}</definedName>
    <definedName name="phantich3" hidden="1">{"'Sheet1'!$L$16"}</definedName>
    <definedName name="phong" localSheetId="1" hidden="1">{"'Sheet1'!$L$16"}</definedName>
    <definedName name="phong" localSheetId="2" hidden="1">{"'Sheet1'!$L$16"}</definedName>
    <definedName name="phong" localSheetId="8" hidden="1">{"'Sheet1'!$L$16"}</definedName>
    <definedName name="phong" hidden="1">{"'Sheet1'!$L$16"}</definedName>
    <definedName name="PHOTO" hidden="1">#REF!</definedName>
    <definedName name="phuoc" localSheetId="1" hidden="1">{"'Sheet1'!$L$16"}</definedName>
    <definedName name="phuoc" localSheetId="2" hidden="1">{"'Sheet1'!$L$16"}</definedName>
    <definedName name="phuoc" localSheetId="8" hidden="1">{"'Sheet1'!$L$16"}</definedName>
    <definedName name="phuoc" hidden="1">{"'Sheet1'!$L$16"}</definedName>
    <definedName name="Phuong" localSheetId="1" hidden="1">{"'Sheet1'!$L$16"}</definedName>
    <definedName name="Phuong" localSheetId="2" hidden="1">{"'Sheet1'!$L$16"}</definedName>
    <definedName name="Phuong" localSheetId="8" hidden="1">{"'Sheet1'!$L$16"}</definedName>
    <definedName name="Phuong" hidden="1">{"'Sheet1'!$L$16"}</definedName>
    <definedName name="q" localSheetId="1" hidden="1">#REF!</definedName>
    <definedName name="q" localSheetId="2" hidden="1">{"'Sheet1'!$L$16"}</definedName>
    <definedName name="q" localSheetId="8" hidden="1">{"'Sheet1'!$L$16"}</definedName>
    <definedName name="q" hidden="1">{"'Sheet1'!$L$16"}</definedName>
    <definedName name="q234562456" localSheetId="1" hidden="1">{"'용역비'!$A$4:$C$8"}</definedName>
    <definedName name="q234562456" localSheetId="2" hidden="1">{"'용역비'!$A$4:$C$8"}</definedName>
    <definedName name="q234562456" localSheetId="8" hidden="1">{"'용역비'!$A$4:$C$8"}</definedName>
    <definedName name="q234562456" hidden="1">{"'용역비'!$A$4:$C$8"}</definedName>
    <definedName name="QAAA" hidden="1">#REF!</definedName>
    <definedName name="qasd" localSheetId="1" hidden="1">{"'Sheet1'!$L$16"}</definedName>
    <definedName name="qasd" localSheetId="2" hidden="1">{"'Sheet1'!$L$16"}</definedName>
    <definedName name="qasd" localSheetId="8" hidden="1">{"'Sheet1'!$L$16"}</definedName>
    <definedName name="qasd" hidden="1">{"'Sheet1'!$L$16"}</definedName>
    <definedName name="qcdc" localSheetId="1" hidden="1">{"'Sheet1'!$L$16"}</definedName>
    <definedName name="qcdc" localSheetId="2" hidden="1">{"'Sheet1'!$L$16"}</definedName>
    <definedName name="qcdc" localSheetId="8" hidden="1">{"'Sheet1'!$L$16"}</definedName>
    <definedName name="qcdc" hidden="1">{"'Sheet1'!$L$16"}</definedName>
    <definedName name="qd10_gt" localSheetId="1" hidden="1">{"'Sheet1'!$L$16"}</definedName>
    <definedName name="qd10_gt" localSheetId="2" hidden="1">{"'Sheet1'!$L$16"}</definedName>
    <definedName name="qd10_gt" localSheetId="8" hidden="1">{"'Sheet1'!$L$16"}</definedName>
    <definedName name="qd10_gt" hidden="1">{"'Sheet1'!$L$16"}</definedName>
    <definedName name="qd10_gt_1" localSheetId="1" hidden="1">{"'Sheet1'!$L$16"}</definedName>
    <definedName name="qd10_gt_1" localSheetId="2" hidden="1">{"'Sheet1'!$L$16"}</definedName>
    <definedName name="qd10_gt_1" localSheetId="8" hidden="1">{"'Sheet1'!$L$16"}</definedName>
    <definedName name="qd10_gt_1" hidden="1">{"'Sheet1'!$L$16"}</definedName>
    <definedName name="qd10_gt1" localSheetId="1" hidden="1">{"'Sheet1'!$L$16"}</definedName>
    <definedName name="qd10_gt1" localSheetId="2" hidden="1">{"'Sheet1'!$L$16"}</definedName>
    <definedName name="qd10_gt1" localSheetId="8" hidden="1">{"'Sheet1'!$L$16"}</definedName>
    <definedName name="qd10_gt1" hidden="1">{"'Sheet1'!$L$16"}</definedName>
    <definedName name="qdqdwd" localSheetId="1" hidden="1">{"'Sheet1'!$L$16"}</definedName>
    <definedName name="qdqdwd" localSheetId="2" hidden="1">{"'Sheet1'!$L$16"}</definedName>
    <definedName name="qdqdwd" localSheetId="8" hidden="1">{"'Sheet1'!$L$16"}</definedName>
    <definedName name="qdqdwd" hidden="1">{"'Sheet1'!$L$16"}</definedName>
    <definedName name="qdwfwdfwfwe" localSheetId="1" hidden="1">#REF!</definedName>
    <definedName name="qdwfwdfwfwe" hidden="1">#REF!</definedName>
    <definedName name="qedgagsd" hidden="1">#REF!</definedName>
    <definedName name="qet" localSheetId="1" hidden="1">{"'Sheet1'!$L$16"}</definedName>
    <definedName name="qet" localSheetId="2" hidden="1">{"'Sheet1'!$L$16"}</definedName>
    <definedName name="qet" localSheetId="8" hidden="1">{"'Sheet1'!$L$16"}</definedName>
    <definedName name="qet" hidden="1">{"'Sheet1'!$L$16"}</definedName>
    <definedName name="qewewre" hidden="1">#REF!</definedName>
    <definedName name="qềqg" localSheetId="1" hidden="1">{"'Sheet1'!$L$16"}</definedName>
    <definedName name="qềqg" localSheetId="2" hidden="1">{"'Sheet1'!$L$16"}</definedName>
    <definedName name="qềqg" localSheetId="8" hidden="1">{"'Sheet1'!$L$16"}</definedName>
    <definedName name="qềqg" hidden="1">{"'Sheet1'!$L$16"}</definedName>
    <definedName name="qkqh1" localSheetId="1" hidden="1">{#N/A,#N/A,FALSE,"명세표"}</definedName>
    <definedName name="qkqh1" localSheetId="2" hidden="1">{#N/A,#N/A,FALSE,"명세표"}</definedName>
    <definedName name="qkqh1" localSheetId="8" hidden="1">{#N/A,#N/A,FALSE,"명세표"}</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localSheetId="1" hidden="1">{#N/A,#N/A,TRUE,"1";#N/A,#N/A,TRUE,"2";#N/A,#N/A,TRUE,"3";#N/A,#N/A,TRUE,"4";#N/A,#N/A,TRUE,"5";#N/A,#N/A,TRUE,"6";#N/A,#N/A,TRUE,"7"}</definedName>
    <definedName name="qncjstkdehdwhrud" localSheetId="2" hidden="1">{#N/A,#N/A,TRUE,"1";#N/A,#N/A,TRUE,"2";#N/A,#N/A,TRUE,"3";#N/A,#N/A,TRUE,"4";#N/A,#N/A,TRUE,"5";#N/A,#N/A,TRUE,"6";#N/A,#N/A,TRUE,"7"}</definedName>
    <definedName name="qncjstkdehdwhrud" localSheetId="8" hidden="1">{#N/A,#N/A,TRUE,"1";#N/A,#N/A,TRUE,"2";#N/A,#N/A,TRUE,"3";#N/A,#N/A,TRUE,"4";#N/A,#N/A,TRUE,"5";#N/A,#N/A,TRUE,"6";#N/A,#N/A,TRUE,"7"}</definedName>
    <definedName name="qncjstkdehdwhrud" hidden="1">{#N/A,#N/A,TRUE,"1";#N/A,#N/A,TRUE,"2";#N/A,#N/A,TRUE,"3";#N/A,#N/A,TRUE,"4";#N/A,#N/A,TRUE,"5";#N/A,#N/A,TRUE,"6";#N/A,#N/A,TRUE,"7"}</definedName>
    <definedName name="qöeqwerqwereq" hidden="1">#REF!</definedName>
    <definedName name="qor" localSheetId="1" hidden="1">#REF!</definedName>
    <definedName name="qor" hidden="1">#REF!</definedName>
    <definedName name="qq" localSheetId="1" hidden="1">#REF!</definedName>
    <definedName name="qq" localSheetId="2" hidden="1">{"'Sheet1'!$L$16"}</definedName>
    <definedName name="qq" localSheetId="8" hidden="1">{"'Sheet1'!$L$16"}</definedName>
    <definedName name="qq" hidden="1">{"'Sheet1'!$L$16"}</definedName>
    <definedName name="qqq" localSheetId="1" hidden="1">{"'Sheet1'!$L$16"}</definedName>
    <definedName name="qqq" localSheetId="2" hidden="1">{"'Sheet1'!$L$16"}</definedName>
    <definedName name="qqq" localSheetId="8" hidden="1">{"'Sheet1'!$L$16"}</definedName>
    <definedName name="qqq" hidden="1">{"'Sheet1'!$L$16"}</definedName>
    <definedName name="QQQ_1" localSheetId="1" hidden="1">{"'Sheet1'!$L$16"}</definedName>
    <definedName name="QQQ_1" localSheetId="2" hidden="1">{"'Sheet1'!$L$16"}</definedName>
    <definedName name="QQQ_1" localSheetId="8" hidden="1">{"'Sheet1'!$L$16"}</definedName>
    <definedName name="QQQ_1" hidden="1">{"'Sheet1'!$L$16"}</definedName>
    <definedName name="qqqq" localSheetId="1" hidden="1">{"'Sheet1'!$L$16"}</definedName>
    <definedName name="qqqq" localSheetId="2" hidden="1">{"'Sheet1'!$L$16"}</definedName>
    <definedName name="qqqq" localSheetId="8" hidden="1">{"'Sheet1'!$L$16"}</definedName>
    <definedName name="qqqq" hidden="1">{"'Sheet1'!$L$16"}</definedName>
    <definedName name="qqqqq" localSheetId="1" hidden="1">{"'Sheet1'!$L$16"}</definedName>
    <definedName name="qqqqq" localSheetId="2" hidden="1">{"'Sheet1'!$L$16"}</definedName>
    <definedName name="qqqqq" localSheetId="8" hidden="1">{"'Sheet1'!$L$16"}</definedName>
    <definedName name="qqqqq" hidden="1">{"'Sheet1'!$L$16"}</definedName>
    <definedName name="qqqqqqq" localSheetId="1" hidden="1">{"'Sheet1'!$L$16"}</definedName>
    <definedName name="qqqqqqq" localSheetId="2" hidden="1">{"'Sheet1'!$L$16"}</definedName>
    <definedName name="qqqqqqq" localSheetId="8" hidden="1">{"'Sheet1'!$L$16"}</definedName>
    <definedName name="qqqqqqq" hidden="1">{"'Sheet1'!$L$16"}</definedName>
    <definedName name="qqqqqqqqqqqqqqqqqqqqqq" localSheetId="1" hidden="1">{"'Sheet1'!$L$16"}</definedName>
    <definedName name="qqqqqqqqqqqqqqqqqqqqqq" localSheetId="2" hidden="1">{"'Sheet1'!$L$16"}</definedName>
    <definedName name="qqqqqqqqqqqqqqqqqqqqqq" localSheetId="8" hidden="1">{"'Sheet1'!$L$16"}</definedName>
    <definedName name="qqqqqqqqqqqqqqqqqqqqqq" hidden="1">{"'Sheet1'!$L$16"}</definedName>
    <definedName name="qrqer" hidden="1">#REF!</definedName>
    <definedName name="qrt" localSheetId="1" hidden="1">{"'Sheet1'!$L$16"}</definedName>
    <definedName name="qrt" localSheetId="2" hidden="1">{"'Sheet1'!$L$16"}</definedName>
    <definedName name="qrt" localSheetId="8" hidden="1">{"'Sheet1'!$L$16"}</definedName>
    <definedName name="qrt" hidden="1">{"'Sheet1'!$L$16"}</definedName>
    <definedName name="qrw" localSheetId="1" hidden="1">{#N/A,#N/A,FALSE,"Sheet2";#N/A,#N/A,FALSE,"Sheet4";#N/A,#N/A,FALSE,"Sheet6"}</definedName>
    <definedName name="qrw" localSheetId="2" hidden="1">{#N/A,#N/A,FALSE,"Sheet2";#N/A,#N/A,FALSE,"Sheet4";#N/A,#N/A,FALSE,"Sheet6"}</definedName>
    <definedName name="qrw" localSheetId="8" hidden="1">{#N/A,#N/A,FALSE,"Sheet2";#N/A,#N/A,FALSE,"Sheet4";#N/A,#N/A,FALSE,"Sheet6"}</definedName>
    <definedName name="qrw" hidden="1">{#N/A,#N/A,FALSE,"Sheet2";#N/A,#N/A,FALSE,"Sheet4";#N/A,#N/A,FALSE,"Sheet6"}</definedName>
    <definedName name="qthoan" localSheetId="1" hidden="1">{#N/A,#N/A,FALSE,"Chi tiÆt"}</definedName>
    <definedName name="qthoan" localSheetId="2" hidden="1">{#N/A,#N/A,FALSE,"Chi tiÆt"}</definedName>
    <definedName name="qthoan" localSheetId="8" hidden="1">{#N/A,#N/A,FALSE,"Chi tiÆt"}</definedName>
    <definedName name="qthoan" hidden="1">{#N/A,#N/A,FALSE,"Chi tiÆt"}</definedName>
    <definedName name="qvv" localSheetId="1" hidden="1">{"'Sheet1'!$L$16"}</definedName>
    <definedName name="qvv" localSheetId="2" hidden="1">{"'Sheet1'!$L$16"}</definedName>
    <definedName name="qvv" localSheetId="8" hidden="1">{"'Sheet1'!$L$16"}</definedName>
    <definedName name="qvv" hidden="1">{"'Sheet1'!$L$16"}</definedName>
    <definedName name="qw" localSheetId="1" hidden="1">{#N/A,#N/A,FALSE,"단가표지"}</definedName>
    <definedName name="qw" localSheetId="2" hidden="1">{#N/A,#N/A,FALSE,"단가표지"}</definedName>
    <definedName name="qw" localSheetId="8" hidden="1">{#N/A,#N/A,FALSE,"단가표지"}</definedName>
    <definedName name="qw" hidden="1">{#N/A,#N/A,FALSE,"단가표지"}</definedName>
    <definedName name="QWE" localSheetId="1" hidden="1">#REF!</definedName>
    <definedName name="QWE" localSheetId="2" hidden="1">{"'Sheet1'!$L$16"}</definedName>
    <definedName name="QWE" localSheetId="8" hidden="1">{"'Sheet1'!$L$16"}</definedName>
    <definedName name="QWE" hidden="1">{"'Sheet1'!$L$16"}</definedName>
    <definedName name="QWEQW" localSheetId="1" hidden="1">#REF!</definedName>
    <definedName name="QWEQW" hidden="1">#REF!</definedName>
    <definedName name="qwer" localSheetId="1" hidden="1">{"'Sheet1'!$L$16"}</definedName>
    <definedName name="qwer" localSheetId="2" hidden="1">{"'Sheet1'!$L$16"}</definedName>
    <definedName name="qwer" localSheetId="8" hidden="1">{"'Sheet1'!$L$16"}</definedName>
    <definedName name="qwer" hidden="1">{"'Sheet1'!$L$16"}</definedName>
    <definedName name="qwerdg" hidden="1">#REF!</definedName>
    <definedName name="qwertet" localSheetId="1" hidden="1">{"'Sheet1'!$L$16"}</definedName>
    <definedName name="qwertet" localSheetId="2" hidden="1">{"'Sheet1'!$L$16"}</definedName>
    <definedName name="qwertet" localSheetId="8" hidden="1">{"'Sheet1'!$L$16"}</definedName>
    <definedName name="qwertet" hidden="1">{"'Sheet1'!$L$16"}</definedName>
    <definedName name="QWS" hidden="1">#REF!</definedName>
    <definedName name="qwtjzxdc" hidden="1">#REF!</definedName>
    <definedName name="qwwe" localSheetId="1" hidden="1">{#N/A,#N/A,FALSE,"CCTV"}</definedName>
    <definedName name="qwwe" localSheetId="2" hidden="1">{#N/A,#N/A,FALSE,"CCTV"}</definedName>
    <definedName name="qwwe" localSheetId="8" hidden="1">{#N/A,#N/A,FALSE,"CCTV"}</definedName>
    <definedName name="qwwe" hidden="1">{#N/A,#N/A,FALSE,"CCTV"}</definedName>
    <definedName name="qwwqe" localSheetId="1" hidden="1">{"'Sheet1'!$L$16"}</definedName>
    <definedName name="qwwqe" localSheetId="2" hidden="1">{"'Sheet1'!$L$16"}</definedName>
    <definedName name="qwwqe" localSheetId="8" hidden="1">{"'Sheet1'!$L$16"}</definedName>
    <definedName name="qwwqe" hidden="1">{"'Sheet1'!$L$16"}</definedName>
    <definedName name="qyk" localSheetId="1" hidden="1">{"'용역비'!$A$4:$C$8"}</definedName>
    <definedName name="qyk" localSheetId="2" hidden="1">{"'용역비'!$A$4:$C$8"}</definedName>
    <definedName name="qyk" localSheetId="8" hidden="1">{"'용역비'!$A$4:$C$8"}</definedName>
    <definedName name="qyk" hidden="1">{"'용역비'!$A$4:$C$8"}</definedName>
    <definedName name="quan" localSheetId="1" hidden="1">{"'Sheet1'!$L$16"}</definedName>
    <definedName name="quan" localSheetId="2" hidden="1">{"'Sheet1'!$L$16"}</definedName>
    <definedName name="quan" localSheetId="8" hidden="1">{"'Sheet1'!$L$16"}</definedName>
    <definedName name="quan" hidden="1">{"'Sheet1'!$L$16"}</definedName>
    <definedName name="quang" hidden="1">#REF!</definedName>
    <definedName name="QUATANG" localSheetId="1" hidden="1">{"'Sheet1'!$L$16"}</definedName>
    <definedName name="QUATANG" localSheetId="2" hidden="1">{"'Sheet1'!$L$16"}</definedName>
    <definedName name="QUATANG" localSheetId="8" hidden="1">{"'Sheet1'!$L$16"}</definedName>
    <definedName name="QUATANG" hidden="1">{"'Sheet1'!$L$16"}</definedName>
    <definedName name="quoan" localSheetId="1" hidden="1">{"'Sheet1'!$L$16"}</definedName>
    <definedName name="quoan" localSheetId="2" hidden="1">{"'Sheet1'!$L$16"}</definedName>
    <definedName name="quoan" localSheetId="8" hidden="1">{"'Sheet1'!$L$16"}</definedName>
    <definedName name="quoan" hidden="1">{"'Sheet1'!$L$16"}</definedName>
    <definedName name="QUOC" localSheetId="1" hidden="1">#REF!</definedName>
    <definedName name="QUOC" hidden="1">#REF!</definedName>
    <definedName name="quyet" localSheetId="1" hidden="1">{"'Sheet1'!$L$16"}</definedName>
    <definedName name="quyet" localSheetId="2" hidden="1">{"'Sheet1'!$L$16"}</definedName>
    <definedName name="quyet" localSheetId="8" hidden="1">{"'Sheet1'!$L$16"}</definedName>
    <definedName name="quyet" hidden="1">{"'Sheet1'!$L$16"}</definedName>
    <definedName name="raker"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localSheetId="1" hidden="1">{"'Sheet1'!$L$16"}</definedName>
    <definedName name="RANH" localSheetId="2" hidden="1">{"'Sheet1'!$L$16"}</definedName>
    <definedName name="RANH" localSheetId="8" hidden="1">{"'Sheet1'!$L$16"}</definedName>
    <definedName name="RANH" hidden="1">{"'Sheet1'!$L$16"}</definedName>
    <definedName name="RANH2" localSheetId="1" hidden="1">{"'Sheet1'!$L$16"}</definedName>
    <definedName name="RANH2" localSheetId="2" hidden="1">{"'Sheet1'!$L$16"}</definedName>
    <definedName name="RANH2" localSheetId="8" hidden="1">{"'Sheet1'!$L$16"}</definedName>
    <definedName name="RANH2" hidden="1">{"'Sheet1'!$L$16"}</definedName>
    <definedName name="Ranhxay" localSheetId="1" hidden="1">{"'Sheet1'!$L$16"}</definedName>
    <definedName name="Ranhxay" localSheetId="2" hidden="1">{"'Sheet1'!$L$16"}</definedName>
    <definedName name="Ranhxay" localSheetId="8" hidden="1">{"'Sheet1'!$L$16"}</definedName>
    <definedName name="Ranhxay" hidden="1">{"'Sheet1'!$L$16"}</definedName>
    <definedName name="rate">14000</definedName>
    <definedName name="ratio_alu">#REF!</definedName>
    <definedName name="ratio_sd">#REF!</definedName>
    <definedName name="rbsr" localSheetId="1" hidden="1">{"'Sheet1'!$L$16"}</definedName>
    <definedName name="rbsr" localSheetId="2" hidden="1">{"'Sheet1'!$L$16"}</definedName>
    <definedName name="rbsr" localSheetId="8" hidden="1">{"'Sheet1'!$L$16"}</definedName>
    <definedName name="rbsr" hidden="1">{"'Sheet1'!$L$16"}</definedName>
    <definedName name="RCArea" localSheetId="1" hidden="1">#REF!</definedName>
    <definedName name="RCArea" hidden="1">#REF!</definedName>
    <definedName name="rdetgéhýdy" localSheetId="1" hidden="1">{#N/A,#N/A,FALSE,"Chi tiÆt"}</definedName>
    <definedName name="rdetgéhýdy" localSheetId="2" hidden="1">{#N/A,#N/A,FALSE,"Chi tiÆt"}</definedName>
    <definedName name="rdetgéhýdy" localSheetId="8" hidden="1">{#N/A,#N/A,FALSE,"Chi tiÆt"}</definedName>
    <definedName name="rdetgéhýdy" hidden="1">{#N/A,#N/A,FALSE,"Chi tiÆt"}</definedName>
    <definedName name="reawrew" localSheetId="1" hidden="1">{"'Sheet1'!$L$16"}</definedName>
    <definedName name="reawrew" localSheetId="2" hidden="1">{"'Sheet1'!$L$16"}</definedName>
    <definedName name="reawrew" localSheetId="8" hidden="1">{"'Sheet1'!$L$16"}</definedName>
    <definedName name="reawrew" hidden="1">{"'Sheet1'!$L$16"}</definedName>
    <definedName name="reay" localSheetId="1" hidden="1">{"'Sheet1'!$L$16"}</definedName>
    <definedName name="reay" localSheetId="2" hidden="1">{"'Sheet1'!$L$16"}</definedName>
    <definedName name="reay" localSheetId="8" hidden="1">{"'Sheet1'!$L$16"}</definedName>
    <definedName name="reay" hidden="1">{"'Sheet1'!$L$16"}</definedName>
    <definedName name="rebar">#REF!</definedName>
    <definedName name="_xlnm.Recorder" localSheetId="1" hidden="1">#REF!</definedName>
    <definedName name="_xlnm.Recorder" hidden="1">#REF!</definedName>
    <definedName name="RECOUT">#N/A</definedName>
    <definedName name="Ref" localSheetId="1" hidden="1">{"'Sheet1'!$L$16"}</definedName>
    <definedName name="Ref" localSheetId="2" hidden="1">{"'Sheet1'!$L$16"}</definedName>
    <definedName name="Ref" localSheetId="8" hidden="1">{"'Sheet1'!$L$16"}</definedName>
    <definedName name="Ref" hidden="1">{"'Sheet1'!$L$16"}</definedName>
    <definedName name="REGREGTERGT" hidden="1">#REF!</definedName>
    <definedName name="Regional" localSheetId="1" hidden="1">{#N/A,#N/A,FALSE,"mgtsum.XLS";#N/A,#N/A,FALSE,"CAPONE";#N/A,#N/A,FALSE,"CAPTWO";#N/A,#N/A,FALSE,"CAPTHREE"}</definedName>
    <definedName name="Regional" localSheetId="2" hidden="1">{#N/A,#N/A,FALSE,"mgtsum.XLS";#N/A,#N/A,FALSE,"CAPONE";#N/A,#N/A,FALSE,"CAPTWO";#N/A,#N/A,FALSE,"CAPTHREE"}</definedName>
    <definedName name="Regional" localSheetId="8" hidden="1">{#N/A,#N/A,FALSE,"mgtsum.XLS";#N/A,#N/A,FALSE,"CAPONE";#N/A,#N/A,FALSE,"CAPTWO";#N/A,#N/A,FALSE,"CAPTHREE"}</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localSheetId="1" hidden="1">{#N/A,#N/A,FALSE,"特殊室（ＢＱ表）"}</definedName>
    <definedName name="report1" localSheetId="2" hidden="1">{#N/A,#N/A,FALSE,"特殊室（ＢＱ表）"}</definedName>
    <definedName name="report1" localSheetId="8" hidden="1">{#N/A,#N/A,FALSE,"特殊室（ＢＱ表）"}</definedName>
    <definedName name="report1" hidden="1">{#N/A,#N/A,FALSE,"特殊室（ＢＱ表）"}</definedName>
    <definedName name="report2" localSheetId="1" hidden="1">{#N/A,#N/A,FALSE,"特殊室（ＢＱ表）"}</definedName>
    <definedName name="report2" localSheetId="2" hidden="1">{#N/A,#N/A,FALSE,"特殊室（ＢＱ表）"}</definedName>
    <definedName name="report2" localSheetId="8" hidden="1">{#N/A,#N/A,FALSE,"特殊室（ＢＱ表）"}</definedName>
    <definedName name="report2" hidden="1">{#N/A,#N/A,FALSE,"特殊室（ＢＱ表）"}</definedName>
    <definedName name="reprort" localSheetId="1" hidden="1">{#N/A,#N/A,FALSE,"MARCH"}</definedName>
    <definedName name="reprort" localSheetId="2" hidden="1">{#N/A,#N/A,FALSE,"MARCH"}</definedName>
    <definedName name="reprort" localSheetId="8" hidden="1">{#N/A,#N/A,FALSE,"MARCH"}</definedName>
    <definedName name="reprort" hidden="1">{#N/A,#N/A,FALSE,"MARCH"}</definedName>
    <definedName name="rergdf" hidden="1">#REF!</definedName>
    <definedName name="Result21" localSheetId="1" hidden="1">{"'Sheet1'!$L$16"}</definedName>
    <definedName name="Result21" localSheetId="2" hidden="1">{"'Sheet1'!$L$16"}</definedName>
    <definedName name="Result21" localSheetId="8" hidden="1">{"'Sheet1'!$L$16"}</definedName>
    <definedName name="Result21" hidden="1">{"'Sheet1'!$L$16"}</definedName>
    <definedName name="reuse" localSheetId="1" hidden="1">{#N/A,#N/A,FALSE,"mgtsum.XLS";#N/A,#N/A,FALSE,"CAPONE";#N/A,#N/A,FALSE,"CAPTWO";#N/A,#N/A,FALSE,"CAPTHREE"}</definedName>
    <definedName name="reuse" localSheetId="2" hidden="1">{#N/A,#N/A,FALSE,"mgtsum.XLS";#N/A,#N/A,FALSE,"CAPONE";#N/A,#N/A,FALSE,"CAPTWO";#N/A,#N/A,FALSE,"CAPTHREE"}</definedName>
    <definedName name="reuse" localSheetId="8" hidden="1">{#N/A,#N/A,FALSE,"mgtsum.XLS";#N/A,#N/A,FALSE,"CAPONE";#N/A,#N/A,FALSE,"CAPTWO";#N/A,#N/A,FALSE,"CAPTHREE"}</definedName>
    <definedName name="reuse" hidden="1">{#N/A,#N/A,FALSE,"mgtsum.XLS";#N/A,#N/A,FALSE,"CAPONE";#N/A,#N/A,FALSE,"CAPTWO";#N/A,#N/A,FALSE,"CAPTHREE"}</definedName>
    <definedName name="reûtht" localSheetId="1" hidden="1">{"'Sheet1'!$L$16"}</definedName>
    <definedName name="reûtht" localSheetId="2" hidden="1">{"'Sheet1'!$L$16"}</definedName>
    <definedName name="reûtht" localSheetId="8" hidden="1">{"'Sheet1'!$L$16"}</definedName>
    <definedName name="reûtht" hidden="1">{"'Sheet1'!$L$16"}</definedName>
    <definedName name="Revised" localSheetId="1" hidden="1">#REF!</definedName>
    <definedName name="Revised" hidden="1">#REF!</definedName>
    <definedName name="rewgwegn" localSheetId="1" hidden="1">{"'Sheet1'!$L$16"}</definedName>
    <definedName name="rewgwegn" localSheetId="2" hidden="1">{"'Sheet1'!$L$16"}</definedName>
    <definedName name="rewgwegn" localSheetId="8" hidden="1">{"'Sheet1'!$L$16"}</definedName>
    <definedName name="rewgwegn" hidden="1">{"'Sheet1'!$L$16"}</definedName>
    <definedName name="rewr" localSheetId="1" hidden="1">{"'Sheet1'!$L$16"}</definedName>
    <definedName name="rewr" localSheetId="2" hidden="1">{"'Sheet1'!$L$16"}</definedName>
    <definedName name="rewr" localSheetId="8" hidden="1">{"'Sheet1'!$L$16"}</definedName>
    <definedName name="rewr" hidden="1">{"'Sheet1'!$L$16"}</definedName>
    <definedName name="rewrer" localSheetId="1" hidden="1">{"'Sheet1'!$L$16"}</definedName>
    <definedName name="rewrer" localSheetId="2" hidden="1">{"'Sheet1'!$L$16"}</definedName>
    <definedName name="rewrer" localSheetId="8" hidden="1">{"'Sheet1'!$L$16"}</definedName>
    <definedName name="rewrer" hidden="1">{"'Sheet1'!$L$16"}</definedName>
    <definedName name="rewrewr" localSheetId="1" hidden="1">{"'Sheet1'!$L$16"}</definedName>
    <definedName name="rewrewr" localSheetId="2" hidden="1">{"'Sheet1'!$L$16"}</definedName>
    <definedName name="rewrewr" localSheetId="8" hidden="1">{"'Sheet1'!$L$16"}</definedName>
    <definedName name="rewrewr" hidden="1">{"'Sheet1'!$L$16"}</definedName>
    <definedName name="rêreeyre" localSheetId="1" hidden="1">{"'Sheet1'!$L$16"}</definedName>
    <definedName name="rêreeyre" localSheetId="2" hidden="1">{"'Sheet1'!$L$16"}</definedName>
    <definedName name="rêreeyre" localSheetId="8" hidden="1">{"'Sheet1'!$L$16"}</definedName>
    <definedName name="rêreeyre" hidden="1">{"'Sheet1'!$L$16"}</definedName>
    <definedName name="RF" localSheetId="1" hidden="1">{#N/A,#N/A,FALSE,"CCTV"}</definedName>
    <definedName name="RF" localSheetId="2" hidden="1">{#N/A,#N/A,FALSE,"CCTV"}</definedName>
    <definedName name="RF" localSheetId="8" hidden="1">{#N/A,#N/A,FALSE,"CCTV"}</definedName>
    <definedName name="RF" hidden="1">{#N/A,#N/A,FALSE,"CCTV"}</definedName>
    <definedName name="rferfg" localSheetId="1" hidden="1">{"'Sheet1'!$L$16"}</definedName>
    <definedName name="rferfg" localSheetId="2" hidden="1">{"'Sheet1'!$L$16"}</definedName>
    <definedName name="rferfg" localSheetId="8" hidden="1">{"'Sheet1'!$L$16"}</definedName>
    <definedName name="rferfg" hidden="1">{"'Sheet1'!$L$16"}</definedName>
    <definedName name="rfwetet" localSheetId="1" hidden="1">{"'Sheet1'!$L$16"}</definedName>
    <definedName name="rfwetet" localSheetId="2" hidden="1">{"'Sheet1'!$L$16"}</definedName>
    <definedName name="rfwetet" localSheetId="8" hidden="1">{"'Sheet1'!$L$16"}</definedName>
    <definedName name="rfwetet" hidden="1">{"'Sheet1'!$L$16"}</definedName>
    <definedName name="rgdf" localSheetId="1" hidden="1">{"'Sheet1'!$L$16"}</definedName>
    <definedName name="rgdf" localSheetId="2" hidden="1">{"'Sheet1'!$L$16"}</definedName>
    <definedName name="rgdf" localSheetId="8" hidden="1">{"'Sheet1'!$L$16"}</definedName>
    <definedName name="rgdf" hidden="1">{"'Sheet1'!$L$16"}</definedName>
    <definedName name="rgeger" hidden="1">#REF!</definedName>
    <definedName name="rger" hidden="1">#REF!</definedName>
    <definedName name="rggsg" localSheetId="1" hidden="1">{"'Sheet1'!$L$16"}</definedName>
    <definedName name="rggsg" localSheetId="2" hidden="1">{"'Sheet1'!$L$16"}</definedName>
    <definedName name="rggsg" localSheetId="8" hidden="1">{"'Sheet1'!$L$16"}</definedName>
    <definedName name="rggsg" hidden="1">{"'Sheet1'!$L$16"}</definedName>
    <definedName name="rgwerg" localSheetId="1" hidden="1">{#N/A,#N/A,FALSE,"Chi tiÆt"}</definedName>
    <definedName name="rgwerg" localSheetId="2" hidden="1">{#N/A,#N/A,FALSE,"Chi tiÆt"}</definedName>
    <definedName name="rgwerg" localSheetId="8" hidden="1">{#N/A,#N/A,FALSE,"Chi tiÆt"}</definedName>
    <definedName name="rgwerg" hidden="1">{#N/A,#N/A,FALSE,"Chi tiÆt"}</definedName>
    <definedName name="RH" localSheetId="1" hidden="1">{#N/A,#N/A,FALSE,"주간공정";#N/A,#N/A,FALSE,"주간보고";#N/A,#N/A,FALSE,"주간공정표"}</definedName>
    <definedName name="RH" localSheetId="2" hidden="1">{#N/A,#N/A,FALSE,"주간공정";#N/A,#N/A,FALSE,"주간보고";#N/A,#N/A,FALSE,"주간공정표"}</definedName>
    <definedName name="RH" localSheetId="8" hidden="1">{#N/A,#N/A,FALSE,"주간공정";#N/A,#N/A,FALSE,"주간보고";#N/A,#N/A,FALSE,"주간공정표"}</definedName>
    <definedName name="RH" hidden="1">{#N/A,#N/A,FALSE,"주간공정";#N/A,#N/A,FALSE,"주간보고";#N/A,#N/A,FALSE,"주간공정표"}</definedName>
    <definedName name="rhgrs" localSheetId="1" hidden="1">{"'Sheet1'!$L$16"}</definedName>
    <definedName name="rhgrs" localSheetId="2" hidden="1">{"'Sheet1'!$L$16"}</definedName>
    <definedName name="rhgrs" localSheetId="8" hidden="1">{"'Sheet1'!$L$16"}</definedName>
    <definedName name="rhgrs" hidden="1">{"'Sheet1'!$L$16"}</definedName>
    <definedName name="RHODIA" localSheetId="1" hidden="1">{"'DocTypeCode'!$A$142:$A$226"}</definedName>
    <definedName name="RHODIA" localSheetId="2" hidden="1">{"'DocTypeCode'!$A$142:$A$226"}</definedName>
    <definedName name="RHODIA" localSheetId="8" hidden="1">{"'DocTypeCode'!$A$142:$A$226"}</definedName>
    <definedName name="RHODIA" hidden="1">{"'DocTypeCode'!$A$142:$A$226"}</definedName>
    <definedName name="rhq" localSheetId="1">{"Book1"}</definedName>
    <definedName name="rhq" localSheetId="2">{"Book1"}</definedName>
    <definedName name="rhq" localSheetId="8">{"Book1"}</definedName>
    <definedName name="rhq">{"Book1"}</definedName>
    <definedName name="Riacove">#REF!</definedName>
    <definedName name="RJJRJR" localSheetId="1" hidden="1">{#N/A,#N/A,FALSE,"주간공정";#N/A,#N/A,FALSE,"주간보고";#N/A,#N/A,FALSE,"주간공정표"}</definedName>
    <definedName name="RJJRJR" localSheetId="2" hidden="1">{#N/A,#N/A,FALSE,"주간공정";#N/A,#N/A,FALSE,"주간보고";#N/A,#N/A,FALSE,"주간공정표"}</definedName>
    <definedName name="RJJRJR" localSheetId="8" hidden="1">{#N/A,#N/A,FALSE,"주간공정";#N/A,#N/A,FALSE,"주간보고";#N/A,#N/A,FALSE,"주간공정표"}</definedName>
    <definedName name="RJJRJR" hidden="1">{#N/A,#N/A,FALSE,"주간공정";#N/A,#N/A,FALSE,"주간보고";#N/A,#N/A,FALSE,"주간공정표"}</definedName>
    <definedName name="rkd" localSheetId="1" hidden="1">{#N/A,#N/A,FALSE,"CCTV"}</definedName>
    <definedName name="rkd" localSheetId="2" hidden="1">{#N/A,#N/A,FALSE,"CCTV"}</definedName>
    <definedName name="rkd" localSheetId="8" hidden="1">{#N/A,#N/A,FALSE,"CCTV"}</definedName>
    <definedName name="rkd" hidden="1">{#N/A,#N/A,FALSE,"CCTV"}</definedName>
    <definedName name="rkdkd" localSheetId="1" hidden="1">{#N/A,#N/A,FALSE,"2~8번"}</definedName>
    <definedName name="rkdkd" localSheetId="2" hidden="1">{#N/A,#N/A,FALSE,"2~8번"}</definedName>
    <definedName name="rkdkd" localSheetId="8" hidden="1">{#N/A,#N/A,FALSE,"2~8번"}</definedName>
    <definedName name="rkdkd" hidden="1">{#N/A,#N/A,FALSE,"2~8번"}</definedName>
    <definedName name="RKDLKS" localSheetId="1" hidden="1">{#N/A,#N/A,TRUE,"1";#N/A,#N/A,TRUE,"2";#N/A,#N/A,TRUE,"3";#N/A,#N/A,TRUE,"4";#N/A,#N/A,TRUE,"5";#N/A,#N/A,TRUE,"6";#N/A,#N/A,TRUE,"7"}</definedName>
    <definedName name="RKDLKS" localSheetId="2" hidden="1">{#N/A,#N/A,TRUE,"1";#N/A,#N/A,TRUE,"2";#N/A,#N/A,TRUE,"3";#N/A,#N/A,TRUE,"4";#N/A,#N/A,TRUE,"5";#N/A,#N/A,TRUE,"6";#N/A,#N/A,TRUE,"7"}</definedName>
    <definedName name="RKDLKS" localSheetId="8" hidden="1">{#N/A,#N/A,TRUE,"1";#N/A,#N/A,TRUE,"2";#N/A,#N/A,TRUE,"3";#N/A,#N/A,TRUE,"4";#N/A,#N/A,TRUE,"5";#N/A,#N/A,TRUE,"6";#N/A,#N/A,TRUE,"7"}</definedName>
    <definedName name="RKDLKS" hidden="1">{#N/A,#N/A,TRUE,"1";#N/A,#N/A,TRUE,"2";#N/A,#N/A,TRUE,"3";#N/A,#N/A,TRUE,"4";#N/A,#N/A,TRUE,"5";#N/A,#N/A,TRUE,"6";#N/A,#N/A,TRUE,"7"}</definedName>
    <definedName name="RKRKRKRK" localSheetId="1" hidden="1">{#N/A,#N/A,FALSE,"주간공정";#N/A,#N/A,FALSE,"주간보고";#N/A,#N/A,FALSE,"주간공정표"}</definedName>
    <definedName name="RKRKRKRK" localSheetId="2" hidden="1">{#N/A,#N/A,FALSE,"주간공정";#N/A,#N/A,FALSE,"주간보고";#N/A,#N/A,FALSE,"주간공정표"}</definedName>
    <definedName name="RKRKRKRK" localSheetId="8" hidden="1">{#N/A,#N/A,FALSE,"주간공정";#N/A,#N/A,FALSE,"주간보고";#N/A,#N/A,FALSE,"주간공정표"}</definedName>
    <definedName name="RKRKRKRK" hidden="1">{#N/A,#N/A,FALSE,"주간공정";#N/A,#N/A,FALSE,"주간보고";#N/A,#N/A,FALSE,"주간공정표"}</definedName>
    <definedName name="RO" localSheetId="1" hidden="1">#REF!</definedName>
    <definedName name="RO" hidden="1">#REF!</definedName>
    <definedName name="Road" localSheetId="1" hidden="1">{"'Sheet1'!$L$16"}</definedName>
    <definedName name="Road" localSheetId="2" hidden="1">{"'Sheet1'!$L$16"}</definedName>
    <definedName name="Road" localSheetId="8" hidden="1">{"'Sheet1'!$L$16"}</definedName>
    <definedName name="Road" hidden="1">{"'Sheet1'!$L$16"}</definedName>
    <definedName name="row" localSheetId="1" hidden="1">#REF!</definedName>
    <definedName name="row" hidden="1">#REF!</definedName>
    <definedName name="RPLA" localSheetId="1" hidden="1">{"'Sheet1'!$L$16"}</definedName>
    <definedName name="RPLA" localSheetId="2" hidden="1">{"'Sheet1'!$L$16"}</definedName>
    <definedName name="RPLA" localSheetId="8" hidden="1">{"'Sheet1'!$L$16"}</definedName>
    <definedName name="RPLA" hidden="1">{"'Sheet1'!$L$16"}</definedName>
    <definedName name="rr" localSheetId="1" hidden="1">{#N/A,#N/A,FALSE,"단가표지"}</definedName>
    <definedName name="rr" localSheetId="2" hidden="1">{#N/A,#N/A,FALSE,"단가표지"}</definedName>
    <definedName name="rr" localSheetId="8" hidden="1">{#N/A,#N/A,FALSE,"단가표지"}</definedName>
    <definedName name="rr" hidden="1">{#N/A,#N/A,FALSE,"단가표지"}</definedName>
    <definedName name="rrr" localSheetId="1" hidden="1">{"'Sheet1'!$L$16"}</definedName>
    <definedName name="rrr" localSheetId="2" hidden="1">{"'Sheet1'!$L$16"}</definedName>
    <definedName name="rrr" localSheetId="8" hidden="1">{"'Sheet1'!$L$16"}</definedName>
    <definedName name="rrr" hidden="1">{"'Sheet1'!$L$16"}</definedName>
    <definedName name="rrrr" localSheetId="1" hidden="1">{"'Sheet1'!$L$16"}</definedName>
    <definedName name="rrrr" localSheetId="2" hidden="1">{"'Sheet1'!$L$16"}</definedName>
    <definedName name="rrrr" localSheetId="8" hidden="1">{"'Sheet1'!$L$16"}</definedName>
    <definedName name="rrrr" hidden="1">{"'Sheet1'!$L$16"}</definedName>
    <definedName name="rrrrr" localSheetId="1" hidden="1">{"'장비'!$A$3:$M$12"}</definedName>
    <definedName name="rrrrr" localSheetId="2" hidden="1">{"'장비'!$A$3:$M$12"}</definedName>
    <definedName name="rrrrr" localSheetId="8" hidden="1">{"'장비'!$A$3:$M$12"}</definedName>
    <definedName name="rrrrr" hidden="1">{"'장비'!$A$3:$M$12"}</definedName>
    <definedName name="rrrrrr" localSheetId="1" hidden="1">#REF!</definedName>
    <definedName name="rrrrrr" hidden="1">#REF!</definedName>
    <definedName name="rrrrrrrr" localSheetId="1" hidden="1">{"'장비'!$A$3:$M$12"}</definedName>
    <definedName name="rrrrrrrr" localSheetId="2" hidden="1">{"'장비'!$A$3:$M$12"}</definedName>
    <definedName name="rrrrrrrr" localSheetId="8" hidden="1">{"'장비'!$A$3:$M$12"}</definedName>
    <definedName name="rrrrrrrr" hidden="1">{"'장비'!$A$3:$M$12"}</definedName>
    <definedName name="rrrrrrrrrr" localSheetId="1" hidden="1">{"'Sheet1'!$L$16"}</definedName>
    <definedName name="rrrrrrrrrr" localSheetId="2" hidden="1">{"'Sheet1'!$L$16"}</definedName>
    <definedName name="rrrrrrrrrr" localSheetId="8" hidden="1">{"'Sheet1'!$L$16"}</definedName>
    <definedName name="rrrrrrrrrr" hidden="1">{"'Sheet1'!$L$16"}</definedName>
    <definedName name="rrttt" localSheetId="1" hidden="1">{#N/A,#N/A,FALSE,"Chi tiÆt"}</definedName>
    <definedName name="rrttt" localSheetId="2" hidden="1">{#N/A,#N/A,FALSE,"Chi tiÆt"}</definedName>
    <definedName name="rrttt" localSheetId="8" hidden="1">{#N/A,#N/A,FALSE,"Chi tiÆt"}</definedName>
    <definedName name="rrttt" hidden="1">{#N/A,#N/A,FALSE,"Chi tiÆt"}</definedName>
    <definedName name="rsls" localSheetId="1" hidden="1">{"'Sheet1'!$L$16"}</definedName>
    <definedName name="rsls" localSheetId="2" hidden="1">{"'Sheet1'!$L$16"}</definedName>
    <definedName name="rsls" localSheetId="8" hidden="1">{"'Sheet1'!$L$16"}</definedName>
    <definedName name="rsls" hidden="1">{"'Sheet1'!$L$16"}</definedName>
    <definedName name="rss" localSheetId="1" hidden="1">#REF!</definedName>
    <definedName name="rss" hidden="1">#REF!</definedName>
    <definedName name="rt" localSheetId="1" hidden="1">#REF!</definedName>
    <definedName name="rt" hidden="1">#REF!</definedName>
    <definedName name="rtjhgjgh" hidden="1">#REF!</definedName>
    <definedName name="RTJR" localSheetId="1" hidden="1">{"'Sheet1'!$L$16"}</definedName>
    <definedName name="RTJR" localSheetId="2" hidden="1">{"'Sheet1'!$L$16"}</definedName>
    <definedName name="RTJR" localSheetId="8" hidden="1">{"'Sheet1'!$L$16"}</definedName>
    <definedName name="RTJR" hidden="1">{"'Sheet1'!$L$16"}</definedName>
    <definedName name="RTWR" localSheetId="1" hidden="1">{"'Sheet1'!$L$16"}</definedName>
    <definedName name="RTWR" localSheetId="2" hidden="1">{"'Sheet1'!$L$16"}</definedName>
    <definedName name="RTWR" localSheetId="8" hidden="1">{"'Sheet1'!$L$16"}</definedName>
    <definedName name="RTWR" hidden="1">{"'Sheet1'!$L$16"}</definedName>
    <definedName name="rty" localSheetId="1" hidden="1">{"'용역비'!$A$4:$C$8"}</definedName>
    <definedName name="rty" localSheetId="2" hidden="1">{"'용역비'!$A$4:$C$8"}</definedName>
    <definedName name="rty" localSheetId="8" hidden="1">{"'용역비'!$A$4:$C$8"}</definedName>
    <definedName name="rty" hidden="1">{"'용역비'!$A$4:$C$8"}</definedName>
    <definedName name="RTYE" localSheetId="1" hidden="1">{"'장비'!$A$3:$M$12"}</definedName>
    <definedName name="RTYE" localSheetId="2" hidden="1">{"'장비'!$A$3:$M$12"}</definedName>
    <definedName name="RTYE" localSheetId="8" hidden="1">{"'장비'!$A$3:$M$12"}</definedName>
    <definedName name="RTYE" hidden="1">{"'장비'!$A$3:$M$12"}</definedName>
    <definedName name="rtyreyey" localSheetId="1" hidden="1">{"'Sheet1'!$L$16"}</definedName>
    <definedName name="rtyreyey" localSheetId="2" hidden="1">{"'Sheet1'!$L$16"}</definedName>
    <definedName name="rtyreyey" localSheetId="8" hidden="1">{"'Sheet1'!$L$16"}</definedName>
    <definedName name="rtyreyey" hidden="1">{"'Sheet1'!$L$16"}</definedName>
    <definedName name="rtyrtyt" localSheetId="1" hidden="1">#REF!</definedName>
    <definedName name="rtyrtyt" hidden="1">#REF!</definedName>
    <definedName name="rtytry" localSheetId="1" hidden="1">#REF!</definedName>
    <definedName name="rtytry" hidden="1">#REF!</definedName>
    <definedName name="rth" localSheetId="1" hidden="1">{"'용역비'!$A$4:$C$8"}</definedName>
    <definedName name="rth" localSheetId="2" hidden="1">{"'용역비'!$A$4:$C$8"}</definedName>
    <definedName name="rth" localSheetId="8" hidden="1">{"'용역비'!$A$4:$C$8"}</definedName>
    <definedName name="rth" hidden="1">{"'용역비'!$A$4:$C$8"}</definedName>
    <definedName name="rtr" localSheetId="1" hidden="1">{"'Break down'!$A$4"}</definedName>
    <definedName name="rtr" hidden="1">#REF!</definedName>
    <definedName name="rtrđhjkl" localSheetId="1" hidden="1">{#N/A,#N/A,FALSE,"Chi tiÆt"}</definedName>
    <definedName name="rtrđhjkl" localSheetId="2" hidden="1">{#N/A,#N/A,FALSE,"Chi tiÆt"}</definedName>
    <definedName name="rtrđhjkl" localSheetId="8" hidden="1">{#N/A,#N/A,FALSE,"Chi tiÆt"}</definedName>
    <definedName name="rtrđhjkl" hidden="1">{#N/A,#N/A,FALSE,"Chi tiÆt"}</definedName>
    <definedName name="rtrt" localSheetId="1" hidden="1">{"'Sheet1'!$L$16"}</definedName>
    <definedName name="rtrt" localSheetId="2" hidden="1">{"'Sheet1'!$L$16"}</definedName>
    <definedName name="rtrt" localSheetId="8" hidden="1">{"'Sheet1'!$L$16"}</definedName>
    <definedName name="rtrt" hidden="1">{"'Sheet1'!$L$16"}</definedName>
    <definedName name="rưerew" localSheetId="1" hidden="1">{"'Sheet1'!$L$16"}</definedName>
    <definedName name="rưerew" localSheetId="2" hidden="1">{"'Sheet1'!$L$16"}</definedName>
    <definedName name="rưerew" localSheetId="8" hidden="1">{"'Sheet1'!$L$16"}</definedName>
    <definedName name="rưerew" hidden="1">{"'Sheet1'!$L$16"}</definedName>
    <definedName name="RƯET" localSheetId="1" hidden="1">{"'Sheet1'!$L$16"}</definedName>
    <definedName name="RƯET" localSheetId="2" hidden="1">{"'Sheet1'!$L$16"}</definedName>
    <definedName name="RƯET" localSheetId="8" hidden="1">{"'Sheet1'!$L$16"}</definedName>
    <definedName name="RƯET" hidden="1">{"'Sheet1'!$L$16"}</definedName>
    <definedName name="RƯT4WTW" localSheetId="1" hidden="1">{"'Sheet1'!$L$16"}</definedName>
    <definedName name="RƯT4WTW" localSheetId="2" hidden="1">{"'Sheet1'!$L$16"}</definedName>
    <definedName name="RƯT4WTW" localSheetId="8" hidden="1">{"'Sheet1'!$L$16"}</definedName>
    <definedName name="RƯT4WTW" hidden="1">{"'Sheet1'!$L$16"}</definedName>
    <definedName name="RVO">#REF!</definedName>
    <definedName name="rweqrwe" localSheetId="1" hidden="1">{"'Sheet1'!$L$16"}</definedName>
    <definedName name="rweqrwe" localSheetId="2" hidden="1">{"'Sheet1'!$L$16"}</definedName>
    <definedName name="rweqrwe" localSheetId="8" hidden="1">{"'Sheet1'!$L$16"}</definedName>
    <definedName name="rweqrwe" hidden="1">{"'Sheet1'!$L$16"}</definedName>
    <definedName name="RYTRYTR" hidden="1">#REF!</definedName>
    <definedName name="ryuk" localSheetId="1" hidden="1">{"'용역비'!$A$4:$C$8"}</definedName>
    <definedName name="ryuk" localSheetId="2" hidden="1">{"'용역비'!$A$4:$C$8"}</definedName>
    <definedName name="ryuk" localSheetId="8" hidden="1">{"'용역비'!$A$4:$C$8"}</definedName>
    <definedName name="ryuk" hidden="1">{"'용역비'!$A$4:$C$8"}</definedName>
    <definedName name="s" localSheetId="1" hidden="1">{"'Sheet1'!$L$16"}</definedName>
    <definedName name="s" localSheetId="2" hidden="1">{"'Sheet1'!$L$16"}</definedName>
    <definedName name="s" localSheetId="8" hidden="1">{"'Sheet1'!$L$16"}</definedName>
    <definedName name="s" hidden="1">{"'Sheet1'!$L$16"}</definedName>
    <definedName name="sa" localSheetId="1" hidden="1">{"'Sheet1'!$L$16"}</definedName>
    <definedName name="sa" localSheetId="2" hidden="1">{"'Sheet1'!$L$16"}</definedName>
    <definedName name="sa" localSheetId="8" hidden="1">{"'Sheet1'!$L$16"}</definedName>
    <definedName name="sa" hidden="1">{"'Sheet1'!$L$16"}</definedName>
    <definedName name="sà" localSheetId="1" hidden="1">#REF!</definedName>
    <definedName name="sà" hidden="1">#REF!</definedName>
    <definedName name="saa" localSheetId="1" hidden="1">{#N/A,#N/A,FALSE,"Sheet2";#N/A,#N/A,FALSE,"Sheet4";#N/A,#N/A,FALSE,"Sheet6"}</definedName>
    <definedName name="saa" localSheetId="2" hidden="1">{#N/A,#N/A,FALSE,"Sheet2";#N/A,#N/A,FALSE,"Sheet4";#N/A,#N/A,FALSE,"Sheet6"}</definedName>
    <definedName name="saa" localSheetId="8" hidden="1">{#N/A,#N/A,FALSE,"Sheet2";#N/A,#N/A,FALSE,"Sheet4";#N/A,#N/A,FALSE,"Sheet6"}</definedName>
    <definedName name="saa" hidden="1">{#N/A,#N/A,FALSE,"Sheet2";#N/A,#N/A,FALSE,"Sheet4";#N/A,#N/A,FALSE,"Sheet6"}</definedName>
    <definedName name="saada" localSheetId="1" hidden="1">{#N/A,#N/A,FALSE,"特殊室（ＢＱ表）"}</definedName>
    <definedName name="saada" localSheetId="2" hidden="1">{#N/A,#N/A,FALSE,"特殊室（ＢＱ表）"}</definedName>
    <definedName name="saada" localSheetId="8" hidden="1">{#N/A,#N/A,FALSE,"特殊室（ＢＱ表）"}</definedName>
    <definedName name="saada" hidden="1">{#N/A,#N/A,FALSE,"特殊室（ＢＱ表）"}</definedName>
    <definedName name="SADASC" localSheetId="1" hidden="1">{"'Sheet1'!$L$16"}</definedName>
    <definedName name="SADASC" localSheetId="2" hidden="1">{"'Sheet1'!$L$16"}</definedName>
    <definedName name="SADASC" localSheetId="8" hidden="1">{"'Sheet1'!$L$16"}</definedName>
    <definedName name="SADASC" hidden="1">{"'Sheet1'!$L$16"}</definedName>
    <definedName name="sadcs" localSheetId="1" hidden="1">{"'Sheet1'!$L$16"}</definedName>
    <definedName name="sadcs" localSheetId="2" hidden="1">{"'Sheet1'!$L$16"}</definedName>
    <definedName name="sadcs" localSheetId="8" hidden="1">{"'Sheet1'!$L$16"}</definedName>
    <definedName name="sadcs" hidden="1">{"'Sheet1'!$L$16"}</definedName>
    <definedName name="sadf¸a" localSheetId="1" hidden="1">{"'Sheet1'!$L$16"}</definedName>
    <definedName name="sadf¸a" localSheetId="2" hidden="1">{"'Sheet1'!$L$16"}</definedName>
    <definedName name="sadf¸a" localSheetId="8" hidden="1">{"'Sheet1'!$L$16"}</definedName>
    <definedName name="sadf¸a" hidden="1">{"'Sheet1'!$L$16"}</definedName>
    <definedName name="sadSa" localSheetId="1" hidden="1">{#N/A,#N/A,FALSE,"Chi tiÆt"}</definedName>
    <definedName name="sadSa" localSheetId="2" hidden="1">{#N/A,#N/A,FALSE,"Chi tiÆt"}</definedName>
    <definedName name="sadSa" localSheetId="8" hidden="1">{#N/A,#N/A,FALSE,"Chi tiÆt"}</definedName>
    <definedName name="sadSa" hidden="1">{#N/A,#N/A,FALSE,"Chi tiÆt"}</definedName>
    <definedName name="SADSAD" localSheetId="1" hidden="1">#REF!</definedName>
    <definedName name="SADSAD" hidden="1">#REF!</definedName>
    <definedName name="sadsgfjhkhluiluil" localSheetId="1" hidden="1">#REF!</definedName>
    <definedName name="sadsgfjhkhluiluil" hidden="1">#REF!</definedName>
    <definedName name="SAFCS" localSheetId="1" hidden="1">#REF!</definedName>
    <definedName name="SAFCS" hidden="1">#REF!</definedName>
    <definedName name="safd" localSheetId="1" hidden="1">{#N/A,#N/A,FALSE,"MARCH"}</definedName>
    <definedName name="safd" localSheetId="2" hidden="1">{#N/A,#N/A,FALSE,"MARCH"}</definedName>
    <definedName name="safd" localSheetId="8" hidden="1">{#N/A,#N/A,FALSE,"MARCH"}</definedName>
    <definedName name="safd" hidden="1">{#N/A,#N/A,FALSE,"MARCH"}</definedName>
    <definedName name="safdaf" hidden="1">#REF!</definedName>
    <definedName name="safEF" localSheetId="1" hidden="1">{#N/A,#N/A,FALSE,"MARCH"}</definedName>
    <definedName name="safEF" localSheetId="2" hidden="1">{#N/A,#N/A,FALSE,"MARCH"}</definedName>
    <definedName name="safEF" localSheetId="8" hidden="1">{#N/A,#N/A,FALSE,"MARCH"}</definedName>
    <definedName name="safEF" hidden="1">{#N/A,#N/A,FALSE,"MARCH"}</definedName>
    <definedName name="safsdg" hidden="1">#REF!</definedName>
    <definedName name="sagawa" localSheetId="1" hidden="1">#REF!</definedName>
    <definedName name="sagawa" hidden="1">#REF!</definedName>
    <definedName name="sailech" localSheetId="1" hidden="1">{"Offgrid",#N/A,FALSE,"OFFGRID";"Region",#N/A,FALSE,"REGION";"Offgrid -2",#N/A,FALSE,"OFFGRID";"WTP",#N/A,FALSE,"WTP";"WTP -2",#N/A,FALSE,"WTP";"Project",#N/A,FALSE,"PROJECT";"Summary -2",#N/A,FALSE,"SUMMARY"}</definedName>
    <definedName name="sailech" localSheetId="2" hidden="1">{"Offgrid",#N/A,FALSE,"OFFGRID";"Region",#N/A,FALSE,"REGION";"Offgrid -2",#N/A,FALSE,"OFFGRID";"WTP",#N/A,FALSE,"WTP";"WTP -2",#N/A,FALSE,"WTP";"Project",#N/A,FALSE,"PROJECT";"Summary -2",#N/A,FALSE,"SUMMARY"}</definedName>
    <definedName name="sailech" localSheetId="8" hidden="1">{"Offgrid",#N/A,FALSE,"OFFGRID";"Region",#N/A,FALSE,"REGION";"Offgrid -2",#N/A,FALSE,"OFFGRID";"WTP",#N/A,FALSE,"WTP";"WTP -2",#N/A,FALSE,"WTP";"Project",#N/A,FALSE,"PROJECT";"Summary -2",#N/A,FALSE,"SUMMARY"}</definedName>
    <definedName name="sailech" hidden="1">{"Offgrid",#N/A,FALSE,"OFFGRID";"Region",#N/A,FALSE,"REGION";"Offgrid -2",#N/A,FALSE,"OFFGRID";"WTP",#N/A,FALSE,"WTP";"WTP -2",#N/A,FALSE,"WTP";"Project",#N/A,FALSE,"PROJECT";"Summary -2",#N/A,FALSE,"SUMMARY"}</definedName>
    <definedName name="Sample" hidden="1">#REF!</definedName>
    <definedName name="san" localSheetId="1" hidden="1">{"'Sheet1'!$L$16"}</definedName>
    <definedName name="san" localSheetId="2" hidden="1">{"'Sheet1'!$L$16"}</definedName>
    <definedName name="san" localSheetId="8" hidden="1">{"'Sheet1'!$L$16"}</definedName>
    <definedName name="san" hidden="1">{"'Sheet1'!$L$16"}</definedName>
    <definedName name="sang" localSheetId="1" hidden="1">{"'Sheet1'!$L$16"}</definedName>
    <definedName name="sang" localSheetId="2" hidden="1">{"'Sheet1'!$L$16"}</definedName>
    <definedName name="sang" localSheetId="8"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localSheetId="1" hidden="1">{"'Sheet1'!$L$16"}</definedName>
    <definedName name="sas" hidden="1">#REF!</definedName>
    <definedName name="sasa" localSheetId="1" hidden="1">{#N/A,#N/A,FALSE,"Sheet1";#N/A,#N/A,FALSE,"Sheet3";#N/A,#N/A,FALSE,"Sheet5"}</definedName>
    <definedName name="sasa" localSheetId="2" hidden="1">{#N/A,#N/A,FALSE,"Sheet1";#N/A,#N/A,FALSE,"Sheet3";#N/A,#N/A,FALSE,"Sheet5"}</definedName>
    <definedName name="sasa" localSheetId="8" hidden="1">{#N/A,#N/A,FALSE,"Sheet1";#N/A,#N/A,FALSE,"Sheet3";#N/A,#N/A,FALSE,"Sheet5"}</definedName>
    <definedName name="sasa" hidden="1">{#N/A,#N/A,FALSE,"Sheet1";#N/A,#N/A,FALSE,"Sheet3";#N/A,#N/A,FALSE,"Sheet5"}</definedName>
    <definedName name="SAVDSVVAV" localSheetId="1" hidden="1">{"'Sheet1'!$L$16"}</definedName>
    <definedName name="SAVDSVVAV" localSheetId="2" hidden="1">{"'Sheet1'!$L$16"}</definedName>
    <definedName name="SAVDSVVAV" localSheetId="8" hidden="1">{"'Sheet1'!$L$16"}</definedName>
    <definedName name="SAVDSVVAV" hidden="1">{"'Sheet1'!$L$16"}</definedName>
    <definedName name="sb">#REF!</definedName>
    <definedName name="SBSDGBRS" localSheetId="1" hidden="1">{"'Sheet1'!$L$16"}</definedName>
    <definedName name="SBSDGBRS" localSheetId="2" hidden="1">{"'Sheet1'!$L$16"}</definedName>
    <definedName name="SBSDGBRS" localSheetId="8" hidden="1">{"'Sheet1'!$L$16"}</definedName>
    <definedName name="SBSDGBRS" hidden="1">{"'Sheet1'!$L$16"}</definedName>
    <definedName name="sc" localSheetId="1" hidden="1">{"'ELEC'!$A$2:$H$216","'ELEC'!$C$2:$D$2"}</definedName>
    <definedName name="sc" localSheetId="2" hidden="1">{"'ELEC'!$A$2:$H$216","'ELEC'!$C$2:$D$2"}</definedName>
    <definedName name="sc" localSheetId="8" hidden="1">{"'ELEC'!$A$2:$H$216","'ELEC'!$C$2:$D$2"}</definedName>
    <definedName name="sc" hidden="1">{"'ELEC'!$A$2:$H$216","'ELEC'!$C$2:$D$2"}</definedName>
    <definedName name="Scaffolding" localSheetId="1" hidden="1">{"'Break down'!$A$4"}</definedName>
    <definedName name="Scaffolding" localSheetId="2" hidden="1">{"'Break down'!$A$4"}</definedName>
    <definedName name="Scaffolding" localSheetId="8" hidden="1">{"'Break down'!$A$4"}</definedName>
    <definedName name="Scaffolding" hidden="1">{"'Break down'!$A$4"}</definedName>
    <definedName name="scẪ" localSheetId="1" hidden="1">{"'Sheet1'!$L$16"}</definedName>
    <definedName name="scẪ" localSheetId="2" hidden="1">{"'Sheet1'!$L$16"}</definedName>
    <definedName name="scẪ" localSheetId="8" hidden="1">{"'Sheet1'!$L$16"}</definedName>
    <definedName name="scẪ" hidden="1">{"'Sheet1'!$L$16"}</definedName>
    <definedName name="scÂC" localSheetId="1" hidden="1">{"'Sheet1'!$L$16"}</definedName>
    <definedName name="scÂC" localSheetId="2" hidden="1">{"'Sheet1'!$L$16"}</definedName>
    <definedName name="scÂC" localSheetId="8" hidden="1">{"'Sheet1'!$L$16"}</definedName>
    <definedName name="scÂC" hidden="1">{"'Sheet1'!$L$16"}</definedName>
    <definedName name="sCol" localSheetId="1" hidden="1">zIsDgiaCTiet_Gia.VTu*2+3</definedName>
    <definedName name="sCol" localSheetId="2" hidden="1">zIsDgiaCTiet_Gia.VTu*2+3</definedName>
    <definedName name="sCol" localSheetId="8" hidden="1">zIsDgiaCTiet_Gia.VTu*2+3</definedName>
    <definedName name="sCol" hidden="1">zIsDgiaCTiet_Gia.VTu*2+3</definedName>
    <definedName name="sctcn" localSheetId="1" hidden="1">{"'Sheet1'!$L$16"}</definedName>
    <definedName name="sctcn" localSheetId="2" hidden="1">{"'Sheet1'!$L$16"}</definedName>
    <definedName name="sctcn" localSheetId="8" hidden="1">{"'Sheet1'!$L$16"}</definedName>
    <definedName name="sctcn" hidden="1">{"'Sheet1'!$L$16"}</definedName>
    <definedName name="SCTX" localSheetId="1" hidden="1">{"'Sheet1'!$L$16"}</definedName>
    <definedName name="SCTX" localSheetId="2" hidden="1">{"'Sheet1'!$L$16"}</definedName>
    <definedName name="SCTX" localSheetId="8" hidden="1">{"'Sheet1'!$L$16"}</definedName>
    <definedName name="SCTX" hidden="1">{"'Sheet1'!$L$16"}</definedName>
    <definedName name="SCURVE" localSheetId="1" hidden="1">#REF!</definedName>
    <definedName name="SCURVE" hidden="1">#REF!</definedName>
    <definedName name="scw">#REF!</definedName>
    <definedName name="scxca" localSheetId="1" hidden="1">{"'Sheet1'!$L$16"}</definedName>
    <definedName name="scxca" localSheetId="2" hidden="1">{"'Sheet1'!$L$16"}</definedName>
    <definedName name="scxca" localSheetId="8" hidden="1">{"'Sheet1'!$L$16"}</definedName>
    <definedName name="scxca" hidden="1">{"'Sheet1'!$L$16"}</definedName>
    <definedName name="schedule" localSheetId="1" hidden="1">{"'Sheet1'!$L$16"}</definedName>
    <definedName name="schedule" localSheetId="2" hidden="1">{"'Sheet1'!$L$16"}</definedName>
    <definedName name="schedule" localSheetId="8" hidden="1">{"'Sheet1'!$L$16"}</definedName>
    <definedName name="schedule" hidden="1">{"'Sheet1'!$L$16"}</definedName>
    <definedName name="schedule.nos" hidden="1">#REF!</definedName>
    <definedName name="SD" localSheetId="1" hidden="1">{"'ELEC'!$A$2:$H$216","'ELEC'!$C$2:$D$2"}</definedName>
    <definedName name="sd" localSheetId="2" hidden="1">{"'Sheet1'!$L$16"}</definedName>
    <definedName name="sd" localSheetId="8" hidden="1">{"'Sheet1'!$L$16"}</definedName>
    <definedName name="sd" hidden="1">{"'Sheet1'!$L$16"}</definedName>
    <definedName name="sda" localSheetId="1" hidden="1">#REF!</definedName>
    <definedName name="sda" hidden="1">#REF!</definedName>
    <definedName name="sdad" localSheetId="1" hidden="1">{"'Sheet1'!$L$16"}</definedName>
    <definedName name="sdad" localSheetId="2" hidden="1">{"'Sheet1'!$L$16"}</definedName>
    <definedName name="sdad" localSheetId="8" hidden="1">{"'Sheet1'!$L$16"}</definedName>
    <definedName name="sdad" hidden="1">{"'Sheet1'!$L$16"}</definedName>
    <definedName name="sdaf" localSheetId="1" hidden="1">{"'Sheet1'!$L$16"}</definedName>
    <definedName name="sdaf" localSheetId="2" hidden="1">{"'Sheet1'!$L$16"}</definedName>
    <definedName name="sdaf" localSheetId="8" hidden="1">{"'Sheet1'!$L$16"}</definedName>
    <definedName name="sdaf" hidden="1">{"'Sheet1'!$L$16"}</definedName>
    <definedName name="sdasa" localSheetId="1" hidden="1">{#N/A,#N/A,TRUE,"SUM";#N/A,#N/A,TRUE,"EE";#N/A,#N/A,TRUE,"AC";#N/A,#N/A,TRUE,"SN"}</definedName>
    <definedName name="sdasa" localSheetId="2" hidden="1">{#N/A,#N/A,TRUE,"SUM";#N/A,#N/A,TRUE,"EE";#N/A,#N/A,TRUE,"AC";#N/A,#N/A,TRUE,"SN"}</definedName>
    <definedName name="sdasa" localSheetId="8" hidden="1">{#N/A,#N/A,TRUE,"SUM";#N/A,#N/A,TRUE,"EE";#N/A,#N/A,TRUE,"AC";#N/A,#N/A,TRUE,"SN"}</definedName>
    <definedName name="sdasa" hidden="1">{#N/A,#N/A,TRUE,"SUM";#N/A,#N/A,TRUE,"EE";#N/A,#N/A,TRUE,"AC";#N/A,#N/A,TRUE,"SN"}</definedName>
    <definedName name="sdbv" localSheetId="1" hidden="1">{"'Sheet1'!$L$16"}</definedName>
    <definedName name="sdbv" localSheetId="2" hidden="1">{"'Sheet1'!$L$16"}</definedName>
    <definedName name="sdbv" localSheetId="8" hidden="1">{"'Sheet1'!$L$16"}</definedName>
    <definedName name="sdbv" hidden="1">{"'Sheet1'!$L$16"}</definedName>
    <definedName name="sdcsd" localSheetId="1" hidden="1">{"'Sheet1'!$L$16"}</definedName>
    <definedName name="sdcsd" localSheetId="2" hidden="1">{"'Sheet1'!$L$16"}</definedName>
    <definedName name="sdcsd" localSheetId="8" hidden="1">{"'Sheet1'!$L$16"}</definedName>
    <definedName name="sdcsd" hidden="1">{"'Sheet1'!$L$16"}</definedName>
    <definedName name="sdd" localSheetId="1" hidden="1">{"'Sheet1'!$L$16"}</definedName>
    <definedName name="sdd" localSheetId="2" hidden="1">{"'Sheet1'!$L$16"}</definedName>
    <definedName name="sdd" localSheetId="8" hidden="1">{"'Sheet1'!$L$16"}</definedName>
    <definedName name="sdd" hidden="1">{"'Sheet1'!$L$16"}</definedName>
    <definedName name="sddsd" localSheetId="1" hidden="1">{"'Break down'!$A$4"}</definedName>
    <definedName name="sddsd" localSheetId="2" hidden="1">{"'Break down'!$A$4"}</definedName>
    <definedName name="sddsd" localSheetId="8" hidden="1">{"'Break down'!$A$4"}</definedName>
    <definedName name="sddsd" hidden="1">{"'Break down'!$A$4"}</definedName>
    <definedName name="sdf" localSheetId="1" hidden="1">#REF!</definedName>
    <definedName name="sdf" localSheetId="2" hidden="1">{"'Sheet1'!$L$16"}</definedName>
    <definedName name="sdf" localSheetId="8" hidden="1">{"'Sheet1'!$L$16"}</definedName>
    <definedName name="sdf" hidden="1">{"'Sheet1'!$L$16"}</definedName>
    <definedName name="sdfas" localSheetId="1" hidden="1">{"'Sheet1'!$L$16"}</definedName>
    <definedName name="sdfas" localSheetId="2" hidden="1">{"'Sheet1'!$L$16"}</definedName>
    <definedName name="sdfas" localSheetId="8" hidden="1">{"'Sheet1'!$L$16"}</definedName>
    <definedName name="sdfas" hidden="1">{"'Sheet1'!$L$16"}</definedName>
    <definedName name="SDFASFSA" localSheetId="1" hidden="1">{"'Sheet1'!$L$16"}</definedName>
    <definedName name="SDFASFSA" localSheetId="2" hidden="1">{"'Sheet1'!$L$16"}</definedName>
    <definedName name="SDFASFSA" localSheetId="8" hidden="1">{"'Sheet1'!$L$16"}</definedName>
    <definedName name="SDFASFSA" hidden="1">{"'Sheet1'!$L$16"}</definedName>
    <definedName name="sdfastgawtwqetr" hidden="1">#REF!</definedName>
    <definedName name="sdfda" localSheetId="1" hidden="1">{"'Sheet1'!$L$16"}</definedName>
    <definedName name="sdfda" localSheetId="2" hidden="1">{"'Sheet1'!$L$16"}</definedName>
    <definedName name="sdfda" localSheetId="8" hidden="1">{"'Sheet1'!$L$16"}</definedName>
    <definedName name="sdfda" hidden="1">{"'Sheet1'!$L$16"}</definedName>
    <definedName name="SDFDS" localSheetId="1" hidden="1">{"'Sheet1'!$L$16"}</definedName>
    <definedName name="SDFDS" localSheetId="2" hidden="1">{"'Sheet1'!$L$16"}</definedName>
    <definedName name="SDFDS" localSheetId="8" hidden="1">{"'Sheet1'!$L$16"}</definedName>
    <definedName name="SDFDS" hidden="1">{"'Sheet1'!$L$16"}</definedName>
    <definedName name="sdfdsfdsf" localSheetId="1" hidden="1">{"'Sheet1'!$L$16"}</definedName>
    <definedName name="sdfdsfdsf" localSheetId="2" hidden="1">{"'Sheet1'!$L$16"}</definedName>
    <definedName name="sdfdsfdsf" localSheetId="8" hidden="1">{"'Sheet1'!$L$16"}</definedName>
    <definedName name="sdfdsfdsf" hidden="1">{"'Sheet1'!$L$16"}</definedName>
    <definedName name="sdfgdfg" hidden="1">#REF!</definedName>
    <definedName name="sdfgsdfg" localSheetId="1" hidden="1">#REF!</definedName>
    <definedName name="sdfgsdfg" hidden="1">#REF!</definedName>
    <definedName name="sdfgsdfrg" localSheetId="1" hidden="1">#REF!</definedName>
    <definedName name="sdfgsdfrg" hidden="1">#REF!</definedName>
    <definedName name="sdfhsf" hidden="1">#REF!</definedName>
    <definedName name="sdfs" localSheetId="1" hidden="1">#REF!</definedName>
    <definedName name="sdfs" hidden="1">#REF!</definedName>
    <definedName name="sdfsd" hidden="1">#REF!</definedName>
    <definedName name="sdfsdf" localSheetId="1" hidden="1">#REF!</definedName>
    <definedName name="sdfsdf" hidden="1">#REF!</definedName>
    <definedName name="SDFSDFS" localSheetId="1" hidden="1">{"'Sheet1'!$L$16"}</definedName>
    <definedName name="SDFSDFS" localSheetId="2" hidden="1">{"'Sheet1'!$L$16"}</definedName>
    <definedName name="SDFSDFS" localSheetId="8" hidden="1">{"'Sheet1'!$L$16"}</definedName>
    <definedName name="SDFSDFS" hidden="1">{"'Sheet1'!$L$16"}</definedName>
    <definedName name="sdfsdfsd" localSheetId="1" hidden="1">{"'Sheet1'!$L$16"}</definedName>
    <definedName name="sdfsdfsd" localSheetId="2" hidden="1">{"'Sheet1'!$L$16"}</definedName>
    <definedName name="sdfsdfsd" localSheetId="8" hidden="1">{"'Sheet1'!$L$16"}</definedName>
    <definedName name="sdfsdfsd" hidden="1">{"'Sheet1'!$L$16"}</definedName>
    <definedName name="SDFSDGD" localSheetId="1" hidden="1">{"'Sheet1'!$L$16"}</definedName>
    <definedName name="SDFSDGD" localSheetId="2" hidden="1">{"'Sheet1'!$L$16"}</definedName>
    <definedName name="SDFSDGD" localSheetId="8" hidden="1">{"'Sheet1'!$L$16"}</definedName>
    <definedName name="SDFSDGD" hidden="1">{"'Sheet1'!$L$16"}</definedName>
    <definedName name="SDFSDGF" localSheetId="1" hidden="1">{"'Sheet1'!$L$16"}</definedName>
    <definedName name="SDFSDGF" localSheetId="2" hidden="1">{"'Sheet1'!$L$16"}</definedName>
    <definedName name="SDFSDGF" localSheetId="8" hidden="1">{"'Sheet1'!$L$16"}</definedName>
    <definedName name="SDFSDGF" hidden="1">{"'Sheet1'!$L$16"}</definedName>
    <definedName name="sdfsdgfdg" localSheetId="1" hidden="1">#REF!</definedName>
    <definedName name="sdfsdgfdg" hidden="1">#REF!</definedName>
    <definedName name="SDFSE" localSheetId="1" hidden="1">{"'Sheet1'!$L$16"}</definedName>
    <definedName name="SDFSE" localSheetId="2" hidden="1">{"'Sheet1'!$L$16"}</definedName>
    <definedName name="SDFSE" localSheetId="8" hidden="1">{"'Sheet1'!$L$16"}</definedName>
    <definedName name="SDFSE" hidden="1">{"'Sheet1'!$L$16"}</definedName>
    <definedName name="sdfsfd" localSheetId="1" hidden="1">{"'Sheet1'!$L$16"}</definedName>
    <definedName name="sdfsfd" localSheetId="2" hidden="1">{"'Sheet1'!$L$16"}</definedName>
    <definedName name="sdfsfd" localSheetId="8" hidden="1">{"'Sheet1'!$L$16"}</definedName>
    <definedName name="sdfsfd" hidden="1">{"'Sheet1'!$L$16"}</definedName>
    <definedName name="sdg" localSheetId="1" hidden="1">#REF!</definedName>
    <definedName name="sdg" hidden="1">#REF!</definedName>
    <definedName name="SDGSDG" localSheetId="1" hidden="1">{"'Sheet1'!$L$16"}</definedName>
    <definedName name="SDGSDG" localSheetId="2" hidden="1">{"'Sheet1'!$L$16"}</definedName>
    <definedName name="SDGSDG" localSheetId="8" hidden="1">{"'Sheet1'!$L$16"}</definedName>
    <definedName name="SDGSDG" hidden="1">{"'Sheet1'!$L$16"}</definedName>
    <definedName name="SDGSDHET" localSheetId="1" hidden="1">{"'Sheet1'!$L$16"}</definedName>
    <definedName name="SDGSDHET" localSheetId="2" hidden="1">{"'Sheet1'!$L$16"}</definedName>
    <definedName name="SDGSDHET" localSheetId="8" hidden="1">{"'Sheet1'!$L$16"}</definedName>
    <definedName name="SDGSDHET" hidden="1">{"'Sheet1'!$L$16"}</definedName>
    <definedName name="SDGWRSRWG" localSheetId="1" hidden="1">{"'Sheet1'!$L$16"}</definedName>
    <definedName name="SDGWRSRWG" localSheetId="2" hidden="1">{"'Sheet1'!$L$16"}</definedName>
    <definedName name="SDGWRSRWG" localSheetId="8" hidden="1">{"'Sheet1'!$L$16"}</definedName>
    <definedName name="SDGWRSRWG" hidden="1">{"'Sheet1'!$L$16"}</definedName>
    <definedName name="sdryhj" localSheetId="1" hidden="1">{"'용역비'!$A$4:$C$8"}</definedName>
    <definedName name="sdryhj" localSheetId="2" hidden="1">{"'용역비'!$A$4:$C$8"}</definedName>
    <definedName name="sdryhj" localSheetId="8" hidden="1">{"'용역비'!$A$4:$C$8"}</definedName>
    <definedName name="sdryhj" hidden="1">{"'용역비'!$A$4:$C$8"}</definedName>
    <definedName name="SDS" localSheetId="1" hidden="1">{#N/A,#N/A,FALSE,"Sheet1";#N/A,#N/A,FALSE,"Sheet3";#N/A,#N/A,FALSE,"Sheet5"}</definedName>
    <definedName name="SDS" localSheetId="2" hidden="1">{#N/A,#N/A,FALSE,"Sheet1";#N/A,#N/A,FALSE,"Sheet3";#N/A,#N/A,FALSE,"Sheet5"}</definedName>
    <definedName name="SDS" localSheetId="8" hidden="1">{#N/A,#N/A,FALSE,"Sheet1";#N/A,#N/A,FALSE,"Sheet3";#N/A,#N/A,FALSE,"Sheet5"}</definedName>
    <definedName name="SDS" hidden="1">{#N/A,#N/A,FALSE,"Sheet1";#N/A,#N/A,FALSE,"Sheet3";#N/A,#N/A,FALSE,"Sheet5"}</definedName>
    <definedName name="SDSD" localSheetId="1" hidden="1">{#N/A,#N/A,FALSE,"Sheet1";#N/A,#N/A,FALSE,"Sheet3";#N/A,#N/A,FALSE,"Sheet5"}</definedName>
    <definedName name="SDSD" localSheetId="2" hidden="1">{#N/A,#N/A,FALSE,"Sheet1";#N/A,#N/A,FALSE,"Sheet3";#N/A,#N/A,FALSE,"Sheet5"}</definedName>
    <definedName name="SDSD" localSheetId="8" hidden="1">{#N/A,#N/A,FALSE,"Sheet1";#N/A,#N/A,FALSE,"Sheet3";#N/A,#N/A,FALSE,"Sheet5"}</definedName>
    <definedName name="SDSD" hidden="1">{#N/A,#N/A,FALSE,"Sheet1";#N/A,#N/A,FALSE,"Sheet3";#N/A,#N/A,FALSE,"Sheet5"}</definedName>
    <definedName name="SDSDSD" localSheetId="1" hidden="1">{#N/A,#N/A,FALSE,"CCTV"}</definedName>
    <definedName name="SDSDSD" hidden="1">#REF!</definedName>
    <definedName name="sdsdwdwdd" localSheetId="1" hidden="1">#REF!</definedName>
    <definedName name="sdsdwdwdd" hidden="1">#REF!</definedName>
    <definedName name="sdssd" hidden="1">#REF!</definedName>
    <definedName name="sdz" localSheetId="1" hidden="1">{"'Sheet1'!$L$16"}</definedName>
    <definedName name="sdz" localSheetId="2" hidden="1">{"'Sheet1'!$L$16"}</definedName>
    <definedName name="sdz" localSheetId="8" hidden="1">{"'Sheet1'!$L$16"}</definedName>
    <definedName name="sdz" hidden="1">{"'Sheet1'!$L$16"}</definedName>
    <definedName name="sđ" localSheetId="1" hidden="1">{"'Sheet1'!$L$16"}</definedName>
    <definedName name="sđ" localSheetId="2" hidden="1">{"'Sheet1'!$L$16"}</definedName>
    <definedName name="sđ" localSheetId="8" hidden="1">{"'Sheet1'!$L$16"}</definedName>
    <definedName name="sđ" hidden="1">{"'Sheet1'!$L$16"}</definedName>
    <definedName name="SE" localSheetId="1" hidden="1">{"'용역비'!$A$4:$C$8"}</definedName>
    <definedName name="SE" localSheetId="2" hidden="1">{"'용역비'!$A$4:$C$8"}</definedName>
    <definedName name="SE" localSheetId="8" hidden="1">{"'용역비'!$A$4:$C$8"}</definedName>
    <definedName name="SE" hidden="1">{"'용역비'!$A$4:$C$8"}</definedName>
    <definedName name="SEC.C1" hidden="1">#REF!</definedName>
    <definedName name="sen" localSheetId="1" hidden="1">{"'Sheet1'!$L$16"}</definedName>
    <definedName name="sen" localSheetId="2" hidden="1">{"'Sheet1'!$L$16"}</definedName>
    <definedName name="sen" localSheetId="8" hidden="1">{"'Sheet1'!$L$16"}</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localSheetId="1" hidden="1">{#N/A,#N/A,FALSE,"이태원철근"}</definedName>
    <definedName name="SERVICE" localSheetId="2" hidden="1">{#N/A,#N/A,FALSE,"이태원철근"}</definedName>
    <definedName name="SERVICE" localSheetId="8" hidden="1">{#N/A,#N/A,FALSE,"이태원철근"}</definedName>
    <definedName name="SERVICE" hidden="1">{#N/A,#N/A,FALSE,"이태원철근"}</definedName>
    <definedName name="sétbs" hidden="1">#REF!</definedName>
    <definedName name="SFA" localSheetId="1" hidden="1">#REF!</definedName>
    <definedName name="SFA" hidden="1">#REF!</definedName>
    <definedName name="SFBAS" localSheetId="1" hidden="1">{"'Sheet1'!$L$16"}</definedName>
    <definedName name="SFBAS" localSheetId="2" hidden="1">{"'Sheet1'!$L$16"}</definedName>
    <definedName name="SFBAS" localSheetId="8" hidden="1">{"'Sheet1'!$L$16"}</definedName>
    <definedName name="SFBAS" hidden="1">{"'Sheet1'!$L$16"}</definedName>
    <definedName name="sfdgdfgfhgjgjgjghj" hidden="1">#REF!</definedName>
    <definedName name="sfdgnl"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localSheetId="1" hidden="1">#REF!</definedName>
    <definedName name="sfdh" hidden="1">#REF!</definedName>
    <definedName name="SFEFSG" localSheetId="1" hidden="1">{"'Sheet1'!$L$16"}</definedName>
    <definedName name="SFEFSG" localSheetId="2" hidden="1">{"'Sheet1'!$L$16"}</definedName>
    <definedName name="SFEFSG" localSheetId="8" hidden="1">{"'Sheet1'!$L$16"}</definedName>
    <definedName name="SFEFSG" hidden="1">{"'Sheet1'!$L$16"}</definedName>
    <definedName name="sfg" localSheetId="1" hidden="1">{"'Sheet1'!$L$16"}</definedName>
    <definedName name="sfg" localSheetId="2" hidden="1">{"'Sheet1'!$L$16"}</definedName>
    <definedName name="sfg" localSheetId="8" hidden="1">{"'Sheet1'!$L$16"}</definedName>
    <definedName name="sfg" hidden="1">{"'Sheet1'!$L$16"}</definedName>
    <definedName name="sfsafsfds" localSheetId="1" hidden="1">{"'Sheet1'!$L$16"}</definedName>
    <definedName name="sfsafsfds" localSheetId="2" hidden="1">{"'Sheet1'!$L$16"}</definedName>
    <definedName name="sfsafsfds" localSheetId="8" hidden="1">{"'Sheet1'!$L$16"}</definedName>
    <definedName name="sfsafsfds" hidden="1">{"'Sheet1'!$L$16"}</definedName>
    <definedName name="sfsd" localSheetId="1" hidden="1">{"'Sheet1'!$L$16"}</definedName>
    <definedName name="sfsd" localSheetId="2" hidden="1">{"'Sheet1'!$L$16"}</definedName>
    <definedName name="sfsd" localSheetId="8" hidden="1">{"'Sheet1'!$L$16"}</definedName>
    <definedName name="sfsd" hidden="1">{"'Sheet1'!$L$16"}</definedName>
    <definedName name="sfsdg" localSheetId="1" hidden="1">{"'Sheet1'!$L$16"}</definedName>
    <definedName name="sfsdg" localSheetId="2" hidden="1">{"'Sheet1'!$L$16"}</definedName>
    <definedName name="sfsdg" localSheetId="8" hidden="1">{"'Sheet1'!$L$16"}</definedName>
    <definedName name="sfsdg" hidden="1">{"'Sheet1'!$L$16"}</definedName>
    <definedName name="SFSFS" localSheetId="1" hidden="1">{"'Sheet1'!$L$16"}</definedName>
    <definedName name="SFSFS" localSheetId="2" hidden="1">{"'Sheet1'!$L$16"}</definedName>
    <definedName name="SFSFS" localSheetId="8" hidden="1">{"'Sheet1'!$L$16"}</definedName>
    <definedName name="SFSFS" hidden="1">{"'Sheet1'!$L$16"}</definedName>
    <definedName name="sfsfsfas" localSheetId="1" hidden="1">{"'Sheet1'!$L$16"}</definedName>
    <definedName name="sfsfsfas" localSheetId="2" hidden="1">{"'Sheet1'!$L$16"}</definedName>
    <definedName name="sfsfsfas" localSheetId="8" hidden="1">{"'Sheet1'!$L$16"}</definedName>
    <definedName name="sfsfsfas" hidden="1">{"'Sheet1'!$L$16"}</definedName>
    <definedName name="sgasgreg" hidden="1">#REF!</definedName>
    <definedName name="sgawt4r4" hidden="1">#REF!</definedName>
    <definedName name="SGBR1200" localSheetId="1" hidden="1">#REF!</definedName>
    <definedName name="SGBR1200" hidden="1">#REF!</definedName>
    <definedName name="sgd">17073</definedName>
    <definedName name="sgdfgsd" hidden="1">#REF!</definedName>
    <definedName name="sgfdgdf" localSheetId="1" hidden="1">{"'Sheet1'!$L$16"}</definedName>
    <definedName name="sgfdgdf" localSheetId="2" hidden="1">{"'Sheet1'!$L$16"}</definedName>
    <definedName name="sgfdgdf" localSheetId="8" hidden="1">{"'Sheet1'!$L$16"}</definedName>
    <definedName name="sgfdgdf" hidden="1">{"'Sheet1'!$L$16"}</definedName>
    <definedName name="sgfhsdhe" localSheetId="1" hidden="1">{"'Sheet1'!$L$16"}</definedName>
    <definedName name="sgfhsdhe" localSheetId="2" hidden="1">{"'Sheet1'!$L$16"}</definedName>
    <definedName name="sgfhsdhe" localSheetId="8" hidden="1">{"'Sheet1'!$L$16"}</definedName>
    <definedName name="sgfhsdhe" hidden="1">{"'Sheet1'!$L$16"}</definedName>
    <definedName name="SGG" localSheetId="1" hidden="1">{"'Sheet1'!$L$16"}</definedName>
    <definedName name="SGG" localSheetId="2" hidden="1">{"'Sheet1'!$L$16"}</definedName>
    <definedName name="SGG" localSheetId="8" hidden="1">{"'Sheet1'!$L$16"}</definedName>
    <definedName name="SGG" hidden="1">{"'Sheet1'!$L$16"}</definedName>
    <definedName name="sgjhk" localSheetId="1" hidden="1">{"'Sheet1'!$L$16"}</definedName>
    <definedName name="sgjhk" localSheetId="2" hidden="1">{"'Sheet1'!$L$16"}</definedName>
    <definedName name="sgjhk" localSheetId="8" hidden="1">{"'Sheet1'!$L$16"}</definedName>
    <definedName name="sgjhk" hidden="1">{"'Sheet1'!$L$16"}</definedName>
    <definedName name="sgjyti" localSheetId="1" hidden="1">{"'Sheet1'!$L$16"}</definedName>
    <definedName name="sgjyti" localSheetId="2" hidden="1">{"'Sheet1'!$L$16"}</definedName>
    <definedName name="sgjyti" localSheetId="8" hidden="1">{"'Sheet1'!$L$16"}</definedName>
    <definedName name="sgjyti" hidden="1">{"'Sheet1'!$L$16"}</definedName>
    <definedName name="sgs" localSheetId="1" hidden="1">{"'Sheet1'!$L$16"}</definedName>
    <definedName name="sgs" localSheetId="2" hidden="1">{"'Sheet1'!$L$16"}</definedName>
    <definedName name="sgs" localSheetId="8" hidden="1">{"'Sheet1'!$L$16"}</definedName>
    <definedName name="sgs" hidden="1">{"'Sheet1'!$L$16"}</definedName>
    <definedName name="sgsdg" localSheetId="1" hidden="1">{"'Sheet1'!$L$16"}</definedName>
    <definedName name="sgsdg" localSheetId="2" hidden="1">{"'Sheet1'!$L$16"}</definedName>
    <definedName name="sgsdg" localSheetId="8" hidden="1">{"'Sheet1'!$L$16"}</definedName>
    <definedName name="sgsdg" hidden="1">{"'Sheet1'!$L$16"}</definedName>
    <definedName name="sgsr" localSheetId="1" hidden="1">{"'Sheet1'!$L$16"}</definedName>
    <definedName name="sgsr" localSheetId="2" hidden="1">{"'Sheet1'!$L$16"}</definedName>
    <definedName name="sgsr" localSheetId="8" hidden="1">{"'Sheet1'!$L$16"}</definedName>
    <definedName name="sgsr" hidden="1">{"'Sheet1'!$L$16"}</definedName>
    <definedName name="shee12" localSheetId="1" hidden="1">{"'Sheet1'!$L$16"}</definedName>
    <definedName name="shee12" localSheetId="2" hidden="1">{"'Sheet1'!$L$16"}</definedName>
    <definedName name="shee12" localSheetId="8" hidden="1">{"'Sheet1'!$L$16"}</definedName>
    <definedName name="shee12" hidden="1">{"'Sheet1'!$L$16"}</definedName>
    <definedName name="sheet" localSheetId="1" hidden="1">{"'Sheet1'!$L$16"}</definedName>
    <definedName name="sheet" localSheetId="2" hidden="1">{"'Sheet1'!$L$16"}</definedName>
    <definedName name="sheet" localSheetId="8" hidden="1">{"'Sheet1'!$L$16"}</definedName>
    <definedName name="sheet" hidden="1">{"'Sheet1'!$L$16"}</definedName>
    <definedName name="sheet1" localSheetId="1" hidden="1">{#N/A,#N/A,FALSE,"CCTV"}</definedName>
    <definedName name="sheet1" localSheetId="2" hidden="1">{#N/A,#N/A,FALSE,"CCTV"}</definedName>
    <definedName name="sheet1" localSheetId="8" hidden="1">{#N/A,#N/A,FALSE,"CCTV"}</definedName>
    <definedName name="sheet1" hidden="1">{#N/A,#N/A,FALSE,"CCTV"}</definedName>
    <definedName name="SHEET100" hidden="1">#REF!</definedName>
    <definedName name="Sheet2" localSheetId="1" hidden="1">{#N/A,#N/A,FALSE,"Sheet1"}</definedName>
    <definedName name="Sheet2" localSheetId="2" hidden="1">{#N/A,#N/A,FALSE,"Sheet1"}</definedName>
    <definedName name="Sheet2" localSheetId="8" hidden="1">{#N/A,#N/A,FALSE,"Sheet1"}</definedName>
    <definedName name="Sheet2" hidden="1">{#N/A,#N/A,FALSE,"Sheet1"}</definedName>
    <definedName name="sheet3" localSheetId="1" hidden="1">{"NGUYEN QUI THIEP - Personal View",#N/A,FALSE,"XDCB.HT.FUR."}</definedName>
    <definedName name="sheet3" localSheetId="2" hidden="1">{"NGUYEN QUI THIEP - Personal View",#N/A,FALSE,"XDCB.HT.FUR."}</definedName>
    <definedName name="sheet3" localSheetId="8" hidden="1">{"NGUYEN QUI THIEP - Personal View",#N/A,FALSE,"XDCB.HT.FUR."}</definedName>
    <definedName name="sheet3" hidden="1">{"NGUYEN QUI THIEP - Personal View",#N/A,FALSE,"XDCB.HT.FUR."}</definedName>
    <definedName name="sheet4" localSheetId="1" hidden="1">{"NGUYEN QUI THIEP - Personal View",#N/A,FALSE,"XDCB.HT.FUR."}</definedName>
    <definedName name="sheet4" localSheetId="2" hidden="1">{"NGUYEN QUI THIEP - Personal View",#N/A,FALSE,"XDCB.HT.FUR."}</definedName>
    <definedName name="sheet4" localSheetId="8" hidden="1">{"NGUYEN QUI THIEP - Personal View",#N/A,FALSE,"XDCB.HT.FUR."}</definedName>
    <definedName name="sheet4" hidden="1">{"NGUYEN QUI THIEP - Personal View",#N/A,FALSE,"XDCB.HT.FUR."}</definedName>
    <definedName name="sheet5" localSheetId="1" hidden="1">{"'Sheet1'!$L$16"}</definedName>
    <definedName name="sheet5" localSheetId="2" hidden="1">{"'Sheet1'!$L$16"}</definedName>
    <definedName name="sheet5" localSheetId="8" hidden="1">{"'Sheet1'!$L$16"}</definedName>
    <definedName name="sheet5" hidden="1">{"'Sheet1'!$L$16"}</definedName>
    <definedName name="shsrhtr" localSheetId="1" hidden="1">{"'Sheet1'!$L$16"}</definedName>
    <definedName name="shsrhtr" localSheetId="2" hidden="1">{"'Sheet1'!$L$16"}</definedName>
    <definedName name="shsrhtr" localSheetId="8" hidden="1">{"'Sheet1'!$L$16"}</definedName>
    <definedName name="shsrhtr" hidden="1">{"'Sheet1'!$L$16"}</definedName>
    <definedName name="sHsVlNcCm" localSheetId="1" hidden="1">VALUE(IF(LEFT(OFFSET(Acell,0,-4),1)="A",dTHKP_HsVl,IF(LEFT(OFFSET(Acell,0,-4),1)="B",dTHKP_HsNc,dTHKP_HsCm)))</definedName>
    <definedName name="sHsVlNcCm" localSheetId="2" hidden="1">VALUE(IF(LEFT(OFFSET(Acell,0,-4),1)="A",dTHKP_HsVl,IF(LEFT(OFFSET(Acell,0,-4),1)="B",dTHKP_HsNc,dTHKP_HsCm)))</definedName>
    <definedName name="sHsVlNcCm" localSheetId="8" hidden="1">VALUE(IF(LEFT(OFFSET(Acell,0,-4),1)="A",dTHKP_HsVl,IF(LEFT(OFFSET(Acell,0,-4),1)="B",dTHKP_HsNc,dTHKP_HsCm)))</definedName>
    <definedName name="sHsVlNcCm" hidden="1">VALUE(IF(LEFT(OFFSET(Acell,0,-4),1)="A",dTHKP_HsVl,IF(LEFT(OFFSET(Acell,0,-4),1)="B",dTHKP_HsNc,dTHKP_HsCm)))</definedName>
    <definedName name="silo4" localSheetId="1" hidden="1">{"'ELEC'!$A$2:$H$216","'ELEC'!$C$2:$D$2"}</definedName>
    <definedName name="silo4" localSheetId="2" hidden="1">{"'ELEC'!$A$2:$H$216","'ELEC'!$C$2:$D$2"}</definedName>
    <definedName name="silo4" localSheetId="8" hidden="1">{"'ELEC'!$A$2:$H$216","'ELEC'!$C$2:$D$2"}</definedName>
    <definedName name="silo4" hidden="1">{"'ELEC'!$A$2:$H$216","'ELEC'!$C$2:$D$2"}</definedName>
    <definedName name="site.ref" hidden="1">#REF!</definedName>
    <definedName name="sj" hidden="1">#REF!</definedName>
    <definedName name="SK">0.1</definedName>
    <definedName name="skskksksks" localSheetId="1" hidden="1">{#N/A,#N/A,FALSE,"주간공정";#N/A,#N/A,FALSE,"주간보고";#N/A,#N/A,FALSE,"주간공정표"}</definedName>
    <definedName name="skskksksks" localSheetId="2" hidden="1">{#N/A,#N/A,FALSE,"주간공정";#N/A,#N/A,FALSE,"주간보고";#N/A,#N/A,FALSE,"주간공정표"}</definedName>
    <definedName name="skskksksks" localSheetId="8" hidden="1">{#N/A,#N/A,FALSE,"주간공정";#N/A,#N/A,FALSE,"주간보고";#N/A,#N/A,FALSE,"주간공정표"}</definedName>
    <definedName name="skskksksks" hidden="1">{#N/A,#N/A,FALSE,"주간공정";#N/A,#N/A,FALSE,"주간보고";#N/A,#N/A,FALSE,"주간공정표"}</definedName>
    <definedName name="sl">#REF!</definedName>
    <definedName name="slab3" localSheetId="1" hidden="1">#REF!</definedName>
    <definedName name="slab3" hidden="1">#REF!</definedName>
    <definedName name="sMh" localSheetId="1" hidden="1">IF(LEFT(OFFSET(Acell,0,-6),1)="1",dVTu_Mh,IF(LEFT(OFFSET(Acell,0,-6),1)="2",dNCong_Mh,dCMay_Mh))</definedName>
    <definedName name="sMh" localSheetId="2" hidden="1">IF(LEFT(OFFSET(Acell,0,-6),1)="1",dVTu_Mh,IF(LEFT(OFFSET(Acell,0,-6),1)="2",dNCong_Mh,dCMay_Mh))</definedName>
    <definedName name="sMh" localSheetId="8" hidden="1">IF(LEFT(OFFSET(Acell,0,-6),1)="1",dVTu_Mh,IF(LEFT(OFFSET(Acell,0,-6),1)="2",dNCong_Mh,dCMay_Mh))</definedName>
    <definedName name="sMh" hidden="1">IF(LEFT(OFFSET(Acell,0,-6),1)="1",dVTu_Mh,IF(LEFT(OFFSET(Acell,0,-6),1)="2",dNCong_Mh,dCMay_Mh))</definedName>
    <definedName name="sName" localSheetId="1" hidden="1">IF(LEFT(OFFSET(Acell,0,-6),1)="1",dVTu_Name,IF(LEFT(OFFSET(Acell,0,-6),1)="2",dNCong_Name,dCMay_Name))</definedName>
    <definedName name="sName" localSheetId="2" hidden="1">IF(LEFT(OFFSET(Acell,0,-6),1)="1",dVTu_Name,IF(LEFT(OFFSET(Acell,0,-6),1)="2",dNCong_Name,dCMay_Name))</definedName>
    <definedName name="sName" localSheetId="8" hidden="1">IF(LEFT(OFFSET(Acell,0,-6),1)="1",dVTu_Name,IF(LEFT(OFFSET(Acell,0,-6),1)="2",dNCong_Name,dCMay_Name))</definedName>
    <definedName name="sName" hidden="1">IF(LEFT(OFFSET(Acell,0,-6),1)="1",dVTu_Name,IF(LEFT(OFFSET(Acell,0,-6),1)="2",dNCong_Name,dCMay_Name))</definedName>
    <definedName name="sodu" localSheetId="1" hidden="1">{"'Sheet1'!$L$16"}</definedName>
    <definedName name="sodu" localSheetId="2" hidden="1">{"'Sheet1'!$L$16"}</definedName>
    <definedName name="sodu" localSheetId="8" hidden="1">{"'Sheet1'!$L$16"}</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1" hidden="1">binary</definedName>
    <definedName name="solver_rhs5" localSheetId="2" hidden="1">binary</definedName>
    <definedName name="solver_rhs5" localSheetId="8"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localSheetId="1" hidden="1">1</definedName>
    <definedName name="solver_typ" hidden="1">3</definedName>
    <definedName name="solver_val" localSheetId="1" hidden="1">0</definedName>
    <definedName name="solver_val" hidden="1">231184</definedName>
    <definedName name="son" localSheetId="1" hidden="1">{"'Sheet1'!$L$16"}</definedName>
    <definedName name="SON" localSheetId="2" hidden="1">{#N/A,#N/A,FALSE,"CCTV"}</definedName>
    <definedName name="SON" localSheetId="8" hidden="1">{#N/A,#N/A,FALSE,"CCTV"}</definedName>
    <definedName name="SON" hidden="1">{#N/A,#N/A,FALSE,"CCTV"}</definedName>
    <definedName name="sort" localSheetId="1" hidden="1">#REF!</definedName>
    <definedName name="sort" hidden="1">#REF!</definedName>
    <definedName name="Sosanh2" localSheetId="1" hidden="1">{"'Sheet1'!$L$16"}</definedName>
    <definedName name="Sosanh2" localSheetId="2" hidden="1">{"'Sheet1'!$L$16"}</definedName>
    <definedName name="Sosanh2" localSheetId="8" hidden="1">{"'Sheet1'!$L$16"}</definedName>
    <definedName name="Sosanh2" hidden="1">{"'Sheet1'!$L$16"}</definedName>
    <definedName name="sp_lk">#REF!</definedName>
    <definedName name="Spample" localSheetId="1" hidden="1">{"'Sheet1'!$L$16"}</definedName>
    <definedName name="Spample" localSheetId="2" hidden="1">{"'Sheet1'!$L$16"}</definedName>
    <definedName name="Spample" localSheetId="8" hidden="1">{"'Sheet1'!$L$16"}</definedName>
    <definedName name="Spample" hidden="1">{"'Sheet1'!$L$16"}</definedName>
    <definedName name="Spanner_Auto_File">"C:\My Documents\tinh cdo.x2a"</definedName>
    <definedName name="SpecialPrice" localSheetId="1" hidden="1">#REF!</definedName>
    <definedName name="SpecialPrice" hidden="1">#REF!</definedName>
    <definedName name="spp" localSheetId="1" hidden="1">#REF!</definedName>
    <definedName name="spp" hidden="1">#REF!</definedName>
    <definedName name="sqw" localSheetId="1" hidden="1">#REF!</definedName>
    <definedName name="sqw" hidden="1">#REF!</definedName>
    <definedName name="sRng" localSheetId="1" hidden="1">IF(LEFT(OFFSET(Acell,0,-6),1)="1",dVTu_Rng,IF(LEFT(OFFSET(Acell,0,-6),1)="2",dNCong_Rng,dCMay_Rng))</definedName>
    <definedName name="sRng" localSheetId="2" hidden="1">IF(LEFT(OFFSET(Acell,0,-6),1)="1",dVTu_Rng,IF(LEFT(OFFSET(Acell,0,-6),1)="2",dNCong_Rng,dCMay_Rng))</definedName>
    <definedName name="sRng" localSheetId="8" hidden="1">IF(LEFT(OFFSET(Acell,0,-6),1)="1",dVTu_Rng,IF(LEFT(OFFSET(Acell,0,-6),1)="2",dNCong_Rng,dCMay_Rng))</definedName>
    <definedName name="sRng" hidden="1">IF(LEFT(OFFSET(Acell,0,-6),1)="1",dVTu_Rng,IF(LEFT(OFFSET(Acell,0,-6),1)="2",dNCong_Rng,dCMay_Rng))</definedName>
    <definedName name="srter" localSheetId="1" hidden="1">#REF!</definedName>
    <definedName name="srter" hidden="1">#REF!</definedName>
    <definedName name="SRTWER" localSheetId="1" hidden="1">{"'Sheet1'!$L$16"}</definedName>
    <definedName name="SRTWER" localSheetId="2" hidden="1">{"'Sheet1'!$L$16"}</definedName>
    <definedName name="SRTWER" localSheetId="8" hidden="1">{"'Sheet1'!$L$16"}</definedName>
    <definedName name="SRTWER" hidden="1">{"'Sheet1'!$L$16"}</definedName>
    <definedName name="srth" localSheetId="1" hidden="1">{"'용역비'!$A$4:$C$8"}</definedName>
    <definedName name="srth" localSheetId="2" hidden="1">{"'용역비'!$A$4:$C$8"}</definedName>
    <definedName name="srth" localSheetId="8" hidden="1">{"'용역비'!$A$4:$C$8"}</definedName>
    <definedName name="srth" hidden="1">{"'용역비'!$A$4:$C$8"}</definedName>
    <definedName name="SS" localSheetId="1" hidden="1">#REF!</definedName>
    <definedName name="ss" hidden="1">#REF!</definedName>
    <definedName name="sscsd" localSheetId="1" hidden="1">{"'Sheet1'!$L$16"}</definedName>
    <definedName name="sscsd" localSheetId="2" hidden="1">{"'Sheet1'!$L$16"}</definedName>
    <definedName name="sscsd" localSheetId="8" hidden="1">{"'Sheet1'!$L$16"}</definedName>
    <definedName name="sscsd" hidden="1">{"'Sheet1'!$L$16"}</definedName>
    <definedName name="sss" localSheetId="1" hidden="1">{#N/A,#N/A,FALSE,"전력간선"}</definedName>
    <definedName name="sss" localSheetId="2" hidden="1">{#N/A,#N/A,FALSE,"전력간선"}</definedName>
    <definedName name="sss" localSheetId="8" hidden="1">{#N/A,#N/A,FALSE,"전력간선"}</definedName>
    <definedName name="sss" hidden="1">{#N/A,#N/A,FALSE,"전력간선"}</definedName>
    <definedName name="sssdsdsd" localSheetId="1" hidden="1">#REF!</definedName>
    <definedName name="sssdsdsd" hidden="1">#REF!</definedName>
    <definedName name="ssss" localSheetId="1" hidden="1">#REF!</definedName>
    <definedName name="ssss" hidden="1">#REF!</definedName>
    <definedName name="ssss_1" localSheetId="1" hidden="1">{"ECA Qtrs C",#N/A,TRUE,"ECA_Qtrs_C";"ECA Qtrs D",#N/A,TRUE,"ECA_Qtrs_D";"ECA Qtrs F",#N/A,TRUE,"ECA_Qtrs_F";"ECA Qtrs G",#N/A,TRUE,"ECA_Qtrs_G";"ECA SisterApt",#N/A,TRUE,"ECA_SisterApt";"ECA Nurses",#N/A,TRUE,"ECA_NursesHostel"}</definedName>
    <definedName name="ssss_1" localSheetId="2" hidden="1">{"ECA Qtrs C",#N/A,TRUE,"ECA_Qtrs_C";"ECA Qtrs D",#N/A,TRUE,"ECA_Qtrs_D";"ECA Qtrs F",#N/A,TRUE,"ECA_Qtrs_F";"ECA Qtrs G",#N/A,TRUE,"ECA_Qtrs_G";"ECA SisterApt",#N/A,TRUE,"ECA_SisterApt";"ECA Nurses",#N/A,TRUE,"ECA_NursesHostel"}</definedName>
    <definedName name="ssss_1" localSheetId="8" hidden="1">{"ECA Qtrs C",#N/A,TRUE,"ECA_Qtrs_C";"ECA Qtrs D",#N/A,TRUE,"ECA_Qtrs_D";"ECA Qtrs F",#N/A,TRUE,"ECA_Qtrs_F";"ECA Qtrs G",#N/A,TRUE,"ECA_Qtrs_G";"ECA SisterApt",#N/A,TRUE,"ECA_SisterApt";"ECA Nurses",#N/A,TRUE,"ECA_NursesHostel"}</definedName>
    <definedName name="ssss_1" hidden="1">{"ECA Qtrs C",#N/A,TRUE,"ECA_Qtrs_C";"ECA Qtrs D",#N/A,TRUE,"ECA_Qtrs_D";"ECA Qtrs F",#N/A,TRUE,"ECA_Qtrs_F";"ECA Qtrs G",#N/A,TRUE,"ECA_Qtrs_G";"ECA SisterApt",#N/A,TRUE,"ECA_SisterApt";"ECA Nurses",#N/A,TRUE,"ECA_NursesHostel"}</definedName>
    <definedName name="ssssssss" localSheetId="1" hidden="1">{"Offgrid",#N/A,FALSE,"OFFGRID";"Region",#N/A,FALSE,"REGION";"Offgrid -2",#N/A,FALSE,"OFFGRID";"WTP",#N/A,FALSE,"WTP";"WTP -2",#N/A,FALSE,"WTP";"Project",#N/A,FALSE,"PROJECT";"Summary -2",#N/A,FALSE,"SUMMARY"}</definedName>
    <definedName name="ssssssss" localSheetId="2" hidden="1">{"Offgrid",#N/A,FALSE,"OFFGRID";"Region",#N/A,FALSE,"REGION";"Offgrid -2",#N/A,FALSE,"OFFGRID";"WTP",#N/A,FALSE,"WTP";"WTP -2",#N/A,FALSE,"WTP";"Project",#N/A,FALSE,"PROJECT";"Summary -2",#N/A,FALSE,"SUMMARY"}</definedName>
    <definedName name="ssssssss" localSheetId="8"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ssssssss" localSheetId="1" hidden="1">{#N/A,#N/A,FALSE,"Chi tiÆt"}</definedName>
    <definedName name="sssssssss" localSheetId="2" hidden="1">{#N/A,#N/A,FALSE,"Chi tiÆt"}</definedName>
    <definedName name="sssssssss" localSheetId="8" hidden="1">{#N/A,#N/A,FALSE,"Chi tiÆt"}</definedName>
    <definedName name="sssssssss" hidden="1">{#N/A,#N/A,FALSE,"Chi tiÆt"}</definedName>
    <definedName name="ST_TH2_131">3</definedName>
    <definedName name="steel">#REF!</definedName>
    <definedName name="STJST" localSheetId="1" hidden="1">{"'Sheet1'!$L$16"}</definedName>
    <definedName name="STJST" localSheetId="2" hidden="1">{"'Sheet1'!$L$16"}</definedName>
    <definedName name="STJST" localSheetId="8" hidden="1">{"'Sheet1'!$L$16"}</definedName>
    <definedName name="STJST" hidden="1">{"'Sheet1'!$L$16"}</definedName>
    <definedName name="STS" localSheetId="1" hidden="1">{"'용역비'!$A$4:$C$8"}</definedName>
    <definedName name="STS" localSheetId="2" hidden="1">{"'용역비'!$A$4:$C$8"}</definedName>
    <definedName name="STS" localSheetId="8" hidden="1">{"'용역비'!$A$4:$C$8"}</definedName>
    <definedName name="STS" hidden="1">{"'용역비'!$A$4:$C$8"}</definedName>
    <definedName name="sualoixm" localSheetId="1" hidden="1">{"Offgrid",#N/A,FALSE,"OFFGRID";"Region",#N/A,FALSE,"REGION";"Offgrid -2",#N/A,FALSE,"OFFGRID";"WTP",#N/A,FALSE,"WTP";"WTP -2",#N/A,FALSE,"WTP";"Project",#N/A,FALSE,"PROJECT";"Summary -2",#N/A,FALSE,"SUMMARY"}</definedName>
    <definedName name="sualoixm" localSheetId="2" hidden="1">{"Offgrid",#N/A,FALSE,"OFFGRID";"Region",#N/A,FALSE,"REGION";"Offgrid -2",#N/A,FALSE,"OFFGRID";"WTP",#N/A,FALSE,"WTP";"WTP -2",#N/A,FALSE,"WTP";"Project",#N/A,FALSE,"PROJECT";"Summary -2",#N/A,FALSE,"SUMMARY"}</definedName>
    <definedName name="sualoixm" localSheetId="8" hidden="1">{"Offgrid",#N/A,FALSE,"OFFGRID";"Region",#N/A,FALSE,"REGION";"Offgrid -2",#N/A,FALSE,"OFFGRID";"WTP",#N/A,FALSE,"WTP";"WTP -2",#N/A,FALSE,"WTP";"Project",#N/A,FALSE,"PROJECT";"Summary -2",#N/A,FALSE,"SUMMARY"}</definedName>
    <definedName name="sualoixm" hidden="1">{"Offgrid",#N/A,FALSE,"OFFGRID";"Region",#N/A,FALSE,"REGION";"Offgrid -2",#N/A,FALSE,"OFFGRID";"WTP",#N/A,FALSE,"WTP";"WTP -2",#N/A,FALSE,"WTP";"Project",#N/A,FALSE,"PROJECT";"Summary -2",#N/A,FALSE,"SUMMARY"}</definedName>
    <definedName name="suki" localSheetId="1" hidden="1">{#N/A,#N/A,TRUE,"Cover Memo";"Complete Sys. Estimate",#N/A,TRUE,"Change Summary";"Complete Sys. Estimate",#N/A,TRUE,"Estimate Summary";"Complete Sys. Estimate",#N/A,TRUE,"Dept. Summary";"Complete Sys. Estimate",#N/A,TRUE,"DOW Detail"}</definedName>
    <definedName name="suki" localSheetId="2" hidden="1">{#N/A,#N/A,TRUE,"Cover Memo";"Complete Sys. Estimate",#N/A,TRUE,"Change Summary";"Complete Sys. Estimate",#N/A,TRUE,"Estimate Summary";"Complete Sys. Estimate",#N/A,TRUE,"Dept. Summary";"Complete Sys. Estimate",#N/A,TRUE,"DOW Detail"}</definedName>
    <definedName name="suki" localSheetId="8" hidden="1">{#N/A,#N/A,TRUE,"Cover Memo";"Complete Sys. Estimate",#N/A,TRUE,"Change Summary";"Complete Sys. Estimate",#N/A,TRUE,"Estimate Summary";"Complete Sys. Estimate",#N/A,TRUE,"Dept. Summary";"Complete Sys. Estimate",#N/A,TRUE,"DOW Detail"}</definedName>
    <definedName name="suki" hidden="1">{#N/A,#N/A,TRUE,"Cover Memo";"Complete Sys. Estimate",#N/A,TRUE,"Change Summary";"Complete Sys. Estimate",#N/A,TRUE,"Estimate Summary";"Complete Sys. Estimate",#N/A,TRUE,"Dept. Summary";"Complete Sys. Estimate",#N/A,TRUE,"DOW Detail"}</definedName>
    <definedName name="sum" localSheetId="1">#REF!,#REF!</definedName>
    <definedName name="sum">#REF!,#REF!</definedName>
    <definedName name="sumimasenn" localSheetId="1" hidden="1">{"'Sheet1'!$L$16"}</definedName>
    <definedName name="sumimasenn" localSheetId="2" hidden="1">{"'Sheet1'!$L$16"}</definedName>
    <definedName name="sumimasenn" localSheetId="8" hidden="1">{"'Sheet1'!$L$16"}</definedName>
    <definedName name="sumimasenn" hidden="1">{"'Sheet1'!$L$16"}</definedName>
    <definedName name="summar" localSheetId="1" hidden="1">{#N/A,#N/A,FALSE,"特殊室（ＢＱ表）"}</definedName>
    <definedName name="summar" localSheetId="2" hidden="1">{#N/A,#N/A,TRUE,"SUM";#N/A,#N/A,TRUE,"EE";#N/A,#N/A,TRUE,"AC";#N/A,#N/A,TRUE,"SN"}</definedName>
    <definedName name="summar" localSheetId="8" hidden="1">{#N/A,#N/A,TRUE,"SUM";#N/A,#N/A,TRUE,"EE";#N/A,#N/A,TRUE,"AC";#N/A,#N/A,TRUE,"SN"}</definedName>
    <definedName name="summar" hidden="1">{#N/A,#N/A,TRUE,"SUM";#N/A,#N/A,TRUE,"EE";#N/A,#N/A,TRUE,"AC";#N/A,#N/A,TRUE,"SN"}</definedName>
    <definedName name="SUMMARY">#REF!</definedName>
    <definedName name="Summary_Budget_Form_For_Development_Expenditure">#REF!</definedName>
    <definedName name="SUMMARYQ" localSheetId="1">{"Thuxm2.xls","Sheet1"}</definedName>
    <definedName name="SUMMARYQ" localSheetId="2">{"Thuxm2.xls","Sheet1"}</definedName>
    <definedName name="SUMMARYQ" localSheetId="8">{"Thuxm2.xls","Sheet1"}</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localSheetId="1" hidden="1">{"'Sheet1'!$L$16"}</definedName>
    <definedName name="SUOIDOI2" localSheetId="2" hidden="1">{"'Sheet1'!$L$16"}</definedName>
    <definedName name="SUOIDOI2" localSheetId="8" hidden="1">{"'Sheet1'!$L$16"}</definedName>
    <definedName name="SUOIDOI2" hidden="1">{"'Sheet1'!$L$16"}</definedName>
    <definedName name="SWw" localSheetId="1" hidden="1">{#N/A,#N/A,TRUE,"SUM";#N/A,#N/A,TRUE,"EE";#N/A,#N/A,TRUE,"AC";#N/A,#N/A,TRUE,"SN"}</definedName>
    <definedName name="SWw" localSheetId="2" hidden="1">{#N/A,#N/A,TRUE,"SUM";#N/A,#N/A,TRUE,"EE";#N/A,#N/A,TRUE,"AC";#N/A,#N/A,TRUE,"SN"}</definedName>
    <definedName name="SWw" localSheetId="8" hidden="1">{#N/A,#N/A,TRUE,"SUM";#N/A,#N/A,TRUE,"EE";#N/A,#N/A,TRUE,"AC";#N/A,#N/A,TRUE,"SN"}</definedName>
    <definedName name="SWw" hidden="1">{#N/A,#N/A,TRUE,"SUM";#N/A,#N/A,TRUE,"EE";#N/A,#N/A,TRUE,"AC";#N/A,#N/A,TRUE,"SN"}</definedName>
    <definedName name="swㅗ" localSheetId="1" hidden="1">{#N/A,#N/A,FALSE,"집계표"}</definedName>
    <definedName name="swㅗ" localSheetId="2" hidden="1">{#N/A,#N/A,FALSE,"집계표"}</definedName>
    <definedName name="swㅗ" localSheetId="8" hidden="1">{#N/A,#N/A,FALSE,"집계표"}</definedName>
    <definedName name="swㅗ" hidden="1">{#N/A,#N/A,FALSE,"집계표"}</definedName>
    <definedName name="sxcsac" localSheetId="1" hidden="1">{"'Sheet1'!$L$16"}</definedName>
    <definedName name="sxcsac" localSheetId="2" hidden="1">{"'Sheet1'!$L$16"}</definedName>
    <definedName name="sxcsac" localSheetId="8" hidden="1">{"'Sheet1'!$L$16"}</definedName>
    <definedName name="sxcsac" hidden="1">{"'Sheet1'!$L$16"}</definedName>
    <definedName name="sxcxc" localSheetId="1" hidden="1">{"'Sheet1'!$L$16"}</definedName>
    <definedName name="sxcxc" localSheetId="2" hidden="1">{"'Sheet1'!$L$16"}</definedName>
    <definedName name="sxcxc" localSheetId="8" hidden="1">{"'Sheet1'!$L$16"}</definedName>
    <definedName name="sxcxc" hidden="1">{"'Sheet1'!$L$16"}</definedName>
    <definedName name="sy" hidden="1">#REF!</definedName>
    <definedName name="szdasda" localSheetId="1" hidden="1">{#N/A,#N/A,FALSE,"Chi tiÆt"}</definedName>
    <definedName name="szdasda" localSheetId="2" hidden="1">{#N/A,#N/A,FALSE,"Chi tiÆt"}</definedName>
    <definedName name="szdasda" localSheetId="8" hidden="1">{#N/A,#N/A,FALSE,"Chi tiÆt"}</definedName>
    <definedName name="szdasda" hidden="1">{#N/A,#N/A,FALSE,"Chi tiÆt"}</definedName>
    <definedName name="t" localSheetId="1" hidden="1">#REF!</definedName>
    <definedName name="t" hidden="1">#REF!</definedName>
    <definedName name="T.3" localSheetId="1" hidden="1">{"'Sheet1'!$L$16"}</definedName>
    <definedName name="T.3" localSheetId="2" hidden="1">{"'Sheet1'!$L$16"}</definedName>
    <definedName name="T.3" localSheetId="8" hidden="1">{"'Sheet1'!$L$16"}</definedName>
    <definedName name="T.3" hidden="1">{"'Sheet1'!$L$16"}</definedName>
    <definedName name="t01nt">#REF!</definedName>
    <definedName name="t02st">#REF!</definedName>
    <definedName name="T1PC" localSheetId="1" hidden="1">{"'Sheet1'!$L$16"}</definedName>
    <definedName name="T1PC" localSheetId="2" hidden="1">{"'Sheet1'!$L$16"}</definedName>
    <definedName name="T1PC" localSheetId="8" hidden="1">{"'Sheet1'!$L$16"}</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localSheetId="1" hidden="1">{"'Sheet1'!$L$16"}</definedName>
    <definedName name="TamdanTB" localSheetId="2" hidden="1">{"'Sheet1'!$L$16"}</definedName>
    <definedName name="TamdanTB" localSheetId="8" hidden="1">{"'Sheet1'!$L$16"}</definedName>
    <definedName name="TamdanTB" hidden="1">{"'Sheet1'!$L$16"}</definedName>
    <definedName name="tamm" localSheetId="1" hidden="1">{"'Sheet1'!$L$16"}</definedName>
    <definedName name="tamm" localSheetId="2" hidden="1">{"'Sheet1'!$L$16"}</definedName>
    <definedName name="tamm" localSheetId="8" hidden="1">{"'Sheet1'!$L$16"}</definedName>
    <definedName name="tamm" hidden="1">{"'Sheet1'!$L$16"}</definedName>
    <definedName name="tammm" localSheetId="1" hidden="1">{"'Sheet1'!$L$16"}</definedName>
    <definedName name="tammm" localSheetId="2" hidden="1">{"'Sheet1'!$L$16"}</definedName>
    <definedName name="tammm" localSheetId="8" hidden="1">{"'Sheet1'!$L$16"}</definedName>
    <definedName name="tammm" hidden="1">{"'Sheet1'!$L$16"}</definedName>
    <definedName name="tammmm" localSheetId="1" hidden="1">{#N/A,#N/A,FALSE,"Chi tiÆt"}</definedName>
    <definedName name="tammmm" localSheetId="2" hidden="1">{#N/A,#N/A,FALSE,"Chi tiÆt"}</definedName>
    <definedName name="tammmm" localSheetId="8" hidden="1">{#N/A,#N/A,FALSE,"Chi tiÆt"}</definedName>
    <definedName name="tammmm" hidden="1">{#N/A,#N/A,FALSE,"Chi tiÆt"}</definedName>
    <definedName name="tan" localSheetId="1" hidden="1">{"'Sheet1'!$L$16"}</definedName>
    <definedName name="tan" localSheetId="2" hidden="1">{"'Sheet1'!$L$16"}</definedName>
    <definedName name="tan" localSheetId="8" hidden="1">{"'Sheet1'!$L$16"}</definedName>
    <definedName name="tan" hidden="1">{"'Sheet1'!$L$16"}</definedName>
    <definedName name="tªtrt" localSheetId="1" hidden="1">{"'Sheet1'!$L$16"}</definedName>
    <definedName name="tªtrt" localSheetId="2" hidden="1">{"'Sheet1'!$L$16"}</definedName>
    <definedName name="tªtrt" localSheetId="8" hidden="1">{"'Sheet1'!$L$16"}</definedName>
    <definedName name="tªtrt" hidden="1">{"'Sheet1'!$L$16"}</definedName>
    <definedName name="taun" localSheetId="1" hidden="1">{"'Sheet1'!$L$16"}</definedName>
    <definedName name="taun" localSheetId="2" hidden="1">{"'Sheet1'!$L$16"}</definedName>
    <definedName name="taun" localSheetId="8" hidden="1">{"'Sheet1'!$L$16"}</definedName>
    <definedName name="taun" hidden="1">{"'Sheet1'!$L$16"}</definedName>
    <definedName name="TaxTV">10%</definedName>
    <definedName name="TaxXL">5%</definedName>
    <definedName name="tbao" localSheetId="1" hidden="1">{"'Sheet1'!$L$16"}</definedName>
    <definedName name="tbao" localSheetId="2" hidden="1">{"'Sheet1'!$L$16"}</definedName>
    <definedName name="tbao" localSheetId="8" hidden="1">{"'Sheet1'!$L$16"}</definedName>
    <definedName name="tbao" hidden="1">{"'Sheet1'!$L$16"}</definedName>
    <definedName name="tbl_ProdInfo" localSheetId="1" hidden="1">#REF!</definedName>
    <definedName name="tbl_ProdInfo" hidden="1">#REF!</definedName>
    <definedName name="TDC">#REF!</definedName>
    <definedName name="tdrutru" localSheetId="1" hidden="1">{#N/A,#N/A,FALSE,"Sheet6"}</definedName>
    <definedName name="tdrutru" localSheetId="2" hidden="1">{#N/A,#N/A,FALSE,"Sheet6"}</definedName>
    <definedName name="tdrutru" localSheetId="8" hidden="1">{#N/A,#N/A,FALSE,"Sheet6"}</definedName>
    <definedName name="tdrutru" hidden="1">{#N/A,#N/A,FALSE,"Sheet6"}</definedName>
    <definedName name="tdt" hidden="1">#REF!</definedName>
    <definedName name="te" hidden="1">#REF!</definedName>
    <definedName name="tecco" localSheetId="1" hidden="1">{"'Sheet1'!$L$16"}</definedName>
    <definedName name="tecco" localSheetId="2" hidden="1">{"'Sheet1'!$L$16"}</definedName>
    <definedName name="tecco" localSheetId="8" hidden="1">{"'Sheet1'!$L$16"}</definedName>
    <definedName name="tecco" hidden="1">{"'Sheet1'!$L$16"}</definedName>
    <definedName name="technical" hidden="1">#REF!</definedName>
    <definedName name="tem" localSheetId="1" hidden="1">{"'Sheet1'!$L$16"}</definedName>
    <definedName name="tem" localSheetId="2" hidden="1">{"'Sheet1'!$L$16"}</definedName>
    <definedName name="tem" localSheetId="8" hidden="1">{"'Sheet1'!$L$16"}</definedName>
    <definedName name="tem" hidden="1">{"'Sheet1'!$L$16"}</definedName>
    <definedName name="TEMP" hidden="1">#REF!</definedName>
    <definedName name="temporary" localSheetId="1" hidden="1">{#N/A,#N/A,FALSE,"CCTV"}</definedName>
    <definedName name="temporary" localSheetId="2" hidden="1">{#N/A,#N/A,FALSE,"CCTV"}</definedName>
    <definedName name="temporary" localSheetId="8" hidden="1">{#N/A,#N/A,FALSE,"CCTV"}</definedName>
    <definedName name="temporary" hidden="1">{#N/A,#N/A,FALSE,"CCTV"}</definedName>
    <definedName name="Tend_Box" hidden="1">#REF!</definedName>
    <definedName name="TenHM" hidden="1">#REF!</definedName>
    <definedName name="test2" localSheetId="1" hidden="1">{"IASTrail",#N/A,FALSE,"IAS"}</definedName>
    <definedName name="test2" localSheetId="2" hidden="1">{"IASTrail",#N/A,FALSE,"IAS"}</definedName>
    <definedName name="test2" localSheetId="8" hidden="1">{"IASTrail",#N/A,FALSE,"IAS"}</definedName>
    <definedName name="test2" hidden="1">{"IASTrail",#N/A,FALSE,"IAS"}</definedName>
    <definedName name="test3" localSheetId="1" hidden="1">{#N/A,#N/A,FALSE,"FA_1";#N/A,#N/A,FALSE,"Dep'n SE";#N/A,#N/A,FALSE,"Dep'n FC"}</definedName>
    <definedName name="test3" localSheetId="2" hidden="1">{#N/A,#N/A,FALSE,"FA_1";#N/A,#N/A,FALSE,"Dep'n SE";#N/A,#N/A,FALSE,"Dep'n FC"}</definedName>
    <definedName name="test3" localSheetId="8" hidden="1">{#N/A,#N/A,FALSE,"FA_1";#N/A,#N/A,FALSE,"Dep'n SE";#N/A,#N/A,FALSE,"Dep'n FC"}</definedName>
    <definedName name="test3" hidden="1">{#N/A,#N/A,FALSE,"FA_1";#N/A,#N/A,FALSE,"Dep'n SE";#N/A,#N/A,FALSE,"Dep'n FC"}</definedName>
    <definedName name="tet" localSheetId="1" hidden="1">{0,#NULL!,0,FALSE;0,0,0,0;0,0,0,7.29290327383173E-304;0,0,0,0;0,0,0,0;0,0,0,0;0,0,0,0}</definedName>
    <definedName name="tet" localSheetId="2" hidden="1">{0,#NULL!,0,FALSE;0,0,0,0;0,0,0,7.29290327383173E-304;0,0,0,0;0,0,0,0;0,0,0,0;0,0,0,0}</definedName>
    <definedName name="tet" localSheetId="8" hidden="1">{0,#NULL!,0,FALSE;0,0,0,0;0,0,0,7.29290327383173E-304;0,0,0,0;0,0,0,0;0,0,0,0;0,0,0,0}</definedName>
    <definedName name="tet" hidden="1">{0,#NULL!,0,FALSE;0,0,0,0;0,0,0,7.29290327383173E-304;0,0,0,0;0,0,0,0;0,0,0,0;0,0,0,0}</definedName>
    <definedName name="TextRefCopyRangeCount" hidden="1">21</definedName>
    <definedName name="tểt" localSheetId="1" hidden="1">{"'Sheet1'!$L$16"}</definedName>
    <definedName name="tểt" localSheetId="2" hidden="1">{"'Sheet1'!$L$16"}</definedName>
    <definedName name="tểt" localSheetId="8" hidden="1">{"'Sheet1'!$L$16"}</definedName>
    <definedName name="tểt" hidden="1">{"'Sheet1'!$L$16"}</definedName>
    <definedName name="tfrefefewfrefe" localSheetId="1" hidden="1">{#N/A,#N/A,FALSE,"Chi tiÆt"}</definedName>
    <definedName name="tfrefefewfrefe" localSheetId="2" hidden="1">{#N/A,#N/A,FALSE,"Chi tiÆt"}</definedName>
    <definedName name="tfrefefewfrefe" localSheetId="8" hidden="1">{#N/A,#N/A,FALSE,"Chi tiÆt"}</definedName>
    <definedName name="tfrefefewfrefe" hidden="1">{#N/A,#N/A,FALSE,"Chi tiÆt"}</definedName>
    <definedName name="TFUI" localSheetId="1" hidden="1">{"'용역비'!$A$4:$C$8"}</definedName>
    <definedName name="TFUI" localSheetId="2" hidden="1">{"'용역비'!$A$4:$C$8"}</definedName>
    <definedName name="TFUI" localSheetId="8" hidden="1">{"'용역비'!$A$4:$C$8"}</definedName>
    <definedName name="TFUI" hidden="1">{"'용역비'!$A$4:$C$8"}</definedName>
    <definedName name="tg">#REF!</definedName>
    <definedName name="TGB" hidden="1">#REF!</definedName>
    <definedName name="tghy" localSheetId="1" hidden="1">{"'Break down'!$A$4"}</definedName>
    <definedName name="tghy" localSheetId="2" hidden="1">{"'Break down'!$A$4"}</definedName>
    <definedName name="tghy" localSheetId="8" hidden="1">{"'Break down'!$A$4"}</definedName>
    <definedName name="tghy" hidden="1">{"'Break down'!$A$4"}</definedName>
    <definedName name="Tgtgt_xd">#REF!</definedName>
    <definedName name="tgưgz" localSheetId="1" hidden="1">{"'Sheet1'!$L$16"}</definedName>
    <definedName name="tgưgz" localSheetId="2" hidden="1">{"'Sheet1'!$L$16"}</definedName>
    <definedName name="tgưgz" localSheetId="8" hidden="1">{"'Sheet1'!$L$16"}</definedName>
    <definedName name="tgưgz" hidden="1">{"'Sheet1'!$L$16"}</definedName>
    <definedName name="tgyty" hidden="1">#REF!</definedName>
    <definedName name="tgi"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localSheetId="1" hidden="1">#REF!</definedName>
    <definedName name="tien" hidden="1">#REF!</definedName>
    <definedName name="tieu" localSheetId="1" hidden="1">#REF!</definedName>
    <definedName name="tieu" hidden="1">#REF!</definedName>
    <definedName name="TIM" localSheetId="1" hidden="1">{"'Sheet1'!$L$16"}</definedName>
    <definedName name="TIM" localSheetId="2" hidden="1">{"'Sheet1'!$L$16"}</definedName>
    <definedName name="TIM" localSheetId="8" hidden="1">{"'Sheet1'!$L$16"}</definedName>
    <definedName name="TIM" hidden="1">{"'Sheet1'!$L$16"}</definedName>
    <definedName name="TINH" localSheetId="1" hidden="1">{#N/A,#N/A,FALSE,"CCTV"}</definedName>
    <definedName name="TINH" localSheetId="2" hidden="1">{#N/A,#N/A,FALSE,"CCTV"}</definedName>
    <definedName name="TINH" localSheetId="8" hidden="1">{#N/A,#N/A,FALSE,"CCTV"}</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localSheetId="1" hidden="1">{"'Sheet1'!$L$16"}</definedName>
    <definedName name="tirirn" localSheetId="2" hidden="1">{"'Sheet1'!$L$16"}</definedName>
    <definedName name="tirirn" localSheetId="8" hidden="1">{"'Sheet1'!$L$16"}</definedName>
    <definedName name="tirirn" hidden="1">{"'Sheet1'!$L$16"}</definedName>
    <definedName name="tit" localSheetId="1" hidden="1">{"'Sheet1'!$L$16"}</definedName>
    <definedName name="tit" localSheetId="2" hidden="1">{"'Sheet1'!$L$16"}</definedName>
    <definedName name="tit" localSheetId="8" hidden="1">{"'Sheet1'!$L$16"}</definedName>
    <definedName name="tit" hidden="1">{"'Sheet1'!$L$16"}</definedName>
    <definedName name="tjhrfgth" hidden="1">#REF!</definedName>
    <definedName name="tjhtrjntrsjnsr" localSheetId="1" hidden="1">{"'Sheet1'!$L$16"}</definedName>
    <definedName name="tjhtrjntrsjnsr" localSheetId="2" hidden="1">{"'Sheet1'!$L$16"}</definedName>
    <definedName name="tjhtrjntrsjnsr" localSheetId="8" hidden="1">{"'Sheet1'!$L$16"}</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localSheetId="1" hidden="1">{#N/A,#N/A,FALSE,"Chi tiÆt"}</definedName>
    <definedName name="TL" localSheetId="2" hidden="1">{#N/A,#N/A,FALSE,"Chi tiÆt"}</definedName>
    <definedName name="TL" localSheetId="8" hidden="1">{#N/A,#N/A,FALSE,"Chi tiÆt"}</definedName>
    <definedName name="TL" hidden="1">{#N/A,#N/A,FALSE,"Chi tiÆt"}</definedName>
    <definedName name="tlc" localSheetId="1" hidden="1">{"'Sheet1'!$L$16"}</definedName>
    <definedName name="tlc" localSheetId="2" hidden="1">{"'Sheet1'!$L$16"}</definedName>
    <definedName name="tlc" localSheetId="8" hidden="1">{"'Sheet1'!$L$16"}</definedName>
    <definedName name="tlc" hidden="1">{"'Sheet1'!$L$16"}</definedName>
    <definedName name="TLP" localSheetId="1" hidden="1">{#N/A,#N/A,FALSE,"Chi tiÆt"}</definedName>
    <definedName name="TLP" localSheetId="2" hidden="1">{#N/A,#N/A,FALSE,"Chi tiÆt"}</definedName>
    <definedName name="TLP" localSheetId="8" hidden="1">{#N/A,#N/A,FALSE,"Chi tiÆt"}</definedName>
    <definedName name="TLP" hidden="1">{#N/A,#N/A,FALSE,"Chi tiÆt"}</definedName>
    <definedName name="TLPMG" localSheetId="1" hidden="1">{"'Sheet1'!$L$16"}</definedName>
    <definedName name="TLPMG" localSheetId="2" hidden="1">{"'Sheet1'!$L$16"}</definedName>
    <definedName name="TLPMG" localSheetId="8" hidden="1">{"'Sheet1'!$L$16"}</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localSheetId="1" hidden="1">{"'Break down'!$A$4"}</definedName>
    <definedName name="tmp" localSheetId="2" hidden="1">{"'Break down'!$A$4"}</definedName>
    <definedName name="tmp" localSheetId="8" hidden="1">{"'Break down'!$A$4"}</definedName>
    <definedName name="tmp" hidden="1">{"'Break down'!$A$4"}</definedName>
    <definedName name="tn" localSheetId="1" hidden="1">{#N/A,#N/A,FALSE,"견적갑지";#N/A,#N/A,FALSE,"총괄표";#N/A,#N/A,FALSE,"철골공사";#N/A,#N/A,FALSE,"토목공사";#N/A,#N/A,FALSE,"판넬전기공사"}</definedName>
    <definedName name="tn" localSheetId="2" hidden="1">{"'Sheet1'!$L$16"}</definedName>
    <definedName name="tn" localSheetId="8" hidden="1">{"'Sheet1'!$L$16"}</definedName>
    <definedName name="tn" hidden="1">{"'Sheet1'!$L$16"}</definedName>
    <definedName name="tntn" localSheetId="1" hidden="1">{"'Sheet1'!$L$16"}</definedName>
    <definedName name="tntn" localSheetId="2" hidden="1">{"'Sheet1'!$L$16"}</definedName>
    <definedName name="tntn" localSheetId="8" hidden="1">{"'Sheet1'!$L$16"}</definedName>
    <definedName name="tntn" hidden="1">{"'Sheet1'!$L$16"}</definedName>
    <definedName name="toan" localSheetId="1" hidden="1">{"'Sheet1'!$L$16"}</definedName>
    <definedName name="toan" localSheetId="2" hidden="1">{"'Sheet1'!$L$16"}</definedName>
    <definedName name="toan" localSheetId="8" hidden="1">{"'Sheet1'!$L$16"}</definedName>
    <definedName name="toan" hidden="1">{"'Sheet1'!$L$16"}</definedName>
    <definedName name="toång_coäng">#REF!</definedName>
    <definedName name="toilet" localSheetId="1" hidden="1">{"'Sheet1'!$L$16"}</definedName>
    <definedName name="toilet" localSheetId="2" hidden="1">{"'Sheet1'!$L$16"}</definedName>
    <definedName name="toilet" localSheetId="8" hidden="1">{"'Sheet1'!$L$16"}</definedName>
    <definedName name="toilet" hidden="1">{"'Sheet1'!$L$16"}</definedName>
    <definedName name="TOK" localSheetId="1" hidden="1">#REF!</definedName>
    <definedName name="TOK" hidden="1">#REF!</definedName>
    <definedName name="tol" localSheetId="1" hidden="1">{"'Sheet1'!$L$16"}</definedName>
    <definedName name="tol" localSheetId="2" hidden="1">{"'Sheet1'!$L$16"}</definedName>
    <definedName name="tol" localSheetId="8" hidden="1">{"'Sheet1'!$L$16"}</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localSheetId="1" hidden="1">{"'Sheet1'!$L$16"}</definedName>
    <definedName name="tÓtrte" localSheetId="2" hidden="1">{"'Sheet1'!$L$16"}</definedName>
    <definedName name="tÓtrte" localSheetId="8" hidden="1">{"'Sheet1'!$L$16"}</definedName>
    <definedName name="tÓtrte" hidden="1">{"'Sheet1'!$L$16"}</definedName>
    <definedName name="TT" localSheetId="1" hidden="1">{"'Sheet1'!$L$16"}</definedName>
    <definedName name="tt" localSheetId="2" hidden="1">{"'Sheet1'!$L$16"}</definedName>
    <definedName name="tt" localSheetId="8" hidden="1">{"'Sheet1'!$L$16"}</definedName>
    <definedName name="tt" hidden="1">{"'Sheet1'!$L$16"}</definedName>
    <definedName name="ttoan" localSheetId="1" hidden="1">{"'Sheet1'!$L$16"}</definedName>
    <definedName name="ttoan" localSheetId="2" hidden="1">{"'Sheet1'!$L$16"}</definedName>
    <definedName name="ttoan" localSheetId="8" hidden="1">{"'Sheet1'!$L$16"}</definedName>
    <definedName name="ttoan" hidden="1">{"'Sheet1'!$L$16"}</definedName>
    <definedName name="tttskldf" localSheetId="1" hidden="1">{0}</definedName>
    <definedName name="tttskldf" localSheetId="2" hidden="1">{0}</definedName>
    <definedName name="tttskldf" localSheetId="8" hidden="1">{0}</definedName>
    <definedName name="tttskldf" hidden="1">{0}</definedName>
    <definedName name="tttt" localSheetId="1" hidden="1">{"'Sheet1'!$L$16"}</definedName>
    <definedName name="tttt" localSheetId="2" hidden="1">{"'Sheet1'!$L$16"}</definedName>
    <definedName name="tttt" localSheetId="8" hidden="1">{"'Sheet1'!$L$16"}</definedName>
    <definedName name="tttt" hidden="1">{"'Sheet1'!$L$16"}</definedName>
    <definedName name="ｔｔｔｔｔ" localSheetId="1" hidden="1">{"'Sheet1'!$L$16"}</definedName>
    <definedName name="ｔｔｔｔｔ" localSheetId="2" hidden="1">{"'Sheet1'!$L$16"}</definedName>
    <definedName name="ｔｔｔｔｔ" localSheetId="8" hidden="1">{"'Sheet1'!$L$16"}</definedName>
    <definedName name="ｔｔｔｔｔ" hidden="1">{"'Sheet1'!$L$16"}</definedName>
    <definedName name="tttttt" localSheetId="1" hidden="1">{#N/A,#N/A,FALSE,"Chi tiÆt"}</definedName>
    <definedName name="tttttt" localSheetId="2" hidden="1">{#N/A,#N/A,FALSE,"Chi tiÆt"}</definedName>
    <definedName name="tttttt" localSheetId="8" hidden="1">{#N/A,#N/A,FALSE,"Chi tiÆt"}</definedName>
    <definedName name="tttttt" hidden="1">{#N/A,#N/A,FALSE,"Chi tiÆt"}</definedName>
    <definedName name="tthkprtn" localSheetId="1" hidden="1">{"'Sheet1'!$L$16"}</definedName>
    <definedName name="tthkprtn" localSheetId="2" hidden="1">{"'Sheet1'!$L$16"}</definedName>
    <definedName name="tthkprtn" localSheetId="8" hidden="1">{"'Sheet1'!$L$16"}</definedName>
    <definedName name="tthkprtn" hidden="1">{"'Sheet1'!$L$16"}</definedName>
    <definedName name="TTHU" localSheetId="1" hidden="1">{"'Sheet1'!$L$16"}</definedName>
    <definedName name="TTHU" localSheetId="2" hidden="1">{"'Sheet1'!$L$16"}</definedName>
    <definedName name="TTHU" localSheetId="8" hidden="1">{"'Sheet1'!$L$16"}</definedName>
    <definedName name="TTHU" hidden="1">{"'Sheet1'!$L$16"}</definedName>
    <definedName name="ttr" localSheetId="1" hidden="1">{"'Sheet1'!$L$16"}</definedName>
    <definedName name="ttr" localSheetId="2" hidden="1">{#N/A,#N/A,FALSE,"Sheet6"}</definedName>
    <definedName name="ttr" localSheetId="8" hidden="1">{#N/A,#N/A,FALSE,"Sheet6"}</definedName>
    <definedName name="ttr" hidden="1">{#N/A,#N/A,FALSE,"Sheet6"}</definedName>
    <definedName name="TU" localSheetId="1" hidden="1">{"'Sheet1'!$L$16"}</definedName>
    <definedName name="TU" localSheetId="2" hidden="1">{"'Sheet1'!$L$16"}</definedName>
    <definedName name="TU" localSheetId="8" hidden="1">{"'Sheet1'!$L$16"}</definedName>
    <definedName name="TU" hidden="1">{"'Sheet1'!$L$16"}</definedName>
    <definedName name="TU." localSheetId="1" hidden="1">#REF!</definedName>
    <definedName name="TU." hidden="1">#REF!</definedName>
    <definedName name="tuam" localSheetId="1" hidden="1">{"'Sheet1'!$L$16"}</definedName>
    <definedName name="tuam" localSheetId="2" hidden="1">{"'Sheet1'!$L$16"}</definedName>
    <definedName name="tuam" localSheetId="8" hidden="1">{"'Sheet1'!$L$16"}</definedName>
    <definedName name="tuam" hidden="1">{"'Sheet1'!$L$16"}</definedName>
    <definedName name="tuan" localSheetId="1" hidden="1">{"'Sheet1'!$L$16"}</definedName>
    <definedName name="Tuan" localSheetId="2" hidden="1">{"'Sheet1'!$L$16"}</definedName>
    <definedName name="Tuan" localSheetId="8" hidden="1">{"'Sheet1'!$L$16"}</definedName>
    <definedName name="Tuan" hidden="1">{"'Sheet1'!$L$16"}</definedName>
    <definedName name="tuan03" localSheetId="1" hidden="1">{"'Sheet1'!$L$16"}</definedName>
    <definedName name="tuan03" localSheetId="2" hidden="1">{"'Sheet1'!$L$16"}</definedName>
    <definedName name="tuan03" localSheetId="8" hidden="1">{"'Sheet1'!$L$16"}</definedName>
    <definedName name="tuan03" hidden="1">{"'Sheet1'!$L$16"}</definedName>
    <definedName name="tuan123456" localSheetId="1" hidden="1">{"'Sheet1'!$L$16"}</definedName>
    <definedName name="tuan123456" localSheetId="2" hidden="1">{"'Sheet1'!$L$16"}</definedName>
    <definedName name="tuan123456" localSheetId="8" hidden="1">{"'Sheet1'!$L$16"}</definedName>
    <definedName name="tuan123456" hidden="1">{"'Sheet1'!$L$16"}</definedName>
    <definedName name="tuan2" localSheetId="1" hidden="1">{"'Sheet1'!$L$16"}</definedName>
    <definedName name="tuan2" localSheetId="2" hidden="1">{"'Sheet1'!$L$16"}</definedName>
    <definedName name="tuan2" localSheetId="8" hidden="1">{"'Sheet1'!$L$16"}</definedName>
    <definedName name="tuan2" hidden="1">{"'Sheet1'!$L$16"}</definedName>
    <definedName name="TUANKHANHTUYET45" localSheetId="1" hidden="1">{0}</definedName>
    <definedName name="TUANKHANHTUYET45" localSheetId="2" hidden="1">{0}</definedName>
    <definedName name="TUANKHANHTUYET45" localSheetId="8" hidden="1">{0}</definedName>
    <definedName name="TUANKHANHTUYET45" hidden="1">{0}</definedName>
    <definedName name="tuannn" localSheetId="1" hidden="1">{"'Sheet1'!$L$16"}</definedName>
    <definedName name="tuannn" localSheetId="2" hidden="1">{"'Sheet1'!$L$16"}</definedName>
    <definedName name="tuannn" localSheetId="8" hidden="1">{"'Sheet1'!$L$16"}</definedName>
    <definedName name="tuannn" hidden="1">{"'Sheet1'!$L$16"}</definedName>
    <definedName name="tuilol" localSheetId="1" hidden="1">{"'용역비'!$A$4:$C$8"}</definedName>
    <definedName name="tuilol" localSheetId="2" hidden="1">{"'용역비'!$A$4:$C$8"}</definedName>
    <definedName name="tuilol" localSheetId="8" hidden="1">{"'용역비'!$A$4:$C$8"}</definedName>
    <definedName name="tuilol" hidden="1">{"'용역비'!$A$4:$C$8"}</definedName>
    <definedName name="TUKHKJT" localSheetId="1" hidden="1">{"'Sheet1'!$L$16"}</definedName>
    <definedName name="TUKHKJT" localSheetId="2" hidden="1">{"'Sheet1'!$L$16"}</definedName>
    <definedName name="TUKHKJT" localSheetId="8" hidden="1">{"'Sheet1'!$L$16"}</definedName>
    <definedName name="TUKHKJT" hidden="1">{"'Sheet1'!$L$16"}</definedName>
    <definedName name="TUONG" localSheetId="1" hidden="1">#REF!</definedName>
    <definedName name="TUONG" hidden="1">#REF!</definedName>
    <definedName name="tuurtur" localSheetId="1" hidden="1">{"'Sheet1'!$L$16"}</definedName>
    <definedName name="tuurtur" localSheetId="2" hidden="1">{"'Sheet1'!$L$16"}</definedName>
    <definedName name="tuurtur" localSheetId="8" hidden="1">{"'Sheet1'!$L$16"}</definedName>
    <definedName name="tuurtur" hidden="1">{"'Sheet1'!$L$16"}</definedName>
    <definedName name="tuy" localSheetId="1" hidden="1">{"'Sheet1'!$L$16"}</definedName>
    <definedName name="tuy" localSheetId="2" hidden="1">{"'Sheet1'!$L$16"}</definedName>
    <definedName name="tuy" localSheetId="8" hidden="1">{"'Sheet1'!$L$16"}</definedName>
    <definedName name="tuy" hidden="1">{"'Sheet1'!$L$16"}</definedName>
    <definedName name="tuyennhanh" localSheetId="1" hidden="1">{"'Sheet1'!$L$16"}</definedName>
    <definedName name="tuyennhanh" localSheetId="2" hidden="1">{"'Sheet1'!$L$16"}</definedName>
    <definedName name="tuyennhanh" localSheetId="8" hidden="1">{"'Sheet1'!$L$16"}</definedName>
    <definedName name="tuyennhanh" hidden="1">{"'Sheet1'!$L$16"}</definedName>
    <definedName name="tuyet" localSheetId="1" hidden="1">{"'Sheet1'!$L$16"}</definedName>
    <definedName name="tuyet" localSheetId="2" hidden="1">{"'Sheet1'!$L$16"}</definedName>
    <definedName name="tuyet" localSheetId="8" hidden="1">{"'Sheet1'!$L$16"}</definedName>
    <definedName name="tuyet" hidden="1">{"'Sheet1'!$L$16"}</definedName>
    <definedName name="tv" localSheetId="1" hidden="1">{"'Sheet1'!$L$16"}</definedName>
    <definedName name="tv" localSheetId="2" hidden="1">{"'Sheet1'!$L$16"}</definedName>
    <definedName name="tv" localSheetId="8" hidden="1">{"'Sheet1'!$L$16"}</definedName>
    <definedName name="tv" hidden="1">{"'Sheet1'!$L$16"}</definedName>
    <definedName name="twerjhr"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localSheetId="1" hidden="1">#REF!</definedName>
    <definedName name="TY" hidden="1">#REF!</definedName>
    <definedName name="tygia">21000</definedName>
    <definedName name="tyiutyui" localSheetId="1" hidden="1">{#N/A,#N/A,FALSE,"Sheet6"}</definedName>
    <definedName name="tyiutyui" localSheetId="2" hidden="1">{#N/A,#N/A,FALSE,"Sheet6"}</definedName>
    <definedName name="tyiutyui" localSheetId="8" hidden="1">{#N/A,#N/A,FALSE,"Sheet6"}</definedName>
    <definedName name="tyiutyui" hidden="1">{#N/A,#N/A,FALSE,"Sheet6"}</definedName>
    <definedName name="TYJ" localSheetId="1" hidden="1">{"'용역비'!$A$4:$C$8"}</definedName>
    <definedName name="TYJ" localSheetId="2" hidden="1">{"'용역비'!$A$4:$C$8"}</definedName>
    <definedName name="TYJ" localSheetId="8" hidden="1">{"'용역비'!$A$4:$C$8"}</definedName>
    <definedName name="TYJ" hidden="1">{"'용역비'!$A$4:$C$8"}</definedName>
    <definedName name="tyje" localSheetId="1" hidden="1">{"'용역비'!$A$4:$C$8"}</definedName>
    <definedName name="tyje" localSheetId="2" hidden="1">{"'용역비'!$A$4:$C$8"}</definedName>
    <definedName name="tyje" localSheetId="8" hidden="1">{"'용역비'!$A$4:$C$8"}</definedName>
    <definedName name="tyje" hidden="1">{"'용역비'!$A$4:$C$8"}</definedName>
    <definedName name="tyjet" localSheetId="1" hidden="1">{"'용역비'!$A$4:$C$8"}</definedName>
    <definedName name="tyjet" localSheetId="2" hidden="1">{"'용역비'!$A$4:$C$8"}</definedName>
    <definedName name="tyjet" localSheetId="8" hidden="1">{"'용역비'!$A$4:$C$8"}</definedName>
    <definedName name="tyjet" hidden="1">{"'용역비'!$A$4:$C$8"}</definedName>
    <definedName name="TYJTJMMHJM" localSheetId="1" hidden="1">{"'Sheet1'!$L$16"}</definedName>
    <definedName name="TYJTJMMHJM" localSheetId="2" hidden="1">{"'Sheet1'!$L$16"}</definedName>
    <definedName name="TYJTJMMHJM" localSheetId="8" hidden="1">{"'Sheet1'!$L$16"}</definedName>
    <definedName name="TYJTJMMHJM" hidden="1">{"'Sheet1'!$L$16"}</definedName>
    <definedName name="tyt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1" hidden="1">{"'용역비'!$A$4:$C$8"}</definedName>
    <definedName name="tyu" localSheetId="2" hidden="1">{"'Sheet1'!$L$16"}</definedName>
    <definedName name="tyu" localSheetId="8" hidden="1">{"'Sheet1'!$L$16"}</definedName>
    <definedName name="tyu" hidden="1">{"'Sheet1'!$L$16"}</definedName>
    <definedName name="TH" localSheetId="1" hidden="1">{#N/A,#N/A,FALSE,"Chi tiÆt"}</definedName>
    <definedName name="TH" localSheetId="2" hidden="1">{#N/A,#N/A,FALSE,"Chi tiÆt"}</definedName>
    <definedName name="TH" localSheetId="8" hidden="1">{#N/A,#N/A,FALSE,"Chi tiÆt"}</definedName>
    <definedName name="TH" hidden="1">{#N/A,#N/A,FALSE,"Chi tiÆt"}</definedName>
    <definedName name="th.xls" localSheetId="1" hidden="1">{"'Sheet1'!$L$16"}</definedName>
    <definedName name="th.xls" localSheetId="2" hidden="1">{"'Sheet1'!$L$16"}</definedName>
    <definedName name="th.xls" localSheetId="8" hidden="1">{"'Sheet1'!$L$16"}</definedName>
    <definedName name="th.xls" hidden="1">{"'Sheet1'!$L$16"}</definedName>
    <definedName name="thµ" localSheetId="2" hidden="1">{"'Sheet1'!$L$16"}</definedName>
    <definedName name="thµ" localSheetId="8" hidden="1">{"'Sheet1'!$L$16"}</definedName>
    <definedName name="thµ" hidden="1">{"'Sheet1'!$L$16"}</definedName>
    <definedName name="tha" localSheetId="1" hidden="1">{"'Sheet1'!$L$16"}</definedName>
    <definedName name="tha" localSheetId="2" hidden="1">{"'Sheet1'!$L$16"}</definedName>
    <definedName name="tha" localSheetId="8" hidden="1">{"'Sheet1'!$L$16"}</definedName>
    <definedName name="tha" hidden="1">{"'Sheet1'!$L$16"}</definedName>
    <definedName name="thai" localSheetId="1" hidden="1">{"'Sheet1'!$L$16"}</definedName>
    <definedName name="thai" localSheetId="2" hidden="1">{"'Sheet1'!$L$16"}</definedName>
    <definedName name="thai" localSheetId="8" hidden="1">{"'Sheet1'!$L$16"}</definedName>
    <definedName name="thai" hidden="1">{"'Sheet1'!$L$16"}</definedName>
    <definedName name="ThamTraDT" hidden="1">#REF!</definedName>
    <definedName name="ThamTraTK" hidden="1">#REF!</definedName>
    <definedName name="thang" localSheetId="1" hidden="1">{"'Sheet1'!$L$16"}</definedName>
    <definedName name="thang" localSheetId="2" hidden="1">{"'Sheet1'!$L$16"}</definedName>
    <definedName name="thang" localSheetId="8" hidden="1">{"'Sheet1'!$L$16"}</definedName>
    <definedName name="thang" hidden="1">{"'Sheet1'!$L$16"}</definedName>
    <definedName name="thang_1" localSheetId="1" hidden="1">{"'Sheet1'!$L$16"}</definedName>
    <definedName name="thang_1" localSheetId="2" hidden="1">{"'Sheet1'!$L$16"}</definedName>
    <definedName name="thang_1" localSheetId="8" hidden="1">{"'Sheet1'!$L$16"}</definedName>
    <definedName name="thang_1" hidden="1">{"'Sheet1'!$L$16"}</definedName>
    <definedName name="Thang1" localSheetId="1" hidden="1">{"'Sheet1'!$L$16"}</definedName>
    <definedName name="Thang1" localSheetId="2" hidden="1">{"'Sheet1'!$L$16"}</definedName>
    <definedName name="Thang1" localSheetId="8" hidden="1">{"'Sheet1'!$L$16"}</definedName>
    <definedName name="Thang1" hidden="1">{"'Sheet1'!$L$16"}</definedName>
    <definedName name="thang10" localSheetId="1" hidden="1">{"'Sheet1'!$L$16"}</definedName>
    <definedName name="thang10" localSheetId="2" hidden="1">{"'Sheet1'!$L$16"}</definedName>
    <definedName name="thang10" localSheetId="8" hidden="1">{"'Sheet1'!$L$16"}</definedName>
    <definedName name="thang10" hidden="1">{"'Sheet1'!$L$16"}</definedName>
    <definedName name="Thang12" localSheetId="1" hidden="1">{"'Sheet1'!$L$16"}</definedName>
    <definedName name="Thang12" localSheetId="2" hidden="1">{"'Sheet1'!$L$16"}</definedName>
    <definedName name="Thang12" localSheetId="8" hidden="1">{"'Sheet1'!$L$16"}</definedName>
    <definedName name="Thang12" hidden="1">{"'Sheet1'!$L$16"}</definedName>
    <definedName name="thang13" localSheetId="1" hidden="1">{"'Sheet1'!$L$16"}</definedName>
    <definedName name="thang13" localSheetId="2" hidden="1">{"'Sheet1'!$L$16"}</definedName>
    <definedName name="thang13" localSheetId="8" hidden="1">{"'Sheet1'!$L$16"}</definedName>
    <definedName name="thang13" hidden="1">{"'Sheet1'!$L$16"}</definedName>
    <definedName name="thang2" localSheetId="1" hidden="1">{"'Sheet1'!$L$16"}</definedName>
    <definedName name="thang2" localSheetId="2" hidden="1">{"'Sheet1'!$L$16"}</definedName>
    <definedName name="thang2" localSheetId="8" hidden="1">{"'Sheet1'!$L$16"}</definedName>
    <definedName name="thang2" hidden="1">{"'Sheet1'!$L$16"}</definedName>
    <definedName name="THANH" localSheetId="1" hidden="1">{"'Sheet1'!$L$16"}</definedName>
    <definedName name="THANH" localSheetId="2" hidden="1">{"'Sheet1'!$L$16"}</definedName>
    <definedName name="THANH" localSheetId="8" hidden="1">{"'Sheet1'!$L$16"}</definedName>
    <definedName name="THANH" hidden="1">{"'Sheet1'!$L$16"}</definedName>
    <definedName name="THANH_1" localSheetId="1" hidden="1">{"'Sheet1'!$L$16"}</definedName>
    <definedName name="THANH_1" localSheetId="2" hidden="1">{"'Sheet1'!$L$16"}</definedName>
    <definedName name="THANH_1" localSheetId="8" hidden="1">{"'Sheet1'!$L$16"}</definedName>
    <definedName name="THANH_1" hidden="1">{"'Sheet1'!$L$16"}</definedName>
    <definedName name="thanhtoankl" localSheetId="1" hidden="1">{"'Sheet1'!$L$16"}</definedName>
    <definedName name="thanhtoankl" localSheetId="2" hidden="1">{"'Sheet1'!$L$16"}</definedName>
    <definedName name="thanhtoankl" localSheetId="8" hidden="1">{"'Sheet1'!$L$16"}</definedName>
    <definedName name="thanhtoankl" hidden="1">{"'Sheet1'!$L$16"}</definedName>
    <definedName name="thao1" localSheetId="1" hidden="1">{"'Sheet1'!$L$16"}</definedName>
    <definedName name="thao1" localSheetId="2" hidden="1">{"'Sheet1'!$L$16"}</definedName>
    <definedName name="thao1" localSheetId="8" hidden="1">{"'Sheet1'!$L$16"}</definedName>
    <definedName name="thao1" hidden="1">{"'Sheet1'!$L$16"}</definedName>
    <definedName name="thao2" localSheetId="1" hidden="1">{"'Sheet1'!$L$16"}</definedName>
    <definedName name="thao2" localSheetId="2" hidden="1">{"'Sheet1'!$L$16"}</definedName>
    <definedName name="thao2" localSheetId="8" hidden="1">{"'Sheet1'!$L$16"}</definedName>
    <definedName name="thao2" hidden="1">{"'Sheet1'!$L$16"}</definedName>
    <definedName name="THC" localSheetId="1" hidden="1">{"'Sheet1'!$L$16"}</definedName>
    <definedName name="THC" localSheetId="2" hidden="1">{"'Sheet1'!$L$16"}</definedName>
    <definedName name="THC" localSheetId="8" hidden="1">{"'Sheet1'!$L$16"}</definedName>
    <definedName name="THC" hidden="1">{"'Sheet1'!$L$16"}</definedName>
    <definedName name="THDT" localSheetId="1" hidden="1">{"'Sheet1'!$L$16"}</definedName>
    <definedName name="THDT" localSheetId="2" hidden="1">{"'Sheet1'!$L$16"}</definedName>
    <definedName name="THDT" localSheetId="8" hidden="1">{"'Sheet1'!$L$16"}</definedName>
    <definedName name="THDT" hidden="1">{"'Sheet1'!$L$16"}</definedName>
    <definedName name="them01" hidden="1">#REF!</definedName>
    <definedName name="Thepsan" localSheetId="1" hidden="1">{"'Sheet1'!$L$16"}</definedName>
    <definedName name="Thepsan" localSheetId="2" hidden="1">{"'Sheet1'!$L$16"}</definedName>
    <definedName name="Thepsan" localSheetId="8" hidden="1">{"'Sheet1'!$L$16"}</definedName>
    <definedName name="Thepsan" hidden="1">{"'Sheet1'!$L$16"}</definedName>
    <definedName name="thepsan2" localSheetId="1" hidden="1">{"'Sheet1'!$L$16"}</definedName>
    <definedName name="thepsan2" localSheetId="2" hidden="1">{"'Sheet1'!$L$16"}</definedName>
    <definedName name="thepsan2" localSheetId="8" hidden="1">{"'Sheet1'!$L$16"}</definedName>
    <definedName name="thepsan2" hidden="1">{"'Sheet1'!$L$16"}</definedName>
    <definedName name="THG" localSheetId="1" hidden="1">{"'Sheet1'!$L$16"}</definedName>
    <definedName name="THG" localSheetId="2" hidden="1">{"'Sheet1'!$L$16"}</definedName>
    <definedName name="THG" localSheetId="8" hidden="1">{"'Sheet1'!$L$16"}</definedName>
    <definedName name="THG" hidden="1">{"'Sheet1'!$L$16"}</definedName>
    <definedName name="THGT" localSheetId="1" hidden="1">{"'Sheet1'!$L$16"}</definedName>
    <definedName name="THGT" localSheetId="2" hidden="1">{"'Sheet1'!$L$16"}</definedName>
    <definedName name="THGT" localSheetId="8" hidden="1">{"'Sheet1'!$L$16"}</definedName>
    <definedName name="THGT" hidden="1">{"'Sheet1'!$L$16"}</definedName>
    <definedName name="THHD" localSheetId="1" hidden="1">{"'Sheet1'!$L$16"}</definedName>
    <definedName name="THHD" localSheetId="2" hidden="1">{"'Sheet1'!$L$16"}</definedName>
    <definedName name="THHD" localSheetId="8" hidden="1">{"'Sheet1'!$L$16"}</definedName>
    <definedName name="THHD" hidden="1">{"'Sheet1'!$L$16"}</definedName>
    <definedName name="THHVT" localSheetId="1" hidden="1">{"'Sheet1'!$L$16"}</definedName>
    <definedName name="THHVT" localSheetId="2" hidden="1">{"'Sheet1'!$L$16"}</definedName>
    <definedName name="THHVT" localSheetId="8" hidden="1">{"'Sheet1'!$L$16"}</definedName>
    <definedName name="THHVT" hidden="1">{"'Sheet1'!$L$16"}</definedName>
    <definedName name="thien" hidden="1">#REF!</definedName>
    <definedName name="Thietbi" localSheetId="1" hidden="1">{"'Sheet1'!$L$16"}</definedName>
    <definedName name="Thietbi" localSheetId="2" hidden="1">{"'Sheet1'!$L$16"}</definedName>
    <definedName name="Thietbi" localSheetId="8" hidden="1">{"'Sheet1'!$L$16"}</definedName>
    <definedName name="Thietbi" hidden="1">{"'Sheet1'!$L$16"}</definedName>
    <definedName name="ThietBiTK" hidden="1">#REF!</definedName>
    <definedName name="THKLDD" localSheetId="1" hidden="1">{"'Sheet1'!$L$16"}</definedName>
    <definedName name="THKLDD" localSheetId="2" hidden="1">{"'Sheet1'!$L$16"}</definedName>
    <definedName name="THKLDD" localSheetId="8" hidden="1">{"'Sheet1'!$L$16"}</definedName>
    <definedName name="THKLDD" hidden="1">{"'Sheet1'!$L$16"}</definedName>
    <definedName name="thkp5" localSheetId="1" hidden="1">{"'Sheet1'!$L$16"}</definedName>
    <definedName name="thkp5" localSheetId="2" hidden="1">{"'Sheet1'!$L$16"}</definedName>
    <definedName name="thkp5" localSheetId="8" hidden="1">{"'Sheet1'!$L$16"}</definedName>
    <definedName name="thkp5" hidden="1">{"'Sheet1'!$L$16"}</definedName>
    <definedName name="thkp6" localSheetId="1" hidden="1">{"'Sheet1'!$L$16"}</definedName>
    <definedName name="thkp6" localSheetId="2" hidden="1">{"'Sheet1'!$L$16"}</definedName>
    <definedName name="thkp6" localSheetId="8" hidden="1">{"'Sheet1'!$L$16"}</definedName>
    <definedName name="thkp6" hidden="1">{"'Sheet1'!$L$16"}</definedName>
    <definedName name="thkp7" localSheetId="1" hidden="1">{"'Sheet1'!$L$16"}</definedName>
    <definedName name="thkp7" localSheetId="2" hidden="1">{"'Sheet1'!$L$16"}</definedName>
    <definedName name="thkp7" localSheetId="8" hidden="1">{"'Sheet1'!$L$16"}</definedName>
    <definedName name="thkp7" hidden="1">{"'Sheet1'!$L$16"}</definedName>
    <definedName name="THKP7YT" localSheetId="1" hidden="1">{"'Sheet1'!$L$16"}</definedName>
    <definedName name="THKP7YT" localSheetId="2" hidden="1">{"'Sheet1'!$L$16"}</definedName>
    <definedName name="THKP7YT" localSheetId="8" hidden="1">{"'Sheet1'!$L$16"}</definedName>
    <definedName name="THKP7YT" hidden="1">{"'Sheet1'!$L$16"}</definedName>
    <definedName name="thkpdnt" localSheetId="1" hidden="1">{"'Sheet1'!$L$16"}</definedName>
    <definedName name="thkpdnt" localSheetId="2" hidden="1">{"'Sheet1'!$L$16"}</definedName>
    <definedName name="thkpdnt" localSheetId="8" hidden="1">{"'Sheet1'!$L$16"}</definedName>
    <definedName name="thkpdnt" hidden="1">{"'Sheet1'!$L$16"}</definedName>
    <definedName name="THKPM8" localSheetId="1" hidden="1">{"'Sheet1'!$L$16"}</definedName>
    <definedName name="THKPM8" localSheetId="2" hidden="1">{"'Sheet1'!$L$16"}</definedName>
    <definedName name="THKPM8" localSheetId="8" hidden="1">{"'Sheet1'!$L$16"}</definedName>
    <definedName name="THKPM8" hidden="1">{"'Sheet1'!$L$16"}</definedName>
    <definedName name="thkprtn" localSheetId="1" hidden="1">{"'Sheet1'!$L$16"}</definedName>
    <definedName name="thkprtn" localSheetId="2" hidden="1">{"'Sheet1'!$L$16"}</definedName>
    <definedName name="thkprtn" localSheetId="8" hidden="1">{"'Sheet1'!$L$16"}</definedName>
    <definedName name="thkprtn" hidden="1">{"'Sheet1'!$L$16"}</definedName>
    <definedName name="THLeloi" localSheetId="1" hidden="1">{"'Sheet1'!$L$16"}</definedName>
    <definedName name="THLeloi" localSheetId="2" hidden="1">{"'Sheet1'!$L$16"}</definedName>
    <definedName name="THLeloi" localSheetId="8" hidden="1">{"'Sheet1'!$L$16"}</definedName>
    <definedName name="THLeloi" hidden="1">{"'Sheet1'!$L$16"}</definedName>
    <definedName name="thng" localSheetId="1" hidden="1">{#N/A,#N/A,FALSE,"Chi tiÆt"}</definedName>
    <definedName name="thng" localSheetId="2" hidden="1">{#N/A,#N/A,FALSE,"Chi tiÆt"}</definedName>
    <definedName name="thng" localSheetId="8" hidden="1">{#N/A,#N/A,FALSE,"Chi tiÆt"}</definedName>
    <definedName name="thng" hidden="1">{#N/A,#N/A,FALSE,"Chi tiÆt"}</definedName>
    <definedName name="THNgHue" localSheetId="1" hidden="1">{"'Sheet1'!$L$16"}</definedName>
    <definedName name="THNgHue" localSheetId="2" hidden="1">{"'Sheet1'!$L$16"}</definedName>
    <definedName name="THNgHue" localSheetId="8" hidden="1">{"'Sheet1'!$L$16"}</definedName>
    <definedName name="THNgHue" hidden="1">{"'Sheet1'!$L$16"}</definedName>
    <definedName name="THNgThHoc" localSheetId="1" hidden="1">{"'Sheet1'!$L$16"}</definedName>
    <definedName name="THNgThHoc" localSheetId="2" hidden="1">{"'Sheet1'!$L$16"}</definedName>
    <definedName name="THNgThHoc" localSheetId="8" hidden="1">{"'Sheet1'!$L$16"}</definedName>
    <definedName name="THNgThHoc" hidden="1">{"'Sheet1'!$L$16"}</definedName>
    <definedName name="THOAT" localSheetId="1" hidden="1">{"'Sheet1'!$L$16"}</definedName>
    <definedName name="THOAT" localSheetId="2" hidden="1">{"'Sheet1'!$L$16"}</definedName>
    <definedName name="THOAT" localSheetId="8" hidden="1">{"'Sheet1'!$L$16"}</definedName>
    <definedName name="THOAT" hidden="1">{"'Sheet1'!$L$16"}</definedName>
    <definedName name="thopsohoc" localSheetId="1" hidden="1">{"Offgrid",#N/A,FALSE,"OFFGRID";"Region",#N/A,FALSE,"REGION";"Offgrid -2",#N/A,FALSE,"OFFGRID";"WTP",#N/A,FALSE,"WTP";"WTP -2",#N/A,FALSE,"WTP";"Project",#N/A,FALSE,"PROJECT";"Summary -2",#N/A,FALSE,"SUMMARY"}</definedName>
    <definedName name="thopsohoc" localSheetId="2" hidden="1">{"Offgrid",#N/A,FALSE,"OFFGRID";"Region",#N/A,FALSE,"REGION";"Offgrid -2",#N/A,FALSE,"OFFGRID";"WTP",#N/A,FALSE,"WTP";"WTP -2",#N/A,FALSE,"WTP";"Project",#N/A,FALSE,"PROJECT";"Summary -2",#N/A,FALSE,"SUMMARY"}</definedName>
    <definedName name="thopsohoc" localSheetId="8" hidden="1">{"Offgrid",#N/A,FALSE,"OFFGRID";"Region",#N/A,FALSE,"REGION";"Offgrid -2",#N/A,FALSE,"OFFGRID";"WTP",#N/A,FALSE,"WTP";"WTP -2",#N/A,FALSE,"WTP";"Project",#N/A,FALSE,"PROJECT";"Summary -2",#N/A,FALSE,"SUMMARY"}</definedName>
    <definedName name="thopsohoc" hidden="1">{"Offgrid",#N/A,FALSE,"OFFGRID";"Region",#N/A,FALSE,"REGION";"Offgrid -2",#N/A,FALSE,"OFFGRID";"WTP",#N/A,FALSE,"WTP";"WTP -2",#N/A,FALSE,"WTP";"Project",#N/A,FALSE,"PROJECT";"Summary -2",#N/A,FALSE,"SUMMARY"}</definedName>
    <definedName name="THQT" localSheetId="1" hidden="1">{#N/A,#N/A,FALSE,"Chi tiÆt"}</definedName>
    <definedName name="THQT" localSheetId="2" hidden="1">{#N/A,#N/A,FALSE,"Chi tiÆt"}</definedName>
    <definedName name="THQT" localSheetId="8" hidden="1">{#N/A,#N/A,FALSE,"Chi tiÆt"}</definedName>
    <definedName name="THQT" hidden="1">{#N/A,#N/A,FALSE,"Chi tiÆt"}</definedName>
    <definedName name="thqtpsg" localSheetId="1" hidden="1">{"'Sheet1'!$L$16"}</definedName>
    <definedName name="thqtpsg" localSheetId="2" hidden="1">{"'Sheet1'!$L$16"}</definedName>
    <definedName name="thqtpsg" localSheetId="8" hidden="1">{"'Sheet1'!$L$16"}</definedName>
    <definedName name="thqtpsg" hidden="1">{"'Sheet1'!$L$16"}</definedName>
    <definedName name="THQuiCapChan" localSheetId="1" hidden="1">{"'Sheet1'!$L$16"}</definedName>
    <definedName name="THQuiCapChan" localSheetId="2" hidden="1">{"'Sheet1'!$L$16"}</definedName>
    <definedName name="THQuiCapChan" localSheetId="8" hidden="1">{"'Sheet1'!$L$16"}</definedName>
    <definedName name="THQuiCapChan" hidden="1">{"'Sheet1'!$L$16"}</definedName>
    <definedName name="thQuicaple" localSheetId="1" hidden="1">{"'Sheet1'!$L$16"}</definedName>
    <definedName name="thQuicaple" localSheetId="2" hidden="1">{"'Sheet1'!$L$16"}</definedName>
    <definedName name="thQuicaple" localSheetId="8" hidden="1">{"'Sheet1'!$L$16"}</definedName>
    <definedName name="thQuicaple" hidden="1">{"'Sheet1'!$L$16"}</definedName>
    <definedName name="tht" localSheetId="1" hidden="1">{"'Sheet1'!$L$16"}</definedName>
    <definedName name="tht" localSheetId="2" hidden="1">{"'Sheet1'!$L$16"}</definedName>
    <definedName name="tht" localSheetId="8" hidden="1">{"'Sheet1'!$L$16"}</definedName>
    <definedName name="tht" hidden="1">{"'Sheet1'!$L$16"}</definedName>
    <definedName name="thtyhyjyjyjyjjjyujyj" hidden="1">#REF!</definedName>
    <definedName name="THTranPhu" localSheetId="1" hidden="1">{"'Sheet1'!$L$16"}</definedName>
    <definedName name="THTranPhu" localSheetId="2" hidden="1">{"'Sheet1'!$L$16"}</definedName>
    <definedName name="THTranPhu" localSheetId="8" hidden="1">{"'Sheet1'!$L$16"}</definedName>
    <definedName name="THTranPhu" hidden="1">{"'Sheet1'!$L$16"}</definedName>
    <definedName name="thtrh" hidden="1">#REF!</definedName>
    <definedName name="thu" localSheetId="1" hidden="1">{"'Sheet1'!$L$16"}</definedName>
    <definedName name="thu" localSheetId="2" hidden="1">{"'Sheet1'!$L$16"}</definedName>
    <definedName name="thu" localSheetId="8" hidden="1">{"'Sheet1'!$L$16"}</definedName>
    <definedName name="thu" hidden="1">{"'Sheet1'!$L$16"}</definedName>
    <definedName name="THUAN" localSheetId="1" hidden="1">{#N/A,#N/A,FALSE,"CCTV"}</definedName>
    <definedName name="THUAN" localSheetId="2" hidden="1">{#N/A,#N/A,FALSE,"CCTV"}</definedName>
    <definedName name="THUAN" localSheetId="8" hidden="1">{#N/A,#N/A,FALSE,"CCTV"}</definedName>
    <definedName name="THUAN" hidden="1">{#N/A,#N/A,FALSE,"CCTV"}</definedName>
    <definedName name="thuat" localSheetId="1" hidden="1">{"'Sheet1'!$L$16"}</definedName>
    <definedName name="thuat" localSheetId="2" hidden="1">{"'Sheet1'!$L$16"}</definedName>
    <definedName name="thuat" localSheetId="8" hidden="1">{"'Sheet1'!$L$16"}</definedName>
    <definedName name="thuat" hidden="1">{"'Sheet1'!$L$16"}</definedName>
    <definedName name="Thuong" localSheetId="1" hidden="1">{"'Sheet1'!$L$16"}</definedName>
    <definedName name="Thuong" localSheetId="2" hidden="1">{"'Sheet1'!$L$16"}</definedName>
    <definedName name="Thuong" localSheetId="8" hidden="1">{"'Sheet1'!$L$16"}</definedName>
    <definedName name="Thuong" hidden="1">{"'Sheet1'!$L$16"}</definedName>
    <definedName name="thuy" localSheetId="1" hidden="1">{"'Sheet1'!$L$16"}</definedName>
    <definedName name="thuy" localSheetId="2" hidden="1">{"'Sheet1'!$L$16"}</definedName>
    <definedName name="thuy" localSheetId="8" hidden="1">{"'Sheet1'!$L$16"}</definedName>
    <definedName name="thuy" hidden="1">{"'Sheet1'!$L$16"}</definedName>
    <definedName name="thvlmoi" localSheetId="1" hidden="1">{"'Sheet1'!$L$16"}</definedName>
    <definedName name="thvlmoi" localSheetId="2" hidden="1">{"'Sheet1'!$L$16"}</definedName>
    <definedName name="thvlmoi" localSheetId="8" hidden="1">{"'Sheet1'!$L$16"}</definedName>
    <definedName name="thvlmoi" hidden="1">{"'Sheet1'!$L$16"}</definedName>
    <definedName name="thvlmoimoi" localSheetId="1" hidden="1">{"'Sheet1'!$L$16"}</definedName>
    <definedName name="thvlmoimoi" localSheetId="2" hidden="1">{"'Sheet1'!$L$16"}</definedName>
    <definedName name="thvlmoimoi" localSheetId="8" hidden="1">{"'Sheet1'!$L$16"}</definedName>
    <definedName name="thvlmoimoi" hidden="1">{"'Sheet1'!$L$16"}</definedName>
    <definedName name="THVT" localSheetId="1" hidden="1">{"'ELEC'!$A$2:$H$216","'ELEC'!$C$2:$D$2"}</definedName>
    <definedName name="THVT" localSheetId="2" hidden="1">{"'ELEC'!$A$2:$H$216","'ELEC'!$C$2:$D$2"}</definedName>
    <definedName name="THVT" localSheetId="8" hidden="1">{"'ELEC'!$A$2:$H$216","'ELEC'!$C$2:$D$2"}</definedName>
    <definedName name="THVT" hidden="1">{"'ELEC'!$A$2:$H$216","'ELEC'!$C$2:$D$2"}</definedName>
    <definedName name="thytr" hidden="1">#REF!</definedName>
    <definedName name="tr" localSheetId="1" hidden="1">#REF!</definedName>
    <definedName name="tr" hidden="1">#REF!</definedName>
    <definedName name="Tram" localSheetId="1" hidden="1">{"'Sheet1'!$L$16"}</definedName>
    <definedName name="Tram" localSheetId="2" hidden="1">{"'Sheet1'!$L$16"}</definedName>
    <definedName name="Tram" localSheetId="8" hidden="1">{"'Sheet1'!$L$16"}</definedName>
    <definedName name="Tram" hidden="1">{"'Sheet1'!$L$16"}</definedName>
    <definedName name="tran" localSheetId="1" hidden="1">{"'现金流量表（全部投资）'!$B$4:$P$23"}</definedName>
    <definedName name="tran" localSheetId="2" hidden="1">{"'现金流量表（全部投资）'!$B$4:$P$23"}</definedName>
    <definedName name="tran" localSheetId="8" hidden="1">{"'现金流量表（全部投资）'!$B$4:$P$23"}</definedName>
    <definedName name="tran" hidden="1">{"'现金流量表（全部投资）'!$B$4:$P$23"}</definedName>
    <definedName name="tre" localSheetId="1" hidden="1">{#N/A,#N/A,FALSE,"Chi tiÆt"}</definedName>
    <definedName name="tre" localSheetId="2" hidden="1">{#N/A,#N/A,FALSE,"Chi tiÆt"}</definedName>
    <definedName name="tre" localSheetId="8" hidden="1">{#N/A,#N/A,FALSE,"Chi tiÆt"}</definedName>
    <definedName name="tre" hidden="1">{#N/A,#N/A,FALSE,"Chi tiÆt"}</definedName>
    <definedName name="treerrt" hidden="1">#REF!</definedName>
    <definedName name="TRHEE" localSheetId="1" hidden="1">{#N/A,#N/A,FALSE,"Sheet6"}</definedName>
    <definedName name="TRHEE" localSheetId="2" hidden="1">{#N/A,#N/A,FALSE,"Sheet6"}</definedName>
    <definedName name="TRHEE" localSheetId="8" hidden="1">{#N/A,#N/A,FALSE,"Sheet6"}</definedName>
    <definedName name="TRHEE" hidden="1">{#N/A,#N/A,FALSE,"Sheet6"}</definedName>
    <definedName name="TRHEH" localSheetId="1" hidden="1">{"'Sheet1'!$L$16"}</definedName>
    <definedName name="TRHEH" localSheetId="2" hidden="1">{"'Sheet1'!$L$16"}</definedName>
    <definedName name="TRHEH" localSheetId="8" hidden="1">{"'Sheet1'!$L$16"}</definedName>
    <definedName name="TRHEH" hidden="1">{"'Sheet1'!$L$16"}</definedName>
    <definedName name="trhr" localSheetId="1" hidden="1">{#N/A,#N/A,FALSE,"Sheet6"}</definedName>
    <definedName name="trhr" localSheetId="2" hidden="1">{#N/A,#N/A,FALSE,"Sheet6"}</definedName>
    <definedName name="trhr" localSheetId="8" hidden="1">{#N/A,#N/A,FALSE,"Sheet6"}</definedName>
    <definedName name="trhr" hidden="1">{#N/A,#N/A,FALSE,"Sheet6"}</definedName>
    <definedName name="trieu" localSheetId="1" hidden="1">{"'Sheet1'!$L$16"}</definedName>
    <definedName name="trieu" localSheetId="2" hidden="1">{"'Sheet1'!$L$16"}</definedName>
    <definedName name="trieu" localSheetId="8" hidden="1">{"'Sheet1'!$L$16"}</definedName>
    <definedName name="trieu" hidden="1">{"'Sheet1'!$L$16"}</definedName>
    <definedName name="trong" localSheetId="1" hidden="1">{"'Sheet1'!$L$16"}</definedName>
    <definedName name="trong" localSheetId="2" hidden="1">{"'Sheet1'!$L$16"}</definedName>
    <definedName name="trong" localSheetId="8" hidden="1">{"'Sheet1'!$L$16"}</definedName>
    <definedName name="trong" hidden="1">{"'Sheet1'!$L$16"}</definedName>
    <definedName name="trr" localSheetId="1" hidden="1">{"Offgrid",#N/A,FALSE,"OFFGRID";"Region",#N/A,FALSE,"REGION";"Offgrid -2",#N/A,FALSE,"OFFGRID";"WTP",#N/A,FALSE,"WTP";"WTP -2",#N/A,FALSE,"WTP";"Project",#N/A,FALSE,"PROJECT";"Summary -2",#N/A,FALSE,"SUMMARY"}</definedName>
    <definedName name="trr" localSheetId="2" hidden="1">{"Offgrid",#N/A,FALSE,"OFFGRID";"Region",#N/A,FALSE,"REGION";"Offgrid -2",#N/A,FALSE,"OFFGRID";"WTP",#N/A,FALSE,"WTP";"WTP -2",#N/A,FALSE,"WTP";"Project",#N/A,FALSE,"PROJECT";"Summary -2",#N/A,FALSE,"SUMMARY"}</definedName>
    <definedName name="trr" localSheetId="8" hidden="1">{"Offgrid",#N/A,FALSE,"OFFGRID";"Region",#N/A,FALSE,"REGION";"Offgrid -2",#N/A,FALSE,"OFFGRID";"WTP",#N/A,FALSE,"WTP";"WTP -2",#N/A,FALSE,"WTP";"Project",#N/A,FALSE,"PROJECT";"Summary -2",#N/A,FALSE,"SUMMARY"}</definedName>
    <definedName name="trr" hidden="1">{"Offgrid",#N/A,FALSE,"OFFGRID";"Region",#N/A,FALSE,"REGION";"Offgrid -2",#N/A,FALSE,"OFFGRID";"WTP",#N/A,FALSE,"WTP";"WTP -2",#N/A,FALSE,"WTP";"Project",#N/A,FALSE,"PROJECT";"Summary -2",#N/A,FALSE,"SUMMARY"}</definedName>
    <definedName name="trrh" localSheetId="1" hidden="1">{"'Sheet1'!$L$16"}</definedName>
    <definedName name="trrh" localSheetId="2" hidden="1">{"'Sheet1'!$L$16"}</definedName>
    <definedName name="trrh" localSheetId="8" hidden="1">{"'Sheet1'!$L$16"}</definedName>
    <definedName name="trrh" hidden="1">{"'Sheet1'!$L$16"}</definedName>
    <definedName name="trunking_od" hidden="1">#REF!</definedName>
    <definedName name="trunggiang" localSheetId="1" hidden="1">#REF!</definedName>
    <definedName name="trunggiang" hidden="1">#REF!</definedName>
    <definedName name="TRUNGNGUYEN" localSheetId="1" hidden="1">{#N/A,#N/A,FALSE,"Chi tiÆt"}</definedName>
    <definedName name="TRUNGNGUYEN" localSheetId="2" hidden="1">{#N/A,#N/A,FALSE,"Chi tiÆt"}</definedName>
    <definedName name="TRUNGNGUYEN" localSheetId="8" hidden="1">{#N/A,#N/A,FALSE,"Chi tiÆt"}</definedName>
    <definedName name="TRUNGNGUYEN" hidden="1">{#N/A,#N/A,FALSE,"Chi tiÆt"}</definedName>
    <definedName name="trutriutit" localSheetId="1" hidden="1">{#N/A,#N/A,FALSE,"속도"}</definedName>
    <definedName name="trutriutit" localSheetId="2" hidden="1">{#N/A,#N/A,FALSE,"속도"}</definedName>
    <definedName name="trutriutit" localSheetId="8" hidden="1">{#N/A,#N/A,FALSE,"속도"}</definedName>
    <definedName name="trutriutit" hidden="1">{#N/A,#N/A,FALSE,"속도"}</definedName>
    <definedName name="u" localSheetId="1" hidden="1">{#N/A,#N/A,FALSE,"récap";#N/A,#N/A,FALSE,"hypothèses";#N/A,#N/A,FALSE,"Serv Génér";#N/A,#N/A,FALSE,"A-R paroi";#N/A,#N/A,FALSE,"paroi moulée";#N/A,#N/A,FALSE,"préfondés";#N/A,#N/A,FALSE,"A-R injection";#N/A,#N/A,FALSE,"forages";#N/A,#N/A,FALSE,"injection";#N/A,#N/A,FALSE,"pompage";#N/A,#N/A,FALSE,"comparatif";#N/A,#N/A,FALSE,"échéancier"}</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 localSheetId="8" hidden="1">{#N/A,#N/A,FALSE,"récap";#N/A,#N/A,FALSE,"hypothèses";#N/A,#N/A,FALSE,"Serv Génér";#N/A,#N/A,FALSE,"A-R paroi";#N/A,#N/A,FALSE,"paroi moulée";#N/A,#N/A,FALSE,"préfondés";#N/A,#N/A,FALSE,"A-R injection";#N/A,#N/A,FALSE,"forages";#N/A,#N/A,FALSE,"injection";#N/A,#N/A,FALSE,"pompage";#N/A,#N/A,FALSE,"comparatif";#N/A,#N/A,FALSE,"échéancier"}</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localSheetId="1" hidden="1">{"'Sheet1'!$L$16"}</definedName>
    <definedName name="u5u6" localSheetId="2" hidden="1">{"'Sheet1'!$L$16"}</definedName>
    <definedName name="u5u6" localSheetId="8" hidden="1">{"'Sheet1'!$L$16"}</definedName>
    <definedName name="u5u6" hidden="1">{"'Sheet1'!$L$16"}</definedName>
    <definedName name="uassw_sh" localSheetId="1" hidden="1">{"'Sheet1'!$L$16"}</definedName>
    <definedName name="uassw_sh" localSheetId="2" hidden="1">{"'Sheet1'!$L$16"}</definedName>
    <definedName name="uassw_sh" localSheetId="8" hidden="1">{"'Sheet1'!$L$16"}</definedName>
    <definedName name="uassw_sh" hidden="1">{"'Sheet1'!$L$16"}</definedName>
    <definedName name="ucost">#REF!</definedName>
    <definedName name="uchihashi" localSheetId="1" hidden="1">{#N/A,#N/A,FALSE,"特殊室（ＢＱ表）"}</definedName>
    <definedName name="uchihashi" localSheetId="2" hidden="1">{#N/A,#N/A,FALSE,"特殊室（ＢＱ表）"}</definedName>
    <definedName name="uchihashi" localSheetId="8" hidden="1">{#N/A,#N/A,FALSE,"特殊室（ＢＱ表）"}</definedName>
    <definedName name="uchihashi" hidden="1">{#N/A,#N/A,FALSE,"特殊室（ＢＱ表）"}</definedName>
    <definedName name="úh" localSheetId="1" hidden="1">#REF!</definedName>
    <definedName name="úh" hidden="1">#REF!</definedName>
    <definedName name="ui" localSheetId="1" hidden="1">#REF!</definedName>
    <definedName name="ui" hidden="1">#REF!</definedName>
    <definedName name="uip" localSheetId="1" hidden="1">{"'Sheet1'!$L$16"}</definedName>
    <definedName name="uip" localSheetId="2" hidden="1">{"'Sheet1'!$L$16"}</definedName>
    <definedName name="uip" localSheetId="8" hidden="1">{"'Sheet1'!$L$16"}</definedName>
    <definedName name="uip" hidden="1">{"'Sheet1'!$L$16"}</definedName>
    <definedName name="ujdffdf" localSheetId="1" hidden="1">{#N/A,#N/A,FALSE,"단가표지"}</definedName>
    <definedName name="ujdffdf" localSheetId="2" hidden="1">{#N/A,#N/A,FALSE,"단가표지"}</definedName>
    <definedName name="ujdffdf" localSheetId="8" hidden="1">{#N/A,#N/A,FALSE,"단가표지"}</definedName>
    <definedName name="ujdffdf" hidden="1">{#N/A,#N/A,FALSE,"단가표지"}</definedName>
    <definedName name="ukj" localSheetId="1" hidden="1">{#N/A,#N/A,FALSE,"전력간선"}</definedName>
    <definedName name="ukj" localSheetId="2" hidden="1">{#N/A,#N/A,FALSE,"전력간선"}</definedName>
    <definedName name="ukj" localSheetId="8" hidden="1">{#N/A,#N/A,FALSE,"전력간선"}</definedName>
    <definedName name="ukj" hidden="1">{#N/A,#N/A,FALSE,"전력간선"}</definedName>
    <definedName name="ukluy" localSheetId="1" hidden="1">{"'Sheet1'!$L$16"}</definedName>
    <definedName name="ukluy" localSheetId="2" hidden="1">{"'Sheet1'!$L$16"}</definedName>
    <definedName name="ukluy" localSheetId="8" hidden="1">{"'Sheet1'!$L$16"}</definedName>
    <definedName name="ukluy" hidden="1">{"'Sheet1'!$L$16"}</definedName>
    <definedName name="UL" localSheetId="1" hidden="1">{"'Sheet1'!$L$16"}</definedName>
    <definedName name="UL" localSheetId="2" hidden="1">{"'Sheet1'!$L$16"}</definedName>
    <definedName name="UL" localSheetId="8" hidden="1">{"'Sheet1'!$L$16"}</definedName>
    <definedName name="UL" hidden="1">{"'Sheet1'!$L$16"}</definedName>
    <definedName name="ulo" localSheetId="1" hidden="1">{"'용역비'!$A$4:$C$8"}</definedName>
    <definedName name="ulo" localSheetId="2" hidden="1">{"'용역비'!$A$4:$C$8"}</definedName>
    <definedName name="ulo" localSheetId="8" hidden="1">{"'용역비'!$A$4:$C$8"}</definedName>
    <definedName name="ulo" hidden="1">{"'용역비'!$A$4:$C$8"}</definedName>
    <definedName name="underslab" localSheetId="1" hidden="1">#REF!</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localSheetId="1" hidden="1">{"'Sheet1'!$L$16"}</definedName>
    <definedName name="ủnt" localSheetId="2" hidden="1">{"'Sheet1'!$L$16"}</definedName>
    <definedName name="ủnt" localSheetId="8" hidden="1">{"'Sheet1'!$L$16"}</definedName>
    <definedName name="ủnt" hidden="1">{"'Sheet1'!$L$16"}</definedName>
    <definedName name="UP" localSheetId="1">#REF!,#REF!,#REF!,#REF!,#REF!,#REF!,#REF!,#REF!,#REF!,#REF!,#REF!</definedName>
    <definedName name="UP">#REF!,#REF!,#REF!,#REF!,#REF!,#REF!,#REF!,#REF!,#REF!,#REF!,#REF!</definedName>
    <definedName name="urreur" localSheetId="1" hidden="1">{#N/A,#N/A,FALSE,"사업총괄";#N/A,#N/A,FALSE,"장비사업";#N/A,#N/A,FALSE,"철구사업";#N/A,#N/A,FALSE,"준설사업"}</definedName>
    <definedName name="urreur" localSheetId="2" hidden="1">{#N/A,#N/A,FALSE,"사업총괄";#N/A,#N/A,FALSE,"장비사업";#N/A,#N/A,FALSE,"철구사업";#N/A,#N/A,FALSE,"준설사업"}</definedName>
    <definedName name="urreur" localSheetId="8" hidden="1">{#N/A,#N/A,FALSE,"사업총괄";#N/A,#N/A,FALSE,"장비사업";#N/A,#N/A,FALSE,"철구사업";#N/A,#N/A,FALSE,"준설사업"}</definedName>
    <definedName name="urreur" hidden="1">{#N/A,#N/A,FALSE,"사업총괄";#N/A,#N/A,FALSE,"장비사업";#N/A,#N/A,FALSE,"철구사업";#N/A,#N/A,FALSE,"준설사업"}</definedName>
    <definedName name="urtureu" localSheetId="1" hidden="1">{#N/A,#N/A,FALSE,"전력간선"}</definedName>
    <definedName name="urtureu" localSheetId="2" hidden="1">{#N/A,#N/A,FALSE,"전력간선"}</definedName>
    <definedName name="urtureu" localSheetId="8" hidden="1">{#N/A,#N/A,FALSE,"전력간선"}</definedName>
    <definedName name="urtureu" hidden="1">{#N/A,#N/A,FALSE,"전력간선"}</definedName>
    <definedName name="urtureuer" localSheetId="1" hidden="1">{#N/A,#N/A,FALSE,"구조2"}</definedName>
    <definedName name="urtureuer" localSheetId="2" hidden="1">{#N/A,#N/A,FALSE,"구조2"}</definedName>
    <definedName name="urtureuer" localSheetId="8" hidden="1">{#N/A,#N/A,FALSE,"구조2"}</definedName>
    <definedName name="urtureuer" hidden="1">{#N/A,#N/A,FALSE,"구조2"}</definedName>
    <definedName name="uru4u4urur" localSheetId="1" hidden="1">{#N/A,#N/A,FALSE,"배수1"}</definedName>
    <definedName name="uru4u4urur" localSheetId="2" hidden="1">{#N/A,#N/A,FALSE,"배수1"}</definedName>
    <definedName name="uru4u4urur" localSheetId="8" hidden="1">{#N/A,#N/A,FALSE,"배수1"}</definedName>
    <definedName name="uru4u4urur" hidden="1">{#N/A,#N/A,FALSE,"배수1"}</definedName>
    <definedName name="usd">22300</definedName>
    <definedName name="ututut" localSheetId="1" hidden="1">{"'Sheet1'!$L$16"}</definedName>
    <definedName name="ututut" localSheetId="2" hidden="1">{"'Sheet1'!$L$16"}</definedName>
    <definedName name="ututut" localSheetId="8" hidden="1">{"'Sheet1'!$L$16"}</definedName>
    <definedName name="ututut" hidden="1">{"'Sheet1'!$L$16"}</definedName>
    <definedName name="UTWER" localSheetId="1" hidden="1">{"'Sheet1'!$L$16"}</definedName>
    <definedName name="UTWER" localSheetId="2" hidden="1">{"'Sheet1'!$L$16"}</definedName>
    <definedName name="UTWER" localSheetId="8" hidden="1">{"'Sheet1'!$L$16"}</definedName>
    <definedName name="UTWER" hidden="1">{"'Sheet1'!$L$16"}</definedName>
    <definedName name="utyutru"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1" hidden="1">{#N/A,#N/A,FALSE,"배수2"}</definedName>
    <definedName name="utrutr" localSheetId="2" hidden="1">{#N/A,#N/A,FALSE,"배수2"}</definedName>
    <definedName name="utrutr" localSheetId="8" hidden="1">{#N/A,#N/A,FALSE,"배수2"}</definedName>
    <definedName name="utrutr" hidden="1">{#N/A,#N/A,FALSE,"배수2"}</definedName>
    <definedName name="uu" localSheetId="1" hidden="1">{"'용역비'!$A$4:$C$8"}</definedName>
    <definedName name="uu" localSheetId="2" hidden="1">{"'용역비'!$A$4:$C$8"}</definedName>
    <definedName name="uu" localSheetId="8" hidden="1">{"'용역비'!$A$4:$C$8"}</definedName>
    <definedName name="uu" hidden="1">{"'용역비'!$A$4:$C$8"}</definedName>
    <definedName name="UUU" localSheetId="1" hidden="1">#REF!</definedName>
    <definedName name="UUU" hidden="1">#REF!</definedName>
    <definedName name="uuuii" hidden="1">#REF!</definedName>
    <definedName name="uuuu" localSheetId="1" hidden="1">{#N/A,#N/A,FALSE,"단가표지"}</definedName>
    <definedName name="uuuu" localSheetId="2" hidden="1">{#N/A,#N/A,FALSE,"단가표지"}</definedName>
    <definedName name="uuuu" localSheetId="8" hidden="1">{#N/A,#N/A,FALSE,"단가표지"}</definedName>
    <definedName name="uuuu" hidden="1">{#N/A,#N/A,FALSE,"단가표지"}</definedName>
    <definedName name="uyi" localSheetId="1" hidden="1">{"'Sheet1'!$L$16"}</definedName>
    <definedName name="uyi" localSheetId="2" hidden="1">{"'Sheet1'!$L$16"}</definedName>
    <definedName name="uyi" localSheetId="8" hidden="1">{"'Sheet1'!$L$16"}</definedName>
    <definedName name="uyi" hidden="1">{"'Sheet1'!$L$16"}</definedName>
    <definedName name="uyteyj" hidden="1">#REF!</definedName>
    <definedName name="ủytỉt" localSheetId="1" hidden="1">{"'Sheet1'!$L$16"}</definedName>
    <definedName name="ủytỉt" localSheetId="2" hidden="1">{"'Sheet1'!$L$16"}</definedName>
    <definedName name="ủytỉt" localSheetId="8" hidden="1">{"'Sheet1'!$L$16"}</definedName>
    <definedName name="ủytỉt" hidden="1">{"'Sheet1'!$L$16"}</definedName>
    <definedName name="uytjhtdjtj" localSheetId="1" hidden="1">{"'Sheet1'!$L$16"}</definedName>
    <definedName name="uytjhtdjtj" localSheetId="2" hidden="1">{"'Sheet1'!$L$16"}</definedName>
    <definedName name="uytjhtdjtj" localSheetId="8" hidden="1">{"'Sheet1'!$L$16"}</definedName>
    <definedName name="uytjhtdjtj" hidden="1">{"'Sheet1'!$L$16"}</definedName>
    <definedName name="uytu" hidden="1">#REF!</definedName>
    <definedName name="ư" localSheetId="1" hidden="1">#REF!</definedName>
    <definedName name="ư" hidden="1">#REF!</definedName>
    <definedName name="ưe" localSheetId="1" hidden="1">#REF!</definedName>
    <definedName name="ưe" hidden="1">#REF!</definedName>
    <definedName name="ưeawegw" localSheetId="1" hidden="1">#REF!</definedName>
    <definedName name="ưeawegw" hidden="1">#REF!</definedName>
    <definedName name="ưegweg" localSheetId="1" hidden="1">{"'Sheet1'!$L$16"}</definedName>
    <definedName name="ưegweg" localSheetId="2" hidden="1">{"'Sheet1'!$L$16"}</definedName>
    <definedName name="ưegweg" localSheetId="8" hidden="1">{"'Sheet1'!$L$16"}</definedName>
    <definedName name="ưegweg" hidden="1">{"'Sheet1'!$L$16"}</definedName>
    <definedName name="ưeq" hidden="1">#REF!</definedName>
    <definedName name="ưergasd" hidden="1">#REF!</definedName>
    <definedName name="ưergwrgn" localSheetId="1" hidden="1">{"'Sheet1'!$L$16"}</definedName>
    <definedName name="ưergwrgn" localSheetId="2" hidden="1">{"'Sheet1'!$L$16"}</definedName>
    <definedName name="ưergwrgn" localSheetId="8" hidden="1">{"'Sheet1'!$L$16"}</definedName>
    <definedName name="ưergwrgn" hidden="1">{"'Sheet1'!$L$16"}</definedName>
    <definedName name="ƯERWER" localSheetId="1" hidden="1">{"'Sheet1'!$L$16"}</definedName>
    <definedName name="ƯERWER" localSheetId="2" hidden="1">{"'Sheet1'!$L$16"}</definedName>
    <definedName name="ƯERWER" localSheetId="8" hidden="1">{"'Sheet1'!$L$16"}</definedName>
    <definedName name="ƯERWER" hidden="1">{"'Sheet1'!$L$16"}</definedName>
    <definedName name="ưgawegw" hidden="1">#REF!</definedName>
    <definedName name="ưvwbv" hidden="1">#REF!</definedName>
    <definedName name="v" localSheetId="1" hidden="1">#REF!</definedName>
    <definedName name="v" hidden="1">#REF!</definedName>
    <definedName name="V.clvl3" localSheetId="1" hidden="1">{"'Sheet1'!$L$16"}</definedName>
    <definedName name="V.clvl3" localSheetId="2" hidden="1">{"'Sheet1'!$L$16"}</definedName>
    <definedName name="V.clvl3" localSheetId="8" hidden="1">{"'Sheet1'!$L$16"}</definedName>
    <definedName name="V.clvl3" hidden="1">{"'Sheet1'!$L$16"}</definedName>
    <definedName name="V_a_b__t_ng_M200____1x2" localSheetId="1">ptdg</definedName>
    <definedName name="V_a_b__t_ng_M200____1x2" localSheetId="2">ptdg</definedName>
    <definedName name="V_a_b__t_ng_M200____1x2" localSheetId="8">ptdg</definedName>
    <definedName name="V_a_b__t_ng_M200____1x2">ptdg</definedName>
    <definedName name="V8.Refresh" localSheetId="1" hidden="1">{"NGUYEN QUI THIEP - Personal View",#N/A,FALSE,"XDCB.HT.FUR."}</definedName>
    <definedName name="V8.Refresh" localSheetId="2" hidden="1">{"NGUYEN QUI THIEP - Personal View",#N/A,FALSE,"XDCB.HT.FUR."}</definedName>
    <definedName name="V8.Refresh" localSheetId="8" hidden="1">{"NGUYEN QUI THIEP - Personal View",#N/A,FALSE,"XDCB.HT.FUR."}</definedName>
    <definedName name="V8.Refresh" hidden="1">{"NGUYEN QUI THIEP - Personal View",#N/A,FALSE,"XDCB.HT.FUR."}</definedName>
    <definedName name="VAÄT_LIEÄU">"ATRAM"</definedName>
    <definedName name="VaDate" hidden="1">#REF!</definedName>
    <definedName name="vadvsa" localSheetId="1" hidden="1">{"'Sheet1'!$L$16"}</definedName>
    <definedName name="vadvsa" localSheetId="2" hidden="1">{"'Sheet1'!$L$16"}</definedName>
    <definedName name="vadvsa" localSheetId="8" hidden="1">{"'Sheet1'!$L$16"}</definedName>
    <definedName name="vadvsa" hidden="1">{"'Sheet1'!$L$16"}</definedName>
    <definedName name="Valve" localSheetId="1" hidden="1">{"'Sheet1'!$L$16"}</definedName>
    <definedName name="Valve" localSheetId="2" hidden="1">{"'Sheet1'!$L$16"}</definedName>
    <definedName name="Valve" localSheetId="8" hidden="1">{"'Sheet1'!$L$16"}</definedName>
    <definedName name="Valve" hidden="1">{"'Sheet1'!$L$16"}</definedName>
    <definedName name="Valve_1" localSheetId="1" hidden="1">{"'Sheet1'!$L$16"}</definedName>
    <definedName name="Valve_1" localSheetId="2" hidden="1">{"'Sheet1'!$L$16"}</definedName>
    <definedName name="Valve_1" localSheetId="8" hidden="1">{"'Sheet1'!$L$16"}</definedName>
    <definedName name="Valve_1" hidden="1">{"'Sheet1'!$L$16"}</definedName>
    <definedName name="VarDate" hidden="1">#REF!</definedName>
    <definedName name="VAT">#REF!</definedName>
    <definedName name="VATM" localSheetId="1" hidden="1">{"'Sheet1'!$L$16"}</definedName>
    <definedName name="VATM" localSheetId="2" hidden="1">{"'Sheet1'!$L$16"}</definedName>
    <definedName name="VATM" localSheetId="8" hidden="1">{"'Sheet1'!$L$16"}</definedName>
    <definedName name="VATM" hidden="1">{"'Sheet1'!$L$16"}</definedName>
    <definedName name="vb" localSheetId="1" hidden="1">{"'Sheet1'!$L$16"}</definedName>
    <definedName name="vb" localSheetId="2" hidden="1">{"'Sheet1'!$L$16"}</definedName>
    <definedName name="vb" localSheetId="8" hidden="1">{"'Sheet1'!$L$16"}</definedName>
    <definedName name="vb" hidden="1">{"'Sheet1'!$L$16"}</definedName>
    <definedName name="VBN" localSheetId="1" hidden="1">{#N/A,#N/A,FALSE,"이태원철근"}</definedName>
    <definedName name="VBN" localSheetId="2" hidden="1">{#N/A,#N/A,FALSE,"이태원철근"}</definedName>
    <definedName name="VBN" localSheetId="8" hidden="1">{#N/A,#N/A,FALSE,"이태원철근"}</definedName>
    <definedName name="VBN" hidden="1">{#N/A,#N/A,FALSE,"이태원철근"}</definedName>
    <definedName name="vbnhj" localSheetId="1" hidden="1">{#N/A,#N/A,FALSE,"Sheet6"}</definedName>
    <definedName name="vbnhj" localSheetId="2" hidden="1">{#N/A,#N/A,FALSE,"Sheet6"}</definedName>
    <definedName name="vbnhj" localSheetId="8" hidden="1">{#N/A,#N/A,FALSE,"Sheet6"}</definedName>
    <definedName name="vbnhj" hidden="1">{#N/A,#N/A,FALSE,"Sheet6"}</definedName>
    <definedName name="vbvb" localSheetId="1" hidden="1">#REF!</definedName>
    <definedName name="vbvb" hidden="1">#REF!</definedName>
    <definedName name="vcbo1" localSheetId="1" hidden="1">{"'Sheet1'!$L$16"}</definedName>
    <definedName name="vcbo1" localSheetId="2" hidden="1">{"'Sheet1'!$L$16"}</definedName>
    <definedName name="vcbo1" localSheetId="8" hidden="1">{"'Sheet1'!$L$16"}</definedName>
    <definedName name="vcbo1" hidden="1">{"'Sheet1'!$L$16"}</definedName>
    <definedName name="vcc" localSheetId="1" hidden="1">{#N/A,#N/A,FALSE,"구조1"}</definedName>
    <definedName name="vcc" localSheetId="2" hidden="1">{#N/A,#N/A,FALSE,"구조1"}</definedName>
    <definedName name="vcc" localSheetId="8" hidden="1">{#N/A,#N/A,FALSE,"구조1"}</definedName>
    <definedName name="vcc" hidden="1">{#N/A,#N/A,FALSE,"구조1"}</definedName>
    <definedName name="vcoto" localSheetId="1" hidden="1">{"'Sheet1'!$L$16"}</definedName>
    <definedName name="vcoto" localSheetId="2" hidden="1">{"'Sheet1'!$L$16"}</definedName>
    <definedName name="vcoto" localSheetId="8" hidden="1">{"'Sheet1'!$L$16"}</definedName>
    <definedName name="vcoto" hidden="1">{"'Sheet1'!$L$16"}</definedName>
    <definedName name="vcvc" localSheetId="1" hidden="1">{"'Sheet1'!$L$16"}</definedName>
    <definedName name="vcvc" localSheetId="2" hidden="1">{"'Sheet1'!$L$16"}</definedName>
    <definedName name="vcvc" localSheetId="8" hidden="1">{"'Sheet1'!$L$16"}</definedName>
    <definedName name="vcvc" hidden="1">{"'Sheet1'!$L$16"}</definedName>
    <definedName name="vd" localSheetId="1" hidden="1">{"'Sheet1'!$L$16"}</definedName>
    <definedName name="vd" localSheetId="2" hidden="1">{"'Sheet1'!$L$16"}</definedName>
    <definedName name="vd" localSheetId="8" hidden="1">{"'Sheet1'!$L$16"}</definedName>
    <definedName name="vd" hidden="1">{"'Sheet1'!$L$16"}</definedName>
    <definedName name="vdbdb" localSheetId="1" hidden="1">{"'Sheet1'!$L$16"}</definedName>
    <definedName name="vdbdb" localSheetId="2" hidden="1">{"'Sheet1'!$L$16"}</definedName>
    <definedName name="vdbdb" localSheetId="8" hidden="1">{"'Sheet1'!$L$16"}</definedName>
    <definedName name="vdbdb" hidden="1">{"'Sheet1'!$L$16"}</definedName>
    <definedName name="vdfgdfg" localSheetId="1" hidden="1">{"'Sheet1'!$L$16"}</definedName>
    <definedName name="vdfgdfg" localSheetId="2" hidden="1">{"'Sheet1'!$L$16"}</definedName>
    <definedName name="vdfgdfg" localSheetId="8" hidden="1">{"'Sheet1'!$L$16"}</definedName>
    <definedName name="vdfgdfg" hidden="1">{"'Sheet1'!$L$16"}</definedName>
    <definedName name="VEN" localSheetId="1" hidden="1">{#N/A,#N/A,TRUE,"SUM";#N/A,#N/A,TRUE,"EE";#N/A,#N/A,TRUE,"AC";#N/A,#N/A,TRUE,"SN"}</definedName>
    <definedName name="VEN" localSheetId="2" hidden="1">{#N/A,#N/A,TRUE,"SUM";#N/A,#N/A,TRUE,"EE";#N/A,#N/A,TRUE,"AC";#N/A,#N/A,TRUE,"SN"}</definedName>
    <definedName name="VEN" localSheetId="8" hidden="1">{#N/A,#N/A,TRUE,"SUM";#N/A,#N/A,TRUE,"EE";#N/A,#N/A,TRUE,"AC";#N/A,#N/A,TRUE,"SN"}</definedName>
    <definedName name="VEN" hidden="1">{#N/A,#N/A,TRUE,"SUM";#N/A,#N/A,TRUE,"EE";#N/A,#N/A,TRUE,"AC";#N/A,#N/A,TRUE,"SN"}</definedName>
    <definedName name="vetbun" localSheetId="1" hidden="1">{"'Sheet1'!$L$16"}</definedName>
    <definedName name="vetbun" localSheetId="2" hidden="1">{"'Sheet1'!$L$16"}</definedName>
    <definedName name="vetbun" localSheetId="8" hidden="1">{"'Sheet1'!$L$16"}</definedName>
    <definedName name="vetbun" hidden="1">{"'Sheet1'!$L$16"}</definedName>
    <definedName name="VF" localSheetId="1" hidden="1">{#N/A,#N/A,FALSE,"Sheet2";#N/A,#N/A,FALSE,"Sheet4";#N/A,#N/A,FALSE,"Sheet6"}</definedName>
    <definedName name="VF" localSheetId="2" hidden="1">{#N/A,#N/A,FALSE,"Sheet2";#N/A,#N/A,FALSE,"Sheet4";#N/A,#N/A,FALSE,"Sheet6"}</definedName>
    <definedName name="VF" localSheetId="8" hidden="1">{#N/A,#N/A,FALSE,"Sheet2";#N/A,#N/A,FALSE,"Sheet4";#N/A,#N/A,FALSE,"Sheet6"}</definedName>
    <definedName name="VF" hidden="1">{#N/A,#N/A,FALSE,"Sheet2";#N/A,#N/A,FALSE,"Sheet4";#N/A,#N/A,FALSE,"Sheet6"}</definedName>
    <definedName name="vfdg" hidden="1">#REF!</definedName>
    <definedName name="vgb" localSheetId="1" hidden="1">{"'Sheet1'!$L$16"}</definedName>
    <definedName name="vgb" localSheetId="2" hidden="1">{"'Sheet1'!$L$16"}</definedName>
    <definedName name="vgb" localSheetId="8" hidden="1">{"'Sheet1'!$L$16"}</definedName>
    <definedName name="vgb" hidden="1">{"'Sheet1'!$L$16"}</definedName>
    <definedName name="vghn" localSheetId="1" hidden="1">{"'Sheet1'!$L$16"}</definedName>
    <definedName name="vghn" localSheetId="2" hidden="1">{"'Sheet1'!$L$16"}</definedName>
    <definedName name="vghn" localSheetId="8" hidden="1">{"'Sheet1'!$L$16"}</definedName>
    <definedName name="vghn" hidden="1">{"'Sheet1'!$L$16"}</definedName>
    <definedName name="vgho" localSheetId="1" hidden="1">{"'Sheet1'!$L$16"}</definedName>
    <definedName name="vgho" localSheetId="2" hidden="1">{"'Sheet1'!$L$16"}</definedName>
    <definedName name="vgho" localSheetId="8" hidden="1">{"'Sheet1'!$L$16"}</definedName>
    <definedName name="vgho" hidden="1">{"'Sheet1'!$L$16"}</definedName>
    <definedName name="vgjh" localSheetId="1" hidden="1">{#N/A,#N/A,FALSE,"特殊室（ＢＱ表）"}</definedName>
    <definedName name="vgjh" localSheetId="2" hidden="1">{#N/A,#N/A,FALSE,"特殊室（ＢＱ表）"}</definedName>
    <definedName name="vgjh" localSheetId="8" hidden="1">{#N/A,#N/A,FALSE,"特殊室（ＢＱ表）"}</definedName>
    <definedName name="vgjh" hidden="1">{#N/A,#N/A,FALSE,"特殊室（ＢＱ表）"}</definedName>
    <definedName name="vi" localSheetId="1" hidden="1">{"'Sheet1'!$L$16"}</definedName>
    <definedName name="vi" localSheetId="2" hidden="1">{"'Sheet1'!$L$16"}</definedName>
    <definedName name="vi" localSheetId="8" hidden="1">{"'Sheet1'!$L$16"}</definedName>
    <definedName name="vi" hidden="1">{"'Sheet1'!$L$16"}</definedName>
    <definedName name="vien" hidden="1">#REF!</definedName>
    <definedName name="Viet" localSheetId="1" hidden="1">{"'Sheet1'!$L$16"}</definedName>
    <definedName name="Viet" localSheetId="2" hidden="1">{"'Sheet1'!$L$16"}</definedName>
    <definedName name="Viet" localSheetId="8" hidden="1">{"'Sheet1'!$L$16"}</definedName>
    <definedName name="Viet" hidden="1">{"'Sheet1'!$L$16"}</definedName>
    <definedName name="Viets" localSheetId="1" hidden="1">{"'Sheet1'!$L$16"}</definedName>
    <definedName name="Viets" localSheetId="2" hidden="1">{"'Sheet1'!$L$16"}</definedName>
    <definedName name="Viets" localSheetId="8" hidden="1">{"'Sheet1'!$L$16"}</definedName>
    <definedName name="Viets" hidden="1">{"'Sheet1'!$L$16"}</definedName>
    <definedName name="vinod" localSheetId="1" hidden="1">{#N/A,#N/A,FALSE,"估價單  (3)"}</definedName>
    <definedName name="vinod" localSheetId="2" hidden="1">{#N/A,#N/A,FALSE,"估價單  (3)"}</definedName>
    <definedName name="vinod" localSheetId="8" hidden="1">{#N/A,#N/A,FALSE,"估價單  (3)"}</definedName>
    <definedName name="vinod" hidden="1">{#N/A,#N/A,FALSE,"估價單  (3)"}</definedName>
    <definedName name="vista" hidden="1">#REF!</definedName>
    <definedName name="vitcon" hidden="1">#REF!</definedName>
    <definedName name="vl" localSheetId="1" hidden="1">{"'Sheet1'!$L$16"}</definedName>
    <definedName name="vl" localSheetId="2" hidden="1">{"'Sheet1'!$L$16"}</definedName>
    <definedName name="vl" localSheetId="8" hidden="1">{"'Sheet1'!$L$16"}</definedName>
    <definedName name="vl" hidden="1">{"'Sheet1'!$L$16"}</definedName>
    <definedName name="vlct" localSheetId="1" hidden="1">{"'Sheet1'!$L$16"}</definedName>
    <definedName name="vlct" localSheetId="2" hidden="1">{"'Sheet1'!$L$16"}</definedName>
    <definedName name="vlct" localSheetId="8" hidden="1">{"'Sheet1'!$L$16"}</definedName>
    <definedName name="vlct" hidden="1">{"'Sheet1'!$L$16"}</definedName>
    <definedName name="VLKhac">#REF!</definedName>
    <definedName name="VLPhu" hidden="1">#REF!</definedName>
    <definedName name="VLXD" hidden="1">#REF!</definedName>
    <definedName name="vnd_list" localSheetId="1" hidden="1">{"một";"hai";"ba";"bốn";"năm";"sáu";"bảy";"tám";"chín";"mười";"mươi";"mốt";"lăm";"trăm";"nghìn";"triệu";"tỷ";"lẻ";"không trăm";"Bằng chử : "}</definedName>
    <definedName name="vnd_list" localSheetId="2" hidden="1">{"một";"hai";"ba";"bốn";"năm";"sáu";"bảy";"tám";"chín";"mười";"mươi";"mốt";"lăm";"trăm";"nghìn";"triệu";"tỷ";"lẻ";"không trăm";"Bằng chử : "}</definedName>
    <definedName name="vnd_list" localSheetId="8" hidden="1">{"một";"hai";"ba";"bốn";"năm";"sáu";"bảy";"tám";"chín";"mười";"mươi";"mốt";"lăm";"trăm";"nghìn";"triệu";"tỷ";"lẻ";"không trăm";"Bằng chử : "}</definedName>
    <definedName name="vnd_list" hidden="1">{"một";"hai";"ba";"bốn";"năm";"sáu";"bảy";"tám";"chín";"mười";"mươi";"mốt";"lăm";"trăm";"nghìn";"triệu";"tỷ";"lẻ";"không trăm";"Bằng chử : "}</definedName>
    <definedName name="vnvnvn" localSheetId="1" hidden="1">{"'Sheet1'!$L$16"}</definedName>
    <definedName name="vnvnvn" localSheetId="2" hidden="1">{"'Sheet1'!$L$16"}</definedName>
    <definedName name="vnvnvn" localSheetId="8" hidden="1">{"'Sheet1'!$L$16"}</definedName>
    <definedName name="vnvnvn" hidden="1">{"'Sheet1'!$L$16"}</definedName>
    <definedName name="vo" localSheetId="1" hidden="1">{"'CPA Sum'!$A$1:$X$30","'CPA'!$A$1:$K$187","'Infra Cost'!$A$1:$Q$30","'Dev't Cost'!$A$1:$AH$40","'Cashflow'!$A$1:$DG$82"}</definedName>
    <definedName name="vo" localSheetId="2" hidden="1">{"'CPA Sum'!$A$1:$X$30","'CPA'!$A$1:$K$187","'Infra Cost'!$A$1:$Q$30","'Dev't Cost'!$A$1:$AH$40","'Cashflow'!$A$1:$DG$82"}</definedName>
    <definedName name="vo" localSheetId="8" hidden="1">{"'CPA Sum'!$A$1:$X$30","'CPA'!$A$1:$K$187","'Infra Cost'!$A$1:$Q$30","'Dev't Cost'!$A$1:$AH$40","'Cashflow'!$A$1:$DG$82"}</definedName>
    <definedName name="vo" hidden="1">{"'CPA Sum'!$A$1:$X$30","'CPA'!$A$1:$K$187","'Infra Cost'!$A$1:$Q$30","'Dev't Cost'!$A$1:$AH$40","'Cashflow'!$A$1:$DG$82"}</definedName>
    <definedName name="VOLTAGE" localSheetId="1" hidden="1">{#N/A,#N/A,FALSE,"Sheet1";#N/A,#N/A,FALSE,"Sheet3";#N/A,#N/A,FALSE,"Sheet5"}</definedName>
    <definedName name="VOLTAGE" localSheetId="2" hidden="1">{#N/A,#N/A,FALSE,"Sheet1";#N/A,#N/A,FALSE,"Sheet3";#N/A,#N/A,FALSE,"Sheet5"}</definedName>
    <definedName name="VOLTAGE" localSheetId="8" hidden="1">{#N/A,#N/A,FALSE,"Sheet1";#N/A,#N/A,FALSE,"Sheet3";#N/A,#N/A,FALSE,"Sheet5"}</definedName>
    <definedName name="VOLTAGE" hidden="1">{#N/A,#N/A,FALSE,"Sheet1";#N/A,#N/A,FALSE,"Sheet3";#N/A,#N/A,FALSE,"Sheet5"}</definedName>
    <definedName name="VON">#N/A</definedName>
    <definedName name="vsvs" localSheetId="1" hidden="1">{"'Sheet1'!$L$16"}</definedName>
    <definedName name="vsvs" localSheetId="2" hidden="1">{"'Sheet1'!$L$16"}</definedName>
    <definedName name="vsvs" localSheetId="8" hidden="1">{"'Sheet1'!$L$16"}</definedName>
    <definedName name="vsvs" hidden="1">{"'Sheet1'!$L$16"}</definedName>
    <definedName name="VT">#REF!</definedName>
    <definedName name="vttc2" localSheetId="1" hidden="1">{#N/A,#N/A,FALSE,"Sheet1";#N/A,#N/A,FALSE,"Sheet1";#N/A,#N/A,FALSE,"Sheet1"}</definedName>
    <definedName name="vttc2" localSheetId="2" hidden="1">{#N/A,#N/A,FALSE,"Sheet1";#N/A,#N/A,FALSE,"Sheet1";#N/A,#N/A,FALSE,"Sheet1"}</definedName>
    <definedName name="vttc2" localSheetId="8" hidden="1">{#N/A,#N/A,FALSE,"Sheet1";#N/A,#N/A,FALSE,"Sheet1";#N/A,#N/A,FALSE,"Sheet1"}</definedName>
    <definedName name="vttc2" hidden="1">{#N/A,#N/A,FALSE,"Sheet1";#N/A,#N/A,FALSE,"Sheet1";#N/A,#N/A,FALSE,"Sheet1"}</definedName>
    <definedName name="VTuphu" localSheetId="1" hidden="1">{"'Sheet1'!$L$16"}</definedName>
    <definedName name="VTuphu" localSheetId="2" hidden="1">{"'Sheet1'!$L$16"}</definedName>
    <definedName name="VTuphu" localSheetId="8" hidden="1">{"'Sheet1'!$L$16"}</definedName>
    <definedName name="VTuphu" hidden="1">{"'Sheet1'!$L$16"}</definedName>
    <definedName name="VU" localSheetId="1" hidden="1">{"'Sheet1'!$L$16"}</definedName>
    <definedName name="VU" localSheetId="2" hidden="1">{"'Sheet1'!$L$16"}</definedName>
    <definedName name="VU" localSheetId="8" hidden="1">{"'Sheet1'!$L$16"}</definedName>
    <definedName name="VU" hidden="1">{"'Sheet1'!$L$16"}</definedName>
    <definedName name="VUNGTB" localSheetId="1" hidden="1">{"'Sheet1'!$L$16"}</definedName>
    <definedName name="VUNGTB" localSheetId="2" hidden="1">{"'Sheet1'!$L$16"}</definedName>
    <definedName name="VUNGTB" localSheetId="8" hidden="1">{"'Sheet1'!$L$16"}</definedName>
    <definedName name="VUNGTB" hidden="1">{"'Sheet1'!$L$16"}</definedName>
    <definedName name="vut" localSheetId="1" hidden="1">{#N/A,#N/A,FALSE,"Chi tiÆt"}</definedName>
    <definedName name="vut" localSheetId="2" hidden="1">{#N/A,#N/A,FALSE,"Chi tiÆt"}</definedName>
    <definedName name="vut" localSheetId="8" hidden="1">{#N/A,#N/A,FALSE,"Chi tiÆt"}</definedName>
    <definedName name="vut" hidden="1">{#N/A,#N/A,FALSE,"Chi tiÆt"}</definedName>
    <definedName name="vv" localSheetId="1" hidden="1">{"'Sheet1'!$L$16"}</definedName>
    <definedName name="vv" localSheetId="2" hidden="1">{"'Sheet1'!$L$16"}</definedName>
    <definedName name="vv" localSheetId="8" hidden="1">{"'Sheet1'!$L$16"}</definedName>
    <definedName name="vv" hidden="1">{"'Sheet1'!$L$16"}</definedName>
    <definedName name="vvv" localSheetId="1" hidden="1">{"'Sheet1'!$L$16"}</definedName>
    <definedName name="vvv" localSheetId="2" hidden="1">{"'Sheet1'!$L$16"}</definedName>
    <definedName name="vvv" localSheetId="8" hidden="1">{"'Sheet1'!$L$16"}</definedName>
    <definedName name="vvv" hidden="1">{"'Sheet1'!$L$16"}</definedName>
    <definedName name="ｖｖｖｖｖ" localSheetId="1" hidden="1">{"'Sheet1'!$L$16"}</definedName>
    <definedName name="ｖｖｖｖｖ" localSheetId="2" hidden="1">{"'Sheet1'!$L$16"}</definedName>
    <definedName name="ｖｖｖｖｖ" localSheetId="8" hidden="1">{"'Sheet1'!$L$16"}</definedName>
    <definedName name="ｖｖｖｖｖ" hidden="1">{"'Sheet1'!$L$16"}</definedName>
    <definedName name="VVVVVV" localSheetId="1" hidden="1">{"'Sheet1'!$L$16"}</definedName>
    <definedName name="VVVVVV" localSheetId="2" hidden="1">{"'Sheet1'!$L$16"}</definedName>
    <definedName name="VVVVVV" localSheetId="8" hidden="1">{"'Sheet1'!$L$16"}</definedName>
    <definedName name="VVVVVV" hidden="1">{"'Sheet1'!$L$16"}</definedName>
    <definedName name="vvvvvvv" localSheetId="1" hidden="1">{#N/A,#N/A,FALSE,"Chi tiÆt"}</definedName>
    <definedName name="vvvvvvv" localSheetId="2" hidden="1">{#N/A,#N/A,FALSE,"Chi tiÆt"}</definedName>
    <definedName name="vvvvvvv" localSheetId="8" hidden="1">{#N/A,#N/A,FALSE,"Chi tiÆt"}</definedName>
    <definedName name="vvvvvvv" hidden="1">{#N/A,#N/A,FALSE,"Chi tiÆt"}</definedName>
    <definedName name="vxcgs" localSheetId="1" hidden="1">{"'Sheet1'!$L$16"}</definedName>
    <definedName name="vxcgs" localSheetId="2" hidden="1">{"'Sheet1'!$L$16"}</definedName>
    <definedName name="vxcgs" localSheetId="8" hidden="1">{"'Sheet1'!$L$16"}</definedName>
    <definedName name="vxcgs" hidden="1">{"'Sheet1'!$L$16"}</definedName>
    <definedName name="VXVZX" localSheetId="1" hidden="1">{"'Sheet1'!$L$16"}</definedName>
    <definedName name="VXVZX" localSheetId="2" hidden="1">{"'Sheet1'!$L$16"}</definedName>
    <definedName name="VXVZX" localSheetId="8" hidden="1">{"'Sheet1'!$L$16"}</definedName>
    <definedName name="VXVZX" hidden="1">{"'Sheet1'!$L$16"}</definedName>
    <definedName name="vyu" localSheetId="1" hidden="1">{"'Sheet1'!$L$16"}</definedName>
    <definedName name="vyu" localSheetId="2" hidden="1">{"'Sheet1'!$L$16"}</definedName>
    <definedName name="vyu" localSheetId="8" hidden="1">{"'Sheet1'!$L$16"}</definedName>
    <definedName name="vyu" hidden="1">{"'Sheet1'!$L$16"}</definedName>
    <definedName name="VZDVA" localSheetId="1" hidden="1">{"'Sheet1'!$L$16"}</definedName>
    <definedName name="VZDVA" localSheetId="2" hidden="1">{"'Sheet1'!$L$16"}</definedName>
    <definedName name="VZDVA" localSheetId="8" hidden="1">{"'Sheet1'!$L$16"}</definedName>
    <definedName name="VZDVA" hidden="1">{"'Sheet1'!$L$16"}</definedName>
    <definedName name="VZVZD" localSheetId="1" hidden="1">{"'Sheet1'!$L$16"}</definedName>
    <definedName name="VZVZD" localSheetId="2" hidden="1">{"'Sheet1'!$L$16"}</definedName>
    <definedName name="VZVZD" localSheetId="8" hidden="1">{"'Sheet1'!$L$16"}</definedName>
    <definedName name="VZVZD" hidden="1">{"'Sheet1'!$L$16"}</definedName>
    <definedName name="VZVZXCZ" localSheetId="1" hidden="1">{"'Sheet1'!$L$16"}</definedName>
    <definedName name="VZVZXCZ" localSheetId="2" hidden="1">{"'Sheet1'!$L$16"}</definedName>
    <definedName name="VZVZXCZ" localSheetId="8" hidden="1">{"'Sheet1'!$L$16"}</definedName>
    <definedName name="VZVZXCZ" hidden="1">{"'Sheet1'!$L$16"}</definedName>
    <definedName name="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localSheetId="1" hidden="1">{#N/A,#N/A,FALSE,"Chi tiÆt"}</definedName>
    <definedName name="waa" localSheetId="2" hidden="1">{#N/A,#N/A,FALSE,"Chi tiÆt"}</definedName>
    <definedName name="waa" localSheetId="8" hidden="1">{#N/A,#N/A,FALSE,"Chi tiÆt"}</definedName>
    <definedName name="waa" hidden="1">{#N/A,#N/A,FALSE,"Chi tiÆt"}</definedName>
    <definedName name="wafef" localSheetId="1" hidden="1">{"'Sheet1'!$L$16"}</definedName>
    <definedName name="wafef" localSheetId="2" hidden="1">{"'Sheet1'!$L$16"}</definedName>
    <definedName name="wafef" localSheetId="8" hidden="1">{"'Sheet1'!$L$16"}</definedName>
    <definedName name="wafef" hidden="1">{"'Sheet1'!$L$16"}</definedName>
    <definedName name="walkway" localSheetId="1" hidden="1">{"'Sheet1'!$L$16"}</definedName>
    <definedName name="walkway" localSheetId="2" hidden="1">{"'Sheet1'!$L$16"}</definedName>
    <definedName name="walkway" localSheetId="8" hidden="1">{"'Sheet1'!$L$16"}</definedName>
    <definedName name="walkway" hidden="1">{"'Sheet1'!$L$16"}</definedName>
    <definedName name="wd" hidden="1">#REF!</definedName>
    <definedName name="wdd" localSheetId="1" hidden="1">{"'Sheet1'!$L$16"}</definedName>
    <definedName name="wdd" localSheetId="2" hidden="1">{"'Sheet1'!$L$16"}</definedName>
    <definedName name="wdd" localSheetId="8" hidden="1">{"'Sheet1'!$L$16"}</definedName>
    <definedName name="wdd" hidden="1">{"'Sheet1'!$L$16"}</definedName>
    <definedName name="WDDLS">#REF!</definedName>
    <definedName name="WE" localSheetId="1" hidden="1">{#N/A,#N/A,FALSE,"CCTV"}</definedName>
    <definedName name="WE" localSheetId="2" hidden="1">{#N/A,#N/A,FALSE,"CCTV"}</definedName>
    <definedName name="WE" localSheetId="8" hidden="1">{#N/A,#N/A,FALSE,"CCTV"}</definedName>
    <definedName name="WE" hidden="1">{#N/A,#N/A,FALSE,"CCTV"}</definedName>
    <definedName name="wedus" hidden="1">#REF!</definedName>
    <definedName name="wefwgfwegf" localSheetId="1" hidden="1">{"'Sheet1'!$L$16"}</definedName>
    <definedName name="wefwgfwegf" localSheetId="2" hidden="1">{"'Sheet1'!$L$16"}</definedName>
    <definedName name="wefwgfwegf" localSheetId="8" hidden="1">{"'Sheet1'!$L$16"}</definedName>
    <definedName name="wefwgfwegf" hidden="1">{"'Sheet1'!$L$16"}</definedName>
    <definedName name="weqew" localSheetId="1" hidden="1">#REF!</definedName>
    <definedName name="weqew" hidden="1">#REF!</definedName>
    <definedName name="weq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1" hidden="1">{0,0,0,0}</definedName>
    <definedName name="WEQWEQ" localSheetId="2" hidden="1">{0,0,0,0}</definedName>
    <definedName name="WEQWEQ" localSheetId="8" hidden="1">{0,0,0,0}</definedName>
    <definedName name="WEQWEQ" hidden="1">{0,0,0,0}</definedName>
    <definedName name="wer" localSheetId="1" hidden="1">#REF!</definedName>
    <definedName name="wer" hidden="1">#REF!</definedName>
    <definedName name="werar" localSheetId="1" hidden="1">{"'Sheet1'!$L$16"}</definedName>
    <definedName name="werar" localSheetId="2" hidden="1">{"'Sheet1'!$L$16"}</definedName>
    <definedName name="werar" localSheetId="8" hidden="1">{"'Sheet1'!$L$16"}</definedName>
    <definedName name="werar" hidden="1">{"'Sheet1'!$L$16"}</definedName>
    <definedName name="wererr" localSheetId="1" hidden="1">{#N/A,#N/A,FALSE,"운반시간"}</definedName>
    <definedName name="wererr" localSheetId="2" hidden="1">{#N/A,#N/A,FALSE,"운반시간"}</definedName>
    <definedName name="wererr" localSheetId="8" hidden="1">{#N/A,#N/A,FALSE,"운반시간"}</definedName>
    <definedName name="wererr" hidden="1">{#N/A,#N/A,FALSE,"운반시간"}</definedName>
    <definedName name="werewr" localSheetId="1" hidden="1">{#N/A,#N/A,FALSE,"골재소요량";#N/A,#N/A,FALSE,"골재소요량"}</definedName>
    <definedName name="werewr" localSheetId="2" hidden="1">{#N/A,#N/A,FALSE,"골재소요량";#N/A,#N/A,FALSE,"골재소요량"}</definedName>
    <definedName name="werewr" localSheetId="8" hidden="1">{#N/A,#N/A,FALSE,"골재소요량";#N/A,#N/A,FALSE,"골재소요량"}</definedName>
    <definedName name="werewr" hidden="1">{#N/A,#N/A,FALSE,"골재소요량";#N/A,#N/A,FALSE,"골재소요량"}</definedName>
    <definedName name="werwer"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localSheetId="1" hidden="1">#REF!</definedName>
    <definedName name="wew" hidden="1">#REF!</definedName>
    <definedName name="wewfdhy" localSheetId="1" hidden="1">#REF!</definedName>
    <definedName name="wewfdhy" hidden="1">#REF!</definedName>
    <definedName name="wghw3r" localSheetId="1" hidden="1">#REF!</definedName>
    <definedName name="wghw3r" hidden="1">#REF!</definedName>
    <definedName name="wgyw" localSheetId="1" hidden="1">{"'Sheet1'!$L$16"}</definedName>
    <definedName name="wgyw" localSheetId="2" hidden="1">{"'Sheet1'!$L$16"}</definedName>
    <definedName name="wgyw" localSheetId="8" hidden="1">{"'Sheet1'!$L$16"}</definedName>
    <definedName name="wgyw" hidden="1">{"'Sheet1'!$L$16"}</definedName>
    <definedName name="window" localSheetId="1" hidden="1">{"ECA Qtrs C",#N/A,TRUE,"ECA_Qtrs_C";"ECA Qtrs D",#N/A,TRUE,"ECA_Qtrs_D";"ECA Qtrs F",#N/A,TRUE,"ECA_Qtrs_F";"ECA Qtrs G",#N/A,TRUE,"ECA_Qtrs_G";"ECA SisterApt",#N/A,TRUE,"ECA_SisterApt";"ECA Nurses",#N/A,TRUE,"ECA_NursesHostel"}</definedName>
    <definedName name="window" localSheetId="2" hidden="1">{"ECA Qtrs C",#N/A,TRUE,"ECA_Qtrs_C";"ECA Qtrs D",#N/A,TRUE,"ECA_Qtrs_D";"ECA Qtrs F",#N/A,TRUE,"ECA_Qtrs_F";"ECA Qtrs G",#N/A,TRUE,"ECA_Qtrs_G";"ECA SisterApt",#N/A,TRUE,"ECA_SisterApt";"ECA Nurses",#N/A,TRUE,"ECA_NursesHostel"}</definedName>
    <definedName name="window" localSheetId="8" hidden="1">{"ECA Qtrs C",#N/A,TRUE,"ECA_Qtrs_C";"ECA Qtrs D",#N/A,TRUE,"ECA_Qtrs_D";"ECA Qtrs F",#N/A,TRUE,"ECA_Qtrs_F";"ECA Qtrs G",#N/A,TRUE,"ECA_Qtrs_G";"ECA SisterApt",#N/A,TRUE,"ECA_SisterApt";"ECA Nurses",#N/A,TRUE,"ECA_NursesHostel"}</definedName>
    <definedName name="window" hidden="1">{"ECA Qtrs C",#N/A,TRUE,"ECA_Qtrs_C";"ECA Qtrs D",#N/A,TRUE,"ECA_Qtrs_D";"ECA Qtrs F",#N/A,TRUE,"ECA_Qtrs_F";"ECA Qtrs G",#N/A,TRUE,"ECA_Qtrs_G";"ECA SisterApt",#N/A,TRUE,"ECA_SisterApt";"ECA Nurses",#N/A,TRUE,"ECA_NursesHostel"}</definedName>
    <definedName name="window_1" localSheetId="1"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indow_1" localSheetId="8"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localSheetId="1" hidden="1">#REF!</definedName>
    <definedName name="wis" hidden="1">#REF!</definedName>
    <definedName name="wjsr" localSheetId="1" hidden="1">#REF!</definedName>
    <definedName name="wjsr" hidden="1">#REF!</definedName>
    <definedName name="WK" localSheetId="1" hidden="1">{#N/A,#N/A,FALSE,"견적대비-2"}</definedName>
    <definedName name="WK" localSheetId="2" hidden="1">{#N/A,#N/A,FALSE,"견적대비-2"}</definedName>
    <definedName name="WK" localSheetId="8" hidden="1">{#N/A,#N/A,FALSE,"견적대비-2"}</definedName>
    <definedName name="WK" hidden="1">{#N/A,#N/A,FALSE,"견적대비-2"}</definedName>
    <definedName name="WLQ" localSheetId="1" hidden="1">{#N/A,#N/A,FALSE,"명세표"}</definedName>
    <definedName name="WLQ" localSheetId="2" hidden="1">{#N/A,#N/A,FALSE,"명세표"}</definedName>
    <definedName name="WLQ" localSheetId="8" hidden="1">{#N/A,#N/A,FALSE,"명세표"}</definedName>
    <definedName name="WLQ" hidden="1">{#N/A,#N/A,FALSE,"명세표"}</definedName>
    <definedName name="wlqrp" hidden="1">0</definedName>
    <definedName name="wm.조골재1" localSheetId="1" hidden="1">{#N/A,#N/A,FALSE,"조골재"}</definedName>
    <definedName name="wm.조골재1" localSheetId="2" hidden="1">{#N/A,#N/A,FALSE,"조골재"}</definedName>
    <definedName name="wm.조골재1" localSheetId="8" hidden="1">{#N/A,#N/A,FALSE,"조골재"}</definedName>
    <definedName name="wm.조골재1" hidden="1">{#N/A,#N/A,FALSE,"조골재"}</definedName>
    <definedName name="WPWPPW" localSheetId="1" hidden="1">{#N/A,#N/A,FALSE,"주간공정";#N/A,#N/A,FALSE,"주간보고";#N/A,#N/A,FALSE,"주간공정표"}</definedName>
    <definedName name="WPWPPW" localSheetId="2" hidden="1">{#N/A,#N/A,FALSE,"주간공정";#N/A,#N/A,FALSE,"주간보고";#N/A,#N/A,FALSE,"주간공정표"}</definedName>
    <definedName name="WPWPPW" localSheetId="8" hidden="1">{#N/A,#N/A,FALSE,"주간공정";#N/A,#N/A,FALSE,"주간보고";#N/A,#N/A,FALSE,"주간공정표"}</definedName>
    <definedName name="WPWPPW" hidden="1">{#N/A,#N/A,FALSE,"주간공정";#N/A,#N/A,FALSE,"주간보고";#N/A,#N/A,FALSE,"주간공정표"}</definedName>
    <definedName name="wqe" localSheetId="1" hidden="1">{"'ELEC'!$A$2:$H$216","'ELEC'!$C$2:$D$2"}</definedName>
    <definedName name="wqe" localSheetId="2" hidden="1">{"'ELEC'!$A$2:$H$216","'ELEC'!$C$2:$D$2"}</definedName>
    <definedName name="wqe" localSheetId="8" hidden="1">{"'ELEC'!$A$2:$H$216","'ELEC'!$C$2:$D$2"}</definedName>
    <definedName name="wqe" hidden="1">{"'ELEC'!$A$2:$H$216","'ELEC'!$C$2:$D$2"}</definedName>
    <definedName name="wqweqr" localSheetId="1" hidden="1">{"'Sheet1'!$L$16"}</definedName>
    <definedName name="wqweqr" localSheetId="2" hidden="1">{"'Sheet1'!$L$16"}</definedName>
    <definedName name="wqweqr" localSheetId="8" hidden="1">{"'Sheet1'!$L$16"}</definedName>
    <definedName name="wqweqr" hidden="1">{"'Sheet1'!$L$16"}</definedName>
    <definedName name="WREWR" hidden="1">#REF!</definedName>
    <definedName name="WRITE" localSheetId="1" hidden="1">{#N/A,#N/A,FALSE,"CCTV"}</definedName>
    <definedName name="WRITE" localSheetId="2" hidden="1">{#N/A,#N/A,FALSE,"CCTV"}</definedName>
    <definedName name="WRITE" localSheetId="8" hidden="1">{#N/A,#N/A,FALSE,"CCTV"}</definedName>
    <definedName name="WRITE" hidden="1">{#N/A,#N/A,FALSE,"CCTV"}</definedName>
    <definedName name="WRN" localSheetId="1" hidden="1">{#N/A,#N/A,FALSE,"CCTV"}</definedName>
    <definedName name="WRN" localSheetId="2" hidden="1">{#N/A,#N/A,FALSE,"CCTV"}</definedName>
    <definedName name="WRN" localSheetId="8" hidden="1">{#N/A,#N/A,FALSE,"CCTV"}</definedName>
    <definedName name="WRN" hidden="1">{#N/A,#N/A,FALSE,"CCTV"}</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1" hidden="1">{#N/A,#N/A,FALSE,"TOTAL"}</definedName>
    <definedName name="wrn.1." localSheetId="2" hidden="1">{#N/A,#N/A,FALSE,"TOTAL"}</definedName>
    <definedName name="wrn.1." localSheetId="8" hidden="1">{#N/A,#N/A,FALSE,"TOTAL"}</definedName>
    <definedName name="wrn.1." hidden="1">{#N/A,#N/A,FALSE,"TOTAL"}</definedName>
    <definedName name="wrn.2번." localSheetId="1" hidden="1">{#N/A,#N/A,FALSE,"2~8번"}</definedName>
    <definedName name="wrn.2번." localSheetId="2" hidden="1">{#N/A,#N/A,FALSE,"2~8번"}</definedName>
    <definedName name="wrn.2번." localSheetId="8" hidden="1">{#N/A,#N/A,FALSE,"2~8번"}</definedName>
    <definedName name="wrn.2번." hidden="1">{#N/A,#N/A,FALSE,"2~8번"}</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8"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97." localSheetId="1" hidden="1">{#N/A,#N/A,FALSE,"지침";#N/A,#N/A,FALSE,"환경분석";#N/A,#N/A,FALSE,"Sheet16"}</definedName>
    <definedName name="wrn.97." localSheetId="2" hidden="1">{#N/A,#N/A,FALSE,"지침";#N/A,#N/A,FALSE,"환경분석";#N/A,#N/A,FALSE,"Sheet16"}</definedName>
    <definedName name="wrn.97." localSheetId="8" hidden="1">{#N/A,#N/A,FALSE,"지침";#N/A,#N/A,FALSE,"환경분석";#N/A,#N/A,FALSE,"Sheet16"}</definedName>
    <definedName name="wrn.97." hidden="1">{#N/A,#N/A,FALSE,"지침";#N/A,#N/A,FALSE,"환경분석";#N/A,#N/A,FALSE,"Sheet16"}</definedName>
    <definedName name="wrn.97년._.사업계획._.및._.예산지침." localSheetId="1" hidden="1">{#N/A,#N/A,TRUE,"1";#N/A,#N/A,TRUE,"2";#N/A,#N/A,TRUE,"3";#N/A,#N/A,TRUE,"4";#N/A,#N/A,TRUE,"5";#N/A,#N/A,TRUE,"6";#N/A,#N/A,TRUE,"7"}</definedName>
    <definedName name="wrn.97년._.사업계획._.및._.예산지침." localSheetId="2" hidden="1">{#N/A,#N/A,TRUE,"1";#N/A,#N/A,TRUE,"2";#N/A,#N/A,TRUE,"3";#N/A,#N/A,TRUE,"4";#N/A,#N/A,TRUE,"5";#N/A,#N/A,TRUE,"6";#N/A,#N/A,TRUE,"7"}</definedName>
    <definedName name="wrn.97년._.사업계획._.및._.예산지침." localSheetId="8" hidden="1">{#N/A,#N/A,TRUE,"1";#N/A,#N/A,TRUE,"2";#N/A,#N/A,TRUE,"3";#N/A,#N/A,TRUE,"4";#N/A,#N/A,TRUE,"5";#N/A,#N/A,TRUE,"6";#N/A,#N/A,TRUE,"7"}</definedName>
    <definedName name="wrn.97년._.사업계획._.및._.예산지침." hidden="1">{#N/A,#N/A,TRUE,"1";#N/A,#N/A,TRUE,"2";#N/A,#N/A,TRUE,"3";#N/A,#N/A,TRUE,"4";#N/A,#N/A,TRUE,"5";#N/A,#N/A,TRUE,"6";#N/A,#N/A,TRUE,"7"}</definedName>
    <definedName name="WRN.98." localSheetId="1" hidden="1">{#N/A,#N/A,FALSE,"지침";#N/A,#N/A,FALSE,"환경분석";#N/A,#N/A,FALSE,"Sheet16"}</definedName>
    <definedName name="WRN.98." localSheetId="2" hidden="1">{#N/A,#N/A,FALSE,"지침";#N/A,#N/A,FALSE,"환경분석";#N/A,#N/A,FALSE,"Sheet16"}</definedName>
    <definedName name="WRN.98." localSheetId="8" hidden="1">{#N/A,#N/A,FALSE,"지침";#N/A,#N/A,FALSE,"환경분석";#N/A,#N/A,FALSE,"Sheet16"}</definedName>
    <definedName name="WRN.98." hidden="1">{#N/A,#N/A,FALSE,"지침";#N/A,#N/A,FALSE,"환경분석";#N/A,#N/A,FALSE,"Sheet16"}</definedName>
    <definedName name="wrn.A." localSheetId="1" hidden="1">{#N/A,#N/A,TRUE,"SUM";#N/A,#N/A,TRUE,"EE";#N/A,#N/A,TRUE,"AC";#N/A,#N/A,TRUE,"SN"}</definedName>
    <definedName name="wrn.A." localSheetId="2" hidden="1">{#N/A,#N/A,TRUE,"SUM";#N/A,#N/A,TRUE,"EE";#N/A,#N/A,TRUE,"AC";#N/A,#N/A,TRUE,"SN"}</definedName>
    <definedName name="wrn.A." localSheetId="8" hidden="1">{#N/A,#N/A,TRUE,"SUM";#N/A,#N/A,TRUE,"EE";#N/A,#N/A,TRUE,"AC";#N/A,#N/A,TRUE,"SN"}</definedName>
    <definedName name="wrn.A." hidden="1">{#N/A,#N/A,TRUE,"SUM";#N/A,#N/A,TRUE,"EE";#N/A,#N/A,TRUE,"AC";#N/A,#N/A,TRUE,"SN"}</definedName>
    <definedName name="wrn.aaa." localSheetId="1" hidden="1">{#N/A,#N/A,FALSE,"Sheet1";#N/A,#N/A,FALSE,"Sheet1";#N/A,#N/A,FALSE,"Sheet1"}</definedName>
    <definedName name="wrn.aaa." localSheetId="2" hidden="1">{#N/A,#N/A,FALSE,"Sheet1";#N/A,#N/A,FALSE,"Sheet1";#N/A,#N/A,FALSE,"Sheet1"}</definedName>
    <definedName name="wrn.aaa." localSheetId="8" hidden="1">{#N/A,#N/A,FALSE,"Sheet1";#N/A,#N/A,FALSE,"Sheet1";#N/A,#N/A,FALSE,"Sheet1"}</definedName>
    <definedName name="wrn.aaa." hidden="1">{#N/A,#N/A,FALSE,"Sheet1";#N/A,#N/A,FALSE,"Sheet1";#N/A,#N/A,FALSE,"Sheet1"}</definedName>
    <definedName name="wrn.aaa.1" localSheetId="1" hidden="1">{#N/A,#N/A,FALSE,"Sheet1";#N/A,#N/A,FALSE,"Sheet1";#N/A,#N/A,FALSE,"Sheet1"}</definedName>
    <definedName name="wrn.aaa.1" localSheetId="2" hidden="1">{#N/A,#N/A,FALSE,"Sheet1";#N/A,#N/A,FALSE,"Sheet1";#N/A,#N/A,FALSE,"Sheet1"}</definedName>
    <definedName name="wrn.aaa.1" localSheetId="8" hidden="1">{#N/A,#N/A,FALSE,"Sheet1";#N/A,#N/A,FALSE,"Sheet1";#N/A,#N/A,FALSE,"Sheet1"}</definedName>
    <definedName name="wrn.aaa.1" hidden="1">{#N/A,#N/A,FALSE,"Sheet1";#N/A,#N/A,FALSE,"Sheet1";#N/A,#N/A,FALSE,"Sheet1"}</definedName>
    <definedName name="wrn.abc." localSheetId="1" hidden="1">{#N/A,#N/A,TRUE,"천상그린44PY"}</definedName>
    <definedName name="wrn.abc." localSheetId="2" hidden="1">{#N/A,#N/A,TRUE,"천상그린44PY"}</definedName>
    <definedName name="wrn.abc." localSheetId="8" hidden="1">{#N/A,#N/A,TRUE,"천상그린44PY"}</definedName>
    <definedName name="wrn.abc." hidden="1">{#N/A,#N/A,TRUE,"천상그린44PY"}</definedName>
    <definedName name="wrn.ac30prn." localSheetId="1"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8"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{#N/A,#N/A,FALSE,"Engr Data";#N/A,#N/A,FALSE,"Engr Cur";#N/A,#N/A,FALSE,"DsnDraft";#N/A,#N/A,FALSE,"DsnDftCur";#N/A,#N/A,FALSE,"Supports";#N/A,#N/A,FALSE,"SptCur";#N/A,#N/A,FALSE,"Total";#N/A,#N/A,FALSE,"TotCur";#N/A,#N/A,FALSE,"Client";#N/A,#N/A,FALSE,"Instructions"}</definedName>
    <definedName name="wrn.ALL." localSheetId="2" hidden="1">{#N/A,#N/A,FALSE,"Engr Data";#N/A,#N/A,FALSE,"Engr Cur";#N/A,#N/A,FALSE,"DsnDraft";#N/A,#N/A,FALSE,"DsnDftCur";#N/A,#N/A,FALSE,"Supports";#N/A,#N/A,FALSE,"SptCur";#N/A,#N/A,FALSE,"Total";#N/A,#N/A,FALSE,"TotCur";#N/A,#N/A,FALSE,"Client";#N/A,#N/A,FALSE,"Instructions"}</definedName>
    <definedName name="wrn.ALL." localSheetId="8"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Bang._.ke._.nhan._.hang." localSheetId="1" hidden="1">{#N/A,#N/A,FALSE,"Ke khai NH"}</definedName>
    <definedName name="wrn.Bang._.ke._.nhan._.hang." localSheetId="2" hidden="1">{#N/A,#N/A,FALSE,"Ke khai NH"}</definedName>
    <definedName name="wrn.Bang._.ke._.nhan._.hang." localSheetId="8" hidden="1">{#N/A,#N/A,FALSE,"Ke khai NH"}</definedName>
    <definedName name="wrn.Bang._.ke._.nhan._.hang." hidden="1">{#N/A,#N/A,FALSE,"Ke khai NH"}</definedName>
    <definedName name="wrn.BAOCAO." localSheetId="1" hidden="1">{#N/A,#N/A,FALSE,"sum";#N/A,#N/A,FALSE,"MARTV";#N/A,#N/A,FALSE,"APRTV"}</definedName>
    <definedName name="wrn.BAOCAO." localSheetId="2" hidden="1">{#N/A,#N/A,FALSE,"sum";#N/A,#N/A,FALSE,"MARTV";#N/A,#N/A,FALSE,"APRTV"}</definedName>
    <definedName name="wrn.BAOCAO." localSheetId="8" hidden="1">{#N/A,#N/A,FALSE,"sum";#N/A,#N/A,FALSE,"MARTV";#N/A,#N/A,FALSE,"APRTV"}</definedName>
    <definedName name="wrn.BAOCAO." hidden="1">{#N/A,#N/A,FALSE,"sum";#N/A,#N/A,FALSE,"MARTV";#N/A,#N/A,FALSE,"APRTV"}</definedName>
    <definedName name="wrn.bbb." localSheetId="1" hidden="1">{#N/A,#N/A,FALSE,"Sheet1";#N/A,#N/A,FALSE,"Sheet1";#N/A,#N/A,FALSE,"Sheet1"}</definedName>
    <definedName name="wrn.bbb." localSheetId="2" hidden="1">{#N/A,#N/A,FALSE,"Sheet1";#N/A,#N/A,FALSE,"Sheet1";#N/A,#N/A,FALSE,"Sheet1"}</definedName>
    <definedName name="wrn.bbb." localSheetId="8" hidden="1">{#N/A,#N/A,FALSE,"Sheet1";#N/A,#N/A,FALSE,"Sheet1";#N/A,#N/A,FALSE,"Sheet1"}</definedName>
    <definedName name="wrn.bbb." hidden="1">{#N/A,#N/A,FALSE,"Sheet1";#N/A,#N/A,FALSE,"Sheet1";#N/A,#N/A,FALSE,"Sheet1"}</definedName>
    <definedName name="wrn.BIDSUM." localSheetId="1" hidden="1">{#N/A,#N/A,TRUE,"SUMMARY";#N/A,#N/A,TRUE,"ISBL";#N/A,#N/A,TRUE,"OSBL";#N/A,#N/A,TRUE,"OFFSITE";#N/A,#N/A,TRUE,"STEAM"}</definedName>
    <definedName name="wrn.BIDSUM." localSheetId="2" hidden="1">{#N/A,#N/A,TRUE,"SUMMARY";#N/A,#N/A,TRUE,"ISBL";#N/A,#N/A,TRUE,"OSBL";#N/A,#N/A,TRUE,"OFFSITE";#N/A,#N/A,TRUE,"STEAM"}</definedName>
    <definedName name="wrn.BIDSUM." localSheetId="8" hidden="1">{#N/A,#N/A,TRUE,"SUMMARY";#N/A,#N/A,TRUE,"ISBL";#N/A,#N/A,TRUE,"OSBL";#N/A,#N/A,TRUE,"OFFSITE";#N/A,#N/A,TRUE,"STEAM"}</definedName>
    <definedName name="wrn.BIDSUM." hidden="1">{#N/A,#N/A,TRUE,"SUMMARY";#N/A,#N/A,TRUE,"ISBL";#N/A,#N/A,TRUE,"OSBL";#N/A,#N/A,TRUE,"OFFSITE";#N/A,#N/A,TRUE,"STEAM"}</definedName>
    <definedName name="wrn.BILLS._.OF._.QUANTITY." localSheetId="1" hidden="1">{#N/A,#N/A,TRUE,"Str.";#N/A,#N/A,TRUE,"Steel &amp; Roof";#N/A,#N/A,TRUE,"Arc.";#N/A,#N/A,TRUE,"Preliminary";#N/A,#N/A,TRUE,"Sum_Prelim"}</definedName>
    <definedName name="wrn.BILLS._.OF._.QUANTITY." localSheetId="2" hidden="1">{#N/A,#N/A,TRUE,"Str.";#N/A,#N/A,TRUE,"Steel &amp; Roof";#N/A,#N/A,TRUE,"Arc.";#N/A,#N/A,TRUE,"Preliminary";#N/A,#N/A,TRUE,"Sum_Prelim"}</definedName>
    <definedName name="wrn.BILLS._.OF._.QUANTITY." localSheetId="8" hidden="1">{#N/A,#N/A,TRUE,"Str.";#N/A,#N/A,TRUE,"Steel &amp; Roof";#N/A,#N/A,TRUE,"Arc.";#N/A,#N/A,TRUE,"Preliminary";#N/A,#N/A,TRUE,"Sum_Prelim"}</definedName>
    <definedName name="wrn.BILLS._.OF._.QUANTITY." hidden="1">{#N/A,#N/A,TRUE,"Str.";#N/A,#N/A,TRUE,"Steel &amp; Roof";#N/A,#N/A,TRUE,"Arc.";#N/A,#N/A,TRUE,"Preliminary";#N/A,#N/A,TRUE,"Sum_Prelim"}</definedName>
    <definedName name="wrn.BM" localSheetId="1" hidden="1">{#N/A,#N/A,FALSE,"CCTV"}</definedName>
    <definedName name="wrn.BM" localSheetId="2" hidden="1">{#N/A,#N/A,FALSE,"CCTV"}</definedName>
    <definedName name="wrn.BM" localSheetId="8" hidden="1">{#N/A,#N/A,FALSE,"CCTV"}</definedName>
    <definedName name="wrn.BM" hidden="1">{#N/A,#N/A,FALSE,"CCTV"}</definedName>
    <definedName name="wrn.BM." localSheetId="1" hidden="1">{#N/A,#N/A,FALSE,"CCTV"}</definedName>
    <definedName name="wrn.BM." localSheetId="2" hidden="1">{#N/A,#N/A,FALSE,"CCTV"}</definedName>
    <definedName name="wrn.BM." localSheetId="8" hidden="1">{#N/A,#N/A,FALSE,"CCTV"}</definedName>
    <definedName name="wrn.BM." hidden="1">{#N/A,#N/A,FALSE,"CCTV"}</definedName>
    <definedName name="wrn.Boq_summary." localSheetId="1" hidden="1">{#N/A,#N/A,FALSE,"Sum_BOQ";#N/A,#N/A,FALSE,"Preliminary";#N/A,#N/A,FALSE,"Sum_Prelim";#N/A,#N/A,FALSE,"Prime Cost&amp;Prov_sum"}</definedName>
    <definedName name="wrn.Boq_summary." localSheetId="2" hidden="1">{#N/A,#N/A,FALSE,"Sum_BOQ";#N/A,#N/A,FALSE,"Preliminary";#N/A,#N/A,FALSE,"Sum_Prelim";#N/A,#N/A,FALSE,"Prime Cost&amp;Prov_sum"}</definedName>
    <definedName name="wrn.Boq_summary." localSheetId="8" hidden="1">{#N/A,#N/A,FALSE,"Sum_BOQ";#N/A,#N/A,FALSE,"Preliminary";#N/A,#N/A,FALSE,"Sum_Prelim";#N/A,#N/A,FALSE,"Prime Cost&amp;Prov_sum"}</definedName>
    <definedName name="wrn.Boq_summary." hidden="1">{#N/A,#N/A,FALSE,"Sum_BOQ";#N/A,#N/A,FALSE,"Preliminary";#N/A,#N/A,FALSE,"Sum_Prelim";#N/A,#N/A,FALSE,"Prime Cost&amp;Prov_sum"}</definedName>
    <definedName name="wrn.clntrpt." localSheetId="1" hidden="1">{#N/A,#N/A,FALSE,"CLIENT HOPSR";#N/A,#N/A,FALSE,"JEG GRAPH";#N/A,#N/A,FALSE,"PROCESS";#N/A,#N/A,FALSE,"CIVIL";#N/A,#N/A,FALSE,"ELECTRICAL";#N/A,#N/A,FALSE,"CNTRL SYS";#N/A,#N/A,FALSE,"MECH";#N/A,#N/A,FALSE,"PIPE"}</definedName>
    <definedName name="wrn.clntrpt." localSheetId="2" hidden="1">{#N/A,#N/A,FALSE,"CLIENT HOPSR";#N/A,#N/A,FALSE,"JEG GRAPH";#N/A,#N/A,FALSE,"PROCESS";#N/A,#N/A,FALSE,"CIVIL";#N/A,#N/A,FALSE,"ELECTRICAL";#N/A,#N/A,FALSE,"CNTRL SYS";#N/A,#N/A,FALSE,"MECH";#N/A,#N/A,FALSE,"PIPE"}</definedName>
    <definedName name="wrn.clntrpt." localSheetId="8"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ded._.IAS._.FS." localSheetId="1" hidden="1">{"IASTrail",#N/A,FALSE,"IAS"}</definedName>
    <definedName name="wrn.Coded._.IAS._.FS." localSheetId="2" hidden="1">{"IASTrail",#N/A,FALSE,"IAS"}</definedName>
    <definedName name="wrn.Coded._.IAS._.FS." localSheetId="8" hidden="1">{"IASTrail",#N/A,FALSE,"IAS"}</definedName>
    <definedName name="wrn.Coded._.IAS._.FS." hidden="1">{"IASTrail",#N/A,FALSE,"IAS"}</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1" hidden="1">{#N/A,#N/A,TRUE,"Cover Memo";"Complete Sys. Estimate",#N/A,TRUE,"Change Summary";"Complete Sys. Estimate",#N/A,TRUE,"Estimate Summary";"Complete Sys. Estimate",#N/A,TRUE,"Dept. Summary";"Complete Sys. Estimate",#N/A,TRUE,"DOW Detail"}</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mplete._.Sys.._.Estimate." localSheetId="8"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ng." localSheetId="1" hidden="1">{#N/A,#N/A,FALSE,"Sheet1"}</definedName>
    <definedName name="wrn.cong." localSheetId="2" hidden="1">{#N/A,#N/A,FALSE,"Sheet1"}</definedName>
    <definedName name="wrn.cong." localSheetId="8" hidden="1">{#N/A,#N/A,FALSE,"Sheet1"}</definedName>
    <definedName name="wrn.cong." hidden="1">{#N/A,#N/A,FALSE,"Sheet1"}</definedName>
    <definedName name="wrn.Cost._.Summary." localSheetId="1" hidden="1">{"Cost Summary",#N/A,FALSE,"B";"Cost Detail 1",#N/A,FALSE,"C";"Cost Detail 2",#N/A,FALSE,"C"}</definedName>
    <definedName name="wrn.Cost._.Summary." localSheetId="2" hidden="1">{"Cost Summary",#N/A,FALSE,"B";"Cost Detail 1",#N/A,FALSE,"C";"Cost Detail 2",#N/A,FALSE,"C"}</definedName>
    <definedName name="wrn.Cost._.Summary." localSheetId="8" hidden="1">{"Cost Summary",#N/A,FALSE,"B";"Cost Detail 1",#N/A,FALSE,"C";"Cost Detail 2",#N/A,FALSE,"C"}</definedName>
    <definedName name="wrn.Cost._.Summary." hidden="1">{"Cost Summary",#N/A,FALSE,"B";"Cost Detail 1",#N/A,FALSE,"C";"Cost Detail 2",#N/A,FALSE,"C"}</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ostprint." localSheetId="8"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1" hidden="1">{#N/A,#N/A,FALSE,"MARCH"}</definedName>
    <definedName name="wrn.Cumulative._.Material._.Cost." localSheetId="2" hidden="1">{#N/A,#N/A,FALSE,"MARCH"}</definedName>
    <definedName name="wrn.Cumulative._.Material._.Cost." localSheetId="8" hidden="1">{#N/A,#N/A,FALSE,"MARCH"}</definedName>
    <definedName name="wrn.Cumulative._.Material._.Cost." hidden="1">{#N/A,#N/A,FALSE,"MARCH"}</definedName>
    <definedName name="wrn.Charts." localSheetId="1" hidden="1">{"Chart 1",#N/A,TRUE,"Charts";"Chart 2",#N/A,TRUE,"Charts"}</definedName>
    <definedName name="wrn.Charts." localSheetId="2" hidden="1">{"Chart 1",#N/A,TRUE,"Charts";"Chart 2",#N/A,TRUE,"Charts"}</definedName>
    <definedName name="wrn.Charts." localSheetId="8" hidden="1">{"Chart 1",#N/A,TRUE,"Charts";"Chart 2",#N/A,TRUE,"Charts"}</definedName>
    <definedName name="wrn.Charts." hidden="1">{"Chart 1",#N/A,TRUE,"Charts";"Chart 2",#N/A,TRUE,"Charts"}</definedName>
    <definedName name="wrn.Che._.do._.duoc._.huong." localSheetId="1" hidden="1">{#N/A,#N/A,FALSE,"BN (2)"}</definedName>
    <definedName name="wrn.Che._.do._.duoc._.huong." localSheetId="2" hidden="1">{#N/A,#N/A,FALSE,"BN (2)"}</definedName>
    <definedName name="wrn.Che._.do._.duoc._.huong." localSheetId="8" hidden="1">{#N/A,#N/A,FALSE,"BN (2)"}</definedName>
    <definedName name="wrn.Che._.do._.duoc._.huong." hidden="1">{#N/A,#N/A,FALSE,"BN (2)"}</definedName>
    <definedName name="wrn.chi._.tiÆt." localSheetId="1" hidden="1">{#N/A,#N/A,FALSE,"Chi tiÆt"}</definedName>
    <definedName name="wrn.chi._.tiÆt." localSheetId="2" hidden="1">{#N/A,#N/A,FALSE,"Chi tiÆt"}</definedName>
    <definedName name="wrn.chi._.tiÆt." localSheetId="8" hidden="1">{#N/A,#N/A,FALSE,"Chi tiÆt"}</definedName>
    <definedName name="wrn.chi._.tiÆt." hidden="1">{#N/A,#N/A,FALSE,"Chi tiÆt"}</definedName>
    <definedName name="wrn.dcf." localSheetId="1"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tail." localSheetId="1" hidden="1">{"Detail",#N/A,FALSE,"Assump";"Detail",#N/A,FALSE,"Muni";"Detail",#N/A,FALSE,"Proj";"Detail",#N/A,FALSE,"Calc";"Present",#N/A,FALSE,"Cover"}</definedName>
    <definedName name="wrn.Detail." localSheetId="2" hidden="1">{"Detail",#N/A,FALSE,"Assump";"Detail",#N/A,FALSE,"Muni";"Detail",#N/A,FALSE,"Proj";"Detail",#N/A,FALSE,"Calc";"Present",#N/A,FALSE,"Cover"}</definedName>
    <definedName name="wrn.Detail." localSheetId="8" hidden="1">{"Detail",#N/A,FALSE,"Assump";"Detail",#N/A,FALSE,"Muni";"Detail",#N/A,FALSE,"Proj";"Detail",#N/A,FALSE,"Calc";"Present",#N/A,FALSE,"Cover"}</definedName>
    <definedName name="wrn.Detail." hidden="1">{"Detail",#N/A,FALSE,"Assump";"Detail",#N/A,FALSE,"Muni";"Detail",#N/A,FALSE,"Proj";"Detail",#N/A,FALSE,"Calc";"Present",#N/A,FALSE,"Cover"}</definedName>
    <definedName name="wrn.DIRLABR." localSheetId="1" hidden="1">{#N/A,#N/A,TRUE,"CS&amp;SS(AG)";#N/A,#N/A,TRUE,"CS(UG)";#N/A,#N/A,TRUE,"CSCL(UG)";#N/A,#N/A,TRUE,"KYNAR";#N/A,#N/A,TRUE,"ALLOY904";#N/A,#N/A,TRUE,"TITANIUM";#N/A,#N/A,TRUE,"STMTRACE"}</definedName>
    <definedName name="wrn.DIRLABR." localSheetId="2" hidden="1">{#N/A,#N/A,TRUE,"CS&amp;SS(AG)";#N/A,#N/A,TRUE,"CS(UG)";#N/A,#N/A,TRUE,"CSCL(UG)";#N/A,#N/A,TRUE,"KYNAR";#N/A,#N/A,TRUE,"ALLOY904";#N/A,#N/A,TRUE,"TITANIUM";#N/A,#N/A,TRUE,"STMTRACE"}</definedName>
    <definedName name="wrn.DIRLABR." localSheetId="8"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étude._.de._.coût." localSheetId="1"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8"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1" hidden="1">{"excavation",#N/A,FALSE,"DETAIL.XLS"}</definedName>
    <definedName name="wrn.Excavation." localSheetId="2" hidden="1">{"excavation",#N/A,FALSE,"DETAIL.XLS"}</definedName>
    <definedName name="wrn.Excavation." localSheetId="8" hidden="1">{"excavation",#N/A,FALSE,"DETAIL.XLS"}</definedName>
    <definedName name="wrn.Excavation." hidden="1">{"excavation",#N/A,FALSE,"DETAIL.XLS"}</definedName>
    <definedName name="wrn.Exterior._.Wall." localSheetId="1" hidden="1">{#N/A,#N/A,FALSE,"Paramters";"print range",#N/A,FALSE,"GSF.XLS";"exterior wall",#N/A,FALSE,"DETAIL.XLS"}</definedName>
    <definedName name="wrn.Exterior._.Wall." localSheetId="2" hidden="1">{#N/A,#N/A,FALSE,"Paramters";"print range",#N/A,FALSE,"GSF.XLS";"exterior wall",#N/A,FALSE,"DETAIL.XLS"}</definedName>
    <definedName name="wrn.Exterior._.Wall." localSheetId="8" hidden="1">{#N/A,#N/A,FALSE,"Paramters";"print range",#N/A,FALSE,"GSF.XLS";"exterior wall",#N/A,FALSE,"DETAIL.XLS"}</definedName>
    <definedName name="wrn.Exterior._.Wall." hidden="1">{#N/A,#N/A,FALSE,"Paramters";"print range",#N/A,FALSE,"GSF.XLS";"exterior wall",#N/A,FALSE,"DETAIL.XLS"}</definedName>
    <definedName name="wrn.Facility._.Estimate." localSheetId="1" hidden="1">{#N/A,#N/A,TRUE,"Cover Memo";"Facility Estimate",#N/A,TRUE,"Change Summary";"Facility Estimate",#N/A,TRUE,"Estimate Summary";"Facility Estimate",#N/A,TRUE,"Dept. Summary";"Facility Estimate",#N/A,TRUE,"DOW Detail"}</definedName>
    <definedName name="wrn.Facility._.Estimate." localSheetId="2" hidden="1">{#N/A,#N/A,TRUE,"Cover Memo";"Facility Estimate",#N/A,TRUE,"Change Summary";"Facility Estimate",#N/A,TRUE,"Estimate Summary";"Facility Estimate",#N/A,TRUE,"Dept. Summary";"Facility Estimate",#N/A,TRUE,"DOW Detail"}</definedName>
    <definedName name="wrn.Facility._.Estimate." localSheetId="8"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localSheetId="1" hidden="1">{#N/A,#N/A,FALSE,"FA_1";#N/A,#N/A,FALSE,"Dep'n SE";#N/A,#N/A,FALSE,"Dep'n FC"}</definedName>
    <definedName name="wrn.Fixed._.Assets._.Note._.and._.Depreciation." localSheetId="2" hidden="1">{#N/A,#N/A,FALSE,"FA_1";#N/A,#N/A,FALSE,"Dep'n SE";#N/A,#N/A,FALSE,"Dep'n FC"}</definedName>
    <definedName name="wrn.Fixed._.Assets._.Note._.and._.Depreciation." localSheetId="8" hidden="1">{#N/A,#N/A,FALSE,"FA_1";#N/A,#N/A,FALSE,"Dep'n SE";#N/A,#N/A,FALSE,"Dep'n FC"}</definedName>
    <definedName name="wrn.Fixed._.Assets._.Note._.and._.Depreciation." hidden="1">{#N/A,#N/A,FALSE,"FA_1";#N/A,#N/A,FALSE,"Dep'n SE";#N/A,#N/A,FALSE,"Dep'n FC"}</definedName>
    <definedName name="wrn.FORM." localSheetId="1" hidden="1">{#N/A,#N/A,FALSE,"FORM A";#N/A,#N/A,FALSE,"FORM D";#N/A,#N/A,FALSE,"FORM E-1";#N/A,#N/A,FALSE,"FORM E-2";#N/A,#N/A,FALSE,"FORM F";#N/A,#N/A,FALSE,"FORM G";#N/A,#N/A,FALSE,"FORM H-1";#N/A,#N/A,FALSE,"FORM H-2";#N/A,#N/A,FALSE,"FORM H-3";#N/A,#N/A,FALSE,"FORM H-4";#N/A,#N/A,FALSE,"FORM H-5";#N/A,#N/A,FALSE,"FORM I";#N/A,#N/A,FALSE,"FORM J"}</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ORM." localSheetId="8"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 localSheetId="8"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localSheetId="1" hidden="1">{"IASBS",#N/A,FALSE,"IAS";"IASPL",#N/A,FALSE,"IAS";#N/A,#N/A,FALSE,"CF DIR";"IASNotes",#N/A,FALSE,"IAS";#N/A,#N/A,FALSE,"FA_1";#N/A,#N/A,FALSE,"Dep'n FC";#N/A,#N/A,FALSE,"Dep'n SE";#N/A,#N/A,FALSE,"Inv_1";#N/A,#N/A,FALSE,"NMG";#N/A,#N/A,FALSE,"Recon";#N/A,#N/A,FALSE,"EPS"}</definedName>
    <definedName name="wrn.Full._.IAS._.STATEMENTS." localSheetId="2" hidden="1">{"IASBS",#N/A,FALSE,"IAS";"IASPL",#N/A,FALSE,"IAS";#N/A,#N/A,FALSE,"CF DIR";"IASNotes",#N/A,FALSE,"IAS";#N/A,#N/A,FALSE,"FA_1";#N/A,#N/A,FALSE,"Dep'n FC";#N/A,#N/A,FALSE,"Dep'n SE";#N/A,#N/A,FALSE,"Inv_1";#N/A,#N/A,FALSE,"NMG";#N/A,#N/A,FALSE,"Recon";#N/A,#N/A,FALSE,"EPS"}</definedName>
    <definedName name="wrn.Full._.IAS._.STATEMENTS." localSheetId="8" hidden="1">{"IASBS",#N/A,FALSE,"IAS";"IASPL",#N/A,FALSE,"IAS";#N/A,#N/A,FALSE,"CF DIR";"IASNotes",#N/A,FALSE,"IAS";#N/A,#N/A,FALSE,"FA_1";#N/A,#N/A,FALSE,"Dep'n FC";#N/A,#N/A,FALSE,"Dep'n SE";#N/A,#N/A,FALSE,"Inv_1";#N/A,#N/A,FALSE,"NMG";#N/A,#N/A,FALSE,"Recon";#N/A,#N/A,FALSE,"EPS"}</definedName>
    <definedName name="wrn.Full._.IAS._.STATEMENTS." hidden="1">{"IASBS",#N/A,FALSE,"IAS";"IASPL",#N/A,FALSE,"IAS";#N/A,#N/A,FALSE,"CF DIR";"IASNotes",#N/A,FALSE,"IAS";#N/A,#N/A,FALSE,"FA_1";#N/A,#N/A,FALSE,"Dep'n FC";#N/A,#N/A,FALSE,"Dep'n SE";#N/A,#N/A,FALSE,"Inv_1";#N/A,#N/A,FALSE,"NMG";#N/A,#N/A,FALSE,"Recon";#N/A,#N/A,FALSE,"EPS"}</definedName>
    <definedName name="wrn.Full._.TRAIL." localSheetId="1" hidden="1">{"IAS Mapping",#N/A,FALSE,"RSA_FS";#N/A,#N/A,FALSE,"CHECK!";#N/A,#N/A,FALSE,"Recon";#N/A,#N/A,FALSE,"NMG";#N/A,#N/A,FALSE,"Journals";"AnalRSA",#N/A,FALSE,"PL-Anal";"AnalIAS",#N/A,FALSE,"PL-Anal";#N/A,#N/A,FALSE,"COS"}</definedName>
    <definedName name="wrn.Full._.TRAIL." localSheetId="2" hidden="1">{"IAS Mapping",#N/A,FALSE,"RSA_FS";#N/A,#N/A,FALSE,"CHECK!";#N/A,#N/A,FALSE,"Recon";#N/A,#N/A,FALSE,"NMG";#N/A,#N/A,FALSE,"Journals";"AnalRSA",#N/A,FALSE,"PL-Anal";"AnalIAS",#N/A,FALSE,"PL-Anal";#N/A,#N/A,FALSE,"COS"}</definedName>
    <definedName name="wrn.Full._.TRAIL." localSheetId="8" hidden="1">{"IAS Mapping",#N/A,FALSE,"RSA_FS";#N/A,#N/A,FALSE,"CHECK!";#N/A,#N/A,FALSE,"Recon";#N/A,#N/A,FALSE,"NMG";#N/A,#N/A,FALSE,"Journals";"AnalRSA",#N/A,FALSE,"PL-Anal";"AnalIAS",#N/A,FALSE,"PL-Anal";#N/A,#N/A,FALSE,"COS"}</definedName>
    <definedName name="wrn.Full._.TRAIL." hidden="1">{"IAS Mapping",#N/A,FALSE,"RSA_FS";#N/A,#N/A,FALSE,"CHECK!";#N/A,#N/A,FALSE,"Recon";#N/A,#N/A,FALSE,"NMG";#N/A,#N/A,FALSE,"Journals";"AnalRSA",#N/A,FALSE,"PL-Anal";"AnalIAS",#N/A,FALSE,"PL-Anal";#N/A,#N/A,FALSE,"COS"}</definedName>
    <definedName name="wrn.GENSERV." localSheetId="1" hidden="1">{#N/A,#N/A,FALSE,"VISTAF"}</definedName>
    <definedName name="wrn.GENSERV." localSheetId="2" hidden="1">{#N/A,#N/A,FALSE,"VISTAF"}</definedName>
    <definedName name="wrn.GENSERV." localSheetId="8" hidden="1">{#N/A,#N/A,FALSE,"VISTAF"}</definedName>
    <definedName name="wrn.GENSERV." hidden="1">{#N/A,#N/A,FALSE,"VISTAF"}</definedName>
    <definedName name="wrn.GRAPHS." localSheetId="1" hidden="1">{#N/A,#N/A,FALSE,"Conv. Cost per Dzn";#N/A,#N/A,FALSE,"Dozens per Assoc. Hour";#N/A,#N/A,FALSE,"Dz per Sch Mch Hr";#N/A,#N/A,FALSE,"Percent Waste";#N/A,#N/A,FALSE,"J&amp;E Conv. Cost per Dzn";#N/A,#N/A,FALSE,"J&amp;E Dozens per Assoc. Hour";#N/A,#N/A,FALSE,"J&amp;E Percent Waste";#N/A,#N/A,FALSE,"Stratford Rd";#N/A,#N/A,FALSE,"Guanica"}</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RAPHS." localSheetId="8" hidden="1">{#N/A,#N/A,FALSE,"Conv. Cost per Dzn";#N/A,#N/A,FALSE,"Dozens per Assoc. Hour";#N/A,#N/A,FALSE,"Dz per Sch Mch Hr";#N/A,#N/A,FALSE,"Percent Waste";#N/A,#N/A,FALSE,"J&amp;E Conv. Cost per Dzn";#N/A,#N/A,FALSE,"J&amp;E Dozens per Assoc. Hour";#N/A,#N/A,FALSE,"J&amp;E Percent Waste";#N/A,#N/A,FALSE,"Stratford Rd";#N/A,#N/A,FALSE,"Guanica"}</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1" hidden="1">{#N/A,#N/A,FALSE,"BN"}</definedName>
    <definedName name="wrn.Giáy._.bao._.no." localSheetId="2" hidden="1">{#N/A,#N/A,FALSE,"BN"}</definedName>
    <definedName name="wrn.Giáy._.bao._.no." localSheetId="8" hidden="1">{#N/A,#N/A,FALSE,"BN"}</definedName>
    <definedName name="wrn.Giáy._.bao._.no." hidden="1">{#N/A,#N/A,FALSE,"BN"}</definedName>
    <definedName name="wrn.Help." localSheetId="1" hidden="1">{#N/A,#N/A,TRUE,"MAP";#N/A,#N/A,TRUE,"STEPS";#N/A,#N/A,TRUE,"RULES"}</definedName>
    <definedName name="wrn.Help." localSheetId="2" hidden="1">{#N/A,#N/A,TRUE,"MAP";#N/A,#N/A,TRUE,"STEPS";#N/A,#N/A,TRUE,"RULES"}</definedName>
    <definedName name="wrn.Help." localSheetId="8" hidden="1">{#N/A,#N/A,TRUE,"MAP";#N/A,#N/A,TRUE,"STEPS";#N/A,#N/A,TRUE,"RULES"}</definedName>
    <definedName name="wrn.Help." hidden="1">{#N/A,#N/A,TRUE,"MAP";#N/A,#N/A,TRUE,"STEPS";#N/A,#N/A,TRUE,"RULES"}</definedName>
    <definedName name="wrn.IAS._.BS._.PL._.CF._.and._.Notes." localSheetId="1" hidden="1">{"IASBS",#N/A,TRUE,"IAS";"IASPL",#N/A,TRUE,"IAS";"IASNotes",#N/A,TRUE,"IAS";"CFDir - expanded",#N/A,TRUE,"CF DIR"}</definedName>
    <definedName name="wrn.IAS._.BS._.PL._.CF._.and._.Notes." localSheetId="2" hidden="1">{"IASBS",#N/A,TRUE,"IAS";"IASPL",#N/A,TRUE,"IAS";"IASNotes",#N/A,TRUE,"IAS";"CFDir - expanded",#N/A,TRUE,"CF DIR"}</definedName>
    <definedName name="wrn.IAS._.BS._.PL._.CF._.and._.Notes." localSheetId="8" hidden="1">{"IASBS",#N/A,TRUE,"IAS";"IASPL",#N/A,TRUE,"IAS";"IASNotes",#N/A,TRUE,"IAS";"CFDir - expanded",#N/A,TRUE,"CF DIR"}</definedName>
    <definedName name="wrn.IAS._.BS._.PL._.CF._.and._.Notes." hidden="1">{"IASBS",#N/A,TRUE,"IAS";"IASPL",#N/A,TRUE,"IAS";"IASNotes",#N/A,TRUE,"IAS";"CFDir - expanded",#N/A,TRUE,"CF DIR"}</definedName>
    <definedName name="wrn.IAS._.FS._.ZOOMED._.IN._.Forms." localSheetId="1" hidden="1">{"IAS_ShortView_1",#N/A,FALSE,"IAS";"IAS_ShortView_2",#N/A,FALSE,"IAS";"IAS_ShortView_3",#N/A,FALSE,"IAS";"IAS_ShortView_4",#N/A,FALSE,"IAS";"IAS_ShortView_5",#N/A,FALSE,"IAS";"IAS_ShortView_6",#N/A,FALSE,"IAS";"IAS_ShortView_7",#N/A,FALSE,"IAS";"CFDir - Zoomed In",#N/A,FALSE,"CF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FS._.ZOOMED._.IN._.Forms." localSheetId="8" hidden="1">{"IAS_ShortView_1",#N/A,FALSE,"IAS";"IAS_ShortView_2",#N/A,FALSE,"IAS";"IAS_ShortView_3",#N/A,FALSE,"IAS";"IAS_ShortView_4",#N/A,FALSE,"IAS";"IAS_ShortView_5",#N/A,FALSE,"IAS";"IAS_ShortView_6",#N/A,FALSE,"IAS";"IAS_ShortView_7",#N/A,FALSE,"IAS";"CFDir - Zoomed In",#N/A,FALSE,"CF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localSheetId="1" hidden="1">{"IAS Mapping",#N/A,TRUE,"RSA_FS"}</definedName>
    <definedName name="wrn.IAS._.Mapping." localSheetId="2" hidden="1">{"IAS Mapping",#N/A,TRUE,"RSA_FS"}</definedName>
    <definedName name="wrn.IAS._.Mapping." localSheetId="8" hidden="1">{"IAS Mapping",#N/A,TRUE,"RSA_FS"}</definedName>
    <definedName name="wrn.IAS._.Mapping." hidden="1">{"IAS Mapping",#N/A,TRUE,"RSA_FS"}</definedName>
    <definedName name="wrn.INDIRCOS." localSheetId="1" hidden="1">{#N/A,#N/A,TRUE,"FIELDOFF";#N/A,#N/A,TRUE,"SCAFF";#N/A,#N/A,TRUE,"CONSTEQP";#N/A,#N/A,TRUE,"FUELUBE";#N/A,#N/A,TRUE,"CONSUME";#N/A,#N/A,TRUE,"FIELDEXP";#N/A,#N/A,TRUE,"MANPLAN";#N/A,#N/A,TRUE,"EQPLAN"}</definedName>
    <definedName name="wrn.INDIRCOS." localSheetId="2" hidden="1">{#N/A,#N/A,TRUE,"FIELDOFF";#N/A,#N/A,TRUE,"SCAFF";#N/A,#N/A,TRUE,"CONSTEQP";#N/A,#N/A,TRUE,"FUELUBE";#N/A,#N/A,TRUE,"CONSUME";#N/A,#N/A,TRUE,"FIELDEXP";#N/A,#N/A,TRUE,"MANPLAN";#N/A,#N/A,TRUE,"EQPLAN"}</definedName>
    <definedName name="wrn.INDIRCOS." localSheetId="8"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flation._.factors._.used." localSheetId="1" hidden="1">{#N/A,#N/A,FALSE,"Infl_fact"}</definedName>
    <definedName name="wrn.Inflation._.factors._.used." localSheetId="2" hidden="1">{#N/A,#N/A,FALSE,"Infl_fact"}</definedName>
    <definedName name="wrn.Inflation._.factors._.used." localSheetId="8" hidden="1">{#N/A,#N/A,FALSE,"Infl_fact"}</definedName>
    <definedName name="wrn.Inflation._.factors._.used." hidden="1">{#N/A,#N/A,FALSE,"Infl_fact"}</definedName>
    <definedName name="wrn.Interior._.finishes." localSheetId="1" hidden="1">{"interior finishes",#N/A,FALSE,"DETAIL.XLS"}</definedName>
    <definedName name="wrn.Interior._.finishes." localSheetId="2" hidden="1">{"interior finishes",#N/A,FALSE,"DETAIL.XLS"}</definedName>
    <definedName name="wrn.Interior._.finishes." localSheetId="8" hidden="1">{"interior finishes",#N/A,FALSE,"DETAIL.XLS"}</definedName>
    <definedName name="wrn.Interior._.finishes." hidden="1">{"interior finishes",#N/A,FALSE,"DETAIL.XLS"}</definedName>
    <definedName name="wrn.jck94TAXRETURN."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1" hidden="1">{#N/A,#N/A,FALSE,"PJT STATUS RVW";#N/A,#N/A,FALSE,"MAPS CKLIST";#N/A,#N/A,FALSE,"HOPSR-BASE-IHOCS";#N/A,#N/A,FALSE,"HOPSR-BASE FOR REPORT";#N/A,#N/A,FALSE,"GEN SERVICES";#N/A,#N/A,FALSE,"FINANCIAL";#N/A,#N/A,FALSE,"CONTRACT CURVES";#N/A,#N/A,FALSE,"JEG GRAPH";#N/A,#N/A,FALSE,"JEG GRAPH (2)"}</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jegrpt." localSheetId="8"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localSheetId="1" hidden="1">{"NGUYEN QUI THIEP - Personal View",#N/A,FALSE,"XDCB.HT.FUR."}</definedName>
    <definedName name="wrn.mai._.khanh." localSheetId="2" hidden="1">{"NGUYEN QUI THIEP - Personal View",#N/A,FALSE,"XDCB.HT.FUR."}</definedName>
    <definedName name="wrn.mai._.khanh." localSheetId="8" hidden="1">{"NGUYEN QUI THIEP - Personal View",#N/A,FALSE,"XDCB.HT.FUR."}</definedName>
    <definedName name="wrn.mai._.khanh." hidden="1">{"NGUYEN QUI THIEP - Personal View",#N/A,FALSE,"XDCB.HT.FUR."}</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1" hidden="1">{#N/A,#N/A,FALSE,"VISTAF"}</definedName>
    <definedName name="wrn.MARGIN." localSheetId="2" hidden="1">{#N/A,#N/A,FALSE,"VISTAF"}</definedName>
    <definedName name="wrn.MARGIN." localSheetId="8" hidden="1">{#N/A,#N/A,FALSE,"VISTAF"}</definedName>
    <definedName name="wrn.MARGIN." hidden="1">{#N/A,#N/A,FALSE,"VISTAF"}</definedName>
    <definedName name="wrn.mhrfcst." localSheetId="1" hidden="1">{#N/A,#N/A,FALSE,"MANHR FCST-BASE"}</definedName>
    <definedName name="wrn.mhrfcst." localSheetId="2" hidden="1">{#N/A,#N/A,FALSE,"MANHR FCST-BASE"}</definedName>
    <definedName name="wrn.mhrfcst." localSheetId="8" hidden="1">{#N/A,#N/A,FALSE,"MANHR FCST-BASE"}</definedName>
    <definedName name="wrn.mhrfcst." hidden="1">{#N/A,#N/A,FALSE,"MANHR FCST-BASE"}</definedName>
    <definedName name="wrn.Monthly._.Statement." localSheetId="1" hidden="1">{#N/A,#N/A,FALSE,"Tabelle2";#N/A,#N/A,FALSE,"Tabelle1"}</definedName>
    <definedName name="wrn.Monthly._.Statement." localSheetId="2" hidden="1">{#N/A,#N/A,FALSE,"Tabelle2";#N/A,#N/A,FALSE,"Tabelle1"}</definedName>
    <definedName name="wrn.Monthly._.Statement." localSheetId="8" hidden="1">{#N/A,#N/A,FALSE,"Tabelle2";#N/A,#N/A,FALSE,"Tabelle1"}</definedName>
    <definedName name="wrn.Monthly._.Statement." hidden="1">{#N/A,#N/A,FALSE,"Tabelle2";#N/A,#N/A,FALSE,"Tabelle1"}</definedName>
    <definedName name="wrn.MTD1." localSheetId="1" hidden="1">{#N/A,#N/A,FALSE,"Sheet1";#N/A,#N/A,FALSE,"Sheet3";#N/A,#N/A,FALSE,"Sheet5"}</definedName>
    <definedName name="wrn.MTD1." localSheetId="2" hidden="1">{#N/A,#N/A,FALSE,"Sheet1";#N/A,#N/A,FALSE,"Sheet3";#N/A,#N/A,FALSE,"Sheet5"}</definedName>
    <definedName name="wrn.MTD1." localSheetId="8" hidden="1">{#N/A,#N/A,FALSE,"Sheet1";#N/A,#N/A,FALSE,"Sheet3";#N/A,#N/A,FALSE,"Sheet5"}</definedName>
    <definedName name="wrn.MTD1." hidden="1">{#N/A,#N/A,FALSE,"Sheet1";#N/A,#N/A,FALSE,"Sheet3";#N/A,#N/A,FALSE,"Sheet5"}</definedName>
    <definedName name="wrn.MTD2." localSheetId="1" hidden="1">{#N/A,#N/A,FALSE,"Sheet2";#N/A,#N/A,FALSE,"Sheet4";#N/A,#N/A,FALSE,"Sheet6"}</definedName>
    <definedName name="wrn.MTD2." localSheetId="2" hidden="1">{#N/A,#N/A,FALSE,"Sheet2";#N/A,#N/A,FALSE,"Sheet4";#N/A,#N/A,FALSE,"Sheet6"}</definedName>
    <definedName name="wrn.MTD2." localSheetId="8" hidden="1">{#N/A,#N/A,FALSE,"Sheet2";#N/A,#N/A,FALSE,"Sheet4";#N/A,#N/A,FALSE,"Sheet6"}</definedName>
    <definedName name="wrn.MTD2." hidden="1">{#N/A,#N/A,FALSE,"Sheet2";#N/A,#N/A,FALSE,"Sheet4";#N/A,#N/A,FALSE,"Sheet6"}</definedName>
    <definedName name="wrn.Output." localSheetId="1" hidden="1">{#N/A,#N/A,TRUE,"Summary";#N/A,#N/A,TRUE,"Assumptions";#N/A,#N/A,TRUE,"Stack";#N/A,#N/A,TRUE,"Budget";#N/A,#N/A,TRUE,"Condo Summary";#N/A,#N/A,TRUE,"Condo Sellout Summary"}</definedName>
    <definedName name="wrn.Output." localSheetId="2" hidden="1">{#N/A,#N/A,TRUE,"Summary";#N/A,#N/A,TRUE,"Assumptions";#N/A,#N/A,TRUE,"Stack";#N/A,#N/A,TRUE,"Budget";#N/A,#N/A,TRUE,"Condo Summary";#N/A,#N/A,TRUE,"Condo Sellout Summary"}</definedName>
    <definedName name="wrn.Output." localSheetId="8" hidden="1">{#N/A,#N/A,TRUE,"Summary";#N/A,#N/A,TRUE,"Assumptions";#N/A,#N/A,TRUE,"Stack";#N/A,#N/A,TRUE,"Budget";#N/A,#N/A,TRUE,"Condo Summary";#N/A,#N/A,TRUE,"Condo Sellout Summary"}</definedName>
    <definedName name="wrn.Output." hidden="1">{#N/A,#N/A,TRUE,"Summary";#N/A,#N/A,TRUE,"Assumptions";#N/A,#N/A,TRUE,"Stack";#N/A,#N/A,TRUE,"Budget";#N/A,#N/A,TRUE,"Condo Summary";#N/A,#N/A,TRUE,"Condo Sellout Summary"}</definedName>
    <definedName name="wrn.output1a" localSheetId="1"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1a" localSheetId="8"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localSheetId="1"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2" localSheetId="8"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localSheetId="1"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3" localSheetId="8"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localSheetId="1"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 localSheetId="8"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localSheetId="1"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a" localSheetId="8"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localSheetId="1"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output4b" localSheetId="8"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localSheetId="1" hidden="1">{#N/A,#N/A,FALSE,"mgtsum.XLS";#N/A,#N/A,FALSE,"CAPONE";#N/A,#N/A,FALSE,"CAPTWO";#N/A,#N/A,FALSE,"CAPTHREE"}</definedName>
    <definedName name="wrn.P854._.ADDENDUM." localSheetId="2" hidden="1">{#N/A,#N/A,FALSE,"mgtsum.XLS";#N/A,#N/A,FALSE,"CAPONE";#N/A,#N/A,FALSE,"CAPTWO";#N/A,#N/A,FALSE,"CAPTHREE"}</definedName>
    <definedName name="wrn.P854._.ADDENDUM." localSheetId="8" hidden="1">{#N/A,#N/A,FALSE,"mgtsum.XLS";#N/A,#N/A,FALSE,"CAPONE";#N/A,#N/A,FALSE,"CAPTWO";#N/A,#N/A,FALSE,"CAPTHREE"}</definedName>
    <definedName name="wrn.P854._.ADDENDUM." hidden="1">{#N/A,#N/A,FALSE,"mgtsum.XLS";#N/A,#N/A,FALSE,"CAPONE";#N/A,#N/A,FALSE,"CAPTWO";#N/A,#N/A,FALSE,"CAPTHREE"}</definedName>
    <definedName name="wrn.p854._.addendum2" localSheetId="1" hidden="1">{#N/A,#N/A,FALSE,"mgtsum.XLS";#N/A,#N/A,FALSE,"CAPONE";#N/A,#N/A,FALSE,"CAPTWO";#N/A,#N/A,FALSE,"CAPTHREE"}</definedName>
    <definedName name="wrn.p854._.addendum2" localSheetId="2" hidden="1">{#N/A,#N/A,FALSE,"mgtsum.XLS";#N/A,#N/A,FALSE,"CAPONE";#N/A,#N/A,FALSE,"CAPTWO";#N/A,#N/A,FALSE,"CAPTHREE"}</definedName>
    <definedName name="wrn.p854._.addendum2" localSheetId="8" hidden="1">{#N/A,#N/A,FALSE,"mgtsum.XLS";#N/A,#N/A,FALSE,"CAPONE";#N/A,#N/A,FALSE,"CAPTWO";#N/A,#N/A,FALSE,"CAPTHREE"}</definedName>
    <definedName name="wrn.p854._.addendum2" hidden="1">{#N/A,#N/A,FALSE,"mgtsum.XLS";#N/A,#N/A,FALSE,"CAPONE";#N/A,#N/A,FALSE,"CAPTWO";#N/A,#N/A,FALSE,"CAPTHREE"}</definedName>
    <definedName name="wrn.p854._.addendum3" localSheetId="1" hidden="1">{#N/A,#N/A,FALSE,"mgtsum.XLS";#N/A,#N/A,FALSE,"CAPONE";#N/A,#N/A,FALSE,"CAPTWO";#N/A,#N/A,FALSE,"CAPTHREE"}</definedName>
    <definedName name="wrn.p854._.addendum3" localSheetId="2" hidden="1">{#N/A,#N/A,FALSE,"mgtsum.XLS";#N/A,#N/A,FALSE,"CAPONE";#N/A,#N/A,FALSE,"CAPTWO";#N/A,#N/A,FALSE,"CAPTHREE"}</definedName>
    <definedName name="wrn.p854._.addendum3" localSheetId="8" hidden="1">{#N/A,#N/A,FALSE,"mgtsum.XLS";#N/A,#N/A,FALSE,"CAPONE";#N/A,#N/A,FALSE,"CAPTWO";#N/A,#N/A,FALSE,"CAPTHREE"}</definedName>
    <definedName name="wrn.p854._.addendum3" hidden="1">{#N/A,#N/A,FALSE,"mgtsum.XLS";#N/A,#N/A,FALSE,"CAPONE";#N/A,#N/A,FALSE,"CAPTWO";#N/A,#N/A,FALSE,"CAPTHREE"}</definedName>
    <definedName name="wrn.PL._.Analysis." localSheetId="1" hidden="1">{"AnalRSA",#N/A,TRUE,"PL-Anal";"AnalIAS",#N/A,TRUE,"PL-Anal"}</definedName>
    <definedName name="wrn.PL._.Analysis." localSheetId="2" hidden="1">{"AnalRSA",#N/A,TRUE,"PL-Anal";"AnalIAS",#N/A,TRUE,"PL-Anal"}</definedName>
    <definedName name="wrn.PL._.Analysis." localSheetId="8" hidden="1">{"AnalRSA",#N/A,TRUE,"PL-Anal";"AnalIAS",#N/A,TRUE,"PL-Anal"}</definedName>
    <definedName name="wrn.PL._.Analysis." hidden="1">{"AnalRSA",#N/A,TRUE,"PL-Anal";"AnalIAS",#N/A,TRUE,"PL-Anal"}</definedName>
    <definedName name="wrn.Present." localSheetId="1" hidden="1">{"Present",#N/A,FALSE,"Assump";"Present",#N/A,FALSE,"Calc";"Present",#N/A,FALSE,"Cover"}</definedName>
    <definedName name="wrn.Present." localSheetId="2" hidden="1">{"Present",#N/A,FALSE,"Assump";"Present",#N/A,FALSE,"Calc";"Present",#N/A,FALSE,"Cover"}</definedName>
    <definedName name="wrn.Present." localSheetId="8" hidden="1">{"Present",#N/A,FALSE,"Assump";"Present",#N/A,FALSE,"Calc";"Present",#N/A,FALSE,"Cover"}</definedName>
    <definedName name="wrn.Present." hidden="1">{"Present",#N/A,FALSE,"Assump";"Present",#N/A,FALSE,"Calc";"Present",#N/A,FALSE,"Cover"}</definedName>
    <definedName name="wrn.Print._.All." localSheetId="1"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ll." localSheetId="8"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1" hidden="1">{#N/A,#N/A,FALSE,"OUTPUT SHEET "}</definedName>
    <definedName name="wrn.Print._.Output." localSheetId="2" hidden="1">{#N/A,#N/A,FALSE,"OUTPUT SHEET "}</definedName>
    <definedName name="wrn.Print._.Output." localSheetId="8" hidden="1">{#N/A,#N/A,FALSE,"OUTPUT SHEET "}</definedName>
    <definedName name="wrn.Print._.Output." hidden="1">{#N/A,#N/A,FALSE,"OUTPUT SHEET "}</definedName>
    <definedName name="wrn.Profile." localSheetId="1" hidden="1">{"View 1",#N/A,FALSE,"Profile";"View 2",#N/A,FALSE,"Profile";"View 3",#N/A,FALSE,"Profile"}</definedName>
    <definedName name="wrn.Profile." localSheetId="2" hidden="1">{"View 1",#N/A,FALSE,"Profile";"View 2",#N/A,FALSE,"Profile";"View 3",#N/A,FALSE,"Profile"}</definedName>
    <definedName name="wrn.Profile." localSheetId="8" hidden="1">{"View 1",#N/A,FALSE,"Profile";"View 2",#N/A,FALSE,"Profile";"View 3",#N/A,FALSE,"Profile"}</definedName>
    <definedName name="wrn.Profile." hidden="1">{"View 1",#N/A,FALSE,"Profile";"View 2",#N/A,FALSE,"Profile";"View 3",#N/A,FALSE,"Profile"}</definedName>
    <definedName name="wrn.re_xoa2" localSheetId="1" hidden="1">{"Offgrid",#N/A,FALSE,"OFFGRID";"Region",#N/A,FALSE,"REGION";"Offgrid -2",#N/A,FALSE,"OFFGRID";"WTP",#N/A,FALSE,"WTP";"WTP -2",#N/A,FALSE,"WTP";"Project",#N/A,FALSE,"PROJECT";"Summary -2",#N/A,FALSE,"SUMMARY"}</definedName>
    <definedName name="wrn.re_xoa2" localSheetId="2" hidden="1">{"Offgrid",#N/A,FALSE,"OFFGRID";"Region",#N/A,FALSE,"REGION";"Offgrid -2",#N/A,FALSE,"OFFGRID";"WTP",#N/A,FALSE,"WTP";"WTP -2",#N/A,FALSE,"WTP";"Project",#N/A,FALSE,"PROJECT";"Summary -2",#N/A,FALSE,"SUMMARY"}</definedName>
    <definedName name="wrn.re_xoa2" localSheetId="8"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1" hidden="1">{#N/A,#N/A,FALSE,"特殊室（ＢＱ表）"}</definedName>
    <definedName name="wrn.report1." localSheetId="2" hidden="1">{#N/A,#N/A,FALSE,"特殊室（ＢＱ表）"}</definedName>
    <definedName name="wrn.report1." localSheetId="8" hidden="1">{#N/A,#N/A,FALSE,"特殊室（ＢＱ表）"}</definedName>
    <definedName name="wrn.report1." hidden="1">{#N/A,#N/A,FALSE,"特殊室（ＢＱ表）"}</definedName>
    <definedName name="wrn.reports." localSheetId="1" hidden="1">{#N/A,#N/A,FALSE,"Project Summary";#N/A,#N/A,FALSE,"Parameter Summary";#N/A,#N/A,FALSE,"Budget Control Report";#N/A,#N/A,FALSE,"DETAIL.XLS"}</definedName>
    <definedName name="wrn.reports." localSheetId="2" hidden="1">{#N/A,#N/A,FALSE,"Project Summary";#N/A,#N/A,FALSE,"Parameter Summary";#N/A,#N/A,FALSE,"Budget Control Report";#N/A,#N/A,FALSE,"DETAIL.XLS"}</definedName>
    <definedName name="wrn.reports." localSheetId="8" hidden="1">{#N/A,#N/A,FALSE,"Project Summary";#N/A,#N/A,FALSE,"Parameter Summary";#N/A,#N/A,FALSE,"Budget Control Report";#N/A,#N/A,FALSE,"DETAIL.XLS"}</definedName>
    <definedName name="wrn.reports." hidden="1">{#N/A,#N/A,FALSE,"Project Summary";#N/A,#N/A,FALSE,"Parameter Summary";#N/A,#N/A,FALSE,"Budget Control Report";#N/A,#N/A,FALSE,"DETAIL.XLS"}</definedName>
    <definedName name="wrn.Residential." localSheetId="1" hidden="1">{"ECA Qtrs C",#N/A,TRUE,"ECA_Qtrs_C";"ECA Qtrs D",#N/A,TRUE,"ECA_Qtrs_D";"ECA Qtrs F",#N/A,TRUE,"ECA_Qtrs_F";"ECA Qtrs G",#N/A,TRUE,"ECA_Qtrs_G";"ECA SisterApt",#N/A,TRUE,"ECA_SisterApt";"ECA Nurses",#N/A,TRUE,"ECA_NursesHostel"}</definedName>
    <definedName name="wrn.Residential." localSheetId="2" hidden="1">{"ECA Qtrs C",#N/A,TRUE,"ECA_Qtrs_C";"ECA Qtrs D",#N/A,TRUE,"ECA_Qtrs_D";"ECA Qtrs F",#N/A,TRUE,"ECA_Qtrs_F";"ECA Qtrs G",#N/A,TRUE,"ECA_Qtrs_G";"ECA SisterApt",#N/A,TRUE,"ECA_SisterApt";"ECA Nurses",#N/A,TRUE,"ECA_NursesHostel"}</definedName>
    <definedName name="wrn.Residential." localSheetId="8"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idential._1" localSheetId="1"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esidential._1" localSheetId="8"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localSheetId="1" hidden="1">{#N/A,#N/A,TRUE,"Cover Memo";"Ride Estimate",#N/A,TRUE,"Change Summary";"Ride Estimate",#N/A,TRUE,"Estimate Summary";"Ride Estimate",#N/A,TRUE,"Dept. Summary";"Ride Estimate",#N/A,TRUE,"DOW Detail"}</definedName>
    <definedName name="wrn.Ride._.Estimate." localSheetId="2" hidden="1">{#N/A,#N/A,TRUE,"Cover Memo";"Ride Estimate",#N/A,TRUE,"Change Summary";"Ride Estimate",#N/A,TRUE,"Estimate Summary";"Ride Estimate",#N/A,TRUE,"Dept. Summary";"Ride Estimate",#N/A,TRUE,"DOW Detail"}</definedName>
    <definedName name="wrn.Ride._.Estimate." localSheetId="8"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RSA._.BS._.and._.PL." localSheetId="1" hidden="1">{"BS1",#N/A,TRUE,"RSA_FS";"BS2",#N/A,TRUE,"RSA_FS";"BS3",#N/A,TRUE,"RSA_FS"}</definedName>
    <definedName name="wrn.RSA._.BS._.and._.PL." localSheetId="2" hidden="1">{"BS1",#N/A,TRUE,"RSA_FS";"BS2",#N/A,TRUE,"RSA_FS";"BS3",#N/A,TRUE,"RSA_FS"}</definedName>
    <definedName name="wrn.RSA._.BS._.and._.PL." localSheetId="8" hidden="1">{"BS1",#N/A,TRUE,"RSA_FS";"BS2",#N/A,TRUE,"RSA_FS";"BS3",#N/A,TRUE,"RSA_FS"}</definedName>
    <definedName name="wrn.RSA._.BS._.and._.PL." hidden="1">{"BS1",#N/A,TRUE,"RSA_FS";"BS2",#N/A,TRUE,"RSA_FS";"BS3",#N/A,TRUE,"RSA_FS"}</definedName>
    <definedName name="wrn.SCHEDULE." localSheetId="1" hidden="1">{"SCHEDULE",#N/A,FALSE,"Fin_sched"}</definedName>
    <definedName name="wrn.SCHEDULE." localSheetId="2" hidden="1">{"SCHEDULE",#N/A,FALSE,"Fin_sched"}</definedName>
    <definedName name="wrn.SCHEDULE." localSheetId="8" hidden="1">{"SCHEDULE",#N/A,FALSE,"Fin_sched"}</definedName>
    <definedName name="wrn.SCHEDULE." hidden="1">{"SCHEDULE",#N/A,FALSE,"Fin_sched"}</definedName>
    <definedName name="wrn.SE." localSheetId="1" hidden="1">{#N/A,#N/A,FALSE,"GAZ_CP500ML";#N/A,#N/A,FALSE,"VARI_SE_CP900ML";#N/A,#N/A,FALSE,"VARI_SE_CP70ML";#N/A,#N/A,FALSE,"ALS_CP70ML";#N/A,#N/A,FALSE,"AMB_CP70ML";#N/A,#N/A,FALSE,"MAK_CP250ML";#N/A,#N/A,FALSE,"ATT_CP70ML";#N/A,#N/A,FALSE,"DAL_CP70ML";#N/A,#N/A,FALSE,"VARI_SE_CP330ML_E";#N/A,#N/A,FALSE,"AMB_CP250ML"}</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E." localSheetId="8" hidden="1">{#N/A,#N/A,FALSE,"GAZ_CP500ML";#N/A,#N/A,FALSE,"VARI_SE_CP900ML";#N/A,#N/A,FALSE,"VARI_SE_CP70ML";#N/A,#N/A,FALSE,"ALS_CP70ML";#N/A,#N/A,FALSE,"AMB_CP70ML";#N/A,#N/A,FALSE,"MAK_CP250ML";#N/A,#N/A,FALSE,"ATT_CP70ML";#N/A,#N/A,FALSE,"DAL_CP70ML";#N/A,#N/A,FALSE,"VARI_SE_CP330ML_E";#N/A,#N/A,FALSE,"AMB_CP250ML"}</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localSheetId="1" hidden="1">{#N/A,#N/A,TRUE,"Cover Memo";"Show Estimate",#N/A,TRUE,"Change Summary";"Show Estimate",#N/A,TRUE,"Estimate Summary";"Show Estimate",#N/A,TRUE,"Dept. Summary";"Show Estimate",#N/A,TRUE,"DOW Detail"}</definedName>
    <definedName name="wrn.Show._.Estimate." localSheetId="2" hidden="1">{#N/A,#N/A,TRUE,"Cover Memo";"Show Estimate",#N/A,TRUE,"Change Summary";"Show Estimate",#N/A,TRUE,"Estimate Summary";"Show Estimate",#N/A,TRUE,"Dept. Summary";"Show Estimate",#N/A,TRUE,"DOW Detail"}</definedName>
    <definedName name="wrn.Show._.Estimate." localSheetId="8"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ite._.expenses." localSheetId="1" hidden="1">{#N/A,#N/A,FALSE,"Expenses";#N/A,#N/A,FALSE,"Expenses"}</definedName>
    <definedName name="wrn.Site._.expenses." localSheetId="2" hidden="1">{#N/A,#N/A,FALSE,"Expenses";#N/A,#N/A,FALSE,"Expenses"}</definedName>
    <definedName name="wrn.Site._.expenses." localSheetId="8" hidden="1">{#N/A,#N/A,FALSE,"Expenses";#N/A,#N/A,FALSE,"Expenses"}</definedName>
    <definedName name="wrn.Site._.expenses." hidden="1">{#N/A,#N/A,FALSE,"Expenses";#N/A,#N/A,FALSE,"Expenses"}</definedName>
    <definedName name="wrn.STANDARD._.RACKS." localSheetId="1" hidden="1">{"IMRAK42x8x8",#N/A,TRUE,"IMRAK 1400 42U 800X800";"IMRAK32x6x6",#N/A,TRUE,"IMRAK 1400 32U 600x600";"IMRAK42x12x8",#N/A,TRUE,"IMRAK 1400 42U 1200x800";"IMRAK15x6x4",#N/A,TRUE,"IMRAK 400 15U FRONT SECTION"}</definedName>
    <definedName name="wrn.STANDARD._.RACKS." localSheetId="2" hidden="1">{"IMRAK42x8x8",#N/A,TRUE,"IMRAK 1400 42U 800X800";"IMRAK32x6x6",#N/A,TRUE,"IMRAK 1400 32U 600x600";"IMRAK42x12x8",#N/A,TRUE,"IMRAK 1400 42U 1200x800";"IMRAK15x6x4",#N/A,TRUE,"IMRAK 400 15U FRONT SECTION"}</definedName>
    <definedName name="wrn.STANDARD._.RACKS." localSheetId="8" hidden="1">{"IMRAK42x8x8",#N/A,TRUE,"IMRAK 1400 42U 800X800";"IMRAK32x6x6",#N/A,TRUE,"IMRAK 1400 32U 600x600";"IMRAK42x12x8",#N/A,TRUE,"IMRAK 1400 42U 1200x800";"IMRAK15x6x4",#N/A,TRUE,"IMRAK 400 15U FRONT SECTION"}</definedName>
    <definedName name="wrn.STANDARD._.RACKS." hidden="1">{"IMRAK42x8x8",#N/A,TRUE,"IMRAK 1400 42U 800X800";"IMRAK32x6x6",#N/A,TRUE,"IMRAK 1400 32U 600x600";"IMRAK42x12x8",#N/A,TRUE,"IMRAK 1400 42U 1200x800";"IMRAK15x6x4",#N/A,TRUE,"IMRAK 400 15U FRONT SECTION"}</definedName>
    <definedName name="wrn.Structural._.Frame." localSheetId="1" hidden="1">{"structural",#N/A,FALSE,"DETAIL.XLS"}</definedName>
    <definedName name="wrn.Structural._.Frame." localSheetId="2" hidden="1">{"structural",#N/A,FALSE,"DETAIL.XLS"}</definedName>
    <definedName name="wrn.Structural._.Frame." localSheetId="8" hidden="1">{"structural",#N/A,FALSE,"DETAIL.XLS"}</definedName>
    <definedName name="wrn.Structural._.Frame." hidden="1">{"structural",#N/A,FALSE,"DETAIL.XLS"}</definedName>
    <definedName name="wrn.SUMMARY." localSheetId="1" hidden="1">{"SUMMARY",#N/A,FALSE,"Fin_sched"}</definedName>
    <definedName name="wrn.SUMMARY." localSheetId="2" hidden="1">{"SUMMARY",#N/A,FALSE,"Fin_sched"}</definedName>
    <definedName name="wrn.SUMMARY." localSheetId="8" hidden="1">{"SUMMARY",#N/A,FALSE,"Fin_sched"}</definedName>
    <definedName name="wrn.SUMMARY." hidden="1">{"SUMMARY",#N/A,FALSE,"Fin_sched"}</definedName>
    <definedName name="wrn.TEST." localSheetId="1" hidden="1">{#N/A,#N/A,FALSE,"估價單  (3)"}</definedName>
    <definedName name="wrn.TEST." localSheetId="2" hidden="1">{#N/A,#N/A,FALSE,"估價單  (3)"}</definedName>
    <definedName name="wrn.TEST." localSheetId="8" hidden="1">{#N/A,#N/A,FALSE,"估價單  (3)"}</definedName>
    <definedName name="wrn.TEST." hidden="1">{#N/A,#N/A,FALSE,"估價單  (3)"}</definedName>
    <definedName name="wrn.test1." localSheetId="1" hidden="1">{#N/A,#N/A,FALSE,"명세표"}</definedName>
    <definedName name="wrn.test1." localSheetId="2" hidden="1">{#N/A,#N/A,FALSE,"명세표"}</definedName>
    <definedName name="wrn.test1." localSheetId="8" hidden="1">{#N/A,#N/A,FALSE,"명세표"}</definedName>
    <definedName name="wrn.test1." hidden="1">{#N/A,#N/A,FALSE,"명세표"}</definedName>
    <definedName name="wrn.TOTALE." localSheetId="1" hidden="1">{"sintesi",#N/A,FALSE,"contrib_unit";"dett_materiali",#N/A,FALSE,"contrib_unit";"dett_lav.ne",#N/A,FALSE,"contrib_unit";"dett_altre_ind.li",#N/A,FALSE,"contrib_unit";"dett_commerciali",#N/A,FALSE,"contrib_unit"}</definedName>
    <definedName name="wrn.TOTALE." localSheetId="2" hidden="1">{"sintesi",#N/A,FALSE,"contrib_unit";"dett_materiali",#N/A,FALSE,"contrib_unit";"dett_lav.ne",#N/A,FALSE,"contrib_unit";"dett_altre_ind.li",#N/A,FALSE,"contrib_unit";"dett_commerciali",#N/A,FALSE,"contrib_unit"}</definedName>
    <definedName name="wrn.TOTALE." localSheetId="8" hidden="1">{"sintesi",#N/A,FALSE,"contrib_unit";"dett_materiali",#N/A,FALSE,"contrib_unit";"dett_lav.ne",#N/A,FALSE,"contrib_unit";"dett_altre_ind.li",#N/A,FALSE,"contrib_unit";"dett_commerciali",#N/A,FALSE,"contrib_unit"}</definedName>
    <definedName name="wrn.TOTALE." hidden="1">{"sintesi",#N/A,FALSE,"contrib_unit";"dett_materiali",#N/A,FALSE,"contrib_unit";"dett_lav.ne",#N/A,FALSE,"contrib_unit";"dett_altre_ind.li",#N/A,FALSE,"contrib_unit";"dett_commerciali",#N/A,FALSE,"contrib_unit"}</definedName>
    <definedName name="wrn.tou구매." localSheetId="1" hidden="1">{#N/A,#N/A,FALSE,"견적대비-2"}</definedName>
    <definedName name="wrn.tou구매." localSheetId="2" hidden="1">{#N/A,#N/A,FALSE,"견적대비-2"}</definedName>
    <definedName name="wrn.tou구매." localSheetId="8" hidden="1">{#N/A,#N/A,FALSE,"견적대비-2"}</definedName>
    <definedName name="wrn.tou구매." hidden="1">{#N/A,#N/A,FALSE,"견적대비-2"}</definedName>
    <definedName name="wrn.vd." localSheetId="1" hidden="1">{#N/A,#N/A,TRUE,"BT M200 da 10x20"}</definedName>
    <definedName name="wrn.vd." localSheetId="2" hidden="1">{#N/A,#N/A,TRUE,"BT M200 da 10x20"}</definedName>
    <definedName name="wrn.vd." localSheetId="8" hidden="1">{#N/A,#N/A,TRUE,"BT M200 da 10x20"}</definedName>
    <definedName name="wrn.vd." hidden="1">{#N/A,#N/A,TRUE,"BT M200 da 10x20"}</definedName>
    <definedName name="WRN.VOLTAGE." localSheetId="1" hidden="1">{#N/A,#N/A,FALSE,"Sheet2";#N/A,#N/A,FALSE,"Sheet4";#N/A,#N/A,FALSE,"Sheet6"}</definedName>
    <definedName name="WRN.VOLTAGE." localSheetId="2" hidden="1">{#N/A,#N/A,FALSE,"Sheet2";#N/A,#N/A,FALSE,"Sheet4";#N/A,#N/A,FALSE,"Sheet6"}</definedName>
    <definedName name="WRN.VOLTAGE." localSheetId="8" hidden="1">{#N/A,#N/A,FALSE,"Sheet2";#N/A,#N/A,FALSE,"Sheet4";#N/A,#N/A,FALSE,"Sheet6"}</definedName>
    <definedName name="WRN.VOLTAGE." hidden="1">{#N/A,#N/A,FALSE,"Sheet2";#N/A,#N/A,FALSE,"Sheet4";#N/A,#N/A,FALSE,"Sheet6"}</definedName>
    <definedName name="wrn.Warrington._.Widnes._.QS._.Costs." localSheetId="1" hidden="1">{#N/A,#N/A,TRUE,"Cover";#N/A,#N/A,TRUE,"Conts";#N/A,#N/A,TRUE,"VOS";#N/A,#N/A,TRUE,"Warrington";#N/A,#N/A,TRUE,"Widnes"}</definedName>
    <definedName name="wrn.Warrington._.Widnes._.QS._.Costs." localSheetId="2"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n.Общая._.спецификация." localSheetId="1"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8"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1" hidden="1">{#N/A,#N/A,FALSE,"buildings"}</definedName>
    <definedName name="wrn.감가." localSheetId="2" hidden="1">{#N/A,#N/A,FALSE,"buildings"}</definedName>
    <definedName name="wrn.감가." localSheetId="8" hidden="1">{#N/A,#N/A,FALSE,"buildings"}</definedName>
    <definedName name="wrn.감가." hidden="1">{#N/A,#N/A,FALSE,"buildings"}</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1" hidden="1">{#N/A,#N/A,FALSE,"사업총괄";#N/A,#N/A,FALSE,"장비사업";#N/A,#N/A,FALSE,"철구사업";#N/A,#N/A,FALSE,"준설사업"}</definedName>
    <definedName name="wrn.건설기계사업소._.상반기보고." localSheetId="2" hidden="1">{#N/A,#N/A,FALSE,"사업총괄";#N/A,#N/A,FALSE,"장비사업";#N/A,#N/A,FALSE,"철구사업";#N/A,#N/A,FALSE,"준설사업"}</definedName>
    <definedName name="wrn.건설기계사업소._.상반기보고." localSheetId="8"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1" hidden="1">{#N/A,#N/A,FALSE,"Sheet1";#N/A,#N/A,FALSE,"Sheet2";#N/A,#N/A,FALSE,"TAB96-1"}</definedName>
    <definedName name="wrn.견적." localSheetId="2" hidden="1">{#N/A,#N/A,FALSE,"Sheet1";#N/A,#N/A,FALSE,"Sheet2";#N/A,#N/A,FALSE,"TAB96-1"}</definedName>
    <definedName name="wrn.견적." localSheetId="8" hidden="1">{#N/A,#N/A,FALSE,"Sheet1";#N/A,#N/A,FALSE,"Sheet2";#N/A,#N/A,FALSE,"TAB96-1"}</definedName>
    <definedName name="wrn.견적." hidden="1">{#N/A,#N/A,FALSE,"Sheet1";#N/A,#N/A,FALSE,"Sheet2";#N/A,#N/A,FALSE,"TAB96-1"}</definedName>
    <definedName name="wrn.고희석." localSheetId="1" hidden="1">{#N/A,#N/A,FALSE,"교리2"}</definedName>
    <definedName name="wrn.고희석." localSheetId="2" hidden="1">{#N/A,#N/A,FALSE,"교리2"}</definedName>
    <definedName name="wrn.고희석." localSheetId="8" hidden="1">{#N/A,#N/A,FALSE,"교리2"}</definedName>
    <definedName name="wrn.고희석." hidden="1">{#N/A,#N/A,FALSE,"교리2"}</definedName>
    <definedName name="wrn.골재소요량." localSheetId="1" hidden="1">{#N/A,#N/A,FALSE,"골재소요량";#N/A,#N/A,FALSE,"골재소요량"}</definedName>
    <definedName name="wrn.골재소요량." localSheetId="2" hidden="1">{#N/A,#N/A,FALSE,"골재소요량";#N/A,#N/A,FALSE,"골재소요량"}</definedName>
    <definedName name="wrn.골재소요량." localSheetId="8" hidden="1">{#N/A,#N/A,FALSE,"골재소요량";#N/A,#N/A,FALSE,"골재소요량"}</definedName>
    <definedName name="wrn.골재소요량." hidden="1">{#N/A,#N/A,FALSE,"골재소요량";#N/A,#N/A,FALSE,"골재소요량"}</definedName>
    <definedName name="wrn.교육청." localSheetId="1" hidden="1">{#N/A,#N/A,FALSE,"전력간선"}</definedName>
    <definedName name="wrn.교육청." localSheetId="2" hidden="1">{#N/A,#N/A,FALSE,"전력간선"}</definedName>
    <definedName name="wrn.교육청." localSheetId="8" hidden="1">{#N/A,#N/A,FALSE,"전력간선"}</definedName>
    <definedName name="wrn.교육청." hidden="1">{#N/A,#N/A,FALSE,"전력간선"}</definedName>
    <definedName name="wrn.교육청.1" localSheetId="1" hidden="1">{#N/A,#N/A,FALSE,"전력간선"}</definedName>
    <definedName name="wrn.교육청.1" localSheetId="2" hidden="1">{#N/A,#N/A,FALSE,"전력간선"}</definedName>
    <definedName name="wrn.교육청.1" localSheetId="8" hidden="1">{#N/A,#N/A,FALSE,"전력간선"}</definedName>
    <definedName name="wrn.교육청.1" hidden="1">{#N/A,#N/A,FALSE,"전력간선"}</definedName>
    <definedName name="wrn.구조2." localSheetId="1" hidden="1">{#N/A,#N/A,FALSE,"구조2"}</definedName>
    <definedName name="wrn.구조2." localSheetId="2" hidden="1">{#N/A,#N/A,FALSE,"구조2"}</definedName>
    <definedName name="wrn.구조2." localSheetId="8" hidden="1">{#N/A,#N/A,FALSE,"구조2"}</definedName>
    <definedName name="wrn.구조2." hidden="1">{#N/A,#N/A,FALSE,"구조2"}</definedName>
    <definedName name="wrn.기성." localSheetId="1" hidden="1">{#N/A,#N/A,FALSE,"신청통보";#N/A,#N/A,FALSE,"기성확인서";#N/A,#N/A,FALSE,"기성내역서"}</definedName>
    <definedName name="wrn.기성." localSheetId="2" hidden="1">{#N/A,#N/A,FALSE,"신청통보";#N/A,#N/A,FALSE,"기성확인서";#N/A,#N/A,FALSE,"기성내역서"}</definedName>
    <definedName name="wrn.기성." localSheetId="8" hidden="1">{#N/A,#N/A,FALSE,"신청통보";#N/A,#N/A,FALSE,"기성확인서";#N/A,#N/A,FALSE,"기성내역서"}</definedName>
    <definedName name="wrn.기성." hidden="1">{#N/A,#N/A,FALSE,"신청통보";#N/A,#N/A,FALSE,"기성확인서";#N/A,#N/A,FALSE,"기성내역서"}</definedName>
    <definedName name="wrn.기초." localSheetId="1"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8"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1" hidden="1">{#N/A,#N/A,FALSE,"단가표지"}</definedName>
    <definedName name="wrn.단가표지." localSheetId="2" hidden="1">{#N/A,#N/A,FALSE,"단가표지"}</definedName>
    <definedName name="wrn.단가표지." localSheetId="8" hidden="1">{#N/A,#N/A,FALSE,"단가표지"}</definedName>
    <definedName name="wrn.단가표지." hidden="1">{#N/A,#N/A,FALSE,"단가표지"}</definedName>
    <definedName name="wrn.담배인삼공사._.실행품의." localSheetId="1"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8"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localSheetId="1" hidden="1">{#N/A,#N/A,FALSE,"집계표"}</definedName>
    <definedName name="wrn.리스현황." localSheetId="2" hidden="1">{#N/A,#N/A,FALSE,"집계표"}</definedName>
    <definedName name="wrn.리스현황." localSheetId="8" hidden="1">{#N/A,#N/A,FALSE,"집계표"}</definedName>
    <definedName name="wrn.리스현황." hidden="1">{#N/A,#N/A,FALSE,"집계표"}</definedName>
    <definedName name="wrn.배수1." localSheetId="1" hidden="1">{#N/A,#N/A,FALSE,"배수1"}</definedName>
    <definedName name="wrn.배수1." localSheetId="2" hidden="1">{#N/A,#N/A,FALSE,"배수1"}</definedName>
    <definedName name="wrn.배수1." localSheetId="8" hidden="1">{#N/A,#N/A,FALSE,"배수1"}</definedName>
    <definedName name="wrn.배수1." hidden="1">{#N/A,#N/A,FALSE,"배수1"}</definedName>
    <definedName name="wrn.배수2." localSheetId="1" hidden="1">{#N/A,#N/A,FALSE,"배수2"}</definedName>
    <definedName name="wrn.배수2." localSheetId="2" hidden="1">{#N/A,#N/A,FALSE,"배수2"}</definedName>
    <definedName name="wrn.배수2." localSheetId="8" hidden="1">{#N/A,#N/A,FALSE,"배수2"}</definedName>
    <definedName name="wrn.배수2." hidden="1">{#N/A,#N/A,FALSE,"배수2"}</definedName>
    <definedName name="wrn.변경예산." localSheetId="1" hidden="1">{#N/A,#N/A,FALSE,"변경관리예산";#N/A,#N/A,FALSE,"변경장비예산";#N/A,#N/A,FALSE,"변경준설예산";#N/A,#N/A,FALSE,"변경철구예산"}</definedName>
    <definedName name="wrn.변경예산." localSheetId="2" hidden="1">{#N/A,#N/A,FALSE,"변경관리예산";#N/A,#N/A,FALSE,"변경장비예산";#N/A,#N/A,FALSE,"변경준설예산";#N/A,#N/A,FALSE,"변경철구예산"}</definedName>
    <definedName name="wrn.변경예산." localSheetId="8"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일러마감." localSheetId="1"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8"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1" hidden="1">{#N/A,#N/A,FALSE,"부대1"}</definedName>
    <definedName name="wrn.부대1." localSheetId="2" hidden="1">{#N/A,#N/A,FALSE,"부대1"}</definedName>
    <definedName name="wrn.부대1." localSheetId="8" hidden="1">{#N/A,#N/A,FALSE,"부대1"}</definedName>
    <definedName name="wrn.부대1." hidden="1">{#N/A,#N/A,FALSE,"부대1"}</definedName>
    <definedName name="wrn.부대2." localSheetId="1" hidden="1">{#N/A,#N/A,FALSE,"부대2"}</definedName>
    <definedName name="wrn.부대2." localSheetId="2" hidden="1">{#N/A,#N/A,FALSE,"부대2"}</definedName>
    <definedName name="wrn.부대2." localSheetId="8" hidden="1">{#N/A,#N/A,FALSE,"부대2"}</definedName>
    <definedName name="wrn.부대2." hidden="1">{#N/A,#N/A,FALSE,"부대2"}</definedName>
    <definedName name="wrn.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1" hidden="1">{#N/A,#N/A,FALSE,"속도"}</definedName>
    <definedName name="wrn.속도." localSheetId="2" hidden="1">{#N/A,#N/A,FALSE,"속도"}</definedName>
    <definedName name="wrn.속도." localSheetId="8" hidden="1">{#N/A,#N/A,FALSE,"속도"}</definedName>
    <definedName name="wrn.속도." hidden="1">{#N/A,#N/A,FALSE,"속도"}</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1"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8"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1" hidden="1">{#N/A,#N/A,TRUE,"토적및재료집계";#N/A,#N/A,TRUE,"토적및재료집계";#N/A,#N/A,TRUE,"단위량"}</definedName>
    <definedName name="wrn.신용찬." localSheetId="2" hidden="1">{#N/A,#N/A,TRUE,"토적및재료집계";#N/A,#N/A,TRUE,"토적및재료집계";#N/A,#N/A,TRUE,"단위량"}</definedName>
    <definedName name="wrn.신용찬." localSheetId="8" hidden="1">{#N/A,#N/A,TRUE,"토적및재료집계";#N/A,#N/A,TRUE,"토적및재료집계";#N/A,#N/A,TRUE,"단위량"}</definedName>
    <definedName name="wrn.신용찬." hidden="1">{#N/A,#N/A,TRUE,"토적및재료집계";#N/A,#N/A,TRUE,"토적및재료집계";#N/A,#N/A,TRUE,"단위량"}</definedName>
    <definedName name="wrn.실행품의." localSheetId="1" hidden="1">{#N/A,#N/A,FALSE,"갑지";#N/A,#N/A,FALSE,"개요";#N/A,#N/A,FALSE,"비목별";#N/A,#N/A,FALSE,"건물별";#N/A,#N/A,FALSE,"기구표";#N/A,#N/A,FALSE,"직원투입"}</definedName>
    <definedName name="wrn.실행품의." localSheetId="2" hidden="1">{#N/A,#N/A,FALSE,"갑지";#N/A,#N/A,FALSE,"개요";#N/A,#N/A,FALSE,"비목별";#N/A,#N/A,FALSE,"건물별";#N/A,#N/A,FALSE,"기구표";#N/A,#N/A,FALSE,"직원투입"}</definedName>
    <definedName name="wrn.실행품의." localSheetId="8"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예상손익." localSheetId="1" hidden="1">{#N/A,#N/A,FALSE,"예상손익";#N/A,#N/A,FALSE,"관리분석";#N/A,#N/A,FALSE,"장비분석";#N/A,#N/A,FALSE,"준설분석";#N/A,#N/A,FALSE,"철구분석"}</definedName>
    <definedName name="wrn.예상손익." localSheetId="2" hidden="1">{#N/A,#N/A,FALSE,"예상손익";#N/A,#N/A,FALSE,"관리분석";#N/A,#N/A,FALSE,"장비분석";#N/A,#N/A,FALSE,"준설분석";#N/A,#N/A,FALSE,"철구분석"}</definedName>
    <definedName name="wrn.예상손익." localSheetId="8"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1" hidden="1">{#N/A,#N/A,FALSE,"신청통보";#N/A,#N/A,FALSE,"기성확인서";#N/A,#N/A,FALSE,"기성내역서"}</definedName>
    <definedName name="wrn.외주기성." localSheetId="2" hidden="1">{#N/A,#N/A,FALSE,"신청통보";#N/A,#N/A,FALSE,"기성확인서";#N/A,#N/A,FALSE,"기성내역서"}</definedName>
    <definedName name="wrn.외주기성." localSheetId="8" hidden="1">{#N/A,#N/A,FALSE,"신청통보";#N/A,#N/A,FALSE,"기성확인서";#N/A,#N/A,FALSE,"기성내역서"}</definedName>
    <definedName name="wrn.외주기성." hidden="1">{#N/A,#N/A,FALSE,"신청통보";#N/A,#N/A,FALSE,"기성확인서";#N/A,#N/A,FALSE,"기성내역서"}</definedName>
    <definedName name="wrn.운반시간." localSheetId="1" hidden="1">{#N/A,#N/A,FALSE,"운반시간"}</definedName>
    <definedName name="wrn.운반시간." localSheetId="2" hidden="1">{#N/A,#N/A,FALSE,"운반시간"}</definedName>
    <definedName name="wrn.운반시간." localSheetId="8" hidden="1">{#N/A,#N/A,FALSE,"운반시간"}</definedName>
    <definedName name="wrn.운반시간." hidden="1">{#N/A,#N/A,FALSE,"운반시간"}</definedName>
    <definedName name="wrn.이정표." localSheetId="1" hidden="1">{#N/A,#N/A,FALSE,"이정표"}</definedName>
    <definedName name="wrn.이정표." localSheetId="2" hidden="1">{#N/A,#N/A,FALSE,"이정표"}</definedName>
    <definedName name="wrn.이정표." localSheetId="8" hidden="1">{#N/A,#N/A,FALSE,"이정표"}</definedName>
    <definedName name="wrn.이정표." hidden="1">{#N/A,#N/A,FALSE,"이정표"}</definedName>
    <definedName name="wrn.이태원._.철근." localSheetId="1" hidden="1">{#N/A,#N/A,FALSE,"이태원철근"}</definedName>
    <definedName name="wrn.이태원._.철근." localSheetId="2" hidden="1">{#N/A,#N/A,FALSE,"이태원철근"}</definedName>
    <definedName name="wrn.이태원._.철근." localSheetId="8" hidden="1">{#N/A,#N/A,FALSE,"이태원철근"}</definedName>
    <definedName name="wrn.이태원._.철근." hidden="1">{#N/A,#N/A,FALSE,"이태원철근"}</definedName>
    <definedName name="wrn.전열선출서." localSheetId="1" hidden="1">{#N/A,#N/A,FALSE,"전열산출서"}</definedName>
    <definedName name="wrn.전열선출서." localSheetId="2" hidden="1">{#N/A,#N/A,FALSE,"전열산출서"}</definedName>
    <definedName name="wrn.전열선출서." localSheetId="8" hidden="1">{#N/A,#N/A,FALSE,"전열산출서"}</definedName>
    <definedName name="wrn.전열선출서." hidden="1">{#N/A,#N/A,FALSE,"전열산출서"}</definedName>
    <definedName name="wrn.조골재." localSheetId="1" hidden="1">{#N/A,#N/A,FALSE,"조골재"}</definedName>
    <definedName name="wrn.조골재." localSheetId="2" hidden="1">{#N/A,#N/A,FALSE,"조골재"}</definedName>
    <definedName name="wrn.조골재." localSheetId="8" hidden="1">{#N/A,#N/A,FALSE,"조골재"}</definedName>
    <definedName name="wrn.조골재." hidden="1">{#N/A,#N/A,FALSE,"조골재"}</definedName>
    <definedName name="wrn.종점1" localSheetId="1" hidden="1">{#N/A,#N/A,FALSE,"이정표"}</definedName>
    <definedName name="wrn.종점1" localSheetId="2" hidden="1">{#N/A,#N/A,FALSE,"이정표"}</definedName>
    <definedName name="wrn.종점1" localSheetId="8" hidden="1">{#N/A,#N/A,FALSE,"이정표"}</definedName>
    <definedName name="wrn.종점1" hidden="1">{#N/A,#N/A,FALSE,"이정표"}</definedName>
    <definedName name="wrn.주간보고." localSheetId="1" hidden="1">{#N/A,#N/A,FALSE,"주간공정";#N/A,#N/A,FALSE,"주간보고";#N/A,#N/A,FALSE,"주간공정표"}</definedName>
    <definedName name="wrn.주간보고." localSheetId="2" hidden="1">{#N/A,#N/A,FALSE,"주간공정";#N/A,#N/A,FALSE,"주간보고";#N/A,#N/A,FALSE,"주간공정표"}</definedName>
    <definedName name="wrn.주간보고." localSheetId="8" hidden="1">{#N/A,#N/A,FALSE,"주간공정";#N/A,#N/A,FALSE,"주간보고";#N/A,#N/A,FALSE,"주간공정표"}</definedName>
    <definedName name="wrn.주간보고." hidden="1">{#N/A,#N/A,FALSE,"주간공정";#N/A,#N/A,FALSE,"주간보고";#N/A,#N/A,FALSE,"주간공정표"}</definedName>
    <definedName name="wrn.중공업군포견적서." localSheetId="1" hidden="1">{#N/A,#N/A,FALSE,"견적갑지";#N/A,#N/A,FALSE,"총괄표";#N/A,#N/A,FALSE,"철골공사";#N/A,#N/A,FALSE,"토목공사";#N/A,#N/A,FALSE,"판넬전기공사"}</definedName>
    <definedName name="wrn.중공업군포견적서." localSheetId="2" hidden="1">{#N/A,#N/A,FALSE,"견적갑지";#N/A,#N/A,FALSE,"총괄표";#N/A,#N/A,FALSE,"철골공사";#N/A,#N/A,FALSE,"토목공사";#N/A,#N/A,FALSE,"판넬전기공사"}</definedName>
    <definedName name="wrn.중공업군포견적서." localSheetId="8" hidden="1">{#N/A,#N/A,FALSE,"견적갑지";#N/A,#N/A,FALSE,"총괄표";#N/A,#N/A,FALSE,"철골공사";#N/A,#N/A,FALSE,"토목공사";#N/A,#N/A,FALSE,"판넬전기공사"}</definedName>
    <definedName name="wrn.중공업군포견적서." hidden="1">{#N/A,#N/A,FALSE,"견적갑지";#N/A,#N/A,FALSE,"총괄표";#N/A,#N/A,FALSE,"철골공사";#N/A,#N/A,FALSE,"토목공사";#N/A,#N/A,FALSE,"판넬전기공사"}</definedName>
    <definedName name="wrn.지수1."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1" hidden="1">{#N/A,#N/A,FALSE,"품의서";#N/A,#N/A,FALSE,"견적실행대비분석표";#N/A,#N/A,FALSE,"공종별도급대비견적실행";#N/A,#N/A,FALSE,"외주공사 추정금액";#N/A,#N/A,FALSE,"공종별도급대비계약현황"}</definedName>
    <definedName name="wrn.진각빌딩." localSheetId="2" hidden="1">{#N/A,#N/A,FALSE,"품의서";#N/A,#N/A,FALSE,"견적실행대비분석표";#N/A,#N/A,FALSE,"공종별도급대비견적실행";#N/A,#N/A,FALSE,"외주공사 추정금액";#N/A,#N/A,FALSE,"공종별도급대비계약현황"}</definedName>
    <definedName name="wrn.진각빌딩." localSheetId="8"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localSheetId="1" hidden="1">{#N/A,#N/A,FALSE,"Sheet6"}</definedName>
    <definedName name="wrn.집기비품보고서._.품목별._.및._.현장별._.집계표." localSheetId="2" hidden="1">{#N/A,#N/A,FALSE,"Sheet6"}</definedName>
    <definedName name="wrn.집기비품보고서._.품목별._.및._.현장별._.집계표." localSheetId="8" hidden="1">{#N/A,#N/A,FALSE,"Sheet6"}</definedName>
    <definedName name="wrn.집기비품보고서._.품목별._.및._.현장별._.집계표." hidden="1">{#N/A,#N/A,FALSE,"Sheet6"}</definedName>
    <definedName name="wrn.철골집계표._.5칸." localSheetId="1" hidden="1">{#N/A,#N/A,FALSE,"Sheet1"}</definedName>
    <definedName name="wrn.철골집계표._.5칸." localSheetId="2" hidden="1">{#N/A,#N/A,FALSE,"Sheet1"}</definedName>
    <definedName name="wrn.철골집계표._.5칸." localSheetId="8" hidden="1">{#N/A,#N/A,FALSE,"Sheet1"}</definedName>
    <definedName name="wrn.철골집계표._.5칸." hidden="1">{#N/A,#N/A,FALSE,"Sheet1"}</definedName>
    <definedName name="wrn.토공1." localSheetId="1" hidden="1">{#N/A,#N/A,FALSE,"구조1"}</definedName>
    <definedName name="wrn.토공1." localSheetId="2" hidden="1">{#N/A,#N/A,FALSE,"구조1"}</definedName>
    <definedName name="wrn.토공1." localSheetId="8" hidden="1">{#N/A,#N/A,FALSE,"구조1"}</definedName>
    <definedName name="wrn.토공1." hidden="1">{#N/A,#N/A,FALSE,"구조1"}</definedName>
    <definedName name="wrn.토공2." localSheetId="1" hidden="1">{#N/A,#N/A,FALSE,"토공2"}</definedName>
    <definedName name="wrn.토공2." localSheetId="2" hidden="1">{#N/A,#N/A,FALSE,"토공2"}</definedName>
    <definedName name="wrn.토공2." localSheetId="8" hidden="1">{#N/A,#N/A,FALSE,"토공2"}</definedName>
    <definedName name="wrn.토공2." hidden="1">{#N/A,#N/A,FALSE,"토공2"}</definedName>
    <definedName name="wrn.통신지." localSheetId="1" hidden="1">{#N/A,#N/A,FALSE,"기안지";#N/A,#N/A,FALSE,"통신지"}</definedName>
    <definedName name="wrn.통신지." localSheetId="2" hidden="1">{#N/A,#N/A,FALSE,"기안지";#N/A,#N/A,FALSE,"통신지"}</definedName>
    <definedName name="wrn.통신지." localSheetId="8" hidden="1">{#N/A,#N/A,FALSE,"기안지";#N/A,#N/A,FALSE,"통신지"}</definedName>
    <definedName name="wrn.통신지." hidden="1">{#N/A,#N/A,FALSE,"기안지";#N/A,#N/A,FALSE,"통신지"}</definedName>
    <definedName name="wrn.포장1." localSheetId="1" hidden="1">{#N/A,#N/A,FALSE,"포장1";#N/A,#N/A,FALSE,"포장1"}</definedName>
    <definedName name="wrn.포장1." localSheetId="2" hidden="1">{#N/A,#N/A,FALSE,"포장1";#N/A,#N/A,FALSE,"포장1"}</definedName>
    <definedName name="wrn.포장1." localSheetId="8" hidden="1">{#N/A,#N/A,FALSE,"포장1";#N/A,#N/A,FALSE,"포장1"}</definedName>
    <definedName name="wrn.포장1." hidden="1">{#N/A,#N/A,FALSE,"포장1";#N/A,#N/A,FALSE,"포장1"}</definedName>
    <definedName name="wrn.포장2." localSheetId="1" hidden="1">{#N/A,#N/A,FALSE,"포장2"}</definedName>
    <definedName name="wrn.포장2." localSheetId="2" hidden="1">{#N/A,#N/A,FALSE,"포장2"}</definedName>
    <definedName name="wrn.포장2." localSheetId="8" hidden="1">{#N/A,#N/A,FALSE,"포장2"}</definedName>
    <definedName name="wrn.포장2." hidden="1">{#N/A,#N/A,FALSE,"포장2"}</definedName>
    <definedName name="wrn.포장단가." localSheetId="1" hidden="1">{#N/A,#N/A,FALSE,"포장단가"}</definedName>
    <definedName name="wrn.포장단가." localSheetId="2" hidden="1">{#N/A,#N/A,FALSE,"포장단가"}</definedName>
    <definedName name="wrn.포장단가." localSheetId="8" hidden="1">{#N/A,#N/A,FALSE,"포장단가"}</definedName>
    <definedName name="wrn.포장단가." hidden="1">{#N/A,#N/A,FALSE,"포장단가"}</definedName>
    <definedName name="wrn.표준공종단가."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1" hidden="1">{#N/A,#N/A,FALSE,"표지"}</definedName>
    <definedName name="wrn.표지." localSheetId="2" hidden="1">{#N/A,#N/A,FALSE,"표지"}</definedName>
    <definedName name="wrn.표지." localSheetId="8" hidden="1">{#N/A,#N/A,FALSE,"표지"}</definedName>
    <definedName name="wrn.표지." hidden="1">{#N/A,#N/A,FALSE,"표지"}</definedName>
    <definedName name="wrn.표지목차." localSheetId="1" hidden="1">{#N/A,#N/A,FALSE,"표지목차"}</definedName>
    <definedName name="wrn.표지목차." localSheetId="2" hidden="1">{#N/A,#N/A,FALSE,"표지목차"}</definedName>
    <definedName name="wrn.표지목차." localSheetId="8" hidden="1">{#N/A,#N/A,FALSE,"표지목차"}</definedName>
    <definedName name="wrn.표지목차." hidden="1">{#N/A,#N/A,FALSE,"표지목차"}</definedName>
    <definedName name="wrn.현장._.NCR._.분석." localSheetId="1"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localSheetId="8"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1" hidden="1">{#N/A,#N/A,FALSE,"혼합골재"}</definedName>
    <definedName name="wrn.혼합골재." localSheetId="2" hidden="1">{#N/A,#N/A,FALSE,"혼합골재"}</definedName>
    <definedName name="wrn.혼합골재." localSheetId="8" hidden="1">{#N/A,#N/A,FALSE,"혼합골재"}</definedName>
    <definedName name="wrn.혼합골재." hidden="1">{#N/A,#N/A,FALSE,"혼합골재"}</definedName>
    <definedName name="wrn_xoa2" localSheetId="1" hidden="1">{#N/A,#N/A,FALSE,"Chi tiÆt"}</definedName>
    <definedName name="wrn_xoa2" localSheetId="2" hidden="1">{#N/A,#N/A,FALSE,"Chi tiÆt"}</definedName>
    <definedName name="wrn_xoa2" localSheetId="8" hidden="1">{#N/A,#N/A,FALSE,"Chi tiÆt"}</definedName>
    <definedName name="wrn_xoa2" hidden="1">{#N/A,#N/A,FALSE,"Chi tiÆt"}</definedName>
    <definedName name="WRNE.CHARTS" localSheetId="1" hidden="1">{"Chart 1",#N/A,TRUE,"Charts";"Chart 2",#N/A,TRUE,"Charts"}</definedName>
    <definedName name="WRNE.CHARTS" localSheetId="2" hidden="1">{"Chart 1",#N/A,TRUE,"Charts";"Chart 2",#N/A,TRUE,"Charts"}</definedName>
    <definedName name="WRNE.CHARTS" localSheetId="8" hidden="1">{"Chart 1",#N/A,TRUE,"Charts";"Chart 2",#N/A,TRUE,"Charts"}</definedName>
    <definedName name="WRNE.CHARTS" hidden="1">{"Chart 1",#N/A,TRUE,"Charts";"Chart 2",#N/A,TRUE,"Charts"}</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1"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nf_xoa2" localSheetId="8"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localSheetId="1" hidden="1">{"'장비'!$A$3:$M$12"}</definedName>
    <definedName name="WRS" localSheetId="2" hidden="1">{"'장비'!$A$3:$M$12"}</definedName>
    <definedName name="WRS" localSheetId="8" hidden="1">{"'장비'!$A$3:$M$12"}</definedName>
    <definedName name="WRS" hidden="1">{"'장비'!$A$3:$M$12"}</definedName>
    <definedName name="WRTWE" localSheetId="1" hidden="1">{"'Sheet1'!$L$16"}</definedName>
    <definedName name="WRTWE" localSheetId="2" hidden="1">{"'Sheet1'!$L$16"}</definedName>
    <definedName name="WRTWE" localSheetId="8" hidden="1">{"'Sheet1'!$L$16"}</definedName>
    <definedName name="WRTWE" hidden="1">{"'Sheet1'!$L$16"}</definedName>
    <definedName name="wrty" localSheetId="1" hidden="1">{"'용역비'!$A$4:$C$8"}</definedName>
    <definedName name="wrty" localSheetId="2" hidden="1">{"'용역비'!$A$4:$C$8"}</definedName>
    <definedName name="wrty" localSheetId="8" hidden="1">{"'용역비'!$A$4:$C$8"}</definedName>
    <definedName name="wrty" hidden="1">{"'용역비'!$A$4:$C$8"}</definedName>
    <definedName name="wrtyrtyrt" localSheetId="1" hidden="1">{"'용역비'!$A$4:$C$8"}</definedName>
    <definedName name="wrtyrtyrt" localSheetId="2" hidden="1">{"'용역비'!$A$4:$C$8"}</definedName>
    <definedName name="wrtyrtyrt" localSheetId="8" hidden="1">{"'용역비'!$A$4:$C$8"}</definedName>
    <definedName name="wrtyrtyrt" hidden="1">{"'용역비'!$A$4:$C$8"}</definedName>
    <definedName name="wrtywrtywr" localSheetId="1" hidden="1">{"'용역비'!$A$4:$C$8"}</definedName>
    <definedName name="wrtywrtywr" localSheetId="2" hidden="1">{"'용역비'!$A$4:$C$8"}</definedName>
    <definedName name="wrtywrtywr" localSheetId="8" hidden="1">{"'용역비'!$A$4:$C$8"}</definedName>
    <definedName name="wrtywrtywr" hidden="1">{"'용역비'!$A$4:$C$8"}</definedName>
    <definedName name="WS" hidden="1">#REF!</definedName>
    <definedName name="wtwtwtew" localSheetId="1" hidden="1">#REF!</definedName>
    <definedName name="wtwtwtew" hidden="1">#REF!</definedName>
    <definedName name="wuy" localSheetId="1" hidden="1">{"'용역비'!$A$4:$C$8"}</definedName>
    <definedName name="wuy" localSheetId="2" hidden="1">{"'용역비'!$A$4:$C$8"}</definedName>
    <definedName name="wuy" localSheetId="8" hidden="1">{"'용역비'!$A$4:$C$8"}</definedName>
    <definedName name="wuy" hidden="1">{"'용역비'!$A$4:$C$8"}</definedName>
    <definedName name="wvu.박경희."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1" hidden="1">{"'Sheet1'!$L$16"}</definedName>
    <definedName name="ww" localSheetId="2" hidden="1">{"'Sheet1'!$L$16"}</definedName>
    <definedName name="ww" localSheetId="8" hidden="1">{"'Sheet1'!$L$16"}</definedName>
    <definedName name="ww" hidden="1">{"'Sheet1'!$L$16"}</definedName>
    <definedName name="WWF" localSheetId="1" hidden="1">{"'Sheet1'!$L$16"}</definedName>
    <definedName name="WWF" localSheetId="2" hidden="1">{"'Sheet1'!$L$16"}</definedName>
    <definedName name="WWF" localSheetId="8" hidden="1">{"'Sheet1'!$L$16"}</definedName>
    <definedName name="WWF" hidden="1">{"'Sheet1'!$L$16"}</definedName>
    <definedName name="wwhwhwrh" localSheetId="1" hidden="1">{"'Sheet1'!$L$16"}</definedName>
    <definedName name="wwhwhwrh" localSheetId="2" hidden="1">{"'Sheet1'!$L$16"}</definedName>
    <definedName name="wwhwhwrh" localSheetId="8" hidden="1">{"'Sheet1'!$L$16"}</definedName>
    <definedName name="wwhwhwrh" hidden="1">{"'Sheet1'!$L$16"}</definedName>
    <definedName name="www" localSheetId="1" hidden="1">{"ECA Qtrs C",#N/A,TRUE,"ECA_Qtrs_C";"ECA Qtrs D",#N/A,TRUE,"ECA_Qtrs_D";"ECA Qtrs F",#N/A,TRUE,"ECA_Qtrs_F";"ECA Qtrs G",#N/A,TRUE,"ECA_Qtrs_G";"ECA SisterApt",#N/A,TRUE,"ECA_SisterApt";"ECA Nurses",#N/A,TRUE,"ECA_NursesHostel"}</definedName>
    <definedName name="www" localSheetId="2" hidden="1">{"ECA Qtrs C",#N/A,TRUE,"ECA_Qtrs_C";"ECA Qtrs D",#N/A,TRUE,"ECA_Qtrs_D";"ECA Qtrs F",#N/A,TRUE,"ECA_Qtrs_F";"ECA Qtrs G",#N/A,TRUE,"ECA_Qtrs_G";"ECA SisterApt",#N/A,TRUE,"ECA_SisterApt";"ECA Nurses",#N/A,TRUE,"ECA_NursesHostel"}</definedName>
    <definedName name="www" localSheetId="8"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ww_1" localSheetId="1"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_1" localSheetId="8"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localSheetId="1" hidden="1">{"'Sheet1'!$L$16"}</definedName>
    <definedName name="wwwrwee" localSheetId="2" hidden="1">{"'Sheet1'!$L$16"}</definedName>
    <definedName name="wwwrwee" localSheetId="8" hidden="1">{"'Sheet1'!$L$16"}</definedName>
    <definedName name="wwwrwee" hidden="1">{"'Sheet1'!$L$16"}</definedName>
    <definedName name="WWWW" localSheetId="1" hidden="1">{"'Sheet1'!$L$16"}</definedName>
    <definedName name="WWWW" localSheetId="2" hidden="1">{"'Sheet1'!$L$16"}</definedName>
    <definedName name="WWWW" localSheetId="8" hidden="1">{"'Sheet1'!$L$16"}</definedName>
    <definedName name="WWWW" hidden="1">{"'Sheet1'!$L$16"}</definedName>
    <definedName name="wwwwwww" localSheetId="1" hidden="1">{"Offgrid",#N/A,FALSE,"OFFGRID";"Region",#N/A,FALSE,"REGION";"Offgrid -2",#N/A,FALSE,"OFFGRID";"WTP",#N/A,FALSE,"WTP";"WTP -2",#N/A,FALSE,"WTP";"Project",#N/A,FALSE,"PROJECT";"Summary -2",#N/A,FALSE,"SUMMARY"}</definedName>
    <definedName name="wwwwwww" localSheetId="2" hidden="1">{"Offgrid",#N/A,FALSE,"OFFGRID";"Region",#N/A,FALSE,"REGION";"Offgrid -2",#N/A,FALSE,"OFFGRID";"WTP",#N/A,FALSE,"WTP";"WTP -2",#N/A,FALSE,"WTP";"Project",#N/A,FALSE,"PROJECT";"Summary -2",#N/A,FALSE,"SUMMARY"}</definedName>
    <definedName name="wwwwwww" localSheetId="8"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WWWWWWWWWW" hidden="1">#REF!</definedName>
    <definedName name="x"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localSheetId="1" hidden="1">#REF!</definedName>
    <definedName name="XCB" hidden="1">#REF!</definedName>
    <definedName name="xcccccccccccccccccccccccc" localSheetId="1" hidden="1">{"'Sheet1'!$L$16"}</definedName>
    <definedName name="xcccccccccccccccccccccccc" localSheetId="2" hidden="1">{"'Sheet1'!$L$16"}</definedName>
    <definedName name="xcccccccccccccccccccccccc" localSheetId="8" hidden="1">{"'Sheet1'!$L$16"}</definedName>
    <definedName name="xcccccccccccccccccccccccc" hidden="1">{"'Sheet1'!$L$16"}</definedName>
    <definedName name="XCCT">0.5</definedName>
    <definedName name="xcfgdfg" hidden="1">#REF!</definedName>
    <definedName name="xcvc" hidden="1">#REF!</definedName>
    <definedName name="XDKT" localSheetId="1" hidden="1">{"NGUYEN QUI THIEP - Personal View",#N/A,FALSE,"XDCB.HT.FUR."}</definedName>
    <definedName name="XDKT" localSheetId="2" hidden="1">{"NGUYEN QUI THIEP - Personal View",#N/A,FALSE,"XDCB.HT.FUR."}</definedName>
    <definedName name="XDKT" localSheetId="8" hidden="1">{"NGUYEN QUI THIEP - Personal View",#N/A,FALSE,"XDCB.HT.FUR."}</definedName>
    <definedName name="XDKT" hidden="1">{"NGUYEN QUI THIEP - Personal View",#N/A,FALSE,"XDCB.HT.FUR."}</definedName>
    <definedName name="xf" localSheetId="1" hidden="1">{#N/A,#N/A,FALSE,"Sheet6"}</definedName>
    <definedName name="xf" localSheetId="2" hidden="1">{#N/A,#N/A,FALSE,"Sheet6"}</definedName>
    <definedName name="xf" localSheetId="8" hidden="1">{#N/A,#N/A,FALSE,"Sheet6"}</definedName>
    <definedName name="xf" hidden="1">{#N/A,#N/A,FALSE,"Sheet6"}</definedName>
    <definedName name="XFBDSBSB" localSheetId="1" hidden="1">{"'Sheet1'!$L$16"}</definedName>
    <definedName name="XFBDSBSB" localSheetId="2" hidden="1">{"'Sheet1'!$L$16"}</definedName>
    <definedName name="XFBDSBSB" localSheetId="8" hidden="1">{"'Sheet1'!$L$16"}</definedName>
    <definedName name="XFBDSBSB" hidden="1">{"'Sheet1'!$L$16"}</definedName>
    <definedName name="XFHGHTD" localSheetId="1" hidden="1">{"'Sheet1'!$L$16"}</definedName>
    <definedName name="XFHGHTD" localSheetId="2" hidden="1">{"'Sheet1'!$L$16"}</definedName>
    <definedName name="XFHGHTD" localSheetId="8" hidden="1">{"'Sheet1'!$L$16"}</definedName>
    <definedName name="XFHGHTD" hidden="1">{"'Sheet1'!$L$16"}</definedName>
    <definedName name="xls." localSheetId="1" hidden="1">{"'Break down'!$A$4"}</definedName>
    <definedName name="xls." localSheetId="2" hidden="1">{"'Break down'!$A$4"}</definedName>
    <definedName name="xls." localSheetId="8" hidden="1">{"'Break down'!$A$4"}</definedName>
    <definedName name="xls." hidden="1">{"'Break down'!$A$4"}</definedName>
    <definedName name="xlttbninh" localSheetId="1" hidden="1">{"'Sheet1'!$L$16"}</definedName>
    <definedName name="xlttbninh" localSheetId="2" hidden="1">{"'Sheet1'!$L$16"}</definedName>
    <definedName name="xlttbninh" localSheetId="8" hidden="1">{"'Sheet1'!$L$16"}</definedName>
    <definedName name="xlttbninh" hidden="1">{"'Sheet1'!$L$16"}</definedName>
    <definedName name="XN908nam2003" localSheetId="1" hidden="1">{"'Sheet1'!$L$16"}</definedName>
    <definedName name="XN908nam2003" localSheetId="2" hidden="1">{"'Sheet1'!$L$16"}</definedName>
    <definedName name="XN908nam2003" localSheetId="8" hidden="1">{"'Sheet1'!$L$16"}</definedName>
    <definedName name="XN908nam2003" hidden="1">{"'Sheet1'!$L$16"}</definedName>
    <definedName name="xoa1" localSheetId="1" hidden="1">{"'Sheet1'!$L$16"}</definedName>
    <definedName name="xoa1" localSheetId="2" hidden="1">{"'Sheet1'!$L$16"}</definedName>
    <definedName name="xoa1" localSheetId="8" hidden="1">{"'Sheet1'!$L$16"}</definedName>
    <definedName name="xoa1" hidden="1">{"'Sheet1'!$L$16"}</definedName>
    <definedName name="xoa1_1" localSheetId="1" hidden="1">{"'Sheet1'!$L$16"}</definedName>
    <definedName name="xoa1_1" localSheetId="2" hidden="1">{"'Sheet1'!$L$16"}</definedName>
    <definedName name="xoa1_1" localSheetId="8" hidden="1">{"'Sheet1'!$L$16"}</definedName>
    <definedName name="xoa1_1" hidden="1">{"'Sheet1'!$L$16"}</definedName>
    <definedName name="xoa2" localSheetId="1" hidden="1">{#N/A,#N/A,FALSE,"Chi tiÆt"}</definedName>
    <definedName name="xoa2" localSheetId="2" hidden="1">{#N/A,#N/A,FALSE,"Chi tiÆt"}</definedName>
    <definedName name="xoa2" localSheetId="8" hidden="1">{#N/A,#N/A,FALSE,"Chi tiÆt"}</definedName>
    <definedName name="xoa2" hidden="1">{#N/A,#N/A,FALSE,"Chi tiÆt"}</definedName>
    <definedName name="xoa3" localSheetId="1" hidden="1">{"Offgrid",#N/A,FALSE,"OFFGRID";"Region",#N/A,FALSE,"REGION";"Offgrid -2",#N/A,FALSE,"OFFGRID";"WTP",#N/A,FALSE,"WTP";"WTP -2",#N/A,FALSE,"WTP";"Project",#N/A,FALSE,"PROJECT";"Summary -2",#N/A,FALSE,"SUMMARY"}</definedName>
    <definedName name="xoa3" localSheetId="2" hidden="1">{"Offgrid",#N/A,FALSE,"OFFGRID";"Region",#N/A,FALSE,"REGION";"Offgrid -2",#N/A,FALSE,"OFFGRID";"WTP",#N/A,FALSE,"WTP";"WTP -2",#N/A,FALSE,"WTP";"Project",#N/A,FALSE,"PROJECT";"Summary -2",#N/A,FALSE,"SUMMARY"}</definedName>
    <definedName name="xoa3" localSheetId="8"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1"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oa4" localSheetId="8"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localSheetId="1" hidden="1">{"'Sheet1'!$L$16"}</definedName>
    <definedName name="xscxz" localSheetId="2" hidden="1">{"'Sheet1'!$L$16"}</definedName>
    <definedName name="xscxz" localSheetId="8" hidden="1">{"'Sheet1'!$L$16"}</definedName>
    <definedName name="xscxz" hidden="1">{"'Sheet1'!$L$16"}</definedName>
    <definedName name="xu" localSheetId="1" hidden="1">{#N/A,#N/A,FALSE,"Chi tiÆt"}</definedName>
    <definedName name="xu" localSheetId="2" hidden="1">{#N/A,#N/A,FALSE,"Chi tiÆt"}</definedName>
    <definedName name="xu" localSheetId="8" hidden="1">{#N/A,#N/A,FALSE,"Chi tiÆt"}</definedName>
    <definedName name="xu" hidden="1">{#N/A,#N/A,FALSE,"Chi tiÆt"}</definedName>
    <definedName name="XuÊt8" localSheetId="1" hidden="1">{"'Sheet1'!$L$16"}</definedName>
    <definedName name="XuÊt8" localSheetId="2" hidden="1">{"'Sheet1'!$L$16"}</definedName>
    <definedName name="XuÊt8" localSheetId="8" hidden="1">{"'Sheet1'!$L$16"}</definedName>
    <definedName name="XuÊt8" hidden="1">{"'Sheet1'!$L$16"}</definedName>
    <definedName name="xvxcvxc" localSheetId="1" hidden="1">{"'Sheet1'!$L$16"}</definedName>
    <definedName name="xvxcvxc" localSheetId="2" hidden="1">{"'Sheet1'!$L$16"}</definedName>
    <definedName name="xvxcvxc" localSheetId="8" hidden="1">{"'Sheet1'!$L$16"}</definedName>
    <definedName name="xvxcvxc" hidden="1">{"'Sheet1'!$L$16"}</definedName>
    <definedName name="XVXZ" localSheetId="1" hidden="1">{"'Sheet1'!$L$16"}</definedName>
    <definedName name="XVXZ" localSheetId="2" hidden="1">{"'Sheet1'!$L$16"}</definedName>
    <definedName name="XVXZ" localSheetId="8" hidden="1">{"'Sheet1'!$L$16"}</definedName>
    <definedName name="XVXZ" hidden="1">{"'Sheet1'!$L$16"}</definedName>
    <definedName name="xx" localSheetId="1" hidden="1">#REF!</definedName>
    <definedName name="xx" hidden="1">#REF!</definedName>
    <definedName name="xxx" localSheetId="1" hidden="1">{"'Sheet1'!$L$16"}</definedName>
    <definedName name="xxx" localSheetId="2" hidden="1">{"'Sheet1'!$L$16"}</definedName>
    <definedName name="xxx" localSheetId="8" hidden="1">{"'Sheet1'!$L$16"}</definedName>
    <definedName name="xxx" hidden="1">{"'Sheet1'!$L$16"}</definedName>
    <definedName name="XXXAAAA" localSheetId="1" hidden="1">{"'Sheet1'!$L$16"}</definedName>
    <definedName name="XXXAAAA" localSheetId="2" hidden="1">{"'Sheet1'!$L$16"}</definedName>
    <definedName name="XXXAAAA" localSheetId="8" hidden="1">{"'Sheet1'!$L$16"}</definedName>
    <definedName name="XXXAAAA" hidden="1">{"'Sheet1'!$L$16"}</definedName>
    <definedName name="XXXAAAA_1" localSheetId="1" hidden="1">{"'Sheet1'!$L$16"}</definedName>
    <definedName name="XXXAAAA_1" localSheetId="2" hidden="1">{"'Sheet1'!$L$16"}</definedName>
    <definedName name="XXXAAAA_1" localSheetId="8" hidden="1">{"'Sheet1'!$L$16"}</definedName>
    <definedName name="XXXAAAA_1" hidden="1">{"'Sheet1'!$L$16"}</definedName>
    <definedName name="ｘｘｘｘ" localSheetId="1" hidden="1">{"'Sheet1'!$L$16"}</definedName>
    <definedName name="ｘｘｘｘ" localSheetId="2" hidden="1">{"'Sheet1'!$L$16"}</definedName>
    <definedName name="ｘｘｘｘ" localSheetId="8" hidden="1">{"'Sheet1'!$L$16"}</definedName>
    <definedName name="ｘｘｘｘ" hidden="1">{"'Sheet1'!$L$16"}</definedName>
    <definedName name="ｘｘｘｘｘ" localSheetId="1" hidden="1">{"'Sheet1'!$L$16"}</definedName>
    <definedName name="ｘｘｘｘｘ" localSheetId="2" hidden="1">{"'Sheet1'!$L$16"}</definedName>
    <definedName name="ｘｘｘｘｘ" localSheetId="8" hidden="1">{"'Sheet1'!$L$16"}</definedName>
    <definedName name="ｘｘｘｘｘ" hidden="1">{"'Sheet1'!$L$16"}</definedName>
    <definedName name="xxxxxxx" localSheetId="1" hidden="1">{#N/A,#N/A,FALSE,"MARCH"}</definedName>
    <definedName name="xxxxxxx" localSheetId="2" hidden="1">{#N/A,#N/A,FALSE,"MARCH"}</definedName>
    <definedName name="xxxxxxx" localSheetId="8" hidden="1">{#N/A,#N/A,FALSE,"MARCH"}</definedName>
    <definedName name="xxxxxxx" hidden="1">{#N/A,#N/A,FALSE,"MARCH"}</definedName>
    <definedName name="y" localSheetId="1" hidden="1">{#N/A,#N/A,FALSE,"Chi tiÆt"}</definedName>
    <definedName name="y" localSheetId="2" hidden="1">{#N/A,#N/A,FALSE,"Chi tiÆt"}</definedName>
    <definedName name="y" localSheetId="8" hidden="1">{#N/A,#N/A,FALSE,"Chi tiÆt"}</definedName>
    <definedName name="y" hidden="1">{#N/A,#N/A,FALSE,"Chi tiÆt"}</definedName>
    <definedName name="ỵ" localSheetId="1" hidden="1">{"'Sheet1'!$L$16"}</definedName>
    <definedName name="ỵ" localSheetId="2" hidden="1">{"'Sheet1'!$L$16"}</definedName>
    <definedName name="ỵ" localSheetId="8" hidden="1">{"'Sheet1'!$L$16"}</definedName>
    <definedName name="ỵ" hidden="1">{"'Sheet1'!$L$16"}</definedName>
    <definedName name="y5ey3y33y3" localSheetId="1" hidden="1">{#N/A,#N/A,FALSE,"Chi tiÆt"}</definedName>
    <definedName name="y5ey3y33y3" localSheetId="2" hidden="1">{#N/A,#N/A,FALSE,"Chi tiÆt"}</definedName>
    <definedName name="y5ey3y33y3" localSheetId="8" hidden="1">{#N/A,#N/A,FALSE,"Chi tiÆt"}</definedName>
    <definedName name="y5ey3y33y3" hidden="1">{#N/A,#N/A,FALSE,"Chi tiÆt"}</definedName>
    <definedName name="Y5T45" localSheetId="1" hidden="1">{"'Sheet1'!$L$16"}</definedName>
    <definedName name="Y5T45" localSheetId="2" hidden="1">{"'Sheet1'!$L$16"}</definedName>
    <definedName name="Y5T45" localSheetId="8" hidden="1">{"'Sheet1'!$L$16"}</definedName>
    <definedName name="Y5T45" hidden="1">{"'Sheet1'!$L$16"}</definedName>
    <definedName name="y6ytyjtyjytjtyj" hidden="1">#REF!</definedName>
    <definedName name="yans" hidden="1">#REF!</definedName>
    <definedName name="ỳdhgg" localSheetId="1" hidden="1">{"'Sheet1'!$L$16"}</definedName>
    <definedName name="ỳdhgg" localSheetId="2" hidden="1">{"'Sheet1'!$L$16"}</definedName>
    <definedName name="ỳdhgg" localSheetId="8" hidden="1">{"'Sheet1'!$L$16"}</definedName>
    <definedName name="ỳdhgg" hidden="1">{"'Sheet1'!$L$16"}</definedName>
    <definedName name="ýenda" localSheetId="1" hidden="1">{"'Sheet1'!$L$16"}</definedName>
    <definedName name="ýenda" localSheetId="2" hidden="1">{"'Sheet1'!$L$16"}</definedName>
    <definedName name="ýenda" localSheetId="8" hidden="1">{"'Sheet1'!$L$16"}</definedName>
    <definedName name="ýenda" hidden="1">{"'Sheet1'!$L$16"}</definedName>
    <definedName name="yeryewy3" localSheetId="1" hidden="1">{#N/A,#N/A,TRUE,"1";#N/A,#N/A,TRUE,"2";#N/A,#N/A,TRUE,"3";#N/A,#N/A,TRUE,"4";#N/A,#N/A,TRUE,"5";#N/A,#N/A,TRUE,"6";#N/A,#N/A,TRUE,"7"}</definedName>
    <definedName name="yeryewy3" localSheetId="2" hidden="1">{#N/A,#N/A,TRUE,"1";#N/A,#N/A,TRUE,"2";#N/A,#N/A,TRUE,"3";#N/A,#N/A,TRUE,"4";#N/A,#N/A,TRUE,"5";#N/A,#N/A,TRUE,"6";#N/A,#N/A,TRUE,"7"}</definedName>
    <definedName name="yeryewy3" localSheetId="8" hidden="1">{#N/A,#N/A,TRUE,"1";#N/A,#N/A,TRUE,"2";#N/A,#N/A,TRUE,"3";#N/A,#N/A,TRUE,"4";#N/A,#N/A,TRUE,"5";#N/A,#N/A,TRUE,"6";#N/A,#N/A,TRUE,"7"}</definedName>
    <definedName name="yeryewy3" hidden="1">{#N/A,#N/A,TRUE,"1";#N/A,#N/A,TRUE,"2";#N/A,#N/A,TRUE,"3";#N/A,#N/A,TRUE,"4";#N/A,#N/A,TRUE,"5";#N/A,#N/A,TRUE,"6";#N/A,#N/A,TRUE,"7"}</definedName>
    <definedName name="yeyegf" hidden="1">#REF!</definedName>
    <definedName name="YFU" localSheetId="1" hidden="1">{"'용역비'!$A$4:$C$8"}</definedName>
    <definedName name="YFU" localSheetId="2" hidden="1">{"'용역비'!$A$4:$C$8"}</definedName>
    <definedName name="YFU" localSheetId="8" hidden="1">{"'용역비'!$A$4:$C$8"}</definedName>
    <definedName name="YFU" hidden="1">{"'용역비'!$A$4:$C$8"}</definedName>
    <definedName name="yheryey" hidden="1">#REF!</definedName>
    <definedName name="yhetyt"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1" hidden="1">{"'Sheet1'!$L$16"}</definedName>
    <definedName name="YI7I" localSheetId="2" hidden="1">{"'Sheet1'!$L$16"}</definedName>
    <definedName name="YI7I" localSheetId="8" hidden="1">{"'Sheet1'!$L$16"}</definedName>
    <definedName name="YI7I" hidden="1">{"'Sheet1'!$L$16"}</definedName>
    <definedName name="yidti" localSheetId="1" hidden="1">{"'Sheet1'!$L$16"}</definedName>
    <definedName name="yidti" localSheetId="2" hidden="1">{"'Sheet1'!$L$16"}</definedName>
    <definedName name="yidti" localSheetId="8" hidden="1">{"'Sheet1'!$L$16"}</definedName>
    <definedName name="yidti" hidden="1">{"'Sheet1'!$L$16"}</definedName>
    <definedName name="YSY" localSheetId="1" hidden="1">{#N/A,#N/A,FALSE,"Sheet2";#N/A,#N/A,FALSE,"Sheet4";#N/A,#N/A,FALSE,"Sheet6"}</definedName>
    <definedName name="YSY" localSheetId="2" hidden="1">{#N/A,#N/A,FALSE,"Sheet2";#N/A,#N/A,FALSE,"Sheet4";#N/A,#N/A,FALSE,"Sheet6"}</definedName>
    <definedName name="YSY" localSheetId="8" hidden="1">{#N/A,#N/A,FALSE,"Sheet2";#N/A,#N/A,FALSE,"Sheet4";#N/A,#N/A,FALSE,"Sheet6"}</definedName>
    <definedName name="YSY" hidden="1">{#N/A,#N/A,FALSE,"Sheet2";#N/A,#N/A,FALSE,"Sheet4";#N/A,#N/A,FALSE,"Sheet6"}</definedName>
    <definedName name="yteye5y" localSheetId="1" hidden="1">{"'Sheet1'!$L$16"}</definedName>
    <definedName name="yteye5y" localSheetId="2" hidden="1">{"'Sheet1'!$L$16"}</definedName>
    <definedName name="yteye5y" localSheetId="8" hidden="1">{"'Sheet1'!$L$16"}</definedName>
    <definedName name="yteye5y" hidden="1">{"'Sheet1'!$L$16"}</definedName>
    <definedName name="YTJTY" localSheetId="1" hidden="1">{0,0,0,0}</definedName>
    <definedName name="YTJTY" localSheetId="2" hidden="1">{0,0,0,0}</definedName>
    <definedName name="YTJTY" localSheetId="8" hidden="1">{0,0,0,0}</definedName>
    <definedName name="YTJTY" hidden="1">{0,0,0,0}</definedName>
    <definedName name="YTYT" localSheetId="1" hidden="1">{"'Sheet1'!$L$16"}</definedName>
    <definedName name="YTYT" localSheetId="2" hidden="1">{"'Sheet1'!$L$16"}</definedName>
    <definedName name="YTYT" localSheetId="8" hidden="1">{"'Sheet1'!$L$16"}</definedName>
    <definedName name="YTYT" hidden="1">{"'Sheet1'!$L$16"}</definedName>
    <definedName name="ytrytwyt" hidden="1">#REF!</definedName>
    <definedName name="yu" localSheetId="1" hidden="1">{"'용역비'!$A$4:$C$8"}</definedName>
    <definedName name="yu" localSheetId="2" hidden="1">{#N/A,#N/A,FALSE,"Sheet6"}</definedName>
    <definedName name="yu" localSheetId="8" hidden="1">{#N/A,#N/A,FALSE,"Sheet6"}</definedName>
    <definedName name="yu" hidden="1">{#N/A,#N/A,FALSE,"Sheet6"}</definedName>
    <definedName name="ỵu" localSheetId="1" hidden="1">{"'Sheet1'!$L$16"}</definedName>
    <definedName name="ỵu" localSheetId="2" hidden="1">{"'Sheet1'!$L$16"}</definedName>
    <definedName name="ỵu" localSheetId="8" hidden="1">{"'Sheet1'!$L$16"}</definedName>
    <definedName name="ỵu" hidden="1">{"'Sheet1'!$L$16"}</definedName>
    <definedName name="yuj" localSheetId="1" hidden="1">{#N/A,#N/A,TRUE,"1";#N/A,#N/A,TRUE,"2";#N/A,#N/A,TRUE,"3";#N/A,#N/A,TRUE,"4";#N/A,#N/A,TRUE,"5";#N/A,#N/A,TRUE,"6";#N/A,#N/A,TRUE,"7"}</definedName>
    <definedName name="yuj" localSheetId="2" hidden="1">{#N/A,#N/A,TRUE,"1";#N/A,#N/A,TRUE,"2";#N/A,#N/A,TRUE,"3";#N/A,#N/A,TRUE,"4";#N/A,#N/A,TRUE,"5";#N/A,#N/A,TRUE,"6";#N/A,#N/A,TRUE,"7"}</definedName>
    <definedName name="yuj" localSheetId="8" hidden="1">{#N/A,#N/A,TRUE,"1";#N/A,#N/A,TRUE,"2";#N/A,#N/A,TRUE,"3";#N/A,#N/A,TRUE,"4";#N/A,#N/A,TRUE,"5";#N/A,#N/A,TRUE,"6";#N/A,#N/A,TRUE,"7"}</definedName>
    <definedName name="yuj" hidden="1">{#N/A,#N/A,TRUE,"1";#N/A,#N/A,TRUE,"2";#N/A,#N/A,TRUE,"3";#N/A,#N/A,TRUE,"4";#N/A,#N/A,TRUE,"5";#N/A,#N/A,TRUE,"6";#N/A,#N/A,TRUE,"7"}</definedName>
    <definedName name="YUK" localSheetId="1" hidden="1">{"'용역비'!$A$4:$C$8"}</definedName>
    <definedName name="YUK" localSheetId="2" hidden="1">{"'용역비'!$A$4:$C$8"}</definedName>
    <definedName name="YUK" localSheetId="8" hidden="1">{"'용역비'!$A$4:$C$8"}</definedName>
    <definedName name="YUK" hidden="1">{"'용역비'!$A$4:$C$8"}</definedName>
    <definedName name="yuo" localSheetId="1" hidden="1">#REF!</definedName>
    <definedName name="yuo" hidden="1">#REF!</definedName>
    <definedName name="YUTY" localSheetId="1" hidden="1">{#N/A,#N/A,FALSE,"Sheet6"}</definedName>
    <definedName name="YUTY" localSheetId="2" hidden="1">{#N/A,#N/A,FALSE,"Sheet6"}</definedName>
    <definedName name="YUTY" localSheetId="8" hidden="1">{#N/A,#N/A,FALSE,"Sheet6"}</definedName>
    <definedName name="YUTY" hidden="1">{#N/A,#N/A,FALSE,"Sheet6"}</definedName>
    <definedName name="yuyu" hidden="1">#REF!</definedName>
    <definedName name="yy" localSheetId="1" hidden="1">{"'장비'!$A$3:$M$12"}</definedName>
    <definedName name="yy" localSheetId="2" hidden="1">{"'장비'!$A$3:$M$12"}</definedName>
    <definedName name="yy" localSheetId="8" hidden="1">{"'장비'!$A$3:$M$12"}</definedName>
    <definedName name="yy" hidden="1">{"'장비'!$A$3:$M$12"}</definedName>
    <definedName name="yyiiyff" localSheetId="1" hidden="1">{#N/A,#N/A,FALSE,"Chi tiÆt"}</definedName>
    <definedName name="yyiiyff" localSheetId="2" hidden="1">{#N/A,#N/A,FALSE,"Chi tiÆt"}</definedName>
    <definedName name="yyiiyff" localSheetId="8" hidden="1">{#N/A,#N/A,FALSE,"Chi tiÆt"}</definedName>
    <definedName name="yyiiyff" hidden="1">{#N/A,#N/A,FALSE,"Chi tiÆt"}</definedName>
    <definedName name="yyjy_ukyu" localSheetId="1" hidden="1">{"'Sheet1'!$L$16"}</definedName>
    <definedName name="yyjy_ukyu" localSheetId="2" hidden="1">{"'Sheet1'!$L$16"}</definedName>
    <definedName name="yyjy_ukyu" localSheetId="8" hidden="1">{"'Sheet1'!$L$16"}</definedName>
    <definedName name="yyjy_ukyu" hidden="1">{"'Sheet1'!$L$16"}</definedName>
    <definedName name="ｙｙｙ" localSheetId="1" hidden="1">{"'Sheet1'!$L$16"}</definedName>
    <definedName name="ｙｙｙ" localSheetId="2" hidden="1">{"'Sheet1'!$L$16"}</definedName>
    <definedName name="ｙｙｙ" localSheetId="8" hidden="1">{"'Sheet1'!$L$16"}</definedName>
    <definedName name="ｙｙｙ" hidden="1">{"'Sheet1'!$L$16"}</definedName>
    <definedName name="yyyyy" localSheetId="1" hidden="1">{#N/A,#N/A,FALSE,"이정표"}</definedName>
    <definedName name="yyyyy" localSheetId="2" hidden="1">{#N/A,#N/A,FALSE,"이정표"}</definedName>
    <definedName name="yyyyy" localSheetId="8" hidden="1">{#N/A,#N/A,FALSE,"이정표"}</definedName>
    <definedName name="yyyyy" hidden="1">{#N/A,#N/A,FALSE,"이정표"}</definedName>
    <definedName name="z"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localSheetId="1" hidden="1">#REF!</definedName>
    <definedName name="Z_2BD578FA_E2CB_4B2F_9A88_B148DA6298A5_.wvu.Cols" hidden="1">#REF!</definedName>
    <definedName name="Z_2BD578FA_E2CB_4B2F_9A88_B148DA6298A5_.wvu.PrintArea" localSheetId="1"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localSheetId="1" hidden="1">#REF!</definedName>
    <definedName name="Z_34C0C8AA_9BC3_4A78_9228_AE85C8ADF7C6_.wvu.FilterData" hidden="1">#REF!</definedName>
    <definedName name="Z_72DD4656_1744_4810_9216_EE94B454CFAE_.wvu.FilterData" localSheetId="1" hidden="1">'Bill 01 - Prelims'!$A$8:$H$177</definedName>
    <definedName name="Z_72DD4656_1744_4810_9216_EE94B454CFAE_.wvu.PrintArea" localSheetId="1" hidden="1">'Bill 01 - Prelims'!$B$1:$H$178</definedName>
    <definedName name="Z_72DD4656_1744_4810_9216_EE94B454CFAE_.wvu.PrintTitles" localSheetId="1" hidden="1">'Bill 01 - Prelims'!$1:$8</definedName>
    <definedName name="Z_72DD4656_1744_4810_9216_EE94B454CFAE_.wvu.Rows" localSheetId="1" hidden="1">'Bill 01 - Prelims'!#REF!</definedName>
    <definedName name="Z_960DA1A4_DDD4_4373_B004_C30EC6359504_.wvu.FilterData" localSheetId="1" hidden="1">#REF!</definedName>
    <definedName name="Z_960DA1A4_DDD4_4373_B004_C30EC6359504_.wvu.FilterData" hidden="1">#REF!</definedName>
    <definedName name="Z_A980B765_13D2_11D1_A0FF_444553540000_.wvu.PrintArea" localSheetId="1"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localSheetId="1" hidden="1">#REF!,#REF!</definedName>
    <definedName name="Z_D8D03CC4_369C_11D3_9399_00C04F6E6CE6_.wvu.Rows" hidden="1">#REF!,#REF!</definedName>
    <definedName name="Z_F6AB6A24_E5D5_11D3_B573_00104BA1686B_.wvu.Cols" hidden="1">#REF!,#REF!,#REF!</definedName>
    <definedName name="Z_F837FE5F_922A_4C77_A2EF_C2AA13B30CB5_.wvu.FilterData" localSheetId="1" hidden="1">'Bill 01 - Prelims'!$A$8:$H$177</definedName>
    <definedName name="Z_F837FE5F_922A_4C77_A2EF_C2AA13B30CB5_.wvu.PrintArea" localSheetId="1" hidden="1">'Bill 01 - Prelims'!$B$1:$H$178</definedName>
    <definedName name="Z_F837FE5F_922A_4C77_A2EF_C2AA13B30CB5_.wvu.PrintTitles" localSheetId="1" hidden="1">'Bill 01 - Prelims'!$1:$8</definedName>
    <definedName name="Z_F837FE5F_922A_4C77_A2EF_C2AA13B30CB5_.wvu.Rows" localSheetId="1" hidden="1">'Bill 01 - Prelims'!#REF!</definedName>
    <definedName name="z011111111" localSheetId="1" hidden="1">{"'용역비'!$A$4:$C$8"}</definedName>
    <definedName name="z011111111" localSheetId="2" hidden="1">{"'용역비'!$A$4:$C$8"}</definedName>
    <definedName name="z011111111" localSheetId="8" hidden="1">{"'용역비'!$A$4:$C$8"}</definedName>
    <definedName name="z011111111" hidden="1">{"'용역비'!$A$4:$C$8"}</definedName>
    <definedName name="za" localSheetId="1" hidden="1">#REF!</definedName>
    <definedName name="za" hidden="1">#REF!</definedName>
    <definedName name="ZCZXC" localSheetId="1" hidden="1">{"'Sheet1'!$L$16"}</definedName>
    <definedName name="ZCZXC" localSheetId="2" hidden="1">{"'Sheet1'!$L$16"}</definedName>
    <definedName name="ZCZXC" localSheetId="8" hidden="1">{"'Sheet1'!$L$16"}</definedName>
    <definedName name="ZCZXC" hidden="1">{"'Sheet1'!$L$16"}</definedName>
    <definedName name="zDT_End" localSheetId="1" hidden="1">#REF!</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localSheetId="1" hidden="1">{"'Sheet1'!$L$16"}</definedName>
    <definedName name="zKm2" localSheetId="2" hidden="1">{"'Sheet1'!$L$16"}</definedName>
    <definedName name="zKm2" localSheetId="8" hidden="1">{"'Sheet1'!$L$16"}</definedName>
    <definedName name="zKm2" hidden="1">{"'Sheet1'!$L$16"}</definedName>
    <definedName name="zscsxz" localSheetId="1" hidden="1">{"'Sheet1'!$L$16"}</definedName>
    <definedName name="zscsxz" localSheetId="2" hidden="1">{"'Sheet1'!$L$16"}</definedName>
    <definedName name="zscsxz" localSheetId="8" hidden="1">{"'Sheet1'!$L$16"}</definedName>
    <definedName name="zscsxz" hidden="1">{"'Sheet1'!$L$16"}</definedName>
    <definedName name="zx" hidden="1">#REF!</definedName>
    <definedName name="ZXC" localSheetId="1" hidden="1">{#N/A,#N/A,FALSE,"이태원철근"}</definedName>
    <definedName name="ZXC" localSheetId="2" hidden="1">{#N/A,#N/A,FALSE,"이태원철근"}</definedName>
    <definedName name="ZXC" localSheetId="8" hidden="1">{#N/A,#N/A,FALSE,"이태원철근"}</definedName>
    <definedName name="ZXC" hidden="1">{#N/A,#N/A,FALSE,"이태원철근"}</definedName>
    <definedName name="ZXCXZ" hidden="1">#REF!</definedName>
    <definedName name="ZXzX" localSheetId="1" hidden="1">{"'Sheet1'!$L$16"}</definedName>
    <definedName name="ZXzX" localSheetId="2" hidden="1">{"'Sheet1'!$L$16"}</definedName>
    <definedName name="ZXzX" localSheetId="8" hidden="1">{"'Sheet1'!$L$16"}</definedName>
    <definedName name="ZXzX" hidden="1">{"'Sheet1'!$L$16"}</definedName>
    <definedName name="zxzxasasas" localSheetId="1" hidden="1">{#N/A,#N/A,FALSE,"Chi tiÆt"}</definedName>
    <definedName name="zxzxasasas" localSheetId="2" hidden="1">{#N/A,#N/A,FALSE,"Chi tiÆt"}</definedName>
    <definedName name="zxzxasasas" localSheetId="8" hidden="1">{#N/A,#N/A,FALSE,"Chi tiÆt"}</definedName>
    <definedName name="zxzxasasas" hidden="1">{#N/A,#N/A,FALSE,"Chi tiÆt"}</definedName>
    <definedName name="ZYX">#REF!</definedName>
    <definedName name="zz">#N/A</definedName>
    <definedName name="ZZZ">#REF!</definedName>
    <definedName name="ｚｚｚｚｚ" localSheetId="1" hidden="1">{"'Sheet1'!$L$16"}</definedName>
    <definedName name="ｚｚｚｚｚ" localSheetId="2" hidden="1">{"'Sheet1'!$L$16"}</definedName>
    <definedName name="ｚｚｚｚｚ" localSheetId="8" hidden="1">{"'Sheet1'!$L$16"}</definedName>
    <definedName name="ｚｚｚｚｚ" hidden="1">{"'Sheet1'!$L$16"}</definedName>
    <definedName name="ｚｚｚｚｚｚ" localSheetId="1" hidden="1">{"'Sheet1'!$L$16"}</definedName>
    <definedName name="ｚｚｚｚｚｚ" localSheetId="2" hidden="1">{"'Sheet1'!$L$16"}</definedName>
    <definedName name="ｚｚｚｚｚｚ" localSheetId="8" hidden="1">{"'Sheet1'!$L$16"}</definedName>
    <definedName name="ｚｚｚｚｚｚ" hidden="1">{"'Sheet1'!$L$16"}</definedName>
    <definedName name="аореалорпио" localSheetId="1"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8" hidden="1">{#N/A,#N/A,FALSE,"GAZ_CP500ML";#N/A,#N/A,FALSE,"VARI_SE_CP900ML";#N/A,#N/A,FALSE,"VARI_SE_CP70ML";#N/A,#N/A,FALSE,"ALS_CP70ML";#N/A,#N/A,FALSE,"AMB_CP70ML";#N/A,#N/A,FALSE,"MAK_CP250ML";#N/A,#N/A,FALSE,"ATT_CP70ML";#N/A,#N/A,FALSE,"DAL_CP70ML";#N/A,#N/A,FALSE,"VARI_SE_CP330ML_E";#N/A,#N/A,FALSE,"AMB_CP250ML"}</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localSheetId="1" hidden="1">{"sintesi",#N/A,FALSE,"contrib_unit";"dett_materiali",#N/A,FALSE,"contrib_unit";"dett_lav.ne",#N/A,FALSE,"contrib_unit";"dett_altre_ind.li",#N/A,FALSE,"contrib_unit";"dett_commerciali",#N/A,FALSE,"contrib_unit"}</definedName>
    <definedName name="нне" localSheetId="2" hidden="1">{"sintesi",#N/A,FALSE,"contrib_unit";"dett_materiali",#N/A,FALSE,"contrib_unit";"dett_lav.ne",#N/A,FALSE,"contrib_unit";"dett_altre_ind.li",#N/A,FALSE,"contrib_unit";"dett_commerciali",#N/A,FALSE,"contrib_unit"}</definedName>
    <definedName name="нне" localSheetId="8" hidden="1">{"sintesi",#N/A,FALSE,"contrib_unit";"dett_materiali",#N/A,FALSE,"contrib_unit";"dett_lav.ne",#N/A,FALSE,"contrib_unit";"dett_altre_ind.li",#N/A,FALSE,"contrib_unit";"dett_commerciali",#N/A,FALSE,"contrib_unit"}</definedName>
    <definedName name="нне" hidden="1">{"sintesi",#N/A,FALSE,"contrib_unit";"dett_materiali",#N/A,FALSE,"contrib_unit";"dett_lav.ne",#N/A,FALSE,"contrib_unit";"dett_altre_ind.li",#N/A,FALSE,"contrib_unit";"dett_commerciali",#N/A,FALSE,"contrib_unit"}</definedName>
    <definedName name="あ" localSheetId="1" hidden="1">{"'Sheet1'!$L$16"}</definedName>
    <definedName name="あ" localSheetId="2" hidden="1">{"'Sheet1'!$L$16"}</definedName>
    <definedName name="あ" localSheetId="8" hidden="1">{"'Sheet1'!$L$16"}</definedName>
    <definedName name="あ" hidden="1">{"'Sheet1'!$L$16"}</definedName>
    <definedName name="ああ" localSheetId="1" hidden="1">{"'Sheet1'!$L$16"}</definedName>
    <definedName name="ああ" localSheetId="2" hidden="1">{"'Sheet1'!$L$16"}</definedName>
    <definedName name="ああ" localSheetId="8" hidden="1">{"'Sheet1'!$L$16"}</definedName>
    <definedName name="ああ" hidden="1">{"'Sheet1'!$L$16"}</definedName>
    <definedName name="あああ" localSheetId="1" hidden="1">{"'Sheet1'!$L$16"}</definedName>
    <definedName name="あああ" localSheetId="2" hidden="1">{"'Sheet1'!$L$16"}</definedName>
    <definedName name="あああ" localSheetId="8" hidden="1">{"'Sheet1'!$L$16"}</definedName>
    <definedName name="あああ" hidden="1">{"'Sheet1'!$L$16"}</definedName>
    <definedName name="ああああ" localSheetId="1" hidden="1">{"'Sheet1'!$L$16"}</definedName>
    <definedName name="ああああ" localSheetId="2" hidden="1">{"'Sheet1'!$L$16"}</definedName>
    <definedName name="ああああ" localSheetId="8" hidden="1">{"'Sheet1'!$L$16"}</definedName>
    <definedName name="ああああ" hidden="1">{"'Sheet1'!$L$16"}</definedName>
    <definedName name="あああああ" localSheetId="1" hidden="1">{"'Sheet1'!$L$16"}</definedName>
    <definedName name="あああああ" localSheetId="2" hidden="1">{"'Sheet1'!$L$16"}</definedName>
    <definedName name="あああああ" localSheetId="8" hidden="1">{"'Sheet1'!$L$16"}</definedName>
    <definedName name="あああああ" hidden="1">{"'Sheet1'!$L$16"}</definedName>
    <definedName name="ううう" localSheetId="1" hidden="1">{"'Sheet1'!$L$16"}</definedName>
    <definedName name="ううう" localSheetId="2" hidden="1">{"'Sheet1'!$L$16"}</definedName>
    <definedName name="ううう" localSheetId="8" hidden="1">{"'Sheet1'!$L$16"}</definedName>
    <definedName name="ううう" hidden="1">{"'Sheet1'!$L$16"}</definedName>
    <definedName name="えええ" localSheetId="1" hidden="1">{"'Sheet1'!$L$16"}</definedName>
    <definedName name="えええ" localSheetId="2" hidden="1">{"'Sheet1'!$L$16"}</definedName>
    <definedName name="えええ" localSheetId="8" hidden="1">{"'Sheet1'!$L$16"}</definedName>
    <definedName name="えええ" hidden="1">{"'Sheet1'!$L$16"}</definedName>
    <definedName name="っｋ" localSheetId="1" hidden="1">#REF!</definedName>
    <definedName name="っｋ" hidden="1">#REF!</definedName>
    <definedName name="んｎ" localSheetId="1" hidden="1">{"'Sheet1'!$L$16"}</definedName>
    <definedName name="んｎ" localSheetId="2" hidden="1">{"'Sheet1'!$L$16"}</definedName>
    <definedName name="んｎ" localSheetId="8" hidden="1">{"'Sheet1'!$L$16"}</definedName>
    <definedName name="んｎ" hidden="1">{"'Sheet1'!$L$16"}</definedName>
    <definedName name="んんｎ" localSheetId="1" hidden="1">{"'Sheet1'!$L$16"}</definedName>
    <definedName name="んんｎ" localSheetId="2" hidden="1">{"'Sheet1'!$L$16"}</definedName>
    <definedName name="んんｎ" localSheetId="8" hidden="1">{"'Sheet1'!$L$16"}</definedName>
    <definedName name="んんｎ" hidden="1">{"'Sheet1'!$L$16"}</definedName>
    <definedName name="ㄱ" localSheetId="1" hidden="1">{#N/A,#N/A,FALSE,"골재소요량";#N/A,#N/A,FALSE,"골재소요량"}</definedName>
    <definedName name="ㄱ" localSheetId="2" hidden="1">{#N/A,#N/A,FALSE,"골재소요량";#N/A,#N/A,FALSE,"골재소요량"}</definedName>
    <definedName name="ㄱ" localSheetId="8" hidden="1">{#N/A,#N/A,FALSE,"골재소요량";#N/A,#N/A,FALSE,"골재소요량"}</definedName>
    <definedName name="ㄱ" hidden="1">{#N/A,#N/A,FALSE,"골재소요량";#N/A,#N/A,FALSE,"골재소요량"}</definedName>
    <definedName name="ㄱㄱ" localSheetId="1" hidden="1">{#N/A,#N/A,FALSE,"전력간선"}</definedName>
    <definedName name="ㄱㄱ" localSheetId="2" hidden="1">{#N/A,#N/A,FALSE,"전력간선"}</definedName>
    <definedName name="ㄱㄱ" localSheetId="8" hidden="1">{#N/A,#N/A,FALSE,"전력간선"}</definedName>
    <definedName name="ㄱㄱ" hidden="1">{#N/A,#N/A,FALSE,"전력간선"}</definedName>
    <definedName name="ㄱㄱㄱ" localSheetId="1" hidden="1">{#N/A,#N/A,FALSE,"표지목차"}</definedName>
    <definedName name="ㄱㄱㄱ" localSheetId="2" hidden="1">{#N/A,#N/A,FALSE,"표지목차"}</definedName>
    <definedName name="ㄱㄱㄱ" localSheetId="8" hidden="1">{#N/A,#N/A,FALSE,"표지목차"}</definedName>
    <definedName name="ㄱㄱㄱ" hidden="1">{#N/A,#N/A,FALSE,"표지목차"}</definedName>
    <definedName name="ㄱㄱㄱㄱ" localSheetId="1" hidden="1">{#N/A,#N/A,FALSE,"지침";#N/A,#N/A,FALSE,"환경분석";#N/A,#N/A,FALSE,"Sheet16"}</definedName>
    <definedName name="ㄱㄱㄱㄱ" localSheetId="2" hidden="1">{#N/A,#N/A,FALSE,"지침";#N/A,#N/A,FALSE,"환경분석";#N/A,#N/A,FALSE,"Sheet16"}</definedName>
    <definedName name="ㄱㄱㄱㄱ" localSheetId="8" hidden="1">{#N/A,#N/A,FALSE,"지침";#N/A,#N/A,FALSE,"환경분석";#N/A,#N/A,FALSE,"Sheet16"}</definedName>
    <definedName name="ㄱㄱㄱㄱ" hidden="1">{#N/A,#N/A,FALSE,"지침";#N/A,#N/A,FALSE,"환경분석";#N/A,#N/A,FALSE,"Sheet16"}</definedName>
    <definedName name="ㄱㄱㄱㄱㄱ" localSheetId="1" hidden="1">{#N/A,#N/A,FALSE,"교리2"}</definedName>
    <definedName name="ㄱㄱㄱㄱㄱ" localSheetId="2" hidden="1">{#N/A,#N/A,FALSE,"교리2"}</definedName>
    <definedName name="ㄱㄱㄱㄱㄱ" localSheetId="8" hidden="1">{#N/A,#N/A,FALSE,"교리2"}</definedName>
    <definedName name="ㄱㄱㄱㄱㄱ" hidden="1">{#N/A,#N/A,FALSE,"교리2"}</definedName>
    <definedName name="ㄱㄱㄱㅎ" localSheetId="1" hidden="1">{#N/A,#N/A,FALSE,"Sheet6"}</definedName>
    <definedName name="ㄱㄱㄱㅎ" localSheetId="2" hidden="1">{#N/A,#N/A,FALSE,"Sheet6"}</definedName>
    <definedName name="ㄱㄱㄱㅎ" localSheetId="8" hidden="1">{#N/A,#N/A,FALSE,"Sheet6"}</definedName>
    <definedName name="ㄱㄱㄱㅎ" hidden="1">{#N/A,#N/A,FALSE,"Sheet6"}</definedName>
    <definedName name="ㄱㄷㄱ" localSheetId="1" hidden="1">{#N/A,#N/A,FALSE,"Sheet6"}</definedName>
    <definedName name="ㄱㄷㄱ" localSheetId="2" hidden="1">{#N/A,#N/A,FALSE,"Sheet6"}</definedName>
    <definedName name="ㄱㄷㄱ" localSheetId="8" hidden="1">{#N/A,#N/A,FALSE,"Sheet6"}</definedName>
    <definedName name="ㄱㄷㄱ" hidden="1">{#N/A,#N/A,FALSE,"Sheet6"}</definedName>
    <definedName name="ㄱㄷㄱㄷㄱㄱㅎㄺㄷ" localSheetId="1" hidden="1">{"'장비'!$A$3:$M$12"}</definedName>
    <definedName name="ㄱㄷㄱㄷㄱㄱㅎㄺㄷ" localSheetId="2" hidden="1">{"'장비'!$A$3:$M$12"}</definedName>
    <definedName name="ㄱㄷㄱㄷㄱㄱㅎㄺㄷ" localSheetId="8" hidden="1">{"'장비'!$A$3:$M$12"}</definedName>
    <definedName name="ㄱㄷㄱㄷㄱㄱㅎㄺㄷ" hidden="1">{"'장비'!$A$3:$M$12"}</definedName>
    <definedName name="ㄱㄷㄱㄷㄱ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1" hidden="1">{#N/A,#N/A,FALSE,"Sheet6"}</definedName>
    <definedName name="ㄱㄷㅅ" localSheetId="2" hidden="1">{#N/A,#N/A,FALSE,"Sheet6"}</definedName>
    <definedName name="ㄱㄷㅅ" localSheetId="8" hidden="1">{#N/A,#N/A,FALSE,"Sheet6"}</definedName>
    <definedName name="ㄱㄷㅅ" hidden="1">{#N/A,#N/A,FALSE,"Sheet6"}</definedName>
    <definedName name="ㄱㄷㅈㄱㄷㅈㄱㅈㄷ" localSheetId="1" hidden="1">{#N/A,#N/A,FALSE,"혼합골재"}</definedName>
    <definedName name="ㄱㄷㅈㄱㄷㅈㄱㅈㄷ" localSheetId="2" hidden="1">{#N/A,#N/A,FALSE,"혼합골재"}</definedName>
    <definedName name="ㄱㄷㅈㄱㄷㅈㄱㅈㄷ" localSheetId="8" hidden="1">{#N/A,#N/A,FALSE,"혼합골재"}</definedName>
    <definedName name="ㄱㄷㅈㄱㄷㅈㄱㅈㄷ" hidden="1">{#N/A,#N/A,FALSE,"혼합골재"}</definedName>
    <definedName name="ㄱㄹ홍ㄱ호" localSheetId="1" hidden="1">{#N/A,#N/A,FALSE,"Sheet6"}</definedName>
    <definedName name="ㄱㄹ홍ㄱ호" localSheetId="2" hidden="1">{#N/A,#N/A,FALSE,"Sheet6"}</definedName>
    <definedName name="ㄱㄹ홍ㄱ호" localSheetId="8" hidden="1">{#N/A,#N/A,FALSE,"Sheet6"}</definedName>
    <definedName name="ㄱㄹ홍ㄱ호" hidden="1">{#N/A,#N/A,FALSE,"Sheet6"}</definedName>
    <definedName name="ㄱ서ㅗㅇ" localSheetId="1" hidden="1">{#N/A,#N/A,FALSE,"집계표"}</definedName>
    <definedName name="ㄱ서ㅗㅇ" localSheetId="2" hidden="1">{#N/A,#N/A,FALSE,"집계표"}</definedName>
    <definedName name="ㄱ서ㅗㅇ" localSheetId="8" hidden="1">{#N/A,#N/A,FALSE,"집계표"}</definedName>
    <definedName name="ㄱ서ㅗㅇ" hidden="1">{#N/A,#N/A,FALSE,"집계표"}</definedName>
    <definedName name="ㄱ솧" localSheetId="1" hidden="1">{#N/A,#N/A,FALSE,"집계표"}</definedName>
    <definedName name="ㄱ솧" localSheetId="2" hidden="1">{#N/A,#N/A,FALSE,"집계표"}</definedName>
    <definedName name="ㄱ솧" localSheetId="8" hidden="1">{#N/A,#N/A,FALSE,"집계표"}</definedName>
    <definedName name="ㄱ솧" hidden="1">{#N/A,#N/A,FALSE,"집계표"}</definedName>
    <definedName name="ㄱ쇽" localSheetId="1" hidden="1">{#N/A,#N/A,FALSE,"Sheet6"}</definedName>
    <definedName name="ㄱ쇽" localSheetId="2" hidden="1">{#N/A,#N/A,FALSE,"Sheet6"}</definedName>
    <definedName name="ㄱ쇽" localSheetId="8" hidden="1">{#N/A,#N/A,FALSE,"Sheet6"}</definedName>
    <definedName name="ㄱ쇽" hidden="1">{#N/A,#N/A,FALSE,"Sheet6"}</definedName>
    <definedName name="ㄱㅈㅎ" localSheetId="1" hidden="1">#REF!</definedName>
    <definedName name="ㄱㅈㅎ" hidden="1">#REF!</definedName>
    <definedName name="가" localSheetId="1" hidden="1">{#N/A,#N/A,FALSE,"골재소요량";#N/A,#N/A,FALSE,"골재소요량"}</definedName>
    <definedName name="가" localSheetId="2" hidden="1">{#N/A,#N/A,FALSE,"골재소요량";#N/A,#N/A,FALSE,"골재소요량"}</definedName>
    <definedName name="가" localSheetId="8" hidden="1">{#N/A,#N/A,FALSE,"골재소요량";#N/A,#N/A,FALSE,"골재소요량"}</definedName>
    <definedName name="가" hidden="1">{#N/A,#N/A,FALSE,"골재소요량";#N/A,#N/A,FALSE,"골재소요량"}</definedName>
    <definedName name="가리" hidden="1">#REF!</definedName>
    <definedName name="가설건물면적산정" localSheetId="1" hidden="1">{#N/A,#N/A,FALSE,"사업총괄";#N/A,#N/A,FALSE,"장비사업";#N/A,#N/A,FALSE,"철구사업";#N/A,#N/A,FALSE,"준설사업"}</definedName>
    <definedName name="가설건물면적산정" localSheetId="2" hidden="1">{#N/A,#N/A,FALSE,"사업총괄";#N/A,#N/A,FALSE,"장비사업";#N/A,#N/A,FALSE,"철구사업";#N/A,#N/A,FALSE,"준설사업"}</definedName>
    <definedName name="가설건물면적산정" localSheetId="8" hidden="1">{#N/A,#N/A,FALSE,"사업총괄";#N/A,#N/A,FALSE,"장비사업";#N/A,#N/A,FALSE,"철구사업";#N/A,#N/A,FALSE,"준설사업"}</definedName>
    <definedName name="가설건물면적산정" hidden="1">{#N/A,#N/A,FALSE,"사업총괄";#N/A,#N/A,FALSE,"장비사업";#N/A,#N/A,FALSE,"철구사업";#N/A,#N/A,FALSE,"준설사업"}</definedName>
    <definedName name="가설공사" localSheetId="1" hidden="1">{#N/A,#N/A,FALSE,"예상손익";#N/A,#N/A,FALSE,"관리분석";#N/A,#N/A,FALSE,"장비분석";#N/A,#N/A,FALSE,"준설분석";#N/A,#N/A,FALSE,"철구분석"}</definedName>
    <definedName name="가설공사" localSheetId="2" hidden="1">{#N/A,#N/A,FALSE,"예상손익";#N/A,#N/A,FALSE,"관리분석";#N/A,#N/A,FALSE,"장비분석";#N/A,#N/A,FALSE,"준설분석";#N/A,#N/A,FALSE,"철구분석"}</definedName>
    <definedName name="가설공사" localSheetId="8" hidden="1">{#N/A,#N/A,FALSE,"예상손익";#N/A,#N/A,FALSE,"관리분석";#N/A,#N/A,FALSE,"장비분석";#N/A,#N/A,FALSE,"준설분석";#N/A,#N/A,FALSE,"철구분석"}</definedName>
    <definedName name="가설공사" hidden="1">{#N/A,#N/A,FALSE,"예상손익";#N/A,#N/A,FALSE,"관리분석";#N/A,#N/A,FALSE,"장비분석";#N/A,#N/A,FALSE,"준설분석";#N/A,#N/A,FALSE,"철구분석"}</definedName>
    <definedName name="가실행1" localSheetId="1" hidden="1">{#N/A,#N/A,FALSE,"배수1"}</definedName>
    <definedName name="가실행1" localSheetId="2" hidden="1">{#N/A,#N/A,FALSE,"배수1"}</definedName>
    <definedName name="가실행1" localSheetId="8" hidden="1">{#N/A,#N/A,FALSE,"배수1"}</definedName>
    <definedName name="가실행1" hidden="1">{#N/A,#N/A,FALSE,"배수1"}</definedName>
    <definedName name="가아" hidden="1">#REF!</definedName>
    <definedName name="가재가시설" localSheetId="1" hidden="1">{#N/A,#N/A,FALSE,"Sheet6"}</definedName>
    <definedName name="가재가시설" localSheetId="2" hidden="1">{#N/A,#N/A,FALSE,"Sheet6"}</definedName>
    <definedName name="가재가시설" localSheetId="8" hidden="1">{#N/A,#N/A,FALSE,"Sheet6"}</definedName>
    <definedName name="가재가시설" hidden="1">{#N/A,#N/A,FALSE,"Sheet6"}</definedName>
    <definedName name="간접경비" hidden="1">#REF!</definedName>
    <definedName name="간접비" localSheetId="1" hidden="1">{#N/A,#N/A,FALSE,"갑지";#N/A,#N/A,FALSE,"개요";#N/A,#N/A,FALSE,"비목별";#N/A,#N/A,FALSE,"건물별";#N/A,#N/A,FALSE,"기구표";#N/A,#N/A,FALSE,"직원투입"}</definedName>
    <definedName name="간접비" localSheetId="2" hidden="1">{#N/A,#N/A,FALSE,"갑지";#N/A,#N/A,FALSE,"개요";#N/A,#N/A,FALSE,"비목별";#N/A,#N/A,FALSE,"건물별";#N/A,#N/A,FALSE,"기구표";#N/A,#N/A,FALSE,"직원투입"}</definedName>
    <definedName name="간접비" localSheetId="8"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1"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접비1" localSheetId="8"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1" hidden="1">{#N/A,#N/A,FALSE,"지침";#N/A,#N/A,FALSE,"환경분석";#N/A,#N/A,FALSE,"Sheet16"}</definedName>
    <definedName name="감리상주" localSheetId="2" hidden="1">{#N/A,#N/A,FALSE,"지침";#N/A,#N/A,FALSE,"환경분석";#N/A,#N/A,FALSE,"Sheet16"}</definedName>
    <definedName name="감리상주" localSheetId="8" hidden="1">{#N/A,#N/A,FALSE,"지침";#N/A,#N/A,FALSE,"환경분석";#N/A,#N/A,FALSE,"Sheet16"}</definedName>
    <definedName name="감리상주" hidden="1">{#N/A,#N/A,FALSE,"지침";#N/A,#N/A,FALSE,"환경분석";#N/A,#N/A,FALSE,"Sheet16"}</definedName>
    <definedName name="감복만" localSheetId="1" hidden="1">{#N/A,#N/A,FALSE,"교리2"}</definedName>
    <definedName name="감복만" localSheetId="2" hidden="1">{#N/A,#N/A,FALSE,"교리2"}</definedName>
    <definedName name="감복만" localSheetId="8" hidden="1">{#N/A,#N/A,FALSE,"교리2"}</definedName>
    <definedName name="감복만" hidden="1">{#N/A,#N/A,FALSE,"교리2"}</definedName>
    <definedName name="감승주" localSheetId="1" hidden="1">{#N/A,#N/A,FALSE,"교리2"}</definedName>
    <definedName name="감승주" localSheetId="2" hidden="1">{#N/A,#N/A,FALSE,"교리2"}</definedName>
    <definedName name="감승주" localSheetId="8" hidden="1">{#N/A,#N/A,FALSE,"교리2"}</definedName>
    <definedName name="감승주" hidden="1">{#N/A,#N/A,FALSE,"교리2"}</definedName>
    <definedName name="갑지" hidden="1">#REF!</definedName>
    <definedName name="갑지02" localSheetId="1" hidden="1">{#N/A,#N/A,FALSE,"Sheet6"}</definedName>
    <definedName name="갑지02" localSheetId="2" hidden="1">{#N/A,#N/A,FALSE,"Sheet6"}</definedName>
    <definedName name="갑지02" localSheetId="8" hidden="1">{#N/A,#N/A,FALSE,"Sheet6"}</definedName>
    <definedName name="갑지02" hidden="1">{#N/A,#N/A,FALSE,"Sheet6"}</definedName>
    <definedName name="갑지2" localSheetId="1" hidden="1">{#N/A,#N/A,FALSE,"CCTV"}</definedName>
    <definedName name="갑지2" localSheetId="2" hidden="1">{#N/A,#N/A,FALSE,"CCTV"}</definedName>
    <definedName name="갑지2" localSheetId="8" hidden="1">{#N/A,#N/A,FALSE,"CCTV"}</definedName>
    <definedName name="갑지2" hidden="1">{#N/A,#N/A,FALSE,"CCTV"}</definedName>
    <definedName name="갑지3" localSheetId="1" hidden="1">{#N/A,#N/A,FALSE,"CCTV"}</definedName>
    <definedName name="갑지3" localSheetId="2" hidden="1">{#N/A,#N/A,FALSE,"CCTV"}</definedName>
    <definedName name="갑지3" localSheetId="8" hidden="1">{#N/A,#N/A,FALSE,"CCTV"}</definedName>
    <definedName name="갑지3" hidden="1">{#N/A,#N/A,FALSE,"CCTV"}</definedName>
    <definedName name="갑지외" localSheetId="1" hidden="1">{#N/A,#N/A,FALSE,"CCTV"}</definedName>
    <definedName name="갑지외" localSheetId="2" hidden="1">{#N/A,#N/A,FALSE,"CCTV"}</definedName>
    <definedName name="갑지외" localSheetId="8" hidden="1">{#N/A,#N/A,FALSE,"CCTV"}</definedName>
    <definedName name="갑지외" hidden="1">{#N/A,#N/A,FALSE,"CCTV"}</definedName>
    <definedName name="갑지지" hidden="1">#REF!</definedName>
    <definedName name="강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1" hidden="1">{#N/A,#N/A,FALSE,"포장2"}</definedName>
    <definedName name="강교" localSheetId="2" hidden="1">{#N/A,#N/A,FALSE,"포장2"}</definedName>
    <definedName name="강교" localSheetId="8" hidden="1">{#N/A,#N/A,FALSE,"포장2"}</definedName>
    <definedName name="강교" hidden="1">{#N/A,#N/A,FALSE,"포장2"}</definedName>
    <definedName name="강구조물" localSheetId="1" hidden="1">{#N/A,#N/A,FALSE,"포장1";#N/A,#N/A,FALSE,"포장1"}</definedName>
    <definedName name="강구조물" localSheetId="2" hidden="1">{#N/A,#N/A,FALSE,"포장1";#N/A,#N/A,FALSE,"포장1"}</definedName>
    <definedName name="강구조물" localSheetId="8" hidden="1">{#N/A,#N/A,FALSE,"포장1";#N/A,#N/A,FALSE,"포장1"}</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localSheetId="1" hidden="1">{#N/A,#N/A,FALSE,"예상손익";#N/A,#N/A,FALSE,"관리분석";#N/A,#N/A,FALSE,"장비분석";#N/A,#N/A,FALSE,"준설분석";#N/A,#N/A,FALSE,"철구분석"}</definedName>
    <definedName name="갸" localSheetId="2" hidden="1">{#N/A,#N/A,FALSE,"예상손익";#N/A,#N/A,FALSE,"관리분석";#N/A,#N/A,FALSE,"장비분석";#N/A,#N/A,FALSE,"준설분석";#N/A,#N/A,FALSE,"철구분석"}</definedName>
    <definedName name="갸" localSheetId="8" hidden="1">{#N/A,#N/A,FALSE,"예상손익";#N/A,#N/A,FALSE,"관리분석";#N/A,#N/A,FALSE,"장비분석";#N/A,#N/A,FALSE,"준설분석";#N/A,#N/A,FALSE,"철구분석"}</definedName>
    <definedName name="갸" hidden="1">{#N/A,#N/A,FALSE,"예상손익";#N/A,#N/A,FALSE,"관리분석";#N/A,#N/A,FALSE,"장비분석";#N/A,#N/A,FALSE,"준설분석";#N/A,#N/A,FALSE,"철구분석"}</definedName>
    <definedName name="거소" localSheetId="1" hidden="1">{#N/A,#N/A,FALSE,"집계표"}</definedName>
    <definedName name="거소" localSheetId="2" hidden="1">{#N/A,#N/A,FALSE,"집계표"}</definedName>
    <definedName name="거소" localSheetId="8" hidden="1">{#N/A,#N/A,FALSE,"집계표"}</definedName>
    <definedName name="거소" hidden="1">{#N/A,#N/A,FALSE,"집계표"}</definedName>
    <definedName name="거추서" localSheetId="1" hidden="1">{#N/A,#N/A,FALSE,"견적갑지";#N/A,#N/A,FALSE,"총괄표";#N/A,#N/A,FALSE,"철골공사";#N/A,#N/A,FALSE,"토목공사";#N/A,#N/A,FALSE,"판넬전기공사"}</definedName>
    <definedName name="거추서" localSheetId="2" hidden="1">{#N/A,#N/A,FALSE,"견적갑지";#N/A,#N/A,FALSE,"총괄표";#N/A,#N/A,FALSE,"철골공사";#N/A,#N/A,FALSE,"토목공사";#N/A,#N/A,FALSE,"판넬전기공사"}</definedName>
    <definedName name="거추서" localSheetId="8" hidden="1">{#N/A,#N/A,FALSE,"견적갑지";#N/A,#N/A,FALSE,"총괄표";#N/A,#N/A,FALSE,"철골공사";#N/A,#N/A,FALSE,"토목공사";#N/A,#N/A,FALSE,"판넬전기공사"}</definedName>
    <definedName name="거추서" hidden="1">{#N/A,#N/A,FALSE,"견적갑지";#N/A,#N/A,FALSE,"총괄표";#N/A,#N/A,FALSE,"철골공사";#N/A,#N/A,FALSE,"토목공사";#N/A,#N/A,FALSE,"판넬전기공사"}</definedName>
    <definedName name="거ㅏ" hidden="1">#REF!</definedName>
    <definedName name="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1" hidden="1">{#N/A,#N/A,FALSE,"기안지";#N/A,#N/A,FALSE,"통신지"}</definedName>
    <definedName name="건" localSheetId="2" hidden="1">{#N/A,#N/A,FALSE,"기안지";#N/A,#N/A,FALSE,"통신지"}</definedName>
    <definedName name="건" localSheetId="8" hidden="1">{#N/A,#N/A,FALSE,"기안지";#N/A,#N/A,FALSE,"통신지"}</definedName>
    <definedName name="건" hidden="1">{#N/A,#N/A,FALSE,"기안지";#N/A,#N/A,FALSE,"통신지"}</definedName>
    <definedName name="건3" localSheetId="1" hidden="1">{#N/A,#N/A,FALSE,"견적갑지";#N/A,#N/A,FALSE,"총괄표";#N/A,#N/A,FALSE,"철골공사";#N/A,#N/A,FALSE,"토목공사";#N/A,#N/A,FALSE,"판넬전기공사"}</definedName>
    <definedName name="건3" localSheetId="2" hidden="1">{#N/A,#N/A,FALSE,"견적갑지";#N/A,#N/A,FALSE,"총괄표";#N/A,#N/A,FALSE,"철골공사";#N/A,#N/A,FALSE,"토목공사";#N/A,#N/A,FALSE,"판넬전기공사"}</definedName>
    <definedName name="건3" localSheetId="8" hidden="1">{#N/A,#N/A,FALSE,"견적갑지";#N/A,#N/A,FALSE,"총괄표";#N/A,#N/A,FALSE,"철골공사";#N/A,#N/A,FALSE,"토목공사";#N/A,#N/A,FALSE,"판넬전기공사"}</definedName>
    <definedName name="건3" hidden="1">{#N/A,#N/A,FALSE,"견적갑지";#N/A,#N/A,FALSE,"총괄표";#N/A,#N/A,FALSE,"철골공사";#N/A,#N/A,FALSE,"토목공사";#N/A,#N/A,FALSE,"판넬전기공사"}</definedName>
    <definedName name="건444" localSheetId="1"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444" localSheetId="8"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localSheetId="1" hidden="1">{"'Sheet1'!$A$4:$M$21","'Sheet1'!$J$17:$K$19"}</definedName>
    <definedName name="건걱" localSheetId="2" hidden="1">{"'Sheet1'!$A$4:$M$21","'Sheet1'!$J$17:$K$19"}</definedName>
    <definedName name="건걱" localSheetId="8" hidden="1">{"'Sheet1'!$A$4:$M$21","'Sheet1'!$J$17:$K$19"}</definedName>
    <definedName name="건걱" hidden="1">{"'Sheet1'!$A$4:$M$21","'Sheet1'!$J$17:$K$19"}</definedName>
    <definedName name="건검" localSheetId="1" hidden="1">{#N/A,#N/A,FALSE,"견적갑지";#N/A,#N/A,FALSE,"총괄표";#N/A,#N/A,FALSE,"철골공사";#N/A,#N/A,FALSE,"토목공사";#N/A,#N/A,FALSE,"판넬전기공사"}</definedName>
    <definedName name="건검" localSheetId="2" hidden="1">{#N/A,#N/A,FALSE,"견적갑지";#N/A,#N/A,FALSE,"총괄표";#N/A,#N/A,FALSE,"철골공사";#N/A,#N/A,FALSE,"토목공사";#N/A,#N/A,FALSE,"판넬전기공사"}</definedName>
    <definedName name="건검" localSheetId="8" hidden="1">{#N/A,#N/A,FALSE,"견적갑지";#N/A,#N/A,FALSE,"총괄표";#N/A,#N/A,FALSE,"철골공사";#N/A,#N/A,FALSE,"토목공사";#N/A,#N/A,FALSE,"판넬전기공사"}</definedName>
    <definedName name="건검" hidden="1">{#N/A,#N/A,FALSE,"견적갑지";#N/A,#N/A,FALSE,"총괄표";#N/A,#N/A,FALSE,"철골공사";#N/A,#N/A,FALSE,"토목공사";#N/A,#N/A,FALSE,"판넬전기공사"}</definedName>
    <definedName name="건적" localSheetId="1" hidden="1">{"'Sheet1'!$A$4:$M$21","'Sheet1'!$J$17:$K$19"}</definedName>
    <definedName name="건적" localSheetId="2" hidden="1">{"'Sheet1'!$A$4:$M$21","'Sheet1'!$J$17:$K$19"}</definedName>
    <definedName name="건적" localSheetId="8" hidden="1">{"'Sheet1'!$A$4:$M$21","'Sheet1'!$J$17:$K$19"}</definedName>
    <definedName name="건적" hidden="1">{"'Sheet1'!$A$4:$M$21","'Sheet1'!$J$17:$K$19"}</definedName>
    <definedName name="건추" localSheetId="1" hidden="1">{#N/A,#N/A,FALSE,"견적갑지";#N/A,#N/A,FALSE,"총괄표";#N/A,#N/A,FALSE,"철골공사";#N/A,#N/A,FALSE,"토목공사";#N/A,#N/A,FALSE,"판넬전기공사"}</definedName>
    <definedName name="건추" localSheetId="2" hidden="1">{#N/A,#N/A,FALSE,"견적갑지";#N/A,#N/A,FALSE,"총괄표";#N/A,#N/A,FALSE,"철골공사";#N/A,#N/A,FALSE,"토목공사";#N/A,#N/A,FALSE,"판넬전기공사"}</definedName>
    <definedName name="건추" localSheetId="8" hidden="1">{#N/A,#N/A,FALSE,"견적갑지";#N/A,#N/A,FALSE,"총괄표";#N/A,#N/A,FALSE,"철골공사";#N/A,#N/A,FALSE,"토목공사";#N/A,#N/A,FALSE,"판넬전기공사"}</definedName>
    <definedName name="건추" hidden="1">{#N/A,#N/A,FALSE,"견적갑지";#N/A,#N/A,FALSE,"총괄표";#N/A,#N/A,FALSE,"철골공사";#N/A,#N/A,FALSE,"토목공사";#N/A,#N/A,FALSE,"판넬전기공사"}</definedName>
    <definedName name="건축내역2" localSheetId="1" hidden="1">{#N/A,#N/A,FALSE,"기안지";#N/A,#N/A,FALSE,"통신지"}</definedName>
    <definedName name="건축내역2" localSheetId="2" hidden="1">{#N/A,#N/A,FALSE,"기안지";#N/A,#N/A,FALSE,"통신지"}</definedName>
    <definedName name="건축내역2" localSheetId="8" hidden="1">{#N/A,#N/A,FALSE,"기안지";#N/A,#N/A,FALSE,"통신지"}</definedName>
    <definedName name="건축내역2" hidden="1">{#N/A,#N/A,FALSE,"기안지";#N/A,#N/A,FALSE,"통신지"}</definedName>
    <definedName name="건축비목집계" localSheetId="1" hidden="1">{#N/A,#N/A,FALSE,"표지"}</definedName>
    <definedName name="건축비목집계" localSheetId="2" hidden="1">{#N/A,#N/A,FALSE,"표지"}</definedName>
    <definedName name="건축비목집계" localSheetId="8" hidden="1">{#N/A,#N/A,FALSE,"표지"}</definedName>
    <definedName name="건축비목집계" hidden="1">{#N/A,#N/A,FALSE,"표지"}</definedName>
    <definedName name="건축원가" hidden="1">#REF!</definedName>
    <definedName name="건축토공" localSheetId="1" hidden="1">{#N/A,#N/A,FALSE,"기안지";#N/A,#N/A,FALSE,"통신지"}</definedName>
    <definedName name="건축토공" localSheetId="2" hidden="1">{#N/A,#N/A,FALSE,"기안지";#N/A,#N/A,FALSE,"통신지"}</definedName>
    <definedName name="건축토공" localSheetId="8" hidden="1">{#N/A,#N/A,FALSE,"기안지";#N/A,#N/A,FALSE,"통신지"}</definedName>
    <definedName name="건축토공" hidden="1">{#N/A,#N/A,FALSE,"기안지";#N/A,#N/A,FALSE,"통신지"}</definedName>
    <definedName name="건축토공2" localSheetId="1" hidden="1">{#N/A,#N/A,FALSE,"기안지";#N/A,#N/A,FALSE,"통신지"}</definedName>
    <definedName name="건축토공2" localSheetId="2" hidden="1">{#N/A,#N/A,FALSE,"기안지";#N/A,#N/A,FALSE,"통신지"}</definedName>
    <definedName name="건축토공2" localSheetId="8" hidden="1">{#N/A,#N/A,FALSE,"기안지";#N/A,#N/A,FALSE,"통신지"}</definedName>
    <definedName name="건축토공2" hidden="1">{#N/A,#N/A,FALSE,"기안지";#N/A,#N/A,FALSE,"통신지"}</definedName>
    <definedName name="건축팀별" localSheetId="1" hidden="1">{#N/A,#N/A,FALSE,"지침";#N/A,#N/A,FALSE,"환경분석";#N/A,#N/A,FALSE,"Sheet16"}</definedName>
    <definedName name="건축팀별" localSheetId="2" hidden="1">{#N/A,#N/A,FALSE,"지침";#N/A,#N/A,FALSE,"환경분석";#N/A,#N/A,FALSE,"Sheet16"}</definedName>
    <definedName name="건축팀별" localSheetId="8" hidden="1">{#N/A,#N/A,FALSE,"지침";#N/A,#N/A,FALSE,"환경분석";#N/A,#N/A,FALSE,"Sheet16"}</definedName>
    <definedName name="건축팀별" hidden="1">{#N/A,#N/A,FALSE,"지침";#N/A,#N/A,FALSE,"환경분석";#N/A,#N/A,FALSE,"Sheet16"}</definedName>
    <definedName name="견본갑을" localSheetId="1" hidden="1">{#N/A,#N/A,FALSE,"Sheet1"}</definedName>
    <definedName name="견본갑을" localSheetId="2" hidden="1">{#N/A,#N/A,FALSE,"Sheet1"}</definedName>
    <definedName name="견본갑을" localSheetId="8" hidden="1">{#N/A,#N/A,FALSE,"Sheet1"}</definedName>
    <definedName name="견본갑을" hidden="1">{#N/A,#N/A,FALSE,"Sheet1"}</definedName>
    <definedName name="견적" localSheetId="1" hidden="1">{#N/A,#N/A,FALSE,"CCTV"}</definedName>
    <definedName name="견적" localSheetId="2" hidden="1">{#N/A,#N/A,FALSE,"CCTV"}</definedName>
    <definedName name="견적" localSheetId="8" hidden="1">{#N/A,#N/A,FALSE,"CCTV"}</definedName>
    <definedName name="견적" hidden="1">{#N/A,#N/A,FALSE,"CCTV"}</definedName>
    <definedName name="견적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1" hidden="1">{#N/A,#N/A,FALSE,"CCTV"}</definedName>
    <definedName name="견적2" localSheetId="2" hidden="1">{#N/A,#N/A,FALSE,"CCTV"}</definedName>
    <definedName name="견적2" localSheetId="8" hidden="1">{#N/A,#N/A,FALSE,"CCTV"}</definedName>
    <definedName name="견적2" hidden="1">{#N/A,#N/A,FALSE,"CCTV"}</definedName>
    <definedName name="견적3" localSheetId="1" hidden="1">{#N/A,#N/A,FALSE,"Sheet6"}</definedName>
    <definedName name="견적3" localSheetId="2" hidden="1">{#N/A,#N/A,FALSE,"Sheet6"}</definedName>
    <definedName name="견적3" localSheetId="8" hidden="1">{#N/A,#N/A,FALSE,"Sheet6"}</definedName>
    <definedName name="견적3" hidden="1">{#N/A,#N/A,FALSE,"Sheet6"}</definedName>
    <definedName name="견적4"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1" hidden="1">{#N/A,#N/A,FALSE,"CCTV"}</definedName>
    <definedName name="견적SHEET" localSheetId="2" hidden="1">{#N/A,#N/A,FALSE,"CCTV"}</definedName>
    <definedName name="견적SHEET" localSheetId="8" hidden="1">{#N/A,#N/A,FALSE,"CCTV"}</definedName>
    <definedName name="견적SHEET" hidden="1">{#N/A,#N/A,FALSE,"CCTV"}</definedName>
    <definedName name="견적검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1" hidden="1">{#N/A,#N/A,FALSE,"CCTV"}</definedName>
    <definedName name="견적내역" localSheetId="2" hidden="1">{#N/A,#N/A,FALSE,"CCTV"}</definedName>
    <definedName name="견적내역" localSheetId="8" hidden="1">{#N/A,#N/A,FALSE,"CCTV"}</definedName>
    <definedName name="견적내역" hidden="1">{#N/A,#N/A,FALSE,"CCTV"}</definedName>
    <definedName name="견적대비" localSheetId="1" hidden="1">{#N/A,#N/A,FALSE,"포장2"}</definedName>
    <definedName name="견적대비" localSheetId="2" hidden="1">{#N/A,#N/A,FALSE,"포장2"}</definedName>
    <definedName name="견적대비" localSheetId="8" hidden="1">{#N/A,#N/A,FALSE,"포장2"}</definedName>
    <definedName name="견적대비" hidden="1">{#N/A,#N/A,FALSE,"포장2"}</definedName>
    <definedName name="견적대비표" hidden="1">#REF!</definedName>
    <definedName name="견적서" localSheetId="1" hidden="1">{#N/A,#N/A,FALSE,"구조2"}</definedName>
    <definedName name="견적서" localSheetId="2" hidden="1">{#N/A,#N/A,FALSE,"구조2"}</definedName>
    <definedName name="견적서" localSheetId="8" hidden="1">{#N/A,#N/A,FALSE,"구조2"}</definedName>
    <definedName name="견적서" hidden="1">{#N/A,#N/A,FALSE,"구조2"}</definedName>
    <definedName name="견적예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1" hidden="1">{#N/A,#N/A,FALSE,"CCTV"}</definedName>
    <definedName name="견적조건8" localSheetId="2" hidden="1">{#N/A,#N/A,FALSE,"CCTV"}</definedName>
    <definedName name="견적조건8" localSheetId="8" hidden="1">{#N/A,#N/A,FALSE,"CCTV"}</definedName>
    <definedName name="견적조건8" hidden="1">{#N/A,#N/A,FALSE,"CCTV"}</definedName>
    <definedName name="결" localSheetId="1" hidden="1">{#N/A,#N/A,FALSE,"포장2"}</definedName>
    <definedName name="결" localSheetId="2" hidden="1">{#N/A,#N/A,FALSE,"포장2"}</definedName>
    <definedName name="결" localSheetId="8" hidden="1">{#N/A,#N/A,FALSE,"포장2"}</definedName>
    <definedName name="결" hidden="1">{#N/A,#N/A,FALSE,"포장2"}</definedName>
    <definedName name="결과" localSheetId="1" hidden="1">{#N/A,#N/A,FALSE,"포장2"}</definedName>
    <definedName name="결과" localSheetId="2" hidden="1">{#N/A,#N/A,FALSE,"포장2"}</definedName>
    <definedName name="결과" localSheetId="8" hidden="1">{#N/A,#N/A,FALSE,"포장2"}</definedName>
    <definedName name="결과" hidden="1">{#N/A,#N/A,FALSE,"포장2"}</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localSheetId="1"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8" hidden="1">{#N/A,#N/A,FALSE,"도급대비시행율";#N/A,#N/A,FALSE,"결의서";#N/A,#N/A,FALSE,"내역서";#N/A,#N/A,FALSE,"도급예상"}</definedName>
    <definedName name="경수" hidden="1">{#N/A,#N/A,FALSE,"도급대비시행율";#N/A,#N/A,FALSE,"결의서";#N/A,#N/A,FALSE,"내역서";#N/A,#N/A,FALSE,"도급예상"}</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1" hidden="1">{#N/A,#N/A,FALSE,"조골재"}</definedName>
    <definedName name="고" localSheetId="2" hidden="1">{#N/A,#N/A,FALSE,"조골재"}</definedName>
    <definedName name="고" localSheetId="8" hidden="1">{#N/A,#N/A,FALSE,"조골재"}</definedName>
    <definedName name="고" hidden="1">{#N/A,#N/A,FALSE,"조골재"}</definedName>
    <definedName name="곧ㄱ" localSheetId="1" hidden="1">{#N/A,#N/A,FALSE,"Sheet6"}</definedName>
    <definedName name="곧ㄱ" localSheetId="2" hidden="1">{#N/A,#N/A,FALSE,"Sheet6"}</definedName>
    <definedName name="곧ㄱ" localSheetId="8" hidden="1">{#N/A,#N/A,FALSE,"Sheet6"}</definedName>
    <definedName name="곧ㄱ" hidden="1">{#N/A,#N/A,FALSE,"Sheet6"}</definedName>
    <definedName name="공" localSheetId="1" hidden="1">{#N/A,#N/A,FALSE,"Sheet1"}</definedName>
    <definedName name="공" localSheetId="2" hidden="1">{#N/A,#N/A,FALSE,"Sheet1"}</definedName>
    <definedName name="공" localSheetId="8" hidden="1">{#N/A,#N/A,FALSE,"Sheet1"}</definedName>
    <definedName name="공" hidden="1">{#N/A,#N/A,FALSE,"Sheet1"}</definedName>
    <definedName name="공간" hidden="1">5</definedName>
    <definedName name="공공도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localSheetId="1" hidden="1">{#N/A,#N/A,FALSE,"Sheet6"}</definedName>
    <definedName name="공내역ㅇ" localSheetId="2" hidden="1">{#N/A,#N/A,FALSE,"Sheet6"}</definedName>
    <definedName name="공내역ㅇ" localSheetId="8" hidden="1">{#N/A,#N/A,FALSE,"Sheet6"}</definedName>
    <definedName name="공내역ㅇ" hidden="1">{#N/A,#N/A,FALSE,"Sheet6"}</definedName>
    <definedName name="공동구토공" localSheetId="1" hidden="1">{#N/A,#N/A,FALSE,"기안지";#N/A,#N/A,FALSE,"통신지"}</definedName>
    <definedName name="공동구토공" localSheetId="2" hidden="1">{#N/A,#N/A,FALSE,"기안지";#N/A,#N/A,FALSE,"통신지"}</definedName>
    <definedName name="공동구토공" localSheetId="8" hidden="1">{#N/A,#N/A,FALSE,"기안지";#N/A,#N/A,FALSE,"통신지"}</definedName>
    <definedName name="공동구토공" hidden="1">{#N/A,#N/A,FALSE,"기안지";#N/A,#N/A,FALSE,"통신지"}</definedName>
    <definedName name="공동구토공2" localSheetId="1" hidden="1">{#N/A,#N/A,FALSE,"기안지";#N/A,#N/A,FALSE,"통신지"}</definedName>
    <definedName name="공동구토공2" localSheetId="2" hidden="1">{#N/A,#N/A,FALSE,"기안지";#N/A,#N/A,FALSE,"통신지"}</definedName>
    <definedName name="공동구토공2" localSheetId="8" hidden="1">{#N/A,#N/A,FALSE,"기안지";#N/A,#N/A,FALSE,"통신지"}</definedName>
    <definedName name="공동구토공2" hidden="1">{#N/A,#N/A,FALSE,"기안지";#N/A,#N/A,FALSE,"통신지"}</definedName>
    <definedName name="공사" localSheetId="1" hidden="1">{#N/A,#N/A,FALSE,"이태원철근"}</definedName>
    <definedName name="공사" localSheetId="2" hidden="1">{#N/A,#N/A,FALSE,"이태원철근"}</definedName>
    <definedName name="공사" localSheetId="8" hidden="1">{#N/A,#N/A,FALSE,"이태원철근"}</definedName>
    <definedName name="공사" hidden="1">{#N/A,#N/A,FALSE,"이태원철근"}</definedName>
    <definedName name="공사비" localSheetId="1" hidden="1">{#N/A,#N/A,FALSE,"전력간선"}</definedName>
    <definedName name="공사비" localSheetId="2" hidden="1">{#N/A,#N/A,FALSE,"전력간선"}</definedName>
    <definedName name="공사비" localSheetId="8" hidden="1">{#N/A,#N/A,FALSE,"전력간선"}</definedName>
    <definedName name="공사비" hidden="1">{#N/A,#N/A,FALSE,"전력간선"}</definedName>
    <definedName name="공사비분석" localSheetId="1" hidden="1">#REF!</definedName>
    <definedName name="공사비분석" hidden="1">#REF!</definedName>
    <definedName name="공사원가계산서" localSheetId="1" hidden="1">{#N/A,#N/A,TRUE,"토적및재료집계";#N/A,#N/A,TRUE,"토적및재료집계";#N/A,#N/A,TRUE,"단위량"}</definedName>
    <definedName name="공사원가계산서" localSheetId="2" hidden="1">{#N/A,#N/A,TRUE,"토적및재료집계";#N/A,#N/A,TRUE,"토적및재료집계";#N/A,#N/A,TRUE,"단위량"}</definedName>
    <definedName name="공사원가계산서" localSheetId="8" hidden="1">{#N/A,#N/A,TRUE,"토적및재료집계";#N/A,#N/A,TRUE,"토적및재료집계";#N/A,#N/A,TRUE,"단위량"}</definedName>
    <definedName name="공사원가계산서" hidden="1">{#N/A,#N/A,TRUE,"토적및재료집계";#N/A,#N/A,TRUE,"토적및재료집계";#N/A,#N/A,TRUE,"단위량"}</definedName>
    <definedName name="공양식" localSheetId="1" hidden="1">{#N/A,#N/A,FALSE,"교리2"}</definedName>
    <definedName name="공양식" localSheetId="2" hidden="1">{#N/A,#N/A,FALSE,"교리2"}</definedName>
    <definedName name="공양식" localSheetId="8" hidden="1">{#N/A,#N/A,FALSE,"교리2"}</definedName>
    <definedName name="공양식" hidden="1">{#N/A,#N/A,FALSE,"교리2"}</definedName>
    <definedName name="공정계획" localSheetId="1" hidden="1">{#N/A,#N/A,FALSE,"이태원철근"}</definedName>
    <definedName name="공정계획" localSheetId="2" hidden="1">{#N/A,#N/A,FALSE,"이태원철근"}</definedName>
    <definedName name="공정계획" localSheetId="8" hidden="1">{#N/A,#N/A,FALSE,"이태원철근"}</definedName>
    <definedName name="공정계획" hidden="1">{#N/A,#N/A,FALSE,"이태원철근"}</definedName>
    <definedName name="공정표" localSheetId="1" hidden="1">{#N/A,#N/A,FALSE,"사업총괄";#N/A,#N/A,FALSE,"장비사업";#N/A,#N/A,FALSE,"철구사업";#N/A,#N/A,FALSE,"준설사업"}</definedName>
    <definedName name="공정표" localSheetId="2" hidden="1">{#N/A,#N/A,FALSE,"사업총괄";#N/A,#N/A,FALSE,"장비사업";#N/A,#N/A,FALSE,"철구사업";#N/A,#N/A,FALSE,"준설사업"}</definedName>
    <definedName name="공정표" localSheetId="8" hidden="1">{#N/A,#N/A,FALSE,"사업총괄";#N/A,#N/A,FALSE,"장비사업";#N/A,#N/A,FALSE,"철구사업";#N/A,#N/A,FALSE,"준설사업"}</definedName>
    <definedName name="공정표" hidden="1">{#N/A,#N/A,FALSE,"사업총괄";#N/A,#N/A,FALSE,"장비사업";#N/A,#N/A,FALSE,"철구사업";#N/A,#N/A,FALSE,"준설사업"}</definedName>
    <definedName name="공종별"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localSheetId="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localSheetId="1" hidden="1">{#N/A,#N/A,FALSE,"포장2"}</definedName>
    <definedName name="관리" localSheetId="2" hidden="1">{#N/A,#N/A,FALSE,"포장2"}</definedName>
    <definedName name="관리" localSheetId="8" hidden="1">{#N/A,#N/A,FALSE,"포장2"}</definedName>
    <definedName name="관리" hidden="1">{#N/A,#N/A,FALSE,"포장2"}</definedName>
    <definedName name="관리비" hidden="1">#REF!</definedName>
    <definedName name="관리비2" localSheetId="1" hidden="1">{#N/A,#N/A,FALSE,"갑지";#N/A,#N/A,FALSE,"개요";#N/A,#N/A,FALSE,"비목별";#N/A,#N/A,FALSE,"건물별";#N/A,#N/A,FALSE,"기구표";#N/A,#N/A,FALSE,"직원투입"}</definedName>
    <definedName name="관리비2" localSheetId="2" hidden="1">{#N/A,#N/A,FALSE,"갑지";#N/A,#N/A,FALSE,"개요";#N/A,#N/A,FALSE,"비목별";#N/A,#N/A,FALSE,"건물별";#N/A,#N/A,FALSE,"기구표";#N/A,#N/A,FALSE,"직원투입"}</definedName>
    <definedName name="관리비2" localSheetId="8"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교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localSheetId="1" hidden="1">{#N/A,#N/A,FALSE,"이태원철근"}</definedName>
    <definedName name="교동토목공사" localSheetId="2" hidden="1">{#N/A,#N/A,FALSE,"이태원철근"}</definedName>
    <definedName name="교동토목공사" localSheetId="8" hidden="1">{#N/A,#N/A,FALSE,"이태원철근"}</definedName>
    <definedName name="교동토목공사" hidden="1">{#N/A,#N/A,FALSE,"이태원철근"}</definedName>
    <definedName name="교좌" localSheetId="1" hidden="1">{#N/A,#N/A,FALSE,"포장2"}</definedName>
    <definedName name="교좌" localSheetId="2" hidden="1">{#N/A,#N/A,FALSE,"포장2"}</definedName>
    <definedName name="교좌" localSheetId="8" hidden="1">{#N/A,#N/A,FALSE,"포장2"}</definedName>
    <definedName name="교좌" hidden="1">{#N/A,#N/A,FALSE,"포장2"}</definedName>
    <definedName name="굗ㄱ" localSheetId="1" hidden="1">{#N/A,#N/A,FALSE,"Sheet6"}</definedName>
    <definedName name="굗ㄱ" localSheetId="2" hidden="1">{#N/A,#N/A,FALSE,"Sheet6"}</definedName>
    <definedName name="굗ㄱ" localSheetId="8" hidden="1">{#N/A,#N/A,FALSE,"Sheet6"}</definedName>
    <definedName name="굗ㄱ" hidden="1">{#N/A,#N/A,FALSE,"Sheet6"}</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1" hidden="1">{#N/A,#N/A,FALSE,"부대2"}</definedName>
    <definedName name="구룡대보2공구" localSheetId="2" hidden="1">{#N/A,#N/A,FALSE,"부대2"}</definedName>
    <definedName name="구룡대보2공구" localSheetId="8" hidden="1">{#N/A,#N/A,FALSE,"부대2"}</definedName>
    <definedName name="구룡대보2공구" hidden="1">{#N/A,#N/A,FALSE,"부대2"}</definedName>
    <definedName name="구본" localSheetId="1" hidden="1">{#N/A,#N/A,FALSE,"Sheet6"}</definedName>
    <definedName name="구본" localSheetId="2" hidden="1">{#N/A,#N/A,FALSE,"Sheet6"}</definedName>
    <definedName name="구본" localSheetId="8" hidden="1">{#N/A,#N/A,FALSE,"Sheet6"}</definedName>
    <definedName name="구본" hidden="1">{#N/A,#N/A,FALSE,"Sheet6"}</definedName>
    <definedName name="구산갑지" hidden="1">#REF!</definedName>
    <definedName name="구자관" localSheetId="1" hidden="1">{#N/A,#N/A,FALSE,"신청통보";#N/A,#N/A,FALSE,"기성확인서";#N/A,#N/A,FALSE,"기성내역서"}</definedName>
    <definedName name="구자관" localSheetId="2" hidden="1">{#N/A,#N/A,FALSE,"신청통보";#N/A,#N/A,FALSE,"기성확인서";#N/A,#N/A,FALSE,"기성내역서"}</definedName>
    <definedName name="구자관" localSheetId="8" hidden="1">{#N/A,#N/A,FALSE,"신청통보";#N/A,#N/A,FALSE,"기성확인서";#N/A,#N/A,FALSE,"기성내역서"}</definedName>
    <definedName name="구자관" hidden="1">{#N/A,#N/A,FALSE,"신청통보";#N/A,#N/A,FALSE,"기성확인서";#N/A,#N/A,FALSE,"기성내역서"}</definedName>
    <definedName name="국보" localSheetId="1" hidden="1">{#N/A,#N/A,FALSE,"Sheet6"}</definedName>
    <definedName name="국보" localSheetId="2" hidden="1">{#N/A,#N/A,FALSE,"Sheet6"}</definedName>
    <definedName name="국보" localSheetId="8" hidden="1">{#N/A,#N/A,FALSE,"Sheet6"}</definedName>
    <definedName name="국보" hidden="1">{#N/A,#N/A,FALSE,"Sheet6"}</definedName>
    <definedName name="굼융"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1" hidden="1">{#N/A,#N/A,FALSE,"포장2"}</definedName>
    <definedName name="금광추정" localSheetId="2" hidden="1">{#N/A,#N/A,FALSE,"포장2"}</definedName>
    <definedName name="금광추정" localSheetId="8" hidden="1">{#N/A,#N/A,FALSE,"포장2"}</definedName>
    <definedName name="금광추정" hidden="1">{#N/A,#N/A,FALSE,"포장2"}</definedName>
    <definedName name="금액대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1" hidden="1">{#N/A,#N/A,FALSE,"갑지";#N/A,#N/A,FALSE,"개요";#N/A,#N/A,FALSE,"비목별";#N/A,#N/A,FALSE,"건물별";#N/A,#N/A,FALSE,"기구표";#N/A,#N/A,FALSE,"직원투입"}</definedName>
    <definedName name="기" localSheetId="2" hidden="1">{#N/A,#N/A,FALSE,"갑지";#N/A,#N/A,FALSE,"개요";#N/A,#N/A,FALSE,"비목별";#N/A,#N/A,FALSE,"건물별";#N/A,#N/A,FALSE,"기구표";#N/A,#N/A,FALSE,"직원투입"}</definedName>
    <definedName name="기" localSheetId="8" hidden="1">{#N/A,#N/A,FALSE,"갑지";#N/A,#N/A,FALSE,"개요";#N/A,#N/A,FALSE,"비목별";#N/A,#N/A,FALSE,"건물별";#N/A,#N/A,FALSE,"기구표";#N/A,#N/A,FALSE,"직원투입"}</definedName>
    <definedName name="기" hidden="1">{#N/A,#N/A,FALSE,"갑지";#N/A,#N/A,FALSE,"개요";#N/A,#N/A,FALSE,"비목별";#N/A,#N/A,FALSE,"건물별";#N/A,#N/A,FALSE,"기구표";#N/A,#N/A,FALSE,"직원투입"}</definedName>
    <definedName name="기계1" localSheetId="1" hidden="1">{#N/A,#N/A,FALSE,"견적갑지";#N/A,#N/A,FALSE,"총괄표";#N/A,#N/A,FALSE,"철골공사";#N/A,#N/A,FALSE,"토목공사";#N/A,#N/A,FALSE,"판넬전기공사"}</definedName>
    <definedName name="기계1" localSheetId="2" hidden="1">{#N/A,#N/A,FALSE,"견적갑지";#N/A,#N/A,FALSE,"총괄표";#N/A,#N/A,FALSE,"철골공사";#N/A,#N/A,FALSE,"토목공사";#N/A,#N/A,FALSE,"판넬전기공사"}</definedName>
    <definedName name="기계1" localSheetId="8" hidden="1">{#N/A,#N/A,FALSE,"견적갑지";#N/A,#N/A,FALSE,"총괄표";#N/A,#N/A,FALSE,"철골공사";#N/A,#N/A,FALSE,"토목공사";#N/A,#N/A,FALSE,"판넬전기공사"}</definedName>
    <definedName name="기계1" hidden="1">{#N/A,#N/A,FALSE,"견적갑지";#N/A,#N/A,FALSE,"총괄표";#N/A,#N/A,FALSE,"철골공사";#N/A,#N/A,FALSE,"토목공사";#N/A,#N/A,FALSE,"판넬전기공사"}</definedName>
    <definedName name="기계2" localSheetId="1"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2" localSheetId="8"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localSheetId="1"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4" localSheetId="8"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localSheetId="1"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5" localSheetId="8"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localSheetId="1" hidden="1">{#N/A,#N/A,FALSE,"CCTV"}</definedName>
    <definedName name="기계주차" localSheetId="2" hidden="1">{#N/A,#N/A,FALSE,"CCTV"}</definedName>
    <definedName name="기계주차" localSheetId="8" hidden="1">{#N/A,#N/A,FALSE,"CCTV"}</definedName>
    <definedName name="기계주차" hidden="1">{#N/A,#N/A,FALSE,"CCTV"}</definedName>
    <definedName name="기계집계" localSheetId="1" hidden="1">{#N/A,#N/A,FALSE,"견적갑지";#N/A,#N/A,FALSE,"총괄표";#N/A,#N/A,FALSE,"철골공사";#N/A,#N/A,FALSE,"토목공사";#N/A,#N/A,FALSE,"판넬전기공사"}</definedName>
    <definedName name="기계집계" localSheetId="2" hidden="1">{#N/A,#N/A,FALSE,"견적갑지";#N/A,#N/A,FALSE,"총괄표";#N/A,#N/A,FALSE,"철골공사";#N/A,#N/A,FALSE,"토목공사";#N/A,#N/A,FALSE,"판넬전기공사"}</definedName>
    <definedName name="기계집계" localSheetId="8" hidden="1">{#N/A,#N/A,FALSE,"견적갑지";#N/A,#N/A,FALSE,"총괄표";#N/A,#N/A,FALSE,"철골공사";#N/A,#N/A,FALSE,"토목공사";#N/A,#N/A,FALSE,"판넬전기공사"}</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localSheetId="1" hidden="1">{#N/A,#N/A,FALSE,"CCTV"}</definedName>
    <definedName name="기성3" localSheetId="2" hidden="1">{#N/A,#N/A,FALSE,"CCTV"}</definedName>
    <definedName name="기성3" localSheetId="8" hidden="1">{#N/A,#N/A,FALSE,"CCTV"}</definedName>
    <definedName name="기성3" hidden="1">{#N/A,#N/A,FALSE,"CCTV"}</definedName>
    <definedName name="기술" localSheetId="1" hidden="1">{#N/A,#N/A,FALSE,"부대1"}</definedName>
    <definedName name="기술" localSheetId="2" hidden="1">{#N/A,#N/A,FALSE,"부대1"}</definedName>
    <definedName name="기술" localSheetId="8" hidden="1">{#N/A,#N/A,FALSE,"부대1"}</definedName>
    <definedName name="기술" hidden="1">{#N/A,#N/A,FALSE,"부대1"}</definedName>
    <definedName name="기타경비" localSheetId="1" hidden="1">{#N/A,#N/A,TRUE,"토적및재료집계";#N/A,#N/A,TRUE,"토적및재료집계";#N/A,#N/A,TRUE,"단위량"}</definedName>
    <definedName name="기타경비" localSheetId="2" hidden="1">{#N/A,#N/A,TRUE,"토적및재료집계";#N/A,#N/A,TRUE,"토적및재료집계";#N/A,#N/A,TRUE,"단위량"}</definedName>
    <definedName name="기타경비" localSheetId="8" hidden="1">{#N/A,#N/A,TRUE,"토적및재료집계";#N/A,#N/A,TRUE,"토적및재료집계";#N/A,#N/A,TRUE,"단위량"}</definedName>
    <definedName name="기타경비" hidden="1">{#N/A,#N/A,TRUE,"토적및재료집계";#N/A,#N/A,TRUE,"토적및재료집계";#N/A,#N/A,TRUE,"단위량"}</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8"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8"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localSheetId="1" hidden="1">{#N/A,#N/A,FALSE,"2~8번"}</definedName>
    <definedName name="김0" localSheetId="2" hidden="1">{#N/A,#N/A,FALSE,"2~8번"}</definedName>
    <definedName name="김0" localSheetId="8" hidden="1">{#N/A,#N/A,FALSE,"2~8번"}</definedName>
    <definedName name="김0" hidden="1">{#N/A,#N/A,FALSE,"2~8번"}</definedName>
    <definedName name="김1" localSheetId="1" hidden="1">{#N/A,#N/A,FALSE,"골재소요량";#N/A,#N/A,FALSE,"골재소요량"}</definedName>
    <definedName name="김1" localSheetId="2" hidden="1">{#N/A,#N/A,FALSE,"골재소요량";#N/A,#N/A,FALSE,"골재소요량"}</definedName>
    <definedName name="김1" localSheetId="8" hidden="1">{#N/A,#N/A,FALSE,"골재소요량";#N/A,#N/A,FALSE,"골재소요량"}</definedName>
    <definedName name="김1" hidden="1">{#N/A,#N/A,FALSE,"골재소요량";#N/A,#N/A,FALSE,"골재소요량"}</definedName>
    <definedName name="김5" localSheetId="1" hidden="1">{#N/A,#N/A,FALSE,"운반시간"}</definedName>
    <definedName name="김5" localSheetId="2" hidden="1">{#N/A,#N/A,FALSE,"운반시간"}</definedName>
    <definedName name="김5" localSheetId="8" hidden="1">{#N/A,#N/A,FALSE,"운반시간"}</definedName>
    <definedName name="김5" hidden="1">{#N/A,#N/A,FALSE,"운반시간"}</definedName>
    <definedName name="김6" localSheetId="1" hidden="1">{#N/A,#N/A,FALSE,"조골재"}</definedName>
    <definedName name="김6" localSheetId="2" hidden="1">{#N/A,#N/A,FALSE,"조골재"}</definedName>
    <definedName name="김6" localSheetId="8" hidden="1">{#N/A,#N/A,FALSE,"조골재"}</definedName>
    <definedName name="김6" hidden="1">{#N/A,#N/A,FALSE,"조골재"}</definedName>
    <definedName name="김병국임" localSheetId="1" hidden="1">{#N/A,#N/A,FALSE,"단가표지"}</definedName>
    <definedName name="김병국임" localSheetId="2" hidden="1">{#N/A,#N/A,FALSE,"단가표지"}</definedName>
    <definedName name="김병국임" localSheetId="8" hidden="1">{#N/A,#N/A,FALSE,"단가표지"}</definedName>
    <definedName name="김병국임" hidden="1">{#N/A,#N/A,FALSE,"단가표지"}</definedName>
    <definedName name="김봉만" localSheetId="1" hidden="1">{#N/A,#N/A,FALSE,"교리2"}</definedName>
    <definedName name="김봉만" localSheetId="2" hidden="1">{#N/A,#N/A,FALSE,"교리2"}</definedName>
    <definedName name="김봉만" localSheetId="8" hidden="1">{#N/A,#N/A,FALSE,"교리2"}</definedName>
    <definedName name="김봉만" hidden="1">{#N/A,#N/A,FALSE,"교리2"}</definedName>
    <definedName name="김승주" localSheetId="1" hidden="1">{#N/A,#N/A,FALSE,"교리2"}</definedName>
    <definedName name="김승주" localSheetId="2" hidden="1">{#N/A,#N/A,FALSE,"교리2"}</definedName>
    <definedName name="김승주" localSheetId="8" hidden="1">{#N/A,#N/A,FALSE,"교리2"}</definedName>
    <definedName name="김승주" hidden="1">{#N/A,#N/A,FALSE,"교리2"}</definedName>
    <definedName name="김영훈" localSheetId="1" hidden="1">{#N/A,#N/A,FALSE,"변경관리예산";#N/A,#N/A,FALSE,"변경장비예산";#N/A,#N/A,FALSE,"변경준설예산";#N/A,#N/A,FALSE,"변경철구예산"}</definedName>
    <definedName name="김영훈" localSheetId="2" hidden="1">{#N/A,#N/A,FALSE,"변경관리예산";#N/A,#N/A,FALSE,"변경장비예산";#N/A,#N/A,FALSE,"변경준설예산";#N/A,#N/A,FALSE,"변경철구예산"}</definedName>
    <definedName name="김영훈" localSheetId="8" hidden="1">{#N/A,#N/A,FALSE,"변경관리예산";#N/A,#N/A,FALSE,"변경장비예산";#N/A,#N/A,FALSE,"변경준설예산";#N/A,#N/A,FALSE,"변경철구예산"}</definedName>
    <definedName name="김영훈" hidden="1">{#N/A,#N/A,FALSE,"변경관리예산";#N/A,#N/A,FALSE,"변경장비예산";#N/A,#N/A,FALSE,"변경준설예산";#N/A,#N/A,FALSE,"변경철구예산"}</definedName>
    <definedName name="김중규" localSheetId="1" hidden="1">{#N/A,#N/A,FALSE,"이태원철근"}</definedName>
    <definedName name="김중규" localSheetId="2" hidden="1">{#N/A,#N/A,FALSE,"이태원철근"}</definedName>
    <definedName name="김중규" localSheetId="8" hidden="1">{#N/A,#N/A,FALSE,"이태원철근"}</definedName>
    <definedName name="김중규" hidden="1">{#N/A,#N/A,FALSE,"이태원철근"}</definedName>
    <definedName name="ㄳㄳㄳㄳ" localSheetId="1" hidden="1">{"'용역비'!$A$4:$C$8"}</definedName>
    <definedName name="ㄳㄳㄳㄳ" localSheetId="2" hidden="1">{"'용역비'!$A$4:$C$8"}</definedName>
    <definedName name="ㄳㄳㄳㄳ" localSheetId="8" hidden="1">{"'용역비'!$A$4:$C$8"}</definedName>
    <definedName name="ㄳㄳㄳㄳ" hidden="1">{"'용역비'!$A$4:$C$8"}</definedName>
    <definedName name="ㄳㄷ" localSheetId="1" hidden="1">{#N/A,#N/A,FALSE,"Sheet6"}</definedName>
    <definedName name="ㄳㄷ" localSheetId="2" hidden="1">{#N/A,#N/A,FALSE,"Sheet6"}</definedName>
    <definedName name="ㄳㄷ" localSheetId="8" hidden="1">{#N/A,#N/A,FALSE,"Sheet6"}</definedName>
    <definedName name="ㄳㄷ" hidden="1">{#N/A,#N/A,FALSE,"Sheet6"}</definedName>
    <definedName name="ㄴ" localSheetId="1" hidden="1">{"'장비'!$A$3:$M$12"}</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localSheetId="1" hidden="1">{#N/A,#N/A,FALSE,"집계표"}</definedName>
    <definedName name="ㄴㄱ솥ㅀ" localSheetId="2" hidden="1">{#N/A,#N/A,FALSE,"집계표"}</definedName>
    <definedName name="ㄴㄱ솥ㅀ" localSheetId="8" hidden="1">{#N/A,#N/A,FALSE,"집계표"}</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localSheetId="1" hidden="1">{#N/A,#N/A,FALSE,"집계표"}</definedName>
    <definedName name="ㄴㄴㅎ" localSheetId="2" hidden="1">{#N/A,#N/A,FALSE,"집계표"}</definedName>
    <definedName name="ㄴㄴㅎ" localSheetId="8" hidden="1">{#N/A,#N/A,FALSE,"집계표"}</definedName>
    <definedName name="ㄴㄴㅎ" hidden="1">{#N/A,#N/A,FALSE,"집계표"}</definedName>
    <definedName name="ㄴ너넌ㄱㅎ" localSheetId="1" hidden="1">{#N/A,#N/A,FALSE,"집계표"}</definedName>
    <definedName name="ㄴ너넌ㄱㅎ" localSheetId="2" hidden="1">{#N/A,#N/A,FALSE,"집계표"}</definedName>
    <definedName name="ㄴ너넌ㄱㅎ" localSheetId="8" hidden="1">{#N/A,#N/A,FALSE,"집계표"}</definedName>
    <definedName name="ㄴ너넌ㄱㅎ" hidden="1">{#N/A,#N/A,FALSE,"집계표"}</definedName>
    <definedName name="ㄴ눀너노" localSheetId="1" hidden="1">{#N/A,#N/A,FALSE,"집계표"}</definedName>
    <definedName name="ㄴ눀너노" localSheetId="2" hidden="1">{#N/A,#N/A,FALSE,"집계표"}</definedName>
    <definedName name="ㄴ눀너노" localSheetId="8" hidden="1">{#N/A,#N/A,FALSE,"집계표"}</definedName>
    <definedName name="ㄴ눀너노" hidden="1">{#N/A,#N/A,FALSE,"집계표"}</definedName>
    <definedName name="ㄴㄶ" localSheetId="1" hidden="1">{#N/A,#N/A,FALSE,"집계표"}</definedName>
    <definedName name="ㄴㄶ" localSheetId="2" hidden="1">{#N/A,#N/A,FALSE,"집계표"}</definedName>
    <definedName name="ㄴㄶ" localSheetId="8" hidden="1">{#N/A,#N/A,FALSE,"집계표"}</definedName>
    <definedName name="ㄴㄶ" hidden="1">{#N/A,#N/A,FALSE,"집계표"}</definedName>
    <definedName name="ㄴㄷㄱㅈ" localSheetId="1" hidden="1">{#N/A,#N/A,FALSE,"Sheet6"}</definedName>
    <definedName name="ㄴㄷㄱㅈ" localSheetId="2" hidden="1">{#N/A,#N/A,FALSE,"Sheet6"}</definedName>
    <definedName name="ㄴㄷㄱㅈ" localSheetId="8" hidden="1">{#N/A,#N/A,FALSE,"Sheet6"}</definedName>
    <definedName name="ㄴㄷㄱㅈ" hidden="1">{#N/A,#N/A,FALSE,"Sheet6"}</definedName>
    <definedName name="ㄴㄷㄹ" localSheetId="1" hidden="1">{#N/A,#N/A,FALSE,"Sheet1"}</definedName>
    <definedName name="ㄴㄷㄹ" localSheetId="2" hidden="1">{#N/A,#N/A,FALSE,"Sheet1"}</definedName>
    <definedName name="ㄴㄷㄹ" localSheetId="8" hidden="1">{#N/A,#N/A,FALSE,"Sheet1"}</definedName>
    <definedName name="ㄴㄷㄹ" hidden="1">{#N/A,#N/A,FALSE,"Sheet1"}</definedName>
    <definedName name="ㄴㄹ" localSheetId="1" hidden="1">{#N/A,#N/A,FALSE,"집계표"}</definedName>
    <definedName name="ㄴㄹ" localSheetId="2" hidden="1">{#N/A,#N/A,FALSE,"집계표"}</definedName>
    <definedName name="ㄴㄹ" localSheetId="8" hidden="1">{#N/A,#N/A,FALSE,"집계표"}</definedName>
    <definedName name="ㄴㄹ" hidden="1">{#N/A,#N/A,FALSE,"집계표"}</definedName>
    <definedName name="ㄴㄹㅇㄹㅇㄴ" localSheetId="1" hidden="1">{#N/A,#N/A,FALSE,"Aging Summary";#N/A,#N/A,FALSE,"Ratio Analysis";#N/A,#N/A,FALSE,"Test 120 Day Accts";#N/A,#N/A,FALSE,"Tickmarks"}</definedName>
    <definedName name="ㄴㄹㅇㄹㅇㄴ" localSheetId="2" hidden="1">{#N/A,#N/A,FALSE,"Aging Summary";#N/A,#N/A,FALSE,"Ratio Analysis";#N/A,#N/A,FALSE,"Test 120 Day Accts";#N/A,#N/A,FALSE,"Tickmarks"}</definedName>
    <definedName name="ㄴㄹㅇㄹㅇㄴ" localSheetId="8" hidden="1">{#N/A,#N/A,FALSE,"Aging Summary";#N/A,#N/A,FALSE,"Ratio Analysis";#N/A,#N/A,FALSE,"Test 120 Day Accts";#N/A,#N/A,FALSE,"Tickmarks"}</definedName>
    <definedName name="ㄴㄹㅇㄹㅇㄴ" hidden="1">{#N/A,#N/A,FALSE,"Aging Summary";#N/A,#N/A,FALSE,"Ratio Analysis";#N/A,#N/A,FALSE,"Test 120 Day Accts";#N/A,#N/A,FALSE,"Tickmarks"}</definedName>
    <definedName name="ㄴㄹㅇ호" localSheetId="1" hidden="1">{#N/A,#N/A,FALSE,"집계표"}</definedName>
    <definedName name="ㄴㄹㅇ호" localSheetId="2" hidden="1">{#N/A,#N/A,FALSE,"집계표"}</definedName>
    <definedName name="ㄴㄹㅇ호" localSheetId="8" hidden="1">{#N/A,#N/A,FALSE,"집계표"}</definedName>
    <definedName name="ㄴㄹㅇ호" hidden="1">{#N/A,#N/A,FALSE,"집계표"}</definedName>
    <definedName name="ㄴㅁ" localSheetId="1" hidden="1">#REF!</definedName>
    <definedName name="ㄴㅁ" hidden="1">#REF!</definedName>
    <definedName name="ㄴㅁㄴㅇㄹ" localSheetId="1" hidden="1">{#N/A,#N/A,FALSE,"집계표"}</definedName>
    <definedName name="ㄴㅁㄴㅇㄹ" localSheetId="2" hidden="1">{#N/A,#N/A,FALSE,"집계표"}</definedName>
    <definedName name="ㄴㅁㄴㅇㄹ" localSheetId="8" hidden="1">{#N/A,#N/A,FALSE,"집계표"}</definedName>
    <definedName name="ㄴㅁㄴㅇㄹ" hidden="1">{#N/A,#N/A,FALSE,"집계표"}</definedName>
    <definedName name="ㄴㅁㄹ아ㅣㅏ" localSheetId="1" hidden="1">{#N/A,#N/A,FALSE,"집계표"}</definedName>
    <definedName name="ㄴㅁㄹ아ㅣㅏ" localSheetId="2" hidden="1">{#N/A,#N/A,FALSE,"집계표"}</definedName>
    <definedName name="ㄴㅁㄹ아ㅣㅏ" localSheetId="8" hidden="1">{#N/A,#N/A,FALSE,"집계표"}</definedName>
    <definedName name="ㄴㅁㄹ아ㅣㅏ" hidden="1">{#N/A,#N/A,FALSE,"집계표"}</definedName>
    <definedName name="ㄴㅁㅇㄹ" localSheetId="1" hidden="1">{#N/A,#N/A,FALSE,"집계표"}</definedName>
    <definedName name="ㄴㅁㅇㄹ" localSheetId="2" hidden="1">{#N/A,#N/A,FALSE,"집계표"}</definedName>
    <definedName name="ㄴㅁㅇㄹ" localSheetId="8" hidden="1">{#N/A,#N/A,FALSE,"집계표"}</definedName>
    <definedName name="ㄴㅁㅇㄹ" hidden="1">{#N/A,#N/A,FALSE,"집계표"}</definedName>
    <definedName name="ㄴㅁㅇ라ㅓ" localSheetId="1" hidden="1">{#N/A,#N/A,FALSE,"집계표"}</definedName>
    <definedName name="ㄴㅁㅇ라ㅓ" localSheetId="2" hidden="1">{#N/A,#N/A,FALSE,"집계표"}</definedName>
    <definedName name="ㄴㅁㅇ라ㅓ" localSheetId="8" hidden="1">{#N/A,#N/A,FALSE,"집계표"}</definedName>
    <definedName name="ㄴㅁㅇ라ㅓ" hidden="1">{#N/A,#N/A,FALSE,"집계표"}</definedName>
    <definedName name="ㄴㅁ아겈" localSheetId="1" hidden="1">{#N/A,#N/A,FALSE,"집계표"}</definedName>
    <definedName name="ㄴㅁ아겈" localSheetId="2" hidden="1">{#N/A,#N/A,FALSE,"집계표"}</definedName>
    <definedName name="ㄴㅁ아겈" localSheetId="8" hidden="1">{#N/A,#N/A,FALSE,"집계표"}</definedName>
    <definedName name="ㄴㅁ아겈" hidden="1">{#N/A,#N/A,FALSE,"집계표"}</definedName>
    <definedName name="ㄴㅁ아ㅓ린ㅁ" localSheetId="1" hidden="1">{#N/A,#N/A,FALSE,"집계표"}</definedName>
    <definedName name="ㄴㅁ아ㅓ린ㅁ" localSheetId="2" hidden="1">{#N/A,#N/A,FALSE,"집계표"}</definedName>
    <definedName name="ㄴㅁ아ㅓ린ㅁ" localSheetId="8" hidden="1">{#N/A,#N/A,FALSE,"집계표"}</definedName>
    <definedName name="ㄴㅁ아ㅓ린ㅁ" hidden="1">{#N/A,#N/A,FALSE,"집계표"}</definedName>
    <definedName name="ㄴ마ㅓㅇㅎ리ㅏㅇㄴ" localSheetId="1" hidden="1">{#N/A,#N/A,FALSE,"집계표"}</definedName>
    <definedName name="ㄴ마ㅓㅇㅎ리ㅏㅇㄴ" localSheetId="2" hidden="1">{#N/A,#N/A,FALSE,"집계표"}</definedName>
    <definedName name="ㄴ마ㅓㅇㅎ리ㅏㅇㄴ" localSheetId="8" hidden="1">{#N/A,#N/A,FALSE,"집계표"}</definedName>
    <definedName name="ㄴ마ㅓㅇㅎ리ㅏㅇㄴ" hidden="1">{#N/A,#N/A,FALSE,"집계표"}</definedName>
    <definedName name="ㄴ뫃ㄴ오" localSheetId="1" hidden="1">{#N/A,#N/A,FALSE,"집계표"}</definedName>
    <definedName name="ㄴ뫃ㄴ오" localSheetId="2" hidden="1">{#N/A,#N/A,FALSE,"집계표"}</definedName>
    <definedName name="ㄴ뫃ㄴ오" localSheetId="8" hidden="1">{#N/A,#N/A,FALSE,"집계표"}</definedName>
    <definedName name="ㄴ뫃ㄴ오" hidden="1">{#N/A,#N/A,FALSE,"집계표"}</definedName>
    <definedName name="ㄴㅇ" hidden="1">#REF!</definedName>
    <definedName name="ㄴㅇ다ㅓㅀㅌ" localSheetId="1" hidden="1">{#N/A,#N/A,FALSE,"집계표"}</definedName>
    <definedName name="ㄴㅇ다ㅓㅀㅌ" localSheetId="2" hidden="1">{#N/A,#N/A,FALSE,"집계표"}</definedName>
    <definedName name="ㄴㅇ다ㅓㅀㅌ" localSheetId="8" hidden="1">{#N/A,#N/A,FALSE,"집계표"}</definedName>
    <definedName name="ㄴㅇ다ㅓㅀㅌ" hidden="1">{#N/A,#N/A,FALSE,"집계표"}</definedName>
    <definedName name="ㄴㅇ닳ㅌ처" localSheetId="1" hidden="1">{#N/A,#N/A,FALSE,"집계표"}</definedName>
    <definedName name="ㄴㅇ닳ㅌ처" localSheetId="2" hidden="1">{#N/A,#N/A,FALSE,"집계표"}</definedName>
    <definedName name="ㄴㅇ닳ㅌ처" localSheetId="8" hidden="1">{#N/A,#N/A,FALSE,"집계표"}</definedName>
    <definedName name="ㄴㅇ닳ㅌ처" hidden="1">{#N/A,#N/A,FALSE,"집계표"}</definedName>
    <definedName name="ㄴㅇㄹ" hidden="1">#REF!</definedName>
    <definedName name="ㄴㅇㄹㄴ" localSheetId="1" hidden="1">{#N/A,#N/A,FALSE,"사업총괄";#N/A,#N/A,FALSE,"장비사업";#N/A,#N/A,FALSE,"철구사업";#N/A,#N/A,FALSE,"준설사업"}</definedName>
    <definedName name="ㄴㅇㄹㄴ" localSheetId="2" hidden="1">{#N/A,#N/A,FALSE,"사업총괄";#N/A,#N/A,FALSE,"장비사업";#N/A,#N/A,FALSE,"철구사업";#N/A,#N/A,FALSE,"준설사업"}</definedName>
    <definedName name="ㄴㅇㄹㄴ" localSheetId="8" hidden="1">{#N/A,#N/A,FALSE,"사업총괄";#N/A,#N/A,FALSE,"장비사업";#N/A,#N/A,FALSE,"철구사업";#N/A,#N/A,FALSE,"준설사업"}</definedName>
    <definedName name="ㄴㅇㄹㄴ" hidden="1">{#N/A,#N/A,FALSE,"사업총괄";#N/A,#N/A,FALSE,"장비사업";#N/A,#N/A,FALSE,"철구사업";#N/A,#N/A,FALSE,"준설사업"}</definedName>
    <definedName name="ㄴㅇㄹㅇㄴ" hidden="1">#REF!</definedName>
    <definedName name="ㄴㅇㄹ하ㅓ" localSheetId="1" hidden="1">{#N/A,#N/A,FALSE,"집계표"}</definedName>
    <definedName name="ㄴㅇㄹ하ㅓ" localSheetId="2" hidden="1">{#N/A,#N/A,FALSE,"집계표"}</definedName>
    <definedName name="ㄴㅇㄹ하ㅓ" localSheetId="8" hidden="1">{#N/A,#N/A,FALSE,"집계표"}</definedName>
    <definedName name="ㄴㅇㄹ하ㅓ" hidden="1">{#N/A,#N/A,FALSE,"집계표"}</definedName>
    <definedName name="ㄴㅇㄹ헤ㅐㅇㅅㄱㄷ" localSheetId="1" hidden="1">{#N/A,#N/A,FALSE,"집계표"}</definedName>
    <definedName name="ㄴㅇㄹ헤ㅐㅇㅅㄱㄷ" localSheetId="2" hidden="1">{#N/A,#N/A,FALSE,"집계표"}</definedName>
    <definedName name="ㄴㅇㄹ헤ㅐㅇㅅㄱㄷ" localSheetId="8" hidden="1">{#N/A,#N/A,FALSE,"집계표"}</definedName>
    <definedName name="ㄴㅇㄹ헤ㅐㅇㅅㄱㄷ" hidden="1">{#N/A,#N/A,FALSE,"집계표"}</definedName>
    <definedName name="ㄴㅇㄹ호" localSheetId="1" hidden="1">{#N/A,#N/A,FALSE,"집계표"}</definedName>
    <definedName name="ㄴㅇㄹ호" localSheetId="2" hidden="1">{#N/A,#N/A,FALSE,"집계표"}</definedName>
    <definedName name="ㄴㅇㄹ호" localSheetId="8" hidden="1">{#N/A,#N/A,FALSE,"집계표"}</definedName>
    <definedName name="ㄴㅇㄹ호" hidden="1">{#N/A,#N/A,FALSE,"집계표"}</definedName>
    <definedName name="ㄴㅇㄹ히ㅏㅓ" localSheetId="1" hidden="1">{#N/A,#N/A,FALSE,"집계표"}</definedName>
    <definedName name="ㄴㅇㄹ히ㅏㅓ" localSheetId="2" hidden="1">{#N/A,#N/A,FALSE,"집계표"}</definedName>
    <definedName name="ㄴㅇㄹ히ㅏㅓ" localSheetId="8" hidden="1">{#N/A,#N/A,FALSE,"집계표"}</definedName>
    <definedName name="ㄴㅇㄹ히ㅏㅓ" hidden="1">{#N/A,#N/A,FALSE,"집계표"}</definedName>
    <definedName name="ㄴㅇㄹ히ㅏㅓㄴㅇㄹ하ㅓ" localSheetId="1" hidden="1">{#N/A,#N/A,FALSE,"집계표"}</definedName>
    <definedName name="ㄴㅇㄹ히ㅏㅓㄴㅇㄹ하ㅓ" localSheetId="2" hidden="1">{#N/A,#N/A,FALSE,"집계표"}</definedName>
    <definedName name="ㄴㅇㄹ히ㅏㅓㄴㅇㄹ하ㅓ" localSheetId="8" hidden="1">{#N/A,#N/A,FALSE,"집계표"}</definedName>
    <definedName name="ㄴㅇㄹ히ㅏㅓㄴㅇㄹ하ㅓ" hidden="1">{#N/A,#N/A,FALSE,"집계표"}</definedName>
    <definedName name="ㄴㅇ레ㅔㅔ" localSheetId="1" hidden="1">{#N/A,#N/A,FALSE,"집계표"}</definedName>
    <definedName name="ㄴㅇ레ㅔㅔ" localSheetId="2" hidden="1">{#N/A,#N/A,FALSE,"집계표"}</definedName>
    <definedName name="ㄴㅇ레ㅔㅔ" localSheetId="8" hidden="1">{#N/A,#N/A,FALSE,"집계표"}</definedName>
    <definedName name="ㄴㅇ레ㅔㅔ" hidden="1">{#N/A,#N/A,FALSE,"집계표"}</definedName>
    <definedName name="ㄴㅇ로" localSheetId="1" hidden="1">{#N/A,#N/A,FALSE,"집계표"}</definedName>
    <definedName name="ㄴㅇ로" localSheetId="2" hidden="1">{#N/A,#N/A,FALSE,"집계표"}</definedName>
    <definedName name="ㄴㅇ로" localSheetId="8" hidden="1">{#N/A,#N/A,FALSE,"집계표"}</definedName>
    <definedName name="ㄴㅇ로" hidden="1">{#N/A,#N/A,FALSE,"집계표"}</definedName>
    <definedName name="ㄴㅇㄻㅇㄴ" localSheetId="1" hidden="1">{#N/A,#N/A,FALSE,"집계표"}</definedName>
    <definedName name="ㄴㅇㄻㅇㄴ" localSheetId="2" hidden="1">{#N/A,#N/A,FALSE,"집계표"}</definedName>
    <definedName name="ㄴㅇㄻㅇㄴ" localSheetId="8" hidden="1">{#N/A,#N/A,FALSE,"집계표"}</definedName>
    <definedName name="ㄴㅇㄻㅇㄴ" hidden="1">{#N/A,#N/A,FALSE,"집계표"}</definedName>
    <definedName name="ㄴㅇㅀㄴ" localSheetId="1" hidden="1">{#N/A,#N/A,FALSE,"집계표"}</definedName>
    <definedName name="ㄴㅇㅀㄴ" localSheetId="2" hidden="1">{#N/A,#N/A,FALSE,"집계표"}</definedName>
    <definedName name="ㄴㅇㅀㄴ" localSheetId="8" hidden="1">{#N/A,#N/A,FALSE,"집계표"}</definedName>
    <definedName name="ㄴㅇㅀㄴ" hidden="1">{#N/A,#N/A,FALSE,"집계표"}</definedName>
    <definedName name="ㄴㅇㅀㄴㅇㅀ" hidden="1">#REF!</definedName>
    <definedName name="ㄴㅇㅀㄹ" localSheetId="1" hidden="1">{#N/A,#N/A,FALSE,"집계표"}</definedName>
    <definedName name="ㄴㅇㅀㄹ" localSheetId="2" hidden="1">{#N/A,#N/A,FALSE,"집계표"}</definedName>
    <definedName name="ㄴㅇㅀㄹ" localSheetId="8" hidden="1">{#N/A,#N/A,FALSE,"집계표"}</definedName>
    <definedName name="ㄴㅇㅀㄹ" hidden="1">{#N/A,#N/A,FALSE,"집계표"}</definedName>
    <definedName name="ㄴㅇㅀㅇ" localSheetId="1" hidden="1">{#N/A,#N/A,FALSE,"집계표"}</definedName>
    <definedName name="ㄴㅇㅀㅇ" localSheetId="2" hidden="1">{#N/A,#N/A,FALSE,"집계표"}</definedName>
    <definedName name="ㄴㅇㅀㅇ" localSheetId="8" hidden="1">{#N/A,#N/A,FALSE,"집계표"}</definedName>
    <definedName name="ㄴㅇㅀㅇ" hidden="1">{#N/A,#N/A,FALSE,"집계표"}</definedName>
    <definedName name="ㄴㅇㅀㅇㄶ" localSheetId="1" hidden="1">{#N/A,#N/A,FALSE,"집계표"}</definedName>
    <definedName name="ㄴㅇㅀㅇㄶ" localSheetId="2" hidden="1">{#N/A,#N/A,FALSE,"집계표"}</definedName>
    <definedName name="ㄴㅇㅀㅇㄶ" localSheetId="8" hidden="1">{#N/A,#N/A,FALSE,"집계표"}</definedName>
    <definedName name="ㄴㅇㅀㅇㄶ" hidden="1">{#N/A,#N/A,FALSE,"집계표"}</definedName>
    <definedName name="ㄴㅇㅁㅎ리ㅏㅓㅣ" localSheetId="1" hidden="1">{#N/A,#N/A,FALSE,"집계표"}</definedName>
    <definedName name="ㄴㅇㅁㅎ리ㅏㅓㅣ" localSheetId="2" hidden="1">{#N/A,#N/A,FALSE,"집계표"}</definedName>
    <definedName name="ㄴㅇㅁㅎ리ㅏㅓㅣ" localSheetId="8" hidden="1">{#N/A,#N/A,FALSE,"집계표"}</definedName>
    <definedName name="ㄴㅇㅁㅎ리ㅏㅓㅣ" hidden="1">{#N/A,#N/A,FALSE,"집계표"}</definedName>
    <definedName name="ㄴㅇㅅ" localSheetId="1" hidden="1">{#N/A,#N/A,FALSE,"집계표"}</definedName>
    <definedName name="ㄴㅇㅅ" localSheetId="2" hidden="1">{#N/A,#N/A,FALSE,"집계표"}</definedName>
    <definedName name="ㄴㅇㅅ" localSheetId="8" hidden="1">{#N/A,#N/A,FALSE,"집계표"}</definedName>
    <definedName name="ㄴㅇㅅ" hidden="1">{#N/A,#N/A,FALSE,"집계표"}</definedName>
    <definedName name="ㄴㅇㅇㄴㄱ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1" hidden="1">{#N/A,#N/A,FALSE,"CCTV"}</definedName>
    <definedName name="ㄴㅇㅇㄹ" localSheetId="2" hidden="1">{#N/A,#N/A,FALSE,"CCTV"}</definedName>
    <definedName name="ㄴㅇㅇㄹ" localSheetId="8" hidden="1">{#N/A,#N/A,FALSE,"CCTV"}</definedName>
    <definedName name="ㄴㅇㅇㄹ" hidden="1">{#N/A,#N/A,FALSE,"CCTV"}</definedName>
    <definedName name="ㄴㅇㅎㄴㄹㅇ" hidden="1">#REF!</definedName>
    <definedName name="ㄴㅇㅎㄹ" localSheetId="1" hidden="1">{#N/A,#N/A,FALSE,"집계표"}</definedName>
    <definedName name="ㄴㅇㅎㄹ" localSheetId="2" hidden="1">{#N/A,#N/A,FALSE,"집계표"}</definedName>
    <definedName name="ㄴㅇㅎㄹ" localSheetId="8" hidden="1">{#N/A,#N/A,FALSE,"집계표"}</definedName>
    <definedName name="ㄴㅇㅎㄹ" hidden="1">{#N/A,#N/A,FALSE,"집계표"}</definedName>
    <definedName name="ㄴㅇㅎ리ㅏ" localSheetId="1" hidden="1">{#N/A,#N/A,FALSE,"집계표"}</definedName>
    <definedName name="ㄴㅇㅎ리ㅏ" localSheetId="2" hidden="1">{#N/A,#N/A,FALSE,"집계표"}</definedName>
    <definedName name="ㄴㅇㅎ리ㅏ" localSheetId="8" hidden="1">{#N/A,#N/A,FALSE,"집계표"}</definedName>
    <definedName name="ㄴㅇㅎ리ㅏ" hidden="1">{#N/A,#N/A,FALSE,"집계표"}</definedName>
    <definedName name="ㄴㅇㅎ리ㅏㅓㅊㅌ" localSheetId="1" hidden="1">{#N/A,#N/A,FALSE,"집계표"}</definedName>
    <definedName name="ㄴㅇㅎ리ㅏㅓㅊㅌ" localSheetId="2" hidden="1">{#N/A,#N/A,FALSE,"집계표"}</definedName>
    <definedName name="ㄴㅇㅎ리ㅏㅓㅊㅌ" localSheetId="8" hidden="1">{#N/A,#N/A,FALSE,"집계표"}</definedName>
    <definedName name="ㄴㅇㅎ리ㅏㅓㅊㅌ" hidden="1">{#N/A,#N/A,FALSE,"집계표"}</definedName>
    <definedName name="ㄴ어" localSheetId="1" hidden="1">{#N/A,#N/A,FALSE,"집계표"}</definedName>
    <definedName name="ㄴ어" localSheetId="2" hidden="1">{#N/A,#N/A,FALSE,"집계표"}</definedName>
    <definedName name="ㄴ어" localSheetId="8" hidden="1">{#N/A,#N/A,FALSE,"집계표"}</definedName>
    <definedName name="ㄴ어" hidden="1">{#N/A,#N/A,FALSE,"집계표"}</definedName>
    <definedName name="ㄴ어ㅏ엉ㄹ" localSheetId="1" hidden="1">{#N/A,#N/A,FALSE,"집계표"}</definedName>
    <definedName name="ㄴ어ㅏ엉ㄹ" localSheetId="2" hidden="1">{#N/A,#N/A,FALSE,"집계표"}</definedName>
    <definedName name="ㄴ어ㅏ엉ㄹ" localSheetId="8" hidden="1">{#N/A,#N/A,FALSE,"집계표"}</definedName>
    <definedName name="ㄴ어ㅏ엉ㄹ" hidden="1">{#N/A,#N/A,FALSE,"집계표"}</definedName>
    <definedName name="ㄴ옿ㅅㄴㅇ" localSheetId="1" hidden="1">{#N/A,#N/A,FALSE,"집계표"}</definedName>
    <definedName name="ㄴ옿ㅅㄴㅇ" localSheetId="2" hidden="1">{#N/A,#N/A,FALSE,"집계표"}</definedName>
    <definedName name="ㄴ옿ㅅㄴㅇ" localSheetId="8" hidden="1">{#N/A,#N/A,FALSE,"집계표"}</definedName>
    <definedName name="ㄴ옿ㅅㄴㅇ" hidden="1">{#N/A,#N/A,FALSE,"집계표"}</definedName>
    <definedName name="ㄴ이라ㅓㅎ" localSheetId="1" hidden="1">{#N/A,#N/A,FALSE,"집계표"}</definedName>
    <definedName name="ㄴ이라ㅓㅎ" localSheetId="2" hidden="1">{#N/A,#N/A,FALSE,"집계표"}</definedName>
    <definedName name="ㄴ이라ㅓㅎ" localSheetId="8" hidden="1">{#N/A,#N/A,FALSE,"집계표"}</definedName>
    <definedName name="ㄴ이라ㅓㅎ" hidden="1">{#N/A,#N/A,FALSE,"집계표"}</definedName>
    <definedName name="ㄴ이ㅏ렇" localSheetId="1" hidden="1">{#N/A,#N/A,FALSE,"집계표"}</definedName>
    <definedName name="ㄴ이ㅏ렇" localSheetId="2" hidden="1">{#N/A,#N/A,FALSE,"집계표"}</definedName>
    <definedName name="ㄴ이ㅏ렇" localSheetId="8" hidden="1">{#N/A,#N/A,FALSE,"집계표"}</definedName>
    <definedName name="ㄴ이ㅏ렇" hidden="1">{#N/A,#N/A,FALSE,"집계표"}</definedName>
    <definedName name="ㄴ이ㅏㅎ러" localSheetId="1" hidden="1">{#N/A,#N/A,FALSE,"집계표"}</definedName>
    <definedName name="ㄴ이ㅏㅎ러" localSheetId="2" hidden="1">{#N/A,#N/A,FALSE,"집계표"}</definedName>
    <definedName name="ㄴ이ㅏㅎ러" localSheetId="8" hidden="1">{#N/A,#N/A,FALSE,"집계표"}</definedName>
    <definedName name="ㄴ이ㅏㅎ러" hidden="1">{#N/A,#N/A,FALSE,"집계표"}</definedName>
    <definedName name="ㄴ이ㅏㅎ러ㅗ" localSheetId="1" hidden="1">{#N/A,#N/A,FALSE,"집계표"}</definedName>
    <definedName name="ㄴ이ㅏㅎ러ㅗ" localSheetId="2" hidden="1">{#N/A,#N/A,FALSE,"집계표"}</definedName>
    <definedName name="ㄴ이ㅏㅎ러ㅗ" localSheetId="8" hidden="1">{#N/A,#N/A,FALSE,"집계표"}</definedName>
    <definedName name="ㄴ이ㅏㅎ러ㅗ" hidden="1">{#N/A,#N/A,FALSE,"집계표"}</definedName>
    <definedName name="ㄴ잏라ㅓ" localSheetId="1" hidden="1">{#N/A,#N/A,FALSE,"집계표"}</definedName>
    <definedName name="ㄴ잏라ㅓ" localSheetId="2" hidden="1">{#N/A,#N/A,FALSE,"집계표"}</definedName>
    <definedName name="ㄴ잏라ㅓ" localSheetId="8" hidden="1">{#N/A,#N/A,FALSE,"집계표"}</definedName>
    <definedName name="ㄴ잏라ㅓ" hidden="1">{#N/A,#N/A,FALSE,"집계표"}</definedName>
    <definedName name="ㄴ잏라ㅓㅣㅏㅇㄴㅀ" localSheetId="1" hidden="1">{#N/A,#N/A,FALSE,"집계표"}</definedName>
    <definedName name="ㄴ잏라ㅓㅣㅏㅇㄴㅀ" localSheetId="2" hidden="1">{#N/A,#N/A,FALSE,"집계표"}</definedName>
    <definedName name="ㄴ잏라ㅓㅣㅏㅇㄴㅀ" localSheetId="8" hidden="1">{#N/A,#N/A,FALSE,"집계표"}</definedName>
    <definedName name="ㄴ잏라ㅓㅣㅏㅇㄴㅀ" hidden="1">{#N/A,#N/A,FALSE,"집계표"}</definedName>
    <definedName name="ㄴㅊㅌㅇㅍ" localSheetId="1" hidden="1">{#N/A,#N/A,FALSE,"집계표"}</definedName>
    <definedName name="ㄴㅊㅌㅇㅍ" localSheetId="2" hidden="1">{#N/A,#N/A,FALSE,"집계표"}</definedName>
    <definedName name="ㄴㅊㅌㅇㅍ" localSheetId="8" hidden="1">{#N/A,#N/A,FALSE,"집계표"}</definedName>
    <definedName name="ㄴㅊㅌㅇㅍ" hidden="1">{#N/A,#N/A,FALSE,"집계표"}</definedName>
    <definedName name="ㄴㅗㅎ" localSheetId="1" hidden="1">{#N/A,#N/A,FALSE,"집계표"}</definedName>
    <definedName name="ㄴㅗㅎ" localSheetId="2" hidden="1">{#N/A,#N/A,FALSE,"집계표"}</definedName>
    <definedName name="ㄴㅗㅎ" localSheetId="8" hidden="1">{#N/A,#N/A,FALSE,"집계표"}</definedName>
    <definedName name="ㄴㅗㅎ" hidden="1">{#N/A,#N/A,FALSE,"집계표"}</definedName>
    <definedName name="나" localSheetId="1" hidden="1">{#N/A,#N/A,FALSE,"교리2"}</definedName>
    <definedName name="나" localSheetId="2" hidden="1">{#N/A,#N/A,FALSE,"교리2"}</definedName>
    <definedName name="나" localSheetId="8" hidden="1">{#N/A,#N/A,FALSE,"교리2"}</definedName>
    <definedName name="나" hidden="1">{#N/A,#N/A,FALSE,"교리2"}</definedName>
    <definedName name="나나너넌너" localSheetId="1" hidden="1">{#N/A,#N/A,FALSE,"집계표"}</definedName>
    <definedName name="나나너넌너" localSheetId="2" hidden="1">{#N/A,#N/A,FALSE,"집계표"}</definedName>
    <definedName name="나나너넌너" localSheetId="8" hidden="1">{#N/A,#N/A,FALSE,"집계표"}</definedName>
    <definedName name="나나너넌너" hidden="1">{#N/A,#N/A,FALSE,"집계표"}</definedName>
    <definedName name="나난" localSheetId="1" hidden="1">{#N/A,#N/A,FALSE,"주간공정";#N/A,#N/A,FALSE,"주간보고";#N/A,#N/A,FALSE,"주간공정표"}</definedName>
    <definedName name="나난" localSheetId="2" hidden="1">{#N/A,#N/A,FALSE,"주간공정";#N/A,#N/A,FALSE,"주간보고";#N/A,#N/A,FALSE,"주간공정표"}</definedName>
    <definedName name="나난" localSheetId="8" hidden="1">{#N/A,#N/A,FALSE,"주간공정";#N/A,#N/A,FALSE,"주간보고";#N/A,#N/A,FALSE,"주간공정표"}</definedName>
    <definedName name="나난" hidden="1">{#N/A,#N/A,FALSE,"주간공정";#N/A,#N/A,FALSE,"주간보고";#N/A,#N/A,FALSE,"주간공정표"}</definedName>
    <definedName name="나는" localSheetId="1" hidden="1">{#N/A,#N/A,FALSE,"집계표"}</definedName>
    <definedName name="나는" localSheetId="2" hidden="1">{#N/A,#N/A,FALSE,"집계표"}</definedName>
    <definedName name="나는" localSheetId="8" hidden="1">{#N/A,#N/A,FALSE,"집계표"}</definedName>
    <definedName name="나는" hidden="1">{#N/A,#N/A,FALSE,"집계표"}</definedName>
    <definedName name="나ㅏㅓ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1" hidden="1">{#N/A,#N/A,FALSE,"집계표"}</definedName>
    <definedName name="난ㄴ난나ㅏ난" localSheetId="2" hidden="1">{#N/A,#N/A,FALSE,"집계표"}</definedName>
    <definedName name="난ㄴ난나ㅏ난" localSheetId="8" hidden="1">{#N/A,#N/A,FALSE,"집계표"}</definedName>
    <definedName name="난ㄴ난나ㅏ난" hidden="1">{#N/A,#N/A,FALSE,"집계표"}</definedName>
    <definedName name="난나ㅏㄴ" localSheetId="1" hidden="1">{#N/A,#N/A,FALSE,"집계표"}</definedName>
    <definedName name="난나ㅏㄴ" localSheetId="2" hidden="1">{#N/A,#N/A,FALSE,"집계표"}</definedName>
    <definedName name="난나ㅏㄴ" localSheetId="8" hidden="1">{#N/A,#N/A,FALSE,"집계표"}</definedName>
    <definedName name="난나ㅏㄴ" hidden="1">{#N/A,#N/A,FALSE,"집계표"}</definedName>
    <definedName name="난느오늘" localSheetId="1" hidden="1">{#N/A,#N/A,FALSE,"집계표"}</definedName>
    <definedName name="난느오늘" localSheetId="2" hidden="1">{#N/A,#N/A,FALSE,"집계표"}</definedName>
    <definedName name="난느오늘" localSheetId="8" hidden="1">{#N/A,#N/A,FALSE,"집계표"}</definedName>
    <definedName name="난느오늘" hidden="1">{#N/A,#N/A,FALSE,"집계표"}</definedName>
    <definedName name="남남" hidden="1">#REF!</definedName>
    <definedName name="내역" localSheetId="1" hidden="1">{#N/A,#N/A,FALSE,"CCTV"}</definedName>
    <definedName name="내역" localSheetId="2" hidden="1">{#N/A,#N/A,FALSE,"CCTV"}</definedName>
    <definedName name="내역" localSheetId="8" hidden="1">{#N/A,#N/A,FALSE,"CCTV"}</definedName>
    <definedName name="내역" hidden="1">{#N/A,#N/A,FALSE,"CCTV"}</definedName>
    <definedName name="내역산출근거" localSheetId="1" hidden="1">{#N/A,#N/A,TRUE,"1";#N/A,#N/A,TRUE,"2";#N/A,#N/A,TRUE,"3";#N/A,#N/A,TRUE,"4";#N/A,#N/A,TRUE,"5";#N/A,#N/A,TRUE,"6";#N/A,#N/A,TRUE,"7"}</definedName>
    <definedName name="내역산출근거" localSheetId="2" hidden="1">{#N/A,#N/A,TRUE,"1";#N/A,#N/A,TRUE,"2";#N/A,#N/A,TRUE,"3";#N/A,#N/A,TRUE,"4";#N/A,#N/A,TRUE,"5";#N/A,#N/A,TRUE,"6";#N/A,#N/A,TRUE,"7"}</definedName>
    <definedName name="내역산출근거" localSheetId="8" hidden="1">{#N/A,#N/A,TRUE,"1";#N/A,#N/A,TRUE,"2";#N/A,#N/A,TRUE,"3";#N/A,#N/A,TRUE,"4";#N/A,#N/A,TRUE,"5";#N/A,#N/A,TRUE,"6";#N/A,#N/A,TRUE,"7"}</definedName>
    <definedName name="내역산출근거" hidden="1">{#N/A,#N/A,TRUE,"1";#N/A,#N/A,TRUE,"2";#N/A,#N/A,TRUE,"3";#N/A,#N/A,TRUE,"4";#N/A,#N/A,TRUE,"5";#N/A,#N/A,TRUE,"6";#N/A,#N/A,TRUE,"7"}</definedName>
    <definedName name="내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1" hidden="1">{#N/A,#N/A,FALSE,"CCTV"}</definedName>
    <definedName name="냐ㅡ내ㅜ" localSheetId="2" hidden="1">{#N/A,#N/A,FALSE,"CCTV"}</definedName>
    <definedName name="냐ㅡ내ㅜ" localSheetId="8" hidden="1">{#N/A,#N/A,FALSE,"CCTV"}</definedName>
    <definedName name="냐ㅡ내ㅜ" hidden="1">{#N/A,#N/A,FALSE,"CCTV"}</definedName>
    <definedName name="너를" localSheetId="1" hidden="1">{#N/A,#N/A,FALSE,"집계표"}</definedName>
    <definedName name="너를" localSheetId="2" hidden="1">{#N/A,#N/A,FALSE,"집계표"}</definedName>
    <definedName name="너를" localSheetId="8" hidden="1">{#N/A,#N/A,FALSE,"집계표"}</definedName>
    <definedName name="너를" hidden="1">{#N/A,#N/A,FALSE,"집계표"}</definedName>
    <definedName name="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1" hidden="1">{#N/A,#N/A,FALSE,"Sheet6"}</definedName>
    <definedName name="논현동외" localSheetId="2" hidden="1">{#N/A,#N/A,FALSE,"Sheet6"}</definedName>
    <definedName name="논현동외" localSheetId="8" hidden="1">{#N/A,#N/A,FALSE,"Sheet6"}</definedName>
    <definedName name="논현동외" hidden="1">{#N/A,#N/A,FALSE,"Sheet6"}</definedName>
    <definedName name="놓ㄹㅇ" localSheetId="1" hidden="1">{#N/A,#N/A,FALSE,"집계표"}</definedName>
    <definedName name="놓ㄹㅇ" localSheetId="2" hidden="1">{#N/A,#N/A,FALSE,"집계표"}</definedName>
    <definedName name="놓ㄹㅇ" localSheetId="8" hidden="1">{#N/A,#N/A,FALSE,"집계표"}</definedName>
    <definedName name="놓ㄹㅇ" hidden="1">{#N/A,#N/A,FALSE,"집계표"}</definedName>
    <definedName name="뇫" localSheetId="1" hidden="1">{#N/A,#N/A,FALSE,"집계표"}</definedName>
    <definedName name="뇫" localSheetId="2" hidden="1">{#N/A,#N/A,FALSE,"집계표"}</definedName>
    <definedName name="뇫" localSheetId="8" hidden="1">{#N/A,#N/A,FALSE,"집계표"}</definedName>
    <definedName name="뇫" hidden="1">{#N/A,#N/A,FALSE,"집계표"}</definedName>
    <definedName name="늘푸른쉼나무" localSheetId="1" hidden="1">{#N/A,#N/A,FALSE,"이태원철근"}</definedName>
    <definedName name="늘푸른쉼나무" localSheetId="2" hidden="1">{#N/A,#N/A,FALSE,"이태원철근"}</definedName>
    <definedName name="늘푸른쉼나무" localSheetId="8" hidden="1">{#N/A,#N/A,FALSE,"이태원철근"}</definedName>
    <definedName name="늘푸른쉼나무" hidden="1">{#N/A,#N/A,FALSE,"이태원철근"}</definedName>
    <definedName name="니기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1" hidden="1">{#N/A,#N/A,FALSE,"주간공정";#N/A,#N/A,FALSE,"주간보고";#N/A,#N/A,FALSE,"주간공정표"}</definedName>
    <definedName name="니니ㅣㄴ" localSheetId="2" hidden="1">{#N/A,#N/A,FALSE,"주간공정";#N/A,#N/A,FALSE,"주간보고";#N/A,#N/A,FALSE,"주간공정표"}</definedName>
    <definedName name="니니ㅣㄴ" localSheetId="8" hidden="1">{#N/A,#N/A,FALSE,"주간공정";#N/A,#N/A,FALSE,"주간보고";#N/A,#N/A,FALSE,"주간공정표"}</definedName>
    <definedName name="니니ㅣㄴ" hidden="1">{#N/A,#N/A,FALSE,"주간공정";#N/A,#N/A,FALSE,"주간보고";#N/A,#N/A,FALSE,"주간공정표"}</definedName>
    <definedName name="ㄶ" localSheetId="1" hidden="1">{#N/A,#N/A,FALSE,"집계표"}</definedName>
    <definedName name="ㄶ" localSheetId="2" hidden="1">{#N/A,#N/A,FALSE,"집계표"}</definedName>
    <definedName name="ㄶ" localSheetId="8" hidden="1">{#N/A,#N/A,FALSE,"집계표"}</definedName>
    <definedName name="ㄶ" hidden="1">{#N/A,#N/A,FALSE,"집계표"}</definedName>
    <definedName name="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1" hidden="1">{"'장비'!$A$3:$M$12"}</definedName>
    <definedName name="ㄷㄳ" localSheetId="2" hidden="1">{#N/A,#N/A,FALSE,"Sheet1"}</definedName>
    <definedName name="ㄷㄳ" localSheetId="8" hidden="1">{#N/A,#N/A,FALSE,"Sheet1"}</definedName>
    <definedName name="ㄷㄳ" hidden="1">{#N/A,#N/A,FALSE,"Sheet1"}</definedName>
    <definedName name="ㄷ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1" hidden="1">{"'장비'!$A$3:$M$12"}</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localSheetId="1" hidden="1">{#N/A,#N/A,FALSE,"집계표"}</definedName>
    <definedName name="ㄷㅇㅊ" localSheetId="2" hidden="1">{#N/A,#N/A,FALSE,"집계표"}</definedName>
    <definedName name="ㄷㅇㅊ" localSheetId="8" hidden="1">{#N/A,#N/A,FALSE,"집계표"}</definedName>
    <definedName name="ㄷㅇㅊ" hidden="1">{#N/A,#N/A,FALSE,"집계표"}</definedName>
    <definedName name="ㄷㅈㄱ" localSheetId="1" hidden="1">{#N/A,#N/A,FALSE,"포장1";#N/A,#N/A,FALSE,"포장1"}</definedName>
    <definedName name="ㄷㅈㄱ" localSheetId="2" hidden="1">{#N/A,#N/A,FALSE,"포장1";#N/A,#N/A,FALSE,"포장1"}</definedName>
    <definedName name="ㄷㅈㄱ" localSheetId="8" hidden="1">{#N/A,#N/A,FALSE,"포장1";#N/A,#N/A,FALSE,"포장1"}</definedName>
    <definedName name="ㄷㅈㄱ" hidden="1">{#N/A,#N/A,FALSE,"포장1";#N/A,#N/A,FALSE,"포장1"}</definedName>
    <definedName name="ㄷㅈ거" localSheetId="1" hidden="1">{#N/A,#N/A,FALSE,"집계표"}</definedName>
    <definedName name="ㄷㅈ거" localSheetId="2" hidden="1">{#N/A,#N/A,FALSE,"집계표"}</definedName>
    <definedName name="ㄷㅈ거" localSheetId="8" hidden="1">{#N/A,#N/A,FALSE,"집계표"}</definedName>
    <definedName name="ㄷㅈ거" hidden="1">{#N/A,#N/A,FALSE,"집계표"}</definedName>
    <definedName name="ㄷㅈㄹㄷㅈ" hidden="1">#REF!</definedName>
    <definedName name="ㄷㅈㅂㄷ" localSheetId="1" hidden="1">{"'장비'!$A$3:$M$12"}</definedName>
    <definedName name="ㄷㅈㅂㄷ" localSheetId="2" hidden="1">{"'장비'!$A$3:$M$12"}</definedName>
    <definedName name="ㄷㅈㅂㄷ" localSheetId="8" hidden="1">{"'장비'!$A$3:$M$12"}</definedName>
    <definedName name="ㄷㅈㅂㄷ" hidden="1">{"'장비'!$A$3:$M$12"}</definedName>
    <definedName name="ㄷㅎㄹㅇ" hidden="1">#REF!</definedName>
    <definedName name="다" localSheetId="1" hidden="1">{#N/A,#N/A,FALSE,"표지목차"}</definedName>
    <definedName name="다" localSheetId="2" hidden="1">{#N/A,#N/A,FALSE,"표지목차"}</definedName>
    <definedName name="다" localSheetId="8" hidden="1">{#N/A,#N/A,FALSE,"표지목차"}</definedName>
    <definedName name="다" hidden="1">{#N/A,#N/A,FALSE,"표지목차"}</definedName>
    <definedName name="다라" localSheetId="1" hidden="1">{#N/A,#N/A,FALSE,"표지목차"}</definedName>
    <definedName name="다라" localSheetId="2" hidden="1">{#N/A,#N/A,FALSE,"표지목차"}</definedName>
    <definedName name="다라" localSheetId="8" hidden="1">{#N/A,#N/A,FALSE,"표지목차"}</definedName>
    <definedName name="다라" hidden="1">{#N/A,#N/A,FALSE,"표지목차"}</definedName>
    <definedName name="단ㄱ" localSheetId="1" hidden="1">{#N/A,#N/A,FALSE,"전력간선"}</definedName>
    <definedName name="단ㄱ" localSheetId="2" hidden="1">{#N/A,#N/A,FALSE,"전력간선"}</definedName>
    <definedName name="단ㄱ" localSheetId="8" hidden="1">{#N/A,#N/A,FALSE,"전력간선"}</definedName>
    <definedName name="단ㄱ" hidden="1">{#N/A,#N/A,FALSE,"전력간선"}</definedName>
    <definedName name="단가대" hidden="1">#REF!</definedName>
    <definedName name="대구공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1" hidden="1">{#N/A,#N/A,FALSE,"주간공정";#N/A,#N/A,FALSE,"주간보고";#N/A,#N/A,FALSE,"주간공정표"}</definedName>
    <definedName name="대대대대대" localSheetId="2" hidden="1">{#N/A,#N/A,FALSE,"주간공정";#N/A,#N/A,FALSE,"주간보고";#N/A,#N/A,FALSE,"주간공정표"}</definedName>
    <definedName name="대대대대대" localSheetId="8" hidden="1">{#N/A,#N/A,FALSE,"주간공정";#N/A,#N/A,FALSE,"주간보고";#N/A,#N/A,FALSE,"주간공정표"}</definedName>
    <definedName name="대대대대대" hidden="1">{#N/A,#N/A,FALSE,"주간공정";#N/A,#N/A,FALSE,"주간보고";#N/A,#N/A,FALSE,"주간공정표"}</definedName>
    <definedName name="대비3" localSheetId="1" hidden="1">{"'용역비'!$A$4:$C$8"}</definedName>
    <definedName name="대비3" localSheetId="2" hidden="1">{"'용역비'!$A$4:$C$8"}</definedName>
    <definedName name="대비3" localSheetId="8" hidden="1">{"'용역비'!$A$4:$C$8"}</definedName>
    <definedName name="대비3" hidden="1">{"'용역비'!$A$4:$C$8"}</definedName>
    <definedName name="대표회의" localSheetId="1" hidden="1">{#N/A,#N/A,FALSE,"현장 NCR 분석";#N/A,#N/A,FALSE,"현장품질감사";#N/A,#N/A,FALSE,"현장품질감사"}</definedName>
    <definedName name="대표회의" localSheetId="2" hidden="1">{#N/A,#N/A,FALSE,"현장 NCR 분석";#N/A,#N/A,FALSE,"현장품질감사";#N/A,#N/A,FALSE,"현장품질감사"}</definedName>
    <definedName name="대표회의" localSheetId="8" hidden="1">{#N/A,#N/A,FALSE,"현장 NCR 분석";#N/A,#N/A,FALSE,"현장품질감사";#N/A,#N/A,FALSE,"현장품질감사"}</definedName>
    <definedName name="대표회의" hidden="1">{#N/A,#N/A,FALSE,"현장 NCR 분석";#N/A,#N/A,FALSE,"현장품질감사";#N/A,#N/A,FALSE,"현장품질감사"}</definedName>
    <definedName name="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1" hidden="1">{#N/A,#N/A,FALSE,"포장2"}</definedName>
    <definedName name="덕" localSheetId="2" hidden="1">{#N/A,#N/A,FALSE,"포장2"}</definedName>
    <definedName name="덕" localSheetId="8" hidden="1">{#N/A,#N/A,FALSE,"포장2"}</definedName>
    <definedName name="덕" hidden="1">{#N/A,#N/A,FALSE,"포장2"}</definedName>
    <definedName name="덕진" localSheetId="1" hidden="1">{#N/A,#N/A,FALSE,"포장2"}</definedName>
    <definedName name="덕진" localSheetId="2" hidden="1">{#N/A,#N/A,FALSE,"포장2"}</definedName>
    <definedName name="덕진" localSheetId="8" hidden="1">{#N/A,#N/A,FALSE,"포장2"}</definedName>
    <definedName name="덕진" hidden="1">{#N/A,#N/A,FALSE,"포장2"}</definedName>
    <definedName name="덕호" localSheetId="1" hidden="1">{#N/A,#N/A,FALSE,"포장2"}</definedName>
    <definedName name="덕호" localSheetId="2" hidden="1">{#N/A,#N/A,FALSE,"포장2"}</definedName>
    <definedName name="덕호" localSheetId="8" hidden="1">{#N/A,#N/A,FALSE,"포장2"}</definedName>
    <definedName name="덕호" hidden="1">{#N/A,#N/A,FALSE,"포장2"}</definedName>
    <definedName name="도급4"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localSheetId="1" hidden="1">#REF!</definedName>
    <definedName name="도면외주" hidden="1">#REF!</definedName>
    <definedName name="도면용역비" localSheetId="1" hidden="1">#REF!</definedName>
    <definedName name="도면용역비" hidden="1">#REF!</definedName>
    <definedName name="도배"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localSheetId="1" hidden="1">{#N/A,#N/A,FALSE,"Sheet1"}</definedName>
    <definedName name="도장" localSheetId="2" hidden="1">{#N/A,#N/A,FALSE,"Sheet1"}</definedName>
    <definedName name="도장" localSheetId="8" hidden="1">{#N/A,#N/A,FALSE,"Sheet1"}</definedName>
    <definedName name="도장" hidden="1">{#N/A,#N/A,FALSE,"Sheet1"}</definedName>
    <definedName name="독립기초" localSheetId="1" hidden="1">{#N/A,#N/A,FALSE,"기안지";#N/A,#N/A,FALSE,"통신지"}</definedName>
    <definedName name="독립기초" localSheetId="2" hidden="1">{#N/A,#N/A,FALSE,"기안지";#N/A,#N/A,FALSE,"통신지"}</definedName>
    <definedName name="독립기초" localSheetId="8" hidden="1">{#N/A,#N/A,FALSE,"기안지";#N/A,#N/A,FALSE,"통신지"}</definedName>
    <definedName name="독립기초" hidden="1">{#N/A,#N/A,FALSE,"기안지";#N/A,#N/A,FALSE,"통신지"}</definedName>
    <definedName name="독립기초토공수량산출" localSheetId="1" hidden="1">{#N/A,#N/A,FALSE,"기안지";#N/A,#N/A,FALSE,"통신지"}</definedName>
    <definedName name="독립기초토공수량산출" localSheetId="2" hidden="1">{#N/A,#N/A,FALSE,"기안지";#N/A,#N/A,FALSE,"통신지"}</definedName>
    <definedName name="독립기초토공수량산출" localSheetId="8" hidden="1">{#N/A,#N/A,FALSE,"기안지";#N/A,#N/A,FALSE,"통신지"}</definedName>
    <definedName name="독립기초토공수량산출" hidden="1">{#N/A,#N/A,FALSE,"기안지";#N/A,#N/A,FALSE,"통신지"}</definedName>
    <definedName name="동관"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1" hidden="1">{#N/A,#N/A,FALSE,"CCTV"}</definedName>
    <definedName name="동광" localSheetId="2" hidden="1">{#N/A,#N/A,FALSE,"CCTV"}</definedName>
    <definedName name="동광" localSheetId="8" hidden="1">{#N/A,#N/A,FALSE,"CCTV"}</definedName>
    <definedName name="동광" hidden="1">{#N/A,#N/A,FALSE,"CCTV"}</definedName>
    <definedName name="동구연숩" localSheetId="1" hidden="1">{#N/A,#N/A,FALSE,"전력간선"}</definedName>
    <definedName name="동구연숩" localSheetId="2" hidden="1">{#N/A,#N/A,FALSE,"전력간선"}</definedName>
    <definedName name="동구연숩" localSheetId="8" hidden="1">{#N/A,#N/A,FALSE,"전력간선"}</definedName>
    <definedName name="동구연숩" hidden="1">{#N/A,#N/A,FALSE,"전력간선"}</definedName>
    <definedName name="동력" localSheetId="1" hidden="1">{#N/A,#N/A,FALSE,"CCTV"}</definedName>
    <definedName name="동력" localSheetId="2" hidden="1">{#N/A,#N/A,FALSE,"CCTV"}</definedName>
    <definedName name="동력" localSheetId="8" hidden="1">{#N/A,#N/A,FALSE,"CCTV"}</definedName>
    <definedName name="동력" hidden="1">{#N/A,#N/A,FALSE,"CCTV"}</definedName>
    <definedName name="동명공통가설관리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1" hidden="1">{"'Sheet1'!$A$4:$M$21","'Sheet1'!$J$17:$K$19"}</definedName>
    <definedName name="동별" localSheetId="2" hidden="1">{"'Sheet1'!$A$4:$M$21","'Sheet1'!$J$17:$K$19"}</definedName>
    <definedName name="동별" localSheetId="8" hidden="1">{"'Sheet1'!$A$4:$M$21","'Sheet1'!$J$17:$K$19"}</definedName>
    <definedName name="동별" hidden="1">{"'Sheet1'!$A$4:$M$21","'Sheet1'!$J$17:$K$19"}</definedName>
    <definedName name="동별내역" localSheetId="1" hidden="1">{"'Sheet1'!$A$4:$M$21","'Sheet1'!$J$17:$K$19"}</definedName>
    <definedName name="동별내역" localSheetId="2" hidden="1">{"'Sheet1'!$A$4:$M$21","'Sheet1'!$J$17:$K$19"}</definedName>
    <definedName name="동별내역" localSheetId="8" hidden="1">{"'Sheet1'!$A$4:$M$21","'Sheet1'!$J$17:$K$19"}</definedName>
    <definedName name="동별내역" hidden="1">{"'Sheet1'!$A$4:$M$21","'Sheet1'!$J$17:$K$19"}</definedName>
    <definedName name="동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1" hidden="1">{#N/A,#N/A,FALSE,"견적갑지";#N/A,#N/A,FALSE,"총괄표";#N/A,#N/A,FALSE,"철골공사";#N/A,#N/A,FALSE,"토목공사";#N/A,#N/A,FALSE,"판넬전기공사"}</definedName>
    <definedName name="디" localSheetId="2" hidden="1">{#N/A,#N/A,FALSE,"견적갑지";#N/A,#N/A,FALSE,"총괄표";#N/A,#N/A,FALSE,"철골공사";#N/A,#N/A,FALSE,"토목공사";#N/A,#N/A,FALSE,"판넬전기공사"}</definedName>
    <definedName name="디" localSheetId="8" hidden="1">{#N/A,#N/A,FALSE,"견적갑지";#N/A,#N/A,FALSE,"총괄표";#N/A,#N/A,FALSE,"철골공사";#N/A,#N/A,FALSE,"토목공사";#N/A,#N/A,FALSE,"판넬전기공사"}</definedName>
    <definedName name="디" hidden="1">{#N/A,#N/A,FALSE,"견적갑지";#N/A,#N/A,FALSE,"총괄표";#N/A,#N/A,FALSE,"철골공사";#N/A,#N/A,FALSE,"토목공사";#N/A,#N/A,FALSE,"판넬전기공사"}</definedName>
    <definedName name="ㄹ" localSheetId="1" hidden="1">{#N/A,#N/A,TRUE,"토적및재료집계";#N/A,#N/A,TRUE,"토적및재료집계";#N/A,#N/A,TRUE,"단위량"}</definedName>
    <definedName name="ㄹ" localSheetId="2" hidden="1">{#N/A,#N/A,TRUE,"토적및재료집계";#N/A,#N/A,TRUE,"토적및재료집계";#N/A,#N/A,TRUE,"단위량"}</definedName>
    <definedName name="ㄹ" localSheetId="8" hidden="1">{#N/A,#N/A,TRUE,"토적및재료집계";#N/A,#N/A,TRUE,"토적및재료집계";#N/A,#N/A,TRUE,"단위량"}</definedName>
    <definedName name="ㄹ" hidden="1">{#N/A,#N/A,TRUE,"토적및재료집계";#N/A,#N/A,TRUE,"토적및재료집계";#N/A,#N/A,TRUE,"단위량"}</definedName>
    <definedName name="ㄹㄴ머ㅣㅏ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1" hidden="1">{#N/A,#N/A,FALSE,"지침";#N/A,#N/A,FALSE,"환경분석";#N/A,#N/A,FALSE,"Sheet16"}</definedName>
    <definedName name="ㄹㄴㅇㄹㄴㅇㄹㄴㄱㄴㅇ" localSheetId="2" hidden="1">{#N/A,#N/A,FALSE,"지침";#N/A,#N/A,FALSE,"환경분석";#N/A,#N/A,FALSE,"Sheet16"}</definedName>
    <definedName name="ㄹㄴㅇㄹㄴㅇㄹㄴㄱㄴㅇ" localSheetId="8" hidden="1">{#N/A,#N/A,FALSE,"지침";#N/A,#N/A,FALSE,"환경분석";#N/A,#N/A,FALSE,"Sheet16"}</definedName>
    <definedName name="ㄹㄴㅇㄹㄴㅇㄹㄴㄱㄴㅇ" hidden="1">{#N/A,#N/A,FALSE,"지침";#N/A,#N/A,FALSE,"환경분석";#N/A,#N/A,FALSE,"Sheet16"}</definedName>
    <definedName name="ㄹㄶㅗ" localSheetId="1" hidden="1">{#N/A,#N/A,FALSE,"집계표"}</definedName>
    <definedName name="ㄹㄶㅗ" localSheetId="2" hidden="1">{#N/A,#N/A,FALSE,"집계표"}</definedName>
    <definedName name="ㄹㄶㅗ" localSheetId="8" hidden="1">{#N/A,#N/A,FALSE,"집계표"}</definedName>
    <definedName name="ㄹㄶㅗ" hidden="1">{#N/A,#N/A,FALSE,"집계표"}</definedName>
    <definedName name="ㄹㄹ" localSheetId="1" hidden="1">{#N/A,#N/A,FALSE,"CCTV"}</definedName>
    <definedName name="ㄹㄹ" localSheetId="2" hidden="1">{#N/A,#N/A,FALSE,"CCTV"}</definedName>
    <definedName name="ㄹㄹ" localSheetId="8" hidden="1">{#N/A,#N/A,FALSE,"CCTV"}</definedName>
    <definedName name="ㄹㄹ" hidden="1">{#N/A,#N/A,FALSE,"CCTV"}</definedName>
    <definedName name="ㄹㄹㄹ" localSheetId="1" hidden="1">#REF!</definedName>
    <definedName name="ㄹㄹㄹ" hidden="1">#REF!</definedName>
    <definedName name="ㄹㄹㄹ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1" hidden="1">{#N/A,#N/A,FALSE,"집계표"}</definedName>
    <definedName name="ㄹㄹㅇㄴㄹㄹㅇㄴㄹㅇㄶㅀ" localSheetId="2" hidden="1">{#N/A,#N/A,FALSE,"집계표"}</definedName>
    <definedName name="ㄹㄹㅇㄴㄹㄹㅇㄴㄹㅇㄶㅀ" localSheetId="8" hidden="1">{#N/A,#N/A,FALSE,"집계표"}</definedName>
    <definedName name="ㄹㄹㅇㄴㄹㄹㅇㄴㄹㅇㄶㅀ" hidden="1">{#N/A,#N/A,FALSE,"집계표"}</definedName>
    <definedName name="ㄹㅇ" localSheetId="1" hidden="1">{#N/A,#N/A,FALSE,"도급대비시행율";#N/A,#N/A,FALSE,"결의서";#N/A,#N/A,FALSE,"내역서";#N/A,#N/A,FALSE,"도급예상"}</definedName>
    <definedName name="ㄹㅇ" localSheetId="2" hidden="1">{#N/A,#N/A,FALSE,"도급대비시행율";#N/A,#N/A,FALSE,"결의서";#N/A,#N/A,FALSE,"내역서";#N/A,#N/A,FALSE,"도급예상"}</definedName>
    <definedName name="ㄹㅇ" localSheetId="8" hidden="1">{#N/A,#N/A,FALSE,"도급대비시행율";#N/A,#N/A,FALSE,"결의서";#N/A,#N/A,FALSE,"내역서";#N/A,#N/A,FALSE,"도급예상"}</definedName>
    <definedName name="ㄹㅇ" hidden="1">{#N/A,#N/A,FALSE,"도급대비시행율";#N/A,#N/A,FALSE,"결의서";#N/A,#N/A,FALSE,"내역서";#N/A,#N/A,FALSE,"도급예상"}</definedName>
    <definedName name="ㄹㅇ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1" hidden="1">{#N/A,#N/A,TRUE,"1";#N/A,#N/A,TRUE,"2";#N/A,#N/A,TRUE,"3";#N/A,#N/A,TRUE,"4";#N/A,#N/A,TRUE,"5";#N/A,#N/A,TRUE,"6";#N/A,#N/A,TRUE,"7"}</definedName>
    <definedName name="ㄹㅇㄴㅁ" localSheetId="2" hidden="1">{#N/A,#N/A,TRUE,"1";#N/A,#N/A,TRUE,"2";#N/A,#N/A,TRUE,"3";#N/A,#N/A,TRUE,"4";#N/A,#N/A,TRUE,"5";#N/A,#N/A,TRUE,"6";#N/A,#N/A,TRUE,"7"}</definedName>
    <definedName name="ㄹㅇㄴㅁ" localSheetId="8" hidden="1">{#N/A,#N/A,TRUE,"1";#N/A,#N/A,TRUE,"2";#N/A,#N/A,TRUE,"3";#N/A,#N/A,TRUE,"4";#N/A,#N/A,TRUE,"5";#N/A,#N/A,TRUE,"6";#N/A,#N/A,TRUE,"7"}</definedName>
    <definedName name="ㄹㅇㄴㅁ" hidden="1">{#N/A,#N/A,TRUE,"1";#N/A,#N/A,TRUE,"2";#N/A,#N/A,TRUE,"3";#N/A,#N/A,TRUE,"4";#N/A,#N/A,TRUE,"5";#N/A,#N/A,TRUE,"6";#N/A,#N/A,TRUE,"7"}</definedName>
    <definedName name="ㄹㅇㄴㅁㄹㅇ" hidden="1">#REF!</definedName>
    <definedName name="ㄹㅇㄴㅇㄴㅇㄹㅇ" localSheetId="1" hidden="1">{#N/A,#N/A,FALSE,"집계표"}</definedName>
    <definedName name="ㄹㅇㄴㅇㄴㅇㄹㅇ" localSheetId="2" hidden="1">{#N/A,#N/A,FALSE,"집계표"}</definedName>
    <definedName name="ㄹㅇㄴㅇㄴㅇㄹㅇ" localSheetId="8" hidden="1">{#N/A,#N/A,FALSE,"집계표"}</definedName>
    <definedName name="ㄹㅇㄴㅇㄴㅇㄹㅇ" hidden="1">{#N/A,#N/A,FALSE,"집계표"}</definedName>
    <definedName name="ㄹㅇ넛교ㅗ" localSheetId="1" hidden="1">{#N/A,#N/A,FALSE,"집계표"}</definedName>
    <definedName name="ㄹㅇ넛교ㅗ" localSheetId="2" hidden="1">{#N/A,#N/A,FALSE,"집계표"}</definedName>
    <definedName name="ㄹㅇ넛교ㅗ" localSheetId="8" hidden="1">{#N/A,#N/A,FALSE,"집계표"}</definedName>
    <definedName name="ㄹㅇ넛교ㅗ" hidden="1">{#N/A,#N/A,FALSE,"집계표"}</definedName>
    <definedName name="ㄹㅇ노ㅎ" localSheetId="1" hidden="1">{#N/A,#N/A,FALSE,"집계표"}</definedName>
    <definedName name="ㄹㅇ노ㅎ" localSheetId="2" hidden="1">{#N/A,#N/A,FALSE,"집계표"}</definedName>
    <definedName name="ㄹㅇ노ㅎ" localSheetId="8" hidden="1">{#N/A,#N/A,FALSE,"집계표"}</definedName>
    <definedName name="ㄹㅇ노ㅎ" hidden="1">{#N/A,#N/A,FALSE,"집계표"}</definedName>
    <definedName name="ㄹㅇㄶ" hidden="1">#REF!</definedName>
    <definedName name="ㄹㅇㄶㄴㅅ" localSheetId="1" hidden="1">{#N/A,#N/A,FALSE,"집계표"}</definedName>
    <definedName name="ㄹㅇㄶㄴㅅ" localSheetId="2" hidden="1">{#N/A,#N/A,FALSE,"집계표"}</definedName>
    <definedName name="ㄹㅇㄶㄴㅅ" localSheetId="8" hidden="1">{#N/A,#N/A,FALSE,"집계표"}</definedName>
    <definedName name="ㄹㅇㄶㄴㅅ" hidden="1">{#N/A,#N/A,FALSE,"집계표"}</definedName>
    <definedName name="ㄹㅇㄶ옿" hidden="1">#REF!</definedName>
    <definedName name="ㄹㅇㄶㅎㅇㄶㅇㅎㄹㅇ" localSheetId="1" hidden="1">{#N/A,#N/A,FALSE,"집계표"}</definedName>
    <definedName name="ㄹㅇㄶㅎㅇㄶㅇㅎㄹㅇ" localSheetId="2" hidden="1">{#N/A,#N/A,FALSE,"집계표"}</definedName>
    <definedName name="ㄹㅇㄶㅎㅇㄶㅇㅎㄹㅇ" localSheetId="8" hidden="1">{#N/A,#N/A,FALSE,"집계표"}</definedName>
    <definedName name="ㄹㅇㄶㅎㅇㄶㅇㅎㄹㅇ" hidden="1">{#N/A,#N/A,FALSE,"집계표"}</definedName>
    <definedName name="ㄹㅇㄹㅇ" hidden="1">#REF!</definedName>
    <definedName name="ㄹㅇㄹㅇㄹㅇ" localSheetId="1" hidden="1">{#N/A,#N/A,FALSE,"CCTV"}</definedName>
    <definedName name="ㄹㅇㄹㅇㄹㅇ" localSheetId="2" hidden="1">{#N/A,#N/A,FALSE,"CCTV"}</definedName>
    <definedName name="ㄹㅇㄹㅇㄹㅇ" localSheetId="8" hidden="1">{#N/A,#N/A,FALSE,"CCTV"}</definedName>
    <definedName name="ㄹㅇㄹㅇㄹㅇ" hidden="1">{#N/A,#N/A,FALSE,"CCTV"}</definedName>
    <definedName name="ㄹㅇㅁ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1" hidden="1">{#N/A,#N/A,FALSE,"집계표"}</definedName>
    <definedName name="ㄹㅇ서ㅗ" localSheetId="2" hidden="1">{#N/A,#N/A,FALSE,"집계표"}</definedName>
    <definedName name="ㄹㅇ서ㅗ" localSheetId="8" hidden="1">{#N/A,#N/A,FALSE,"집계표"}</definedName>
    <definedName name="ㄹㅇ서ㅗ" hidden="1">{#N/A,#N/A,FALSE,"집계표"}</definedName>
    <definedName name="ㄹㅇ소ㅛ" localSheetId="1" hidden="1">{#N/A,#N/A,FALSE,"집계표"}</definedName>
    <definedName name="ㄹㅇ소ㅛ" localSheetId="2" hidden="1">{#N/A,#N/A,FALSE,"집계표"}</definedName>
    <definedName name="ㄹㅇ소ㅛ" localSheetId="8" hidden="1">{#N/A,#N/A,FALSE,"집계표"}</definedName>
    <definedName name="ㄹㅇ소ㅛ" hidden="1">{#N/A,#N/A,FALSE,"집계표"}</definedName>
    <definedName name="ㄹㅇㅇㅇㅇㅇㅇ" localSheetId="1" hidden="1">{#N/A,#N/A,FALSE,"집계표"}</definedName>
    <definedName name="ㄹㅇㅇㅇㅇㅇㅇ" localSheetId="2" hidden="1">{#N/A,#N/A,FALSE,"집계표"}</definedName>
    <definedName name="ㄹㅇㅇㅇㅇㅇㅇ" localSheetId="8" hidden="1">{#N/A,#N/A,FALSE,"집계표"}</definedName>
    <definedName name="ㄹㅇㅇㅇㅇㅇㅇ" hidden="1">{#N/A,#N/A,FALSE,"집계표"}</definedName>
    <definedName name="ㄹㅇㅇㅇㅇㅇㅇㅇㅇㅇㅇ" localSheetId="1" hidden="1">{#N/A,#N/A,FALSE,"집계표"}</definedName>
    <definedName name="ㄹㅇㅇㅇㅇㅇㅇㅇㅇㅇㅇ" localSheetId="2" hidden="1">{#N/A,#N/A,FALSE,"집계표"}</definedName>
    <definedName name="ㄹㅇㅇㅇㅇㅇㅇㅇㅇㅇㅇ" localSheetId="8" hidden="1">{#N/A,#N/A,FALSE,"집계표"}</definedName>
    <definedName name="ㄹㅇㅇㅇㅇㅇㅇㅇㅇㅇㅇ" hidden="1">{#N/A,#N/A,FALSE,"집계표"}</definedName>
    <definedName name="ㄹㅇ옷" localSheetId="1" hidden="1">{#N/A,#N/A,FALSE,"집계표"}</definedName>
    <definedName name="ㄹㅇ옷" localSheetId="2" hidden="1">{#N/A,#N/A,FALSE,"집계표"}</definedName>
    <definedName name="ㄹㅇ옷" localSheetId="8" hidden="1">{#N/A,#N/A,FALSE,"집계표"}</definedName>
    <definedName name="ㄹㅇ옷" hidden="1">{#N/A,#N/A,FALSE,"집계표"}</definedName>
    <definedName name="ㄹㅇㅌㅇㄴㄱㄷ" localSheetId="1" hidden="1">{#N/A,#N/A,FALSE,"포장2"}</definedName>
    <definedName name="ㄹㅇㅌㅇㄴㄱㄷ" localSheetId="2" hidden="1">{#N/A,#N/A,FALSE,"포장2"}</definedName>
    <definedName name="ㄹㅇㅌㅇㄴㄱㄷ" localSheetId="8" hidden="1">{#N/A,#N/A,FALSE,"포장2"}</definedName>
    <definedName name="ㄹㅇㅌㅇㄴㄱㄷ" hidden="1">{#N/A,#N/A,FALSE,"포장2"}</definedName>
    <definedName name="ㄹㅇㅌㅎㅎㅎㅎㅎ" localSheetId="1" hidden="1">{#N/A,#N/A,FALSE,"집계표"}</definedName>
    <definedName name="ㄹㅇㅌㅎㅎㅎㅎㅎ" localSheetId="2" hidden="1">{#N/A,#N/A,FALSE,"집계표"}</definedName>
    <definedName name="ㄹㅇㅌㅎㅎㅎㅎㅎ" localSheetId="8" hidden="1">{#N/A,#N/A,FALSE,"집계표"}</definedName>
    <definedName name="ㄹㅇㅌㅎㅎㅎㅎㅎ" hidden="1">{#N/A,#N/A,FALSE,"집계표"}</definedName>
    <definedName name="ㄹㅇㅎ" localSheetId="1" hidden="1">{#N/A,#N/A,FALSE,"집계표"}</definedName>
    <definedName name="ㄹㅇㅎ" localSheetId="2" hidden="1">{#N/A,#N/A,FALSE,"집계표"}</definedName>
    <definedName name="ㄹㅇㅎ" localSheetId="8" hidden="1">{#N/A,#N/A,FALSE,"집계표"}</definedName>
    <definedName name="ㄹㅇㅎ" hidden="1">{#N/A,#N/A,FALSE,"집계표"}</definedName>
    <definedName name="ㄹㅇㅎㅊㅌㅍㅍ" localSheetId="1" hidden="1">{#N/A,#N/A,FALSE,"집계표"}</definedName>
    <definedName name="ㄹㅇㅎㅊㅌㅍㅍ" localSheetId="2" hidden="1">{#N/A,#N/A,FALSE,"집계표"}</definedName>
    <definedName name="ㄹㅇㅎㅊㅌㅍㅍ" localSheetId="8" hidden="1">{#N/A,#N/A,FALSE,"집계표"}</definedName>
    <definedName name="ㄹㅇㅎㅊㅌㅍㅍ" hidden="1">{#N/A,#N/A,FALSE,"집계표"}</definedName>
    <definedName name="ㄹㅇㅎㅎㅎㅎㅎㅎㅎㅎㅎ" localSheetId="1" hidden="1">{#N/A,#N/A,FALSE,"집계표"}</definedName>
    <definedName name="ㄹㅇㅎㅎㅎㅎㅎㅎㅎㅎㅎ" localSheetId="2" hidden="1">{#N/A,#N/A,FALSE,"집계표"}</definedName>
    <definedName name="ㄹㅇㅎㅎㅎㅎㅎㅎㅎㅎㅎ" localSheetId="8" hidden="1">{#N/A,#N/A,FALSE,"집계표"}</definedName>
    <definedName name="ㄹㅇㅎㅎㅎㅎㅎㅎㅎㅎㅎ" hidden="1">{#N/A,#N/A,FALSE,"집계표"}</definedName>
    <definedName name="ㄹㅇ허ㅗ" localSheetId="1" hidden="1">{#N/A,#N/A,FALSE,"집계표"}</definedName>
    <definedName name="ㄹㅇ허ㅗ" localSheetId="2" hidden="1">{#N/A,#N/A,FALSE,"집계표"}</definedName>
    <definedName name="ㄹㅇ허ㅗ" localSheetId="8" hidden="1">{#N/A,#N/A,FALSE,"집계표"}</definedName>
    <definedName name="ㄹㅇ허ㅗ" hidden="1">{#N/A,#N/A,FALSE,"집계표"}</definedName>
    <definedName name="ㄹㅇ효" localSheetId="1" hidden="1">{#N/A,#N/A,FALSE,"집계표"}</definedName>
    <definedName name="ㄹㅇ효" localSheetId="2" hidden="1">{#N/A,#N/A,FALSE,"집계표"}</definedName>
    <definedName name="ㄹㅇ효" localSheetId="8" hidden="1">{#N/A,#N/A,FALSE,"집계표"}</definedName>
    <definedName name="ㄹㅇ효" hidden="1">{#N/A,#N/A,FALSE,"집계표"}</definedName>
    <definedName name="ㄹ어호" localSheetId="1" hidden="1">{#N/A,#N/A,FALSE,"집계표"}</definedName>
    <definedName name="ㄹ어호" localSheetId="2" hidden="1">{#N/A,#N/A,FALSE,"집계표"}</definedName>
    <definedName name="ㄹ어호" localSheetId="8" hidden="1">{#N/A,#N/A,FALSE,"집계표"}</definedName>
    <definedName name="ㄹ어호" hidden="1">{#N/A,#N/A,FALSE,"집계표"}</definedName>
    <definedName name="ㄹ오" localSheetId="1" hidden="1">{#N/A,#N/A,FALSE,"집계표"}</definedName>
    <definedName name="ㄹ오" localSheetId="2" hidden="1">{#N/A,#N/A,FALSE,"집계표"}</definedName>
    <definedName name="ㄹ오" localSheetId="8" hidden="1">{#N/A,#N/A,FALSE,"집계표"}</definedName>
    <definedName name="ㄹ오" hidden="1">{#N/A,#N/A,FALSE,"집계표"}</definedName>
    <definedName name="ㄹ오ㅛ" localSheetId="1" hidden="1">{#N/A,#N/A,FALSE,"집계표"}</definedName>
    <definedName name="ㄹ오ㅛ" localSheetId="2" hidden="1">{#N/A,#N/A,FALSE,"집계표"}</definedName>
    <definedName name="ㄹ오ㅛ" localSheetId="8" hidden="1">{#N/A,#N/A,FALSE,"집계표"}</definedName>
    <definedName name="ㄹ오ㅛ" hidden="1">{#N/A,#N/A,FALSE,"집계표"}</definedName>
    <definedName name="ㄹ옿" localSheetId="1" hidden="1">{#N/A,#N/A,FALSE,"집계표"}</definedName>
    <definedName name="ㄹ옿" localSheetId="2" hidden="1">{#N/A,#N/A,FALSE,"집계표"}</definedName>
    <definedName name="ㄹ옿" localSheetId="8" hidden="1">{#N/A,#N/A,FALSE,"집계표"}</definedName>
    <definedName name="ㄹ옿" hidden="1">{#N/A,#N/A,FALSE,"집계표"}</definedName>
    <definedName name="ㄹ옿ㄴㄴㄴ노" localSheetId="1" hidden="1">{#N/A,#N/A,FALSE,"집계표"}</definedName>
    <definedName name="ㄹ옿ㄴㄴㄴ노" localSheetId="2" hidden="1">{#N/A,#N/A,FALSE,"집계표"}</definedName>
    <definedName name="ㄹ옿ㄴㄴㄴ노" localSheetId="8" hidden="1">{#N/A,#N/A,FALSE,"집계표"}</definedName>
    <definedName name="ㄹ옿ㄴㄴㄴ노" hidden="1">{#N/A,#N/A,FALSE,"집계표"}</definedName>
    <definedName name="ㄹ옿ㅇㄹ" localSheetId="1" hidden="1">{#N/A,#N/A,FALSE,"집계표"}</definedName>
    <definedName name="ㄹ옿ㅇㄹ" localSheetId="2" hidden="1">{#N/A,#N/A,FALSE,"집계표"}</definedName>
    <definedName name="ㄹ옿ㅇㄹ" localSheetId="8" hidden="1">{#N/A,#N/A,FALSE,"집계표"}</definedName>
    <definedName name="ㄹ옿ㅇㄹ" hidden="1">{#N/A,#N/A,FALSE,"집계표"}</definedName>
    <definedName name="ㄹ옿ㅎㅎㅎㅎㅎㅎㅎ" localSheetId="1" hidden="1">{#N/A,#N/A,FALSE,"집계표"}</definedName>
    <definedName name="ㄹ옿ㅎㅎㅎㅎㅎㅎㅎ" localSheetId="2" hidden="1">{#N/A,#N/A,FALSE,"집계표"}</definedName>
    <definedName name="ㄹ옿ㅎㅎㅎㅎㅎㅎㅎ" localSheetId="8" hidden="1">{#N/A,#N/A,FALSE,"집계표"}</definedName>
    <definedName name="ㄹ옿ㅎㅎㅎㅎㅎㅎㅎ" hidden="1">{#N/A,#N/A,FALSE,"집계표"}</definedName>
    <definedName name="ㄹㅎㄹㅎㅀ" hidden="1">#REF!</definedName>
    <definedName name="ㄹ하ㅏㅏㅏㅏㅏ" localSheetId="1" hidden="1">{#N/A,#N/A,FALSE,"집계표"}</definedName>
    <definedName name="ㄹ하ㅏㅏㅏㅏㅏ" localSheetId="2" hidden="1">{#N/A,#N/A,FALSE,"집계표"}</definedName>
    <definedName name="ㄹ하ㅏㅏㅏㅏㅏ" localSheetId="8" hidden="1">{#N/A,#N/A,FALSE,"집계표"}</definedName>
    <definedName name="ㄹ하ㅏㅏㅏㅏㅏ" hidden="1">{#N/A,#N/A,FALSE,"집계표"}</definedName>
    <definedName name="ㄹ허ㅗ" localSheetId="1" hidden="1">{#N/A,#N/A,FALSE,"집계표"}</definedName>
    <definedName name="ㄹ허ㅗ" localSheetId="2" hidden="1">{#N/A,#N/A,FALSE,"집계표"}</definedName>
    <definedName name="ㄹ허ㅗ" localSheetId="8" hidden="1">{#N/A,#N/A,FALSE,"집계표"}</definedName>
    <definedName name="ㄹ허ㅗ" hidden="1">{#N/A,#N/A,FALSE,"집계표"}</definedName>
    <definedName name="ㄹ허ㅛㅛㅛㅛㅛㅛ" localSheetId="1" hidden="1">{#N/A,#N/A,FALSE,"집계표"}</definedName>
    <definedName name="ㄹ허ㅛㅛㅛㅛㅛㅛ" localSheetId="2" hidden="1">{#N/A,#N/A,FALSE,"집계표"}</definedName>
    <definedName name="ㄹ허ㅛㅛㅛㅛㅛㅛ" localSheetId="8" hidden="1">{#N/A,#N/A,FALSE,"집계표"}</definedName>
    <definedName name="ㄹ허ㅛㅛㅛㅛㅛㅛ" hidden="1">{#N/A,#N/A,FALSE,"집계표"}</definedName>
    <definedName name="ㄹ혀퍼ㅜㅠ" localSheetId="1" hidden="1">{#N/A,#N/A,FALSE,"집계표"}</definedName>
    <definedName name="ㄹ혀퍼ㅜㅠ" localSheetId="2" hidden="1">{#N/A,#N/A,FALSE,"집계표"}</definedName>
    <definedName name="ㄹ혀퍼ㅜㅠ" localSheetId="8" hidden="1">{#N/A,#N/A,FALSE,"집계표"}</definedName>
    <definedName name="ㄹ혀퍼ㅜㅠ" hidden="1">{#N/A,#N/A,FALSE,"집계표"}</definedName>
    <definedName name="ㄹ호" localSheetId="1" hidden="1">#REF!</definedName>
    <definedName name="ㄹ호" hidden="1">#REF!</definedName>
    <definedName name="ㄹ호ㅓㅛ" localSheetId="1" hidden="1">{#N/A,#N/A,FALSE,"집계표"}</definedName>
    <definedName name="ㄹ호ㅓㅛ" localSheetId="2" hidden="1">{#N/A,#N/A,FALSE,"집계표"}</definedName>
    <definedName name="ㄹ호ㅓㅛ" localSheetId="8" hidden="1">{#N/A,#N/A,FALSE,"집계표"}</definedName>
    <definedName name="ㄹ호ㅓㅛ" hidden="1">{#N/A,#N/A,FALSE,"집계표"}</definedName>
    <definedName name="ㄹ호ㅗㅎ" localSheetId="1" hidden="1">{#N/A,#N/A,FALSE,"집계표"}</definedName>
    <definedName name="ㄹ호ㅗㅎ" localSheetId="2" hidden="1">{#N/A,#N/A,FALSE,"집계표"}</definedName>
    <definedName name="ㄹ호ㅗㅎ" localSheetId="8" hidden="1">{#N/A,#N/A,FALSE,"집계표"}</definedName>
    <definedName name="ㄹ호ㅗㅎ" hidden="1">{#N/A,#N/A,FALSE,"집계표"}</definedName>
    <definedName name="ㄹ홀ㅅ" localSheetId="1" hidden="1">{#N/A,#N/A,FALSE,"집계표"}</definedName>
    <definedName name="ㄹ홀ㅅ" localSheetId="2" hidden="1">{#N/A,#N/A,FALSE,"집계표"}</definedName>
    <definedName name="ㄹ홀ㅅ" localSheetId="8" hidden="1">{#N/A,#N/A,FALSE,"집계표"}</definedName>
    <definedName name="ㄹ홀ㅅ" hidden="1">{#N/A,#N/A,FALSE,"집계표"}</definedName>
    <definedName name="ㄹ홓ㄹ로ㅗㅗㅗㅗㅗㅗㅗ" localSheetId="1" hidden="1">{#N/A,#N/A,FALSE,"집계표"}</definedName>
    <definedName name="ㄹ홓ㄹ로ㅗㅗㅗㅗㅗㅗㅗ" localSheetId="2" hidden="1">{#N/A,#N/A,FALSE,"집계표"}</definedName>
    <definedName name="ㄹ홓ㄹ로ㅗㅗㅗㅗㅗㅗㅗ" localSheetId="8" hidden="1">{#N/A,#N/A,FALSE,"집계표"}</definedName>
    <definedName name="ㄹ홓ㄹ로ㅗㅗㅗㅗㅗㅗㅗ" hidden="1">{#N/A,#N/A,FALSE,"집계표"}</definedName>
    <definedName name="ㄹ효ㅓㅕ" localSheetId="1" hidden="1">{#N/A,#N/A,FALSE,"집계표"}</definedName>
    <definedName name="ㄹ효ㅓㅕ" localSheetId="2" hidden="1">{#N/A,#N/A,FALSE,"집계표"}</definedName>
    <definedName name="ㄹ효ㅓㅕ" localSheetId="8" hidden="1">{#N/A,#N/A,FALSE,"집계표"}</definedName>
    <definedName name="ㄹ효ㅓㅕ" hidden="1">{#N/A,#N/A,FALSE,"집계표"}</definedName>
    <definedName name="라" localSheetId="1" hidden="1">#REF!</definedName>
    <definedName name="라" localSheetId="2" hidden="1">{"'Sheet1'!$A$22:$G$23","'Sheet1'!$A$6","'Sheet1'!$E$10","'Sheet1'!$A$1:$F$23","'Sheet1'!$B$10","'Sheet1'!$A$1:$G$22","'Sheet1'!$A$1:$G$51"}</definedName>
    <definedName name="라" localSheetId="8" hidden="1">{"'Sheet1'!$A$22:$G$23","'Sheet1'!$A$6","'Sheet1'!$E$10","'Sheet1'!$A$1:$F$23","'Sheet1'!$B$10","'Sheet1'!$A$1:$G$22","'Sheet1'!$A$1:$G$51"}</definedName>
    <definedName name="라" hidden="1">{"'Sheet1'!$A$22:$G$23","'Sheet1'!$A$6","'Sheet1'!$E$10","'Sheet1'!$A$1:$F$23","'Sheet1'!$B$10","'Sheet1'!$A$1:$G$22","'Sheet1'!$A$1:$G$51"}</definedName>
    <definedName name="라라라ㅏㄹ" localSheetId="1" hidden="1">{#N/A,#N/A,FALSE,"집계표"}</definedName>
    <definedName name="라라라ㅏㄹ" localSheetId="2" hidden="1">{#N/A,#N/A,FALSE,"집계표"}</definedName>
    <definedName name="라라라ㅏㄹ" localSheetId="8" hidden="1">{#N/A,#N/A,FALSE,"집계표"}</definedName>
    <definedName name="라라라ㅏㄹ" hidden="1">{#N/A,#N/A,FALSE,"집계표"}</definedName>
    <definedName name="라ㅏㅏ" localSheetId="1" hidden="1">{#N/A,#N/A,FALSE,"집계표"}</definedName>
    <definedName name="라ㅏㅏ" localSheetId="2" hidden="1">{#N/A,#N/A,FALSE,"집계표"}</definedName>
    <definedName name="라ㅏㅏ" localSheetId="8" hidden="1">{#N/A,#N/A,FALSE,"집계표"}</definedName>
    <definedName name="라ㅏㅏ" hidden="1">{#N/A,#N/A,FALSE,"집계표"}</definedName>
    <definedName name="라ㅓ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1" hidden="1">{#N/A,#N/A,FALSE,"집계표"}</definedName>
    <definedName name="랏구" localSheetId="2" hidden="1">{#N/A,#N/A,FALSE,"집계표"}</definedName>
    <definedName name="랏구" localSheetId="8" hidden="1">{#N/A,#N/A,FALSE,"집계표"}</definedName>
    <definedName name="랏구" hidden="1">{#N/A,#N/A,FALSE,"집계표"}</definedName>
    <definedName name="래" localSheetId="1" hidden="1">{#N/A,#N/A,FALSE,"변경관리예산";#N/A,#N/A,FALSE,"변경장비예산";#N/A,#N/A,FALSE,"변경준설예산";#N/A,#N/A,FALSE,"변경철구예산"}</definedName>
    <definedName name="래" localSheetId="2" hidden="1">{#N/A,#N/A,FALSE,"변경관리예산";#N/A,#N/A,FALSE,"변경장비예산";#N/A,#N/A,FALSE,"변경준설예산";#N/A,#N/A,FALSE,"변경철구예산"}</definedName>
    <definedName name="래" localSheetId="8" hidden="1">{#N/A,#N/A,FALSE,"변경관리예산";#N/A,#N/A,FALSE,"변경장비예산";#N/A,#N/A,FALSE,"변경준설예산";#N/A,#N/A,FALSE,"변경철구예산"}</definedName>
    <definedName name="래" hidden="1">{#N/A,#N/A,FALSE,"변경관리예산";#N/A,#N/A,FALSE,"변경장비예산";#N/A,#N/A,FALSE,"변경준설예산";#N/A,#N/A,FALSE,"변경철구예산"}</definedName>
    <definedName name="래그" localSheetId="1" hidden="1">{#N/A,#N/A,FALSE,"CCTV"}</definedName>
    <definedName name="래그" localSheetId="2" hidden="1">{#N/A,#N/A,FALSE,"CCTV"}</definedName>
    <definedName name="래그" localSheetId="8" hidden="1">{#N/A,#N/A,FALSE,"CCTV"}</definedName>
    <definedName name="래그" hidden="1">{#N/A,#N/A,FALSE,"CCTV"}</definedName>
    <definedName name="랴" localSheetId="1" hidden="1">{#N/A,#N/A,FALSE,"예상손익";#N/A,#N/A,FALSE,"관리분석";#N/A,#N/A,FALSE,"장비분석";#N/A,#N/A,FALSE,"준설분석";#N/A,#N/A,FALSE,"철구분석"}</definedName>
    <definedName name="랴" localSheetId="2" hidden="1">{#N/A,#N/A,FALSE,"예상손익";#N/A,#N/A,FALSE,"관리분석";#N/A,#N/A,FALSE,"장비분석";#N/A,#N/A,FALSE,"준설분석";#N/A,#N/A,FALSE,"철구분석"}</definedName>
    <definedName name="랴" localSheetId="8" hidden="1">{#N/A,#N/A,FALSE,"예상손익";#N/A,#N/A,FALSE,"관리분석";#N/A,#N/A,FALSE,"장비분석";#N/A,#N/A,FALSE,"준설분석";#N/A,#N/A,FALSE,"철구분석"}</definedName>
    <definedName name="랴" hidden="1">{#N/A,#N/A,FALSE,"예상손익";#N/A,#N/A,FALSE,"관리분석";#N/A,#N/A,FALSE,"장비분석";#N/A,#N/A,FALSE,"준설분석";#N/A,#N/A,FALSE,"철구분석"}</definedName>
    <definedName name="러러럴" localSheetId="1" hidden="1">{#N/A,#N/A,FALSE,"주간공정";#N/A,#N/A,FALSE,"주간보고";#N/A,#N/A,FALSE,"주간공정표"}</definedName>
    <definedName name="러러럴" localSheetId="2" hidden="1">{#N/A,#N/A,FALSE,"주간공정";#N/A,#N/A,FALSE,"주간보고";#N/A,#N/A,FALSE,"주간공정표"}</definedName>
    <definedName name="러러럴" localSheetId="8" hidden="1">{#N/A,#N/A,FALSE,"주간공정";#N/A,#N/A,FALSE,"주간보고";#N/A,#N/A,FALSE,"주간공정표"}</definedName>
    <definedName name="러러럴" hidden="1">{#N/A,#N/A,FALSE,"주간공정";#N/A,#N/A,FALSE,"주간보고";#N/A,#N/A,FALSE,"주간공정표"}</definedName>
    <definedName name="러헐" localSheetId="1"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8" hidden="1">{#N/A,#N/A,FALSE,"도급대비시행율";#N/A,#N/A,FALSE,"결의서";#N/A,#N/A,FALSE,"내역서";#N/A,#N/A,FALSE,"도급예상"}</definedName>
    <definedName name="러헐" hidden="1">{#N/A,#N/A,FALSE,"도급대비시행율";#N/A,#N/A,FALSE,"결의서";#N/A,#N/A,FALSE,"내역서";#N/A,#N/A,FALSE,"도급예상"}</definedName>
    <definedName name="러ㅏㄹ" localSheetId="1" hidden="1">{#N/A,#N/A,FALSE,"주간공정";#N/A,#N/A,FALSE,"주간보고";#N/A,#N/A,FALSE,"주간공정표"}</definedName>
    <definedName name="러ㅏㄹ" localSheetId="2" hidden="1">{#N/A,#N/A,FALSE,"주간공정";#N/A,#N/A,FALSE,"주간보고";#N/A,#N/A,FALSE,"주간공정표"}</definedName>
    <definedName name="러ㅏㄹ" localSheetId="8" hidden="1">{#N/A,#N/A,FALSE,"주간공정";#N/A,#N/A,FALSE,"주간보고";#N/A,#N/A,FALSE,"주간공정표"}</definedName>
    <definedName name="러ㅏㄹ" hidden="1">{#N/A,#N/A,FALSE,"주간공정";#N/A,#N/A,FALSE,"주간보고";#N/A,#N/A,FALSE,"주간공정표"}</definedName>
    <definedName name="러ㅏㅇ"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1" hidden="1">{#N/A,#N/A,FALSE,"집계표"}</definedName>
    <definedName name="렃퍼ㅗ" localSheetId="2" hidden="1">{#N/A,#N/A,FALSE,"집계표"}</definedName>
    <definedName name="렃퍼ㅗ" localSheetId="8" hidden="1">{#N/A,#N/A,FALSE,"집계표"}</definedName>
    <definedName name="렃퍼ㅗ" hidden="1">{#N/A,#N/A,FALSE,"집계표"}</definedName>
    <definedName name="려ㅛ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1" hidden="1">{#N/A,#N/A,FALSE,"변경관리예산";#N/A,#N/A,FALSE,"변경장비예산";#N/A,#N/A,FALSE,"변경준설예산";#N/A,#N/A,FALSE,"변경철구예산"}</definedName>
    <definedName name="련" localSheetId="2" hidden="1">{#N/A,#N/A,FALSE,"변경관리예산";#N/A,#N/A,FALSE,"변경장비예산";#N/A,#N/A,FALSE,"변경준설예산";#N/A,#N/A,FALSE,"변경철구예산"}</definedName>
    <definedName name="련" localSheetId="8" hidden="1">{#N/A,#N/A,FALSE,"변경관리예산";#N/A,#N/A,FALSE,"변경장비예산";#N/A,#N/A,FALSE,"변경준설예산";#N/A,#N/A,FALSE,"변경철구예산"}</definedName>
    <definedName name="련" hidden="1">{#N/A,#N/A,FALSE,"변경관리예산";#N/A,#N/A,FALSE,"변경장비예산";#N/A,#N/A,FALSE,"변경준설예산";#N/A,#N/A,FALSE,"변경철구예산"}</definedName>
    <definedName name="로헝ㄱ" localSheetId="1" hidden="1">{#N/A,#N/A,FALSE,"집계표"}</definedName>
    <definedName name="로헝ㄱ" localSheetId="2" hidden="1">{#N/A,#N/A,FALSE,"집계표"}</definedName>
    <definedName name="로헝ㄱ" localSheetId="8" hidden="1">{#N/A,#N/A,FALSE,"집계표"}</definedName>
    <definedName name="로헝ㄱ" hidden="1">{#N/A,#N/A,FALSE,"집계표"}</definedName>
    <definedName name="롷ㅎㅎㅎㅎ" localSheetId="1" hidden="1">{#N/A,#N/A,FALSE,"집계표"}</definedName>
    <definedName name="롷ㅎㅎㅎㅎ" localSheetId="2" hidden="1">{#N/A,#N/A,FALSE,"집계표"}</definedName>
    <definedName name="롷ㅎㅎㅎㅎ" localSheetId="8" hidden="1">{#N/A,#N/A,FALSE,"집계표"}</definedName>
    <definedName name="롷ㅎㅎㅎㅎ" hidden="1">{#N/A,#N/A,FALSE,"집계표"}</definedName>
    <definedName name="룸" localSheetId="1" hidden="1">{#N/A,#N/A,FALSE,"사업총괄";#N/A,#N/A,FALSE,"장비사업";#N/A,#N/A,FALSE,"철구사업";#N/A,#N/A,FALSE,"준설사업"}</definedName>
    <definedName name="룸" localSheetId="2" hidden="1">{#N/A,#N/A,FALSE,"사업총괄";#N/A,#N/A,FALSE,"장비사업";#N/A,#N/A,FALSE,"철구사업";#N/A,#N/A,FALSE,"준설사업"}</definedName>
    <definedName name="룸" localSheetId="8" hidden="1">{#N/A,#N/A,FALSE,"사업총괄";#N/A,#N/A,FALSE,"장비사업";#N/A,#N/A,FALSE,"철구사업";#N/A,#N/A,FALSE,"준설사업"}</definedName>
    <definedName name="룸" hidden="1">{#N/A,#N/A,FALSE,"사업총괄";#N/A,#N/A,FALSE,"장비사업";#N/A,#N/A,FALSE,"철구사업";#N/A,#N/A,FALSE,"준설사업"}</definedName>
    <definedName name="류ㅣㅏ" localSheetId="1" hidden="1">{#N/A,#N/A,FALSE,"집계표"}</definedName>
    <definedName name="류ㅣㅏ" localSheetId="2" hidden="1">{#N/A,#N/A,FALSE,"집계표"}</definedName>
    <definedName name="류ㅣㅏ" localSheetId="8" hidden="1">{#N/A,#N/A,FALSE,"집계표"}</definedName>
    <definedName name="류ㅣㅏ" hidden="1">{#N/A,#N/A,FALSE,"집계표"}</definedName>
    <definedName name="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1" hidden="1">{#N/A,#N/A,FALSE,"Aging Summary";#N/A,#N/A,FALSE,"Ratio Analysis";#N/A,#N/A,FALSE,"Test 120 Day Accts";#N/A,#N/A,FALSE,"Tickmarks"}</definedName>
    <definedName name="ㄺ" localSheetId="2" hidden="1">{#N/A,#N/A,FALSE,"Aging Summary";#N/A,#N/A,FALSE,"Ratio Analysis";#N/A,#N/A,FALSE,"Test 120 Day Accts";#N/A,#N/A,FALSE,"Tickmarks"}</definedName>
    <definedName name="ㄺ" localSheetId="8" hidden="1">{#N/A,#N/A,FALSE,"Aging Summary";#N/A,#N/A,FALSE,"Ratio Analysis";#N/A,#N/A,FALSE,"Test 120 Day Accts";#N/A,#N/A,FALSE,"Tickmarks"}</definedName>
    <definedName name="ㄺ" hidden="1">{#N/A,#N/A,FALSE,"Aging Summary";#N/A,#N/A,FALSE,"Ratio Analysis";#N/A,#N/A,FALSE,"Test 120 Day Accts";#N/A,#N/A,FALSE,"Tickmarks"}</definedName>
    <definedName name="ㄿ호ㅗㅗ" localSheetId="1" hidden="1">{#N/A,#N/A,FALSE,"집계표"}</definedName>
    <definedName name="ㄿ호ㅗㅗ" localSheetId="2" hidden="1">{#N/A,#N/A,FALSE,"집계표"}</definedName>
    <definedName name="ㄿ호ㅗㅗ" localSheetId="8" hidden="1">{#N/A,#N/A,FALSE,"집계표"}</definedName>
    <definedName name="ㄿ호ㅗㅗ" hidden="1">{#N/A,#N/A,FALSE,"집계표"}</definedName>
    <definedName name="ㅀ" hidden="1">#REF!</definedName>
    <definedName name="ㅀㅅㄱ" localSheetId="1" hidden="1">{#N/A,#N/A,FALSE,"Sheet6"}</definedName>
    <definedName name="ㅀㅅㄱ" localSheetId="2" hidden="1">{#N/A,#N/A,FALSE,"Sheet6"}</definedName>
    <definedName name="ㅀㅅㄱ" localSheetId="8" hidden="1">{#N/A,#N/A,FALSE,"Sheet6"}</definedName>
    <definedName name="ㅀㅅㄱ" hidden="1">{#N/A,#N/A,FALSE,"Sheet6"}</definedName>
    <definedName name="ㅀㅇ" localSheetId="1" hidden="1">{#N/A,#N/A,FALSE,"집계표"}</definedName>
    <definedName name="ㅀㅇ" localSheetId="2" hidden="1">{#N/A,#N/A,FALSE,"집계표"}</definedName>
    <definedName name="ㅀㅇ" localSheetId="8" hidden="1">{#N/A,#N/A,FALSE,"집계표"}</definedName>
    <definedName name="ㅀㅇ" hidden="1">{#N/A,#N/A,FALSE,"집계표"}</definedName>
    <definedName name="ㅀ오ㅓㅎ롱ㄶㄹㄴ" localSheetId="1" hidden="1">{#N/A,#N/A,FALSE,"2~8번"}</definedName>
    <definedName name="ㅀ오ㅓㅎ롱ㄶㄹㄴ" localSheetId="2" hidden="1">{#N/A,#N/A,FALSE,"2~8번"}</definedName>
    <definedName name="ㅀ오ㅓㅎ롱ㄶㄹㄴ" localSheetId="8" hidden="1">{#N/A,#N/A,FALSE,"2~8번"}</definedName>
    <definedName name="ㅀ오ㅓㅎ롱ㄶㄹㄴ" hidden="1">{#N/A,#N/A,FALSE,"2~8번"}</definedName>
    <definedName name="ㅀ허" localSheetId="1" hidden="1">{#N/A,#N/A,FALSE,"CCTV"}</definedName>
    <definedName name="ㅀ허" localSheetId="2" hidden="1">{#N/A,#N/A,FALSE,"CCTV"}</definedName>
    <definedName name="ㅀ허" localSheetId="8" hidden="1">{#N/A,#N/A,FALSE,"CCTV"}</definedName>
    <definedName name="ㅀ허" hidden="1">{#N/A,#N/A,FALSE,"CCTV"}</definedName>
    <definedName name="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1" hidden="1">{#N/A,#N/A,FALSE,"집계표"}</definedName>
    <definedName name="ㅁㄱㄷㅋㄴㅇ" localSheetId="2" hidden="1">{#N/A,#N/A,FALSE,"집계표"}</definedName>
    <definedName name="ㅁㄱㄷㅋㄴㅇ" localSheetId="8" hidden="1">{#N/A,#N/A,FALSE,"집계표"}</definedName>
    <definedName name="ㅁㄱㄷㅋㄴㅇ" hidden="1">{#N/A,#N/A,FALSE,"집계표"}</definedName>
    <definedName name="ㅁㄴ" localSheetId="1" hidden="1">#REF!</definedName>
    <definedName name="ㅁㄴ" hidden="1">#REF!</definedName>
    <definedName name="ㅁㄴㄴ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1" hidden="1">{#N/A,#N/A,FALSE,"전력간선"}</definedName>
    <definedName name="ㅁㄴㄹ" localSheetId="2" hidden="1">{#N/A,#N/A,FALSE,"전력간선"}</definedName>
    <definedName name="ㅁㄴㄹ" localSheetId="8" hidden="1">{#N/A,#N/A,FALSE,"전력간선"}</definedName>
    <definedName name="ㅁㄴㄹ" hidden="1">{#N/A,#N/A,FALSE,"전력간선"}</definedName>
    <definedName name="ㅁㄴㅁ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1" hidden="1">{#N/A,#N/A,FALSE,"집계표"}</definedName>
    <definedName name="ㅁㄴㅇㄹ" localSheetId="2" hidden="1">{#N/A,#N/A,FALSE,"집계표"}</definedName>
    <definedName name="ㅁㄴㅇㄹ" localSheetId="8" hidden="1">{#N/A,#N/A,FALSE,"집계표"}</definedName>
    <definedName name="ㅁㄴㅇㄹ" hidden="1">{#N/A,#N/A,FALSE,"집계표"}</definedName>
    <definedName name="ㅁㄴㅇㅁㄴㅇ" hidden="1">#REF!</definedName>
    <definedName name="ㅁㄴㅇㅁㅌㅋ" localSheetId="1" hidden="1">{#N/A,#N/A,FALSE,"집계표"}</definedName>
    <definedName name="ㅁㄴㅇㅁㅌㅋ" localSheetId="2" hidden="1">{#N/A,#N/A,FALSE,"집계표"}</definedName>
    <definedName name="ㅁㄴㅇㅁㅌㅋ" localSheetId="8" hidden="1">{#N/A,#N/A,FALSE,"집계표"}</definedName>
    <definedName name="ㅁㄴㅇㅁㅌㅋ" hidden="1">{#N/A,#N/A,FALSE,"집계표"}</definedName>
    <definedName name="ㅁㄴ아랴" localSheetId="1" hidden="1">{#N/A,#N/A,FALSE,"집계표"}</definedName>
    <definedName name="ㅁㄴ아랴" localSheetId="2" hidden="1">{#N/A,#N/A,FALSE,"집계표"}</definedName>
    <definedName name="ㅁㄴ아랴" localSheetId="8" hidden="1">{#N/A,#N/A,FALSE,"집계표"}</definedName>
    <definedName name="ㅁㄴ아랴" hidden="1">{#N/A,#N/A,FALSE,"집계표"}</definedName>
    <definedName name="ㅁㄴ아ㅓㄹ킽" localSheetId="1" hidden="1">{#N/A,#N/A,FALSE,"집계표"}</definedName>
    <definedName name="ㅁㄴ아ㅓㄹ킽" localSheetId="2" hidden="1">{#N/A,#N/A,FALSE,"집계표"}</definedName>
    <definedName name="ㅁㄴ아ㅓㄹ킽" localSheetId="8" hidden="1">{#N/A,#N/A,FALSE,"집계표"}</definedName>
    <definedName name="ㅁㄴ아ㅓㄹ킽" hidden="1">{#N/A,#N/A,FALSE,"집계표"}</definedName>
    <definedName name="ㅁㄴ아ㅓㅎ" localSheetId="1" hidden="1">{#N/A,#N/A,FALSE,"집계표"}</definedName>
    <definedName name="ㅁㄴ아ㅓㅎ" localSheetId="2" hidden="1">{#N/A,#N/A,FALSE,"집계표"}</definedName>
    <definedName name="ㅁㄴ아ㅓㅎ" localSheetId="8" hidden="1">{#N/A,#N/A,FALSE,"집계표"}</definedName>
    <definedName name="ㅁㄴ아ㅓㅎ" hidden="1">{#N/A,#N/A,FALSE,"집계표"}</definedName>
    <definedName name="ㅁㄴ얼" localSheetId="1" hidden="1">{#N/A,#N/A,FALSE,"집계표"}</definedName>
    <definedName name="ㅁㄴ얼" localSheetId="2" hidden="1">{#N/A,#N/A,FALSE,"집계표"}</definedName>
    <definedName name="ㅁㄴ얼" localSheetId="8" hidden="1">{#N/A,#N/A,FALSE,"집계표"}</definedName>
    <definedName name="ㅁㄴ얼" hidden="1">{#N/A,#N/A,FALSE,"집계표"}</definedName>
    <definedName name="ㅁ날어" localSheetId="1" hidden="1">{#N/A,#N/A,FALSE,"집계표"}</definedName>
    <definedName name="ㅁ날어" localSheetId="2" hidden="1">{#N/A,#N/A,FALSE,"집계표"}</definedName>
    <definedName name="ㅁ날어" localSheetId="8" hidden="1">{#N/A,#N/A,FALSE,"집계표"}</definedName>
    <definedName name="ㅁ날어" hidden="1">{#N/A,#N/A,FALSE,"집계표"}</definedName>
    <definedName name="ㅁ널머밀ㅇㄴ" localSheetId="1" hidden="1">{#N/A,#N/A,FALSE,"집계표"}</definedName>
    <definedName name="ㅁ널머밀ㅇㄴ" localSheetId="2" hidden="1">{#N/A,#N/A,FALSE,"집계표"}</definedName>
    <definedName name="ㅁ널머밀ㅇㄴ" localSheetId="8" hidden="1">{#N/A,#N/A,FALSE,"집계표"}</definedName>
    <definedName name="ㅁ널머밀ㅇㄴ" hidden="1">{#N/A,#N/A,FALSE,"집계표"}</definedName>
    <definedName name="ㅁ널이ㅏㅓㄴ" localSheetId="1" hidden="1">{#N/A,#N/A,FALSE,"집계표"}</definedName>
    <definedName name="ㅁ널이ㅏㅓㄴ" localSheetId="2" hidden="1">{#N/A,#N/A,FALSE,"집계표"}</definedName>
    <definedName name="ㅁ널이ㅏㅓㄴ" localSheetId="8" hidden="1">{#N/A,#N/A,FALSE,"집계표"}</definedName>
    <definedName name="ㅁ널이ㅏㅓㄴ" hidden="1">{#N/A,#N/A,FALSE,"집계표"}</definedName>
    <definedName name="ㅁ니ㅏㅎㅋㅇ" localSheetId="1" hidden="1">{#N/A,#N/A,FALSE,"집계표"}</definedName>
    <definedName name="ㅁ니ㅏㅎㅋㅇ" localSheetId="2" hidden="1">{#N/A,#N/A,FALSE,"집계표"}</definedName>
    <definedName name="ㅁ니ㅏㅎㅋㅇ" localSheetId="8" hidden="1">{#N/A,#N/A,FALSE,"집계표"}</definedName>
    <definedName name="ㅁ니ㅏㅎㅋㅇ" hidden="1">{#N/A,#N/A,FALSE,"집계표"}</definedName>
    <definedName name="ㅁㄶ리ㅏㅓ" localSheetId="1" hidden="1">{#N/A,#N/A,FALSE,"집계표"}</definedName>
    <definedName name="ㅁㄶ리ㅏㅓ" localSheetId="2" hidden="1">{#N/A,#N/A,FALSE,"집계표"}</definedName>
    <definedName name="ㅁㄶ리ㅏㅓ" localSheetId="8" hidden="1">{#N/A,#N/A,FALSE,"집계표"}</definedName>
    <definedName name="ㅁㄶ리ㅏㅓ" hidden="1">{#N/A,#N/A,FALSE,"집계표"}</definedName>
    <definedName name="ㅁㄶㅇ" localSheetId="1" hidden="1">{#N/A,#N/A,FALSE,"집계표"}</definedName>
    <definedName name="ㅁㄶㅇ" localSheetId="2" hidden="1">{#N/A,#N/A,FALSE,"집계표"}</definedName>
    <definedName name="ㅁㄶㅇ" localSheetId="8" hidden="1">{#N/A,#N/A,FALSE,"집계표"}</definedName>
    <definedName name="ㅁㄶㅇ" hidden="1">{#N/A,#N/A,FALSE,"집계표"}</definedName>
    <definedName name="ㅁㄷ나ㅓㅇㅇㅌ" localSheetId="1" hidden="1">{#N/A,#N/A,FALSE,"집계표"}</definedName>
    <definedName name="ㅁㄷ나ㅓㅇㅇㅌ" localSheetId="2" hidden="1">{#N/A,#N/A,FALSE,"집계표"}</definedName>
    <definedName name="ㅁㄷ나ㅓㅇㅇㅌ" localSheetId="8" hidden="1">{#N/A,#N/A,FALSE,"집계표"}</definedName>
    <definedName name="ㅁㄷ나ㅓㅇㅇㅌ" hidden="1">{#N/A,#N/A,FALSE,"집계표"}</definedName>
    <definedName name="ㅁㄻ" localSheetId="1" hidden="1">{#N/A,#N/A,FALSE,"Sheet1"}</definedName>
    <definedName name="ㅁㄻ" localSheetId="2" hidden="1">{#N/A,#N/A,FALSE,"Sheet1"}</definedName>
    <definedName name="ㅁㄻ" localSheetId="8" hidden="1">{#N/A,#N/A,FALSE,"Sheet1"}</definedName>
    <definedName name="ㅁㄻ" hidden="1">{#N/A,#N/A,FALSE,"Sheet1"}</definedName>
    <definedName name="ㅁㅁ" hidden="1">#REF!</definedName>
    <definedName name="ㅁㅁㅁ" localSheetId="1" hidden="1">#REF!</definedName>
    <definedName name="ㅁㅁㅁ" hidden="1">#REF!</definedName>
    <definedName name="ㅁㅁㅁㅁ" localSheetId="1" hidden="1">{"'Sheet1'!$A$4","'Sheet1'!$A$9:$G$28"}</definedName>
    <definedName name="ㅁㅁㅁㅁ" localSheetId="2" hidden="1">{"'Sheet1'!$A$4","'Sheet1'!$A$9:$G$28"}</definedName>
    <definedName name="ㅁㅁㅁㅁ" localSheetId="8" hidden="1">{"'Sheet1'!$A$4","'Sheet1'!$A$9:$G$28"}</definedName>
    <definedName name="ㅁㅁㅁㅁ" hidden="1">{"'Sheet1'!$A$4","'Sheet1'!$A$9:$G$28"}</definedName>
    <definedName name="ㅁㅁㅁㅁㅁ"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localSheetId="1" hidden="1">#REF!</definedName>
    <definedName name="ㅁㅁㅁㅁㅁㅁ" hidden="1">#REF!</definedName>
    <definedName name="ㅁㅅㅅㅁㄱ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1" hidden="1">{#N/A,#N/A,FALSE,"집계표"}</definedName>
    <definedName name="ㅁㅇ나ㅓ키ㅏㄴ" localSheetId="2" hidden="1">{#N/A,#N/A,FALSE,"집계표"}</definedName>
    <definedName name="ㅁㅇ나ㅓ키ㅏㄴ" localSheetId="8" hidden="1">{#N/A,#N/A,FALSE,"집계표"}</definedName>
    <definedName name="ㅁㅇ나ㅓ키ㅏㄴ" hidden="1">{#N/A,#N/A,FALSE,"집계표"}</definedName>
    <definedName name="ㅁㅇㄹㅇㅎㄻㅍ" localSheetId="1" hidden="1">{#N/A,#N/A,FALSE,"집계표"}</definedName>
    <definedName name="ㅁㅇㄹㅇㅎㄻㅍ" localSheetId="2" hidden="1">{#N/A,#N/A,FALSE,"집계표"}</definedName>
    <definedName name="ㅁㅇㄹㅇㅎㄻㅍ" localSheetId="8" hidden="1">{#N/A,#N/A,FALSE,"집계표"}</definedName>
    <definedName name="ㅁㅇㄹㅇㅎㄻㅍ" hidden="1">{#N/A,#N/A,FALSE,"집계표"}</definedName>
    <definedName name="ㅁㅇㅇ" localSheetId="1" hidden="1">{#N/A,#N/A,FALSE,"Sheet1"}</definedName>
    <definedName name="ㅁㅇㅇ" localSheetId="2" hidden="1">{#N/A,#N/A,FALSE,"Sheet1"}</definedName>
    <definedName name="ㅁㅇㅇ" localSheetId="8" hidden="1">{#N/A,#N/A,FALSE,"Sheet1"}</definedName>
    <definedName name="ㅁㅇㅇ" hidden="1">{#N/A,#N/A,FALSE,"Sheet1"}</definedName>
    <definedName name="ㅁㅈㅂㄷㄺㅂ" localSheetId="1" hidden="1">{#N/A,#N/A,FALSE,"집계표"}</definedName>
    <definedName name="ㅁㅈㅂㄷㄺㅂ" localSheetId="2" hidden="1">{#N/A,#N/A,FALSE,"집계표"}</definedName>
    <definedName name="ㅁㅈㅂㄷㄺㅂ" localSheetId="8" hidden="1">{#N/A,#N/A,FALSE,"집계표"}</definedName>
    <definedName name="ㅁㅈㅂㄷㄺㅂ" hidden="1">{#N/A,#N/A,FALSE,"집계표"}</definedName>
    <definedName name="ㅁㅈ뱔ㅇ" localSheetId="1" hidden="1">{#N/A,#N/A,FALSE,"집계표"}</definedName>
    <definedName name="ㅁㅈ뱔ㅇ" localSheetId="2" hidden="1">{#N/A,#N/A,FALSE,"집계표"}</definedName>
    <definedName name="ㅁㅈ뱔ㅇ" localSheetId="8" hidden="1">{#N/A,#N/A,FALSE,"집계표"}</definedName>
    <definedName name="ㅁㅈ뱔ㅇ" hidden="1">{#N/A,#N/A,FALSE,"집계표"}</definedName>
    <definedName name="ㅁㅋㄴ이ㅏㄹ" localSheetId="1" hidden="1">{#N/A,#N/A,FALSE,"집계표"}</definedName>
    <definedName name="ㅁㅋㄴ이ㅏㄹ" localSheetId="2" hidden="1">{#N/A,#N/A,FALSE,"집계표"}</definedName>
    <definedName name="ㅁㅋㄴ이ㅏㄹ" localSheetId="8" hidden="1">{#N/A,#N/A,FALSE,"집계표"}</definedName>
    <definedName name="ㅁㅋㄴ이ㅏㄹ" hidden="1">{#N/A,#N/A,FALSE,"집계표"}</definedName>
    <definedName name="ㅁㅎㅁ" localSheetId="1" hidden="1">{#N/A,#N/A,FALSE,"Sheet1"}</definedName>
    <definedName name="ㅁㅎㅁ" localSheetId="2" hidden="1">{#N/A,#N/A,FALSE,"Sheet1"}</definedName>
    <definedName name="ㅁㅎㅁ" localSheetId="8" hidden="1">{#N/A,#N/A,FALSE,"Sheet1"}</definedName>
    <definedName name="ㅁㅎㅁ" hidden="1">{#N/A,#N/A,FALSE,"Sheet1"}</definedName>
    <definedName name="ㅁㅎ이ㅏ" localSheetId="1" hidden="1">{#N/A,#N/A,FALSE,"집계표"}</definedName>
    <definedName name="ㅁㅎ이ㅏ" localSheetId="2" hidden="1">{#N/A,#N/A,FALSE,"집계표"}</definedName>
    <definedName name="ㅁㅎ이ㅏ" localSheetId="8" hidden="1">{#N/A,#N/A,FALSE,"집계표"}</definedName>
    <definedName name="ㅁㅎ이ㅏ" hidden="1">{#N/A,#N/A,FALSE,"집계표"}</definedName>
    <definedName name="ㅁㅎㅎ" hidden="1">#REF!</definedName>
    <definedName name="마널이ㅏ" localSheetId="1" hidden="1">{#N/A,#N/A,FALSE,"집계표"}</definedName>
    <definedName name="마널이ㅏ" localSheetId="2" hidden="1">{#N/A,#N/A,FALSE,"집계표"}</definedName>
    <definedName name="마널이ㅏ" localSheetId="8" hidden="1">{#N/A,#N/A,FALSE,"집계표"}</definedName>
    <definedName name="마널이ㅏ" hidden="1">{#N/A,#N/A,FALSE,"집계표"}</definedName>
    <definedName name="만득이" localSheetId="1" hidden="1">{#N/A,#N/A,FALSE,"2~8번"}</definedName>
    <definedName name="만득이" localSheetId="2" hidden="1">{#N/A,#N/A,FALSE,"2~8번"}</definedName>
    <definedName name="만득이" localSheetId="8" hidden="1">{#N/A,#N/A,FALSE,"2~8번"}</definedName>
    <definedName name="만득이" hidden="1">{#N/A,#N/A,FALSE,"2~8번"}</definedName>
    <definedName name="망루"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1" hidden="1">{#N/A,#N/A,FALSE,"예상손익";#N/A,#N/A,FALSE,"관리분석";#N/A,#N/A,FALSE,"장비분석";#N/A,#N/A,FALSE,"준설분석";#N/A,#N/A,FALSE,"철구분석"}</definedName>
    <definedName name="매입세액" localSheetId="2" hidden="1">{#N/A,#N/A,FALSE,"예상손익";#N/A,#N/A,FALSE,"관리분석";#N/A,#N/A,FALSE,"장비분석";#N/A,#N/A,FALSE,"준설분석";#N/A,#N/A,FALSE,"철구분석"}</definedName>
    <definedName name="매입세액" localSheetId="8"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출액" hidden="1">#REF!</definedName>
    <definedName name="맨홀집계표" localSheetId="1" hidden="1">{#N/A,#N/A,FALSE,"포장단가"}</definedName>
    <definedName name="맨홀집계표" localSheetId="2" hidden="1">{#N/A,#N/A,FALSE,"포장단가"}</definedName>
    <definedName name="맨홀집계표" localSheetId="8" hidden="1">{#N/A,#N/A,FALSE,"포장단가"}</definedName>
    <definedName name="맨홀집계표" hidden="1">{#N/A,#N/A,FALSE,"포장단가"}</definedName>
    <definedName name="머" localSheetId="1" hidden="1">{#N/A,#N/A,FALSE,"명세표"}</definedName>
    <definedName name="머" localSheetId="2" hidden="1">{#N/A,#N/A,FALSE,"명세표"}</definedName>
    <definedName name="머" localSheetId="8" hidden="1">{#N/A,#N/A,FALSE,"명세표"}</definedName>
    <definedName name="머" hidden="1">{#N/A,#N/A,FALSE,"명세표"}</definedName>
    <definedName name="며"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1" hidden="1">{#N/A,#N/A,FALSE,"속도"}</definedName>
    <definedName name="명일" localSheetId="2" hidden="1">{#N/A,#N/A,FALSE,"속도"}</definedName>
    <definedName name="명일" localSheetId="8" hidden="1">{#N/A,#N/A,FALSE,"속도"}</definedName>
    <definedName name="명일" hidden="1">{#N/A,#N/A,FALSE,"속도"}</definedName>
    <definedName name="모" localSheetId="1" hidden="1">{#N/A,#N/A,FALSE,"변경관리예산";#N/A,#N/A,FALSE,"변경장비예산";#N/A,#N/A,FALSE,"변경준설예산";#N/A,#N/A,FALSE,"변경철구예산"}</definedName>
    <definedName name="모" localSheetId="2" hidden="1">{#N/A,#N/A,FALSE,"변경관리예산";#N/A,#N/A,FALSE,"변경장비예산";#N/A,#N/A,FALSE,"변경준설예산";#N/A,#N/A,FALSE,"변경철구예산"}</definedName>
    <definedName name="모" localSheetId="8"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목수장계산" localSheetId="1" hidden="1">{#N/A,#N/A,FALSE,"이태원철근"}</definedName>
    <definedName name="목수장계산" localSheetId="2" hidden="1">{#N/A,#N/A,FALSE,"이태원철근"}</definedName>
    <definedName name="목수장계산" localSheetId="8" hidden="1">{#N/A,#N/A,FALSE,"이태원철근"}</definedName>
    <definedName name="목수장계산" hidden="1">{#N/A,#N/A,FALSE,"이태원철근"}</definedName>
    <definedName name="목수장원가계산" localSheetId="1" hidden="1">{#N/A,#N/A,FALSE,"이태원철근"}</definedName>
    <definedName name="목수장원가계산" localSheetId="2" hidden="1">{#N/A,#N/A,FALSE,"이태원철근"}</definedName>
    <definedName name="목수장원가계산" localSheetId="8" hidden="1">{#N/A,#N/A,FALSE,"이태원철근"}</definedName>
    <definedName name="목수장원가계산" hidden="1">{#N/A,#N/A,FALSE,"이태원철근"}</definedName>
    <definedName name="목수장원가계산서" localSheetId="1" hidden="1">{#N/A,#N/A,FALSE,"이태원철근"}</definedName>
    <definedName name="목수장원가계산서" localSheetId="2" hidden="1">{#N/A,#N/A,FALSE,"이태원철근"}</definedName>
    <definedName name="목수장원가계산서" localSheetId="8" hidden="1">{#N/A,#N/A,FALSE,"이태원철근"}</definedName>
    <definedName name="목수장원가계산서" hidden="1">{#N/A,#N/A,FALSE,"이태원철근"}</definedName>
    <definedName name="목재틀" localSheetId="1" hidden="1">{#N/A,#N/A,FALSE,"CCTV"}</definedName>
    <definedName name="목재틀" localSheetId="2" hidden="1">{#N/A,#N/A,FALSE,"CCTV"}</definedName>
    <definedName name="목재틀" localSheetId="8" hidden="1">{#N/A,#N/A,FALSE,"CCTV"}</definedName>
    <definedName name="목재틀" hidden="1">{#N/A,#N/A,FALSE,"CCTV"}</definedName>
    <definedName name="목재틀갑지" localSheetId="1" hidden="1">{#N/A,#N/A,FALSE,"CCTV"}</definedName>
    <definedName name="목재틀갑지" localSheetId="2" hidden="1">{#N/A,#N/A,FALSE,"CCTV"}</definedName>
    <definedName name="목재틀갑지" localSheetId="8" hidden="1">{#N/A,#N/A,FALSE,"CCTV"}</definedName>
    <definedName name="목재틀갑지" hidden="1">{#N/A,#N/A,FALSE,"CCTV"}</definedName>
    <definedName name="몰라" localSheetId="1" hidden="1">{#N/A,#N/A,FALSE,"명세표"}</definedName>
    <definedName name="몰라" hidden="1">0</definedName>
    <definedName name="문서" localSheetId="1" hidden="1">{#N/A,#N/A,FALSE,"현장 NCR 분석";#N/A,#N/A,FALSE,"현장품질감사";#N/A,#N/A,FALSE,"현장품질감사"}</definedName>
    <definedName name="문서" localSheetId="2" hidden="1">{#N/A,#N/A,FALSE,"현장 NCR 분석";#N/A,#N/A,FALSE,"현장품질감사";#N/A,#N/A,FALSE,"현장품질감사"}</definedName>
    <definedName name="문서" localSheetId="8" hidden="1">{#N/A,#N/A,FALSE,"현장 NCR 분석";#N/A,#N/A,FALSE,"현장품질감사";#N/A,#N/A,FALSE,"현장품질감사"}</definedName>
    <definedName name="문서" hidden="1">{#N/A,#N/A,FALSE,"현장 NCR 분석";#N/A,#N/A,FALSE,"현장품질감사";#N/A,#N/A,FALSE,"현장품질감사"}</definedName>
    <definedName name="물" localSheetId="1" hidden="1">{#N/A,#N/A,FALSE,"이태원철근"}</definedName>
    <definedName name="물" localSheetId="2" hidden="1">{#N/A,#N/A,FALSE,"이태원철근"}</definedName>
    <definedName name="물" localSheetId="8" hidden="1">{#N/A,#N/A,FALSE,"이태원철근"}</definedName>
    <definedName name="물" hidden="1">{#N/A,#N/A,FALSE,"이태원철근"}</definedName>
    <definedName name="물가" localSheetId="1" hidden="1">{#N/A,#N/A,FALSE,"이태원철근"}</definedName>
    <definedName name="물가" localSheetId="2" hidden="1">{#N/A,#N/A,FALSE,"이태원철근"}</definedName>
    <definedName name="물가" localSheetId="8" hidden="1">{#N/A,#N/A,FALSE,"이태원철근"}</definedName>
    <definedName name="물가" hidden="1">{#N/A,#N/A,FALSE,"이태원철근"}</definedName>
    <definedName name="물량산출랍" localSheetId="1" hidden="1">{#N/A,#N/A,FALSE,"Sheet1"}</definedName>
    <definedName name="물량산출랍" localSheetId="2" hidden="1">{#N/A,#N/A,FALSE,"Sheet1"}</definedName>
    <definedName name="물량산출랍" localSheetId="8" hidden="1">{#N/A,#N/A,FALSE,"Sheet1"}</definedName>
    <definedName name="물량산출랍" hidden="1">{#N/A,#N/A,FALSE,"Sheet1"}</definedName>
    <definedName name="뭐가이태원이야" localSheetId="1" hidden="1">{#N/A,#N/A,FALSE,"이태원철근"}</definedName>
    <definedName name="뭐가이태원이야" localSheetId="2" hidden="1">{#N/A,#N/A,FALSE,"이태원철근"}</definedName>
    <definedName name="뭐가이태원이야" localSheetId="8" hidden="1">{#N/A,#N/A,FALSE,"이태원철근"}</definedName>
    <definedName name="뭐가이태원이야" hidden="1">{#N/A,#N/A,FALSE,"이태원철근"}</definedName>
    <definedName name="므ㅓ" localSheetId="1" hidden="1">{#N/A,#N/A,FALSE,"집계표"}</definedName>
    <definedName name="므ㅓ" localSheetId="2" hidden="1">{#N/A,#N/A,FALSE,"집계표"}</definedName>
    <definedName name="므ㅓ" localSheetId="8" hidden="1">{#N/A,#N/A,FALSE,"집계표"}</definedName>
    <definedName name="므ㅓ" hidden="1">{#N/A,#N/A,FALSE,"집계표"}</definedName>
    <definedName name="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localSheetId="1" hidden="1">{#N/A,#N/A,FALSE,"Sheet1"}</definedName>
    <definedName name="미장물량" localSheetId="2" hidden="1">{#N/A,#N/A,FALSE,"Sheet1"}</definedName>
    <definedName name="미장물량" localSheetId="8" hidden="1">{#N/A,#N/A,FALSE,"Sheet1"}</definedName>
    <definedName name="미장물량" hidden="1">{#N/A,#N/A,FALSE,"Sheet1"}</definedName>
    <definedName name="미ㅣㅁ" localSheetId="1" hidden="1">{#N/A,#N/A,FALSE,"집계표"}</definedName>
    <definedName name="미ㅣㅁ" localSheetId="2" hidden="1">{#N/A,#N/A,FALSE,"집계표"}</definedName>
    <definedName name="미ㅣㅁ" localSheetId="8" hidden="1">{#N/A,#N/A,FALSE,"집계표"}</definedName>
    <definedName name="미ㅣㅁ" hidden="1">{#N/A,#N/A,FALSE,"집계표"}</definedName>
    <definedName name="민원관련"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1" hidden="1">{#N/A,#N/A,FALSE,"변경관리예산";#N/A,#N/A,FALSE,"변경장비예산";#N/A,#N/A,FALSE,"변경준설예산";#N/A,#N/A,FALSE,"변경철구예산"}</definedName>
    <definedName name="민원품의" localSheetId="2" hidden="1">{#N/A,#N/A,FALSE,"변경관리예산";#N/A,#N/A,FALSE,"변경장비예산";#N/A,#N/A,FALSE,"변경준설예산";#N/A,#N/A,FALSE,"변경철구예산"}</definedName>
    <definedName name="민원품의" localSheetId="8"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ㅂ" localSheetId="1" hidden="1">{#N/A,#N/A,FALSE,"조골재"}</definedName>
    <definedName name="ㅂ" localSheetId="2" hidden="1">{#N/A,#N/A,FALSE,"조골재"}</definedName>
    <definedName name="ㅂ" localSheetId="8" hidden="1">{#N/A,#N/A,FALSE,"조골재"}</definedName>
    <definedName name="ㅂ" hidden="1">{#N/A,#N/A,FALSE,"조골재"}</definedName>
    <definedName name="ㅂ2ㅂ2" localSheetId="1" hidden="1">{#N/A,#N/A,FALSE,"배수1"}</definedName>
    <definedName name="ㅂ2ㅂ2" localSheetId="2" hidden="1">{#N/A,#N/A,FALSE,"배수1"}</definedName>
    <definedName name="ㅂ2ㅂ2" localSheetId="8" hidden="1">{#N/A,#N/A,FALSE,"배수1"}</definedName>
    <definedName name="ㅂ2ㅂ2" hidden="1">{#N/A,#N/A,FALSE,"배수1"}</definedName>
    <definedName name="ㅂㄷㄳㄷㅂㄱ" hidden="1">#REF!</definedName>
    <definedName name="ㅂㄷㅅㅄ" hidden="1">#REF!</definedName>
    <definedName name="ㅂㅂ" localSheetId="1" hidden="1">{#N/A,#N/A,FALSE,"표지"}</definedName>
    <definedName name="ㅂㅂ" localSheetId="2" hidden="1">{#N/A,#N/A,FALSE,"표지"}</definedName>
    <definedName name="ㅂㅂ" localSheetId="8" hidden="1">{#N/A,#N/A,FALSE,"표지"}</definedName>
    <definedName name="ㅂㅂ" hidden="1">{#N/A,#N/A,FALSE,"표지"}</definedName>
    <definedName name="ㅂㅂㅂ" localSheetId="1" hidden="1">{#N/A,#N/A,FALSE,"혼합골재"}</definedName>
    <definedName name="ㅂㅂㅂ" localSheetId="2" hidden="1">{#N/A,#N/A,FALSE,"혼합골재"}</definedName>
    <definedName name="ㅂㅂㅂ" localSheetId="8" hidden="1">{#N/A,#N/A,FALSE,"혼합골재"}</definedName>
    <definedName name="ㅂㅂㅂ" hidden="1">{#N/A,#N/A,FALSE,"혼합골재"}</definedName>
    <definedName name="ㅂㅂㅂㅂㅂ" localSheetId="1" hidden="1">{"'별표'!$N$220"}</definedName>
    <definedName name="ㅂㅂㅂㅂㅂ" localSheetId="2" hidden="1">{"'별표'!$N$220"}</definedName>
    <definedName name="ㅂㅂㅂㅂㅂ" localSheetId="8" hidden="1">{"'별표'!$N$220"}</definedName>
    <definedName name="ㅂㅂㅂㅂㅂ" hidden="1">{"'별표'!$N$220"}</definedName>
    <definedName name="ㅂㅂㅂㅂㅂㅂ" localSheetId="1" hidden="1">{"'용역비'!$A$4:$C$8"}</definedName>
    <definedName name="ㅂㅂㅂㅂㅂㅂ" localSheetId="2" hidden="1">{"'용역비'!$A$4:$C$8"}</definedName>
    <definedName name="ㅂㅂㅂㅂㅂㅂ" localSheetId="8" hidden="1">{"'용역비'!$A$4:$C$8"}</definedName>
    <definedName name="ㅂㅂㅂㅂㅂㅂ" hidden="1">{"'용역비'!$A$4:$C$8"}</definedName>
    <definedName name="ㅂㅂㅂㅂㅂㅂㅂ" localSheetId="1" hidden="1">{#N/A,#N/A,FALSE,"명세표"}</definedName>
    <definedName name="ㅂㅂㅂㅂㅂㅂㅂ" localSheetId="2" hidden="1">{#N/A,#N/A,FALSE,"명세표"}</definedName>
    <definedName name="ㅂㅂㅂㅂㅂㅂㅂ" localSheetId="8" hidden="1">{#N/A,#N/A,FALSE,"명세표"}</definedName>
    <definedName name="ㅂㅂㅂㅂㅂㅂㅂ" hidden="1">{#N/A,#N/A,FALSE,"명세표"}</definedName>
    <definedName name="ㅂㅈ" localSheetId="1" hidden="1">{#N/A,#N/A,TRUE,"1";#N/A,#N/A,TRUE,"2";#N/A,#N/A,TRUE,"3";#N/A,#N/A,TRUE,"4";#N/A,#N/A,TRUE,"5";#N/A,#N/A,TRUE,"6";#N/A,#N/A,TRUE,"7"}</definedName>
    <definedName name="ㅂㅈ" localSheetId="2" hidden="1">{#N/A,#N/A,TRUE,"1";#N/A,#N/A,TRUE,"2";#N/A,#N/A,TRUE,"3";#N/A,#N/A,TRUE,"4";#N/A,#N/A,TRUE,"5";#N/A,#N/A,TRUE,"6";#N/A,#N/A,TRUE,"7"}</definedName>
    <definedName name="ㅂㅈ" localSheetId="8" hidden="1">{#N/A,#N/A,TRUE,"1";#N/A,#N/A,TRUE,"2";#N/A,#N/A,TRUE,"3";#N/A,#N/A,TRUE,"4";#N/A,#N/A,TRUE,"5";#N/A,#N/A,TRUE,"6";#N/A,#N/A,TRUE,"7"}</definedName>
    <definedName name="ㅂㅈ" hidden="1">{#N/A,#N/A,TRUE,"1";#N/A,#N/A,TRUE,"2";#N/A,#N/A,TRUE,"3";#N/A,#N/A,TRUE,"4";#N/A,#N/A,TRUE,"5";#N/A,#N/A,TRUE,"6";#N/A,#N/A,TRUE,"7"}</definedName>
    <definedName name="ㅂㅈㄱㅂㅈㄷㄱ" localSheetId="1" hidden="1">{"'장비'!$A$3:$M$12"}</definedName>
    <definedName name="ㅂㅈㄱㅂㅈㄷㄱ" localSheetId="2" hidden="1">{"'장비'!$A$3:$M$12"}</definedName>
    <definedName name="ㅂㅈㄱㅂㅈㄷㄱ" localSheetId="8" hidden="1">{"'장비'!$A$3:$M$12"}</definedName>
    <definedName name="ㅂㅈㄱㅂㅈㄷㄱ" hidden="1">{"'장비'!$A$3:$M$12"}</definedName>
    <definedName name="ㅂㅈㄷ" localSheetId="1" hidden="1">{"'장비'!$A$3:$M$12"}</definedName>
    <definedName name="ㅂㅈㄷ" localSheetId="2" hidden="1">{"'장비'!$A$3:$M$12"}</definedName>
    <definedName name="ㅂㅈㄷ" localSheetId="8" hidden="1">{"'장비'!$A$3:$M$12"}</definedName>
    <definedName name="ㅂㅈㄷ" hidden="1">{"'장비'!$A$3:$M$12"}</definedName>
    <definedName name="ㅂㅈㄷㄱ" localSheetId="1" hidden="1">{#N/A,#N/A,FALSE,"지침";#N/A,#N/A,FALSE,"환경분석";#N/A,#N/A,FALSE,"Sheet16"}</definedName>
    <definedName name="ㅂㅈㄷㄱ" localSheetId="2" hidden="1">{#N/A,#N/A,FALSE,"지침";#N/A,#N/A,FALSE,"환경분석";#N/A,#N/A,FALSE,"Sheet16"}</definedName>
    <definedName name="ㅂㅈㄷㄱ" localSheetId="8" hidden="1">{#N/A,#N/A,FALSE,"지침";#N/A,#N/A,FALSE,"환경분석";#N/A,#N/A,FALSE,"Sheet16"}</definedName>
    <definedName name="ㅂㅈㄷㄱ" hidden="1">{#N/A,#N/A,FALSE,"지침";#N/A,#N/A,FALSE,"환경분석";#N/A,#N/A,FALSE,"Sheet16"}</definedName>
    <definedName name="ㅂㅈㄷㄷㅂㅈㅈㅂ" localSheetId="1" hidden="1">{"'장비'!$A$3:$M$12"}</definedName>
    <definedName name="ㅂㅈㄷㄷㅂㅈㅈㅂ" localSheetId="2" hidden="1">{"'장비'!$A$3:$M$12"}</definedName>
    <definedName name="ㅂㅈㄷㄷㅂㅈㅈㅂ" localSheetId="8" hidden="1">{"'장비'!$A$3:$M$12"}</definedName>
    <definedName name="ㅂㅈㄷㄷㅂㅈㅈㅂ" hidden="1">{"'장비'!$A$3:$M$12"}</definedName>
    <definedName name="ㅂㅈㄷㅂㅈ" localSheetId="1" hidden="1">{"'장비'!$A$3:$M$12"}</definedName>
    <definedName name="ㅂㅈㄷㅂㅈ" localSheetId="2" hidden="1">{"'장비'!$A$3:$M$12"}</definedName>
    <definedName name="ㅂㅈㄷㅂㅈ" localSheetId="8" hidden="1">{"'장비'!$A$3:$M$12"}</definedName>
    <definedName name="ㅂㅈㄷㅂㅈ" hidden="1">{"'장비'!$A$3:$M$12"}</definedName>
    <definedName name="ㅂㅈㄷㅂㅈㅈㅂㄷ" localSheetId="1" hidden="1">{"'장비'!$A$3:$M$12"}</definedName>
    <definedName name="ㅂㅈㄷㅂㅈㅈㅂㄷ" localSheetId="2" hidden="1">{"'장비'!$A$3:$M$12"}</definedName>
    <definedName name="ㅂㅈㄷㅂㅈㅈㅂㄷ" localSheetId="8" hidden="1">{"'장비'!$A$3:$M$12"}</definedName>
    <definedName name="ㅂㅈㄷㅂㅈㅈㅂㄷ" hidden="1">{"'장비'!$A$3:$M$12"}</definedName>
    <definedName name="ㅂㅈㄷㅈㅂㄷ" localSheetId="1" hidden="1">{"'장비'!$A$3:$M$12"}</definedName>
    <definedName name="ㅂㅈㄷㅈㅂㄷ" localSheetId="2" hidden="1">{"'장비'!$A$3:$M$12"}</definedName>
    <definedName name="ㅂㅈㄷㅈㅂㄷ" localSheetId="8" hidden="1">{"'장비'!$A$3:$M$12"}</definedName>
    <definedName name="ㅂㅈㄷㅈㅂㄷ" hidden="1">{"'장비'!$A$3:$M$12"}</definedName>
    <definedName name="ㅂ쟈ㅕㅑㅂ1" localSheetId="1" hidden="1">{#N/A,#N/A,FALSE,"배수1"}</definedName>
    <definedName name="ㅂ쟈ㅕㅑㅂ1" localSheetId="2" hidden="1">{#N/A,#N/A,FALSE,"배수1"}</definedName>
    <definedName name="ㅂ쟈ㅕㅑㅂ1" localSheetId="8" hidden="1">{#N/A,#N/A,FALSE,"배수1"}</definedName>
    <definedName name="ㅂ쟈ㅕㅑㅂ1" hidden="1">{#N/A,#N/A,FALSE,"배수1"}</definedName>
    <definedName name="바닥재" localSheetId="1" hidden="1">{#N/A,#N/A,FALSE,"CCTV"}</definedName>
    <definedName name="바닥재" localSheetId="2" hidden="1">{#N/A,#N/A,FALSE,"CCTV"}</definedName>
    <definedName name="바닥재" localSheetId="8" hidden="1">{#N/A,#N/A,FALSE,"CCTV"}</definedName>
    <definedName name="바닥재" hidden="1">{#N/A,#N/A,FALSE,"CCTV"}</definedName>
    <definedName name="바닥제외갑지" localSheetId="1" hidden="1">{#N/A,#N/A,FALSE,"CCTV"}</definedName>
    <definedName name="바닥제외갑지" localSheetId="2" hidden="1">{#N/A,#N/A,FALSE,"CCTV"}</definedName>
    <definedName name="바닥제외갑지" localSheetId="8" hidden="1">{#N/A,#N/A,FALSE,"CCTV"}</definedName>
    <definedName name="바닥제외갑지" hidden="1">{#N/A,#N/A,FALSE,"CCTV"}</definedName>
    <definedName name="바부" localSheetId="1" hidden="1">{"'용역비'!$A$4:$C$8"}</definedName>
    <definedName name="바부" localSheetId="2" hidden="1">{"'용역비'!$A$4:$C$8"}</definedName>
    <definedName name="바부" localSheetId="8" hidden="1">{"'용역비'!$A$4:$C$8"}</definedName>
    <definedName name="바부" hidden="1">{"'용역비'!$A$4:$C$8"}</definedName>
    <definedName name="바붕" localSheetId="1" hidden="1">{#N/A,#N/A,FALSE,"전력간선"}</definedName>
    <definedName name="바붕" localSheetId="2" hidden="1">{#N/A,#N/A,FALSE,"전력간선"}</definedName>
    <definedName name="바붕" localSheetId="8" hidden="1">{#N/A,#N/A,FALSE,"전력간선"}</definedName>
    <definedName name="바붕" hidden="1">{#N/A,#N/A,FALSE,"전력간선"}</definedName>
    <definedName name="박" localSheetId="1" hidden="1">{#N/A,#N/A,FALSE,"구조1"}</definedName>
    <definedName name="박" localSheetId="2" hidden="1">{#N/A,#N/A,FALSE,"구조1"}</definedName>
    <definedName name="박" localSheetId="8" hidden="1">{#N/A,#N/A,FALSE,"구조1"}</definedName>
    <definedName name="박" hidden="1">{#N/A,#N/A,FALSE,"구조1"}</definedName>
    <definedName name="박경근"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1" hidden="1">{#N/A,#N/A,FALSE,"현장 NCR 분석";#N/A,#N/A,FALSE,"현장품질감사";#N/A,#N/A,FALSE,"현장품질감사"}</definedName>
    <definedName name="방수시방1" localSheetId="2" hidden="1">{#N/A,#N/A,FALSE,"현장 NCR 분석";#N/A,#N/A,FALSE,"현장품질감사";#N/A,#N/A,FALSE,"현장품질감사"}</definedName>
    <definedName name="방수시방1" localSheetId="8" hidden="1">{#N/A,#N/A,FALSE,"현장 NCR 분석";#N/A,#N/A,FALSE,"현장품질감사";#N/A,#N/A,FALSE,"현장품질감사"}</definedName>
    <definedName name="방수시방1" hidden="1">{#N/A,#N/A,FALSE,"현장 NCR 분석";#N/A,#N/A,FALSE,"현장품질감사";#N/A,#N/A,FALSE,"현장품질감사"}</definedName>
    <definedName name="배관공수율" hidden="1">#REF!</definedName>
    <definedName name="배기덕트공사" localSheetId="1" hidden="1">{#N/A,#N/A,FALSE,"CCTV"}</definedName>
    <definedName name="배기덕트공사" localSheetId="2" hidden="1">{#N/A,#N/A,FALSE,"CCTV"}</definedName>
    <definedName name="배기덕트공사" localSheetId="8" hidden="1">{#N/A,#N/A,FALSE,"CCTV"}</definedName>
    <definedName name="배기덕트공사" hidden="1">{#N/A,#N/A,FALSE,"CCTV"}</definedName>
    <definedName name="배수공집계_주요자재" localSheetId="1" hidden="1">{#N/A,#N/A,FALSE,"포장단가"}</definedName>
    <definedName name="배수공집계_주요자재" localSheetId="2" hidden="1">{#N/A,#N/A,FALSE,"포장단가"}</definedName>
    <definedName name="배수공집계_주요자재" localSheetId="8" hidden="1">{#N/A,#N/A,FALSE,"포장단가"}</definedName>
    <definedName name="배수공집계_주요자재" hidden="1">{#N/A,#N/A,FALSE,"포장단가"}</definedName>
    <definedName name="벙" localSheetId="1" hidden="1">{#N/A,#N/A,FALSE,"Sheet6"}</definedName>
    <definedName name="벙" localSheetId="2" hidden="1">{#N/A,#N/A,FALSE,"Sheet6"}</definedName>
    <definedName name="벙" localSheetId="8" hidden="1">{#N/A,#N/A,FALSE,"Sheet6"}</definedName>
    <definedName name="벙" hidden="1">{#N/A,#N/A,FALSE,"Sheet6"}</definedName>
    <definedName name="벽체" localSheetId="1" hidden="1">{#N/A,#N/A,FALSE,"혼합골재"}</definedName>
    <definedName name="벽체" localSheetId="2" hidden="1">{#N/A,#N/A,FALSE,"혼합골재"}</definedName>
    <definedName name="벽체" localSheetId="8" hidden="1">{#N/A,#N/A,FALSE,"혼합골재"}</definedName>
    <definedName name="벽체" hidden="1">{#N/A,#N/A,FALSE,"혼합골재"}</definedName>
    <definedName name="변경2"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2"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localSheetId="1" hidden="1">{#N/A,#N/A,FALSE,"집계표"}</definedName>
    <definedName name="보고자료" localSheetId="2" hidden="1">{#N/A,#N/A,FALSE,"집계표"}</definedName>
    <definedName name="보고자료" localSheetId="8" hidden="1">{#N/A,#N/A,FALSE,"집계표"}</definedName>
    <definedName name="보고자료" hidden="1">{#N/A,#N/A,FALSE,"집계표"}</definedName>
    <definedName name="보링" localSheetId="1" hidden="1">{#N/A,#N/A,FALSE,"포장2"}</definedName>
    <definedName name="보링" localSheetId="2" hidden="1">{#N/A,#N/A,FALSE,"포장2"}</definedName>
    <definedName name="보링" localSheetId="8" hidden="1">{#N/A,#N/A,FALSE,"포장2"}</definedName>
    <definedName name="보링" hidden="1">{#N/A,#N/A,FALSE,"포장2"}</definedName>
    <definedName name="보오링그라우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1" hidden="1">{#N/A,#N/A,FALSE,"이태원철근"}</definedName>
    <definedName name="보할" localSheetId="2" hidden="1">{#N/A,#N/A,FALSE,"이태원철근"}</definedName>
    <definedName name="보할" localSheetId="8" hidden="1">{#N/A,#N/A,FALSE,"이태원철근"}</definedName>
    <definedName name="보할" hidden="1">{#N/A,#N/A,FALSE,"이태원철근"}</definedName>
    <definedName name="보활공정" localSheetId="1" hidden="1">{#N/A,#N/A,FALSE,"이태원철근"}</definedName>
    <definedName name="보활공정" localSheetId="2" hidden="1">{#N/A,#N/A,FALSE,"이태원철근"}</definedName>
    <definedName name="보활공정" localSheetId="8" hidden="1">{#N/A,#N/A,FALSE,"이태원철근"}</definedName>
    <definedName name="보활공정" hidden="1">{#N/A,#N/A,FALSE,"이태원철근"}</definedName>
    <definedName name="복지" hidden="1">#REF!</definedName>
    <definedName name="봉식결재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8"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1" hidden="1">{#N/A,#N/A,FALSE,"골재소요량";#N/A,#N/A,FALSE,"골재소요량"}</definedName>
    <definedName name="부" localSheetId="2" hidden="1">{#N/A,#N/A,FALSE,"골재소요량";#N/A,#N/A,FALSE,"골재소요량"}</definedName>
    <definedName name="부" localSheetId="8" hidden="1">{#N/A,#N/A,FALSE,"골재소요량";#N/A,#N/A,FALSE,"골재소요량"}</definedName>
    <definedName name="부" hidden="1">{#N/A,#N/A,FALSE,"골재소요량";#N/A,#N/A,FALSE,"골재소요량"}</definedName>
    <definedName name="부대a" localSheetId="1" hidden="1">{#N/A,#N/A,FALSE,"골재소요량";#N/A,#N/A,FALSE,"골재소요량"}</definedName>
    <definedName name="부대a" localSheetId="2" hidden="1">{#N/A,#N/A,FALSE,"골재소요량";#N/A,#N/A,FALSE,"골재소요량"}</definedName>
    <definedName name="부대a" localSheetId="8" hidden="1">{#N/A,#N/A,FALSE,"골재소요량";#N/A,#N/A,FALSE,"골재소요량"}</definedName>
    <definedName name="부대a" hidden="1">{#N/A,#N/A,FALSE,"골재소요량";#N/A,#N/A,FALSE,"골재소요량"}</definedName>
    <definedName name="부대건축2" hidden="1">#REF!</definedName>
    <definedName name="부대구조" localSheetId="1" hidden="1">{#N/A,#N/A,FALSE,"골재소요량";#N/A,#N/A,FALSE,"골재소요량"}</definedName>
    <definedName name="부대구조" localSheetId="2" hidden="1">{#N/A,#N/A,FALSE,"골재소요량";#N/A,#N/A,FALSE,"골재소요량"}</definedName>
    <definedName name="부대구조" localSheetId="8" hidden="1">{#N/A,#N/A,FALSE,"골재소요량";#N/A,#N/A,FALSE,"골재소요량"}</definedName>
    <definedName name="부대구조" hidden="1">{#N/A,#N/A,FALSE,"골재소요량";#N/A,#N/A,FALSE,"골재소요량"}</definedName>
    <definedName name="부대방안" localSheetId="1" hidden="1">{#N/A,#N/A,FALSE,"단가표지"}</definedName>
    <definedName name="부대방안" localSheetId="2" hidden="1">{#N/A,#N/A,FALSE,"단가표지"}</definedName>
    <definedName name="부대방안" localSheetId="8" hidden="1">{#N/A,#N/A,FALSE,"단가표지"}</definedName>
    <definedName name="부대방안" hidden="1">{#N/A,#N/A,FALSE,"단가표지"}</definedName>
    <definedName name="부대실행"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1" hidden="1">{#N/A,#N/A,FALSE,"배수2"}</definedName>
    <definedName name="부대원가" localSheetId="2" hidden="1">{#N/A,#N/A,FALSE,"배수2"}</definedName>
    <definedName name="부대원가" localSheetId="8" hidden="1">{#N/A,#N/A,FALSE,"배수2"}</definedName>
    <definedName name="부대원가" hidden="1">{#N/A,#N/A,FALSE,"배수2"}</definedName>
    <definedName name="부대원본" localSheetId="1" hidden="1">{#N/A,#N/A,FALSE,"토공2"}</definedName>
    <definedName name="부대원본" localSheetId="2" hidden="1">{#N/A,#N/A,FALSE,"토공2"}</definedName>
    <definedName name="부대원본" localSheetId="8" hidden="1">{#N/A,#N/A,FALSE,"토공2"}</definedName>
    <definedName name="부대원본" hidden="1">{#N/A,#N/A,FALSE,"토공2"}</definedName>
    <definedName name="부대입찰서류작성" hidden="1">#REF!</definedName>
    <definedName name="부대철콘" localSheetId="1" hidden="1">{#N/A,#N/A,FALSE,"배수1"}</definedName>
    <definedName name="부대철콘" localSheetId="2" hidden="1">{#N/A,#N/A,FALSE,"배수1"}</definedName>
    <definedName name="부대철콘" localSheetId="8" hidden="1">{#N/A,#N/A,FALSE,"배수1"}</definedName>
    <definedName name="부대철콘" hidden="1">{#N/A,#N/A,FALSE,"배수1"}</definedName>
    <definedName name="부대토공" localSheetId="1" hidden="1">{#N/A,#N/A,FALSE,"구조2"}</definedName>
    <definedName name="부대토공" localSheetId="2" hidden="1">{#N/A,#N/A,FALSE,"구조2"}</definedName>
    <definedName name="부대토공" localSheetId="8" hidden="1">{#N/A,#N/A,FALSE,"구조2"}</definedName>
    <definedName name="부대토공" hidden="1">{#N/A,#N/A,FALSE,"구조2"}</definedName>
    <definedName name="부대토공2" localSheetId="1" hidden="1">{#N/A,#N/A,FALSE,"구조2"}</definedName>
    <definedName name="부대토공2" localSheetId="2" hidden="1">{#N/A,#N/A,FALSE,"구조2"}</definedName>
    <definedName name="부대토공2" localSheetId="8" hidden="1">{#N/A,#N/A,FALSE,"구조2"}</definedName>
    <definedName name="부대토공2" hidden="1">{#N/A,#N/A,FALSE,"구조2"}</definedName>
    <definedName name="부발" localSheetId="1" hidden="1">{#N/A,#N/A,FALSE,"견적갑지";#N/A,#N/A,FALSE,"총괄표";#N/A,#N/A,FALSE,"철골공사";#N/A,#N/A,FALSE,"토목공사";#N/A,#N/A,FALSE,"판넬전기공사"}</definedName>
    <definedName name="부발" localSheetId="2" hidden="1">{#N/A,#N/A,FALSE,"견적갑지";#N/A,#N/A,FALSE,"총괄표";#N/A,#N/A,FALSE,"철골공사";#N/A,#N/A,FALSE,"토목공사";#N/A,#N/A,FALSE,"판넬전기공사"}</definedName>
    <definedName name="부발" localSheetId="8" hidden="1">{#N/A,#N/A,FALSE,"견적갑지";#N/A,#N/A,FALSE,"총괄표";#N/A,#N/A,FALSE,"철골공사";#N/A,#N/A,FALSE,"토목공사";#N/A,#N/A,FALSE,"판넬전기공사"}</definedName>
    <definedName name="부발" hidden="1">{#N/A,#N/A,FALSE,"견적갑지";#N/A,#N/A,FALSE,"총괄표";#N/A,#N/A,FALSE,"철골공사";#N/A,#N/A,FALSE,"토목공사";#N/A,#N/A,FALSE,"판넬전기공사"}</definedName>
    <definedName name="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localSheetId="1" hidden="1">{#N/A,#N/A,FALSE,"현장 NCR 분석";#N/A,#N/A,FALSE,"현장품질감사";#N/A,#N/A,FALSE,"현장품질감사"}</definedName>
    <definedName name="부손익" localSheetId="2" hidden="1">{#N/A,#N/A,FALSE,"현장 NCR 분석";#N/A,#N/A,FALSE,"현장품질감사";#N/A,#N/A,FALSE,"현장품질감사"}</definedName>
    <definedName name="부손익" localSheetId="8" hidden="1">{#N/A,#N/A,FALSE,"현장 NCR 분석";#N/A,#N/A,FALSE,"현장품질감사";#N/A,#N/A,FALSE,"현장품질감사"}</definedName>
    <definedName name="부손익" hidden="1">{#N/A,#N/A,FALSE,"현장 NCR 분석";#N/A,#N/A,FALSE,"현장품질감사";#N/A,#N/A,FALSE,"현장품질감사"}</definedName>
    <definedName name="부천상동조경" localSheetId="1" hidden="1">{#N/A,#N/A,FALSE,"표지"}</definedName>
    <definedName name="부천상동조경" localSheetId="2" hidden="1">{#N/A,#N/A,FALSE,"표지"}</definedName>
    <definedName name="부천상동조경" localSheetId="8" hidden="1">{#N/A,#N/A,FALSE,"표지"}</definedName>
    <definedName name="부천상동조경" hidden="1">{#N/A,#N/A,FALSE,"표지"}</definedName>
    <definedName name="분" localSheetId="1" hidden="1">{#N/A,#N/A,FALSE,"이태원철근"}</definedName>
    <definedName name="분" localSheetId="2" hidden="1">{#N/A,#N/A,FALSE,"이태원철근"}</definedName>
    <definedName name="분" localSheetId="8" hidden="1">{#N/A,#N/A,FALSE,"이태원철근"}</definedName>
    <definedName name="분" hidden="1">{#N/A,#N/A,FALSE,"이태원철근"}</definedName>
    <definedName name="분당공" hidden="1">#REF!</definedName>
    <definedName name="분당물가" hidden="1">#REF!</definedName>
    <definedName name="분당코아" hidden="1">#REF!</definedName>
    <definedName name="분당협조" localSheetId="1" hidden="1">{#N/A,#N/A,FALSE,"이태원철근"}</definedName>
    <definedName name="분당협조" localSheetId="2" hidden="1">{#N/A,#N/A,FALSE,"이태원철근"}</definedName>
    <definedName name="분당협조" localSheetId="8" hidden="1">{#N/A,#N/A,FALSE,"이태원철근"}</definedName>
    <definedName name="분당협조" hidden="1">{#N/A,#N/A,FALSE,"이태원철근"}</definedName>
    <definedName name="분석" localSheetId="1" hidden="1">{#N/A,#N/A,FALSE,"예상손익";#N/A,#N/A,FALSE,"관리분석";#N/A,#N/A,FALSE,"장비분석";#N/A,#N/A,FALSE,"준설분석";#N/A,#N/A,FALSE,"철구분석"}</definedName>
    <definedName name="분석" localSheetId="2" hidden="1">{#N/A,#N/A,FALSE,"예상손익";#N/A,#N/A,FALSE,"관리분석";#N/A,#N/A,FALSE,"장비분석";#N/A,#N/A,FALSE,"준설분석";#N/A,#N/A,FALSE,"철구분석"}</definedName>
    <definedName name="분석" localSheetId="8" hidden="1">{#N/A,#N/A,FALSE,"예상손익";#N/A,#N/A,FALSE,"관리분석";#N/A,#N/A,FALSE,"장비분석";#N/A,#N/A,FALSE,"준설분석";#N/A,#N/A,FALSE,"철구분석"}</definedName>
    <definedName name="분석" hidden="1">{#N/A,#N/A,FALSE,"예상손익";#N/A,#N/A,FALSE,"관리분석";#N/A,#N/A,FALSE,"장비분석";#N/A,#N/A,FALSE,"준설분석";#N/A,#N/A,FALSE,"철구분석"}</definedName>
    <definedName name="분석변경" localSheetId="1" hidden="1">{#N/A,#N/A,FALSE,"변경관리예산";#N/A,#N/A,FALSE,"변경장비예산";#N/A,#N/A,FALSE,"변경준설예산";#N/A,#N/A,FALSE,"변경철구예산"}</definedName>
    <definedName name="분석변경" localSheetId="2" hidden="1">{#N/A,#N/A,FALSE,"변경관리예산";#N/A,#N/A,FALSE,"변경장비예산";#N/A,#N/A,FALSE,"변경준설예산";#N/A,#N/A,FALSE,"변경철구예산"}</definedName>
    <definedName name="분석변경" localSheetId="8"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석표" localSheetId="1" hidden="1">{#N/A,#N/A,FALSE,"사업총괄";#N/A,#N/A,FALSE,"장비사업";#N/A,#N/A,FALSE,"철구사업";#N/A,#N/A,FALSE,"준설사업"}</definedName>
    <definedName name="분석표" localSheetId="2" hidden="1">{#N/A,#N/A,FALSE,"사업총괄";#N/A,#N/A,FALSE,"장비사업";#N/A,#N/A,FALSE,"철구사업";#N/A,#N/A,FALSE,"준설사업"}</definedName>
    <definedName name="분석표" localSheetId="8" hidden="1">{#N/A,#N/A,FALSE,"사업총괄";#N/A,#N/A,FALSE,"장비사업";#N/A,#N/A,FALSE,"철구사업";#N/A,#N/A,FALSE,"준설사업"}</definedName>
    <definedName name="분석표" hidden="1">{#N/A,#N/A,FALSE,"사업총괄";#N/A,#N/A,FALSE,"장비사업";#N/A,#N/A,FALSE,"철구사업";#N/A,#N/A,FALSE,"준설사업"}</definedName>
    <definedName name="분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localSheetId="1" hidden="1">{#N/A,#N/A,FALSE,"견적갑지";#N/A,#N/A,FALSE,"총괄표";#N/A,#N/A,FALSE,"철골공사";#N/A,#N/A,FALSE,"토목공사";#N/A,#N/A,FALSE,"판넬전기공사"}</definedName>
    <definedName name="빙" localSheetId="2" hidden="1">{#N/A,#N/A,FALSE,"견적갑지";#N/A,#N/A,FALSE,"총괄표";#N/A,#N/A,FALSE,"철골공사";#N/A,#N/A,FALSE,"토목공사";#N/A,#N/A,FALSE,"판넬전기공사"}</definedName>
    <definedName name="빙" localSheetId="8" hidden="1">{#N/A,#N/A,FALSE,"견적갑지";#N/A,#N/A,FALSE,"총괄표";#N/A,#N/A,FALSE,"철골공사";#N/A,#N/A,FALSE,"토목공사";#N/A,#N/A,FALSE,"판넬전기공사"}</definedName>
    <definedName name="빙" hidden="1">{#N/A,#N/A,FALSE,"견적갑지";#N/A,#N/A,FALSE,"총괄표";#N/A,#N/A,FALSE,"철골공사";#N/A,#N/A,FALSE,"토목공사";#N/A,#N/A,FALSE,"판넬전기공사"}</definedName>
    <definedName name="빙추" localSheetId="1"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추" localSheetId="8"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localSheetId="1"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 localSheetId="8"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localSheetId="1"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빙축열주요자재" localSheetId="8"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localSheetId="1" hidden="1">{#N/A,#N/A,TRUE,"토적및재료집계";#N/A,#N/A,TRUE,"토적및재료집계";#N/A,#N/A,TRUE,"단위량"}</definedName>
    <definedName name="ㅅ" localSheetId="2" hidden="1">{#N/A,#N/A,TRUE,"토적및재료집계";#N/A,#N/A,TRUE,"토적및재료집계";#N/A,#N/A,TRUE,"단위량"}</definedName>
    <definedName name="ㅅ" localSheetId="8" hidden="1">{#N/A,#N/A,TRUE,"토적및재료집계";#N/A,#N/A,TRUE,"토적및재료집계";#N/A,#N/A,TRUE,"단위량"}</definedName>
    <definedName name="ㅅ" hidden="1">{#N/A,#N/A,TRUE,"토적및재료집계";#N/A,#N/A,TRUE,"토적및재료집계";#N/A,#N/A,TRUE,"단위량"}</definedName>
    <definedName name="ㅅ54ㅛㄳ" hidden="1">#REF!</definedName>
    <definedName name="ㅅㄱㄱㄷ" localSheetId="1" hidden="1">{"'장비'!$A$3:$M$12"}</definedName>
    <definedName name="ㅅㄱㄱㄷ" localSheetId="2" hidden="1">{#N/A,#N/A,FALSE,"집계표"}</definedName>
    <definedName name="ㅅㄱㄱㄷ" localSheetId="8" hidden="1">{#N/A,#N/A,FALSE,"집계표"}</definedName>
    <definedName name="ㅅㄱㄱㄷ" hidden="1">{#N/A,#N/A,FALSE,"집계표"}</definedName>
    <definedName name="ㅅㄱㄷㅅㄱㄷ" localSheetId="1" hidden="1">{#N/A,#N/A,FALSE,"구조2"}</definedName>
    <definedName name="ㅅㄱㄷㅅㄱㄷ" localSheetId="2" hidden="1">{#N/A,#N/A,FALSE,"구조2"}</definedName>
    <definedName name="ㅅㄱㄷㅅㄱㄷ" localSheetId="8" hidden="1">{#N/A,#N/A,FALSE,"구조2"}</definedName>
    <definedName name="ㅅㄱㄷㅅㄱㄷ" hidden="1">{#N/A,#N/A,FALSE,"구조2"}</definedName>
    <definedName name="ㅅㄱㄷㅅㄷㄱ" localSheetId="1" hidden="1">{#N/A,#N/A,FALSE,"단가표지"}</definedName>
    <definedName name="ㅅㄱㄷㅅㄷㄱ" localSheetId="2" hidden="1">{#N/A,#N/A,FALSE,"단가표지"}</definedName>
    <definedName name="ㅅㄱㄷㅅㄷㄱ" localSheetId="8" hidden="1">{#N/A,#N/A,FALSE,"단가표지"}</definedName>
    <definedName name="ㅅㄱㄷㅅㄷㄱ" hidden="1">{#N/A,#N/A,FALSE,"단가표지"}</definedName>
    <definedName name="ㅅㄱㄷㅅㄷㄳ" localSheetId="1" hidden="1">{#N/A,#N/A,FALSE,"골재소요량";#N/A,#N/A,FALSE,"골재소요량"}</definedName>
    <definedName name="ㅅㄱㄷㅅㄷㄳ" localSheetId="2" hidden="1">{#N/A,#N/A,FALSE,"골재소요량";#N/A,#N/A,FALSE,"골재소요량"}</definedName>
    <definedName name="ㅅㄱㄷㅅㄷㄳ" localSheetId="8" hidden="1">{#N/A,#N/A,FALSE,"골재소요량";#N/A,#N/A,FALSE,"골재소요량"}</definedName>
    <definedName name="ㅅㄱㄷㅅㄷㄳ" hidden="1">{#N/A,#N/A,FALSE,"골재소요량";#N/A,#N/A,FALSE,"골재소요량"}</definedName>
    <definedName name="ㅅㄱ혿ㄱㅎ" localSheetId="1" hidden="1">{#N/A,#N/A,FALSE,"Sheet6"}</definedName>
    <definedName name="ㅅㄱ혿ㄱㅎ" localSheetId="2" hidden="1">{#N/A,#N/A,FALSE,"Sheet6"}</definedName>
    <definedName name="ㅅㄱ혿ㄱㅎ" localSheetId="8" hidden="1">{#N/A,#N/A,FALSE,"Sheet6"}</definedName>
    <definedName name="ㅅㄱ혿ㄱㅎ" hidden="1">{#N/A,#N/A,FALSE,"Sheet6"}</definedName>
    <definedName name="ㅅ곣ㅈ궈ㅕ" hidden="1">#REF!</definedName>
    <definedName name="ㅅ굔ㄱㄷ" localSheetId="1" hidden="1">{#N/A,#N/A,FALSE,"Sheet6"}</definedName>
    <definedName name="ㅅ굔ㄱㄷ" localSheetId="2" hidden="1">{#N/A,#N/A,FALSE,"Sheet6"}</definedName>
    <definedName name="ㅅ굔ㄱㄷ" localSheetId="8" hidden="1">{#N/A,#N/A,FALSE,"Sheet6"}</definedName>
    <definedName name="ㅅ굔ㄱㄷ" hidden="1">{#N/A,#N/A,FALSE,"Sheet6"}</definedName>
    <definedName name="ㅅ굦ㄷㄱ" localSheetId="1" hidden="1">{#N/A,#N/A,FALSE,"집계표"}</definedName>
    <definedName name="ㅅ굦ㄷㄱ" localSheetId="2" hidden="1">{#N/A,#N/A,FALSE,"집계표"}</definedName>
    <definedName name="ㅅ굦ㄷㄱ" localSheetId="8" hidden="1">{#N/A,#N/A,FALSE,"집계표"}</definedName>
    <definedName name="ㅅ굦ㄷㄱ" hidden="1">{#N/A,#N/A,FALSE,"집계표"}</definedName>
    <definedName name="ㅅㅅ" hidden="1">#REF!</definedName>
    <definedName name="ㅅㅅㅅ" localSheetId="1" hidden="1">{#N/A,#N/A,FALSE,"견적갑지";#N/A,#N/A,FALSE,"총괄표";#N/A,#N/A,FALSE,"철골공사";#N/A,#N/A,FALSE,"토목공사";#N/A,#N/A,FALSE,"판넬전기공사"}</definedName>
    <definedName name="ㅅㅅㅅ" localSheetId="2" hidden="1">{#N/A,#N/A,FALSE,"견적갑지";#N/A,#N/A,FALSE,"총괄표";#N/A,#N/A,FALSE,"철골공사";#N/A,#N/A,FALSE,"토목공사";#N/A,#N/A,FALSE,"판넬전기공사"}</definedName>
    <definedName name="ㅅㅅㅅ" localSheetId="8" hidden="1">{#N/A,#N/A,FALSE,"견적갑지";#N/A,#N/A,FALSE,"총괄표";#N/A,#N/A,FALSE,"철골공사";#N/A,#N/A,FALSE,"토목공사";#N/A,#N/A,FALSE,"판넬전기공사"}</definedName>
    <definedName name="ㅅㅅㅅ" hidden="1">{#N/A,#N/A,FALSE,"견적갑지";#N/A,#N/A,FALSE,"총괄표";#N/A,#N/A,FALSE,"철골공사";#N/A,#N/A,FALSE,"토목공사";#N/A,#N/A,FALSE,"판넬전기공사"}</definedName>
    <definedName name="ㅅㅅㅅㅅㅅ" localSheetId="1" hidden="1">{"'장비'!$A$3:$M$12"}</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1" hidden="1">{#N/A,#N/A,FALSE,"집계표"}</definedName>
    <definedName name="ㅅㅎㅌㅇ료" localSheetId="2" hidden="1">{#N/A,#N/A,FALSE,"집계표"}</definedName>
    <definedName name="ㅅㅎㅌㅇ료" localSheetId="8" hidden="1">{#N/A,#N/A,FALSE,"집계표"}</definedName>
    <definedName name="ㅅㅎㅌㅇ료" hidden="1">{#N/A,#N/A,FALSE,"집계표"}</definedName>
    <definedName name="ㅅㅓ" hidden="1">#REF!</definedName>
    <definedName name="사" localSheetId="1" hidden="1">#REF!</definedName>
    <definedName name="사" hidden="1">#REF!</definedName>
    <definedName name="사1" localSheetId="1" hidden="1">{#N/A,#N/A,FALSE,"지침";#N/A,#N/A,FALSE,"환경분석";#N/A,#N/A,FALSE,"Sheet16"}</definedName>
    <definedName name="사1" localSheetId="2" hidden="1">{#N/A,#N/A,FALSE,"지침";#N/A,#N/A,FALSE,"환경분석";#N/A,#N/A,FALSE,"Sheet16"}</definedName>
    <definedName name="사1" localSheetId="8" hidden="1">{#N/A,#N/A,FALSE,"지침";#N/A,#N/A,FALSE,"환경분석";#N/A,#N/A,FALSE,"Sheet16"}</definedName>
    <definedName name="사1" hidden="1">{#N/A,#N/A,FALSE,"지침";#N/A,#N/A,FALSE,"환경분석";#N/A,#N/A,FALSE,"Sheet16"}</definedName>
    <definedName name="사급" localSheetId="1" hidden="1">{#N/A,#N/A,FALSE,"배수2"}</definedName>
    <definedName name="사급" localSheetId="2" hidden="1">{#N/A,#N/A,FALSE,"배수2"}</definedName>
    <definedName name="사급" localSheetId="8" hidden="1">{#N/A,#N/A,FALSE,"배수2"}</definedName>
    <definedName name="사급" hidden="1">{#N/A,#N/A,FALSE,"배수2"}</definedName>
    <definedName name="사면녹화공" localSheetId="1" hidden="1">{#N/A,#N/A,FALSE,"CCTV"}</definedName>
    <definedName name="사면녹화공" localSheetId="2" hidden="1">{#N/A,#N/A,FALSE,"CCTV"}</definedName>
    <definedName name="사면녹화공" localSheetId="8" hidden="1">{#N/A,#N/A,FALSE,"CCTV"}</definedName>
    <definedName name="사면녹화공" hidden="1">{#N/A,#N/A,FALSE,"CCTV"}</definedName>
    <definedName name="사사삿" localSheetId="1" hidden="1">{#N/A,#N/A,FALSE,"견적갑지";#N/A,#N/A,FALSE,"총괄표";#N/A,#N/A,FALSE,"철골공사";#N/A,#N/A,FALSE,"토목공사";#N/A,#N/A,FALSE,"판넬전기공사"}</definedName>
    <definedName name="사사삿" localSheetId="2" hidden="1">{#N/A,#N/A,FALSE,"견적갑지";#N/A,#N/A,FALSE,"총괄표";#N/A,#N/A,FALSE,"철골공사";#N/A,#N/A,FALSE,"토목공사";#N/A,#N/A,FALSE,"판넬전기공사"}</definedName>
    <definedName name="사사삿" localSheetId="8" hidden="1">{#N/A,#N/A,FALSE,"견적갑지";#N/A,#N/A,FALSE,"총괄표";#N/A,#N/A,FALSE,"철골공사";#N/A,#N/A,FALSE,"토목공사";#N/A,#N/A,FALSE,"판넬전기공사"}</definedName>
    <definedName name="사사삿" hidden="1">{#N/A,#N/A,FALSE,"견적갑지";#N/A,#N/A,FALSE,"총괄표";#N/A,#N/A,FALSE,"철골공사";#N/A,#N/A,FALSE,"토목공사";#N/A,#N/A,FALSE,"판넬전기공사"}</definedName>
    <definedName name="사인원가" hidden="1">#REF!</definedName>
    <definedName name="산출갑" localSheetId="1" hidden="1">{#N/A,#N/A,FALSE,"구조2"}</definedName>
    <definedName name="산출갑" localSheetId="2" hidden="1">{#N/A,#N/A,FALSE,"구조2"}</definedName>
    <definedName name="산출갑" localSheetId="8" hidden="1">{#N/A,#N/A,FALSE,"구조2"}</definedName>
    <definedName name="산출갑" hidden="1">{#N/A,#N/A,FALSE,"구조2"}</definedName>
    <definedName name="산출근거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1" hidden="1">{#N/A,#N/A,FALSE,"배수2"}</definedName>
    <definedName name="삼호" localSheetId="2" hidden="1">{#N/A,#N/A,FALSE,"배수2"}</definedName>
    <definedName name="삼호" localSheetId="8" hidden="1">{#N/A,#N/A,FALSE,"배수2"}</definedName>
    <definedName name="삼호" hidden="1">{#N/A,#N/A,FALSE,"배수2"}</definedName>
    <definedName name="삽" localSheetId="1" hidden="1">{#N/A,#N/A,FALSE,"Sheet6"}</definedName>
    <definedName name="삽" localSheetId="2" hidden="1">{#N/A,#N/A,FALSE,"Sheet6"}</definedName>
    <definedName name="삽" localSheetId="8" hidden="1">{#N/A,#N/A,FALSE,"Sheet6"}</definedName>
    <definedName name="삽" hidden="1">{#N/A,#N/A,FALSE,"Sheet6"}</definedName>
    <definedName name="상주" localSheetId="1" hidden="1">{#N/A,#N/A,FALSE,"지침";#N/A,#N/A,FALSE,"환경분석";#N/A,#N/A,FALSE,"Sheet16"}</definedName>
    <definedName name="상주" localSheetId="2" hidden="1">{#N/A,#N/A,FALSE,"지침";#N/A,#N/A,FALSE,"환경분석";#N/A,#N/A,FALSE,"Sheet16"}</definedName>
    <definedName name="상주" localSheetId="8" hidden="1">{#N/A,#N/A,FALSE,"지침";#N/A,#N/A,FALSE,"환경분석";#N/A,#N/A,FALSE,"Sheet16"}</definedName>
    <definedName name="상주" hidden="1">{#N/A,#N/A,FALSE,"지침";#N/A,#N/A,FALSE,"환경분석";#N/A,#N/A,FALSE,"Sheet16"}</definedName>
    <definedName name="상주감리" localSheetId="1" hidden="1">{#N/A,#N/A,FALSE,"지침";#N/A,#N/A,FALSE,"환경분석";#N/A,#N/A,FALSE,"Sheet16"}</definedName>
    <definedName name="상주감리" localSheetId="2" hidden="1">{#N/A,#N/A,FALSE,"지침";#N/A,#N/A,FALSE,"환경분석";#N/A,#N/A,FALSE,"Sheet16"}</definedName>
    <definedName name="상주감리" localSheetId="8" hidden="1">{#N/A,#N/A,FALSE,"지침";#N/A,#N/A,FALSE,"환경분석";#N/A,#N/A,FALSE,"Sheet16"}</definedName>
    <definedName name="상주감리" hidden="1">{#N/A,#N/A,FALSE,"지침";#N/A,#N/A,FALSE,"환경분석";#N/A,#N/A,FALSE,"Sheet16"}</definedName>
    <definedName name="새"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1" hidden="1">{#N/A,#N/A,FALSE,"이태원철근"}</definedName>
    <definedName name="새공통" localSheetId="2" hidden="1">{#N/A,#N/A,FALSE,"이태원철근"}</definedName>
    <definedName name="새공통" localSheetId="8" hidden="1">{#N/A,#N/A,FALSE,"이태원철근"}</definedName>
    <definedName name="새공통" hidden="1">{#N/A,#N/A,FALSE,"이태원철근"}</definedName>
    <definedName name="새내역서" localSheetId="1" hidden="1">{#N/A,#N/A,FALSE,"Sheet1"}</definedName>
    <definedName name="새내역서" localSheetId="2" hidden="1">{#N/A,#N/A,FALSE,"Sheet1"}</definedName>
    <definedName name="새내역서" localSheetId="8" hidden="1">{#N/A,#N/A,FALSE,"Sheet1"}</definedName>
    <definedName name="새내역서" hidden="1">{#N/A,#N/A,FALSE,"Sheet1"}</definedName>
    <definedName name="샘풀카피" localSheetId="1" hidden="1">{#N/A,#N/A,FALSE,"CCTV"}</definedName>
    <definedName name="샘풀카피" localSheetId="2" hidden="1">{#N/A,#N/A,FALSE,"CCTV"}</definedName>
    <definedName name="샘풀카피" localSheetId="8" hidden="1">{#N/A,#N/A,FALSE,"CCTV"}</definedName>
    <definedName name="샘풀카피" hidden="1">{#N/A,#N/A,FALSE,"CCTV"}</definedName>
    <definedName name="샘플카피2" localSheetId="1" hidden="1">{#N/A,#N/A,FALSE,"CCTV"}</definedName>
    <definedName name="샘플카피2" localSheetId="2" hidden="1">{#N/A,#N/A,FALSE,"CCTV"}</definedName>
    <definedName name="샘플카피2" localSheetId="8" hidden="1">{#N/A,#N/A,FALSE,"CCTV"}</definedName>
    <definedName name="샘플카피2" hidden="1">{#N/A,#N/A,FALSE,"CCTV"}</definedName>
    <definedName name="샘플카피3" localSheetId="1" hidden="1">{#N/A,#N/A,FALSE,"CCTV"}</definedName>
    <definedName name="샘플카피3" localSheetId="2" hidden="1">{#N/A,#N/A,FALSE,"CCTV"}</definedName>
    <definedName name="샘플카피3" localSheetId="8" hidden="1">{#N/A,#N/A,FALSE,"CCTV"}</definedName>
    <definedName name="샘플카피3" hidden="1">{#N/A,#N/A,FALSE,"CCTV"}</definedName>
    <definedName name="서아" localSheetId="1" hidden="1">{#N/A,#N/A,FALSE,"집계표"}</definedName>
    <definedName name="서아" localSheetId="2" hidden="1">{#N/A,#N/A,FALSE,"집계표"}</definedName>
    <definedName name="서아" localSheetId="8" hidden="1">{#N/A,#N/A,FALSE,"집계표"}</definedName>
    <definedName name="서아" hidden="1">{#N/A,#N/A,FALSE,"집계표"}</definedName>
    <definedName name="석" localSheetId="1" hidden="1">{#N/A,#N/A,FALSE,"지침";#N/A,#N/A,FALSE,"환경분석";#N/A,#N/A,FALSE,"Sheet16"}</definedName>
    <definedName name="석" localSheetId="2" hidden="1">{#N/A,#N/A,FALSE,"지침";#N/A,#N/A,FALSE,"환경분석";#N/A,#N/A,FALSE,"Sheet16"}</definedName>
    <definedName name="석" localSheetId="8" hidden="1">{#N/A,#N/A,FALSE,"지침";#N/A,#N/A,FALSE,"환경분석";#N/A,#N/A,FALSE,"Sheet16"}</definedName>
    <definedName name="석" hidden="1">{#N/A,#N/A,FALSE,"지침";#N/A,#N/A,FALSE,"환경분석";#N/A,#N/A,FALSE,"Sheet16"}</definedName>
    <definedName name="석재받은의뢰업체" hidden="1">255</definedName>
    <definedName name="석항" localSheetId="1" hidden="1">{#N/A,#N/A,FALSE,"명세표"}</definedName>
    <definedName name="석항" localSheetId="2" hidden="1">{#N/A,#N/A,FALSE,"명세표"}</definedName>
    <definedName name="석항" localSheetId="8" hidden="1">{#N/A,#N/A,FALSE,"명세표"}</definedName>
    <definedName name="석항" hidden="1">{#N/A,#N/A,FALSE,"명세표"}</definedName>
    <definedName name="설명서" localSheetId="1" hidden="1">{#N/A,#N/A,FALSE,"포장1";#N/A,#N/A,FALSE,"포장1"}</definedName>
    <definedName name="설명서" localSheetId="2" hidden="1">{#N/A,#N/A,FALSE,"포장1";#N/A,#N/A,FALSE,"포장1"}</definedName>
    <definedName name="설명서" localSheetId="8" hidden="1">{#N/A,#N/A,FALSE,"포장1";#N/A,#N/A,FALSE,"포장1"}</definedName>
    <definedName name="설명서" hidden="1">{#N/A,#N/A,FALSE,"포장1";#N/A,#N/A,FALSE,"포장1"}</definedName>
    <definedName name="설비" localSheetId="1" hidden="1">{#N/A,#N/A,FALSE,"이태원철근"}</definedName>
    <definedName name="설비" localSheetId="2" hidden="1">{#N/A,#N/A,FALSE,"이태원철근"}</definedName>
    <definedName name="설비" localSheetId="8" hidden="1">{#N/A,#N/A,FALSE,"이태원철근"}</definedName>
    <definedName name="설비" hidden="1">{#N/A,#N/A,FALSE,"이태원철근"}</definedName>
    <definedName name="설비산출" localSheetId="1" hidden="1">{"'건축내역'!$A$1:$L$413"}</definedName>
    <definedName name="설비산출" localSheetId="2" hidden="1">{"'건축내역'!$A$1:$L$413"}</definedName>
    <definedName name="설비산출" localSheetId="8" hidden="1">{"'건축내역'!$A$1:$L$413"}</definedName>
    <definedName name="설비산출" hidden="1">{"'건축내역'!$A$1:$L$413"}</definedName>
    <definedName name="세전익익" localSheetId="1" hidden="1">{#N/A,#N/A,FALSE,"지침";#N/A,#N/A,FALSE,"환경분석";#N/A,#N/A,FALSE,"Sheet16"}</definedName>
    <definedName name="세전익익" localSheetId="2" hidden="1">{#N/A,#N/A,FALSE,"지침";#N/A,#N/A,FALSE,"환경분석";#N/A,#N/A,FALSE,"Sheet16"}</definedName>
    <definedName name="세전익익" localSheetId="8" hidden="1">{#N/A,#N/A,FALSE,"지침";#N/A,#N/A,FALSE,"환경분석";#N/A,#N/A,FALSE,"Sheet16"}</definedName>
    <definedName name="세전익익" hidden="1">{#N/A,#N/A,FALSE,"지침";#N/A,#N/A,FALSE,"환경분석";#N/A,#N/A,FALSE,"Sheet16"}</definedName>
    <definedName name="소방자재하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1" hidden="1">{#N/A,#N/A,FALSE,"예상손익";#N/A,#N/A,FALSE,"관리분석";#N/A,#N/A,FALSE,"장비분석";#N/A,#N/A,FALSE,"준설분석";#N/A,#N/A,FALSE,"철구분석"}</definedName>
    <definedName name="소요계획2" localSheetId="2" hidden="1">{#N/A,#N/A,FALSE,"예상손익";#N/A,#N/A,FALSE,"관리분석";#N/A,#N/A,FALSE,"장비분석";#N/A,#N/A,FALSE,"준설분석";#N/A,#N/A,FALSE,"철구분석"}</definedName>
    <definedName name="소요계획2" localSheetId="8" hidden="1">{#N/A,#N/A,FALSE,"예상손익";#N/A,#N/A,FALSE,"관리분석";#N/A,#N/A,FALSE,"장비분석";#N/A,#N/A,FALSE,"준설분석";#N/A,#N/A,FALSE,"철구분석"}</definedName>
    <definedName name="소요계획2" hidden="1">{#N/A,#N/A,FALSE,"예상손익";#N/A,#N/A,FALSE,"관리분석";#N/A,#N/A,FALSE,"장비분석";#N/A,#N/A,FALSE,"준설분석";#N/A,#N/A,FALSE,"철구분석"}</definedName>
    <definedName name="소포장" localSheetId="1" hidden="1">{#N/A,#N/A,FALSE,"견적갑지";#N/A,#N/A,FALSE,"총괄표";#N/A,#N/A,FALSE,"철골공사";#N/A,#N/A,FALSE,"토목공사";#N/A,#N/A,FALSE,"판넬전기공사"}</definedName>
    <definedName name="소포장" localSheetId="2" hidden="1">{#N/A,#N/A,FALSE,"견적갑지";#N/A,#N/A,FALSE,"총괄표";#N/A,#N/A,FALSE,"철골공사";#N/A,#N/A,FALSE,"토목공사";#N/A,#N/A,FALSE,"판넬전기공사"}</definedName>
    <definedName name="소포장" localSheetId="8" hidden="1">{#N/A,#N/A,FALSE,"견적갑지";#N/A,#N/A,FALSE,"총괄표";#N/A,#N/A,FALSE,"철골공사";#N/A,#N/A,FALSE,"토목공사";#N/A,#N/A,FALSE,"판넬전기공사"}</definedName>
    <definedName name="소포장" hidden="1">{#N/A,#N/A,FALSE,"견적갑지";#N/A,#N/A,FALSE,"총괄표";#N/A,#N/A,FALSE,"철골공사";#N/A,#N/A,FALSE,"토목공사";#N/A,#N/A,FALSE,"판넬전기공사"}</definedName>
    <definedName name="소포장설비" localSheetId="1"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포장설비" localSheetId="8"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localSheetId="1" hidden="1">{#N/A,#N/A,FALSE,"CCTV"}</definedName>
    <definedName name="소화갑지" localSheetId="2" hidden="1">{#N/A,#N/A,FALSE,"CCTV"}</definedName>
    <definedName name="소화갑지" localSheetId="8" hidden="1">{#N/A,#N/A,FALSE,"CCTV"}</definedName>
    <definedName name="소화갑지" hidden="1">{#N/A,#N/A,FALSE,"CCTV"}</definedName>
    <definedName name="소ㅑ104" hidden="1">#REF!</definedName>
    <definedName name="손익변경" localSheetId="1" hidden="1">{#N/A,#N/A,FALSE,"지침";#N/A,#N/A,FALSE,"환경분석";#N/A,#N/A,FALSE,"Sheet16"}</definedName>
    <definedName name="손익변경" localSheetId="2" hidden="1">{#N/A,#N/A,FALSE,"지침";#N/A,#N/A,FALSE,"환경분석";#N/A,#N/A,FALSE,"Sheet16"}</definedName>
    <definedName name="손익변경" localSheetId="8" hidden="1">{#N/A,#N/A,FALSE,"지침";#N/A,#N/A,FALSE,"환경분석";#N/A,#N/A,FALSE,"Sheet16"}</definedName>
    <definedName name="손익변경" hidden="1">{#N/A,#N/A,FALSE,"지침";#N/A,#N/A,FALSE,"환경분석";#N/A,#N/A,FALSE,"Sheet16"}</definedName>
    <definedName name="송용석"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1" hidden="1">{#N/A,#N/A,FALSE,"Sheet6"}</definedName>
    <definedName name="쇼ㅏㅅ" localSheetId="2" hidden="1">{#N/A,#N/A,FALSE,"Sheet6"}</definedName>
    <definedName name="쇼ㅏㅅ" localSheetId="8" hidden="1">{#N/A,#N/A,FALSE,"Sheet6"}</definedName>
    <definedName name="쇼ㅏㅅ" hidden="1">{#N/A,#N/A,FALSE,"Sheet6"}</definedName>
    <definedName name="쇼ㅓㅎㄹ" localSheetId="1" hidden="1">{#N/A,#N/A,FALSE,"집계표"}</definedName>
    <definedName name="쇼ㅓㅎㄹ" localSheetId="2" hidden="1">{#N/A,#N/A,FALSE,"집계표"}</definedName>
    <definedName name="쇼ㅓㅎㄹ" localSheetId="8" hidden="1">{#N/A,#N/A,FALSE,"집계표"}</definedName>
    <definedName name="쇼ㅓㅎㄹ" hidden="1">{#N/A,#N/A,FALSE,"집계표"}</definedName>
    <definedName name="쇼ㅗㅎ로" localSheetId="1" hidden="1">{"'장비'!$A$3:$M$12"}</definedName>
    <definedName name="쇼ㅗㅎ로" localSheetId="2" hidden="1">{"'장비'!$A$3:$M$12"}</definedName>
    <definedName name="쇼ㅗㅎ로" localSheetId="8" hidden="1">{"'장비'!$A$3:$M$12"}</definedName>
    <definedName name="쇼ㅗㅎ로" hidden="1">{"'장비'!$A$3:$M$12"}</definedName>
    <definedName name="숏교" localSheetId="1" hidden="1">{#N/A,#N/A,FALSE,"Sheet6"}</definedName>
    <definedName name="숏교" localSheetId="2" hidden="1">{#N/A,#N/A,FALSE,"Sheet6"}</definedName>
    <definedName name="숏교" localSheetId="8" hidden="1">{#N/A,#N/A,FALSE,"Sheet6"}</definedName>
    <definedName name="숏교" hidden="1">{#N/A,#N/A,FALSE,"Sheet6"}</definedName>
    <definedName name="숑" localSheetId="1" hidden="1">{#N/A,#N/A,FALSE,"도급대비시행율";#N/A,#N/A,FALSE,"결의서";#N/A,#N/A,FALSE,"내역서";#N/A,#N/A,FALSE,"도급예상"}</definedName>
    <definedName name="숑" localSheetId="2" hidden="1">{#N/A,#N/A,FALSE,"도급대비시행율";#N/A,#N/A,FALSE,"결의서";#N/A,#N/A,FALSE,"내역서";#N/A,#N/A,FALSE,"도급예상"}</definedName>
    <definedName name="숑" localSheetId="8" hidden="1">{#N/A,#N/A,FALSE,"도급대비시행율";#N/A,#N/A,FALSE,"결의서";#N/A,#N/A,FALSE,"내역서";#N/A,#N/A,FALSE,"도급예상"}</definedName>
    <definedName name="숑" hidden="1">{#N/A,#N/A,FALSE,"도급대비시행율";#N/A,#N/A,FALSE,"결의서";#N/A,#N/A,FALSE,"내역서";#N/A,#N/A,FALSE,"도급예상"}</definedName>
    <definedName name="수" localSheetId="1" hidden="1">#REF!</definedName>
    <definedName name="수" hidden="1">#REF!</definedName>
    <definedName name="수량산출근거" localSheetId="1" hidden="1">{#N/A,#N/A,FALSE,"표지"}</definedName>
    <definedName name="수량산출근거" localSheetId="2" hidden="1">{#N/A,#N/A,FALSE,"표지"}</definedName>
    <definedName name="수량산출근거" localSheetId="8" hidden="1">{#N/A,#N/A,FALSE,"표지"}</definedName>
    <definedName name="수량산출근거" hidden="1">{#N/A,#N/A,FALSE,"표지"}</definedName>
    <definedName name="수량집계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1" hidden="1">{#N/A,#N/A,FALSE,"지침";#N/A,#N/A,FALSE,"환경분석";#N/A,#N/A,FALSE,"Sheet16"}</definedName>
    <definedName name="승" localSheetId="2" hidden="1">{#N/A,#N/A,FALSE,"지침";#N/A,#N/A,FALSE,"환경분석";#N/A,#N/A,FALSE,"Sheet16"}</definedName>
    <definedName name="승" localSheetId="8" hidden="1">{#N/A,#N/A,FALSE,"지침";#N/A,#N/A,FALSE,"환경분석";#N/A,#N/A,FALSE,"Sheet16"}</definedName>
    <definedName name="승" hidden="1">{#N/A,#N/A,FALSE,"지침";#N/A,#N/A,FALSE,"환경분석";#N/A,#N/A,FALSE,"Sheet16"}</definedName>
    <definedName name="시중노임11"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1" hidden="1">{#N/A,#N/A,FALSE,"견적갑지";#N/A,#N/A,FALSE,"총괄표";#N/A,#N/A,FALSE,"철골공사";#N/A,#N/A,FALSE,"토목공사";#N/A,#N/A,FALSE,"판넬전기공사"}</definedName>
    <definedName name="시트" localSheetId="2" hidden="1">{#N/A,#N/A,FALSE,"견적갑지";#N/A,#N/A,FALSE,"총괄표";#N/A,#N/A,FALSE,"철골공사";#N/A,#N/A,FALSE,"토목공사";#N/A,#N/A,FALSE,"판넬전기공사"}</definedName>
    <definedName name="시트" localSheetId="8" hidden="1">{#N/A,#N/A,FALSE,"견적갑지";#N/A,#N/A,FALSE,"총괄표";#N/A,#N/A,FALSE,"철골공사";#N/A,#N/A,FALSE,"토목공사";#N/A,#N/A,FALSE,"판넬전기공사"}</definedName>
    <definedName name="시트" hidden="1">{#N/A,#N/A,FALSE,"견적갑지";#N/A,#N/A,FALSE,"총괄표";#N/A,#N/A,FALSE,"철골공사";#N/A,#N/A,FALSE,"토목공사";#N/A,#N/A,FALSE,"판넬전기공사"}</definedName>
    <definedName name="시행" localSheetId="1" hidden="1">{#N/A,#N/A,FALSE,"이태원철근"}</definedName>
    <definedName name="시행" localSheetId="2" hidden="1">{#N/A,#N/A,FALSE,"이태원철근"}</definedName>
    <definedName name="시행" localSheetId="8" hidden="1">{#N/A,#N/A,FALSE,"이태원철근"}</definedName>
    <definedName name="시행" hidden="1">{#N/A,#N/A,FALSE,"이태원철근"}</definedName>
    <definedName name="시험실과식당" localSheetId="1" hidden="1">{#N/A,#N/A,FALSE,"사업총괄";#N/A,#N/A,FALSE,"장비사업";#N/A,#N/A,FALSE,"철구사업";#N/A,#N/A,FALSE,"준설사업"}</definedName>
    <definedName name="시험실과식당" localSheetId="2" hidden="1">{#N/A,#N/A,FALSE,"사업총괄";#N/A,#N/A,FALSE,"장비사업";#N/A,#N/A,FALSE,"철구사업";#N/A,#N/A,FALSE,"준설사업"}</definedName>
    <definedName name="시험실과식당" localSheetId="8" hidden="1">{#N/A,#N/A,FALSE,"사업총괄";#N/A,#N/A,FALSE,"장비사업";#N/A,#N/A,FALSE,"철구사업";#N/A,#N/A,FALSE,"준설사업"}</definedName>
    <definedName name="시험실과식당" hidden="1">{#N/A,#N/A,FALSE,"사업총괄";#N/A,#N/A,FALSE,"장비사업";#N/A,#N/A,FALSE,"철구사업";#N/A,#N/A,FALSE,"준설사업"}</definedName>
    <definedName name="신"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1" hidden="1">{#N/A,#N/A,FALSE,"명세표"}</definedName>
    <definedName name="신설" localSheetId="2" hidden="1">{#N/A,#N/A,FALSE,"명세표"}</definedName>
    <definedName name="신설" localSheetId="8" hidden="1">{#N/A,#N/A,FALSE,"명세표"}</definedName>
    <definedName name="신설" hidden="1">{#N/A,#N/A,FALSE,"명세표"}</definedName>
    <definedName name="신세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1" hidden="1">{#N/A,#N/A,FALSE,"현장 NCR 분석";#N/A,#N/A,FALSE,"현장품질감사";#N/A,#N/A,FALSE,"현장품질감사"}</definedName>
    <definedName name="신안" localSheetId="2" hidden="1">{#N/A,#N/A,FALSE,"현장 NCR 분석";#N/A,#N/A,FALSE,"현장품질감사";#N/A,#N/A,FALSE,"현장품질감사"}</definedName>
    <definedName name="신안" localSheetId="8" hidden="1">{#N/A,#N/A,FALSE,"현장 NCR 분석";#N/A,#N/A,FALSE,"현장품질감사";#N/A,#N/A,FALSE,"현장품질감사"}</definedName>
    <definedName name="신안" hidden="1">{#N/A,#N/A,FALSE,"현장 NCR 분석";#N/A,#N/A,FALSE,"현장품질감사";#N/A,#N/A,FALSE,"현장품질감사"}</definedName>
    <definedName name="신재점" localSheetId="1" hidden="1">{#N/A,#N/A,FALSE,"이태원철근"}</definedName>
    <definedName name="신재점" localSheetId="2" hidden="1">{#N/A,#N/A,FALSE,"이태원철근"}</definedName>
    <definedName name="신재점" localSheetId="8" hidden="1">{#N/A,#N/A,FALSE,"이태원철근"}</definedName>
    <definedName name="신재점" hidden="1">{#N/A,#N/A,FALSE,"이태원철근"}</definedName>
    <definedName name="실행검토" hidden="1">#REF!</definedName>
    <definedName name="실행금액"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localSheetId="1" hidden="1">{#N/A,#N/A,FALSE,"집계표"}</definedName>
    <definedName name="ㅇㄱ로ㅕㅛ" localSheetId="2" hidden="1">{#N/A,#N/A,FALSE,"집계표"}</definedName>
    <definedName name="ㅇㄱ로ㅕㅛ" localSheetId="8" hidden="1">{#N/A,#N/A,FALSE,"집계표"}</definedName>
    <definedName name="ㅇㄱ로ㅕㅛ" hidden="1">{#N/A,#N/A,FALSE,"집계표"}</definedName>
    <definedName name="ㅇ거" localSheetId="1" hidden="1">{#N/A,#N/A,FALSE,"집계표"}</definedName>
    <definedName name="ㅇ거" localSheetId="2" hidden="1">{#N/A,#N/A,FALSE,"집계표"}</definedName>
    <definedName name="ㅇ거" localSheetId="8" hidden="1">{#N/A,#N/A,FALSE,"집계표"}</definedName>
    <definedName name="ㅇ거" hidden="1">{#N/A,#N/A,FALSE,"집계표"}</definedName>
    <definedName name="ㅇㄳㄹ호" localSheetId="1" hidden="1">{#N/A,#N/A,FALSE,"집계표"}</definedName>
    <definedName name="ㅇㄳㄹ호" localSheetId="2" hidden="1">{#N/A,#N/A,FALSE,"집계표"}</definedName>
    <definedName name="ㅇㄳㄹ호" localSheetId="8" hidden="1">{#N/A,#N/A,FALSE,"집계표"}</definedName>
    <definedName name="ㅇㄳㄹ호" hidden="1">{#N/A,#N/A,FALSE,"집계표"}</definedName>
    <definedName name="ㅇㄴㄱ숖ㅊ" localSheetId="1" hidden="1">{#N/A,#N/A,FALSE,"집계표"}</definedName>
    <definedName name="ㅇㄴㄱ숖ㅊ" localSheetId="2" hidden="1">{#N/A,#N/A,FALSE,"집계표"}</definedName>
    <definedName name="ㅇㄴㄱ숖ㅊ" localSheetId="8" hidden="1">{#N/A,#N/A,FALSE,"집계표"}</definedName>
    <definedName name="ㅇㄴㄱ숖ㅊ" hidden="1">{#N/A,#N/A,FALSE,"집계표"}</definedName>
    <definedName name="ㅇㄴ굫ㅅ" localSheetId="1" hidden="1">{#N/A,#N/A,FALSE,"집계표"}</definedName>
    <definedName name="ㅇㄴ굫ㅅ" localSheetId="2" hidden="1">{#N/A,#N/A,FALSE,"집계표"}</definedName>
    <definedName name="ㅇㄴ굫ㅅ" localSheetId="8" hidden="1">{#N/A,#N/A,FALSE,"집계표"}</definedName>
    <definedName name="ㅇㄴ굫ㅅ" hidden="1">{#N/A,#N/A,FALSE,"집계표"}</definedName>
    <definedName name="ㅇㄴㄴㄴㄴㄴㄴㄴㄴ" localSheetId="1" hidden="1">{#N/A,#N/A,FALSE,"집계표"}</definedName>
    <definedName name="ㅇㄴㄴㄴㄴㄴㄴㄴㄴ" localSheetId="2" hidden="1">{#N/A,#N/A,FALSE,"집계표"}</definedName>
    <definedName name="ㅇㄴㄴㄴㄴㄴㄴㄴㄴ" localSheetId="8" hidden="1">{#N/A,#N/A,FALSE,"집계표"}</definedName>
    <definedName name="ㅇㄴㄴㄴㄴㄴㄴㄴㄴ" hidden="1">{#N/A,#N/A,FALSE,"집계표"}</definedName>
    <definedName name="ㅇㄴㄹ" localSheetId="1" hidden="1">{#N/A,#N/A,FALSE,"Sheet1"}</definedName>
    <definedName name="ㅇㄴㄹ" localSheetId="2" hidden="1">{#N/A,#N/A,FALSE,"Sheet1"}</definedName>
    <definedName name="ㅇㄴㄹ" localSheetId="8" hidden="1">{#N/A,#N/A,FALSE,"Sheet1"}</definedName>
    <definedName name="ㅇㄴㄹ" hidden="1">{#N/A,#N/A,FALSE,"Sheet1"}</definedName>
    <definedName name="ㅇㄴㄹㄴㄹㅇㄹ" localSheetId="1" hidden="1">{#N/A,#N/A,FALSE,"CCTV"}</definedName>
    <definedName name="ㅇㄴㄹㄴㄹㅇㄹ" localSheetId="2" hidden="1">{#N/A,#N/A,FALSE,"CCTV"}</definedName>
    <definedName name="ㅇㄴㄹㄴㄹㅇㄹ" localSheetId="8" hidden="1">{#N/A,#N/A,FALSE,"CCTV"}</definedName>
    <definedName name="ㅇㄴㄹㄴㄹㅇㄹ" hidden="1">{#N/A,#N/A,FALSE,"CCTV"}</definedName>
    <definedName name="ㅇㄴㄹㅎ" localSheetId="1" hidden="1">{#N/A,#N/A,FALSE,"집계표"}</definedName>
    <definedName name="ㅇㄴㄹㅎ" localSheetId="2" hidden="1">{#N/A,#N/A,FALSE,"집계표"}</definedName>
    <definedName name="ㅇㄴㄹㅎ" localSheetId="8" hidden="1">{#N/A,#N/A,FALSE,"집계표"}</definedName>
    <definedName name="ㅇㄴㄹㅎ" hidden="1">{#N/A,#N/A,FALSE,"집계표"}</definedName>
    <definedName name="ㅇㄴㄹ해" localSheetId="1" hidden="1">{#N/A,#N/A,FALSE,"집계표"}</definedName>
    <definedName name="ㅇㄴㄹ해" localSheetId="2" hidden="1">{#N/A,#N/A,FALSE,"집계표"}</definedName>
    <definedName name="ㅇㄴㄹ해" localSheetId="8" hidden="1">{#N/A,#N/A,FALSE,"집계표"}</definedName>
    <definedName name="ㅇㄴㄹ해" hidden="1">{#N/A,#N/A,FALSE,"집계표"}</definedName>
    <definedName name="ㅇㄴㄹ혼" localSheetId="1" hidden="1">{#N/A,#N/A,FALSE,"집계표"}</definedName>
    <definedName name="ㅇㄴㄹ혼" localSheetId="2" hidden="1">{#N/A,#N/A,FALSE,"집계표"}</definedName>
    <definedName name="ㅇㄴㄹ혼" localSheetId="8" hidden="1">{#N/A,#N/A,FALSE,"집계표"}</definedName>
    <definedName name="ㅇㄴㄹ혼" hidden="1">{#N/A,#N/A,FALSE,"집계표"}</definedName>
    <definedName name="ㅇㄴㄹ히ㅑㅓ" localSheetId="1" hidden="1">{#N/A,#N/A,FALSE,"집계표"}</definedName>
    <definedName name="ㅇㄴㄹ히ㅑㅓ" localSheetId="2" hidden="1">{#N/A,#N/A,FALSE,"집계표"}</definedName>
    <definedName name="ㅇㄴㄹ히ㅑㅓ" localSheetId="8" hidden="1">{#N/A,#N/A,FALSE,"집계표"}</definedName>
    <definedName name="ㅇㄴㄹ히ㅑㅓ" hidden="1">{#N/A,#N/A,FALSE,"집계표"}</definedName>
    <definedName name="ㅇㄴ라ㅔㅐ" localSheetId="1" hidden="1">{#N/A,#N/A,FALSE,"집계표"}</definedName>
    <definedName name="ㅇㄴ라ㅔㅐ" localSheetId="2" hidden="1">{#N/A,#N/A,FALSE,"집계표"}</definedName>
    <definedName name="ㅇㄴ라ㅔㅐ" localSheetId="8" hidden="1">{#N/A,#N/A,FALSE,"집계표"}</definedName>
    <definedName name="ㅇㄴ라ㅔㅐ" hidden="1">{#N/A,#N/A,FALSE,"집계표"}</definedName>
    <definedName name="ㅇㄴ로" localSheetId="1" hidden="1">{#N/A,#N/A,FALSE,"집계표"}</definedName>
    <definedName name="ㅇㄴ로" localSheetId="2" hidden="1">{#N/A,#N/A,FALSE,"집계표"}</definedName>
    <definedName name="ㅇㄴ로" localSheetId="8" hidden="1">{#N/A,#N/A,FALSE,"집계표"}</definedName>
    <definedName name="ㅇㄴ로" hidden="1">{#N/A,#N/A,FALSE,"집계표"}</definedName>
    <definedName name="ㅇㄴ로ㅗㅗㅗㅗㅗㅗㅗㅗ" localSheetId="1" hidden="1">{#N/A,#N/A,FALSE,"집계표"}</definedName>
    <definedName name="ㅇㄴ로ㅗㅗㅗㅗㅗㅗㅗㅗ" localSheetId="2" hidden="1">{#N/A,#N/A,FALSE,"집계표"}</definedName>
    <definedName name="ㅇㄴ로ㅗㅗㅗㅗㅗㅗㅗㅗ" localSheetId="8" hidden="1">{#N/A,#N/A,FALSE,"집계표"}</definedName>
    <definedName name="ㅇㄴ로ㅗㅗㅗㅗㅗㅗㅗㅗ" hidden="1">{#N/A,#N/A,FALSE,"집계표"}</definedName>
    <definedName name="ㅇㄴ롷" localSheetId="1" hidden="1">{#N/A,#N/A,FALSE,"집계표"}</definedName>
    <definedName name="ㅇㄴ롷" localSheetId="2" hidden="1">{#N/A,#N/A,FALSE,"집계표"}</definedName>
    <definedName name="ㅇㄴ롷" localSheetId="8" hidden="1">{#N/A,#N/A,FALSE,"집계표"}</definedName>
    <definedName name="ㅇㄴ롷" hidden="1">{#N/A,#N/A,FALSE,"집계표"}</definedName>
    <definedName name="ㅇㄴ롷ㄴ" localSheetId="1" hidden="1">{#N/A,#N/A,FALSE,"집계표"}</definedName>
    <definedName name="ㅇㄴ롷ㄴ" localSheetId="2" hidden="1">{#N/A,#N/A,FALSE,"집계표"}</definedName>
    <definedName name="ㅇㄴ롷ㄴ" localSheetId="8" hidden="1">{#N/A,#N/A,FALSE,"집계표"}</definedName>
    <definedName name="ㅇㄴ롷ㄴ" hidden="1">{#N/A,#N/A,FALSE,"집계표"}</definedName>
    <definedName name="ㅇㄴ롷ㅇㄴ롷ㄴ" localSheetId="1" hidden="1">{#N/A,#N/A,FALSE,"집계표"}</definedName>
    <definedName name="ㅇㄴ롷ㅇㄴ롷ㄴ" localSheetId="2" hidden="1">{#N/A,#N/A,FALSE,"집계표"}</definedName>
    <definedName name="ㅇㄴ롷ㅇㄴ롷ㄴ" localSheetId="8" hidden="1">{#N/A,#N/A,FALSE,"집계표"}</definedName>
    <definedName name="ㅇㄴ롷ㅇㄴ롷ㄴ" hidden="1">{#N/A,#N/A,FALSE,"집계표"}</definedName>
    <definedName name="ㅇㄴ리ㅏ허ㅣ" localSheetId="1" hidden="1">{#N/A,#N/A,FALSE,"집계표"}</definedName>
    <definedName name="ㅇㄴ리ㅏ허ㅣ" localSheetId="2" hidden="1">{#N/A,#N/A,FALSE,"집계표"}</definedName>
    <definedName name="ㅇㄴ리ㅏ허ㅣ" localSheetId="8" hidden="1">{#N/A,#N/A,FALSE,"집계표"}</definedName>
    <definedName name="ㅇㄴ리ㅏ허ㅣ" hidden="1">{#N/A,#N/A,FALSE,"집계표"}</definedName>
    <definedName name="ㅇㄴㄿ" localSheetId="1" hidden="1">{#N/A,#N/A,FALSE,"CCTV"}</definedName>
    <definedName name="ㅇㄴㄿ" localSheetId="2" hidden="1">{#N/A,#N/A,FALSE,"CCTV"}</definedName>
    <definedName name="ㅇㄴㄿ" localSheetId="8" hidden="1">{#N/A,#N/A,FALSE,"CCTV"}</definedName>
    <definedName name="ㅇㄴㄿ" hidden="1">{#N/A,#N/A,FALSE,"CCTV"}</definedName>
    <definedName name="ㅇㄴㅀㄴㄿㅊ" localSheetId="1" hidden="1">{#N/A,#N/A,FALSE,"집계표"}</definedName>
    <definedName name="ㅇㄴㅀㄴㄿㅊ" localSheetId="2" hidden="1">{#N/A,#N/A,FALSE,"집계표"}</definedName>
    <definedName name="ㅇㄴㅀㄴㄿㅊ" localSheetId="8" hidden="1">{#N/A,#N/A,FALSE,"집계표"}</definedName>
    <definedName name="ㅇㄴㅀㄴㄿㅊ" hidden="1">{#N/A,#N/A,FALSE,"집계표"}</definedName>
    <definedName name="ㅇㄴㅀㄴㅇㄱ" localSheetId="1" hidden="1">{#N/A,#N/A,FALSE,"집계표"}</definedName>
    <definedName name="ㅇㄴㅀㄴㅇㄱ" localSheetId="2" hidden="1">{#N/A,#N/A,FALSE,"집계표"}</definedName>
    <definedName name="ㅇㄴㅀㄴㅇㄱ" localSheetId="8" hidden="1">{#N/A,#N/A,FALSE,"집계표"}</definedName>
    <definedName name="ㅇㄴㅀㄴㅇㄱ" hidden="1">{#N/A,#N/A,FALSE,"집계표"}</definedName>
    <definedName name="ㅇㄴㅀㅁㄱㄷㅎ" localSheetId="1" hidden="1">{#N/A,#N/A,FALSE,"집계표"}</definedName>
    <definedName name="ㅇㄴㅀㅁㄱㄷㅎ" localSheetId="2" hidden="1">{#N/A,#N/A,FALSE,"집계표"}</definedName>
    <definedName name="ㅇㄴㅀㅁㄱㄷㅎ" localSheetId="8" hidden="1">{#N/A,#N/A,FALSE,"집계표"}</definedName>
    <definedName name="ㅇㄴㅀㅁㄱㄷㅎ" hidden="1">{#N/A,#N/A,FALSE,"집계표"}</definedName>
    <definedName name="ㅇㄴㅀ쇼ㅗㅗㅗㅗㅗ" localSheetId="1" hidden="1">{#N/A,#N/A,FALSE,"집계표"}</definedName>
    <definedName name="ㅇㄴㅀ쇼ㅗㅗㅗㅗㅗ" localSheetId="2" hidden="1">{#N/A,#N/A,FALSE,"집계표"}</definedName>
    <definedName name="ㅇㄴㅀ쇼ㅗㅗㅗㅗㅗ" localSheetId="8" hidden="1">{#N/A,#N/A,FALSE,"집계표"}</definedName>
    <definedName name="ㅇㄴㅀ쇼ㅗㅗㅗㅗㅗ" hidden="1">{#N/A,#N/A,FALSE,"집계표"}</definedName>
    <definedName name="ㅇㄴㅀㅇㄴ" localSheetId="1" hidden="1">{#N/A,#N/A,FALSE,"집계표"}</definedName>
    <definedName name="ㅇㄴㅀㅇㄴ" localSheetId="2" hidden="1">{#N/A,#N/A,FALSE,"집계표"}</definedName>
    <definedName name="ㅇㄴㅀㅇㄴ" localSheetId="8" hidden="1">{#N/A,#N/A,FALSE,"집계표"}</definedName>
    <definedName name="ㅇㄴㅀㅇㄴ" hidden="1">{#N/A,#N/A,FALSE,"집계표"}</definedName>
    <definedName name="ㅇㄴㅁ" localSheetId="1" hidden="1">#REF!</definedName>
    <definedName name="ㅇㄴㅁ" hidden="1">#REF!</definedName>
    <definedName name="ㅇㄴㅁ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1" hidden="1">{#N/A,#N/A,FALSE,"집계표"}</definedName>
    <definedName name="ㅇㄴㅁㅎㄹ" localSheetId="2" hidden="1">{#N/A,#N/A,FALSE,"집계표"}</definedName>
    <definedName name="ㅇㄴㅁㅎㄹ" localSheetId="8" hidden="1">{#N/A,#N/A,FALSE,"집계표"}</definedName>
    <definedName name="ㅇㄴㅁㅎㄹ" hidden="1">{#N/A,#N/A,FALSE,"집계표"}</definedName>
    <definedName name="ㅇ낳리ㅓ" localSheetId="1" hidden="1">{#N/A,#N/A,FALSE,"집계표"}</definedName>
    <definedName name="ㅇ낳리ㅓ" localSheetId="2" hidden="1">{#N/A,#N/A,FALSE,"집계표"}</definedName>
    <definedName name="ㅇ낳리ㅓ" localSheetId="8" hidden="1">{#N/A,#N/A,FALSE,"집계표"}</definedName>
    <definedName name="ㅇ낳리ㅓ" hidden="1">{#N/A,#N/A,FALSE,"집계표"}</definedName>
    <definedName name="ㅇ낸에네ㅔ" localSheetId="1" hidden="1">{#N/A,#N/A,FALSE,"집계표"}</definedName>
    <definedName name="ㅇ낸에네ㅔ" localSheetId="2" hidden="1">{#N/A,#N/A,FALSE,"집계표"}</definedName>
    <definedName name="ㅇ낸에네ㅔ" localSheetId="8" hidden="1">{#N/A,#N/A,FALSE,"집계표"}</definedName>
    <definedName name="ㅇ낸에네ㅔ" hidden="1">{#N/A,#N/A,FALSE,"집계표"}</definedName>
    <definedName name="ㅇ놓ㄹㄹㄹㄹㄹ" localSheetId="1" hidden="1">{#N/A,#N/A,FALSE,"집계표"}</definedName>
    <definedName name="ㅇ놓ㄹㄹㄹㄹㄹ" localSheetId="2" hidden="1">{#N/A,#N/A,FALSE,"집계표"}</definedName>
    <definedName name="ㅇ놓ㄹㄹㄹㄹㄹ" localSheetId="8" hidden="1">{#N/A,#N/A,FALSE,"집계표"}</definedName>
    <definedName name="ㅇ놓ㄹㄹㄹㄹㄹ" hidden="1">{#N/A,#N/A,FALSE,"집계표"}</definedName>
    <definedName name="ㅇ놓로횻ㅅ" localSheetId="1" hidden="1">{#N/A,#N/A,FALSE,"집계표"}</definedName>
    <definedName name="ㅇ놓로횻ㅅ" localSheetId="2" hidden="1">{#N/A,#N/A,FALSE,"집계표"}</definedName>
    <definedName name="ㅇ놓로횻ㅅ" localSheetId="8" hidden="1">{#N/A,#N/A,FALSE,"집계표"}</definedName>
    <definedName name="ㅇ놓로횻ㅅ" hidden="1">{#N/A,#N/A,FALSE,"집계표"}</definedName>
    <definedName name="ㅇ니ㅏㅎ러" localSheetId="1" hidden="1">{#N/A,#N/A,FALSE,"집계표"}</definedName>
    <definedName name="ㅇ니ㅏㅎ러" localSheetId="2" hidden="1">{#N/A,#N/A,FALSE,"집계표"}</definedName>
    <definedName name="ㅇ니ㅏㅎ러" localSheetId="8" hidden="1">{#N/A,#N/A,FALSE,"집계표"}</definedName>
    <definedName name="ㅇ니ㅏㅎ러" hidden="1">{#N/A,#N/A,FALSE,"집계표"}</definedName>
    <definedName name="ㅇ니ㅏㅓㄹ힝니ㅏㅎㄹ" localSheetId="1" hidden="1">{#N/A,#N/A,FALSE,"집계표"}</definedName>
    <definedName name="ㅇ니ㅏㅓㄹ힝니ㅏㅎㄹ" localSheetId="2" hidden="1">{#N/A,#N/A,FALSE,"집계표"}</definedName>
    <definedName name="ㅇ니ㅏㅓㄹ힝니ㅏㅎㄹ" localSheetId="8" hidden="1">{#N/A,#N/A,FALSE,"집계표"}</definedName>
    <definedName name="ㅇ니ㅏㅓㄹ힝니ㅏㅎㄹ" hidden="1">{#N/A,#N/A,FALSE,"집계표"}</definedName>
    <definedName name="ㅇ니ㅏㅓ로히ㅏ" localSheetId="1" hidden="1">{#N/A,#N/A,FALSE,"집계표"}</definedName>
    <definedName name="ㅇ니ㅏㅓ로히ㅏ" localSheetId="2" hidden="1">{#N/A,#N/A,FALSE,"집계표"}</definedName>
    <definedName name="ㅇ니ㅏㅓ로히ㅏ" localSheetId="8" hidden="1">{#N/A,#N/A,FALSE,"집계표"}</definedName>
    <definedName name="ㅇ니ㅏㅓ로히ㅏ" hidden="1">{#N/A,#N/A,FALSE,"집계표"}</definedName>
    <definedName name="ㅇ니ㅓㅎ로" localSheetId="1" hidden="1">{#N/A,#N/A,FALSE,"집계표"}</definedName>
    <definedName name="ㅇ니ㅓㅎ로" localSheetId="2" hidden="1">{#N/A,#N/A,FALSE,"집계표"}</definedName>
    <definedName name="ㅇ니ㅓㅎ로" localSheetId="8" hidden="1">{#N/A,#N/A,FALSE,"집계표"}</definedName>
    <definedName name="ㅇ니ㅓㅎ로" hidden="1">{#N/A,#N/A,FALSE,"집계표"}</definedName>
    <definedName name="ㅇㄶ" localSheetId="1" hidden="1">{#N/A,#N/A,FALSE,"표지"}</definedName>
    <definedName name="ㅇㄶ" localSheetId="2" hidden="1">{#N/A,#N/A,FALSE,"표지"}</definedName>
    <definedName name="ㅇㄶ" localSheetId="8" hidden="1">{#N/A,#N/A,FALSE,"표지"}</definedName>
    <definedName name="ㅇㄶ" hidden="1">{#N/A,#N/A,FALSE,"표지"}</definedName>
    <definedName name="ㅇㄷㄱㅎㄴㅇ" localSheetId="1" hidden="1">{#N/A,#N/A,FALSE,"집계표"}</definedName>
    <definedName name="ㅇㄷㄱㅎㄴㅇ" localSheetId="2" hidden="1">{#N/A,#N/A,FALSE,"집계표"}</definedName>
    <definedName name="ㅇㄷㄱㅎㄴㅇ" localSheetId="8" hidden="1">{#N/A,#N/A,FALSE,"집계표"}</definedName>
    <definedName name="ㅇㄷㄱㅎㄴㅇ" hidden="1">{#N/A,#N/A,FALSE,"집계표"}</definedName>
    <definedName name="ㅇ더퍼" localSheetId="1" hidden="1">{#N/A,#N/A,FALSE,"집계표"}</definedName>
    <definedName name="ㅇ더퍼" localSheetId="2" hidden="1">{#N/A,#N/A,FALSE,"집계표"}</definedName>
    <definedName name="ㅇ더퍼" localSheetId="8" hidden="1">{#N/A,#N/A,FALSE,"집계표"}</definedName>
    <definedName name="ㅇ더퍼" hidden="1">{#N/A,#N/A,FALSE,"집계표"}</definedName>
    <definedName name="ㅇㄹ" localSheetId="1" hidden="1">{#N/A,#N/A,FALSE,"CCTV"}</definedName>
    <definedName name="ㅇㄹ" localSheetId="2" hidden="1">{#N/A,#N/A,FALSE,"CCTV"}</definedName>
    <definedName name="ㅇㄹ" localSheetId="8" hidden="1">{#N/A,#N/A,FALSE,"CCTV"}</definedName>
    <definedName name="ㅇㄹ" hidden="1">{#N/A,#N/A,FALSE,"CCTV"}</definedName>
    <definedName name="ㅇㄹㄴㄹ" localSheetId="1" hidden="1">{#N/A,#N/A,FALSE,"CCTV"}</definedName>
    <definedName name="ㅇㄹㄴㄹ" localSheetId="2" hidden="1">{#N/A,#N/A,FALSE,"CCTV"}</definedName>
    <definedName name="ㅇㄹㄴㄹ" localSheetId="8" hidden="1">{#N/A,#N/A,FALSE,"CCTV"}</definedName>
    <definedName name="ㅇㄹㄴㄹ" hidden="1">{#N/A,#N/A,FALSE,"CCTV"}</definedName>
    <definedName name="ㅇㄹㄴ호" localSheetId="1" hidden="1">{#N/A,#N/A,FALSE,"집계표"}</definedName>
    <definedName name="ㅇㄹㄴ호" localSheetId="2" hidden="1">{#N/A,#N/A,FALSE,"집계표"}</definedName>
    <definedName name="ㅇㄹㄴ호" localSheetId="8" hidden="1">{#N/A,#N/A,FALSE,"집계표"}</definedName>
    <definedName name="ㅇㄹㄴ호" hidden="1">{#N/A,#N/A,FALSE,"집계표"}</definedName>
    <definedName name="ㅇㄹㄹ" localSheetId="1" hidden="1">#REF!</definedName>
    <definedName name="ㅇㄹㄹ" hidden="1">#REF!</definedName>
    <definedName name="ㅇㄹㄹㅀㅎㅎㅎㅎㅎㅎㅎㅎㅎㅎ" localSheetId="1" hidden="1">{#N/A,#N/A,FALSE,"집계표"}</definedName>
    <definedName name="ㅇㄹㄹㅀㅎㅎㅎㅎㅎㅎㅎㅎㅎㅎ" localSheetId="2" hidden="1">{#N/A,#N/A,FALSE,"집계표"}</definedName>
    <definedName name="ㅇㄹㄹㅀㅎㅎㅎㅎㅎㅎㅎㅎㅎㅎ" localSheetId="8" hidden="1">{#N/A,#N/A,FALSE,"집계표"}</definedName>
    <definedName name="ㅇㄹㄹㅀㅎㅎㅎㅎㅎㅎㅎㅎㅎㅎ" hidden="1">{#N/A,#N/A,FALSE,"집계표"}</definedName>
    <definedName name="ㅇㄹㅇ" hidden="1">#REF!</definedName>
    <definedName name="ㅇㄹㅇㄹ" hidden="1">#REF!</definedName>
    <definedName name="ㅇㄹㅇㄹㅇ" localSheetId="1" hidden="1">{#N/A,#N/A,FALSE,"CCTV"}</definedName>
    <definedName name="ㅇㄹㅇㄹㅇ" localSheetId="2" hidden="1">{#N/A,#N/A,FALSE,"CCTV"}</definedName>
    <definedName name="ㅇㄹㅇㄹㅇ" localSheetId="8" hidden="1">{#N/A,#N/A,FALSE,"CCTV"}</definedName>
    <definedName name="ㅇㄹㅇㄹㅇ" hidden="1">{#N/A,#N/A,FALSE,"CCTV"}</definedName>
    <definedName name="ㅇㄹㅇㄹㅇㄹ" localSheetId="1" hidden="1">{#N/A,#N/A,FALSE,"CCTV"}</definedName>
    <definedName name="ㅇㄹㅇㄹㅇㄹ" localSheetId="2" hidden="1">{#N/A,#N/A,FALSE,"CCTV"}</definedName>
    <definedName name="ㅇㄹㅇㄹㅇㄹ" localSheetId="8" hidden="1">{#N/A,#N/A,FALSE,"CCTV"}</definedName>
    <definedName name="ㅇㄹㅇㄹㅇㄹ" hidden="1">{#N/A,#N/A,FALSE,"CCTV"}</definedName>
    <definedName name="ㅇㄹㅎ" localSheetId="1" hidden="1">{#N/A,#N/A,FALSE,"집계표"}</definedName>
    <definedName name="ㅇㄹㅎ" localSheetId="2" hidden="1">{#N/A,#N/A,FALSE,"집계표"}</definedName>
    <definedName name="ㅇㄹㅎ" localSheetId="8" hidden="1">{#N/A,#N/A,FALSE,"집계표"}</definedName>
    <definedName name="ㅇㄹㅎ" hidden="1">{#N/A,#N/A,FALSE,"집계표"}</definedName>
    <definedName name="ㅇㄹ허ㅗ" localSheetId="1" hidden="1">{#N/A,#N/A,FALSE,"집계표"}</definedName>
    <definedName name="ㅇㄹ허ㅗ" localSheetId="2" hidden="1">{#N/A,#N/A,FALSE,"집계표"}</definedName>
    <definedName name="ㅇㄹ허ㅗ" localSheetId="8" hidden="1">{#N/A,#N/A,FALSE,"집계표"}</definedName>
    <definedName name="ㅇㄹ허ㅗ" hidden="1">{#N/A,#N/A,FALSE,"집계표"}</definedName>
    <definedName name="ㅇㄹ호" localSheetId="1" hidden="1">{#N/A,#N/A,FALSE,"집계표"}</definedName>
    <definedName name="ㅇㄹ호" localSheetId="2" hidden="1">{#N/A,#N/A,FALSE,"집계표"}</definedName>
    <definedName name="ㅇㄹ호" localSheetId="8" hidden="1">{#N/A,#N/A,FALSE,"집계표"}</definedName>
    <definedName name="ㅇㄹ호" hidden="1">{#N/A,#N/A,FALSE,"집계표"}</definedName>
    <definedName name="ㅇㄹ호ㄹ옿" localSheetId="1" hidden="1">{#N/A,#N/A,FALSE,"집계표"}</definedName>
    <definedName name="ㅇㄹ호ㄹ옿" localSheetId="2" hidden="1">{#N/A,#N/A,FALSE,"집계표"}</definedName>
    <definedName name="ㅇㄹ호ㄹ옿" localSheetId="8" hidden="1">{#N/A,#N/A,FALSE,"집계표"}</definedName>
    <definedName name="ㅇㄹ호ㄹ옿" hidden="1">{#N/A,#N/A,FALSE,"집계표"}</definedName>
    <definedName name="ㅇㄹ호옿ㅎㄹ오" localSheetId="1" hidden="1">{#N/A,#N/A,FALSE,"집계표"}</definedName>
    <definedName name="ㅇㄹ호옿ㅎㄹ오" localSheetId="2" hidden="1">{#N/A,#N/A,FALSE,"집계표"}</definedName>
    <definedName name="ㅇㄹ호옿ㅎㄹ오" localSheetId="8" hidden="1">{#N/A,#N/A,FALSE,"집계표"}</definedName>
    <definedName name="ㅇㄹ호옿ㅎㄹ오" hidden="1">{#N/A,#N/A,FALSE,"집계표"}</definedName>
    <definedName name="ㅇㄹ호허ㅗㅓㅓ" localSheetId="1" hidden="1">{#N/A,#N/A,FALSE,"집계표"}</definedName>
    <definedName name="ㅇㄹ호허ㅗㅓㅓ" localSheetId="2" hidden="1">{#N/A,#N/A,FALSE,"집계표"}</definedName>
    <definedName name="ㅇㄹ호허ㅗㅓㅓ" localSheetId="8" hidden="1">{#N/A,#N/A,FALSE,"집계표"}</definedName>
    <definedName name="ㅇㄹ호허ㅗㅓㅓ" hidden="1">{#N/A,#N/A,FALSE,"집계표"}</definedName>
    <definedName name="ㅇㄹ호ㅗㅗㅗ" localSheetId="1" hidden="1">{#N/A,#N/A,FALSE,"집계표"}</definedName>
    <definedName name="ㅇㄹ호ㅗㅗㅗ" localSheetId="2" hidden="1">{#N/A,#N/A,FALSE,"집계표"}</definedName>
    <definedName name="ㅇㄹ호ㅗㅗㅗ" localSheetId="8" hidden="1">{#N/A,#N/A,FALSE,"집계표"}</definedName>
    <definedName name="ㅇㄹ호ㅗㅗㅗ" hidden="1">{#N/A,#N/A,FALSE,"집계표"}</definedName>
    <definedName name="ㅇㄹㅗㅎ" localSheetId="1" hidden="1">{#N/A,#N/A,FALSE,"집계표"}</definedName>
    <definedName name="ㅇㄹㅗㅎ" localSheetId="2" hidden="1">{#N/A,#N/A,FALSE,"집계표"}</definedName>
    <definedName name="ㅇㄹㅗㅎ" localSheetId="8" hidden="1">{#N/A,#N/A,FALSE,"집계표"}</definedName>
    <definedName name="ㅇㄹㅗㅎ" hidden="1">{#N/A,#N/A,FALSE,"집계표"}</definedName>
    <definedName name="ㅇ라ㅓㅎ킥" localSheetId="1" hidden="1">{#N/A,#N/A,FALSE,"집계표"}</definedName>
    <definedName name="ㅇ라ㅓㅎ킥" localSheetId="2" hidden="1">{#N/A,#N/A,FALSE,"집계표"}</definedName>
    <definedName name="ㅇ라ㅓㅎ킥" localSheetId="8" hidden="1">{#N/A,#N/A,FALSE,"집계표"}</definedName>
    <definedName name="ㅇ라ㅓㅎ킥" hidden="1">{#N/A,#N/A,FALSE,"집계표"}</definedName>
    <definedName name="ㅇ라ㅓㅏㅗ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1" hidden="1">{#N/A,#N/A,FALSE,"집계표"}</definedName>
    <definedName name="ㅇ러" localSheetId="2" hidden="1">{#N/A,#N/A,FALSE,"집계표"}</definedName>
    <definedName name="ㅇ러" localSheetId="8" hidden="1">{#N/A,#N/A,FALSE,"집계표"}</definedName>
    <definedName name="ㅇ러" hidden="1">{#N/A,#N/A,FALSE,"집계표"}</definedName>
    <definedName name="ㅇ러ㅗㅎ" localSheetId="1" hidden="1">{#N/A,#N/A,FALSE,"집계표"}</definedName>
    <definedName name="ㅇ러ㅗㅎ" localSheetId="2" hidden="1">{#N/A,#N/A,FALSE,"집계표"}</definedName>
    <definedName name="ㅇ러ㅗㅎ" localSheetId="8" hidden="1">{#N/A,#N/A,FALSE,"집계표"}</definedName>
    <definedName name="ㅇ러ㅗㅎ" hidden="1">{#N/A,#N/A,FALSE,"집계표"}</definedName>
    <definedName name="ㅇ렇ㅇ" localSheetId="1" hidden="1">{#N/A,#N/A,FALSE,"집계표"}</definedName>
    <definedName name="ㅇ렇ㅇ" localSheetId="2" hidden="1">{#N/A,#N/A,FALSE,"집계표"}</definedName>
    <definedName name="ㅇ렇ㅇ" localSheetId="8" hidden="1">{#N/A,#N/A,FALSE,"집계표"}</definedName>
    <definedName name="ㅇ렇ㅇ" hidden="1">{#N/A,#N/A,FALSE,"집계표"}</definedName>
    <definedName name="ㅇ롷" localSheetId="1" hidden="1">{#N/A,#N/A,FALSE,"집계표"}</definedName>
    <definedName name="ㅇ롷" localSheetId="2" hidden="1">{#N/A,#N/A,FALSE,"집계표"}</definedName>
    <definedName name="ㅇ롷" localSheetId="8" hidden="1">{#N/A,#N/A,FALSE,"집계표"}</definedName>
    <definedName name="ㅇ롷" hidden="1">{#N/A,#N/A,FALSE,"집계표"}</definedName>
    <definedName name="ㅇㅀㅁ" localSheetId="1" hidden="1">{#N/A,#N/A,FALSE,"집계표"}</definedName>
    <definedName name="ㅇㅀㅁ" localSheetId="2" hidden="1">{#N/A,#N/A,FALSE,"집계표"}</definedName>
    <definedName name="ㅇㅀㅁ" localSheetId="8" hidden="1">{#N/A,#N/A,FALSE,"집계표"}</definedName>
    <definedName name="ㅇㅀㅁ" hidden="1">{#N/A,#N/A,FALSE,"집계표"}</definedName>
    <definedName name="ㅇㅀㅇㄱ" localSheetId="1" hidden="1">{#N/A,#N/A,FALSE,"집계표"}</definedName>
    <definedName name="ㅇㅀㅇㄱ" localSheetId="2" hidden="1">{#N/A,#N/A,FALSE,"집계표"}</definedName>
    <definedName name="ㅇㅀㅇㄱ" localSheetId="8" hidden="1">{#N/A,#N/A,FALSE,"집계표"}</definedName>
    <definedName name="ㅇㅀㅇㄱ" hidden="1">{#N/A,#N/A,FALSE,"집계표"}</definedName>
    <definedName name="ㅇㅇ" hidden="1">#REF!</definedName>
    <definedName name="ㅇㅇㄱ" localSheetId="1" hidden="1">{#N/A,#N/A,FALSE,"집계표"}</definedName>
    <definedName name="ㅇㅇㄱ" localSheetId="2" hidden="1">{#N/A,#N/A,FALSE,"집계표"}</definedName>
    <definedName name="ㅇㅇㄱ" localSheetId="8" hidden="1">{#N/A,#N/A,FALSE,"집계표"}</definedName>
    <definedName name="ㅇㅇㄱ" hidden="1">{#N/A,#N/A,FALSE,"집계표"}</definedName>
    <definedName name="ㅇㅇㄹ" hidden="1">#REF!</definedName>
    <definedName name="ㅇㅇㄹㅇㄹ" localSheetId="1" hidden="1">{#N/A,#N/A,FALSE,"집계표"}</definedName>
    <definedName name="ㅇㅇㄹㅇㄹ" localSheetId="2" hidden="1">{#N/A,#N/A,FALSE,"집계표"}</definedName>
    <definedName name="ㅇㅇㄹㅇㄹ" localSheetId="8" hidden="1">{#N/A,#N/A,FALSE,"집계표"}</definedName>
    <definedName name="ㅇㅇㄹㅇㄹ" hidden="1">{#N/A,#N/A,FALSE,"집계표"}</definedName>
    <definedName name="ㅇㅇㄹㅇㄹㅇ" localSheetId="1" hidden="1">{#N/A,#N/A,FALSE,"CCTV"}</definedName>
    <definedName name="ㅇㅇㄹㅇㄹㅇ" localSheetId="2" hidden="1">{#N/A,#N/A,FALSE,"CCTV"}</definedName>
    <definedName name="ㅇㅇㄹㅇㄹㅇ" localSheetId="8" hidden="1">{#N/A,#N/A,FALSE,"CCTV"}</definedName>
    <definedName name="ㅇㅇㄹㅇㄹㅇ" hidden="1">{#N/A,#N/A,FALSE,"CCTV"}</definedName>
    <definedName name="ㅇㅇㅇ" localSheetId="1" hidden="1">{#N/A,#N/A,FALSE,"주간공정";#N/A,#N/A,FALSE,"주간보고";#N/A,#N/A,FALSE,"주간공정표"}</definedName>
    <definedName name="ㅇㅇㅇ" localSheetId="2" hidden="1">{#N/A,#N/A,FALSE,"주간공정";#N/A,#N/A,FALSE,"주간보고";#N/A,#N/A,FALSE,"주간공정표"}</definedName>
    <definedName name="ㅇㅇㅇ" localSheetId="8" hidden="1">{#N/A,#N/A,FALSE,"주간공정";#N/A,#N/A,FALSE,"주간보고";#N/A,#N/A,FALSE,"주간공정표"}</definedName>
    <definedName name="ㅇㅇㅇ" hidden="1">{#N/A,#N/A,FALSE,"주간공정";#N/A,#N/A,FALSE,"주간보고";#N/A,#N/A,FALSE,"주간공정표"}</definedName>
    <definedName name="ㅇㅇㅇㄴㄷㄷㄷㄷ" hidden="1">#REF!</definedName>
    <definedName name="ㅇㅇㅇㅇ" hidden="1">#REF!</definedName>
    <definedName name="ㅇㅇㅇㅇㅇ" localSheetId="1" hidden="1">{#N/A,#N/A,FALSE,"주간공정";#N/A,#N/A,FALSE,"주간보고";#N/A,#N/A,FALSE,"주간공정표"}</definedName>
    <definedName name="ㅇㅇㅇㅇㅇ" localSheetId="2" hidden="1">{#N/A,#N/A,FALSE,"주간공정";#N/A,#N/A,FALSE,"주간보고";#N/A,#N/A,FALSE,"주간공정표"}</definedName>
    <definedName name="ㅇㅇㅇㅇㅇ" localSheetId="8" hidden="1">{#N/A,#N/A,FALSE,"주간공정";#N/A,#N/A,FALSE,"주간보고";#N/A,#N/A,FALSE,"주간공정표"}</definedName>
    <definedName name="ㅇㅇㅇㅇㅇ" hidden="1">{#N/A,#N/A,FALSE,"주간공정";#N/A,#N/A,FALSE,"주간보고";#N/A,#N/A,FALSE,"주간공정표"}</definedName>
    <definedName name="ㅇㅇㅇㅇㅇㅇ" localSheetId="1" hidden="1">{#N/A,#N/A,FALSE,"지침";#N/A,#N/A,FALSE,"환경분석";#N/A,#N/A,FALSE,"Sheet16"}</definedName>
    <definedName name="ㅇㅇㅇㅇㅇㅇ" localSheetId="2" hidden="1">{#N/A,#N/A,FALSE,"지침";#N/A,#N/A,FALSE,"환경분석";#N/A,#N/A,FALSE,"Sheet16"}</definedName>
    <definedName name="ㅇㅇㅇㅇㅇㅇ" localSheetId="8" hidden="1">{#N/A,#N/A,FALSE,"지침";#N/A,#N/A,FALSE,"환경분석";#N/A,#N/A,FALSE,"Sheet16"}</definedName>
    <definedName name="ㅇㅇㅇㅇㅇㅇ" hidden="1">{#N/A,#N/A,FALSE,"지침";#N/A,#N/A,FALSE,"환경분석";#N/A,#N/A,FALSE,"Sheet16"}</definedName>
    <definedName name="ㅇㅇㅎ" localSheetId="1" hidden="1">{#N/A,#N/A,FALSE,"집계표"}</definedName>
    <definedName name="ㅇㅇㅎ" localSheetId="2" hidden="1">{#N/A,#N/A,FALSE,"집계표"}</definedName>
    <definedName name="ㅇㅇㅎ" localSheetId="8" hidden="1">{#N/A,#N/A,FALSE,"집계표"}</definedName>
    <definedName name="ㅇㅇㅎ" hidden="1">{#N/A,#N/A,FALSE,"집계표"}</definedName>
    <definedName name="ㅇㅎㄷ" localSheetId="1" hidden="1">{#N/A,#N/A,FALSE,"집계표"}</definedName>
    <definedName name="ㅇㅎㄷ" localSheetId="2" hidden="1">{#N/A,#N/A,FALSE,"집계표"}</definedName>
    <definedName name="ㅇㅎㄷ" localSheetId="8" hidden="1">{#N/A,#N/A,FALSE,"집계표"}</definedName>
    <definedName name="ㅇㅎㄷ" hidden="1">{#N/A,#N/A,FALSE,"집계표"}</definedName>
    <definedName name="ㅇㅎ러ㅗㅇ" localSheetId="1" hidden="1">{#N/A,#N/A,FALSE,"집계표"}</definedName>
    <definedName name="ㅇㅎ러ㅗㅇ" localSheetId="2" hidden="1">{#N/A,#N/A,FALSE,"집계표"}</definedName>
    <definedName name="ㅇㅎ러ㅗㅇ" localSheetId="8" hidden="1">{#N/A,#N/A,FALSE,"집계표"}</definedName>
    <definedName name="ㅇㅎ러ㅗㅇ" hidden="1">{#N/A,#N/A,FALSE,"집계표"}</definedName>
    <definedName name="ㅇㅎㄻㄴㅇㅁㅎㄴㅀㅁㄴㅇㅎㄴ" localSheetId="1" hidden="1">{#N/A,#N/A,FALSE,"Sheet6"}</definedName>
    <definedName name="ㅇㅎㄻㄴㅇㅁㅎㄴㅀㅁㄴㅇㅎㄴ" localSheetId="2" hidden="1">{#N/A,#N/A,FALSE,"Sheet6"}</definedName>
    <definedName name="ㅇㅎㄻㄴㅇㅁㅎㄴㅀㅁㄴㅇㅎㄴ" localSheetId="8" hidden="1">{#N/A,#N/A,FALSE,"Sheet6"}</definedName>
    <definedName name="ㅇㅎㄻㄴㅇㅁㅎㄴㅀㅁㄴㅇㅎㄴ" hidden="1">{#N/A,#N/A,FALSE,"Sheet6"}</definedName>
    <definedName name="아" localSheetId="1" hidden="1">{#N/A,#N/A,FALSE,"주간공정";#N/A,#N/A,FALSE,"주간보고";#N/A,#N/A,FALSE,"주간공정표"}</definedName>
    <definedName name="아" localSheetId="2" hidden="1">{#N/A,#N/A,FALSE,"주간공정";#N/A,#N/A,FALSE,"주간보고";#N/A,#N/A,FALSE,"주간공정표"}</definedName>
    <definedName name="아" localSheetId="8" hidden="1">{#N/A,#N/A,FALSE,"주간공정";#N/A,#N/A,FALSE,"주간보고";#N/A,#N/A,FALSE,"주간공정표"}</definedName>
    <definedName name="아" hidden="1">{#N/A,#N/A,FALSE,"주간공정";#N/A,#N/A,FALSE,"주간보고";#N/A,#N/A,FALSE,"주간공정표"}</definedName>
    <definedName name="아니" localSheetId="1" hidden="1">{"'Sheet1'!$A$4:$M$21","'Sheet1'!$J$17:$K$19"}</definedName>
    <definedName name="아니" localSheetId="2" hidden="1">{"'Sheet1'!$A$4:$M$21","'Sheet1'!$J$17:$K$19"}</definedName>
    <definedName name="아니" localSheetId="8" hidden="1">{"'Sheet1'!$A$4:$M$21","'Sheet1'!$J$17:$K$19"}</definedName>
    <definedName name="아니" hidden="1">{"'Sheet1'!$A$4:$M$21","'Sheet1'!$J$17:$K$19"}</definedName>
    <definedName name="아름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1" hidden="1">{#N/A,#N/A,FALSE,"배수2"}</definedName>
    <definedName name="아무" localSheetId="2" hidden="1">{#N/A,#N/A,FALSE,"배수2"}</definedName>
    <definedName name="아무" localSheetId="8" hidden="1">{#N/A,#N/A,FALSE,"배수2"}</definedName>
    <definedName name="아무" hidden="1">{#N/A,#N/A,FALSE,"배수2"}</definedName>
    <definedName name="아무거나" hidden="1">#REF!</definedName>
    <definedName name="아스콘2" hidden="1">#REF!</definedName>
    <definedName name="아싸" localSheetId="1" hidden="1">{#N/A,#N/A,FALSE,"CCTV"}</definedName>
    <definedName name="아싸" localSheetId="2" hidden="1">{#N/A,#N/A,FALSE,"CCTV"}</definedName>
    <definedName name="아싸" localSheetId="8" hidden="1">{#N/A,#N/A,FALSE,"CCTV"}</definedName>
    <definedName name="아싸" hidden="1">{#N/A,#N/A,FALSE,"CCTV"}</definedName>
    <definedName name="아아아앙" localSheetId="1" hidden="1">{#N/A,#N/A,FALSE,"주간공정";#N/A,#N/A,FALSE,"주간보고";#N/A,#N/A,FALSE,"주간공정표"}</definedName>
    <definedName name="아아아앙" localSheetId="2" hidden="1">{#N/A,#N/A,FALSE,"주간공정";#N/A,#N/A,FALSE,"주간보고";#N/A,#N/A,FALSE,"주간공정표"}</definedName>
    <definedName name="아아아앙" localSheetId="8" hidden="1">{#N/A,#N/A,FALSE,"주간공정";#N/A,#N/A,FALSE,"주간보고";#N/A,#N/A,FALSE,"주간공정표"}</definedName>
    <definedName name="아아아앙" hidden="1">{#N/A,#N/A,FALSE,"주간공정";#N/A,#N/A,FALSE,"주간보고";#N/A,#N/A,FALSE,"주간공정표"}</definedName>
    <definedName name="아아ㅏ앙" localSheetId="1" hidden="1">{#N/A,#N/A,FALSE,"주간공정";#N/A,#N/A,FALSE,"주간보고";#N/A,#N/A,FALSE,"주간공정표"}</definedName>
    <definedName name="아아ㅏ앙" localSheetId="2" hidden="1">{#N/A,#N/A,FALSE,"주간공정";#N/A,#N/A,FALSE,"주간보고";#N/A,#N/A,FALSE,"주간공정표"}</definedName>
    <definedName name="아아ㅏ앙" localSheetId="8" hidden="1">{#N/A,#N/A,FALSE,"주간공정";#N/A,#N/A,FALSE,"주간보고";#N/A,#N/A,FALSE,"주간공정표"}</definedName>
    <definedName name="아아ㅏ앙" hidden="1">{#N/A,#N/A,FALSE,"주간공정";#N/A,#N/A,FALSE,"주간보고";#N/A,#N/A,FALSE,"주간공정표"}</definedName>
    <definedName name="아앙"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 localSheetId="8" hidden="1">{"'Sheet1'!$A$4:$M$21","'Sheet1'!$J$17:$K$19"}</definedName>
    <definedName name="아파트" hidden="1">{"'Sheet1'!$A$4:$M$21","'Sheet1'!$J$17:$K$19"}</definedName>
    <definedName name="아파트내역2" localSheetId="1" hidden="1">{"'Sheet1'!$A$4:$M$21","'Sheet1'!$J$17:$K$19"}</definedName>
    <definedName name="아파트내역2" localSheetId="2" hidden="1">{"'Sheet1'!$A$4:$M$21","'Sheet1'!$J$17:$K$19"}</definedName>
    <definedName name="아파트내역2" localSheetId="8" hidden="1">{"'Sheet1'!$A$4:$M$21","'Sheet1'!$J$17:$K$19"}</definedName>
    <definedName name="아파트내역2" hidden="1">{"'Sheet1'!$A$4:$M$21","'Sheet1'!$J$17:$K$19"}</definedName>
    <definedName name="아ㅏㅓ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1" hidden="1">{#N/A,#N/A,FALSE,"포장1";#N/A,#N/A,FALSE,"포장1"}</definedName>
    <definedName name="아ㅓ림" localSheetId="2" hidden="1">{#N/A,#N/A,FALSE,"포장1";#N/A,#N/A,FALSE,"포장1"}</definedName>
    <definedName name="아ㅓ림" localSheetId="8" hidden="1">{#N/A,#N/A,FALSE,"포장1";#N/A,#N/A,FALSE,"포장1"}</definedName>
    <definedName name="아ㅓ림" hidden="1">{#N/A,#N/A,FALSE,"포장1";#N/A,#N/A,FALSE,"포장1"}</definedName>
    <definedName name="안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1" hidden="1">{#N/A,#N/A,FALSE,"이태원철근"}</definedName>
    <definedName name="알파" localSheetId="2" hidden="1">{#N/A,#N/A,FALSE,"이태원철근"}</definedName>
    <definedName name="알파" localSheetId="8" hidden="1">{#N/A,#N/A,FALSE,"이태원철근"}</definedName>
    <definedName name="알파" hidden="1">{#N/A,#N/A,FALSE,"이태원철근"}</definedName>
    <definedName name="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1" hidden="1">{#N/A,#N/A,FALSE,"이태원철근"}</definedName>
    <definedName name="앞지" localSheetId="2" hidden="1">{#N/A,#N/A,FALSE,"이태원철근"}</definedName>
    <definedName name="앞지" localSheetId="8" hidden="1">{#N/A,#N/A,FALSE,"이태원철근"}</definedName>
    <definedName name="앞지" hidden="1">{#N/A,#N/A,FALSE,"이태원철근"}</definedName>
    <definedName name="야간" localSheetId="1" hidden="1">{#N/A,#N/A,FALSE,"지침";#N/A,#N/A,FALSE,"환경분석";#N/A,#N/A,FALSE,"Sheet16"}</definedName>
    <definedName name="야간" localSheetId="2" hidden="1">{#N/A,#N/A,FALSE,"지침";#N/A,#N/A,FALSE,"환경분석";#N/A,#N/A,FALSE,"Sheet16"}</definedName>
    <definedName name="야간" localSheetId="8" hidden="1">{#N/A,#N/A,FALSE,"지침";#N/A,#N/A,FALSE,"환경분석";#N/A,#N/A,FALSE,"Sheet16"}</definedName>
    <definedName name="야간" hidden="1">{#N/A,#N/A,FALSE,"지침";#N/A,#N/A,FALSE,"환경분석";#N/A,#N/A,FALSE,"Sheet16"}</definedName>
    <definedName name="양재승2222222" hidden="1">#REF!</definedName>
    <definedName name="어어엉" localSheetId="1" hidden="1">{#N/A,#N/A,FALSE,"주간공정";#N/A,#N/A,FALSE,"주간보고";#N/A,#N/A,FALSE,"주간공정표"}</definedName>
    <definedName name="어어엉" localSheetId="2" hidden="1">{#N/A,#N/A,FALSE,"주간공정";#N/A,#N/A,FALSE,"주간보고";#N/A,#N/A,FALSE,"주간공정표"}</definedName>
    <definedName name="어어엉" localSheetId="8" hidden="1">{#N/A,#N/A,FALSE,"주간공정";#N/A,#N/A,FALSE,"주간보고";#N/A,#N/A,FALSE,"주간공정표"}</definedName>
    <definedName name="어어엉" hidden="1">{#N/A,#N/A,FALSE,"주간공정";#N/A,#N/A,FALSE,"주간보고";#N/A,#N/A,FALSE,"주간공정표"}</definedName>
    <definedName name="어쭈구리" localSheetId="1" hidden="1">{#N/A,#N/A,FALSE,"교리2"}</definedName>
    <definedName name="어쭈구리" localSheetId="2" hidden="1">{#N/A,#N/A,FALSE,"교리2"}</definedName>
    <definedName name="어쭈구리" localSheetId="8" hidden="1">{#N/A,#N/A,FALSE,"교리2"}</definedName>
    <definedName name="어쭈구리" hidden="1">{#N/A,#N/A,FALSE,"교리2"}</definedName>
    <definedName name="어ㅓㅓ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1" hidden="1">{#N/A,#N/A,FALSE,"2~8번"}</definedName>
    <definedName name="억이상" localSheetId="2" hidden="1">{#N/A,#N/A,FALSE,"2~8번"}</definedName>
    <definedName name="억이상" localSheetId="8" hidden="1">{#N/A,#N/A,FALSE,"2~8번"}</definedName>
    <definedName name="억이상" hidden="1">{#N/A,#N/A,FALSE,"2~8번"}</definedName>
    <definedName name="얼낭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1"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8"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종" localSheetId="1" hidden="1">{#N/A,#N/A,FALSE,"포장2"}</definedName>
    <definedName name="업종" localSheetId="2" hidden="1">{#N/A,#N/A,FALSE,"포장2"}</definedName>
    <definedName name="업종" localSheetId="8" hidden="1">{#N/A,#N/A,FALSE,"포장2"}</definedName>
    <definedName name="업종" hidden="1">{#N/A,#N/A,FALSE,"포장2"}</definedName>
    <definedName name="업체" localSheetId="1" hidden="1">#REF!</definedName>
    <definedName name="업체" hidden="1">#REF!</definedName>
    <definedName name="업체벼래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1" hidden="1">{#N/A,#N/A,FALSE,"배수2"}</definedName>
    <definedName name="업체순위" localSheetId="2" hidden="1">{#N/A,#N/A,FALSE,"배수2"}</definedName>
    <definedName name="업체순위" localSheetId="8" hidden="1">{#N/A,#N/A,FALSE,"배수2"}</definedName>
    <definedName name="업체순위" hidden="1">{#N/A,#N/A,FALSE,"배수2"}</definedName>
    <definedName name="연습" hidden="1">#REF!</definedName>
    <definedName name="연습2" hidden="1">#REF!</definedName>
    <definedName name="연습용"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1" hidden="1">{"'용역비'!$A$4:$C$8"}</definedName>
    <definedName name="영상hw집계" localSheetId="2" hidden="1">{"'용역비'!$A$4:$C$8"}</definedName>
    <definedName name="영상hw집계" localSheetId="8" hidden="1">{"'용역비'!$A$4:$C$8"}</definedName>
    <definedName name="영상hw집계" hidden="1">{"'용역비'!$A$4:$C$8"}</definedName>
    <definedName name="영암실행" localSheetId="1" hidden="1">{#N/A,#N/A,FALSE,"전력간선"}</definedName>
    <definedName name="영암실행" localSheetId="2" hidden="1">{#N/A,#N/A,FALSE,"전력간선"}</definedName>
    <definedName name="영암실행" localSheetId="8" hidden="1">{#N/A,#N/A,FALSE,"전력간선"}</definedName>
    <definedName name="영암실행" hidden="1">{#N/A,#N/A,FALSE,"전력간선"}</definedName>
    <definedName name="영업" localSheetId="1" hidden="1">{#N/A,#N/A,FALSE,"지침";#N/A,#N/A,FALSE,"환경분석";#N/A,#N/A,FALSE,"Sheet16"}</definedName>
    <definedName name="영업" localSheetId="2" hidden="1">{#N/A,#N/A,FALSE,"지침";#N/A,#N/A,FALSE,"환경분석";#N/A,#N/A,FALSE,"Sheet16"}</definedName>
    <definedName name="영업" localSheetId="8" hidden="1">{#N/A,#N/A,FALSE,"지침";#N/A,#N/A,FALSE,"환경분석";#N/A,#N/A,FALSE,"Sheet16"}</definedName>
    <definedName name="영업" hidden="1">{#N/A,#N/A,FALSE,"지침";#N/A,#N/A,FALSE,"환경분석";#N/A,#N/A,FALSE,"Sheet16"}</definedName>
    <definedName name="영업현금" localSheetId="1" hidden="1">{#N/A,#N/A,FALSE,"지침";#N/A,#N/A,FALSE,"환경분석";#N/A,#N/A,FALSE,"Sheet16"}</definedName>
    <definedName name="영업현금" localSheetId="2" hidden="1">{#N/A,#N/A,FALSE,"지침";#N/A,#N/A,FALSE,"환경분석";#N/A,#N/A,FALSE,"Sheet16"}</definedName>
    <definedName name="영업현금" localSheetId="8" hidden="1">{#N/A,#N/A,FALSE,"지침";#N/A,#N/A,FALSE,"환경분석";#N/A,#N/A,FALSE,"Sheet16"}</definedName>
    <definedName name="영업현금" hidden="1">{#N/A,#N/A,FALSE,"지침";#N/A,#N/A,FALSE,"환경분석";#N/A,#N/A,FALSE,"Sheet16"}</definedName>
    <definedName name="영종" localSheetId="1" hidden="1">{#N/A,#N/A,FALSE,"CCTV"}</definedName>
    <definedName name="영종" localSheetId="2" hidden="1">{#N/A,#N/A,FALSE,"CCTV"}</definedName>
    <definedName name="영종" localSheetId="8" hidden="1">{#N/A,#N/A,FALSE,"CCTV"}</definedName>
    <definedName name="영종" hidden="1">{#N/A,#N/A,FALSE,"CCTV"}</definedName>
    <definedName name="예상계획" localSheetId="1" hidden="1">{#N/A,#N/A,FALSE,"집계표"}</definedName>
    <definedName name="예상계획" localSheetId="2" hidden="1">{#N/A,#N/A,FALSE,"집계표"}</definedName>
    <definedName name="예상계획" localSheetId="8" hidden="1">{#N/A,#N/A,FALSE,"집계표"}</definedName>
    <definedName name="예상계획" hidden="1">{#N/A,#N/A,FALSE,"집계표"}</definedName>
    <definedName name="예정가" localSheetId="1" hidden="1">{#N/A,#N/A,FALSE,"포장2"}</definedName>
    <definedName name="예정가" localSheetId="2" hidden="1">{#N/A,#N/A,FALSE,"포장2"}</definedName>
    <definedName name="예정가" localSheetId="8" hidden="1">{#N/A,#N/A,FALSE,"포장2"}</definedName>
    <definedName name="예정가" hidden="1">{#N/A,#N/A,FALSE,"포장2"}</definedName>
    <definedName name="오" localSheetId="1" hidden="1">#REF!</definedName>
    <definedName name="오" hidden="1">#REF!</definedName>
    <definedName name="오됴" localSheetId="1" hidden="1">{#N/A,#N/A,FALSE,"집계표"}</definedName>
    <definedName name="오됴" localSheetId="2" hidden="1">{#N/A,#N/A,FALSE,"집계표"}</definedName>
    <definedName name="오됴" localSheetId="8" hidden="1">{#N/A,#N/A,FALSE,"집계표"}</definedName>
    <definedName name="오됴" hidden="1">{#N/A,#N/A,FALSE,"집계표"}</definedName>
    <definedName name="오배수" localSheetId="1" hidden="1">{#N/A,#N/A,TRUE,"천상그린44PY"}</definedName>
    <definedName name="오배수" localSheetId="2" hidden="1">{#N/A,#N/A,TRUE,"천상그린44PY"}</definedName>
    <definedName name="오배수" localSheetId="8" hidden="1">{#N/A,#N/A,TRUE,"천상그린44PY"}</definedName>
    <definedName name="오배수" hidden="1">{#N/A,#N/A,TRUE,"천상그린44PY"}</definedName>
    <definedName name="오배수입상" localSheetId="1" hidden="1">{#N/A,#N/A,TRUE,"천상그린44PY"}</definedName>
    <definedName name="오배수입상" localSheetId="2" hidden="1">{#N/A,#N/A,TRUE,"천상그린44PY"}</definedName>
    <definedName name="오배수입상" localSheetId="8" hidden="1">{#N/A,#N/A,TRUE,"천상그린44PY"}</definedName>
    <definedName name="오배수입상" hidden="1">{#N/A,#N/A,TRUE,"천상그린44PY"}</definedName>
    <definedName name="오수토공" localSheetId="1" hidden="1">{#N/A,#N/A,FALSE,"기안지";#N/A,#N/A,FALSE,"통신지"}</definedName>
    <definedName name="오수토공" localSheetId="2" hidden="1">{#N/A,#N/A,FALSE,"기안지";#N/A,#N/A,FALSE,"통신지"}</definedName>
    <definedName name="오수토공" localSheetId="8" hidden="1">{#N/A,#N/A,FALSE,"기안지";#N/A,#N/A,FALSE,"통신지"}</definedName>
    <definedName name="오수토공" hidden="1">{#N/A,#N/A,FALSE,"기안지";#N/A,#N/A,FALSE,"통신지"}</definedName>
    <definedName name="오오오아앙"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1" hidden="1">{#N/A,#N/A,FALSE,"이태원철근"}</definedName>
    <definedName name="옥외공사" localSheetId="2" hidden="1">{#N/A,#N/A,FALSE,"이태원철근"}</definedName>
    <definedName name="옥외공사" localSheetId="8" hidden="1">{#N/A,#N/A,FALSE,"이태원철근"}</definedName>
    <definedName name="옥외공사" hidden="1">{#N/A,#N/A,FALSE,"이태원철근"}</definedName>
    <definedName name="옥외대비" localSheetId="1" hidden="1">{#N/A,#N/A,FALSE,"이태원철근"}</definedName>
    <definedName name="옥외대비" localSheetId="2" hidden="1">{#N/A,#N/A,FALSE,"이태원철근"}</definedName>
    <definedName name="옥외대비" localSheetId="8" hidden="1">{#N/A,#N/A,FALSE,"이태원철근"}</definedName>
    <definedName name="옥외대비" hidden="1">{#N/A,#N/A,FALSE,"이태원철근"}</definedName>
    <definedName name="옥탑층" localSheetId="1" hidden="1">{#N/A,#N/A,FALSE,"Sheet1"}</definedName>
    <definedName name="옥탑층" localSheetId="2" hidden="1">{#N/A,#N/A,FALSE,"Sheet1"}</definedName>
    <definedName name="옥탑층" localSheetId="8" hidden="1">{#N/A,#N/A,FALSE,"Sheet1"}</definedName>
    <definedName name="옥탑층" hidden="1">{#N/A,#N/A,FALSE,"Sheet1"}</definedName>
    <definedName name="옹" localSheetId="1" hidden="1">{#N/A,#N/A,FALSE,"골재소요량";#N/A,#N/A,FALSE,"골재소요량"}</definedName>
    <definedName name="옹" localSheetId="2" hidden="1">{#N/A,#N/A,FALSE,"골재소요량";#N/A,#N/A,FALSE,"골재소요량"}</definedName>
    <definedName name="옹" localSheetId="8" hidden="1">{#N/A,#N/A,FALSE,"골재소요량";#N/A,#N/A,FALSE,"골재소요량"}</definedName>
    <definedName name="옹" hidden="1">{#N/A,#N/A,FALSE,"골재소요량";#N/A,#N/A,FALSE,"골재소요량"}</definedName>
    <definedName name="옹벽수량집계표" localSheetId="1" hidden="1">{#N/A,#N/A,FALSE,"2~8번"}</definedName>
    <definedName name="옹벽수량집계표" localSheetId="2" hidden="1">{#N/A,#N/A,FALSE,"2~8번"}</definedName>
    <definedName name="옹벽수량집계표" localSheetId="8" hidden="1">{#N/A,#N/A,FALSE,"2~8번"}</definedName>
    <definedName name="옹벽수량집계표" hidden="1">{#N/A,#N/A,FALSE,"2~8번"}</definedName>
    <definedName name="옹벽수량집계표총괄" localSheetId="1" hidden="1">{#N/A,#N/A,FALSE,"혼합골재"}</definedName>
    <definedName name="옹벽수량집계표총괄" localSheetId="2" hidden="1">{#N/A,#N/A,FALSE,"혼합골재"}</definedName>
    <definedName name="옹벽수량집계표총괄" localSheetId="8" hidden="1">{#N/A,#N/A,FALSE,"혼합골재"}</definedName>
    <definedName name="옹벽수량집계표총괄" hidden="1">{#N/A,#N/A,FALSE,"혼합골재"}</definedName>
    <definedName name="옿" localSheetId="1" hidden="1">{#N/A,#N/A,FALSE,"집계표"}</definedName>
    <definedName name="옿" localSheetId="2" hidden="1">{#N/A,#N/A,FALSE,"집계표"}</definedName>
    <definedName name="옿" localSheetId="8" hidden="1">{#N/A,#N/A,FALSE,"집계표"}</definedName>
    <definedName name="옿" hidden="1">{#N/A,#N/A,FALSE,"집계표"}</definedName>
    <definedName name="완공3" hidden="1">#REF!</definedName>
    <definedName name="완도" localSheetId="1" hidden="1">{#N/A,#N/A,FALSE,"포장2"}</definedName>
    <definedName name="완도" localSheetId="2" hidden="1">{#N/A,#N/A,FALSE,"포장2"}</definedName>
    <definedName name="완도" localSheetId="8" hidden="1">{#N/A,#N/A,FALSE,"포장2"}</definedName>
    <definedName name="완도" hidden="1">{#N/A,#N/A,FALSE,"포장2"}</definedName>
    <definedName name="외주의뢰1" hidden="1">#REF!</definedName>
    <definedName name="용용" localSheetId="1" hidden="1">{#N/A,#N/A,FALSE,"포장2"}</definedName>
    <definedName name="용용" localSheetId="2" hidden="1">{#N/A,#N/A,FALSE,"포장2"}</definedName>
    <definedName name="용용" localSheetId="8" hidden="1">{#N/A,#N/A,FALSE,"포장2"}</definedName>
    <definedName name="용용" hidden="1">{#N/A,#N/A,FALSE,"포장2"}</definedName>
    <definedName name="우리" localSheetId="1" hidden="1">{#N/A,#N/A,FALSE,"사업총괄";#N/A,#N/A,FALSE,"장비사업";#N/A,#N/A,FALSE,"철구사업";#N/A,#N/A,FALSE,"준설사업"}</definedName>
    <definedName name="우리" localSheetId="2" hidden="1">{#N/A,#N/A,FALSE,"사업총괄";#N/A,#N/A,FALSE,"장비사업";#N/A,#N/A,FALSE,"철구사업";#N/A,#N/A,FALSE,"준설사업"}</definedName>
    <definedName name="우리" localSheetId="8" hidden="1">{#N/A,#N/A,FALSE,"사업총괄";#N/A,#N/A,FALSE,"장비사업";#N/A,#N/A,FALSE,"철구사업";#N/A,#N/A,FALSE,"준설사업"}</definedName>
    <definedName name="우리" hidden="1">{#N/A,#N/A,FALSE,"사업총괄";#N/A,#N/A,FALSE,"장비사업";#N/A,#N/A,FALSE,"철구사업";#N/A,#N/A,FALSE,"준설사업"}</definedName>
    <definedName name="우후" localSheetId="1" hidden="1">{"'별표'!$N$220"}</definedName>
    <definedName name="우후" localSheetId="2" hidden="1">{"'별표'!$N$220"}</definedName>
    <definedName name="우후" localSheetId="8" hidden="1">{"'별표'!$N$220"}</definedName>
    <definedName name="우후" hidden="1">{"'별표'!$N$220"}</definedName>
    <definedName name="울트구룡대보2공구" localSheetId="1" hidden="1">{#N/A,#N/A,FALSE,"속도"}</definedName>
    <definedName name="울트구룡대보2공구" localSheetId="2" hidden="1">{#N/A,#N/A,FALSE,"속도"}</definedName>
    <definedName name="울트구룡대보2공구" localSheetId="8" hidden="1">{#N/A,#N/A,FALSE,"속도"}</definedName>
    <definedName name="울트구룡대보2공구" hidden="1">{#N/A,#N/A,FALSE,"속도"}</definedName>
    <definedName name="울트라" localSheetId="1" hidden="1">{#N/A,#N/A,FALSE,"구조1"}</definedName>
    <definedName name="울트라" localSheetId="2" hidden="1">{#N/A,#N/A,FALSE,"구조1"}</definedName>
    <definedName name="울트라" localSheetId="8" hidden="1">{#N/A,#N/A,FALSE,"구조1"}</definedName>
    <definedName name="울트라" hidden="1">{#N/A,#N/A,FALSE,"구조1"}</definedName>
    <definedName name="울트라구룡2공구" localSheetId="1" hidden="1">{#N/A,#N/A,FALSE,"이정표"}</definedName>
    <definedName name="울트라구룡2공구" localSheetId="2" hidden="1">{#N/A,#N/A,FALSE,"이정표"}</definedName>
    <definedName name="울트라구룡2공구" localSheetId="8" hidden="1">{#N/A,#N/A,FALSE,"이정표"}</definedName>
    <definedName name="울트라구룡2공구" hidden="1">{#N/A,#N/A,FALSE,"이정표"}</definedName>
    <definedName name="원가" localSheetId="1" hidden="1">{#N/A,#N/A,FALSE,"운반시간"}</definedName>
    <definedName name="원가" localSheetId="2" hidden="1">{#N/A,#N/A,FALSE,"운반시간"}</definedName>
    <definedName name="원가" localSheetId="8" hidden="1">{#N/A,#N/A,FALSE,"운반시간"}</definedName>
    <definedName name="원가" hidden="1">{#N/A,#N/A,FALSE,"운반시간"}</definedName>
    <definedName name="원가12" localSheetId="1" hidden="1">{#N/A,#N/A,FALSE,"운반시간"}</definedName>
    <definedName name="원가12" localSheetId="2" hidden="1">{#N/A,#N/A,FALSE,"운반시간"}</definedName>
    <definedName name="원가12" localSheetId="8" hidden="1">{#N/A,#N/A,FALSE,"운반시간"}</definedName>
    <definedName name="원가12" hidden="1">{#N/A,#N/A,FALSE,"운반시간"}</definedName>
    <definedName name="원가계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localSheetId="1" hidden="1">#REF!</definedName>
    <definedName name="원남내역" hidden="1">#REF!</definedName>
    <definedName name="원본2" localSheetId="1" hidden="1">#REF!</definedName>
    <definedName name="원본2" hidden="1">#REF!</definedName>
    <definedName name="월드건설" localSheetId="1" hidden="1">{#N/A,#N/A,FALSE,"이태원철근"}</definedName>
    <definedName name="월드건설" localSheetId="2" hidden="1">{#N/A,#N/A,FALSE,"이태원철근"}</definedName>
    <definedName name="월드건설" localSheetId="8" hidden="1">{#N/A,#N/A,FALSE,"이태원철근"}</definedName>
    <definedName name="월드건설" hidden="1">{#N/A,#N/A,FALSE,"이태원철근"}</definedName>
    <definedName name="월별투입" localSheetId="1" hidden="1">{#N/A,#N/A,FALSE,"지침";#N/A,#N/A,FALSE,"환경분석";#N/A,#N/A,FALSE,"Sheet16"}</definedName>
    <definedName name="월별투입" localSheetId="2" hidden="1">{#N/A,#N/A,FALSE,"지침";#N/A,#N/A,FALSE,"환경분석";#N/A,#N/A,FALSE,"Sheet16"}</definedName>
    <definedName name="월별투입" localSheetId="8" hidden="1">{#N/A,#N/A,FALSE,"지침";#N/A,#N/A,FALSE,"환경분석";#N/A,#N/A,FALSE,"Sheet16"}</definedName>
    <definedName name="월별투입" hidden="1">{#N/A,#N/A,FALSE,"지침";#N/A,#N/A,FALSE,"환경분석";#N/A,#N/A,FALSE,"Sheet16"}</definedName>
    <definedName name="유가증권" localSheetId="1" hidden="1">{#N/A,#N/A,FALSE,"Aging Summary";#N/A,#N/A,FALSE,"Ratio Analysis";#N/A,#N/A,FALSE,"Test 120 Day Accts";#N/A,#N/A,FALSE,"Tickmarks"}</definedName>
    <definedName name="유가증권" localSheetId="2" hidden="1">{#N/A,#N/A,FALSE,"Aging Summary";#N/A,#N/A,FALSE,"Ratio Analysis";#N/A,#N/A,FALSE,"Test 120 Day Accts";#N/A,#N/A,FALSE,"Tickmarks"}</definedName>
    <definedName name="유가증권" localSheetId="8" hidden="1">{#N/A,#N/A,FALSE,"Aging Summary";#N/A,#N/A,FALSE,"Ratio Analysis";#N/A,#N/A,FALSE,"Test 120 Day Accts";#N/A,#N/A,FALSE,"Tickmarks"}</definedName>
    <definedName name="유가증권" hidden="1">{#N/A,#N/A,FALSE,"Aging Summary";#N/A,#N/A,FALSE,"Ratio Analysis";#N/A,#N/A,FALSE,"Test 120 Day Accts";#N/A,#N/A,FALSE,"Tickmarks"}</definedName>
    <definedName name="을" localSheetId="1" hidden="1">{#N/A,#N/A,FALSE,"도급대비시행율";#N/A,#N/A,FALSE,"결의서";#N/A,#N/A,FALSE,"내역서";#N/A,#N/A,FALSE,"도급예상"}</definedName>
    <definedName name="을" localSheetId="2" hidden="1">{#N/A,#N/A,FALSE,"도급대비시행율";#N/A,#N/A,FALSE,"결의서";#N/A,#N/A,FALSE,"내역서";#N/A,#N/A,FALSE,"도급예상"}</definedName>
    <definedName name="을" localSheetId="8" hidden="1">{#N/A,#N/A,FALSE,"도급대비시행율";#N/A,#N/A,FALSE,"결의서";#N/A,#N/A,FALSE,"내역서";#N/A,#N/A,FALSE,"도급예상"}</definedName>
    <definedName name="을" hidden="1">{#N/A,#N/A,FALSE,"도급대비시행율";#N/A,#N/A,FALSE,"결의서";#N/A,#N/A,FALSE,"내역서";#N/A,#N/A,FALSE,"도급예상"}</definedName>
    <definedName name="의" localSheetId="1" hidden="1">{#N/A,#N/A,FALSE,"운반시간"}</definedName>
    <definedName name="의" localSheetId="2" hidden="1">{#N/A,#N/A,FALSE,"운반시간"}</definedName>
    <definedName name="의" localSheetId="8" hidden="1">{#N/A,#N/A,FALSE,"운반시간"}</definedName>
    <definedName name="의" hidden="1">{#N/A,#N/A,FALSE,"운반시간"}</definedName>
    <definedName name="이"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1" hidden="1">{#N/A,#N/A,FALSE,"구조1"}</definedName>
    <definedName name="이름" localSheetId="2" hidden="1">{#N/A,#N/A,FALSE,"구조1"}</definedName>
    <definedName name="이름" localSheetId="8" hidden="1">{#N/A,#N/A,FALSE,"구조1"}</definedName>
    <definedName name="이름" hidden="1">{#N/A,#N/A,FALSE,"구조1"}</definedName>
    <definedName name="이릉" localSheetId="1" hidden="1">#REF!</definedName>
    <definedName name="이릉" hidden="1">#REF!</definedName>
    <definedName name="이슈" localSheetId="1" hidden="1">{#N/A,#N/A,FALSE,"지침";#N/A,#N/A,FALSE,"환경분석";#N/A,#N/A,FALSE,"Sheet16"}</definedName>
    <definedName name="이슈" localSheetId="2" hidden="1">{#N/A,#N/A,FALSE,"지침";#N/A,#N/A,FALSE,"환경분석";#N/A,#N/A,FALSE,"Sheet16"}</definedName>
    <definedName name="이슈" localSheetId="8" hidden="1">{#N/A,#N/A,FALSE,"지침";#N/A,#N/A,FALSE,"환경분석";#N/A,#N/A,FALSE,"Sheet16"}</definedName>
    <definedName name="이슈" hidden="1">{#N/A,#N/A,FALSE,"지침";#N/A,#N/A,FALSE,"환경분석";#N/A,#N/A,FALSE,"Sheet16"}</definedName>
    <definedName name="이읏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읏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1" hidden="1">#REF!</definedName>
    <definedName name="일" hidden="1">#REF!</definedName>
    <definedName name="일위대가" localSheetId="1" hidden="1">#REF!</definedName>
    <definedName name="일위대가" hidden="1">#REF!</definedName>
    <definedName name="일정표" localSheetId="1" hidden="1">{#N/A,#N/A,FALSE,"이태원철근"}</definedName>
    <definedName name="일정표" localSheetId="2" hidden="1">{#N/A,#N/A,FALSE,"이태원철근"}</definedName>
    <definedName name="일정표" localSheetId="8" hidden="1">{#N/A,#N/A,FALSE,"이태원철근"}</definedName>
    <definedName name="일정표" hidden="1">{#N/A,#N/A,FALSE,"이태원철근"}</definedName>
    <definedName name="일정표0124" localSheetId="1" hidden="1">{#N/A,#N/A,FALSE,"이태원철근"}</definedName>
    <definedName name="일정표0124" localSheetId="2" hidden="1">{#N/A,#N/A,FALSE,"이태원철근"}</definedName>
    <definedName name="일정표0124" localSheetId="8" hidden="1">{#N/A,#N/A,FALSE,"이태원철근"}</definedName>
    <definedName name="일정표0124" hidden="1">{#N/A,#N/A,FALSE,"이태원철근"}</definedName>
    <definedName name="임시" localSheetId="1" hidden="1">{#N/A,#N/A,FALSE,"현장 NCR 분석";#N/A,#N/A,FALSE,"현장품질감사";#N/A,#N/A,FALSE,"현장품질감사"}</definedName>
    <definedName name="임시" localSheetId="2" hidden="1">{#N/A,#N/A,FALSE,"현장 NCR 분석";#N/A,#N/A,FALSE,"현장품질감사";#N/A,#N/A,FALSE,"현장품질감사"}</definedName>
    <definedName name="임시" localSheetId="8" hidden="1">{#N/A,#N/A,FALSE,"현장 NCR 분석";#N/A,#N/A,FALSE,"현장품질감사";#N/A,#N/A,FALSE,"현장품질감사"}</definedName>
    <definedName name="임시" hidden="1">{#N/A,#N/A,FALSE,"현장 NCR 분석";#N/A,#N/A,FALSE,"현장품질감사";#N/A,#N/A,FALSE,"현장품질감사"}</definedName>
    <definedName name="임직" hidden="1">#REF!</definedName>
    <definedName name="임형" localSheetId="1" hidden="1">{#N/A,#N/A,FALSE,"포장2"}</definedName>
    <definedName name="임형" localSheetId="2" hidden="1">{#N/A,#N/A,FALSE,"포장2"}</definedName>
    <definedName name="임형" localSheetId="8" hidden="1">{#N/A,#N/A,FALSE,"포장2"}</definedName>
    <definedName name="임형" hidden="1">{#N/A,#N/A,FALSE,"포장2"}</definedName>
    <definedName name="입찰" localSheetId="1" hidden="1">{#N/A,#N/A,FALSE,"구조2"}</definedName>
    <definedName name="입찰" localSheetId="2" hidden="1">{#N/A,#N/A,FALSE,"구조2"}</definedName>
    <definedName name="입찰" localSheetId="8" hidden="1">{#N/A,#N/A,FALSE,"구조2"}</definedName>
    <definedName name="입찰" hidden="1">{#N/A,#N/A,FALSE,"구조2"}</definedName>
    <definedName name="입찰금액안" localSheetId="1" hidden="1">#REF!</definedName>
    <definedName name="입찰금액안" hidden="1">#REF!</definedName>
    <definedName name="ㅈ" localSheetId="1" hidden="1">{#N/A,#N/A,FALSE,"명세표"}</definedName>
    <definedName name="ㅈ" localSheetId="2" hidden="1">{#N/A,#N/A,FALSE,"명세표"}</definedName>
    <definedName name="ㅈ" localSheetId="8" hidden="1">{#N/A,#N/A,FALSE,"명세표"}</definedName>
    <definedName name="ㅈ" hidden="1">{#N/A,#N/A,FALSE,"명세표"}</definedName>
    <definedName name="ㅈㄳ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1" hidden="1">{#N/A,#N/A,FALSE,"집계표"}</definedName>
    <definedName name="ㅈㄳㅎㅍㅊㅊ" localSheetId="2" hidden="1">{#N/A,#N/A,FALSE,"집계표"}</definedName>
    <definedName name="ㅈㄳㅎㅍㅊㅊ" localSheetId="8" hidden="1">{#N/A,#N/A,FALSE,"집계표"}</definedName>
    <definedName name="ㅈㄳㅎㅍㅊㅊ" hidden="1">{#N/A,#N/A,FALSE,"집계표"}</definedName>
    <definedName name="ㅈㄷㄱㄷㄱㄷ" localSheetId="1" hidden="1">{"'용역비'!$A$4:$C$8"}</definedName>
    <definedName name="ㅈㄷㄱㄷㄱㄷ" localSheetId="2" hidden="1">{"'용역비'!$A$4:$C$8"}</definedName>
    <definedName name="ㅈㄷㄱㄷㄱㄷ" localSheetId="8" hidden="1">{"'용역비'!$A$4:$C$8"}</definedName>
    <definedName name="ㅈㄷㄱㄷㄱㄷ" hidden="1">{"'용역비'!$A$4:$C$8"}</definedName>
    <definedName name="ㅈㄷㄱㅈ" localSheetId="1" hidden="1">{#N/A,#N/A,FALSE,"Sheet6"}</definedName>
    <definedName name="ㅈㄷㄱㅈ" localSheetId="2" hidden="1">{#N/A,#N/A,FALSE,"Sheet6"}</definedName>
    <definedName name="ㅈㄷㄱㅈ" localSheetId="8" hidden="1">{#N/A,#N/A,FALSE,"Sheet6"}</definedName>
    <definedName name="ㅈㄷㄱㅈ" hidden="1">{#N/A,#N/A,FALSE,"Sheet6"}</definedName>
    <definedName name="ㅈㄷㄳㅈㄷ" localSheetId="1" hidden="1">{#N/A,#N/A,FALSE,"Sheet6"}</definedName>
    <definedName name="ㅈㄷㄳㅈㄷ" localSheetId="2" hidden="1">{#N/A,#N/A,FALSE,"Sheet6"}</definedName>
    <definedName name="ㅈㄷㄳㅈㄷ" localSheetId="8" hidden="1">{#N/A,#N/A,FALSE,"Sheet6"}</definedName>
    <definedName name="ㅈㄷㄳㅈㄷ" hidden="1">{#N/A,#N/A,FALSE,"Sheet6"}</definedName>
    <definedName name="ㅈㄷㅅ교" localSheetId="1" hidden="1">{#N/A,#N/A,FALSE,"집계표"}</definedName>
    <definedName name="ㅈㄷㅅ교" localSheetId="2" hidden="1">{#N/A,#N/A,FALSE,"집계표"}</definedName>
    <definedName name="ㅈㄷㅅ교" localSheetId="8" hidden="1">{#N/A,#N/A,FALSE,"집계표"}</definedName>
    <definedName name="ㅈㄷㅅ교" hidden="1">{#N/A,#N/A,FALSE,"집계표"}</definedName>
    <definedName name="ㅈㄷㅅㅁㅇㄴㄹ" localSheetId="1" hidden="1">{#N/A,#N/A,FALSE,"집계표"}</definedName>
    <definedName name="ㅈㄷㅅㅁㅇㄴㄹ" localSheetId="2" hidden="1">{#N/A,#N/A,FALSE,"집계표"}</definedName>
    <definedName name="ㅈㄷㅅㅁㅇㄴㄹ" localSheetId="8" hidden="1">{#N/A,#N/A,FALSE,"집계표"}</definedName>
    <definedName name="ㅈㄷㅅㅁㅇㄴㄹ" hidden="1">{#N/A,#N/A,FALSE,"집계표"}</definedName>
    <definedName name="ㅈㅂㄹㅇㅁㄴㅇㅍㅌㅋㅁㄴㅇㄻㅎㅁ" localSheetId="1" hidden="1">{#N/A,#N/A,FALSE,"집계표"}</definedName>
    <definedName name="ㅈㅂㄹㅇㅁㄴㅇㅍㅌㅋㅁㄴㅇㄻㅎㅁ" localSheetId="2" hidden="1">{#N/A,#N/A,FALSE,"집계표"}</definedName>
    <definedName name="ㅈㅂㄹㅇㅁㄴㅇㅍㅌㅋㅁㄴㅇㄻㅎㅁ" localSheetId="8" hidden="1">{#N/A,#N/A,FALSE,"집계표"}</definedName>
    <definedName name="ㅈㅂㄹㅇㅁㄴㅇㅍㅌㅋㅁㄴㅇㄻㅎㅁ" hidden="1">{#N/A,#N/A,FALSE,"집계표"}</definedName>
    <definedName name="ㅈ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1" hidden="1">{#N/A,#N/A,FALSE,"집계표"}</definedName>
    <definedName name="ㅈㅈㄷㅈㅇ" localSheetId="2" hidden="1">{#N/A,#N/A,FALSE,"집계표"}</definedName>
    <definedName name="ㅈㅈㄷㅈㅇ" localSheetId="8" hidden="1">{#N/A,#N/A,FALSE,"집계표"}</definedName>
    <definedName name="ㅈㅈㄷㅈㅇ" hidden="1">{#N/A,#N/A,FALSE,"집계표"}</definedName>
    <definedName name="ㅈㅈㅈ"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1" hidden="1">{#N/A,#N/A,FALSE,"명세표"}</definedName>
    <definedName name="ㅈㅈㅈㅈ" localSheetId="2" hidden="1">{#N/A,#N/A,FALSE,"명세표"}</definedName>
    <definedName name="ㅈㅈㅈㅈ" localSheetId="8" hidden="1">{#N/A,#N/A,FALSE,"명세표"}</definedName>
    <definedName name="ㅈㅈㅈㅈ" hidden="1">{#N/A,#N/A,FALSE,"명세표"}</definedName>
    <definedName name="ㅈ자" localSheetId="1" hidden="1">{#N/A,#N/A,FALSE,"CCTV"}</definedName>
    <definedName name="ㅈ자" localSheetId="2" hidden="1">{#N/A,#N/A,FALSE,"CCTV"}</definedName>
    <definedName name="ㅈ자" localSheetId="8" hidden="1">{#N/A,#N/A,FALSE,"CCTV"}</definedName>
    <definedName name="ㅈ자" hidden="1">{#N/A,#N/A,FALSE,"CCTV"}</definedName>
    <definedName name="자" localSheetId="1" hidden="1">#REF!</definedName>
    <definedName name="자" localSheetId="2" hidden="1">{"'Sheet1'!$A$4:$M$21","'Sheet1'!$J$17:$K$19"}</definedName>
    <definedName name="자" localSheetId="8" hidden="1">{"'Sheet1'!$A$4:$M$21","'Sheet1'!$J$17:$K$19"}</definedName>
    <definedName name="자" hidden="1">{"'Sheet1'!$A$4:$M$21","'Sheet1'!$J$17:$K$19"}</definedName>
    <definedName name="자미" localSheetId="1" hidden="1">{#N/A,#N/A,FALSE,"명세표"}</definedName>
    <definedName name="자미" localSheetId="2" hidden="1">{#N/A,#N/A,FALSE,"명세표"}</definedName>
    <definedName name="자미" localSheetId="8" hidden="1">{#N/A,#N/A,FALSE,"명세표"}</definedName>
    <definedName name="자미" hidden="1">{#N/A,#N/A,FALSE,"명세표"}</definedName>
    <definedName name="자본금" localSheetId="1" hidden="1">{#N/A,#N/A,FALSE,"Aging Summary";#N/A,#N/A,FALSE,"Ratio Analysis";#N/A,#N/A,FALSE,"Test 120 Day Accts";#N/A,#N/A,FALSE,"Tickmarks"}</definedName>
    <definedName name="자본금" localSheetId="2" hidden="1">{#N/A,#N/A,FALSE,"Aging Summary";#N/A,#N/A,FALSE,"Ratio Analysis";#N/A,#N/A,FALSE,"Test 120 Day Accts";#N/A,#N/A,FALSE,"Tickmarks"}</definedName>
    <definedName name="자본금" localSheetId="8" hidden="1">{#N/A,#N/A,FALSE,"Aging Summary";#N/A,#N/A,FALSE,"Ratio Analysis";#N/A,#N/A,FALSE,"Test 120 Day Accts";#N/A,#N/A,FALSE,"Tickmarks"}</definedName>
    <definedName name="자본금" hidden="1">{#N/A,#N/A,FALSE,"Aging Summary";#N/A,#N/A,FALSE,"Ratio Analysis";#N/A,#N/A,FALSE,"Test 120 Day Accts";#N/A,#N/A,FALSE,"Tickmarks"}</definedName>
    <definedName name="자야" localSheetId="1" hidden="1">{#N/A,#N/A,FALSE,"집계표"}</definedName>
    <definedName name="자야" localSheetId="2" hidden="1">{#N/A,#N/A,FALSE,"집계표"}</definedName>
    <definedName name="자야" localSheetId="8" hidden="1">{#N/A,#N/A,FALSE,"집계표"}</definedName>
    <definedName name="자야" hidden="1">{#N/A,#N/A,FALSE,"집계표"}</definedName>
    <definedName name="자양" localSheetId="1" hidden="1">{#N/A,#N/A,FALSE,"이태원철근"}</definedName>
    <definedName name="자양" localSheetId="2" hidden="1">{#N/A,#N/A,FALSE,"이태원철근"}</definedName>
    <definedName name="자양" localSheetId="8" hidden="1">{#N/A,#N/A,FALSE,"이태원철근"}</definedName>
    <definedName name="자양" hidden="1">{#N/A,#N/A,FALSE,"이태원철근"}</definedName>
    <definedName name="자양공사개요" localSheetId="1" hidden="1">{#N/A,#N/A,FALSE,"이태원철근"}</definedName>
    <definedName name="자양공사개요" localSheetId="2" hidden="1">{#N/A,#N/A,FALSE,"이태원철근"}</definedName>
    <definedName name="자양공사개요" localSheetId="8" hidden="1">{#N/A,#N/A,FALSE,"이태원철근"}</definedName>
    <definedName name="자양공사개요" hidden="1">{#N/A,#N/A,FALSE,"이태원철근"}</definedName>
    <definedName name="자재1" localSheetId="1" hidden="1">{#N/A,#N/A,FALSE,"포장2"}</definedName>
    <definedName name="자재1" localSheetId="2" hidden="1">{#N/A,#N/A,FALSE,"포장2"}</definedName>
    <definedName name="자재1" localSheetId="8" hidden="1">{#N/A,#N/A,FALSE,"포장2"}</definedName>
    <definedName name="자재1" hidden="1">{#N/A,#N/A,FALSE,"포장2"}</definedName>
    <definedName name="자재2" localSheetId="1" hidden="1">{#N/A,#N/A,FALSE,"구조2"}</definedName>
    <definedName name="자재2" localSheetId="2" hidden="1">{#N/A,#N/A,FALSE,"구조2"}</definedName>
    <definedName name="자재2" localSheetId="8" hidden="1">{#N/A,#N/A,FALSE,"구조2"}</definedName>
    <definedName name="자재2" hidden="1">{#N/A,#N/A,FALSE,"구조2"}</definedName>
    <definedName name="자재단가근거" localSheetId="1" hidden="1">#REF!</definedName>
    <definedName name="자재단가근거" hidden="1">#REF!</definedName>
    <definedName name="자ㅓㅏ" localSheetId="1" hidden="1">{#N/A,#N/A,FALSE,"집계표"}</definedName>
    <definedName name="자ㅓㅏ" localSheetId="2" hidden="1">{#N/A,#N/A,FALSE,"집계표"}</definedName>
    <definedName name="자ㅓㅏ" localSheetId="8" hidden="1">{#N/A,#N/A,FALSE,"집계표"}</definedName>
    <definedName name="자ㅓㅏ" hidden="1">{#N/A,#N/A,FALSE,"집계표"}</definedName>
    <definedName name="장" localSheetId="1" hidden="1">{#N/A,#N/A,FALSE,"CCTV"}</definedName>
    <definedName name="장" localSheetId="2" hidden="1">{#N/A,#N/A,FALSE,"CCTV"}</definedName>
    <definedName name="장" localSheetId="8" hidden="1">{#N/A,#N/A,FALSE,"CCTV"}</definedName>
    <definedName name="장" hidden="1">{#N/A,#N/A,FALSE,"CCTV"}</definedName>
    <definedName name="장구" localSheetId="1" hidden="1">{#N/A,#N/A,FALSE,"Sheet6"}</definedName>
    <definedName name="장구" localSheetId="2" hidden="1">{#N/A,#N/A,FALSE,"Sheet6"}</definedName>
    <definedName name="장구" localSheetId="8" hidden="1">{#N/A,#N/A,FALSE,"Sheet6"}</definedName>
    <definedName name="장구" hidden="1">{#N/A,#N/A,FALSE,"Sheet6"}</definedName>
    <definedName name="장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1" hidden="1">{#N/A,#N/A,FALSE,"견적갑지";#N/A,#N/A,FALSE,"총괄표";#N/A,#N/A,FALSE,"철골공사";#N/A,#N/A,FALSE,"토목공사";#N/A,#N/A,FALSE,"판넬전기공사"}</definedName>
    <definedName name="저온" localSheetId="2" hidden="1">{#N/A,#N/A,FALSE,"견적갑지";#N/A,#N/A,FALSE,"총괄표";#N/A,#N/A,FALSE,"철골공사";#N/A,#N/A,FALSE,"토목공사";#N/A,#N/A,FALSE,"판넬전기공사"}</definedName>
    <definedName name="저온" localSheetId="8" hidden="1">{#N/A,#N/A,FALSE,"견적갑지";#N/A,#N/A,FALSE,"총괄표";#N/A,#N/A,FALSE,"철골공사";#N/A,#N/A,FALSE,"토목공사";#N/A,#N/A,FALSE,"판넬전기공사"}</definedName>
    <definedName name="저온" hidden="1">{#N/A,#N/A,FALSE,"견적갑지";#N/A,#N/A,FALSE,"총괄표";#N/A,#N/A,FALSE,"철골공사";#N/A,#N/A,FALSE,"토목공사";#N/A,#N/A,FALSE,"판넬전기공사"}</definedName>
    <definedName name="저온1" localSheetId="1"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1" localSheetId="8"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localSheetId="1"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냉동" localSheetId="8"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localSheetId="1"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설비" localSheetId="8"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localSheetId="1"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저장고" localSheetId="8"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localSheetId="1"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온집계" localSheetId="8"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localSheetId="1" hidden="1">{#N/A,#N/A,FALSE,"估價單  (3)"}</definedName>
    <definedName name="저층부공내역" localSheetId="2" hidden="1">{#N/A,#N/A,FALSE,"估價單  (3)"}</definedName>
    <definedName name="저층부공내역" localSheetId="8" hidden="1">{#N/A,#N/A,FALSE,"估價單  (3)"}</definedName>
    <definedName name="저층부공내역" hidden="1">{#N/A,#N/A,FALSE,"估價單  (3)"}</definedName>
    <definedName name="저층부금액" localSheetId="1" hidden="1">{#N/A,#N/A,FALSE,"估價單  (3)"}</definedName>
    <definedName name="저층부금액" localSheetId="2" hidden="1">{#N/A,#N/A,FALSE,"估價單  (3)"}</definedName>
    <definedName name="저층부금액" localSheetId="8" hidden="1">{#N/A,#N/A,FALSE,"估價單  (3)"}</definedName>
    <definedName name="저층부금액" hidden="1">{#N/A,#N/A,FALSE,"估價單  (3)"}</definedName>
    <definedName name="저층부금액1" localSheetId="1" hidden="1">{#N/A,#N/A,FALSE,"估價單  (3)"}</definedName>
    <definedName name="저층부금액1" localSheetId="2" hidden="1">{#N/A,#N/A,FALSE,"估價單  (3)"}</definedName>
    <definedName name="저층부금액1" localSheetId="8" hidden="1">{#N/A,#N/A,FALSE,"估價單  (3)"}</definedName>
    <definedName name="저층부금액1" hidden="1">{#N/A,#N/A,FALSE,"估價單  (3)"}</definedName>
    <definedName name="전계장금액" localSheetId="1" hidden="1">#REF!</definedName>
    <definedName name="전계장금액" hidden="1">#REF!</definedName>
    <definedName name="전기" localSheetId="1" hidden="1">{"'Sheet1'!$A$1:$E$59"}</definedName>
    <definedName name="전기" localSheetId="2" hidden="1">{"'Sheet1'!$A$1:$E$59"}</definedName>
    <definedName name="전기" localSheetId="8" hidden="1">{"'Sheet1'!$A$1:$E$59"}</definedName>
    <definedName name="전기" hidden="1">{"'Sheet1'!$A$1:$E$59"}</definedName>
    <definedName name="전기1" localSheetId="1" hidden="1">{#N/A,#N/A,FALSE,"견적갑지";#N/A,#N/A,FALSE,"총괄표";#N/A,#N/A,FALSE,"철골공사";#N/A,#N/A,FALSE,"토목공사";#N/A,#N/A,FALSE,"판넬전기공사"}</definedName>
    <definedName name="전기1" localSheetId="2" hidden="1">{#N/A,#N/A,FALSE,"견적갑지";#N/A,#N/A,FALSE,"총괄표";#N/A,#N/A,FALSE,"철골공사";#N/A,#N/A,FALSE,"토목공사";#N/A,#N/A,FALSE,"판넬전기공사"}</definedName>
    <definedName name="전기1" localSheetId="8" hidden="1">{#N/A,#N/A,FALSE,"견적갑지";#N/A,#N/A,FALSE,"총괄표";#N/A,#N/A,FALSE,"철골공사";#N/A,#N/A,FALSE,"토목공사";#N/A,#N/A,FALSE,"판넬전기공사"}</definedName>
    <definedName name="전기1" hidden="1">{#N/A,#N/A,FALSE,"견적갑지";#N/A,#N/A,FALSE,"총괄표";#N/A,#N/A,FALSE,"철골공사";#N/A,#N/A,FALSE,"토목공사";#N/A,#N/A,FALSE,"판넬전기공사"}</definedName>
    <definedName name="전기3" localSheetId="1"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3" localSheetId="8"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localSheetId="1"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4" localSheetId="8"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localSheetId="1" hidden="1">{#N/A,#N/A,FALSE,"CCTV"}</definedName>
    <definedName name="전기내역" localSheetId="2" hidden="1">{#N/A,#N/A,FALSE,"CCTV"}</definedName>
    <definedName name="전기내역" localSheetId="8" hidden="1">{#N/A,#N/A,FALSE,"CCTV"}</definedName>
    <definedName name="전기내역" hidden="1">{#N/A,#N/A,FALSE,"CCTV"}</definedName>
    <definedName name="전기산출" localSheetId="1" hidden="1">#REF!</definedName>
    <definedName name="전기산출" hidden="1">#REF!</definedName>
    <definedName name="전기산출내역" localSheetId="1" hidden="1">#REF!</definedName>
    <definedName name="전기산출내역" hidden="1">#REF!</definedName>
    <definedName name="전기특기조건" localSheetId="1" hidden="1">{#N/A,#N/A,FALSE,"현장 NCR 분석";#N/A,#N/A,FALSE,"현장품질감사";#N/A,#N/A,FALSE,"현장품질감사"}</definedName>
    <definedName name="전기특기조건" localSheetId="2" hidden="1">{#N/A,#N/A,FALSE,"현장 NCR 분석";#N/A,#N/A,FALSE,"현장품질감사";#N/A,#N/A,FALSE,"현장품질감사"}</definedName>
    <definedName name="전기특기조건" localSheetId="8" hidden="1">{#N/A,#N/A,FALSE,"현장 NCR 분석";#N/A,#N/A,FALSE,"현장품질감사";#N/A,#N/A,FALSE,"현장품질감사"}</definedName>
    <definedName name="전기특기조건" hidden="1">{#N/A,#N/A,FALSE,"현장 NCR 분석";#N/A,#N/A,FALSE,"현장품질감사";#N/A,#N/A,FALSE,"현장품질감사"}</definedName>
    <definedName name="전등설비" localSheetId="1" hidden="1">{#N/A,#N/A,FALSE,"CCTV"}</definedName>
    <definedName name="전등설비" localSheetId="2" hidden="1">{#N/A,#N/A,FALSE,"CCTV"}</definedName>
    <definedName name="전등설비" localSheetId="8" hidden="1">{#N/A,#N/A,FALSE,"CCTV"}</definedName>
    <definedName name="전등설비" hidden="1">{#N/A,#N/A,FALSE,"CCTV"}</definedName>
    <definedName name="전열" localSheetId="1" hidden="1">{#N/A,#N/A,FALSE,"CCTV"}</definedName>
    <definedName name="전열" localSheetId="2" hidden="1">{#N/A,#N/A,FALSE,"CCTV"}</definedName>
    <definedName name="전열" localSheetId="8" hidden="1">{#N/A,#N/A,FALSE,"CCTV"}</definedName>
    <definedName name="전열" hidden="1">{#N/A,#N/A,FALSE,"CCTV"}</definedName>
    <definedName name="전자CF" localSheetId="1" hidden="1">{#N/A,#N/A,FALSE,"지침";#N/A,#N/A,FALSE,"환경분석";#N/A,#N/A,FALSE,"Sheet16"}</definedName>
    <definedName name="전자CF" localSheetId="2" hidden="1">{#N/A,#N/A,FALSE,"지침";#N/A,#N/A,FALSE,"환경분석";#N/A,#N/A,FALSE,"Sheet16"}</definedName>
    <definedName name="전자CF" localSheetId="8" hidden="1">{#N/A,#N/A,FALSE,"지침";#N/A,#N/A,FALSE,"환경분석";#N/A,#N/A,FALSE,"Sheet16"}</definedName>
    <definedName name="전자CF" hidden="1">{#N/A,#N/A,FALSE,"지침";#N/A,#N/A,FALSE,"환경분석";#N/A,#N/A,FALSE,"Sheet16"}</definedName>
    <definedName name="젇주ㅠㅜㅇㄴ" localSheetId="1" hidden="1">{#N/A,#N/A,FALSE,"집계표"}</definedName>
    <definedName name="젇주ㅠㅜㅇㄴ" localSheetId="2" hidden="1">{#N/A,#N/A,FALSE,"집계표"}</definedName>
    <definedName name="젇주ㅠㅜㅇㄴ" localSheetId="8" hidden="1">{#N/A,#N/A,FALSE,"집계표"}</definedName>
    <definedName name="젇주ㅠㅜㅇㄴ" hidden="1">{#N/A,#N/A,FALSE,"집계표"}</definedName>
    <definedName name="절" hidden="1">#REF!</definedName>
    <definedName name="정리" localSheetId="1" hidden="1">{#N/A,#N/A,FALSE,"CCTV"}</definedName>
    <definedName name="정리" localSheetId="2" hidden="1">{#N/A,#N/A,FALSE,"CCTV"}</definedName>
    <definedName name="정리" localSheetId="8" hidden="1">{#N/A,#N/A,FALSE,"CCTV"}</definedName>
    <definedName name="정리" hidden="1">{#N/A,#N/A,FALSE,"CCTV"}</definedName>
    <definedName name="정보통신" localSheetId="1" hidden="1">{"'Firr(선)'!$AS$1:$AY$62","'Firr(사)'!$AS$1:$AY$62","'Firr(회)'!$AS$1:$AY$62","'Firr(선)'!$L$1:$V$62","'Firr(사)'!$L$1:$V$62","'Firr(회)'!$L$1:$V$62"}</definedName>
    <definedName name="정보통신" localSheetId="2" hidden="1">{"'Firr(선)'!$AS$1:$AY$62","'Firr(사)'!$AS$1:$AY$62","'Firr(회)'!$AS$1:$AY$62","'Firr(선)'!$L$1:$V$62","'Firr(사)'!$L$1:$V$62","'Firr(회)'!$L$1:$V$62"}</definedName>
    <definedName name="정보통신" localSheetId="8" hidden="1">{"'Firr(선)'!$AS$1:$AY$62","'Firr(사)'!$AS$1:$AY$62","'Firr(회)'!$AS$1:$AY$62","'Firr(선)'!$L$1:$V$62","'Firr(사)'!$L$1:$V$62","'Firr(회)'!$L$1:$V$62"}</definedName>
    <definedName name="정보통신" hidden="1">{"'Firr(선)'!$AS$1:$AY$62","'Firr(사)'!$AS$1:$AY$62","'Firr(회)'!$AS$1:$AY$62","'Firr(선)'!$L$1:$V$62","'Firr(사)'!$L$1:$V$62","'Firr(회)'!$L$1:$V$62"}</definedName>
    <definedName name="정산표" localSheetId="1" hidden="1">{#N/A,#N/A,FALSE,"현장 NCR 분석";#N/A,#N/A,FALSE,"현장품질감사";#N/A,#N/A,FALSE,"현장품질감사"}</definedName>
    <definedName name="정산표" localSheetId="2" hidden="1">{#N/A,#N/A,FALSE,"현장 NCR 분석";#N/A,#N/A,FALSE,"현장품질감사";#N/A,#N/A,FALSE,"현장품질감사"}</definedName>
    <definedName name="정산표" localSheetId="8" hidden="1">{#N/A,#N/A,FALSE,"현장 NCR 분석";#N/A,#N/A,FALSE,"현장품질감사";#N/A,#N/A,FALSE,"현장품질감사"}</definedName>
    <definedName name="정산표" hidden="1">{#N/A,#N/A,FALSE,"현장 NCR 분석";#N/A,#N/A,FALSE,"현장품질감사";#N/A,#N/A,FALSE,"현장품질감사"}</definedName>
    <definedName name="제2짱" localSheetId="1" hidden="1">{#N/A,#N/A,FALSE,"운반시간"}</definedName>
    <definedName name="제2짱" localSheetId="2" hidden="1">{#N/A,#N/A,FALSE,"운반시간"}</definedName>
    <definedName name="제2짱" localSheetId="8" hidden="1">{#N/A,#N/A,FALSE,"운반시간"}</definedName>
    <definedName name="제2짱" hidden="1">{#N/A,#N/A,FALSE,"운반시간"}</definedName>
    <definedName name="제외공사" localSheetId="1" hidden="1">{#N/A,#N/A,FALSE,"지침";#N/A,#N/A,FALSE,"환경분석";#N/A,#N/A,FALSE,"Sheet16"}</definedName>
    <definedName name="제외공사" localSheetId="2" hidden="1">{#N/A,#N/A,FALSE,"지침";#N/A,#N/A,FALSE,"환경분석";#N/A,#N/A,FALSE,"Sheet16"}</definedName>
    <definedName name="제외공사" localSheetId="8" hidden="1">{#N/A,#N/A,FALSE,"지침";#N/A,#N/A,FALSE,"환경분석";#N/A,#N/A,FALSE,"Sheet16"}</definedName>
    <definedName name="제외공사" hidden="1">{#N/A,#N/A,FALSE,"지침";#N/A,#N/A,FALSE,"환경분석";#N/A,#N/A,FALSE,"Sheet16"}</definedName>
    <definedName name="제출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1" hidden="1">{#N/A,#N/A,FALSE,"표지"}</definedName>
    <definedName name="조경공사" localSheetId="2" hidden="1">{#N/A,#N/A,FALSE,"표지"}</definedName>
    <definedName name="조경공사" localSheetId="8" hidden="1">{#N/A,#N/A,FALSE,"표지"}</definedName>
    <definedName name="조경공사" hidden="1">{#N/A,#N/A,FALSE,"표지"}</definedName>
    <definedName name="조경사본" localSheetId="1" hidden="1">{#N/A,#N/A,FALSE,"표지"}</definedName>
    <definedName name="조경사본" localSheetId="2" hidden="1">{#N/A,#N/A,FALSE,"표지"}</definedName>
    <definedName name="조경사본" localSheetId="8" hidden="1">{#N/A,#N/A,FALSE,"표지"}</definedName>
    <definedName name="조경사본" hidden="1">{#N/A,#N/A,FALSE,"표지"}</definedName>
    <definedName name="조사가" localSheetId="1" hidden="1">#REF!</definedName>
    <definedName name="조사가" hidden="1">#REF!</definedName>
    <definedName name="조정1" localSheetId="1" hidden="1">#REF!</definedName>
    <definedName name="조정1" hidden="1">#REF!</definedName>
    <definedName name="조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1" hidden="1">{#N/A,#N/A,FALSE,"사업총괄";#N/A,#N/A,FALSE,"장비사업";#N/A,#N/A,FALSE,"철구사업";#N/A,#N/A,FALSE,"준설사업"}</definedName>
    <definedName name="조직4" localSheetId="2" hidden="1">{#N/A,#N/A,FALSE,"사업총괄";#N/A,#N/A,FALSE,"장비사업";#N/A,#N/A,FALSE,"철구사업";#N/A,#N/A,FALSE,"준설사업"}</definedName>
    <definedName name="조직4" localSheetId="8" hidden="1">{#N/A,#N/A,FALSE,"사업총괄";#N/A,#N/A,FALSE,"장비사업";#N/A,#N/A,FALSE,"철구사업";#N/A,#N/A,FALSE,"준설사업"}</definedName>
    <definedName name="조직4" hidden="1">{#N/A,#N/A,FALSE,"사업총괄";#N/A,#N/A,FALSE,"장비사업";#N/A,#N/A,FALSE,"철구사업";#N/A,#N/A,FALSE,"준설사업"}</definedName>
    <definedName name="조직4.2" localSheetId="1" hidden="1">{#N/A,#N/A,FALSE,"예상손익";#N/A,#N/A,FALSE,"관리분석";#N/A,#N/A,FALSE,"장비분석";#N/A,#N/A,FALSE,"준설분석";#N/A,#N/A,FALSE,"철구분석"}</definedName>
    <definedName name="조직4.2" localSheetId="2" hidden="1">{#N/A,#N/A,FALSE,"예상손익";#N/A,#N/A,FALSE,"관리분석";#N/A,#N/A,FALSE,"장비분석";#N/A,#N/A,FALSE,"준설분석";#N/A,#N/A,FALSE,"철구분석"}</definedName>
    <definedName name="조직4.2" localSheetId="8" hidden="1">{#N/A,#N/A,FALSE,"예상손익";#N/A,#N/A,FALSE,"관리분석";#N/A,#N/A,FALSE,"장비분석";#N/A,#N/A,FALSE,"준설분석";#N/A,#N/A,FALSE,"철구분석"}</definedName>
    <definedName name="조직4.2" hidden="1">{#N/A,#N/A,FALSE,"예상손익";#N/A,#N/A,FALSE,"관리분석";#N/A,#N/A,FALSE,"장비분석";#N/A,#N/A,FALSE,"준설분석";#N/A,#N/A,FALSE,"철구분석"}</definedName>
    <definedName name="조차장" localSheetId="1" hidden="1">{#N/A,#N/A,FALSE,"명세표"}</definedName>
    <definedName name="조차장" localSheetId="2" hidden="1">{#N/A,#N/A,FALSE,"명세표"}</definedName>
    <definedName name="조차장" localSheetId="8" hidden="1">{#N/A,#N/A,FALSE,"명세표"}</definedName>
    <definedName name="조차장" hidden="1">{#N/A,#N/A,FALSE,"명세표"}</definedName>
    <definedName name="조창현" localSheetId="1" hidden="1">{#N/A,#N/A,FALSE,"교리2"}</definedName>
    <definedName name="조창현" localSheetId="2" hidden="1">{#N/A,#N/A,FALSE,"교리2"}</definedName>
    <definedName name="조창현" localSheetId="8" hidden="1">{#N/A,#N/A,FALSE,"교리2"}</definedName>
    <definedName name="조창현" hidden="1">{#N/A,#N/A,FALSE,"교리2"}</definedName>
    <definedName name="조후" localSheetId="1" hidden="1">{#N/A,#N/A,FALSE,"예상손익";#N/A,#N/A,FALSE,"관리분석";#N/A,#N/A,FALSE,"장비분석";#N/A,#N/A,FALSE,"준설분석";#N/A,#N/A,FALSE,"철구분석"}</definedName>
    <definedName name="조후" localSheetId="2" hidden="1">{#N/A,#N/A,FALSE,"예상손익";#N/A,#N/A,FALSE,"관리분석";#N/A,#N/A,FALSE,"장비분석";#N/A,#N/A,FALSE,"준설분석";#N/A,#N/A,FALSE,"철구분석"}</definedName>
    <definedName name="조후" localSheetId="8" hidden="1">{#N/A,#N/A,FALSE,"예상손익";#N/A,#N/A,FALSE,"관리분석";#N/A,#N/A,FALSE,"장비분석";#N/A,#N/A,FALSE,"준설분석";#N/A,#N/A,FALSE,"철구분석"}</definedName>
    <definedName name="조후" hidden="1">{#N/A,#N/A,FALSE,"예상손익";#N/A,#N/A,FALSE,"관리분석";#N/A,#N/A,FALSE,"장비분석";#N/A,#N/A,FALSE,"준설분석";#N/A,#N/A,FALSE,"철구분석"}</definedName>
    <definedName name="종별물량실행" localSheetId="1" hidden="1">{#N/A,#N/A,FALSE,"CCTV"}</definedName>
    <definedName name="종별물량실행" localSheetId="2" hidden="1">{#N/A,#N/A,FALSE,"CCTV"}</definedName>
    <definedName name="종별물량실행" localSheetId="8" hidden="1">{#N/A,#N/A,FALSE,"CCTV"}</definedName>
    <definedName name="종별물량실행" hidden="1">{#N/A,#N/A,FALSE,"CCTV"}</definedName>
    <definedName name="종합청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1" hidden="1">{#N/A,#N/A,FALSE,"표지"}</definedName>
    <definedName name="주차장" localSheetId="2" hidden="1">{#N/A,#N/A,FALSE,"표지"}</definedName>
    <definedName name="주차장" localSheetId="8" hidden="1">{#N/A,#N/A,FALSE,"표지"}</definedName>
    <definedName name="주차장" hidden="1">{#N/A,#N/A,FALSE,"표지"}</definedName>
    <definedName name="죽전5차" localSheetId="1" hidden="1">{#N/A,#N/A,FALSE,"이태원철근"}</definedName>
    <definedName name="죽전5차" localSheetId="2" hidden="1">{#N/A,#N/A,FALSE,"이태원철근"}</definedName>
    <definedName name="죽전5차" localSheetId="8" hidden="1">{#N/A,#N/A,FALSE,"이태원철근"}</definedName>
    <definedName name="죽전5차" hidden="1">{#N/A,#N/A,FALSE,"이태원철근"}</definedName>
    <definedName name="준공검사원" localSheetId="1" hidden="1">{#N/A,#N/A,FALSE,"전력간선"}</definedName>
    <definedName name="준공검사원" localSheetId="2" hidden="1">{#N/A,#N/A,FALSE,"전력간선"}</definedName>
    <definedName name="준공검사원" localSheetId="8" hidden="1">{#N/A,#N/A,FALSE,"전력간선"}</definedName>
    <definedName name="준공검사원" hidden="1">{#N/A,#N/A,FALSE,"전력간선"}</definedName>
    <definedName name="증감내역" hidden="1">#REF!</definedName>
    <definedName name="지" localSheetId="1" hidden="1">{#N/A,#N/A,FALSE,"배수2"}</definedName>
    <definedName name="지" localSheetId="2" hidden="1">{#N/A,#N/A,FALSE,"배수2"}</definedName>
    <definedName name="지" localSheetId="8" hidden="1">{#N/A,#N/A,FALSE,"배수2"}</definedName>
    <definedName name="지" hidden="1">{#N/A,#N/A,FALSE,"배수2"}</definedName>
    <definedName name="지급" localSheetId="1" hidden="1">{#N/A,#N/A,FALSE,"견적갑지";#N/A,#N/A,FALSE,"총괄표";#N/A,#N/A,FALSE,"철골공사";#N/A,#N/A,FALSE,"토목공사";#N/A,#N/A,FALSE,"판넬전기공사"}</definedName>
    <definedName name="지급" localSheetId="2" hidden="1">{#N/A,#N/A,FALSE,"견적갑지";#N/A,#N/A,FALSE,"총괄표";#N/A,#N/A,FALSE,"철골공사";#N/A,#N/A,FALSE,"토목공사";#N/A,#N/A,FALSE,"판넬전기공사"}</definedName>
    <definedName name="지급" localSheetId="8"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역" localSheetId="1" hidden="1">{#N/A,#N/A,FALSE,"포장2"}</definedName>
    <definedName name="지역" localSheetId="2" hidden="1">{#N/A,#N/A,FALSE,"포장2"}</definedName>
    <definedName name="지역" localSheetId="8" hidden="1">{#N/A,#N/A,FALSE,"포장2"}</definedName>
    <definedName name="지역" hidden="1">{#N/A,#N/A,FALSE,"포장2"}</definedName>
    <definedName name="지역업체" localSheetId="1" hidden="1">{#N/A,#N/A,FALSE,"배수2"}</definedName>
    <definedName name="지역업체" localSheetId="2" hidden="1">{#N/A,#N/A,FALSE,"배수2"}</definedName>
    <definedName name="지역업체" localSheetId="8" hidden="1">{#N/A,#N/A,FALSE,"배수2"}</definedName>
    <definedName name="지역업체" hidden="1">{#N/A,#N/A,FALSE,"배수2"}</definedName>
    <definedName name="지철" localSheetId="1" hidden="1">{#N/A,#N/A,FALSE,"포장2"}</definedName>
    <definedName name="지철" localSheetId="2" hidden="1">{#N/A,#N/A,FALSE,"포장2"}</definedName>
    <definedName name="지철" localSheetId="8" hidden="1">{#N/A,#N/A,FALSE,"포장2"}</definedName>
    <definedName name="지철" hidden="1">{#N/A,#N/A,FALSE,"포장2"}</definedName>
    <definedName name="지철자재" localSheetId="1" hidden="1">{#N/A,#N/A,FALSE,"포장2"}</definedName>
    <definedName name="지철자재" localSheetId="2" hidden="1">{#N/A,#N/A,FALSE,"포장2"}</definedName>
    <definedName name="지철자재" localSheetId="8" hidden="1">{#N/A,#N/A,FALSE,"포장2"}</definedName>
    <definedName name="지철자재" hidden="1">{#N/A,#N/A,FALSE,"포장2"}</definedName>
    <definedName name="지토" localSheetId="1" hidden="1">{#N/A,#N/A,FALSE,"포장1";#N/A,#N/A,FALSE,"포장1"}</definedName>
    <definedName name="지토" localSheetId="2" hidden="1">{#N/A,#N/A,FALSE,"포장1";#N/A,#N/A,FALSE,"포장1"}</definedName>
    <definedName name="지토" localSheetId="8" hidden="1">{#N/A,#N/A,FALSE,"포장1";#N/A,#N/A,FALSE,"포장1"}</definedName>
    <definedName name="지토" hidden="1">{#N/A,#N/A,FALSE,"포장1";#N/A,#N/A,FALSE,"포장1"}</definedName>
    <definedName name="지토자재" localSheetId="1" hidden="1">{#N/A,#N/A,FALSE,"포장2"}</definedName>
    <definedName name="지토자재" localSheetId="2" hidden="1">{#N/A,#N/A,FALSE,"포장2"}</definedName>
    <definedName name="지토자재" localSheetId="8" hidden="1">{#N/A,#N/A,FALSE,"포장2"}</definedName>
    <definedName name="지토자재" hidden="1">{#N/A,#N/A,FALSE,"포장2"}</definedName>
    <definedName name="직매54P" localSheetId="1" hidden="1">{#N/A,#N/A,TRUE,"토적및재료집계";#N/A,#N/A,TRUE,"토적및재료집계";#N/A,#N/A,TRUE,"단위량"}</definedName>
    <definedName name="직매54P" localSheetId="2" hidden="1">{#N/A,#N/A,TRUE,"토적및재료집계";#N/A,#N/A,TRUE,"토적및재료집계";#N/A,#N/A,TRUE,"단위량"}</definedName>
    <definedName name="직매54P" localSheetId="8" hidden="1">{#N/A,#N/A,TRUE,"토적및재료집계";#N/A,#N/A,TRUE,"토적및재료집계";#N/A,#N/A,TRUE,"단위량"}</definedName>
    <definedName name="직매54P" hidden="1">{#N/A,#N/A,TRUE,"토적및재료집계";#N/A,#N/A,TRUE,"토적및재료집계";#N/A,#N/A,TRUE,"단위량"}</definedName>
    <definedName name="진짜원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8"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1" hidden="1">{#N/A,#N/A,FALSE,"이태원철근"}</definedName>
    <definedName name="집계표" localSheetId="2" hidden="1">{#N/A,#N/A,FALSE,"이태원철근"}</definedName>
    <definedName name="집계표" localSheetId="8" hidden="1">{#N/A,#N/A,FALSE,"이태원철근"}</definedName>
    <definedName name="집계표" hidden="1">{#N/A,#N/A,FALSE,"이태원철근"}</definedName>
    <definedName name="집진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1" hidden="1">{#N/A,#N/A,TRUE,"토적및재료집계";#N/A,#N/A,TRUE,"토적및재료집계";#N/A,#N/A,TRUE,"단위량"}</definedName>
    <definedName name="집집" localSheetId="2" hidden="1">{#N/A,#N/A,TRUE,"토적및재료집계";#N/A,#N/A,TRUE,"토적및재료집계";#N/A,#N/A,TRUE,"단위량"}</definedName>
    <definedName name="집집" localSheetId="8" hidden="1">{#N/A,#N/A,TRUE,"토적및재료집계";#N/A,#N/A,TRUE,"토적및재료집계";#N/A,#N/A,TRUE,"단위량"}</definedName>
    <definedName name="집집" hidden="1">{#N/A,#N/A,TRUE,"토적및재료집계";#N/A,#N/A,TRUE,"토적및재료집계";#N/A,#N/A,TRUE,"단위량"}</definedName>
    <definedName name="짠"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1" hidden="1">{#N/A,#N/A,FALSE,"변경관리예산";#N/A,#N/A,FALSE,"변경장비예산";#N/A,#N/A,FALSE,"변경준설예산";#N/A,#N/A,FALSE,"변경철구예산"}</definedName>
    <definedName name="쩨" localSheetId="2" hidden="1">{#N/A,#N/A,FALSE,"변경관리예산";#N/A,#N/A,FALSE,"변경장비예산";#N/A,#N/A,FALSE,"변경준설예산";#N/A,#N/A,FALSE,"변경철구예산"}</definedName>
    <definedName name="쩨" localSheetId="8" hidden="1">{#N/A,#N/A,FALSE,"변경관리예산";#N/A,#N/A,FALSE,"변경장비예산";#N/A,#N/A,FALSE,"변경준설예산";#N/A,#N/A,FALSE,"변경철구예산"}</definedName>
    <definedName name="쩨" hidden="1">{#N/A,#N/A,FALSE,"변경관리예산";#N/A,#N/A,FALSE,"변경장비예산";#N/A,#N/A,FALSE,"변경준설예산";#N/A,#N/A,FALSE,"변경철구예산"}</definedName>
    <definedName name="ㅊ" localSheetId="1" hidden="1">{#N/A,#N/A,FALSE,"운반시간"}</definedName>
    <definedName name="ㅊ" localSheetId="2" hidden="1">{#N/A,#N/A,FALSE,"운반시간"}</definedName>
    <definedName name="ㅊ" localSheetId="8" hidden="1">{#N/A,#N/A,FALSE,"운반시간"}</definedName>
    <definedName name="ㅊ" hidden="1">{#N/A,#N/A,FALSE,"운반시간"}</definedName>
    <definedName name="ㅊㄹㅎ" localSheetId="1" hidden="1">{#N/A,#N/A,FALSE,"집계표"}</definedName>
    <definedName name="ㅊㄹㅎ" localSheetId="2" hidden="1">{#N/A,#N/A,FALSE,"집계표"}</definedName>
    <definedName name="ㅊㄹㅎ" localSheetId="8" hidden="1">{#N/A,#N/A,FALSE,"집계표"}</definedName>
    <definedName name="ㅊㄹㅎ" hidden="1">{#N/A,#N/A,FALSE,"집계표"}</definedName>
    <definedName name="ㅊㄹ헝ㅇ" localSheetId="1" hidden="1">{#N/A,#N/A,FALSE,"집계표"}</definedName>
    <definedName name="ㅊㄹ헝ㅇ" localSheetId="2" hidden="1">{#N/A,#N/A,FALSE,"집계표"}</definedName>
    <definedName name="ㅊㄹ헝ㅇ" localSheetId="8" hidden="1">{#N/A,#N/A,FALSE,"집계표"}</definedName>
    <definedName name="ㅊㄹ헝ㅇ" hidden="1">{#N/A,#N/A,FALSE,"집계표"}</definedName>
    <definedName name="ㅊㄹ호" localSheetId="1" hidden="1">{#N/A,#N/A,FALSE,"집계표"}</definedName>
    <definedName name="ㅊㄹ호" localSheetId="2" hidden="1">{#N/A,#N/A,FALSE,"집계표"}</definedName>
    <definedName name="ㅊㄹ호" localSheetId="8" hidden="1">{#N/A,#N/A,FALSE,"집계표"}</definedName>
    <definedName name="ㅊㄹ호" hidden="1">{#N/A,#N/A,FALSE,"집계표"}</definedName>
    <definedName name="ㅊㅀㅎㅎㅎㅎㅎㅎㅎㅎ" localSheetId="1" hidden="1">{#N/A,#N/A,FALSE,"집계표"}</definedName>
    <definedName name="ㅊㅀㅎㅎㅎㅎㅎㅎㅎㅎ" localSheetId="2" hidden="1">{#N/A,#N/A,FALSE,"집계표"}</definedName>
    <definedName name="ㅊㅀㅎㅎㅎㅎㅎㅎㅎㅎ" localSheetId="8" hidden="1">{#N/A,#N/A,FALSE,"집계표"}</definedName>
    <definedName name="ㅊㅀㅎㅎㅎㅎㅎㅎㅎㅎ" hidden="1">{#N/A,#N/A,FALSE,"집계표"}</definedName>
    <definedName name="ㅊㅊㅊㅊ" localSheetId="1" hidden="1">{#N/A,#N/A,FALSE,"단가표지"}</definedName>
    <definedName name="ㅊㅊㅊㅊ" localSheetId="2" hidden="1">{#N/A,#N/A,FALSE,"단가표지"}</definedName>
    <definedName name="ㅊㅊㅊㅊ" localSheetId="8" hidden="1">{#N/A,#N/A,FALSE,"단가표지"}</definedName>
    <definedName name="ㅊㅊㅊㅊ" hidden="1">{#N/A,#N/A,FALSE,"단가표지"}</definedName>
    <definedName name="ㅊㅌㅅ" localSheetId="1" hidden="1">{#N/A,#N/A,FALSE,"집계표"}</definedName>
    <definedName name="ㅊㅌㅅ" localSheetId="2" hidden="1">{#N/A,#N/A,FALSE,"집계표"}</definedName>
    <definedName name="ㅊㅌㅅ" localSheetId="8" hidden="1">{#N/A,#N/A,FALSE,"집계표"}</definedName>
    <definedName name="ㅊㅌㅅ" hidden="1">{#N/A,#N/A,FALSE,"집계표"}</definedName>
    <definedName name="ㅊㅌ포촣" localSheetId="1" hidden="1">{#N/A,#N/A,FALSE,"집계표"}</definedName>
    <definedName name="ㅊㅌ포촣" localSheetId="2" hidden="1">{#N/A,#N/A,FALSE,"집계표"}</definedName>
    <definedName name="ㅊㅌ포촣" localSheetId="8" hidden="1">{#N/A,#N/A,FALSE,"집계표"}</definedName>
    <definedName name="ㅊㅌ포촣" hidden="1">{#N/A,#N/A,FALSE,"집계표"}</definedName>
    <definedName name="ㅊㅌㅎㄹ쇼" localSheetId="1" hidden="1">{#N/A,#N/A,FALSE,"집계표"}</definedName>
    <definedName name="ㅊㅌㅎㄹ쇼" localSheetId="2" hidden="1">{#N/A,#N/A,FALSE,"집계표"}</definedName>
    <definedName name="ㅊㅌㅎㄹ쇼" localSheetId="8" hidden="1">{#N/A,#N/A,FALSE,"집계표"}</definedName>
    <definedName name="ㅊㅌㅎㄹ쇼" hidden="1">{#N/A,#N/A,FALSE,"집계표"}</definedName>
    <definedName name="ㅊ튶" localSheetId="1" hidden="1">{#N/A,#N/A,FALSE,"집계표"}</definedName>
    <definedName name="ㅊ튶" localSheetId="2" hidden="1">{#N/A,#N/A,FALSE,"집계표"}</definedName>
    <definedName name="ㅊ튶" localSheetId="8" hidden="1">{#N/A,#N/A,FALSE,"집계표"}</definedName>
    <definedName name="ㅊ튶" hidden="1">{#N/A,#N/A,FALSE,"집계표"}</definedName>
    <definedName name="ㅊㅍ허ㅓㅗ효" localSheetId="1" hidden="1">{#N/A,#N/A,FALSE,"집계표"}</definedName>
    <definedName name="ㅊㅍ허ㅓㅗ효" localSheetId="2" hidden="1">{#N/A,#N/A,FALSE,"집계표"}</definedName>
    <definedName name="ㅊㅍ허ㅓㅗ효" localSheetId="8" hidden="1">{#N/A,#N/A,FALSE,"집계표"}</definedName>
    <definedName name="ㅊㅍ허ㅓㅗ효" hidden="1">{#N/A,#N/A,FALSE,"집계표"}</definedName>
    <definedName name="ㅊ퍼ㅗㅗㅗㅗㅗ" localSheetId="1" hidden="1">{#N/A,#N/A,FALSE,"집계표"}</definedName>
    <definedName name="ㅊ퍼ㅗㅗㅗㅗㅗ" localSheetId="2" hidden="1">{#N/A,#N/A,FALSE,"집계표"}</definedName>
    <definedName name="ㅊ퍼ㅗㅗㅗㅗㅗ" localSheetId="8" hidden="1">{#N/A,#N/A,FALSE,"집계표"}</definedName>
    <definedName name="ㅊ퍼ㅗㅗㅗㅗㅗ" hidden="1">{#N/A,#N/A,FALSE,"집계표"}</definedName>
    <definedName name="ㅊ포ㅓㅊㅊㅊㅊㅊㅊㅊㅊㅊㅊ" localSheetId="1" hidden="1">{#N/A,#N/A,FALSE,"집계표"}</definedName>
    <definedName name="ㅊ포ㅓㅊㅊㅊㅊㅊㅊㅊㅊㅊㅊ" localSheetId="2" hidden="1">{#N/A,#N/A,FALSE,"집계표"}</definedName>
    <definedName name="ㅊ포ㅓㅊㅊㅊㅊㅊㅊㅊㅊㅊㅊ" localSheetId="8" hidden="1">{#N/A,#N/A,FALSE,"집계표"}</definedName>
    <definedName name="ㅊ포ㅓㅊㅊㅊㅊㅊㅊㅊㅊㅊㅊ" hidden="1">{#N/A,#N/A,FALSE,"집계표"}</definedName>
    <definedName name="ㅊ포ㅓㅓㅓㅓㅓㅓㅓㅓㅓㅓ" localSheetId="1" hidden="1">{#N/A,#N/A,FALSE,"집계표"}</definedName>
    <definedName name="ㅊ포ㅓㅓㅓㅓㅓㅓㅓㅓㅓㅓ" localSheetId="2" hidden="1">{#N/A,#N/A,FALSE,"집계표"}</definedName>
    <definedName name="ㅊ포ㅓㅓㅓㅓㅓㅓㅓㅓㅓㅓ" localSheetId="8" hidden="1">{#N/A,#N/A,FALSE,"집계표"}</definedName>
    <definedName name="ㅊ포ㅓㅓㅓㅓㅓㅓㅓㅓㅓㅓ" hidden="1">{#N/A,#N/A,FALSE,"집계표"}</definedName>
    <definedName name="ㅊ폴" localSheetId="1" hidden="1">{#N/A,#N/A,FALSE,"Sheet6"}</definedName>
    <definedName name="ㅊ폴" localSheetId="2" hidden="1">{#N/A,#N/A,FALSE,"Sheet6"}</definedName>
    <definedName name="ㅊ폴" localSheetId="8" hidden="1">{#N/A,#N/A,FALSE,"Sheet6"}</definedName>
    <definedName name="ㅊ폴" hidden="1">{#N/A,#N/A,FALSE,"Sheet6"}</definedName>
    <definedName name="ㅊ푸ㅡ" localSheetId="1" hidden="1">{#N/A,#N/A,FALSE,"집계표"}</definedName>
    <definedName name="ㅊ푸ㅡ" localSheetId="2" hidden="1">{#N/A,#N/A,FALSE,"집계표"}</definedName>
    <definedName name="ㅊ푸ㅡ" localSheetId="8" hidden="1">{#N/A,#N/A,FALSE,"집계표"}</definedName>
    <definedName name="ㅊ푸ㅡ" hidden="1">{#N/A,#N/A,FALSE,"집계표"}</definedName>
    <definedName name="ㅊ퓨ㅗ" localSheetId="1" hidden="1">{#N/A,#N/A,FALSE,"집계표"}</definedName>
    <definedName name="ㅊ퓨ㅗ" localSheetId="2" hidden="1">{#N/A,#N/A,FALSE,"집계표"}</definedName>
    <definedName name="ㅊ퓨ㅗ" localSheetId="8" hidden="1">{#N/A,#N/A,FALSE,"집계표"}</definedName>
    <definedName name="ㅊ퓨ㅗ" hidden="1">{#N/A,#N/A,FALSE,"집계표"}</definedName>
    <definedName name="ㅊㅎㄹㄹ" localSheetId="1" hidden="1">{#N/A,#N/A,FALSE,"집계표"}</definedName>
    <definedName name="ㅊㅎㄹㄹ" localSheetId="2" hidden="1">{#N/A,#N/A,FALSE,"집계표"}</definedName>
    <definedName name="ㅊㅎㄹㄹ" localSheetId="8" hidden="1">{#N/A,#N/A,FALSE,"집계표"}</definedName>
    <definedName name="ㅊㅎㄹㄹ" hidden="1">{#N/A,#N/A,FALSE,"집계표"}</definedName>
    <definedName name="ㅊ허ㅗㅗㅗㅗㅗ" localSheetId="1" hidden="1">{#N/A,#N/A,FALSE,"집계표"}</definedName>
    <definedName name="ㅊ허ㅗㅗㅗㅗㅗ" localSheetId="2" hidden="1">{#N/A,#N/A,FALSE,"집계표"}</definedName>
    <definedName name="ㅊ허ㅗㅗㅗㅗㅗ" localSheetId="8" hidden="1">{#N/A,#N/A,FALSE,"집계표"}</definedName>
    <definedName name="ㅊ허ㅗㅗㅗㅗㅗ" hidden="1">{#N/A,#N/A,FALSE,"집계표"}</definedName>
    <definedName name="ㅊ호ㅓㅗ" localSheetId="1" hidden="1">{#N/A,#N/A,FALSE,"집계표"}</definedName>
    <definedName name="ㅊ호ㅓㅗ" localSheetId="2" hidden="1">{#N/A,#N/A,FALSE,"집계표"}</definedName>
    <definedName name="ㅊ호ㅓㅗ" localSheetId="8" hidden="1">{#N/A,#N/A,FALSE,"집계표"}</definedName>
    <definedName name="ㅊ호ㅓㅗ" hidden="1">{#N/A,#N/A,FALSE,"집계표"}</definedName>
    <definedName name="차" localSheetId="1" hidden="1">{#N/A,#N/A,FALSE,"견적갑지";#N/A,#N/A,FALSE,"총괄표";#N/A,#N/A,FALSE,"철골공사";#N/A,#N/A,FALSE,"토목공사";#N/A,#N/A,FALSE,"판넬전기공사"}</definedName>
    <definedName name="차" localSheetId="2" hidden="1">{#N/A,#N/A,FALSE,"견적갑지";#N/A,#N/A,FALSE,"총괄표";#N/A,#N/A,FALSE,"철골공사";#N/A,#N/A,FALSE,"토목공사";#N/A,#N/A,FALSE,"판넬전기공사"}</definedName>
    <definedName name="차" localSheetId="8" hidden="1">{#N/A,#N/A,FALSE,"견적갑지";#N/A,#N/A,FALSE,"총괄표";#N/A,#N/A,FALSE,"철골공사";#N/A,#N/A,FALSE,"토목공사";#N/A,#N/A,FALSE,"판넬전기공사"}</definedName>
    <definedName name="차" hidden="1">{#N/A,#N/A,FALSE,"견적갑지";#N/A,#N/A,FALSE,"총괄표";#N/A,#N/A,FALSE,"철골공사";#N/A,#N/A,FALSE,"토목공사";#N/A,#N/A,FALSE,"판넬전기공사"}</definedName>
    <definedName name="참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1" hidden="1">{#N/A,#N/A,FALSE,"집계표"}</definedName>
    <definedName name="처ㅗㅗㅗㅗㅗㅗㅗㅗㅗ" localSheetId="2" hidden="1">{#N/A,#N/A,FALSE,"집계표"}</definedName>
    <definedName name="처ㅗㅗㅗㅗㅗㅗㅗㅗㅗ" localSheetId="8" hidden="1">{#N/A,#N/A,FALSE,"집계표"}</definedName>
    <definedName name="처ㅗㅗㅗㅗㅗㅗㅗㅗㅗ" hidden="1">{#N/A,#N/A,FALSE,"집계표"}</definedName>
    <definedName name="철2" localSheetId="1" hidden="1">{#N/A,#N/A,FALSE,"혼합골재"}</definedName>
    <definedName name="철2" localSheetId="2" hidden="1">{#N/A,#N/A,FALSE,"혼합골재"}</definedName>
    <definedName name="철2" localSheetId="8" hidden="1">{#N/A,#N/A,FALSE,"혼합골재"}</definedName>
    <definedName name="철2" hidden="1">{#N/A,#N/A,FALSE,"혼합골재"}</definedName>
    <definedName name="철거단가" localSheetId="1" hidden="1">{#N/A,#N/A,FALSE,"조골재"}</definedName>
    <definedName name="철거단가" localSheetId="2" hidden="1">{#N/A,#N/A,FALSE,"조골재"}</definedName>
    <definedName name="철거단가" localSheetId="8" hidden="1">{#N/A,#N/A,FALSE,"조골재"}</definedName>
    <definedName name="철거단가" hidden="1">{#N/A,#N/A,FALSE,"조골재"}</definedName>
    <definedName name="철골협의" localSheetId="1" hidden="1">{#N/A,#N/A,FALSE,"현장 NCR 분석";#N/A,#N/A,FALSE,"현장품질감사";#N/A,#N/A,FALSE,"현장품질감사"}</definedName>
    <definedName name="철골협의" localSheetId="2" hidden="1">{#N/A,#N/A,FALSE,"현장 NCR 분석";#N/A,#N/A,FALSE,"현장품질감사";#N/A,#N/A,FALSE,"현장품질감사"}</definedName>
    <definedName name="철골협의" localSheetId="8" hidden="1">{#N/A,#N/A,FALSE,"현장 NCR 분석";#N/A,#N/A,FALSE,"현장품질감사";#N/A,#N/A,FALSE,"현장품질감사"}</definedName>
    <definedName name="철골협의" hidden="1">{#N/A,#N/A,FALSE,"현장 NCR 분석";#N/A,#N/A,FALSE,"현장품질감사";#N/A,#N/A,FALSE,"현장품질감사"}</definedName>
    <definedName name="철근량" localSheetId="1" hidden="1">{#N/A,#N/A,FALSE,"전력간선"}</definedName>
    <definedName name="철근량" localSheetId="2" hidden="1">{#N/A,#N/A,FALSE,"전력간선"}</definedName>
    <definedName name="철근량" localSheetId="8" hidden="1">{#N/A,#N/A,FALSE,"전력간선"}</definedName>
    <definedName name="철근량" hidden="1">{#N/A,#N/A,FALSE,"전력간선"}</definedName>
    <definedName name="철근수정본" localSheetId="1" hidden="1">{"'Sheet1'!$A$4:$M$21","'Sheet1'!$J$17:$K$19"}</definedName>
    <definedName name="철근수정본" localSheetId="2" hidden="1">{"'Sheet1'!$A$4:$M$21","'Sheet1'!$J$17:$K$19"}</definedName>
    <definedName name="철근수정본" localSheetId="8" hidden="1">{"'Sheet1'!$A$4:$M$21","'Sheet1'!$J$17:$K$19"}</definedName>
    <definedName name="철근수정본" hidden="1">{"'Sheet1'!$A$4:$M$21","'Sheet1'!$J$17:$K$19"}</definedName>
    <definedName name="철콘부대외" localSheetId="1" hidden="1">{#N/A,#N/A,FALSE,"Sheet1"}</definedName>
    <definedName name="철콘부대외" localSheetId="2" hidden="1">{#N/A,#N/A,FALSE,"Sheet1"}</definedName>
    <definedName name="철콘부대외" localSheetId="8" hidden="1">{#N/A,#N/A,FALSE,"Sheet1"}</definedName>
    <definedName name="철콘부대외" hidden="1">{#N/A,#N/A,FALSE,"Sheet1"}</definedName>
    <definedName name="첨부" hidden="1">0</definedName>
    <definedName name="체크아웃시스템" localSheetId="1" hidden="1">{#N/A,#N/A,FALSE,"견적갑지";#N/A,#N/A,FALSE,"총괄표";#N/A,#N/A,FALSE,"철골공사";#N/A,#N/A,FALSE,"토목공사";#N/A,#N/A,FALSE,"판넬전기공사"}</definedName>
    <definedName name="체크아웃시스템" localSheetId="2" hidden="1">{#N/A,#N/A,FALSE,"견적갑지";#N/A,#N/A,FALSE,"총괄표";#N/A,#N/A,FALSE,"철골공사";#N/A,#N/A,FALSE,"토목공사";#N/A,#N/A,FALSE,"판넬전기공사"}</definedName>
    <definedName name="체크아웃시스템" localSheetId="8" hidden="1">{#N/A,#N/A,FALSE,"견적갑지";#N/A,#N/A,FALSE,"총괄표";#N/A,#N/A,FALSE,"철골공사";#N/A,#N/A,FALSE,"토목공사";#N/A,#N/A,FALSE,"판넬전기공사"}</definedName>
    <definedName name="체크아웃시스템" hidden="1">{#N/A,#N/A,FALSE,"견적갑지";#N/A,#N/A,FALSE,"총괄표";#N/A,#N/A,FALSE,"철골공사";#N/A,#N/A,FALSE,"토목공사";#N/A,#N/A,FALSE,"판넬전기공사"}</definedName>
    <definedName name="총" localSheetId="1" hidden="1">{#N/A,#N/A,FALSE,"부대1"}</definedName>
    <definedName name="총" localSheetId="2" hidden="1">{#N/A,#N/A,FALSE,"부대1"}</definedName>
    <definedName name="총" localSheetId="8" hidden="1">{#N/A,#N/A,FALSE,"부대1"}</definedName>
    <definedName name="총" hidden="1">{#N/A,#N/A,FALSE,"부대1"}</definedName>
    <definedName name="총갑지" hidden="1">#REF!</definedName>
    <definedName name="총공" localSheetId="1" hidden="1">{#N/A,#N/A,FALSE,"운반시간"}</definedName>
    <definedName name="총공" localSheetId="2" hidden="1">{#N/A,#N/A,FALSE,"운반시간"}</definedName>
    <definedName name="총공" localSheetId="8" hidden="1">{#N/A,#N/A,FALSE,"운반시간"}</definedName>
    <definedName name="총공" hidden="1">{#N/A,#N/A,FALSE,"운반시간"}</definedName>
    <definedName name="총공사비2" localSheetId="1" hidden="1">{#N/A,#N/A,FALSE,"전력간선"}</definedName>
    <definedName name="총공사비2" localSheetId="2" hidden="1">{#N/A,#N/A,FALSE,"전력간선"}</definedName>
    <definedName name="총공사비2" localSheetId="8" hidden="1">{#N/A,#N/A,FALSE,"전력간선"}</definedName>
    <definedName name="총공사비2" hidden="1">{#N/A,#N/A,FALSE,"전력간선"}</definedName>
    <definedName name="총괄7"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localSheetId="1" hidden="1">#REF!</definedName>
    <definedName name="총괄제출2차" hidden="1">#REF!</definedName>
    <definedName name="총괄표" localSheetId="1" hidden="1">#REF!</definedName>
    <definedName name="총괄표" hidden="1">#REF!</definedName>
    <definedName name="총괄표0" hidden="1">#REF!</definedName>
    <definedName name="총집계"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1" hidden="1">{#N/A,#N/A,FALSE,"집계표"}</definedName>
    <definedName name="추가기성" localSheetId="2" hidden="1">{#N/A,#N/A,FALSE,"집계표"}</definedName>
    <definedName name="추가기성" localSheetId="8" hidden="1">{#N/A,#N/A,FALSE,"집계표"}</definedName>
    <definedName name="추가기성" hidden="1">{#N/A,#N/A,FALSE,"집계표"}</definedName>
    <definedName name="추가내역" hidden="1">#REF!</definedName>
    <definedName name="추가내역2" hidden="1">#REF!</definedName>
    <definedName name="추가옵션01" localSheetId="1" hidden="1">#REF!</definedName>
    <definedName name="추가옵션01" hidden="1">#REF!</definedName>
    <definedName name="추산산서2" localSheetId="1" hidden="1">{#N/A,#N/A,FALSE,"견적갑지";#N/A,#N/A,FALSE,"총괄표";#N/A,#N/A,FALSE,"철골공사";#N/A,#N/A,FALSE,"토목공사";#N/A,#N/A,FALSE,"판넬전기공사"}</definedName>
    <definedName name="추산산서2" localSheetId="2" hidden="1">{#N/A,#N/A,FALSE,"견적갑지";#N/A,#N/A,FALSE,"총괄표";#N/A,#N/A,FALSE,"철골공사";#N/A,#N/A,FALSE,"토목공사";#N/A,#N/A,FALSE,"판넬전기공사"}</definedName>
    <definedName name="추산산서2" localSheetId="8" hidden="1">{#N/A,#N/A,FALSE,"견적갑지";#N/A,#N/A,FALSE,"총괄표";#N/A,#N/A,FALSE,"철골공사";#N/A,#N/A,FALSE,"토목공사";#N/A,#N/A,FALSE,"판넬전기공사"}</definedName>
    <definedName name="추산산서2" hidden="1">{#N/A,#N/A,FALSE,"견적갑지";#N/A,#N/A,FALSE,"총괄표";#N/A,#N/A,FALSE,"철골공사";#N/A,#N/A,FALSE,"토목공사";#N/A,#N/A,FALSE,"판넬전기공사"}</definedName>
    <definedName name="추정" localSheetId="1" hidden="1">{#N/A,#N/A,FALSE,"포장2"}</definedName>
    <definedName name="추정" localSheetId="2" hidden="1">{#N/A,#N/A,FALSE,"포장2"}</definedName>
    <definedName name="추정" localSheetId="8" hidden="1">{#N/A,#N/A,FALSE,"포장2"}</definedName>
    <definedName name="추정" hidden="1">{#N/A,#N/A,FALSE,"포장2"}</definedName>
    <definedName name="축수산장설비" localSheetId="1" hidden="1">{#N/A,#N/A,FALSE,"견적갑지";#N/A,#N/A,FALSE,"총괄표";#N/A,#N/A,FALSE,"철골공사";#N/A,#N/A,FALSE,"토목공사";#N/A,#N/A,FALSE,"판넬전기공사"}</definedName>
    <definedName name="축수산장설비" localSheetId="2" hidden="1">{#N/A,#N/A,FALSE,"견적갑지";#N/A,#N/A,FALSE,"총괄표";#N/A,#N/A,FALSE,"철골공사";#N/A,#N/A,FALSE,"토목공사";#N/A,#N/A,FALSE,"판넬전기공사"}</definedName>
    <definedName name="축수산장설비" localSheetId="8" hidden="1">{#N/A,#N/A,FALSE,"견적갑지";#N/A,#N/A,FALSE,"총괄표";#N/A,#N/A,FALSE,"철골공사";#N/A,#N/A,FALSE,"토목공사";#N/A,#N/A,FALSE,"판넬전기공사"}</definedName>
    <definedName name="축수산장설비" hidden="1">{#N/A,#N/A,FALSE,"견적갑지";#N/A,#N/A,FALSE,"총괄표";#N/A,#N/A,FALSE,"철골공사";#N/A,#N/A,FALSE,"토목공사";#N/A,#N/A,FALSE,"판넬전기공사"}</definedName>
    <definedName name="출판" localSheetId="1" hidden="1">{#N/A,#N/A,FALSE,"지침";#N/A,#N/A,FALSE,"환경분석";#N/A,#N/A,FALSE,"Sheet16"}</definedName>
    <definedName name="출판" localSheetId="2" hidden="1">{#N/A,#N/A,FALSE,"지침";#N/A,#N/A,FALSE,"환경분석";#N/A,#N/A,FALSE,"Sheet16"}</definedName>
    <definedName name="출판" localSheetId="8" hidden="1">{#N/A,#N/A,FALSE,"지침";#N/A,#N/A,FALSE,"환경분석";#N/A,#N/A,FALSE,"Sheet16"}</definedName>
    <definedName name="출판" hidden="1">{#N/A,#N/A,FALSE,"지침";#N/A,#N/A,FALSE,"환경분석";#N/A,#N/A,FALSE,"Sheet16"}</definedName>
    <definedName name="충무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localSheetId="1" hidden="1">{#N/A,#N/A,FALSE,"이태원철근"}</definedName>
    <definedName name="취하" localSheetId="2" hidden="1">{#N/A,#N/A,FALSE,"이태원철근"}</definedName>
    <definedName name="취하" localSheetId="8" hidden="1">{#N/A,#N/A,FALSE,"이태원철근"}</definedName>
    <definedName name="취하" hidden="1">{#N/A,#N/A,FALSE,"이태원철근"}</definedName>
    <definedName name="취하실적1." localSheetId="1" hidden="1">{#N/A,#N/A,FALSE,"이태원철근"}</definedName>
    <definedName name="취하실적1." localSheetId="2" hidden="1">{#N/A,#N/A,FALSE,"이태원철근"}</definedName>
    <definedName name="취하실적1." localSheetId="8" hidden="1">{#N/A,#N/A,FALSE,"이태원철근"}</definedName>
    <definedName name="취하실적1." hidden="1">{#N/A,#N/A,FALSE,"이태원철근"}</definedName>
    <definedName name="츄" localSheetId="1" hidden="1">{#N/A,#N/A,FALSE,"집계표"}</definedName>
    <definedName name="츄" localSheetId="2" hidden="1">{#N/A,#N/A,FALSE,"집계표"}</definedName>
    <definedName name="츄" localSheetId="8" hidden="1">{#N/A,#N/A,FALSE,"집계표"}</definedName>
    <definedName name="츄" hidden="1">{#N/A,#N/A,FALSE,"집계표"}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1" hidden="1">{#N/A,#N/A,FALSE,"명세표"}</definedName>
    <definedName name="ㅋㅁ" localSheetId="2" hidden="1">{#N/A,#N/A,FALSE,"명세표"}</definedName>
    <definedName name="ㅋㅁ" localSheetId="8" hidden="1">{#N/A,#N/A,FALSE,"명세표"}</definedName>
    <definedName name="ㅋㅁ" hidden="1">{#N/A,#N/A,FALSE,"명세표"}</definedName>
    <definedName name="ㅋㅋ" localSheetId="1" hidden="1">{#N/A,#N/A,FALSE,"명세표"}</definedName>
    <definedName name="ㅋㅋ" localSheetId="2" hidden="1">{#N/A,#N/A,FALSE,"명세표"}</definedName>
    <definedName name="ㅋㅋ" localSheetId="8" hidden="1">{#N/A,#N/A,FALSE,"명세표"}</definedName>
    <definedName name="ㅋㅋ" hidden="1">{#N/A,#N/A,FALSE,"명세표"}</definedName>
    <definedName name="ㅋㅋㅋ" localSheetId="1" hidden="1">{#N/A,#N/A,FALSE,"전력간선"}</definedName>
    <definedName name="ㅋㅋㅋ" localSheetId="2" hidden="1">{#N/A,#N/A,FALSE,"전력간선"}</definedName>
    <definedName name="ㅋㅋㅋ" localSheetId="8" hidden="1">{#N/A,#N/A,FALSE,"전력간선"}</definedName>
    <definedName name="ㅋㅋㅋ" hidden="1">{#N/A,#N/A,FALSE,"전력간선"}</definedName>
    <definedName name="ㅋㅋㅋㅋ" localSheetId="1" hidden="1">{#N/A,#N/A,FALSE,"Aging Summary";#N/A,#N/A,FALSE,"Ratio Analysis";#N/A,#N/A,FALSE,"Test 120 Day Accts";#N/A,#N/A,FALSE,"Tickmarks"}</definedName>
    <definedName name="ㅋㅋㅋㅋ" localSheetId="2" hidden="1">{#N/A,#N/A,FALSE,"Aging Summary";#N/A,#N/A,FALSE,"Ratio Analysis";#N/A,#N/A,FALSE,"Test 120 Day Accts";#N/A,#N/A,FALSE,"Tickmarks"}</definedName>
    <definedName name="ㅋㅋㅋㅋ" localSheetId="8" hidden="1">{#N/A,#N/A,FALSE,"Aging Summary";#N/A,#N/A,FALSE,"Ratio Analysis";#N/A,#N/A,FALSE,"Test 120 Day Accts";#N/A,#N/A,FALSE,"Tickmarks"}</definedName>
    <definedName name="ㅋㅋㅋㅋ" hidden="1">{#N/A,#N/A,FALSE,"Aging Summary";#N/A,#N/A,FALSE,"Ratio Analysis";#N/A,#N/A,FALSE,"Test 120 Day Accts";#N/A,#N/A,FALSE,"Tickmarks"}</definedName>
    <definedName name="ㅋㅌ애ㅑㅓㅎㄹ" localSheetId="1" hidden="1">{#N/A,#N/A,FALSE,"집계표"}</definedName>
    <definedName name="ㅋㅌ애ㅑㅓㅎㄹ" localSheetId="2" hidden="1">{#N/A,#N/A,FALSE,"집계표"}</definedName>
    <definedName name="ㅋㅌ애ㅑㅓㅎㄹ" localSheetId="8" hidden="1">{#N/A,#N/A,FALSE,"집계표"}</definedName>
    <definedName name="ㅋㅌ애ㅑㅓㅎㄹ" hidden="1">{#N/A,#N/A,FALSE,"집계표"}</definedName>
    <definedName name="ㅋ타ㅓㄹㅇ" localSheetId="1" hidden="1">{#N/A,#N/A,FALSE,"집계표"}</definedName>
    <definedName name="ㅋ타ㅓㄹㅇ" localSheetId="2" hidden="1">{#N/A,#N/A,FALSE,"집계표"}</definedName>
    <definedName name="ㅋ타ㅓㄹㅇ" localSheetId="8" hidden="1">{#N/A,#N/A,FALSE,"집계표"}</definedName>
    <definedName name="ㅋ타ㅓㄹㅇ" hidden="1">{#N/A,#N/A,FALSE,"집계표"}</definedName>
    <definedName name="ㅋ텋리ㅏㄴㅁㄱ" localSheetId="1" hidden="1">{#N/A,#N/A,FALSE,"집계표"}</definedName>
    <definedName name="ㅋ텋리ㅏㄴㅁㄱ" localSheetId="2" hidden="1">{#N/A,#N/A,FALSE,"집계표"}</definedName>
    <definedName name="ㅋ텋리ㅏㄴㅁㄱ" localSheetId="8" hidden="1">{#N/A,#N/A,FALSE,"집계표"}</definedName>
    <definedName name="ㅋ텋리ㅏㄴㅁㄱ" hidden="1">{#N/A,#N/A,FALSE,"집계표"}</definedName>
    <definedName name="ㅋ하ㅓㅈㄴㄷㄱㅎ" localSheetId="1" hidden="1">{#N/A,#N/A,FALSE,"집계표"}</definedName>
    <definedName name="ㅋ하ㅓㅈㄴㄷㄱㅎ" localSheetId="2" hidden="1">{#N/A,#N/A,FALSE,"집계표"}</definedName>
    <definedName name="ㅋ하ㅓㅈㄴㄷㄱㅎ" localSheetId="8" hidden="1">{#N/A,#N/A,FALSE,"집계표"}</definedName>
    <definedName name="ㅋ하ㅓㅈㄴㄷㄱㅎ" hidden="1">{#N/A,#N/A,FALSE,"집계표"}</definedName>
    <definedName name="캐쉬" localSheetId="1" hidden="1">{#N/A,#N/A,FALSE,"지침";#N/A,#N/A,FALSE,"환경분석";#N/A,#N/A,FALSE,"Sheet16"}</definedName>
    <definedName name="캐쉬" localSheetId="2" hidden="1">{#N/A,#N/A,FALSE,"지침";#N/A,#N/A,FALSE,"환경분석";#N/A,#N/A,FALSE,"Sheet16"}</definedName>
    <definedName name="캐쉬" localSheetId="8" hidden="1">{#N/A,#N/A,FALSE,"지침";#N/A,#N/A,FALSE,"환경분석";#N/A,#N/A,FALSE,"Sheet16"}</definedName>
    <definedName name="캐쉬" hidden="1">{#N/A,#N/A,FALSE,"지침";#N/A,#N/A,FALSE,"환경분석";#N/A,#N/A,FALSE,"Sheet16"}</definedName>
    <definedName name="캬ㅓ래ㅑㅣㅏ" localSheetId="1" hidden="1">{#N/A,#N/A,FALSE,"집계표"}</definedName>
    <definedName name="캬ㅓ래ㅑㅣㅏ" localSheetId="2" hidden="1">{#N/A,#N/A,FALSE,"집계표"}</definedName>
    <definedName name="캬ㅓ래ㅑㅣㅏ" localSheetId="8" hidden="1">{#N/A,#N/A,FALSE,"집계표"}</definedName>
    <definedName name="캬ㅓ래ㅑㅣㅏ" hidden="1">{#N/A,#N/A,FALSE,"집계표"}</definedName>
    <definedName name="케이블간지" localSheetId="1" hidden="1">{#N/A,#N/A,TRUE,"토적및재료집계";#N/A,#N/A,TRUE,"토적및재료집계";#N/A,#N/A,TRUE,"단위량"}</definedName>
    <definedName name="케이블간지" localSheetId="2" hidden="1">{#N/A,#N/A,TRUE,"토적및재료집계";#N/A,#N/A,TRUE,"토적및재료집계";#N/A,#N/A,TRUE,"단위량"}</definedName>
    <definedName name="케이블간지" localSheetId="8" hidden="1">{#N/A,#N/A,TRUE,"토적및재료집계";#N/A,#N/A,TRUE,"토적및재료집계";#N/A,#N/A,TRUE,"단위량"}</definedName>
    <definedName name="케이블간지" hidden="1">{#N/A,#N/A,TRUE,"토적및재료집계";#N/A,#N/A,TRUE,"토적및재료집계";#N/A,#N/A,TRUE,"단위량"}</definedName>
    <definedName name="켐온건축" localSheetId="1" hidden="1">{#N/A,#N/A,FALSE,"CCTV"}</definedName>
    <definedName name="켐온건축" localSheetId="2" hidden="1">{#N/A,#N/A,FALSE,"CCTV"}</definedName>
    <definedName name="켐온건축" localSheetId="8" hidden="1">{#N/A,#N/A,FALSE,"CCTV"}</definedName>
    <definedName name="켐온건축" hidden="1">{#N/A,#N/A,FALSE,"CCTV"}</definedName>
    <definedName name="키ㅏㄴ어리ㅑㅁㅈㄷ" localSheetId="1" hidden="1">{#N/A,#N/A,FALSE,"집계표"}</definedName>
    <definedName name="키ㅏㄴ어리ㅑㅁㅈㄷ" localSheetId="2" hidden="1">{#N/A,#N/A,FALSE,"집계표"}</definedName>
    <definedName name="키ㅏㄴ어리ㅑㅁㅈㄷ" localSheetId="8" hidden="1">{#N/A,#N/A,FALSE,"집계표"}</definedName>
    <definedName name="키ㅏㄴ어리ㅑㅁㅈㄷ" hidden="1">{#N/A,#N/A,FALSE,"집계표"}</definedName>
    <definedName name="ㅌㄹ요" localSheetId="1" hidden="1">{#N/A,#N/A,FALSE,"집계표"}</definedName>
    <definedName name="ㅌㄹ요" localSheetId="2" hidden="1">{#N/A,#N/A,FALSE,"집계표"}</definedName>
    <definedName name="ㅌㄹ요" localSheetId="8" hidden="1">{#N/A,#N/A,FALSE,"집계표"}</definedName>
    <definedName name="ㅌㄹ요" hidden="1">{#N/A,#N/A,FALSE,"집계표"}</definedName>
    <definedName name="ㅌㄹ호" localSheetId="1" hidden="1">{#N/A,#N/A,FALSE,"집계표"}</definedName>
    <definedName name="ㅌㄹ호" localSheetId="2" hidden="1">{#N/A,#N/A,FALSE,"집계표"}</definedName>
    <definedName name="ㅌㄹ호" localSheetId="8" hidden="1">{#N/A,#N/A,FALSE,"집계표"}</definedName>
    <definedName name="ㅌㄹ호" hidden="1">{#N/A,#N/A,FALSE,"집계표"}</definedName>
    <definedName name="ㅌ롷" localSheetId="1" hidden="1">{#N/A,#N/A,FALSE,"집계표"}</definedName>
    <definedName name="ㅌ롷" localSheetId="2" hidden="1">{#N/A,#N/A,FALSE,"집계표"}</definedName>
    <definedName name="ㅌ롷" localSheetId="8" hidden="1">{#N/A,#N/A,FALSE,"집계표"}</definedName>
    <definedName name="ㅌ롷" hidden="1">{#N/A,#N/A,FALSE,"집계표"}</definedName>
    <definedName name="ㅌㄾㅎ" localSheetId="1" hidden="1">{#N/A,#N/A,FALSE,"집계표"}</definedName>
    <definedName name="ㅌㄾㅎ" localSheetId="2" hidden="1">{#N/A,#N/A,FALSE,"집계표"}</definedName>
    <definedName name="ㅌㄾㅎ" localSheetId="8" hidden="1">{#N/A,#N/A,FALSE,"집계표"}</definedName>
    <definedName name="ㅌㄾㅎ" hidden="1">{#N/A,#N/A,FALSE,"집계표"}</definedName>
    <definedName name="ㅌㅅㅊㅌ" localSheetId="1" hidden="1">{#N/A,#N/A,FALSE,"집계표"}</definedName>
    <definedName name="ㅌㅅㅊㅌ" localSheetId="2" hidden="1">{#N/A,#N/A,FALSE,"집계표"}</definedName>
    <definedName name="ㅌㅅㅊㅌ" localSheetId="8" hidden="1">{#N/A,#N/A,FALSE,"집계표"}</definedName>
    <definedName name="ㅌㅅㅊㅌ" hidden="1">{#N/A,#N/A,FALSE,"집계표"}</definedName>
    <definedName name="ㅌ쇼ㅏ" localSheetId="1" hidden="1">{#N/A,#N/A,FALSE,"집계표"}</definedName>
    <definedName name="ㅌ쇼ㅏ" localSheetId="2" hidden="1">{#N/A,#N/A,FALSE,"집계표"}</definedName>
    <definedName name="ㅌ쇼ㅏ" localSheetId="8" hidden="1">{#N/A,#N/A,FALSE,"집계표"}</definedName>
    <definedName name="ㅌ쇼ㅏ" hidden="1">{#N/A,#N/A,FALSE,"집계표"}</definedName>
    <definedName name="ㅌㅇㄱㄱ" localSheetId="1" hidden="1">{#N/A,#N/A,FALSE,"집계표"}</definedName>
    <definedName name="ㅌㅇㄱㄱ" localSheetId="2" hidden="1">{#N/A,#N/A,FALSE,"집계표"}</definedName>
    <definedName name="ㅌㅇㄱㄱ" localSheetId="8" hidden="1">{#N/A,#N/A,FALSE,"집계표"}</definedName>
    <definedName name="ㅌㅇㄱㄱ" hidden="1">{#N/A,#N/A,FALSE,"집계표"}</definedName>
    <definedName name="ㅌㅇ려ㅛㄴㅇㅀ" localSheetId="1" hidden="1">{#N/A,#N/A,FALSE,"집계표"}</definedName>
    <definedName name="ㅌㅇ려ㅛㄴㅇㅀ" localSheetId="2" hidden="1">{#N/A,#N/A,FALSE,"집계표"}</definedName>
    <definedName name="ㅌㅇ려ㅛㄴㅇㅀ" localSheetId="8" hidden="1">{#N/A,#N/A,FALSE,"집계표"}</definedName>
    <definedName name="ㅌㅇ려ㅛㄴㅇㅀ" hidden="1">{#N/A,#N/A,FALSE,"집계표"}</definedName>
    <definedName name="ㅌㅇ롷ㄴㄱㄷ" localSheetId="1" hidden="1">{#N/A,#N/A,FALSE,"집계표"}</definedName>
    <definedName name="ㅌㅇ롷ㄴㄱㄷ" localSheetId="2" hidden="1">{#N/A,#N/A,FALSE,"집계표"}</definedName>
    <definedName name="ㅌㅇ롷ㄴㄱㄷ" localSheetId="8" hidden="1">{#N/A,#N/A,FALSE,"집계표"}</definedName>
    <definedName name="ㅌㅇ롷ㄴㄱㄷ" hidden="1">{#N/A,#N/A,FALSE,"집계표"}</definedName>
    <definedName name="ㅌㅇ료" localSheetId="1" hidden="1">{#N/A,#N/A,FALSE,"집계표"}</definedName>
    <definedName name="ㅌㅇ료" localSheetId="2" hidden="1">{#N/A,#N/A,FALSE,"집계표"}</definedName>
    <definedName name="ㅌㅇ료" localSheetId="8" hidden="1">{#N/A,#N/A,FALSE,"집계표"}</definedName>
    <definedName name="ㅌㅇ료" hidden="1">{#N/A,#N/A,FALSE,"집계표"}</definedName>
    <definedName name="ㅌㅊㄹ오" localSheetId="1" hidden="1">{#N/A,#N/A,FALSE,"집계표"}</definedName>
    <definedName name="ㅌㅊㄹ오" localSheetId="2" hidden="1">{#N/A,#N/A,FALSE,"집계표"}</definedName>
    <definedName name="ㅌㅊㄹ오" localSheetId="8" hidden="1">{#N/A,#N/A,FALSE,"집계표"}</definedName>
    <definedName name="ㅌㅊㄹ오" hidden="1">{#N/A,#N/A,FALSE,"집계표"}</definedName>
    <definedName name="ㅌㅊㄹ호" localSheetId="1" hidden="1">{#N/A,#N/A,FALSE,"집계표"}</definedName>
    <definedName name="ㅌㅊㄹ호" localSheetId="2" hidden="1">{#N/A,#N/A,FALSE,"집계표"}</definedName>
    <definedName name="ㅌㅊㄹ호" localSheetId="8" hidden="1">{#N/A,#N/A,FALSE,"집계표"}</definedName>
    <definedName name="ㅌㅊㄹ호" hidden="1">{#N/A,#N/A,FALSE,"집계표"}</definedName>
    <definedName name="ㅌㅊ룟" localSheetId="1" hidden="1">{#N/A,#N/A,FALSE,"집계표"}</definedName>
    <definedName name="ㅌㅊ룟" localSheetId="2" hidden="1">{#N/A,#N/A,FALSE,"집계표"}</definedName>
    <definedName name="ㅌㅊ룟" localSheetId="8" hidden="1">{#N/A,#N/A,FALSE,"집계표"}</definedName>
    <definedName name="ㅌㅊ룟" hidden="1">{#N/A,#N/A,FALSE,"집계표"}</definedName>
    <definedName name="ㅌ처히ㅏㅓㄹㅇ하" localSheetId="1" hidden="1">{#N/A,#N/A,FALSE,"집계표"}</definedName>
    <definedName name="ㅌ처히ㅏㅓㄹㅇ하" localSheetId="2" hidden="1">{#N/A,#N/A,FALSE,"집계표"}</definedName>
    <definedName name="ㅌ처히ㅏㅓㄹㅇ하" localSheetId="8" hidden="1">{#N/A,#N/A,FALSE,"집계표"}</definedName>
    <definedName name="ㅌ처히ㅏㅓㄹㅇ하" hidden="1">{#N/A,#N/A,FALSE,"집계표"}</definedName>
    <definedName name="ㅌㅋㅀ" localSheetId="1" hidden="1">{#N/A,#N/A,FALSE,"집계표"}</definedName>
    <definedName name="ㅌㅋㅀ" localSheetId="2" hidden="1">{#N/A,#N/A,FALSE,"집계표"}</definedName>
    <definedName name="ㅌㅋㅀ" localSheetId="8" hidden="1">{#N/A,#N/A,FALSE,"집계표"}</definedName>
    <definedName name="ㅌㅋㅀ" hidden="1">{#N/A,#N/A,FALSE,"집계표"}</definedName>
    <definedName name="ㅌㅋ퍼ㅣㅏㄴㅇ" localSheetId="1" hidden="1">{#N/A,#N/A,FALSE,"집계표"}</definedName>
    <definedName name="ㅌㅋ퍼ㅣㅏㄴㅇ" localSheetId="2" hidden="1">{#N/A,#N/A,FALSE,"집계표"}</definedName>
    <definedName name="ㅌㅋ퍼ㅣㅏㄴㅇ" localSheetId="8" hidden="1">{#N/A,#N/A,FALSE,"집계표"}</definedName>
    <definedName name="ㅌㅋ퍼ㅣㅏㄴㅇ" hidden="1">{#N/A,#N/A,FALSE,"집계표"}</definedName>
    <definedName name="ㅌ카ㅓ낭렇" localSheetId="1" hidden="1">{#N/A,#N/A,FALSE,"집계표"}</definedName>
    <definedName name="ㅌ카ㅓ낭렇" localSheetId="2" hidden="1">{#N/A,#N/A,FALSE,"집계표"}</definedName>
    <definedName name="ㅌ카ㅓ낭렇" localSheetId="8" hidden="1">{#N/A,#N/A,FALSE,"집계표"}</definedName>
    <definedName name="ㅌ카ㅓ낭렇" hidden="1">{#N/A,#N/A,FALSE,"집계표"}</definedName>
    <definedName name="ㅌㅌ" localSheetId="1" hidden="1">{#N/A,#N/A,FALSE,"표지"}</definedName>
    <definedName name="ㅌㅌ" localSheetId="2" hidden="1">{#N/A,#N/A,FALSE,"표지"}</definedName>
    <definedName name="ㅌㅌ" localSheetId="8" hidden="1">{#N/A,#N/A,FALSE,"표지"}</definedName>
    <definedName name="ㅌㅌ" hidden="1">{#N/A,#N/A,FALSE,"표지"}</definedName>
    <definedName name="ㅌㅍㅊㅇㅌㅎ" localSheetId="1"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8"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1" hidden="1">{#N/A,#N/A,FALSE,"견적갑지";#N/A,#N/A,FALSE,"총괄표";#N/A,#N/A,FALSE,"철골공사";#N/A,#N/A,FALSE,"토목공사";#N/A,#N/A,FALSE,"판넬전기공사"}</definedName>
    <definedName name="타" localSheetId="2" hidden="1">{#N/A,#N/A,FALSE,"견적갑지";#N/A,#N/A,FALSE,"총괄표";#N/A,#N/A,FALSE,"철골공사";#N/A,#N/A,FALSE,"토목공사";#N/A,#N/A,FALSE,"판넬전기공사"}</definedName>
    <definedName name="타" localSheetId="8" hidden="1">{#N/A,#N/A,FALSE,"견적갑지";#N/A,#N/A,FALSE,"총괄표";#N/A,#N/A,FALSE,"철골공사";#N/A,#N/A,FALSE,"토목공사";#N/A,#N/A,FALSE,"판넬전기공사"}</definedName>
    <definedName name="타" hidden="1">{#N/A,#N/A,FALSE,"견적갑지";#N/A,#N/A,FALSE,"총괄표";#N/A,#N/A,FALSE,"철골공사";#N/A,#N/A,FALSE,"토목공사";#N/A,#N/A,FALSE,"판넬전기공사"}</definedName>
    <definedName name="타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8" hidden="1">{#N/A,#N/A,FALSE,"손익표지";#N/A,#N/A,FALSE,"손익계산";#N/A,#N/A,FALSE,"일반관리비";#N/A,#N/A,FALSE,"영업외수익";#N/A,#N/A,FALSE,"영업외비용";#N/A,#N/A,FALSE,"매출액";#N/A,#N/A,FALSE,"요약손익";#N/A,#N/A,FALSE,"요약대차";#N/A,#N/A,FALSE,"매출채권현황";#N/A,#N/A,FALSE,"매출채권명세"}</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1" hidden="1">{#N/A,#N/A,FALSE,"집계표"}</definedName>
    <definedName name="타히ㅓㅇ" localSheetId="2" hidden="1">{#N/A,#N/A,FALSE,"집계표"}</definedName>
    <definedName name="타히ㅓㅇ" localSheetId="8" hidden="1">{#N/A,#N/A,FALSE,"집계표"}</definedName>
    <definedName name="타히ㅓㅇ" hidden="1">{#N/A,#N/A,FALSE,"집계표"}</definedName>
    <definedName name="탈" localSheetId="1" hidden="1">{#N/A,#N/A,FALSE,"CCTV"}</definedName>
    <definedName name="탈" localSheetId="2" hidden="1">{#N/A,#N/A,FALSE,"CCTV"}</definedName>
    <definedName name="탈" localSheetId="8" hidden="1">{#N/A,#N/A,FALSE,"CCTV"}</definedName>
    <definedName name="탈" hidden="1">{#N/A,#N/A,FALSE,"CCTV"}</definedName>
    <definedName name="태영지급" localSheetId="1" hidden="1">{#N/A,#N/A,FALSE,"부대1"}</definedName>
    <definedName name="태영지급" localSheetId="2" hidden="1">{#N/A,#N/A,FALSE,"부대1"}</definedName>
    <definedName name="태영지급" localSheetId="8" hidden="1">{#N/A,#N/A,FALSE,"부대1"}</definedName>
    <definedName name="태영지급" hidden="1">{#N/A,#N/A,FALSE,"부대1"}</definedName>
    <definedName name="텨러" localSheetId="1" hidden="1">{#N/A,#N/A,FALSE,"집계표"}</definedName>
    <definedName name="텨러" localSheetId="2" hidden="1">{#N/A,#N/A,FALSE,"집계표"}</definedName>
    <definedName name="텨러" localSheetId="8" hidden="1">{#N/A,#N/A,FALSE,"집계표"}</definedName>
    <definedName name="텨러" hidden="1">{#N/A,#N/A,FALSE,"집계표"}</definedName>
    <definedName name="토" localSheetId="1" hidden="1">#REF!</definedName>
    <definedName name="토" hidden="1">#REF!</definedName>
    <definedName name="토\40" localSheetId="1" hidden="1">{#N/A,#N/A,FALSE,"토공2"}</definedName>
    <definedName name="토\40" localSheetId="2" hidden="1">{#N/A,#N/A,FALSE,"토공2"}</definedName>
    <definedName name="토\40" localSheetId="8" hidden="1">{#N/A,#N/A,FALSE,"토공2"}</definedName>
    <definedName name="토\40" hidden="1">{#N/A,#N/A,FALSE,"토공2"}</definedName>
    <definedName name="토1" localSheetId="1" hidden="1">{#N/A,#N/A,FALSE,"이정표"}</definedName>
    <definedName name="토1" localSheetId="2" hidden="1">{#N/A,#N/A,FALSE,"이정표"}</definedName>
    <definedName name="토1" localSheetId="8" hidden="1">{#N/A,#N/A,FALSE,"이정표"}</definedName>
    <definedName name="토1" hidden="1">{#N/A,#N/A,FALSE,"이정표"}</definedName>
    <definedName name="토2" localSheetId="1" hidden="1">{#N/A,#N/A,FALSE,"조골재"}</definedName>
    <definedName name="토2" localSheetId="2" hidden="1">{#N/A,#N/A,FALSE,"조골재"}</definedName>
    <definedName name="토2" localSheetId="8" hidden="1">{#N/A,#N/A,FALSE,"조골재"}</definedName>
    <definedName name="토2" hidden="1">{#N/A,#N/A,FALSE,"조골재"}</definedName>
    <definedName name="토3" localSheetId="1" hidden="1">{#N/A,#N/A,FALSE,"구조1"}</definedName>
    <definedName name="토3" localSheetId="2" hidden="1">{#N/A,#N/A,FALSE,"구조1"}</definedName>
    <definedName name="토3" localSheetId="8" hidden="1">{#N/A,#N/A,FALSE,"구조1"}</definedName>
    <definedName name="토3" hidden="1">{#N/A,#N/A,FALSE,"구조1"}</definedName>
    <definedName name="토공"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1" hidden="1">{#N/A,#N/A,FALSE,"포장2"}</definedName>
    <definedName name="토공11" localSheetId="2" hidden="1">{#N/A,#N/A,FALSE,"포장2"}</definedName>
    <definedName name="토공11" localSheetId="8" hidden="1">{#N/A,#N/A,FALSE,"포장2"}</definedName>
    <definedName name="토공11" hidden="1">{#N/A,#N/A,FALSE,"포장2"}</definedName>
    <definedName name="토공2" localSheetId="1" hidden="1">{#N/A,#N/A,FALSE,"2~8번"}</definedName>
    <definedName name="토공2" localSheetId="2" hidden="1">{#N/A,#N/A,FALSE,"2~8번"}</definedName>
    <definedName name="토공2" localSheetId="8" hidden="1">{#N/A,#N/A,FALSE,"2~8번"}</definedName>
    <definedName name="토공2" hidden="1">{#N/A,#N/A,FALSE,"2~8번"}</definedName>
    <definedName name="토공사" localSheetId="1" hidden="1">#REF!</definedName>
    <definedName name="토공사" hidden="1">#REF!</definedName>
    <definedName name="토공사2" localSheetId="1" hidden="1">#REF!</definedName>
    <definedName name="토공사2" hidden="1">#REF!</definedName>
    <definedName name="토공전체" localSheetId="1" hidden="1">{#N/A,#N/A,FALSE,"운반시간"}</definedName>
    <definedName name="토공전체" localSheetId="2" hidden="1">{#N/A,#N/A,FALSE,"운반시간"}</definedName>
    <definedName name="토공전체" localSheetId="8" hidden="1">{#N/A,#N/A,FALSE,"운반시간"}</definedName>
    <definedName name="토공전체" hidden="1">{#N/A,#N/A,FALSE,"운반시간"}</definedName>
    <definedName name="토목" localSheetId="1" hidden="1">{#N/A,#N/A,FALSE,"CCTV"}</definedName>
    <definedName name="토목" localSheetId="2" hidden="1">{#N/A,#N/A,FALSE,"CCTV"}</definedName>
    <definedName name="토목" localSheetId="8" hidden="1">{#N/A,#N/A,FALSE,"CCTV"}</definedName>
    <definedName name="토목" hidden="1">{#N/A,#N/A,FALSE,"CCTV"}</definedName>
    <definedName name="토목공사" localSheetId="1" hidden="1">{#N/A,#N/A,FALSE,"이태원철근"}</definedName>
    <definedName name="토목공사" localSheetId="2" hidden="1">{#N/A,#N/A,FALSE,"이태원철근"}</definedName>
    <definedName name="토목공사" localSheetId="8" hidden="1">{#N/A,#N/A,FALSE,"이태원철근"}</definedName>
    <definedName name="토목공사" hidden="1">{#N/A,#N/A,FALSE,"이태원철근"}</definedName>
    <definedName name="토목공사강릉" hidden="1">#REF!</definedName>
    <definedName name="토목설계" localSheetId="1" hidden="1">{#N/A,#N/A,FALSE,"골재소요량";#N/A,#N/A,FALSE,"골재소요량"}</definedName>
    <definedName name="토목설계" localSheetId="2" hidden="1">{#N/A,#N/A,FALSE,"골재소요량";#N/A,#N/A,FALSE,"골재소요량"}</definedName>
    <definedName name="토목설계" localSheetId="8" hidden="1">{#N/A,#N/A,FALSE,"골재소요량";#N/A,#N/A,FALSE,"골재소요량"}</definedName>
    <definedName name="토목설계" hidden="1">{#N/A,#N/A,FALSE,"골재소요량";#N/A,#N/A,FALSE,"골재소요량"}</definedName>
    <definedName name="토목실견적" localSheetId="1" hidden="1">{#N/A,#N/A,FALSE,"이태원철근"}</definedName>
    <definedName name="토목실견적" localSheetId="2" hidden="1">{#N/A,#N/A,FALSE,"이태원철근"}</definedName>
    <definedName name="토목실견적" localSheetId="8" hidden="1">{#N/A,#N/A,FALSE,"이태원철근"}</definedName>
    <definedName name="토목실견적" hidden="1">{#N/A,#N/A,FALSE,"이태원철근"}</definedName>
    <definedName name="투3" localSheetId="1" hidden="1">{#N/A,#N/A,FALSE,"배수2"}</definedName>
    <definedName name="투3" localSheetId="2" hidden="1">{#N/A,#N/A,FALSE,"배수2"}</definedName>
    <definedName name="투3" localSheetId="8" hidden="1">{#N/A,#N/A,FALSE,"배수2"}</definedName>
    <definedName name="투3" hidden="1">{#N/A,#N/A,FALSE,"배수2"}</definedName>
    <definedName name="투입대비표갑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1" hidden="1">{#N/A,#N/A,FALSE,"단가표지"}</definedName>
    <definedName name="투찰" localSheetId="2" hidden="1">{#N/A,#N/A,FALSE,"단가표지"}</definedName>
    <definedName name="투찰" localSheetId="8" hidden="1">{#N/A,#N/A,FALSE,"단가표지"}</definedName>
    <definedName name="투찰" hidden="1">{#N/A,#N/A,FALSE,"단가표지"}</definedName>
    <definedName name="투찰표" localSheetId="1" hidden="1">{#N/A,#N/A,FALSE,"부대1"}</definedName>
    <definedName name="투찰표" localSheetId="2" hidden="1">{#N/A,#N/A,FALSE,"부대1"}</definedName>
    <definedName name="투찰표" localSheetId="8" hidden="1">{#N/A,#N/A,FALSE,"부대1"}</definedName>
    <definedName name="투찰표" hidden="1">{#N/A,#N/A,FALSE,"부대1"}</definedName>
    <definedName name="툿" localSheetId="1" hidden="1">{#N/A,#N/A,FALSE,"사업총괄";#N/A,#N/A,FALSE,"장비사업";#N/A,#N/A,FALSE,"철구사업";#N/A,#N/A,FALSE,"준설사업"}</definedName>
    <definedName name="툿" localSheetId="2" hidden="1">{#N/A,#N/A,FALSE,"사업총괄";#N/A,#N/A,FALSE,"장비사업";#N/A,#N/A,FALSE,"철구사업";#N/A,#N/A,FALSE,"준설사업"}</definedName>
    <definedName name="툿" localSheetId="8" hidden="1">{#N/A,#N/A,FALSE,"사업총괄";#N/A,#N/A,FALSE,"장비사업";#N/A,#N/A,FALSE,"철구사업";#N/A,#N/A,FALSE,"준설사업"}</definedName>
    <definedName name="툿" hidden="1">{#N/A,#N/A,FALSE,"사업총괄";#N/A,#N/A,FALSE,"장비사업";#N/A,#N/A,FALSE,"철구사업";#N/A,#N/A,FALSE,"준설사업"}</definedName>
    <definedName name="특수조건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1" hidden="1">{#N/A,#N/A,FALSE,"예상손익";#N/A,#N/A,FALSE,"관리분석";#N/A,#N/A,FALSE,"장비분석";#N/A,#N/A,FALSE,"준설분석";#N/A,#N/A,FALSE,"철구분석"}</definedName>
    <definedName name="티" localSheetId="2" hidden="1">{#N/A,#N/A,FALSE,"예상손익";#N/A,#N/A,FALSE,"관리분석";#N/A,#N/A,FALSE,"장비분석";#N/A,#N/A,FALSE,"준설분석";#N/A,#N/A,FALSE,"철구분석"}</definedName>
    <definedName name="티" localSheetId="8" hidden="1">{#N/A,#N/A,FALSE,"예상손익";#N/A,#N/A,FALSE,"관리분석";#N/A,#N/A,FALSE,"장비분석";#N/A,#N/A,FALSE,"준설분석";#N/A,#N/A,FALSE,"철구분석"}</definedName>
    <definedName name="티" hidden="1">{#N/A,#N/A,FALSE,"예상손익";#N/A,#N/A,FALSE,"관리분석";#N/A,#N/A,FALSE,"장비분석";#N/A,#N/A,FALSE,"준설분석";#N/A,#N/A,FALSE,"철구분석"}</definedName>
    <definedName name="ㅍ" localSheetId="1" hidden="1">{#N/A,#N/A,FALSE,"조골재"}</definedName>
    <definedName name="ㅍ" localSheetId="2" hidden="1">{#N/A,#N/A,FALSE,"조골재"}</definedName>
    <definedName name="ㅍ" localSheetId="8" hidden="1">{#N/A,#N/A,FALSE,"조골재"}</definedName>
    <definedName name="ㅍ" hidden="1">{#N/A,#N/A,FALSE,"조골재"}</definedName>
    <definedName name="ㅍㄴㅇㄷ" localSheetId="1" hidden="1">{#N/A,#N/A,FALSE,"집계표"}</definedName>
    <definedName name="ㅍㄴㅇㄷ" localSheetId="2" hidden="1">{#N/A,#N/A,FALSE,"집계표"}</definedName>
    <definedName name="ㅍㄴㅇㄷ" localSheetId="8" hidden="1">{#N/A,#N/A,FALSE,"집계표"}</definedName>
    <definedName name="ㅍㄴㅇㄷ" hidden="1">{#N/A,#N/A,FALSE,"집계표"}</definedName>
    <definedName name="ㅍㅊㅇㅍㅊ" localSheetId="1" hidden="1">{#N/A,#N/A,FALSE,"집계표"}</definedName>
    <definedName name="ㅍㅊㅇㅍㅊ" localSheetId="2" hidden="1">{#N/A,#N/A,FALSE,"집계표"}</definedName>
    <definedName name="ㅍㅊㅇㅍㅊ" localSheetId="8" hidden="1">{#N/A,#N/A,FALSE,"집계표"}</definedName>
    <definedName name="ㅍㅊㅇㅍㅊ" hidden="1">{#N/A,#N/A,FALSE,"집계표"}</definedName>
    <definedName name="ㅍ초ㅓㅓㅓㅓㅓㅓㅓ" localSheetId="1" hidden="1">{#N/A,#N/A,FALSE,"집계표"}</definedName>
    <definedName name="ㅍ초ㅓㅓㅓㅓㅓㅓㅓ" localSheetId="2" hidden="1">{#N/A,#N/A,FALSE,"집계표"}</definedName>
    <definedName name="ㅍ초ㅓㅓㅓㅓㅓㅓㅓ" localSheetId="8" hidden="1">{#N/A,#N/A,FALSE,"집계표"}</definedName>
    <definedName name="ㅍ초ㅓㅓㅓㅓㅓㅓㅓ" hidden="1">{#N/A,#N/A,FALSE,"집계표"}</definedName>
    <definedName name="ㅍ츄ㅗ" localSheetId="1" hidden="1">{#N/A,#N/A,FALSE,"집계표"}</definedName>
    <definedName name="ㅍ츄ㅗ" localSheetId="2" hidden="1">{#N/A,#N/A,FALSE,"집계표"}</definedName>
    <definedName name="ㅍ츄ㅗ" localSheetId="8" hidden="1">{#N/A,#N/A,FALSE,"집계표"}</definedName>
    <definedName name="ㅍ츄ㅗ" hidden="1">{#N/A,#N/A,FALSE,"집계표"}</definedName>
    <definedName name="ㅍㅌㅋ이ㅏ" localSheetId="1" hidden="1">{#N/A,#N/A,FALSE,"집계표"}</definedName>
    <definedName name="ㅍㅌㅋ이ㅏ" localSheetId="2" hidden="1">{#N/A,#N/A,FALSE,"집계표"}</definedName>
    <definedName name="ㅍㅌㅋ이ㅏ" localSheetId="8" hidden="1">{#N/A,#N/A,FALSE,"집계표"}</definedName>
    <definedName name="ㅍㅌㅋ이ㅏ" hidden="1">{#N/A,#N/A,FALSE,"집계표"}</definedName>
    <definedName name="ㅍㅍ" localSheetId="1" hidden="1">{#N/A,#N/A,TRUE,"토적및재료집계";#N/A,#N/A,TRUE,"토적및재료집계";#N/A,#N/A,TRUE,"단위량"}</definedName>
    <definedName name="ㅍㅍ" localSheetId="2" hidden="1">{#N/A,#N/A,TRUE,"토적및재료집계";#N/A,#N/A,TRUE,"토적및재료집계";#N/A,#N/A,TRUE,"단위량"}</definedName>
    <definedName name="ㅍㅍ" localSheetId="8" hidden="1">{#N/A,#N/A,TRUE,"토적및재료집계";#N/A,#N/A,TRUE,"토적및재료집계";#N/A,#N/A,TRUE,"단위량"}</definedName>
    <definedName name="ㅍㅍ" hidden="1">{#N/A,#N/A,TRUE,"토적및재료집계";#N/A,#N/A,TRUE,"토적및재료집계";#N/A,#N/A,TRUE,"단위량"}</definedName>
    <definedName name="ㅍㅍㅍㅍㅍㅍ" localSheetId="1" hidden="1">{#N/A,#N/A,FALSE,"CCTV"}</definedName>
    <definedName name="ㅍㅍㅍㅍㅍㅍ" localSheetId="2" hidden="1">{#N/A,#N/A,FALSE,"CCTV"}</definedName>
    <definedName name="ㅍㅍㅍㅍㅍㅍ" localSheetId="8" hidden="1">{#N/A,#N/A,FALSE,"CCTV"}</definedName>
    <definedName name="ㅍㅍㅍㅍㅍㅍ" hidden="1">{#N/A,#N/A,FALSE,"CCTV"}</definedName>
    <definedName name="ㅍ햐ㅐㅣㅏ" localSheetId="1" hidden="1">{#N/A,#N/A,FALSE,"집계표"}</definedName>
    <definedName name="ㅍ햐ㅐㅣㅏ" localSheetId="2" hidden="1">{#N/A,#N/A,FALSE,"집계표"}</definedName>
    <definedName name="ㅍ햐ㅐㅣㅏ" localSheetId="8" hidden="1">{#N/A,#N/A,FALSE,"집계표"}</definedName>
    <definedName name="ㅍ햐ㅐㅣㅏ" hidden="1">{#N/A,#N/A,FALSE,"집계표"}</definedName>
    <definedName name="ㅍ화ㅓ" localSheetId="1" hidden="1">{#N/A,#N/A,FALSE,"집계표"}</definedName>
    <definedName name="ㅍ화ㅓ" localSheetId="2" hidden="1">{#N/A,#N/A,FALSE,"집계표"}</definedName>
    <definedName name="ㅍ화ㅓ" localSheetId="8" hidden="1">{#N/A,#N/A,FALSE,"집계표"}</definedName>
    <definedName name="ㅍ화ㅓ" hidden="1">{#N/A,#N/A,FALSE,"집계표"}</definedName>
    <definedName name="파" localSheetId="1" hidden="1">{#N/A,#N/A,FALSE,"견적갑지";#N/A,#N/A,FALSE,"총괄표";#N/A,#N/A,FALSE,"철골공사";#N/A,#N/A,FALSE,"토목공사";#N/A,#N/A,FALSE,"판넬전기공사"}</definedName>
    <definedName name="파" localSheetId="2" hidden="1">{#N/A,#N/A,FALSE,"견적갑지";#N/A,#N/A,FALSE,"총괄표";#N/A,#N/A,FALSE,"철골공사";#N/A,#N/A,FALSE,"토목공사";#N/A,#N/A,FALSE,"판넬전기공사"}</definedName>
    <definedName name="파" localSheetId="8" hidden="1">{#N/A,#N/A,FALSE,"견적갑지";#N/A,#N/A,FALSE,"총괄표";#N/A,#N/A,FALSE,"철골공사";#N/A,#N/A,FALSE,"토목공사";#N/A,#N/A,FALSE,"판넬전기공사"}</definedName>
    <definedName name="파" hidden="1">{#N/A,#N/A,FALSE,"견적갑지";#N/A,#N/A,FALSE,"총괄표";#N/A,#N/A,FALSE,"철골공사";#N/A,#N/A,FALSE,"토목공사";#N/A,#N/A,FALSE,"판넬전기공사"}</definedName>
    <definedName name="파일산출3" hidden="1">#REF!</definedName>
    <definedName name="파출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파출소"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localSheetId="1" hidden="1">#REF!</definedName>
    <definedName name="팔" hidden="1">#REF!</definedName>
    <definedName name="패널물량" localSheetId="1" hidden="1">{#N/A,#N/A,FALSE,"전열산출서"}</definedName>
    <definedName name="패널물량" localSheetId="2" hidden="1">{#N/A,#N/A,FALSE,"전열산출서"}</definedName>
    <definedName name="패널물량" localSheetId="8" hidden="1">{#N/A,#N/A,FALSE,"전열산출서"}</definedName>
    <definedName name="패널물량" hidden="1">{#N/A,#N/A,FALSE,"전열산출서"}</definedName>
    <definedName name="페기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localSheetId="1" hidden="1">#REF!</definedName>
    <definedName name="평당견적" hidden="1">#REF!</definedName>
    <definedName name="평당단가" localSheetId="1" hidden="1">#REF!</definedName>
    <definedName name="평당단가" hidden="1">#REF!</definedName>
    <definedName name="폐기물처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1" hidden="1">{#N/A,#N/A,FALSE,"지침";#N/A,#N/A,FALSE,"환경분석";#N/A,#N/A,FALSE,"Sheet16"}</definedName>
    <definedName name="포장2월ocf" localSheetId="2" hidden="1">{#N/A,#N/A,FALSE,"지침";#N/A,#N/A,FALSE,"환경분석";#N/A,#N/A,FALSE,"Sheet16"}</definedName>
    <definedName name="포장2월ocf" localSheetId="8" hidden="1">{#N/A,#N/A,FALSE,"지침";#N/A,#N/A,FALSE,"환경분석";#N/A,#N/A,FALSE,"Sheet16"}</definedName>
    <definedName name="포장2월ocf" hidden="1">{#N/A,#N/A,FALSE,"지침";#N/A,#N/A,FALSE,"환경분석";#N/A,#N/A,FALSE,"Sheet16"}</definedName>
    <definedName name="포장ocf" localSheetId="1" hidden="1">{#N/A,#N/A,FALSE,"지침";#N/A,#N/A,FALSE,"환경분석";#N/A,#N/A,FALSE,"Sheet16"}</definedName>
    <definedName name="포장ocf" localSheetId="2" hidden="1">{#N/A,#N/A,FALSE,"지침";#N/A,#N/A,FALSE,"환경분석";#N/A,#N/A,FALSE,"Sheet16"}</definedName>
    <definedName name="포장ocf" localSheetId="8" hidden="1">{#N/A,#N/A,FALSE,"지침";#N/A,#N/A,FALSE,"환경분석";#N/A,#N/A,FALSE,"Sheet16"}</definedName>
    <definedName name="포장ocf" hidden="1">{#N/A,#N/A,FALSE,"지침";#N/A,#N/A,FALSE,"환경분석";#N/A,#N/A,FALSE,"Sheet16"}</definedName>
    <definedName name="포지머ㅗㄱㄷㅌ킹1" localSheetId="1" hidden="1">{#N/A,#N/A,FALSE,"표지목차"}</definedName>
    <definedName name="포지머ㅗㄱㄷㅌ킹1" localSheetId="2" hidden="1">{#N/A,#N/A,FALSE,"표지목차"}</definedName>
    <definedName name="포지머ㅗㄱㄷㅌ킹1" localSheetId="8" hidden="1">{#N/A,#N/A,FALSE,"표지목차"}</definedName>
    <definedName name="포지머ㅗㄱㄷㅌ킹1" hidden="1">{#N/A,#N/A,FALSE,"표지목차"}</definedName>
    <definedName name="폽장2" localSheetId="1" hidden="1">{#N/A,#N/A,FALSE,"포장1";#N/A,#N/A,FALSE,"포장1"}</definedName>
    <definedName name="폽장2" localSheetId="2" hidden="1">{#N/A,#N/A,FALSE,"포장1";#N/A,#N/A,FALSE,"포장1"}</definedName>
    <definedName name="폽장2" localSheetId="8" hidden="1">{#N/A,#N/A,FALSE,"포장1";#N/A,#N/A,FALSE,"포장1"}</definedName>
    <definedName name="폽장2" hidden="1">{#N/A,#N/A,FALSE,"포장1";#N/A,#N/A,FALSE,"포장1"}</definedName>
    <definedName name="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localSheetId="1" hidden="1">{#N/A,#N/A,FALSE,"속도"}</definedName>
    <definedName name="표지1" localSheetId="2" hidden="1">{#N/A,#N/A,FALSE,"속도"}</definedName>
    <definedName name="표지1" localSheetId="8" hidden="1">{#N/A,#N/A,FALSE,"속도"}</definedName>
    <definedName name="표지1" hidden="1">{#N/A,#N/A,FALSE,"속도"}</definedName>
    <definedName name="표지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localSheetId="1" hidden="1">{#N/A,#N/A,FALSE,"집계표"}</definedName>
    <definedName name="퓨ㅗ허" localSheetId="2" hidden="1">{#N/A,#N/A,FALSE,"집계표"}</definedName>
    <definedName name="퓨ㅗ허" localSheetId="8" hidden="1">{#N/A,#N/A,FALSE,"집계표"}</definedName>
    <definedName name="퓨ㅗ허" hidden="1">{#N/A,#N/A,FALSE,"집계표"}</definedName>
    <definedName name="퓸" localSheetId="1" hidden="1">{#N/A,#N/A,FALSE,"사업총괄";#N/A,#N/A,FALSE,"장비사업";#N/A,#N/A,FALSE,"철구사업";#N/A,#N/A,FALSE,"준설사업"}</definedName>
    <definedName name="퓸" localSheetId="2" hidden="1">{#N/A,#N/A,FALSE,"사업총괄";#N/A,#N/A,FALSE,"장비사업";#N/A,#N/A,FALSE,"철구사업";#N/A,#N/A,FALSE,"준설사업"}</definedName>
    <definedName name="퓸" localSheetId="8" hidden="1">{#N/A,#N/A,FALSE,"사업총괄";#N/A,#N/A,FALSE,"장비사업";#N/A,#N/A,FALSE,"철구사업";#N/A,#N/A,FALSE,"준설사업"}</definedName>
    <definedName name="퓸" hidden="1">{#N/A,#N/A,FALSE,"사업총괄";#N/A,#N/A,FALSE,"장비사업";#N/A,#N/A,FALSE,"철구사업";#N/A,#N/A,FALSE,"준설사업"}</definedName>
    <definedName name="피" localSheetId="1" hidden="1">{#N/A,#N/A,FALSE,"견적갑지";#N/A,#N/A,FALSE,"총괄표";#N/A,#N/A,FALSE,"철골공사";#N/A,#N/A,FALSE,"토목공사";#N/A,#N/A,FALSE,"판넬전기공사"}</definedName>
    <definedName name="피" localSheetId="2" hidden="1">{#N/A,#N/A,FALSE,"견적갑지";#N/A,#N/A,FALSE,"총괄표";#N/A,#N/A,FALSE,"철골공사";#N/A,#N/A,FALSE,"토목공사";#N/A,#N/A,FALSE,"판넬전기공사"}</definedName>
    <definedName name="피" localSheetId="8" hidden="1">{#N/A,#N/A,FALSE,"견적갑지";#N/A,#N/A,FALSE,"총괄표";#N/A,#N/A,FALSE,"철골공사";#N/A,#N/A,FALSE,"토목공사";#N/A,#N/A,FALSE,"판넬전기공사"}</definedName>
    <definedName name="피" hidden="1">{#N/A,#N/A,FALSE,"견적갑지";#N/A,#N/A,FALSE,"총괄표";#N/A,#N/A,FALSE,"철골공사";#N/A,#N/A,FALSE,"토목공사";#N/A,#N/A,FALSE,"판넬전기공사"}</definedName>
    <definedName name="피로티" localSheetId="1" hidden="1">{#N/A,#N/A,FALSE,"이태원철근"}</definedName>
    <definedName name="피로티" localSheetId="2" hidden="1">{#N/A,#N/A,FALSE,"이태원철근"}</definedName>
    <definedName name="피로티" localSheetId="8" hidden="1">{#N/A,#N/A,FALSE,"이태원철근"}</definedName>
    <definedName name="피로티" hidden="1">{#N/A,#N/A,FALSE,"이태원철근"}</definedName>
    <definedName name="피로티1" localSheetId="1" hidden="1">{#N/A,#N/A,FALSE,"이태원철근"}</definedName>
    <definedName name="피로티1" localSheetId="2" hidden="1">{#N/A,#N/A,FALSE,"이태원철근"}</definedName>
    <definedName name="피로티1" localSheetId="8" hidden="1">{#N/A,#N/A,FALSE,"이태원철근"}</definedName>
    <definedName name="피로티1" hidden="1">{#N/A,#N/A,FALSE,"이태원철근"}</definedName>
    <definedName name="ㅎ" localSheetId="1" hidden="1">{#N/A,#N/A,FALSE,"이태원철근"}</definedName>
    <definedName name="ㅎ" localSheetId="2" hidden="1">{#N/A,#N/A,FALSE,"이태원철근"}</definedName>
    <definedName name="ㅎ" localSheetId="8" hidden="1">{#N/A,#N/A,FALSE,"이태원철근"}</definedName>
    <definedName name="ㅎ" hidden="1">{#N/A,#N/A,FALSE,"이태원철근"}</definedName>
    <definedName name="ㅎㄴ" hidden="1">#REF!</definedName>
    <definedName name="ㅎㄴㅇㅀㄴ" localSheetId="1" hidden="1">{#N/A,#N/A,FALSE,"집계표"}</definedName>
    <definedName name="ㅎㄴㅇㅀㄴ" localSheetId="2" hidden="1">{#N/A,#N/A,FALSE,"집계표"}</definedName>
    <definedName name="ㅎㄴㅇㅀㄴ" localSheetId="8" hidden="1">{#N/A,#N/A,FALSE,"집계표"}</definedName>
    <definedName name="ㅎㄴㅇㅀㄴ" hidden="1">{#N/A,#N/A,FALSE,"집계표"}</definedName>
    <definedName name="ㅎㄹㅇㄴㅇ" localSheetId="1" hidden="1">{#N/A,#N/A,FALSE,"집계표"}</definedName>
    <definedName name="ㅎㄹㅇㄴㅇ" localSheetId="2" hidden="1">{#N/A,#N/A,FALSE,"집계표"}</definedName>
    <definedName name="ㅎㄹㅇㄴㅇ" localSheetId="8" hidden="1">{#N/A,#N/A,FALSE,"집계표"}</definedName>
    <definedName name="ㅎㄹㅇㄴㅇ" hidden="1">{#N/A,#N/A,FALSE,"집계표"}</definedName>
    <definedName name="ㅎㄹㅇ솔요" localSheetId="1" hidden="1">{#N/A,#N/A,FALSE,"집계표"}</definedName>
    <definedName name="ㅎㄹㅇ솔요" localSheetId="2" hidden="1">{#N/A,#N/A,FALSE,"집계표"}</definedName>
    <definedName name="ㅎㄹㅇ솔요" localSheetId="8" hidden="1">{#N/A,#N/A,FALSE,"집계표"}</definedName>
    <definedName name="ㅎㄹㅇ솔요" hidden="1">{#N/A,#N/A,FALSE,"집계표"}</definedName>
    <definedName name="ㅎㄹ어" localSheetId="1" hidden="1">{#N/A,#N/A,FALSE,"집계표"}</definedName>
    <definedName name="ㅎㄹ어" localSheetId="2" hidden="1">{#N/A,#N/A,FALSE,"집계표"}</definedName>
    <definedName name="ㅎㄹ어" localSheetId="8" hidden="1">{#N/A,#N/A,FALSE,"집계표"}</definedName>
    <definedName name="ㅎㄹ어" hidden="1">{#N/A,#N/A,FALSE,"집계표"}</definedName>
    <definedName name="ㅎㄹ오" localSheetId="1" hidden="1">{#N/A,#N/A,FALSE,"집계표"}</definedName>
    <definedName name="ㅎㄹ오" localSheetId="2" hidden="1">{#N/A,#N/A,FALSE,"집계표"}</definedName>
    <definedName name="ㅎㄹ오" localSheetId="8" hidden="1">{#N/A,#N/A,FALSE,"집계표"}</definedName>
    <definedName name="ㅎㄹ오" hidden="1">{#N/A,#N/A,FALSE,"집계표"}</definedName>
    <definedName name="ㅎㄹ오하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1" hidden="1">{#N/A,#N/A,FALSE,"집계표"}</definedName>
    <definedName name="ㅎㄹ요서ㅗㅎㄹㅇ" localSheetId="2" hidden="1">{#N/A,#N/A,FALSE,"집계표"}</definedName>
    <definedName name="ㅎㄹ요서ㅗㅎㄹㅇ" localSheetId="8" hidden="1">{#N/A,#N/A,FALSE,"집계표"}</definedName>
    <definedName name="ㅎㄹ요서ㅗㅎㄹㅇ" hidden="1">{#N/A,#N/A,FALSE,"집계표"}</definedName>
    <definedName name="ㅎ러ㅗㅇ러" localSheetId="1" hidden="1">{#N/A,#N/A,FALSE,"집계표"}</definedName>
    <definedName name="ㅎ러ㅗㅇ러" localSheetId="2" hidden="1">{#N/A,#N/A,FALSE,"집계표"}</definedName>
    <definedName name="ㅎ러ㅗㅇ러" localSheetId="8" hidden="1">{#N/A,#N/A,FALSE,"집계표"}</definedName>
    <definedName name="ㅎ러ㅗㅇ러" hidden="1">{#N/A,#N/A,FALSE,"집계표"}</definedName>
    <definedName name="ㅎ러ㅘㅍㅊ" localSheetId="1" hidden="1">{#N/A,#N/A,FALSE,"집계표"}</definedName>
    <definedName name="ㅎ러ㅘㅍㅊ" localSheetId="2" hidden="1">{#N/A,#N/A,FALSE,"집계표"}</definedName>
    <definedName name="ㅎ러ㅘㅍㅊ" localSheetId="8" hidden="1">{#N/A,#N/A,FALSE,"집계표"}</definedName>
    <definedName name="ㅎ러ㅘㅍㅊ" hidden="1">{#N/A,#N/A,FALSE,"집계표"}</definedName>
    <definedName name="ㅎ려ㅑㅓㅏㄹ셔ㅛ" localSheetId="1" hidden="1">{#N/A,#N/A,FALSE,"집계표"}</definedName>
    <definedName name="ㅎ려ㅑㅓㅏㄹ셔ㅛ" localSheetId="2" hidden="1">{#N/A,#N/A,FALSE,"집계표"}</definedName>
    <definedName name="ㅎ려ㅑㅓㅏㄹ셔ㅛ" localSheetId="8" hidden="1">{#N/A,#N/A,FALSE,"집계표"}</definedName>
    <definedName name="ㅎ려ㅑㅓㅏㄹ셔ㅛ" hidden="1">{#N/A,#N/A,FALSE,"집계표"}</definedName>
    <definedName name="ㅎ로" localSheetId="1" hidden="1">{#N/A,#N/A,FALSE,"집계표"}</definedName>
    <definedName name="ㅎ로" localSheetId="2" hidden="1">{#N/A,#N/A,FALSE,"집계표"}</definedName>
    <definedName name="ㅎ로" localSheetId="8" hidden="1">{#N/A,#N/A,FALSE,"집계표"}</definedName>
    <definedName name="ㅎ로" hidden="1">{#N/A,#N/A,FALSE,"집계표"}</definedName>
    <definedName name="ㅎ로낟안" localSheetId="1" hidden="1">{#N/A,#N/A,FALSE,"혼합골재"}</definedName>
    <definedName name="ㅎ로낟안" localSheetId="2" hidden="1">{#N/A,#N/A,FALSE,"혼합골재"}</definedName>
    <definedName name="ㅎ로낟안" localSheetId="8" hidden="1">{#N/A,#N/A,FALSE,"혼합골재"}</definedName>
    <definedName name="ㅎ로낟안" hidden="1">{#N/A,#N/A,FALSE,"혼합골재"}</definedName>
    <definedName name="ㅎ로ㅓㅅㄱㄷ" localSheetId="1" hidden="1">{#N/A,#N/A,FALSE,"집계표"}</definedName>
    <definedName name="ㅎ로ㅓㅅㄱㄷ" localSheetId="2" hidden="1">{#N/A,#N/A,FALSE,"집계표"}</definedName>
    <definedName name="ㅎ로ㅓㅅㄱㄷ" localSheetId="8" hidden="1">{#N/A,#N/A,FALSE,"집계표"}</definedName>
    <definedName name="ㅎ로ㅓㅅㄱㄷ" hidden="1">{#N/A,#N/A,FALSE,"집계표"}</definedName>
    <definedName name="ㅎ로ㅓㅇ" localSheetId="1" hidden="1">{#N/A,#N/A,FALSE,"집계표"}</definedName>
    <definedName name="ㅎ로ㅓㅇ" localSheetId="2" hidden="1">{#N/A,#N/A,FALSE,"집계표"}</definedName>
    <definedName name="ㅎ로ㅓㅇ" localSheetId="8" hidden="1">{#N/A,#N/A,FALSE,"집계표"}</definedName>
    <definedName name="ㅎ로ㅓㅇ" hidden="1">{#N/A,#N/A,FALSE,"집계표"}</definedName>
    <definedName name="ㅎ로ㅓㅓㅓㅓㅓㅓㅓㅓㅓㅓ" localSheetId="1" hidden="1">{#N/A,#N/A,FALSE,"집계표"}</definedName>
    <definedName name="ㅎ로ㅓㅓㅓㅓㅓㅓㅓㅓㅓㅓ" localSheetId="2" hidden="1">{#N/A,#N/A,FALSE,"집계표"}</definedName>
    <definedName name="ㅎ로ㅓㅓㅓㅓㅓㅓㅓㅓㅓㅓ" localSheetId="8" hidden="1">{#N/A,#N/A,FALSE,"집계표"}</definedName>
    <definedName name="ㅎ로ㅓㅓㅓㅓㅓㅓㅓㅓㅓㅓ" hidden="1">{#N/A,#N/A,FALSE,"집계표"}</definedName>
    <definedName name="ㅎ롤ㅇㄴㄳㄱ" localSheetId="1" hidden="1">{#N/A,#N/A,FALSE,"집계표"}</definedName>
    <definedName name="ㅎ롤ㅇㄴㄳㄱ" localSheetId="2" hidden="1">{#N/A,#N/A,FALSE,"집계표"}</definedName>
    <definedName name="ㅎ롤ㅇㄴㄳㄱ" localSheetId="8" hidden="1">{#N/A,#N/A,FALSE,"집계표"}</definedName>
    <definedName name="ㅎ롤ㅇㄴㄳㄱ" hidden="1">{#N/A,#N/A,FALSE,"집계표"}</definedName>
    <definedName name="ㅎ롯ㅅ" localSheetId="1" hidden="1">{#N/A,#N/A,FALSE,"집계표"}</definedName>
    <definedName name="ㅎ롯ㅅ" localSheetId="2" hidden="1">{#N/A,#N/A,FALSE,"집계표"}</definedName>
    <definedName name="ㅎ롯ㅅ" localSheetId="8" hidden="1">{#N/A,#N/A,FALSE,"집계표"}</definedName>
    <definedName name="ㅎ롯ㅅ" hidden="1">{#N/A,#N/A,FALSE,"집계표"}</definedName>
    <definedName name="ㅎㅀㅀ" hidden="1">#REF!</definedName>
    <definedName name="ㅎㅀㅇ" hidden="1">#REF!</definedName>
    <definedName name="ㅎㅀㅎ" hidden="1">#REF!</definedName>
    <definedName name="ㅎㅁ" localSheetId="1" hidden="1">{#N/A,#N/A,FALSE,"집계표"}</definedName>
    <definedName name="ㅎㅁ" localSheetId="2" hidden="1">{#N/A,#N/A,FALSE,"집계표"}</definedName>
    <definedName name="ㅎㅁ" localSheetId="8" hidden="1">{#N/A,#N/A,FALSE,"집계표"}</definedName>
    <definedName name="ㅎㅁ" hidden="1">{#N/A,#N/A,FALSE,"집계표"}</definedName>
    <definedName name="ㅎㅁㄴ" hidden="1">#REF!</definedName>
    <definedName name="ㅎㅇ" localSheetId="1" hidden="1">{#N/A,#N/A,FALSE,"Aging Summary";#N/A,#N/A,FALSE,"Ratio Analysis";#N/A,#N/A,FALSE,"Test 120 Day Accts";#N/A,#N/A,FALSE,"Tickmarks"}</definedName>
    <definedName name="ㅎㅇ" localSheetId="2" hidden="1">{#N/A,#N/A,FALSE,"Aging Summary";#N/A,#N/A,FALSE,"Ratio Analysis";#N/A,#N/A,FALSE,"Test 120 Day Accts";#N/A,#N/A,FALSE,"Tickmarks"}</definedName>
    <definedName name="ㅎㅇ" localSheetId="8" hidden="1">{#N/A,#N/A,FALSE,"Aging Summary";#N/A,#N/A,FALSE,"Ratio Analysis";#N/A,#N/A,FALSE,"Test 120 Day Accts";#N/A,#N/A,FALSE,"Tickmarks"}</definedName>
    <definedName name="ㅎㅇ" hidden="1">{#N/A,#N/A,FALSE,"Aging Summary";#N/A,#N/A,FALSE,"Ratio Analysis";#N/A,#N/A,FALSE,"Test 120 Day Accts";#N/A,#N/A,FALSE,"Tickmarks"}</definedName>
    <definedName name="ㅎ처ㅗㅅㄹ요" localSheetId="1" hidden="1">{#N/A,#N/A,FALSE,"집계표"}</definedName>
    <definedName name="ㅎ처ㅗㅅㄹ요" localSheetId="2" hidden="1">{#N/A,#N/A,FALSE,"집계표"}</definedName>
    <definedName name="ㅎ처ㅗㅅㄹ요" localSheetId="8" hidden="1">{#N/A,#N/A,FALSE,"집계표"}</definedName>
    <definedName name="ㅎ처ㅗㅅㄹ요" hidden="1">{#N/A,#N/A,FALSE,"집계표"}</definedName>
    <definedName name="ㅎㅎ" hidden="1">#REF!</definedName>
    <definedName name="ㅎㅎㅎ" hidden="1">#REF!</definedName>
    <definedName name="ㅎㅎㅎ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1" hidden="1">{"'장비'!$A$3:$M$12"}</definedName>
    <definedName name="ㅎㅎㅎㅎ" localSheetId="2" hidden="1">{"'장비'!$A$3:$M$12"}</definedName>
    <definedName name="ㅎㅎㅎㅎ" localSheetId="8" hidden="1">{"'장비'!$A$3:$M$12"}</definedName>
    <definedName name="ㅎㅎㅎㅎ" hidden="1">{"'장비'!$A$3:$M$12"}</definedName>
    <definedName name="ㅎㅎㅎㅎㅎㅎㅎ" localSheetId="1" hidden="1">{#N/A,#N/A,FALSE,"교리2"}</definedName>
    <definedName name="ㅎㅎㅎㅎㅎㅎㅎ" localSheetId="2" hidden="1">{#N/A,#N/A,FALSE,"교리2"}</definedName>
    <definedName name="ㅎㅎㅎㅎㅎㅎㅎ" localSheetId="8" hidden="1">{#N/A,#N/A,FALSE,"교리2"}</definedName>
    <definedName name="ㅎㅎㅎㅎㅎㅎㅎ" hidden="1">{#N/A,#N/A,FALSE,"교리2"}</definedName>
    <definedName name="ㅎㅕㅓ" localSheetId="1" hidden="1">{#N/A,#N/A,FALSE,"집계표"}</definedName>
    <definedName name="ㅎㅕㅓ" localSheetId="2" hidden="1">{#N/A,#N/A,FALSE,"집계표"}</definedName>
    <definedName name="ㅎㅕㅓ" localSheetId="8" hidden="1">{#N/A,#N/A,FALSE,"집계표"}</definedName>
    <definedName name="ㅎㅕㅓ" hidden="1">{#N/A,#N/A,FALSE,"집계표"}</definedName>
    <definedName name="하" localSheetId="1" hidden="1">{#N/A,#N/A,FALSE,"지침";#N/A,#N/A,FALSE,"환경분석";#N/A,#N/A,FALSE,"Sheet16"}</definedName>
    <definedName name="하" localSheetId="2" hidden="1">{#N/A,#N/A,FALSE,"지침";#N/A,#N/A,FALSE,"환경분석";#N/A,#N/A,FALSE,"Sheet16"}</definedName>
    <definedName name="하" localSheetId="8" hidden="1">{#N/A,#N/A,FALSE,"지침";#N/A,#N/A,FALSE,"환경분석";#N/A,#N/A,FALSE,"Sheet16"}</definedName>
    <definedName name="하" hidden="1">{#N/A,#N/A,FALSE,"지침";#N/A,#N/A,FALSE,"환경분석";#N/A,#N/A,FALSE,"Sheet16"}</definedName>
    <definedName name="하나" localSheetId="1" hidden="1">{#N/A,#N/A,FALSE,"Sheet1"}</definedName>
    <definedName name="하나" localSheetId="2" hidden="1">{#N/A,#N/A,FALSE,"Sheet1"}</definedName>
    <definedName name="하나" localSheetId="8" hidden="1">{#N/A,#N/A,FALSE,"Sheet1"}</definedName>
    <definedName name="하나" hidden="1">{#N/A,#N/A,FALSE,"Sheet1"}</definedName>
    <definedName name="하도" localSheetId="1" hidden="1">{#N/A,#N/A,FALSE,"이정표"}</definedName>
    <definedName name="하도" localSheetId="2" hidden="1">{#N/A,#N/A,FALSE,"이정표"}</definedName>
    <definedName name="하도" localSheetId="8" hidden="1">{#N/A,#N/A,FALSE,"이정표"}</definedName>
    <definedName name="하도" hidden="1">{#N/A,#N/A,FALSE,"이정표"}</definedName>
    <definedName name="하도급" localSheetId="1" hidden="1">{#N/A,#N/A,FALSE,"사업총괄";#N/A,#N/A,FALSE,"장비사업";#N/A,#N/A,FALSE,"철구사업";#N/A,#N/A,FALSE,"준설사업"}</definedName>
    <definedName name="하도급" localSheetId="2" hidden="1">{#N/A,#N/A,FALSE,"사업총괄";#N/A,#N/A,FALSE,"장비사업";#N/A,#N/A,FALSE,"철구사업";#N/A,#N/A,FALSE,"준설사업"}</definedName>
    <definedName name="하도급" localSheetId="8" hidden="1">{#N/A,#N/A,FALSE,"사업총괄";#N/A,#N/A,FALSE,"장비사업";#N/A,#N/A,FALSE,"철구사업";#N/A,#N/A,FALSE,"준설사업"}</definedName>
    <definedName name="하도급" hidden="1">{#N/A,#N/A,FALSE,"사업총괄";#N/A,#N/A,FALSE,"장비사업";#N/A,#N/A,FALSE,"철구사업";#N/A,#N/A,FALSE,"준설사업"}</definedName>
    <definedName name="하도급보증1"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localSheetId="1" hidden="1">{#N/A,#N/A,FALSE,"골재소요량";#N/A,#N/A,FALSE,"골재소요량"}</definedName>
    <definedName name="하도대상" localSheetId="2" hidden="1">{#N/A,#N/A,FALSE,"골재소요량";#N/A,#N/A,FALSE,"골재소요량"}</definedName>
    <definedName name="하도대상" localSheetId="8" hidden="1">{#N/A,#N/A,FALSE,"골재소요량";#N/A,#N/A,FALSE,"골재소요량"}</definedName>
    <definedName name="하도대상" hidden="1">{#N/A,#N/A,FALSE,"골재소요량";#N/A,#N/A,FALSE,"골재소요량"}</definedName>
    <definedName name="하도발주용공내역서" localSheetId="1" hidden="1">{#N/A,#N/A,FALSE,"사업총괄";#N/A,#N/A,FALSE,"장비사업";#N/A,#N/A,FALSE,"철구사업";#N/A,#N/A,FALSE,"준설사업"}</definedName>
    <definedName name="하도발주용공내역서" localSheetId="2" hidden="1">{#N/A,#N/A,FALSE,"사업총괄";#N/A,#N/A,FALSE,"장비사업";#N/A,#N/A,FALSE,"철구사업";#N/A,#N/A,FALSE,"준설사업"}</definedName>
    <definedName name="하도발주용공내역서" localSheetId="8" hidden="1">{#N/A,#N/A,FALSE,"사업총괄";#N/A,#N/A,FALSE,"장비사업";#N/A,#N/A,FALSE,"철구사업";#N/A,#N/A,FALSE,"준설사업"}</definedName>
    <definedName name="하도발주용공내역서" hidden="1">{#N/A,#N/A,FALSE,"사업총괄";#N/A,#N/A,FALSE,"장비사업";#N/A,#N/A,FALSE,"철구사업";#N/A,#N/A,FALSE,"준설사업"}</definedName>
    <definedName name="하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1" hidden="1">{#N/A,#N/A,FALSE,"포장단가"}</definedName>
    <definedName name="하수암거" localSheetId="2" hidden="1">{#N/A,#N/A,FALSE,"포장단가"}</definedName>
    <definedName name="하수암거" localSheetId="8" hidden="1">{#N/A,#N/A,FALSE,"포장단가"}</definedName>
    <definedName name="하수암거" hidden="1">{#N/A,#N/A,FALSE,"포장단가"}</definedName>
    <definedName name="하하하" localSheetId="1" hidden="1">{#N/A,#N/A,FALSE,"명세표"}</definedName>
    <definedName name="하하하" localSheetId="2" hidden="1">{#N/A,#N/A,FALSE,"명세표"}</definedName>
    <definedName name="하하하" localSheetId="8" hidden="1">{#N/A,#N/A,FALSE,"명세표"}</definedName>
    <definedName name="하하하" hidden="1">{#N/A,#N/A,FALSE,"명세표"}</definedName>
    <definedName name="하한선" localSheetId="1" hidden="1">{#N/A,#N/A,FALSE,"배수2"}</definedName>
    <definedName name="하한선" localSheetId="2" hidden="1">{#N/A,#N/A,FALSE,"배수2"}</definedName>
    <definedName name="하한선" localSheetId="8" hidden="1">{#N/A,#N/A,FALSE,"배수2"}</definedName>
    <definedName name="하한선" hidden="1">{#N/A,#N/A,FALSE,"배수2"}</definedName>
    <definedName name="한" localSheetId="1" hidden="1">#REF!</definedName>
    <definedName name="한" hidden="1">#REF!</definedName>
    <definedName name="한동" localSheetId="1" hidden="1">{#N/A,#N/A,FALSE,"단가표지"}</definedName>
    <definedName name="한동" localSheetId="2" hidden="1">{#N/A,#N/A,FALSE,"단가표지"}</definedName>
    <definedName name="한동" localSheetId="8" hidden="1">{#N/A,#N/A,FALSE,"단가표지"}</definedName>
    <definedName name="한동" hidden="1">{#N/A,#N/A,FALSE,"단가표지"}</definedName>
    <definedName name="한동1" localSheetId="1" hidden="1">{#N/A,#N/A,FALSE,"단가표지"}</definedName>
    <definedName name="한동1" localSheetId="2" hidden="1">{#N/A,#N/A,FALSE,"단가표지"}</definedName>
    <definedName name="한동1" localSheetId="8" hidden="1">{#N/A,#N/A,FALSE,"단가표지"}</definedName>
    <definedName name="한동1" hidden="1">{#N/A,#N/A,FALSE,"단가표지"}</definedName>
    <definedName name="한울" hidden="1">#REF!</definedName>
    <definedName name="한울11" hidden="1">#REF!</definedName>
    <definedName name="한전수" localSheetId="1" hidden="1">{#N/A,#N/A,FALSE,"명세표"}</definedName>
    <definedName name="한전수" localSheetId="2" hidden="1">{#N/A,#N/A,FALSE,"명세표"}</definedName>
    <definedName name="한전수" localSheetId="8" hidden="1">{#N/A,#N/A,FALSE,"명세표"}</definedName>
    <definedName name="한전수" hidden="1">{#N/A,#N/A,FALSE,"명세표"}</definedName>
    <definedName name="햐" localSheetId="1" hidden="1">{#N/A,#N/A,FALSE,"사업총괄";#N/A,#N/A,FALSE,"장비사업";#N/A,#N/A,FALSE,"철구사업";#N/A,#N/A,FALSE,"준설사업"}</definedName>
    <definedName name="햐" localSheetId="2" hidden="1">{#N/A,#N/A,FALSE,"사업총괄";#N/A,#N/A,FALSE,"장비사업";#N/A,#N/A,FALSE,"철구사업";#N/A,#N/A,FALSE,"준설사업"}</definedName>
    <definedName name="햐" localSheetId="8" hidden="1">{#N/A,#N/A,FALSE,"사업총괄";#N/A,#N/A,FALSE,"장비사업";#N/A,#N/A,FALSE,"철구사업";#N/A,#N/A,FALSE,"준설사업"}</definedName>
    <definedName name="햐" hidden="1">{#N/A,#N/A,FALSE,"사업총괄";#N/A,#N/A,FALSE,"장비사업";#N/A,#N/A,FALSE,"철구사업";#N/A,#N/A,FALSE,"준설사업"}</definedName>
    <definedName name="햐러" localSheetId="1" hidden="1">{#N/A,#N/A,FALSE,"변경관리예산";#N/A,#N/A,FALSE,"변경장비예산";#N/A,#N/A,FALSE,"변경준설예산";#N/A,#N/A,FALSE,"변경철구예산"}</definedName>
    <definedName name="햐러" localSheetId="2" hidden="1">{#N/A,#N/A,FALSE,"변경관리예산";#N/A,#N/A,FALSE,"변경장비예산";#N/A,#N/A,FALSE,"변경준설예산";#N/A,#N/A,FALSE,"변경철구예산"}</definedName>
    <definedName name="햐러" localSheetId="8" hidden="1">{#N/A,#N/A,FALSE,"변경관리예산";#N/A,#N/A,FALSE,"변경장비예산";#N/A,#N/A,FALSE,"변경준설예산";#N/A,#N/A,FALSE,"변경철구예산"}</definedName>
    <definedName name="햐러" hidden="1">{#N/A,#N/A,FALSE,"변경관리예산";#N/A,#N/A,FALSE,"변경장비예산";#N/A,#N/A,FALSE,"변경준설예산";#N/A,#N/A,FALSE,"변경철구예산"}</definedName>
    <definedName name="허" localSheetId="1" hidden="1">{#N/A,#N/A,FALSE,"Sheet6"}</definedName>
    <definedName name="허" localSheetId="2" hidden="1">{#N/A,#N/A,FALSE,"Sheet6"}</definedName>
    <definedName name="허" localSheetId="8" hidden="1">{#N/A,#N/A,FALSE,"Sheet6"}</definedName>
    <definedName name="허" hidden="1">{#N/A,#N/A,FALSE,"Sheet6"}</definedName>
    <definedName name="허아ㅏㅇ" localSheetId="1" hidden="1">{#N/A,#N/A,FALSE,"집계표"}</definedName>
    <definedName name="허아ㅏㅇ" localSheetId="2" hidden="1">{#N/A,#N/A,FALSE,"집계표"}</definedName>
    <definedName name="허아ㅏㅇ" localSheetId="8" hidden="1">{#N/A,#N/A,FALSE,"집계표"}</definedName>
    <definedName name="허아ㅏㅇ" hidden="1">{#N/A,#N/A,FALSE,"집계표"}</definedName>
    <definedName name="허저터" localSheetId="1" hidden="1">{#N/A,#N/A,FALSE,"집계표"}</definedName>
    <definedName name="허저터" localSheetId="2" hidden="1">{#N/A,#N/A,FALSE,"집계표"}</definedName>
    <definedName name="허저터" localSheetId="8" hidden="1">{#N/A,#N/A,FALSE,"집계표"}</definedName>
    <definedName name="허저터" hidden="1">{#N/A,#N/A,FALSE,"집계표"}</definedName>
    <definedName name="허허헣ㅎ" localSheetId="1" hidden="1">{#N/A,#N/A,FALSE,"집계표"}</definedName>
    <definedName name="허허헣ㅎ" localSheetId="2" hidden="1">{#N/A,#N/A,FALSE,"집계표"}</definedName>
    <definedName name="허허헣ㅎ" localSheetId="8" hidden="1">{#N/A,#N/A,FALSE,"집계표"}</definedName>
    <definedName name="허허헣ㅎ" hidden="1">{#N/A,#N/A,FALSE,"집계표"}</definedName>
    <definedName name="허헣" localSheetId="1" hidden="1">{#N/A,#N/A,FALSE,"집계표"}</definedName>
    <definedName name="허헣" localSheetId="2" hidden="1">{#N/A,#N/A,FALSE,"집계표"}</definedName>
    <definedName name="허헣" localSheetId="8" hidden="1">{#N/A,#N/A,FALSE,"집계표"}</definedName>
    <definedName name="허헣" hidden="1">{#N/A,#N/A,FALSE,"집계표"}</definedName>
    <definedName name="허ㅗㅅ됴" localSheetId="1" hidden="1">{#N/A,#N/A,FALSE,"집계표"}</definedName>
    <definedName name="허ㅗㅅ됴" localSheetId="2" hidden="1">{#N/A,#N/A,FALSE,"집계표"}</definedName>
    <definedName name="허ㅗㅅ됴" localSheetId="8" hidden="1">{#N/A,#N/A,FALSE,"집계표"}</definedName>
    <definedName name="허ㅗㅅ됴" hidden="1">{#N/A,#N/A,FALSE,"집계표"}</definedName>
    <definedName name="허ㅚㅎ" localSheetId="1" hidden="1">{#N/A,#N/A,FALSE,"집계표"}</definedName>
    <definedName name="허ㅚㅎ" localSheetId="2" hidden="1">{#N/A,#N/A,FALSE,"집계표"}</definedName>
    <definedName name="허ㅚㅎ" localSheetId="8" hidden="1">{#N/A,#N/A,FALSE,"집계표"}</definedName>
    <definedName name="허ㅚㅎ" hidden="1">{#N/A,#N/A,FALSE,"집계표"}</definedName>
    <definedName name="현금등가물" localSheetId="1" hidden="1">{#N/A,#N/A,FALSE,"Aging Summary";#N/A,#N/A,FALSE,"Ratio Analysis";#N/A,#N/A,FALSE,"Test 120 Day Accts";#N/A,#N/A,FALSE,"Tickmarks"}</definedName>
    <definedName name="현금등가물" localSheetId="2" hidden="1">{#N/A,#N/A,FALSE,"Aging Summary";#N/A,#N/A,FALSE,"Ratio Analysis";#N/A,#N/A,FALSE,"Test 120 Day Accts";#N/A,#N/A,FALSE,"Tickmarks"}</definedName>
    <definedName name="현금등가물" localSheetId="8"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1"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localSheetId="8"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localSheetId="1"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금흐름" localSheetId="8" hidden="1">{#N/A,#N/A,FALSE,"Aging Summary";#N/A,#N/A,FALSE,"Ratio Analysis";#N/A,#N/A,FALSE,"Test 120 Day Accts";#N/A,#N/A,FALSE,"Tickmarks"}</definedName>
    <definedName name="현금흐름" hidden="1">{#N/A,#N/A,FALSE,"Aging Summary";#N/A,#N/A,FALSE,"Ratio Analysis";#N/A,#N/A,FALSE,"Test 120 Day Accts";#N/A,#N/A,FALSE,"Tickmarks"}</definedName>
    <definedName name="현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1" hidden="1">{#N/A,#N/A,FALSE,"CCTV"}</definedName>
    <definedName name="현장" localSheetId="2" hidden="1">{#N/A,#N/A,FALSE,"CCTV"}</definedName>
    <definedName name="현장" localSheetId="8" hidden="1">{#N/A,#N/A,FALSE,"CCTV"}</definedName>
    <definedName name="현장" hidden="1">{#N/A,#N/A,FALSE,"CCTV"}</definedName>
    <definedName name="현장운영비산출" hidden="1">#REF!</definedName>
    <definedName name="현장자재外" localSheetId="1" hidden="1">{"'Sheet1'!$A$4:$M$21","'Sheet1'!$J$17:$K$19"}</definedName>
    <definedName name="현장자재外" localSheetId="2" hidden="1">{"'Sheet1'!$A$4:$M$21","'Sheet1'!$J$17:$K$19"}</definedName>
    <definedName name="현장자재外" localSheetId="8" hidden="1">{"'Sheet1'!$A$4:$M$21","'Sheet1'!$J$17:$K$19"}</definedName>
    <definedName name="현장자재外" hidden="1">{"'Sheet1'!$A$4:$M$21","'Sheet1'!$J$17:$K$19"}</definedName>
    <definedName name="현조" hidden="1">#REF!</definedName>
    <definedName name="협" localSheetId="1" hidden="1">{#N/A,#N/A,FALSE,"배수2"}</definedName>
    <definedName name="협" localSheetId="2" hidden="1">{#N/A,#N/A,FALSE,"배수2"}</definedName>
    <definedName name="협" localSheetId="8" hidden="1">{#N/A,#N/A,FALSE,"배수2"}</definedName>
    <definedName name="협" hidden="1">{#N/A,#N/A,FALSE,"배수2"}</definedName>
    <definedName name="협력" localSheetId="1" hidden="1">{#N/A,#N/A,FALSE,"포장2"}</definedName>
    <definedName name="협력" localSheetId="2" hidden="1">{#N/A,#N/A,FALSE,"포장2"}</definedName>
    <definedName name="협력" localSheetId="8" hidden="1">{#N/A,#N/A,FALSE,"포장2"}</definedName>
    <definedName name="협력" hidden="1">{#N/A,#N/A,FALSE,"포장2"}</definedName>
    <definedName name="협력업체" localSheetId="1" hidden="1">{#N/A,#N/A,FALSE,"포장2"}</definedName>
    <definedName name="협력업체" localSheetId="2" hidden="1">{#N/A,#N/A,FALSE,"포장2"}</definedName>
    <definedName name="협력업체" localSheetId="8" hidden="1">{#N/A,#N/A,FALSE,"포장2"}</definedName>
    <definedName name="협력업체" hidden="1">{#N/A,#N/A,FALSE,"포장2"}</definedName>
    <definedName name="협조전" hidden="1">#REF!</definedName>
    <definedName name="협철" localSheetId="1" hidden="1">{#N/A,#N/A,FALSE,"포장2"}</definedName>
    <definedName name="협철" localSheetId="2" hidden="1">{#N/A,#N/A,FALSE,"포장2"}</definedName>
    <definedName name="협철" localSheetId="8" hidden="1">{#N/A,#N/A,FALSE,"포장2"}</definedName>
    <definedName name="협철" hidden="1">{#N/A,#N/A,FALSE,"포장2"}</definedName>
    <definedName name="협토" localSheetId="1" hidden="1">{#N/A,#N/A,FALSE,"포장1";#N/A,#N/A,FALSE,"포장1"}</definedName>
    <definedName name="협토" localSheetId="2" hidden="1">{#N/A,#N/A,FALSE,"포장1";#N/A,#N/A,FALSE,"포장1"}</definedName>
    <definedName name="협토" localSheetId="8" hidden="1">{#N/A,#N/A,FALSE,"포장1";#N/A,#N/A,FALSE,"포장1"}</definedName>
    <definedName name="협토" hidden="1">{#N/A,#N/A,FALSE,"포장1";#N/A,#N/A,FALSE,"포장1"}</definedName>
    <definedName name="협토1" localSheetId="1" hidden="1">{#N/A,#N/A,FALSE,"포장2"}</definedName>
    <definedName name="협토1" localSheetId="2" hidden="1">{#N/A,#N/A,FALSE,"포장2"}</definedName>
    <definedName name="협토1" localSheetId="8" hidden="1">{#N/A,#N/A,FALSE,"포장2"}</definedName>
    <definedName name="협토1" hidden="1">{#N/A,#N/A,FALSE,"포장2"}</definedName>
    <definedName name="협토자재" localSheetId="1" hidden="1">{#N/A,#N/A,FALSE,"포장2"}</definedName>
    <definedName name="협토자재" localSheetId="2" hidden="1">{#N/A,#N/A,FALSE,"포장2"}</definedName>
    <definedName name="협토자재" localSheetId="8" hidden="1">{#N/A,#N/A,FALSE,"포장2"}</definedName>
    <definedName name="협토자재" hidden="1">{#N/A,#N/A,FALSE,"포장2"}</definedName>
    <definedName name="형제" localSheetId="1" hidden="1">{#N/A,#N/A,FALSE,"포장2"}</definedName>
    <definedName name="형제" localSheetId="2" hidden="1">{#N/A,#N/A,FALSE,"포장2"}</definedName>
    <definedName name="형제" localSheetId="8" hidden="1">{#N/A,#N/A,FALSE,"포장2"}</definedName>
    <definedName name="형제" hidden="1">{#N/A,#N/A,FALSE,"포장2"}</definedName>
    <definedName name="호러ㅓㅓㅓㅓㅓㅓㅓ" localSheetId="1" hidden="1">{#N/A,#N/A,FALSE,"집계표"}</definedName>
    <definedName name="호러ㅓㅓㅓㅓㅓㅓㅓ" localSheetId="2" hidden="1">{#N/A,#N/A,FALSE,"집계표"}</definedName>
    <definedName name="호러ㅓㅓㅓㅓㅓㅓㅓ" localSheetId="8" hidden="1">{#N/A,#N/A,FALSE,"집계표"}</definedName>
    <definedName name="호러ㅓㅓㅓㅓㅓㅓㅓ" hidden="1">{#N/A,#N/A,FALSE,"집계표"}</definedName>
    <definedName name="호하ㅓ" localSheetId="1" hidden="1">{#N/A,#N/A,FALSE,"집계표"}</definedName>
    <definedName name="호하ㅓ" localSheetId="2" hidden="1">{#N/A,#N/A,FALSE,"집계표"}</definedName>
    <definedName name="호하ㅓ" localSheetId="8" hidden="1">{#N/A,#N/A,FALSE,"집계표"}</definedName>
    <definedName name="호하ㅓ" hidden="1">{#N/A,#N/A,FALSE,"집계표"}</definedName>
    <definedName name="호호" localSheetId="1" hidden="1">{#N/A,#N/A,FALSE,"포장1";#N/A,#N/A,FALSE,"포장1"}</definedName>
    <definedName name="호호" localSheetId="2" hidden="1">{#N/A,#N/A,FALSE,"포장1";#N/A,#N/A,FALSE,"포장1"}</definedName>
    <definedName name="호호" localSheetId="8" hidden="1">{#N/A,#N/A,FALSE,"포장1";#N/A,#N/A,FALSE,"포장1"}</definedName>
    <definedName name="호호" hidden="1">{#N/A,#N/A,FALSE,"포장1";#N/A,#N/A,FALSE,"포장1"}</definedName>
    <definedName name="호호호" localSheetId="1" hidden="1">{#N/A,#N/A,FALSE,"명세표"}</definedName>
    <definedName name="호호호" localSheetId="2" hidden="1">{#N/A,#N/A,FALSE,"명세표"}</definedName>
    <definedName name="호호호" localSheetId="8" hidden="1">{#N/A,#N/A,FALSE,"명세표"}</definedName>
    <definedName name="호호호" hidden="1">{#N/A,#N/A,FALSE,"명세표"}</definedName>
    <definedName name="호ㅓ" localSheetId="1" hidden="1">{#N/A,#N/A,FALSE,"집계표"}</definedName>
    <definedName name="호ㅓ" localSheetId="2" hidden="1">{#N/A,#N/A,FALSE,"집계표"}</definedName>
    <definedName name="호ㅓ" localSheetId="8" hidden="1">{#N/A,#N/A,FALSE,"집계표"}</definedName>
    <definedName name="호ㅓ" hidden="1">{#N/A,#N/A,FALSE,"집계표"}</definedName>
    <definedName name="호ㅓㅏ" localSheetId="1" hidden="1">{#N/A,#N/A,FALSE,"집계표"}</definedName>
    <definedName name="호ㅓㅏ" localSheetId="2" hidden="1">{#N/A,#N/A,FALSE,"집계표"}</definedName>
    <definedName name="호ㅓㅏ" localSheetId="8" hidden="1">{#N/A,#N/A,FALSE,"집계표"}</definedName>
    <definedName name="호ㅓㅏ" hidden="1">{#N/A,#N/A,FALSE,"집계표"}</definedName>
    <definedName name="호ㅓㅕㅏ6ㅅ서ㅛㅓ" localSheetId="1" hidden="1">#REF!</definedName>
    <definedName name="호ㅓㅕㅏ6ㅅ서ㅛㅓ" hidden="1">#REF!</definedName>
    <definedName name="홇" localSheetId="1" hidden="1">{#N/A,#N/A,FALSE,"Sheet6"}</definedName>
    <definedName name="홇" localSheetId="2" hidden="1">{#N/A,#N/A,FALSE,"Sheet6"}</definedName>
    <definedName name="홇" localSheetId="8" hidden="1">{#N/A,#N/A,FALSE,"Sheet6"}</definedName>
    <definedName name="홇" hidden="1">{#N/A,#N/A,FALSE,"Sheet6"}</definedName>
    <definedName name="홋ㄱ" localSheetId="1" hidden="1">{#N/A,#N/A,FALSE,"Sheet6"}</definedName>
    <definedName name="홋ㄱ" localSheetId="2" hidden="1">{#N/A,#N/A,FALSE,"Sheet6"}</definedName>
    <definedName name="홋ㄱ" localSheetId="8" hidden="1">{#N/A,#N/A,FALSE,"Sheet6"}</definedName>
    <definedName name="홋ㄱ" hidden="1">{#N/A,#N/A,FALSE,"Sheet6"}</definedName>
    <definedName name="홍범표" localSheetId="1" hidden="1">{#N/A,#N/A,FALSE,"이태원철근"}</definedName>
    <definedName name="홍범표" localSheetId="2" hidden="1">{#N/A,#N/A,FALSE,"이태원철근"}</definedName>
    <definedName name="홍범표" localSheetId="8" hidden="1">{#N/A,#N/A,FALSE,"이태원철근"}</definedName>
    <definedName name="홍범표" hidden="1">{#N/A,#N/A,FALSE,"이태원철근"}</definedName>
    <definedName name="회ㅓㅗ허" localSheetId="1" hidden="1">{#N/A,#N/A,FALSE,"집계표"}</definedName>
    <definedName name="회ㅓㅗ허" localSheetId="2" hidden="1">{#N/A,#N/A,FALSE,"집계표"}</definedName>
    <definedName name="회ㅓㅗ허" localSheetId="8" hidden="1">{#N/A,#N/A,FALSE,"집계표"}</definedName>
    <definedName name="회ㅓㅗ허" hidden="1">{#N/A,#N/A,FALSE,"집계표"}</definedName>
    <definedName name="효"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1" hidden="1">{#N/A,#N/A,FALSE,"예상손익";#N/A,#N/A,FALSE,"관리분석";#N/A,#N/A,FALSE,"장비분석";#N/A,#N/A,FALSE,"준설분석";#N/A,#N/A,FALSE,"철구분석"}</definedName>
    <definedName name="훃" localSheetId="2" hidden="1">{#N/A,#N/A,FALSE,"예상손익";#N/A,#N/A,FALSE,"관리분석";#N/A,#N/A,FALSE,"장비분석";#N/A,#N/A,FALSE,"준설분석";#N/A,#N/A,FALSE,"철구분석"}</definedName>
    <definedName name="훃" localSheetId="8" hidden="1">{#N/A,#N/A,FALSE,"예상손익";#N/A,#N/A,FALSE,"관리분석";#N/A,#N/A,FALSE,"장비분석";#N/A,#N/A,FALSE,"준설분석";#N/A,#N/A,FALSE,"철구분석"}</definedName>
    <definedName name="훃" hidden="1">{#N/A,#N/A,FALSE,"예상손익";#N/A,#N/A,FALSE,"관리분석";#N/A,#N/A,FALSE,"장비분석";#N/A,#N/A,FALSE,"준설분석";#N/A,#N/A,FALSE,"철구분석"}</definedName>
    <definedName name="히" localSheetId="1" hidden="1">{#N/A,#N/A,FALSE,"집계표"}</definedName>
    <definedName name="히" localSheetId="2" hidden="1">{#N/A,#N/A,FALSE,"집계표"}</definedName>
    <definedName name="히" localSheetId="8" hidden="1">{#N/A,#N/A,FALSE,"집계표"}</definedName>
    <definedName name="히" hidden="1">{#N/A,#N/A,FALSE,"집계표"}</definedName>
    <definedName name="힌울" hidden="1">#REF!</definedName>
    <definedName name="힙"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1" hidden="1">{#N/A,#N/A,FALSE,"이태원철근"}</definedName>
    <definedName name="ㅏ" localSheetId="2" hidden="1">{#N/A,#N/A,FALSE,"이태원철근"}</definedName>
    <definedName name="ㅏ" localSheetId="8" hidden="1">{#N/A,#N/A,FALSE,"이태원철근"}</definedName>
    <definedName name="ㅏ" hidden="1">{#N/A,#N/A,FALSE,"이태원철근"}</definedName>
    <definedName name="ㅏ1" hidden="1">#REF!</definedName>
    <definedName name="ㅏㄱㄷ" localSheetId="1" hidden="1">{#N/A,#N/A,FALSE,"집계표"}</definedName>
    <definedName name="ㅏㄱㄷ" localSheetId="2" hidden="1">{#N/A,#N/A,FALSE,"집계표"}</definedName>
    <definedName name="ㅏㄱㄷ" localSheetId="8" hidden="1">{#N/A,#N/A,FALSE,"집계표"}</definedName>
    <definedName name="ㅏㄱㄷ" hidden="1">{#N/A,#N/A,FALSE,"집계표"}</definedName>
    <definedName name="ㅏㄹㄷㅈㄹ" hidden="1">#REF!</definedName>
    <definedName name="ㅏㅅ" localSheetId="1" hidden="1">{#N/A,#N/A,FALSE,"견적갑지";#N/A,#N/A,FALSE,"총괄표";#N/A,#N/A,FALSE,"철골공사";#N/A,#N/A,FALSE,"토목공사";#N/A,#N/A,FALSE,"판넬전기공사"}</definedName>
    <definedName name="ㅏㅅ" localSheetId="2" hidden="1">{#N/A,#N/A,FALSE,"견적갑지";#N/A,#N/A,FALSE,"총괄표";#N/A,#N/A,FALSE,"철골공사";#N/A,#N/A,FALSE,"토목공사";#N/A,#N/A,FALSE,"판넬전기공사"}</definedName>
    <definedName name="ㅏㅅ" localSheetId="8" hidden="1">{#N/A,#N/A,FALSE,"견적갑지";#N/A,#N/A,FALSE,"총괄표";#N/A,#N/A,FALSE,"철골공사";#N/A,#N/A,FALSE,"토목공사";#N/A,#N/A,FALSE,"판넬전기공사"}</definedName>
    <definedName name="ㅏㅅ" hidden="1">{#N/A,#N/A,FALSE,"견적갑지";#N/A,#N/A,FALSE,"총괄표";#N/A,#N/A,FALSE,"철골공사";#N/A,#N/A,FALSE,"토목공사";#N/A,#N/A,FALSE,"판넬전기공사"}</definedName>
    <definedName name="ㅏ이이ㅏ리" localSheetId="1" hidden="1">{#N/A,#N/A,FALSE,"주간공정";#N/A,#N/A,FALSE,"주간보고";#N/A,#N/A,FALSE,"주간공정표"}</definedName>
    <definedName name="ㅏ이이ㅏ리" localSheetId="2" hidden="1">{#N/A,#N/A,FALSE,"주간공정";#N/A,#N/A,FALSE,"주간보고";#N/A,#N/A,FALSE,"주간공정표"}</definedName>
    <definedName name="ㅏ이이ㅏ리" localSheetId="8" hidden="1">{#N/A,#N/A,FALSE,"주간공정";#N/A,#N/A,FALSE,"주간보고";#N/A,#N/A,FALSE,"주간공정표"}</definedName>
    <definedName name="ㅏ이이ㅏ리" hidden="1">{#N/A,#N/A,FALSE,"주간공정";#N/A,#N/A,FALSE,"주간보고";#N/A,#N/A,FALSE,"주간공정표"}</definedName>
    <definedName name="ㅏㅏㅏ" localSheetId="1" hidden="1">{#N/A,#N/A,FALSE,"주간공정";#N/A,#N/A,FALSE,"주간보고";#N/A,#N/A,FALSE,"주간공정표"}</definedName>
    <definedName name="ㅏㅏㅏ" localSheetId="2" hidden="1">{#N/A,#N/A,FALSE,"주간공정";#N/A,#N/A,FALSE,"주간보고";#N/A,#N/A,FALSE,"주간공정표"}</definedName>
    <definedName name="ㅏㅏㅏ" localSheetId="8" hidden="1">{#N/A,#N/A,FALSE,"주간공정";#N/A,#N/A,FALSE,"주간보고";#N/A,#N/A,FALSE,"주간공정표"}</definedName>
    <definedName name="ㅏㅏㅏ" hidden="1">{#N/A,#N/A,FALSE,"주간공정";#N/A,#N/A,FALSE,"주간보고";#N/A,#N/A,FALSE,"주간공정표"}</definedName>
    <definedName name="ㅏㅏㅏ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1" hidden="1">{#N/A,#N/A,FALSE,"CCTV"}</definedName>
    <definedName name="ㅏㅏㅏㅏㅏ" localSheetId="2" hidden="1">{#N/A,#N/A,FALSE,"CCTV"}</definedName>
    <definedName name="ㅏㅏㅏㅏㅏ" localSheetId="8" hidden="1">{#N/A,#N/A,FALSE,"CCTV"}</definedName>
    <definedName name="ㅏㅏㅏㅏㅏ" hidden="1">{#N/A,#N/A,FALSE,"CCTV"}</definedName>
    <definedName name="ㅏㅏ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1" hidden="1">{#N/A,#N/A,FALSE,"집계표"}</definedName>
    <definedName name="ㅏㅓ" localSheetId="2" hidden="1">{#N/A,#N/A,FALSE,"집계표"}</definedName>
    <definedName name="ㅏㅓ" localSheetId="8" hidden="1">{#N/A,#N/A,FALSE,"집계표"}</definedName>
    <definedName name="ㅏㅓ" hidden="1">{#N/A,#N/A,FALSE,"집계표"}</definedName>
    <definedName name="ㅏㅓㅏ" localSheetId="1"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8"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ㅏㅓㅏㅓ" localSheetId="1" hidden="1">{#N/A,#N/A,FALSE,"집계표"}</definedName>
    <definedName name="ㅏㅓㅏㅓㅏㅓ" localSheetId="2" hidden="1">{#N/A,#N/A,FALSE,"집계표"}</definedName>
    <definedName name="ㅏㅓㅏㅓㅏㅓ" localSheetId="8" hidden="1">{#N/A,#N/A,FALSE,"집계표"}</definedName>
    <definedName name="ㅏㅓㅏㅓㅏㅓ" hidden="1">{#N/A,#N/A,FALSE,"집계표"}</definedName>
    <definedName name="ㅏㅗ" localSheetId="1" hidden="1">{#N/A,#N/A,FALSE,"집계표"}</definedName>
    <definedName name="ㅏㅗ" localSheetId="2" hidden="1">{#N/A,#N/A,FALSE,"집계표"}</definedName>
    <definedName name="ㅏㅗ" localSheetId="8" hidden="1">{#N/A,#N/A,FALSE,"집계표"}</definedName>
    <definedName name="ㅏㅗ" hidden="1">{#N/A,#N/A,FALSE,"집계표"}</definedName>
    <definedName name="ㅐ" localSheetId="1" hidden="1">{#N/A,#N/A,FALSE,"이태원철근"}</definedName>
    <definedName name="ㅐ" localSheetId="2" hidden="1">{#N/A,#N/A,FALSE,"이태원철근"}</definedName>
    <definedName name="ㅐ" localSheetId="8" hidden="1">{#N/A,#N/A,FALSE,"이태원철근"}</definedName>
    <definedName name="ㅐ" hidden="1">{#N/A,#N/A,FALSE,"이태원철근"}</definedName>
    <definedName name="ㅐㅐ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1" hidden="1">{#N/A,#N/A,FALSE,"Sheet6"}</definedName>
    <definedName name="ㅑㅑㅑㅑㅑㅑㅑ" localSheetId="2" hidden="1">{#N/A,#N/A,FALSE,"Sheet6"}</definedName>
    <definedName name="ㅑㅑㅑㅑㅑㅑㅑ" localSheetId="8" hidden="1">{#N/A,#N/A,FALSE,"Sheet6"}</definedName>
    <definedName name="ㅑㅑㅑㅑㅑㅑㅑ" hidden="1">{#N/A,#N/A,FALSE,"Sheet6"}</definedName>
    <definedName name="ㅑㅕㅛㅐ" localSheetId="1" hidden="1">{#N/A,#N/A,FALSE,"집계표"}</definedName>
    <definedName name="ㅑㅕㅛㅐ" localSheetId="2" hidden="1">{#N/A,#N/A,FALSE,"집계표"}</definedName>
    <definedName name="ㅑㅕㅛㅐ" localSheetId="8" hidden="1">{#N/A,#N/A,FALSE,"집계표"}</definedName>
    <definedName name="ㅑㅕㅛㅐ" hidden="1">{#N/A,#N/A,FALSE,"집계표"}</definedName>
    <definedName name="ㅓ" localSheetId="1" hidden="1">{#N/A,#N/A,FALSE,"이태원철근"}</definedName>
    <definedName name="ㅓ" localSheetId="2" hidden="1">{#N/A,#N/A,FALSE,"이태원철근"}</definedName>
    <definedName name="ㅓ" localSheetId="8" hidden="1">{#N/A,#N/A,FALSE,"이태원철근"}</definedName>
    <definedName name="ㅓ" hidden="1">{#N/A,#N/A,FALSE,"이태원철근"}</definedName>
    <definedName name="ㅓㄴㄱ" localSheetId="1" hidden="1">#REF!</definedName>
    <definedName name="ㅓㄴㄱ" hidden="1">#REF!</definedName>
    <definedName name="ㅓ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1" hidden="1">{#N/A,#N/A,FALSE,"집계표"}</definedName>
    <definedName name="ㅓㅅㄱㄴㄹㅇㄴ" localSheetId="2" hidden="1">{#N/A,#N/A,FALSE,"집계표"}</definedName>
    <definedName name="ㅓㅅㄱㄴㄹㅇㄴ" localSheetId="8" hidden="1">{#N/A,#N/A,FALSE,"집계표"}</definedName>
    <definedName name="ㅓㅅㄱㄴㄹㅇㄴ" hidden="1">{#N/A,#N/A,FALSE,"집계표"}</definedName>
    <definedName name="ㅓㅇ" localSheetId="1" hidden="1">{#N/A,#N/A,FALSE,"집계표"}</definedName>
    <definedName name="ㅓㅇ" localSheetId="2" hidden="1">{#N/A,#N/A,FALSE,"집계표"}</definedName>
    <definedName name="ㅓㅇ" localSheetId="8" hidden="1">{#N/A,#N/A,FALSE,"집계표"}</definedName>
    <definedName name="ㅓㅇ" hidden="1">{#N/A,#N/A,FALSE,"집계표"}</definedName>
    <definedName name="ㅓㅇㄹ" localSheetId="1" hidden="1">{#N/A,#N/A,FALSE,"집계표"}</definedName>
    <definedName name="ㅓㅇㄹ" localSheetId="2" hidden="1">{#N/A,#N/A,FALSE,"집계표"}</definedName>
    <definedName name="ㅓㅇㄹ" localSheetId="8" hidden="1">{#N/A,#N/A,FALSE,"집계표"}</definedName>
    <definedName name="ㅓㅇㄹ" hidden="1">{#N/A,#N/A,FALSE,"집계표"}</definedName>
    <definedName name="ㅓ치ㅏ헐ㅇ" localSheetId="1" hidden="1">{#N/A,#N/A,FALSE,"집계표"}</definedName>
    <definedName name="ㅓ치ㅏ헐ㅇ" localSheetId="2" hidden="1">{#N/A,#N/A,FALSE,"집계표"}</definedName>
    <definedName name="ㅓ치ㅏ헐ㅇ" localSheetId="8" hidden="1">{#N/A,#N/A,FALSE,"집계표"}</definedName>
    <definedName name="ㅓ치ㅏ헐ㅇ" hidden="1">{#N/A,#N/A,FALSE,"집계표"}</definedName>
    <definedName name="ㅓㅎㄹㅇ" localSheetId="1" hidden="1">{#N/A,#N/A,FALSE,"집계표"}</definedName>
    <definedName name="ㅓㅎㄹㅇ" localSheetId="2" hidden="1">{#N/A,#N/A,FALSE,"집계표"}</definedName>
    <definedName name="ㅓㅎㄹㅇ" localSheetId="8" hidden="1">{#N/A,#N/A,FALSE,"집계표"}</definedName>
    <definedName name="ㅓㅎㄹㅇ" hidden="1">{#N/A,#N/A,FALSE,"집계표"}</definedName>
    <definedName name="ㅓ호" localSheetId="1" hidden="1">{#N/A,#N/A,FALSE,"집계표"}</definedName>
    <definedName name="ㅓ호" localSheetId="2" hidden="1">{#N/A,#N/A,FALSE,"집계표"}</definedName>
    <definedName name="ㅓ호" localSheetId="8" hidden="1">{#N/A,#N/A,FALSE,"집계표"}</definedName>
    <definedName name="ㅓ호" hidden="1">{#N/A,#N/A,FALSE,"집계표"}</definedName>
    <definedName name="ㅓㅏ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1" hidden="1">{#N/A,#N/A,FALSE,"Sheet6"}</definedName>
    <definedName name="ㅓㅕㅏ" localSheetId="2" hidden="1">{#N/A,#N/A,FALSE,"Sheet6"}</definedName>
    <definedName name="ㅓㅕㅏ" localSheetId="8" hidden="1">{#N/A,#N/A,FALSE,"Sheet6"}</definedName>
    <definedName name="ㅓㅕㅏ" hidden="1">{#N/A,#N/A,FALSE,"Sheet6"}</definedName>
    <definedName name="ㅓㅗ" localSheetId="1" hidden="1">{#N/A,#N/A,FALSE,"집계표"}</definedName>
    <definedName name="ㅓㅗ" localSheetId="2" hidden="1">{#N/A,#N/A,FALSE,"집계표"}</definedName>
    <definedName name="ㅓㅗ" localSheetId="8" hidden="1">{#N/A,#N/A,FALSE,"집계표"}</definedName>
    <definedName name="ㅓㅗ" hidden="1">{#N/A,#N/A,FALSE,"집계표"}</definedName>
    <definedName name="ㅓㅗㄹ허" localSheetId="1" hidden="1">{#N/A,#N/A,FALSE,"집계표"}</definedName>
    <definedName name="ㅓㅗㄹ허" localSheetId="2" hidden="1">{#N/A,#N/A,FALSE,"집계표"}</definedName>
    <definedName name="ㅓㅗㄹ허" localSheetId="8" hidden="1">{#N/A,#N/A,FALSE,"집계표"}</definedName>
    <definedName name="ㅓㅗㄹ허" hidden="1">{#N/A,#N/A,FALSE,"집계표"}</definedName>
    <definedName name="ㅓㅗㅎㄹㅇㅇ" localSheetId="1" hidden="1">{#N/A,#N/A,FALSE,"집계표"}</definedName>
    <definedName name="ㅓㅗㅎㄹㅇㅇ" localSheetId="2" hidden="1">{#N/A,#N/A,FALSE,"집계표"}</definedName>
    <definedName name="ㅓㅗㅎㄹㅇㅇ" localSheetId="8" hidden="1">{#N/A,#N/A,FALSE,"집계표"}</definedName>
    <definedName name="ㅓㅗㅎㄹㅇㅇ" hidden="1">{#N/A,#N/A,FALSE,"집계표"}</definedName>
    <definedName name="ㅓㅗㅎㅍ" localSheetId="1" hidden="1">{#N/A,#N/A,FALSE,"집계표"}</definedName>
    <definedName name="ㅓㅗㅎㅍ" localSheetId="2" hidden="1">{#N/A,#N/A,FALSE,"집계표"}</definedName>
    <definedName name="ㅓㅗㅎㅍ" localSheetId="8" hidden="1">{#N/A,#N/A,FALSE,"집계표"}</definedName>
    <definedName name="ㅓㅗㅎㅍ" hidden="1">{#N/A,#N/A,FALSE,"집계표"}</definedName>
    <definedName name="ㅓㅗ하ㅗㅎ" localSheetId="1" hidden="1">{#N/A,#N/A,FALSE,"집계표"}</definedName>
    <definedName name="ㅓㅗ하ㅗㅎ" localSheetId="2" hidden="1">{#N/A,#N/A,FALSE,"집계표"}</definedName>
    <definedName name="ㅓㅗ하ㅗㅎ" localSheetId="8" hidden="1">{#N/A,#N/A,FALSE,"집계표"}</definedName>
    <definedName name="ㅓㅗ하ㅗㅎ" hidden="1">{#N/A,#N/A,FALSE,"집계표"}</definedName>
    <definedName name="ㅓㅘㅎ" localSheetId="1" hidden="1">{#N/A,#N/A,FALSE,"집계표"}</definedName>
    <definedName name="ㅓㅘㅎ" localSheetId="2" hidden="1">{#N/A,#N/A,FALSE,"집계표"}</definedName>
    <definedName name="ㅓㅘㅎ" localSheetId="8" hidden="1">{#N/A,#N/A,FALSE,"집계표"}</definedName>
    <definedName name="ㅓㅘㅎ" hidden="1">{#N/A,#N/A,FALSE,"집계표"}</definedName>
    <definedName name="ㅓㅣㅏㅗ" localSheetId="1" hidden="1">{#N/A,#N/A,FALSE,"집계표"}</definedName>
    <definedName name="ㅓㅣㅏㅗ" localSheetId="2" hidden="1">{#N/A,#N/A,FALSE,"집계표"}</definedName>
    <definedName name="ㅓㅣㅏㅗ" localSheetId="8" hidden="1">{#N/A,#N/A,FALSE,"집계표"}</definedName>
    <definedName name="ㅓㅣㅏㅗ" hidden="1">{#N/A,#N/A,FALSE,"집계표"}</definedName>
    <definedName name="ㅔ" localSheetId="1" hidden="1">{#N/A,#N/A,FALSE,"이태원철근"}</definedName>
    <definedName name="ㅔ" localSheetId="2" hidden="1">{#N/A,#N/A,FALSE,"이태원철근"}</definedName>
    <definedName name="ㅔ" localSheetId="8" hidden="1">{#N/A,#N/A,FALSE,"이태원철근"}</definedName>
    <definedName name="ㅔ" hidden="1">{#N/A,#N/A,FALSE,"이태원철근"}</definedName>
    <definedName name="ㅔㅐㄴ애ㅔㅐ" localSheetId="1" hidden="1">{#N/A,#N/A,FALSE,"집계표"}</definedName>
    <definedName name="ㅔㅐㄴ애ㅔㅐ" localSheetId="2" hidden="1">{#N/A,#N/A,FALSE,"집계표"}</definedName>
    <definedName name="ㅔㅐㄴ애ㅔㅐ" localSheetId="8" hidden="1">{#N/A,#N/A,FALSE,"집계표"}</definedName>
    <definedName name="ㅔㅐㄴ애ㅔㅐ" hidden="1">{#N/A,#N/A,FALSE,"집계표"}</definedName>
    <definedName name="ㅔㅔ" localSheetId="1" hidden="1">#REF!</definedName>
    <definedName name="ㅔㅔ" hidden="1">#REF!</definedName>
    <definedName name="ㅕ겨겨"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1" hidden="1">{#N/A,#N/A,FALSE,"Sheet6"}</definedName>
    <definedName name="ㅕㅏ쇼" localSheetId="2" hidden="1">{#N/A,#N/A,FALSE,"Sheet6"}</definedName>
    <definedName name="ㅕㅏ쇼" localSheetId="8" hidden="1">{#N/A,#N/A,FALSE,"Sheet6"}</definedName>
    <definedName name="ㅕㅏ쇼" hidden="1">{#N/A,#N/A,FALSE,"Sheet6"}</definedName>
    <definedName name="ㅕㅏㅛㅕㅏ" localSheetId="1" hidden="1">{#N/A,#N/A,FALSE,"Sheet6"}</definedName>
    <definedName name="ㅕㅏㅛㅕㅏ" localSheetId="2" hidden="1">{#N/A,#N/A,FALSE,"Sheet6"}</definedName>
    <definedName name="ㅕㅏㅛㅕㅏ" localSheetId="8" hidden="1">{#N/A,#N/A,FALSE,"Sheet6"}</definedName>
    <definedName name="ㅕㅏㅛㅕㅏ" hidden="1">{#N/A,#N/A,FALSE,"Sheet6"}</definedName>
    <definedName name="ㅕㅑㅐ" localSheetId="1" hidden="1">{#N/A,#N/A,FALSE,"Sheet6"}</definedName>
    <definedName name="ㅕㅑㅐ" localSheetId="2" hidden="1">{#N/A,#N/A,FALSE,"Sheet6"}</definedName>
    <definedName name="ㅕㅑㅐ" localSheetId="8" hidden="1">{#N/A,#N/A,FALSE,"Sheet6"}</definedName>
    <definedName name="ㅕㅑㅐ" hidden="1">{#N/A,#N/A,FALSE,"Sheet6"}</definedName>
    <definedName name="ㅕㅕ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1" hidden="1">{#N/A,#N/A,FALSE,"이태원철근"}</definedName>
    <definedName name="ㅗ" localSheetId="2" hidden="1">{#N/A,#N/A,FALSE,"이태원철근"}</definedName>
    <definedName name="ㅗ" localSheetId="8" hidden="1">{#N/A,#N/A,FALSE,"이태원철근"}</definedName>
    <definedName name="ㅗ" hidden="1">{#N/A,#N/A,FALSE,"이태원철근"}</definedName>
    <definedName name="ㅗㄴㅇ" localSheetId="1" hidden="1">{#N/A,#N/A,FALSE,"집계표"}</definedName>
    <definedName name="ㅗㄴㅇ" localSheetId="2" hidden="1">{#N/A,#N/A,FALSE,"집계표"}</definedName>
    <definedName name="ㅗㄴㅇ" localSheetId="8" hidden="1">{#N/A,#N/A,FALSE,"집계표"}</definedName>
    <definedName name="ㅗㄴㅇ" hidden="1">{#N/A,#N/A,FALSE,"집계표"}</definedName>
    <definedName name="ㅗㄹㅇ오" localSheetId="1" hidden="1">{#N/A,#N/A,FALSE,"집계표"}</definedName>
    <definedName name="ㅗㄹㅇ오" localSheetId="2" hidden="1">{#N/A,#N/A,FALSE,"집계표"}</definedName>
    <definedName name="ㅗㄹㅇ오" localSheetId="8" hidden="1">{#N/A,#N/A,FALSE,"집계표"}</definedName>
    <definedName name="ㅗㄹㅇ오" hidden="1">{#N/A,#N/A,FALSE,"집계표"}</definedName>
    <definedName name="ㅗㄹㅇㅎ" localSheetId="1" hidden="1">{#N/A,#N/A,FALSE,"집계표"}</definedName>
    <definedName name="ㅗㄹㅇㅎ" localSheetId="2" hidden="1">{#N/A,#N/A,FALSE,"집계표"}</definedName>
    <definedName name="ㅗㄹㅇㅎ" localSheetId="8" hidden="1">{#N/A,#N/A,FALSE,"집계표"}</definedName>
    <definedName name="ㅗㄹㅇㅎ" hidden="1">{#N/A,#N/A,FALSE,"집계표"}</definedName>
    <definedName name="ㅗㄹㅎ라ㅗ" localSheetId="1" hidden="1">{#N/A,#N/A,FALSE,"집계표"}</definedName>
    <definedName name="ㅗㄹㅎ라ㅗ" localSheetId="2" hidden="1">{#N/A,#N/A,FALSE,"집계표"}</definedName>
    <definedName name="ㅗㄹㅎ라ㅗ" localSheetId="8" hidden="1">{#N/A,#N/A,FALSE,"집계표"}</definedName>
    <definedName name="ㅗㄹㅎ라ㅗ" hidden="1">{#N/A,#N/A,FALSE,"집계표"}</definedName>
    <definedName name="ㅗㄹ호"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1" hidden="1">{#N/A,#N/A,FALSE,"집계표"}</definedName>
    <definedName name="ㅗㅇㄴㄴ" localSheetId="2" hidden="1">{#N/A,#N/A,FALSE,"집계표"}</definedName>
    <definedName name="ㅗㅇㄴㄴ" localSheetId="8" hidden="1">{#N/A,#N/A,FALSE,"집계표"}</definedName>
    <definedName name="ㅗㅇㄴㄴ" hidden="1">{#N/A,#N/A,FALSE,"집계표"}</definedName>
    <definedName name="ㅗㅎㄹ" localSheetId="1" hidden="1">{#N/A,#N/A,FALSE,"집계표"}</definedName>
    <definedName name="ㅗㅎㄹ" localSheetId="2" hidden="1">{#N/A,#N/A,FALSE,"집계표"}</definedName>
    <definedName name="ㅗㅎㄹ" localSheetId="8" hidden="1">{#N/A,#N/A,FALSE,"집계표"}</definedName>
    <definedName name="ㅗㅎㄹ" hidden="1">{#N/A,#N/A,FALSE,"집계표"}</definedName>
    <definedName name="ㅗㅎ렇ㄹㅊㅇㅇ" localSheetId="1" hidden="1">{#N/A,#N/A,FALSE,"집계표"}</definedName>
    <definedName name="ㅗㅎ렇ㄹㅊㅇㅇ" localSheetId="2" hidden="1">{#N/A,#N/A,FALSE,"집계표"}</definedName>
    <definedName name="ㅗㅎ렇ㄹㅊㅇㅇ" localSheetId="8" hidden="1">{#N/A,#N/A,FALSE,"집계표"}</definedName>
    <definedName name="ㅗㅎ렇ㄹㅊㅇㅇ" hidden="1">{#N/A,#N/A,FALSE,"집계표"}</definedName>
    <definedName name="ㅗㅎㅇㄹ" localSheetId="1" hidden="1">{#N/A,#N/A,FALSE,"집계표"}</definedName>
    <definedName name="ㅗㅎㅇㄹ" localSheetId="2" hidden="1">{#N/A,#N/A,FALSE,"집계표"}</definedName>
    <definedName name="ㅗㅎㅇㄹ" localSheetId="8" hidden="1">{#N/A,#N/A,FALSE,"집계표"}</definedName>
    <definedName name="ㅗㅎㅇㄹ" hidden="1">{#N/A,#N/A,FALSE,"집계표"}</definedName>
    <definedName name="ㅗㅎㅈ" localSheetId="1" hidden="1">{#N/A,#N/A,FALSE,"집계표"}</definedName>
    <definedName name="ㅗㅎㅈ" localSheetId="2" hidden="1">{#N/A,#N/A,FALSE,"집계표"}</definedName>
    <definedName name="ㅗㅎㅈ" localSheetId="8" hidden="1">{#N/A,#N/A,FALSE,"집계표"}</definedName>
    <definedName name="ㅗㅎㅈ" hidden="1">{#N/A,#N/A,FALSE,"집계표"}</definedName>
    <definedName name="ㅗㅎㅊㅌㅎ" localSheetId="1" hidden="1">{#N/A,#N/A,FALSE,"집계표"}</definedName>
    <definedName name="ㅗㅎㅊㅌㅎ" localSheetId="2" hidden="1">{#N/A,#N/A,FALSE,"집계표"}</definedName>
    <definedName name="ㅗㅎㅊㅌㅎ" localSheetId="8" hidden="1">{#N/A,#N/A,FALSE,"집계표"}</definedName>
    <definedName name="ㅗㅎㅊㅌㅎ" hidden="1">{#N/A,#N/A,FALSE,"집계표"}</definedName>
    <definedName name="ㅗ하ㅓ" localSheetId="1" hidden="1">{#N/A,#N/A,FALSE,"집계표"}</definedName>
    <definedName name="ㅗ하ㅓ" localSheetId="2" hidden="1">{#N/A,#N/A,FALSE,"집계표"}</definedName>
    <definedName name="ㅗ하ㅓ" localSheetId="8" hidden="1">{#N/A,#N/A,FALSE,"집계표"}</definedName>
    <definedName name="ㅗ하ㅓ" hidden="1">{#N/A,#N/A,FALSE,"집계표"}</definedName>
    <definedName name="ㅗ허" localSheetId="1" hidden="1">{#N/A,#N/A,FALSE,"집계표"}</definedName>
    <definedName name="ㅗ허" localSheetId="2" hidden="1">{#N/A,#N/A,FALSE,"집계표"}</definedName>
    <definedName name="ㅗ허" localSheetId="8" hidden="1">{#N/A,#N/A,FALSE,"집계표"}</definedName>
    <definedName name="ㅗ허" hidden="1">{#N/A,#N/A,FALSE,"집계표"}</definedName>
    <definedName name="ㅗ혀ㅏㄹ" localSheetId="1" hidden="1">{#N/A,#N/A,FALSE,"집계표"}</definedName>
    <definedName name="ㅗ혀ㅏㄹ" localSheetId="2" hidden="1">{#N/A,#N/A,FALSE,"집계표"}</definedName>
    <definedName name="ㅗ혀ㅏㄹ" localSheetId="8" hidden="1">{#N/A,#N/A,FALSE,"집계표"}</definedName>
    <definedName name="ㅗ혀ㅏㄹ" hidden="1">{#N/A,#N/A,FALSE,"집계표"}</definedName>
    <definedName name="ㅗ홓ㅎ로" localSheetId="1" hidden="1">{"'장비'!$A$3:$M$12"}</definedName>
    <definedName name="ㅗ홓ㅎ로" localSheetId="2" hidden="1">{"'장비'!$A$3:$M$12"}</definedName>
    <definedName name="ㅗ홓ㅎ로" localSheetId="8" hidden="1">{"'장비'!$A$3:$M$12"}</definedName>
    <definedName name="ㅗ홓ㅎ로" hidden="1">{"'장비'!$A$3:$M$12"}</definedName>
    <definedName name="ㅗㅓㅀㅅ" localSheetId="1" hidden="1">{#N/A,#N/A,FALSE,"집계표"}</definedName>
    <definedName name="ㅗㅓㅀㅅ" localSheetId="2" hidden="1">{#N/A,#N/A,FALSE,"집계표"}</definedName>
    <definedName name="ㅗㅓㅀㅅ" localSheetId="8" hidden="1">{#N/A,#N/A,FALSE,"집계표"}</definedName>
    <definedName name="ㅗㅓㅀㅅ" hidden="1">{#N/A,#N/A,FALSE,"집계표"}</definedName>
    <definedName name="ㅗㅓㅕㅑㅕ" localSheetId="1" hidden="1">{#N/A,#N/A,FALSE,"Sheet6"}</definedName>
    <definedName name="ㅗㅓㅕㅑㅕ" localSheetId="2" hidden="1">{#N/A,#N/A,FALSE,"Sheet6"}</definedName>
    <definedName name="ㅗㅓㅕㅑㅕ" localSheetId="8" hidden="1">{#N/A,#N/A,FALSE,"Sheet6"}</definedName>
    <definedName name="ㅗㅓㅕㅑㅕ" hidden="1">{#N/A,#N/A,FALSE,"Sheet6"}</definedName>
    <definedName name="ㅗㅓㅛㅎ" localSheetId="1" hidden="1">{#N/A,#N/A,FALSE,"Sheet6"}</definedName>
    <definedName name="ㅗㅓㅛㅎ" localSheetId="2" hidden="1">{#N/A,#N/A,FALSE,"Sheet6"}</definedName>
    <definedName name="ㅗㅓㅛㅎ" localSheetId="8" hidden="1">{#N/A,#N/A,FALSE,"Sheet6"}</definedName>
    <definedName name="ㅗㅓㅛㅎ" hidden="1">{#N/A,#N/A,FALSE,"Sheet6"}</definedName>
    <definedName name="ㅗㅗ" localSheetId="1" hidden="1">{#N/A,#N/A,FALSE,"명세표"}</definedName>
    <definedName name="ㅗㅗ" localSheetId="2" hidden="1">{#N/A,#N/A,FALSE,"명세표"}</definedName>
    <definedName name="ㅗㅗ" localSheetId="8" hidden="1">{#N/A,#N/A,FALSE,"명세표"}</definedName>
    <definedName name="ㅗㅗ" hidden="1">{#N/A,#N/A,FALSE,"명세표"}</definedName>
    <definedName name="ㅗㅗ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1" hidden="1">{"'장비'!$A$3:$M$12"}</definedName>
    <definedName name="ㅗㅗㅗㅗㅗ" localSheetId="2" hidden="1">{"'장비'!$A$3:$M$12"}</definedName>
    <definedName name="ㅗㅗㅗㅗㅗ" localSheetId="8" hidden="1">{"'장비'!$A$3:$M$12"}</definedName>
    <definedName name="ㅗㅗㅗㅗㅗ" hidden="1">{"'장비'!$A$3:$M$12"}</definedName>
    <definedName name="ㅗㅠ" localSheetId="1" hidden="1">{#N/A,#N/A,FALSE,"집계표"}</definedName>
    <definedName name="ㅗㅠ" localSheetId="2" hidden="1">{#N/A,#N/A,FALSE,"집계표"}</definedName>
    <definedName name="ㅗㅠ" localSheetId="8" hidden="1">{#N/A,#N/A,FALSE,"집계표"}</definedName>
    <definedName name="ㅗㅠ" hidden="1">{#N/A,#N/A,FALSE,"집계표"}</definedName>
    <definedName name="ㅛ" localSheetId="1" hidden="1">{"'장비'!$A$3:$M$12"}</definedName>
    <definedName name="ㅛ" localSheetId="2" hidden="1">{#N/A,#N/A,FALSE,"이태원철근"}</definedName>
    <definedName name="ㅛ" localSheetId="8" hidden="1">{#N/A,#N/A,FALSE,"이태원철근"}</definedName>
    <definedName name="ㅛ" hidden="1">{#N/A,#N/A,FALSE,"이태원철근"}</definedName>
    <definedName name="ㅛㅅ겨ㅑㅛㅅ" localSheetId="1" hidden="1">{#N/A,#N/A,FALSE,"집계표"}</definedName>
    <definedName name="ㅛㅅ겨ㅑㅛㅅ" localSheetId="2" hidden="1">{#N/A,#N/A,FALSE,"집계표"}</definedName>
    <definedName name="ㅛㅅ겨ㅑㅛㅅ" localSheetId="8" hidden="1">{#N/A,#N/A,FALSE,"집계표"}</definedName>
    <definedName name="ㅛㅅ겨ㅑㅛㅅ" hidden="1">{#N/A,#N/A,FALSE,"집계표"}</definedName>
    <definedName name="ㅛ셔쇼ㅕ" localSheetId="1" hidden="1">{#N/A,#N/A,FALSE,"Sheet6"}</definedName>
    <definedName name="ㅛ셔쇼ㅕ" localSheetId="2" hidden="1">{#N/A,#N/A,FALSE,"Sheet6"}</definedName>
    <definedName name="ㅛ셔쇼ㅕ" localSheetId="8" hidden="1">{#N/A,#N/A,FALSE,"Sheet6"}</definedName>
    <definedName name="ㅛ셔쇼ㅕ" hidden="1">{#N/A,#N/A,FALSE,"Sheet6"}</definedName>
    <definedName name="ㅛㅓ쇼" localSheetId="1" hidden="1">{#N/A,#N/A,FALSE,"Sheet6"}</definedName>
    <definedName name="ㅛㅓ쇼" localSheetId="2" hidden="1">{#N/A,#N/A,FALSE,"Sheet6"}</definedName>
    <definedName name="ㅛㅓ쇼" localSheetId="8" hidden="1">{#N/A,#N/A,FALSE,"Sheet6"}</definedName>
    <definedName name="ㅛㅓ쇼" hidden="1">{#N/A,#N/A,FALSE,"Sheet6"}</definedName>
    <definedName name="ㅛㅕㅑ" hidden="1">#REF!</definedName>
    <definedName name="ㅛㅛㅛ" localSheetId="1" hidden="1">{"'장비'!$A$3:$M$12"}</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1" hidden="1">{#N/A,#N/A,FALSE,"CCTV"}</definedName>
    <definedName name="ㅜㅜㅜㅜㅜㅜ" localSheetId="2" hidden="1">{#N/A,#N/A,FALSE,"CCTV"}</definedName>
    <definedName name="ㅜㅜㅜㅜㅜㅜ" localSheetId="8" hidden="1">{#N/A,#N/A,FALSE,"CCTV"}</definedName>
    <definedName name="ㅜㅜㅜㅜㅜㅜ" hidden="1">{#N/A,#N/A,FALSE,"CCTV"}</definedName>
    <definedName name="ㅜㅡㅡ"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1" hidden="1">{#N/A,#N/A,FALSE,"이태원철근"}</definedName>
    <definedName name="ㅠ" localSheetId="2" hidden="1">{#N/A,#N/A,FALSE,"이태원철근"}</definedName>
    <definedName name="ㅠ" localSheetId="8" hidden="1">{#N/A,#N/A,FALSE,"이태원철근"}</definedName>
    <definedName name="ㅠ" hidden="1">{#N/A,#N/A,FALSE,"이태원철근"}</definedName>
    <definedName name="ㅠ뮤ㅐ" hidden="1">#REF!</definedName>
    <definedName name="ㅠㅍㅎ" localSheetId="1" hidden="1">{#N/A,#N/A,FALSE,"집계표"}</definedName>
    <definedName name="ㅠㅍㅎ" localSheetId="2" hidden="1">{#N/A,#N/A,FALSE,"집계표"}</definedName>
    <definedName name="ㅠㅍㅎ" localSheetId="8" hidden="1">{#N/A,#N/A,FALSE,"집계표"}</definedName>
    <definedName name="ㅠㅍㅎ" hidden="1">{#N/A,#N/A,FALSE,"집계표"}</definedName>
    <definedName name="ㅠ포ㅓㅓㅓㅓㅓㅓ" localSheetId="1" hidden="1">{#N/A,#N/A,FALSE,"집계표"}</definedName>
    <definedName name="ㅠ포ㅓㅓㅓㅓㅓㅓ" localSheetId="2" hidden="1">{#N/A,#N/A,FALSE,"집계표"}</definedName>
    <definedName name="ㅠ포ㅓㅓㅓㅓㅓㅓ" localSheetId="8" hidden="1">{#N/A,#N/A,FALSE,"집계표"}</definedName>
    <definedName name="ㅠ포ㅓㅓㅓㅓㅓㅓ" hidden="1">{#N/A,#N/A,FALSE,"집계표"}</definedName>
    <definedName name="ㅠㅎㅇㄴ" localSheetId="1" hidden="1">{#N/A,#N/A,FALSE,"지침";#N/A,#N/A,FALSE,"환경분석";#N/A,#N/A,FALSE,"Sheet16"}</definedName>
    <definedName name="ㅠㅎㅇㄴ" localSheetId="2" hidden="1">{#N/A,#N/A,FALSE,"지침";#N/A,#N/A,FALSE,"환경분석";#N/A,#N/A,FALSE,"Sheet16"}</definedName>
    <definedName name="ㅠㅎㅇㄴ" localSheetId="8" hidden="1">{#N/A,#N/A,FALSE,"지침";#N/A,#N/A,FALSE,"환경분석";#N/A,#N/A,FALSE,"Sheet16"}</definedName>
    <definedName name="ㅠㅎㅇㄴ" hidden="1">{#N/A,#N/A,FALSE,"지침";#N/A,#N/A,FALSE,"환경분석";#N/A,#N/A,FALSE,"Sheet16"}</definedName>
    <definedName name="ㅠㅜㅛ" localSheetId="1" hidden="1">{#N/A,#N/A,FALSE,"Sheet6"}</definedName>
    <definedName name="ㅠㅜㅛ" localSheetId="2" hidden="1">{#N/A,#N/A,FALSE,"Sheet6"}</definedName>
    <definedName name="ㅠㅜㅛ" localSheetId="8" hidden="1">{#N/A,#N/A,FALSE,"Sheet6"}</definedName>
    <definedName name="ㅠㅜㅛ" hidden="1">{#N/A,#N/A,FALSE,"Sheet6"}</definedName>
    <definedName name="ㅡ" localSheetId="1" hidden="1">{#N/A,#N/A,FALSE,"이태원철근"}</definedName>
    <definedName name="ㅡ" localSheetId="2" hidden="1">{#N/A,#N/A,FALSE,"이태원철근"}</definedName>
    <definedName name="ㅡ" localSheetId="8" hidden="1">{#N/A,#N/A,FALSE,"이태원철근"}</definedName>
    <definedName name="ㅡ" hidden="1">{#N/A,#N/A,FALSE,"이태원철근"}</definedName>
    <definedName name="ㅡ므" localSheetId="1" hidden="1">{#N/A,#N/A,FALSE,"집계표"}</definedName>
    <definedName name="ㅡ므" localSheetId="2" hidden="1">{#N/A,#N/A,FALSE,"집계표"}</definedName>
    <definedName name="ㅡ므" localSheetId="8" hidden="1">{#N/A,#N/A,FALSE,"집계표"}</definedName>
    <definedName name="ㅡ므" hidden="1">{#N/A,#N/A,FALSE,"집계표"}</definedName>
    <definedName name="ㅡㅡ" localSheetId="1" hidden="1">{#N/A,#N/A,FALSE,"명세표"}</definedName>
    <definedName name="ㅡㅡ" localSheetId="2" hidden="1">{#N/A,#N/A,FALSE,"명세표"}</definedName>
    <definedName name="ㅡㅡ" localSheetId="8" hidden="1">{#N/A,#N/A,FALSE,"명세표"}</definedName>
    <definedName name="ㅡㅡ" hidden="1">{#N/A,#N/A,FALSE,"명세표"}</definedName>
    <definedName name="ㅣㄴ아ㅓㄹ" localSheetId="1" hidden="1">{#N/A,#N/A,FALSE,"집계표"}</definedName>
    <definedName name="ㅣㄴ아ㅓㄹ" localSheetId="2" hidden="1">{#N/A,#N/A,FALSE,"집계표"}</definedName>
    <definedName name="ㅣㄴ아ㅓㄹ" localSheetId="8" hidden="1">{#N/A,#N/A,FALSE,"집계표"}</definedName>
    <definedName name="ㅣㄴ아ㅓㄹ" hidden="1">{#N/A,#N/A,FALSE,"집계표"}</definedName>
    <definedName name="ㅣㅁㄴ" localSheetId="1" hidden="1">{#N/A,#N/A,FALSE,"집계표"}</definedName>
    <definedName name="ㅣㅁㄴ" localSheetId="2" hidden="1">{#N/A,#N/A,FALSE,"집계표"}</definedName>
    <definedName name="ㅣㅁㄴ" localSheetId="8" hidden="1">{#N/A,#N/A,FALSE,"집계표"}</definedName>
    <definedName name="ㅣㅁㄴ" hidden="1">{#N/A,#N/A,FALSE,"집계표"}</definedName>
    <definedName name="ㅣㅁㄴ러ㅑㄱ" localSheetId="1" hidden="1">{#N/A,#N/A,FALSE,"집계표"}</definedName>
    <definedName name="ㅣㅁㄴ러ㅑㄱ" localSheetId="2" hidden="1">{#N/A,#N/A,FALSE,"집계표"}</definedName>
    <definedName name="ㅣㅁㄴ러ㅑㄱ" localSheetId="8" hidden="1">{#N/A,#N/A,FALSE,"집계표"}</definedName>
    <definedName name="ㅣㅁㄴ러ㅑㄱ" hidden="1">{#N/A,#N/A,FALSE,"집계표"}</definedName>
    <definedName name="ㅣㅏㄴ아ㅓ리ㅏ허" localSheetId="1" hidden="1">{#N/A,#N/A,FALSE,"집계표"}</definedName>
    <definedName name="ㅣㅏㄴ아ㅓ리ㅏ허" localSheetId="2" hidden="1">{#N/A,#N/A,FALSE,"집계표"}</definedName>
    <definedName name="ㅣㅏㄴ아ㅓ리ㅏ허" localSheetId="8" hidden="1">{#N/A,#N/A,FALSE,"집계표"}</definedName>
    <definedName name="ㅣㅏㄴ아ㅓ리ㅏ허" hidden="1">{#N/A,#N/A,FALSE,"집계표"}</definedName>
    <definedName name="ㅣㅏ넝리ㅏㅓㅎ" localSheetId="1" hidden="1">{#N/A,#N/A,FALSE,"집계표"}</definedName>
    <definedName name="ㅣㅏ넝리ㅏㅓㅎ" localSheetId="2" hidden="1">{#N/A,#N/A,FALSE,"집계표"}</definedName>
    <definedName name="ㅣㅏ넝리ㅏㅓㅎ" localSheetId="8" hidden="1">{#N/A,#N/A,FALSE,"집계표"}</definedName>
    <definedName name="ㅣㅏ넝리ㅏㅓㅎ" hidden="1">{#N/A,#N/A,FALSE,"집계표"}</definedName>
    <definedName name="ㅣㅏㅇ널" localSheetId="1" hidden="1">{#N/A,#N/A,FALSE,"집계표"}</definedName>
    <definedName name="ㅣㅏㅇ널" localSheetId="2" hidden="1">{#N/A,#N/A,FALSE,"집계표"}</definedName>
    <definedName name="ㅣㅏㅇ널" localSheetId="8" hidden="1">{#N/A,#N/A,FALSE,"집계표"}</definedName>
    <definedName name="ㅣㅏㅇ널" hidden="1">{#N/A,#N/A,FALSE,"집계표"}</definedName>
    <definedName name="ㅣㅏ아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1" hidden="1">{#N/A,#N/A,FALSE,"집계표"}</definedName>
    <definedName name="ㅣㅏㅑㅓㄴ이ㅏㅎㄹ" localSheetId="2" hidden="1">{#N/A,#N/A,FALSE,"집계표"}</definedName>
    <definedName name="ㅣㅏㅑㅓㄴ이ㅏㅎㄹ" localSheetId="8" hidden="1">{#N/A,#N/A,FALSE,"집계표"}</definedName>
    <definedName name="ㅣㅏㅑㅓㄴ이ㅏㅎㄹ" hidden="1">{#N/A,#N/A,FALSE,"집계표"}</definedName>
    <definedName name="ㅣㅐ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1" hidden="1">{#N/A,#N/A,FALSE,"단가표지"}</definedName>
    <definedName name="ㅣㅑㅑ" localSheetId="2" hidden="1">{#N/A,#N/A,FALSE,"단가표지"}</definedName>
    <definedName name="ㅣㅑㅑ" localSheetId="8" hidden="1">{#N/A,#N/A,FALSE,"단가표지"}</definedName>
    <definedName name="ㅣㅑㅑ" hidden="1">{#N/A,#N/A,FALSE,"단가표지"}</definedName>
    <definedName name="ㅣㅣ" localSheetId="1" hidden="1">{#N/A,#N/A,FALSE,"물가변동 (2)";#N/A,#N/A,FALSE,"공사비";#N/A,#N/A,FALSE,"사급";#N/A,#N/A,FALSE,"도급집계";#N/A,#N/A,FALSE,"재료비";#N/A,#N/A,FALSE,"노무비";#N/A,#N/A,FALSE,"경비"}</definedName>
    <definedName name="ㅣㅣ" localSheetId="2" hidden="1">{#N/A,#N/A,FALSE,"물가변동 (2)";#N/A,#N/A,FALSE,"공사비";#N/A,#N/A,FALSE,"사급";#N/A,#N/A,FALSE,"도급집계";#N/A,#N/A,FALSE,"재료비";#N/A,#N/A,FALSE,"노무비";#N/A,#N/A,FALSE,"경비"}</definedName>
    <definedName name="ㅣㅣ" localSheetId="8" hidden="1">{#N/A,#N/A,FALSE,"물가변동 (2)";#N/A,#N/A,FALSE,"공사비";#N/A,#N/A,FALSE,"사급";#N/A,#N/A,FALSE,"도급집계";#N/A,#N/A,FALSE,"재료비";#N/A,#N/A,FALSE,"노무비";#N/A,#N/A,FALSE,"경비"}</definedName>
    <definedName name="ㅣㅣ" hidden="1">{#N/A,#N/A,FALSE,"물가변동 (2)";#N/A,#N/A,FALSE,"공사비";#N/A,#N/A,FALSE,"사급";#N/A,#N/A,FALSE,"도급집계";#N/A,#N/A,FALSE,"재료비";#N/A,#N/A,FALSE,"노무비";#N/A,#N/A,FALSE,"경비"}</definedName>
    <definedName name="ㅣㅣㅣ"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1" hidden="1">{#N/A,#N/A,FALSE,"주간공정";#N/A,#N/A,FALSE,"주간보고";#N/A,#N/A,FALSE,"주간공정표"}</definedName>
    <definedName name="ㅣㅣㅣㅣㅣ" localSheetId="2" hidden="1">{#N/A,#N/A,FALSE,"주간공정";#N/A,#N/A,FALSE,"주간보고";#N/A,#N/A,FALSE,"주간공정표"}</definedName>
    <definedName name="ㅣㅣㅣㅣㅣ" localSheetId="8" hidden="1">{#N/A,#N/A,FALSE,"주간공정";#N/A,#N/A,FALSE,"주간보고";#N/A,#N/A,FALSE,"주간공정표"}</definedName>
    <definedName name="ㅣㅣㅣㅣㅣ" hidden="1">{#N/A,#N/A,FALSE,"주간공정";#N/A,#N/A,FALSE,"주간보고";#N/A,#N/A,FALSE,"주간공정표"}</definedName>
    <definedName name="丙模">#REF!</definedName>
    <definedName name="乙模">#REF!</definedName>
    <definedName name="交指手">#REF!</definedName>
    <definedName name="估價單" localSheetId="1" hidden="1">{#N/A,#N/A,FALSE,"估價單  (3)"}</definedName>
    <definedName name="估價單" localSheetId="2" hidden="1">{#N/A,#N/A,FALSE,"估價單  (3)"}</definedName>
    <definedName name="估價單" localSheetId="8" hidden="1">{#N/A,#N/A,FALSE,"估價單  (3)"}</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localSheetId="1" hidden="1">{"'现金流量表（全部投资）'!$B$4:$P$23"}</definedName>
    <definedName name="取费" localSheetId="2" hidden="1">{"'现金流量表（全部投资）'!$B$4:$P$23"}</definedName>
    <definedName name="取费" localSheetId="8" hidden="1">{"'现金流量表（全部投资）'!$B$4:$P$23"}</definedName>
    <definedName name="取费" hidden="1">{"'现金流量表（全部投资）'!$B$4:$P$23"}</definedName>
    <definedName name="司機">#REF!</definedName>
    <definedName name="地坪粉光">#REF!</definedName>
    <definedName name="地基处理" localSheetId="1" hidden="1">{"'现金流量表（全部投资）'!$B$4:$P$23"}</definedName>
    <definedName name="地基处理" localSheetId="2" hidden="1">{"'现金流量表（全部投资）'!$B$4:$P$23"}</definedName>
    <definedName name="地基处理" localSheetId="8" hidden="1">{"'现金流量表（全部投资）'!$B$4:$P$23"}</definedName>
    <definedName name="地基处理" hidden="1">{"'现金流量表（全部投资）'!$B$4:$P$23"}</definedName>
    <definedName name="基_細砂">#REF!</definedName>
    <definedName name="基礎排卵石">#REF!</definedName>
    <definedName name="士大夫" localSheetId="1" hidden="1">{#N/A,#N/A,TRUE,"Cover Memo";"Complete Sys. Estimate",#N/A,TRUE,"Change Summary";"Complete Sys. Estimate",#N/A,TRUE,"Estimate Summary";"Complete Sys. Estimate",#N/A,TRUE,"Dept. Summary";"Complete Sys. Estimate",#N/A,TRUE,"DOW Detail"}</definedName>
    <definedName name="士大夫" localSheetId="2" hidden="1">{#N/A,#N/A,TRUE,"Cover Memo";"Complete Sys. Estimate",#N/A,TRUE,"Change Summary";"Complete Sys. Estimate",#N/A,TRUE,"Estimate Summary";"Complete Sys. Estimate",#N/A,TRUE,"Dept. Summary";"Complete Sys. Estimate",#N/A,TRUE,"DOW Detail"}</definedName>
    <definedName name="士大夫" localSheetId="8" hidden="1">{#N/A,#N/A,TRUE,"Cover Memo";"Complete Sys. Estimate",#N/A,TRUE,"Change Summary";"Complete Sys. Estimate",#N/A,TRUE,"Estimate Summary";"Complete Sys. Estimate",#N/A,TRUE,"Dept. Summary";"Complete Sys. Estimate",#N/A,TRUE,"DOW Detail"}</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localSheetId="1" hidden="1">{"'Sheet1'!$L$16"}</definedName>
    <definedName name="実行" localSheetId="2" hidden="1">{"'Sheet1'!$L$16"}</definedName>
    <definedName name="実行" localSheetId="8" hidden="1">{"'Sheet1'!$L$16"}</definedName>
    <definedName name="実行" hidden="1">{"'Sheet1'!$L$16"}</definedName>
    <definedName name="小工">#REF!</definedName>
    <definedName name="岡田" localSheetId="1" hidden="1">{#N/A,#N/A,TRUE,"SUM";#N/A,#N/A,TRUE,"EE";#N/A,#N/A,TRUE,"AC";#N/A,#N/A,TRUE,"SN"}</definedName>
    <definedName name="岡田" localSheetId="2" hidden="1">{#N/A,#N/A,TRUE,"SUM";#N/A,#N/A,TRUE,"EE";#N/A,#N/A,TRUE,"AC";#N/A,#N/A,TRUE,"SN"}</definedName>
    <definedName name="岡田" localSheetId="8" hidden="1">{#N/A,#N/A,TRUE,"SUM";#N/A,#N/A,TRUE,"EE";#N/A,#N/A,TRUE,"AC";#N/A,#N/A,TRUE,"SN"}</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localSheetId="1" hidden="1">{"'现金流量表（全部投资）'!$B$4:$P$23"}</definedName>
    <definedName name="影响力" localSheetId="2" hidden="1">{"'现金流量表（全部投资）'!$B$4:$P$23"}</definedName>
    <definedName name="影响力" localSheetId="8" hidden="1">{"'现金流量表（全部投资）'!$B$4:$P$23"}</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localSheetId="1" hidden="1">{#N/A,#N/A,TRUE,"Cover Memo";"Complete Sys. Estimate",#N/A,TRUE,"Change Summary";"Complete Sys. Estimate",#N/A,TRUE,"Estimate Summary";"Complete Sys. Estimate",#N/A,TRUE,"Dept. Summary";"Complete Sys. Estimate",#N/A,TRUE,"DOW Detail"}</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招商局广场面积统计" localSheetId="8" hidden="1">{#N/A,#N/A,TRUE,"Cover Memo";"Complete Sys. Estimate",#N/A,TRUE,"Change Summary";"Complete Sys. Estimate",#N/A,TRUE,"Estimate Summary";"Complete Sys. Estimate",#N/A,TRUE,"Dept. Summary";"Complete Sys. Estimate",#N/A,TRUE,"DOW Detail"}</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localSheetId="1" hidden="1">{"'现金流量表（全部投资）'!$B$4:$P$23"}</definedName>
    <definedName name="新封" localSheetId="2" hidden="1">{"'现金流量表（全部投资）'!$B$4:$P$23"}</definedName>
    <definedName name="新封" localSheetId="8" hidden="1">{"'现金流量表（全部投资）'!$B$4:$P$23"}</definedName>
    <definedName name="新封" hidden="1">{"'现金流量表（全部投资）'!$B$4:$P$23"}</definedName>
    <definedName name="是打发斯蒂芬" localSheetId="1" hidden="1">{#N/A,#N/A,TRUE,"Cover Memo";"Complete Sys. Estimate",#N/A,TRUE,"Change Summary";"Complete Sys. Estimate",#N/A,TRUE,"Estimate Summary";"Complete Sys. Estimate",#N/A,TRUE,"Dept. Summary";"Complete Sys. Estimate",#N/A,TRUE,"DOW Detail"}</definedName>
    <definedName name="是打发斯蒂芬" localSheetId="2" hidden="1">{#N/A,#N/A,TRUE,"Cover Memo";"Complete Sys. Estimate",#N/A,TRUE,"Change Summary";"Complete Sys. Estimate",#N/A,TRUE,"Estimate Summary";"Complete Sys. Estimate",#N/A,TRUE,"Dept. Summary";"Complete Sys. Estimate",#N/A,TRUE,"DOW Detail"}</definedName>
    <definedName name="是打发斯蒂芬" localSheetId="8" hidden="1">{#N/A,#N/A,TRUE,"Cover Memo";"Complete Sys. Estimate",#N/A,TRUE,"Change Summary";"Complete Sys. Estimate",#N/A,TRUE,"Estimate Summary";"Complete Sys. Estimate",#N/A,TRUE,"Dept. Summary";"Complete Sys. Estimate",#N/A,TRUE,"DOW Detail"}</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localSheetId="1" hidden="1">{#N/A,#N/A,FALSE,"估價單  (3)"}</definedName>
    <definedName name="汇总" localSheetId="2" hidden="1">{#N/A,#N/A,FALSE,"估價單  (3)"}</definedName>
    <definedName name="汇总" localSheetId="8" hidden="1">{#N/A,#N/A,FALSE,"估價單  (3)"}</definedName>
    <definedName name="汇总" hidden="1">{#N/A,#N/A,FALSE,"估價單  (3)"}</definedName>
    <definedName name="汇总表" localSheetId="1" hidden="1">{#N/A,#N/A,FALSE,"估價單  (3)"}</definedName>
    <definedName name="汇总表" localSheetId="2" hidden="1">{#N/A,#N/A,FALSE,"估價單  (3)"}</definedName>
    <definedName name="汇总表" localSheetId="8"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localSheetId="1" hidden="1">{"'现金流量表（全部投资）'!$B$4:$P$23"}</definedName>
    <definedName name="脱硫表二" localSheetId="2" hidden="1">{"'现金流量表（全部投资）'!$B$4:$P$23"}</definedName>
    <definedName name="脱硫表二" localSheetId="8" hidden="1">{"'现金流量表（全部投资）'!$B$4:$P$23"}</definedName>
    <definedName name="脱硫表二" hidden="1">{"'现金流量表（全部投资）'!$B$4:$P$23"}</definedName>
    <definedName name="軟貼20_20">#REF!</definedName>
    <definedName name="酒店精装修" localSheetId="1" hidden="1">{#N/A,#N/A,TRUE,"Cover Memo";"Complete Sys. Estimate",#N/A,TRUE,"Change Summary";"Complete Sys. Estimate",#N/A,TRUE,"Estimate Summary";"Complete Sys. Estimate",#N/A,TRUE,"Dept. Summary";"Complete Sys. Estimate",#N/A,TRUE,"DOW Detail"}</definedName>
    <definedName name="酒店精装修" localSheetId="2" hidden="1">{#N/A,#N/A,TRUE,"Cover Memo";"Complete Sys. Estimate",#N/A,TRUE,"Change Summary";"Complete Sys. Estimate",#N/A,TRUE,"Estimate Summary";"Complete Sys. Estimate",#N/A,TRUE,"Dept. Summary";"Complete Sys. Estimate",#N/A,TRUE,"DOW Detail"}</definedName>
    <definedName name="酒店精装修" localSheetId="8" hidden="1">{#N/A,#N/A,TRUE,"Cover Memo";"Complete Sys. Estimate",#N/A,TRUE,"Change Summary";"Complete Sys. Estimate",#N/A,TRUE,"Estimate Summary";"Complete Sys. Estimate",#N/A,TRUE,"Dept. Summary";"Complete Sys. Estimate",#N/A,TRUE,"DOW Detail"}</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localSheetId="1"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面积表" localSheetId="8" hidden="1">{#N/A,#N/A,TRUE,"Cover Memo";"Complete Sys. Estimate",#N/A,TRUE,"Change Summary";"Complete Sys. Estimate",#N/A,TRUE,"Estimate Summary";"Complete Sys. Estimate",#N/A,TRUE,"Dept. Summary";"Complete Sys. Estimate",#N/A,TRUE,"DOW Detail"}</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2" i="8" l="1"/>
  <c r="L142" i="8"/>
  <c r="K142" i="8"/>
  <c r="A142" i="8"/>
  <c r="A139" i="8"/>
  <c r="A138" i="8"/>
  <c r="A137" i="8"/>
  <c r="A136" i="8"/>
  <c r="A134" i="8"/>
  <c r="A133" i="8"/>
  <c r="A132" i="8"/>
  <c r="A131" i="8"/>
  <c r="A130" i="8"/>
  <c r="A129" i="8"/>
  <c r="A128" i="8"/>
  <c r="A127" i="8"/>
  <c r="A126" i="8"/>
  <c r="A125" i="8"/>
  <c r="A124" i="8"/>
  <c r="A123" i="8"/>
  <c r="A122"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88" i="8"/>
  <c r="A87" i="8"/>
  <c r="A86" i="8"/>
  <c r="A85" i="8"/>
  <c r="A84" i="8"/>
  <c r="A83" i="8"/>
  <c r="A82" i="8"/>
  <c r="A81" i="8"/>
  <c r="A80" i="8"/>
  <c r="A79" i="8"/>
  <c r="A78" i="8"/>
  <c r="A76" i="8"/>
  <c r="A75" i="8"/>
  <c r="A74" i="8"/>
  <c r="A73" i="8"/>
  <c r="A72" i="8"/>
  <c r="A71" i="8"/>
  <c r="A70" i="8"/>
  <c r="A69" i="8"/>
  <c r="A68" i="8"/>
  <c r="A67" i="8"/>
  <c r="A66" i="8"/>
  <c r="A65" i="8"/>
  <c r="A64" i="8"/>
  <c r="A63" i="8"/>
  <c r="A62" i="8"/>
  <c r="A61" i="8"/>
  <c r="A59" i="8"/>
  <c r="A58" i="8"/>
  <c r="A57" i="8"/>
  <c r="A56" i="8"/>
  <c r="A55" i="8"/>
  <c r="A53" i="8"/>
  <c r="A52" i="8"/>
  <c r="A51" i="8"/>
  <c r="A50" i="8"/>
  <c r="A49" i="8"/>
  <c r="A48" i="8"/>
  <c r="A47" i="8"/>
  <c r="A46" i="8"/>
  <c r="A45" i="8"/>
  <c r="A44" i="8"/>
  <c r="A43" i="8"/>
  <c r="A42" i="8"/>
  <c r="A40" i="8"/>
  <c r="A39" i="8"/>
  <c r="A38" i="8"/>
  <c r="A36" i="8"/>
  <c r="A35" i="8"/>
  <c r="A33" i="8"/>
  <c r="A32" i="8"/>
  <c r="A31" i="8"/>
  <c r="A29" i="8"/>
  <c r="A28" i="8"/>
  <c r="A27" i="8"/>
  <c r="A25" i="8"/>
  <c r="A24" i="8"/>
  <c r="A22" i="8"/>
  <c r="A20" i="8"/>
  <c r="A19" i="8"/>
  <c r="A18" i="8"/>
  <c r="A17" i="8"/>
  <c r="A16" i="8"/>
  <c r="A12" i="8"/>
  <c r="A11" i="8"/>
  <c r="A10" i="8"/>
  <c r="A9" i="8"/>
  <c r="A8" i="8"/>
  <c r="A7" i="8"/>
  <c r="A6" i="8"/>
  <c r="M57" i="7"/>
  <c r="L57" i="7"/>
  <c r="K57" i="7"/>
  <c r="A57" i="7"/>
  <c r="A54" i="7"/>
  <c r="A53" i="7"/>
  <c r="A52" i="7"/>
  <c r="A51"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0" i="7"/>
  <c r="A19" i="7"/>
  <c r="A18" i="7"/>
  <c r="A17" i="7"/>
  <c r="A16" i="7"/>
  <c r="A15" i="7"/>
  <c r="A14" i="7"/>
  <c r="A13" i="7"/>
  <c r="A12" i="7"/>
  <c r="A11" i="7"/>
  <c r="A10" i="7"/>
  <c r="A9" i="7"/>
  <c r="A8" i="7"/>
  <c r="A7" i="7"/>
  <c r="M279" i="6"/>
  <c r="L279" i="6"/>
  <c r="K279" i="6"/>
  <c r="A279" i="6"/>
  <c r="A275" i="6"/>
  <c r="A274" i="6"/>
  <c r="A272" i="6"/>
  <c r="A271" i="6"/>
  <c r="A270" i="6"/>
  <c r="A269" i="6"/>
  <c r="A268" i="6"/>
  <c r="A267" i="6"/>
  <c r="A265" i="6"/>
  <c r="A264" i="6"/>
  <c r="A263" i="6"/>
  <c r="A262" i="6"/>
  <c r="A261" i="6"/>
  <c r="A260" i="6"/>
  <c r="A259" i="6"/>
  <c r="A258" i="6"/>
  <c r="A257" i="6"/>
  <c r="A256" i="6"/>
  <c r="A255" i="6"/>
  <c r="A254" i="6"/>
  <c r="A253" i="6"/>
  <c r="A252" i="6"/>
  <c r="A250" i="6"/>
  <c r="A249" i="6"/>
  <c r="A248" i="6"/>
  <c r="A247" i="6"/>
  <c r="A246" i="6"/>
  <c r="A245" i="6"/>
  <c r="A244" i="6"/>
  <c r="A243" i="6"/>
  <c r="A242" i="6"/>
  <c r="A241" i="6"/>
  <c r="A240" i="6"/>
  <c r="A239" i="6"/>
  <c r="A237" i="6"/>
  <c r="A236" i="6"/>
  <c r="A235" i="6"/>
  <c r="A234" i="6"/>
  <c r="A233" i="6"/>
  <c r="A232" i="6"/>
  <c r="A231" i="6"/>
  <c r="A230" i="6"/>
  <c r="A229" i="6"/>
  <c r="A228" i="6"/>
  <c r="A225" i="6"/>
  <c r="A224" i="6"/>
  <c r="A223" i="6"/>
  <c r="A222" i="6"/>
  <c r="A221" i="6"/>
  <c r="A220" i="6"/>
  <c r="A219" i="6"/>
  <c r="A218" i="6"/>
  <c r="A217" i="6"/>
  <c r="A216" i="6"/>
  <c r="A215" i="6"/>
  <c r="A214" i="6"/>
  <c r="A213" i="6"/>
  <c r="A212" i="6"/>
  <c r="A211" i="6"/>
  <c r="A210" i="6"/>
  <c r="A209" i="6"/>
  <c r="A207" i="6"/>
  <c r="A206" i="6"/>
  <c r="A205" i="6"/>
  <c r="A204" i="6"/>
  <c r="A203" i="6"/>
  <c r="A202"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3" i="6"/>
  <c r="A162" i="6"/>
  <c r="A161" i="6"/>
  <c r="A160" i="6"/>
  <c r="A159" i="6"/>
  <c r="A158" i="6"/>
  <c r="A157" i="6"/>
  <c r="A156" i="6"/>
  <c r="A155" i="6"/>
  <c r="A153" i="6"/>
  <c r="A152" i="6"/>
  <c r="A151" i="6"/>
  <c r="A150" i="6"/>
  <c r="A149" i="6"/>
  <c r="A148" i="6"/>
  <c r="A147" i="6"/>
  <c r="A146" i="6"/>
  <c r="A145" i="6"/>
  <c r="A144" i="6"/>
  <c r="A143" i="6"/>
  <c r="A142" i="6"/>
  <c r="A141" i="6"/>
  <c r="A140" i="6"/>
  <c r="A139" i="6"/>
  <c r="A138" i="6"/>
  <c r="A135" i="6"/>
  <c r="A134" i="6"/>
  <c r="A133" i="6"/>
  <c r="A132" i="6"/>
  <c r="A131" i="6"/>
  <c r="A130" i="6"/>
  <c r="A129" i="6"/>
  <c r="A128" i="6"/>
  <c r="A127" i="6"/>
  <c r="A126" i="6"/>
  <c r="A125" i="6"/>
  <c r="A124" i="6"/>
  <c r="A122" i="6"/>
  <c r="A121" i="6"/>
  <c r="A120" i="6"/>
  <c r="A119" i="6"/>
  <c r="A118" i="6"/>
  <c r="A116" i="6"/>
  <c r="A115" i="6"/>
  <c r="A114" i="6"/>
  <c r="A113" i="6"/>
  <c r="A112" i="6"/>
  <c r="A109" i="6"/>
  <c r="A108" i="6"/>
  <c r="A107" i="6"/>
  <c r="A106" i="6"/>
  <c r="A105" i="6"/>
  <c r="A104" i="6"/>
  <c r="A103" i="6"/>
  <c r="A102" i="6"/>
  <c r="A101" i="6"/>
  <c r="A100" i="6"/>
  <c r="A99" i="6"/>
  <c r="A98" i="6"/>
  <c r="A97" i="6"/>
  <c r="A96" i="6"/>
  <c r="A95" i="6"/>
  <c r="A94" i="6"/>
  <c r="A93" i="6"/>
  <c r="A92" i="6"/>
  <c r="A91" i="6"/>
  <c r="A90" i="6"/>
  <c r="A88" i="6"/>
  <c r="A87" i="6"/>
  <c r="A86" i="6"/>
  <c r="A85" i="6"/>
  <c r="A84" i="6"/>
  <c r="A83" i="6"/>
  <c r="A82" i="6"/>
  <c r="A81" i="6"/>
  <c r="A80" i="6"/>
  <c r="A79" i="6"/>
  <c r="A78" i="6"/>
  <c r="A77" i="6"/>
  <c r="A76" i="6"/>
  <c r="A75" i="6"/>
  <c r="A74" i="6"/>
  <c r="A73" i="6"/>
  <c r="A72" i="6"/>
  <c r="A71" i="6"/>
  <c r="A69" i="6"/>
  <c r="A68" i="6"/>
  <c r="A67" i="6"/>
  <c r="A66" i="6"/>
  <c r="A65" i="6"/>
  <c r="A64" i="6"/>
  <c r="A63" i="6"/>
  <c r="A62" i="6"/>
  <c r="A61" i="6"/>
  <c r="A60" i="6"/>
  <c r="A59" i="6"/>
  <c r="A58" i="6"/>
  <c r="A57" i="6"/>
  <c r="A54" i="6"/>
  <c r="A53" i="6"/>
  <c r="A52" i="6"/>
  <c r="A51" i="6"/>
  <c r="A50" i="6"/>
  <c r="A49" i="6"/>
  <c r="A48" i="6"/>
  <c r="A47" i="6"/>
  <c r="A46" i="6"/>
  <c r="A45" i="6"/>
  <c r="A43" i="6"/>
  <c r="A42" i="6"/>
  <c r="A41" i="6"/>
  <c r="A40" i="6"/>
  <c r="A39" i="6"/>
  <c r="A38" i="6"/>
  <c r="A37" i="6"/>
  <c r="A36" i="6"/>
  <c r="A35" i="6"/>
  <c r="A34" i="6"/>
  <c r="A33" i="6"/>
  <c r="A32" i="6"/>
  <c r="A31" i="6"/>
  <c r="A30" i="6"/>
  <c r="A29" i="6"/>
  <c r="A28" i="6"/>
  <c r="A27" i="6"/>
  <c r="A25" i="6"/>
  <c r="A24" i="6"/>
  <c r="A23" i="6"/>
  <c r="A22" i="6"/>
  <c r="A21" i="6"/>
  <c r="A20" i="6"/>
  <c r="A19" i="6"/>
  <c r="A18" i="6"/>
  <c r="A17" i="6"/>
  <c r="A16" i="6"/>
  <c r="A15" i="6"/>
  <c r="A14" i="6"/>
  <c r="A13" i="6"/>
  <c r="A12" i="6"/>
  <c r="A10" i="6"/>
  <c r="A9" i="6"/>
  <c r="A8" i="6"/>
  <c r="M1034" i="5"/>
  <c r="L1034" i="5"/>
  <c r="K1034" i="5"/>
  <c r="A1034" i="5"/>
  <c r="A1030" i="5"/>
  <c r="A1029" i="5"/>
  <c r="A1028" i="5"/>
  <c r="A1027" i="5"/>
  <c r="A1025" i="5"/>
  <c r="A1024" i="5"/>
  <c r="A1023" i="5"/>
  <c r="A1022" i="5"/>
  <c r="A1021" i="5"/>
  <c r="A1020" i="5"/>
  <c r="A1019" i="5"/>
  <c r="A1018" i="5"/>
  <c r="A1017" i="5"/>
  <c r="A1016" i="5"/>
  <c r="A1015" i="5"/>
  <c r="A1014" i="5"/>
  <c r="A1013" i="5"/>
  <c r="A1012" i="5"/>
  <c r="A1011" i="5"/>
  <c r="A1010" i="5"/>
  <c r="A1009" i="5"/>
  <c r="A1008" i="5"/>
  <c r="A1007" i="5"/>
  <c r="A1006" i="5"/>
  <c r="A1003" i="5"/>
  <c r="A1002" i="5"/>
  <c r="A1001" i="5"/>
  <c r="A1000" i="5"/>
  <c r="A999" i="5"/>
  <c r="A998" i="5"/>
  <c r="A997" i="5"/>
  <c r="A996" i="5"/>
  <c r="A994" i="5"/>
  <c r="A993" i="5"/>
  <c r="A992" i="5"/>
  <c r="A991" i="5"/>
  <c r="A990" i="5"/>
  <c r="A989" i="5"/>
  <c r="A988" i="5"/>
  <c r="A987" i="5"/>
  <c r="A986" i="5"/>
  <c r="A985" i="5"/>
  <c r="A984" i="5"/>
  <c r="A983" i="5"/>
  <c r="A982" i="5"/>
  <c r="A981" i="5"/>
  <c r="A980" i="5"/>
  <c r="A979" i="5"/>
  <c r="A978" i="5"/>
  <c r="A977" i="5"/>
  <c r="A976" i="5"/>
  <c r="A975" i="5"/>
  <c r="A974" i="5"/>
  <c r="A972" i="5"/>
  <c r="A971" i="5"/>
  <c r="A970" i="5"/>
  <c r="A968" i="5"/>
  <c r="A967" i="5"/>
  <c r="A964" i="5"/>
  <c r="A962" i="5"/>
  <c r="A960" i="5"/>
  <c r="A959" i="5"/>
  <c r="A957" i="5"/>
  <c r="A956" i="5"/>
  <c r="A954" i="5"/>
  <c r="A953" i="5"/>
  <c r="A951" i="5"/>
  <c r="A950" i="5"/>
  <c r="A948" i="5"/>
  <c r="A947" i="5"/>
  <c r="A945" i="5"/>
  <c r="A944" i="5"/>
  <c r="A942" i="5"/>
  <c r="A941" i="5"/>
  <c r="A939" i="5"/>
  <c r="A938" i="5"/>
  <c r="A936" i="5"/>
  <c r="A935" i="5"/>
  <c r="A933" i="5"/>
  <c r="A932" i="5"/>
  <c r="A930" i="5"/>
  <c r="A929" i="5"/>
  <c r="A927" i="5"/>
  <c r="A926" i="5"/>
  <c r="A924" i="5"/>
  <c r="A923" i="5"/>
  <c r="A921" i="5"/>
  <c r="A920" i="5"/>
  <c r="A918" i="5"/>
  <c r="A917" i="5"/>
  <c r="A915" i="5"/>
  <c r="A914" i="5"/>
  <c r="A912" i="5"/>
  <c r="A911" i="5"/>
  <c r="A909" i="5"/>
  <c r="A908" i="5"/>
  <c r="A906" i="5"/>
  <c r="A905" i="5"/>
  <c r="A903" i="5"/>
  <c r="A902" i="5"/>
  <c r="A900" i="5"/>
  <c r="A899" i="5"/>
  <c r="A897" i="5"/>
  <c r="A896" i="5"/>
  <c r="A894" i="5"/>
  <c r="A893" i="5"/>
  <c r="A891" i="5"/>
  <c r="A890" i="5"/>
  <c r="A888" i="5"/>
  <c r="A887" i="5"/>
  <c r="A885" i="5"/>
  <c r="A884" i="5"/>
  <c r="A882" i="5"/>
  <c r="A881" i="5"/>
  <c r="A879" i="5"/>
  <c r="A878" i="5"/>
  <c r="A876" i="5"/>
  <c r="A875" i="5"/>
  <c r="A873" i="5"/>
  <c r="A872" i="5"/>
  <c r="A870" i="5"/>
  <c r="A869" i="5"/>
  <c r="A867" i="5"/>
  <c r="A866" i="5"/>
  <c r="A864" i="5"/>
  <c r="A863" i="5"/>
  <c r="A861" i="5"/>
  <c r="A860" i="5"/>
  <c r="A858" i="5"/>
  <c r="A857" i="5"/>
  <c r="A855" i="5"/>
  <c r="A854" i="5"/>
  <c r="A852" i="5"/>
  <c r="A851" i="5"/>
  <c r="A849" i="5"/>
  <c r="A848" i="5"/>
  <c r="A846" i="5"/>
  <c r="A845" i="5"/>
  <c r="A843" i="5"/>
  <c r="A842" i="5"/>
  <c r="A840" i="5"/>
  <c r="A839" i="5"/>
  <c r="A837" i="5"/>
  <c r="A836" i="5"/>
  <c r="A834" i="5"/>
  <c r="A833" i="5"/>
  <c r="A830" i="5"/>
  <c r="A829" i="5"/>
  <c r="A828" i="5"/>
  <c r="A827" i="5"/>
  <c r="A825" i="5"/>
  <c r="A824" i="5"/>
  <c r="A823" i="5"/>
  <c r="A822" i="5"/>
  <c r="A821" i="5"/>
  <c r="A820" i="5"/>
  <c r="A819" i="5"/>
  <c r="A818" i="5"/>
  <c r="A817" i="5"/>
  <c r="A816" i="5"/>
  <c r="A815" i="5"/>
  <c r="A814" i="5"/>
  <c r="A813" i="5"/>
  <c r="A812" i="5"/>
  <c r="A811" i="5"/>
  <c r="A810" i="5"/>
  <c r="A809" i="5"/>
  <c r="A808" i="5"/>
  <c r="A807" i="5"/>
  <c r="A806" i="5"/>
  <c r="A804" i="5"/>
  <c r="A803" i="5"/>
  <c r="A801" i="5"/>
  <c r="A800" i="5"/>
  <c r="A798" i="5"/>
  <c r="A797" i="5"/>
  <c r="A795" i="5"/>
  <c r="A794" i="5"/>
  <c r="A792" i="5"/>
  <c r="A791" i="5"/>
  <c r="A789" i="5"/>
  <c r="A788" i="5"/>
  <c r="A786" i="5"/>
  <c r="A785" i="5"/>
  <c r="A783" i="5"/>
  <c r="A782" i="5"/>
  <c r="A780" i="5"/>
  <c r="A779" i="5"/>
  <c r="A777" i="5"/>
  <c r="A776" i="5"/>
  <c r="A774" i="5"/>
  <c r="A773" i="5"/>
  <c r="A771" i="5"/>
  <c r="A770" i="5"/>
  <c r="A768" i="5"/>
  <c r="A767" i="5"/>
  <c r="A765" i="5"/>
  <c r="A764" i="5"/>
  <c r="A762" i="5"/>
  <c r="A761" i="5"/>
  <c r="A759" i="5"/>
  <c r="A758" i="5"/>
  <c r="A755" i="5"/>
  <c r="A754" i="5"/>
  <c r="A753" i="5"/>
  <c r="A752" i="5"/>
  <c r="A751" i="5"/>
  <c r="A750" i="5"/>
  <c r="A749" i="5"/>
  <c r="A748" i="5"/>
  <c r="A747" i="5"/>
  <c r="A746" i="5"/>
  <c r="A745" i="5"/>
  <c r="A744" i="5"/>
  <c r="A743" i="5"/>
  <c r="A742" i="5"/>
  <c r="A741" i="5"/>
  <c r="A740" i="5"/>
  <c r="A738" i="5"/>
  <c r="A737" i="5"/>
  <c r="A736" i="5"/>
  <c r="A735" i="5"/>
  <c r="A734" i="5"/>
  <c r="A733" i="5"/>
  <c r="A731" i="5"/>
  <c r="A730" i="5"/>
  <c r="A729" i="5"/>
  <c r="A728" i="5"/>
  <c r="A727" i="5"/>
  <c r="A726" i="5"/>
  <c r="A725" i="5"/>
  <c r="A724" i="5"/>
  <c r="A723" i="5"/>
  <c r="A722" i="5"/>
  <c r="A721" i="5"/>
  <c r="A720" i="5"/>
  <c r="A719" i="5"/>
  <c r="A718" i="5"/>
  <c r="A716" i="5"/>
  <c r="A715" i="5"/>
  <c r="A714" i="5"/>
  <c r="A713" i="5"/>
  <c r="A711" i="5"/>
  <c r="A710" i="5"/>
  <c r="A709" i="5"/>
  <c r="A708" i="5"/>
  <c r="A706" i="5"/>
  <c r="A705" i="5"/>
  <c r="A703" i="5"/>
  <c r="A702" i="5"/>
  <c r="A700" i="5"/>
  <c r="A699" i="5"/>
  <c r="A697" i="5"/>
  <c r="A696" i="5"/>
  <c r="A694" i="5"/>
  <c r="A693" i="5"/>
  <c r="A691" i="5"/>
  <c r="A690" i="5"/>
  <c r="A688" i="5"/>
  <c r="A687" i="5"/>
  <c r="A685" i="5"/>
  <c r="A684" i="5"/>
  <c r="A682" i="5"/>
  <c r="A681" i="5"/>
  <c r="A679" i="5"/>
  <c r="A678" i="5"/>
  <c r="A676" i="5"/>
  <c r="A675" i="5"/>
  <c r="A673" i="5"/>
  <c r="A672" i="5"/>
  <c r="A670" i="5"/>
  <c r="A669" i="5"/>
  <c r="A667" i="5"/>
  <c r="A666" i="5"/>
  <c r="A664" i="5"/>
  <c r="A663" i="5"/>
  <c r="A661" i="5"/>
  <c r="A660" i="5"/>
  <c r="A658" i="5"/>
  <c r="A657" i="5"/>
  <c r="A655" i="5"/>
  <c r="A654" i="5"/>
  <c r="A652" i="5"/>
  <c r="A651" i="5"/>
  <c r="A649" i="5"/>
  <c r="A648" i="5"/>
  <c r="A646" i="5"/>
  <c r="A645" i="5"/>
  <c r="A643" i="5"/>
  <c r="A642" i="5"/>
  <c r="A640" i="5"/>
  <c r="A639" i="5"/>
  <c r="A637" i="5"/>
  <c r="A636" i="5"/>
  <c r="A634" i="5"/>
  <c r="A633" i="5"/>
  <c r="A631" i="5"/>
  <c r="A630" i="5"/>
  <c r="A628" i="5"/>
  <c r="A627" i="5"/>
  <c r="A625" i="5"/>
  <c r="A624" i="5"/>
  <c r="A622" i="5"/>
  <c r="A621" i="5"/>
  <c r="A619" i="5"/>
  <c r="A618" i="5"/>
  <c r="A616" i="5"/>
  <c r="A615" i="5"/>
  <c r="A613" i="5"/>
  <c r="A612" i="5"/>
  <c r="A610" i="5"/>
  <c r="A609" i="5"/>
  <c r="A607" i="5"/>
  <c r="A606" i="5"/>
  <c r="A604" i="5"/>
  <c r="A603" i="5"/>
  <c r="A601" i="5"/>
  <c r="A600" i="5"/>
  <c r="A598" i="5"/>
  <c r="A597" i="5"/>
  <c r="A595" i="5"/>
  <c r="A594" i="5"/>
  <c r="A592" i="5"/>
  <c r="A591" i="5"/>
  <c r="A589" i="5"/>
  <c r="A588" i="5"/>
  <c r="A586" i="5"/>
  <c r="A585" i="5"/>
  <c r="A583" i="5"/>
  <c r="A582" i="5"/>
  <c r="A580" i="5"/>
  <c r="A579" i="5"/>
  <c r="A577" i="5"/>
  <c r="A576" i="5"/>
  <c r="A574" i="5"/>
  <c r="A573" i="5"/>
  <c r="A571" i="5"/>
  <c r="A570" i="5"/>
  <c r="A568" i="5"/>
  <c r="A567" i="5"/>
  <c r="A565" i="5"/>
  <c r="A564" i="5"/>
  <c r="A562" i="5"/>
  <c r="A561" i="5"/>
  <c r="A559" i="5"/>
  <c r="A558" i="5"/>
  <c r="A556" i="5"/>
  <c r="A555" i="5"/>
  <c r="A553" i="5"/>
  <c r="A552" i="5"/>
  <c r="A550" i="5"/>
  <c r="A549" i="5"/>
  <c r="A547" i="5"/>
  <c r="A546" i="5"/>
  <c r="A544" i="5"/>
  <c r="A543" i="5"/>
  <c r="A541" i="5"/>
  <c r="A540" i="5"/>
  <c r="A538" i="5"/>
  <c r="A537" i="5"/>
  <c r="A535" i="5"/>
  <c r="A534" i="5"/>
  <c r="A532" i="5"/>
  <c r="A531" i="5"/>
  <c r="A529" i="5"/>
  <c r="A528" i="5"/>
  <c r="A526" i="5"/>
  <c r="A525" i="5"/>
  <c r="A523" i="5"/>
  <c r="A522" i="5"/>
  <c r="A520" i="5"/>
  <c r="A519" i="5"/>
  <c r="A517" i="5"/>
  <c r="A516" i="5"/>
  <c r="A514" i="5"/>
  <c r="A513" i="5"/>
  <c r="A511" i="5"/>
  <c r="A510" i="5"/>
  <c r="A508" i="5"/>
  <c r="A507" i="5"/>
  <c r="A505" i="5"/>
  <c r="A504" i="5"/>
  <c r="A502" i="5"/>
  <c r="A501" i="5"/>
  <c r="A499" i="5"/>
  <c r="A498" i="5"/>
  <c r="A496" i="5"/>
  <c r="A495" i="5"/>
  <c r="A493" i="5"/>
  <c r="A492" i="5"/>
  <c r="A490" i="5"/>
  <c r="A489" i="5"/>
  <c r="A487" i="5"/>
  <c r="A486" i="5"/>
  <c r="A484" i="5"/>
  <c r="A483" i="5"/>
  <c r="A481" i="5"/>
  <c r="A480" i="5"/>
  <c r="A478" i="5"/>
  <c r="A477" i="5"/>
  <c r="A475" i="5"/>
  <c r="A474" i="5"/>
  <c r="A472" i="5"/>
  <c r="A471" i="5"/>
  <c r="A469" i="5"/>
  <c r="A468" i="5"/>
  <c r="A466" i="5"/>
  <c r="A465" i="5"/>
  <c r="A463" i="5"/>
  <c r="A462" i="5"/>
  <c r="A460" i="5"/>
  <c r="A459" i="5"/>
  <c r="A457" i="5"/>
  <c r="A456" i="5"/>
  <c r="A454" i="5"/>
  <c r="A453" i="5"/>
  <c r="A451" i="5"/>
  <c r="A450" i="5"/>
  <c r="A448" i="5"/>
  <c r="A447" i="5"/>
  <c r="A445" i="5"/>
  <c r="A444" i="5"/>
  <c r="A442" i="5"/>
  <c r="A441" i="5"/>
  <c r="A439" i="5"/>
  <c r="A438" i="5"/>
  <c r="A436" i="5"/>
  <c r="A435" i="5"/>
  <c r="A433" i="5"/>
  <c r="A432" i="5"/>
  <c r="A430" i="5"/>
  <c r="A429" i="5"/>
  <c r="A427" i="5"/>
  <c r="A426" i="5"/>
  <c r="A424" i="5"/>
  <c r="A423" i="5"/>
  <c r="A421" i="5"/>
  <c r="A420" i="5"/>
  <c r="A418" i="5"/>
  <c r="A417" i="5"/>
  <c r="A415" i="5"/>
  <c r="A414" i="5"/>
  <c r="A412" i="5"/>
  <c r="A411" i="5"/>
  <c r="A409" i="5"/>
  <c r="A408" i="5"/>
  <c r="A406" i="5"/>
  <c r="A405" i="5"/>
  <c r="A403" i="5"/>
  <c r="A402" i="5"/>
  <c r="A400" i="5"/>
  <c r="A399" i="5"/>
  <c r="A397" i="5"/>
  <c r="A396" i="5"/>
  <c r="A394" i="5"/>
  <c r="A393" i="5"/>
  <c r="A391" i="5"/>
  <c r="A390" i="5"/>
  <c r="A388" i="5"/>
  <c r="A387" i="5"/>
  <c r="A385" i="5"/>
  <c r="A384" i="5"/>
  <c r="A382" i="5"/>
  <c r="A381" i="5"/>
  <c r="A379" i="5"/>
  <c r="A378" i="5"/>
  <c r="A376" i="5"/>
  <c r="A375" i="5"/>
  <c r="A373" i="5"/>
  <c r="A372" i="5"/>
  <c r="A370" i="5"/>
  <c r="A369" i="5"/>
  <c r="A367" i="5"/>
  <c r="A366" i="5"/>
  <c r="A364" i="5"/>
  <c r="A363" i="5"/>
  <c r="A361" i="5"/>
  <c r="A360" i="5"/>
  <c r="A358" i="5"/>
  <c r="A357" i="5"/>
  <c r="A355" i="5"/>
  <c r="A354" i="5"/>
  <c r="A352" i="5"/>
  <c r="A351" i="5"/>
  <c r="A349" i="5"/>
  <c r="A348" i="5"/>
  <c r="A346" i="5"/>
  <c r="A345" i="5"/>
  <c r="A343" i="5"/>
  <c r="A342" i="5"/>
  <c r="A340" i="5"/>
  <c r="A339" i="5"/>
  <c r="A337" i="5"/>
  <c r="A336" i="5"/>
  <c r="A334" i="5"/>
  <c r="A333" i="5"/>
  <c r="A331" i="5"/>
  <c r="A330" i="5"/>
  <c r="A328" i="5"/>
  <c r="A327" i="5"/>
  <c r="A325" i="5"/>
  <c r="A324" i="5"/>
  <c r="A322" i="5"/>
  <c r="A321" i="5"/>
  <c r="A319" i="5"/>
  <c r="A318" i="5"/>
  <c r="A316" i="5"/>
  <c r="A315"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3" i="5"/>
  <c r="A42" i="5"/>
  <c r="A41" i="5"/>
  <c r="A40" i="5"/>
  <c r="A38" i="5"/>
  <c r="A36" i="5"/>
  <c r="A35" i="5"/>
  <c r="A34" i="5"/>
  <c r="A33" i="5"/>
  <c r="A32" i="5"/>
  <c r="A31" i="5"/>
  <c r="A30" i="5"/>
  <c r="A29" i="5"/>
  <c r="A28" i="5"/>
  <c r="A27" i="5"/>
  <c r="A25" i="5"/>
  <c r="A24" i="5"/>
  <c r="A23" i="5"/>
  <c r="A21" i="5"/>
  <c r="A20" i="5"/>
  <c r="A18" i="5"/>
  <c r="A17" i="5"/>
  <c r="A16" i="5"/>
  <c r="A14" i="5"/>
  <c r="A13" i="5"/>
  <c r="A12" i="5"/>
  <c r="A11" i="5"/>
  <c r="A10" i="5"/>
  <c r="A9" i="5"/>
  <c r="A8" i="5"/>
  <c r="A7" i="5"/>
  <c r="K370" i="4"/>
  <c r="A370" i="4"/>
  <c r="A367" i="4"/>
  <c r="A366" i="4"/>
  <c r="A365" i="4"/>
  <c r="A364" i="4"/>
  <c r="A362" i="4"/>
  <c r="A361" i="4"/>
  <c r="A360" i="4"/>
  <c r="A359" i="4"/>
  <c r="A358" i="4"/>
  <c r="A357" i="4"/>
  <c r="A356" i="4"/>
  <c r="A355" i="4"/>
  <c r="A354" i="4"/>
  <c r="A353" i="4"/>
  <c r="A351" i="4"/>
  <c r="A350" i="4"/>
  <c r="A349" i="4"/>
  <c r="A348" i="4"/>
  <c r="A347" i="4"/>
  <c r="A346" i="4"/>
  <c r="A345" i="4"/>
  <c r="A344" i="4"/>
  <c r="A343" i="4"/>
  <c r="A342" i="4"/>
  <c r="A341" i="4"/>
  <c r="A339" i="4"/>
  <c r="A338" i="4"/>
  <c r="A337" i="4"/>
  <c r="A336" i="4"/>
  <c r="A335" i="4"/>
  <c r="A334" i="4"/>
  <c r="A332" i="4"/>
  <c r="A331" i="4"/>
  <c r="A329" i="4"/>
  <c r="A328" i="4"/>
  <c r="A326" i="4"/>
  <c r="A325" i="4"/>
  <c r="A324" i="4"/>
  <c r="A323" i="4"/>
  <c r="A322" i="4"/>
  <c r="A321" i="4"/>
  <c r="A320" i="4"/>
  <c r="A319" i="4"/>
  <c r="A318" i="4"/>
  <c r="A315" i="4"/>
  <c r="A314" i="4"/>
  <c r="A313" i="4"/>
  <c r="A312" i="4"/>
  <c r="A311" i="4"/>
  <c r="A310" i="4"/>
  <c r="A309" i="4"/>
  <c r="A308" i="4"/>
  <c r="A306" i="4"/>
  <c r="A305" i="4"/>
  <c r="A304" i="4"/>
  <c r="A303" i="4"/>
  <c r="A302" i="4"/>
  <c r="A301" i="4"/>
  <c r="A300" i="4"/>
  <c r="A299" i="4"/>
  <c r="A298" i="4"/>
  <c r="A296" i="4"/>
  <c r="A295" i="4"/>
  <c r="A294" i="4"/>
  <c r="A293" i="4"/>
  <c r="A292" i="4"/>
  <c r="A291" i="4"/>
  <c r="A289" i="4"/>
  <c r="A288" i="4"/>
  <c r="A287" i="4"/>
  <c r="A286" i="4"/>
  <c r="A285" i="4"/>
  <c r="A284" i="4"/>
  <c r="A283" i="4"/>
  <c r="A282" i="4"/>
  <c r="A281" i="4"/>
  <c r="A280" i="4"/>
  <c r="A279" i="4"/>
  <c r="A278" i="4"/>
  <c r="A275" i="4"/>
  <c r="A274" i="4"/>
  <c r="A273" i="4"/>
  <c r="A272" i="4"/>
  <c r="A271" i="4"/>
  <c r="A269" i="4"/>
  <c r="A268" i="4"/>
  <c r="A267" i="4"/>
  <c r="A266" i="4"/>
  <c r="A265" i="4"/>
  <c r="A264" i="4"/>
  <c r="A263" i="4"/>
  <c r="A262" i="4"/>
  <c r="A261" i="4"/>
  <c r="A260" i="4"/>
  <c r="A259" i="4"/>
  <c r="A257" i="4"/>
  <c r="A256" i="4"/>
  <c r="A255" i="4"/>
  <c r="A254" i="4"/>
  <c r="A253" i="4"/>
  <c r="A251" i="4"/>
  <c r="A250" i="4"/>
  <c r="A249" i="4"/>
  <c r="A248" i="4"/>
  <c r="A247" i="4"/>
  <c r="A246" i="4"/>
  <c r="A245" i="4"/>
  <c r="A244" i="4"/>
  <c r="A243" i="4"/>
  <c r="A242" i="4"/>
  <c r="A240" i="4"/>
  <c r="A239" i="4"/>
  <c r="A238" i="4"/>
  <c r="A237" i="4"/>
  <c r="A235" i="4"/>
  <c r="A234" i="4"/>
  <c r="A233" i="4"/>
  <c r="A231" i="4"/>
  <c r="A230" i="4"/>
  <c r="A229" i="4"/>
  <c r="A228" i="4"/>
  <c r="A227" i="4"/>
  <c r="A226" i="4"/>
  <c r="A224" i="4"/>
  <c r="A223" i="4"/>
  <c r="A222" i="4"/>
  <c r="A221" i="4"/>
  <c r="A220" i="4"/>
  <c r="A219" i="4"/>
  <c r="A218" i="4"/>
  <c r="A217" i="4"/>
  <c r="A216" i="4"/>
  <c r="A214" i="4"/>
  <c r="A213" i="4"/>
  <c r="A212" i="4"/>
  <c r="A211" i="4"/>
  <c r="A210" i="4"/>
  <c r="A209" i="4"/>
  <c r="A208" i="4"/>
  <c r="A207" i="4"/>
  <c r="A206" i="4"/>
  <c r="A205" i="4"/>
  <c r="A204" i="4"/>
  <c r="A203" i="4"/>
  <c r="A202" i="4"/>
  <c r="A201" i="4"/>
  <c r="A198" i="4"/>
  <c r="A197" i="4"/>
  <c r="A196" i="4"/>
  <c r="A194" i="4"/>
  <c r="A193" i="4"/>
  <c r="A192" i="4"/>
  <c r="A191" i="4"/>
  <c r="A189" i="4"/>
  <c r="A187" i="4"/>
  <c r="A185" i="4"/>
  <c r="A183" i="4"/>
  <c r="A181" i="4"/>
  <c r="A180" i="4"/>
  <c r="A179" i="4"/>
  <c r="A177" i="4"/>
  <c r="A176" i="4"/>
  <c r="A175" i="4"/>
  <c r="A172" i="4"/>
  <c r="A171" i="4"/>
  <c r="A170" i="4"/>
  <c r="A169" i="4"/>
  <c r="A168" i="4"/>
  <c r="A167" i="4"/>
  <c r="A165" i="4"/>
  <c r="A164" i="4"/>
  <c r="A163" i="4"/>
  <c r="A162" i="4"/>
  <c r="A161" i="4"/>
  <c r="A160" i="4"/>
  <c r="A159" i="4"/>
  <c r="A158" i="4"/>
  <c r="A157" i="4"/>
  <c r="A156" i="4"/>
  <c r="A155" i="4"/>
  <c r="A153" i="4"/>
  <c r="A152" i="4"/>
  <c r="A151" i="4"/>
  <c r="A150" i="4"/>
  <c r="A149" i="4"/>
  <c r="A148" i="4"/>
  <c r="A147" i="4"/>
  <c r="A145" i="4"/>
  <c r="A144" i="4"/>
  <c r="A142" i="4"/>
  <c r="A140" i="4"/>
  <c r="A138" i="4"/>
  <c r="A136" i="4"/>
  <c r="A135" i="4"/>
  <c r="A134" i="4"/>
  <c r="A133" i="4"/>
  <c r="A131" i="4"/>
  <c r="A128" i="4"/>
  <c r="A127" i="4"/>
  <c r="A126" i="4"/>
  <c r="A125" i="4"/>
  <c r="A124" i="4"/>
  <c r="A123" i="4"/>
  <c r="A122" i="4"/>
  <c r="A120" i="4"/>
  <c r="A119" i="4"/>
  <c r="A118" i="4"/>
  <c r="A117" i="4"/>
  <c r="A116" i="4"/>
  <c r="A115" i="4"/>
  <c r="A114" i="4"/>
  <c r="A113" i="4"/>
  <c r="A112" i="4"/>
  <c r="A111" i="4"/>
  <c r="A110" i="4"/>
  <c r="A108" i="4"/>
  <c r="A107" i="4"/>
  <c r="A106" i="4"/>
  <c r="A105" i="4"/>
  <c r="A104" i="4"/>
  <c r="A103" i="4"/>
  <c r="A101" i="4"/>
  <c r="A99" i="4"/>
  <c r="A97" i="4"/>
  <c r="A95" i="4"/>
  <c r="A94" i="4"/>
  <c r="A93" i="4"/>
  <c r="A92" i="4"/>
  <c r="A91" i="4"/>
  <c r="A90" i="4"/>
  <c r="A89" i="4"/>
  <c r="A88" i="4"/>
  <c r="A87" i="4"/>
  <c r="A86" i="4"/>
  <c r="A84" i="4"/>
  <c r="A82" i="4"/>
  <c r="A80" i="4"/>
  <c r="A79" i="4"/>
  <c r="A78" i="4"/>
  <c r="A76" i="4"/>
  <c r="A75" i="4"/>
  <c r="A74" i="4"/>
  <c r="A72" i="4"/>
  <c r="A71" i="4"/>
  <c r="A70" i="4"/>
  <c r="A69" i="4"/>
  <c r="A68" i="4"/>
  <c r="A67" i="4"/>
  <c r="A66" i="4"/>
  <c r="A65" i="4"/>
  <c r="A63" i="4"/>
  <c r="A62" i="4"/>
  <c r="A61" i="4"/>
  <c r="A60" i="4"/>
  <c r="A59" i="4"/>
  <c r="A58" i="4"/>
  <c r="A57" i="4"/>
  <c r="A56" i="4"/>
  <c r="A55" i="4"/>
  <c r="A54" i="4"/>
  <c r="A52" i="4"/>
  <c r="A51" i="4"/>
  <c r="A50" i="4"/>
  <c r="G38" i="4"/>
  <c r="G25" i="4"/>
  <c r="G23" i="4"/>
  <c r="A23" i="4"/>
  <c r="A10" i="4"/>
  <c r="A720" i="3"/>
  <c r="A716" i="3"/>
  <c r="A715" i="3"/>
  <c r="A714" i="3"/>
  <c r="A712" i="3"/>
  <c r="A711" i="3"/>
  <c r="A710" i="3"/>
  <c r="A708" i="3"/>
  <c r="A707" i="3"/>
  <c r="A706" i="3"/>
  <c r="A704" i="3"/>
  <c r="A703" i="3"/>
  <c r="A702" i="3"/>
  <c r="A690" i="3"/>
  <c r="A689" i="3"/>
  <c r="A688" i="3"/>
  <c r="A687" i="3"/>
  <c r="A686" i="3"/>
  <c r="A684" i="3"/>
  <c r="A682" i="3"/>
  <c r="A681" i="3"/>
  <c r="A680" i="3"/>
  <c r="A679" i="3"/>
  <c r="A678" i="3"/>
  <c r="A677" i="3"/>
  <c r="A676" i="3"/>
  <c r="A675" i="3"/>
  <c r="A674" i="3"/>
  <c r="A673" i="3"/>
  <c r="A671" i="3"/>
  <c r="A670" i="3"/>
  <c r="A669" i="3"/>
  <c r="A668" i="3"/>
  <c r="A667" i="3"/>
  <c r="A666" i="3"/>
  <c r="A665" i="3"/>
  <c r="A661" i="3"/>
  <c r="A660" i="3"/>
  <c r="A659" i="3"/>
  <c r="A658" i="3"/>
  <c r="A656" i="3"/>
  <c r="A655" i="3"/>
  <c r="A653" i="3"/>
  <c r="A652" i="3"/>
  <c r="A650" i="3"/>
  <c r="A649" i="3"/>
  <c r="A648" i="3"/>
  <c r="A646" i="3"/>
  <c r="A645" i="3"/>
  <c r="A644" i="3"/>
  <c r="A642" i="3"/>
  <c r="A641" i="3"/>
  <c r="A640" i="3"/>
  <c r="A639" i="3"/>
  <c r="A637" i="3"/>
  <c r="A636" i="3"/>
  <c r="A635" i="3"/>
  <c r="A633" i="3"/>
  <c r="A632" i="3"/>
  <c r="A631" i="3"/>
  <c r="A629" i="3"/>
  <c r="A628" i="3"/>
  <c r="A627" i="3"/>
  <c r="A625" i="3"/>
  <c r="A624" i="3"/>
  <c r="A623" i="3"/>
  <c r="A621" i="3"/>
  <c r="A620" i="3"/>
  <c r="A619" i="3"/>
  <c r="A617" i="3"/>
  <c r="A616" i="3"/>
  <c r="A615" i="3"/>
  <c r="A614" i="3"/>
  <c r="A612" i="3"/>
  <c r="A611" i="3"/>
  <c r="A610" i="3"/>
  <c r="A609" i="3"/>
  <c r="A607" i="3"/>
  <c r="A606" i="3"/>
  <c r="A605" i="3"/>
  <c r="A604" i="3"/>
  <c r="A602" i="3"/>
  <c r="A601" i="3"/>
  <c r="A600" i="3"/>
  <c r="A599" i="3"/>
  <c r="A597" i="3"/>
  <c r="A596" i="3"/>
  <c r="A595" i="3"/>
  <c r="A594" i="3"/>
  <c r="A592" i="3"/>
  <c r="A591" i="3"/>
  <c r="A590" i="3"/>
  <c r="A589" i="3"/>
  <c r="A587" i="3"/>
  <c r="A586" i="3"/>
  <c r="A585" i="3"/>
  <c r="A584" i="3"/>
  <c r="A582" i="3"/>
  <c r="A581" i="3"/>
  <c r="A580" i="3"/>
  <c r="A578" i="3"/>
  <c r="A577" i="3"/>
  <c r="A576" i="3"/>
  <c r="A575" i="3"/>
  <c r="A574" i="3"/>
  <c r="A569" i="3"/>
  <c r="A568" i="3"/>
  <c r="A567" i="3"/>
  <c r="A566" i="3"/>
  <c r="A565" i="3"/>
  <c r="A564" i="3"/>
  <c r="A563" i="3"/>
  <c r="A562" i="3"/>
  <c r="A561" i="3"/>
  <c r="A560" i="3"/>
  <c r="A559" i="3"/>
  <c r="A558" i="3"/>
  <c r="A557" i="3"/>
  <c r="A556" i="3"/>
  <c r="A555" i="3"/>
  <c r="A554" i="3"/>
  <c r="A552" i="3"/>
  <c r="A551" i="3"/>
  <c r="A550" i="3"/>
  <c r="A549" i="3"/>
  <c r="A547" i="3"/>
  <c r="A546" i="3"/>
  <c r="A545" i="3"/>
  <c r="A544" i="3"/>
  <c r="A542" i="3"/>
  <c r="A541" i="3"/>
  <c r="A540" i="3"/>
  <c r="A524" i="3"/>
  <c r="A523" i="3"/>
  <c r="A522" i="3"/>
  <c r="A521" i="3"/>
  <c r="A520" i="3"/>
  <c r="A519" i="3"/>
  <c r="A518" i="3"/>
  <c r="A517" i="3"/>
  <c r="A516" i="3"/>
  <c r="A513" i="3"/>
  <c r="A511" i="3"/>
  <c r="A510" i="3"/>
  <c r="A509" i="3"/>
  <c r="A508" i="3"/>
  <c r="A507" i="3"/>
  <c r="A506" i="3"/>
  <c r="A505" i="3"/>
  <c r="A504" i="3"/>
  <c r="A503" i="3"/>
  <c r="A500" i="3"/>
  <c r="A499" i="3"/>
  <c r="A498" i="3"/>
  <c r="A497" i="3"/>
  <c r="A496" i="3"/>
  <c r="A495" i="3"/>
  <c r="A494" i="3"/>
  <c r="A493" i="3"/>
  <c r="A492" i="3"/>
  <c r="A490" i="3"/>
  <c r="H489"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0" i="3"/>
  <c r="A379" i="3"/>
  <c r="A378" i="3"/>
  <c r="A377" i="3"/>
  <c r="A376" i="3"/>
  <c r="A374" i="3"/>
  <c r="A373" i="3"/>
  <c r="A372" i="3"/>
  <c r="A371" i="3"/>
  <c r="A370" i="3"/>
  <c r="A368" i="3"/>
  <c r="A367" i="3"/>
  <c r="A366" i="3"/>
  <c r="A365" i="3"/>
  <c r="A364" i="3"/>
  <c r="A363" i="3"/>
  <c r="A362"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8" i="3"/>
  <c r="A277" i="3"/>
  <c r="A276" i="3"/>
  <c r="A275" i="3"/>
  <c r="A274" i="3"/>
  <c r="A273" i="3"/>
  <c r="A272" i="3"/>
  <c r="A271" i="3"/>
  <c r="A270"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7" i="3"/>
  <c r="A156" i="3"/>
  <c r="A155" i="3"/>
  <c r="A154" i="3"/>
  <c r="A153" i="3"/>
  <c r="A152" i="3"/>
  <c r="A151" i="3"/>
  <c r="A150"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5" i="3"/>
  <c r="A64" i="3"/>
  <c r="A63" i="3"/>
  <c r="A62" i="3"/>
  <c r="A61" i="3"/>
  <c r="A60" i="3"/>
  <c r="A59" i="3"/>
  <c r="A58" i="3"/>
  <c r="A56" i="3"/>
  <c r="A52" i="3"/>
  <c r="A51" i="3"/>
  <c r="A50" i="3"/>
  <c r="A49" i="3"/>
  <c r="A48" i="3"/>
  <c r="A47" i="3"/>
  <c r="A46" i="3"/>
  <c r="A45" i="3"/>
  <c r="A44" i="3"/>
  <c r="A43" i="3"/>
  <c r="A42" i="3"/>
  <c r="A41" i="3"/>
  <c r="A40" i="3"/>
  <c r="A39" i="3"/>
  <c r="A38" i="3"/>
  <c r="A37" i="3"/>
  <c r="A36" i="3"/>
  <c r="A35" i="3"/>
  <c r="A34" i="3"/>
  <c r="A33" i="3"/>
  <c r="A32" i="3"/>
  <c r="A31" i="3"/>
  <c r="A30" i="3"/>
  <c r="A29" i="3"/>
  <c r="A28" i="3"/>
  <c r="A20" i="3"/>
  <c r="A19" i="3"/>
  <c r="A18" i="3"/>
  <c r="A17" i="3"/>
  <c r="A16" i="3"/>
  <c r="A15" i="3"/>
  <c r="A14" i="3"/>
  <c r="A13" i="3"/>
  <c r="A12" i="3"/>
  <c r="A11" i="3"/>
  <c r="A10" i="3"/>
  <c r="A9" i="3"/>
  <c r="A8" i="3"/>
  <c r="A7" i="3"/>
  <c r="D57" i="2"/>
  <c r="D54" i="2"/>
  <c r="D53" i="2"/>
  <c r="D52" i="2"/>
  <c r="G10" i="2"/>
  <c r="B3" i="2"/>
  <c r="B1" i="2"/>
  <c r="H21" i="1"/>
  <c r="H20" i="1"/>
  <c r="H19" i="1"/>
  <c r="H18" i="1"/>
  <c r="H17" i="1"/>
  <c r="H16" i="1"/>
  <c r="H15" i="1"/>
  <c r="H14" i="1"/>
  <c r="A24" i="4" l="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11" i="4"/>
  <c r="A12" i="4" s="1"/>
  <c r="A13" i="4" s="1"/>
  <c r="A14" i="4" s="1"/>
  <c r="A15" i="4" s="1"/>
  <c r="A16" i="4" s="1"/>
  <c r="A17" i="4" s="1"/>
  <c r="A18" i="4" s="1"/>
  <c r="A19" i="4" s="1"/>
  <c r="A20" i="4" s="1"/>
  <c r="G178" i="2"/>
  <c r="H11" i="1" s="1"/>
  <c r="H23" i="1" s="1"/>
  <c r="H24" i="1" l="1"/>
  <c r="H25" i="1" l="1"/>
</calcChain>
</file>

<file path=xl/sharedStrings.xml><?xml version="1.0" encoding="utf-8"?>
<sst xmlns="http://schemas.openxmlformats.org/spreadsheetml/2006/main" count="7685" uniqueCount="2245">
  <si>
    <t>DỰ ÁN HAUS ĐÀ LẠT</t>
  </si>
  <si>
    <t>ĐỊA ĐIỂM: LÂM ĐỒNG, VIỆT NAM</t>
  </si>
  <si>
    <t>HẠNG MỤC: HỆ THỐNG CƠ ĐIỆN</t>
  </si>
  <si>
    <t>TRANG TỔNG HỢP DỰ TOÁN</t>
  </si>
  <si>
    <t>Ngày: _______</t>
  </si>
  <si>
    <t>STT</t>
  </si>
  <si>
    <t>HẠNG MỤC CÔNG VIỆC</t>
  </si>
  <si>
    <t>THÀNH TIỀN (VNĐ)</t>
  </si>
  <si>
    <t>GHI CHÚ</t>
  </si>
  <si>
    <t>PHẦN HẦM</t>
  </si>
  <si>
    <t>THÁP A1.1</t>
  </si>
  <si>
    <t>THÁP A1.2</t>
  </si>
  <si>
    <t>THÁP A1.3</t>
  </si>
  <si>
    <t>TỔNG</t>
  </si>
  <si>
    <t>BIỂU 1</t>
  </si>
  <si>
    <t>CHI PHÍ CHUNG VÀ CÔNG TÁC CHUẨN BỊ</t>
  </si>
  <si>
    <t>BIỂU 2</t>
  </si>
  <si>
    <t>CÔNG TÁC MEPF</t>
  </si>
  <si>
    <t>HỆ THỐNG ĐIỆN</t>
  </si>
  <si>
    <t>HỆ THỐNG ĐIỆN NHẸ</t>
  </si>
  <si>
    <t>HỆ THỐNG BÁO CHÁY</t>
  </si>
  <si>
    <t>HỆ THỐNG CẤP THOÁT NƯỚC</t>
  </si>
  <si>
    <t>HỆ THỐNG ĐIỀU HOÀ KHÔNG KHÍ VÀ THÔNG GIÓ</t>
  </si>
  <si>
    <t>HỆ THỐNG PHÒNG CHÁY CHỮA CHÁY</t>
  </si>
  <si>
    <t>HỆ THỐNG XỬ LÝ NƯỚC THẢI</t>
  </si>
  <si>
    <t>CUNG CẤP THIẾT BỊ VỆ SINH</t>
  </si>
  <si>
    <t>TỔNG CỘNG TRƯỚC THUẾ</t>
  </si>
  <si>
    <t>THUẾ GTGT 8%</t>
  </si>
  <si>
    <t>TỔNG CỘNG SAU THUẾ</t>
  </si>
  <si>
    <t>Xác nhận bởi:</t>
  </si>
  <si>
    <t>Sign &amp; Stamp</t>
  </si>
  <si>
    <t>BIỂU 01 - CÔNG TÁC CHUẨN BỊ VÀ ĐIỀU KIỆN CHUNG</t>
  </si>
  <si>
    <t xml:space="preserve">
Khối lượng</t>
  </si>
  <si>
    <t xml:space="preserve">
Đơn Giá (VND)</t>
  </si>
  <si>
    <t>Tổng thành tiền
(VNĐ)</t>
  </si>
  <si>
    <t xml:space="preserve">
Ghi chú</t>
  </si>
  <si>
    <t>Mục</t>
  </si>
  <si>
    <t>Hạng mục</t>
  </si>
  <si>
    <t>ĐV</t>
  </si>
  <si>
    <t>[1]</t>
  </si>
  <si>
    <t>[2]</t>
  </si>
  <si>
    <t>[3]=[1]+[2]</t>
  </si>
  <si>
    <t>Biểu 01 - Các công tác chuẩn bị và các điều kiện chung</t>
  </si>
  <si>
    <t>CÁC LƯU Ý CHUNG</t>
  </si>
  <si>
    <t xml:space="preserve">
Biểu khối lượng phải được đọc cùng với tất cả các mục trong hồ sơ mời chào giá nhằm phối hợp và bổ sung cho nhau. Khối lượng chỉ ra ở đây chỉ dùng để tham khảo và phải được kiểm tra và xác nhận bởi nhà thầu. Không có yêu cầu thanh toán nào đối với sai sót hoặc thiết sót trong biểu khối lượng này được cho phép sau khi trao thầu.</t>
  </si>
  <si>
    <t>Ghi chú</t>
  </si>
  <si>
    <t>Biểu Khối Lượng chỉ dùng cho mục đích xác định các hạng mục được thanh toán đối với thanh toán tạm và phát sinh. Biểu khối lượng không dùng để thể hiện tất cả công việc thực hiện cho Công trình. Nhà thầu có trách nhiệm xác định tất cả công tác được cho là bao gồm trong Phạm vi công việc của Nhà thầu trong Hồ sơ mời chào giá, bản vẽ, ... và bao gồm trong khối lượng do Nhà thầu ước tính.</t>
  </si>
  <si>
    <t>Dự trù chi phí cho các hạng mục hoặc giá cho tất cả các mục có liệt kê trong các Biểu Khối Lượng này. Những hạng mục không được bỏ giá hoặc dùng dấu gạch bỏ hay những dấu tương tự chèn vào cột giá trị thì cũng xem như giá đã được bao gồm trong những hạng mục khác của gói thầu và những yêu cầu thanh toán sau này sẽ không được chấp thuận.</t>
  </si>
  <si>
    <t xml:space="preserve">Tất cả các đơn giá, số tiền và / hoặc giá trị phần trăm trong Danh mục chào giá này phải được ghi bằng tiềng đồng Việt Nam mà không có số thập phân. Trong trường hợp có số thập phân, số đó sẽ bỏ qua. </t>
  </si>
  <si>
    <t>Số tiền thể hiện Tổng giá trị chào thầu ở cuối Bảng tổng hợp giá dự thầu của Biểu Khối Lượng sẽ được đưa vào Thư dự thầu và không làm tròn.</t>
  </si>
  <si>
    <t>Bất kỳ giá nào được đưa vào Biểu khối lượng này sẽ do nhà thầu chịu trách nhiệm moi rủi do. Không có yêu cầu nào được xem xét cho các hạng mục Công tác chuẩn bị do phát sinh ngay cả khi đã gia hạn thời gian.</t>
  </si>
  <si>
    <t xml:space="preserve">Giá được điền trong Biểu khối lượng này liên quan chi phí theo thời gian thời gian (ví dụ: máy móc , giám sát, v.v.) sẽ được đưa vào Chứng nhận thanh toán trong khoảng thời gian Công trình được hoàn thành theo tỷ lệ trực tiếp với giá trị của tiến độ hoàn thành. </t>
  </si>
  <si>
    <t>Biểu Khối Lượng được điền giá đầy đủ và sẽ được sử dụng để tính giá phát sinh. Trong trường hợp có sự khác biệt về giá giữa hai hạng mục giống nhau hay tương tự trong các Biểu Khối Lượng thì theo tuần tự giá hay tỉ giá trong bảng giá tương ứng sẽ áp dụng cho các phát sinh thuộc về các bảng giá này. Trong trường hợp không có giá thì giá thấp nhất của các hạng mục tương tự sẽ được áp dụng.</t>
  </si>
  <si>
    <t>Giá trong Biểu khối lượng sẽ được bao gồm, nhưng không giới hạn, chi phí của tất cả lao động (bao gồm tăng lương trong tương lai), vật liệu, hàng hóa và thiết bị, tất cả chi phí cắt và hao phí, thuế, tiền bản quyền, đóng gói, bốc dỡ, vận chuyển, bảo hiểm, lưu kho hoặc chi phí lưu trữ khác, giao hàng đến công trường, đưa đến và lắp đặt ở vị trí cần thiết, máy móc, giám sát, tăng chi phí, biến động tỷ giá hối đoái, lợi nhuận và tất cả các yêu cầu khác cần thiết để thực hiện tất cả các yêu cầu Hợp đồng bao gồm việc hoàn thành kịp thời và thỏa đáng toàn bộ Công trình, cả rõ ràng và ngầm định, trong Hợp đồng.</t>
  </si>
  <si>
    <t>Tất cả giá (bao gồm cả đơn giá) sẽ được xem như là đã bao gồm cho tất cả các loại thuế của Chính phủ và thuế nhập khẩu, phí, lệ phí giấy phép, tiền bản quyền, v.v. bất kể sự gia tăng nào có hiệu lực trong tương lai trong thời gian tiến độ của hợp đồng. Ngoại trừ thuế GTGT thì KHÔNG bao gồm.</t>
  </si>
  <si>
    <t>Để tránh nghi ngờ, không có yêu cầu nào được xem như là phát sinh do việc tăng tiền lương và/hoặc các chi phí khác của bất kỳ loại thanh toán nào cho công nhân hoặc do việc tăng chi phí vật tư, hàng hóa, máy móc thiết bị, bất kể việc gia tăng nào xảy ra trong suốt tiến trình hợp đồng.</t>
  </si>
  <si>
    <t>Nhà thầu phải kiểm tra xem mỗi bản sao của tài liệu đã hoàn chỉnh về số lượng trang và bản sao của mỗi trang.</t>
  </si>
  <si>
    <t xml:space="preserve">Nhà thầu không được phép sửa chữa bất cứ phần nào trong Hồ sơ mời chào giá trừ khi có sự cho phép bằng văn bản của nhà tư vấn. Bất cứ sự thay đổi không được chấp nhận sẽ bị bỏ qua và thay thế bằng bản gốc. </t>
  </si>
  <si>
    <t>CHI PHÍ QUẢN LÝ VÀ NHÂN LỰC</t>
  </si>
  <si>
    <t>Nhà thầu sẽ cung cấp kế hoạch sử dụng nhân lực cho tất cả nhân viên quản lý được yêu cầu tham gia vào việc xây dựng dự án trong thời gian Hợp đồng bao gồm cả thời gian Thông báo Sai sót.</t>
  </si>
  <si>
    <t>Nhân lực theo tháng được yêu cầu nêu chi tiết với tất cả các chi phí lương hàng tháng bao gồm cả lương cơ bản, thuế theo quy định tại nơi làm việc, chi phí quản lý của văn phòng chính, chi phí thời gian cho mỗi nhiệm vụ trong thời gian hợp đồng.</t>
  </si>
  <si>
    <t>A</t>
  </si>
  <si>
    <t>Giám đốc dự án</t>
  </si>
  <si>
    <t>Tháng</t>
  </si>
  <si>
    <t>B</t>
  </si>
  <si>
    <t>Quản lý thi công trưởng</t>
  </si>
  <si>
    <t>C</t>
  </si>
  <si>
    <t>Quản lý thi công phó</t>
  </si>
  <si>
    <t>D</t>
  </si>
  <si>
    <t>Quản lý QS</t>
  </si>
  <si>
    <t>E</t>
  </si>
  <si>
    <t>Quản lý kết cấu, địa kỹ thuật và xây dựng</t>
  </si>
  <si>
    <t>F</t>
  </si>
  <si>
    <t>Quản lý cơ điện</t>
  </si>
  <si>
    <t>G</t>
  </si>
  <si>
    <t>Quản lý QA/QC</t>
  </si>
  <si>
    <t>H</t>
  </si>
  <si>
    <t>Quản lý triển khai bản vẽ</t>
  </si>
  <si>
    <t>I</t>
  </si>
  <si>
    <t>Quản lý mua hàng/ vận tải</t>
  </si>
  <si>
    <t>J</t>
  </si>
  <si>
    <t>Quản lý an toàn</t>
  </si>
  <si>
    <t>K</t>
  </si>
  <si>
    <t>Quản lý an ninh</t>
  </si>
  <si>
    <t>L</t>
  </si>
  <si>
    <t>Kỹ sư MEP</t>
  </si>
  <si>
    <t>M</t>
  </si>
  <si>
    <t>Kỹ sư khối lượng</t>
  </si>
  <si>
    <t>N</t>
  </si>
  <si>
    <t>Kỹ sư QA/QA</t>
  </si>
  <si>
    <t>O</t>
  </si>
  <si>
    <t>Giám sát thi công</t>
  </si>
  <si>
    <t>P</t>
  </si>
  <si>
    <t>Kỹ sư kế hoạch/ tiến độ</t>
  </si>
  <si>
    <t>Q</t>
  </si>
  <si>
    <t>Công nhân</t>
  </si>
  <si>
    <t>R</t>
  </si>
  <si>
    <t>Thư ký công trường</t>
  </si>
  <si>
    <t>S</t>
  </si>
  <si>
    <t xml:space="preserve">Kế toán </t>
  </si>
  <si>
    <t>T</t>
  </si>
  <si>
    <t>Dự trù chi phí cho việc điều động và rời khỏi (nhân  sự nước ngoài) bao gồm chi phí đi lại, chỗ ở và chi phí tự trả.</t>
  </si>
  <si>
    <t>Tổng cộng</t>
  </si>
  <si>
    <t>TIỆN ÍCH VÀ DỊCH VỤ TẠI CÔNG TRƯỜNG</t>
  </si>
  <si>
    <t>Thiết lập công trường</t>
  </si>
  <si>
    <t>Dự trù cho việc cung cấp và bố trí văn phòng làm việc (containers) cho Nhà thầu bao gồm cả nhà vệ sinh trong đó hoặc đặt tại nơi Nhà thầu đề xuất, được Tư vấn chấp thuận và bao gồm cả chi phí tháo dỡ sau khi sử dụng.</t>
  </si>
  <si>
    <t>Dự trù chi phí cung cấp đầy đủ đồ nội thất của Văn phòng Nhà thầu như bàn ghế, tủ, ... bao gồm bảo dưỡng, sửa chữa, thay thế những đồ bị hỏng hóc trong thời gian thi công.</t>
  </si>
  <si>
    <t>Dự trù chi phí cung cấp đủ bàn và ghế họp bao gồm việc duy trì, sửa chữa và thay thế hỏng hóc trong suốt thời gian thi công.</t>
  </si>
  <si>
    <t>Thiết bị văn phòng và máy tính của Nhà thầu</t>
  </si>
  <si>
    <t>Nhà thầu sẽ cung cấp  đơn giá chi tiết dự trù cho các thiết bị văn phòng của Nhà thầu như máy photocopy, máy fax, máy đóng tài liệu, giá để bản vẽ, máy tiêu hủy giấy rác, máy lọc nước, thiết bị phòng đựng thức ăn, tủ lạnh, điện thoại bàn, máy in, máy tính để bàn có phép, UPS và phần mềm sử dụng liên quan, hệ thống công nghệ thông tin, camera số, máy scan; bao gồm việc duy trì, sửa chữa và thay thế hỏng hóc trong suốt thời gian thi công.</t>
  </si>
  <si>
    <t>Văn phòng phẩm và Dịch vụ</t>
  </si>
  <si>
    <t>Đồ dùng văn phòng phẩm cho văn phòng Nhà thầu</t>
  </si>
  <si>
    <t>In ấn và photo hồ sơ và báo cáo thi công.</t>
  </si>
  <si>
    <t>Hình công trường màu cho báo cáo tiến trình thi công.</t>
  </si>
  <si>
    <t>Phí bưu chính và chuyển phát nhanh</t>
  </si>
  <si>
    <t>Nước uống công nhân và tương tự</t>
  </si>
  <si>
    <t>Vật tư y tế</t>
  </si>
  <si>
    <t>Hệ thống nước tạm</t>
  </si>
  <si>
    <t>Nhà thầu được yêu cầu cung cấp bản vẽ bố trí của hệ thống cấp nước tạm thời.</t>
  </si>
  <si>
    <t>Nhà thầu lưu ý rằng vật liệu và thiết bị được cung cấp cho hạng mục này phải ở trong tình trạng tốt và chi phí sẽ được cung cấp, lắp đặt, bảo trì trong điều kiện tốt để sử dụng trong thời gian hợp đồng, và tháo dỡ và loại bỏ nếu được yêu cầu và theo chỉ dẫn của Nhà tư vấn / Chủ đầu tư / Nhà thầu chính</t>
  </si>
  <si>
    <t>Nhà thầu cung cấp đơn giá chi tiết dự trù cho các đầu mục nhưng không giới hạn như sau:</t>
  </si>
  <si>
    <t>Lưới cấp nước và đấu nối từ Điểm phân phối sàn đến các khu vực thi công của thầu phụ.</t>
  </si>
  <si>
    <t>Mức tiêu thụ nước, chi phí vận hành và bảo trì  trong suốt thời gian Hợp đồng.</t>
  </si>
  <si>
    <t>Hệ thống điện tạm</t>
  </si>
  <si>
    <t>Nhà thầu được yêu cầu cung cấp bản vẽ mặt bằng bố trí hệ thống điện tạm, hệ thống chiếu sáng tạm, hệ thống chiếu sáng tạm</t>
  </si>
  <si>
    <t>Dự trù chi phí kết nối từ các điểm chạm tới vị trí thi công theo từng tầng bởi Nhà thầu.</t>
  </si>
  <si>
    <t>Bất kỳ nguồn điện 03 pha nào để hàn sẽ do Nhà thầu từ điểm kết nối do Nhà thầu chính thiết lập.</t>
  </si>
  <si>
    <t>Chi phí sử dụng điện cho văn phòng tạm và nhà kho và chiếu sáng vị trí thi công theo từng tầng.</t>
  </si>
  <si>
    <t>Hệ thống liên lạc tạm thời</t>
  </si>
  <si>
    <t>Nhà thầu được yêu cầu cung cấp bản vẽ bố trí của hệ thống liên lạc tạm thời.</t>
  </si>
  <si>
    <t>Nhà thầu lưu ý rằng vật liệu và thiết bị được cung cấp cho hạng mục này phải ở trong tình trạng tốt và chi phí sẽ được cung cấp, lắp đặt, bảo trì trong điều kiện tốt để sử dụng trong thời gian hợp đồng, và tháo dỡ và loại bỏ nếu được yêu cầu và theo chỉ dẫn của Nhà tư vấn / Chủ đầu tư.</t>
  </si>
  <si>
    <t>Đường dây Điện thoại, Fax và Internet cho văn phòng Nhà thầu (bao gồm cả phí kết nối và tiền thuê)</t>
  </si>
  <si>
    <t>Phí liên lạc</t>
  </si>
  <si>
    <t>Hệ thống thoát nước mưa, chất thải và vệ sinh</t>
  </si>
  <si>
    <t>Vận chuyển và đổ rác từ các khu vực thi công theo hợp đồng đến điểm thu gom theo từng tầng.</t>
  </si>
  <si>
    <t>An ninh</t>
  </si>
  <si>
    <t>Nhà thầu sẽ cung cấp dịch vụ an ninh  trong suốt thời gian Hợp đồng bao gồm báo động đột nhập, kiểm soát giao thông, phòng cháy và chữa cháy</t>
  </si>
  <si>
    <t>Dự trù chi phí cho nhân viên an toàn / bảo vệ cho các khu vực xây dựng của Nhà thầu, văn phòng và kho chứa và kho vật liệu.</t>
  </si>
  <si>
    <t>An toàn và vệ sinh môi trường</t>
  </si>
  <si>
    <t>Nhà thầu sẽ tuân thủ kế hoạch an toàn lao động và vệ sinh môi trường trong suốt hợp đồng. Công việc được yêu cầu tuân theo các Quy định và Pháp luật hiện hành</t>
  </si>
  <si>
    <t>Bình chữa cháy và Phòng cháy chữa cháy tại vị trí làm việc.</t>
  </si>
  <si>
    <t>Cung cấp quần áo bảo hộ lao động như mũ bảo hộ lao động, ủng bảo hộ lao động, kính bảo hộ, găng tay, dây nịt, dây đai an toàn, áo mưa… cho công trình và cho nhân viên Quản lý của Nhà thầu và công nhân trên công trường.</t>
  </si>
  <si>
    <t>Cung cấp thiệt bị an toàn, lưới và biển báo cho tất cả các hoạt động thi công, huấn luyện an toàn định kỳ, giám sát an toàn độc lập để đánh giá thực tế và hướng dẫn cho các hành động sửa chữa, cung cấp và duy trì các lối đi nghiệm thu, giám sát trong tình trạng tốt tại vị trí thi công của Nhà thầu.</t>
  </si>
  <si>
    <t>Bảo vệ môi trường bao gồm kiểm soát ô nhiễm; kiểm soát dư lượng tiếng ồn và giám sát.</t>
  </si>
  <si>
    <t>Thử nghiệm và vận hành</t>
  </si>
  <si>
    <t>Kế hoạch thử nghiệm và vận hành</t>
  </si>
  <si>
    <t>Bàn giao, bản vẽ hoàn công, báo cáo, hướng dẫn vận hành và bảo trì.</t>
  </si>
  <si>
    <t>Vệ sinh</t>
  </si>
  <si>
    <t>Vệ sinh công trường và thu dọn các khu vực thi công của Nhà thầu tới vị trí được chỉ định bới Nhà thầu chính</t>
  </si>
  <si>
    <t>Khi hoàn thành Công việc và trước khi Nhà Tư Vấn phát hành Chứng chỉ Nghiệm thu Bàn giao, trừ khi được chỉ thị khác đi, Nhà thầu phải tháo dỡ và di chuyển ra khỏi Công trường tất cả hàng hoá, thiết bị, công trình tạm và công tác tạm thời, vật tư thừa và rác và sửa sang lại mọi hạng mục bị ảnh hưởng.</t>
  </si>
  <si>
    <t>Nhà thầu phải làm sạch toàn bộ Công việc cả trong và ngoài, loại bỏ tất cả vết bẩn, các lớp bảo vệ và che chắn tạm thời, hoàn thiện sửa sang công tác sơn và các hạng mục đánh bóng và giữ toàn bộ Công việc sạch sẽ đáp ứng yêu cầu của Nhà Tư Vấn.</t>
  </si>
  <si>
    <t>Phí và lệ phí</t>
  </si>
  <si>
    <t>Dự trù cho bất kỳ chi phí để cung cấp bất kỳ khoản phí hành nghề cần thiết.</t>
  </si>
  <si>
    <t>Dự trù chi phí cho cung cấp Giấy phép của Nhà thầu</t>
  </si>
  <si>
    <t>Bảo hiểm, Chứng thư bảo đảm, Bảo lãnh và Bảo hành</t>
  </si>
  <si>
    <t>Nhà thầu sẽ cung cấp phân tích chi tiết về chi phí được phép cho các hạng mục này được đính kèm trong Biểu này</t>
  </si>
  <si>
    <t>Chi phí bảo hiểm Xây dựng và bảo hiểm bên thứ ba (nếu chủ đầu tư yêu cầu)</t>
  </si>
  <si>
    <t>Chi phí bảo hiểm cho máy móc, thiết bị của Nhà thầu.</t>
  </si>
  <si>
    <t>Chi phí bảo hiểm cho công nhân của Nhà thầu</t>
  </si>
  <si>
    <t>Dự trù cho chi phí cung cấp bảo lãnh tiền tạm ứng (nếu có)</t>
  </si>
  <si>
    <t>Dự trù cho chi phí cung cấp bão lãnh ngân hàng cho việc bảo hành (nếu có)</t>
  </si>
  <si>
    <t>MÁY MÓC CƠ KHÍ VÀ PHI CƠ KHÍ</t>
  </si>
  <si>
    <t>Nhà thầu phải cung cấp kèm theo biểu khối lượng này chi tiết giá dự trù cho các hạng mục sau:</t>
  </si>
  <si>
    <t>Nhà thầu lưu ý rằng tất cả các máy móc, thiết bị được cung cấp phải ở trong tình trạng tốt.</t>
  </si>
  <si>
    <t>Cẩu tháp</t>
  </si>
  <si>
    <t>Huy động, lắp đặt và ghép, vận hành, tháo dỡ và di dời cẩu tháp, bao gồm lái cẩu có giấy phép, phụ cẩu và bảo dưỡng, nền và móng, bu lông neo, chống, giằng, bãi cẩu vật tư, xích và dây móc, chi phí giám định an toàn và kiểm định sử dụng. Nhà thầu phải lưu ý rằng tất cả các móng cẩu tháp không được liên kết vào kết cấu chính của công trình (nếu có)</t>
  </si>
  <si>
    <t>Nếu có</t>
  </si>
  <si>
    <t>Xe cẩu</t>
  </si>
  <si>
    <t>Huy động, vận hành, và di dời xe cẩu, bao gồm lái cẩu có giấy phép, bảo dưỡng, xích và dây móc, chi phí giám định an toàn và kiểm định sử dụng.</t>
  </si>
  <si>
    <t>Chỉ sử dụng Nhà thầu để bốc dỡ. Bất kỳ lắp đặt đặc biệt nào sẽ do Nhà thầu cung cấp với sự phối hợp của Nhà thầu chính và Kỹ sư trên việc tiếp cận công trường và hạn chế công trường</t>
  </si>
  <si>
    <t>Xe thang/Vận thăng</t>
  </si>
  <si>
    <t>Huy động, vận hành và di dời xe thang/vận thăng cho thời đoạn ngắn và công việc bao gồm phí nhân công, bảo dưỡng ,chi phí giám định an toàn và kiểm định sử dụng.</t>
  </si>
  <si>
    <t>Mức tiêu thụ điện hoặc nhiên liệu để vận hành xe thang/ vận thăng</t>
  </si>
  <si>
    <t>Dự trù chi phí di chuyển máy, thiết bị, nhân công, vật tư và hàng hóa trong phạm vi công trường trong thời gian Hợp đồng.</t>
  </si>
  <si>
    <t>Vận chuyển</t>
  </si>
  <si>
    <t>Huy động, vận hành, và di dời xe nâng hàng, xe kéo và thùng kéo, xe, xe tải, bao gồm lái xe được cấp phép, bảo dưỡng, chi phí giám định an toàn và kiểm định sử dụng.</t>
  </si>
  <si>
    <t>Mức tiêu thụ điện hoặc nhiên liệu để vận hành xe nâng hàng, xe xúc, xe kéo và thùng kéo.</t>
  </si>
  <si>
    <t>Giàn giáo bên ngoài và bên trong</t>
  </si>
  <si>
    <t>Nhà thầu lưu ý rằng tất cả giàn giáo bên trong và bên ngoài phải chắc chắn và tốt để sử dụng.</t>
  </si>
  <si>
    <t>Huy động và di dời, lắp dựng và tháo dỡ, điều chỉnh dàn giáo bên ngoài, bao gồm mâm, thang lên mỗi tầng, bao gồm phí thuê hay mua và bán lại, phí vận chuyển, nhân công, hao phí, tính an toàn của lan can và thanh chắn, mâm đỡ chân chống và giằng, lưới bao che an toàn, tấm ny lông bao che, mái tạm, tấm đặt vật tư, lối vào, bảo dưỡng, chi phí giám định an toàn và kiểm định sử dụng.</t>
  </si>
  <si>
    <t>Công tác quan trắc</t>
  </si>
  <si>
    <t xml:space="preserve">Nhà thầu sẽ cung cấp trắc đạc viên đủ năng lực để tiến hành công tác quan trắc công trình trong suốt thời gian Hợp đồng.
</t>
  </si>
  <si>
    <t>CÔNG TÁC TẠM</t>
  </si>
  <si>
    <t>Dự trù cho việc thiết lập nơi dựng lán trại, kho, xưởng và khu dỡ hàng bao gồm phục hồi và di dời sau khi sử dụng.</t>
  </si>
  <si>
    <t>Dự trù cho việc thiết lập tất cả các công việc tạm để không ảnh hưởng đến công trình lân cận bao gồm phục hồi và di dời sau khi sử dụng.</t>
  </si>
  <si>
    <t>Nhà thầu phải tuân thủ và chi trả mọi lệ phí do Chính quyền hay Cơ quan chức năng có thẩm quyền về ô nhiễm hay vệ sinh công trường qui định.</t>
  </si>
  <si>
    <t>CÁC CÔNG VIỆC KHÁC</t>
  </si>
  <si>
    <t>Dự trù cho chi phí xin phép tăng ca đêm.</t>
  </si>
  <si>
    <t>Dự trù cho chi phí để trình các mẫu vật liệu và thử nghiệm, thiết bị trước khi lắp đặt thử nghiệm và giấy chứng nhận</t>
  </si>
  <si>
    <t xml:space="preserve">Dự trù chi phí cho nước/ điện/ nhiên liệu tiêu thụ cho giai đoạn kiểm tra và vận hành thử. </t>
  </si>
  <si>
    <t>Dự trù chi phí cho thuế nhập khẩu và xuất hàng khỏi cảng.</t>
  </si>
  <si>
    <t>Dự trù chi phí cho cung cấp kế hoạch thi công, báo cáo biện pháp thi công (tính toán, bản vẽ, v.v.), tiến độ gia cố, bản vẽ phối hợp và thi công, bản vẽ khảo sát.</t>
  </si>
  <si>
    <t>Dự trù cho các mô hình trực quan như đã nêu trong thông số kỹ thuật / trên bản vẽ để Chủ đầu tư / Kỹ sư / Tư vấn xem xét và phê duyệt.</t>
  </si>
  <si>
    <t>KHỐI LƯỢNG TẠM TÍNH</t>
  </si>
  <si>
    <t>Với những hạng mục trong biểu khối lượng được mô tả như là khối lượng tạm tính, khối lượng của các hạng mục đó sẽ được tính lại sau khi hoàn thành công việc. Giá hợp đồng cũng sẽ được điều chỉnh theo đó.</t>
  </si>
  <si>
    <t>Các công tác có khối lượng tạm tính sẽ được tính sau khi thi công và trả theo đơn giá trong biểu khối lượng và tất cả tổng thành tiền cho hạng mục tạm tính này trong biểu khối lượng sẽ được khấu trừ toàn bộ khỏi giá hợp đồng.</t>
  </si>
  <si>
    <t xml:space="preserve">Khối lượng tạm tính chỉ là ước tính và không thể có trách nhiệm về độ chính xác của chúng. CHúng cũng không dùng để đánh giá hay giới hạn khối lượng công việc thực hiện. Đơn giá cho các hạng mục tạm tính không được thay đổi và cũng như không được phép gia hạn thời hạn hoàn thành công trình nếu có sự khác biệt giữa khối lượng thực tế với khối lượng tạm tính ban đầu. </t>
  </si>
  <si>
    <t>HẠNG MỤC BỔ SUNG</t>
  </si>
  <si>
    <t>Bất kì các hạng mục bổ sung khác mà Nhà thầu xem xét rằng bao gồm nhưng không được liệt kê ở trên (Nhà thầu có thể thêm chi tiết hơn nếu có).</t>
  </si>
  <si>
    <t>(1)………………</t>
  </si>
  <si>
    <t>(2)………………</t>
  </si>
  <si>
    <t>TỔNG CỘNG (Chưa bao gồm thuế GTGT)</t>
  </si>
  <si>
    <t>BILL: HỆ THỐNG ĐHKK &amp; THÔNG GIÓ</t>
  </si>
  <si>
    <t>MÔ TẢ CÔNG TÁC</t>
  </si>
  <si>
    <t>MÃ HIỆU</t>
  </si>
  <si>
    <t>NHÃN HIỆU</t>
  </si>
  <si>
    <t>XUẤT XỨ</t>
  </si>
  <si>
    <t>Đơn vị</t>
  </si>
  <si>
    <t>Khối lượng</t>
  </si>
  <si>
    <t>ĐƠN GIÁ</t>
  </si>
  <si>
    <t>THÀNH TIỀN</t>
  </si>
  <si>
    <t>VẬT TƯ</t>
  </si>
  <si>
    <t>NHÂN CÔNG</t>
  </si>
  <si>
    <t>HỆ THỐNG THÔNG GIÓ</t>
  </si>
  <si>
    <t>A1</t>
  </si>
  <si>
    <t>HỆ THỐNG HÚT KHÓI HẦM XE, HÚT KHÓI SỰ CỐ</t>
  </si>
  <si>
    <t>Quạt hướng trục CEF-B2-Z1-01~02 5290/9430 l/s @ 500/1350 Pa, chống cháy 300°C trong 2h,</t>
  </si>
  <si>
    <t>CEF</t>
  </si>
  <si>
    <t>Fantech (ELTA Fans), Systemair, Wolter, Kruger</t>
  </si>
  <si>
    <t>Cái</t>
  </si>
  <si>
    <t>Quạt hướng trục CEF-B2-Z2-01~02 5490/8910 l/s @ 600/1350 Pa, chống cháy 300°C trong 2h</t>
  </si>
  <si>
    <t>Quạt hướng trục CEF-B1-Z1-01~02 5590/8385 l/s @ 600/1350 Pa, chống cháy 300°C trong 2h</t>
  </si>
  <si>
    <t>Quạt hướng trục CEF-B1-Z2-01~02 5135/7700 l/s @ 600/1350 Pa, chống cháy 300°C trong 2h</t>
  </si>
  <si>
    <t>Quạt hướng trục SEF-B1-Z2-01 4800 l/s @ 500 Pa, chống cháy 300°C trong 2h</t>
  </si>
  <si>
    <t>SEF</t>
  </si>
  <si>
    <t>Quạt hướng trục SEF-A1.1-03F-01~02 7400 l/s @ 400 Pa, chống cháy 300°C trong 2h</t>
  </si>
  <si>
    <t>Quạt hướng trục SEF-A1.2-03F-01~02 6700 l/s @ 500 Pa, chống cháy 300°C trong 2h</t>
  </si>
  <si>
    <t>Quạt hướng trục SEF-A1.2-03F-03 5100 l/s @ 500 Pa, chống cháy 300°C trong 2h</t>
  </si>
  <si>
    <t>Quạt hướng trục SEF-A1.3-03F-01~03 4800 l/s @ 500 Pa, chống cháy 300°C trong 2h</t>
  </si>
  <si>
    <t>Quạt hướng trục SEF-A1.3-03F-04 4800 l/s @ 450 Pa, chống cháy 300°C trong 2h</t>
  </si>
  <si>
    <t>Quạt hướng trục SEF-A1.3-03F-05~07 4800 l/s @ 500 Pa, chống cháy 300°C trong 2h</t>
  </si>
  <si>
    <t>Quạt hướng trục SEF-A1.3-10F-01 7100 l/s @ 600 Pa, chống cháy 300°C trong 2h</t>
  </si>
  <si>
    <t>Quạt hướng trục SEF-A1.2-12F-01 8800 l/s @ 650 Pa, chống cháy 300°C trong 2h</t>
  </si>
  <si>
    <t>Quạt hướng trục SEF-A1.1-RF-01 8100 l/s @ 650 Pa, chống cháy 300°C trong 2h</t>
  </si>
  <si>
    <t>Tiêu âm quạt</t>
  </si>
  <si>
    <t>SX tại Việt Nam theo bản vẽ thiết kế</t>
  </si>
  <si>
    <t>Việt Nam (SX theo bản vẽ thiết kế)</t>
  </si>
  <si>
    <t>Bộ</t>
  </si>
  <si>
    <t>Van 1 chiều NRD 1250x1250 (EI60)</t>
  </si>
  <si>
    <t>NRD</t>
  </si>
  <si>
    <t>NSCA, Evegreen, Swind</t>
  </si>
  <si>
    <t>Việt Nam / Singapore</t>
  </si>
  <si>
    <t>Van 1 chiều NRD 1700x600 (EI60)</t>
  </si>
  <si>
    <t>Van 1 chiều NRD 1200x350 (EI60)</t>
  </si>
  <si>
    <t>Van ngăn cháy MFD 1250x1250 (EI60)</t>
  </si>
  <si>
    <t>MFD</t>
  </si>
  <si>
    <t>Van: NSCA, Evegreen, Swind, tđ
ĐC: Belimo, Johnson Controls, tđ</t>
  </si>
  <si>
    <t>Van ngăn cháy MFD 1700x600 (EI60)</t>
  </si>
  <si>
    <t>Van ngăn cháy MFD 1200x350 (EI60)</t>
  </si>
  <si>
    <t>Van ngăn cháy MFD 950x400 (EI30)</t>
  </si>
  <si>
    <t>Van ngăn cháy MFD 950x500 (EI30)</t>
  </si>
  <si>
    <t>Van ngăn cháy MFD 950x200 (EI30)</t>
  </si>
  <si>
    <t>Van ngăn cháy MFD 950x300 (EI30)</t>
  </si>
  <si>
    <t>Van chỉnh lưu lượng VCD 2000x500 (EI60)</t>
  </si>
  <si>
    <t>VCD</t>
  </si>
  <si>
    <t>Van chỉnh lưu lượng VCD 1300x400 (EI60)</t>
  </si>
  <si>
    <t>Van chỉnh lưu lượng VCD 1600x400 (EI60)</t>
  </si>
  <si>
    <t>Van chỉnh lưu lượng VCD 1600x450 (EI60)</t>
  </si>
  <si>
    <t>Van chỉnh lưu lượng VCD 900x350 (EI60)</t>
  </si>
  <si>
    <t>Van chỉnh lưu lượng VCD 600x300 (EI60)</t>
  </si>
  <si>
    <t>Miệng gió hút khói EAG 600x300+OBD</t>
  </si>
  <si>
    <t>EAG</t>
  </si>
  <si>
    <t>Miệng gió hút khói SEG 1200x600+OBD</t>
  </si>
  <si>
    <t>SEG</t>
  </si>
  <si>
    <t>Miệng gió hút khói SEAG 1000x600+OBD</t>
  </si>
  <si>
    <t>SEAG</t>
  </si>
  <si>
    <t>Louver EAL 7500x500+IS</t>
  </si>
  <si>
    <t>EAL</t>
  </si>
  <si>
    <t>Louver EAL 4500x500+IS</t>
  </si>
  <si>
    <t>Louver EAL 4000x500+IS</t>
  </si>
  <si>
    <t>Louver EAL 3000x500+IS</t>
  </si>
  <si>
    <t>Louver EAL 2750x750+IS</t>
  </si>
  <si>
    <t>Box miệng gió 600x300</t>
  </si>
  <si>
    <t>Box miệng gió 1200x600</t>
  </si>
  <si>
    <t>Box miệng gió 10006300</t>
  </si>
  <si>
    <t>Vật tư phụ, phụ kiện</t>
  </si>
  <si>
    <t>Lô</t>
  </si>
  <si>
    <t>Ống thông gió và phụ kiện, box miệng gió</t>
  </si>
  <si>
    <t>Tole 0.75mm phủ lớp mạ kẽm Z180</t>
  </si>
  <si>
    <t>Diện tích tính theo kích thước hình học (Hoàn thiện)</t>
  </si>
  <si>
    <t>Hoa Sen, Phương Nam</t>
  </si>
  <si>
    <t>Hoa Sen / Phương Nam / Nam Kim / tđ</t>
  </si>
  <si>
    <t>m2</t>
  </si>
  <si>
    <t>Tole 0.95mm phủ lớp mạ kẽm Z180</t>
  </si>
  <si>
    <t>Tole 1.15mm phủ lớp mạ kẽm Z180</t>
  </si>
  <si>
    <t>Tole ZAM 1.15mm</t>
  </si>
  <si>
    <t>Lưới bảo vệ</t>
  </si>
  <si>
    <t>cái</t>
  </si>
  <si>
    <t>Lớp chống cháy EI30</t>
  </si>
  <si>
    <t>3M, Flamebar, Kova</t>
  </si>
  <si>
    <t>3M / Flamebar / Hilti / tđ</t>
  </si>
  <si>
    <t>Lớp chống cháy EI60</t>
  </si>
  <si>
    <t>A2</t>
  </si>
  <si>
    <t>HỆ THỐNG TẠO ÁP</t>
  </si>
  <si>
    <t>Quạt hướng trục BPF-B2-Z2-01 400 l/s @ 650 Pa, chống cháy 300°C trong 2h</t>
  </si>
  <si>
    <t>BPF</t>
  </si>
  <si>
    <t>Quạt hướng trục BPF-B2-Z2-02 1200 l/s @ 550 Pa, chống cháy 300°C trong 2h</t>
  </si>
  <si>
    <t>Quạt hướng trục BPF-B2-Z2-03 4200 l/s @ 400 Pa, chống cháy 300°C trong 2h</t>
  </si>
  <si>
    <t>Quạt hướng trục BPF-B2-Z2-04 4200 l/s @ 400 Pa, chống cháy 300°C trong 2h</t>
  </si>
  <si>
    <t>Quạt hướng trục BPF-B1-Z1-01 5400 l/s @ 700 Pa, chống cháy 300°C trong 2h</t>
  </si>
  <si>
    <t>Quạt hướng trục BPF-B1-Z1-02 5800 l/s @ 700 Pa, chống cháy 300°C trong 2h</t>
  </si>
  <si>
    <t>Quạt hướng trục BPF-B1-Z1-03 400 l/s @ 550 Pa, chống cháy 300°C trong 2h</t>
  </si>
  <si>
    <t>Quạt hướng trục BPF-B1-Z1-04 5400 l/s @ 450 Pa, chống cháy 300°C trong 2h</t>
  </si>
  <si>
    <t>Quạt hướng trục BPF-B1-Z1-05 1100 l/s @ 500 Pa, chống cháy 300°C trong 2h</t>
  </si>
  <si>
    <t>Quạt hướng trục BPF-B1-Z1-06 400 l/s @ 650 Pa, chống cháy 300°C trong 2h</t>
  </si>
  <si>
    <t>Quạt hướng trục BPF-B1-Z2-01 400 l/s @ 400 Pa, chống cháy 300°C trong 2h</t>
  </si>
  <si>
    <t>Quạt hướng trục BPF-B1-Z2-02 5400 l/s @ 700 Pa, chống cháy 300°C trong 2h</t>
  </si>
  <si>
    <t>Quạt hướng trục BPF-B1-Z2-03 5400 l/s @ 700 Pa, chống cháy 300°C trong 2h</t>
  </si>
  <si>
    <t>Quạt hướng trục BPF-B1-Z2-04 700 l/s @ 400 Pa, chống cháy 300°C trong 2h</t>
  </si>
  <si>
    <t>Quạt hướng trục LPF-A1.12-03F-01 1900 l/s @ 400 Pa, chống cháy 300°C trong 2h</t>
  </si>
  <si>
    <t>LPF</t>
  </si>
  <si>
    <t>Quạt hướng trục LPF-A1.23-03F-01 1900 l/s @ 450 Pa, chống cháy 300°C trong 2h</t>
  </si>
  <si>
    <t>Quạt hướng trục BPF-A1.2-04F-01 9500 l/s @ 450 Pa, chống cháy 300°C trong 2h</t>
  </si>
  <si>
    <t>Quạt hướng trục LPF-A1.2-04F-01 1900 l/s @ 400 Pa, chống cháy 300°C trong 2h</t>
  </si>
  <si>
    <t>Quạt hướng trục SPF-A1.3-09F-01 4800 l/s @ 400 Pa, chống cháy 300°C trong 2h</t>
  </si>
  <si>
    <t>SPF</t>
  </si>
  <si>
    <t>Quạt hướng trục SPF-A1.3-10F-01 4800 l/s @ 400 Pa, chống cháy 300°C trong 2h</t>
  </si>
  <si>
    <t>Quạt hướng trục LPF-A1.3-10F-01~02 3000 l/s @ 350 Pa, chống cháy 300°C trong 2h</t>
  </si>
  <si>
    <t>Quạt hướng trục BPF-A1.3-10F-01 5800 l/s @ 550 Pa, chống cháy 300°C trong 2h</t>
  </si>
  <si>
    <t>Quạt hướng trục LPF-A1.2-11F-01~03 3500 l/s @ 400 Pa, chống cháy 300°C trong 2h</t>
  </si>
  <si>
    <t>Quạt hướng trục SPF-A1.2-12F-01~02 3500 l/s @ 400 Pa, chống cháy 300°C trong 2h</t>
  </si>
  <si>
    <t>Quạt hướng trục BPF-A1.2-12F-01 6100 l/s @ 600 Pa, chống cháy 300°C trong 2h</t>
  </si>
  <si>
    <t>Quạt hướng trục LPF-A1.1-RF-01~03 4000 l/s @ 400 Pa, chống cháy 300°C trong 2h</t>
  </si>
  <si>
    <t>Quạt hướng trục SPF-A1.1-RF-01~02 5300 l/s @ 450 Pa, chống cháy 300°C trong 2h</t>
  </si>
  <si>
    <t>Quạt hướng trục BPF-A1.1-RF-01 6100 l/s @ 600 Pa, chống cháy 300°C trong 2h</t>
  </si>
  <si>
    <t>Van 1 chiều NRD 300x200 (EI60)</t>
  </si>
  <si>
    <t>NSCA, Evegreen, Swind, tđ</t>
  </si>
  <si>
    <t>Van 1 chiều NRD 700x500 (EI60)</t>
  </si>
  <si>
    <t>Van 1 chiều NRD 700x800 (EI60)</t>
  </si>
  <si>
    <t>Van 1 chiều NRD 250X200(EI60)</t>
  </si>
  <si>
    <t>Van 1 chiều NRD 900x400 (EI60)</t>
  </si>
  <si>
    <t>Van 1 chiều NRD 300x300 (EI60)</t>
  </si>
  <si>
    <t>Van 1 chiều NRD 350x250 (EI60)</t>
  </si>
  <si>
    <t>Van 1 chiều NRD 350x150 (EI60)</t>
  </si>
  <si>
    <t>Van ngăn cháy MFD 350x200 (EI60)</t>
  </si>
  <si>
    <t>Van ngăn cháy MFD 700x500 (EI60)</t>
  </si>
  <si>
    <t>Van ngăn cháy MFD 700x800 (EI60)</t>
  </si>
  <si>
    <t>Van ngăn cháy MFD 1200x600 (EI60)</t>
  </si>
  <si>
    <t>Van ngăn cháy MFD 250X200 (EI60)</t>
  </si>
  <si>
    <t>Van ngăn cháy MFD 900x400 (EI60)</t>
  </si>
  <si>
    <t>Van ngăn cháy MFD 900x400 (EI120)</t>
  </si>
  <si>
    <t>Van ngăn cháy MFD 300x300 (EI60)</t>
  </si>
  <si>
    <t>Van ngăn cháy MFD 250x200 (EI60)</t>
  </si>
  <si>
    <t>Van ngăn cháy MFD 350x150 (EI60)</t>
  </si>
  <si>
    <t>Van ngăn cháy MFD 1000x300 (EI60)</t>
  </si>
  <si>
    <t>Van ngăn cháy MFD 850x300 (EI60)</t>
  </si>
  <si>
    <t>Van ngăn cháy MFD 800x350 (EI60)</t>
  </si>
  <si>
    <t>Van ngăn cháy MFD 2000x650 (EI120)</t>
  </si>
  <si>
    <t>Van ngăn cháy MFD 1000x350 (EI120)</t>
  </si>
  <si>
    <t>Van ngăn cháy MFD 1200x350 (EI120)</t>
  </si>
  <si>
    <t>Van ngăn cháy MFD 1100x350 (EI120)</t>
  </si>
  <si>
    <t>Van ngăn cháy MFD 1200x300 (EI60)</t>
  </si>
  <si>
    <t>Van ngăn cháy MFD 1200x300 (EI120)</t>
  </si>
  <si>
    <t>Van ngăn cháy MFD 900x350 (EI120)</t>
  </si>
  <si>
    <t>Van ngăn cháy MFD 1150x350 (EI120)</t>
  </si>
  <si>
    <t>Van ngăn cháy MFD 1200x450 (EI120)</t>
  </si>
  <si>
    <t>Van ngăn cháy MFD 350x600 (EI120)</t>
  </si>
  <si>
    <t>Van ngăn cháy MFD 800x300 (EI120)</t>
  </si>
  <si>
    <t>Van ngăn cháy MFD 650x400</t>
  </si>
  <si>
    <t>Van xả áp</t>
  </si>
  <si>
    <t>Van chỉnh lưu lượng VCD250x200 (EI60)</t>
  </si>
  <si>
    <t>Miệng gió tạo áp PAG 900x400+OBD</t>
  </si>
  <si>
    <t>Miệng gió tạo áp PAG 300x300+OBD</t>
  </si>
  <si>
    <t>Miệng gió tạo áp PAG 1200x600+OBD</t>
  </si>
  <si>
    <t>Miệng gió tạo áp PAG 1400x800+OBD</t>
  </si>
  <si>
    <t>Miệng gió tạo áp PAG 500x200+OBD</t>
  </si>
  <si>
    <t>Miệng gió tạo áp PAG1400x800+OBD</t>
  </si>
  <si>
    <t>Miệng gió tạo áp PAG 900x350+OBD</t>
  </si>
  <si>
    <t>Miệng gió tạo áp PAG 350x600+OBD</t>
  </si>
  <si>
    <t>Miệng gió tạo áp PAG 800x400 OBD</t>
  </si>
  <si>
    <t>Miệng gió tạo áp PAG 700x400 OBD</t>
  </si>
  <si>
    <t>Louver 1750x500+IS</t>
  </si>
  <si>
    <t>Louver 1500x1000+IS</t>
  </si>
  <si>
    <t>Louver 3500x1000+IS</t>
  </si>
  <si>
    <t>Hệ thống ống thông gió tạo áp, box miệng gió…</t>
  </si>
  <si>
    <t>Lớp chống cháy EI120</t>
  </si>
  <si>
    <t>A3</t>
  </si>
  <si>
    <t>HỆ THỐNG CẤP GIÓ TƯƠI, GIÓ BÙ</t>
  </si>
  <si>
    <t xml:space="preserve">PAU-A1.1-RF-01 </t>
  </si>
  <si>
    <t>CĐT cấp, nhà thầu bảo quản và lắp đặt, bao gồm chạy thử, bàn giao</t>
  </si>
  <si>
    <t>PAU-A1.2-11-01</t>
  </si>
  <si>
    <t>PAU-A1.3-09-01</t>
  </si>
  <si>
    <t>ODU-A1.1-RF-01</t>
  </si>
  <si>
    <t>ODU-A1.2-RF-01</t>
  </si>
  <si>
    <t>ODU-A1.3-RF-01</t>
  </si>
  <si>
    <t>Quạt hướng trục CSF-B2-Z1-01~02 5350/8020 l/s @ 550/1238 Pa, chống cháy 300°C trong 2h</t>
  </si>
  <si>
    <t>Quạt hướng trục CSF-B2-Z2-01~02 5050/7575 l/s @ 550/1238 Pa, chống cháy 300°C trong 2h</t>
  </si>
  <si>
    <t>Quạt hướng trục CSF-B1-Z1-01~02 4750/7125 l/s @ 550/1238 Pa, chống cháy 300°C trong 2h</t>
  </si>
  <si>
    <t>Quạt hướng trục CSF-B1-Z2-01~02 4365/6550 l/s @ 550/1238 Pa, chống cháy 300°C trong 2h</t>
  </si>
  <si>
    <t>Quạt hướng trục MAF-B1-Z2-01 2800 l/s @ 350 Pa, chống cháy 300°C trong 2h</t>
  </si>
  <si>
    <t>Quạt hướng trục MAF-A1.1-03F-01 3100 l/s @ 400 Pa, chống cháy 300°C trong 2h</t>
  </si>
  <si>
    <t>Quạt hướng trục MAF-A1.3-03F-01~05 2700 l/s @ 350 Pa, chống cháy 300°C trong 2h</t>
  </si>
  <si>
    <t>Quạt hướng trục MAF-A1.3-09F-01 3700 l/s @ 500 Pa, chống cháy 300°C trong 2h</t>
  </si>
  <si>
    <t>Quạt hướng trục MAF-A1.2-12F-01 3900 l/s @ 400 Pa, chống cháy 300°C trong 2h</t>
  </si>
  <si>
    <t>Quạt hướng trục MAF-A1.1-RF-01 4100 l/s @ 500 Pa, chống cháy 300°C trong 2h</t>
  </si>
  <si>
    <t>Quạt hướng trục OAF-B2-Z2-01 1050 L/s 200Pa</t>
  </si>
  <si>
    <t>bộ</t>
  </si>
  <si>
    <t>Quạt hướng trục OAF-A1.3-10F-01~02 3536 l/s @ 450 Pa</t>
  </si>
  <si>
    <t>Quạt hướng trục OAF-A1.2-11F-01~02 3444 l/s @ 450 Pa</t>
  </si>
  <si>
    <t>Quạt hướng trục OAF-A1.1-RF-01~02 3450 l/s @ 450 Pa</t>
  </si>
  <si>
    <t>Quạt hướng trục OAF-A1.1-1F.01-01 187 l/s @175Pa</t>
  </si>
  <si>
    <t>Quạt hướng trục OAF-A1.1-1F.02-01 140 l/s @150Pa</t>
  </si>
  <si>
    <t>Quạt hướng trục OAF-A1.1-1F.03-01 271 l/s @175Pa</t>
  </si>
  <si>
    <t>Quạt hướng trục OAF-A1.1-1F.CR-01 188 l/s @150Pa</t>
  </si>
  <si>
    <t>Quạt hướng trục OAF-A1.2-1F-01-01 123 l/s @150Pa</t>
  </si>
  <si>
    <t>Quạt hướng trục OAF-A1.2-1F-02-01 193 l/s @175Pa</t>
  </si>
  <si>
    <t>Quạt hướng trục OAF-A1.2-1F-03-01 162 l/s @150Pa</t>
  </si>
  <si>
    <t>Quạt hướng trục OAF-A1.2-1F-05A-01 130 l/s @150Pa</t>
  </si>
  <si>
    <t>Quạt hướng trục OAF-A1.2-1F-06-01 138 l/s @150Pa</t>
  </si>
  <si>
    <t>Quạt hướng trục OAF-A1.2-1F-08-01 97 l/s @150Pa</t>
  </si>
  <si>
    <t>Quạt hướng trục OAF-A1.2-1F-08A-01 89 l/s @150Pa</t>
  </si>
  <si>
    <t>Quạt hướng trục OAF-A1.2-1F-CR-01 250 l/s @175Pa</t>
  </si>
  <si>
    <t>Quạt hướng trục OAF-A1.3-1F-01-01 275 l/s @175Pa</t>
  </si>
  <si>
    <t>Quạt hướng trục OAF-A1.3-1F-02-01 262 l/s @250Pa</t>
  </si>
  <si>
    <t>Quạt hướng trục OAF-A1.3-1F-03-01 250 l/s @175Pa</t>
  </si>
  <si>
    <t>Quạt hướng trục OAF-A1.3-1F-05-01 210 l/s @175Pa</t>
  </si>
  <si>
    <t>Quạt hướng trục OAF-A1.3-1F-05A-01 264 l/s @175Pa</t>
  </si>
  <si>
    <t>Quạt hướng trục OAF-A1.3-1F-CR-01 188 l/s @175Pa</t>
  </si>
  <si>
    <t>Quạt hướng trục OAF-A1.1-2F-01-01 172 l/s @150Pa</t>
  </si>
  <si>
    <t>Quạt hướng trục OAF-A1.1-2F-02-01 133 l/s @150Pa</t>
  </si>
  <si>
    <t>Quạt hướng trục OAF-A1.1-2F-03-01 136 l/s @150Pa</t>
  </si>
  <si>
    <t>Quạt hướng trục OAF-A1.1-2F-05A-01 35 l/s @75Pa</t>
  </si>
  <si>
    <t>Quạt hướng trục OAF-A1.1-2F-05-01 117 l/s @150Pa</t>
  </si>
  <si>
    <t>Quạt hướng trục OAF-A1.1-2F-09-01 83 l/s @150Pa</t>
  </si>
  <si>
    <t>Quạt hướng trục OAF-A1.2-2F-01-01 136 l/s @150Pa</t>
  </si>
  <si>
    <t>Quạt hướng trục OAF-A1.2-2F-02-01 180 l/s @150Pa</t>
  </si>
  <si>
    <t>Quạt hướng trục OAF-A1.2-2F-03-01 160 l/s @150Pa</t>
  </si>
  <si>
    <t>Quạt hướng trục OAF-A1.2-2F-04-01 157 l/s @150Pa</t>
  </si>
  <si>
    <t>Quạt hướng trục OAF-A1.2-2F-05-01 151 l/s @150Pa</t>
  </si>
  <si>
    <t>Quạt hướng trục OAF-A1.2-2F-06-01 159 l/s @150Pa</t>
  </si>
  <si>
    <t>Quạt hướng trục OAF-A1.2-2F-12-01 240 l/s @150Pa</t>
  </si>
  <si>
    <t>Quạt hướng trục OAF-A1.3-2F-01-01 164 l/s @150Pa</t>
  </si>
  <si>
    <t>Quạt hướng trục OAF-A1.3-2F-02-01 142 l/s @150Pa</t>
  </si>
  <si>
    <t>Quạt hướng trục OAF-A1.3-2F-03-01 268 l/s @150Pa</t>
  </si>
  <si>
    <t>Quạt hướng trục OAF-A1.3-2F-05A-01 167 l/s @150Pa</t>
  </si>
  <si>
    <t>Quạt hướng trục OAF-A1.3-2F-05-01 82 l/s @150Pa</t>
  </si>
  <si>
    <t>Quạt hướng trục OAF-A1.3-2F-06-01 47 l/s @150Pa</t>
  </si>
  <si>
    <t>Quạt hướng trục OAF-A1.3-2F-08A-01 147 l/s @150Pa</t>
  </si>
  <si>
    <t>Van 1 chiều NRD 1350x1250 (EI60)</t>
  </si>
  <si>
    <t>Van 1 chiều NRD1250x600 (EI60)</t>
  </si>
  <si>
    <t>Van 1 chiều NRD 800x250</t>
  </si>
  <si>
    <t>Van 1 chiều NRD 800x450</t>
  </si>
  <si>
    <t>Van ngăn cháy MFD 1350x1250 (EI60)</t>
  </si>
  <si>
    <t xml:space="preserve">Van ngăn cháy MFD 1250x600 (EI60) </t>
  </si>
  <si>
    <t>Van ngăn cháy MFD 1050x350 (EI120)</t>
  </si>
  <si>
    <t>Van ngăn cháy MFD 800x350 (EI30)</t>
  </si>
  <si>
    <t>Van ngăn cháy MFD 900x350 (EI30)</t>
  </si>
  <si>
    <t>Van ngăn cháy MFD 110x350 (EI30)</t>
  </si>
  <si>
    <t>Van ngăn cháy MFD 900x350 (E120)</t>
  </si>
  <si>
    <t>Van ngăn cháy MFD1400x350 (EI45)</t>
  </si>
  <si>
    <t>Van ngăn cháy MFD 100x100</t>
  </si>
  <si>
    <t>Van ngăn cháy MFD 150x150</t>
  </si>
  <si>
    <t>Van ngăn cháy MFD 450x300</t>
  </si>
  <si>
    <t>Van ngăn cháy FD800x250</t>
  </si>
  <si>
    <t>Van ngăn cháy FD300x200</t>
  </si>
  <si>
    <t>Van ngăn cháy FD200x200</t>
  </si>
  <si>
    <t>Van ngăn cháy FD350x200</t>
  </si>
  <si>
    <t>Van ngăn cháy FD450x200</t>
  </si>
  <si>
    <t>Van động cơ MD 300x150</t>
  </si>
  <si>
    <t>Van chỉnh gió lưu lượng không đổi</t>
  </si>
  <si>
    <t>Van chỉnh lưu lượng VCD 1300x300 (EI60)</t>
  </si>
  <si>
    <t>Van chỉnh lưu lượng VCD 150x150</t>
  </si>
  <si>
    <t>Van chỉnh lưu lượng VCD D150</t>
  </si>
  <si>
    <t>Van chỉnh lưu lượng VCD D200</t>
  </si>
  <si>
    <t>Miệng gió OAG 1000x600+OBD</t>
  </si>
  <si>
    <t>Miệng gió OAG 1200x600+OBD</t>
  </si>
  <si>
    <t>Miệng gió OAG 600x600+OBD</t>
  </si>
  <si>
    <t>Miệng gió OAG 900x600+OBD</t>
  </si>
  <si>
    <t>Miệng gió MAG 850x850+OBD</t>
  </si>
  <si>
    <t>Miệng gió MAG 1050x800+OBD</t>
  </si>
  <si>
    <t>Miệng gió MAG 250x250+OBD</t>
  </si>
  <si>
    <t>Cửa sổ cấp bù gió khi có cháy 1.5m2</t>
  </si>
  <si>
    <t>Cửa sổ cấp bù gió khi có cháy 0.8m2</t>
  </si>
  <si>
    <t>Cửa sổ cấp bù gió khi có cháy 0.75m2</t>
  </si>
  <si>
    <t>Louver FAL 300x300 + IS + Filter</t>
  </si>
  <si>
    <t>Louver FAL 400x300 + IS + Filter</t>
  </si>
  <si>
    <t>Louver FAL 500x300 + IS + Filter</t>
  </si>
  <si>
    <t>Louver FAL 600x400 + IS + Filter</t>
  </si>
  <si>
    <t>Louver FAL 600x600 + IS + Filter</t>
  </si>
  <si>
    <t>Louver FAL 900x600 + IS + Filter</t>
  </si>
  <si>
    <t>Louver 2500x500+IS</t>
  </si>
  <si>
    <t>Louver 3000x500+IS</t>
  </si>
  <si>
    <t>Hệ thống ống thông cấp gió tươi, gió bù, box miệng gió</t>
  </si>
  <si>
    <t>Tole 0.58 mm phủ lớp mạ kẽm Z180 kèm cách nhiệt 19mm</t>
  </si>
  <si>
    <t>Tole 0.75mm phủ lớp mạ kẽm Z180 kèm cách nhiệt 19mm</t>
  </si>
  <si>
    <t>Tole 0.95mm phủ lớp mạ kẽm Z180 kèm cách nhiệt 19mm</t>
  </si>
  <si>
    <t>Tole ZAM 0.75mm</t>
  </si>
  <si>
    <t>3M, Flamebar, Kova, tđ</t>
  </si>
  <si>
    <t>A4</t>
  </si>
  <si>
    <t>Hệ thống hút gió thải, hút gió bếp</t>
  </si>
  <si>
    <t>Quạt gắn tường gió thải cho phòng Quạt gió tươi 60 l/s @ 50Pa kèm FD</t>
  </si>
  <si>
    <t>Quạt gắn tường gió thải cho phòng Quạt gió thải 60 l/s @ 50Pa kèm FD</t>
  </si>
  <si>
    <t>Quạt gắn tường EAF-B2-Z1-01,02,03 50 l/s 50Pa kèm FD</t>
  </si>
  <si>
    <t>Quạt gắn tường EAF-B2-Z1-02 50 l/s 50Pa kèm FD</t>
  </si>
  <si>
    <t>Quạt gắn tường EAF-B2-Z2-01 80 l/s 50Pa kèm FD</t>
  </si>
  <si>
    <t>Quạt gắn tường EAF-B2-Z2-02 50 l/s 50Pa kèm FD</t>
  </si>
  <si>
    <t>Quạt hướng trục EAF-B2-Z2-03 260 l/s 200Pa</t>
  </si>
  <si>
    <t>Quạt hướng trục EAF-B2-Z2-04 600 l/s 200Pa</t>
  </si>
  <si>
    <t>Quạt hướng trục EAF-B2-Z2-06 320 l/s 200Pa</t>
  </si>
  <si>
    <t>Quạt gắn tường EAF-B1-Z1-01 110 l/s 50Pa kèm FD</t>
  </si>
  <si>
    <t>Quạt gắn tường EAF-B1-Z1-02 80 l/s 50Pa kèm FD</t>
  </si>
  <si>
    <t>Quạt hướng trục EAF-B1-Z1-03 6670 l/s 350Pa</t>
  </si>
  <si>
    <t>Quạt hướng trục EAF-B1-Z1-04 4690 l/s 400Pa</t>
  </si>
  <si>
    <t>Quạt gắn tường EAF-B1-Z2-05 36 l/s 50Pa kèm FD</t>
  </si>
  <si>
    <t>Quạt gắn tường EAF-B1-Z2-01 70 l/s 50Pa kèm FD</t>
  </si>
  <si>
    <t>Quạt gắn tường EAF-B1-Z2-02 80 l/s 50Pa kèm FD</t>
  </si>
  <si>
    <t>Quạt gắn tường EAF-B1-Z2-03 1300 l/s 650Pa kèm FD</t>
  </si>
  <si>
    <t>Quạt hướng trục EAF-A1.3-10F-01~02 130 l/s @ 350 Pa</t>
  </si>
  <si>
    <t>Quạt hướng trục EAF-A1.3-10F-03~04 140 l/s @ 350 Pa</t>
  </si>
  <si>
    <t>Quạt hướng trục EAF-A1.3-10F-05~06 3210 l/s @ 450 Pa</t>
  </si>
  <si>
    <t>Quạt hướng trục KEAF-A1.3-10F-01~02 3900 l/s @ 500 Pa</t>
  </si>
  <si>
    <t>Quạt hướng trục EAF-A1.3-10F-01~02 150 l/s @ 350 Pa</t>
  </si>
  <si>
    <t>Quạt hướng trục EAF-A1.2-12F-03, 04 180 l/s @ 350 Pa</t>
  </si>
  <si>
    <t>Quạt hướng trục EAF-A1.2-12F-05~06 3300 l/s @ 450 Pa</t>
  </si>
  <si>
    <t>Quạt hướng trục KEAF-A1.2-12F-01~02 4800 l/s @ 500 Pa</t>
  </si>
  <si>
    <t>Quạt hướng trục EAF-A1.1-RF-01, 240 l/s @ 350 Pa</t>
  </si>
  <si>
    <t>Quạt hướng trục EAF-A1.1-RF-03, 04 180 l/s @ 350 Pa</t>
  </si>
  <si>
    <t>Quạt hướng trục EAF-A1.1-RF-05~06 2363 l/s @ 400 Pa</t>
  </si>
  <si>
    <t>Quạt hướng trục KEAF-A1.1-RF-01~02 3450 l/s @ 450 Pa</t>
  </si>
  <si>
    <t>Quạt gắn trần EAF-A1.1-1F.01~04, EAF-A1.2-1F.01~08, EAF-A1.3-1F.01~04 35l/s @ 75Pa</t>
  </si>
  <si>
    <t>Quạt gắn trần EAF-A1.3-1F.05 140l/s @ 150Pa</t>
  </si>
  <si>
    <t>Quạt gắn trần EAF-A1.1-2F.01~09, EAF-A1.2-1F.01~13, EAF-A1.3-1F.01~08 35l/s @ 75Pa</t>
  </si>
  <si>
    <t>Quạt hướng trục EAF-A1.1-2F-08 140 l/s @ 200 Pa</t>
  </si>
  <si>
    <t>Quạt hướng trục EAF-A1.1-2F-09 350 l/s @ 250 Pa</t>
  </si>
  <si>
    <t>Quạt hướng trục EAF-A1.1-2F-07 245 l/s @ 75 Pa</t>
  </si>
  <si>
    <t>Van FD 150x150 (EI60)</t>
  </si>
  <si>
    <t>Van FD 400x150</t>
  </si>
  <si>
    <t>Van FD 400x200</t>
  </si>
  <si>
    <t>Van FD 300x150</t>
  </si>
  <si>
    <t>Van FD 300x200</t>
  </si>
  <si>
    <t>Van FD 800x250</t>
  </si>
  <si>
    <t>Van FD 1200x350</t>
  </si>
  <si>
    <t>Van FD 1000x300</t>
  </si>
  <si>
    <t>Van FD 600x300</t>
  </si>
  <si>
    <t>Van FD 350x200</t>
  </si>
  <si>
    <t>Van FD 500x200</t>
  </si>
  <si>
    <t>Van MFD 1250x350</t>
  </si>
  <si>
    <t>Van MFD 1000x550</t>
  </si>
  <si>
    <t>Van MFD 500x200</t>
  </si>
  <si>
    <t>Van MFD 800x300</t>
  </si>
  <si>
    <t>Van MFD 1200x650</t>
  </si>
  <si>
    <t>Van chỉnh lưu lượng VCD 150x150 (EI60)</t>
  </si>
  <si>
    <t>Van chỉnh lưu lượng VCD 300x150</t>
  </si>
  <si>
    <t>Van 1 chiều NRD 350x200</t>
  </si>
  <si>
    <t>Van 1 chiều NRD 400x400</t>
  </si>
  <si>
    <t>Van 1 chiều NRD 250x250</t>
  </si>
  <si>
    <t>Van 1 chiều NRD 1250x350</t>
  </si>
  <si>
    <t>Van 1 chiều NRD 1000x550</t>
  </si>
  <si>
    <t>Van 1 chiều NRD 400x200</t>
  </si>
  <si>
    <t>Miệng gió thải EAG 150x150+OBD+box miệng gió</t>
  </si>
  <si>
    <t>Miệng gió thải EAG 300X300+OBD+box miệng gió</t>
  </si>
  <si>
    <t>Miệng gió thải EAG 400x300+OBD+box miệng gió</t>
  </si>
  <si>
    <t>Miệng gió thải EAG 1200x800+OBD+box miệng gió</t>
  </si>
  <si>
    <t>Miệng gió thải EAG 1000x400+OBD+box miệng gió</t>
  </si>
  <si>
    <t>Miệng gió thải EAG 600x400+OBD+box miệng gió</t>
  </si>
  <si>
    <t>Miệng gió thải EAG 300x300+OBD+box miệng gió</t>
  </si>
  <si>
    <t>Louver 300x150 + IS</t>
  </si>
  <si>
    <t>cáI</t>
  </si>
  <si>
    <t>Louver 400x150 + IS</t>
  </si>
  <si>
    <t>Louver 800x250 + IS</t>
  </si>
  <si>
    <t>Louver 1200x350 + IS</t>
  </si>
  <si>
    <t>Louver 1000x300 + IS</t>
  </si>
  <si>
    <t>Louver 800x300 + IS</t>
  </si>
  <si>
    <t>Louver 400x200 + IS</t>
  </si>
  <si>
    <t>Louver 300x200 + IS</t>
  </si>
  <si>
    <t>Louver 1200x650 + IS</t>
  </si>
  <si>
    <t>Hệ thống ống thông gió hút gió thải</t>
  </si>
  <si>
    <t>Tole 0.58mm phủ lớp mạ kẽm Z180</t>
  </si>
  <si>
    <t>Tole ZAM 0.58mm</t>
  </si>
  <si>
    <t>Ống gió mềm D100 không cách nhiệt</t>
  </si>
  <si>
    <t>m</t>
  </si>
  <si>
    <t>Ống gió mềm D150 không cách nhiệt</t>
  </si>
  <si>
    <t>Ống gió mềm D200 không cách nhiệt</t>
  </si>
  <si>
    <t>Hệ thống ống thông gió hút bếp</t>
  </si>
  <si>
    <t>A5</t>
  </si>
  <si>
    <t>Phần chung</t>
  </si>
  <si>
    <t>Cảm biến chất lượng không khí (CO)</t>
  </si>
  <si>
    <t>Siemens, Honeywell, belimo, Johnson Controls/tđ</t>
  </si>
  <si>
    <t>Cảm biến chênh áp</t>
  </si>
  <si>
    <t>Cảm biến khói</t>
  </si>
  <si>
    <t>Cảm biến nhiệt</t>
  </si>
  <si>
    <t>HỆ THỐNG MÁY LẠNH</t>
  </si>
  <si>
    <t>B1</t>
  </si>
  <si>
    <t>HỆ THỐNG ĐIỀU HÒA KHÔNG KHÍ</t>
  </si>
  <si>
    <t>B.1.1</t>
  </si>
  <si>
    <t>KHU VỰC CÔNG CỘNG</t>
  </si>
  <si>
    <t>HỆ THỐNG VRV/VRF</t>
  </si>
  <si>
    <t>DÀN NÓNG</t>
  </si>
  <si>
    <t>ODU-A1.1-CR 14kW</t>
  </si>
  <si>
    <t>CĐT cấp, nhà thầu bảo quản và lắp đặt, bao gồm chạy thử</t>
  </si>
  <si>
    <t>ODU-A1.1-0101 33.5kW</t>
  </si>
  <si>
    <t>ODU-A1.1-0102 22.4kW</t>
  </si>
  <si>
    <t>ODU-A1.1-0103 50kW</t>
  </si>
  <si>
    <t>ODU-A1.1-0201 33.5kW</t>
  </si>
  <si>
    <t>ODU-A1.1-0202 28kW</t>
  </si>
  <si>
    <t>ODU-A1.1-0203 28kW</t>
  </si>
  <si>
    <t>ODU-A1.1-0205A 22.4kW</t>
  </si>
  <si>
    <t>ODU-A1.2-0105A2 28kW</t>
  </si>
  <si>
    <t>ODU-A1.2-0105 50kW</t>
  </si>
  <si>
    <t>ODU-A1.1-0206 14kW</t>
  </si>
  <si>
    <t>ODU-A1.1-0208A 11.2kW</t>
  </si>
  <si>
    <t>ODU-A1.1-0208 11.2kW</t>
  </si>
  <si>
    <t>ODU-A1.1-0209 16kW</t>
  </si>
  <si>
    <t>ODU-A1.2-CR 16kW</t>
  </si>
  <si>
    <t>ODU-A1.2-0101 33.5kW</t>
  </si>
  <si>
    <t>ODU-A1.2-0102 33.5kW</t>
  </si>
  <si>
    <t>ODU-A1.2-0103 33.5kW</t>
  </si>
  <si>
    <t>ODU-A1.2-0106 28kW</t>
  </si>
  <si>
    <t>ODU-A1.2-0108A 22.4kW</t>
  </si>
  <si>
    <t>ODU-A1.2-0201 28kW</t>
  </si>
  <si>
    <t>ODU-A1.2-0202 33.5kW</t>
  </si>
  <si>
    <t>ODU-A1.2-0203 33.5kW</t>
  </si>
  <si>
    <t>ODU-A1.2-0205A 33.5kW</t>
  </si>
  <si>
    <t>ODU-A1.2-0205 28kW</t>
  </si>
  <si>
    <t>ODU-A1.2-0206 20kW</t>
  </si>
  <si>
    <t>ODU-A1.2-0208A 14kW</t>
  </si>
  <si>
    <t>ODU-A1.2-0208 14kW</t>
  </si>
  <si>
    <t>ODU-A1.2-0209 14kW</t>
  </si>
  <si>
    <t>ODU-A1.2-0210 11.2kW</t>
  </si>
  <si>
    <t>ODU-A1.2-0211 14kW</t>
  </si>
  <si>
    <t>ODU-A1.2-0212 16kW</t>
  </si>
  <si>
    <t>ODU-A1.3-CR 16</t>
  </si>
  <si>
    <t>ODU-A1.3-0101 56kW</t>
  </si>
  <si>
    <t>ODU-A1.3-0102 50kW</t>
  </si>
  <si>
    <t>ODU-A1.3-0103 33.5kW</t>
  </si>
  <si>
    <t>ODU-A1.3-0105A 40kW</t>
  </si>
  <si>
    <t>ODU-A1.3-0105 45kW</t>
  </si>
  <si>
    <t>ODU-A1.3-0201 50kW</t>
  </si>
  <si>
    <t>ODU-A1.3-0202 33.5kW</t>
  </si>
  <si>
    <t>ODU-A1.3-0203 50kW</t>
  </si>
  <si>
    <t>ODU-A1.3-0205A 33.5kW</t>
  </si>
  <si>
    <t>ODU-A1.3-0205 16kW</t>
  </si>
  <si>
    <t>ODU-A1.3-0206 11.2kW</t>
  </si>
  <si>
    <t>ODU-A1.3-0208A 14kW</t>
  </si>
  <si>
    <t>DÀN LẠNH</t>
  </si>
  <si>
    <t>IDU-A1.1-1F-01~03 11.2kW</t>
  </si>
  <si>
    <t>IDU-A1.1-1F-04 11.2kW</t>
  </si>
  <si>
    <t>IDU-A1.1-1F-05 7.1kW</t>
  </si>
  <si>
    <t>IDU-A1.1-1F-06 14kW</t>
  </si>
  <si>
    <t>IDU-A1.1-1F-07~09 11.2kW</t>
  </si>
  <si>
    <t>IDU-A1.1-1F-10, 11 5.6kW</t>
  </si>
  <si>
    <t>IDU-A1.1-2F-01 11.2kW</t>
  </si>
  <si>
    <t>IDU-A1.1-2F-02, 03 9kW</t>
  </si>
  <si>
    <t>IDU-A1.1-2F-04, 05 11.2kW</t>
  </si>
  <si>
    <t>IDU-A1.1-2F-06, 07 11.2kW</t>
  </si>
  <si>
    <t>IDU-A1.1-2F-08, 09 9kW</t>
  </si>
  <si>
    <t>IDU-A1.1-2F-10, 11 4.5kW</t>
  </si>
  <si>
    <t>IDU-A1.1-2F-12, 13 5.6kW</t>
  </si>
  <si>
    <t>IDU-A1.1-2F-14, 15 4.5kW</t>
  </si>
  <si>
    <t>IDU-A1.1-2F-16, 17 4.5kW</t>
  </si>
  <si>
    <t>IDU-A1.1-2F-18, 19 7.1kW</t>
  </si>
  <si>
    <t>IDU-A1.2-1F-01, 02 14kW</t>
  </si>
  <si>
    <t>IDU-A1.2-1F-03 14kW</t>
  </si>
  <si>
    <t>IDU-A1.2-1F-04, 05 9kW</t>
  </si>
  <si>
    <t>IDU-A1.2-1F-06, 07 14kW</t>
  </si>
  <si>
    <t>IDU-A1.2-1F-08, 09 11.2kW</t>
  </si>
  <si>
    <t>IDU-A1.2-1F-10, 11 11.2kW</t>
  </si>
  <si>
    <t>IDU-A1.2-1F-12, 13 7.1kW</t>
  </si>
  <si>
    <t>IDU-A1.2-1F-14, 15 11.2kW</t>
  </si>
  <si>
    <t>IDU-A1.2-1F-16, 17 9kW</t>
  </si>
  <si>
    <t>IDU-A1.2-2F-01, 02 11.2kW</t>
  </si>
  <si>
    <t>IDU-A1.2-2F-03, 04 11.2kW</t>
  </si>
  <si>
    <t>IDU-A1.2-2F-05 9kW</t>
  </si>
  <si>
    <t>IDU-A1.2-2F-06, 07 14kW</t>
  </si>
  <si>
    <t>IDU-A1.2-2F-08, 09 14kW</t>
  </si>
  <si>
    <t>IDU-A1.2-2F-10, 11, 12 11.2kW</t>
  </si>
  <si>
    <t>IDU-A1.2-2F-13 9kW</t>
  </si>
  <si>
    <t>IDU-A1.2-2F-14 7.1kW</t>
  </si>
  <si>
    <t>IDU-A1.2-2F-15, 16 5.6kW</t>
  </si>
  <si>
    <t>IDU-A1.2-2F-17, 18 5.6kW</t>
  </si>
  <si>
    <t>IDU-A1.2-2F-19, 20 5.6kW</t>
  </si>
  <si>
    <t>IDU-A1.2-2F-21, 22 4.5kW</t>
  </si>
  <si>
    <t>IDU-A1.2-2F-23, 24 5.6kW</t>
  </si>
  <si>
    <t>IDU-A1.2-2F-25, 26 7.1kW</t>
  </si>
  <si>
    <t>IDU-A1.3-1F-01~04 14kW</t>
  </si>
  <si>
    <t>IDU-A1.3-1F-05~08 11.2kW</t>
  </si>
  <si>
    <t>IDU-A1.3-1F-09, 10 14kW</t>
  </si>
  <si>
    <t>IDU-A1.3-1F-05A-11, 12 11.2kW</t>
  </si>
  <si>
    <t>IDU-A1.3-1F-05A-13 14kW</t>
  </si>
  <si>
    <t>IDU-A1.3-1F-14 11.2kW</t>
  </si>
  <si>
    <t>IDU-A1.3-1F-15, 16 14kW</t>
  </si>
  <si>
    <t>IDU-A1.3-1F-17, 18 7.1kW</t>
  </si>
  <si>
    <t>IDU-A1.3-2F-01~04 11.2kW</t>
  </si>
  <si>
    <t>IDU-A1.3-2F-05, 06, 07 9kW</t>
  </si>
  <si>
    <t>IDU-A1.3-2F-08~11 11.2kW</t>
  </si>
  <si>
    <t>IDU-A1.3-2F-12, 13 14kW</t>
  </si>
  <si>
    <t>IDU-A1.3-2F-14, 15 7.1kW</t>
  </si>
  <si>
    <t>IDU-A1.3-2F-16, 17 4.5kW</t>
  </si>
  <si>
    <t>IDU-A1.3-2F-18, 19 5.6kW</t>
  </si>
  <si>
    <t>Điều khiển nhiệt độ (có dây)</t>
  </si>
  <si>
    <t>MÁY LẠNH CỤC BỘ</t>
  </si>
  <si>
    <t>ODU-B1-Z2-01,02 7.1 KW</t>
  </si>
  <si>
    <t>ODU-B1-Z2-03,04  14 KW</t>
  </si>
  <si>
    <t>ODU-B1-Z2-05,06 7.1 KW</t>
  </si>
  <si>
    <t>ODU-B1-Z2-07,08 7.1 KW</t>
  </si>
  <si>
    <t>ACU-B1-Z2-01,02</t>
  </si>
  <si>
    <t>ACU-B1-Z2-03,04</t>
  </si>
  <si>
    <t xml:space="preserve">ACU-B1-Z2-05,06 </t>
  </si>
  <si>
    <t xml:space="preserve">ACU-B1-Z2-07,08 </t>
  </si>
  <si>
    <t>MIỆNG GIÓ, ỐNG GIÓ, ỐNG ĐỒNG, NƯỚC NGƯNG, MÁNG ỐNG ĐỒNG</t>
  </si>
  <si>
    <t>MIỆNG GIÓ</t>
  </si>
  <si>
    <t>Box gió cấp và box gió hồi máy lạnh kèm tiêu âm dày 25mm 14kW</t>
  </si>
  <si>
    <t>Tole: Hoa Sen, Phương Nam
Tiêu âm: Sekisui, K-flex, Aerofoam, Amarflex, Aeroflex, TPFlex</t>
  </si>
  <si>
    <t>Box gió cấp và box gió hồi máy lạnh kèm tiêu âm dày 25mm 11.2kW</t>
  </si>
  <si>
    <t>Box gió cấp và box gió hồi máy lạnh kèm tiêu âm dày 25mm 9.0kW</t>
  </si>
  <si>
    <t>Box gió cấp và box gió hồi máy lạnh kèm tiêu âm dày 25mm 7.1kW</t>
  </si>
  <si>
    <t>Box gió cấp và box gió hồi máy lạnh kèm tiêu âm dày 25mm 5.6 kW</t>
  </si>
  <si>
    <t>Box gió cấp và box gió hồi máy lạnh kèm tiêu âm dày 25mm 4.5kW</t>
  </si>
  <si>
    <t>Miệng gió cấp SAG600x600 kèm OBD box miệng gió</t>
  </si>
  <si>
    <t>Miệng gió hồi RAG600x600 kèm OBD box miệng gió</t>
  </si>
  <si>
    <t>ỐNG GIÓ LẠNH</t>
  </si>
  <si>
    <t>Hoa Sen, Phương Nam, tđ</t>
  </si>
  <si>
    <t>Cách nhiệt ống gió dày 25mm</t>
  </si>
  <si>
    <t>Sekisui, K-flex, Aerofoam, Amarflex, Aeroflex, TPFlex</t>
  </si>
  <si>
    <t>Ống gió mềm D400 cách nhiệt dày 25mm</t>
  </si>
  <si>
    <t>ORD, Daehan, ATADUCT tđ</t>
  </si>
  <si>
    <t>Ống gió mềm D350 cách nhiệt dày 25mm</t>
  </si>
  <si>
    <t>Ống gió mềm D300 cách nhiệt dày 25mm</t>
  </si>
  <si>
    <t>Ống gió mềm D250 cách nhiệt dày 25mm</t>
  </si>
  <si>
    <t>Ống gió mềm D400 không cách nhiệt</t>
  </si>
  <si>
    <t>Ống gió mềm D350 không cách nhiệt</t>
  </si>
  <si>
    <t>Ống gió mềm D300 không cách nhiệt</t>
  </si>
  <si>
    <t>Ống gió mềm D250 không cách nhiệt</t>
  </si>
  <si>
    <t>ỐNG ĐỒNG, BẢO ÔN</t>
  </si>
  <si>
    <t>Ống đồng D6.4</t>
  </si>
  <si>
    <t>Armour, Hailiang, TP copper, Toàn Phát, Ruby</t>
  </si>
  <si>
    <t>Ống đồng D9.5</t>
  </si>
  <si>
    <t>Ống đồng D12.7</t>
  </si>
  <si>
    <t>Ống đồng D15.9</t>
  </si>
  <si>
    <t>Ống đồng D19,1</t>
  </si>
  <si>
    <t>Ống đồng D22.2</t>
  </si>
  <si>
    <t>Ống đồng D28,6</t>
  </si>
  <si>
    <t>Cách nhiệt ông đồng D6.4</t>
  </si>
  <si>
    <t>Cách nhiệt ông đồng D9.5</t>
  </si>
  <si>
    <t>Cách nhiệt ông đồng D12.7</t>
  </si>
  <si>
    <t>Cách nhiệt ông đồng D15.9</t>
  </si>
  <si>
    <t>Cách nhiệt ông đồng D19,1</t>
  </si>
  <si>
    <t>Cách nhiệt ông đồng D22.2</t>
  </si>
  <si>
    <t>Cách nhiệt ông đồng D28,6</t>
  </si>
  <si>
    <t>Bộ chia gas</t>
  </si>
  <si>
    <t>Nap ga bổ sung</t>
  </si>
  <si>
    <t>NƯỚC NGƯNG</t>
  </si>
  <si>
    <t>Ống uPVC D27</t>
  </si>
  <si>
    <t>Bình Minh, Tiền Phong, Đệ Nhất,tđ</t>
  </si>
  <si>
    <t>Ống uPVC D34</t>
  </si>
  <si>
    <t>Ống uPVC D42</t>
  </si>
  <si>
    <t>Ống uPVC D60</t>
  </si>
  <si>
    <t>Cách nhiệt ống uPVC D27</t>
  </si>
  <si>
    <t>Cách nhiệt ống uPVC D34</t>
  </si>
  <si>
    <t>Cách nhiệt ống uPVC D42</t>
  </si>
  <si>
    <t>Cách nhiệt ống uPVC D60</t>
  </si>
  <si>
    <t>MÁNG TÔN ZAM (ĐI ỐNG ĐỒNG NGOÀI TRỜI), KÈM NẮP</t>
  </si>
  <si>
    <t>Máng tôn zam 1.5mm 400x150 mm</t>
  </si>
  <si>
    <t>Máng tôn zam 1.5mm 400x250 mm</t>
  </si>
  <si>
    <t>Máng tôn zam 1.5mm 400x350 mm</t>
  </si>
  <si>
    <t>Máng tôn zam 1.5mm 500x200 mm</t>
  </si>
  <si>
    <t>Máng tôn zam 1.5mm 500x250 mm</t>
  </si>
  <si>
    <t>Máng tôn zam 1.5mm 500x300 mm</t>
  </si>
  <si>
    <t>Máng tôn zam 1.5mm 600x200 mm</t>
  </si>
  <si>
    <t>Máng tôn zam 1.5mm 600x250 mm</t>
  </si>
  <si>
    <t>Máng tôn zam 1.5mm 600x300 mm</t>
  </si>
  <si>
    <t>Máng tôn zam 1.5mm 600x350 mm</t>
  </si>
  <si>
    <t>Máng tôn zam 1.5mm 850x200 mm</t>
  </si>
  <si>
    <t>Máng tôn zam 1.5mm 1000x250 mm</t>
  </si>
  <si>
    <t>Máng tôn zam 1.5mm 1200x200 mm</t>
  </si>
  <si>
    <t>Máng tôn zam 1.5mm 1700x250 mm</t>
  </si>
  <si>
    <t>B.1.2</t>
  </si>
  <si>
    <t>KHU VỰC CĂN HỘ</t>
  </si>
  <si>
    <t>A1.1</t>
  </si>
  <si>
    <t>Dàn nóng</t>
  </si>
  <si>
    <t>Dàn lạnh</t>
  </si>
  <si>
    <t>A1.2</t>
  </si>
  <si>
    <t>A1.3</t>
  </si>
  <si>
    <t>Chờ cập nhật Layout, ID</t>
  </si>
  <si>
    <t>MIỆNG GIÓ (CHỜ CẬP NHẬT ID)</t>
  </si>
  <si>
    <t>Chờ cập nhật ID</t>
  </si>
  <si>
    <t>Box gió cấp và box gió hồi máy lạnh kèm tiêu âm dày 25mm 9.0 kW</t>
  </si>
  <si>
    <t>Box gió cấp và box gió hồi máy lạnh kèm tiêu âm dày 25mm 7.1 kW</t>
  </si>
  <si>
    <t>Box gió cấp và box gió hồi máy lạnh kèm tiêu âm dày 25mm 4.5 kW</t>
  </si>
  <si>
    <t>Box gió cấp và box gió hồi máy lạnh kèm tiêu âm dày 25mm 3.6 kW</t>
  </si>
  <si>
    <t>Box gió cấp và box gió hồi máy lạnh kèm tiêu âm dày 25mm 2.8 kW</t>
  </si>
  <si>
    <t>Box gió cấp và box gió hồi máy lạnh kèm tiêu âm dày 25mm 2.2 kW</t>
  </si>
  <si>
    <t>Miệng gió cấp,hồi cho máy lạnh</t>
  </si>
  <si>
    <t>Chờ cập nhật ID A1.1-PH02,PH03,  A1-2-10PH01,10PH02, A1-3-07(8A)PH03,SV01,SV02 và cập nhật lại theo ID nếu có</t>
  </si>
  <si>
    <t>Miệng gió loại Linear Bar Grille
Kích thước: 900x100 mm</t>
  </si>
  <si>
    <t>ASLI, Trox, Ruskin Titus</t>
  </si>
  <si>
    <t>Miệng gió loại Linear Bar Grille 
Kích thước: 1200x100 mm</t>
  </si>
  <si>
    <t>Miệng gió loại Linear Bar Grille
Kích thước: 2000x100 mm</t>
  </si>
  <si>
    <t>Miệng gió loại Linear Bar Grille with 2nd layer deflection (black paint) - no frame
Kích thước: 900x100 mm</t>
  </si>
  <si>
    <t>Miệng gió loại Linear Bar Grille with 2nd layer deflection (black paint) - no frame
Kích thước: 1200x100 mm</t>
  </si>
  <si>
    <t>Miệng gió loại Linear Bar Grille with 2nd layer deflection (black paint) - no frame
Kích thước: 1400x100 mm</t>
  </si>
  <si>
    <t>Miệng gió loại Linear Bar Grille with 2nd layer deflection (black paint) - no frame
Kích thước: 2000x100 mm</t>
  </si>
  <si>
    <t>Miệng gió loại Linear Bar Grille with 2nd layer deflection (black paint) - no frame
Kích thước: 4200x100 mm</t>
  </si>
  <si>
    <t>Miệng gió loại Linear Bar Grille with 2nd layer deflection (black paint) - no frame
Kích thước: 7600x100 mm</t>
  </si>
  <si>
    <t>ỐNG GIÓ LẠNH, BOX MIỆNG GIÓ</t>
  </si>
  <si>
    <t>Tole 0.58mm phủ lớp mạ kẽm Z180 kèm cách nhiệt 25mm</t>
  </si>
  <si>
    <t>Cách nhiệt dày 25mm</t>
  </si>
  <si>
    <t>Ống gió mềm D200 cách nhiệt dày 25mm</t>
  </si>
  <si>
    <t>ỐNG ĐỒNG</t>
  </si>
  <si>
    <t>CHI PHÍ CHUNG</t>
  </si>
  <si>
    <t>Kiểm tra, nghiệm thu và bàn giao hệ thống</t>
  </si>
  <si>
    <t>Chi phí cắt đục, đóng lưới trám trét tường</t>
  </si>
  <si>
    <t>Chi phí chống cháy lan</t>
  </si>
  <si>
    <t>CÔNG TÁC KHÁC BỔ SUNG BỞI NHÀ THẦU</t>
  </si>
  <si>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</si>
  <si>
    <t>TỔNG CỘNG</t>
  </si>
  <si>
    <t>Quy cách</t>
  </si>
  <si>
    <t>Mã hiệu</t>
  </si>
  <si>
    <t>Nhãn hiệu/Xuất xứ</t>
  </si>
  <si>
    <t>ĐƠN VỊ</t>
  </si>
  <si>
    <t>THIẾT BỊ VỆ SINH</t>
  </si>
  <si>
    <t>THIẾT BỊ VỆ SINH KHU CÔNG CỘNG</t>
  </si>
  <si>
    <t xml:space="preserve">Bồn cầu 02 khối </t>
  </si>
  <si>
    <t>CĐT cấp, nhà thầu bảo quản vào lắp đặt</t>
  </si>
  <si>
    <t>Vòi xịt xí DN15</t>
  </si>
  <si>
    <t>Tiểu nam kèm bộ xả</t>
  </si>
  <si>
    <t>Lavabo thường</t>
  </si>
  <si>
    <t>Vòi lavabo kèm bộ xả DN15, bộ xả pop-up φ32</t>
  </si>
  <si>
    <t>Thanh vắt khăn L=600mm, inox 304</t>
  </si>
  <si>
    <t>Móc treo khăn đơn, inox 304</t>
  </si>
  <si>
    <t>Lô giấy vệ sinh inox 304, gắn tường</t>
  </si>
  <si>
    <t>Vòi rửa sàn DN15, inox 304</t>
  </si>
  <si>
    <t>Phểu thoát sàn vuông 150x150mm, cổ DN50, INOX 304</t>
  </si>
  <si>
    <t>Sen tắm thường kèm bộ trộn nóng lạnh, áp suất làm việc 1-5 bar</t>
  </si>
  <si>
    <t>Vật tư và phụ kiện</t>
  </si>
  <si>
    <t>lô</t>
  </si>
  <si>
    <t>II</t>
  </si>
  <si>
    <t>THIẾT BỊ VỆ SINH KHU CĂN HỘ</t>
  </si>
  <si>
    <t>Bồn cầu treo tường (Gồm: Két nước âm, bồn cầu, nút nhấn xả)</t>
  </si>
  <si>
    <t xml:space="preserve">Lavabo đặc </t>
  </si>
  <si>
    <t>Sen tắm kèm bát sen, bộ trộn</t>
  </si>
  <si>
    <t>Bồn tắm nằm</t>
  </si>
  <si>
    <t>Vòi (Sen) cho bồn tắm nằm</t>
  </si>
  <si>
    <t>Chậu bếp đơn kèm bộ xả</t>
  </si>
  <si>
    <t>Chậu bếp đôi kèm bộ xả</t>
  </si>
  <si>
    <t>Van khóa DN15-DN20 (cấp theo vị trí lắp đặt), PN16, bi cầu đồng</t>
  </si>
  <si>
    <t>Phểu thoát sàn dài 800x100mm, cổ DN50, INOX 304</t>
  </si>
  <si>
    <t>Sen tắm thường</t>
  </si>
  <si>
    <t>HỆ THỐNG ỐNG NƯỚC VÀ THOÁT NƯỚC</t>
  </si>
  <si>
    <t>HỆ THỐNG CẤP NƯỚC SINH HOẠT</t>
  </si>
  <si>
    <t>Thiết bị</t>
  </si>
  <si>
    <t>Cụm Bơm tăng áp 1
BP1-01/02/03 Q=42 m3/h, H=55m
(2 chạy, 1 dự phòng - biến tần)</t>
  </si>
  <si>
    <t>Hệ bơm trục đứng bao gồm:
Hệ bơm biến tần đồng bộ tăng áp trực tiếp bơm nguyên cụm nhập khẩu:
03 bơm trục đứng đa tần cánh, 2 chạy 1 dự phòng: 
Công suất mối Bơm Q = 42m3/h ; H = 55m
Tủ điều khiển đồng bộ
Biến tần tích hợp từng bơm
Bình tích áp
Công tắc áp suất, đồng hồ đo áp</t>
  </si>
  <si>
    <t>Wilo/Grundfos/Goulds
Xuất xứ: EU</t>
  </si>
  <si>
    <t>cụm</t>
  </si>
  <si>
    <t>Cụm Bơm tăng áp 2
BP2-04/05/06 Q=64 m3/h, H=75m
(2 chạy, 1 dự phòng - biến tần)</t>
  </si>
  <si>
    <t>Hệ bơm trục đứng bao gồm:
Hệ bơm biến tần đồng bộ tăng áp trực tiếp bơm nguyên cụm nhập khẩu:
03 bơm trục đứng đa tần cánh, 2 chạy 1 dự phòng: 
Công suất mối Bơm Q = 64m3/h ; H =75m
Tủ điều khiển đồng bộ
Biến tần điều khiển từng bơm
Bình tích áp
Công tắc áp suất, đồng hồ đo áp</t>
  </si>
  <si>
    <t>Cụm Bơm tăng áp 3
BP3-07/08/09 Q=35 m3/h, H=90m
(2 chạy, 1 dự phòng - biến tần)</t>
  </si>
  <si>
    <t>Hệ bơm trục đứng bao gồm:
Hệ bơm biến tần đồng bộ tăng áp trực tiếp bơm nguyên cụm nhập khẩu:
03 bơm trục đứng đa tần cánh, 2 chạy 1 dự phòng: 
Công suất mối Bơm Q = 35m3/h ; H = 90m
Tủ điều khiển đồng bộ
Biến tần tích hợp từng bơm
Bình tích áp
Công tắc áp suất, đồng hồ đo áp</t>
  </si>
  <si>
    <t>Van cổng</t>
  </si>
  <si>
    <t>GV-DN15</t>
  </si>
  <si>
    <t>KVS/Kitz/Tecofi/Meiji/tđ</t>
  </si>
  <si>
    <t>GV-DN20</t>
  </si>
  <si>
    <t>GV-DN25</t>
  </si>
  <si>
    <t>GV-DN32</t>
  </si>
  <si>
    <t>GV-DN40</t>
  </si>
  <si>
    <t>GV-DN50</t>
  </si>
  <si>
    <t>GV-DN80</t>
  </si>
  <si>
    <t>GV-DN100</t>
  </si>
  <si>
    <t>GV-DN125</t>
  </si>
  <si>
    <t>GV-DN200</t>
  </si>
  <si>
    <t>Van 1 chiều</t>
  </si>
  <si>
    <t>CV-DN15</t>
  </si>
  <si>
    <t>CV-DN20</t>
  </si>
  <si>
    <t>CV-DN25</t>
  </si>
  <si>
    <t>CV-DN40</t>
  </si>
  <si>
    <t>CV-DN65</t>
  </si>
  <si>
    <t>CV-DN80</t>
  </si>
  <si>
    <t>CV-DN100</t>
  </si>
  <si>
    <t>CV-DN125</t>
  </si>
  <si>
    <t>Kết nối mềm</t>
  </si>
  <si>
    <t>FX-DN80</t>
  </si>
  <si>
    <t>FX-DN100</t>
  </si>
  <si>
    <t>FX-DN125</t>
  </si>
  <si>
    <t>Y lọc</t>
  </si>
  <si>
    <t>Y lọc-DN80</t>
  </si>
  <si>
    <t>Y lọc-DN100</t>
  </si>
  <si>
    <t>Y lọc-DN125</t>
  </si>
  <si>
    <t>Van chân</t>
  </si>
  <si>
    <t>FV-DN200</t>
  </si>
  <si>
    <t>Van phao</t>
  </si>
  <si>
    <t>FLV-DN100</t>
  </si>
  <si>
    <t>Cụm đồng hồ nước</t>
  </si>
  <si>
    <t>Cụm đồng hồ nước D25 (bao gồm van cổng, đồng hồ nước, van 1 chiều và các phụ kiện cần thiết hoàn thiện theo chi tiết thiết kế)</t>
  </si>
  <si>
    <t>KVS/Powogaz/Flowtech/tđ</t>
  </si>
  <si>
    <t>Cụm đồng hồ nước D32 (bao gồm van cổng, đồng hồ nước, van 1 chiều và các phụ kiện cần thiết hoàn thiện theo chi tiết thiết kế)</t>
  </si>
  <si>
    <t>Cụm đồng hồ nước D40 (bao gồm van cổng, đồng hồ nước, van 1 chiều và các phụ kiện cần thiết hoàn thiện theo chi tiết thiết kế)</t>
  </si>
  <si>
    <t>Cụm đồng hồ nước D50 (bao gồm van cổng, đồng hồ nước, van 1 chiều và các phụ kiện cần thiết hoàn thiện theo chi tiết thiết kế)</t>
  </si>
  <si>
    <t>Cụm đồng hồ nước D63 (bao gồm van cổng, đồng hồ nước, van 1 chiều và các phụ kiện cần thiết hoàn thiện theo chi tiết thiết kế)</t>
  </si>
  <si>
    <t>Cụm đồng hồ nước tổng DN100 (bao gồm hố van, 02 van cổng DN100, van 1 chiều DN100, Y lọc DN100, phểu kèm ống thoát nước, nắp thép và phụ kiện hoàn thiện theo chi tiết thiết kế)</t>
  </si>
  <si>
    <t>Đồng hồ áp suất kèm van bi DN15, thang đo 0-16 bar, mặt φ100mm</t>
  </si>
  <si>
    <t>Van xả khí tự động kèm van bi DN15, PN16</t>
  </si>
  <si>
    <t>Công tắc phao mực nước (4 mức: cao-thấp-báo đầy-báo cạn)</t>
  </si>
  <si>
    <t>Công tác áp suất, dải đo 0-16 bar, tiếp điểm SPDT</t>
  </si>
  <si>
    <t>Vòi nước</t>
  </si>
  <si>
    <t>Vòi nước lấy mẫu D20 (đồng hồ nước), inox/đồng PN16</t>
  </si>
  <si>
    <t>Van điện từ</t>
  </si>
  <si>
    <t>Van điện từ cấp nước tưới nhỏ giọt khu ban công DN20, 24VAC, PN10</t>
  </si>
  <si>
    <t>Arita / Honeywell / Danfoss / tđ</t>
  </si>
  <si>
    <t>Ống cấp nước từ thủy cục vào bể nước ngầm (cấp vào bể nước sinh hoạt, bể nước tưới cây, bể nước chữa cháy)</t>
  </si>
  <si>
    <t>HDPE D110 PN10, SDR17</t>
  </si>
  <si>
    <t>Đệ Nhất/ Tiền Phong/tđ</t>
  </si>
  <si>
    <t>Ống cấp SUS-304 cấp nước phòng bơm, trung chuyển</t>
  </si>
  <si>
    <t>Theo chỉ dẫn kỹ thuật là ống dùng khớp nối</t>
  </si>
  <si>
    <t>SS304-Sch10-DN100</t>
  </si>
  <si>
    <t>Isotubi, Son Ha, Seah, Kanzen, Hoa Phat</t>
  </si>
  <si>
    <t>SS304-Sch10-DN125</t>
  </si>
  <si>
    <t>SS304-Sch10-DN150</t>
  </si>
  <si>
    <t>SS304-Sch10-DN200</t>
  </si>
  <si>
    <t>Phụ kiện đường ống ( Côn, tê, Cút….)</t>
  </si>
  <si>
    <t>Vật tư phụ</t>
  </si>
  <si>
    <t>Ống chính (phạm vi mặt bằng, trục đứng...)</t>
  </si>
  <si>
    <t>PPR-PN10-D20</t>
  </si>
  <si>
    <t>PPR-PN10-D25</t>
  </si>
  <si>
    <t>PPR-PN10-D32</t>
  </si>
  <si>
    <t>PPR-PN10-D40</t>
  </si>
  <si>
    <t>PPR-PN10-D50</t>
  </si>
  <si>
    <t>PPR-PN10-D63</t>
  </si>
  <si>
    <t>PPR-PN10-D75</t>
  </si>
  <si>
    <t>PPR-PN10-D90</t>
  </si>
  <si>
    <t>PPR-PN10-D110</t>
  </si>
  <si>
    <t>Vật tư phụ (Giá treo, giá đỡ,Ecu, bulong, ốc vít, băng tan, …)</t>
  </si>
  <si>
    <t>Ống nhánh (phạm vi căn hộ, các khu vực khác…)</t>
  </si>
  <si>
    <t>PPR-PN10-D16</t>
  </si>
  <si>
    <t>HỆ THỐNG TƯỚI CÂY</t>
  </si>
  <si>
    <t>Cụm bơm tưới cây IP-01/02 Q=15m3/h, H=40m
1 chạy, 1 dự phòng</t>
  </si>
  <si>
    <t>Wilo/Grundfos/Gould/tđ</t>
  </si>
  <si>
    <t>GV-DN65</t>
  </si>
  <si>
    <t>FV-DN100</t>
  </si>
  <si>
    <t>FX-DN65</t>
  </si>
  <si>
    <t>Bình tích áp 100L, áp suất max 10 bar, màng EPDM kèm van bi</t>
  </si>
  <si>
    <t>Reflex / Zilmet / Flamco / tđ</t>
  </si>
  <si>
    <t>Công tắc áp suất, dải đo 0-16 bar, tiếp điểm SPDT</t>
  </si>
  <si>
    <t>Công tắc dòng chảy kiểu lá gạt, DN50-DN100 (cấp theo đường ống lắp đặt)</t>
  </si>
  <si>
    <t>Ống cấp nước phòng, bơm tuới cây</t>
  </si>
  <si>
    <t>HDPE-PN10-D20</t>
  </si>
  <si>
    <t>HDPE-PN10-D25</t>
  </si>
  <si>
    <t>HDPE-PN10-D32</t>
  </si>
  <si>
    <t>HDPE-PN10-D40</t>
  </si>
  <si>
    <t>HDPE-PN10-D50</t>
  </si>
  <si>
    <t>HDPE-PN10-D63</t>
  </si>
  <si>
    <t>HDPE-PN10-D75</t>
  </si>
  <si>
    <t>HDPE-PN10-D90</t>
  </si>
  <si>
    <t>HDPE-PN10-D110</t>
  </si>
  <si>
    <t>Bảng điều khiển hệ tưới tự động (8-12 vùng), 220VAC</t>
  </si>
  <si>
    <t>Việt Nam / Nhật Bản / Hàn Quốc</t>
  </si>
  <si>
    <t>Van điện từ (motor) DN100, 24VAC, PN10</t>
  </si>
  <si>
    <t>Bộ điều khiển tưới tự động 12 vùng, 220VAC, kết nối cảm biến mưa</t>
  </si>
  <si>
    <t>Van điện từ D32 (DN32), 24VAC, PN10, NC</t>
  </si>
  <si>
    <t>Vật tư phụ và phụ kiện</t>
  </si>
  <si>
    <t>III</t>
  </si>
  <si>
    <t>HỆ THỐNG LỌC NƯỚC</t>
  </si>
  <si>
    <t>Bơm lọc FP-01/02/03 Q=15m3/h H=40m
2 chạy , 1 dự phòng</t>
  </si>
  <si>
    <t>Wilo/Grundfos/Goulds/tđ</t>
  </si>
  <si>
    <t>Bình lọc cát SF-01/02/03 Q=15 m3/h
2 chạy 1 dự phòng (kèm cụm van)</t>
  </si>
  <si>
    <t>Bình lọc than hoạt tính CF-01/02/03 Q=15 m3/h, 2 chạy 1 dự phòng (kèm cụm van)</t>
  </si>
  <si>
    <t>Wilo/Grundfos/Goulds/tđ  Xuất xứ: EU/Việt Nam</t>
  </si>
  <si>
    <t>Ống cấp thoát nước phòng bơm</t>
  </si>
  <si>
    <t>Ống thép tráng kẽm DN100 (thoát nước phòng bơm), SCH40</t>
  </si>
  <si>
    <t>Ống thép tráng kẽm DN65 (D60) thoát nước phòng bơm, SCH40</t>
  </si>
  <si>
    <t>IV</t>
  </si>
  <si>
    <t>HỆ THỐNG NƯỚC NÓNG</t>
  </si>
  <si>
    <t>Tham khảo chỉ dẫn kỹ thuật và Specs đính kèm hồ sơ thiết kế</t>
  </si>
  <si>
    <t>Máy bơm nhiệt 45kW</t>
  </si>
  <si>
    <t>EMICON / ENERGIE / ATLANTIC</t>
  </si>
  <si>
    <t>Thiết bị trao đổi nhiệt 35kW</t>
  </si>
  <si>
    <t>Cụm bơm hồi nước nóng HRP-01/02
Q=3m3/h, H=20m (1 chạy 1 dự phòng)</t>
  </si>
  <si>
    <t>Cụm bơm hồi nước nóng HRP-03/04
Q=2m3/h, H=15m (1 chạy 1 dự phòng)</t>
  </si>
  <si>
    <t>Cụm bơm hồi nước nóng HRP-05/06
Q=2m3/h, H=5m (1 chạy 1 dự phòng)</t>
  </si>
  <si>
    <t>Cụm bơm trao đổi nhiệt PHEP-01/02
Q=14m3/h, H=25m (1chạy 1 dự phòng)</t>
  </si>
  <si>
    <t>Cụm bơm trao đổi nhiệt PHEP-03/04
Q=16m3/h, H=20m (1chạy 1 dự phòng)</t>
  </si>
  <si>
    <t>Cụm bơm trao đổi nhiệt PHEP-05/06
Q=14m3/h, H=20m (1chạy 1 dự phòng)</t>
  </si>
  <si>
    <t>Cụm bơm tuần hoàn qua Heatpump 
CP-01/02 Q=7m3/h, H=25m</t>
  </si>
  <si>
    <t>Cụm bơm tuần hoàn qua Heatpump 
CP-03/04 Q=8m3/h, H=20m</t>
  </si>
  <si>
    <t>Cụm bơm tuần hoàn qua Heatpump 
CP-05/06 Q=7m3/h H=20m</t>
  </si>
  <si>
    <t>Bộ điều áp PU-01, cài đặt áp 3.5 bar, PN16, kèm đồng hồ áp, van cổng</t>
  </si>
  <si>
    <t>Caleffi / Honeywell / Watts / tđ</t>
  </si>
  <si>
    <t>Bình tích nước nóng HWT 1500L 95oC</t>
  </si>
  <si>
    <t>Rudert / Boilernova / Atlantic</t>
  </si>
  <si>
    <t>Bình giãn nở 25L, áp suất max 6 bar, hệ nước nóng</t>
  </si>
  <si>
    <t>CV-DN20 kép</t>
  </si>
  <si>
    <t>FX-DN40</t>
  </si>
  <si>
    <t>Y lọc-DN20</t>
  </si>
  <si>
    <t>Y lọc-DN40</t>
  </si>
  <si>
    <t>Y lọc-DN65</t>
  </si>
  <si>
    <t>Cụm van giảm áp</t>
  </si>
  <si>
    <t>PRV DN100 (bao gồm van cổng, nối mềm và các vật tư cần thiết hoàn thiện theo chi tiết thiết kế)</t>
  </si>
  <si>
    <t>PRV DN80 (bao gồm van cổng, nối mềm và các vật tư cần thiết hoàn thiện theo chi tiết thiết kế)</t>
  </si>
  <si>
    <t>Đồng hồ nhiệt độ</t>
  </si>
  <si>
    <t>Cảm biến nhiệt độ dạng nhúng, dải đo 0-120°C, PT100/NTC</t>
  </si>
  <si>
    <t>Honeywell / Belimo / Siemens / tđ</t>
  </si>
  <si>
    <t>Công tắc dòng chảy kiểu lá gạt DN20-DN65 (hệ nước nóng), SPDT</t>
  </si>
  <si>
    <t>Van hòa trộn tự động bằng điện</t>
  </si>
  <si>
    <t>Kemper, Caleffi, Oventrop</t>
  </si>
  <si>
    <t>Van cân bằng nhiệt áp</t>
  </si>
  <si>
    <t>Cụm van tuần hoàn nước nóng tự động</t>
  </si>
  <si>
    <t>Đồng hồ nước nóng BMS</t>
  </si>
  <si>
    <t>Apator Powogaz</t>
  </si>
  <si>
    <t>Ống cấp SUS-304 cấp nước phòng bơm</t>
  </si>
  <si>
    <t>SS304-Sch10-DN80</t>
  </si>
  <si>
    <t>SS304-Sch10-DN65</t>
  </si>
  <si>
    <t>Công việc đường ống trục chính (ống HW và HWR - phạm vi mặt bằng trục đứng)</t>
  </si>
  <si>
    <t>Yêu cầu làm rõ có bảo ôn đường ống cấp nước nóng, phụ kiện, van hay không?</t>
  </si>
  <si>
    <t>PPR-PN20-D20</t>
  </si>
  <si>
    <t>Tiền Phong, Đệ Nhất, tđ</t>
  </si>
  <si>
    <t>PPR-PN20-D25</t>
  </si>
  <si>
    <t>PPR-PN20-D32</t>
  </si>
  <si>
    <t>PPR-PN20-D40</t>
  </si>
  <si>
    <t>PPR-PN20-D50</t>
  </si>
  <si>
    <t>PPR-PN20-D63</t>
  </si>
  <si>
    <t>PPR-PN20-D75</t>
  </si>
  <si>
    <t>PPR-PN20-D90</t>
  </si>
  <si>
    <t>PPR-PN20-D110</t>
  </si>
  <si>
    <t>Công việc đường ống trục chính (ống HW và HWR - phạm vi mặt căn hộ)</t>
  </si>
  <si>
    <t>Vật tư phụ  (bao gồm dây mềm)</t>
  </si>
  <si>
    <t>HỆ THỐNG THOÁT NƯỚC THẢI</t>
  </si>
  <si>
    <t>Ống chính (phạm vi mặt bằng trục đứng)</t>
  </si>
  <si>
    <t>Ống PP giảm âm 3 lớp - D60</t>
  </si>
  <si>
    <t>WavinAS+/Rehau/Poloplast/GF+/Astral</t>
  </si>
  <si>
    <t>Ống PP giảm âm 3 lớp - D90</t>
  </si>
  <si>
    <t>Ống PP giảm âm 3 lớp - D110</t>
  </si>
  <si>
    <t>Ống PP giảm âm 3 lớp - D140</t>
  </si>
  <si>
    <t>Ống PP giảm âm 3 lớp - D160</t>
  </si>
  <si>
    <t>Ống PP giảm âm 3 lớp - D200</t>
  </si>
  <si>
    <t>Ống PP giảm âm 3 lớp - D220</t>
  </si>
  <si>
    <t>Ống nhánh (phạm vi căn hộ và các khu vực còn lại)</t>
  </si>
  <si>
    <t>Ống PP giảm âm 3 lớp - D75</t>
  </si>
  <si>
    <t>Ống thoát bếp</t>
  </si>
  <si>
    <t>Ống thông hơi</t>
  </si>
  <si>
    <t>uPVC-PN10-D60</t>
  </si>
  <si>
    <t>uPVC-PN10-D90</t>
  </si>
  <si>
    <t>uPVC-PN10-D110</t>
  </si>
  <si>
    <t>uPVC-PN10-D140</t>
  </si>
  <si>
    <t>uPVC-PN10-D160</t>
  </si>
  <si>
    <t>uPVC-PN10-D200</t>
  </si>
  <si>
    <t>V</t>
  </si>
  <si>
    <t>HỆ THỐNG THOÁT NƯỚC MƯA</t>
  </si>
  <si>
    <t>Máy bơm nước mưa</t>
  </si>
  <si>
    <t>Cụm bơm chìm SP-01/02 Q=27 m3/h H=20m
(Bao gồm van cổng, van 1 chiều, khớp nối mềm, khớp tháo lắp nhanh, thanh trượt, xích kéo bơm và các vật tư hoàn thiện theo chi tiết thiết kế)</t>
  </si>
  <si>
    <t>Wilo/Grundfos/Goulds,tđ</t>
  </si>
  <si>
    <t>Cụm bơm chìm SP-03/04 Q=27m3/h H=20m
(Bao gồm van cổng, van 1 chiều, khớp nối mềm, khớp tháo lắp nhanh, thanh trượt, xích kéo bơm và các vật tư hoàn thiện theo chi tiết thiết kế)</t>
  </si>
  <si>
    <t>Cụm bơm chìm SP-05/06 Q=27m3/h H=20m
(Bao gồm van cổng, van 1 chiều, khớp nối mềm, khớp tháo lắp nhanh, thanh trượt, xích kéo bơm và các vật tư hoàn thiện theo chi tiết thiết kế)</t>
  </si>
  <si>
    <t>Cụm bơm chìm SP-07/08 Q=27m3/h H=20m
(Bao gồm van cổng, van 1 chiều, khớp nối mềm, khớp tháo lắp nhanh, thanh trượt, xích kéo bơm và các vật tư hoàn thiện theo chi tiết thiết kế)</t>
  </si>
  <si>
    <t>Cụm bơm chìm SP-09/10 Q=27m3/h H=20m
(Bao gồm van cổng, van 1 chiều, khớp nối mềm, khớp tháo lắp nhanh, thanh trượt, xích kéo bơm và các vật tư hoàn thiện theo chi tiết thiết kế)</t>
  </si>
  <si>
    <t>Cụm bơm chìm SP-11/12 Q=12m3/h H=20m
(Bao gồm van cổng, van 1 chiều, khớp nối mềm, khớp tháo lắp nhanh, thanh trượt, xích kéo bơm và các vật tư hoàn thiện theo chi tiết thiết kế)</t>
  </si>
  <si>
    <t>Cụm bơm chìm SP-13/14 Q=12m3/h H=20m
(Bao gồm van cổng, van 1 chiều, khớp nối mềm, khớp tháo lắp nhanh, thanh trượt, xích kéo bơm và các vật tư hoàn thiện theo chi tiết thiết kế)</t>
  </si>
  <si>
    <t>Cụm bơm chìm SP-15/16 Q=12m3/h H=20m
(Bao gồm van cổng, van 1 chiều, khớp nối mềm, khớp tháo lắp nhanh, thanh trượt, xích kéo bơm và các vật tư hoàn thiện theo chi tiết thiết kế)</t>
  </si>
  <si>
    <t>Cụm bơm chìm SP-17/18 Q=27m3/h H=20m
(Bao gồm van cổng, van 1 chiều, khớp nối mềm, khớp tháo lắp nhanh, thanh trượt, xích kéo bơm và các vật tư hoàn thiện theo chi tiết thiết kế)</t>
  </si>
  <si>
    <t>CV-DN50</t>
  </si>
  <si>
    <t>Thoát nước sàn</t>
  </si>
  <si>
    <t>FD-DN50</t>
  </si>
  <si>
    <t>Ngọc Thảo / PTS / Richhome</t>
  </si>
  <si>
    <t>FD-DN80</t>
  </si>
  <si>
    <t>FD-DN100</t>
  </si>
  <si>
    <t>PD-DN50</t>
  </si>
  <si>
    <t>RD-DN80</t>
  </si>
  <si>
    <t>RD-DN100</t>
  </si>
  <si>
    <t>Ống trục chính</t>
  </si>
  <si>
    <t>uPVC-PN10-D225</t>
  </si>
  <si>
    <t>uPVC-PN10-D280</t>
  </si>
  <si>
    <t>uPVC-PN10-D315</t>
  </si>
  <si>
    <t xml:space="preserve">Cách âm ống nước mưa rockwool dày 50mm </t>
  </si>
  <si>
    <t>Bông đá DRAGON Rock Wool - Dạng ống có bạc</t>
  </si>
  <si>
    <t>Cách âm ống nước ống uPVC D60</t>
  </si>
  <si>
    <t>Dragon/Việt Nam</t>
  </si>
  <si>
    <t>Cách âm ống nước ống uPVC D90</t>
  </si>
  <si>
    <t>Cách âm ống nước ống uPVC D110</t>
  </si>
  <si>
    <t>Cách âm ống nước ống uPVC D140</t>
  </si>
  <si>
    <t>Cách âm ống nước ống uPVC D160</t>
  </si>
  <si>
    <t>Cách âm ống nước ống uPVC D200</t>
  </si>
  <si>
    <t>Cách âm ống nước ống uPVC D225</t>
  </si>
  <si>
    <t>Cách âm ống nước ống uPVC D228</t>
  </si>
  <si>
    <t>Cách âm ống nước ống uPVC D315</t>
  </si>
  <si>
    <t xml:space="preserve">Vật tư phụ </t>
  </si>
  <si>
    <t>VII</t>
  </si>
  <si>
    <t>Chi phí xin phép đấu nối cấp thoát nước</t>
  </si>
  <si>
    <t>HỆ THỐNG TRUNG THẾ</t>
  </si>
  <si>
    <t>Tủ RMU 3 ngăn</t>
  </si>
  <si>
    <t>Tham khảo chỉ dẫn kỹ thuật  kèm Hồ sơ mời thầu</t>
  </si>
  <si>
    <t>RM AirSeT/ SafePlus Air/8DJH</t>
  </si>
  <si>
    <t>Schneider/ABB/ Siemens</t>
  </si>
  <si>
    <t>Tủ</t>
  </si>
  <si>
    <t>Cu/XLPE/PVC/DSTA/PVC-W 24kV - 3x120mm2</t>
  </si>
  <si>
    <t>Tai Sin/Taiya/LS/Cadivi</t>
  </si>
  <si>
    <t>Cu/XLPE/PVC 24kV - 3x120mm2</t>
  </si>
  <si>
    <t>Ống HDPE D150/195</t>
  </si>
  <si>
    <t>Ba An/ Santo/sam phú, tđ</t>
  </si>
  <si>
    <t>Đào lấp mương cáp ngầm trung thế 600x800mm, cát lọc, gạch đậy</t>
  </si>
  <si>
    <t>Hố ga cáp ngầm trung thế, bê tông cốt thép, nắp gang D400</t>
  </si>
  <si>
    <t>Việt Nam</t>
  </si>
  <si>
    <t>Phụ kiện kết nối đầu cáp, bu lông…</t>
  </si>
  <si>
    <t>Vật tư phụ lắp đặt</t>
  </si>
  <si>
    <t>MÁY BIẾN ÁP</t>
  </si>
  <si>
    <t>Máy biến áp khô 2000kVA 22±2x2,5%/0,4kV 3Ph, 50Hz DYn-11</t>
  </si>
  <si>
    <t>Siemens/Schneider/ Hitachi Energy(ABB)</t>
  </si>
  <si>
    <t>Máy biến áp khô 1600kVA 22±2x2,5%/0,4kV 3Ph, 50Hz DYn-11</t>
  </si>
  <si>
    <t>HỆ THỐNG CẤP DẦU &amp; PHỤ TRỢ MÁY PHÁT ĐIỆN</t>
  </si>
  <si>
    <t>MÁY PHÁT ĐIỆN - 4W 380V/220V 1750 KVA (liên tục)</t>
  </si>
  <si>
    <t>Thuộc phạm vi gói thầu khác</t>
  </si>
  <si>
    <t>Pô máy phát điện</t>
  </si>
  <si>
    <t>HỆ ỐNG KHÓI LÊN TẦNG</t>
  </si>
  <si>
    <t>Ống thoát khói D400</t>
  </si>
  <si>
    <t>Chụp ống khói</t>
  </si>
  <si>
    <t>Phụ kiện và vật tư phụ</t>
  </si>
  <si>
    <t>HỆ THỐNG NHIÊN LIỆU</t>
  </si>
  <si>
    <t>Bồn dầu chính 10000 lít</t>
  </si>
  <si>
    <t>Bồn dầu ngày 1500 lít</t>
  </si>
  <si>
    <t>Bơm dầu 2.2kW</t>
  </si>
  <si>
    <t>Tủ bơm dầu</t>
  </si>
  <si>
    <t>Cảm biến rò rỉ dầu</t>
  </si>
  <si>
    <t>Cảm biến dầu</t>
  </si>
  <si>
    <t>Điện cực báo mức dầu (3 mức)</t>
  </si>
  <si>
    <t>Điện cực báo mức dầu (5 mức)</t>
  </si>
  <si>
    <t>Tủ cấp dầu</t>
  </si>
  <si>
    <t>Đường ống dầu (bao gồm ống, van, phụ kiện…)</t>
  </si>
  <si>
    <t>CÁCH ÂM PHÒNG</t>
  </si>
  <si>
    <t>Hệ thống cách âm phòng máy phát điện</t>
  </si>
  <si>
    <t>CHI PHÍ KHÁC</t>
  </si>
  <si>
    <t>Dầu diesel cho T&amp;C tại chỗ</t>
  </si>
  <si>
    <t>Đổ đầy bồn dầu khi bàn giao</t>
  </si>
  <si>
    <t>Chi phí bảo trì toàn bộ hệ thống từ khi bật trở đi trong thời gian phát sinh lỗi cho đến ngày sau ngày được cấp giấy chứng nhận hoàn thành thực tế</t>
  </si>
  <si>
    <t>Tất cả các giấy chứng nhận đáp ứng yêu cầu từ cơ quan chức năng.</t>
  </si>
  <si>
    <t>TỦ ĐIỆN PHÂN PHỐI HẠ THẾ</t>
  </si>
  <si>
    <t>Theo hồ sơ thiết kế và chỉ dẫn kỹ thuật</t>
  </si>
  <si>
    <t>Nhà thầu chào cấu hình chi tiết đính kèm</t>
  </si>
  <si>
    <t>EDH, Hawee, Vietstar  và tương đương
Thiết bị đóng cắt: Siemens, ABB, Schneider</t>
  </si>
  <si>
    <t>Khối hầm</t>
  </si>
  <si>
    <t>Tủ hoà đồng bộ máy phát điện ( Bao gồm Tủ điện Đầu cực máy phát G1, G2)</t>
  </si>
  <si>
    <t>Blokset (Schneider), E Power (ABB), Sivacon S8 (Siemens) hoặc tương đương</t>
  </si>
  <si>
    <t>Blokset(Schneider) / E Power(ABB) / Sivacon S8(Siemens) / tđ</t>
  </si>
  <si>
    <t>Hệ Tủ</t>
  </si>
  <si>
    <t>Tủ điện tổng MSB 01</t>
  </si>
  <si>
    <t>Tủ điện tổng MSB 02</t>
  </si>
  <si>
    <t>TĐ-H2C-EM</t>
  </si>
  <si>
    <t>EDH / Hawee / Vietstar / tđ   CB: Siemens / ABB / Schneider</t>
  </si>
  <si>
    <t>TĐ-H2B-EM</t>
  </si>
  <si>
    <t>TĐ-H2A-EM</t>
  </si>
  <si>
    <t>TQ.SC-H2.1</t>
  </si>
  <si>
    <t>TQ.SC-H2.2</t>
  </si>
  <si>
    <t>TQ.SC-H2.3</t>
  </si>
  <si>
    <t>TQ.SC-H2.4</t>
  </si>
  <si>
    <t>TB-NT</t>
  </si>
  <si>
    <t>TĐ.TXL</t>
  </si>
  <si>
    <t>TB.SH</t>
  </si>
  <si>
    <t>TĐ.CC-H2A</t>
  </si>
  <si>
    <t>TĐ.CC-H2B</t>
  </si>
  <si>
    <t>TĐ.CC-H2C</t>
  </si>
  <si>
    <t>TĐ-H1C-EM</t>
  </si>
  <si>
    <t>TĐ-H1B-EM</t>
  </si>
  <si>
    <t>TĐ-H1A-EM</t>
  </si>
  <si>
    <t>TĐ.CSNC</t>
  </si>
  <si>
    <t>TQ.SC-H1.1</t>
  </si>
  <si>
    <t>TQ.SC-H1.2</t>
  </si>
  <si>
    <t>TQ.SC-H1.3</t>
  </si>
  <si>
    <t>TQ.SC-H1.4</t>
  </si>
  <si>
    <t>TB.CH-1.1</t>
  </si>
  <si>
    <t>TB.CH-1.2</t>
  </si>
  <si>
    <t>TB.CH-1.3</t>
  </si>
  <si>
    <t>TB.CH-1.4</t>
  </si>
  <si>
    <t>TĐ.ELV</t>
  </si>
  <si>
    <t>TĐ.CCTV</t>
  </si>
  <si>
    <t>TĐ.CC-H1A</t>
  </si>
  <si>
    <t>TĐ.CC-H1B</t>
  </si>
  <si>
    <t>TĐ.CC-H1C</t>
  </si>
  <si>
    <t>Khối tháp</t>
  </si>
  <si>
    <t>TĐ-TM-1A</t>
  </si>
  <si>
    <t>TĐ-TM-2A</t>
  </si>
  <si>
    <t>TĐ-TM-1B</t>
  </si>
  <si>
    <t>TĐ-TM-2B</t>
  </si>
  <si>
    <t>TĐ-TM-1C</t>
  </si>
  <si>
    <t>TĐ-TM-2C</t>
  </si>
  <si>
    <t>TĐ-4A</t>
  </si>
  <si>
    <t>TĐ-5A</t>
  </si>
  <si>
    <t>TĐ-6A</t>
  </si>
  <si>
    <t>TĐ-7A</t>
  </si>
  <si>
    <t>TĐ-8A</t>
  </si>
  <si>
    <t>TĐ-9A</t>
  </si>
  <si>
    <t>TĐ-10A</t>
  </si>
  <si>
    <t>TĐ-11A</t>
  </si>
  <si>
    <t>TĐ-12A</t>
  </si>
  <si>
    <t>TĐ-5B</t>
  </si>
  <si>
    <t>TĐ-6B</t>
  </si>
  <si>
    <t>TĐ-7B</t>
  </si>
  <si>
    <t>TĐ-8B</t>
  </si>
  <si>
    <t>TĐ-9B</t>
  </si>
  <si>
    <t>TĐ-10B</t>
  </si>
  <si>
    <t>TĐ-4C</t>
  </si>
  <si>
    <t>TĐ-5C</t>
  </si>
  <si>
    <t>TĐ-6C</t>
  </si>
  <si>
    <t>TĐ-7C</t>
  </si>
  <si>
    <t>TĐ-8C</t>
  </si>
  <si>
    <t>TĐ-BNN-1A</t>
  </si>
  <si>
    <t>TĐ-BNN-1B</t>
  </si>
  <si>
    <t>TĐ-BNN-1C</t>
  </si>
  <si>
    <t>TĐ-TFĐ</t>
  </si>
  <si>
    <t>TĐ-H1A-OFF</t>
  </si>
  <si>
    <t>TĐ-BC</t>
  </si>
  <si>
    <t>TĐ-CQ</t>
  </si>
  <si>
    <t>TĐ-Façade</t>
  </si>
  <si>
    <t>TĐ-S2</t>
  </si>
  <si>
    <t>TĐ-A3</t>
  </si>
  <si>
    <t>MFĐ-1A</t>
  </si>
  <si>
    <t>MFĐ-1B</t>
  </si>
  <si>
    <t>MFĐ-1C</t>
  </si>
  <si>
    <t>MFĐ-4A</t>
  </si>
  <si>
    <t>MFĐ-4B</t>
  </si>
  <si>
    <t>MFĐ-4C</t>
  </si>
  <si>
    <t>MFĐ-7A</t>
  </si>
  <si>
    <t>MFĐ-7B</t>
  </si>
  <si>
    <t>MFĐ-7C</t>
  </si>
  <si>
    <t>MFĐ-10A</t>
  </si>
  <si>
    <t>TC-TMDV-A1.3</t>
  </si>
  <si>
    <t>TM-TMDV-A1.3</t>
  </si>
  <si>
    <t>TC-TMDV-A1.1</t>
  </si>
  <si>
    <t>TM-TMDV-A1.1</t>
  </si>
  <si>
    <t>TĐ-SPA</t>
  </si>
  <si>
    <t>TĐ-L3A-FAF</t>
  </si>
  <si>
    <t>TĐ-L3B-FAF</t>
  </si>
  <si>
    <t>TĐ-L4B-FAF</t>
  </si>
  <si>
    <t>TĐ-L3C-FAF</t>
  </si>
  <si>
    <t>TĐ-L3A-SEF</t>
  </si>
  <si>
    <t>TĐ-L3B-SEF</t>
  </si>
  <si>
    <t>TĐ-L3C-SEF</t>
  </si>
  <si>
    <t>TĐ-L3A-EM</t>
  </si>
  <si>
    <t>TĐ-L6A-EM</t>
  </si>
  <si>
    <t>TĐ-L9A-EM</t>
  </si>
  <si>
    <t>TĐ-L12A-EM</t>
  </si>
  <si>
    <t>TĐ-L3B-EM</t>
  </si>
  <si>
    <t>TĐ-L6B-EM</t>
  </si>
  <si>
    <t>TĐ-L9B-EM</t>
  </si>
  <si>
    <t>TĐ-L3C-EM</t>
  </si>
  <si>
    <t>TĐ-L6C-EM</t>
  </si>
  <si>
    <t>TĐ-L9C-EM</t>
  </si>
  <si>
    <t>TĐ-L2A-PL</t>
  </si>
  <si>
    <t>TĐ-L5A-PL</t>
  </si>
  <si>
    <t>TĐ-L8A-PL</t>
  </si>
  <si>
    <t>TĐ-L11A-PL</t>
  </si>
  <si>
    <t>TĐ-L2B-PL</t>
  </si>
  <si>
    <t>TĐ-L5B-PL</t>
  </si>
  <si>
    <t>TĐ-L8B-PL</t>
  </si>
  <si>
    <t>TĐ-L2C-PL</t>
  </si>
  <si>
    <t>TĐ-L5C-PL</t>
  </si>
  <si>
    <t>TĐ-L8C-PL</t>
  </si>
  <si>
    <t>TĐ-BB</t>
  </si>
  <si>
    <t>TĐ-CQ4</t>
  </si>
  <si>
    <t>TĐ-MA-FAF</t>
  </si>
  <si>
    <t>TĐ-MB-FAF</t>
  </si>
  <si>
    <t>TĐ-MC-FAF</t>
  </si>
  <si>
    <t>TM.CH-MA</t>
  </si>
  <si>
    <t>TM.CH-MB</t>
  </si>
  <si>
    <t>TM.CH-MC</t>
  </si>
  <si>
    <t>TĐ-MA-SEF</t>
  </si>
  <si>
    <t>TĐ-MB-SEF</t>
  </si>
  <si>
    <t>TĐ-MC-SEF</t>
  </si>
  <si>
    <t>TĐ-PAU.B</t>
  </si>
  <si>
    <t>TĐH-MB</t>
  </si>
  <si>
    <t>TM-MB.1</t>
  </si>
  <si>
    <t>TM-MB.2</t>
  </si>
  <si>
    <t>TĐ-PAU.C</t>
  </si>
  <si>
    <t>TĐH-MC</t>
  </si>
  <si>
    <t>TM-MC.1</t>
  </si>
  <si>
    <t>TĐ-PAU.A</t>
  </si>
  <si>
    <t>TĐH-MA</t>
  </si>
  <si>
    <t>TM-MA.1</t>
  </si>
  <si>
    <t>TM-MA.2</t>
  </si>
  <si>
    <t>TM-MA.3</t>
  </si>
  <si>
    <t>TĐ.KT</t>
  </si>
  <si>
    <t>Tủ điện căn tin B1.1</t>
  </si>
  <si>
    <t>Tủ điện phòng ăn uống B1.2</t>
  </si>
  <si>
    <t>TMDV A1.1-0101</t>
  </si>
  <si>
    <t>TMDV A1.1-0102</t>
  </si>
  <si>
    <t>TMDV A1.1-0103</t>
  </si>
  <si>
    <t>TMDV A1.1-0201</t>
  </si>
  <si>
    <t>TMDV A1.1-0202</t>
  </si>
  <si>
    <t>TMDV A1.1-0203</t>
  </si>
  <si>
    <t>TMDV A1.1-0205A</t>
  </si>
  <si>
    <t>TMDV A1.1-0205</t>
  </si>
  <si>
    <t>TMDV A1.1-0206</t>
  </si>
  <si>
    <t>TMDV A1.1-0208A</t>
  </si>
  <si>
    <t>TMDV A1.1-0208</t>
  </si>
  <si>
    <t>TMDV A1.1-0209</t>
  </si>
  <si>
    <t>TMDV A1.2-0101</t>
  </si>
  <si>
    <t>TMDV A1.2-0102</t>
  </si>
  <si>
    <t>TMDV A1.2-0103</t>
  </si>
  <si>
    <t>TMDV A1.2-0105A</t>
  </si>
  <si>
    <t>TMDV A1.2-0105</t>
  </si>
  <si>
    <t>TMDV A1.2-0106</t>
  </si>
  <si>
    <t>TMDV A1.2-0108</t>
  </si>
  <si>
    <t>TMDV A1.2-0201</t>
  </si>
  <si>
    <t>TMDV A1.2-0202</t>
  </si>
  <si>
    <t>TMDV A1.2-0203</t>
  </si>
  <si>
    <t>TMDV A1.2-0205A</t>
  </si>
  <si>
    <t>TMDV A1.2-0205</t>
  </si>
  <si>
    <t>TMDV A1.2-0206</t>
  </si>
  <si>
    <t>TMDV A1.2-0208A</t>
  </si>
  <si>
    <t>TMDV A1.2-0208</t>
  </si>
  <si>
    <t>TMDV A1.2-0209</t>
  </si>
  <si>
    <t>TMDV A1.2-0210</t>
  </si>
  <si>
    <t>TMDV A1.2-0211</t>
  </si>
  <si>
    <t>TMDV A1.2-0212</t>
  </si>
  <si>
    <t>TMDV A1.3-0101</t>
  </si>
  <si>
    <t>TMDV A1.3-0102</t>
  </si>
  <si>
    <t>TMDV A1.3-0103</t>
  </si>
  <si>
    <t>TMDV A1.3-0105A</t>
  </si>
  <si>
    <t>TMDV A1.3-0201</t>
  </si>
  <si>
    <t>TMDV A1.3-0202</t>
  </si>
  <si>
    <t>TMDV A1.3-0203</t>
  </si>
  <si>
    <t>TMDV A1.3-0205A</t>
  </si>
  <si>
    <t>TMDV A1.3-0205</t>
  </si>
  <si>
    <t>TMDV A1.3-0206</t>
  </si>
  <si>
    <t>TMDV A1.3-0208A</t>
  </si>
  <si>
    <t>BTN-1</t>
  </si>
  <si>
    <t>BTN-2</t>
  </si>
  <si>
    <t>BTN-3</t>
  </si>
  <si>
    <t>BTN-4</t>
  </si>
  <si>
    <t>BTN-5</t>
  </si>
  <si>
    <t>BTN-6</t>
  </si>
  <si>
    <t>BTN-7</t>
  </si>
  <si>
    <t>BTN-8</t>
  </si>
  <si>
    <t>B-4.1A</t>
  </si>
  <si>
    <t>B-4.2A</t>
  </si>
  <si>
    <t>B-5.1A</t>
  </si>
  <si>
    <t>B-5.2A</t>
  </si>
  <si>
    <t>B-5.3A</t>
  </si>
  <si>
    <t>B-8.1A</t>
  </si>
  <si>
    <t>B-8.2A</t>
  </si>
  <si>
    <t>B-8.3A</t>
  </si>
  <si>
    <t>B-10.1A</t>
  </si>
  <si>
    <t>B-10.2A</t>
  </si>
  <si>
    <t>B-10.3A</t>
  </si>
  <si>
    <t>B-11.1A</t>
  </si>
  <si>
    <t>B-11.2A</t>
  </si>
  <si>
    <t>B-12.1A</t>
  </si>
  <si>
    <t>B-12.2A</t>
  </si>
  <si>
    <t>B-5.1B</t>
  </si>
  <si>
    <t>B-5.2B</t>
  </si>
  <si>
    <t>B-5.3B</t>
  </si>
  <si>
    <t>B-5.4B</t>
  </si>
  <si>
    <t>B-5.5B</t>
  </si>
  <si>
    <t>B-5.6B</t>
  </si>
  <si>
    <t>B-10.1B</t>
  </si>
  <si>
    <t>B-10.2B</t>
  </si>
  <si>
    <t>B-4.1C</t>
  </si>
  <si>
    <t>B-4.2C</t>
  </si>
  <si>
    <t>B-5.1C</t>
  </si>
  <si>
    <t>B-5.2C</t>
  </si>
  <si>
    <t>B-5.3C</t>
  </si>
  <si>
    <t>B-5.4C</t>
  </si>
  <si>
    <t>B-5.5C</t>
  </si>
  <si>
    <t>B-5.6C</t>
  </si>
  <si>
    <t>B-7.1C</t>
  </si>
  <si>
    <t>B-7.2C</t>
  </si>
  <si>
    <t>B-7.3C</t>
  </si>
  <si>
    <t>B-7.4C</t>
  </si>
  <si>
    <t>B-7.5C</t>
  </si>
  <si>
    <t>B-7.6C</t>
  </si>
  <si>
    <t>B-8.1C</t>
  </si>
  <si>
    <t>B-8.2C</t>
  </si>
  <si>
    <t>B-8.3C</t>
  </si>
  <si>
    <t>B-8.4C</t>
  </si>
  <si>
    <t>B-8.5C</t>
  </si>
  <si>
    <t>TĐ-Heatpump</t>
  </si>
  <si>
    <t>TĐ-AHU</t>
  </si>
  <si>
    <t>Vật tư phụ lắp đặt cho toàn bộ tủ điện</t>
  </si>
  <si>
    <t>BUSWAY</t>
  </si>
  <si>
    <t>3P+100%N+50%E AL BUSWAY - 2500A từ MBA T1 đến tủ LV1.1</t>
  </si>
  <si>
    <t>Siemens/Schneider/ABB</t>
  </si>
  <si>
    <t>Chi phí gia công chuyển hướng 90ᴼ</t>
  </si>
  <si>
    <t>Bộ đấu nối với tủ điện</t>
  </si>
  <si>
    <t>Bộ đấu nối với MBA</t>
  </si>
  <si>
    <t>Giá đỡ ngang</t>
  </si>
  <si>
    <t>3P+100%N+50%E AL BUSWAY - 3200A từ MBA T2 đến tủ LV2.1</t>
  </si>
  <si>
    <t>3P+100%N+50%E AL BUSWAY - 2500A từ tủ hoà đồng bộ đến tủ LV1.2</t>
  </si>
  <si>
    <t>Chi phí gia công chuyển hướng 45ᴼ</t>
  </si>
  <si>
    <t>3P+100%N+50%E AL BUSWAY - 3200A từ tủ hoà đồng bộ đến tủ LV2.2</t>
  </si>
  <si>
    <t>3P+100%N+50%E AL BUSWAY - 2500A từ máy phát điện G1 đến Tủ hoà đồng bộ</t>
  </si>
  <si>
    <t>Đấu nối với MFD</t>
  </si>
  <si>
    <t>Đấu nối với tủ điện</t>
  </si>
  <si>
    <t>3P+100%N+50%E AL BUSWAY - 3200A từ máy phát điện G2 đến Tủ hoà đồng bộ</t>
  </si>
  <si>
    <t>Tapoff 3P-40A</t>
  </si>
  <si>
    <t>Tapoff 3P-25A</t>
  </si>
  <si>
    <t>Tapoff 3P-20A</t>
  </si>
  <si>
    <t>VI</t>
  </si>
  <si>
    <t>CÁP ĐIỆN, ỐNG ĐIỆN</t>
  </si>
  <si>
    <t>0,6/1kV</t>
  </si>
  <si>
    <t>Cáp từ tủ MSB đến tủ điện TĐ-H1C-EM</t>
  </si>
  <si>
    <t>CU/XLPE/Fr-PVC 4X4mm2</t>
  </si>
  <si>
    <t>CU/PVC 1CX4mm2</t>
  </si>
  <si>
    <t>Cáp từ tủ TĐ-H1C-EM đến tủ điện TĐ-H2C-EM</t>
  </si>
  <si>
    <t>Cáp từ tủ MSB đến tủ điện TĐ-H1B-EM</t>
  </si>
  <si>
    <t>Cáp từ tủ TĐ-H1B-EM đến tủ điện TĐ-H2B-EM</t>
  </si>
  <si>
    <t>Cáp từ tủ MSB đến tủ điện TĐ-H1A-EM</t>
  </si>
  <si>
    <t>Cáp từ tủ TĐ-H1A-EM đến tủ điện TĐ-H2A-EM</t>
  </si>
  <si>
    <t>Cáp từ tủ MSB đến tủ điện TĐ.CSNC</t>
  </si>
  <si>
    <t>Cáp từ tủ MSB đến tủ điện TQ.SC-H2.1</t>
  </si>
  <si>
    <t>CU/XLPE/Fr-PVC 4X70mm2</t>
  </si>
  <si>
    <t>CU/PVC 1CX35mm2</t>
  </si>
  <si>
    <t>Cáp từ tủ MSB đến tủ điện TQ.SC-H2.2</t>
  </si>
  <si>
    <t>Cáp từ tủ MSB đến tủ điện TQ.SC-H2.3</t>
  </si>
  <si>
    <t>Cáp từ tủ MSB đến tủ điện TQ.SC-H2.4</t>
  </si>
  <si>
    <t xml:space="preserve">Cáp từ tủ MSB đến tủ điện TB.NT </t>
  </si>
  <si>
    <t>CU/XLPE/Fr-PVC 4X35mm2</t>
  </si>
  <si>
    <t>CU/PVC 1CX16mm2</t>
  </si>
  <si>
    <t>Cáp từ tủ MSB đến tủ điện TQ.SC-H1.1</t>
  </si>
  <si>
    <t>CU/XLPE/Fr-PVC 4X95mm2</t>
  </si>
  <si>
    <t>CU/PVC 1CX50mm2</t>
  </si>
  <si>
    <t>Cáp từ tủ MSB đến tủ điện TQ.SC-H1.2</t>
  </si>
  <si>
    <t>Cáp từ tủ MSB đến tủ điện TQ.SC-H1.3</t>
  </si>
  <si>
    <t>Cáp từ tủ MSB đến tủ điện TQ.SC-H1.4</t>
  </si>
  <si>
    <t>Cáp từ tủ MSB đến tủ điện TB.CH-1.1</t>
  </si>
  <si>
    <t>CU/XLPE/Fr-PVC 4X1X185mm2</t>
  </si>
  <si>
    <t>CU/PVC 1CX95mm2</t>
  </si>
  <si>
    <t>Cáp từ tủ MSB đến tủ điện TB.CH-1.2</t>
  </si>
  <si>
    <t>Cáp từ tủ MSB đến tủ điện TB.CH-2.1</t>
  </si>
  <si>
    <t>Cáp từ tủ MSB đến tủ điện TB.CH-2.2</t>
  </si>
  <si>
    <t>Cáp từ tủ MSB đến tủ điện TĐ.TXL</t>
  </si>
  <si>
    <t>CU/XLPE/PVC 4X35mm2</t>
  </si>
  <si>
    <t>Cáp từ tủ MSB đến tủ điện TB.SH</t>
  </si>
  <si>
    <t>CU/XLPE/PVC 4X50mm2</t>
  </si>
  <si>
    <t>CU/PVC 1CX25mm2</t>
  </si>
  <si>
    <t>Cáp từ tủ MSB đến tủ điện TĐ.ELV</t>
  </si>
  <si>
    <t>CU/XLPE/PVC 4X4mm2</t>
  </si>
  <si>
    <t>Cáp từ tủ MSB đến tủ điện TĐ.CCTV</t>
  </si>
  <si>
    <t>CU/XLPE/PVC 4X6mm2</t>
  </si>
  <si>
    <t>CU/PVC 1CX6mm2</t>
  </si>
  <si>
    <t>Cáp từ tủ MSB đến tủ điện TĐ.CC-H2A</t>
  </si>
  <si>
    <t>Cáp từ tủ MSB đến tủ điện TĐ.CC-H1A</t>
  </si>
  <si>
    <t>Cáp từ tủ MSB đến tủ điện TĐ.CC-H2B</t>
  </si>
  <si>
    <t>Cáp từ tủ MSB đến tủ điện TĐ.CC-H1B</t>
  </si>
  <si>
    <t>Cáp từ tủ MSB đến tủ điện TĐ.CC-H2C</t>
  </si>
  <si>
    <t>Cáp từ tủ MSB đến tủ điện TĐ.CC-H1C</t>
  </si>
  <si>
    <t>Cáp từ tủ MSB đến tủ điện TĐ-4A</t>
  </si>
  <si>
    <t>Cáp từ tủ MSB đến tủ điện TĐ-5A</t>
  </si>
  <si>
    <t>CU/XLPE/PVC 4X70mm2</t>
  </si>
  <si>
    <t>Cáp từ tủ MSB đến tủ điện TĐ-6A</t>
  </si>
  <si>
    <t>Cáp từ tủ MSB đến tủ điện TĐ-7A</t>
  </si>
  <si>
    <t>Cáp từ tủ MSB đến tủ điện TĐ-8A</t>
  </si>
  <si>
    <t>Cáp từ tủ MSB đến tủ điện TĐ-9A</t>
  </si>
  <si>
    <t>Cáp từ tủ MSB đến tủ điện TĐ-10A</t>
  </si>
  <si>
    <t>Cáp từ tủ MSB đến tủ điện TĐ-11A</t>
  </si>
  <si>
    <t>Cáp từ tủ MSB đến tủ điện TĐ-12A</t>
  </si>
  <si>
    <t>Cáp từ tủ MSB đến tủ điện TĐ-5B</t>
  </si>
  <si>
    <t>CU/XLPE/PVC 4X95mm2</t>
  </si>
  <si>
    <t>Cáp từ tủ MSB đến tủ điện TĐ-6B</t>
  </si>
  <si>
    <t>Cáp từ tủ MSB đến tủ điện TĐ-7B</t>
  </si>
  <si>
    <t>Cáp từ tủ MSB đến tủ điện TĐ-8B</t>
  </si>
  <si>
    <t>Cáp từ tủ MSB đến tủ điện TĐ-9B</t>
  </si>
  <si>
    <t>Cáp từ tủ MSB đến tủ điện TĐ-10B</t>
  </si>
  <si>
    <t>Cáp từ tủ MSB đến tủ điện TĐ-4C</t>
  </si>
  <si>
    <t>Cáp từ tủ MSB đến tủ điện TĐ-5C</t>
  </si>
  <si>
    <t>Cáp từ tủ MSB đến tủ điện TĐ-6C</t>
  </si>
  <si>
    <t>Cáp từ tủ MSB đến tủ điện TĐ-7C</t>
  </si>
  <si>
    <t>Cáp từ tủ MSB đến tủ điện TĐ-8C</t>
  </si>
  <si>
    <t>Cáp từ tủ MSB đến tủ điện TĐ.TM-1A</t>
  </si>
  <si>
    <t>CU/XLPE/PVC 4X16mm2</t>
  </si>
  <si>
    <t>Cáp từ tủ MSB đến tủ điện TĐ.TM-2A</t>
  </si>
  <si>
    <t>Cáp từ tủ MSB đến tủ điện TĐ.TM-1B</t>
  </si>
  <si>
    <t>Cáp từ tủ MSB đến tủ điện TĐ.TM-2B</t>
  </si>
  <si>
    <t>Cáp từ tủ MSB đến tủ điện TĐ.TM-1C</t>
  </si>
  <si>
    <t>Cáp từ tủ MSB đến tủ điện TĐ.TM-2C</t>
  </si>
  <si>
    <t>Cáp từ tủ MSB đến tủ điện TĐ.BNN-1A</t>
  </si>
  <si>
    <t>Cáp từ tủ MSB đến tủ điện TĐ.BNN-1B</t>
  </si>
  <si>
    <t>Cáp từ tủ MSB đến tủ điện TĐ.BNN-1C</t>
  </si>
  <si>
    <t>Cáp từ tủ MSB đến tủ điện TĐ-MA-FAF</t>
  </si>
  <si>
    <t>Cáp từ tủ MSB đến tủ điện TĐ-MB-FAF</t>
  </si>
  <si>
    <t>CU/XLPE/Fr-PVC 4X16mm2</t>
  </si>
  <si>
    <t>Cáp từ tủ MSB đến tủ điện TĐ-MC-FAF</t>
  </si>
  <si>
    <t>Cáp từ tủ MSB đến tủ điện TM.CH-MA</t>
  </si>
  <si>
    <t>CU/XLPE/Fr-PVC 4X25mm2</t>
  </si>
  <si>
    <t>Cáp từ tủ MSB đến tủ điện TM.CH-MB</t>
  </si>
  <si>
    <t>Cáp từ tủ MSB đến tủ điện TM.CH-MC</t>
  </si>
  <si>
    <t>Cáp từ tủ MSB đến tủ điện TĐ-L4B-FAF</t>
  </si>
  <si>
    <t>CU/XLPE/Fr-PVC 4X6mm2</t>
  </si>
  <si>
    <t>Cáp từ tủ MSB đến tủ điện TĐ-L3A-FAF</t>
  </si>
  <si>
    <t>CU/XLPE/Fr-PVC 4X10mm2</t>
  </si>
  <si>
    <t>Cáp từ tủ MSB đến tủ điện TĐ-L3C-FAF</t>
  </si>
  <si>
    <t>Cáp từ tủ MSB đến tủ điện TĐ-MA-SEF</t>
  </si>
  <si>
    <t>CU/PVC 1CX10mm2</t>
  </si>
  <si>
    <t>Cáp từ tủ MSB đến tủ điện TĐ-MB-SEF</t>
  </si>
  <si>
    <t>Cáp từ tủ MSB đến tủ điện TĐ-MC-SEF</t>
  </si>
  <si>
    <t>Cáp từ tủ MSB đến tủ điện TĐ-L3A-SEF</t>
  </si>
  <si>
    <t>Cáp từ tủ MSB đến tủ điện TĐ-L3B-SEF</t>
  </si>
  <si>
    <t>Cáp từ tủ MSB đến tủ điện TĐ-L3C-SEF</t>
  </si>
  <si>
    <t>Cáp từ tủ MSB đến tủ điện TĐ-BC</t>
  </si>
  <si>
    <t>Cáp từ tủ MSB đến tủ điện TĐ-TFĐ</t>
  </si>
  <si>
    <t>Cáp từ tủ MSB đến tủ điện MFĐ-1A</t>
  </si>
  <si>
    <t>Cáp từ tủ MFD-1A đến tủ điện MFĐ-4A</t>
  </si>
  <si>
    <t>Cáp từ tủ MFD-4A đến tủ điện MFĐ-7A</t>
  </si>
  <si>
    <t>Cáp từ tủ MFD-7A đến tủ điện MFĐ-10A</t>
  </si>
  <si>
    <t>Cáp từ tủ MSB đến tủ điện MFĐ-1B</t>
  </si>
  <si>
    <t>Cáp từ tủ MFD-1B đến tủ điện MFĐ-4B</t>
  </si>
  <si>
    <t>Cáp từ tủ MFD-4B đến tủ điện MFĐ-7B</t>
  </si>
  <si>
    <t>Cáp từ tủ MSB đến tủ điện MFĐ-1C</t>
  </si>
  <si>
    <t>Cáp từ tủ MFD-1C đến tủ điện MFĐ-4C</t>
  </si>
  <si>
    <t>Cáp từ tủ MFD-4C đến tủ điện MFĐ-7C</t>
  </si>
  <si>
    <t>Cáp từ tủ MSB đến tủ điện TĐ-L3A-EM</t>
  </si>
  <si>
    <t>CU/XLPE/Fr-PVC 4(1X10)mm2</t>
  </si>
  <si>
    <t>Cáp từ tủ TĐ-L3A-EM đến tủ điện TĐ-L6A-EM</t>
  </si>
  <si>
    <t>Cáp từ tủ TĐ-L6A-EM đến tủ điện TĐ-L9A-EM</t>
  </si>
  <si>
    <t>Cáp từ tủ TĐ-L9A-EM đến tủ điện TĐ-L12A-EM</t>
  </si>
  <si>
    <t>Cáp từ tủ MSB đến tủ điện TĐ-L3B-EM</t>
  </si>
  <si>
    <t>Cáp từ tủ TĐ-L3B-EM đến tủ điện TĐ-L6B-EM</t>
  </si>
  <si>
    <t>Cáp từ tủ TĐ-L6B-EM đến tủ điện TĐ-L9B-EM</t>
  </si>
  <si>
    <t>Cáp từ tủ MSB đến tủ điện TĐ-L3C-EM</t>
  </si>
  <si>
    <t>Cáp từ tủ TĐ-L3C-EM đến tủ điện TĐ-L6B-EM</t>
  </si>
  <si>
    <t>Cáp từ tủ MSB đến tủ điện TĐ-PAU.B</t>
  </si>
  <si>
    <t>Cáp từ tủ MSB đến tủ điện TĐH-MB</t>
  </si>
  <si>
    <t>CU/XLPE/PVC 4X120mm2</t>
  </si>
  <si>
    <t>CU/PVC 1CX70mm2</t>
  </si>
  <si>
    <t>Cáp từ tủ MSB đến tủ điện TĐ-TM-MB.1</t>
  </si>
  <si>
    <t>Cáp từ tủ MSB đến tủ điện TĐ-TM-MB.2</t>
  </si>
  <si>
    <t>Cáp từ tủ MSB đến tủ điện TĐ-CQ</t>
  </si>
  <si>
    <t>Cáp từ tủ MSB đến tủ điện TĐ-Façade</t>
  </si>
  <si>
    <t>Cáp từ tủ MSB đến tủ điện TĐ-L2B-PL</t>
  </si>
  <si>
    <t>CU/XLPE/PVC 4X10mm2</t>
  </si>
  <si>
    <t>Cáp từ tủ TĐ-L2B-PL đến tủ điện TĐ-L5B-PL</t>
  </si>
  <si>
    <t>Cáp từ tủ TĐ-L5B-PL đến tủ điện TĐ-L8B-PL</t>
  </si>
  <si>
    <t>Cáp từ tủ MSB đến tủ điện TĐ-L2C-PL</t>
  </si>
  <si>
    <t>Cáp từ tủ TĐ-L2C-PL đến tủ điện TĐ-L5C-PL</t>
  </si>
  <si>
    <t>Cáp từ tủ TĐ-L5C-PL đến tủ điện TĐ-L8C-PL</t>
  </si>
  <si>
    <t>Cáp từ tủ MSB đến tủ điện TĐ-L2A-PL</t>
  </si>
  <si>
    <t>CU/XLPE/PVC 4X25mm2</t>
  </si>
  <si>
    <t>Cáp từ tủ TĐ-L2A-PL đến tủ điện TĐ-L5A-PL</t>
  </si>
  <si>
    <t>Cáp từ tủ TĐ-L5A-PL đến tủ điện TĐ-L8A-PL</t>
  </si>
  <si>
    <t>Cáp từ tủ TĐ-L8A-PL đến tủ điện TĐ-L11A-PL</t>
  </si>
  <si>
    <t>Cáp từ tủ MSB đến tủ điện TĐ-PAU.C</t>
  </si>
  <si>
    <t>Cáp từ tủ MSB đến tủ điện TĐH-MC</t>
  </si>
  <si>
    <t>CU/XLPE/PVC 8(1X150)mm2</t>
  </si>
  <si>
    <t>Cáp từ tủ MSB đến tủ điện TM-MC.1</t>
  </si>
  <si>
    <t>Cáp từ tủ MSB đến tủ điện TĐ-S2</t>
  </si>
  <si>
    <t>Cáp từ tủ MSB đến tủ điện TĐ-A3</t>
  </si>
  <si>
    <t>Cáp từ tủ MSB đến tủ điện TC.TMDV-A1.3</t>
  </si>
  <si>
    <t>Cáp từ tủ MSB đến tủ điện TM.TMDV-A1.3</t>
  </si>
  <si>
    <t>Cáp từ tủ MSB đến tủ điện TĐ-MT</t>
  </si>
  <si>
    <t>Cáp từ tủ MSB đến tủ điện TĐ-PAU.A</t>
  </si>
  <si>
    <t>Cáp từ tủ MSB đến tủ điện TĐH-MA</t>
  </si>
  <si>
    <t>Cáp từ tủ MSB đến tủ điện TM-MA.1</t>
  </si>
  <si>
    <t>Cáp từ tủ MSB đến tủ điện TM-MA.2</t>
  </si>
  <si>
    <t>Cáp từ tủ MSB đến tủ điện TM-MA.3</t>
  </si>
  <si>
    <t>Cáp từ tủ MSB đến tủ điện TC.TMDV-A1.1</t>
  </si>
  <si>
    <t>CU/XLPE/PVC 4(1X70)mm2</t>
  </si>
  <si>
    <t>Cáp từ tủ MSB đến tủ điện TM.TMDV-A1.1</t>
  </si>
  <si>
    <t>Cáp từ tủ MSB đến tủ điện TĐ-SPA.1</t>
  </si>
  <si>
    <t>CU/XLPE/PVC 4X2(1X185)mm2</t>
  </si>
  <si>
    <t>CU/PVC 1CX185mm2</t>
  </si>
  <si>
    <t>Cáp từ tủ MSB đến tủ điện TĐ-SPA.2</t>
  </si>
  <si>
    <t>Cáp từ tủ MSB đến tủ điện TĐ-SPA.3</t>
  </si>
  <si>
    <t>Cáp từ tủ MSB đến tủ điện TĐ-H1A-OFF</t>
  </si>
  <si>
    <t>Cáp điện cho chiếu sáng</t>
  </si>
  <si>
    <t>Cu/PVC 2(1X1.5)mm2</t>
  </si>
  <si>
    <t>E(1X1.5)mm2</t>
  </si>
  <si>
    <t>Ống luồn PVC D20</t>
  </si>
  <si>
    <t>Ống luồn dây PVC D20 lắp âm ( Cắt, đục, lắp ống, trát gim, đóng lưới)</t>
  </si>
  <si>
    <t>Ống mềm PVC D20</t>
  </si>
  <si>
    <t>Cáp điện cho ổ cắm, máy lạnh cục bộ, bình nóng lạnh wc, quạt hút, đèn báo không, chiếu sáng khẩn, tủ rack, thiết bị điện nhẹ</t>
  </si>
  <si>
    <t>Cu/PVC 2(1X2.5)mm2</t>
  </si>
  <si>
    <t>E(1X2.5)mm2</t>
  </si>
  <si>
    <t>Ống luồn dây PVC D20 lắp âm (Cắt, đục, lắp ống, trát gim, đóng lưới)</t>
  </si>
  <si>
    <t>Cáp điện cho tủ điện công cộng hầm, TMDV, hành lang</t>
  </si>
  <si>
    <t>Cu/PVC/PVC (2X4)mm2</t>
  </si>
  <si>
    <t>E(1X4)mm2</t>
  </si>
  <si>
    <t>Ống luồn PVC D32</t>
  </si>
  <si>
    <t>Ống mềm PVC D32</t>
  </si>
  <si>
    <t>Cu/XLPE/PVC (4X4)mm2</t>
  </si>
  <si>
    <t>Cu/XLPE/PVC (4X6)mm2</t>
  </si>
  <si>
    <t>E(1X6)mm2</t>
  </si>
  <si>
    <t>Cu/XLPE/PVC (4X10)mm2</t>
  </si>
  <si>
    <t>E(1X10)mm2</t>
  </si>
  <si>
    <t>Cu/XLPE/PVC (4X16)mm2</t>
  </si>
  <si>
    <t>E(1X16)mm2</t>
  </si>
  <si>
    <t>Cu/XLPE/PVC (4X25)mm2</t>
  </si>
  <si>
    <t>E(1X25)mm2</t>
  </si>
  <si>
    <t>Cáp điện cho bơm cấp thoát nước</t>
  </si>
  <si>
    <t>Cu/XLPE/PVC (3X2.5)mm2</t>
  </si>
  <si>
    <t>Cu/XLPE/PVC (3X4)mm2</t>
  </si>
  <si>
    <t>Cu/XLPE/PVC (3X10)mm2</t>
  </si>
  <si>
    <t>Cáp điện cho điều hoà khối TMDV</t>
  </si>
  <si>
    <t>Cu/XLPE/PVC (2X2.5)mm2</t>
  </si>
  <si>
    <t>Cu/XLPE/PVC (2X4)mm2</t>
  </si>
  <si>
    <t>Cu/XLPE/PVC (4X2.5)mm2</t>
  </si>
  <si>
    <t>Cáp điện cho quạt PCCC, van MFD, cửa tự động, bơm dầu, cửa sập</t>
  </si>
  <si>
    <t>Cáp từ tủ TQ.SC-H2.1 đến CSF-B2-Z1-01</t>
  </si>
  <si>
    <t>Cu/XLPE/Fr-PVC (3X25)mm2</t>
  </si>
  <si>
    <t>Cáp từ tủ TQ.SC-H2.1 đến CSF-B2-Z1-02</t>
  </si>
  <si>
    <t>Cáp từ tủ TQ.SC-H2.2 đến CEF-B2-Z1-01</t>
  </si>
  <si>
    <t>Cáp từ tủ TQ.SC-H2.2 đến CEF-B2-Z1-02</t>
  </si>
  <si>
    <t>Cáp từ tủ TQ.SC-H2.3 đến CSF-B2-Z2-01</t>
  </si>
  <si>
    <t>Cáp từ tủ TQ.SC-H2.3 đến CSF-B2-Z2-02</t>
  </si>
  <si>
    <t>Cáp từ tủ TQ.SC-H2.3 đến BPF-B2-Z2-01</t>
  </si>
  <si>
    <t>Cáp từ tủ TQ.SC-H2.4 đến CEF-B2-Z2-01</t>
  </si>
  <si>
    <t>Cáp từ tủ TQ.SC-H2.4 đến CEF-B2-Z2-02</t>
  </si>
  <si>
    <t>Cáp từ tủ TQ.SC-H1.1 đến CSF-B1-Z1-01</t>
  </si>
  <si>
    <t>Cáp từ tủ TQ.SC-H1.1 đến CSF-B1-Z1-02</t>
  </si>
  <si>
    <t>Cáp từ tủ TQ.SC-H1.2 đến CEF-B1-Z1-01</t>
  </si>
  <si>
    <t>Cáp từ tủ TQ.SC-H1.2 đến CEF-B1-Z1-02</t>
  </si>
  <si>
    <t>Cáp từ tủ TQ.SC-H1.3 đến CSF-B1-Z2-01</t>
  </si>
  <si>
    <t>Cáp từ tủ TQ.SC-H1.3 đến CSF-B1-Z2-02</t>
  </si>
  <si>
    <t>Cáp từ tủ TQ.SC-H1.4 đến CEF-B1-Z2-01</t>
  </si>
  <si>
    <t>Cáp từ tủ TQ.SC-H1.4 đến CEF-B1-Z2-02</t>
  </si>
  <si>
    <t>2xCu/XLPE/Fr-PVC (3X4)mm2</t>
  </si>
  <si>
    <t>Cu/XLPE/Fr-PVC (3X4)mm2</t>
  </si>
  <si>
    <t>2xCu/XLPE/Fr-PVC (3X2.5)mm2</t>
  </si>
  <si>
    <t>Cu/XLPE/Fr-PVC (3X2.5)mm2</t>
  </si>
  <si>
    <t>Cu/XLPE/Fr-PVC (2X2.5)mm2</t>
  </si>
  <si>
    <t>Cu/PVC (3X2.5)mm2</t>
  </si>
  <si>
    <t>Cu/Mica/Fr-PVC (2X2.5)mm2</t>
  </si>
  <si>
    <t>Cu/Mica/Fr-PVC (2X1.5)mm2</t>
  </si>
  <si>
    <t>Ống luồn PVC D25</t>
  </si>
  <si>
    <t>SP hoặc tương đương</t>
  </si>
  <si>
    <t>Ống mềm PVC D25</t>
  </si>
  <si>
    <t>Cáp điện cho bơm chữa cháy</t>
  </si>
  <si>
    <t>2xCu/XLPE/Fr-PVC 3(1X185)mm2</t>
  </si>
  <si>
    <t>E(1X95)mm2</t>
  </si>
  <si>
    <t>Cáp điện cho tủ điện căn hộ</t>
  </si>
  <si>
    <t>Cáp từ tủ TĐ-4A đến B-4.1A</t>
  </si>
  <si>
    <t>Cáp từ tủ TĐ-4A đến B-4.2A</t>
  </si>
  <si>
    <t>Cáp từ tủ TĐ-5A - 7A đến B-5.1A - 7.1A</t>
  </si>
  <si>
    <t>Cáp từ tủ TĐ-5A - 7A đến B-5.2A - 7.2A</t>
  </si>
  <si>
    <t>Cáp từ tủ TĐ-5A - 7A đến B-5.3A - 7.3A</t>
  </si>
  <si>
    <t>Cáp từ tủ TĐ-8A - 9A đến B-8.1A - 9.1A</t>
  </si>
  <si>
    <t>Cáp từ tủ TĐ-8A - 9A đến B-8.2A - 9.2A</t>
  </si>
  <si>
    <t>Cáp từ tủ TĐ-8A - 9A đến B-8.3A - 9.3A</t>
  </si>
  <si>
    <t>Cáp từ tủ TĐ-10A đến B-10.1A</t>
  </si>
  <si>
    <t>Cu/XLPE/PVC (4X35)mm2</t>
  </si>
  <si>
    <t>Cáp từ tủ TĐ-10A đến B-10.2A</t>
  </si>
  <si>
    <t>Cáp từ tủ TĐ-10A đến B-10.3A</t>
  </si>
  <si>
    <t>Cáp từ tủ TĐ-11A đến B-11.1A</t>
  </si>
  <si>
    <t>Cáp từ tủ TĐ-11A đến B-11.2A</t>
  </si>
  <si>
    <t>Cáp từ tủ TĐ-12A đến B-12.1A</t>
  </si>
  <si>
    <t>Cáp từ tủ TĐ-12A đến B-12.2A</t>
  </si>
  <si>
    <t>Cáp từ tủ TĐ-5B - 9B đến B-5.1B - 9.1B</t>
  </si>
  <si>
    <t>Cáp từ tủ TĐ-5B - 9B đến B-5.2B - 9.2B</t>
  </si>
  <si>
    <t>Cáp từ tủ TĐ-5B - 9B đến B-5.3B - 9.3B</t>
  </si>
  <si>
    <t>Cáp từ tủ TĐ-5B - 9B đến B-5.4B - 9.4B</t>
  </si>
  <si>
    <t>Cáp từ tủ TĐ-5B - 9B đến B-5.5B - 9.5B</t>
  </si>
  <si>
    <t>Cáp từ tủ TĐ-5B - 9B đến B-5.6B - 9.6B</t>
  </si>
  <si>
    <t>Cáp từ tủ TĐ-10B đến B-10.1B</t>
  </si>
  <si>
    <t>Cáp từ tủ TĐ-10B đến B-10.2B</t>
  </si>
  <si>
    <t>Cáp từ tủ TĐ-4C đến B-4.1C</t>
  </si>
  <si>
    <t>Cáp từ tủ TĐ-4C đến B-4.2C</t>
  </si>
  <si>
    <t>Cáp từ tủ TĐ-5C - 6C đến B-5.1C - 6.1C</t>
  </si>
  <si>
    <t>Cáp từ tủ TĐ-5C - 6C đến B-5.2C - 6.2C</t>
  </si>
  <si>
    <t>Cáp từ tủ TĐ-5C - 6C đến B-5.3C - 6.3C</t>
  </si>
  <si>
    <t>Cáp từ tủ TĐ-5C - 6C đến B-5.4C - 6.4C</t>
  </si>
  <si>
    <t>Cáp từ tủ TĐ-5C - 6C đến B-5.5C - 6.5C</t>
  </si>
  <si>
    <t>Cáp từ tủ TĐ-5C - 6C đến B-5.6C - 6.6C</t>
  </si>
  <si>
    <t>Cáp từ tủ TĐ-7C đến B-7.1C</t>
  </si>
  <si>
    <t>Cáp từ tủ TĐ-7C đến B-7.2C</t>
  </si>
  <si>
    <t>Cáp từ tủ TĐ-7C đến B-7.3C</t>
  </si>
  <si>
    <t>Cáp từ tủ TĐ-7C đến B-7.4C</t>
  </si>
  <si>
    <t>Cáp từ tủ TĐ-7C đến B-7.5C</t>
  </si>
  <si>
    <t>Cáp từ tủ TĐ-7C đến B-7.6C</t>
  </si>
  <si>
    <t>Cáp từ tủ TĐ-8C đến B-8.1C</t>
  </si>
  <si>
    <t>Cáp từ tủ TĐ-8C đến B-8.2C</t>
  </si>
  <si>
    <t>Cáp từ tủ TĐ-8C đến B-8.3C</t>
  </si>
  <si>
    <t>Cáp từ tủ TĐ-8C đến B-8.4C</t>
  </si>
  <si>
    <t>Cáp từ tủ TĐ-8C đến B-8.5C</t>
  </si>
  <si>
    <t>Cáp điện cấp nguồn báo cháy, tủ rack, PA</t>
  </si>
  <si>
    <t>Cu/Mica/XLPE/Fr-PVC 2(1X4)mm2</t>
  </si>
  <si>
    <t>Cáp tín hiệu từ MFĐ về tủ liên động</t>
  </si>
  <si>
    <t>Cu/Fr/PVC/LSZH 4x1.5mm2</t>
  </si>
  <si>
    <t>Vật tư phụ và phụ kiện (dây rút, tắc kê, đầu cos, ….)</t>
  </si>
  <si>
    <t>THANG MÁNG CÁP</t>
  </si>
  <si>
    <t>Thang cáp</t>
  </si>
  <si>
    <t>Thang cáp 1000x100</t>
  </si>
  <si>
    <t>Thang cáp 500x100</t>
  </si>
  <si>
    <t>Máng cáp</t>
  </si>
  <si>
    <t>Máng cáp 500x100</t>
  </si>
  <si>
    <t>Máng cáp 200x100</t>
  </si>
  <si>
    <t>Vật tư phụ và phụ kiện (Co, tê, ty treo, giá đỡ, bulong, tắc kê ….)</t>
  </si>
  <si>
    <t>VIII</t>
  </si>
  <si>
    <t>ĐÈN</t>
  </si>
  <si>
    <t>Bộ đèn tuýp, máng trần, lắp nổi, bóng led 220v/1x20W</t>
  </si>
  <si>
    <t>CĐT cấp Vật  tư, Nhà thầu lắp đặt</t>
  </si>
  <si>
    <t>Bộ đèn tuýp, máng trần, lắp nổi, bóng led 220v/1x20W, có nguồn dự trữ 2h</t>
  </si>
  <si>
    <t>Chưa có thông số, tạm tính</t>
  </si>
  <si>
    <t>Bộ đèn tuýp, máng trần, lắp nổi, bóng led 220v/2x20W</t>
  </si>
  <si>
    <t>Bộ đèn tuýp, máng trần, lắp nổi, bóng led 220v/1x10W</t>
  </si>
  <si>
    <t>Bộ máng đèn led chống thấm, lắp nổi, led 220/40W, IP65</t>
  </si>
  <si>
    <t>Bộ đèn ốp trần, lắp nổi, D188mm, led 220V/15W, có cảm biến on/off</t>
  </si>
  <si>
    <t>Bộ đèn led downlight, lắp âm trần, led 220V/12W</t>
  </si>
  <si>
    <t>Đèn led thoát hiểm một mặt với pin hoạt động 2h, 3W</t>
  </si>
  <si>
    <t>Đèn led chỉ hướng thoát nạn một mặt phải hoặc trái với pin hoạt động 2h, 3W</t>
  </si>
  <si>
    <t>Đèn led chỉ hướng thoát nạn hai mặt hai hướng với pin hoạt động 2h, 3W</t>
  </si>
  <si>
    <t>Đèn chiếu sáng khẩn cấp 3W có nguồn dự trữ 2h</t>
  </si>
  <si>
    <t>Đèn sự cố, bóng led 2x3w, kèm ác quy (duy trì trong 2h)</t>
  </si>
  <si>
    <t>Bộ máng đèn led chống thấm, lắp nổi, led 220V/20W, IP65</t>
  </si>
  <si>
    <t>Bộ máng đèn led chống thấm, lắp nổi, led 220V/15W, IP65</t>
  </si>
  <si>
    <t>Đèn led panel, 220V/36W, kích thước (600x600mm), lắp âm trần</t>
  </si>
  <si>
    <t>Bộ đèn led downlight, loại chống thấm, lắp âm trần, D162mm, led 220V/9.5W, IP54</t>
  </si>
  <si>
    <t>Bộ đèn led Panel, lắp âm trần, 600x600mm, led 220V/36W</t>
  </si>
  <si>
    <t>Đèn led pha 70W</t>
  </si>
  <si>
    <t>Sơ đồ thoát nạn</t>
  </si>
  <si>
    <t>Bảng báo phòng bơm</t>
  </si>
  <si>
    <t>IX</t>
  </si>
  <si>
    <t>Ổ CẮM , CÔNG TẮC, ISOLATOR</t>
  </si>
  <si>
    <t>Công tắc đơn 1 chiều 10A</t>
  </si>
  <si>
    <t>Công tắc đơn 1 chiều 10A, chống ẩm</t>
  </si>
  <si>
    <t>Công tắc đôi 1 chiều 10A</t>
  </si>
  <si>
    <t>Công tắc 2 cực 20A cho bình nước nóng</t>
  </si>
  <si>
    <t>Ổ cắm điện đơn 3 cực</t>
  </si>
  <si>
    <t>Ổ cắm điện đôi 3 cực</t>
  </si>
  <si>
    <t>Ổ cắm điện đơn 3 cực, loại chịu nước</t>
  </si>
  <si>
    <t>Ổ cắm điện đôi 3 cực, loại chịu nước</t>
  </si>
  <si>
    <t>X</t>
  </si>
  <si>
    <t>TIẾP ĐỊA - CHỐNG SÉT</t>
  </si>
  <si>
    <t>Hệ thống chống sét, tiếp địa</t>
  </si>
  <si>
    <t>Kim thu sét phát xạ sớm bán kính bảo vệ R=55m trên cột cao H=5m</t>
  </si>
  <si>
    <t>Đèn báo không cường độ trung bình loại B, loại nhấp nháy</t>
  </si>
  <si>
    <t>Cáp đồng trần 70 mm2</t>
  </si>
  <si>
    <t>Cáp đồng trần 95 mm2</t>
  </si>
  <si>
    <t>Cáp Cu/PVC 1Cx120mm2</t>
  </si>
  <si>
    <t>Cáp Cu/PVC 1Cx70mm2</t>
  </si>
  <si>
    <t>Cáp Cu/PVC 1Cx25mm2</t>
  </si>
  <si>
    <t>Cáp Cu/PVC 1Cx16mm2</t>
  </si>
  <si>
    <t>Ống luồn PVC D50</t>
  </si>
  <si>
    <t>Hố nối đất</t>
  </si>
  <si>
    <t>Hố</t>
  </si>
  <si>
    <t>Hộp kiểm tra điện trở đất</t>
  </si>
  <si>
    <t>Bộ đếm sét</t>
  </si>
  <si>
    <t>Cọc tiếp địa thép mạ đồng D16, L=2.5m</t>
  </si>
  <si>
    <t>Hóa chất giảm điện trở đất</t>
  </si>
  <si>
    <t>Bao</t>
  </si>
  <si>
    <t>Chi phí đo điện trở và kiểm định bãi tiếp địa</t>
  </si>
  <si>
    <t>Thép D10</t>
  </si>
  <si>
    <t xml:space="preserve">Bản đồng tiếp địa </t>
  </si>
  <si>
    <t>Hàn cadwell/ốc siết cáp</t>
  </si>
  <si>
    <t>XI</t>
  </si>
  <si>
    <t>Thử nghiệm, chạy thử và bàn giao toàn bộ hệ thống</t>
  </si>
  <si>
    <t xml:space="preserve">Phí kết nối hệ thống điện với lưới điện thành phố, bao gồm tất cả các thử nghiệm cần thiết theo yêu cầu của pháp luật &amp; Giấy phép được cấp phép. </t>
  </si>
  <si>
    <t>XII</t>
  </si>
  <si>
    <t>HỆ THỐNG ĐIỆN THOẠI, THÔNG TIN &amp; IPTV</t>
  </si>
  <si>
    <t>THIẾT BỊ CHÍNH</t>
  </si>
  <si>
    <t>HẠ TẦNG NGOẠI KHU</t>
  </si>
  <si>
    <t>Hố ga kỹ thuật 800x800x1200mm, bê tông cốt thép, nắp gang B125</t>
  </si>
  <si>
    <t>Ống chờ cho cáp thông tin đầu vào DN110, ống HDPE PN6</t>
  </si>
  <si>
    <t>Ống HDPE chôn ngầm D65/50</t>
  </si>
  <si>
    <t>MDF RACK</t>
  </si>
  <si>
    <t>Tủ rack NB 27U</t>
  </si>
  <si>
    <t xml:space="preserve">Alphanet/Vietrack/Unirack/Comrack </t>
  </si>
  <si>
    <t>ODF 24 port</t>
  </si>
  <si>
    <t>Belden /CommScope/tđ</t>
  </si>
  <si>
    <t>Router + fire wall</t>
  </si>
  <si>
    <t>Fortinet, Palo Alto Networks, 
Cisco, Sophos và Tương đương</t>
  </si>
  <si>
    <t>Tổng đài IP PABX</t>
  </si>
  <si>
    <t xml:space="preserve">SMBC </t>
  </si>
  <si>
    <t>SW Core SFP 24 port</t>
  </si>
  <si>
    <t>Cisco, Alcatel-Lucent, IBM, HP và Tương đương</t>
  </si>
  <si>
    <t>UPS 5kVA</t>
  </si>
  <si>
    <t>Vertiv/APC, Santak/CyperPower/ Ares</t>
  </si>
  <si>
    <t>Máy tính, chuột, bàn phím</t>
  </si>
  <si>
    <t>Del, HP, tđ</t>
  </si>
  <si>
    <t>Chống sét lan truyền</t>
  </si>
  <si>
    <t>CITEL, Phoenix Contact, Schneider Electric</t>
  </si>
  <si>
    <t>Wireless controler</t>
  </si>
  <si>
    <t>Tủ cấp nguồn</t>
  </si>
  <si>
    <t>Thuộc phạm vi gói điện</t>
  </si>
  <si>
    <t>Patch Panel 24 port</t>
  </si>
  <si>
    <t>Dây nhảy Cat6</t>
  </si>
  <si>
    <t>Dây</t>
  </si>
  <si>
    <t>Dây nhảy quang</t>
  </si>
  <si>
    <t>Vật tư phụ và phụ kiện kết nối</t>
  </si>
  <si>
    <t>TRỤC ĐỨNG</t>
  </si>
  <si>
    <t>Rack 1.1 - 1.3</t>
  </si>
  <si>
    <t>Patch panel 24P</t>
  </si>
  <si>
    <t>ODF 4FO</t>
  </si>
  <si>
    <t>Switch 24 POE port</t>
  </si>
  <si>
    <t>Tủ MODF</t>
  </si>
  <si>
    <t>Alphanet/ Vietnam
Alphanet/ China</t>
  </si>
  <si>
    <t>ODF 96FO</t>
  </si>
  <si>
    <t>ODF 64FO</t>
  </si>
  <si>
    <t>ODF 48FO</t>
  </si>
  <si>
    <t>ODF 32FO</t>
  </si>
  <si>
    <t>Tủ điện nhẹ căn hộ</t>
  </si>
  <si>
    <t>Ổ cắm RJ45, loại đơn 1xRJ45</t>
  </si>
  <si>
    <t>Bên A cấp Vật tư, Nhà thầu lắp đặt</t>
  </si>
  <si>
    <t>Ổ cắm RJ45, loại đôi 2xRJ45</t>
  </si>
  <si>
    <t>Bộ phát sóng không dây</t>
  </si>
  <si>
    <t>Ổ cắm điện thoại</t>
  </si>
  <si>
    <t>Ổ cắm đôi</t>
  </si>
  <si>
    <t>Cáp ống</t>
  </si>
  <si>
    <t>Cáp CAT 6A STP</t>
  </si>
  <si>
    <t>Cáp quang SM 2FO</t>
  </si>
  <si>
    <t>Cáp quang SM 4FO</t>
  </si>
  <si>
    <t>Cáp quang SM 32FO</t>
  </si>
  <si>
    <t>Cáp quang SM 48FO</t>
  </si>
  <si>
    <t>Cáp quang SM 64FO</t>
  </si>
  <si>
    <t>Cáp quang SM 96FO</t>
  </si>
  <si>
    <t>Ống luồn PVC D20 ( Bao gồm Phụ kiện, vật tư phụ lắp đặt đi kèm)</t>
  </si>
  <si>
    <t>750N</t>
  </si>
  <si>
    <t>SP, AC hoặc tương đương</t>
  </si>
  <si>
    <t xml:space="preserve">Ống mềm PVC D20  </t>
  </si>
  <si>
    <t>HỆ THỐNG CAMERA QUAN SÁT</t>
  </si>
  <si>
    <t>Phần mềm quản lý</t>
  </si>
  <si>
    <t>Axis, Bosch, Honeywell, i-Pro, Hanwha  và Tương đương</t>
  </si>
  <si>
    <t>Máy tính cài đặt phần mềm quản lý (bao gồm CPU, chuột, bàn phím)</t>
  </si>
  <si>
    <t>Dell, HP, tđ</t>
  </si>
  <si>
    <t>NVR-64CH</t>
  </si>
  <si>
    <t>Led 49''</t>
  </si>
  <si>
    <t>Samsung, LG, tđ</t>
  </si>
  <si>
    <t>Máy tính truy cập (bao gồm chuột, màn hình)</t>
  </si>
  <si>
    <t>Máy in</t>
  </si>
  <si>
    <t>HP, Canon, tđ</t>
  </si>
  <si>
    <t>Dây nhảy Cat 6A</t>
  </si>
  <si>
    <t>Tủ rack 42U</t>
  </si>
  <si>
    <t>ODF 96 FO</t>
  </si>
  <si>
    <t>Optical core switch 48 port</t>
  </si>
  <si>
    <t>Access swtich 24 port, 2SFP</t>
  </si>
  <si>
    <t>UPS 10kVA</t>
  </si>
  <si>
    <t>Dùng chung hệ thống CCTV, VDP, Access</t>
  </si>
  <si>
    <t>Tủ rack tầng 20U</t>
  </si>
  <si>
    <t>ODF 4 FO</t>
  </si>
  <si>
    <t>Switch PoE 24P</t>
  </si>
  <si>
    <t>Patch Panel 24P</t>
  </si>
  <si>
    <t>Bộ chuyển đổi tín hiệu cho camera thang máy</t>
  </si>
  <si>
    <t>Camera bán cầu cố định IP</t>
  </si>
  <si>
    <t>Axis, Bosch, Honeywell, CNB, Hanwha  và Tương đương</t>
  </si>
  <si>
    <t>IP Camera hộp lắp cố định- loại trong nhà</t>
  </si>
  <si>
    <t>IP Camera hộp lắp cố định- loại ngoài trời</t>
  </si>
  <si>
    <t>IP Camera cho thang máy</t>
  </si>
  <si>
    <t>Cáp quang MM 4FO</t>
  </si>
  <si>
    <t>Cáp CAT6</t>
  </si>
  <si>
    <t>Cáp CVV 2x4mm2</t>
  </si>
  <si>
    <t>Chi phí nghiệm thu và vận hành chạy thử</t>
  </si>
  <si>
    <t>HỆ THỐNG CHUÔNG HÌNH</t>
  </si>
  <si>
    <t>Dùng chung HT CCTV, VDP, Access</t>
  </si>
  <si>
    <t>Dùng chung HT CCTV</t>
  </si>
  <si>
    <t>Bàn gọi liên lạc</t>
  </si>
  <si>
    <t>Axis, Bosch, Honeywell, Hanwha</t>
  </si>
  <si>
    <t>Chuông cửa kèm camera tại sảnh</t>
  </si>
  <si>
    <t>Axis, Bosch, Honeywell, CNB</t>
  </si>
  <si>
    <t>Màn hình chính căn hộ</t>
  </si>
  <si>
    <t>Axis, Bosch, Honeywell, Hanwha, CNB</t>
  </si>
  <si>
    <t>Nút chuông có camera tại căn hộ</t>
  </si>
  <si>
    <t>CÁP CAT 6UTP</t>
  </si>
  <si>
    <t>Cáp nguồn CVV 2x4mm2</t>
  </si>
  <si>
    <t>HỆ THỐNG ĐIỀU KHIỂN VÀO RA</t>
  </si>
  <si>
    <t>Máy tính quản lý</t>
  </si>
  <si>
    <t>Bộ tạo thẻ</t>
  </si>
  <si>
    <t>MicroEngine, Bosch, HID, Entrypass,Suprema</t>
  </si>
  <si>
    <t>Bộ tạo vân tay</t>
  </si>
  <si>
    <t>Dùng chung hệ thống CCTV, VDP</t>
  </si>
  <si>
    <t>Dùng chung hệ thống VDP</t>
  </si>
  <si>
    <t>THIẾT BỊ TẦNG</t>
  </si>
  <si>
    <t>Cửa kiểm soát</t>
  </si>
  <si>
    <t>Bộ điều khiển kèm tủ nguồn lắp nóc thang máy</t>
  </si>
  <si>
    <t>Đầu đọc thẻ thang máy</t>
  </si>
  <si>
    <t>Bộ giao tiếp với thang máy</t>
  </si>
  <si>
    <t>Bộ thu phát sóng không dây lõi thang</t>
  </si>
  <si>
    <t>MicroEngine / Bosch / HID / tđ</t>
  </si>
  <si>
    <t>Bộ kiểm soát ra-vào gồm: khoá, đầu đọc thẻ, nút ấn, hộp đập</t>
  </si>
  <si>
    <t>Elock, Sprint, Bosch, Philips và Tương đương</t>
  </si>
  <si>
    <t>Cáp CAT 6 UTP</t>
  </si>
  <si>
    <t>CVV 2x4mm2</t>
  </si>
  <si>
    <t>SP / AC / tđ</t>
  </si>
  <si>
    <t>HỆ THỐNG ÂM THANH THÔNG BÁO CÔNG CỘNG</t>
  </si>
  <si>
    <t>PA RACK</t>
  </si>
  <si>
    <t>Máy tính cài đặt phần mềm âm thanh và phát nhạc nền</t>
  </si>
  <si>
    <t>Switch hub</t>
  </si>
  <si>
    <t>Bosch, TOA, AEX,tđ</t>
  </si>
  <si>
    <t>Bộ giao tiếp báo cháy IP</t>
  </si>
  <si>
    <t>Bộ điều khiển âm thanh IP 8 vùng</t>
  </si>
  <si>
    <t>Tăng âm 1500W</t>
  </si>
  <si>
    <t>UPS 6kVA</t>
  </si>
  <si>
    <t>Bàn gọi cảm ứng IP</t>
  </si>
  <si>
    <t>Loa kiểm tra IP 20W</t>
  </si>
  <si>
    <t>Bộ quản lý nguồn</t>
  </si>
  <si>
    <t>Bộ lưu và phát lại bản tin</t>
  </si>
  <si>
    <t>Bộ phát tin nhắn khẩn cấp</t>
  </si>
  <si>
    <t>Bộ giám sát đường dây</t>
  </si>
  <si>
    <t>Bộ mixer tiền khếch đại</t>
  </si>
  <si>
    <t>Micro chọn vùng kèm mở rộng</t>
  </si>
  <si>
    <t>Loa âm trần, công suất 6W (có nấc điều chỉnh 3W)</t>
  </si>
  <si>
    <t>Loa hộp gắn tường 6W</t>
  </si>
  <si>
    <t>Loa nén 15W</t>
  </si>
  <si>
    <t>Chiết áp</t>
  </si>
  <si>
    <t>Hộp đấu nối tầng</t>
  </si>
  <si>
    <t>Cáp xoắn chống nhiễu chậm cháy (2x1.5mm2)</t>
  </si>
  <si>
    <t>Tai Sin/Belden/Draka</t>
  </si>
  <si>
    <t>HỆ THỐNG HƯỜNG DẪN ĐỖ XE, SƠ ĐỒ DẪN ĐƯỜNG VÀ HIỂN THỊ BÃI ĐỖ XE</t>
  </si>
  <si>
    <t>Tham khảo Specs , chỉ dẫn kỹ thuật đính kèm</t>
  </si>
  <si>
    <t>Máy tính giám sát (bao gồm bàn phím, chuột, …)</t>
  </si>
  <si>
    <t>Máy tính điều khiển trung tâm</t>
  </si>
  <si>
    <t>Switch POE 24 Port</t>
  </si>
  <si>
    <t>UPS 6 kVA</t>
  </si>
  <si>
    <t>Tủ phân phối nguồn</t>
  </si>
  <si>
    <t>Việt Nam (CB: Schneider/ABB/Siemens)</t>
  </si>
  <si>
    <t>Tổ hợp nút ấn vào và nút ấn khẩn cấp</t>
  </si>
  <si>
    <t>CAME / FAAC / tđ</t>
  </si>
  <si>
    <t>Bộ điều khiển làn</t>
  </si>
  <si>
    <t>IDTECK / MicroEngine / Parktron / tđ</t>
  </si>
  <si>
    <t>Đầu đọc thẻ xe vé tháng</t>
  </si>
  <si>
    <t>IDTECK, MicroEngine, Bosch, HID, Entrypass  và Tương đương</t>
  </si>
  <si>
    <t>Đầu đọc thẻ gần cho xe máy</t>
  </si>
  <si>
    <t>Đầu đọc thẻ xa cho oto</t>
  </si>
  <si>
    <t>Bariel cho làn xe ra/ vào</t>
  </si>
  <si>
    <t>CAME, FAAC, Parktron, MAG  và Tương đương</t>
  </si>
  <si>
    <t>Cảm biến an toàn chống gập barrier</t>
  </si>
  <si>
    <t>CAME / FAAC / Bosch / tđ</t>
  </si>
  <si>
    <t>Vòng từ cho barrier đóng tự động</t>
  </si>
  <si>
    <t>CAME / FAAC / Nortech / tđ</t>
  </si>
  <si>
    <t>Vòng từ chụp ảnh tự động</t>
  </si>
  <si>
    <t>Nút nhấn đóng mở barrier</t>
  </si>
  <si>
    <t>Camera chụp biển số xe</t>
  </si>
  <si>
    <t>Axis, Bosch, Honeywell, i-Pro và Tương đương</t>
  </si>
  <si>
    <t>Gờ giảm tốc</t>
  </si>
  <si>
    <t>Việt Nam / Malaysia</t>
  </si>
  <si>
    <t>Cột lắp camera</t>
  </si>
  <si>
    <t>Việt Nam, thép mạ kẽm sơn tĩnh điện</t>
  </si>
  <si>
    <t>Thẻ mifare cho xe máy và khách vãng lai</t>
  </si>
  <si>
    <t>HID / Mifare ISO 14443A / tđ</t>
  </si>
  <si>
    <t>Thẻ chip cho ô tô đăng ký tháng</t>
  </si>
  <si>
    <t>HID / UHF RFID ISO 18000-6C / tđ</t>
  </si>
  <si>
    <t>Quầy thu vé</t>
  </si>
  <si>
    <t>Việt Nam (SX theo yêu cầu)</t>
  </si>
  <si>
    <t>Bảng báo chỗ đầu hầm</t>
  </si>
  <si>
    <t>Việt Nam / Đài Loan</t>
  </si>
  <si>
    <t>UPS 3 kVA</t>
  </si>
  <si>
    <t>Bộ điều khiển trung tâm CCU</t>
  </si>
  <si>
    <t>IDTECK, MicroEngine, Bosch, HID, Entrypass và Tương đương</t>
  </si>
  <si>
    <t>Bộ điều khiển trung tâm ZCU</t>
  </si>
  <si>
    <t>Bảng led 1 hướng chỉ dẫn báo chỗ trống khu vực</t>
  </si>
  <si>
    <t>Đèn + cảm biến báo trạng thái vị trí đỗ xe</t>
  </si>
  <si>
    <t>Parktron / Nedap / Siemens / tđ</t>
  </si>
  <si>
    <t>Phần mềm quản lý trung tâm</t>
  </si>
  <si>
    <t>Gói</t>
  </si>
  <si>
    <t>Phần mềm quản lý trạm</t>
  </si>
  <si>
    <t>Đầu dò hiển thị Led</t>
  </si>
  <si>
    <t>Parktron / Nedap / tđ</t>
  </si>
  <si>
    <t>Bảng LED chỉ dẫn đỗ xe</t>
  </si>
  <si>
    <t xml:space="preserve">Chi phí kiểm tra và vận hành hệ thống </t>
  </si>
  <si>
    <t>Cáp và ống luồn</t>
  </si>
  <si>
    <t>Cáp UTP CAT6 4P</t>
  </si>
  <si>
    <t>Cáp điện Cu/PVC/PVC 3x2.5mm2</t>
  </si>
  <si>
    <t>Ruột gà D20</t>
  </si>
  <si>
    <t>HỆ THỐNG KÍCH SÓNG DI ĐỘNG</t>
  </si>
  <si>
    <t>Tủ rack</t>
  </si>
  <si>
    <t>Andrew / CommScope / Kathrein / tđ</t>
  </si>
  <si>
    <t>MU</t>
  </si>
  <si>
    <t>POI</t>
  </si>
  <si>
    <t>GSM</t>
  </si>
  <si>
    <t>WCDMA</t>
  </si>
  <si>
    <t>LTE</t>
  </si>
  <si>
    <t>Bộ chia 2 ngõ ra</t>
  </si>
  <si>
    <t>Bộ chia 3 ngõ ra</t>
  </si>
  <si>
    <t>Bộ chia 4 ngõ ra</t>
  </si>
  <si>
    <t>Anten ommi vô hướng</t>
  </si>
  <si>
    <t>Anten định hướng</t>
  </si>
  <si>
    <t>Cáp feeder 7/8</t>
  </si>
  <si>
    <t>Andrew / CommScope / tđ</t>
  </si>
  <si>
    <t>Cáp feeder 1/2</t>
  </si>
  <si>
    <t>HỆ THỐNG QUẢN LÝ TÒA NHÀ BMS</t>
  </si>
  <si>
    <t>Thiết bị trung tâm</t>
  </si>
  <si>
    <t>Máy trạm BMS</t>
  </si>
  <si>
    <t>Máy chủ BMS</t>
  </si>
  <si>
    <t>UPS</t>
  </si>
  <si>
    <t>Switch 24P UTP 10/100/1000Mbps</t>
  </si>
  <si>
    <t>Gatewate BAC IP kết nối PAU/AHU</t>
  </si>
  <si>
    <t>Johnson Controls/ ADFweb, Belimo</t>
  </si>
  <si>
    <t>Gatewate BAC IP kết nối FA</t>
  </si>
  <si>
    <t>Gatewate BAC IP kết nối thang máy</t>
  </si>
  <si>
    <t>Phần mềm giám sát và điều khiển</t>
  </si>
  <si>
    <t>Johnson Controls, Reliable, Schneidler,Siemens, Honeywell</t>
  </si>
  <si>
    <t>Thiết bị giám sát và điều khiển</t>
  </si>
  <si>
    <t>DDC-1.1-H2</t>
  </si>
  <si>
    <t>DDC-1.2-H2</t>
  </si>
  <si>
    <t>DDC-1.3-H2</t>
  </si>
  <si>
    <t>DDC-1.1-H1</t>
  </si>
  <si>
    <t>DDC-1.2-H1</t>
  </si>
  <si>
    <t>DDC-1.3-H1</t>
  </si>
  <si>
    <t>DDC-1.1-T7</t>
  </si>
  <si>
    <t>DDC-1.1-TM</t>
  </si>
  <si>
    <t>DDC-1.2-T5</t>
  </si>
  <si>
    <t>DDC-1.2-TM</t>
  </si>
  <si>
    <t>DDC-1.3-T4</t>
  </si>
  <si>
    <t>DDC-1.3-TM</t>
  </si>
  <si>
    <t>Johnson Controls, Reliable, Schneidler,Siemens, Honeywell, tđ</t>
  </si>
  <si>
    <t>Thiết bị trường</t>
  </si>
  <si>
    <t>Cảnh báo mức nước thải</t>
  </si>
  <si>
    <t>Cảnh báo mức nước 3 mức</t>
  </si>
  <si>
    <t>Cảm biến nhiệt độ phòng</t>
  </si>
  <si>
    <t>Cảm biến nồng độ CO</t>
  </si>
  <si>
    <t>Cảm biến mức dầu</t>
  </si>
  <si>
    <t>Cảm biến áp suất nước</t>
  </si>
  <si>
    <t>Cảm biến áp suất gió</t>
  </si>
  <si>
    <t>Cáp cat6</t>
  </si>
  <si>
    <t>Cáp 18AWG</t>
  </si>
  <si>
    <t xml:space="preserve">Cáp tín hiệu Cu/PVC (2x1.0)mm2 </t>
  </si>
  <si>
    <t xml:space="preserve">Cáp cấp nguồn Cu/PVC/PVC (3x2.5)mm2 </t>
  </si>
  <si>
    <t>THANG MÁNG CÁP ĐIỆN NHẸ</t>
  </si>
  <si>
    <t>Máng cáp 100x100</t>
  </si>
  <si>
    <t>Máng cáp 300x100</t>
  </si>
  <si>
    <t>Thang cáp 200x100</t>
  </si>
  <si>
    <t>Nhà thầu tham khảo chỉ dẫn kỹ thuật, Specs đính kèm HSMT</t>
  </si>
  <si>
    <t>Trung tâm báo cháy 8 loop</t>
  </si>
  <si>
    <t xml:space="preserve"> UL/ FM </t>
  </si>
  <si>
    <t>Simplex, Mircom, Notifier,Siemens</t>
  </si>
  <si>
    <t>Tủ mimic</t>
  </si>
  <si>
    <t>Cần làm rõ lại là tủ cưỡng bức bên hệ cơ hay tủ hiển thị phụ của hệ báo cháy?</t>
  </si>
  <si>
    <t>Tủ điện thoại chữa cháy</t>
  </si>
  <si>
    <t>Máy tính điều khiển, màn hình, Phần mềm quản lý hệ thống báo cháy</t>
  </si>
  <si>
    <t>Cấu hình phù hợp theo phần mềm đồ họa</t>
  </si>
  <si>
    <t>Canon, HP, tđ</t>
  </si>
  <si>
    <t>UPS cho máy tính</t>
  </si>
  <si>
    <t>Vertiv, APC, Santak, tđ</t>
  </si>
  <si>
    <t>Ắc quy dự phòng 24V-10AH</t>
  </si>
  <si>
    <t>Màn hình hiển thị phụ</t>
  </si>
  <si>
    <t>Bộ nguồn phụ 24VDC</t>
  </si>
  <si>
    <t>Module địa chỉ (monitor/control) giao tiếp hệ thống âm thanh thoát hiểm</t>
  </si>
  <si>
    <t>Module địa chỉ (monitor/control) giao tiếp hệ thống an ninh</t>
  </si>
  <si>
    <t>Module địa chỉ (monitor/control) giao tiếp hệ chữa cháy khí</t>
  </si>
  <si>
    <t>Module địa chỉ (monitor/control) giao tiếp CSCC khu vực</t>
  </si>
  <si>
    <t>Đầu báo khói loại địa chỉ</t>
  </si>
  <si>
    <t>FM/UL</t>
  </si>
  <si>
    <t>SD-651 / FSP-851 / tđ</t>
  </si>
  <si>
    <t>Đầu dò khói quang điện có địa chỉ lắp trên trần giả</t>
  </si>
  <si>
    <t>Đầu báo nhiệt gia tăng loại thường</t>
  </si>
  <si>
    <t>UL listed</t>
  </si>
  <si>
    <t>HD-851R / CP355 / tđ</t>
  </si>
  <si>
    <t>Đầu báo cháy nhiệt cố định loại địa chỉ</t>
  </si>
  <si>
    <t>Nút ấn báo cháy loại địa chỉ</t>
  </si>
  <si>
    <t>MCP-851 / BG-12L / tđ</t>
  </si>
  <si>
    <t>Chuông đèn báo cháy loại thường</t>
  </si>
  <si>
    <t>Module địa chỉ (monitor/control) kết nối đầu báo thường</t>
  </si>
  <si>
    <t>Module địa chỉ (monitor/control) điều khiển chuông đèn báo cháy</t>
  </si>
  <si>
    <t>Module cách ly địa chỉ</t>
  </si>
  <si>
    <t>Module địa chỉ (monitor/control) giám sát van</t>
  </si>
  <si>
    <t>Module địa chỉ (monitor/control) giám sát công tắc dòng chảy</t>
  </si>
  <si>
    <t>Module địa chỉ (monitor/control) giám sát van báo động</t>
  </si>
  <si>
    <t>Module địa chỉ (monitor/control) giám sát bơm</t>
  </si>
  <si>
    <t>Module địa chỉ (monitor/control) giám sát mực nước bể chữa cháy</t>
  </si>
  <si>
    <t>Module địa chỉ (monitor/control) giám sát tủ điều khiển xả khí FM200</t>
  </si>
  <si>
    <t>Module địa chỉ (monitor/control) điều khiển van chặn lửa</t>
  </si>
  <si>
    <t>Module địa chỉ (monitor/control) I/O</t>
  </si>
  <si>
    <t>Module địa chỉ (monitor/control) điều khiển cửa sập/ rèm/ cửa cuốn</t>
  </si>
  <si>
    <t>Module địa chỉ (monitor/control) giám sát xả khí bình treo FM200</t>
  </si>
  <si>
    <t>Module địa chỉ (monitor/control) giám sát áp lực bình treo FM200</t>
  </si>
  <si>
    <t>Điện thoại</t>
  </si>
  <si>
    <t>Dây tín hiệu chống cháy, chống nhiễu 2x1mm2</t>
  </si>
  <si>
    <t>Dây cấp nguồn chống cháy 2x1,5mm2</t>
  </si>
  <si>
    <t>Dây điện thoại chống cháy 2x2x0,5mm2</t>
  </si>
  <si>
    <t>Ống PVC D20</t>
  </si>
  <si>
    <t>Nhân công T&amp;C hệ thống và phối hợp với nhà thầu kết nối hệ thống báo cháy với tủ trung tâm (Lập trình, kiểm tra &amp; vận hành, đào tạo .v.v…)</t>
  </si>
  <si>
    <t>Chi phí chống cháy lan ống xuyên sàn, xuyên tường</t>
  </si>
  <si>
    <t>Chi phí kiểm định vật tư thiết bị</t>
  </si>
  <si>
    <t>Chi phí nghiệm thu phòng cháy chữa cháy với cơ quan chức năng</t>
  </si>
  <si>
    <t>HỆ THỐNG PCCC</t>
  </si>
  <si>
    <t>HỆ THỐNG BƠM CHỮA CHÁY</t>
  </si>
  <si>
    <t>Bơm chữa cháy chính FP-B-01, Q=85l/s, H=90 m</t>
  </si>
  <si>
    <t>UL, FM, (QCVN02),NFPA 20</t>
  </si>
  <si>
    <t xml:space="preserve">Wilo/Grundfos/Goulds </t>
  </si>
  <si>
    <t>Bơm chữa cháy chính FP-B-02, Q=85l/s, H=90 m</t>
  </si>
  <si>
    <t>Bơm chữa bù áp JP-B-01, Q=1.5 l/S, H=95m</t>
  </si>
  <si>
    <t>Tủ điều khiển bơm chữa cháy FP-B-01</t>
  </si>
  <si>
    <t>Tủ điều khiển bơm chữa cháy FP-B-02</t>
  </si>
  <si>
    <t>Tủ điều khiển bơm chữa cháy JP-B-01</t>
  </si>
  <si>
    <t>VAN VÀ PHỤ KIỆN</t>
  </si>
  <si>
    <t>Van cổng OS&amp;Y kèm công tắc giám sát</t>
  </si>
  <si>
    <t>Van cổng OS&amp;Y kèm công tắc giám sát DN200</t>
  </si>
  <si>
    <t>Van cổng OS&amp;Y kèm công tắc giám sát DN150</t>
  </si>
  <si>
    <t>Van cổng OS&amp;Y kèm công tắc giám sát DN100</t>
  </si>
  <si>
    <t>Van cổng OS&amp;Y kèm công tắc giám sát DN65</t>
  </si>
  <si>
    <t>Van cổng OS&amp;Y kèm công tắc giám sát DN50</t>
  </si>
  <si>
    <t>Van cổng OS&amp;Y</t>
  </si>
  <si>
    <t>Van cổng OS&amp;Y DN65</t>
  </si>
  <si>
    <t>Cụm van báo động</t>
  </si>
  <si>
    <t>Cụm van báo động DN150</t>
  </si>
  <si>
    <t>UL, FM</t>
  </si>
  <si>
    <t>Victaulic/Tyco/Viking/tđ</t>
  </si>
  <si>
    <t>Cụm van báo động DN100</t>
  </si>
  <si>
    <t>Van cổng DN150</t>
  </si>
  <si>
    <t>Van cổng DN100</t>
  </si>
  <si>
    <t>Van cổng DN25</t>
  </si>
  <si>
    <t>Van 1 chiều DN150</t>
  </si>
  <si>
    <t>Van 1 chiều DN100</t>
  </si>
  <si>
    <t>Van 1 chiều DN15</t>
  </si>
  <si>
    <t>Y lọc DN200</t>
  </si>
  <si>
    <t>Y Lọc DN65</t>
  </si>
  <si>
    <t>Nối mềm</t>
  </si>
  <si>
    <t>Nối mềm DN200</t>
  </si>
  <si>
    <t>Nối mềm DN65</t>
  </si>
  <si>
    <t>Nối mềm DN50</t>
  </si>
  <si>
    <t>Đĩa chống xoáy</t>
  </si>
  <si>
    <t>Đĩa chống xoáy DN200</t>
  </si>
  <si>
    <t>Đĩa chống xoáy DN65</t>
  </si>
  <si>
    <t>Van kiểm tra lưu lượng DN200</t>
  </si>
  <si>
    <t>Van giảm áp DN150</t>
  </si>
  <si>
    <t>Van phao DN100</t>
  </si>
  <si>
    <t>Van bi DN15</t>
  </si>
  <si>
    <t>Van xả khí tự động DN15 kèm van bi</t>
  </si>
  <si>
    <t>Đồng hồ áp suất kèm van bi DN15, 0-16 bar, mặt φ100mm, UL Listed</t>
  </si>
  <si>
    <t>Công tắc áp suất</t>
  </si>
  <si>
    <t>Công tắc mực nước</t>
  </si>
  <si>
    <t>Lưu lượng kế</t>
  </si>
  <si>
    <t>Bình tích áp 100L</t>
  </si>
  <si>
    <t>Cụm van giám sát tầng, cụm van xả</t>
  </si>
  <si>
    <t>Cụm van giám sát tầng DN150 (bao gồm van cổng có công tắc giám sát điện, van 1 chiều, công tắc dòng chảy, đồng hồ áp lực, và các vật tư hoàn thiện theo chi tiết thiết kế)</t>
  </si>
  <si>
    <t>Cụm van giám sát tầng DN100 (bao gồm van cổng có công tắc giám sát điện, van 1 chiều, công tắc dòng chảy, đồng hồ áp lực, và các vật tư hoàn thiện theo chi tiết thiết kế)</t>
  </si>
  <si>
    <t>Cụm van giám sát tầng DN80 (bao gồm van cổng có công tắc giám sát điện, van 1 chiều, công tắc dòng chảy, đồng hồ áp lực, và các vật tư hoàn thiện theo chi tiết thiết kế)</t>
  </si>
  <si>
    <t>Cụm van xả DN25 (bao gồm van cổng, mắt thăm, và các vật tư hoàn thiện theo chi tiết thiết kế)</t>
  </si>
  <si>
    <t>THIẾT BỊ CHỮA CHÁY</t>
  </si>
  <si>
    <t>Trụ tiếp nước khô 2 ngã DN100</t>
  </si>
  <si>
    <t>AE/PROTEC/Joongang/ Amerex</t>
  </si>
  <si>
    <t>Trụ tiếp nước khô 4 ngã DN150</t>
  </si>
  <si>
    <t>Trụ chữa cháy 3 ngã DN100</t>
  </si>
  <si>
    <t>Van góc chữa cháy họng khô DN65</t>
  </si>
  <si>
    <t>Tủ chữa cháy cho hầm xe FH-1
+ 02 van góc DN65 kèm chức năng giảm áp
+ 04 cuộn vòi và khớp nối DN65-20m
+ 02 lăng phun DN65-19mm
+ 03 bình chữa cháy ABC-8Kg</t>
  </si>
  <si>
    <t>tủ</t>
  </si>
  <si>
    <t>Tủ chữa cháy cho phần nổi FH2
+ 02 van góc DN50 kèm chức năng giảm áp
+ 02 cuộn vòi và khớp nối DN50-20m
+ 02 lăng phun DN50-13mm
+ 03 bình chữa cháy ABC-8Kg</t>
  </si>
  <si>
    <t>Tủ chữa cháy cho phần nổi - ngoài nhà FH3 (Tủ inox)
+ 02 van góc DN50 kèm chức năng giảm áp
+ 02 cuộn vòi và khớp nối DN50-20m
+ 01 lăng phun DN50-13mm</t>
  </si>
  <si>
    <t>Tủ chữa cháy FH4
+ 02 bình chữa cháy ABC 8kg 650x500x200mm, inox 304 hoặc thép sơn đỏ</t>
  </si>
  <si>
    <t>Bình chữa cháy ABC 8kg kèm kệ đựng bình</t>
  </si>
  <si>
    <t xml:space="preserve">Đầu sprinkler hướng xuống K=5.6, T=68°C, </t>
  </si>
  <si>
    <t>UL/FM</t>
  </si>
  <si>
    <t xml:space="preserve"> Fesco,Viking,Reliable, AG Sprinkler, Tyco</t>
  </si>
  <si>
    <t>Đầu sprinkler hướng xuống K=5.6, T=68°C, bao gồm nắp chụp</t>
  </si>
  <si>
    <t>Đầu sprinkler hướng lên K=8, T=68°C</t>
  </si>
  <si>
    <t>Đầu sprinkler hướng xuống K=8, T=68°C, bao gồm nắp chụp</t>
  </si>
  <si>
    <t>Đầu sprinkler hướng ngang K=5.6, T=68°C</t>
  </si>
  <si>
    <t>Ống mềm nối đầu phun L=700~1200mm, kèm thanh đỡ và kẹp trần</t>
  </si>
  <si>
    <t>Fesco, Viking, JoongAng</t>
  </si>
  <si>
    <t>Tạm tính vị trí tầng khu Spa, Hồ bơi (tầng 3,4)</t>
  </si>
  <si>
    <t>ỐNG THÉP CHỮA CHÁY</t>
  </si>
  <si>
    <t>BS 1387:1985 - Medium</t>
  </si>
  <si>
    <t>Ống thép đen Sch40 DN150, mạ kẽm nhúng nóng, SCH40 (TCVN 3600)</t>
  </si>
  <si>
    <t>Hoa Phat / SeAh / Viet Duc / Hoa Sen</t>
  </si>
  <si>
    <t>Ống thép đen Sch40 DN100, mạ kẽm nhúng nóng, SCH40 (TCVN 3600)</t>
  </si>
  <si>
    <t>Ống thép đen Sch40 DN80, mạ kẽm nhúng nóng, SCH40 (TCVN 3600)</t>
  </si>
  <si>
    <t>Ống thép đen Sch40 DN65, mạ kẽm nhúng nóng, SCH40 (TCVN 3600)</t>
  </si>
  <si>
    <t>Ống thép đen Sch40 DN50, mạ kẽm nhúng nóng, SCH40 (TCVN 3600)</t>
  </si>
  <si>
    <t>Ống thép đen Sch40 DN40, mạ kẽm nhúng nóng, SCH40 (TCVN 3600)</t>
  </si>
  <si>
    <t>Ống thép đen Sch40 DN32, mạ kẽm nhúng nóng, SCH40 (TCVN 3600)</t>
  </si>
  <si>
    <t>Ống thép đen Sch40 DN25, mạ kẽm nhúng nóng, SCH40 (TCVN 3600)</t>
  </si>
  <si>
    <t>Phụ kiện đường ống ( Côn, Tê, Cút, nối….)</t>
  </si>
  <si>
    <t>Sơn chống gỉ,  Sơn hoàn thiện ống thép chữa cháy</t>
  </si>
  <si>
    <t xml:space="preserve">Vật liệu phụ lắp đặt, hoàn thiện hệ thống (đay, băng tan, oxy, bulong, ecu. Zoăng cao su  …), ty ren, giá đỡ,thép U100 treo ống là loại mạ kẽm </t>
  </si>
  <si>
    <t>HỆ THỐNG CHỮA CHÁY KHÍ (NHÀ THẦU KIỂM TRA THIẾT KẾ VÀ BỔ SUNG ĐẦY ĐỦ THIẾT BỊ CỦA HỆ THỐNG)</t>
  </si>
  <si>
    <t>BỔ SUNG CHỈ DẪN KỸ THUẬT</t>
  </si>
  <si>
    <t>Hệ thống xả khí</t>
  </si>
  <si>
    <t>Bình chữa cháy khí tự động FM200 180L -42bar nạp 152kg</t>
  </si>
  <si>
    <t>UL,FM</t>
  </si>
  <si>
    <t>AVENGER /S-TEC VINA/tđ</t>
  </si>
  <si>
    <t>bình</t>
  </si>
  <si>
    <t>Bình chữa cháy khí tự động FM200 180L -42bar nạp 135kg</t>
  </si>
  <si>
    <t>Bình chữa cháy khí tự động FM200 140L -42bar nạp 106kg</t>
  </si>
  <si>
    <t>Bình chữa cháy khí tự động FM200 100L -42bar nạp 98kg</t>
  </si>
  <si>
    <t>Bình chữa cháy khí tự động FM200 100L -42bar nạp 93kg</t>
  </si>
  <si>
    <t>Bình chữa cháy khí tự động FM200 80L -42bar nạp 59kg
bao gồm van đầu bình và đồng hồ hiển thị áp lực.</t>
  </si>
  <si>
    <t>Bình chữa cháy khí tự động FM200 80L -42bar nạp 51kg</t>
  </si>
  <si>
    <t>Bình chữa cháy khí tự động FM200 50L -42bar nạp 44kg</t>
  </si>
  <si>
    <t>Bình chữa cháy khí tự động FM200 SMS 15L -25 bar</t>
  </si>
  <si>
    <t>Bình chữa cháy khí tự động FM200 SMS 8L - 25 bar</t>
  </si>
  <si>
    <t>Đầu phun xả khí 360°</t>
  </si>
  <si>
    <t>Đầu xả khí tại bình</t>
  </si>
  <si>
    <t>Đồng hồ áp lực kèm tiếp điểm giám sát</t>
  </si>
  <si>
    <t>Bầu thủy tinh cảm biến nhiệt loại phản ứng nhanh</t>
  </si>
  <si>
    <t>Ống đồng kết nối</t>
  </si>
  <si>
    <t>Công tắc áp lực xả khí</t>
  </si>
  <si>
    <t>Bộ kích hoạt bằng áp lực</t>
  </si>
  <si>
    <t>Hộp tín hiệu kết nối hệ thống báo cháy</t>
  </si>
  <si>
    <t>Cửa xả áp 570x570 mm</t>
  </si>
  <si>
    <t>Cửa xả áp 370x370 mm</t>
  </si>
  <si>
    <t>Cửa xả áp 270x270 mm</t>
  </si>
  <si>
    <t>Hệ thống điều khiển</t>
  </si>
  <si>
    <t>Tủ điện xả khí loại thường -1 khu vực</t>
  </si>
  <si>
    <t xml:space="preserve">Simplex, Microm, Notifier </t>
  </si>
  <si>
    <t>Đầu báo khói loại thường</t>
  </si>
  <si>
    <t>Simplex, Microm,  System Sensor</t>
  </si>
  <si>
    <t>Đầu báo nhiệt loại nhiệt độ cao</t>
  </si>
  <si>
    <t>Điện trở cuối nguồn</t>
  </si>
  <si>
    <t xml:space="preserve">EOL /  / </t>
  </si>
  <si>
    <t>Nút ấn kích hoạt xả khí</t>
  </si>
  <si>
    <t>Nút ấn trì hoãn xả khí</t>
  </si>
  <si>
    <t>Còi đèn báo xả khí</t>
  </si>
  <si>
    <t>Simplex, Microm,/ System Sensor / Mexico</t>
  </si>
  <si>
    <t>Bảng đèn cảnh báo xả khí</t>
  </si>
  <si>
    <t>Stec-Vina, GAS DISCHARGE (D-110L) / DEMCO / MY</t>
  </si>
  <si>
    <t>Bảng đèn cảnh báo di tản</t>
  </si>
  <si>
    <t>Stec-Vina, EVACUATE (D-110L) / DEMCO / MY</t>
  </si>
  <si>
    <t>Đèn mắt chiếu sáng khẩn</t>
  </si>
  <si>
    <t>Công tắc áp suất đường ống</t>
  </si>
  <si>
    <t>Dây tín hiệu báo cháy 2x1.0mm2 chống nhiễu chống cháy tối thiểu 30 phút</t>
  </si>
  <si>
    <t>Chi phí thử nghiệm và vận hành</t>
  </si>
  <si>
    <t>Nội dung</t>
  </si>
  <si>
    <t>Spec</t>
  </si>
  <si>
    <t>Đề xuất</t>
  </si>
  <si>
    <t>Lý do</t>
  </si>
  <si>
    <t>ĐIỀU HÒA KHÔNG KHÍ VÀ THÔNG GIÓ</t>
  </si>
  <si>
    <t>Hệ thống hút khói sự cố</t>
  </si>
  <si>
    <t>Van 1 chiều, VCD, MFD, Miệng gió…</t>
  </si>
  <si>
    <t>NSCA, Evegreen, Swind, tđ
(ĐC: Belimo, Johnson Controls, tđ)</t>
  </si>
  <si>
    <t>Các vật tư như van 1 chiều, VCD, MFD đều ở chỗ khuất không liên quan thẩm mỹ. Ngoài ra đây là hệ thống công cộng nên dùng thương hiệu nhập khẩu như ASLI, Trox, Ruskin Titus sẽ chi phí rất cao. Đề xuất dùng các thương hiệu thông dụng trong nước</t>
  </si>
  <si>
    <t>Hệ thống tăng áp</t>
  </si>
  <si>
    <t>Căn hộ</t>
  </si>
  <si>
    <t>Van 1 chiều, VCD, MFD…</t>
  </si>
  <si>
    <t>Cửa gió</t>
  </si>
  <si>
    <t>Điều hòa khu công cộng</t>
  </si>
  <si>
    <t>Miêng gió điều hòa</t>
  </si>
  <si>
    <t>Ống gió, phụ kiện ống gió</t>
  </si>
  <si>
    <t>Ống gió trong nhà</t>
  </si>
  <si>
    <t>Tôn mạ kẽm AZ150</t>
  </si>
  <si>
    <t>Tôn mạ kẽm Z12 (JIS)</t>
  </si>
  <si>
    <t>Đề xuất dùng Z12 giống nhà mẫu (G6)</t>
  </si>
  <si>
    <t>LỌC</t>
  </si>
  <si>
    <t>QUẠT</t>
  </si>
  <si>
    <t>VTP</t>
  </si>
  <si>
    <t>CĐT cấp - PAU</t>
  </si>
  <si>
    <t>OGM</t>
  </si>
  <si>
    <t>Điện</t>
  </si>
  <si>
    <t>CĐT cấp - Dàn nóng</t>
  </si>
  <si>
    <t>CĐT cấp - Dàn lạnh</t>
  </si>
  <si>
    <t>CĐT cấp - cục bộ</t>
  </si>
  <si>
    <t>Cách nhiệt</t>
  </si>
  <si>
    <t>OD</t>
  </si>
  <si>
    <t>CNOD</t>
  </si>
  <si>
    <t>CĐT cấp</t>
  </si>
  <si>
    <t>GAS</t>
  </si>
  <si>
    <t>NN</t>
  </si>
  <si>
    <t>CNNN</t>
  </si>
  <si>
    <t>TRUNKING</t>
  </si>
  <si>
    <t>M - CĂN HỘ</t>
  </si>
  <si>
    <t>Tiêu âm trong dày 25mm</t>
  </si>
  <si>
    <t>KS bổ sung</t>
  </si>
  <si>
    <t>Dày 0.81mm</t>
  </si>
  <si>
    <t>Dày 0.99mm</t>
  </si>
  <si>
    <t>Dày 1.07mm</t>
  </si>
  <si>
    <t>Dày 1.14mm</t>
  </si>
  <si>
    <t>Dày 1.27mm</t>
  </si>
  <si>
    <t>Dày 20mm</t>
  </si>
  <si>
    <t>Dày 25mm</t>
  </si>
  <si>
    <t>R410A báo 1 bình</t>
  </si>
  <si>
    <t>Tối thiểu PN10</t>
  </si>
  <si>
    <t>Cách nhiệt dày 15mm</t>
  </si>
  <si>
    <t>Cách nhiệt dày 20mm</t>
  </si>
  <si>
    <t>Tiêu âm</t>
  </si>
  <si>
    <t>Tiêu chuẩn theo DW/144 và BS 476 Phần 7 và UL181</t>
  </si>
  <si>
    <t>Tiêu chuẩn theo DW/144 và BS 476 Phần 7 và UL181
Dày 25mm, tỷ trọng 24kg/m3</t>
  </si>
  <si>
    <t>CANVAS</t>
  </si>
  <si>
    <t>Canvas loại chống cháy cho quạt TAHK</t>
  </si>
  <si>
    <t>D1000, L=200mm</t>
  </si>
  <si>
    <t>D900, L=200mm</t>
  </si>
  <si>
    <t>D800, L=200mm</t>
  </si>
  <si>
    <t>D710, L=200mm</t>
  </si>
  <si>
    <t>D560, L=200mm</t>
  </si>
  <si>
    <t>Canvas loại thường cho quạt thông gió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</si>
</sst>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_(* \(#,##0\);_(* &quot;-&quot;??_);_(@_)"/>
    <numFmt numFmtId="165" formatCode="_([$€-2]* #,##0.00_);_([$€-2]* \(#,##0.00\);_([$€-2]* &quot;-&quot;??_)"/>
    <numFmt numFmtId="166" formatCode="[Black]\ #,##0_);[Red]\(#,##0\);&quot;zero&quot;;[Black]@"/>
  </numFmts>
  <fonts count="63">
    <font>
      <sz val="11"/>
      <color theme="1"/>
      <name val="Calibri"/>
      <charset val="134"/>
      <scheme val="minor"/>
    </font>
    <font>
      <sz val="10"/>
      <color rgb="FF002060"/>
      <name val="Arial"/>
      <family val="2"/>
    </font>
    <font>
      <sz val="10"/>
      <color theme="1"/>
      <name val="Arial"/>
      <family val="2"/>
    </font>
    <font>
      <b/>
      <sz val="10"/>
      <color rgb="FF002060"/>
      <name val="Arial"/>
      <family val="2"/>
    </font>
    <font>
      <b/>
      <sz val="10"/>
      <color theme="1"/>
      <name val="Arial"/>
      <family val="2"/>
    </font>
    <font>
      <b/>
      <sz val="10"/>
      <name val="Arial"/>
      <family val="2"/>
    </font>
    <font>
      <b/>
      <sz val="10"/>
      <color theme="0"/>
      <name val="Arial"/>
      <family val="2"/>
    </font>
    <font>
      <sz val="10"/>
      <name val="Arial"/>
      <family val="2"/>
    </font>
    <font>
      <sz val="10"/>
      <color theme="0"/>
      <name val="Arial"/>
      <family val="2"/>
    </font>
    <font>
      <b/>
      <sz val="12"/>
      <color rgb="FF002060"/>
      <name val="Arial"/>
      <family val="2"/>
    </font>
    <font>
      <b/>
      <sz val="14"/>
      <color theme="4" tint="-0.499984740745262"/>
      <name val="Arial"/>
      <family val="2"/>
    </font>
    <font>
      <sz val="11"/>
      <color rgb="FF002060"/>
      <name val="Calibri"/>
      <family val="2"/>
      <scheme val="minor"/>
    </font>
    <font>
      <b/>
      <sz val="11"/>
      <color theme="4" tint="-0.499984740745262"/>
      <name val="Arial"/>
      <family val="2"/>
    </font>
    <font>
      <b/>
      <sz val="10"/>
      <color rgb="FF0070C0"/>
      <name val="Arial"/>
      <family val="2"/>
    </font>
    <font>
      <b/>
      <sz val="10"/>
      <color theme="0" tint="-0.499984740745262"/>
      <name val="Arial"/>
      <family val="2"/>
    </font>
    <font>
      <i/>
      <sz val="10"/>
      <name val="Arial"/>
      <family val="2"/>
    </font>
    <font>
      <b/>
      <i/>
      <sz val="10"/>
      <color rgb="FF0070C0"/>
      <name val="Arial"/>
      <family val="2"/>
    </font>
    <font>
      <sz val="9"/>
      <name val="Arial"/>
      <family val="2"/>
    </font>
    <font>
      <b/>
      <sz val="10"/>
      <color indexed="8"/>
      <name val="Arial"/>
      <family val="2"/>
    </font>
    <font>
      <u/>
      <sz val="10"/>
      <color rgb="FF002060"/>
      <name val="Arial"/>
      <family val="2"/>
    </font>
    <font>
      <b/>
      <u/>
      <sz val="10"/>
      <color rgb="FF002060"/>
      <name val="Arial"/>
      <family val="2"/>
    </font>
    <font>
      <sz val="11"/>
      <name val="Calibri"/>
      <family val="2"/>
      <scheme val="minor"/>
    </font>
    <font>
      <sz val="12"/>
      <color theme="1"/>
      <name val="Arial"/>
      <family val="2"/>
    </font>
    <font>
      <b/>
      <u/>
      <sz val="12"/>
      <color rgb="FF002060"/>
      <name val="Arial"/>
      <family val="2"/>
    </font>
    <font>
      <b/>
      <u/>
      <sz val="14"/>
      <color rgb="FF002060"/>
      <name val="Arial"/>
      <family val="2"/>
    </font>
    <font>
      <sz val="12"/>
      <color rgb="FF002060"/>
      <name val="Arial"/>
      <family val="2"/>
    </font>
    <font>
      <b/>
      <u/>
      <sz val="12"/>
      <color theme="1"/>
      <name val="Arial"/>
      <family val="2"/>
    </font>
    <font>
      <b/>
      <sz val="12"/>
      <color theme="0"/>
      <name val="Arial"/>
      <family val="2"/>
    </font>
    <font>
      <b/>
      <i/>
      <sz val="10"/>
      <color rgb="FF002060"/>
      <name val="Arial"/>
      <family val="2"/>
    </font>
    <font>
      <i/>
      <sz val="10"/>
      <color rgb="FF002060"/>
      <name val="Arial"/>
      <family val="2"/>
    </font>
    <font>
      <sz val="11"/>
      <color indexed="8"/>
      <name val="Calibri"/>
      <family val="2"/>
    </font>
    <font>
      <sz val="11"/>
      <color indexed="8"/>
      <name val="新細明體"/>
      <charset val="136"/>
    </font>
    <font>
      <sz val="12"/>
      <name val="Calibri"/>
      <family val="2"/>
    </font>
    <font>
      <sz val="10"/>
      <name val="VNI-Times"/>
    </font>
    <font>
      <sz val="11"/>
      <color theme="1"/>
      <name val="Calibri"/>
      <family val="2"/>
    </font>
    <font>
      <sz val="12"/>
      <name val="Times New Roman"/>
      <family val="1"/>
    </font>
    <font>
      <sz val="11"/>
      <name val="Calibri"/>
      <family val="2"/>
    </font>
    <font>
      <sz val="12"/>
      <color indexed="8"/>
      <name val="Times New Roman"/>
      <family val="1"/>
    </font>
    <font>
      <sz val="8.25"/>
      <name val="Microsoft Sans Serif"/>
      <family val="2"/>
    </font>
    <font>
      <sz val="11"/>
      <name val="ＭＳ Ｐゴシック"/>
      <charset val="128"/>
    </font>
    <font>
      <sz val="10"/>
      <color rgb="FF000000"/>
      <name val="Times New Roman"/>
      <family val="1"/>
    </font>
    <font>
      <sz val="11"/>
      <color theme="1"/>
      <name val="Calibri"/>
      <family val="2"/>
      <scheme val="minor"/>
    </font>
    <font>
      <sz val="12"/>
      <name val="宋体"/>
      <charset val="134"/>
    </font>
    <font>
      <sz val="11"/>
      <name val="돋움"/>
      <charset val="134"/>
    </font>
    <font>
      <sz val="12"/>
      <color theme="1"/>
      <name val="Calibri"/>
      <family val="2"/>
      <scheme val="minor"/>
    </font>
    <font>
      <b/>
      <sz val="10"/>
      <name val="Times New Roman"/>
      <family val="1"/>
    </font>
    <font>
      <sz val="10"/>
      <name val="Times New Roman"/>
      <family val="1"/>
    </font>
    <font>
      <b/>
      <sz val="14"/>
      <name val="Times New Roman"/>
      <family val="1"/>
    </font>
    <font>
      <sz val="16"/>
      <name val="Times New Roman"/>
      <family val="1"/>
    </font>
    <font>
      <b/>
      <u/>
      <sz val="10"/>
      <name val="Times New Roman"/>
      <family val="1"/>
    </font>
    <font>
      <b/>
      <sz val="11"/>
      <color theme="1"/>
      <name val="Times New Roman"/>
      <family val="1"/>
    </font>
    <font>
      <sz val="11"/>
      <color theme="1"/>
      <name val="Times New Roman"/>
      <family val="1"/>
    </font>
    <font>
      <sz val="11"/>
      <color rgb="FFFF0000"/>
      <name val="Times New Roman"/>
      <family val="1"/>
    </font>
    <font>
      <sz val="11"/>
      <name val="Times New Roman"/>
      <family val="1"/>
    </font>
    <font>
      <b/>
      <sz val="12"/>
      <name val="Times New Roman"/>
      <family val="1"/>
    </font>
    <font>
      <b/>
      <u/>
      <sz val="12"/>
      <name val="Times New Roman"/>
      <family val="1"/>
    </font>
    <font>
      <u/>
      <sz val="12"/>
      <name val="Times New Roman"/>
      <family val="1"/>
    </font>
    <font>
      <b/>
      <sz val="11"/>
      <name val="Times New Roman"/>
      <family val="1"/>
    </font>
    <font>
      <b/>
      <u/>
      <sz val="11"/>
      <name val="Times New Roman"/>
      <family val="1"/>
    </font>
    <font>
      <u/>
      <sz val="11"/>
      <name val="Times New Roman"/>
      <family val="1"/>
    </font>
    <font>
      <strike/>
      <sz val="11"/>
      <name val="Times New Roman"/>
      <family val="1"/>
    </font>
    <font>
      <sz val="10"/>
      <color rgb="FFFF0000"/>
      <name val="Arial"/>
      <family val="2"/>
    </font>
    <font>
      <sz val="10"/>
      <color rgb="FFFF0000"/>
      <name val="Times New Roman"/>
      <family val="1"/>
    </font>
  </fonts>
  <fills count="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3"/>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000"/>
        <bgColor indexed="64"/>
      </patternFill>
    </fill>
  </fills>
  <borders count="27">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lignment vertical="center"/>
    </xf>
    <xf numFmtId="43" fontId="33" fillId="0" borderId="0"/>
    <xf numFmtId="43" fontId="34" fillId="0" borderId="0"/>
    <xf numFmtId="43" fontId="35" fillId="0" borderId="0">
      <alignment vertical="center"/>
    </xf>
    <xf numFmtId="43" fontId="7" fillId="0" borderId="0"/>
    <xf numFmtId="43" fontId="36" fillId="0" borderId="0"/>
    <xf numFmtId="43" fontId="41" fillId="0" borderId="0"/>
    <xf numFmtId="43" fontId="37" fillId="0" borderId="0"/>
    <xf numFmtId="0" fontId="7" fillId="0" borderId="0">
      <alignment vertical="top" wrapText="1"/>
    </xf>
    <xf numFmtId="0" fontId="7" fillId="0" borderId="0"/>
    <xf numFmtId="0" fontId="7" fillId="0" borderId="0"/>
    <xf numFmtId="0" fontId="7" fillId="0" borderId="0"/>
    <xf numFmtId="0" fontId="38" fillId="0" borderId="0">
      <protection locked="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protection locked="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77">
    <xf numFmtId="0" fontId="0" fillId="0" borderId="0" xfId="0"/>
    <xf numFmtId="0" fontId="1" fillId="0" borderId="0" xfId="0" applyFont="1" applyAlignment="1">
      <alignment vertical="top"/>
    </xf>
    <xf numFmtId="0" fontId="2" fillId="0" borderId="0" xfId="0" applyFont="1" applyAlignment="1">
      <alignment vertical="top"/>
    </xf>
    <xf numFmtId="164" fontId="2" fillId="0" borderId="0" xfId="1" applyNumberFormat="1" applyFont="1" applyAlignment="1">
      <alignment vertical="top"/>
    </xf>
    <xf numFmtId="0" fontId="3" fillId="0" borderId="0" xfId="0" applyFont="1" applyAlignment="1">
      <alignment vertical="top"/>
    </xf>
    <xf numFmtId="0" fontId="4" fillId="0" borderId="0" xfId="0" applyFont="1" applyAlignment="1">
      <alignment vertical="top"/>
    </xf>
    <xf numFmtId="0" fontId="1" fillId="0" borderId="1" xfId="0" applyFont="1" applyBorder="1" applyAlignment="1">
      <alignment horizontal="center" vertical="center" wrapText="1"/>
    </xf>
    <xf numFmtId="164" fontId="1" fillId="0" borderId="0" xfId="1" applyNumberFormat="1" applyFont="1" applyAlignment="1">
      <alignment vertical="top"/>
    </xf>
    <xf numFmtId="0" fontId="3" fillId="0" borderId="1" xfId="0" applyFont="1" applyBorder="1" applyAlignment="1">
      <alignment horizontal="center" vertical="center" wrapText="1"/>
    </xf>
    <xf numFmtId="0" fontId="9" fillId="0" borderId="1" xfId="0" applyFont="1" applyBorder="1" applyAlignment="1">
      <alignment horizontal="center" vertical="center" wrapText="1"/>
    </xf>
    <xf numFmtId="164" fontId="4" fillId="0" borderId="0" xfId="1" applyNumberFormat="1" applyFont="1" applyAlignment="1">
      <alignment vertical="top"/>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3" fillId="0" borderId="0" xfId="40" applyFont="1" applyAlignment="1">
      <alignment horizontal="left" vertical="center"/>
    </xf>
    <xf numFmtId="0" fontId="3" fillId="0" borderId="0" xfId="27" applyFont="1" applyAlignment="1">
      <alignment vertical="center" wrapText="1"/>
    </xf>
    <xf numFmtId="0" fontId="5" fillId="0" borderId="0" xfId="27" applyFont="1" applyAlignment="1">
      <alignment vertical="center"/>
    </xf>
    <xf numFmtId="0" fontId="10" fillId="0" borderId="0" xfId="35" applyFont="1" applyAlignment="1">
      <alignment vertical="center"/>
    </xf>
    <xf numFmtId="0" fontId="7" fillId="0" borderId="0" xfId="27" applyAlignment="1">
      <alignment horizontal="right" vertical="center"/>
    </xf>
    <xf numFmtId="0" fontId="3" fillId="3" borderId="0" xfId="0" applyFont="1" applyFill="1" applyAlignment="1">
      <alignment horizontal="left" vertical="center"/>
    </xf>
    <xf numFmtId="0" fontId="5" fillId="0" borderId="0" xfId="27" applyFont="1" applyAlignment="1">
      <alignment horizontal="center" vertical="center"/>
    </xf>
    <xf numFmtId="164" fontId="4" fillId="0" borderId="0" xfId="1" applyNumberFormat="1" applyFont="1" applyAlignment="1">
      <alignment horizontal="right" vertical="center"/>
    </xf>
    <xf numFmtId="0" fontId="11" fillId="0" borderId="0" xfId="0" applyFont="1" applyAlignment="1">
      <alignment vertical="center"/>
    </xf>
    <xf numFmtId="0" fontId="12" fillId="0" borderId="0" xfId="35" applyFont="1" applyAlignment="1">
      <alignment vertical="center"/>
    </xf>
    <xf numFmtId="164" fontId="2" fillId="0" borderId="0" xfId="1" applyNumberFormat="1" applyFont="1" applyAlignment="1">
      <alignment horizontal="right" vertical="center"/>
    </xf>
    <xf numFmtId="0" fontId="13" fillId="0" borderId="0" xfId="0" applyFont="1" applyAlignment="1">
      <alignment horizontal="left" vertical="center"/>
    </xf>
    <xf numFmtId="0" fontId="14" fillId="0" borderId="0" xfId="0" applyFont="1" applyAlignment="1">
      <alignment horizontal="left" vertical="center"/>
    </xf>
    <xf numFmtId="0" fontId="7" fillId="0" borderId="0" xfId="0" applyFont="1" applyAlignment="1">
      <alignment horizontal="center" vertical="center" wrapText="1"/>
    </xf>
    <xf numFmtId="0" fontId="15" fillId="0" borderId="0" xfId="0" applyFont="1" applyAlignment="1">
      <alignment horizontal="left" vertical="center" wrapText="1"/>
    </xf>
    <xf numFmtId="164" fontId="14" fillId="0" borderId="0" xfId="2" applyNumberFormat="1" applyFont="1" applyAlignment="1" applyProtection="1">
      <alignment horizontal="right" vertical="center"/>
      <protection locked="0"/>
    </xf>
    <xf numFmtId="165" fontId="6" fillId="2" borderId="4" xfId="34" applyFont="1" applyFill="1" applyBorder="1" applyAlignment="1">
      <alignment horizontal="center" vertical="center"/>
    </xf>
    <xf numFmtId="165" fontId="6" fillId="2" borderId="4" xfId="34" applyFont="1" applyFill="1" applyBorder="1" applyAlignment="1">
      <alignment horizontal="center" vertical="center" wrapText="1"/>
    </xf>
    <xf numFmtId="165" fontId="6" fillId="2" borderId="5" xfId="34" applyFont="1" applyFill="1" applyBorder="1" applyAlignment="1">
      <alignment horizontal="center" vertical="center"/>
    </xf>
    <xf numFmtId="165" fontId="6" fillId="2" borderId="5" xfId="34" applyFont="1" applyFill="1" applyBorder="1" applyAlignment="1">
      <alignment horizontal="center" vertical="center" wrapText="1"/>
    </xf>
    <xf numFmtId="165" fontId="16" fillId="0" borderId="6" xfId="34" applyFont="1" applyBorder="1" applyAlignment="1">
      <alignment horizontal="center" vertical="center"/>
    </xf>
    <xf numFmtId="165" fontId="16" fillId="0" borderId="7" xfId="34" applyFont="1" applyBorder="1" applyAlignment="1">
      <alignment horizontal="center" vertical="center" wrapText="1"/>
    </xf>
    <xf numFmtId="165" fontId="16" fillId="0" borderId="8" xfId="34" applyFont="1" applyBorder="1" applyAlignment="1">
      <alignment horizontal="center" vertical="center"/>
    </xf>
    <xf numFmtId="9" fontId="17" fillId="0" borderId="9" xfId="45" applyFont="1" applyBorder="1" applyAlignment="1">
      <alignment horizontal="center" vertical="center" wrapText="1"/>
    </xf>
    <xf numFmtId="0" fontId="18" fillId="0" borderId="9" xfId="40" applyFont="1" applyBorder="1" applyAlignment="1">
      <alignment horizontal="center" vertical="center" wrapText="1"/>
    </xf>
    <xf numFmtId="0" fontId="1" fillId="4" borderId="10" xfId="0" applyFont="1" applyFill="1" applyBorder="1" applyAlignment="1">
      <alignment horizontal="center" vertical="center"/>
    </xf>
    <xf numFmtId="0" fontId="3" fillId="4" borderId="11" xfId="0" applyFont="1" applyFill="1" applyBorder="1" applyAlignment="1">
      <alignment horizontal="left" vertical="center" wrapText="1"/>
    </xf>
    <xf numFmtId="0" fontId="3" fillId="4" borderId="12" xfId="0" applyFont="1" applyFill="1" applyBorder="1" applyAlignment="1">
      <alignment horizontal="center" vertical="center" wrapText="1"/>
    </xf>
    <xf numFmtId="0" fontId="3" fillId="4" borderId="13" xfId="0" applyFont="1" applyFill="1" applyBorder="1" applyAlignment="1">
      <alignment horizontal="center" vertical="center" wrapText="1"/>
    </xf>
    <xf numFmtId="164" fontId="3" fillId="4" borderId="1" xfId="0" applyNumberFormat="1" applyFont="1" applyFill="1" applyBorder="1" applyAlignment="1">
      <alignment vertical="center"/>
    </xf>
    <xf numFmtId="166" fontId="1" fillId="4" borderId="13" xfId="2" applyNumberFormat="1" applyFont="1" applyFill="1" applyBorder="1" applyAlignment="1" applyProtection="1">
      <alignment horizontal="center" vertical="center"/>
      <protection locked="0"/>
    </xf>
    <xf numFmtId="0" fontId="1" fillId="0" borderId="10" xfId="0" applyFont="1" applyBorder="1" applyAlignment="1">
      <alignment horizontal="center" vertical="center"/>
    </xf>
    <xf numFmtId="0" fontId="3" fillId="0" borderId="11" xfId="0" applyFont="1" applyBorder="1" applyAlignment="1">
      <alignment horizontal="left"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166" fontId="3" fillId="0" borderId="13" xfId="0" applyNumberFormat="1" applyFont="1" applyBorder="1" applyAlignment="1">
      <alignment horizontal="left" vertical="center" wrapText="1"/>
    </xf>
    <xf numFmtId="166" fontId="1" fillId="0" borderId="13" xfId="2" applyNumberFormat="1" applyFont="1" applyBorder="1" applyAlignment="1" applyProtection="1">
      <alignment horizontal="center" vertical="center"/>
      <protection locked="0"/>
    </xf>
    <xf numFmtId="0" fontId="1" fillId="0" borderId="14" xfId="0" applyFont="1" applyBorder="1" applyAlignment="1">
      <alignment horizontal="center" vertical="center"/>
    </xf>
    <xf numFmtId="0" fontId="1" fillId="0" borderId="15" xfId="0" applyFont="1" applyBorder="1" applyAlignment="1">
      <alignment horizontal="left" vertical="center" wrapText="1"/>
    </xf>
    <xf numFmtId="0" fontId="1" fillId="0" borderId="16" xfId="0" applyFont="1" applyBorder="1" applyAlignment="1">
      <alignment horizontal="center" vertical="center" wrapText="1"/>
    </xf>
    <xf numFmtId="43" fontId="1" fillId="0" borderId="1" xfId="1" applyFont="1" applyBorder="1" applyAlignment="1">
      <alignment vertical="center"/>
    </xf>
    <xf numFmtId="166" fontId="1" fillId="0" borderId="16" xfId="3" applyNumberFormat="1" applyFont="1" applyBorder="1" applyAlignment="1" applyProtection="1">
      <alignment horizontal="center" vertical="center"/>
      <protection locked="0"/>
    </xf>
    <xf numFmtId="43" fontId="1" fillId="0" borderId="16" xfId="1" applyFont="1" applyBorder="1" applyAlignment="1">
      <alignment horizontal="left" vertical="center" wrapText="1"/>
    </xf>
    <xf numFmtId="0" fontId="19" fillId="0" borderId="15"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6" xfId="0" applyFont="1" applyBorder="1" applyAlignment="1">
      <alignment horizontal="center" vertical="center" wrapText="1"/>
    </xf>
    <xf numFmtId="43" fontId="19" fillId="0" borderId="16" xfId="1" applyFont="1" applyBorder="1" applyAlignment="1">
      <alignment horizontal="left" vertical="center" wrapText="1"/>
    </xf>
    <xf numFmtId="0" fontId="3" fillId="0" borderId="15" xfId="0" applyFont="1" applyBorder="1" applyAlignment="1">
      <alignment horizontal="left" vertical="center" wrapText="1"/>
    </xf>
    <xf numFmtId="166" fontId="1" fillId="0" borderId="16" xfId="3" applyNumberFormat="1" applyFont="1" applyBorder="1" applyAlignment="1" applyProtection="1">
      <alignment horizontal="center" vertical="center" wrapText="1"/>
      <protection locked="0"/>
    </xf>
    <xf numFmtId="166" fontId="1" fillId="0" borderId="16" xfId="3" applyNumberFormat="1" applyFont="1" applyBorder="1" applyAlignment="1" applyProtection="1">
      <alignment horizontal="right" vertical="center"/>
      <protection locked="0"/>
    </xf>
    <xf numFmtId="0" fontId="3" fillId="0" borderId="16" xfId="0" applyFont="1" applyBorder="1" applyAlignment="1">
      <alignment horizontal="center" vertical="center" wrapText="1"/>
    </xf>
    <xf numFmtId="0" fontId="20" fillId="0" borderId="15" xfId="0" applyFont="1" applyBorder="1" applyAlignment="1">
      <alignment horizontal="left" vertical="center" wrapText="1"/>
    </xf>
    <xf numFmtId="43" fontId="1" fillId="0" borderId="16" xfId="1" applyFont="1" applyBorder="1" applyAlignment="1">
      <alignment horizontal="justify" vertical="center"/>
    </xf>
    <xf numFmtId="0" fontId="1" fillId="5" borderId="1" xfId="30" applyFont="1" applyFill="1" applyBorder="1" applyAlignment="1">
      <alignment horizontal="right" vertical="center" wrapText="1"/>
    </xf>
    <xf numFmtId="43" fontId="1" fillId="0" borderId="16" xfId="1" applyFont="1" applyBorder="1" applyAlignment="1">
      <alignment vertical="center" wrapText="1"/>
    </xf>
    <xf numFmtId="0" fontId="1" fillId="5" borderId="16" xfId="30" applyFont="1" applyFill="1" applyBorder="1" applyAlignment="1">
      <alignment horizontal="right" vertical="center" wrapText="1"/>
    </xf>
    <xf numFmtId="164" fontId="1" fillId="5" borderId="1" xfId="16" applyNumberFormat="1" applyFont="1" applyFill="1" applyBorder="1" applyAlignment="1">
      <alignment horizontal="right" vertical="center" wrapText="1"/>
    </xf>
    <xf numFmtId="0" fontId="1" fillId="5" borderId="1" xfId="30" applyFont="1" applyFill="1" applyBorder="1" applyAlignment="1">
      <alignment horizontal="center" vertical="center" wrapText="1"/>
    </xf>
    <xf numFmtId="0" fontId="20" fillId="0" borderId="15" xfId="0" applyFont="1" applyBorder="1" applyAlignment="1">
      <alignment vertical="center" wrapText="1"/>
    </xf>
    <xf numFmtId="0" fontId="20" fillId="0" borderId="1" xfId="0" applyFont="1" applyBorder="1" applyAlignment="1">
      <alignment horizontal="center" vertical="center"/>
    </xf>
    <xf numFmtId="0" fontId="20" fillId="0" borderId="16" xfId="0" applyFont="1" applyBorder="1" applyAlignment="1">
      <alignment horizontal="center" vertical="center"/>
    </xf>
    <xf numFmtId="43" fontId="19" fillId="0" borderId="16" xfId="1" applyFont="1" applyBorder="1" applyAlignment="1">
      <alignment vertical="center"/>
    </xf>
    <xf numFmtId="0" fontId="3" fillId="0" borderId="15" xfId="0" applyFont="1" applyBorder="1" applyAlignment="1">
      <alignment vertical="center" wrapText="1"/>
    </xf>
    <xf numFmtId="0" fontId="7" fillId="0" borderId="17" xfId="0" applyFont="1" applyBorder="1" applyAlignment="1">
      <alignment horizontal="center" vertical="center"/>
    </xf>
    <xf numFmtId="0" fontId="21" fillId="0" borderId="18" xfId="0" applyFont="1" applyBorder="1" applyAlignment="1">
      <alignment vertical="center" wrapText="1"/>
    </xf>
    <xf numFmtId="0" fontId="7" fillId="0" borderId="2" xfId="0" applyFont="1" applyBorder="1" applyAlignment="1">
      <alignment horizontal="center" vertical="center" wrapText="1"/>
    </xf>
    <xf numFmtId="0" fontId="7" fillId="0" borderId="19" xfId="0" applyFont="1" applyBorder="1" applyAlignment="1">
      <alignment horizontal="center" vertical="center" wrapText="1"/>
    </xf>
    <xf numFmtId="166" fontId="15" fillId="0" borderId="19" xfId="0" applyNumberFormat="1" applyFont="1" applyBorder="1" applyAlignment="1">
      <alignment horizontal="left" vertical="center" wrapText="1"/>
    </xf>
    <xf numFmtId="166" fontId="7" fillId="0" borderId="19" xfId="3" applyNumberFormat="1" applyFont="1" applyBorder="1" applyAlignment="1" applyProtection="1">
      <alignment horizontal="center" vertical="center"/>
      <protection locked="0"/>
    </xf>
    <xf numFmtId="0" fontId="8" fillId="2" borderId="20" xfId="0" applyFont="1" applyFill="1" applyBorder="1" applyAlignment="1">
      <alignment horizontal="center" vertical="center"/>
    </xf>
    <xf numFmtId="0" fontId="6" fillId="2" borderId="21" xfId="0" applyFont="1" applyFill="1" applyBorder="1" applyAlignment="1">
      <alignment horizontal="left" vertical="center" wrapText="1"/>
    </xf>
    <xf numFmtId="164" fontId="6" fillId="2" borderId="21" xfId="1" applyNumberFormat="1" applyFont="1" applyFill="1" applyBorder="1" applyAlignment="1">
      <alignment horizontal="right" vertical="center" wrapText="1"/>
    </xf>
    <xf numFmtId="164" fontId="6" fillId="2" borderId="3" xfId="14" applyNumberFormat="1" applyFont="1" applyFill="1" applyBorder="1" applyAlignment="1">
      <alignment vertical="center" wrapText="1"/>
    </xf>
    <xf numFmtId="43" fontId="22" fillId="0" borderId="0" xfId="0" applyNumberFormat="1" applyFont="1" applyAlignment="1">
      <alignment vertical="top"/>
    </xf>
    <xf numFmtId="0" fontId="22" fillId="0" borderId="0" xfId="0" applyFont="1" applyAlignment="1">
      <alignment vertical="top"/>
    </xf>
    <xf numFmtId="0" fontId="22" fillId="0" borderId="0" xfId="0" applyFont="1" applyAlignment="1">
      <alignment vertical="center"/>
    </xf>
    <xf numFmtId="0" fontId="2" fillId="0" borderId="0" xfId="0" applyFont="1" applyAlignment="1">
      <alignment horizontal="center" vertical="center"/>
    </xf>
    <xf numFmtId="0" fontId="9" fillId="0" borderId="0" xfId="0" applyFont="1" applyAlignment="1">
      <alignment horizontal="left" vertical="center"/>
    </xf>
    <xf numFmtId="43" fontId="23" fillId="0" borderId="0" xfId="0" applyNumberFormat="1" applyFont="1" applyAlignment="1">
      <alignment horizontal="center" vertical="center"/>
    </xf>
    <xf numFmtId="164" fontId="22" fillId="0" borderId="0" xfId="1" applyNumberFormat="1" applyFont="1" applyAlignment="1">
      <alignment vertical="top"/>
    </xf>
    <xf numFmtId="0" fontId="24" fillId="0" borderId="0" xfId="0" applyFont="1" applyAlignment="1">
      <alignment horizontal="left" vertical="center"/>
    </xf>
    <xf numFmtId="43" fontId="25" fillId="0" borderId="0" xfId="0" applyNumberFormat="1" applyFont="1" applyAlignment="1">
      <alignment horizontal="right" vertical="top"/>
    </xf>
    <xf numFmtId="43" fontId="26" fillId="0" borderId="0" xfId="0" applyNumberFormat="1" applyFont="1" applyAlignment="1">
      <alignment horizontal="center" vertical="center"/>
    </xf>
    <xf numFmtId="164" fontId="27" fillId="2" borderId="7" xfId="1" applyNumberFormat="1" applyFont="1" applyFill="1" applyBorder="1" applyAlignment="1">
      <alignment horizontal="centerContinuous" vertical="center" wrapText="1"/>
    </xf>
    <xf numFmtId="0" fontId="27" fillId="2" borderId="7" xfId="0" applyFont="1" applyFill="1" applyBorder="1" applyAlignment="1">
      <alignment horizontal="centerContinuous" vertical="center" wrapText="1"/>
    </xf>
    <xf numFmtId="0" fontId="27" fillId="2" borderId="1" xfId="0" applyFont="1" applyFill="1" applyBorder="1" applyAlignment="1">
      <alignment horizontal="center" vertical="center" wrapText="1"/>
    </xf>
    <xf numFmtId="164" fontId="27" fillId="2" borderId="1" xfId="1" applyNumberFormat="1" applyFont="1" applyFill="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vertical="top" wrapText="1"/>
    </xf>
    <xf numFmtId="164" fontId="25" fillId="0" borderId="1" xfId="1" applyNumberFormat="1" applyFont="1" applyBorder="1" applyAlignment="1">
      <alignment vertical="top" wrapText="1"/>
    </xf>
    <xf numFmtId="0" fontId="9" fillId="0" borderId="1" xfId="0" applyFont="1" applyBorder="1" applyAlignment="1">
      <alignment horizontal="center" vertical="top" wrapText="1"/>
    </xf>
    <xf numFmtId="0" fontId="9" fillId="0" borderId="1" xfId="0" applyFont="1" applyBorder="1" applyAlignment="1">
      <alignment vertical="center" wrapText="1"/>
    </xf>
    <xf numFmtId="164" fontId="9" fillId="0" borderId="1" xfId="1" applyNumberFormat="1" applyFont="1" applyBorder="1" applyAlignment="1">
      <alignment vertical="center" wrapText="1"/>
    </xf>
    <xf numFmtId="164" fontId="9" fillId="0" borderId="1" xfId="0" applyNumberFormat="1" applyFont="1" applyBorder="1" applyAlignment="1">
      <alignment vertical="center" wrapText="1"/>
    </xf>
    <xf numFmtId="0" fontId="25" fillId="0" borderId="1" xfId="0" applyFont="1" applyBorder="1" applyAlignment="1">
      <alignment horizontal="left" vertical="center" wrapText="1"/>
    </xf>
    <xf numFmtId="0" fontId="25" fillId="6" borderId="1" xfId="0" applyFont="1" applyFill="1" applyBorder="1" applyAlignment="1">
      <alignment horizontal="center" vertical="center" wrapText="1"/>
    </xf>
    <xf numFmtId="0" fontId="9" fillId="6" borderId="1" xfId="0" applyFont="1" applyFill="1" applyBorder="1" applyAlignment="1">
      <alignment horizontal="right" vertical="center" wrapText="1"/>
    </xf>
    <xf numFmtId="164" fontId="9" fillId="6" borderId="1" xfId="1" applyNumberFormat="1" applyFont="1" applyFill="1" applyBorder="1" applyAlignment="1">
      <alignment vertical="center" wrapText="1"/>
    </xf>
    <xf numFmtId="0" fontId="25" fillId="6" borderId="1" xfId="0" applyFont="1" applyFill="1" applyBorder="1" applyAlignment="1">
      <alignment vertical="center"/>
    </xf>
    <xf numFmtId="164" fontId="9" fillId="6" borderId="1" xfId="0" applyNumberFormat="1" applyFont="1" applyFill="1" applyBorder="1" applyAlignment="1">
      <alignment vertical="center" wrapText="1"/>
    </xf>
    <xf numFmtId="0" fontId="25" fillId="6" borderId="2" xfId="0" applyFont="1" applyFill="1" applyBorder="1" applyAlignment="1">
      <alignment horizontal="center" vertical="center" wrapText="1"/>
    </xf>
    <xf numFmtId="0" fontId="9" fillId="6" borderId="2" xfId="0" applyFont="1" applyFill="1" applyBorder="1" applyAlignment="1">
      <alignment horizontal="right" vertical="center" wrapText="1"/>
    </xf>
    <xf numFmtId="164" fontId="9" fillId="6" borderId="2" xfId="1" applyNumberFormat="1" applyFont="1" applyFill="1" applyBorder="1" applyAlignment="1">
      <alignment vertical="center" wrapText="1"/>
    </xf>
    <xf numFmtId="164" fontId="9" fillId="6" borderId="2" xfId="0" applyNumberFormat="1" applyFont="1" applyFill="1" applyBorder="1" applyAlignment="1">
      <alignment vertical="center" wrapText="1"/>
    </xf>
    <xf numFmtId="0" fontId="25" fillId="6" borderId="2" xfId="0" applyFont="1" applyFill="1" applyBorder="1" applyAlignment="1">
      <alignment vertical="center"/>
    </xf>
    <xf numFmtId="0" fontId="28" fillId="0" borderId="0" xfId="0" applyFont="1" applyAlignment="1">
      <alignment vertical="top"/>
    </xf>
    <xf numFmtId="164" fontId="29" fillId="0" borderId="0" xfId="1" applyNumberFormat="1" applyFont="1" applyAlignment="1">
      <alignment vertical="top"/>
    </xf>
    <xf numFmtId="0" fontId="29" fillId="0" borderId="0" xfId="0" applyFont="1" applyAlignment="1">
      <alignment vertical="top"/>
    </xf>
    <xf numFmtId="0" fontId="48" fillId="0" borderId="0" xfId="59" applyFont="1" applyAlignment="1">
      <alignment vertical="center"/>
    </xf>
    <xf numFmtId="43" fontId="49" fillId="0" borderId="0" xfId="59" applyNumberFormat="1" applyFont="1" applyAlignment="1">
      <alignment vertical="center"/>
    </xf>
    <xf numFmtId="43" fontId="46" fillId="0" borderId="0" xfId="59" applyNumberFormat="1" applyFont="1" applyAlignment="1">
      <alignment vertical="center"/>
    </xf>
    <xf numFmtId="43" fontId="46" fillId="0" borderId="0" xfId="59" applyNumberFormat="1" applyFont="1" applyAlignment="1">
      <alignment horizontal="center" vertical="center"/>
    </xf>
    <xf numFmtId="43" fontId="46" fillId="0" borderId="0" xfId="59" applyNumberFormat="1" applyFont="1" applyAlignment="1">
      <alignment horizontal="center" vertical="center" wrapText="1"/>
    </xf>
    <xf numFmtId="164" fontId="46" fillId="0" borderId="0" xfId="60" applyNumberFormat="1" applyFont="1" applyAlignment="1">
      <alignment vertical="center"/>
    </xf>
    <xf numFmtId="0" fontId="45" fillId="0" borderId="3" xfId="59" applyFont="1" applyBorder="1" applyAlignment="1">
      <alignment horizontal="center" vertical="center" wrapText="1"/>
    </xf>
    <xf numFmtId="164" fontId="45" fillId="0" borderId="3" xfId="60" applyNumberFormat="1" applyFont="1" applyBorder="1" applyAlignment="1">
      <alignment horizontal="center" vertical="center" wrapText="1"/>
    </xf>
    <xf numFmtId="0" fontId="46" fillId="0" borderId="0" xfId="59" applyFont="1" applyAlignment="1">
      <alignment vertical="center"/>
    </xf>
    <xf numFmtId="0" fontId="46" fillId="0" borderId="3" xfId="58" applyFont="1" applyBorder="1" applyAlignment="1">
      <alignment vertical="center"/>
    </xf>
    <xf numFmtId="0" fontId="45" fillId="0" borderId="3" xfId="59" applyFont="1" applyBorder="1" applyAlignment="1">
      <alignment horizontal="center" vertical="center"/>
    </xf>
    <xf numFmtId="0" fontId="45" fillId="0" borderId="3" xfId="59" applyFont="1" applyBorder="1" applyAlignment="1">
      <alignment vertical="center" wrapText="1"/>
    </xf>
    <xf numFmtId="0" fontId="46" fillId="0" borderId="3" xfId="58" applyFont="1" applyBorder="1" applyAlignment="1">
      <alignment horizontal="center" vertical="center" wrapText="1"/>
    </xf>
    <xf numFmtId="43" fontId="46" fillId="0" borderId="3" xfId="59" applyNumberFormat="1" applyFont="1" applyBorder="1" applyAlignment="1">
      <alignment horizontal="center" vertical="center" wrapText="1"/>
    </xf>
    <xf numFmtId="164" fontId="46" fillId="0" borderId="3" xfId="60" applyNumberFormat="1" applyFont="1" applyBorder="1" applyAlignment="1">
      <alignment horizontal="center" vertical="center"/>
    </xf>
    <xf numFmtId="164" fontId="46" fillId="0" borderId="3" xfId="60" applyNumberFormat="1" applyFont="1" applyBorder="1" applyAlignment="1">
      <alignment vertical="center" wrapText="1"/>
    </xf>
    <xf numFmtId="164" fontId="45" fillId="0" borderId="3" xfId="60" applyNumberFormat="1" applyFont="1" applyBorder="1" applyAlignment="1">
      <alignment vertical="center" wrapText="1"/>
    </xf>
    <xf numFmtId="0" fontId="46" fillId="0" borderId="3" xfId="59" applyFont="1" applyBorder="1" applyAlignment="1">
      <alignment horizontal="left" vertical="center" wrapText="1"/>
    </xf>
    <xf numFmtId="0" fontId="45" fillId="0" borderId="3" xfId="59" applyFont="1" applyBorder="1" applyAlignment="1">
      <alignment horizontal="left" vertical="center" wrapText="1"/>
    </xf>
    <xf numFmtId="0" fontId="46" fillId="0" borderId="3" xfId="59" applyFont="1" applyBorder="1" applyAlignment="1">
      <alignment horizontal="center" vertical="center"/>
    </xf>
    <xf numFmtId="0" fontId="46" fillId="0" borderId="3" xfId="59" applyFont="1" applyBorder="1" applyAlignment="1">
      <alignment horizontal="center" vertical="center" wrapText="1"/>
    </xf>
    <xf numFmtId="43" fontId="45" fillId="0" borderId="3" xfId="59" applyNumberFormat="1" applyFont="1" applyBorder="1" applyAlignment="1">
      <alignment horizontal="center" vertical="center" wrapText="1"/>
    </xf>
    <xf numFmtId="164" fontId="45" fillId="0" borderId="3" xfId="60" applyNumberFormat="1" applyFont="1" applyBorder="1" applyAlignment="1">
      <alignment horizontal="center" vertical="center"/>
    </xf>
    <xf numFmtId="0" fontId="45" fillId="0" borderId="0" xfId="59" applyFont="1" applyAlignment="1">
      <alignment vertical="center"/>
    </xf>
    <xf numFmtId="0" fontId="46" fillId="0" borderId="0" xfId="59" applyFont="1" applyAlignment="1">
      <alignment horizontal="center" vertical="center"/>
    </xf>
    <xf numFmtId="0" fontId="46" fillId="0" borderId="3" xfId="58" applyFont="1" applyBorder="1" applyAlignment="1">
      <alignment horizontal="left" vertical="center" wrapText="1"/>
    </xf>
    <xf numFmtId="164" fontId="46" fillId="0" borderId="3" xfId="60" applyNumberFormat="1" applyFont="1" applyBorder="1" applyAlignment="1">
      <alignment horizontal="center" vertical="center" wrapText="1"/>
    </xf>
    <xf numFmtId="164" fontId="46" fillId="0" borderId="3" xfId="60" applyNumberFormat="1" applyFont="1" applyBorder="1" applyAlignment="1">
      <alignment vertical="center"/>
    </xf>
    <xf numFmtId="164" fontId="45" fillId="0" borderId="3" xfId="60" applyNumberFormat="1" applyFont="1" applyBorder="1" applyAlignment="1">
      <alignment vertical="center"/>
    </xf>
    <xf numFmtId="0" fontId="46" fillId="0" borderId="3" xfId="59" applyFont="1" applyBorder="1" applyAlignment="1">
      <alignment vertical="center"/>
    </xf>
    <xf numFmtId="0" fontId="46" fillId="0" borderId="0" xfId="58" applyFont="1" applyAlignment="1">
      <alignment vertical="center"/>
    </xf>
    <xf numFmtId="0" fontId="46" fillId="0" borderId="0" xfId="59" applyFont="1" applyAlignment="1">
      <alignment horizontal="center" vertical="center" wrapText="1"/>
    </xf>
    <xf numFmtId="0" fontId="50" fillId="0" borderId="3" xfId="58" applyFont="1" applyBorder="1" applyAlignment="1">
      <alignment horizontal="center"/>
    </xf>
    <xf numFmtId="0" fontId="50" fillId="0" borderId="0" xfId="58" applyFont="1" applyAlignment="1">
      <alignment horizontal="center"/>
    </xf>
    <xf numFmtId="0" fontId="51" fillId="0" borderId="3" xfId="58" applyFont="1" applyBorder="1" applyAlignment="1">
      <alignment horizontal="center"/>
    </xf>
    <xf numFmtId="0" fontId="51" fillId="0" borderId="3" xfId="58" applyFont="1" applyBorder="1"/>
    <xf numFmtId="0" fontId="51" fillId="0" borderId="0" xfId="58" applyFont="1"/>
    <xf numFmtId="0" fontId="50" fillId="0" borderId="3" xfId="58" applyFont="1" applyBorder="1"/>
    <xf numFmtId="0" fontId="51" fillId="0" borderId="3" xfId="58" applyFont="1" applyBorder="1" applyAlignment="1">
      <alignment horizontal="center" vertical="center"/>
    </xf>
    <xf numFmtId="0" fontId="51" fillId="0" borderId="3" xfId="58" applyFont="1" applyBorder="1" applyAlignment="1">
      <alignment vertical="center"/>
    </xf>
    <xf numFmtId="0" fontId="51" fillId="0" borderId="3" xfId="58" applyFont="1" applyBorder="1" applyAlignment="1">
      <alignment horizontal="center" vertical="center" wrapText="1"/>
    </xf>
    <xf numFmtId="0" fontId="51" fillId="0" borderId="3" xfId="58" applyFont="1" applyBorder="1" applyAlignment="1">
      <alignment vertical="center" wrapText="1"/>
    </xf>
    <xf numFmtId="0" fontId="51" fillId="0" borderId="0" xfId="58" applyFont="1" applyAlignment="1">
      <alignment vertical="center"/>
    </xf>
    <xf numFmtId="0" fontId="51" fillId="0" borderId="0" xfId="58" applyFont="1" applyAlignment="1">
      <alignment horizontal="center"/>
    </xf>
    <xf numFmtId="0" fontId="35" fillId="0" borderId="0" xfId="54" applyFont="1" applyAlignment="1">
      <alignment horizontal="center" vertical="top" wrapText="1"/>
    </xf>
    <xf numFmtId="164" fontId="35" fillId="0" borderId="0" xfId="55" applyNumberFormat="1" applyFont="1" applyAlignment="1">
      <alignment vertical="center"/>
    </xf>
    <xf numFmtId="164" fontId="35" fillId="0" borderId="0" xfId="55" applyNumberFormat="1" applyFont="1" applyAlignment="1">
      <alignment vertical="top"/>
    </xf>
    <xf numFmtId="0" fontId="35" fillId="0" borderId="0" xfId="54" applyFont="1" applyAlignment="1">
      <alignment vertical="top"/>
    </xf>
    <xf numFmtId="0" fontId="54" fillId="0" borderId="0" xfId="54" applyFont="1" applyAlignment="1">
      <alignment vertical="center"/>
    </xf>
    <xf numFmtId="0" fontId="35" fillId="0" borderId="0" xfId="54" applyFont="1" applyAlignment="1">
      <alignment vertical="center"/>
    </xf>
    <xf numFmtId="0" fontId="35" fillId="0" borderId="3" xfId="54" applyFont="1" applyBorder="1" applyAlignment="1">
      <alignment horizontal="center" vertical="center" wrapText="1"/>
    </xf>
    <xf numFmtId="0" fontId="54" fillId="0" borderId="3" xfId="54" applyFont="1" applyBorder="1" applyAlignment="1">
      <alignment vertical="center" wrapText="1"/>
    </xf>
    <xf numFmtId="164" fontId="35" fillId="0" borderId="3" xfId="55" applyNumberFormat="1" applyFont="1" applyBorder="1" applyAlignment="1">
      <alignment vertical="center"/>
    </xf>
    <xf numFmtId="164" fontId="54" fillId="0" borderId="3" xfId="55" applyNumberFormat="1" applyFont="1" applyBorder="1" applyAlignment="1">
      <alignment vertical="center"/>
    </xf>
    <xf numFmtId="0" fontId="35" fillId="0" borderId="3" xfId="54" applyFont="1" applyBorder="1" applyAlignment="1">
      <alignment vertical="center"/>
    </xf>
    <xf numFmtId="0" fontId="35" fillId="0" borderId="0" xfId="54" applyFont="1" applyAlignment="1">
      <alignment horizontal="center" vertical="center" wrapText="1"/>
    </xf>
    <xf numFmtId="43" fontId="55" fillId="0" borderId="0" xfId="54" applyNumberFormat="1" applyFont="1" applyAlignment="1">
      <alignment vertical="top"/>
    </xf>
    <xf numFmtId="43" fontId="35" fillId="0" borderId="0" xfId="54" applyNumberFormat="1" applyFont="1" applyAlignment="1">
      <alignment vertical="top"/>
    </xf>
    <xf numFmtId="43" fontId="35" fillId="0" borderId="0" xfId="54" applyNumberFormat="1" applyFont="1" applyAlignment="1">
      <alignment horizontal="center" vertical="top" wrapText="1"/>
    </xf>
    <xf numFmtId="0" fontId="54" fillId="0" borderId="3" xfId="54" applyFont="1" applyBorder="1" applyAlignment="1">
      <alignment horizontal="center" vertical="center" wrapText="1"/>
    </xf>
    <xf numFmtId="164" fontId="54" fillId="0" borderId="3" xfId="1" applyNumberFormat="1" applyFont="1" applyBorder="1" applyAlignment="1">
      <alignment horizontal="center" vertical="center" wrapText="1"/>
    </xf>
    <xf numFmtId="0" fontId="35" fillId="0" borderId="3" xfId="54" applyFont="1" applyBorder="1" applyAlignment="1">
      <alignment vertical="top" wrapText="1"/>
    </xf>
    <xf numFmtId="0" fontId="35" fillId="0" borderId="3" xfId="54" applyFont="1" applyBorder="1" applyAlignment="1">
      <alignment horizontal="center" vertical="top" wrapText="1"/>
    </xf>
    <xf numFmtId="0" fontId="54" fillId="0" borderId="3" xfId="54" applyFont="1" applyBorder="1" applyAlignment="1">
      <alignment horizontal="center" vertical="center"/>
    </xf>
    <xf numFmtId="43" fontId="54" fillId="0" borderId="3" xfId="54" applyNumberFormat="1" applyFont="1" applyBorder="1" applyAlignment="1">
      <alignment horizontal="center" vertical="center" wrapText="1"/>
    </xf>
    <xf numFmtId="164" fontId="54" fillId="0" borderId="3" xfId="55" applyNumberFormat="1" applyFont="1" applyBorder="1" applyAlignment="1">
      <alignment horizontal="center" vertical="center"/>
    </xf>
    <xf numFmtId="43" fontId="54" fillId="0" borderId="3" xfId="55" applyFont="1" applyBorder="1" applyAlignment="1">
      <alignment horizontal="center" vertical="center"/>
    </xf>
    <xf numFmtId="0" fontId="35" fillId="0" borderId="3" xfId="54" applyFont="1" applyBorder="1" applyAlignment="1">
      <alignment horizontal="center" vertical="center"/>
    </xf>
    <xf numFmtId="0" fontId="35" fillId="0" borderId="3" xfId="54" applyFont="1" applyBorder="1" applyAlignment="1">
      <alignment vertical="center" wrapText="1"/>
    </xf>
    <xf numFmtId="43" fontId="35" fillId="0" borderId="3" xfId="54" applyNumberFormat="1" applyFont="1" applyBorder="1" applyAlignment="1">
      <alignment horizontal="center" vertical="center" wrapText="1"/>
    </xf>
    <xf numFmtId="164" fontId="35" fillId="0" borderId="3" xfId="55" applyNumberFormat="1" applyFont="1" applyBorder="1" applyAlignment="1">
      <alignment horizontal="center" vertical="center"/>
    </xf>
    <xf numFmtId="164" fontId="35" fillId="0" borderId="3" xfId="55" applyNumberFormat="1" applyFont="1" applyBorder="1" applyAlignment="1">
      <alignment vertical="center" wrapText="1"/>
    </xf>
    <xf numFmtId="0" fontId="35" fillId="0" borderId="3" xfId="54" applyFont="1" applyBorder="1" applyAlignment="1">
      <alignment horizontal="left" vertical="center" wrapText="1"/>
    </xf>
    <xf numFmtId="0" fontId="56" fillId="0" borderId="3" xfId="54" applyFont="1" applyBorder="1" applyAlignment="1">
      <alignment vertical="top" wrapText="1"/>
    </xf>
    <xf numFmtId="0" fontId="35" fillId="0" borderId="3" xfId="54" quotePrefix="1" applyFont="1" applyBorder="1" applyAlignment="1">
      <alignment horizontal="left" vertical="center" wrapText="1"/>
    </xf>
    <xf numFmtId="0" fontId="54" fillId="0" borderId="3" xfId="54" applyFont="1" applyBorder="1" applyAlignment="1">
      <alignment horizontal="center" vertical="top" wrapText="1"/>
    </xf>
    <xf numFmtId="0" fontId="54" fillId="0" borderId="3" xfId="54" applyFont="1" applyBorder="1" applyAlignment="1">
      <alignment vertical="top" wrapText="1"/>
    </xf>
    <xf numFmtId="0" fontId="54" fillId="0" borderId="3" xfId="54" applyFont="1" applyBorder="1" applyAlignment="1">
      <alignment horizontal="left" vertical="top" wrapText="1"/>
    </xf>
    <xf numFmtId="0" fontId="35" fillId="0" borderId="3" xfId="54" applyFont="1" applyBorder="1" applyAlignment="1">
      <alignment horizontal="left" vertical="top" wrapText="1"/>
    </xf>
    <xf numFmtId="0" fontId="35" fillId="0" borderId="0" xfId="54" applyFont="1" applyAlignment="1">
      <alignment horizontal="center" vertical="center"/>
    </xf>
    <xf numFmtId="43" fontId="35" fillId="0" borderId="0" xfId="54" applyNumberFormat="1" applyFont="1" applyAlignment="1">
      <alignment horizontal="center" vertical="top"/>
    </xf>
    <xf numFmtId="0" fontId="56" fillId="0" borderId="3" xfId="54" applyFont="1" applyBorder="1" applyAlignment="1">
      <alignment horizontal="center" vertical="top" wrapText="1"/>
    </xf>
    <xf numFmtId="0" fontId="35" fillId="0" borderId="0" xfId="54" applyFont="1" applyAlignment="1">
      <alignment horizontal="center" vertical="top"/>
    </xf>
    <xf numFmtId="0" fontId="35" fillId="0" borderId="3" xfId="57" applyFont="1" applyBorder="1" applyAlignment="1">
      <alignment horizontal="center" vertical="center" wrapText="1"/>
    </xf>
    <xf numFmtId="0" fontId="53" fillId="0" borderId="0" xfId="54" applyFont="1" applyAlignment="1">
      <alignment vertical="top"/>
    </xf>
    <xf numFmtId="0" fontId="53" fillId="0" borderId="0" xfId="54" applyFont="1" applyAlignment="1">
      <alignment vertical="center"/>
    </xf>
    <xf numFmtId="0" fontId="53" fillId="0" borderId="0" xfId="54" applyFont="1" applyAlignment="1">
      <alignment horizontal="center" vertical="top" wrapText="1"/>
    </xf>
    <xf numFmtId="164" fontId="53" fillId="0" borderId="0" xfId="55" applyNumberFormat="1" applyFont="1" applyAlignment="1">
      <alignment vertical="center"/>
    </xf>
    <xf numFmtId="164" fontId="53" fillId="0" borderId="0" xfId="55" applyNumberFormat="1" applyFont="1" applyAlignment="1">
      <alignment vertical="top"/>
    </xf>
    <xf numFmtId="0" fontId="57" fillId="0" borderId="0" xfId="54" applyFont="1" applyAlignment="1">
      <alignment vertical="top"/>
    </xf>
    <xf numFmtId="0" fontId="57" fillId="0" borderId="0" xfId="54" applyFont="1" applyAlignment="1">
      <alignment vertical="center"/>
    </xf>
    <xf numFmtId="0" fontId="53" fillId="0" borderId="0" xfId="54" applyFont="1" applyAlignment="1">
      <alignment horizontal="center" vertical="center" wrapText="1"/>
    </xf>
    <xf numFmtId="43" fontId="58" fillId="0" borderId="0" xfId="54" applyNumberFormat="1" applyFont="1" applyAlignment="1">
      <alignment vertical="top"/>
    </xf>
    <xf numFmtId="43" fontId="53" fillId="0" borderId="0" xfId="54" applyNumberFormat="1" applyFont="1" applyAlignment="1">
      <alignment vertical="center"/>
    </xf>
    <xf numFmtId="43" fontId="53" fillId="0" borderId="0" xfId="54" applyNumberFormat="1" applyFont="1" applyAlignment="1">
      <alignment vertical="top"/>
    </xf>
    <xf numFmtId="43" fontId="53" fillId="0" borderId="0" xfId="54" applyNumberFormat="1" applyFont="1" applyAlignment="1">
      <alignment horizontal="center" vertical="top" wrapText="1"/>
    </xf>
    <xf numFmtId="0" fontId="57" fillId="0" borderId="3" xfId="54" applyFont="1" applyBorder="1" applyAlignment="1">
      <alignment horizontal="center" vertical="center" wrapText="1"/>
    </xf>
    <xf numFmtId="0" fontId="57" fillId="0" borderId="3" xfId="0" applyFont="1" applyBorder="1" applyAlignment="1">
      <alignment horizontal="center" vertical="center" wrapText="1"/>
    </xf>
    <xf numFmtId="164" fontId="57" fillId="0" borderId="3" xfId="55" applyNumberFormat="1" applyFont="1" applyBorder="1" applyAlignment="1">
      <alignment horizontal="center" vertical="center" wrapText="1"/>
    </xf>
    <xf numFmtId="164" fontId="57" fillId="0" borderId="3" xfId="1" applyNumberFormat="1" applyFont="1" applyBorder="1" applyAlignment="1">
      <alignment horizontal="center" vertical="center" wrapText="1"/>
    </xf>
    <xf numFmtId="0" fontId="57" fillId="0" borderId="3" xfId="54" applyFont="1" applyBorder="1" applyAlignment="1">
      <alignment horizontal="center" vertical="center"/>
    </xf>
    <xf numFmtId="0" fontId="57" fillId="0" borderId="3" xfId="54" applyFont="1" applyBorder="1" applyAlignment="1">
      <alignment vertical="center" wrapText="1"/>
    </xf>
    <xf numFmtId="0" fontId="53" fillId="0" borderId="3" xfId="0" applyFont="1" applyBorder="1" applyAlignment="1">
      <alignment horizontal="center" vertical="center" wrapText="1"/>
    </xf>
    <xf numFmtId="0" fontId="53" fillId="0" borderId="3" xfId="0" applyFont="1" applyBorder="1" applyAlignment="1">
      <alignment horizontal="left" vertical="center" wrapText="1"/>
    </xf>
    <xf numFmtId="43" fontId="53" fillId="0" borderId="3" xfId="54" applyNumberFormat="1" applyFont="1" applyBorder="1" applyAlignment="1">
      <alignment horizontal="center" vertical="center" wrapText="1"/>
    </xf>
    <xf numFmtId="164" fontId="53" fillId="0" borderId="3" xfId="55" applyNumberFormat="1" applyFont="1" applyBorder="1" applyAlignment="1">
      <alignment horizontal="center" vertical="center" wrapText="1"/>
    </xf>
    <xf numFmtId="164" fontId="53" fillId="0" borderId="3" xfId="55" applyNumberFormat="1" applyFont="1" applyBorder="1" applyAlignment="1">
      <alignment vertical="center" wrapText="1"/>
    </xf>
    <xf numFmtId="164" fontId="57" fillId="0" borderId="3" xfId="55" applyNumberFormat="1" applyFont="1" applyBorder="1" applyAlignment="1">
      <alignment vertical="center" wrapText="1"/>
    </xf>
    <xf numFmtId="0" fontId="53" fillId="0" borderId="3" xfId="54" applyFont="1" applyBorder="1" applyAlignment="1">
      <alignment horizontal="left" vertical="center" wrapText="1"/>
    </xf>
    <xf numFmtId="0" fontId="53" fillId="0" borderId="0" xfId="0" applyFont="1" applyAlignment="1">
      <alignment vertical="center"/>
    </xf>
    <xf numFmtId="0" fontId="57" fillId="0" borderId="3" xfId="54" applyFont="1" applyBorder="1" applyAlignment="1">
      <alignment horizontal="left" vertical="center" wrapText="1"/>
    </xf>
    <xf numFmtId="43" fontId="57" fillId="0" borderId="3" xfId="54" applyNumberFormat="1" applyFont="1" applyBorder="1" applyAlignment="1">
      <alignment horizontal="center" vertical="center" wrapText="1"/>
    </xf>
    <xf numFmtId="164" fontId="53" fillId="0" borderId="3" xfId="55" applyNumberFormat="1" applyFont="1" applyBorder="1" applyAlignment="1">
      <alignment vertical="center"/>
    </xf>
    <xf numFmtId="0" fontId="53" fillId="0" borderId="3" xfId="54" applyFont="1" applyBorder="1" applyAlignment="1">
      <alignment horizontal="center" vertical="center"/>
    </xf>
    <xf numFmtId="43" fontId="53" fillId="0" borderId="3" xfId="54" applyNumberFormat="1" applyFont="1" applyBorder="1" applyAlignment="1">
      <alignment horizontal="center" vertical="center"/>
    </xf>
    <xf numFmtId="0" fontId="53" fillId="0" borderId="3" xfId="54" applyFont="1" applyBorder="1" applyAlignment="1">
      <alignment horizontal="left" vertical="center"/>
    </xf>
    <xf numFmtId="0" fontId="53" fillId="0" borderId="3" xfId="54" applyFont="1" applyBorder="1" applyAlignment="1">
      <alignment vertical="center"/>
    </xf>
    <xf numFmtId="164" fontId="53" fillId="0" borderId="3" xfId="55" applyNumberFormat="1" applyFont="1" applyBorder="1" applyAlignment="1">
      <alignment vertical="top" wrapText="1"/>
    </xf>
    <xf numFmtId="164" fontId="57" fillId="0" borderId="3" xfId="55" applyNumberFormat="1" applyFont="1" applyBorder="1" applyAlignment="1">
      <alignment vertical="top" wrapText="1"/>
    </xf>
    <xf numFmtId="0" fontId="53" fillId="0" borderId="3" xfId="54" applyFont="1" applyBorder="1" applyAlignment="1">
      <alignment horizontal="left" vertical="top" wrapText="1"/>
    </xf>
    <xf numFmtId="0" fontId="57" fillId="0" borderId="3" xfId="54" applyFont="1" applyBorder="1" applyAlignment="1">
      <alignment horizontal="left" vertical="top" wrapText="1"/>
    </xf>
    <xf numFmtId="0" fontId="57" fillId="0" borderId="3" xfId="54" applyFont="1" applyBorder="1" applyAlignment="1">
      <alignment horizontal="center" vertical="top" wrapText="1"/>
    </xf>
    <xf numFmtId="0" fontId="59" fillId="0" borderId="3" xfId="54" applyFont="1" applyBorder="1" applyAlignment="1">
      <alignment horizontal="center" vertical="center"/>
    </xf>
    <xf numFmtId="0" fontId="59" fillId="0" borderId="3" xfId="54" applyFont="1" applyBorder="1" applyAlignment="1">
      <alignment horizontal="left" vertical="center" wrapText="1"/>
    </xf>
    <xf numFmtId="0" fontId="59" fillId="0" borderId="3" xfId="54" applyFont="1" applyBorder="1" applyAlignment="1">
      <alignment horizontal="left" vertical="top" wrapText="1" indent="1"/>
    </xf>
    <xf numFmtId="0" fontId="59" fillId="0" borderId="3" xfId="54" applyFont="1" applyBorder="1" applyAlignment="1">
      <alignment horizontal="center" vertical="top" wrapText="1"/>
    </xf>
    <xf numFmtId="43" fontId="59" fillId="0" borderId="3" xfId="54" applyNumberFormat="1" applyFont="1" applyBorder="1" applyAlignment="1">
      <alignment horizontal="center" vertical="center" wrapText="1"/>
    </xf>
    <xf numFmtId="164" fontId="59" fillId="0" borderId="3" xfId="55" applyNumberFormat="1" applyFont="1" applyBorder="1" applyAlignment="1">
      <alignment horizontal="center" vertical="center" wrapText="1"/>
    </xf>
    <xf numFmtId="164" fontId="59" fillId="0" borderId="3" xfId="55" applyNumberFormat="1" applyFont="1" applyBorder="1" applyAlignment="1">
      <alignment vertical="center" wrapText="1"/>
    </xf>
    <xf numFmtId="0" fontId="53" fillId="0" borderId="3" xfId="54" applyFont="1" applyBorder="1" applyAlignment="1">
      <alignment horizontal="center" vertical="center" wrapText="1"/>
    </xf>
    <xf numFmtId="0" fontId="58" fillId="0" borderId="3" xfId="54" applyFont="1" applyBorder="1" applyAlignment="1">
      <alignment vertical="center" wrapText="1"/>
    </xf>
    <xf numFmtId="0" fontId="53" fillId="0" borderId="3" xfId="54" applyFont="1" applyBorder="1" applyAlignment="1">
      <alignment horizontal="center" vertical="top" wrapText="1"/>
    </xf>
    <xf numFmtId="0" fontId="59" fillId="0" borderId="3" xfId="54" applyFont="1" applyBorder="1" applyAlignment="1">
      <alignment vertical="center" wrapText="1"/>
    </xf>
    <xf numFmtId="0" fontId="57" fillId="0" borderId="3" xfId="54" applyFont="1" applyBorder="1" applyAlignment="1">
      <alignment horizontal="left" vertical="top" wrapText="1" indent="1"/>
    </xf>
    <xf numFmtId="0" fontId="53" fillId="0" borderId="3" xfId="54" applyFont="1" applyBorder="1" applyAlignment="1">
      <alignment vertical="center" wrapText="1"/>
    </xf>
    <xf numFmtId="0" fontId="53" fillId="0" borderId="3" xfId="54" applyFont="1" applyBorder="1" applyAlignment="1">
      <alignment vertical="top" wrapText="1"/>
    </xf>
    <xf numFmtId="164" fontId="53" fillId="0" borderId="3" xfId="55" applyNumberFormat="1" applyFont="1" applyBorder="1" applyAlignment="1">
      <alignment horizontal="left" vertical="center" wrapText="1"/>
    </xf>
    <xf numFmtId="0" fontId="53" fillId="0" borderId="3" xfId="54" applyFont="1" applyBorder="1" applyAlignment="1">
      <alignment horizontal="left" vertical="top" wrapText="1" indent="1"/>
    </xf>
    <xf numFmtId="164" fontId="60" fillId="0" borderId="3" xfId="55" applyNumberFormat="1" applyFont="1" applyBorder="1" applyAlignment="1">
      <alignment horizontal="center" vertical="center" wrapText="1"/>
    </xf>
    <xf numFmtId="164" fontId="60" fillId="0" borderId="3" xfId="55" applyNumberFormat="1" applyFont="1" applyBorder="1" applyAlignment="1">
      <alignment vertical="center" wrapText="1"/>
    </xf>
    <xf numFmtId="0" fontId="60" fillId="0" borderId="3" xfId="54" applyFont="1" applyBorder="1" applyAlignment="1">
      <alignment horizontal="left" vertical="center" wrapText="1"/>
    </xf>
    <xf numFmtId="164" fontId="53" fillId="0" borderId="3" xfId="55" applyNumberFormat="1" applyFont="1" applyBorder="1" applyAlignment="1">
      <alignment vertical="top"/>
    </xf>
    <xf numFmtId="164" fontId="57" fillId="0" borderId="3" xfId="55" applyNumberFormat="1" applyFont="1" applyBorder="1" applyAlignment="1">
      <alignment vertical="center"/>
    </xf>
    <xf numFmtId="0" fontId="53" fillId="0" borderId="3" xfId="54" applyFont="1" applyBorder="1" applyAlignment="1">
      <alignment vertical="top"/>
    </xf>
    <xf numFmtId="0" fontId="53" fillId="0" borderId="3" xfId="0" applyFont="1" applyBorder="1" applyAlignment="1">
      <alignment horizontal="center" vertical="center"/>
    </xf>
    <xf numFmtId="0" fontId="57" fillId="0" borderId="0" xfId="54" applyFont="1" applyAlignment="1">
      <alignment horizontal="center" vertical="top" wrapText="1"/>
    </xf>
    <xf numFmtId="43" fontId="53" fillId="0" borderId="0" xfId="0" applyNumberFormat="1" applyFont="1" applyAlignment="1">
      <alignment vertical="top"/>
    </xf>
    <xf numFmtId="43" fontId="53" fillId="0" borderId="0" xfId="0" applyNumberFormat="1" applyFont="1" applyAlignment="1">
      <alignment horizontal="center" vertical="center"/>
    </xf>
    <xf numFmtId="0" fontId="57" fillId="0" borderId="0" xfId="0" applyFont="1" applyAlignment="1">
      <alignment vertical="center"/>
    </xf>
    <xf numFmtId="0" fontId="53" fillId="0" borderId="0" xfId="0" applyFont="1" applyAlignment="1">
      <alignment horizontal="center" vertical="center" wrapText="1"/>
    </xf>
    <xf numFmtId="164" fontId="53" fillId="0" borderId="0" xfId="1" applyNumberFormat="1" applyFont="1" applyAlignment="1">
      <alignment vertical="center"/>
    </xf>
    <xf numFmtId="0" fontId="53" fillId="0" borderId="0" xfId="0" applyFont="1" applyAlignment="1">
      <alignment vertical="top"/>
    </xf>
    <xf numFmtId="0" fontId="53" fillId="0" borderId="0" xfId="0" applyFont="1" applyAlignment="1">
      <alignment horizontal="center" vertical="center"/>
    </xf>
    <xf numFmtId="43" fontId="58" fillId="0" borderId="0" xfId="0" applyNumberFormat="1" applyFont="1" applyAlignment="1">
      <alignment vertical="top"/>
    </xf>
    <xf numFmtId="43" fontId="53" fillId="0" borderId="0" xfId="0" applyNumberFormat="1" applyFont="1" applyAlignment="1">
      <alignment horizontal="center" vertical="top" wrapText="1"/>
    </xf>
    <xf numFmtId="164" fontId="53" fillId="0" borderId="0" xfId="1" applyNumberFormat="1" applyFont="1" applyAlignment="1">
      <alignment vertical="top"/>
    </xf>
    <xf numFmtId="0" fontId="57" fillId="0" borderId="0" xfId="0" applyFont="1" applyAlignment="1">
      <alignment vertical="top"/>
    </xf>
    <xf numFmtId="0" fontId="57" fillId="0" borderId="0" xfId="0" applyFont="1" applyAlignment="1">
      <alignment horizontal="center" vertical="center"/>
    </xf>
    <xf numFmtId="0" fontId="57" fillId="0" borderId="3" xfId="0" applyFont="1" applyBorder="1" applyAlignment="1">
      <alignment vertical="center" wrapText="1"/>
    </xf>
    <xf numFmtId="164" fontId="53" fillId="0" borderId="3" xfId="1" applyNumberFormat="1" applyFont="1" applyBorder="1" applyAlignment="1">
      <alignment horizontal="center" vertical="center" wrapText="1"/>
    </xf>
    <xf numFmtId="164" fontId="53" fillId="0" borderId="3" xfId="1" applyNumberFormat="1" applyFont="1" applyBorder="1" applyAlignment="1">
      <alignment vertical="center"/>
    </xf>
    <xf numFmtId="164" fontId="57" fillId="0" borderId="3" xfId="1" applyNumberFormat="1" applyFont="1" applyBorder="1" applyAlignment="1">
      <alignment vertical="center"/>
    </xf>
    <xf numFmtId="0" fontId="53" fillId="0" borderId="3" xfId="0" applyFont="1" applyBorder="1" applyAlignment="1">
      <alignment vertical="center"/>
    </xf>
    <xf numFmtId="0" fontId="53" fillId="0" borderId="0" xfId="0" applyFont="1" applyAlignment="1">
      <alignment horizontal="center" vertical="top" wrapText="1"/>
    </xf>
    <xf numFmtId="0" fontId="53" fillId="0" borderId="3" xfId="0" applyFont="1" applyBorder="1" applyAlignment="1">
      <alignment horizontal="center" vertical="top" wrapText="1"/>
    </xf>
    <xf numFmtId="164" fontId="57" fillId="0" borderId="3" xfId="1" applyNumberFormat="1" applyFont="1" applyBorder="1" applyAlignment="1">
      <alignment horizontal="center" vertical="top" wrapText="1"/>
    </xf>
    <xf numFmtId="0" fontId="57" fillId="0" borderId="3" xfId="0" applyFont="1" applyBorder="1" applyAlignment="1">
      <alignment horizontal="center" vertical="top" wrapText="1"/>
    </xf>
    <xf numFmtId="0" fontId="57" fillId="0" borderId="3" xfId="0" applyFont="1" applyBorder="1" applyAlignment="1">
      <alignment horizontal="center" vertical="center"/>
    </xf>
    <xf numFmtId="43" fontId="53" fillId="0" borderId="3" xfId="0" applyNumberFormat="1" applyFont="1" applyBorder="1" applyAlignment="1">
      <alignment horizontal="center" vertical="center" wrapText="1"/>
    </xf>
    <xf numFmtId="164" fontId="53" fillId="0" borderId="3" xfId="1" applyNumberFormat="1" applyFont="1" applyBorder="1" applyAlignment="1">
      <alignment horizontal="center" vertical="center"/>
    </xf>
    <xf numFmtId="164" fontId="53" fillId="0" borderId="3" xfId="1" applyNumberFormat="1" applyFont="1" applyBorder="1" applyAlignment="1">
      <alignment vertical="center" wrapText="1"/>
    </xf>
    <xf numFmtId="0" fontId="53" fillId="0" borderId="3" xfId="0" applyFont="1" applyBorder="1" applyAlignment="1">
      <alignment horizontal="left" vertical="center" wrapText="1" indent="1"/>
    </xf>
    <xf numFmtId="0" fontId="53" fillId="0" borderId="3" xfId="0" applyFont="1" applyBorder="1" applyAlignment="1">
      <alignment vertical="center" wrapText="1"/>
    </xf>
    <xf numFmtId="0" fontId="57" fillId="0" borderId="3" xfId="0" applyFont="1" applyBorder="1" applyAlignment="1">
      <alignment horizontal="left" vertical="center" wrapText="1"/>
    </xf>
    <xf numFmtId="43" fontId="57" fillId="0" borderId="3" xfId="0" applyNumberFormat="1" applyFont="1" applyBorder="1" applyAlignment="1">
      <alignment horizontal="center" vertical="center" wrapText="1"/>
    </xf>
    <xf numFmtId="164" fontId="57" fillId="0" borderId="3" xfId="1" applyNumberFormat="1" applyFont="1" applyBorder="1" applyAlignment="1">
      <alignment horizontal="center" vertical="center"/>
    </xf>
    <xf numFmtId="164" fontId="57" fillId="0" borderId="3" xfId="1" applyNumberFormat="1" applyFont="1" applyBorder="1" applyAlignment="1">
      <alignment vertical="center" wrapText="1"/>
    </xf>
    <xf numFmtId="164" fontId="53" fillId="0" borderId="3" xfId="1" applyNumberFormat="1" applyFont="1" applyBorder="1" applyAlignment="1">
      <alignment vertical="top" wrapText="1"/>
    </xf>
    <xf numFmtId="164" fontId="57" fillId="0" borderId="3" xfId="1" applyNumberFormat="1" applyFont="1" applyBorder="1" applyAlignment="1">
      <alignment vertical="top" wrapText="1"/>
    </xf>
    <xf numFmtId="0" fontId="53" fillId="0" borderId="3" xfId="0" applyFont="1" applyBorder="1" applyAlignment="1">
      <alignment horizontal="left" vertical="top" wrapText="1"/>
    </xf>
    <xf numFmtId="43" fontId="58" fillId="0" borderId="0" xfId="0" applyNumberFormat="1" applyFont="1" applyAlignment="1">
      <alignment vertical="center"/>
    </xf>
    <xf numFmtId="43" fontId="53" fillId="0" borderId="0" xfId="0" applyNumberFormat="1" applyFont="1" applyAlignment="1">
      <alignment vertical="center"/>
    </xf>
    <xf numFmtId="43" fontId="53" fillId="0" borderId="0" xfId="0" applyNumberFormat="1" applyFont="1" applyAlignment="1">
      <alignment horizontal="center" vertical="center" wrapText="1"/>
    </xf>
    <xf numFmtId="0" fontId="53" fillId="0" borderId="3" xfId="0" quotePrefix="1" applyFont="1" applyBorder="1" applyAlignment="1">
      <alignment horizontal="center" vertical="center" wrapText="1"/>
    </xf>
    <xf numFmtId="0" fontId="52" fillId="0" borderId="3" xfId="0" applyFont="1" applyBorder="1" applyAlignment="1">
      <alignment horizontal="center" vertical="center" wrapText="1"/>
    </xf>
    <xf numFmtId="0" fontId="57" fillId="0" borderId="3" xfId="0" applyFont="1" applyBorder="1" applyAlignment="1">
      <alignment vertical="center"/>
    </xf>
    <xf numFmtId="0" fontId="53" fillId="0" borderId="3" xfId="0" applyFont="1" applyBorder="1" applyAlignment="1">
      <alignment horizontal="left" vertical="center" wrapText="1" indent="2"/>
    </xf>
    <xf numFmtId="0" fontId="53" fillId="0" borderId="0" xfId="0" applyFont="1" applyAlignment="1">
      <alignment horizontal="left" vertical="center"/>
    </xf>
    <xf numFmtId="43" fontId="53" fillId="0" borderId="0" xfId="0" applyNumberFormat="1" applyFont="1" applyAlignment="1">
      <alignment horizontal="left" vertical="top"/>
    </xf>
    <xf numFmtId="0" fontId="57" fillId="0" borderId="3" xfId="0" applyFont="1" applyBorder="1" applyAlignment="1">
      <alignment horizontal="left" vertical="center"/>
    </xf>
    <xf numFmtId="0" fontId="53" fillId="0" borderId="0" xfId="0" applyFont="1" applyAlignment="1">
      <alignment horizontal="left" vertical="top"/>
    </xf>
    <xf numFmtId="43" fontId="53" fillId="0" borderId="0" xfId="0" applyNumberFormat="1" applyFont="1" applyAlignment="1">
      <alignment horizontal="center" vertical="top"/>
    </xf>
    <xf numFmtId="0" fontId="53" fillId="0" borderId="0" xfId="0" applyFont="1" applyAlignment="1">
      <alignment horizontal="center" vertical="top"/>
    </xf>
    <xf numFmtId="43" fontId="53" fillId="0" borderId="3" xfId="1" applyFont="1" applyBorder="1" applyAlignment="1">
      <alignment horizontal="center" vertical="center" wrapText="1"/>
    </xf>
    <xf numFmtId="43" fontId="57" fillId="0" borderId="3" xfId="1" applyFont="1" applyBorder="1" applyAlignment="1">
      <alignment horizontal="center" vertical="center" wrapText="1"/>
    </xf>
    <xf numFmtId="0" fontId="61" fillId="0" borderId="3" xfId="58" applyFont="1" applyBorder="1" applyAlignment="1">
      <alignment horizontal="center" vertical="center" wrapText="1"/>
    </xf>
    <xf numFmtId="0" fontId="61" fillId="0" borderId="3" xfId="54" applyFont="1" applyBorder="1" applyAlignment="1">
      <alignment horizontal="left" vertical="center" wrapText="1"/>
    </xf>
    <xf numFmtId="0" fontId="61" fillId="0" borderId="3" xfId="54" applyFont="1" applyBorder="1" applyAlignment="1">
      <alignment horizontal="left" vertical="center"/>
    </xf>
    <xf numFmtId="0" fontId="61" fillId="0" borderId="3" xfId="54" applyFont="1" applyBorder="1" applyAlignment="1">
      <alignment horizontal="center" vertical="top" wrapText="1"/>
    </xf>
    <xf numFmtId="0" fontId="61" fillId="0" borderId="3" xfId="54" applyFont="1" applyBorder="1" applyAlignment="1">
      <alignment horizontal="center" vertical="center" wrapText="1"/>
    </xf>
    <xf numFmtId="0" fontId="61" fillId="0" borderId="3" xfId="0" applyFont="1" applyBorder="1" applyAlignment="1">
      <alignment horizontal="left" vertical="center" wrapText="1"/>
    </xf>
    <xf numFmtId="0" fontId="61" fillId="0" borderId="3" xfId="0" applyFont="1" applyBorder="1" applyAlignment="1">
      <alignment horizontal="center" vertical="center" wrapText="1"/>
    </xf>
    <xf numFmtId="0" fontId="61" fillId="0" borderId="3" xfId="0" quotePrefix="1" applyFont="1" applyBorder="1" applyAlignment="1">
      <alignment horizontal="center" vertical="center" wrapText="1"/>
    </xf>
    <xf numFmtId="0" fontId="61" fillId="0" borderId="3" xfId="0" applyFont="1" applyBorder="1" applyAlignment="1">
      <alignment horizontal="center" vertical="center"/>
    </xf>
    <xf numFmtId="0" fontId="61" fillId="0" borderId="3" xfId="54" applyFont="1" applyBorder="1" applyAlignment="1">
      <alignment vertical="top" wrapText="1"/>
    </xf>
    <xf numFmtId="0" fontId="61" fillId="0" borderId="3" xfId="54" applyFont="1" applyBorder="1" applyAlignment="1">
      <alignment vertical="center" wrapText="1"/>
    </xf>
    <xf numFmtId="43" fontId="46" fillId="7" borderId="0" xfId="59" applyNumberFormat="1" applyFont="1" applyFill="1" applyAlignment="1">
      <alignment vertical="center"/>
    </xf>
    <xf numFmtId="0" fontId="46" fillId="7" borderId="3" xfId="58" applyFont="1" applyFill="1" applyBorder="1" applyAlignment="1">
      <alignment horizontal="center" vertical="center" wrapText="1"/>
    </xf>
    <xf numFmtId="0" fontId="61" fillId="7" borderId="3" xfId="58" applyFont="1" applyFill="1" applyBorder="1" applyAlignment="1">
      <alignment horizontal="center" vertical="center" wrapText="1"/>
    </xf>
    <xf numFmtId="0" fontId="46" fillId="7" borderId="0" xfId="58" applyFont="1" applyFill="1" applyAlignment="1">
      <alignment vertical="center"/>
    </xf>
    <xf numFmtId="0" fontId="46" fillId="8" borderId="3" xfId="58" applyFont="1" applyFill="1" applyBorder="1" applyAlignment="1">
      <alignment horizontal="center" vertical="center" wrapText="1"/>
    </xf>
    <xf numFmtId="0" fontId="62" fillId="0" borderId="3" xfId="58" applyFont="1" applyBorder="1" applyAlignment="1">
      <alignment horizontal="center" vertical="center" wrapText="1"/>
    </xf>
    <xf numFmtId="0" fontId="46" fillId="8" borderId="3" xfId="59" applyFont="1" applyFill="1" applyBorder="1" applyAlignment="1">
      <alignment horizontal="center" vertical="center"/>
    </xf>
    <xf numFmtId="0" fontId="46" fillId="8" borderId="3" xfId="59" applyFont="1" applyFill="1" applyBorder="1" applyAlignment="1">
      <alignment horizontal="left" vertical="center" wrapText="1"/>
    </xf>
    <xf numFmtId="43" fontId="46" fillId="8" borderId="3" xfId="59" applyNumberFormat="1" applyFont="1" applyFill="1" applyBorder="1" applyAlignment="1">
      <alignment horizontal="center" vertical="center" wrapText="1"/>
    </xf>
    <xf numFmtId="164" fontId="46" fillId="8" borderId="3" xfId="60" applyNumberFormat="1" applyFont="1" applyFill="1" applyBorder="1" applyAlignment="1">
      <alignment horizontal="center" vertical="center"/>
    </xf>
    <xf numFmtId="164" fontId="46" fillId="8" borderId="3" xfId="60" applyNumberFormat="1" applyFont="1" applyFill="1" applyBorder="1" applyAlignment="1">
      <alignment vertical="center" wrapText="1"/>
    </xf>
    <xf numFmtId="0" fontId="46" fillId="8" borderId="0" xfId="59" applyFont="1" applyFill="1" applyAlignment="1">
      <alignment vertical="center"/>
    </xf>
    <xf numFmtId="0" fontId="46" fillId="7" borderId="3" xfId="59" applyFont="1" applyFill="1" applyBorder="1" applyAlignment="1">
      <alignment horizontal="center" vertical="center"/>
    </xf>
    <xf numFmtId="0" fontId="46" fillId="7" borderId="3" xfId="59" applyFont="1" applyFill="1" applyBorder="1" applyAlignment="1">
      <alignment horizontal="left" vertical="center" wrapText="1"/>
    </xf>
    <xf numFmtId="43" fontId="46" fillId="7" borderId="3" xfId="59" applyNumberFormat="1" applyFont="1" applyFill="1" applyBorder="1" applyAlignment="1">
      <alignment horizontal="center" vertical="center" wrapText="1"/>
    </xf>
    <xf numFmtId="164" fontId="46" fillId="7" borderId="3" xfId="60" applyNumberFormat="1" applyFont="1" applyFill="1" applyBorder="1" applyAlignment="1">
      <alignment horizontal="center" vertical="center"/>
    </xf>
    <xf numFmtId="164" fontId="46" fillId="7" borderId="3" xfId="60" applyNumberFormat="1" applyFont="1" applyFill="1" applyBorder="1" applyAlignment="1">
      <alignment vertical="center" wrapText="1"/>
    </xf>
    <xf numFmtId="0" fontId="46" fillId="7" borderId="0" xfId="59" applyFont="1" applyFill="1" applyAlignment="1">
      <alignment vertical="center"/>
    </xf>
    <xf numFmtId="164" fontId="45" fillId="0" borderId="4" xfId="60" applyNumberFormat="1" applyFont="1" applyBorder="1" applyAlignment="1">
      <alignment horizontal="center" vertical="center" wrapText="1"/>
    </xf>
    <xf numFmtId="0" fontId="0" fillId="0" borderId="25" xfId="0" applyBorder="1"/>
    <xf numFmtId="0" fontId="0" fillId="0" borderId="22" xfId="0" applyBorder="1"/>
    <xf numFmtId="164" fontId="45" fillId="0" borderId="3" xfId="60" applyNumberFormat="1" applyFont="1" applyBorder="1" applyAlignment="1">
      <alignment horizontal="center" vertical="center" wrapText="1"/>
    </xf>
    <xf numFmtId="0" fontId="0" fillId="0" borderId="23" xfId="0" applyBorder="1"/>
    <xf numFmtId="0" fontId="0" fillId="0" borderId="24" xfId="0" applyBorder="1"/>
    <xf numFmtId="0" fontId="47" fillId="0" borderId="0" xfId="59" applyFont="1" applyAlignment="1">
      <alignment horizontal="center" vertical="center"/>
    </xf>
    <xf numFmtId="0" fontId="48" fillId="0" borderId="0" xfId="59" applyFont="1" applyAlignment="1">
      <alignment vertical="center"/>
    </xf>
    <xf numFmtId="0" fontId="45" fillId="0" borderId="3" xfId="58" applyFont="1" applyBorder="1" applyAlignment="1">
      <alignment horizontal="center" vertical="center" wrapText="1"/>
    </xf>
    <xf numFmtId="0" fontId="0" fillId="0" borderId="5" xfId="0" applyBorder="1"/>
    <xf numFmtId="0" fontId="45" fillId="0" borderId="3" xfId="59" applyFont="1" applyBorder="1" applyAlignment="1">
      <alignment horizontal="center" vertical="center" wrapText="1"/>
    </xf>
    <xf numFmtId="0" fontId="45" fillId="7" borderId="4" xfId="58" applyFont="1" applyFill="1" applyBorder="1" applyAlignment="1">
      <alignment horizontal="center" vertical="center" wrapText="1"/>
    </xf>
    <xf numFmtId="0" fontId="45" fillId="7" borderId="5" xfId="58" applyFont="1" applyFill="1" applyBorder="1" applyAlignment="1">
      <alignment horizontal="center" vertical="center" wrapText="1"/>
    </xf>
    <xf numFmtId="0" fontId="27" fillId="2" borderId="7" xfId="0" applyFont="1" applyFill="1" applyBorder="1" applyAlignment="1">
      <alignment horizontal="center" vertical="center" wrapText="1"/>
    </xf>
    <xf numFmtId="0" fontId="0" fillId="0" borderId="26" xfId="0" applyBorder="1"/>
    <xf numFmtId="0" fontId="3" fillId="0" borderId="0" xfId="0" applyFont="1" applyAlignment="1">
      <alignment horizontal="left" vertical="center" wrapText="1"/>
    </xf>
    <xf numFmtId="0" fontId="0" fillId="0" borderId="0" xfId="0" applyAlignment="1">
      <alignment vertical="center" wrapText="1"/>
    </xf>
    <xf numFmtId="0" fontId="6" fillId="2" borderId="3" xfId="40" applyFont="1" applyFill="1" applyBorder="1" applyAlignment="1">
      <alignment horizontal="center" vertical="center" wrapText="1"/>
    </xf>
    <xf numFmtId="9" fontId="6" fillId="2" borderId="3" xfId="45" applyFont="1" applyFill="1" applyBorder="1" applyAlignment="1">
      <alignment horizontal="center" vertical="center" wrapText="1"/>
    </xf>
    <xf numFmtId="0" fontId="53" fillId="0" borderId="3" xfId="0" applyFont="1" applyBorder="1" applyAlignment="1">
      <alignment horizontal="center" vertical="center" wrapText="1"/>
    </xf>
    <xf numFmtId="0" fontId="0" fillId="0" borderId="8" xfId="0" applyBorder="1"/>
    <xf numFmtId="0" fontId="57" fillId="0" borderId="3" xfId="54" applyFont="1" applyBorder="1" applyAlignment="1">
      <alignment horizontal="center" vertical="center" wrapText="1"/>
    </xf>
    <xf numFmtId="164" fontId="57" fillId="0" borderId="3" xfId="55" applyNumberFormat="1" applyFont="1" applyBorder="1" applyAlignment="1">
      <alignment horizontal="center" vertical="center" wrapText="1"/>
    </xf>
    <xf numFmtId="0" fontId="57" fillId="0" borderId="3" xfId="0" applyFont="1" applyBorder="1" applyAlignment="1">
      <alignment horizontal="center" vertical="center" wrapText="1"/>
    </xf>
    <xf numFmtId="164" fontId="57" fillId="0" borderId="4" xfId="55" applyNumberFormat="1" applyFont="1" applyBorder="1" applyAlignment="1">
      <alignment horizontal="center" vertical="center" wrapText="1"/>
    </xf>
    <xf numFmtId="164" fontId="57" fillId="0" borderId="3" xfId="1" applyNumberFormat="1" applyFont="1" applyBorder="1" applyAlignment="1">
      <alignment horizontal="center" vertical="center" wrapText="1"/>
    </xf>
    <xf numFmtId="0" fontId="57" fillId="0" borderId="3" xfId="0" applyFont="1" applyBorder="1" applyAlignment="1">
      <alignment horizontal="left" vertical="center" wrapText="1"/>
    </xf>
    <xf numFmtId="164" fontId="54" fillId="0" borderId="3" xfId="55" applyNumberFormat="1" applyFont="1" applyBorder="1" applyAlignment="1">
      <alignment horizontal="center" vertical="center" wrapText="1"/>
    </xf>
    <xf numFmtId="164" fontId="54" fillId="0" borderId="3" xfId="1" applyNumberFormat="1" applyFont="1" applyBorder="1" applyAlignment="1">
      <alignment horizontal="center" vertical="center" wrapText="1"/>
    </xf>
    <xf numFmtId="0" fontId="54" fillId="0" borderId="3" xfId="0" applyFont="1" applyBorder="1" applyAlignment="1">
      <alignment horizontal="center" vertical="center" wrapText="1"/>
    </xf>
    <xf numFmtId="0" fontId="54" fillId="0" borderId="3" xfId="54" applyFont="1" applyBorder="1" applyAlignment="1">
      <alignment horizontal="center" vertical="center" wrapText="1"/>
    </xf>
  </cellXfs>
  <cellStyles count="61">
    <cellStyle name="Comma" xfId="1" builtinId="3"/>
    <cellStyle name="Comma 10 10" xfId="2" xr:uid="{00000000-0005-0000-0000-000002000000}"/>
    <cellStyle name="Comma 10 2 2" xfId="3" xr:uid="{00000000-0005-0000-0000-000003000000}"/>
    <cellStyle name="Comma 14 5 2 2" xfId="4" xr:uid="{00000000-0005-0000-0000-000004000000}"/>
    <cellStyle name="Comma 17" xfId="5" xr:uid="{00000000-0005-0000-0000-000005000000}"/>
    <cellStyle name="Comma 2" xfId="6" xr:uid="{00000000-0005-0000-0000-000006000000}"/>
    <cellStyle name="Comma 2 13" xfId="7" xr:uid="{00000000-0005-0000-0000-000007000000}"/>
    <cellStyle name="Comma 2 2" xfId="8" xr:uid="{00000000-0005-0000-0000-000008000000}"/>
    <cellStyle name="Comma 2 3" xfId="9" xr:uid="{00000000-0005-0000-0000-000009000000}"/>
    <cellStyle name="Comma 25" xfId="10" xr:uid="{00000000-0005-0000-0000-00000A000000}"/>
    <cellStyle name="Comma 3" xfId="11" xr:uid="{00000000-0005-0000-0000-00000B000000}"/>
    <cellStyle name="Comma 3 2" xfId="12" xr:uid="{00000000-0005-0000-0000-00000C000000}"/>
    <cellStyle name="Comma 4" xfId="55" xr:uid="{00000000-0005-0000-0000-000037000000}"/>
    <cellStyle name="Comma 4 2" xfId="60" xr:uid="{00000000-0005-0000-0000-00003C000000}"/>
    <cellStyle name="Comma 41 3" xfId="13" xr:uid="{00000000-0005-0000-0000-00000D000000}"/>
    <cellStyle name="Comma 41 3 3" xfId="14" xr:uid="{00000000-0005-0000-0000-00000E000000}"/>
    <cellStyle name="Comma 5 3" xfId="15" xr:uid="{00000000-0005-0000-0000-00000F000000}"/>
    <cellStyle name="Comma 7 4" xfId="16" xr:uid="{00000000-0005-0000-0000-000010000000}"/>
    <cellStyle name="Dấu phẩy 2" xfId="17" xr:uid="{00000000-0005-0000-0000-000011000000}"/>
    <cellStyle name="Dấu phẩy 2 2" xfId="18" xr:uid="{00000000-0005-0000-0000-000012000000}"/>
    <cellStyle name="Normal" xfId="0" builtinId="0"/>
    <cellStyle name="Normal 11" xfId="19" xr:uid="{00000000-0005-0000-0000-000013000000}"/>
    <cellStyle name="Normal 14" xfId="20" xr:uid="{00000000-0005-0000-0000-000014000000}"/>
    <cellStyle name="Normal 15" xfId="21" xr:uid="{00000000-0005-0000-0000-000015000000}"/>
    <cellStyle name="Normal 16" xfId="22" xr:uid="{00000000-0005-0000-0000-000016000000}"/>
    <cellStyle name="Normal 19 2" xfId="58" xr:uid="{00000000-0005-0000-0000-00003A000000}"/>
    <cellStyle name="Normal 2" xfId="23" xr:uid="{00000000-0005-0000-0000-000017000000}"/>
    <cellStyle name="Normal 2 10 2 2" xfId="24" xr:uid="{00000000-0005-0000-0000-000018000000}"/>
    <cellStyle name="Normal 2 2" xfId="25" xr:uid="{00000000-0005-0000-0000-000019000000}"/>
    <cellStyle name="Normal 2 2 2" xfId="26" xr:uid="{00000000-0005-0000-0000-00001A000000}"/>
    <cellStyle name="Normal 2 2 2 3" xfId="27" xr:uid="{00000000-0005-0000-0000-00001B000000}"/>
    <cellStyle name="Normal 2 2 4" xfId="28" xr:uid="{00000000-0005-0000-0000-00001C000000}"/>
    <cellStyle name="Normal 2 3" xfId="29" xr:uid="{00000000-0005-0000-0000-00001D000000}"/>
    <cellStyle name="Normal 2 5" xfId="30" xr:uid="{00000000-0005-0000-0000-00001E000000}"/>
    <cellStyle name="Normal 23" xfId="31" xr:uid="{00000000-0005-0000-0000-00001F000000}"/>
    <cellStyle name="Normal 3" xfId="32" xr:uid="{00000000-0005-0000-0000-000020000000}"/>
    <cellStyle name="Normal 3 2" xfId="33" xr:uid="{00000000-0005-0000-0000-000021000000}"/>
    <cellStyle name="Normal 3 2 5" xfId="34" xr:uid="{00000000-0005-0000-0000-000022000000}"/>
    <cellStyle name="Normal 3 3" xfId="35" xr:uid="{00000000-0005-0000-0000-000023000000}"/>
    <cellStyle name="Normal 3 4" xfId="36" xr:uid="{00000000-0005-0000-0000-000024000000}"/>
    <cellStyle name="Normal 3 6" xfId="37" xr:uid="{00000000-0005-0000-0000-000025000000}"/>
    <cellStyle name="Normal 4" xfId="38" xr:uid="{00000000-0005-0000-0000-000026000000}"/>
    <cellStyle name="Normal 5" xfId="39" xr:uid="{00000000-0005-0000-0000-000027000000}"/>
    <cellStyle name="Normal 5 2" xfId="40" xr:uid="{00000000-0005-0000-0000-000028000000}"/>
    <cellStyle name="Normal 5 4" xfId="41" xr:uid="{00000000-0005-0000-0000-000029000000}"/>
    <cellStyle name="Normal 58" xfId="56" xr:uid="{00000000-0005-0000-0000-000038000000}"/>
    <cellStyle name="Normal 6" xfId="54" xr:uid="{00000000-0005-0000-0000-000036000000}"/>
    <cellStyle name="Normal 6 2" xfId="42" xr:uid="{00000000-0005-0000-0000-00002A000000}"/>
    <cellStyle name="Normal 6 2 2" xfId="43" xr:uid="{00000000-0005-0000-0000-00002B000000}"/>
    <cellStyle name="Normal 6 3" xfId="57" xr:uid="{00000000-0005-0000-0000-000039000000}"/>
    <cellStyle name="Normal 6 4" xfId="59" xr:uid="{00000000-0005-0000-0000-00003B000000}"/>
    <cellStyle name="Normal 8" xfId="44" xr:uid="{00000000-0005-0000-0000-00002C000000}"/>
    <cellStyle name="Percent 6" xfId="45" xr:uid="{00000000-0005-0000-0000-00002D000000}"/>
    <cellStyle name="표준 18 2" xfId="46" xr:uid="{00000000-0005-0000-0000-00002E000000}"/>
    <cellStyle name="표준_예산변경(1월) 2" xfId="47" xr:uid="{00000000-0005-0000-0000-00002F000000}"/>
    <cellStyle name="一般 16" xfId="48" xr:uid="{00000000-0005-0000-0000-000030000000}"/>
    <cellStyle name="一般 17" xfId="49" xr:uid="{00000000-0005-0000-0000-000031000000}"/>
    <cellStyle name="一般 19" xfId="50" xr:uid="{00000000-0005-0000-0000-000032000000}"/>
    <cellStyle name="一般 2 5 2" xfId="51" xr:uid="{00000000-0005-0000-0000-000033000000}"/>
    <cellStyle name="一般 21 2" xfId="52" xr:uid="{00000000-0005-0000-0000-000034000000}"/>
    <cellStyle name="一般 26 2" xfId="53" xr:uid="{00000000-0005-0000-0000-00003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973</xdr:row>
      <xdr:rowOff>0</xdr:rowOff>
    </xdr:from>
    <xdr:to>
      <xdr:col>14</xdr:col>
      <xdr:colOff>179042</xdr:colOff>
      <xdr:row>973</xdr:row>
      <xdr:rowOff>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19835495" y="159289750"/>
          <a:ext cx="179070" cy="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39994506668294322"/>
    <outlinePr summaryBelow="0"/>
    <pageSetUpPr fitToPage="1"/>
  </sheetPr>
  <dimension ref="B1:I35"/>
  <sheetViews>
    <sheetView view="pageBreakPreview" topLeftCell="A9" zoomScale="70" zoomScaleNormal="100" zoomScaleSheetLayoutView="70" workbookViewId="0">
      <selection activeCell="N13" sqref="N13"/>
    </sheetView>
  </sheetViews>
  <sheetFormatPr defaultColWidth="8.88671875" defaultRowHeight="13.2" outlineLevelRow="1"/>
  <cols>
    <col min="1" max="1" width="4.109375" style="2" customWidth="1"/>
    <col min="2" max="2" width="9.5546875" style="90" customWidth="1"/>
    <col min="3" max="3" width="53.33203125" style="2" customWidth="1"/>
    <col min="4" max="7" width="20.6640625" style="3" customWidth="1"/>
    <col min="8" max="8" width="23.21875" style="2" customWidth="1"/>
    <col min="9" max="9" width="67" style="2" customWidth="1"/>
    <col min="10" max="11" width="8.88671875" style="2" customWidth="1"/>
    <col min="12" max="16384" width="8.88671875" style="2"/>
  </cols>
  <sheetData>
    <row r="1" spans="2:9" ht="10.5" customHeight="1"/>
    <row r="2" spans="2:9" ht="19.95" customHeight="1" outlineLevel="1">
      <c r="B2" s="91" t="s">
        <v>0</v>
      </c>
      <c r="C2" s="5"/>
      <c r="D2" s="10"/>
      <c r="E2" s="10"/>
      <c r="F2" s="10"/>
      <c r="G2" s="10"/>
      <c r="H2" s="5"/>
    </row>
    <row r="3" spans="2:9" ht="19.95" customHeight="1" outlineLevel="1">
      <c r="B3" s="91" t="s">
        <v>1</v>
      </c>
      <c r="C3" s="5"/>
      <c r="D3" s="10"/>
      <c r="E3" s="10"/>
      <c r="F3" s="10"/>
      <c r="G3" s="10"/>
      <c r="H3" s="5"/>
    </row>
    <row r="4" spans="2:9" ht="19.95" customHeight="1" outlineLevel="1">
      <c r="B4" s="91" t="s">
        <v>2</v>
      </c>
      <c r="C4" s="5"/>
      <c r="D4" s="10"/>
      <c r="E4" s="10"/>
      <c r="F4" s="10"/>
      <c r="G4" s="10"/>
      <c r="H4" s="5"/>
    </row>
    <row r="5" spans="2:9" s="87" customFormat="1" ht="8.4" customHeight="1" outlineLevel="1">
      <c r="B5" s="92"/>
      <c r="D5" s="93"/>
      <c r="E5" s="93"/>
      <c r="F5" s="93"/>
      <c r="G5" s="93"/>
    </row>
    <row r="6" spans="2:9" s="87" customFormat="1" ht="17.399999999999999" customHeight="1">
      <c r="B6" s="94" t="s">
        <v>3</v>
      </c>
      <c r="D6" s="93"/>
      <c r="E6" s="93"/>
      <c r="F6" s="93"/>
      <c r="G6" s="93"/>
      <c r="I6" s="95" t="s">
        <v>4</v>
      </c>
    </row>
    <row r="7" spans="2:9" s="87" customFormat="1" ht="10.95" customHeight="1">
      <c r="B7" s="96"/>
      <c r="D7" s="93"/>
      <c r="E7" s="93"/>
      <c r="F7" s="93"/>
      <c r="G7" s="93"/>
    </row>
    <row r="8" spans="2:9" s="88" customFormat="1" ht="21" customHeight="1">
      <c r="B8" s="359" t="s">
        <v>5</v>
      </c>
      <c r="C8" s="359" t="s">
        <v>6</v>
      </c>
      <c r="D8" s="97" t="s">
        <v>7</v>
      </c>
      <c r="E8" s="97"/>
      <c r="F8" s="97"/>
      <c r="G8" s="97"/>
      <c r="H8" s="98"/>
      <c r="I8" s="359" t="s">
        <v>8</v>
      </c>
    </row>
    <row r="9" spans="2:9" s="88" customFormat="1" ht="43.2" customHeight="1">
      <c r="B9" s="360"/>
      <c r="C9" s="360"/>
      <c r="D9" s="100" t="s">
        <v>9</v>
      </c>
      <c r="E9" s="100" t="s">
        <v>10</v>
      </c>
      <c r="F9" s="100" t="s">
        <v>11</v>
      </c>
      <c r="G9" s="100" t="s">
        <v>12</v>
      </c>
      <c r="H9" s="99" t="s">
        <v>13</v>
      </c>
      <c r="I9" s="360"/>
    </row>
    <row r="10" spans="2:9" s="88" customFormat="1" ht="15.6" customHeight="1">
      <c r="B10" s="101"/>
      <c r="C10" s="102"/>
      <c r="D10" s="103"/>
      <c r="E10" s="103"/>
      <c r="F10" s="103"/>
      <c r="G10" s="103"/>
      <c r="H10" s="102"/>
      <c r="I10" s="104"/>
    </row>
    <row r="11" spans="2:9" s="88" customFormat="1" ht="15.6" customHeight="1">
      <c r="B11" s="9" t="s">
        <v>14</v>
      </c>
      <c r="C11" s="105" t="s">
        <v>15</v>
      </c>
      <c r="D11" s="106"/>
      <c r="E11" s="106"/>
      <c r="F11" s="106"/>
      <c r="G11" s="106"/>
      <c r="H11" s="105">
        <f>'Bill 01 - Prelims'!G178</f>
        <v>0</v>
      </c>
      <c r="I11" s="9"/>
    </row>
    <row r="12" spans="2:9" s="88" customFormat="1" ht="15.6" customHeight="1">
      <c r="B12" s="101"/>
      <c r="C12" s="102"/>
      <c r="D12" s="103"/>
      <c r="E12" s="103"/>
      <c r="F12" s="103"/>
      <c r="G12" s="103"/>
      <c r="H12" s="102"/>
      <c r="I12" s="104"/>
    </row>
    <row r="13" spans="2:9" s="88" customFormat="1" ht="15.6" customHeight="1">
      <c r="B13" s="9" t="s">
        <v>16</v>
      </c>
      <c r="C13" s="105" t="s">
        <v>17</v>
      </c>
      <c r="D13" s="103"/>
      <c r="E13" s="103"/>
      <c r="F13" s="103"/>
      <c r="G13" s="103"/>
      <c r="H13" s="102"/>
      <c r="I13" s="104"/>
    </row>
    <row r="14" spans="2:9" s="88" customFormat="1" ht="41.55" customHeight="1">
      <c r="B14" s="9">
        <v>1</v>
      </c>
      <c r="C14" s="105" t="s">
        <v>18</v>
      </c>
      <c r="D14" s="106"/>
      <c r="E14" s="106"/>
      <c r="F14" s="106"/>
      <c r="G14" s="106"/>
      <c r="H14" s="107">
        <f t="shared" ref="H14:H21" si="0">SUM(D14:G14)</f>
        <v>0</v>
      </c>
      <c r="I14" s="108"/>
    </row>
    <row r="15" spans="2:9" s="88" customFormat="1" ht="41.55" customHeight="1">
      <c r="B15" s="9">
        <v>2</v>
      </c>
      <c r="C15" s="105" t="s">
        <v>19</v>
      </c>
      <c r="D15" s="106"/>
      <c r="E15" s="106"/>
      <c r="F15" s="106"/>
      <c r="G15" s="106"/>
      <c r="H15" s="107">
        <f t="shared" si="0"/>
        <v>0</v>
      </c>
      <c r="I15" s="108"/>
    </row>
    <row r="16" spans="2:9" s="88" customFormat="1" ht="41.55" customHeight="1">
      <c r="B16" s="9">
        <v>3</v>
      </c>
      <c r="C16" s="105" t="s">
        <v>20</v>
      </c>
      <c r="D16" s="106"/>
      <c r="E16" s="106"/>
      <c r="F16" s="106"/>
      <c r="G16" s="106"/>
      <c r="H16" s="107">
        <f t="shared" si="0"/>
        <v>0</v>
      </c>
      <c r="I16" s="108"/>
    </row>
    <row r="17" spans="2:9" s="88" customFormat="1" ht="41.55" customHeight="1">
      <c r="B17" s="9">
        <v>4</v>
      </c>
      <c r="C17" s="105" t="s">
        <v>21</v>
      </c>
      <c r="D17" s="106"/>
      <c r="E17" s="106"/>
      <c r="F17" s="106"/>
      <c r="G17" s="106"/>
      <c r="H17" s="107">
        <f t="shared" si="0"/>
        <v>0</v>
      </c>
      <c r="I17" s="108"/>
    </row>
    <row r="18" spans="2:9" s="88" customFormat="1" ht="41.55" customHeight="1">
      <c r="B18" s="9">
        <v>5</v>
      </c>
      <c r="C18" s="105" t="s">
        <v>22</v>
      </c>
      <c r="D18" s="106"/>
      <c r="E18" s="106"/>
      <c r="F18" s="106"/>
      <c r="G18" s="106"/>
      <c r="H18" s="107">
        <f t="shared" si="0"/>
        <v>0</v>
      </c>
      <c r="I18" s="108"/>
    </row>
    <row r="19" spans="2:9" s="88" customFormat="1" ht="41.55" customHeight="1">
      <c r="B19" s="9">
        <v>6</v>
      </c>
      <c r="C19" s="105" t="s">
        <v>23</v>
      </c>
      <c r="D19" s="106"/>
      <c r="E19" s="106"/>
      <c r="F19" s="106"/>
      <c r="G19" s="106"/>
      <c r="H19" s="107">
        <f t="shared" si="0"/>
        <v>0</v>
      </c>
      <c r="I19" s="108"/>
    </row>
    <row r="20" spans="2:9" s="88" customFormat="1" ht="41.55" customHeight="1">
      <c r="B20" s="9">
        <v>7</v>
      </c>
      <c r="C20" s="105" t="s">
        <v>24</v>
      </c>
      <c r="D20" s="106"/>
      <c r="E20" s="106"/>
      <c r="F20" s="106"/>
      <c r="G20" s="106"/>
      <c r="H20" s="107">
        <f t="shared" si="0"/>
        <v>0</v>
      </c>
      <c r="I20" s="108"/>
    </row>
    <row r="21" spans="2:9" s="88" customFormat="1" ht="41.55" customHeight="1">
      <c r="B21" s="9">
        <v>8</v>
      </c>
      <c r="C21" s="105" t="s">
        <v>25</v>
      </c>
      <c r="D21" s="106"/>
      <c r="E21" s="106"/>
      <c r="F21" s="106"/>
      <c r="G21" s="106"/>
      <c r="H21" s="107">
        <f t="shared" si="0"/>
        <v>0</v>
      </c>
      <c r="I21" s="108"/>
    </row>
    <row r="22" spans="2:9" s="88" customFormat="1" ht="15.6" customHeight="1">
      <c r="B22" s="101"/>
      <c r="C22" s="102"/>
      <c r="D22" s="103"/>
      <c r="E22" s="103"/>
      <c r="F22" s="103"/>
      <c r="G22" s="103"/>
      <c r="H22" s="102"/>
      <c r="I22" s="104"/>
    </row>
    <row r="23" spans="2:9" s="89" customFormat="1" ht="20.7" customHeight="1">
      <c r="B23" s="109"/>
      <c r="C23" s="110" t="s">
        <v>26</v>
      </c>
      <c r="D23" s="111"/>
      <c r="E23" s="111"/>
      <c r="F23" s="111"/>
      <c r="G23" s="111"/>
      <c r="H23" s="111">
        <f>SUBTOTAL(9,H10:H22)</f>
        <v>0</v>
      </c>
      <c r="I23" s="112"/>
    </row>
    <row r="24" spans="2:9" s="89" customFormat="1" ht="20.7" customHeight="1">
      <c r="B24" s="109"/>
      <c r="C24" s="110" t="s">
        <v>27</v>
      </c>
      <c r="D24" s="111"/>
      <c r="E24" s="111"/>
      <c r="F24" s="111"/>
      <c r="G24" s="111"/>
      <c r="H24" s="113">
        <f>8%*H23</f>
        <v>0</v>
      </c>
      <c r="I24" s="112"/>
    </row>
    <row r="25" spans="2:9" s="89" customFormat="1" ht="20.7" customHeight="1">
      <c r="B25" s="114"/>
      <c r="C25" s="115" t="s">
        <v>28</v>
      </c>
      <c r="D25" s="116"/>
      <c r="E25" s="116"/>
      <c r="F25" s="116"/>
      <c r="G25" s="116"/>
      <c r="H25" s="117">
        <f>H23+H24</f>
        <v>0</v>
      </c>
      <c r="I25" s="118"/>
    </row>
    <row r="26" spans="2:9">
      <c r="B26" s="11"/>
      <c r="C26" s="1"/>
      <c r="D26" s="7"/>
      <c r="E26" s="7"/>
      <c r="F26" s="7"/>
      <c r="G26" s="7"/>
      <c r="H26" s="1"/>
      <c r="I26" s="1"/>
    </row>
    <row r="27" spans="2:9">
      <c r="B27" s="11"/>
      <c r="C27" s="4" t="s">
        <v>29</v>
      </c>
      <c r="D27" s="7"/>
      <c r="E27" s="7"/>
      <c r="F27" s="7"/>
      <c r="G27" s="7"/>
      <c r="H27" s="1"/>
      <c r="I27" s="1"/>
    </row>
    <row r="28" spans="2:9">
      <c r="B28" s="11"/>
      <c r="C28" s="4"/>
      <c r="D28" s="7"/>
      <c r="E28" s="7"/>
      <c r="F28" s="7"/>
      <c r="G28" s="7"/>
      <c r="H28" s="1"/>
      <c r="I28" s="1"/>
    </row>
    <row r="29" spans="2:9">
      <c r="B29" s="11"/>
      <c r="C29" s="119" t="s">
        <v>30</v>
      </c>
      <c r="D29" s="120"/>
      <c r="E29" s="120"/>
      <c r="F29" s="120"/>
      <c r="G29" s="120"/>
      <c r="H29" s="121"/>
      <c r="I29" s="1"/>
    </row>
    <row r="30" spans="2:9">
      <c r="B30" s="11"/>
      <c r="C30" s="4"/>
      <c r="D30" s="7"/>
      <c r="E30" s="7"/>
      <c r="F30" s="7"/>
      <c r="G30" s="7"/>
      <c r="H30" s="1"/>
      <c r="I30" s="1"/>
    </row>
    <row r="31" spans="2:9">
      <c r="B31" s="11"/>
      <c r="C31" s="1"/>
      <c r="D31" s="7"/>
      <c r="E31" s="7"/>
      <c r="F31" s="7"/>
      <c r="G31" s="7"/>
      <c r="H31" s="1"/>
      <c r="I31" s="1"/>
    </row>
    <row r="32" spans="2:9">
      <c r="B32" s="11"/>
      <c r="C32" s="1"/>
      <c r="D32" s="7"/>
      <c r="E32" s="7"/>
      <c r="F32" s="7"/>
      <c r="G32" s="7"/>
      <c r="H32" s="1"/>
      <c r="I32" s="1"/>
    </row>
    <row r="33" spans="2:9">
      <c r="B33" s="11"/>
      <c r="C33" s="1"/>
      <c r="D33" s="7"/>
      <c r="E33" s="7"/>
      <c r="F33" s="7"/>
      <c r="G33" s="7"/>
      <c r="H33" s="1"/>
      <c r="I33" s="1"/>
    </row>
    <row r="34" spans="2:9">
      <c r="B34" s="11"/>
      <c r="C34" s="1"/>
      <c r="D34" s="7"/>
      <c r="E34" s="7"/>
      <c r="F34" s="7"/>
      <c r="G34" s="7"/>
      <c r="H34" s="1"/>
      <c r="I34" s="1"/>
    </row>
    <row r="35" spans="2:9">
      <c r="B35" s="11"/>
      <c r="C35" s="1"/>
      <c r="D35" s="7"/>
      <c r="E35" s="7"/>
      <c r="F35" s="7"/>
      <c r="G35" s="7"/>
      <c r="H35" s="1"/>
      <c r="I35" s="1"/>
    </row>
  </sheetData>
  <autoFilter ref="A9:I25" xr:uid="{00000000-0009-0000-0000-000000000000}"/>
  <mergeCells count="3">
    <mergeCell ref="I8:I9"/>
    <mergeCell ref="B8:B9"/>
    <mergeCell ref="C8:C9"/>
  </mergeCells>
  <pageMargins left="0.5" right="0.5" top="0.75" bottom="0.75" header="0.3" footer="0.3"/>
  <pageSetup paperSize="9" scale="5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4506668294322"/>
    <pageSetUpPr fitToPage="1"/>
  </sheetPr>
  <dimension ref="B1:I178"/>
  <sheetViews>
    <sheetView showGridLines="0" view="pageBreakPreview" zoomScaleNormal="100" workbookViewId="0">
      <pane xSplit="4" ySplit="9" topLeftCell="E170" activePane="bottomRight" state="frozen"/>
      <selection pane="topRight"/>
      <selection pane="bottomLeft"/>
      <selection pane="bottomRight" activeCell="C53" sqref="C53"/>
    </sheetView>
  </sheetViews>
  <sheetFormatPr defaultColWidth="9" defaultRowHeight="14.4" outlineLevelRow="1"/>
  <cols>
    <col min="1" max="1" width="2.88671875" style="12" customWidth="1"/>
    <col min="2" max="2" width="5.44140625" style="12" customWidth="1"/>
    <col min="3" max="3" width="80" style="13" customWidth="1"/>
    <col min="4" max="4" width="9.77734375" style="12" customWidth="1"/>
    <col min="5" max="6" width="11.88671875" style="12" customWidth="1"/>
    <col min="7" max="7" width="13.44140625" style="12" customWidth="1"/>
    <col min="8" max="8" width="22.109375" style="12" customWidth="1"/>
    <col min="9" max="201" width="8.77734375" style="12" customWidth="1"/>
    <col min="202" max="202" width="5.44140625" style="12" customWidth="1"/>
    <col min="203" max="203" width="82.6640625" style="12" customWidth="1"/>
    <col min="204" max="205" width="19" style="12" customWidth="1"/>
    <col min="206" max="206" width="24" style="12" customWidth="1"/>
    <col min="207" max="457" width="8.77734375" style="12" customWidth="1"/>
    <col min="458" max="458" width="5.44140625" style="12" customWidth="1"/>
    <col min="459" max="459" width="82.6640625" style="12" customWidth="1"/>
    <col min="460" max="461" width="19" style="12" customWidth="1"/>
    <col min="462" max="462" width="24" style="12" customWidth="1"/>
    <col min="463" max="713" width="8.77734375" style="12" customWidth="1"/>
    <col min="714" max="714" width="5.44140625" style="12" customWidth="1"/>
    <col min="715" max="715" width="82.6640625" style="12" customWidth="1"/>
    <col min="716" max="717" width="19" style="12" customWidth="1"/>
    <col min="718" max="718" width="24" style="12" customWidth="1"/>
    <col min="719" max="969" width="8.77734375" style="12" customWidth="1"/>
    <col min="970" max="970" width="5.44140625" style="12" customWidth="1"/>
    <col min="971" max="971" width="82.6640625" style="12" customWidth="1"/>
    <col min="972" max="973" width="19" style="12" customWidth="1"/>
    <col min="974" max="974" width="24" style="12" customWidth="1"/>
    <col min="975" max="1225" width="8.77734375" style="12" customWidth="1"/>
    <col min="1226" max="1226" width="5.44140625" style="12" customWidth="1"/>
    <col min="1227" max="1227" width="82.6640625" style="12" customWidth="1"/>
    <col min="1228" max="1229" width="19" style="12" customWidth="1"/>
    <col min="1230" max="1230" width="24" style="12" customWidth="1"/>
    <col min="1231" max="1481" width="8.77734375" style="12" customWidth="1"/>
    <col min="1482" max="1482" width="5.44140625" style="12" customWidth="1"/>
    <col min="1483" max="1483" width="82.6640625" style="12" customWidth="1"/>
    <col min="1484" max="1485" width="19" style="12" customWidth="1"/>
    <col min="1486" max="1486" width="24" style="12" customWidth="1"/>
    <col min="1487" max="1737" width="8.77734375" style="12" customWidth="1"/>
    <col min="1738" max="1738" width="5.44140625" style="12" customWidth="1"/>
    <col min="1739" max="1739" width="82.6640625" style="12" customWidth="1"/>
    <col min="1740" max="1741" width="19" style="12" customWidth="1"/>
    <col min="1742" max="1742" width="24" style="12" customWidth="1"/>
    <col min="1743" max="1993" width="8.77734375" style="12" customWidth="1"/>
    <col min="1994" max="1994" width="5.44140625" style="12" customWidth="1"/>
    <col min="1995" max="1995" width="82.6640625" style="12" customWidth="1"/>
    <col min="1996" max="1997" width="19" style="12" customWidth="1"/>
    <col min="1998" max="1998" width="24" style="12" customWidth="1"/>
    <col min="1999" max="2249" width="8.77734375" style="12" customWidth="1"/>
    <col min="2250" max="2250" width="5.44140625" style="12" customWidth="1"/>
    <col min="2251" max="2251" width="82.6640625" style="12" customWidth="1"/>
    <col min="2252" max="2253" width="19" style="12" customWidth="1"/>
    <col min="2254" max="2254" width="24" style="12" customWidth="1"/>
    <col min="2255" max="2505" width="8.77734375" style="12" customWidth="1"/>
    <col min="2506" max="2506" width="5.44140625" style="12" customWidth="1"/>
    <col min="2507" max="2507" width="82.6640625" style="12" customWidth="1"/>
    <col min="2508" max="2509" width="19" style="12" customWidth="1"/>
    <col min="2510" max="2510" width="24" style="12" customWidth="1"/>
    <col min="2511" max="2761" width="8.77734375" style="12" customWidth="1"/>
    <col min="2762" max="2762" width="5.44140625" style="12" customWidth="1"/>
    <col min="2763" max="2763" width="82.6640625" style="12" customWidth="1"/>
    <col min="2764" max="2765" width="19" style="12" customWidth="1"/>
    <col min="2766" max="2766" width="24" style="12" customWidth="1"/>
    <col min="2767" max="3017" width="8.77734375" style="12" customWidth="1"/>
    <col min="3018" max="3018" width="5.44140625" style="12" customWidth="1"/>
    <col min="3019" max="3019" width="82.6640625" style="12" customWidth="1"/>
    <col min="3020" max="3021" width="19" style="12" customWidth="1"/>
    <col min="3022" max="3022" width="24" style="12" customWidth="1"/>
    <col min="3023" max="3273" width="8.77734375" style="12" customWidth="1"/>
    <col min="3274" max="3274" width="5.44140625" style="12" customWidth="1"/>
    <col min="3275" max="3275" width="82.6640625" style="12" customWidth="1"/>
    <col min="3276" max="3277" width="19" style="12" customWidth="1"/>
    <col min="3278" max="3278" width="24" style="12" customWidth="1"/>
    <col min="3279" max="3529" width="8.77734375" style="12" customWidth="1"/>
    <col min="3530" max="3530" width="5.44140625" style="12" customWidth="1"/>
    <col min="3531" max="3531" width="82.6640625" style="12" customWidth="1"/>
    <col min="3532" max="3533" width="19" style="12" customWidth="1"/>
    <col min="3534" max="3534" width="24" style="12" customWidth="1"/>
    <col min="3535" max="3785" width="8.77734375" style="12" customWidth="1"/>
    <col min="3786" max="3786" width="5.44140625" style="12" customWidth="1"/>
    <col min="3787" max="3787" width="82.6640625" style="12" customWidth="1"/>
    <col min="3788" max="3789" width="19" style="12" customWidth="1"/>
    <col min="3790" max="3790" width="24" style="12" customWidth="1"/>
    <col min="3791" max="4041" width="8.77734375" style="12" customWidth="1"/>
    <col min="4042" max="4042" width="5.44140625" style="12" customWidth="1"/>
    <col min="4043" max="4043" width="82.6640625" style="12" customWidth="1"/>
    <col min="4044" max="4045" width="19" style="12" customWidth="1"/>
    <col min="4046" max="4046" width="24" style="12" customWidth="1"/>
    <col min="4047" max="4297" width="8.77734375" style="12" customWidth="1"/>
    <col min="4298" max="4298" width="5.44140625" style="12" customWidth="1"/>
    <col min="4299" max="4299" width="82.6640625" style="12" customWidth="1"/>
    <col min="4300" max="4301" width="19" style="12" customWidth="1"/>
    <col min="4302" max="4302" width="24" style="12" customWidth="1"/>
    <col min="4303" max="4553" width="8.77734375" style="12" customWidth="1"/>
    <col min="4554" max="4554" width="5.44140625" style="12" customWidth="1"/>
    <col min="4555" max="4555" width="82.6640625" style="12" customWidth="1"/>
    <col min="4556" max="4557" width="19" style="12" customWidth="1"/>
    <col min="4558" max="4558" width="24" style="12" customWidth="1"/>
    <col min="4559" max="4809" width="8.77734375" style="12" customWidth="1"/>
    <col min="4810" max="4810" width="5.44140625" style="12" customWidth="1"/>
    <col min="4811" max="4811" width="82.6640625" style="12" customWidth="1"/>
    <col min="4812" max="4813" width="19" style="12" customWidth="1"/>
    <col min="4814" max="4814" width="24" style="12" customWidth="1"/>
    <col min="4815" max="5065" width="8.77734375" style="12" customWidth="1"/>
    <col min="5066" max="5066" width="5.44140625" style="12" customWidth="1"/>
    <col min="5067" max="5067" width="82.6640625" style="12" customWidth="1"/>
    <col min="5068" max="5069" width="19" style="12" customWidth="1"/>
    <col min="5070" max="5070" width="24" style="12" customWidth="1"/>
    <col min="5071" max="5321" width="8.77734375" style="12" customWidth="1"/>
    <col min="5322" max="5322" width="5.44140625" style="12" customWidth="1"/>
    <col min="5323" max="5323" width="82.6640625" style="12" customWidth="1"/>
    <col min="5324" max="5325" width="19" style="12" customWidth="1"/>
    <col min="5326" max="5326" width="24" style="12" customWidth="1"/>
    <col min="5327" max="5577" width="8.77734375" style="12" customWidth="1"/>
    <col min="5578" max="5578" width="5.44140625" style="12" customWidth="1"/>
    <col min="5579" max="5579" width="82.6640625" style="12" customWidth="1"/>
    <col min="5580" max="5581" width="19" style="12" customWidth="1"/>
    <col min="5582" max="5582" width="24" style="12" customWidth="1"/>
    <col min="5583" max="5833" width="8.77734375" style="12" customWidth="1"/>
    <col min="5834" max="5834" width="5.44140625" style="12" customWidth="1"/>
    <col min="5835" max="5835" width="82.6640625" style="12" customWidth="1"/>
    <col min="5836" max="5837" width="19" style="12" customWidth="1"/>
    <col min="5838" max="5838" width="24" style="12" customWidth="1"/>
    <col min="5839" max="6089" width="8.77734375" style="12" customWidth="1"/>
    <col min="6090" max="6090" width="5.44140625" style="12" customWidth="1"/>
    <col min="6091" max="6091" width="82.6640625" style="12" customWidth="1"/>
    <col min="6092" max="6093" width="19" style="12" customWidth="1"/>
    <col min="6094" max="6094" width="24" style="12" customWidth="1"/>
    <col min="6095" max="6345" width="8.77734375" style="12" customWidth="1"/>
    <col min="6346" max="6346" width="5.44140625" style="12" customWidth="1"/>
    <col min="6347" max="6347" width="82.6640625" style="12" customWidth="1"/>
    <col min="6348" max="6349" width="19" style="12" customWidth="1"/>
    <col min="6350" max="6350" width="24" style="12" customWidth="1"/>
    <col min="6351" max="6601" width="8.77734375" style="12" customWidth="1"/>
    <col min="6602" max="6602" width="5.44140625" style="12" customWidth="1"/>
    <col min="6603" max="6603" width="82.6640625" style="12" customWidth="1"/>
    <col min="6604" max="6605" width="19" style="12" customWidth="1"/>
    <col min="6606" max="6606" width="24" style="12" customWidth="1"/>
    <col min="6607" max="6857" width="8.77734375" style="12" customWidth="1"/>
    <col min="6858" max="6858" width="5.44140625" style="12" customWidth="1"/>
    <col min="6859" max="6859" width="82.6640625" style="12" customWidth="1"/>
    <col min="6860" max="6861" width="19" style="12" customWidth="1"/>
    <col min="6862" max="6862" width="24" style="12" customWidth="1"/>
    <col min="6863" max="7113" width="8.77734375" style="12" customWidth="1"/>
    <col min="7114" max="7114" width="5.44140625" style="12" customWidth="1"/>
    <col min="7115" max="7115" width="82.6640625" style="12" customWidth="1"/>
    <col min="7116" max="7117" width="19" style="12" customWidth="1"/>
    <col min="7118" max="7118" width="24" style="12" customWidth="1"/>
    <col min="7119" max="7369" width="8.77734375" style="12" customWidth="1"/>
    <col min="7370" max="7370" width="5.44140625" style="12" customWidth="1"/>
    <col min="7371" max="7371" width="82.6640625" style="12" customWidth="1"/>
    <col min="7372" max="7373" width="19" style="12" customWidth="1"/>
    <col min="7374" max="7374" width="24" style="12" customWidth="1"/>
    <col min="7375" max="7625" width="8.77734375" style="12" customWidth="1"/>
    <col min="7626" max="7626" width="5.44140625" style="12" customWidth="1"/>
    <col min="7627" max="7627" width="82.6640625" style="12" customWidth="1"/>
    <col min="7628" max="7629" width="19" style="12" customWidth="1"/>
    <col min="7630" max="7630" width="24" style="12" customWidth="1"/>
    <col min="7631" max="7881" width="8.77734375" style="12" customWidth="1"/>
    <col min="7882" max="7882" width="5.44140625" style="12" customWidth="1"/>
    <col min="7883" max="7883" width="82.6640625" style="12" customWidth="1"/>
    <col min="7884" max="7885" width="19" style="12" customWidth="1"/>
    <col min="7886" max="7886" width="24" style="12" customWidth="1"/>
    <col min="7887" max="8137" width="8.77734375" style="12" customWidth="1"/>
    <col min="8138" max="8138" width="5.44140625" style="12" customWidth="1"/>
    <col min="8139" max="8139" width="82.6640625" style="12" customWidth="1"/>
    <col min="8140" max="8141" width="19" style="12" customWidth="1"/>
    <col min="8142" max="8142" width="24" style="12" customWidth="1"/>
    <col min="8143" max="8393" width="8.77734375" style="12" customWidth="1"/>
    <col min="8394" max="8394" width="5.44140625" style="12" customWidth="1"/>
    <col min="8395" max="8395" width="82.6640625" style="12" customWidth="1"/>
    <col min="8396" max="8397" width="19" style="12" customWidth="1"/>
    <col min="8398" max="8398" width="24" style="12" customWidth="1"/>
    <col min="8399" max="8649" width="8.77734375" style="12" customWidth="1"/>
    <col min="8650" max="8650" width="5.44140625" style="12" customWidth="1"/>
    <col min="8651" max="8651" width="82.6640625" style="12" customWidth="1"/>
    <col min="8652" max="8653" width="19" style="12" customWidth="1"/>
    <col min="8654" max="8654" width="24" style="12" customWidth="1"/>
    <col min="8655" max="8905" width="8.77734375" style="12" customWidth="1"/>
    <col min="8906" max="8906" width="5.44140625" style="12" customWidth="1"/>
    <col min="8907" max="8907" width="82.6640625" style="12" customWidth="1"/>
    <col min="8908" max="8909" width="19" style="12" customWidth="1"/>
    <col min="8910" max="8910" width="24" style="12" customWidth="1"/>
    <col min="8911" max="9161" width="8.77734375" style="12" customWidth="1"/>
    <col min="9162" max="9162" width="5.44140625" style="12" customWidth="1"/>
    <col min="9163" max="9163" width="82.6640625" style="12" customWidth="1"/>
    <col min="9164" max="9165" width="19" style="12" customWidth="1"/>
    <col min="9166" max="9166" width="24" style="12" customWidth="1"/>
    <col min="9167" max="9417" width="8.77734375" style="12" customWidth="1"/>
    <col min="9418" max="9418" width="5.44140625" style="12" customWidth="1"/>
    <col min="9419" max="9419" width="82.6640625" style="12" customWidth="1"/>
    <col min="9420" max="9421" width="19" style="12" customWidth="1"/>
    <col min="9422" max="9422" width="24" style="12" customWidth="1"/>
    <col min="9423" max="9673" width="8.77734375" style="12" customWidth="1"/>
    <col min="9674" max="9674" width="5.44140625" style="12" customWidth="1"/>
    <col min="9675" max="9675" width="82.6640625" style="12" customWidth="1"/>
    <col min="9676" max="9677" width="19" style="12" customWidth="1"/>
    <col min="9678" max="9678" width="24" style="12" customWidth="1"/>
    <col min="9679" max="9929" width="8.77734375" style="12" customWidth="1"/>
    <col min="9930" max="9930" width="5.44140625" style="12" customWidth="1"/>
    <col min="9931" max="9931" width="82.6640625" style="12" customWidth="1"/>
    <col min="9932" max="9933" width="19" style="12" customWidth="1"/>
    <col min="9934" max="9934" width="24" style="12" customWidth="1"/>
    <col min="9935" max="10185" width="8.77734375" style="12" customWidth="1"/>
    <col min="10186" max="10186" width="5.44140625" style="12" customWidth="1"/>
    <col min="10187" max="10187" width="82.6640625" style="12" customWidth="1"/>
    <col min="10188" max="10189" width="19" style="12" customWidth="1"/>
    <col min="10190" max="10190" width="24" style="12" customWidth="1"/>
    <col min="10191" max="10441" width="8.77734375" style="12" customWidth="1"/>
    <col min="10442" max="10442" width="5.44140625" style="12" customWidth="1"/>
    <col min="10443" max="10443" width="82.6640625" style="12" customWidth="1"/>
    <col min="10444" max="10445" width="19" style="12" customWidth="1"/>
    <col min="10446" max="10446" width="24" style="12" customWidth="1"/>
    <col min="10447" max="10697" width="8.77734375" style="12" customWidth="1"/>
    <col min="10698" max="10698" width="5.44140625" style="12" customWidth="1"/>
    <col min="10699" max="10699" width="82.6640625" style="12" customWidth="1"/>
    <col min="10700" max="10701" width="19" style="12" customWidth="1"/>
    <col min="10702" max="10702" width="24" style="12" customWidth="1"/>
    <col min="10703" max="10953" width="8.77734375" style="12" customWidth="1"/>
    <col min="10954" max="10954" width="5.44140625" style="12" customWidth="1"/>
    <col min="10955" max="10955" width="82.6640625" style="12" customWidth="1"/>
    <col min="10956" max="10957" width="19" style="12" customWidth="1"/>
    <col min="10958" max="10958" width="24" style="12" customWidth="1"/>
    <col min="10959" max="11209" width="8.77734375" style="12" customWidth="1"/>
    <col min="11210" max="11210" width="5.44140625" style="12" customWidth="1"/>
    <col min="11211" max="11211" width="82.6640625" style="12" customWidth="1"/>
    <col min="11212" max="11213" width="19" style="12" customWidth="1"/>
    <col min="11214" max="11214" width="24" style="12" customWidth="1"/>
    <col min="11215" max="11465" width="8.77734375" style="12" customWidth="1"/>
    <col min="11466" max="11466" width="5.44140625" style="12" customWidth="1"/>
    <col min="11467" max="11467" width="82.6640625" style="12" customWidth="1"/>
    <col min="11468" max="11469" width="19" style="12" customWidth="1"/>
    <col min="11470" max="11470" width="24" style="12" customWidth="1"/>
    <col min="11471" max="11721" width="8.77734375" style="12" customWidth="1"/>
    <col min="11722" max="11722" width="5.44140625" style="12" customWidth="1"/>
    <col min="11723" max="11723" width="82.6640625" style="12" customWidth="1"/>
    <col min="11724" max="11725" width="19" style="12" customWidth="1"/>
    <col min="11726" max="11726" width="24" style="12" customWidth="1"/>
    <col min="11727" max="11977" width="8.77734375" style="12" customWidth="1"/>
    <col min="11978" max="11978" width="5.44140625" style="12" customWidth="1"/>
    <col min="11979" max="11979" width="82.6640625" style="12" customWidth="1"/>
    <col min="11980" max="11981" width="19" style="12" customWidth="1"/>
    <col min="11982" max="11982" width="24" style="12" customWidth="1"/>
    <col min="11983" max="12233" width="8.77734375" style="12" customWidth="1"/>
    <col min="12234" max="12234" width="5.44140625" style="12" customWidth="1"/>
    <col min="12235" max="12235" width="82.6640625" style="12" customWidth="1"/>
    <col min="12236" max="12237" width="19" style="12" customWidth="1"/>
    <col min="12238" max="12238" width="24" style="12" customWidth="1"/>
    <col min="12239" max="12489" width="8.77734375" style="12" customWidth="1"/>
    <col min="12490" max="12490" width="5.44140625" style="12" customWidth="1"/>
    <col min="12491" max="12491" width="82.6640625" style="12" customWidth="1"/>
    <col min="12492" max="12493" width="19" style="12" customWidth="1"/>
    <col min="12494" max="12494" width="24" style="12" customWidth="1"/>
    <col min="12495" max="12745" width="8.77734375" style="12" customWidth="1"/>
    <col min="12746" max="12746" width="5.44140625" style="12" customWidth="1"/>
    <col min="12747" max="12747" width="82.6640625" style="12" customWidth="1"/>
    <col min="12748" max="12749" width="19" style="12" customWidth="1"/>
    <col min="12750" max="12750" width="24" style="12" customWidth="1"/>
    <col min="12751" max="13001" width="8.77734375" style="12" customWidth="1"/>
    <col min="13002" max="13002" width="5.44140625" style="12" customWidth="1"/>
    <col min="13003" max="13003" width="82.6640625" style="12" customWidth="1"/>
    <col min="13004" max="13005" width="19" style="12" customWidth="1"/>
    <col min="13006" max="13006" width="24" style="12" customWidth="1"/>
    <col min="13007" max="13257" width="8.77734375" style="12" customWidth="1"/>
    <col min="13258" max="13258" width="5.44140625" style="12" customWidth="1"/>
    <col min="13259" max="13259" width="82.6640625" style="12" customWidth="1"/>
    <col min="13260" max="13261" width="19" style="12" customWidth="1"/>
    <col min="13262" max="13262" width="24" style="12" customWidth="1"/>
    <col min="13263" max="13513" width="8.77734375" style="12" customWidth="1"/>
    <col min="13514" max="13514" width="5.44140625" style="12" customWidth="1"/>
    <col min="13515" max="13515" width="82.6640625" style="12" customWidth="1"/>
    <col min="13516" max="13517" width="19" style="12" customWidth="1"/>
    <col min="13518" max="13518" width="24" style="12" customWidth="1"/>
    <col min="13519" max="13769" width="8.77734375" style="12" customWidth="1"/>
    <col min="13770" max="13770" width="5.44140625" style="12" customWidth="1"/>
    <col min="13771" max="13771" width="82.6640625" style="12" customWidth="1"/>
    <col min="13772" max="13773" width="19" style="12" customWidth="1"/>
    <col min="13774" max="13774" width="24" style="12" customWidth="1"/>
    <col min="13775" max="14025" width="8.77734375" style="12" customWidth="1"/>
    <col min="14026" max="14026" width="5.44140625" style="12" customWidth="1"/>
    <col min="14027" max="14027" width="82.6640625" style="12" customWidth="1"/>
    <col min="14028" max="14029" width="19" style="12" customWidth="1"/>
    <col min="14030" max="14030" width="24" style="12" customWidth="1"/>
    <col min="14031" max="14281" width="8.77734375" style="12" customWidth="1"/>
    <col min="14282" max="14282" width="5.44140625" style="12" customWidth="1"/>
    <col min="14283" max="14283" width="82.6640625" style="12" customWidth="1"/>
    <col min="14284" max="14285" width="19" style="12" customWidth="1"/>
    <col min="14286" max="14286" width="24" style="12" customWidth="1"/>
    <col min="14287" max="14537" width="8.77734375" style="12" customWidth="1"/>
    <col min="14538" max="14538" width="5.44140625" style="12" customWidth="1"/>
    <col min="14539" max="14539" width="82.6640625" style="12" customWidth="1"/>
    <col min="14540" max="14541" width="19" style="12" customWidth="1"/>
    <col min="14542" max="14542" width="24" style="12" customWidth="1"/>
    <col min="14543" max="14793" width="8.77734375" style="12" customWidth="1"/>
    <col min="14794" max="14794" width="5.44140625" style="12" customWidth="1"/>
    <col min="14795" max="14795" width="82.6640625" style="12" customWidth="1"/>
    <col min="14796" max="14797" width="19" style="12" customWidth="1"/>
    <col min="14798" max="14798" width="24" style="12" customWidth="1"/>
    <col min="14799" max="15049" width="8.77734375" style="12" customWidth="1"/>
    <col min="15050" max="15050" width="5.44140625" style="12" customWidth="1"/>
    <col min="15051" max="15051" width="82.6640625" style="12" customWidth="1"/>
    <col min="15052" max="15053" width="19" style="12" customWidth="1"/>
    <col min="15054" max="15054" width="24" style="12" customWidth="1"/>
    <col min="15055" max="15305" width="8.77734375" style="12" customWidth="1"/>
    <col min="15306" max="15306" width="5.44140625" style="12" customWidth="1"/>
    <col min="15307" max="15307" width="82.6640625" style="12" customWidth="1"/>
    <col min="15308" max="15309" width="19" style="12" customWidth="1"/>
    <col min="15310" max="15310" width="24" style="12" customWidth="1"/>
    <col min="15311" max="15561" width="8.77734375" style="12" customWidth="1"/>
    <col min="15562" max="15562" width="5.44140625" style="12" customWidth="1"/>
    <col min="15563" max="15563" width="82.6640625" style="12" customWidth="1"/>
    <col min="15564" max="15565" width="19" style="12" customWidth="1"/>
    <col min="15566" max="15566" width="24" style="12" customWidth="1"/>
    <col min="15567" max="15817" width="8.77734375" style="12" customWidth="1"/>
    <col min="15818" max="15818" width="5.44140625" style="12" customWidth="1"/>
    <col min="15819" max="15819" width="82.6640625" style="12" customWidth="1"/>
    <col min="15820" max="15821" width="19" style="12" customWidth="1"/>
    <col min="15822" max="15822" width="24" style="12" customWidth="1"/>
    <col min="15823" max="16073" width="8.77734375" style="12" customWidth="1"/>
    <col min="16074" max="16074" width="5.44140625" style="12" customWidth="1"/>
    <col min="16075" max="16075" width="82.6640625" style="12" customWidth="1"/>
    <col min="16076" max="16077" width="19" style="12" customWidth="1"/>
    <col min="16078" max="16078" width="24" style="12" customWidth="1"/>
    <col min="16079" max="16376" width="8.77734375" style="12" customWidth="1"/>
    <col min="16377" max="16384" width="8.88671875" style="12" customWidth="1"/>
  </cols>
  <sheetData>
    <row r="1" spans="2:9" ht="17.399999999999999" customHeight="1">
      <c r="B1" s="14" t="str">
        <f>SUMMARY!B2</f>
        <v>DỰ ÁN HAUS ĐÀ LẠT</v>
      </c>
      <c r="C1" s="15"/>
      <c r="D1" s="16"/>
      <c r="E1" s="16"/>
      <c r="F1" s="16"/>
      <c r="G1" s="17"/>
      <c r="H1" s="18"/>
      <c r="I1" s="18"/>
    </row>
    <row r="2" spans="2:9" ht="6" customHeight="1">
      <c r="B2" s="19"/>
      <c r="C2" s="15"/>
      <c r="D2" s="16"/>
      <c r="E2" s="16"/>
      <c r="F2" s="16"/>
      <c r="G2" s="17"/>
      <c r="H2" s="18"/>
      <c r="I2" s="18"/>
    </row>
    <row r="3" spans="2:9" ht="17.399999999999999" customHeight="1">
      <c r="B3" s="14" t="str">
        <f>SUMMARY!B3</f>
        <v>ĐỊA ĐIỂM: LÂM ĐỒNG, VIỆT NAM</v>
      </c>
      <c r="C3" s="15"/>
      <c r="D3" s="20"/>
      <c r="E3" s="20"/>
      <c r="F3" s="20"/>
      <c r="G3" s="17"/>
      <c r="H3" s="21"/>
      <c r="I3" s="21"/>
    </row>
    <row r="4" spans="2:9" ht="5.25" customHeight="1">
      <c r="B4" s="22"/>
      <c r="C4" s="15"/>
      <c r="D4" s="20"/>
      <c r="E4" s="20"/>
      <c r="F4" s="20"/>
      <c r="G4" s="23"/>
      <c r="H4" s="24"/>
      <c r="I4" s="24"/>
    </row>
    <row r="5" spans="2:9">
      <c r="B5" s="361" t="s">
        <v>31</v>
      </c>
      <c r="C5" s="362"/>
      <c r="D5" s="20"/>
      <c r="E5" s="20"/>
      <c r="F5" s="20"/>
      <c r="G5" s="23"/>
      <c r="H5" s="24"/>
      <c r="I5" s="24"/>
    </row>
    <row r="6" spans="2:9">
      <c r="B6" s="25"/>
      <c r="C6" s="26"/>
      <c r="D6" s="27"/>
      <c r="E6" s="27"/>
      <c r="F6" s="27"/>
      <c r="G6" s="28"/>
      <c r="H6" s="29"/>
    </row>
    <row r="7" spans="2:9">
      <c r="B7" s="30"/>
      <c r="C7" s="31"/>
      <c r="D7" s="30"/>
      <c r="E7" s="364" t="s">
        <v>32</v>
      </c>
      <c r="F7" s="364" t="s">
        <v>33</v>
      </c>
      <c r="G7" s="363" t="s">
        <v>34</v>
      </c>
      <c r="H7" s="363" t="s">
        <v>35</v>
      </c>
    </row>
    <row r="8" spans="2:9" ht="49.65" customHeight="1">
      <c r="B8" s="32" t="s">
        <v>36</v>
      </c>
      <c r="C8" s="33" t="s">
        <v>37</v>
      </c>
      <c r="D8" s="32" t="s">
        <v>38</v>
      </c>
      <c r="E8" s="355"/>
      <c r="F8" s="355"/>
      <c r="G8" s="355"/>
      <c r="H8" s="355"/>
    </row>
    <row r="9" spans="2:9">
      <c r="B9" s="34"/>
      <c r="C9" s="35"/>
      <c r="D9" s="36"/>
      <c r="E9" s="37" t="s">
        <v>39</v>
      </c>
      <c r="F9" s="37" t="s">
        <v>40</v>
      </c>
      <c r="G9" s="37" t="s">
        <v>41</v>
      </c>
      <c r="H9" s="38"/>
    </row>
    <row r="10" spans="2:9" outlineLevel="1">
      <c r="B10" s="39"/>
      <c r="C10" s="40" t="s">
        <v>42</v>
      </c>
      <c r="D10" s="41"/>
      <c r="E10" s="42"/>
      <c r="F10" s="42"/>
      <c r="G10" s="43">
        <f>SUBTOTAL(9,G11:G177)</f>
        <v>0</v>
      </c>
      <c r="H10" s="44"/>
    </row>
    <row r="11" spans="2:9" outlineLevel="1">
      <c r="B11" s="45"/>
      <c r="C11" s="46" t="s">
        <v>43</v>
      </c>
      <c r="D11" s="47"/>
      <c r="E11" s="48"/>
      <c r="F11" s="48"/>
      <c r="G11" s="49"/>
      <c r="H11" s="50"/>
    </row>
    <row r="12" spans="2:9" ht="66" customHeight="1" outlineLevel="1">
      <c r="B12" s="51"/>
      <c r="C12" s="52" t="s">
        <v>44</v>
      </c>
      <c r="D12" s="6" t="s">
        <v>45</v>
      </c>
      <c r="E12" s="53"/>
      <c r="F12" s="53"/>
      <c r="G12" s="54"/>
      <c r="H12" s="55"/>
    </row>
    <row r="13" spans="2:9" ht="66" customHeight="1" outlineLevel="1">
      <c r="B13" s="51"/>
      <c r="C13" s="52" t="s">
        <v>46</v>
      </c>
      <c r="D13" s="6" t="s">
        <v>45</v>
      </c>
      <c r="E13" s="53"/>
      <c r="F13" s="53"/>
      <c r="G13" s="54"/>
      <c r="H13" s="55"/>
    </row>
    <row r="14" spans="2:9" ht="52.8" customHeight="1" outlineLevel="1">
      <c r="B14" s="51"/>
      <c r="C14" s="52" t="s">
        <v>47</v>
      </c>
      <c r="D14" s="6" t="s">
        <v>45</v>
      </c>
      <c r="E14" s="53"/>
      <c r="F14" s="53"/>
      <c r="G14" s="56"/>
      <c r="H14" s="55"/>
    </row>
    <row r="15" spans="2:9" ht="39.6" customHeight="1" outlineLevel="1">
      <c r="B15" s="51"/>
      <c r="C15" s="52" t="s">
        <v>48</v>
      </c>
      <c r="D15" s="6" t="s">
        <v>45</v>
      </c>
      <c r="E15" s="53"/>
      <c r="F15" s="53"/>
      <c r="G15" s="56"/>
      <c r="H15" s="55"/>
    </row>
    <row r="16" spans="2:9" ht="26.4" customHeight="1" outlineLevel="1">
      <c r="B16" s="51"/>
      <c r="C16" s="52" t="s">
        <v>49</v>
      </c>
      <c r="D16" s="6" t="s">
        <v>45</v>
      </c>
      <c r="E16" s="53"/>
      <c r="F16" s="53"/>
      <c r="G16" s="56"/>
      <c r="H16" s="55"/>
    </row>
    <row r="17" spans="2:8" ht="39.6" customHeight="1" outlineLevel="1">
      <c r="B17" s="51"/>
      <c r="C17" s="52" t="s">
        <v>50</v>
      </c>
      <c r="D17" s="6" t="s">
        <v>45</v>
      </c>
      <c r="E17" s="53"/>
      <c r="F17" s="53"/>
      <c r="G17" s="56"/>
      <c r="H17" s="55"/>
    </row>
    <row r="18" spans="2:8" ht="39.6" customHeight="1" outlineLevel="1">
      <c r="B18" s="51"/>
      <c r="C18" s="52" t="s">
        <v>51</v>
      </c>
      <c r="D18" s="6" t="s">
        <v>45</v>
      </c>
      <c r="E18" s="53"/>
      <c r="F18" s="53"/>
      <c r="G18" s="54"/>
      <c r="H18" s="55"/>
    </row>
    <row r="19" spans="2:8" ht="66" customHeight="1" outlineLevel="1">
      <c r="B19" s="51"/>
      <c r="C19" s="52" t="s">
        <v>52</v>
      </c>
      <c r="D19" s="6" t="s">
        <v>45</v>
      </c>
      <c r="E19" s="53"/>
      <c r="F19" s="53"/>
      <c r="G19" s="54"/>
      <c r="H19" s="55"/>
    </row>
    <row r="20" spans="2:8" ht="92.4" customHeight="1" outlineLevel="1">
      <c r="B20" s="51"/>
      <c r="C20" s="52" t="s">
        <v>53</v>
      </c>
      <c r="D20" s="6" t="s">
        <v>45</v>
      </c>
      <c r="E20" s="53"/>
      <c r="F20" s="53"/>
      <c r="G20" s="54"/>
      <c r="H20" s="55"/>
    </row>
    <row r="21" spans="2:8" ht="52.8" customHeight="1" outlineLevel="1">
      <c r="B21" s="51"/>
      <c r="C21" s="52" t="s">
        <v>54</v>
      </c>
      <c r="D21" s="6" t="s">
        <v>45</v>
      </c>
      <c r="E21" s="53"/>
      <c r="F21" s="53"/>
      <c r="G21" s="54"/>
      <c r="H21" s="55"/>
    </row>
    <row r="22" spans="2:8" ht="52.8" customHeight="1" outlineLevel="1">
      <c r="B22" s="51"/>
      <c r="C22" s="52" t="s">
        <v>55</v>
      </c>
      <c r="D22" s="6" t="s">
        <v>45</v>
      </c>
      <c r="E22" s="53"/>
      <c r="F22" s="53"/>
      <c r="G22" s="54"/>
      <c r="H22" s="55"/>
    </row>
    <row r="23" spans="2:8" ht="26.4" customHeight="1" outlineLevel="1">
      <c r="B23" s="51"/>
      <c r="C23" s="52" t="s">
        <v>56</v>
      </c>
      <c r="D23" s="6" t="s">
        <v>45</v>
      </c>
      <c r="E23" s="53"/>
      <c r="F23" s="53"/>
      <c r="G23" s="54"/>
      <c r="H23" s="55"/>
    </row>
    <row r="24" spans="2:8" ht="39.6" customHeight="1" outlineLevel="1">
      <c r="B24" s="51"/>
      <c r="C24" s="52" t="s">
        <v>57</v>
      </c>
      <c r="D24" s="6" t="s">
        <v>45</v>
      </c>
      <c r="E24" s="53"/>
      <c r="F24" s="53"/>
      <c r="G24" s="54"/>
      <c r="H24" s="55"/>
    </row>
    <row r="25" spans="2:8" outlineLevel="1">
      <c r="B25" s="51"/>
      <c r="C25" s="57"/>
      <c r="D25" s="58"/>
      <c r="E25" s="59"/>
      <c r="F25" s="59"/>
      <c r="G25" s="60"/>
      <c r="H25" s="55"/>
    </row>
    <row r="26" spans="2:8" outlineLevel="1">
      <c r="B26" s="51"/>
      <c r="C26" s="61" t="s">
        <v>58</v>
      </c>
      <c r="D26" s="6"/>
      <c r="E26" s="53"/>
      <c r="F26" s="53"/>
      <c r="G26" s="56"/>
      <c r="H26" s="55"/>
    </row>
    <row r="27" spans="2:8" ht="39.6" customHeight="1" outlineLevel="1">
      <c r="B27" s="51"/>
      <c r="C27" s="52" t="s">
        <v>59</v>
      </c>
      <c r="D27" s="6" t="s">
        <v>45</v>
      </c>
      <c r="E27" s="53"/>
      <c r="F27" s="53"/>
      <c r="G27" s="54"/>
      <c r="H27" s="62"/>
    </row>
    <row r="28" spans="2:8" ht="39.6" customHeight="1" outlineLevel="1">
      <c r="B28" s="51"/>
      <c r="C28" s="52" t="s">
        <v>60</v>
      </c>
      <c r="D28" s="6" t="s">
        <v>45</v>
      </c>
      <c r="E28" s="53"/>
      <c r="F28" s="53"/>
      <c r="G28" s="54"/>
      <c r="H28" s="62"/>
    </row>
    <row r="29" spans="2:8" outlineLevel="1">
      <c r="B29" s="51" t="s">
        <v>61</v>
      </c>
      <c r="C29" s="52" t="s">
        <v>62</v>
      </c>
      <c r="D29" s="6" t="s">
        <v>63</v>
      </c>
      <c r="E29" s="53"/>
      <c r="F29" s="53"/>
      <c r="G29" s="54"/>
      <c r="H29" s="62"/>
    </row>
    <row r="30" spans="2:8" outlineLevel="1">
      <c r="B30" s="51" t="s">
        <v>64</v>
      </c>
      <c r="C30" s="52" t="s">
        <v>65</v>
      </c>
      <c r="D30" s="6" t="s">
        <v>63</v>
      </c>
      <c r="E30" s="53"/>
      <c r="F30" s="53"/>
      <c r="G30" s="54"/>
      <c r="H30" s="62"/>
    </row>
    <row r="31" spans="2:8" outlineLevel="1">
      <c r="B31" s="51" t="s">
        <v>66</v>
      </c>
      <c r="C31" s="52" t="s">
        <v>67</v>
      </c>
      <c r="D31" s="6" t="s">
        <v>63</v>
      </c>
      <c r="E31" s="53"/>
      <c r="F31" s="53"/>
      <c r="G31" s="54"/>
      <c r="H31" s="62"/>
    </row>
    <row r="32" spans="2:8" outlineLevel="1">
      <c r="B32" s="51" t="s">
        <v>68</v>
      </c>
      <c r="C32" s="52" t="s">
        <v>69</v>
      </c>
      <c r="D32" s="6" t="s">
        <v>63</v>
      </c>
      <c r="E32" s="53"/>
      <c r="F32" s="53"/>
      <c r="G32" s="54"/>
      <c r="H32" s="55"/>
    </row>
    <row r="33" spans="2:8" outlineLevel="1">
      <c r="B33" s="51" t="s">
        <v>70</v>
      </c>
      <c r="C33" s="52" t="s">
        <v>71</v>
      </c>
      <c r="D33" s="6" t="s">
        <v>63</v>
      </c>
      <c r="E33" s="53"/>
      <c r="F33" s="53"/>
      <c r="G33" s="54"/>
      <c r="H33" s="55"/>
    </row>
    <row r="34" spans="2:8" outlineLevel="1">
      <c r="B34" s="51" t="s">
        <v>72</v>
      </c>
      <c r="C34" s="52" t="s">
        <v>73</v>
      </c>
      <c r="D34" s="6" t="s">
        <v>63</v>
      </c>
      <c r="E34" s="53"/>
      <c r="F34" s="53"/>
      <c r="G34" s="54"/>
      <c r="H34" s="55"/>
    </row>
    <row r="35" spans="2:8" outlineLevel="1">
      <c r="B35" s="51" t="s">
        <v>74</v>
      </c>
      <c r="C35" s="52" t="s">
        <v>75</v>
      </c>
      <c r="D35" s="6" t="s">
        <v>63</v>
      </c>
      <c r="E35" s="53"/>
      <c r="F35" s="53"/>
      <c r="G35" s="54"/>
      <c r="H35" s="55"/>
    </row>
    <row r="36" spans="2:8" outlineLevel="1">
      <c r="B36" s="51" t="s">
        <v>76</v>
      </c>
      <c r="C36" s="52" t="s">
        <v>77</v>
      </c>
      <c r="D36" s="6" t="s">
        <v>63</v>
      </c>
      <c r="E36" s="53"/>
      <c r="F36" s="53"/>
      <c r="G36" s="54"/>
      <c r="H36" s="55"/>
    </row>
    <row r="37" spans="2:8" outlineLevel="1">
      <c r="B37" s="51" t="s">
        <v>78</v>
      </c>
      <c r="C37" s="52" t="s">
        <v>79</v>
      </c>
      <c r="D37" s="6" t="s">
        <v>63</v>
      </c>
      <c r="E37" s="53"/>
      <c r="F37" s="53"/>
      <c r="G37" s="54"/>
      <c r="H37" s="55"/>
    </row>
    <row r="38" spans="2:8" outlineLevel="1">
      <c r="B38" s="51" t="s">
        <v>80</v>
      </c>
      <c r="C38" s="52" t="s">
        <v>81</v>
      </c>
      <c r="D38" s="6" t="s">
        <v>63</v>
      </c>
      <c r="E38" s="53"/>
      <c r="F38" s="53"/>
      <c r="G38" s="54"/>
      <c r="H38" s="55"/>
    </row>
    <row r="39" spans="2:8" outlineLevel="1">
      <c r="B39" s="51" t="s">
        <v>82</v>
      </c>
      <c r="C39" s="52" t="s">
        <v>83</v>
      </c>
      <c r="D39" s="6" t="s">
        <v>63</v>
      </c>
      <c r="E39" s="53"/>
      <c r="F39" s="53"/>
      <c r="G39" s="54"/>
      <c r="H39" s="63"/>
    </row>
    <row r="40" spans="2:8" outlineLevel="1">
      <c r="B40" s="51" t="s">
        <v>84</v>
      </c>
      <c r="C40" s="52" t="s">
        <v>85</v>
      </c>
      <c r="D40" s="6" t="s">
        <v>63</v>
      </c>
      <c r="E40" s="53"/>
      <c r="F40" s="53"/>
      <c r="G40" s="54"/>
      <c r="H40" s="63"/>
    </row>
    <row r="41" spans="2:8" outlineLevel="1">
      <c r="B41" s="51" t="s">
        <v>86</v>
      </c>
      <c r="C41" s="52" t="s">
        <v>87</v>
      </c>
      <c r="D41" s="6" t="s">
        <v>63</v>
      </c>
      <c r="E41" s="53"/>
      <c r="F41" s="53"/>
      <c r="G41" s="54"/>
      <c r="H41" s="63"/>
    </row>
    <row r="42" spans="2:8" outlineLevel="1">
      <c r="B42" s="51" t="s">
        <v>88</v>
      </c>
      <c r="C42" s="52" t="s">
        <v>89</v>
      </c>
      <c r="D42" s="6" t="s">
        <v>63</v>
      </c>
      <c r="E42" s="53"/>
      <c r="F42" s="53"/>
      <c r="G42" s="54"/>
      <c r="H42" s="63"/>
    </row>
    <row r="43" spans="2:8" outlineLevel="1">
      <c r="B43" s="51" t="s">
        <v>90</v>
      </c>
      <c r="C43" s="52" t="s">
        <v>91</v>
      </c>
      <c r="D43" s="6" t="s">
        <v>63</v>
      </c>
      <c r="E43" s="53"/>
      <c r="F43" s="53"/>
      <c r="G43" s="54"/>
      <c r="H43" s="63"/>
    </row>
    <row r="44" spans="2:8" outlineLevel="1">
      <c r="B44" s="51" t="s">
        <v>92</v>
      </c>
      <c r="C44" s="52" t="s">
        <v>93</v>
      </c>
      <c r="D44" s="6" t="s">
        <v>63</v>
      </c>
      <c r="E44" s="53"/>
      <c r="F44" s="53"/>
      <c r="G44" s="54"/>
      <c r="H44" s="63"/>
    </row>
    <row r="45" spans="2:8" outlineLevel="1">
      <c r="B45" s="51" t="s">
        <v>94</v>
      </c>
      <c r="C45" s="52" t="s">
        <v>95</v>
      </c>
      <c r="D45" s="6" t="s">
        <v>63</v>
      </c>
      <c r="E45" s="53"/>
      <c r="F45" s="53"/>
      <c r="G45" s="54"/>
      <c r="H45" s="63"/>
    </row>
    <row r="46" spans="2:8" outlineLevel="1">
      <c r="B46" s="51" t="s">
        <v>96</v>
      </c>
      <c r="C46" s="52" t="s">
        <v>97</v>
      </c>
      <c r="D46" s="6" t="s">
        <v>63</v>
      </c>
      <c r="E46" s="53"/>
      <c r="F46" s="53"/>
      <c r="G46" s="54"/>
      <c r="H46" s="63"/>
    </row>
    <row r="47" spans="2:8" outlineLevel="1">
      <c r="B47" s="51" t="s">
        <v>98</v>
      </c>
      <c r="C47" s="52" t="s">
        <v>99</v>
      </c>
      <c r="D47" s="6" t="s">
        <v>63</v>
      </c>
      <c r="E47" s="53"/>
      <c r="F47" s="53"/>
      <c r="G47" s="54"/>
      <c r="H47" s="63"/>
    </row>
    <row r="48" spans="2:8" ht="26.4" customHeight="1" outlineLevel="1">
      <c r="B48" s="51" t="s">
        <v>100</v>
      </c>
      <c r="C48" s="52" t="s">
        <v>101</v>
      </c>
      <c r="D48" s="6" t="s">
        <v>102</v>
      </c>
      <c r="E48" s="53"/>
      <c r="F48" s="53"/>
      <c r="G48" s="54"/>
      <c r="H48" s="63"/>
    </row>
    <row r="49" spans="2:8" outlineLevel="1">
      <c r="B49" s="51"/>
      <c r="C49" s="52"/>
      <c r="D49" s="6"/>
      <c r="E49" s="53"/>
      <c r="F49" s="53"/>
      <c r="G49" s="56"/>
      <c r="H49" s="63"/>
    </row>
    <row r="50" spans="2:8" outlineLevel="1">
      <c r="B50" s="51"/>
      <c r="C50" s="61" t="s">
        <v>103</v>
      </c>
      <c r="D50" s="8"/>
      <c r="E50" s="64"/>
      <c r="F50" s="64"/>
      <c r="G50" s="56"/>
      <c r="H50" s="55"/>
    </row>
    <row r="51" spans="2:8" outlineLevel="1">
      <c r="B51" s="51"/>
      <c r="C51" s="65" t="s">
        <v>104</v>
      </c>
      <c r="D51" s="6"/>
      <c r="E51" s="53"/>
      <c r="F51" s="53"/>
      <c r="G51" s="56"/>
      <c r="H51" s="55"/>
    </row>
    <row r="52" spans="2:8" ht="39.6" customHeight="1" outlineLevel="1">
      <c r="B52" s="51" t="s">
        <v>61</v>
      </c>
      <c r="C52" s="52" t="s">
        <v>105</v>
      </c>
      <c r="D52" s="6" t="str">
        <f>$D$48</f>
        <v>Tổng cộng</v>
      </c>
      <c r="E52" s="53"/>
      <c r="F52" s="53"/>
      <c r="G52" s="54"/>
      <c r="H52" s="55"/>
    </row>
    <row r="53" spans="2:8" ht="26.4" customHeight="1" outlineLevel="1">
      <c r="B53" s="51" t="s">
        <v>64</v>
      </c>
      <c r="C53" s="52" t="s">
        <v>106</v>
      </c>
      <c r="D53" s="6" t="str">
        <f>$D$48</f>
        <v>Tổng cộng</v>
      </c>
      <c r="E53" s="53"/>
      <c r="F53" s="53"/>
      <c r="G53" s="54"/>
      <c r="H53" s="55"/>
    </row>
    <row r="54" spans="2:8" ht="26.4" customHeight="1" outlineLevel="1">
      <c r="B54" s="51" t="s">
        <v>66</v>
      </c>
      <c r="C54" s="52" t="s">
        <v>107</v>
      </c>
      <c r="D54" s="6" t="str">
        <f>$D$48</f>
        <v>Tổng cộng</v>
      </c>
      <c r="E54" s="53"/>
      <c r="F54" s="53"/>
      <c r="G54" s="54"/>
      <c r="H54" s="55"/>
    </row>
    <row r="55" spans="2:8" outlineLevel="1">
      <c r="B55" s="51"/>
      <c r="C55" s="52"/>
      <c r="D55" s="6"/>
      <c r="E55" s="53"/>
      <c r="F55" s="53"/>
      <c r="G55" s="56"/>
      <c r="H55" s="55"/>
    </row>
    <row r="56" spans="2:8" outlineLevel="1">
      <c r="B56" s="51"/>
      <c r="C56" s="65" t="s">
        <v>108</v>
      </c>
      <c r="D56" s="6"/>
      <c r="E56" s="53"/>
      <c r="F56" s="53"/>
      <c r="G56" s="56"/>
      <c r="H56" s="55"/>
    </row>
    <row r="57" spans="2:8" ht="66" customHeight="1" outlineLevel="1">
      <c r="B57" s="51" t="s">
        <v>68</v>
      </c>
      <c r="C57" s="52" t="s">
        <v>109</v>
      </c>
      <c r="D57" s="6" t="str">
        <f>$D$48</f>
        <v>Tổng cộng</v>
      </c>
      <c r="E57" s="53"/>
      <c r="F57" s="53"/>
      <c r="G57" s="54"/>
      <c r="H57" s="55"/>
    </row>
    <row r="58" spans="2:8" outlineLevel="1">
      <c r="B58" s="51"/>
      <c r="C58" s="52"/>
      <c r="D58" s="6"/>
      <c r="E58" s="53"/>
      <c r="F58" s="53"/>
      <c r="G58" s="56"/>
      <c r="H58" s="55"/>
    </row>
    <row r="59" spans="2:8" outlineLevel="1">
      <c r="B59" s="51"/>
      <c r="C59" s="65" t="s">
        <v>110</v>
      </c>
      <c r="D59" s="6"/>
      <c r="E59" s="53"/>
      <c r="F59" s="53"/>
      <c r="G59" s="56"/>
      <c r="H59" s="55"/>
    </row>
    <row r="60" spans="2:8" outlineLevel="1">
      <c r="B60" s="51" t="s">
        <v>70</v>
      </c>
      <c r="C60" s="52" t="s">
        <v>111</v>
      </c>
      <c r="D60" s="6" t="s">
        <v>63</v>
      </c>
      <c r="E60" s="53"/>
      <c r="F60" s="53"/>
      <c r="G60" s="54"/>
      <c r="H60" s="55"/>
    </row>
    <row r="61" spans="2:8" outlineLevel="1">
      <c r="B61" s="51" t="s">
        <v>72</v>
      </c>
      <c r="C61" s="52" t="s">
        <v>112</v>
      </c>
      <c r="D61" s="6" t="s">
        <v>63</v>
      </c>
      <c r="E61" s="53"/>
      <c r="F61" s="53"/>
      <c r="G61" s="54"/>
      <c r="H61" s="55"/>
    </row>
    <row r="62" spans="2:8" outlineLevel="1">
      <c r="B62" s="51" t="s">
        <v>74</v>
      </c>
      <c r="C62" s="52" t="s">
        <v>113</v>
      </c>
      <c r="D62" s="6" t="s">
        <v>63</v>
      </c>
      <c r="E62" s="53"/>
      <c r="F62" s="53"/>
      <c r="G62" s="54"/>
      <c r="H62" s="55"/>
    </row>
    <row r="63" spans="2:8" outlineLevel="1">
      <c r="B63" s="51" t="s">
        <v>76</v>
      </c>
      <c r="C63" s="52" t="s">
        <v>114</v>
      </c>
      <c r="D63" s="6" t="s">
        <v>63</v>
      </c>
      <c r="E63" s="53"/>
      <c r="F63" s="53"/>
      <c r="G63" s="54"/>
      <c r="H63" s="55"/>
    </row>
    <row r="64" spans="2:8" outlineLevel="1">
      <c r="B64" s="51" t="s">
        <v>78</v>
      </c>
      <c r="C64" s="52" t="s">
        <v>115</v>
      </c>
      <c r="D64" s="6" t="s">
        <v>63</v>
      </c>
      <c r="E64" s="53"/>
      <c r="F64" s="53"/>
      <c r="G64" s="54"/>
      <c r="H64" s="55"/>
    </row>
    <row r="65" spans="2:8" outlineLevel="1">
      <c r="B65" s="51" t="s">
        <v>80</v>
      </c>
      <c r="C65" s="52" t="s">
        <v>116</v>
      </c>
      <c r="D65" s="6" t="s">
        <v>63</v>
      </c>
      <c r="E65" s="53"/>
      <c r="F65" s="53"/>
      <c r="G65" s="54"/>
      <c r="H65" s="55"/>
    </row>
    <row r="66" spans="2:8" outlineLevel="1">
      <c r="B66" s="51"/>
      <c r="C66" s="52"/>
      <c r="D66" s="6"/>
      <c r="E66" s="53"/>
      <c r="F66" s="53"/>
      <c r="G66" s="66"/>
      <c r="H66" s="55"/>
    </row>
    <row r="67" spans="2:8" outlineLevel="1">
      <c r="B67" s="51"/>
      <c r="C67" s="65" t="s">
        <v>117</v>
      </c>
      <c r="D67" s="6"/>
      <c r="E67" s="53"/>
      <c r="F67" s="53"/>
      <c r="G67" s="56"/>
      <c r="H67" s="63"/>
    </row>
    <row r="68" spans="2:8" outlineLevel="1">
      <c r="B68" s="51"/>
      <c r="C68" s="52" t="s">
        <v>118</v>
      </c>
      <c r="D68" s="6" t="s">
        <v>45</v>
      </c>
      <c r="E68" s="53"/>
      <c r="F68" s="53"/>
      <c r="G68" s="54"/>
      <c r="H68" s="55"/>
    </row>
    <row r="69" spans="2:8" ht="52.8" customHeight="1" outlineLevel="1">
      <c r="B69" s="51"/>
      <c r="C69" s="52" t="s">
        <v>119</v>
      </c>
      <c r="D69" s="6" t="s">
        <v>45</v>
      </c>
      <c r="E69" s="53"/>
      <c r="F69" s="53"/>
      <c r="G69" s="54"/>
      <c r="H69" s="55"/>
    </row>
    <row r="70" spans="2:8" outlineLevel="1">
      <c r="B70" s="51"/>
      <c r="C70" s="52" t="s">
        <v>120</v>
      </c>
      <c r="D70" s="6" t="s">
        <v>45</v>
      </c>
      <c r="E70" s="53"/>
      <c r="F70" s="53"/>
      <c r="G70" s="54"/>
      <c r="H70" s="55"/>
    </row>
    <row r="71" spans="2:8" outlineLevel="1">
      <c r="B71" s="51" t="s">
        <v>82</v>
      </c>
      <c r="C71" s="52" t="s">
        <v>121</v>
      </c>
      <c r="D71" s="6" t="s">
        <v>102</v>
      </c>
      <c r="E71" s="53"/>
      <c r="F71" s="53"/>
      <c r="G71" s="54"/>
      <c r="H71" s="55"/>
    </row>
    <row r="72" spans="2:8" outlineLevel="1">
      <c r="B72" s="51" t="s">
        <v>84</v>
      </c>
      <c r="C72" s="52" t="s">
        <v>122</v>
      </c>
      <c r="D72" s="6" t="s">
        <v>63</v>
      </c>
      <c r="E72" s="53"/>
      <c r="F72" s="53"/>
      <c r="G72" s="54"/>
      <c r="H72" s="67"/>
    </row>
    <row r="73" spans="2:8" outlineLevel="1">
      <c r="B73" s="51"/>
      <c r="C73" s="52"/>
      <c r="D73" s="6"/>
      <c r="E73" s="53"/>
      <c r="F73" s="53"/>
      <c r="G73" s="56"/>
      <c r="H73" s="55"/>
    </row>
    <row r="74" spans="2:8" outlineLevel="1">
      <c r="B74" s="51"/>
      <c r="C74" s="65" t="s">
        <v>123</v>
      </c>
      <c r="D74" s="6"/>
      <c r="E74" s="53"/>
      <c r="F74" s="53"/>
      <c r="G74" s="56"/>
      <c r="H74" s="63"/>
    </row>
    <row r="75" spans="2:8" ht="26.4" customHeight="1" outlineLevel="1">
      <c r="B75" s="51"/>
      <c r="C75" s="52" t="s">
        <v>124</v>
      </c>
      <c r="D75" s="6" t="s">
        <v>45</v>
      </c>
      <c r="E75" s="53"/>
      <c r="F75" s="53"/>
      <c r="G75" s="54"/>
      <c r="H75" s="55"/>
    </row>
    <row r="76" spans="2:8" ht="52.8" customHeight="1" outlineLevel="1">
      <c r="B76" s="51"/>
      <c r="C76" s="52" t="s">
        <v>119</v>
      </c>
      <c r="D76" s="6" t="s">
        <v>45</v>
      </c>
      <c r="E76" s="53"/>
      <c r="F76" s="53"/>
      <c r="G76" s="54"/>
      <c r="H76" s="55"/>
    </row>
    <row r="77" spans="2:8" outlineLevel="1">
      <c r="B77" s="51"/>
      <c r="C77" s="52" t="s">
        <v>120</v>
      </c>
      <c r="D77" s="6" t="s">
        <v>45</v>
      </c>
      <c r="E77" s="53"/>
      <c r="F77" s="53"/>
      <c r="G77" s="54"/>
      <c r="H77" s="55"/>
    </row>
    <row r="78" spans="2:8" outlineLevel="1">
      <c r="B78" s="51" t="s">
        <v>61</v>
      </c>
      <c r="C78" s="52" t="s">
        <v>125</v>
      </c>
      <c r="D78" s="6" t="s">
        <v>102</v>
      </c>
      <c r="E78" s="53"/>
      <c r="F78" s="53"/>
      <c r="G78" s="54"/>
      <c r="H78" s="55"/>
    </row>
    <row r="79" spans="2:8" ht="26.4" customHeight="1" outlineLevel="1">
      <c r="B79" s="51" t="s">
        <v>64</v>
      </c>
      <c r="C79" s="52" t="s">
        <v>126</v>
      </c>
      <c r="D79" s="6" t="s">
        <v>102</v>
      </c>
      <c r="E79" s="53"/>
      <c r="F79" s="53"/>
      <c r="G79" s="54"/>
      <c r="H79" s="55"/>
    </row>
    <row r="80" spans="2:8" ht="26.4" customHeight="1" outlineLevel="1">
      <c r="B80" s="51" t="s">
        <v>66</v>
      </c>
      <c r="C80" s="52" t="s">
        <v>127</v>
      </c>
      <c r="D80" s="6" t="s">
        <v>63</v>
      </c>
      <c r="E80" s="53"/>
      <c r="F80" s="53"/>
      <c r="G80" s="54"/>
      <c r="H80" s="67"/>
    </row>
    <row r="81" spans="2:8" outlineLevel="1">
      <c r="B81" s="51"/>
      <c r="C81" s="52"/>
      <c r="D81" s="6"/>
      <c r="E81" s="53"/>
      <c r="F81" s="53"/>
      <c r="G81" s="68"/>
      <c r="H81" s="69"/>
    </row>
    <row r="82" spans="2:8" outlineLevel="1">
      <c r="B82" s="51"/>
      <c r="C82" s="65" t="s">
        <v>128</v>
      </c>
      <c r="D82" s="6"/>
      <c r="E82" s="53"/>
      <c r="F82" s="53"/>
      <c r="G82" s="56"/>
      <c r="H82" s="63"/>
    </row>
    <row r="83" spans="2:8" outlineLevel="1">
      <c r="B83" s="51"/>
      <c r="C83" s="52" t="s">
        <v>129</v>
      </c>
      <c r="D83" s="6" t="s">
        <v>45</v>
      </c>
      <c r="E83" s="53"/>
      <c r="F83" s="53"/>
      <c r="G83" s="54"/>
      <c r="H83" s="55"/>
    </row>
    <row r="84" spans="2:8" ht="52.8" customHeight="1" outlineLevel="1">
      <c r="B84" s="51"/>
      <c r="C84" s="52" t="s">
        <v>130</v>
      </c>
      <c r="D84" s="6" t="s">
        <v>45</v>
      </c>
      <c r="E84" s="53"/>
      <c r="F84" s="53"/>
      <c r="G84" s="54"/>
      <c r="H84" s="55"/>
    </row>
    <row r="85" spans="2:8" outlineLevel="1">
      <c r="B85" s="51"/>
      <c r="C85" s="52" t="s">
        <v>120</v>
      </c>
      <c r="D85" s="6" t="s">
        <v>45</v>
      </c>
      <c r="E85" s="53"/>
      <c r="F85" s="53"/>
      <c r="G85" s="54"/>
      <c r="H85" s="55"/>
    </row>
    <row r="86" spans="2:8" ht="26.4" customHeight="1" outlineLevel="1">
      <c r="B86" s="51" t="s">
        <v>68</v>
      </c>
      <c r="C86" s="52" t="s">
        <v>131</v>
      </c>
      <c r="D86" s="6" t="s">
        <v>63</v>
      </c>
      <c r="E86" s="53"/>
      <c r="F86" s="53"/>
      <c r="G86" s="54"/>
      <c r="H86" s="55"/>
    </row>
    <row r="87" spans="2:8" outlineLevel="1">
      <c r="B87" s="51" t="s">
        <v>70</v>
      </c>
      <c r="C87" s="52" t="s">
        <v>132</v>
      </c>
      <c r="D87" s="6" t="s">
        <v>102</v>
      </c>
      <c r="E87" s="53"/>
      <c r="F87" s="53"/>
      <c r="G87" s="54"/>
      <c r="H87" s="55"/>
    </row>
    <row r="88" spans="2:8" outlineLevel="1">
      <c r="B88" s="51"/>
      <c r="C88" s="52"/>
      <c r="D88" s="6"/>
      <c r="E88" s="53"/>
      <c r="F88" s="53"/>
      <c r="G88" s="56"/>
      <c r="H88" s="63"/>
    </row>
    <row r="89" spans="2:8" outlineLevel="1">
      <c r="B89" s="51"/>
      <c r="C89" s="65" t="s">
        <v>133</v>
      </c>
      <c r="D89" s="6"/>
      <c r="E89" s="53"/>
      <c r="F89" s="53"/>
      <c r="G89" s="56"/>
      <c r="H89" s="63"/>
    </row>
    <row r="90" spans="2:8" outlineLevel="1">
      <c r="B90" s="51"/>
      <c r="C90" s="52" t="s">
        <v>120</v>
      </c>
      <c r="D90" s="6" t="s">
        <v>45</v>
      </c>
      <c r="E90" s="53"/>
      <c r="F90" s="53"/>
      <c r="G90" s="54"/>
      <c r="H90" s="55"/>
    </row>
    <row r="91" spans="2:8" ht="26.4" customHeight="1" outlineLevel="1">
      <c r="B91" s="51" t="s">
        <v>76</v>
      </c>
      <c r="C91" s="52" t="s">
        <v>134</v>
      </c>
      <c r="D91" s="6" t="s">
        <v>63</v>
      </c>
      <c r="E91" s="53"/>
      <c r="F91" s="53"/>
      <c r="G91" s="54"/>
      <c r="H91" s="55"/>
    </row>
    <row r="92" spans="2:8" outlineLevel="1">
      <c r="B92" s="51"/>
      <c r="C92" s="52"/>
      <c r="D92" s="6"/>
      <c r="E92" s="53"/>
      <c r="F92" s="53"/>
      <c r="G92" s="56"/>
      <c r="H92" s="55"/>
    </row>
    <row r="93" spans="2:8" outlineLevel="1">
      <c r="B93" s="51"/>
      <c r="C93" s="65" t="s">
        <v>135</v>
      </c>
      <c r="D93" s="6"/>
      <c r="E93" s="53"/>
      <c r="F93" s="53"/>
      <c r="G93" s="56"/>
      <c r="H93" s="63"/>
    </row>
    <row r="94" spans="2:8" ht="26.4" customHeight="1" outlineLevel="1">
      <c r="B94" s="51"/>
      <c r="C94" s="52" t="s">
        <v>136</v>
      </c>
      <c r="D94" s="6" t="s">
        <v>45</v>
      </c>
      <c r="E94" s="53"/>
      <c r="F94" s="53"/>
      <c r="G94" s="54"/>
      <c r="H94" s="55"/>
    </row>
    <row r="95" spans="2:8" ht="26.4" customHeight="1" outlineLevel="1">
      <c r="B95" s="51" t="s">
        <v>61</v>
      </c>
      <c r="C95" s="52" t="s">
        <v>137</v>
      </c>
      <c r="D95" s="6" t="s">
        <v>63</v>
      </c>
      <c r="E95" s="53"/>
      <c r="F95" s="53"/>
      <c r="G95" s="54"/>
      <c r="H95" s="63"/>
    </row>
    <row r="96" spans="2:8" outlineLevel="1">
      <c r="B96" s="51"/>
      <c r="C96" s="52"/>
      <c r="D96" s="6"/>
      <c r="E96" s="53"/>
      <c r="F96" s="53"/>
      <c r="G96" s="56"/>
      <c r="H96" s="63"/>
    </row>
    <row r="97" spans="2:8" outlineLevel="1">
      <c r="B97" s="51"/>
      <c r="C97" s="65" t="s">
        <v>138</v>
      </c>
      <c r="D97" s="6"/>
      <c r="E97" s="53"/>
      <c r="F97" s="53"/>
      <c r="G97" s="68"/>
      <c r="H97" s="55"/>
    </row>
    <row r="98" spans="2:8" ht="26.4" customHeight="1" outlineLevel="1">
      <c r="B98" s="51" t="s">
        <v>64</v>
      </c>
      <c r="C98" s="52" t="s">
        <v>139</v>
      </c>
      <c r="D98" s="6" t="s">
        <v>45</v>
      </c>
      <c r="E98" s="53"/>
      <c r="F98" s="53"/>
      <c r="G98" s="54"/>
      <c r="H98" s="55"/>
    </row>
    <row r="99" spans="2:8" outlineLevel="1">
      <c r="B99" s="51" t="s">
        <v>66</v>
      </c>
      <c r="C99" s="52" t="s">
        <v>140</v>
      </c>
      <c r="D99" s="6" t="s">
        <v>102</v>
      </c>
      <c r="E99" s="53"/>
      <c r="F99" s="53"/>
      <c r="G99" s="54"/>
      <c r="H99" s="55"/>
    </row>
    <row r="100" spans="2:8" ht="39.6" customHeight="1" outlineLevel="1">
      <c r="B100" s="51" t="s">
        <v>68</v>
      </c>
      <c r="C100" s="52" t="s">
        <v>141</v>
      </c>
      <c r="D100" s="6" t="s">
        <v>102</v>
      </c>
      <c r="E100" s="53"/>
      <c r="F100" s="53"/>
      <c r="G100" s="54"/>
      <c r="H100" s="63"/>
    </row>
    <row r="101" spans="2:8" ht="52.8" customHeight="1" outlineLevel="1">
      <c r="B101" s="51" t="s">
        <v>70</v>
      </c>
      <c r="C101" s="52" t="s">
        <v>142</v>
      </c>
      <c r="D101" s="6" t="s">
        <v>63</v>
      </c>
      <c r="E101" s="53"/>
      <c r="F101" s="53"/>
      <c r="G101" s="54"/>
      <c r="H101" s="55"/>
    </row>
    <row r="102" spans="2:8" outlineLevel="1">
      <c r="B102" s="51" t="s">
        <v>72</v>
      </c>
      <c r="C102" s="52" t="s">
        <v>143</v>
      </c>
      <c r="D102" s="6" t="s">
        <v>102</v>
      </c>
      <c r="E102" s="53"/>
      <c r="F102" s="53"/>
      <c r="G102" s="54"/>
      <c r="H102" s="55"/>
    </row>
    <row r="103" spans="2:8" outlineLevel="1">
      <c r="B103" s="51"/>
      <c r="C103" s="52"/>
      <c r="D103" s="6"/>
      <c r="E103" s="53"/>
      <c r="F103" s="53"/>
      <c r="G103" s="56"/>
      <c r="H103" s="63"/>
    </row>
    <row r="104" spans="2:8" outlineLevel="1">
      <c r="B104" s="51"/>
      <c r="C104" s="65" t="s">
        <v>144</v>
      </c>
      <c r="D104" s="6"/>
      <c r="E104" s="53"/>
      <c r="F104" s="53"/>
      <c r="G104" s="56"/>
      <c r="H104" s="63"/>
    </row>
    <row r="105" spans="2:8" outlineLevel="1">
      <c r="B105" s="51" t="s">
        <v>74</v>
      </c>
      <c r="C105" s="52" t="s">
        <v>145</v>
      </c>
      <c r="D105" s="6" t="s">
        <v>102</v>
      </c>
      <c r="E105" s="53"/>
      <c r="F105" s="53"/>
      <c r="G105" s="54"/>
      <c r="H105" s="55"/>
    </row>
    <row r="106" spans="2:8" outlineLevel="1">
      <c r="B106" s="51" t="s">
        <v>76</v>
      </c>
      <c r="C106" s="52" t="s">
        <v>146</v>
      </c>
      <c r="D106" s="6" t="s">
        <v>102</v>
      </c>
      <c r="E106" s="53"/>
      <c r="F106" s="53"/>
      <c r="G106" s="54"/>
      <c r="H106" s="55"/>
    </row>
    <row r="107" spans="2:8" outlineLevel="1">
      <c r="B107" s="51"/>
      <c r="C107" s="52"/>
      <c r="D107" s="6"/>
      <c r="E107" s="53"/>
      <c r="F107" s="53"/>
      <c r="G107" s="56"/>
      <c r="H107" s="55"/>
    </row>
    <row r="108" spans="2:8" outlineLevel="1">
      <c r="B108" s="51"/>
      <c r="C108" s="65" t="s">
        <v>147</v>
      </c>
      <c r="D108" s="6"/>
      <c r="E108" s="53"/>
      <c r="F108" s="53"/>
      <c r="G108" s="56"/>
      <c r="H108" s="63"/>
    </row>
    <row r="109" spans="2:8" ht="26.4" customHeight="1" outlineLevel="1">
      <c r="B109" s="51" t="s">
        <v>78</v>
      </c>
      <c r="C109" s="52" t="s">
        <v>148</v>
      </c>
      <c r="D109" s="6" t="s">
        <v>63</v>
      </c>
      <c r="E109" s="53"/>
      <c r="F109" s="53"/>
      <c r="G109" s="54"/>
      <c r="H109" s="55"/>
    </row>
    <row r="110" spans="2:8" ht="52.8" customHeight="1" outlineLevel="1">
      <c r="B110" s="51" t="s">
        <v>80</v>
      </c>
      <c r="C110" s="52" t="s">
        <v>149</v>
      </c>
      <c r="D110" s="6" t="s">
        <v>102</v>
      </c>
      <c r="E110" s="53"/>
      <c r="F110" s="53"/>
      <c r="G110" s="54"/>
      <c r="H110" s="55"/>
    </row>
    <row r="111" spans="2:8" ht="39.6" customHeight="1" outlineLevel="1">
      <c r="B111" s="51" t="s">
        <v>82</v>
      </c>
      <c r="C111" s="52" t="s">
        <v>150</v>
      </c>
      <c r="D111" s="6" t="s">
        <v>102</v>
      </c>
      <c r="E111" s="53"/>
      <c r="F111" s="53"/>
      <c r="G111" s="54"/>
      <c r="H111" s="55"/>
    </row>
    <row r="112" spans="2:8" outlineLevel="1">
      <c r="B112" s="51"/>
      <c r="C112" s="52"/>
      <c r="D112" s="6"/>
      <c r="E112" s="53"/>
      <c r="F112" s="53"/>
      <c r="G112" s="56"/>
      <c r="H112" s="55"/>
    </row>
    <row r="113" spans="2:8" outlineLevel="1">
      <c r="B113" s="51"/>
      <c r="C113" s="65" t="s">
        <v>151</v>
      </c>
      <c r="D113" s="6"/>
      <c r="E113" s="53"/>
      <c r="F113" s="53"/>
      <c r="G113" s="56"/>
      <c r="H113" s="63"/>
    </row>
    <row r="114" spans="2:8" outlineLevel="1">
      <c r="B114" s="51" t="s">
        <v>84</v>
      </c>
      <c r="C114" s="52" t="s">
        <v>152</v>
      </c>
      <c r="D114" s="6" t="s">
        <v>102</v>
      </c>
      <c r="E114" s="53"/>
      <c r="F114" s="53"/>
      <c r="G114" s="54"/>
      <c r="H114" s="55"/>
    </row>
    <row r="115" spans="2:8" outlineLevel="1">
      <c r="B115" s="51" t="s">
        <v>86</v>
      </c>
      <c r="C115" s="52" t="s">
        <v>153</v>
      </c>
      <c r="D115" s="6" t="s">
        <v>102</v>
      </c>
      <c r="E115" s="53"/>
      <c r="F115" s="53"/>
      <c r="G115" s="54"/>
      <c r="H115" s="55"/>
    </row>
    <row r="116" spans="2:8" outlineLevel="1">
      <c r="B116" s="51"/>
      <c r="C116" s="52"/>
      <c r="D116" s="6"/>
      <c r="E116" s="53"/>
      <c r="F116" s="53"/>
      <c r="G116" s="56"/>
      <c r="H116" s="55"/>
    </row>
    <row r="117" spans="2:8" outlineLevel="1">
      <c r="B117" s="51"/>
      <c r="C117" s="65" t="s">
        <v>154</v>
      </c>
      <c r="D117" s="6"/>
      <c r="E117" s="53"/>
      <c r="F117" s="53"/>
      <c r="G117" s="56"/>
      <c r="H117" s="55"/>
    </row>
    <row r="118" spans="2:8" ht="26.4" customHeight="1" outlineLevel="1">
      <c r="B118" s="51"/>
      <c r="C118" s="52" t="s">
        <v>155</v>
      </c>
      <c r="D118" s="6" t="s">
        <v>45</v>
      </c>
      <c r="E118" s="53"/>
      <c r="F118" s="53"/>
      <c r="G118" s="54"/>
      <c r="H118" s="55"/>
    </row>
    <row r="119" spans="2:8" outlineLevel="1">
      <c r="B119" s="51"/>
      <c r="C119" s="52" t="s">
        <v>156</v>
      </c>
      <c r="D119" s="6" t="s">
        <v>102</v>
      </c>
      <c r="E119" s="53"/>
      <c r="F119" s="53"/>
      <c r="G119" s="54"/>
      <c r="H119" s="67"/>
    </row>
    <row r="120" spans="2:8" outlineLevel="1">
      <c r="B120" s="51"/>
      <c r="C120" s="52" t="s">
        <v>157</v>
      </c>
      <c r="D120" s="6" t="s">
        <v>102</v>
      </c>
      <c r="E120" s="53"/>
      <c r="F120" s="53"/>
      <c r="G120" s="54"/>
      <c r="H120" s="70"/>
    </row>
    <row r="121" spans="2:8" outlineLevel="1">
      <c r="B121" s="51"/>
      <c r="C121" s="52" t="s">
        <v>158</v>
      </c>
      <c r="D121" s="6" t="s">
        <v>102</v>
      </c>
      <c r="E121" s="53"/>
      <c r="F121" s="53"/>
      <c r="G121" s="54"/>
      <c r="H121" s="70"/>
    </row>
    <row r="122" spans="2:8" outlineLevel="1">
      <c r="B122" s="51"/>
      <c r="C122" s="52" t="s">
        <v>159</v>
      </c>
      <c r="D122" s="6" t="s">
        <v>102</v>
      </c>
      <c r="E122" s="53"/>
      <c r="F122" s="53"/>
      <c r="G122" s="54"/>
      <c r="H122" s="55"/>
    </row>
    <row r="123" spans="2:8" outlineLevel="1">
      <c r="B123" s="51"/>
      <c r="C123" s="52" t="s">
        <v>160</v>
      </c>
      <c r="D123" s="6" t="s">
        <v>102</v>
      </c>
      <c r="E123" s="53"/>
      <c r="F123" s="53"/>
      <c r="G123" s="54"/>
      <c r="H123" s="55"/>
    </row>
    <row r="124" spans="2:8" outlineLevel="1">
      <c r="B124" s="51"/>
      <c r="C124" s="52"/>
      <c r="D124" s="6"/>
      <c r="E124" s="53"/>
      <c r="F124" s="53"/>
      <c r="G124" s="56"/>
      <c r="H124" s="55"/>
    </row>
    <row r="125" spans="2:8" outlineLevel="1">
      <c r="B125" s="51"/>
      <c r="C125" s="61" t="s">
        <v>161</v>
      </c>
      <c r="D125" s="8"/>
      <c r="E125" s="64"/>
      <c r="F125" s="64"/>
      <c r="G125" s="56"/>
      <c r="H125" s="55"/>
    </row>
    <row r="126" spans="2:8" ht="26.4" customHeight="1" outlineLevel="1">
      <c r="B126" s="51"/>
      <c r="C126" s="52" t="s">
        <v>162</v>
      </c>
      <c r="D126" s="6" t="s">
        <v>45</v>
      </c>
      <c r="E126" s="53"/>
      <c r="F126" s="53"/>
      <c r="G126" s="54"/>
      <c r="H126" s="55"/>
    </row>
    <row r="127" spans="2:8" outlineLevel="1">
      <c r="B127" s="51"/>
      <c r="C127" s="52" t="s">
        <v>163</v>
      </c>
      <c r="D127" s="6" t="s">
        <v>45</v>
      </c>
      <c r="E127" s="53"/>
      <c r="F127" s="53"/>
      <c r="G127" s="54"/>
      <c r="H127" s="55"/>
    </row>
    <row r="128" spans="2:8" outlineLevel="1">
      <c r="B128" s="51"/>
      <c r="C128" s="52"/>
      <c r="D128" s="6"/>
      <c r="E128" s="53"/>
      <c r="F128" s="53"/>
      <c r="G128" s="56"/>
      <c r="H128" s="63"/>
    </row>
    <row r="129" spans="2:8" outlineLevel="1">
      <c r="B129" s="51"/>
      <c r="C129" s="65" t="s">
        <v>164</v>
      </c>
      <c r="D129" s="6"/>
      <c r="E129" s="53"/>
      <c r="F129" s="53"/>
      <c r="G129" s="56"/>
      <c r="H129" s="63"/>
    </row>
    <row r="130" spans="2:8" ht="52.8" customHeight="1" outlineLevel="1">
      <c r="B130" s="51" t="s">
        <v>61</v>
      </c>
      <c r="C130" s="52" t="s">
        <v>165</v>
      </c>
      <c r="D130" s="6" t="s">
        <v>102</v>
      </c>
      <c r="E130" s="53"/>
      <c r="F130" s="53"/>
      <c r="G130" s="54"/>
      <c r="H130" s="71" t="s">
        <v>166</v>
      </c>
    </row>
    <row r="131" spans="2:8" outlineLevel="1">
      <c r="B131" s="51"/>
      <c r="C131" s="52"/>
      <c r="D131" s="6"/>
      <c r="E131" s="53"/>
      <c r="F131" s="53"/>
      <c r="G131" s="56"/>
      <c r="H131" s="55"/>
    </row>
    <row r="132" spans="2:8" outlineLevel="1">
      <c r="B132" s="51"/>
      <c r="C132" s="65" t="s">
        <v>167</v>
      </c>
      <c r="D132" s="6"/>
      <c r="E132" s="53"/>
      <c r="F132" s="53"/>
      <c r="G132" s="56"/>
      <c r="H132" s="55"/>
    </row>
    <row r="133" spans="2:8" ht="26.4" customHeight="1" outlineLevel="1">
      <c r="B133" s="51" t="s">
        <v>64</v>
      </c>
      <c r="C133" s="52" t="s">
        <v>168</v>
      </c>
      <c r="D133" s="6" t="s">
        <v>102</v>
      </c>
      <c r="E133" s="53"/>
      <c r="F133" s="53"/>
      <c r="G133" s="54"/>
      <c r="H133" s="71" t="s">
        <v>166</v>
      </c>
    </row>
    <row r="134" spans="2:8" ht="39.6" customHeight="1" outlineLevel="1">
      <c r="B134" s="51" t="s">
        <v>66</v>
      </c>
      <c r="C134" s="52" t="s">
        <v>169</v>
      </c>
      <c r="D134" s="6" t="s">
        <v>102</v>
      </c>
      <c r="E134" s="53"/>
      <c r="F134" s="53"/>
      <c r="G134" s="54"/>
      <c r="H134" s="71" t="s">
        <v>166</v>
      </c>
    </row>
    <row r="135" spans="2:8" outlineLevel="1">
      <c r="B135" s="51"/>
      <c r="C135" s="52"/>
      <c r="D135" s="6"/>
      <c r="E135" s="53"/>
      <c r="F135" s="53"/>
      <c r="G135" s="56"/>
      <c r="H135" s="55"/>
    </row>
    <row r="136" spans="2:8" outlineLevel="1">
      <c r="B136" s="51"/>
      <c r="C136" s="65" t="s">
        <v>170</v>
      </c>
      <c r="D136" s="6"/>
      <c r="E136" s="53"/>
      <c r="F136" s="53"/>
      <c r="G136" s="68"/>
      <c r="H136" s="55"/>
    </row>
    <row r="137" spans="2:8" ht="26.4" customHeight="1" outlineLevel="1">
      <c r="B137" s="51" t="s">
        <v>68</v>
      </c>
      <c r="C137" s="52" t="s">
        <v>171</v>
      </c>
      <c r="D137" s="6" t="s">
        <v>102</v>
      </c>
      <c r="E137" s="53"/>
      <c r="F137" s="53"/>
      <c r="G137" s="54"/>
      <c r="H137" s="71" t="s">
        <v>166</v>
      </c>
    </row>
    <row r="138" spans="2:8" outlineLevel="1">
      <c r="B138" s="51" t="s">
        <v>70</v>
      </c>
      <c r="C138" s="52" t="s">
        <v>172</v>
      </c>
      <c r="D138" s="6" t="s">
        <v>63</v>
      </c>
      <c r="E138" s="53"/>
      <c r="F138" s="53"/>
      <c r="G138" s="54"/>
      <c r="H138" s="71" t="s">
        <v>166</v>
      </c>
    </row>
    <row r="139" spans="2:8" ht="26.4" customHeight="1" outlineLevel="1">
      <c r="B139" s="51"/>
      <c r="C139" s="52" t="s">
        <v>173</v>
      </c>
      <c r="D139" s="6" t="s">
        <v>102</v>
      </c>
      <c r="E139" s="53"/>
      <c r="F139" s="53"/>
      <c r="G139" s="54"/>
      <c r="H139" s="71" t="s">
        <v>166</v>
      </c>
    </row>
    <row r="140" spans="2:8" outlineLevel="1">
      <c r="B140" s="51"/>
      <c r="C140" s="52"/>
      <c r="D140" s="6"/>
      <c r="E140" s="53"/>
      <c r="F140" s="53"/>
      <c r="G140" s="56"/>
      <c r="H140" s="55"/>
    </row>
    <row r="141" spans="2:8" outlineLevel="1">
      <c r="B141" s="51"/>
      <c r="C141" s="65" t="s">
        <v>174</v>
      </c>
      <c r="D141" s="6"/>
      <c r="E141" s="53"/>
      <c r="F141" s="53"/>
      <c r="G141" s="68"/>
      <c r="H141" s="55"/>
    </row>
    <row r="142" spans="2:8" ht="26.4" customHeight="1" outlineLevel="1">
      <c r="B142" s="51" t="s">
        <v>70</v>
      </c>
      <c r="C142" s="52" t="s">
        <v>175</v>
      </c>
      <c r="D142" s="6" t="s">
        <v>102</v>
      </c>
      <c r="E142" s="53"/>
      <c r="F142" s="53"/>
      <c r="G142" s="54"/>
      <c r="H142" s="71" t="s">
        <v>166</v>
      </c>
    </row>
    <row r="143" spans="2:8" outlineLevel="1">
      <c r="B143" s="51" t="s">
        <v>72</v>
      </c>
      <c r="C143" s="52" t="s">
        <v>176</v>
      </c>
      <c r="D143" s="6" t="s">
        <v>63</v>
      </c>
      <c r="E143" s="53"/>
      <c r="F143" s="53"/>
      <c r="G143" s="54"/>
      <c r="H143" s="71" t="s">
        <v>166</v>
      </c>
    </row>
    <row r="144" spans="2:8" ht="26.4" customHeight="1" outlineLevel="1">
      <c r="B144" s="51" t="s">
        <v>74</v>
      </c>
      <c r="C144" s="52" t="s">
        <v>173</v>
      </c>
      <c r="D144" s="6" t="s">
        <v>102</v>
      </c>
      <c r="E144" s="53"/>
      <c r="F144" s="53"/>
      <c r="G144" s="54"/>
      <c r="H144" s="71" t="s">
        <v>166</v>
      </c>
    </row>
    <row r="145" spans="2:8" outlineLevel="1">
      <c r="B145" s="51"/>
      <c r="C145" s="52"/>
      <c r="D145" s="6"/>
      <c r="E145" s="53"/>
      <c r="F145" s="53"/>
      <c r="G145" s="68"/>
      <c r="H145" s="55"/>
    </row>
    <row r="146" spans="2:8" outlineLevel="1">
      <c r="B146" s="51"/>
      <c r="C146" s="65" t="s">
        <v>177</v>
      </c>
      <c r="D146" s="6"/>
      <c r="E146" s="53"/>
      <c r="F146" s="53"/>
      <c r="G146" s="68"/>
      <c r="H146" s="55"/>
    </row>
    <row r="147" spans="2:8" outlineLevel="1">
      <c r="B147" s="51"/>
      <c r="C147" s="52" t="s">
        <v>178</v>
      </c>
      <c r="D147" s="6" t="s">
        <v>45</v>
      </c>
      <c r="E147" s="53"/>
      <c r="F147" s="53"/>
      <c r="G147" s="54"/>
      <c r="H147" s="55"/>
    </row>
    <row r="148" spans="2:8" ht="66" customHeight="1" outlineLevel="1">
      <c r="B148" s="51" t="s">
        <v>76</v>
      </c>
      <c r="C148" s="52" t="s">
        <v>179</v>
      </c>
      <c r="D148" s="6" t="s">
        <v>102</v>
      </c>
      <c r="E148" s="53"/>
      <c r="F148" s="53"/>
      <c r="G148" s="54"/>
      <c r="H148" s="71" t="s">
        <v>166</v>
      </c>
    </row>
    <row r="149" spans="2:8" outlineLevel="1">
      <c r="B149" s="51"/>
      <c r="C149" s="52"/>
      <c r="D149" s="6"/>
      <c r="E149" s="53"/>
      <c r="F149" s="53"/>
      <c r="G149" s="68"/>
      <c r="H149" s="55"/>
    </row>
    <row r="150" spans="2:8" outlineLevel="1">
      <c r="B150" s="51"/>
      <c r="C150" s="65" t="s">
        <v>180</v>
      </c>
      <c r="D150" s="6"/>
      <c r="E150" s="53"/>
      <c r="F150" s="53"/>
      <c r="G150" s="68"/>
      <c r="H150" s="55"/>
    </row>
    <row r="151" spans="2:8" ht="39.6" customHeight="1" outlineLevel="1">
      <c r="B151" s="51" t="s">
        <v>80</v>
      </c>
      <c r="C151" s="52" t="s">
        <v>181</v>
      </c>
      <c r="D151" s="6" t="s">
        <v>102</v>
      </c>
      <c r="E151" s="53"/>
      <c r="F151" s="53"/>
      <c r="G151" s="54"/>
      <c r="H151" s="71" t="s">
        <v>166</v>
      </c>
    </row>
    <row r="152" spans="2:8" outlineLevel="1">
      <c r="B152" s="51"/>
      <c r="C152" s="52"/>
      <c r="D152" s="6"/>
      <c r="E152" s="53"/>
      <c r="F152" s="53"/>
      <c r="G152" s="56"/>
      <c r="H152" s="55"/>
    </row>
    <row r="153" spans="2:8" outlineLevel="1">
      <c r="B153" s="51"/>
      <c r="C153" s="72" t="s">
        <v>182</v>
      </c>
      <c r="D153" s="73"/>
      <c r="E153" s="74"/>
      <c r="F153" s="74"/>
      <c r="G153" s="75"/>
      <c r="H153" s="55"/>
    </row>
    <row r="154" spans="2:8" ht="26.4" customHeight="1" outlineLevel="1">
      <c r="B154" s="51"/>
      <c r="C154" s="52" t="s">
        <v>162</v>
      </c>
      <c r="D154" s="6" t="s">
        <v>45</v>
      </c>
      <c r="E154" s="53"/>
      <c r="F154" s="53"/>
      <c r="G154" s="54"/>
      <c r="H154" s="55"/>
    </row>
    <row r="155" spans="2:8" ht="26.4" customHeight="1" outlineLevel="1">
      <c r="B155" s="51" t="s">
        <v>61</v>
      </c>
      <c r="C155" s="52" t="s">
        <v>183</v>
      </c>
      <c r="D155" s="6" t="s">
        <v>102</v>
      </c>
      <c r="E155" s="53"/>
      <c r="F155" s="53"/>
      <c r="G155" s="54"/>
      <c r="H155" s="55"/>
    </row>
    <row r="156" spans="2:8" ht="26.4" customHeight="1" outlineLevel="1">
      <c r="B156" s="51" t="s">
        <v>64</v>
      </c>
      <c r="C156" s="52" t="s">
        <v>184</v>
      </c>
      <c r="D156" s="6" t="s">
        <v>102</v>
      </c>
      <c r="E156" s="53"/>
      <c r="F156" s="53"/>
      <c r="G156" s="54"/>
      <c r="H156" s="55"/>
    </row>
    <row r="157" spans="2:8" ht="26.4" customHeight="1" outlineLevel="1">
      <c r="B157" s="51" t="s">
        <v>66</v>
      </c>
      <c r="C157" s="52" t="s">
        <v>185</v>
      </c>
      <c r="D157" s="6" t="s">
        <v>102</v>
      </c>
      <c r="E157" s="53"/>
      <c r="F157" s="53"/>
      <c r="G157" s="54"/>
      <c r="H157" s="55"/>
    </row>
    <row r="158" spans="2:8" outlineLevel="1">
      <c r="B158" s="51"/>
      <c r="C158" s="52"/>
      <c r="D158" s="6"/>
      <c r="E158" s="53"/>
      <c r="F158" s="53"/>
      <c r="G158" s="56"/>
      <c r="H158" s="63"/>
    </row>
    <row r="159" spans="2:8" outlineLevel="1">
      <c r="B159" s="51"/>
      <c r="C159" s="72" t="s">
        <v>186</v>
      </c>
      <c r="D159" s="6"/>
      <c r="E159" s="53"/>
      <c r="F159" s="53"/>
      <c r="G159" s="56"/>
      <c r="H159" s="63"/>
    </row>
    <row r="160" spans="2:8" ht="26.4" customHeight="1" outlineLevel="1">
      <c r="B160" s="51"/>
      <c r="C160" s="52" t="s">
        <v>162</v>
      </c>
      <c r="D160" s="6" t="s">
        <v>45</v>
      </c>
      <c r="E160" s="53"/>
      <c r="F160" s="53"/>
      <c r="G160" s="54"/>
      <c r="H160" s="63"/>
    </row>
    <row r="161" spans="2:8" outlineLevel="1">
      <c r="B161" s="51" t="s">
        <v>68</v>
      </c>
      <c r="C161" s="52" t="s">
        <v>187</v>
      </c>
      <c r="D161" s="6" t="s">
        <v>102</v>
      </c>
      <c r="E161" s="53"/>
      <c r="F161" s="53"/>
      <c r="G161" s="54"/>
      <c r="H161" s="63"/>
    </row>
    <row r="162" spans="2:8" ht="26.4" customHeight="1" outlineLevel="1">
      <c r="B162" s="51" t="s">
        <v>70</v>
      </c>
      <c r="C162" s="52" t="s">
        <v>188</v>
      </c>
      <c r="D162" s="6" t="s">
        <v>102</v>
      </c>
      <c r="E162" s="53"/>
      <c r="F162" s="53"/>
      <c r="G162" s="54"/>
      <c r="H162" s="63"/>
    </row>
    <row r="163" spans="2:8" outlineLevel="1">
      <c r="B163" s="51" t="s">
        <v>72</v>
      </c>
      <c r="C163" s="52" t="s">
        <v>189</v>
      </c>
      <c r="D163" s="6" t="s">
        <v>102</v>
      </c>
      <c r="E163" s="53"/>
      <c r="F163" s="53"/>
      <c r="G163" s="54"/>
      <c r="H163" s="63"/>
    </row>
    <row r="164" spans="2:8" outlineLevel="1">
      <c r="B164" s="51" t="s">
        <v>74</v>
      </c>
      <c r="C164" s="52" t="s">
        <v>190</v>
      </c>
      <c r="D164" s="6" t="s">
        <v>102</v>
      </c>
      <c r="E164" s="53"/>
      <c r="F164" s="53"/>
      <c r="G164" s="54"/>
      <c r="H164" s="63"/>
    </row>
    <row r="165" spans="2:8" ht="26.4" customHeight="1" outlineLevel="1">
      <c r="B165" s="51" t="s">
        <v>76</v>
      </c>
      <c r="C165" s="52" t="s">
        <v>191</v>
      </c>
      <c r="D165" s="6" t="s">
        <v>102</v>
      </c>
      <c r="E165" s="53"/>
      <c r="F165" s="53"/>
      <c r="G165" s="54"/>
      <c r="H165" s="63"/>
    </row>
    <row r="166" spans="2:8" ht="26.4" customHeight="1" outlineLevel="1">
      <c r="B166" s="51" t="s">
        <v>78</v>
      </c>
      <c r="C166" s="52" t="s">
        <v>192</v>
      </c>
      <c r="D166" s="6" t="s">
        <v>102</v>
      </c>
      <c r="E166" s="53"/>
      <c r="F166" s="53"/>
      <c r="G166" s="54"/>
      <c r="H166" s="63"/>
    </row>
    <row r="167" spans="2:8" outlineLevel="1">
      <c r="B167" s="51"/>
      <c r="C167" s="52"/>
      <c r="D167" s="6"/>
      <c r="E167" s="53"/>
      <c r="F167" s="53"/>
      <c r="G167" s="56"/>
      <c r="H167" s="63"/>
    </row>
    <row r="168" spans="2:8" outlineLevel="1">
      <c r="B168" s="51"/>
      <c r="C168" s="76" t="s">
        <v>193</v>
      </c>
      <c r="D168" s="6"/>
      <c r="E168" s="53"/>
      <c r="F168" s="53"/>
      <c r="G168" s="56"/>
      <c r="H168" s="55"/>
    </row>
    <row r="169" spans="2:8" ht="39.6" customHeight="1" outlineLevel="1">
      <c r="B169" s="51"/>
      <c r="C169" s="52" t="s">
        <v>194</v>
      </c>
      <c r="D169" s="6" t="s">
        <v>45</v>
      </c>
      <c r="E169" s="53"/>
      <c r="F169" s="53"/>
      <c r="G169" s="54"/>
      <c r="H169" s="55"/>
    </row>
    <row r="170" spans="2:8" ht="39.6" customHeight="1" outlineLevel="1">
      <c r="B170" s="51"/>
      <c r="C170" s="52" t="s">
        <v>195</v>
      </c>
      <c r="D170" s="6" t="s">
        <v>45</v>
      </c>
      <c r="E170" s="53"/>
      <c r="F170" s="53"/>
      <c r="G170" s="54"/>
      <c r="H170" s="55"/>
    </row>
    <row r="171" spans="2:8" ht="66" customHeight="1" outlineLevel="1">
      <c r="B171" s="51"/>
      <c r="C171" s="52" t="s">
        <v>196</v>
      </c>
      <c r="D171" s="6" t="s">
        <v>45</v>
      </c>
      <c r="E171" s="53"/>
      <c r="F171" s="53"/>
      <c r="G171" s="54"/>
      <c r="H171" s="55"/>
    </row>
    <row r="172" spans="2:8" outlineLevel="1">
      <c r="B172" s="51"/>
      <c r="C172" s="52"/>
      <c r="D172" s="6"/>
      <c r="E172" s="53"/>
      <c r="F172" s="53"/>
      <c r="G172" s="56"/>
      <c r="H172" s="55"/>
    </row>
    <row r="173" spans="2:8" outlineLevel="1">
      <c r="B173" s="51"/>
      <c r="C173" s="61" t="s">
        <v>197</v>
      </c>
      <c r="D173" s="8"/>
      <c r="E173" s="64"/>
      <c r="F173" s="64"/>
      <c r="G173" s="56"/>
      <c r="H173" s="55"/>
    </row>
    <row r="174" spans="2:8" ht="26.4" customHeight="1" outlineLevel="1">
      <c r="B174" s="51"/>
      <c r="C174" s="52" t="s">
        <v>198</v>
      </c>
      <c r="D174" s="6"/>
      <c r="E174" s="53"/>
      <c r="F174" s="53"/>
      <c r="G174" s="56"/>
      <c r="H174" s="55"/>
    </row>
    <row r="175" spans="2:8" outlineLevel="1">
      <c r="B175" s="51"/>
      <c r="C175" s="52" t="s">
        <v>199</v>
      </c>
      <c r="D175" s="6"/>
      <c r="E175" s="53"/>
      <c r="F175" s="53"/>
      <c r="G175" s="56"/>
      <c r="H175" s="55"/>
    </row>
    <row r="176" spans="2:8" outlineLevel="1">
      <c r="B176" s="51"/>
      <c r="C176" s="52" t="s">
        <v>200</v>
      </c>
      <c r="D176" s="6"/>
      <c r="E176" s="53"/>
      <c r="F176" s="53"/>
      <c r="G176" s="56"/>
      <c r="H176" s="55"/>
    </row>
    <row r="177" spans="2:8" outlineLevel="1">
      <c r="B177" s="77"/>
      <c r="C177" s="78"/>
      <c r="D177" s="79"/>
      <c r="E177" s="80"/>
      <c r="F177" s="80"/>
      <c r="G177" s="81"/>
      <c r="H177" s="82"/>
    </row>
    <row r="178" spans="2:8" ht="33" customHeight="1">
      <c r="B178" s="83"/>
      <c r="C178" s="84" t="s">
        <v>201</v>
      </c>
      <c r="D178" s="84"/>
      <c r="E178" s="84"/>
      <c r="F178" s="84"/>
      <c r="G178" s="85">
        <f>ROUND(SUBTOTAL(9,G10:G177),0)</f>
        <v>0</v>
      </c>
      <c r="H178" s="86"/>
    </row>
  </sheetData>
  <mergeCells count="5">
    <mergeCell ref="B5:C5"/>
    <mergeCell ref="G7:G8"/>
    <mergeCell ref="E7:E8"/>
    <mergeCell ref="H7:H8"/>
    <mergeCell ref="F7:F8"/>
  </mergeCells>
  <printOptions horizontalCentered="1"/>
  <pageMargins left="0.55118110236220497" right="0.31496062992126" top="0.55118110236220497" bottom="0.55118110236220497" header="0.31496062992126" footer="0.23622047244094499"/>
  <pageSetup paperSize="9" scale="61" fitToHeight="0" orientation="portrait" r:id="rId1"/>
  <headerFooter>
    <oddFooter>&amp;L&amp;A&amp;RPage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C000"/>
    <outlinePr summaryBelow="0"/>
    <pageSetUpPr fitToPage="1"/>
  </sheetPr>
  <dimension ref="A1:O720"/>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defaultColWidth="45" defaultRowHeight="13.2" outlineLevelRow="1"/>
  <cols>
    <col min="1" max="1" width="6" style="130" customWidth="1"/>
    <col min="2" max="2" width="75.6640625" style="130" customWidth="1"/>
    <col min="3" max="3" width="48.44140625" style="146" customWidth="1"/>
    <col min="4" max="4" width="44.88671875" style="146" customWidth="1"/>
    <col min="5" max="5" width="32.6640625" style="152" customWidth="1"/>
    <col min="6" max="6" width="12.21875" style="331" customWidth="1"/>
    <col min="7" max="7" width="10" style="153" customWidth="1"/>
    <col min="8" max="8" width="11.33203125" style="127" customWidth="1"/>
    <col min="9" max="14" width="12" style="127" customWidth="1"/>
    <col min="15" max="15" width="12" style="130" customWidth="1"/>
    <col min="16" max="16" width="45" style="130" customWidth="1"/>
    <col min="17" max="16384" width="45" style="130"/>
  </cols>
  <sheetData>
    <row r="1" spans="1:15" s="122" customFormat="1" ht="22.2" customHeight="1">
      <c r="A1" s="352" t="s">
        <v>202</v>
      </c>
      <c r="B1" s="353"/>
      <c r="C1" s="353"/>
      <c r="D1" s="353"/>
      <c r="E1" s="353"/>
      <c r="F1" s="353"/>
      <c r="G1" s="353"/>
      <c r="H1" s="353"/>
      <c r="I1" s="353"/>
      <c r="J1" s="353"/>
      <c r="K1" s="353"/>
      <c r="L1" s="353"/>
      <c r="M1" s="353"/>
      <c r="N1" s="353"/>
      <c r="O1" s="353"/>
    </row>
    <row r="2" spans="1:15" s="124" customFormat="1" ht="13.8" customHeight="1">
      <c r="A2" s="123"/>
      <c r="C2" s="125"/>
      <c r="D2" s="125"/>
      <c r="F2" s="328"/>
      <c r="G2" s="126"/>
      <c r="H2" s="127"/>
      <c r="I2" s="127"/>
      <c r="J2" s="127"/>
      <c r="K2" s="127"/>
      <c r="L2" s="127"/>
      <c r="M2" s="127"/>
      <c r="N2" s="127"/>
    </row>
    <row r="3" spans="1:15" ht="18" customHeight="1">
      <c r="A3" s="356" t="s">
        <v>5</v>
      </c>
      <c r="B3" s="356" t="s">
        <v>203</v>
      </c>
      <c r="C3" s="354" t="s">
        <v>204</v>
      </c>
      <c r="D3" s="354" t="s">
        <v>205</v>
      </c>
      <c r="E3" s="354" t="s">
        <v>206</v>
      </c>
      <c r="F3" s="357" t="s">
        <v>2203</v>
      </c>
      <c r="G3" s="356" t="s">
        <v>207</v>
      </c>
      <c r="H3" s="349" t="s">
        <v>208</v>
      </c>
      <c r="I3" s="349" t="s">
        <v>209</v>
      </c>
      <c r="J3" s="350"/>
      <c r="K3" s="351"/>
      <c r="L3" s="346" t="s">
        <v>210</v>
      </c>
      <c r="M3" s="347"/>
      <c r="N3" s="348"/>
      <c r="O3" s="128" t="s">
        <v>8</v>
      </c>
    </row>
    <row r="4" spans="1:15" ht="18" customHeight="1">
      <c r="A4" s="355"/>
      <c r="B4" s="355"/>
      <c r="C4" s="355"/>
      <c r="D4" s="355"/>
      <c r="E4" s="355"/>
      <c r="F4" s="358"/>
      <c r="G4" s="355"/>
      <c r="H4" s="355"/>
      <c r="I4" s="129" t="s">
        <v>211</v>
      </c>
      <c r="J4" s="129" t="s">
        <v>212</v>
      </c>
      <c r="K4" s="129" t="s">
        <v>13</v>
      </c>
      <c r="L4" s="129" t="s">
        <v>211</v>
      </c>
      <c r="M4" s="129" t="s">
        <v>212</v>
      </c>
      <c r="N4" s="129" t="s">
        <v>13</v>
      </c>
      <c r="O4" s="131"/>
    </row>
    <row r="5" spans="1:15" ht="20.399999999999999" customHeight="1">
      <c r="A5" s="132" t="s">
        <v>61</v>
      </c>
      <c r="B5" s="133" t="s">
        <v>213</v>
      </c>
      <c r="C5" s="134"/>
      <c r="D5" s="134"/>
      <c r="E5" s="134"/>
      <c r="F5" s="329" t="s">
        <v>86</v>
      </c>
      <c r="G5" s="135"/>
      <c r="H5" s="136"/>
      <c r="I5" s="136"/>
      <c r="J5" s="136"/>
      <c r="K5" s="137"/>
      <c r="L5" s="138"/>
      <c r="M5" s="138"/>
      <c r="N5" s="138"/>
      <c r="O5" s="139"/>
    </row>
    <row r="6" spans="1:15" ht="26.4" customHeight="1" outlineLevel="1">
      <c r="A6" s="132" t="s">
        <v>214</v>
      </c>
      <c r="B6" s="140" t="s">
        <v>215</v>
      </c>
      <c r="C6" s="134"/>
      <c r="D6" s="134"/>
      <c r="E6" s="134"/>
      <c r="F6" s="329" t="s">
        <v>86</v>
      </c>
      <c r="G6" s="135"/>
      <c r="H6" s="136"/>
      <c r="I6" s="136"/>
      <c r="J6" s="136"/>
      <c r="K6" s="137"/>
      <c r="L6" s="137"/>
      <c r="M6" s="137"/>
      <c r="N6" s="137"/>
      <c r="O6" s="139"/>
    </row>
    <row r="7" spans="1:15" ht="30.6" hidden="1" customHeight="1" outlineLevel="1">
      <c r="A7" s="141">
        <f>SUBTOTAL(3,$G7:G$7)</f>
        <v>0</v>
      </c>
      <c r="B7" s="139" t="s">
        <v>216</v>
      </c>
      <c r="C7" s="317" t="s">
        <v>217</v>
      </c>
      <c r="D7" s="134" t="s">
        <v>218</v>
      </c>
      <c r="E7" s="317"/>
      <c r="F7" s="330" t="s">
        <v>2204</v>
      </c>
      <c r="G7" s="135" t="s">
        <v>219</v>
      </c>
      <c r="H7" s="136">
        <v>2</v>
      </c>
      <c r="I7" s="136"/>
      <c r="J7" s="136"/>
      <c r="K7" s="137"/>
      <c r="L7" s="137"/>
      <c r="M7" s="137"/>
      <c r="N7" s="137"/>
      <c r="O7" s="139"/>
    </row>
    <row r="8" spans="1:15" ht="26.4" hidden="1" customHeight="1" outlineLevel="1">
      <c r="A8" s="141">
        <f>SUBTOTAL(3,$G$7:G8)</f>
        <v>0</v>
      </c>
      <c r="B8" s="139" t="s">
        <v>220</v>
      </c>
      <c r="C8" s="317" t="s">
        <v>217</v>
      </c>
      <c r="D8" s="134" t="s">
        <v>218</v>
      </c>
      <c r="E8" s="317"/>
      <c r="F8" s="330" t="s">
        <v>2204</v>
      </c>
      <c r="G8" s="135" t="s">
        <v>219</v>
      </c>
      <c r="H8" s="136">
        <v>2</v>
      </c>
      <c r="I8" s="136"/>
      <c r="J8" s="136"/>
      <c r="K8" s="137"/>
      <c r="L8" s="137"/>
      <c r="M8" s="137"/>
      <c r="N8" s="137"/>
      <c r="O8" s="139"/>
    </row>
    <row r="9" spans="1:15" ht="26.4" hidden="1" customHeight="1" outlineLevel="1">
      <c r="A9" s="141">
        <f>SUBTOTAL(3,$G$7:G9)</f>
        <v>0</v>
      </c>
      <c r="B9" s="139" t="s">
        <v>221</v>
      </c>
      <c r="C9" s="317" t="s">
        <v>217</v>
      </c>
      <c r="D9" s="134" t="s">
        <v>218</v>
      </c>
      <c r="E9" s="317"/>
      <c r="F9" s="330" t="s">
        <v>2204</v>
      </c>
      <c r="G9" s="135" t="s">
        <v>219</v>
      </c>
      <c r="H9" s="136">
        <v>2</v>
      </c>
      <c r="I9" s="136"/>
      <c r="J9" s="136"/>
      <c r="K9" s="137"/>
      <c r="L9" s="137"/>
      <c r="M9" s="137"/>
      <c r="N9" s="137"/>
      <c r="O9" s="139"/>
    </row>
    <row r="10" spans="1:15" ht="26.4" hidden="1" customHeight="1" outlineLevel="1">
      <c r="A10" s="141">
        <f>SUBTOTAL(3,$G$7:G10)</f>
        <v>0</v>
      </c>
      <c r="B10" s="139" t="s">
        <v>222</v>
      </c>
      <c r="C10" s="317" t="s">
        <v>217</v>
      </c>
      <c r="D10" s="134" t="s">
        <v>218</v>
      </c>
      <c r="E10" s="317"/>
      <c r="F10" s="330" t="s">
        <v>2204</v>
      </c>
      <c r="G10" s="135" t="s">
        <v>219</v>
      </c>
      <c r="H10" s="136">
        <v>2</v>
      </c>
      <c r="I10" s="136"/>
      <c r="J10" s="136"/>
      <c r="K10" s="137"/>
      <c r="L10" s="137"/>
      <c r="M10" s="137"/>
      <c r="N10" s="137"/>
      <c r="O10" s="139"/>
    </row>
    <row r="11" spans="1:15" ht="26.4" hidden="1" customHeight="1" outlineLevel="1">
      <c r="A11" s="141">
        <f>SUBTOTAL(3,$G$7:G11)</f>
        <v>0</v>
      </c>
      <c r="B11" s="139" t="s">
        <v>223</v>
      </c>
      <c r="C11" s="317" t="s">
        <v>224</v>
      </c>
      <c r="D11" s="134" t="s">
        <v>218</v>
      </c>
      <c r="E11" s="317"/>
      <c r="F11" s="330" t="s">
        <v>2204</v>
      </c>
      <c r="G11" s="135" t="s">
        <v>219</v>
      </c>
      <c r="H11" s="136">
        <v>1</v>
      </c>
      <c r="I11" s="136"/>
      <c r="J11" s="136"/>
      <c r="K11" s="137"/>
      <c r="L11" s="137"/>
      <c r="M11" s="137"/>
      <c r="N11" s="137"/>
      <c r="O11" s="139"/>
    </row>
    <row r="12" spans="1:15" ht="26.4" hidden="1" customHeight="1" outlineLevel="1">
      <c r="A12" s="141">
        <f>SUBTOTAL(3,$G$7:G12)</f>
        <v>0</v>
      </c>
      <c r="B12" s="139" t="s">
        <v>225</v>
      </c>
      <c r="C12" s="317" t="s">
        <v>224</v>
      </c>
      <c r="D12" s="134" t="s">
        <v>218</v>
      </c>
      <c r="E12" s="317"/>
      <c r="F12" s="330" t="s">
        <v>2204</v>
      </c>
      <c r="G12" s="135" t="s">
        <v>219</v>
      </c>
      <c r="H12" s="136">
        <v>2</v>
      </c>
      <c r="I12" s="136"/>
      <c r="J12" s="136"/>
      <c r="K12" s="137"/>
      <c r="L12" s="137"/>
      <c r="M12" s="137"/>
      <c r="N12" s="137"/>
      <c r="O12" s="139"/>
    </row>
    <row r="13" spans="1:15" ht="26.4" hidden="1" customHeight="1" outlineLevel="1">
      <c r="A13" s="141">
        <f>SUBTOTAL(3,$G$7:G13)</f>
        <v>0</v>
      </c>
      <c r="B13" s="139" t="s">
        <v>226</v>
      </c>
      <c r="C13" s="317" t="s">
        <v>224</v>
      </c>
      <c r="D13" s="134" t="s">
        <v>218</v>
      </c>
      <c r="E13" s="317"/>
      <c r="F13" s="330" t="s">
        <v>2204</v>
      </c>
      <c r="G13" s="135" t="s">
        <v>219</v>
      </c>
      <c r="H13" s="136">
        <v>2</v>
      </c>
      <c r="I13" s="136"/>
      <c r="J13" s="136"/>
      <c r="K13" s="137"/>
      <c r="L13" s="137"/>
      <c r="M13" s="137"/>
      <c r="N13" s="137"/>
      <c r="O13" s="139"/>
    </row>
    <row r="14" spans="1:15" ht="26.4" hidden="1" customHeight="1" outlineLevel="1">
      <c r="A14" s="141">
        <f>SUBTOTAL(3,$G$7:G14)</f>
        <v>0</v>
      </c>
      <c r="B14" s="139" t="s">
        <v>227</v>
      </c>
      <c r="C14" s="317" t="s">
        <v>224</v>
      </c>
      <c r="D14" s="134" t="s">
        <v>218</v>
      </c>
      <c r="E14" s="317"/>
      <c r="F14" s="330" t="s">
        <v>2204</v>
      </c>
      <c r="G14" s="135" t="s">
        <v>219</v>
      </c>
      <c r="H14" s="136">
        <v>1</v>
      </c>
      <c r="I14" s="136"/>
      <c r="J14" s="136"/>
      <c r="K14" s="137"/>
      <c r="L14" s="137"/>
      <c r="M14" s="137"/>
      <c r="N14" s="137"/>
      <c r="O14" s="139"/>
    </row>
    <row r="15" spans="1:15" ht="26.4" hidden="1" customHeight="1" outlineLevel="1">
      <c r="A15" s="141">
        <f>SUBTOTAL(3,$G$7:G15)</f>
        <v>0</v>
      </c>
      <c r="B15" s="139" t="s">
        <v>228</v>
      </c>
      <c r="C15" s="317" t="s">
        <v>224</v>
      </c>
      <c r="D15" s="134" t="s">
        <v>218</v>
      </c>
      <c r="E15" s="317"/>
      <c r="F15" s="330" t="s">
        <v>2204</v>
      </c>
      <c r="G15" s="135" t="s">
        <v>219</v>
      </c>
      <c r="H15" s="136">
        <v>3</v>
      </c>
      <c r="I15" s="136"/>
      <c r="J15" s="136"/>
      <c r="K15" s="137"/>
      <c r="L15" s="137"/>
      <c r="M15" s="137"/>
      <c r="N15" s="137"/>
      <c r="O15" s="139"/>
    </row>
    <row r="16" spans="1:15" ht="26.4" hidden="1" customHeight="1" outlineLevel="1">
      <c r="A16" s="141">
        <f>SUBTOTAL(3,$G$7:G16)</f>
        <v>0</v>
      </c>
      <c r="B16" s="139" t="s">
        <v>229</v>
      </c>
      <c r="C16" s="317" t="s">
        <v>224</v>
      </c>
      <c r="D16" s="134" t="s">
        <v>218</v>
      </c>
      <c r="E16" s="317"/>
      <c r="F16" s="330" t="s">
        <v>2204</v>
      </c>
      <c r="G16" s="135" t="s">
        <v>219</v>
      </c>
      <c r="H16" s="136">
        <v>1</v>
      </c>
      <c r="I16" s="136"/>
      <c r="J16" s="136"/>
      <c r="K16" s="137"/>
      <c r="L16" s="137"/>
      <c r="M16" s="137"/>
      <c r="N16" s="137"/>
      <c r="O16" s="139"/>
    </row>
    <row r="17" spans="1:15" ht="26.4" hidden="1" customHeight="1" outlineLevel="1">
      <c r="A17" s="141">
        <f>SUBTOTAL(3,$G$7:G17)</f>
        <v>0</v>
      </c>
      <c r="B17" s="139" t="s">
        <v>230</v>
      </c>
      <c r="C17" s="317" t="s">
        <v>224</v>
      </c>
      <c r="D17" s="134" t="s">
        <v>218</v>
      </c>
      <c r="E17" s="317"/>
      <c r="F17" s="330" t="s">
        <v>2204</v>
      </c>
      <c r="G17" s="135" t="s">
        <v>219</v>
      </c>
      <c r="H17" s="136">
        <v>3</v>
      </c>
      <c r="I17" s="136"/>
      <c r="J17" s="136"/>
      <c r="K17" s="137"/>
      <c r="L17" s="137"/>
      <c r="M17" s="137"/>
      <c r="N17" s="137"/>
      <c r="O17" s="139"/>
    </row>
    <row r="18" spans="1:15" ht="26.4" hidden="1" customHeight="1" outlineLevel="1">
      <c r="A18" s="141">
        <f>SUBTOTAL(3,$G$7:G18)</f>
        <v>0</v>
      </c>
      <c r="B18" s="139" t="s">
        <v>231</v>
      </c>
      <c r="C18" s="317" t="s">
        <v>224</v>
      </c>
      <c r="D18" s="134" t="s">
        <v>218</v>
      </c>
      <c r="E18" s="317"/>
      <c r="F18" s="330" t="s">
        <v>2204</v>
      </c>
      <c r="G18" s="135" t="s">
        <v>219</v>
      </c>
      <c r="H18" s="136">
        <v>1</v>
      </c>
      <c r="I18" s="136"/>
      <c r="J18" s="136"/>
      <c r="K18" s="137"/>
      <c r="L18" s="137"/>
      <c r="M18" s="137"/>
      <c r="N18" s="137"/>
      <c r="O18" s="139"/>
    </row>
    <row r="19" spans="1:15" ht="26.4" hidden="1" customHeight="1" outlineLevel="1">
      <c r="A19" s="141">
        <f>SUBTOTAL(3,$G$7:G19)</f>
        <v>0</v>
      </c>
      <c r="B19" s="139" t="s">
        <v>232</v>
      </c>
      <c r="C19" s="317" t="s">
        <v>224</v>
      </c>
      <c r="D19" s="134" t="s">
        <v>218</v>
      </c>
      <c r="E19" s="317"/>
      <c r="F19" s="330" t="s">
        <v>2204</v>
      </c>
      <c r="G19" s="135" t="s">
        <v>219</v>
      </c>
      <c r="H19" s="136">
        <v>1</v>
      </c>
      <c r="I19" s="136"/>
      <c r="J19" s="136"/>
      <c r="K19" s="137"/>
      <c r="L19" s="137"/>
      <c r="M19" s="137"/>
      <c r="N19" s="137"/>
      <c r="O19" s="139"/>
    </row>
    <row r="20" spans="1:15" ht="26.4" hidden="1" customHeight="1" outlineLevel="1">
      <c r="A20" s="141">
        <f>SUBTOTAL(3,$G$7:G20)</f>
        <v>0</v>
      </c>
      <c r="B20" s="139" t="s">
        <v>233</v>
      </c>
      <c r="C20" s="317" t="s">
        <v>224</v>
      </c>
      <c r="D20" s="134" t="s">
        <v>218</v>
      </c>
      <c r="E20" s="317"/>
      <c r="F20" s="330" t="s">
        <v>2204</v>
      </c>
      <c r="G20" s="135" t="s">
        <v>219</v>
      </c>
      <c r="H20" s="136">
        <v>1</v>
      </c>
      <c r="I20" s="136"/>
      <c r="J20" s="136"/>
      <c r="K20" s="137"/>
      <c r="L20" s="137"/>
      <c r="M20" s="137"/>
      <c r="N20" s="137"/>
      <c r="O20" s="139"/>
    </row>
    <row r="21" spans="1:15" s="345" customFormat="1" ht="26.4" customHeight="1" outlineLevel="1">
      <c r="A21" s="340"/>
      <c r="B21" s="341" t="s">
        <v>2238</v>
      </c>
      <c r="C21" s="330" t="s">
        <v>2239</v>
      </c>
      <c r="D21" s="329"/>
      <c r="E21" s="330"/>
      <c r="F21" s="330" t="s">
        <v>2237</v>
      </c>
      <c r="G21" s="342" t="s">
        <v>287</v>
      </c>
      <c r="H21" s="343">
        <v>15</v>
      </c>
      <c r="I21" s="343"/>
      <c r="J21" s="343"/>
      <c r="K21" s="344"/>
      <c r="L21" s="344"/>
      <c r="M21" s="344"/>
      <c r="N21" s="344"/>
      <c r="O21" s="341"/>
    </row>
    <row r="22" spans="1:15" s="345" customFormat="1" ht="26.4" customHeight="1" outlineLevel="1">
      <c r="A22" s="340"/>
      <c r="B22" s="341" t="s">
        <v>2238</v>
      </c>
      <c r="C22" s="330" t="s">
        <v>2240</v>
      </c>
      <c r="D22" s="329"/>
      <c r="E22" s="330"/>
      <c r="F22" s="330" t="s">
        <v>2237</v>
      </c>
      <c r="G22" s="342" t="s">
        <v>287</v>
      </c>
      <c r="H22" s="343">
        <v>40</v>
      </c>
      <c r="I22" s="343"/>
      <c r="J22" s="343"/>
      <c r="K22" s="344"/>
      <c r="L22" s="344"/>
      <c r="M22" s="344"/>
      <c r="N22" s="344"/>
      <c r="O22" s="341"/>
    </row>
    <row r="23" spans="1:15" s="345" customFormat="1" ht="26.4" customHeight="1" outlineLevel="1">
      <c r="A23" s="340"/>
      <c r="B23" s="341" t="s">
        <v>2238</v>
      </c>
      <c r="C23" s="330" t="s">
        <v>2241</v>
      </c>
      <c r="D23" s="329"/>
      <c r="E23" s="330"/>
      <c r="F23" s="330" t="s">
        <v>2237</v>
      </c>
      <c r="G23" s="342" t="s">
        <v>287</v>
      </c>
      <c r="H23" s="343">
        <v>40</v>
      </c>
      <c r="I23" s="343"/>
      <c r="J23" s="343"/>
      <c r="K23" s="344"/>
      <c r="L23" s="344"/>
      <c r="M23" s="344"/>
      <c r="N23" s="344"/>
      <c r="O23" s="341"/>
    </row>
    <row r="24" spans="1:15" s="345" customFormat="1" ht="26.4" customHeight="1" outlineLevel="1">
      <c r="A24" s="340"/>
      <c r="B24" s="341" t="s">
        <v>2238</v>
      </c>
      <c r="C24" s="330" t="s">
        <v>2242</v>
      </c>
      <c r="D24" s="329"/>
      <c r="E24" s="330"/>
      <c r="F24" s="330" t="s">
        <v>2237</v>
      </c>
      <c r="G24" s="342" t="s">
        <v>287</v>
      </c>
      <c r="H24" s="343">
        <v>16</v>
      </c>
      <c r="I24" s="343"/>
      <c r="J24" s="343"/>
      <c r="K24" s="344"/>
      <c r="L24" s="344"/>
      <c r="M24" s="344"/>
      <c r="N24" s="344"/>
      <c r="O24" s="341"/>
    </row>
    <row r="25" spans="1:15" s="345" customFormat="1" ht="26.4" customHeight="1" outlineLevel="1">
      <c r="A25" s="340"/>
      <c r="B25" s="341" t="s">
        <v>2238</v>
      </c>
      <c r="C25" s="330" t="s">
        <v>2243</v>
      </c>
      <c r="D25" s="329"/>
      <c r="E25" s="330"/>
      <c r="F25" s="330" t="s">
        <v>2237</v>
      </c>
      <c r="G25" s="342" t="s">
        <v>287</v>
      </c>
      <c r="H25" s="343">
        <v>16</v>
      </c>
      <c r="I25" s="343"/>
      <c r="J25" s="343"/>
      <c r="K25" s="344"/>
      <c r="L25" s="344"/>
      <c r="M25" s="344"/>
      <c r="N25" s="344"/>
      <c r="O25" s="341"/>
    </row>
    <row r="26" spans="1:15" s="345" customFormat="1" ht="26.4" customHeight="1" outlineLevel="1">
      <c r="A26" s="340"/>
      <c r="B26" s="341" t="s">
        <v>2244</v>
      </c>
      <c r="C26" s="330" t="s">
        <v>2239</v>
      </c>
      <c r="D26" s="329"/>
      <c r="E26" s="330"/>
      <c r="F26" s="330" t="s">
        <v>2237</v>
      </c>
      <c r="G26" s="342" t="s">
        <v>287</v>
      </c>
      <c r="H26" s="343">
        <v>32</v>
      </c>
      <c r="I26" s="343"/>
      <c r="J26" s="343"/>
      <c r="K26" s="344"/>
      <c r="L26" s="344"/>
      <c r="M26" s="344"/>
      <c r="N26" s="344"/>
      <c r="O26" s="341"/>
    </row>
    <row r="27" spans="1:15" s="345" customFormat="1" ht="26.4" customHeight="1" outlineLevel="1">
      <c r="A27" s="340"/>
      <c r="B27" s="341" t="s">
        <v>2244</v>
      </c>
      <c r="C27" s="330" t="s">
        <v>2243</v>
      </c>
      <c r="D27" s="329"/>
      <c r="E27" s="330"/>
      <c r="F27" s="330" t="s">
        <v>2237</v>
      </c>
      <c r="G27" s="342" t="s">
        <v>287</v>
      </c>
      <c r="H27" s="343">
        <v>24</v>
      </c>
      <c r="I27" s="343"/>
      <c r="J27" s="343"/>
      <c r="K27" s="344"/>
      <c r="L27" s="344"/>
      <c r="M27" s="344"/>
      <c r="N27" s="344"/>
      <c r="O27" s="341"/>
    </row>
    <row r="28" spans="1:15" ht="18" hidden="1" customHeight="1" outlineLevel="1">
      <c r="A28" s="141">
        <f>SUBTOTAL(3,$G$7:G28)</f>
        <v>7</v>
      </c>
      <c r="B28" s="139" t="s">
        <v>234</v>
      </c>
      <c r="C28" s="134"/>
      <c r="D28" s="134" t="s">
        <v>235</v>
      </c>
      <c r="E28" s="317" t="s">
        <v>236</v>
      </c>
      <c r="F28" s="330" t="s">
        <v>2204</v>
      </c>
      <c r="G28" s="135" t="s">
        <v>237</v>
      </c>
      <c r="H28" s="136">
        <v>16</v>
      </c>
      <c r="I28" s="136"/>
      <c r="J28" s="136"/>
      <c r="K28" s="137"/>
      <c r="L28" s="137"/>
      <c r="M28" s="137"/>
      <c r="N28" s="137"/>
      <c r="O28" s="139"/>
    </row>
    <row r="29" spans="1:15" outlineLevel="1">
      <c r="A29" s="141">
        <f>SUBTOTAL(3,$G$7:G29)</f>
        <v>8</v>
      </c>
      <c r="B29" s="139" t="s">
        <v>238</v>
      </c>
      <c r="C29" s="317" t="s">
        <v>239</v>
      </c>
      <c r="D29" s="134" t="s">
        <v>240</v>
      </c>
      <c r="E29" s="317" t="s">
        <v>241</v>
      </c>
      <c r="F29" s="330"/>
      <c r="G29" s="135" t="s">
        <v>219</v>
      </c>
      <c r="H29" s="136">
        <v>6</v>
      </c>
      <c r="I29" s="136"/>
      <c r="J29" s="136"/>
      <c r="K29" s="137"/>
      <c r="L29" s="137"/>
      <c r="M29" s="137"/>
      <c r="N29" s="137"/>
      <c r="O29" s="139"/>
    </row>
    <row r="30" spans="1:15" outlineLevel="1">
      <c r="A30" s="141">
        <f>SUBTOTAL(3,$G$7:G30)</f>
        <v>9</v>
      </c>
      <c r="B30" s="139" t="s">
        <v>242</v>
      </c>
      <c r="C30" s="317" t="s">
        <v>239</v>
      </c>
      <c r="D30" s="134" t="s">
        <v>240</v>
      </c>
      <c r="E30" s="317" t="s">
        <v>241</v>
      </c>
      <c r="F30" s="330"/>
      <c r="G30" s="135" t="s">
        <v>219</v>
      </c>
      <c r="H30" s="136">
        <v>2</v>
      </c>
      <c r="I30" s="136"/>
      <c r="J30" s="136"/>
      <c r="K30" s="137"/>
      <c r="L30" s="137"/>
      <c r="M30" s="137"/>
      <c r="N30" s="137"/>
      <c r="O30" s="139"/>
    </row>
    <row r="31" spans="1:15" outlineLevel="1">
      <c r="A31" s="141">
        <f>SUBTOTAL(3,$G$7:G31)</f>
        <v>10</v>
      </c>
      <c r="B31" s="139" t="s">
        <v>243</v>
      </c>
      <c r="C31" s="317" t="s">
        <v>239</v>
      </c>
      <c r="D31" s="134" t="s">
        <v>240</v>
      </c>
      <c r="E31" s="317" t="s">
        <v>241</v>
      </c>
      <c r="F31" s="330"/>
      <c r="G31" s="135" t="s">
        <v>219</v>
      </c>
      <c r="H31" s="136">
        <v>1</v>
      </c>
      <c r="I31" s="136"/>
      <c r="J31" s="136"/>
      <c r="K31" s="137"/>
      <c r="L31" s="137"/>
      <c r="M31" s="137"/>
      <c r="N31" s="137"/>
      <c r="O31" s="139"/>
    </row>
    <row r="32" spans="1:15" ht="26.4" customHeight="1" outlineLevel="1">
      <c r="A32" s="141">
        <f>SUBTOTAL(3,$G$7:G32)</f>
        <v>11</v>
      </c>
      <c r="B32" s="139" t="s">
        <v>244</v>
      </c>
      <c r="C32" s="317" t="s">
        <v>245</v>
      </c>
      <c r="D32" s="134" t="s">
        <v>246</v>
      </c>
      <c r="E32" s="317" t="s">
        <v>241</v>
      </c>
      <c r="F32" s="330"/>
      <c r="G32" s="135" t="s">
        <v>219</v>
      </c>
      <c r="H32" s="136">
        <v>6</v>
      </c>
      <c r="I32" s="136"/>
      <c r="J32" s="136"/>
      <c r="K32" s="137"/>
      <c r="L32" s="137"/>
      <c r="M32" s="137"/>
      <c r="N32" s="137"/>
      <c r="O32" s="139"/>
    </row>
    <row r="33" spans="1:15" ht="26.4" customHeight="1" outlineLevel="1">
      <c r="A33" s="141">
        <f>SUBTOTAL(3,$G$7:G33)</f>
        <v>12</v>
      </c>
      <c r="B33" s="139" t="s">
        <v>247</v>
      </c>
      <c r="C33" s="317" t="s">
        <v>245</v>
      </c>
      <c r="D33" s="134" t="s">
        <v>246</v>
      </c>
      <c r="E33" s="317" t="s">
        <v>241</v>
      </c>
      <c r="F33" s="330"/>
      <c r="G33" s="135" t="s">
        <v>219</v>
      </c>
      <c r="H33" s="136">
        <v>2</v>
      </c>
      <c r="I33" s="136"/>
      <c r="J33" s="136"/>
      <c r="K33" s="137"/>
      <c r="L33" s="137"/>
      <c r="M33" s="137"/>
      <c r="N33" s="137"/>
      <c r="O33" s="139"/>
    </row>
    <row r="34" spans="1:15" ht="26.4" customHeight="1" outlineLevel="1">
      <c r="A34" s="141">
        <f>SUBTOTAL(3,$G$7:G34)</f>
        <v>13</v>
      </c>
      <c r="B34" s="139" t="s">
        <v>248</v>
      </c>
      <c r="C34" s="317" t="s">
        <v>245</v>
      </c>
      <c r="D34" s="134" t="s">
        <v>246</v>
      </c>
      <c r="E34" s="317" t="s">
        <v>241</v>
      </c>
      <c r="F34" s="330"/>
      <c r="G34" s="135" t="s">
        <v>219</v>
      </c>
      <c r="H34" s="136">
        <v>1</v>
      </c>
      <c r="I34" s="136"/>
      <c r="J34" s="136"/>
      <c r="K34" s="137"/>
      <c r="L34" s="137"/>
      <c r="M34" s="137"/>
      <c r="N34" s="137"/>
      <c r="O34" s="139"/>
    </row>
    <row r="35" spans="1:15" ht="26.4" customHeight="1" outlineLevel="1">
      <c r="A35" s="141">
        <f>SUBTOTAL(3,$G$7:G35)</f>
        <v>14</v>
      </c>
      <c r="B35" s="139" t="s">
        <v>249</v>
      </c>
      <c r="C35" s="317" t="s">
        <v>245</v>
      </c>
      <c r="D35" s="134" t="s">
        <v>246</v>
      </c>
      <c r="E35" s="317" t="s">
        <v>241</v>
      </c>
      <c r="F35" s="330"/>
      <c r="G35" s="135" t="s">
        <v>219</v>
      </c>
      <c r="H35" s="136">
        <v>3</v>
      </c>
      <c r="I35" s="136"/>
      <c r="J35" s="136"/>
      <c r="K35" s="137"/>
      <c r="L35" s="137"/>
      <c r="M35" s="137"/>
      <c r="N35" s="137"/>
      <c r="O35" s="139"/>
    </row>
    <row r="36" spans="1:15" ht="26.4" customHeight="1" outlineLevel="1">
      <c r="A36" s="141">
        <f>SUBTOTAL(3,$G$7:G36)</f>
        <v>15</v>
      </c>
      <c r="B36" s="139" t="s">
        <v>250</v>
      </c>
      <c r="C36" s="317" t="s">
        <v>245</v>
      </c>
      <c r="D36" s="134" t="s">
        <v>246</v>
      </c>
      <c r="E36" s="317" t="s">
        <v>241</v>
      </c>
      <c r="F36" s="330"/>
      <c r="G36" s="135" t="s">
        <v>219</v>
      </c>
      <c r="H36" s="136">
        <v>6</v>
      </c>
      <c r="I36" s="136"/>
      <c r="J36" s="136"/>
      <c r="K36" s="137"/>
      <c r="L36" s="137"/>
      <c r="M36" s="137"/>
      <c r="N36" s="137"/>
      <c r="O36" s="139"/>
    </row>
    <row r="37" spans="1:15" ht="26.4" customHeight="1" outlineLevel="1">
      <c r="A37" s="141">
        <f>SUBTOTAL(3,$G$7:G37)</f>
        <v>16</v>
      </c>
      <c r="B37" s="139" t="s">
        <v>251</v>
      </c>
      <c r="C37" s="317" t="s">
        <v>245</v>
      </c>
      <c r="D37" s="134" t="s">
        <v>246</v>
      </c>
      <c r="E37" s="317" t="s">
        <v>241</v>
      </c>
      <c r="F37" s="330"/>
      <c r="G37" s="135" t="s">
        <v>219</v>
      </c>
      <c r="H37" s="136">
        <v>9</v>
      </c>
      <c r="I37" s="136"/>
      <c r="J37" s="136"/>
      <c r="K37" s="137"/>
      <c r="L37" s="137"/>
      <c r="M37" s="137"/>
      <c r="N37" s="137"/>
      <c r="O37" s="139"/>
    </row>
    <row r="38" spans="1:15" ht="26.4" customHeight="1" outlineLevel="1">
      <c r="A38" s="141">
        <f>SUBTOTAL(3,$G$7:G38)</f>
        <v>17</v>
      </c>
      <c r="B38" s="139" t="s">
        <v>252</v>
      </c>
      <c r="C38" s="317" t="s">
        <v>245</v>
      </c>
      <c r="D38" s="134" t="s">
        <v>246</v>
      </c>
      <c r="E38" s="317" t="s">
        <v>241</v>
      </c>
      <c r="F38" s="330"/>
      <c r="G38" s="135" t="s">
        <v>219</v>
      </c>
      <c r="H38" s="136">
        <v>12</v>
      </c>
      <c r="I38" s="136"/>
      <c r="J38" s="136"/>
      <c r="K38" s="137"/>
      <c r="L38" s="137"/>
      <c r="M38" s="137"/>
      <c r="N38" s="137"/>
      <c r="O38" s="139"/>
    </row>
    <row r="39" spans="1:15" outlineLevel="1">
      <c r="A39" s="141">
        <f>SUBTOTAL(3,$G$7:G39)</f>
        <v>18</v>
      </c>
      <c r="B39" s="139" t="s">
        <v>253</v>
      </c>
      <c r="C39" s="317" t="s">
        <v>254</v>
      </c>
      <c r="D39" s="134" t="s">
        <v>240</v>
      </c>
      <c r="E39" s="317" t="s">
        <v>241</v>
      </c>
      <c r="F39" s="330"/>
      <c r="G39" s="135" t="s">
        <v>219</v>
      </c>
      <c r="H39" s="136">
        <v>1</v>
      </c>
      <c r="I39" s="136"/>
      <c r="J39" s="136"/>
      <c r="K39" s="137"/>
      <c r="L39" s="137"/>
      <c r="M39" s="137"/>
      <c r="N39" s="137"/>
      <c r="O39" s="139"/>
    </row>
    <row r="40" spans="1:15" outlineLevel="1">
      <c r="A40" s="141">
        <f>SUBTOTAL(3,$G$7:G40)</f>
        <v>19</v>
      </c>
      <c r="B40" s="139" t="s">
        <v>255</v>
      </c>
      <c r="C40" s="317" t="s">
        <v>254</v>
      </c>
      <c r="D40" s="134" t="s">
        <v>240</v>
      </c>
      <c r="E40" s="317" t="s">
        <v>241</v>
      </c>
      <c r="F40" s="330"/>
      <c r="G40" s="135" t="s">
        <v>219</v>
      </c>
      <c r="H40" s="136">
        <v>2</v>
      </c>
      <c r="I40" s="136"/>
      <c r="J40" s="136"/>
      <c r="K40" s="137"/>
      <c r="L40" s="137"/>
      <c r="M40" s="137"/>
      <c r="N40" s="137"/>
      <c r="O40" s="139"/>
    </row>
    <row r="41" spans="1:15" outlineLevel="1">
      <c r="A41" s="141">
        <f>SUBTOTAL(3,$G$7:G41)</f>
        <v>20</v>
      </c>
      <c r="B41" s="139" t="s">
        <v>256</v>
      </c>
      <c r="C41" s="317" t="s">
        <v>254</v>
      </c>
      <c r="D41" s="134" t="s">
        <v>240</v>
      </c>
      <c r="E41" s="317" t="s">
        <v>241</v>
      </c>
      <c r="F41" s="330"/>
      <c r="G41" s="135" t="s">
        <v>219</v>
      </c>
      <c r="H41" s="136">
        <v>1</v>
      </c>
      <c r="I41" s="136"/>
      <c r="J41" s="136"/>
      <c r="K41" s="137"/>
      <c r="L41" s="137"/>
      <c r="M41" s="137"/>
      <c r="N41" s="137"/>
      <c r="O41" s="139"/>
    </row>
    <row r="42" spans="1:15" outlineLevel="1">
      <c r="A42" s="141">
        <f>SUBTOTAL(3,$G$7:G42)</f>
        <v>21</v>
      </c>
      <c r="B42" s="139" t="s">
        <v>257</v>
      </c>
      <c r="C42" s="317" t="s">
        <v>254</v>
      </c>
      <c r="D42" s="134" t="s">
        <v>240</v>
      </c>
      <c r="E42" s="317" t="s">
        <v>241</v>
      </c>
      <c r="F42" s="330"/>
      <c r="G42" s="135" t="s">
        <v>219</v>
      </c>
      <c r="H42" s="136">
        <v>1</v>
      </c>
      <c r="I42" s="136"/>
      <c r="J42" s="136"/>
      <c r="K42" s="137"/>
      <c r="L42" s="137"/>
      <c r="M42" s="137"/>
      <c r="N42" s="137"/>
      <c r="O42" s="139"/>
    </row>
    <row r="43" spans="1:15" outlineLevel="1">
      <c r="A43" s="141">
        <f>SUBTOTAL(3,$G$7:G43)</f>
        <v>22</v>
      </c>
      <c r="B43" s="139" t="s">
        <v>258</v>
      </c>
      <c r="C43" s="317" t="s">
        <v>254</v>
      </c>
      <c r="D43" s="134" t="s">
        <v>240</v>
      </c>
      <c r="E43" s="317" t="s">
        <v>241</v>
      </c>
      <c r="F43" s="330"/>
      <c r="G43" s="135" t="s">
        <v>219</v>
      </c>
      <c r="H43" s="136">
        <v>5</v>
      </c>
      <c r="I43" s="136"/>
      <c r="J43" s="136"/>
      <c r="K43" s="137"/>
      <c r="L43" s="137"/>
      <c r="M43" s="137"/>
      <c r="N43" s="137"/>
      <c r="O43" s="139"/>
    </row>
    <row r="44" spans="1:15" outlineLevel="1">
      <c r="A44" s="141">
        <f>SUBTOTAL(3,$G$7:G44)</f>
        <v>23</v>
      </c>
      <c r="B44" s="139" t="s">
        <v>259</v>
      </c>
      <c r="C44" s="317" t="s">
        <v>254</v>
      </c>
      <c r="D44" s="134" t="s">
        <v>240</v>
      </c>
      <c r="E44" s="317" t="s">
        <v>241</v>
      </c>
      <c r="F44" s="330"/>
      <c r="G44" s="135" t="s">
        <v>219</v>
      </c>
      <c r="H44" s="136">
        <v>1</v>
      </c>
      <c r="I44" s="136"/>
      <c r="J44" s="136"/>
      <c r="K44" s="137"/>
      <c r="L44" s="137"/>
      <c r="M44" s="137"/>
      <c r="N44" s="137"/>
      <c r="O44" s="139"/>
    </row>
    <row r="45" spans="1:15" outlineLevel="1">
      <c r="A45" s="141">
        <f>SUBTOTAL(3,$G$7:G45)</f>
        <v>24</v>
      </c>
      <c r="B45" s="139" t="s">
        <v>260</v>
      </c>
      <c r="C45" s="317" t="s">
        <v>261</v>
      </c>
      <c r="D45" s="134" t="s">
        <v>240</v>
      </c>
      <c r="E45" s="317" t="s">
        <v>236</v>
      </c>
      <c r="F45" s="330"/>
      <c r="G45" s="135" t="s">
        <v>219</v>
      </c>
      <c r="H45" s="136">
        <v>112</v>
      </c>
      <c r="I45" s="136"/>
      <c r="J45" s="136"/>
      <c r="K45" s="137"/>
      <c r="L45" s="137"/>
      <c r="M45" s="137"/>
      <c r="N45" s="137"/>
      <c r="O45" s="139"/>
    </row>
    <row r="46" spans="1:15" outlineLevel="1">
      <c r="A46" s="141">
        <f>SUBTOTAL(3,$G$7:G46)</f>
        <v>25</v>
      </c>
      <c r="B46" s="139" t="s">
        <v>262</v>
      </c>
      <c r="C46" s="317" t="s">
        <v>263</v>
      </c>
      <c r="D46" s="134" t="s">
        <v>240</v>
      </c>
      <c r="E46" s="317" t="s">
        <v>236</v>
      </c>
      <c r="F46" s="330"/>
      <c r="G46" s="135" t="s">
        <v>219</v>
      </c>
      <c r="H46" s="136">
        <v>2</v>
      </c>
      <c r="I46" s="136"/>
      <c r="J46" s="136"/>
      <c r="K46" s="137"/>
      <c r="L46" s="137"/>
      <c r="M46" s="137"/>
      <c r="N46" s="137"/>
      <c r="O46" s="139"/>
    </row>
    <row r="47" spans="1:15" outlineLevel="1">
      <c r="A47" s="141">
        <f>SUBTOTAL(3,$G$7:G47)</f>
        <v>26</v>
      </c>
      <c r="B47" s="139" t="s">
        <v>264</v>
      </c>
      <c r="C47" s="317" t="s">
        <v>265</v>
      </c>
      <c r="D47" s="134" t="s">
        <v>240</v>
      </c>
      <c r="E47" s="317" t="s">
        <v>236</v>
      </c>
      <c r="F47" s="330"/>
      <c r="G47" s="135" t="s">
        <v>219</v>
      </c>
      <c r="H47" s="136">
        <v>52</v>
      </c>
      <c r="I47" s="136"/>
      <c r="J47" s="136"/>
      <c r="K47" s="137"/>
      <c r="L47" s="137"/>
      <c r="M47" s="137"/>
      <c r="N47" s="137"/>
      <c r="O47" s="139"/>
    </row>
    <row r="48" spans="1:15" outlineLevel="1">
      <c r="A48" s="141">
        <f>SUBTOTAL(3,$G$7:G48)</f>
        <v>27</v>
      </c>
      <c r="B48" s="139" t="s">
        <v>266</v>
      </c>
      <c r="C48" s="317" t="s">
        <v>267</v>
      </c>
      <c r="D48" s="134" t="s">
        <v>240</v>
      </c>
      <c r="E48" s="317" t="s">
        <v>236</v>
      </c>
      <c r="F48" s="330"/>
      <c r="G48" s="135" t="s">
        <v>219</v>
      </c>
      <c r="H48" s="136">
        <v>1</v>
      </c>
      <c r="I48" s="136"/>
      <c r="J48" s="136"/>
      <c r="K48" s="137"/>
      <c r="L48" s="137"/>
      <c r="M48" s="137"/>
      <c r="N48" s="137"/>
      <c r="O48" s="139"/>
    </row>
    <row r="49" spans="1:15" outlineLevel="1">
      <c r="A49" s="141">
        <f>SUBTOTAL(3,$G$7:G49)</f>
        <v>28</v>
      </c>
      <c r="B49" s="139" t="s">
        <v>268</v>
      </c>
      <c r="C49" s="317" t="s">
        <v>267</v>
      </c>
      <c r="D49" s="134" t="s">
        <v>240</v>
      </c>
      <c r="E49" s="317" t="s">
        <v>236</v>
      </c>
      <c r="F49" s="330"/>
      <c r="G49" s="135" t="s">
        <v>219</v>
      </c>
      <c r="H49" s="136">
        <v>4</v>
      </c>
      <c r="I49" s="136"/>
      <c r="J49" s="136"/>
      <c r="K49" s="137"/>
      <c r="L49" s="137"/>
      <c r="M49" s="137"/>
      <c r="N49" s="137"/>
      <c r="O49" s="139"/>
    </row>
    <row r="50" spans="1:15" outlineLevel="1">
      <c r="A50" s="141">
        <f>SUBTOTAL(3,$G$7:G50)</f>
        <v>29</v>
      </c>
      <c r="B50" s="139" t="s">
        <v>269</v>
      </c>
      <c r="C50" s="317" t="s">
        <v>267</v>
      </c>
      <c r="D50" s="134" t="s">
        <v>240</v>
      </c>
      <c r="E50" s="317" t="s">
        <v>236</v>
      </c>
      <c r="F50" s="330"/>
      <c r="G50" s="135" t="s">
        <v>219</v>
      </c>
      <c r="H50" s="136">
        <v>4</v>
      </c>
      <c r="I50" s="136"/>
      <c r="J50" s="136"/>
      <c r="K50" s="137"/>
      <c r="L50" s="137"/>
      <c r="M50" s="137"/>
      <c r="N50" s="137"/>
      <c r="O50" s="139"/>
    </row>
    <row r="51" spans="1:15" outlineLevel="1">
      <c r="A51" s="141">
        <f>SUBTOTAL(3,$G$7:G51)</f>
        <v>30</v>
      </c>
      <c r="B51" s="139" t="s">
        <v>270</v>
      </c>
      <c r="C51" s="317" t="s">
        <v>267</v>
      </c>
      <c r="D51" s="134" t="s">
        <v>240</v>
      </c>
      <c r="E51" s="317" t="s">
        <v>236</v>
      </c>
      <c r="F51" s="330"/>
      <c r="G51" s="135" t="s">
        <v>219</v>
      </c>
      <c r="H51" s="136">
        <v>1</v>
      </c>
      <c r="I51" s="136"/>
      <c r="J51" s="136"/>
      <c r="K51" s="137"/>
      <c r="L51" s="137"/>
      <c r="M51" s="137"/>
      <c r="N51" s="137"/>
      <c r="O51" s="139"/>
    </row>
    <row r="52" spans="1:15" outlineLevel="1">
      <c r="A52" s="141">
        <f>SUBTOTAL(3,$G$7:G52)</f>
        <v>31</v>
      </c>
      <c r="B52" s="139" t="s">
        <v>271</v>
      </c>
      <c r="C52" s="317" t="s">
        <v>267</v>
      </c>
      <c r="D52" s="134" t="s">
        <v>240</v>
      </c>
      <c r="E52" s="317" t="s">
        <v>236</v>
      </c>
      <c r="F52" s="330"/>
      <c r="G52" s="135" t="s">
        <v>219</v>
      </c>
      <c r="H52" s="136">
        <v>2</v>
      </c>
      <c r="I52" s="136"/>
      <c r="J52" s="136"/>
      <c r="K52" s="137"/>
      <c r="L52" s="137"/>
      <c r="M52" s="137"/>
      <c r="N52" s="137"/>
      <c r="O52" s="139"/>
    </row>
    <row r="53" spans="1:15" outlineLevel="1">
      <c r="A53" s="141"/>
      <c r="B53" s="139" t="s">
        <v>272</v>
      </c>
      <c r="C53" s="134"/>
      <c r="D53" s="134" t="s">
        <v>240</v>
      </c>
      <c r="E53" s="317" t="s">
        <v>236</v>
      </c>
      <c r="F53" s="330"/>
      <c r="G53" s="135" t="s">
        <v>219</v>
      </c>
      <c r="H53" s="136">
        <v>112</v>
      </c>
      <c r="I53" s="136"/>
      <c r="J53" s="136"/>
      <c r="K53" s="137"/>
      <c r="L53" s="137"/>
      <c r="M53" s="137"/>
      <c r="N53" s="137"/>
      <c r="O53" s="139"/>
    </row>
    <row r="54" spans="1:15" outlineLevel="1">
      <c r="A54" s="141"/>
      <c r="B54" s="139" t="s">
        <v>273</v>
      </c>
      <c r="C54" s="134"/>
      <c r="D54" s="134" t="s">
        <v>240</v>
      </c>
      <c r="E54" s="317" t="s">
        <v>236</v>
      </c>
      <c r="F54" s="330"/>
      <c r="G54" s="135" t="s">
        <v>219</v>
      </c>
      <c r="H54" s="136">
        <v>2</v>
      </c>
      <c r="I54" s="136"/>
      <c r="J54" s="136"/>
      <c r="K54" s="137"/>
      <c r="L54" s="137"/>
      <c r="M54" s="137"/>
      <c r="N54" s="137"/>
      <c r="O54" s="139"/>
    </row>
    <row r="55" spans="1:15" outlineLevel="1">
      <c r="A55" s="141"/>
      <c r="B55" s="139" t="s">
        <v>274</v>
      </c>
      <c r="C55" s="134"/>
      <c r="D55" s="134" t="s">
        <v>240</v>
      </c>
      <c r="E55" s="317" t="s">
        <v>236</v>
      </c>
      <c r="F55" s="330"/>
      <c r="G55" s="135" t="s">
        <v>219</v>
      </c>
      <c r="H55" s="136">
        <v>52</v>
      </c>
      <c r="I55" s="136"/>
      <c r="J55" s="136"/>
      <c r="K55" s="137"/>
      <c r="L55" s="137"/>
      <c r="M55" s="137"/>
      <c r="N55" s="137"/>
      <c r="O55" s="139"/>
    </row>
    <row r="56" spans="1:15" outlineLevel="1">
      <c r="A56" s="141">
        <f>SUBTOTAL(3,$G$7:G56)</f>
        <v>35</v>
      </c>
      <c r="B56" s="139" t="s">
        <v>275</v>
      </c>
      <c r="C56" s="134"/>
      <c r="D56" s="134"/>
      <c r="E56" s="134"/>
      <c r="F56" s="329" t="s">
        <v>2205</v>
      </c>
      <c r="G56" s="135" t="s">
        <v>276</v>
      </c>
      <c r="H56" s="136">
        <v>1</v>
      </c>
      <c r="I56" s="136"/>
      <c r="J56" s="136"/>
      <c r="K56" s="137"/>
      <c r="L56" s="137"/>
      <c r="M56" s="137"/>
      <c r="N56" s="137"/>
      <c r="O56" s="139"/>
    </row>
    <row r="57" spans="1:15" ht="15.6" customHeight="1" outlineLevel="1">
      <c r="A57" s="141"/>
      <c r="B57" s="140" t="s">
        <v>277</v>
      </c>
      <c r="C57" s="134"/>
      <c r="D57" s="134"/>
      <c r="E57" s="134"/>
      <c r="F57" s="329" t="s">
        <v>86</v>
      </c>
      <c r="G57" s="135"/>
      <c r="H57" s="136"/>
      <c r="I57" s="136"/>
      <c r="J57" s="136"/>
      <c r="K57" s="137"/>
      <c r="L57" s="137"/>
      <c r="M57" s="137"/>
      <c r="N57" s="137"/>
      <c r="O57" s="139"/>
    </row>
    <row r="58" spans="1:15" ht="26.4" customHeight="1" outlineLevel="1">
      <c r="A58" s="141">
        <f>SUBTOTAL(3,$G$7:G58)</f>
        <v>36</v>
      </c>
      <c r="B58" s="139" t="s">
        <v>278</v>
      </c>
      <c r="C58" s="142" t="s">
        <v>279</v>
      </c>
      <c r="D58" s="134" t="s">
        <v>280</v>
      </c>
      <c r="E58" s="317" t="s">
        <v>281</v>
      </c>
      <c r="F58" s="330"/>
      <c r="G58" s="135" t="s">
        <v>282</v>
      </c>
      <c r="H58" s="136">
        <v>2633.4</v>
      </c>
      <c r="I58" s="136"/>
      <c r="J58" s="136"/>
      <c r="K58" s="137"/>
      <c r="L58" s="137"/>
      <c r="M58" s="137"/>
      <c r="N58" s="137"/>
      <c r="O58" s="139"/>
    </row>
    <row r="59" spans="1:15" ht="26.4" customHeight="1" outlineLevel="1">
      <c r="A59" s="141">
        <f>SUBTOTAL(3,$G$7:G59)</f>
        <v>37</v>
      </c>
      <c r="B59" s="139" t="s">
        <v>283</v>
      </c>
      <c r="C59" s="142" t="s">
        <v>279</v>
      </c>
      <c r="D59" s="134" t="s">
        <v>280</v>
      </c>
      <c r="E59" s="317" t="s">
        <v>281</v>
      </c>
      <c r="F59" s="330"/>
      <c r="G59" s="135" t="s">
        <v>282</v>
      </c>
      <c r="H59" s="136">
        <v>1291.0999999999999</v>
      </c>
      <c r="I59" s="136"/>
      <c r="J59" s="136"/>
      <c r="K59" s="137"/>
      <c r="L59" s="137"/>
      <c r="M59" s="137"/>
      <c r="N59" s="137"/>
      <c r="O59" s="139"/>
    </row>
    <row r="60" spans="1:15" ht="26.4" customHeight="1" outlineLevel="1">
      <c r="A60" s="141">
        <f>SUBTOTAL(3,$G$7:G60)</f>
        <v>38</v>
      </c>
      <c r="B60" s="139" t="s">
        <v>284</v>
      </c>
      <c r="C60" s="142" t="s">
        <v>279</v>
      </c>
      <c r="D60" s="134" t="s">
        <v>280</v>
      </c>
      <c r="E60" s="317" t="s">
        <v>281</v>
      </c>
      <c r="F60" s="330"/>
      <c r="G60" s="135" t="s">
        <v>282</v>
      </c>
      <c r="H60" s="136">
        <v>3070.55</v>
      </c>
      <c r="I60" s="136"/>
      <c r="J60" s="136"/>
      <c r="K60" s="137"/>
      <c r="L60" s="137"/>
      <c r="M60" s="137"/>
      <c r="N60" s="137"/>
      <c r="O60" s="139"/>
    </row>
    <row r="61" spans="1:15" ht="26.4" customHeight="1" outlineLevel="1">
      <c r="A61" s="141">
        <f>SUBTOTAL(3,$G$7:G61)</f>
        <v>39</v>
      </c>
      <c r="B61" s="139" t="s">
        <v>285</v>
      </c>
      <c r="C61" s="142" t="s">
        <v>279</v>
      </c>
      <c r="D61" s="134" t="s">
        <v>280</v>
      </c>
      <c r="E61" s="317" t="s">
        <v>281</v>
      </c>
      <c r="F61" s="330"/>
      <c r="G61" s="135" t="s">
        <v>282</v>
      </c>
      <c r="H61" s="136">
        <v>138</v>
      </c>
      <c r="I61" s="136"/>
      <c r="J61" s="136"/>
      <c r="K61" s="137"/>
      <c r="L61" s="137"/>
      <c r="M61" s="137"/>
      <c r="N61" s="137"/>
      <c r="O61" s="139"/>
    </row>
    <row r="62" spans="1:15" outlineLevel="1">
      <c r="A62" s="141">
        <f>SUBTOTAL(3,$G$7:G62)</f>
        <v>40</v>
      </c>
      <c r="B62" s="139" t="s">
        <v>286</v>
      </c>
      <c r="C62" s="142"/>
      <c r="D62" s="134"/>
      <c r="E62" s="134"/>
      <c r="F62" s="329"/>
      <c r="G62" s="135" t="s">
        <v>287</v>
      </c>
      <c r="H62" s="136">
        <v>3</v>
      </c>
      <c r="I62" s="136"/>
      <c r="J62" s="136"/>
      <c r="K62" s="137"/>
      <c r="L62" s="137"/>
      <c r="M62" s="137"/>
      <c r="N62" s="137"/>
      <c r="O62" s="139"/>
    </row>
    <row r="63" spans="1:15" ht="26.4" customHeight="1" outlineLevel="1">
      <c r="A63" s="141">
        <f>SUBTOTAL(3,$G$7:G63)</f>
        <v>41</v>
      </c>
      <c r="B63" s="139" t="s">
        <v>288</v>
      </c>
      <c r="C63" s="142" t="s">
        <v>279</v>
      </c>
      <c r="D63" s="134" t="s">
        <v>289</v>
      </c>
      <c r="E63" s="317" t="s">
        <v>290</v>
      </c>
      <c r="F63" s="330"/>
      <c r="G63" s="135" t="s">
        <v>282</v>
      </c>
      <c r="H63" s="136">
        <v>3621.25</v>
      </c>
      <c r="I63" s="136"/>
      <c r="J63" s="136"/>
      <c r="K63" s="137"/>
      <c r="L63" s="137"/>
      <c r="M63" s="137"/>
      <c r="N63" s="137"/>
      <c r="O63" s="139"/>
    </row>
    <row r="64" spans="1:15" ht="26.4" customHeight="1" outlineLevel="1">
      <c r="A64" s="141">
        <f>SUBTOTAL(3,$G$7:G64)</f>
        <v>42</v>
      </c>
      <c r="B64" s="139" t="s">
        <v>291</v>
      </c>
      <c r="C64" s="142" t="s">
        <v>279</v>
      </c>
      <c r="D64" s="134" t="s">
        <v>289</v>
      </c>
      <c r="E64" s="317" t="s">
        <v>290</v>
      </c>
      <c r="F64" s="330"/>
      <c r="G64" s="135" t="s">
        <v>282</v>
      </c>
      <c r="H64" s="136">
        <v>2821</v>
      </c>
      <c r="I64" s="136"/>
      <c r="J64" s="136"/>
      <c r="K64" s="137"/>
      <c r="L64" s="137"/>
      <c r="M64" s="137"/>
      <c r="N64" s="137"/>
      <c r="O64" s="139"/>
    </row>
    <row r="65" spans="1:15" outlineLevel="1">
      <c r="A65" s="141">
        <f>SUBTOTAL(3,$G$7:G65)</f>
        <v>43</v>
      </c>
      <c r="B65" s="139" t="s">
        <v>275</v>
      </c>
      <c r="C65" s="134"/>
      <c r="D65" s="134"/>
      <c r="E65" s="134"/>
      <c r="F65" s="329"/>
      <c r="G65" s="135" t="s">
        <v>276</v>
      </c>
      <c r="H65" s="136">
        <v>1</v>
      </c>
      <c r="I65" s="136"/>
      <c r="J65" s="136"/>
      <c r="K65" s="137"/>
      <c r="L65" s="137"/>
      <c r="M65" s="137"/>
      <c r="N65" s="137"/>
      <c r="O65" s="139"/>
    </row>
    <row r="66" spans="1:15" outlineLevel="1">
      <c r="A66" s="132" t="s">
        <v>292</v>
      </c>
      <c r="B66" s="140" t="s">
        <v>293</v>
      </c>
      <c r="C66" s="134"/>
      <c r="D66" s="134"/>
      <c r="E66" s="134"/>
      <c r="F66" s="329" t="s">
        <v>86</v>
      </c>
      <c r="G66" s="135"/>
      <c r="H66" s="136"/>
      <c r="I66" s="136"/>
      <c r="J66" s="136"/>
      <c r="K66" s="137"/>
      <c r="L66" s="137"/>
      <c r="M66" s="137"/>
      <c r="N66" s="137"/>
      <c r="O66" s="139"/>
    </row>
    <row r="67" spans="1:15" ht="26.4" hidden="1" customHeight="1" outlineLevel="1">
      <c r="A67" s="141">
        <f>SUBTOTAL(3,$G$7:G67)</f>
        <v>43</v>
      </c>
      <c r="B67" s="139" t="s">
        <v>294</v>
      </c>
      <c r="C67" s="317" t="s">
        <v>295</v>
      </c>
      <c r="D67" s="134" t="s">
        <v>218</v>
      </c>
      <c r="E67" s="317"/>
      <c r="F67" s="330" t="s">
        <v>2204</v>
      </c>
      <c r="G67" s="135" t="s">
        <v>219</v>
      </c>
      <c r="H67" s="136">
        <v>1</v>
      </c>
      <c r="I67" s="136"/>
      <c r="J67" s="136"/>
      <c r="K67" s="137"/>
      <c r="L67" s="137"/>
      <c r="M67" s="137"/>
      <c r="N67" s="137"/>
      <c r="O67" s="139"/>
    </row>
    <row r="68" spans="1:15" ht="26.4" hidden="1" customHeight="1" outlineLevel="1">
      <c r="A68" s="141">
        <f>SUBTOTAL(3,$G$7:G68)</f>
        <v>43</v>
      </c>
      <c r="B68" s="139" t="s">
        <v>296</v>
      </c>
      <c r="C68" s="317" t="s">
        <v>295</v>
      </c>
      <c r="D68" s="134" t="s">
        <v>218</v>
      </c>
      <c r="E68" s="317"/>
      <c r="F68" s="330" t="s">
        <v>2204</v>
      </c>
      <c r="G68" s="135" t="s">
        <v>219</v>
      </c>
      <c r="H68" s="136">
        <v>1</v>
      </c>
      <c r="I68" s="136"/>
      <c r="J68" s="136"/>
      <c r="K68" s="137"/>
      <c r="L68" s="137"/>
      <c r="M68" s="137"/>
      <c r="N68" s="137"/>
      <c r="O68" s="139"/>
    </row>
    <row r="69" spans="1:15" ht="26.4" hidden="1" customHeight="1" outlineLevel="1">
      <c r="A69" s="141">
        <f>SUBTOTAL(3,$G$7:G69)</f>
        <v>43</v>
      </c>
      <c r="B69" s="139" t="s">
        <v>297</v>
      </c>
      <c r="C69" s="317" t="s">
        <v>295</v>
      </c>
      <c r="D69" s="134" t="s">
        <v>218</v>
      </c>
      <c r="E69" s="317"/>
      <c r="F69" s="330" t="s">
        <v>2204</v>
      </c>
      <c r="G69" s="135" t="s">
        <v>219</v>
      </c>
      <c r="H69" s="136">
        <v>1</v>
      </c>
      <c r="I69" s="136"/>
      <c r="J69" s="136"/>
      <c r="K69" s="137"/>
      <c r="L69" s="137"/>
      <c r="M69" s="137"/>
      <c r="N69" s="137"/>
      <c r="O69" s="139"/>
    </row>
    <row r="70" spans="1:15" ht="26.4" hidden="1" customHeight="1" outlineLevel="1">
      <c r="A70" s="141">
        <f>SUBTOTAL(3,$G$7:G70)</f>
        <v>43</v>
      </c>
      <c r="B70" s="139" t="s">
        <v>298</v>
      </c>
      <c r="C70" s="317" t="s">
        <v>295</v>
      </c>
      <c r="D70" s="134" t="s">
        <v>218</v>
      </c>
      <c r="E70" s="317"/>
      <c r="F70" s="330" t="s">
        <v>2204</v>
      </c>
      <c r="G70" s="135" t="s">
        <v>219</v>
      </c>
      <c r="H70" s="136">
        <v>1</v>
      </c>
      <c r="I70" s="136"/>
      <c r="J70" s="136"/>
      <c r="K70" s="137"/>
      <c r="L70" s="137"/>
      <c r="M70" s="137"/>
      <c r="N70" s="137"/>
      <c r="O70" s="139"/>
    </row>
    <row r="71" spans="1:15" ht="26.4" hidden="1" customHeight="1" outlineLevel="1">
      <c r="A71" s="141">
        <f>SUBTOTAL(3,$G$7:G71)</f>
        <v>43</v>
      </c>
      <c r="B71" s="139" t="s">
        <v>299</v>
      </c>
      <c r="C71" s="317" t="s">
        <v>295</v>
      </c>
      <c r="D71" s="134" t="s">
        <v>218</v>
      </c>
      <c r="E71" s="317"/>
      <c r="F71" s="330" t="s">
        <v>2204</v>
      </c>
      <c r="G71" s="135" t="s">
        <v>219</v>
      </c>
      <c r="H71" s="136">
        <v>1</v>
      </c>
      <c r="I71" s="136"/>
      <c r="J71" s="136"/>
      <c r="K71" s="137"/>
      <c r="L71" s="137"/>
      <c r="M71" s="137"/>
      <c r="N71" s="137"/>
      <c r="O71" s="139"/>
    </row>
    <row r="72" spans="1:15" ht="26.4" hidden="1" customHeight="1" outlineLevel="1">
      <c r="A72" s="141">
        <f>SUBTOTAL(3,$G$7:G72)</f>
        <v>43</v>
      </c>
      <c r="B72" s="139" t="s">
        <v>300</v>
      </c>
      <c r="C72" s="317" t="s">
        <v>295</v>
      </c>
      <c r="D72" s="134" t="s">
        <v>218</v>
      </c>
      <c r="E72" s="317"/>
      <c r="F72" s="330" t="s">
        <v>2204</v>
      </c>
      <c r="G72" s="135" t="s">
        <v>219</v>
      </c>
      <c r="H72" s="136">
        <v>1</v>
      </c>
      <c r="I72" s="136"/>
      <c r="J72" s="136"/>
      <c r="K72" s="137"/>
      <c r="L72" s="137"/>
      <c r="M72" s="137"/>
      <c r="N72" s="137"/>
      <c r="O72" s="139"/>
    </row>
    <row r="73" spans="1:15" ht="26.4" hidden="1" customHeight="1" outlineLevel="1">
      <c r="A73" s="141">
        <f>SUBTOTAL(3,$G$7:G73)</f>
        <v>43</v>
      </c>
      <c r="B73" s="139" t="s">
        <v>301</v>
      </c>
      <c r="C73" s="317" t="s">
        <v>295</v>
      </c>
      <c r="D73" s="134" t="s">
        <v>218</v>
      </c>
      <c r="E73" s="317"/>
      <c r="F73" s="330" t="s">
        <v>2204</v>
      </c>
      <c r="G73" s="135" t="s">
        <v>219</v>
      </c>
      <c r="H73" s="136">
        <v>1</v>
      </c>
      <c r="I73" s="136"/>
      <c r="J73" s="136"/>
      <c r="K73" s="137"/>
      <c r="L73" s="137"/>
      <c r="M73" s="137"/>
      <c r="N73" s="137"/>
      <c r="O73" s="139"/>
    </row>
    <row r="74" spans="1:15" ht="26.4" hidden="1" customHeight="1" outlineLevel="1">
      <c r="A74" s="141">
        <f>SUBTOTAL(3,$G$7:G74)</f>
        <v>43</v>
      </c>
      <c r="B74" s="139" t="s">
        <v>302</v>
      </c>
      <c r="C74" s="317" t="s">
        <v>295</v>
      </c>
      <c r="D74" s="134" t="s">
        <v>218</v>
      </c>
      <c r="E74" s="317"/>
      <c r="F74" s="330" t="s">
        <v>2204</v>
      </c>
      <c r="G74" s="135" t="s">
        <v>219</v>
      </c>
      <c r="H74" s="136">
        <v>1</v>
      </c>
      <c r="I74" s="136"/>
      <c r="J74" s="136"/>
      <c r="K74" s="137"/>
      <c r="L74" s="137"/>
      <c r="M74" s="137"/>
      <c r="N74" s="137"/>
      <c r="O74" s="139"/>
    </row>
    <row r="75" spans="1:15" ht="26.4" hidden="1" customHeight="1" outlineLevel="1">
      <c r="A75" s="141">
        <f>SUBTOTAL(3,$G$7:G75)</f>
        <v>43</v>
      </c>
      <c r="B75" s="139" t="s">
        <v>303</v>
      </c>
      <c r="C75" s="317" t="s">
        <v>295</v>
      </c>
      <c r="D75" s="134" t="s">
        <v>218</v>
      </c>
      <c r="E75" s="317"/>
      <c r="F75" s="330" t="s">
        <v>2204</v>
      </c>
      <c r="G75" s="135" t="s">
        <v>219</v>
      </c>
      <c r="H75" s="136">
        <v>1</v>
      </c>
      <c r="I75" s="136"/>
      <c r="J75" s="136"/>
      <c r="K75" s="137"/>
      <c r="L75" s="137"/>
      <c r="M75" s="137"/>
      <c r="N75" s="137"/>
      <c r="O75" s="139"/>
    </row>
    <row r="76" spans="1:15" ht="26.4" hidden="1" customHeight="1" outlineLevel="1">
      <c r="A76" s="141">
        <f>SUBTOTAL(3,$G$7:G76)</f>
        <v>43</v>
      </c>
      <c r="B76" s="139" t="s">
        <v>304</v>
      </c>
      <c r="C76" s="317" t="s">
        <v>295</v>
      </c>
      <c r="D76" s="134" t="s">
        <v>218</v>
      </c>
      <c r="E76" s="317"/>
      <c r="F76" s="330" t="s">
        <v>2204</v>
      </c>
      <c r="G76" s="135" t="s">
        <v>219</v>
      </c>
      <c r="H76" s="136">
        <v>1</v>
      </c>
      <c r="I76" s="136"/>
      <c r="J76" s="136"/>
      <c r="K76" s="137"/>
      <c r="L76" s="137"/>
      <c r="M76" s="137"/>
      <c r="N76" s="137"/>
      <c r="O76" s="139"/>
    </row>
    <row r="77" spans="1:15" ht="26.4" hidden="1" customHeight="1" outlineLevel="1">
      <c r="A77" s="141">
        <f>SUBTOTAL(3,$G$7:G77)</f>
        <v>43</v>
      </c>
      <c r="B77" s="139" t="s">
        <v>305</v>
      </c>
      <c r="C77" s="317" t="s">
        <v>295</v>
      </c>
      <c r="D77" s="134" t="s">
        <v>218</v>
      </c>
      <c r="E77" s="317"/>
      <c r="F77" s="330" t="s">
        <v>2204</v>
      </c>
      <c r="G77" s="135" t="s">
        <v>219</v>
      </c>
      <c r="H77" s="136">
        <v>1</v>
      </c>
      <c r="I77" s="136"/>
      <c r="J77" s="136"/>
      <c r="K77" s="137"/>
      <c r="L77" s="137"/>
      <c r="M77" s="137"/>
      <c r="N77" s="137"/>
      <c r="O77" s="139"/>
    </row>
    <row r="78" spans="1:15" ht="26.4" hidden="1" customHeight="1" outlineLevel="1">
      <c r="A78" s="141">
        <f>SUBTOTAL(3,$G$7:G78)</f>
        <v>43</v>
      </c>
      <c r="B78" s="139" t="s">
        <v>306</v>
      </c>
      <c r="C78" s="317" t="s">
        <v>295</v>
      </c>
      <c r="D78" s="134" t="s">
        <v>218</v>
      </c>
      <c r="E78" s="317"/>
      <c r="F78" s="330" t="s">
        <v>2204</v>
      </c>
      <c r="G78" s="135" t="s">
        <v>219</v>
      </c>
      <c r="H78" s="136">
        <v>1</v>
      </c>
      <c r="I78" s="136"/>
      <c r="J78" s="136"/>
      <c r="K78" s="137"/>
      <c r="L78" s="137"/>
      <c r="M78" s="137"/>
      <c r="N78" s="137"/>
      <c r="O78" s="139"/>
    </row>
    <row r="79" spans="1:15" ht="26.4" hidden="1" customHeight="1" outlineLevel="1">
      <c r="A79" s="141">
        <f>SUBTOTAL(3,$G$7:G79)</f>
        <v>43</v>
      </c>
      <c r="B79" s="139" t="s">
        <v>307</v>
      </c>
      <c r="C79" s="317" t="s">
        <v>295</v>
      </c>
      <c r="D79" s="134" t="s">
        <v>218</v>
      </c>
      <c r="E79" s="317"/>
      <c r="F79" s="330" t="s">
        <v>2204</v>
      </c>
      <c r="G79" s="135" t="s">
        <v>219</v>
      </c>
      <c r="H79" s="136">
        <v>1</v>
      </c>
      <c r="I79" s="136"/>
      <c r="J79" s="136"/>
      <c r="K79" s="137"/>
      <c r="L79" s="137"/>
      <c r="M79" s="137"/>
      <c r="N79" s="137"/>
      <c r="O79" s="139"/>
    </row>
    <row r="80" spans="1:15" ht="26.4" hidden="1" customHeight="1" outlineLevel="1">
      <c r="A80" s="141">
        <f>SUBTOTAL(3,$G$7:G80)</f>
        <v>43</v>
      </c>
      <c r="B80" s="139" t="s">
        <v>308</v>
      </c>
      <c r="C80" s="317" t="s">
        <v>295</v>
      </c>
      <c r="D80" s="134" t="s">
        <v>218</v>
      </c>
      <c r="E80" s="317"/>
      <c r="F80" s="330" t="s">
        <v>2204</v>
      </c>
      <c r="G80" s="135" t="s">
        <v>219</v>
      </c>
      <c r="H80" s="136">
        <v>1</v>
      </c>
      <c r="I80" s="136"/>
      <c r="J80" s="136"/>
      <c r="K80" s="137"/>
      <c r="L80" s="137"/>
      <c r="M80" s="137"/>
      <c r="N80" s="137"/>
      <c r="O80" s="139"/>
    </row>
    <row r="81" spans="1:15" ht="26.4" hidden="1" customHeight="1" outlineLevel="1">
      <c r="A81" s="141">
        <f>SUBTOTAL(3,$G$7:G81)</f>
        <v>43</v>
      </c>
      <c r="B81" s="139" t="s">
        <v>309</v>
      </c>
      <c r="C81" s="317" t="s">
        <v>310</v>
      </c>
      <c r="D81" s="134" t="s">
        <v>218</v>
      </c>
      <c r="E81" s="317"/>
      <c r="F81" s="330" t="s">
        <v>2204</v>
      </c>
      <c r="G81" s="135" t="s">
        <v>219</v>
      </c>
      <c r="H81" s="136">
        <v>1</v>
      </c>
      <c r="I81" s="136"/>
      <c r="J81" s="136"/>
      <c r="K81" s="137"/>
      <c r="L81" s="137"/>
      <c r="M81" s="137"/>
      <c r="N81" s="137"/>
      <c r="O81" s="139"/>
    </row>
    <row r="82" spans="1:15" ht="26.4" hidden="1" customHeight="1" outlineLevel="1">
      <c r="A82" s="141">
        <f>SUBTOTAL(3,$G$7:G82)</f>
        <v>43</v>
      </c>
      <c r="B82" s="139" t="s">
        <v>311</v>
      </c>
      <c r="C82" s="317" t="s">
        <v>310</v>
      </c>
      <c r="D82" s="134" t="s">
        <v>218</v>
      </c>
      <c r="E82" s="317"/>
      <c r="F82" s="330" t="s">
        <v>2204</v>
      </c>
      <c r="G82" s="135" t="s">
        <v>219</v>
      </c>
      <c r="H82" s="136">
        <v>1</v>
      </c>
      <c r="I82" s="136"/>
      <c r="J82" s="136"/>
      <c r="K82" s="137"/>
      <c r="L82" s="137"/>
      <c r="M82" s="137"/>
      <c r="N82" s="137"/>
      <c r="O82" s="139"/>
    </row>
    <row r="83" spans="1:15" ht="26.4" hidden="1" customHeight="1" outlineLevel="1">
      <c r="A83" s="141">
        <f>SUBTOTAL(3,$G$7:G83)</f>
        <v>43</v>
      </c>
      <c r="B83" s="139" t="s">
        <v>312</v>
      </c>
      <c r="C83" s="317" t="s">
        <v>295</v>
      </c>
      <c r="D83" s="134" t="s">
        <v>218</v>
      </c>
      <c r="E83" s="317"/>
      <c r="F83" s="330" t="s">
        <v>2204</v>
      </c>
      <c r="G83" s="135" t="s">
        <v>219</v>
      </c>
      <c r="H83" s="136">
        <v>1</v>
      </c>
      <c r="I83" s="136"/>
      <c r="J83" s="136"/>
      <c r="K83" s="137"/>
      <c r="L83" s="137"/>
      <c r="M83" s="137"/>
      <c r="N83" s="137"/>
      <c r="O83" s="139"/>
    </row>
    <row r="84" spans="1:15" ht="26.4" hidden="1" customHeight="1" outlineLevel="1">
      <c r="A84" s="141">
        <f>SUBTOTAL(3,$G$7:G84)</f>
        <v>43</v>
      </c>
      <c r="B84" s="139" t="s">
        <v>313</v>
      </c>
      <c r="C84" s="317" t="s">
        <v>310</v>
      </c>
      <c r="D84" s="134" t="s">
        <v>218</v>
      </c>
      <c r="E84" s="317"/>
      <c r="F84" s="330" t="s">
        <v>2204</v>
      </c>
      <c r="G84" s="135" t="s">
        <v>219</v>
      </c>
      <c r="H84" s="136">
        <v>1</v>
      </c>
      <c r="I84" s="136"/>
      <c r="J84" s="136"/>
      <c r="K84" s="137"/>
      <c r="L84" s="137"/>
      <c r="M84" s="137"/>
      <c r="N84" s="137"/>
      <c r="O84" s="139"/>
    </row>
    <row r="85" spans="1:15" ht="26.4" hidden="1" customHeight="1" outlineLevel="1">
      <c r="A85" s="141">
        <f>SUBTOTAL(3,$G$7:G85)</f>
        <v>43</v>
      </c>
      <c r="B85" s="139" t="s">
        <v>314</v>
      </c>
      <c r="C85" s="317" t="s">
        <v>315</v>
      </c>
      <c r="D85" s="134" t="s">
        <v>218</v>
      </c>
      <c r="E85" s="317"/>
      <c r="F85" s="330" t="s">
        <v>2204</v>
      </c>
      <c r="G85" s="135" t="s">
        <v>219</v>
      </c>
      <c r="H85" s="136">
        <v>1</v>
      </c>
      <c r="I85" s="136"/>
      <c r="J85" s="136"/>
      <c r="K85" s="137"/>
      <c r="L85" s="137"/>
      <c r="M85" s="137"/>
      <c r="N85" s="137"/>
      <c r="O85" s="139"/>
    </row>
    <row r="86" spans="1:15" ht="26.4" hidden="1" customHeight="1" outlineLevel="1">
      <c r="A86" s="141">
        <f>SUBTOTAL(3,$G$7:G86)</f>
        <v>43</v>
      </c>
      <c r="B86" s="139" t="s">
        <v>316</v>
      </c>
      <c r="C86" s="317" t="s">
        <v>315</v>
      </c>
      <c r="D86" s="134" t="s">
        <v>218</v>
      </c>
      <c r="E86" s="317"/>
      <c r="F86" s="330" t="s">
        <v>2204</v>
      </c>
      <c r="G86" s="135" t="s">
        <v>219</v>
      </c>
      <c r="H86" s="136">
        <v>1</v>
      </c>
      <c r="I86" s="136"/>
      <c r="J86" s="136"/>
      <c r="K86" s="137"/>
      <c r="L86" s="137"/>
      <c r="M86" s="137"/>
      <c r="N86" s="137"/>
      <c r="O86" s="139"/>
    </row>
    <row r="87" spans="1:15" ht="26.4" hidden="1" customHeight="1" outlineLevel="1">
      <c r="A87" s="141">
        <f>SUBTOTAL(3,$G$7:G87)</f>
        <v>43</v>
      </c>
      <c r="B87" s="139" t="s">
        <v>317</v>
      </c>
      <c r="C87" s="317" t="s">
        <v>310</v>
      </c>
      <c r="D87" s="134" t="s">
        <v>218</v>
      </c>
      <c r="E87" s="317"/>
      <c r="F87" s="330" t="s">
        <v>2204</v>
      </c>
      <c r="G87" s="135" t="s">
        <v>219</v>
      </c>
      <c r="H87" s="136">
        <v>2</v>
      </c>
      <c r="I87" s="136"/>
      <c r="J87" s="136"/>
      <c r="K87" s="137"/>
      <c r="L87" s="137"/>
      <c r="M87" s="137"/>
      <c r="N87" s="137"/>
      <c r="O87" s="139"/>
    </row>
    <row r="88" spans="1:15" ht="26.4" hidden="1" customHeight="1" outlineLevel="1">
      <c r="A88" s="141">
        <f>SUBTOTAL(3,$G$7:G88)</f>
        <v>43</v>
      </c>
      <c r="B88" s="139" t="s">
        <v>318</v>
      </c>
      <c r="C88" s="317" t="s">
        <v>295</v>
      </c>
      <c r="D88" s="134" t="s">
        <v>218</v>
      </c>
      <c r="E88" s="317"/>
      <c r="F88" s="330" t="s">
        <v>2204</v>
      </c>
      <c r="G88" s="135" t="s">
        <v>219</v>
      </c>
      <c r="H88" s="136">
        <v>1</v>
      </c>
      <c r="I88" s="136"/>
      <c r="J88" s="136"/>
      <c r="K88" s="137"/>
      <c r="L88" s="137"/>
      <c r="M88" s="137"/>
      <c r="N88" s="137"/>
      <c r="O88" s="139"/>
    </row>
    <row r="89" spans="1:15" ht="26.4" hidden="1" customHeight="1" outlineLevel="1">
      <c r="A89" s="141">
        <f>SUBTOTAL(3,$G$7:G89)</f>
        <v>43</v>
      </c>
      <c r="B89" s="139" t="s">
        <v>319</v>
      </c>
      <c r="C89" s="317" t="s">
        <v>310</v>
      </c>
      <c r="D89" s="134" t="s">
        <v>218</v>
      </c>
      <c r="E89" s="317"/>
      <c r="F89" s="330" t="s">
        <v>2204</v>
      </c>
      <c r="G89" s="135" t="s">
        <v>219</v>
      </c>
      <c r="H89" s="136">
        <v>3</v>
      </c>
      <c r="I89" s="136"/>
      <c r="J89" s="136"/>
      <c r="K89" s="137"/>
      <c r="L89" s="137"/>
      <c r="M89" s="137"/>
      <c r="N89" s="137"/>
      <c r="O89" s="139"/>
    </row>
    <row r="90" spans="1:15" ht="26.4" hidden="1" customHeight="1" outlineLevel="1">
      <c r="A90" s="141">
        <f>SUBTOTAL(3,$G$7:G90)</f>
        <v>43</v>
      </c>
      <c r="B90" s="139" t="s">
        <v>320</v>
      </c>
      <c r="C90" s="317" t="s">
        <v>315</v>
      </c>
      <c r="D90" s="134" t="s">
        <v>218</v>
      </c>
      <c r="E90" s="317"/>
      <c r="F90" s="330" t="s">
        <v>2204</v>
      </c>
      <c r="G90" s="135" t="s">
        <v>219</v>
      </c>
      <c r="H90" s="136">
        <v>2</v>
      </c>
      <c r="I90" s="136"/>
      <c r="J90" s="136"/>
      <c r="K90" s="137"/>
      <c r="L90" s="137"/>
      <c r="M90" s="137"/>
      <c r="N90" s="137"/>
      <c r="O90" s="139"/>
    </row>
    <row r="91" spans="1:15" ht="26.4" hidden="1" customHeight="1" outlineLevel="1">
      <c r="A91" s="141">
        <f>SUBTOTAL(3,$G$7:G91)</f>
        <v>43</v>
      </c>
      <c r="B91" s="139" t="s">
        <v>321</v>
      </c>
      <c r="C91" s="317" t="s">
        <v>295</v>
      </c>
      <c r="D91" s="134" t="s">
        <v>218</v>
      </c>
      <c r="E91" s="317"/>
      <c r="F91" s="330" t="s">
        <v>2204</v>
      </c>
      <c r="G91" s="135" t="s">
        <v>219</v>
      </c>
      <c r="H91" s="136">
        <v>1</v>
      </c>
      <c r="I91" s="136"/>
      <c r="J91" s="136"/>
      <c r="K91" s="137"/>
      <c r="L91" s="137"/>
      <c r="M91" s="137"/>
      <c r="N91" s="137"/>
      <c r="O91" s="139"/>
    </row>
    <row r="92" spans="1:15" ht="26.4" hidden="1" customHeight="1" outlineLevel="1">
      <c r="A92" s="141">
        <f>SUBTOTAL(3,$G$7:G92)</f>
        <v>43</v>
      </c>
      <c r="B92" s="139" t="s">
        <v>322</v>
      </c>
      <c r="C92" s="317" t="s">
        <v>310</v>
      </c>
      <c r="D92" s="134" t="s">
        <v>218</v>
      </c>
      <c r="E92" s="317"/>
      <c r="F92" s="330" t="s">
        <v>2204</v>
      </c>
      <c r="G92" s="135" t="s">
        <v>219</v>
      </c>
      <c r="H92" s="136">
        <v>3</v>
      </c>
      <c r="I92" s="136"/>
      <c r="J92" s="136"/>
      <c r="K92" s="137"/>
      <c r="L92" s="137"/>
      <c r="M92" s="137"/>
      <c r="N92" s="137"/>
      <c r="O92" s="139"/>
    </row>
    <row r="93" spans="1:15" ht="26.4" hidden="1" customHeight="1" outlineLevel="1">
      <c r="A93" s="141">
        <f>SUBTOTAL(3,$G$7:G93)</f>
        <v>43</v>
      </c>
      <c r="B93" s="139" t="s">
        <v>323</v>
      </c>
      <c r="C93" s="317" t="s">
        <v>315</v>
      </c>
      <c r="D93" s="134" t="s">
        <v>218</v>
      </c>
      <c r="E93" s="317"/>
      <c r="F93" s="330" t="s">
        <v>2204</v>
      </c>
      <c r="G93" s="135" t="s">
        <v>219</v>
      </c>
      <c r="H93" s="136">
        <v>2</v>
      </c>
      <c r="I93" s="136"/>
      <c r="J93" s="136"/>
      <c r="K93" s="137"/>
      <c r="L93" s="137"/>
      <c r="M93" s="137"/>
      <c r="N93" s="137"/>
      <c r="O93" s="139"/>
    </row>
    <row r="94" spans="1:15" ht="26.4" hidden="1" customHeight="1" outlineLevel="1">
      <c r="A94" s="141">
        <f>SUBTOTAL(3,$G$7:G94)</f>
        <v>43</v>
      </c>
      <c r="B94" s="139" t="s">
        <v>324</v>
      </c>
      <c r="C94" s="317" t="s">
        <v>295</v>
      </c>
      <c r="D94" s="134" t="s">
        <v>218</v>
      </c>
      <c r="E94" s="317"/>
      <c r="F94" s="330" t="s">
        <v>2204</v>
      </c>
      <c r="G94" s="135" t="s">
        <v>219</v>
      </c>
      <c r="H94" s="136">
        <v>1</v>
      </c>
      <c r="I94" s="136"/>
      <c r="J94" s="136"/>
      <c r="K94" s="137"/>
      <c r="L94" s="137"/>
      <c r="M94" s="137"/>
      <c r="N94" s="137"/>
      <c r="O94" s="139"/>
    </row>
    <row r="95" spans="1:15" outlineLevel="1">
      <c r="A95" s="141">
        <f>SUBTOTAL(3,$G$7:G95)</f>
        <v>44</v>
      </c>
      <c r="B95" s="139" t="s">
        <v>325</v>
      </c>
      <c r="C95" s="317" t="s">
        <v>239</v>
      </c>
      <c r="D95" s="134" t="s">
        <v>326</v>
      </c>
      <c r="E95" s="317" t="s">
        <v>241</v>
      </c>
      <c r="F95" s="330"/>
      <c r="G95" s="135" t="s">
        <v>219</v>
      </c>
      <c r="H95" s="136">
        <v>1</v>
      </c>
      <c r="I95" s="136"/>
      <c r="J95" s="136"/>
      <c r="K95" s="137"/>
      <c r="L95" s="137"/>
      <c r="M95" s="137"/>
      <c r="N95" s="137"/>
      <c r="O95" s="139"/>
    </row>
    <row r="96" spans="1:15" outlineLevel="1">
      <c r="A96" s="141">
        <f>SUBTOTAL(3,$G$7:G96)</f>
        <v>45</v>
      </c>
      <c r="B96" s="139" t="s">
        <v>327</v>
      </c>
      <c r="C96" s="317" t="s">
        <v>239</v>
      </c>
      <c r="D96" s="134" t="s">
        <v>326</v>
      </c>
      <c r="E96" s="317" t="s">
        <v>241</v>
      </c>
      <c r="F96" s="330"/>
      <c r="G96" s="135" t="s">
        <v>219</v>
      </c>
      <c r="H96" s="136">
        <v>2</v>
      </c>
      <c r="I96" s="136"/>
      <c r="J96" s="136"/>
      <c r="K96" s="137"/>
      <c r="L96" s="137"/>
      <c r="M96" s="137"/>
      <c r="N96" s="137"/>
      <c r="O96" s="139"/>
    </row>
    <row r="97" spans="1:15" outlineLevel="1">
      <c r="A97" s="141">
        <f>SUBTOTAL(3,$G$7:G97)</f>
        <v>46</v>
      </c>
      <c r="B97" s="139" t="s">
        <v>328</v>
      </c>
      <c r="C97" s="317" t="s">
        <v>239</v>
      </c>
      <c r="D97" s="134" t="s">
        <v>326</v>
      </c>
      <c r="E97" s="317" t="s">
        <v>241</v>
      </c>
      <c r="F97" s="330"/>
      <c r="G97" s="135" t="s">
        <v>219</v>
      </c>
      <c r="H97" s="136">
        <v>2</v>
      </c>
      <c r="I97" s="136"/>
      <c r="J97" s="136"/>
      <c r="K97" s="137"/>
      <c r="L97" s="137"/>
      <c r="M97" s="137"/>
      <c r="N97" s="137"/>
      <c r="O97" s="139"/>
    </row>
    <row r="98" spans="1:15" outlineLevel="1">
      <c r="A98" s="141">
        <f>SUBTOTAL(3,$G$7:G98)</f>
        <v>47</v>
      </c>
      <c r="B98" s="139" t="s">
        <v>329</v>
      </c>
      <c r="C98" s="317" t="s">
        <v>239</v>
      </c>
      <c r="D98" s="134" t="s">
        <v>326</v>
      </c>
      <c r="E98" s="317" t="s">
        <v>241</v>
      </c>
      <c r="F98" s="330"/>
      <c r="G98" s="135" t="s">
        <v>219</v>
      </c>
      <c r="H98" s="136">
        <v>1</v>
      </c>
      <c r="I98" s="136"/>
      <c r="J98" s="136"/>
      <c r="K98" s="137"/>
      <c r="L98" s="137"/>
      <c r="M98" s="137"/>
      <c r="N98" s="137"/>
      <c r="O98" s="139"/>
    </row>
    <row r="99" spans="1:15" outlineLevel="1">
      <c r="A99" s="141">
        <f>SUBTOTAL(3,$G$7:G99)</f>
        <v>48</v>
      </c>
      <c r="B99" s="139" t="s">
        <v>330</v>
      </c>
      <c r="C99" s="317" t="s">
        <v>239</v>
      </c>
      <c r="D99" s="134" t="s">
        <v>326</v>
      </c>
      <c r="E99" s="317" t="s">
        <v>241</v>
      </c>
      <c r="F99" s="330"/>
      <c r="G99" s="135" t="s">
        <v>219</v>
      </c>
      <c r="H99" s="136">
        <v>2</v>
      </c>
      <c r="I99" s="136"/>
      <c r="J99" s="136"/>
      <c r="K99" s="137"/>
      <c r="L99" s="137"/>
      <c r="M99" s="137"/>
      <c r="N99" s="137"/>
      <c r="O99" s="139"/>
    </row>
    <row r="100" spans="1:15" outlineLevel="1">
      <c r="A100" s="141">
        <f>SUBTOTAL(3,$G$7:G100)</f>
        <v>49</v>
      </c>
      <c r="B100" s="139" t="s">
        <v>331</v>
      </c>
      <c r="C100" s="317" t="s">
        <v>239</v>
      </c>
      <c r="D100" s="134" t="s">
        <v>326</v>
      </c>
      <c r="E100" s="317" t="s">
        <v>241</v>
      </c>
      <c r="F100" s="330"/>
      <c r="G100" s="135" t="s">
        <v>219</v>
      </c>
      <c r="H100" s="136">
        <v>1</v>
      </c>
      <c r="I100" s="136"/>
      <c r="J100" s="136"/>
      <c r="K100" s="137"/>
      <c r="L100" s="137"/>
      <c r="M100" s="137"/>
      <c r="N100" s="137"/>
      <c r="O100" s="139"/>
    </row>
    <row r="101" spans="1:15" outlineLevel="1">
      <c r="A101" s="141">
        <f>SUBTOTAL(3,$G$7:G101)</f>
        <v>50</v>
      </c>
      <c r="B101" s="139" t="s">
        <v>332</v>
      </c>
      <c r="C101" s="317" t="s">
        <v>239</v>
      </c>
      <c r="D101" s="134" t="s">
        <v>326</v>
      </c>
      <c r="E101" s="317" t="s">
        <v>241</v>
      </c>
      <c r="F101" s="330"/>
      <c r="G101" s="135" t="s">
        <v>219</v>
      </c>
      <c r="H101" s="136">
        <v>1</v>
      </c>
      <c r="I101" s="136"/>
      <c r="J101" s="136"/>
      <c r="K101" s="137"/>
      <c r="L101" s="137"/>
      <c r="M101" s="137"/>
      <c r="N101" s="137"/>
      <c r="O101" s="139"/>
    </row>
    <row r="102" spans="1:15" outlineLevel="1">
      <c r="A102" s="141">
        <f>SUBTOTAL(3,$G$7:G102)</f>
        <v>51</v>
      </c>
      <c r="B102" s="139" t="s">
        <v>333</v>
      </c>
      <c r="C102" s="317" t="s">
        <v>239</v>
      </c>
      <c r="D102" s="134" t="s">
        <v>326</v>
      </c>
      <c r="E102" s="317" t="s">
        <v>241</v>
      </c>
      <c r="F102" s="330"/>
      <c r="G102" s="135" t="s">
        <v>219</v>
      </c>
      <c r="H102" s="136">
        <v>1</v>
      </c>
      <c r="I102" s="136"/>
      <c r="J102" s="136"/>
      <c r="K102" s="137"/>
      <c r="L102" s="137"/>
      <c r="M102" s="137"/>
      <c r="N102" s="137"/>
      <c r="O102" s="139"/>
    </row>
    <row r="103" spans="1:15" ht="26.4" customHeight="1" outlineLevel="1">
      <c r="A103" s="141">
        <f>SUBTOTAL(3,$G$7:G103)</f>
        <v>52</v>
      </c>
      <c r="B103" s="139" t="s">
        <v>334</v>
      </c>
      <c r="C103" s="317" t="s">
        <v>245</v>
      </c>
      <c r="D103" s="134" t="s">
        <v>246</v>
      </c>
      <c r="E103" s="317" t="s">
        <v>241</v>
      </c>
      <c r="F103" s="330"/>
      <c r="G103" s="135" t="s">
        <v>219</v>
      </c>
      <c r="H103" s="136">
        <v>1</v>
      </c>
      <c r="I103" s="136"/>
      <c r="J103" s="136"/>
      <c r="K103" s="137"/>
      <c r="L103" s="137"/>
      <c r="M103" s="137"/>
      <c r="N103" s="137"/>
      <c r="O103" s="139"/>
    </row>
    <row r="104" spans="1:15" ht="26.4" customHeight="1" outlineLevel="1">
      <c r="A104" s="141">
        <f>SUBTOTAL(3,$G$7:G104)</f>
        <v>53</v>
      </c>
      <c r="B104" s="139" t="s">
        <v>335</v>
      </c>
      <c r="C104" s="317" t="s">
        <v>245</v>
      </c>
      <c r="D104" s="134" t="s">
        <v>246</v>
      </c>
      <c r="E104" s="317" t="s">
        <v>241</v>
      </c>
      <c r="F104" s="330"/>
      <c r="G104" s="135" t="s">
        <v>219</v>
      </c>
      <c r="H104" s="136">
        <v>2</v>
      </c>
      <c r="I104" s="136"/>
      <c r="J104" s="136"/>
      <c r="K104" s="137"/>
      <c r="L104" s="137"/>
      <c r="M104" s="137"/>
      <c r="N104" s="137"/>
      <c r="O104" s="139"/>
    </row>
    <row r="105" spans="1:15" ht="26.4" customHeight="1" outlineLevel="1">
      <c r="A105" s="141">
        <f>SUBTOTAL(3,$G$7:G105)</f>
        <v>54</v>
      </c>
      <c r="B105" s="139" t="s">
        <v>336</v>
      </c>
      <c r="C105" s="317" t="s">
        <v>245</v>
      </c>
      <c r="D105" s="134" t="s">
        <v>246</v>
      </c>
      <c r="E105" s="317" t="s">
        <v>241</v>
      </c>
      <c r="F105" s="330"/>
      <c r="G105" s="135" t="s">
        <v>219</v>
      </c>
      <c r="H105" s="136">
        <v>2</v>
      </c>
      <c r="I105" s="136"/>
      <c r="J105" s="136"/>
      <c r="K105" s="137"/>
      <c r="L105" s="137"/>
      <c r="M105" s="137"/>
      <c r="N105" s="137"/>
      <c r="O105" s="139"/>
    </row>
    <row r="106" spans="1:15" ht="26.4" customHeight="1" outlineLevel="1">
      <c r="A106" s="141">
        <f>SUBTOTAL(3,$G$7:G106)</f>
        <v>55</v>
      </c>
      <c r="B106" s="139" t="s">
        <v>337</v>
      </c>
      <c r="C106" s="317" t="s">
        <v>245</v>
      </c>
      <c r="D106" s="134" t="s">
        <v>246</v>
      </c>
      <c r="E106" s="317" t="s">
        <v>241</v>
      </c>
      <c r="F106" s="330"/>
      <c r="G106" s="135" t="s">
        <v>219</v>
      </c>
      <c r="H106" s="136">
        <v>2</v>
      </c>
      <c r="I106" s="136"/>
      <c r="J106" s="136"/>
      <c r="K106" s="137"/>
      <c r="L106" s="137"/>
      <c r="M106" s="137"/>
      <c r="N106" s="137"/>
      <c r="O106" s="139"/>
    </row>
    <row r="107" spans="1:15" ht="26.4" customHeight="1" outlineLevel="1">
      <c r="A107" s="141">
        <f>SUBTOTAL(3,$G$7:G107)</f>
        <v>56</v>
      </c>
      <c r="B107" s="139" t="s">
        <v>338</v>
      </c>
      <c r="C107" s="317" t="s">
        <v>245</v>
      </c>
      <c r="D107" s="134" t="s">
        <v>246</v>
      </c>
      <c r="E107" s="317" t="s">
        <v>241</v>
      </c>
      <c r="F107" s="330"/>
      <c r="G107" s="135" t="s">
        <v>219</v>
      </c>
      <c r="H107" s="136">
        <v>2</v>
      </c>
      <c r="I107" s="136"/>
      <c r="J107" s="136"/>
      <c r="K107" s="137"/>
      <c r="L107" s="137"/>
      <c r="M107" s="137"/>
      <c r="N107" s="137"/>
      <c r="O107" s="139"/>
    </row>
    <row r="108" spans="1:15" ht="26.4" customHeight="1" outlineLevel="1">
      <c r="A108" s="141">
        <f>SUBTOTAL(3,$G$7:G108)</f>
        <v>57</v>
      </c>
      <c r="B108" s="139" t="s">
        <v>339</v>
      </c>
      <c r="C108" s="317" t="s">
        <v>245</v>
      </c>
      <c r="D108" s="134" t="s">
        <v>246</v>
      </c>
      <c r="E108" s="317" t="s">
        <v>241</v>
      </c>
      <c r="F108" s="330"/>
      <c r="G108" s="135" t="s">
        <v>219</v>
      </c>
      <c r="H108" s="136">
        <v>5</v>
      </c>
      <c r="I108" s="136"/>
      <c r="J108" s="136"/>
      <c r="K108" s="137"/>
      <c r="L108" s="137"/>
      <c r="M108" s="137"/>
      <c r="N108" s="137"/>
      <c r="O108" s="139"/>
    </row>
    <row r="109" spans="1:15" ht="26.4" customHeight="1" outlineLevel="1">
      <c r="A109" s="141">
        <f>SUBTOTAL(3,$G$7:G109)</f>
        <v>58</v>
      </c>
      <c r="B109" s="139" t="s">
        <v>340</v>
      </c>
      <c r="C109" s="317" t="s">
        <v>245</v>
      </c>
      <c r="D109" s="134" t="s">
        <v>246</v>
      </c>
      <c r="E109" s="317" t="s">
        <v>241</v>
      </c>
      <c r="F109" s="330"/>
      <c r="G109" s="135" t="s">
        <v>219</v>
      </c>
      <c r="H109" s="136">
        <v>5</v>
      </c>
      <c r="I109" s="136"/>
      <c r="J109" s="136"/>
      <c r="K109" s="137"/>
      <c r="L109" s="137"/>
      <c r="M109" s="137"/>
      <c r="N109" s="137"/>
      <c r="O109" s="139"/>
    </row>
    <row r="110" spans="1:15" ht="26.4" customHeight="1" outlineLevel="1">
      <c r="A110" s="141">
        <f>SUBTOTAL(3,$G$7:G110)</f>
        <v>59</v>
      </c>
      <c r="B110" s="139" t="s">
        <v>341</v>
      </c>
      <c r="C110" s="317" t="s">
        <v>245</v>
      </c>
      <c r="D110" s="134" t="s">
        <v>246</v>
      </c>
      <c r="E110" s="317" t="s">
        <v>241</v>
      </c>
      <c r="F110" s="330"/>
      <c r="G110" s="135" t="s">
        <v>219</v>
      </c>
      <c r="H110" s="136">
        <v>6</v>
      </c>
      <c r="I110" s="136"/>
      <c r="J110" s="136"/>
      <c r="K110" s="137"/>
      <c r="L110" s="137"/>
      <c r="M110" s="137"/>
      <c r="N110" s="137"/>
      <c r="O110" s="139"/>
    </row>
    <row r="111" spans="1:15" ht="26.4" customHeight="1" outlineLevel="1">
      <c r="A111" s="141">
        <f>SUBTOTAL(3,$G$7:G111)</f>
        <v>60</v>
      </c>
      <c r="B111" s="139" t="s">
        <v>342</v>
      </c>
      <c r="C111" s="317" t="s">
        <v>245</v>
      </c>
      <c r="D111" s="134" t="s">
        <v>246</v>
      </c>
      <c r="E111" s="317" t="s">
        <v>241</v>
      </c>
      <c r="F111" s="330"/>
      <c r="G111" s="135" t="s">
        <v>219</v>
      </c>
      <c r="H111" s="136">
        <v>1</v>
      </c>
      <c r="I111" s="136"/>
      <c r="J111" s="136"/>
      <c r="K111" s="137"/>
      <c r="L111" s="137"/>
      <c r="M111" s="137"/>
      <c r="N111" s="137"/>
      <c r="O111" s="139"/>
    </row>
    <row r="112" spans="1:15" ht="26.4" customHeight="1" outlineLevel="1">
      <c r="A112" s="141">
        <f>SUBTOTAL(3,$G$7:G112)</f>
        <v>61</v>
      </c>
      <c r="B112" s="139" t="s">
        <v>334</v>
      </c>
      <c r="C112" s="317" t="s">
        <v>245</v>
      </c>
      <c r="D112" s="134" t="s">
        <v>246</v>
      </c>
      <c r="E112" s="317" t="s">
        <v>241</v>
      </c>
      <c r="F112" s="330"/>
      <c r="G112" s="135" t="s">
        <v>219</v>
      </c>
      <c r="H112" s="136">
        <v>1</v>
      </c>
      <c r="I112" s="136"/>
      <c r="J112" s="136"/>
      <c r="K112" s="137"/>
      <c r="L112" s="137"/>
      <c r="M112" s="137"/>
      <c r="N112" s="137"/>
      <c r="O112" s="139"/>
    </row>
    <row r="113" spans="1:15" ht="26.4" customHeight="1" outlineLevel="1">
      <c r="A113" s="141">
        <f>SUBTOTAL(3,$G$7:G113)</f>
        <v>62</v>
      </c>
      <c r="B113" s="139" t="s">
        <v>343</v>
      </c>
      <c r="C113" s="317" t="s">
        <v>245</v>
      </c>
      <c r="D113" s="134" t="s">
        <v>246</v>
      </c>
      <c r="E113" s="317" t="s">
        <v>241</v>
      </c>
      <c r="F113" s="330"/>
      <c r="G113" s="135" t="s">
        <v>219</v>
      </c>
      <c r="H113" s="136">
        <v>3</v>
      </c>
      <c r="I113" s="136"/>
      <c r="J113" s="136"/>
      <c r="K113" s="137"/>
      <c r="L113" s="137"/>
      <c r="M113" s="137"/>
      <c r="N113" s="137"/>
      <c r="O113" s="139"/>
    </row>
    <row r="114" spans="1:15" ht="26.4" customHeight="1" outlineLevel="1">
      <c r="A114" s="141">
        <f>SUBTOTAL(3,$G$7:G114)</f>
        <v>63</v>
      </c>
      <c r="B114" s="139" t="s">
        <v>344</v>
      </c>
      <c r="C114" s="317" t="s">
        <v>245</v>
      </c>
      <c r="D114" s="134" t="s">
        <v>246</v>
      </c>
      <c r="E114" s="317" t="s">
        <v>241</v>
      </c>
      <c r="F114" s="330"/>
      <c r="G114" s="135" t="s">
        <v>219</v>
      </c>
      <c r="H114" s="136">
        <v>2</v>
      </c>
      <c r="I114" s="136"/>
      <c r="J114" s="136"/>
      <c r="K114" s="137"/>
      <c r="L114" s="137"/>
      <c r="M114" s="137"/>
      <c r="N114" s="137"/>
      <c r="O114" s="139"/>
    </row>
    <row r="115" spans="1:15" ht="26.4" customHeight="1" outlineLevel="1">
      <c r="A115" s="141">
        <f>SUBTOTAL(3,$G$7:G115)</f>
        <v>64</v>
      </c>
      <c r="B115" s="139" t="s">
        <v>345</v>
      </c>
      <c r="C115" s="317" t="s">
        <v>245</v>
      </c>
      <c r="D115" s="134" t="s">
        <v>246</v>
      </c>
      <c r="E115" s="317" t="s">
        <v>241</v>
      </c>
      <c r="F115" s="330"/>
      <c r="G115" s="135" t="s">
        <v>219</v>
      </c>
      <c r="H115" s="136">
        <v>2</v>
      </c>
      <c r="I115" s="136"/>
      <c r="J115" s="136"/>
      <c r="K115" s="137"/>
      <c r="L115" s="137"/>
      <c r="M115" s="137"/>
      <c r="N115" s="137"/>
      <c r="O115" s="139"/>
    </row>
    <row r="116" spans="1:15" ht="26.4" customHeight="1" outlineLevel="1">
      <c r="A116" s="141">
        <f>SUBTOTAL(3,$G$7:G116)</f>
        <v>65</v>
      </c>
      <c r="B116" s="139" t="s">
        <v>346</v>
      </c>
      <c r="C116" s="317" t="s">
        <v>245</v>
      </c>
      <c r="D116" s="134" t="s">
        <v>246</v>
      </c>
      <c r="E116" s="317" t="s">
        <v>241</v>
      </c>
      <c r="F116" s="330"/>
      <c r="G116" s="135" t="s">
        <v>219</v>
      </c>
      <c r="H116" s="136">
        <v>3</v>
      </c>
      <c r="I116" s="136"/>
      <c r="J116" s="136"/>
      <c r="K116" s="137"/>
      <c r="L116" s="137"/>
      <c r="M116" s="137"/>
      <c r="N116" s="137"/>
      <c r="O116" s="139"/>
    </row>
    <row r="117" spans="1:15" ht="26.4" customHeight="1" outlineLevel="1">
      <c r="A117" s="141">
        <f>SUBTOTAL(3,$G$7:G117)</f>
        <v>66</v>
      </c>
      <c r="B117" s="139" t="s">
        <v>347</v>
      </c>
      <c r="C117" s="317" t="s">
        <v>245</v>
      </c>
      <c r="D117" s="134" t="s">
        <v>246</v>
      </c>
      <c r="E117" s="317" t="s">
        <v>241</v>
      </c>
      <c r="F117" s="330"/>
      <c r="G117" s="135" t="s">
        <v>219</v>
      </c>
      <c r="H117" s="136">
        <v>1</v>
      </c>
      <c r="I117" s="136"/>
      <c r="J117" s="136"/>
      <c r="K117" s="137"/>
      <c r="L117" s="137"/>
      <c r="M117" s="137"/>
      <c r="N117" s="137"/>
      <c r="O117" s="139"/>
    </row>
    <row r="118" spans="1:15" ht="26.4" customHeight="1" outlineLevel="1">
      <c r="A118" s="141">
        <f>SUBTOTAL(3,$G$7:G118)</f>
        <v>67</v>
      </c>
      <c r="B118" s="139" t="s">
        <v>348</v>
      </c>
      <c r="C118" s="317" t="s">
        <v>245</v>
      </c>
      <c r="D118" s="134" t="s">
        <v>246</v>
      </c>
      <c r="E118" s="317" t="s">
        <v>241</v>
      </c>
      <c r="F118" s="330"/>
      <c r="G118" s="135" t="s">
        <v>219</v>
      </c>
      <c r="H118" s="136">
        <v>2</v>
      </c>
      <c r="I118" s="136"/>
      <c r="J118" s="136"/>
      <c r="K118" s="137"/>
      <c r="L118" s="137"/>
      <c r="M118" s="137"/>
      <c r="N118" s="137"/>
      <c r="O118" s="139"/>
    </row>
    <row r="119" spans="1:15" ht="26.4" customHeight="1" outlineLevel="1">
      <c r="A119" s="141">
        <f>SUBTOTAL(3,$G$7:G119)</f>
        <v>68</v>
      </c>
      <c r="B119" s="139" t="s">
        <v>349</v>
      </c>
      <c r="C119" s="317" t="s">
        <v>245</v>
      </c>
      <c r="D119" s="134" t="s">
        <v>246</v>
      </c>
      <c r="E119" s="317" t="s">
        <v>241</v>
      </c>
      <c r="F119" s="330"/>
      <c r="G119" s="135" t="s">
        <v>219</v>
      </c>
      <c r="H119" s="136">
        <v>2</v>
      </c>
      <c r="I119" s="136"/>
      <c r="J119" s="136"/>
      <c r="K119" s="137"/>
      <c r="L119" s="137"/>
      <c r="M119" s="137"/>
      <c r="N119" s="137"/>
      <c r="O119" s="139"/>
    </row>
    <row r="120" spans="1:15" ht="26.4" customHeight="1" outlineLevel="1">
      <c r="A120" s="141">
        <f>SUBTOTAL(3,$G$7:G120)</f>
        <v>69</v>
      </c>
      <c r="B120" s="139" t="s">
        <v>350</v>
      </c>
      <c r="C120" s="317" t="s">
        <v>245</v>
      </c>
      <c r="D120" s="134" t="s">
        <v>246</v>
      </c>
      <c r="E120" s="317" t="s">
        <v>241</v>
      </c>
      <c r="F120" s="330"/>
      <c r="G120" s="135" t="s">
        <v>219</v>
      </c>
      <c r="H120" s="136">
        <v>1</v>
      </c>
      <c r="I120" s="136"/>
      <c r="J120" s="136"/>
      <c r="K120" s="137"/>
      <c r="L120" s="137"/>
      <c r="M120" s="137"/>
      <c r="N120" s="137"/>
      <c r="O120" s="139"/>
    </row>
    <row r="121" spans="1:15" ht="26.4" customHeight="1" outlineLevel="1">
      <c r="A121" s="141">
        <f>SUBTOTAL(3,$G$7:G121)</f>
        <v>70</v>
      </c>
      <c r="B121" s="139" t="s">
        <v>351</v>
      </c>
      <c r="C121" s="317" t="s">
        <v>245</v>
      </c>
      <c r="D121" s="134" t="s">
        <v>246</v>
      </c>
      <c r="E121" s="317" t="s">
        <v>241</v>
      </c>
      <c r="F121" s="330"/>
      <c r="G121" s="135" t="s">
        <v>219</v>
      </c>
      <c r="H121" s="136">
        <v>9</v>
      </c>
      <c r="I121" s="136"/>
      <c r="J121" s="136"/>
      <c r="K121" s="137"/>
      <c r="L121" s="137"/>
      <c r="M121" s="137"/>
      <c r="N121" s="137"/>
      <c r="O121" s="139"/>
    </row>
    <row r="122" spans="1:15" ht="26.4" customHeight="1" outlineLevel="1">
      <c r="A122" s="141">
        <f>SUBTOTAL(3,$G$7:G122)</f>
        <v>71</v>
      </c>
      <c r="B122" s="139" t="s">
        <v>352</v>
      </c>
      <c r="C122" s="317" t="s">
        <v>245</v>
      </c>
      <c r="D122" s="134" t="s">
        <v>246</v>
      </c>
      <c r="E122" s="317" t="s">
        <v>241</v>
      </c>
      <c r="F122" s="330"/>
      <c r="G122" s="135" t="s">
        <v>219</v>
      </c>
      <c r="H122" s="136">
        <v>1</v>
      </c>
      <c r="I122" s="136"/>
      <c r="J122" s="136"/>
      <c r="K122" s="137"/>
      <c r="L122" s="137"/>
      <c r="M122" s="137"/>
      <c r="N122" s="137"/>
      <c r="O122" s="139"/>
    </row>
    <row r="123" spans="1:15" ht="26.4" customHeight="1" outlineLevel="1">
      <c r="A123" s="141">
        <f>SUBTOTAL(3,$G$7:G123)</f>
        <v>72</v>
      </c>
      <c r="B123" s="139" t="s">
        <v>353</v>
      </c>
      <c r="C123" s="317" t="s">
        <v>245</v>
      </c>
      <c r="D123" s="134" t="s">
        <v>246</v>
      </c>
      <c r="E123" s="317" t="s">
        <v>241</v>
      </c>
      <c r="F123" s="330"/>
      <c r="G123" s="135" t="s">
        <v>219</v>
      </c>
      <c r="H123" s="136">
        <v>13</v>
      </c>
      <c r="I123" s="136"/>
      <c r="J123" s="136"/>
      <c r="K123" s="137"/>
      <c r="L123" s="137"/>
      <c r="M123" s="137"/>
      <c r="N123" s="137"/>
      <c r="O123" s="139"/>
    </row>
    <row r="124" spans="1:15" ht="26.4" customHeight="1" outlineLevel="1">
      <c r="A124" s="141">
        <f>SUBTOTAL(3,$G$7:G124)</f>
        <v>73</v>
      </c>
      <c r="B124" s="139" t="s">
        <v>354</v>
      </c>
      <c r="C124" s="317" t="s">
        <v>245</v>
      </c>
      <c r="D124" s="134" t="s">
        <v>246</v>
      </c>
      <c r="E124" s="317" t="s">
        <v>241</v>
      </c>
      <c r="F124" s="330"/>
      <c r="G124" s="135" t="s">
        <v>219</v>
      </c>
      <c r="H124" s="136">
        <v>12</v>
      </c>
      <c r="I124" s="136"/>
      <c r="J124" s="136"/>
      <c r="K124" s="137"/>
      <c r="L124" s="137"/>
      <c r="M124" s="137"/>
      <c r="N124" s="137"/>
      <c r="O124" s="139"/>
    </row>
    <row r="125" spans="1:15" ht="26.4" customHeight="1" outlineLevel="1">
      <c r="A125" s="141">
        <f>SUBTOTAL(3,$G$7:G125)</f>
        <v>74</v>
      </c>
      <c r="B125" s="139" t="s">
        <v>355</v>
      </c>
      <c r="C125" s="317" t="s">
        <v>245</v>
      </c>
      <c r="D125" s="134" t="s">
        <v>246</v>
      </c>
      <c r="E125" s="317" t="s">
        <v>241</v>
      </c>
      <c r="F125" s="330"/>
      <c r="G125" s="135" t="s">
        <v>219</v>
      </c>
      <c r="H125" s="136">
        <v>1</v>
      </c>
      <c r="I125" s="136"/>
      <c r="J125" s="136"/>
      <c r="K125" s="137"/>
      <c r="L125" s="137"/>
      <c r="M125" s="137"/>
      <c r="N125" s="137"/>
      <c r="O125" s="139"/>
    </row>
    <row r="126" spans="1:15" ht="26.4" customHeight="1" outlineLevel="1">
      <c r="A126" s="141">
        <f>SUBTOTAL(3,$G$7:G126)</f>
        <v>75</v>
      </c>
      <c r="B126" s="139" t="s">
        <v>356</v>
      </c>
      <c r="C126" s="317" t="s">
        <v>245</v>
      </c>
      <c r="D126" s="134" t="s">
        <v>246</v>
      </c>
      <c r="E126" s="317" t="s">
        <v>241</v>
      </c>
      <c r="F126" s="330"/>
      <c r="G126" s="135" t="s">
        <v>219</v>
      </c>
      <c r="H126" s="136">
        <v>10</v>
      </c>
      <c r="I126" s="136"/>
      <c r="J126" s="136"/>
      <c r="K126" s="137"/>
      <c r="L126" s="137"/>
      <c r="M126" s="137"/>
      <c r="N126" s="137"/>
      <c r="O126" s="139"/>
    </row>
    <row r="127" spans="1:15" ht="26.4" customHeight="1" outlineLevel="1">
      <c r="A127" s="141">
        <f>SUBTOTAL(3,$G$7:G127)</f>
        <v>76</v>
      </c>
      <c r="B127" s="139" t="s">
        <v>350</v>
      </c>
      <c r="C127" s="317" t="s">
        <v>245</v>
      </c>
      <c r="D127" s="134" t="s">
        <v>246</v>
      </c>
      <c r="E127" s="317" t="s">
        <v>241</v>
      </c>
      <c r="F127" s="330"/>
      <c r="G127" s="135" t="s">
        <v>219</v>
      </c>
      <c r="H127" s="136">
        <v>6</v>
      </c>
      <c r="I127" s="136"/>
      <c r="J127" s="136"/>
      <c r="K127" s="137"/>
      <c r="L127" s="137"/>
      <c r="M127" s="137"/>
      <c r="N127" s="137"/>
      <c r="O127" s="139"/>
    </row>
    <row r="128" spans="1:15" ht="26.4" customHeight="1" outlineLevel="1">
      <c r="A128" s="141">
        <f>SUBTOTAL(3,$G$7:G128)</f>
        <v>77</v>
      </c>
      <c r="B128" s="139" t="s">
        <v>348</v>
      </c>
      <c r="C128" s="317" t="s">
        <v>245</v>
      </c>
      <c r="D128" s="134" t="s">
        <v>246</v>
      </c>
      <c r="E128" s="317" t="s">
        <v>241</v>
      </c>
      <c r="F128" s="330"/>
      <c r="G128" s="135" t="s">
        <v>219</v>
      </c>
      <c r="H128" s="136">
        <v>6</v>
      </c>
      <c r="I128" s="136"/>
      <c r="J128" s="136"/>
      <c r="K128" s="137"/>
      <c r="L128" s="137"/>
      <c r="M128" s="137"/>
      <c r="N128" s="137"/>
      <c r="O128" s="139"/>
    </row>
    <row r="129" spans="1:15" ht="26.4" customHeight="1" outlineLevel="1">
      <c r="A129" s="141">
        <f>SUBTOTAL(3,$G$7:G129)</f>
        <v>78</v>
      </c>
      <c r="B129" s="139" t="s">
        <v>357</v>
      </c>
      <c r="C129" s="317" t="s">
        <v>245</v>
      </c>
      <c r="D129" s="134" t="s">
        <v>246</v>
      </c>
      <c r="E129" s="317" t="s">
        <v>241</v>
      </c>
      <c r="F129" s="330"/>
      <c r="G129" s="135" t="s">
        <v>219</v>
      </c>
      <c r="H129" s="136">
        <v>8</v>
      </c>
      <c r="I129" s="136"/>
      <c r="J129" s="136"/>
      <c r="K129" s="137"/>
      <c r="L129" s="137"/>
      <c r="M129" s="137"/>
      <c r="N129" s="137"/>
      <c r="O129" s="139"/>
    </row>
    <row r="130" spans="1:15" ht="26.4" customHeight="1" outlineLevel="1">
      <c r="A130" s="141">
        <f>SUBTOTAL(3,$G$7:G130)</f>
        <v>79</v>
      </c>
      <c r="B130" s="139" t="s">
        <v>358</v>
      </c>
      <c r="C130" s="317" t="s">
        <v>245</v>
      </c>
      <c r="D130" s="134" t="s">
        <v>246</v>
      </c>
      <c r="E130" s="317" t="s">
        <v>241</v>
      </c>
      <c r="F130" s="330"/>
      <c r="G130" s="135" t="s">
        <v>219</v>
      </c>
      <c r="H130" s="136">
        <v>6</v>
      </c>
      <c r="I130" s="136"/>
      <c r="J130" s="136"/>
      <c r="K130" s="137"/>
      <c r="L130" s="137"/>
      <c r="M130" s="137"/>
      <c r="N130" s="137"/>
      <c r="O130" s="139"/>
    </row>
    <row r="131" spans="1:15" outlineLevel="1">
      <c r="A131" s="141">
        <f>SUBTOTAL(3,$G$7:G131)</f>
        <v>80</v>
      </c>
      <c r="B131" s="139" t="s">
        <v>359</v>
      </c>
      <c r="C131" s="134"/>
      <c r="D131" s="134" t="s">
        <v>326</v>
      </c>
      <c r="E131" s="134"/>
      <c r="F131" s="329"/>
      <c r="G131" s="135" t="s">
        <v>219</v>
      </c>
      <c r="H131" s="136">
        <v>6</v>
      </c>
      <c r="I131" s="136"/>
      <c r="J131" s="136"/>
      <c r="K131" s="137"/>
      <c r="L131" s="137"/>
      <c r="M131" s="137"/>
      <c r="N131" s="137"/>
      <c r="O131" s="139"/>
    </row>
    <row r="132" spans="1:15" outlineLevel="1">
      <c r="A132" s="141">
        <f>SUBTOTAL(3,$G$7:G132)</f>
        <v>81</v>
      </c>
      <c r="B132" s="139" t="s">
        <v>360</v>
      </c>
      <c r="C132" s="317" t="s">
        <v>254</v>
      </c>
      <c r="D132" s="134" t="s">
        <v>326</v>
      </c>
      <c r="E132" s="317" t="s">
        <v>241</v>
      </c>
      <c r="F132" s="330"/>
      <c r="G132" s="135" t="s">
        <v>219</v>
      </c>
      <c r="H132" s="136">
        <v>1</v>
      </c>
      <c r="I132" s="136"/>
      <c r="J132" s="136"/>
      <c r="K132" s="137"/>
      <c r="L132" s="137"/>
      <c r="M132" s="137"/>
      <c r="N132" s="137"/>
      <c r="O132" s="139"/>
    </row>
    <row r="133" spans="1:15" outlineLevel="1">
      <c r="A133" s="141">
        <f>SUBTOTAL(3,$G$7:G133)</f>
        <v>82</v>
      </c>
      <c r="B133" s="139" t="s">
        <v>361</v>
      </c>
      <c r="C133" s="134"/>
      <c r="D133" s="134" t="s">
        <v>326</v>
      </c>
      <c r="E133" s="134"/>
      <c r="F133" s="329"/>
      <c r="G133" s="135" t="s">
        <v>219</v>
      </c>
      <c r="H133" s="136">
        <v>2</v>
      </c>
      <c r="I133" s="136"/>
      <c r="J133" s="136"/>
      <c r="K133" s="137"/>
      <c r="L133" s="137"/>
      <c r="M133" s="137"/>
      <c r="N133" s="137"/>
      <c r="O133" s="139"/>
    </row>
    <row r="134" spans="1:15" outlineLevel="1">
      <c r="A134" s="141">
        <f>SUBTOTAL(3,$G$7:G134)</f>
        <v>83</v>
      </c>
      <c r="B134" s="139" t="s">
        <v>362</v>
      </c>
      <c r="C134" s="134"/>
      <c r="D134" s="134" t="s">
        <v>326</v>
      </c>
      <c r="E134" s="134"/>
      <c r="F134" s="329"/>
      <c r="G134" s="135" t="s">
        <v>219</v>
      </c>
      <c r="H134" s="136">
        <v>1</v>
      </c>
      <c r="I134" s="136"/>
      <c r="J134" s="136"/>
      <c r="K134" s="137"/>
      <c r="L134" s="137"/>
      <c r="M134" s="137"/>
      <c r="N134" s="137"/>
      <c r="O134" s="139"/>
    </row>
    <row r="135" spans="1:15" outlineLevel="1">
      <c r="A135" s="141">
        <f>SUBTOTAL(3,$G$7:G135)</f>
        <v>84</v>
      </c>
      <c r="B135" s="139" t="s">
        <v>363</v>
      </c>
      <c r="C135" s="134"/>
      <c r="D135" s="134" t="s">
        <v>326</v>
      </c>
      <c r="E135" s="134"/>
      <c r="F135" s="329"/>
      <c r="G135" s="135" t="s">
        <v>219</v>
      </c>
      <c r="H135" s="136">
        <v>2</v>
      </c>
      <c r="I135" s="136"/>
      <c r="J135" s="136"/>
      <c r="K135" s="137"/>
      <c r="L135" s="137"/>
      <c r="M135" s="137"/>
      <c r="N135" s="137"/>
      <c r="O135" s="139"/>
    </row>
    <row r="136" spans="1:15" outlineLevel="1">
      <c r="A136" s="141">
        <f>SUBTOTAL(3,$G$7:G136)</f>
        <v>85</v>
      </c>
      <c r="B136" s="139" t="s">
        <v>364</v>
      </c>
      <c r="C136" s="134"/>
      <c r="D136" s="134" t="s">
        <v>326</v>
      </c>
      <c r="E136" s="134"/>
      <c r="F136" s="329"/>
      <c r="G136" s="135" t="s">
        <v>219</v>
      </c>
      <c r="H136" s="136">
        <v>10</v>
      </c>
      <c r="I136" s="136"/>
      <c r="J136" s="136"/>
      <c r="K136" s="137"/>
      <c r="L136" s="137"/>
      <c r="M136" s="137"/>
      <c r="N136" s="137"/>
      <c r="O136" s="139"/>
    </row>
    <row r="137" spans="1:15" outlineLevel="1">
      <c r="A137" s="141">
        <f>SUBTOTAL(3,$G$7:G137)</f>
        <v>86</v>
      </c>
      <c r="B137" s="139" t="s">
        <v>363</v>
      </c>
      <c r="C137" s="134"/>
      <c r="D137" s="134" t="s">
        <v>326</v>
      </c>
      <c r="E137" s="134"/>
      <c r="F137" s="329"/>
      <c r="G137" s="135" t="s">
        <v>219</v>
      </c>
      <c r="H137" s="136">
        <v>2</v>
      </c>
      <c r="I137" s="136"/>
      <c r="J137" s="136"/>
      <c r="K137" s="137"/>
      <c r="L137" s="137"/>
      <c r="M137" s="137"/>
      <c r="N137" s="137"/>
      <c r="O137" s="139"/>
    </row>
    <row r="138" spans="1:15" outlineLevel="1">
      <c r="A138" s="141">
        <f>SUBTOTAL(3,$G$7:G138)</f>
        <v>87</v>
      </c>
      <c r="B138" s="139" t="s">
        <v>362</v>
      </c>
      <c r="C138" s="134"/>
      <c r="D138" s="134" t="s">
        <v>326</v>
      </c>
      <c r="E138" s="134"/>
      <c r="F138" s="329"/>
      <c r="G138" s="135" t="s">
        <v>219</v>
      </c>
      <c r="H138" s="136">
        <v>8</v>
      </c>
      <c r="I138" s="136"/>
      <c r="J138" s="136"/>
      <c r="K138" s="137"/>
      <c r="L138" s="137"/>
      <c r="M138" s="137"/>
      <c r="N138" s="137"/>
      <c r="O138" s="139"/>
    </row>
    <row r="139" spans="1:15" outlineLevel="1">
      <c r="A139" s="141">
        <f>SUBTOTAL(3,$G$7:G139)</f>
        <v>88</v>
      </c>
      <c r="B139" s="139" t="s">
        <v>365</v>
      </c>
      <c r="C139" s="134"/>
      <c r="D139" s="134" t="s">
        <v>326</v>
      </c>
      <c r="E139" s="134"/>
      <c r="F139" s="329"/>
      <c r="G139" s="135" t="s">
        <v>219</v>
      </c>
      <c r="H139" s="136">
        <v>3</v>
      </c>
      <c r="I139" s="136"/>
      <c r="J139" s="136"/>
      <c r="K139" s="137"/>
      <c r="L139" s="137"/>
      <c r="M139" s="137"/>
      <c r="N139" s="137"/>
      <c r="O139" s="139"/>
    </row>
    <row r="140" spans="1:15" outlineLevel="1">
      <c r="A140" s="141">
        <f>SUBTOTAL(3,$G$7:G140)</f>
        <v>89</v>
      </c>
      <c r="B140" s="139" t="s">
        <v>366</v>
      </c>
      <c r="C140" s="134"/>
      <c r="D140" s="134" t="s">
        <v>326</v>
      </c>
      <c r="E140" s="134"/>
      <c r="F140" s="329"/>
      <c r="G140" s="135" t="s">
        <v>219</v>
      </c>
      <c r="H140" s="136">
        <v>49</v>
      </c>
      <c r="I140" s="136"/>
      <c r="J140" s="136"/>
      <c r="K140" s="137"/>
      <c r="L140" s="137"/>
      <c r="M140" s="137"/>
      <c r="N140" s="137"/>
      <c r="O140" s="139"/>
    </row>
    <row r="141" spans="1:15" outlineLevel="1">
      <c r="A141" s="141">
        <f>SUBTOTAL(3,$G$7:G141)</f>
        <v>90</v>
      </c>
      <c r="B141" s="139" t="s">
        <v>367</v>
      </c>
      <c r="C141" s="134"/>
      <c r="D141" s="134" t="s">
        <v>326</v>
      </c>
      <c r="E141" s="134"/>
      <c r="F141" s="329"/>
      <c r="G141" s="135" t="s">
        <v>219</v>
      </c>
      <c r="H141" s="136">
        <v>18</v>
      </c>
      <c r="I141" s="136"/>
      <c r="J141" s="136"/>
      <c r="K141" s="137"/>
      <c r="L141" s="137"/>
      <c r="M141" s="137"/>
      <c r="N141" s="137"/>
      <c r="O141" s="139"/>
    </row>
    <row r="142" spans="1:15" outlineLevel="1">
      <c r="A142" s="141">
        <f>SUBTOTAL(3,$G$7:G142)</f>
        <v>91</v>
      </c>
      <c r="B142" s="139" t="s">
        <v>368</v>
      </c>
      <c r="C142" s="134"/>
      <c r="D142" s="134" t="s">
        <v>326</v>
      </c>
      <c r="E142" s="134"/>
      <c r="F142" s="329"/>
      <c r="G142" s="135" t="s">
        <v>219</v>
      </c>
      <c r="H142" s="136">
        <v>13</v>
      </c>
      <c r="I142" s="136"/>
      <c r="J142" s="136"/>
      <c r="K142" s="137"/>
      <c r="L142" s="137"/>
      <c r="M142" s="137"/>
      <c r="N142" s="137"/>
      <c r="O142" s="139"/>
    </row>
    <row r="143" spans="1:15" outlineLevel="1">
      <c r="A143" s="141">
        <f>SUBTOTAL(3,$G$7:G143)</f>
        <v>92</v>
      </c>
      <c r="B143" s="139" t="s">
        <v>369</v>
      </c>
      <c r="C143" s="134"/>
      <c r="D143" s="134" t="s">
        <v>326</v>
      </c>
      <c r="E143" s="134"/>
      <c r="F143" s="329"/>
      <c r="G143" s="135" t="s">
        <v>219</v>
      </c>
      <c r="H143" s="136">
        <v>7</v>
      </c>
      <c r="I143" s="136"/>
      <c r="J143" s="136"/>
      <c r="K143" s="137"/>
      <c r="L143" s="137"/>
      <c r="M143" s="137"/>
      <c r="N143" s="137"/>
      <c r="O143" s="139"/>
    </row>
    <row r="144" spans="1:15" outlineLevel="1">
      <c r="A144" s="141">
        <f>SUBTOTAL(3,$G$7:G144)</f>
        <v>93</v>
      </c>
      <c r="B144" s="139" t="s">
        <v>370</v>
      </c>
      <c r="C144" s="134"/>
      <c r="D144" s="134" t="s">
        <v>326</v>
      </c>
      <c r="E144" s="134"/>
      <c r="F144" s="329"/>
      <c r="G144" s="135" t="s">
        <v>219</v>
      </c>
      <c r="H144" s="136">
        <v>17</v>
      </c>
      <c r="I144" s="136"/>
      <c r="J144" s="136"/>
      <c r="K144" s="137"/>
      <c r="L144" s="137"/>
      <c r="M144" s="137"/>
      <c r="N144" s="137"/>
      <c r="O144" s="139"/>
    </row>
    <row r="145" spans="1:15" outlineLevel="1">
      <c r="A145" s="141">
        <f>SUBTOTAL(3,$G$7:G145)</f>
        <v>94</v>
      </c>
      <c r="B145" s="139" t="s">
        <v>371</v>
      </c>
      <c r="C145" s="134"/>
      <c r="D145" s="134" t="s">
        <v>326</v>
      </c>
      <c r="E145" s="134"/>
      <c r="F145" s="329"/>
      <c r="G145" s="135" t="s">
        <v>219</v>
      </c>
      <c r="H145" s="136">
        <v>3</v>
      </c>
      <c r="I145" s="136"/>
      <c r="J145" s="136"/>
      <c r="K145" s="137"/>
      <c r="L145" s="137"/>
      <c r="M145" s="137"/>
      <c r="N145" s="137"/>
      <c r="O145" s="139"/>
    </row>
    <row r="146" spans="1:15" outlineLevel="1">
      <c r="A146" s="141">
        <f>SUBTOTAL(3,$G$7:G146)</f>
        <v>95</v>
      </c>
      <c r="B146" s="139" t="s">
        <v>372</v>
      </c>
      <c r="C146" s="134"/>
      <c r="D146" s="134" t="s">
        <v>326</v>
      </c>
      <c r="E146" s="134"/>
      <c r="F146" s="329"/>
      <c r="G146" s="135" t="s">
        <v>219</v>
      </c>
      <c r="H146" s="136">
        <v>2</v>
      </c>
      <c r="I146" s="136"/>
      <c r="J146" s="136"/>
      <c r="K146" s="137"/>
      <c r="L146" s="137"/>
      <c r="M146" s="137"/>
      <c r="N146" s="137"/>
      <c r="O146" s="139"/>
    </row>
    <row r="147" spans="1:15" outlineLevel="1">
      <c r="A147" s="141">
        <f>SUBTOTAL(3,$G$7:G147)</f>
        <v>96</v>
      </c>
      <c r="B147" s="139" t="s">
        <v>373</v>
      </c>
      <c r="C147" s="134"/>
      <c r="D147" s="134" t="s">
        <v>326</v>
      </c>
      <c r="E147" s="134"/>
      <c r="F147" s="329"/>
      <c r="G147" s="135" t="s">
        <v>219</v>
      </c>
      <c r="H147" s="136">
        <v>1</v>
      </c>
      <c r="I147" s="136"/>
      <c r="J147" s="136"/>
      <c r="K147" s="137"/>
      <c r="L147" s="137"/>
      <c r="M147" s="137"/>
      <c r="N147" s="137"/>
      <c r="O147" s="139"/>
    </row>
    <row r="148" spans="1:15" outlineLevel="1">
      <c r="A148" s="141">
        <f>SUBTOTAL(3,$G$7:G148)</f>
        <v>97</v>
      </c>
      <c r="B148" s="139" t="s">
        <v>275</v>
      </c>
      <c r="C148" s="134"/>
      <c r="D148" s="134"/>
      <c r="E148" s="134"/>
      <c r="F148" s="329"/>
      <c r="G148" s="135" t="s">
        <v>276</v>
      </c>
      <c r="H148" s="136">
        <v>1</v>
      </c>
      <c r="I148" s="136"/>
      <c r="J148" s="136"/>
      <c r="K148" s="137"/>
      <c r="L148" s="137"/>
      <c r="M148" s="137"/>
      <c r="N148" s="137"/>
      <c r="O148" s="139"/>
    </row>
    <row r="149" spans="1:15" outlineLevel="1">
      <c r="A149" s="141"/>
      <c r="B149" s="140" t="s">
        <v>374</v>
      </c>
      <c r="C149" s="134"/>
      <c r="D149" s="134"/>
      <c r="E149" s="134"/>
      <c r="F149" s="329" t="s">
        <v>86</v>
      </c>
      <c r="G149" s="135"/>
      <c r="H149" s="136"/>
      <c r="I149" s="136"/>
      <c r="J149" s="136"/>
      <c r="K149" s="137"/>
      <c r="L149" s="137"/>
      <c r="M149" s="137"/>
      <c r="N149" s="137"/>
      <c r="O149" s="139"/>
    </row>
    <row r="150" spans="1:15" ht="26.4" customHeight="1" outlineLevel="1">
      <c r="A150" s="141">
        <f>SUBTOTAL(3,$G$7:G150)</f>
        <v>98</v>
      </c>
      <c r="B150" s="139" t="s">
        <v>278</v>
      </c>
      <c r="C150" s="142" t="s">
        <v>279</v>
      </c>
      <c r="D150" s="134" t="s">
        <v>280</v>
      </c>
      <c r="E150" s="317" t="s">
        <v>281</v>
      </c>
      <c r="F150" s="330"/>
      <c r="G150" s="135" t="s">
        <v>282</v>
      </c>
      <c r="H150" s="136">
        <v>1936.7012500000001</v>
      </c>
      <c r="I150" s="136"/>
      <c r="J150" s="136"/>
      <c r="K150" s="137"/>
      <c r="L150" s="137"/>
      <c r="M150" s="137"/>
      <c r="N150" s="137"/>
      <c r="O150" s="139"/>
    </row>
    <row r="151" spans="1:15" ht="26.4" customHeight="1" outlineLevel="1">
      <c r="A151" s="141">
        <f>SUBTOTAL(3,$G$7:G151)</f>
        <v>99</v>
      </c>
      <c r="B151" s="139" t="s">
        <v>283</v>
      </c>
      <c r="C151" s="142" t="s">
        <v>279</v>
      </c>
      <c r="D151" s="134" t="s">
        <v>280</v>
      </c>
      <c r="E151" s="317" t="s">
        <v>281</v>
      </c>
      <c r="F151" s="330"/>
      <c r="G151" s="135" t="s">
        <v>282</v>
      </c>
      <c r="H151" s="136">
        <v>1588.05</v>
      </c>
      <c r="I151" s="136"/>
      <c r="J151" s="136"/>
      <c r="K151" s="137"/>
      <c r="L151" s="137"/>
      <c r="M151" s="137"/>
      <c r="N151" s="137"/>
      <c r="O151" s="139"/>
    </row>
    <row r="152" spans="1:15" ht="26.4" customHeight="1" outlineLevel="1">
      <c r="A152" s="141">
        <f>SUBTOTAL(3,$G$7:G152)</f>
        <v>100</v>
      </c>
      <c r="B152" s="139" t="s">
        <v>284</v>
      </c>
      <c r="C152" s="142" t="s">
        <v>279</v>
      </c>
      <c r="D152" s="134" t="s">
        <v>280</v>
      </c>
      <c r="E152" s="317" t="s">
        <v>281</v>
      </c>
      <c r="F152" s="330"/>
      <c r="G152" s="135" t="s">
        <v>282</v>
      </c>
      <c r="H152" s="136">
        <v>1681</v>
      </c>
      <c r="I152" s="136"/>
      <c r="J152" s="136"/>
      <c r="K152" s="137"/>
      <c r="L152" s="137"/>
      <c r="M152" s="137"/>
      <c r="N152" s="137"/>
      <c r="O152" s="139"/>
    </row>
    <row r="153" spans="1:15" ht="26.4" customHeight="1" outlineLevel="1">
      <c r="A153" s="141">
        <f>SUBTOTAL(3,$G$7:G153)</f>
        <v>101</v>
      </c>
      <c r="B153" s="139" t="s">
        <v>285</v>
      </c>
      <c r="C153" s="142" t="s">
        <v>279</v>
      </c>
      <c r="D153" s="134" t="s">
        <v>280</v>
      </c>
      <c r="E153" s="317" t="s">
        <v>281</v>
      </c>
      <c r="F153" s="330"/>
      <c r="G153" s="135" t="s">
        <v>282</v>
      </c>
      <c r="H153" s="136">
        <v>380</v>
      </c>
      <c r="I153" s="136"/>
      <c r="J153" s="136"/>
      <c r="K153" s="137"/>
      <c r="L153" s="137"/>
      <c r="M153" s="137"/>
      <c r="N153" s="137"/>
      <c r="O153" s="139"/>
    </row>
    <row r="154" spans="1:15" outlineLevel="1">
      <c r="A154" s="141">
        <f>SUBTOTAL(3,$G$7:G154)</f>
        <v>102</v>
      </c>
      <c r="B154" s="139" t="s">
        <v>286</v>
      </c>
      <c r="C154" s="134"/>
      <c r="D154" s="134"/>
      <c r="E154" s="134"/>
      <c r="F154" s="329"/>
      <c r="G154" s="135" t="s">
        <v>287</v>
      </c>
      <c r="H154" s="136">
        <v>10</v>
      </c>
      <c r="I154" s="136"/>
      <c r="J154" s="136"/>
      <c r="K154" s="137"/>
      <c r="L154" s="137"/>
      <c r="M154" s="137"/>
      <c r="N154" s="137"/>
      <c r="O154" s="139"/>
    </row>
    <row r="155" spans="1:15" ht="26.4" customHeight="1" outlineLevel="1">
      <c r="A155" s="141">
        <f>SUBTOTAL(3,$G$7:G155)</f>
        <v>103</v>
      </c>
      <c r="B155" s="139" t="s">
        <v>291</v>
      </c>
      <c r="C155" s="142" t="s">
        <v>279</v>
      </c>
      <c r="D155" s="134" t="s">
        <v>289</v>
      </c>
      <c r="E155" s="317" t="s">
        <v>290</v>
      </c>
      <c r="F155" s="330"/>
      <c r="G155" s="135" t="s">
        <v>282</v>
      </c>
      <c r="H155" s="136">
        <v>1805.9</v>
      </c>
      <c r="I155" s="136"/>
      <c r="J155" s="136"/>
      <c r="K155" s="137"/>
      <c r="L155" s="137"/>
      <c r="M155" s="137"/>
      <c r="N155" s="137"/>
      <c r="O155" s="139"/>
    </row>
    <row r="156" spans="1:15" ht="26.4" customHeight="1" outlineLevel="1">
      <c r="A156" s="141">
        <f>SUBTOTAL(3,$G$7:G156)</f>
        <v>104</v>
      </c>
      <c r="B156" s="139" t="s">
        <v>375</v>
      </c>
      <c r="C156" s="142" t="s">
        <v>279</v>
      </c>
      <c r="D156" s="134" t="s">
        <v>289</v>
      </c>
      <c r="E156" s="317" t="s">
        <v>290</v>
      </c>
      <c r="F156" s="330"/>
      <c r="G156" s="135" t="s">
        <v>282</v>
      </c>
      <c r="H156" s="136">
        <v>1347.3</v>
      </c>
      <c r="I156" s="136"/>
      <c r="J156" s="136"/>
      <c r="K156" s="137"/>
      <c r="L156" s="137"/>
      <c r="M156" s="137"/>
      <c r="N156" s="137"/>
      <c r="O156" s="139"/>
    </row>
    <row r="157" spans="1:15" outlineLevel="1">
      <c r="A157" s="141">
        <f>SUBTOTAL(3,$G$7:G157)</f>
        <v>105</v>
      </c>
      <c r="B157" s="139" t="s">
        <v>275</v>
      </c>
      <c r="C157" s="134"/>
      <c r="D157" s="134"/>
      <c r="E157" s="134"/>
      <c r="F157" s="329"/>
      <c r="G157" s="135" t="s">
        <v>276</v>
      </c>
      <c r="H157" s="136">
        <v>1</v>
      </c>
      <c r="I157" s="136"/>
      <c r="J157" s="136"/>
      <c r="K157" s="137"/>
      <c r="L157" s="137"/>
      <c r="M157" s="137"/>
      <c r="N157" s="137"/>
      <c r="O157" s="139"/>
    </row>
    <row r="158" spans="1:15" ht="19.8" customHeight="1" outlineLevel="1">
      <c r="A158" s="132" t="s">
        <v>376</v>
      </c>
      <c r="B158" s="140" t="s">
        <v>377</v>
      </c>
      <c r="C158" s="134"/>
      <c r="D158" s="134"/>
      <c r="E158" s="134"/>
      <c r="F158" s="329" t="s">
        <v>86</v>
      </c>
      <c r="G158" s="135"/>
      <c r="H158" s="136"/>
      <c r="I158" s="136"/>
      <c r="J158" s="136"/>
      <c r="K158" s="137"/>
      <c r="L158" s="137"/>
      <c r="M158" s="137"/>
      <c r="N158" s="137"/>
      <c r="O158" s="139"/>
    </row>
    <row r="159" spans="1:15" ht="26.4" hidden="1" customHeight="1" outlineLevel="1">
      <c r="A159" s="141">
        <f>SUBTOTAL(3,$G$7:G159)</f>
        <v>105</v>
      </c>
      <c r="B159" s="139" t="s">
        <v>378</v>
      </c>
      <c r="C159" s="134"/>
      <c r="D159" s="134" t="s">
        <v>379</v>
      </c>
      <c r="E159" s="317"/>
      <c r="F159" s="330" t="s">
        <v>2206</v>
      </c>
      <c r="G159" s="135" t="s">
        <v>237</v>
      </c>
      <c r="H159" s="136">
        <v>1</v>
      </c>
      <c r="I159" s="136"/>
      <c r="J159" s="136"/>
      <c r="K159" s="137"/>
      <c r="L159" s="137"/>
      <c r="M159" s="137"/>
      <c r="N159" s="137"/>
      <c r="O159" s="139"/>
    </row>
    <row r="160" spans="1:15" ht="26.4" hidden="1" customHeight="1" outlineLevel="1">
      <c r="A160" s="141">
        <f>SUBTOTAL(3,$G$7:G160)</f>
        <v>105</v>
      </c>
      <c r="B160" s="139" t="s">
        <v>380</v>
      </c>
      <c r="C160" s="134"/>
      <c r="D160" s="134" t="s">
        <v>379</v>
      </c>
      <c r="E160" s="317"/>
      <c r="F160" s="330" t="s">
        <v>2206</v>
      </c>
      <c r="G160" s="135" t="s">
        <v>219</v>
      </c>
      <c r="H160" s="136">
        <v>1</v>
      </c>
      <c r="I160" s="136"/>
      <c r="J160" s="136"/>
      <c r="K160" s="137"/>
      <c r="L160" s="137"/>
      <c r="M160" s="137"/>
      <c r="N160" s="137"/>
      <c r="O160" s="139"/>
    </row>
    <row r="161" spans="1:15" ht="26.4" hidden="1" customHeight="1" outlineLevel="1">
      <c r="A161" s="141">
        <f>SUBTOTAL(3,$G$7:G161)</f>
        <v>105</v>
      </c>
      <c r="B161" s="139" t="s">
        <v>381</v>
      </c>
      <c r="C161" s="134"/>
      <c r="D161" s="134" t="s">
        <v>379</v>
      </c>
      <c r="E161" s="317"/>
      <c r="F161" s="330" t="s">
        <v>2206</v>
      </c>
      <c r="G161" s="135" t="s">
        <v>219</v>
      </c>
      <c r="H161" s="136">
        <v>1</v>
      </c>
      <c r="I161" s="136"/>
      <c r="J161" s="136"/>
      <c r="K161" s="137"/>
      <c r="L161" s="137"/>
      <c r="M161" s="137"/>
      <c r="N161" s="137"/>
      <c r="O161" s="139"/>
    </row>
    <row r="162" spans="1:15" ht="26.4" hidden="1" customHeight="1" outlineLevel="1">
      <c r="A162" s="141">
        <f>SUBTOTAL(3,$G$7:G162)</f>
        <v>105</v>
      </c>
      <c r="B162" s="139" t="s">
        <v>382</v>
      </c>
      <c r="C162" s="134"/>
      <c r="D162" s="134" t="s">
        <v>379</v>
      </c>
      <c r="E162" s="134"/>
      <c r="F162" s="330" t="s">
        <v>2206</v>
      </c>
      <c r="G162" s="135" t="s">
        <v>219</v>
      </c>
      <c r="H162" s="136">
        <v>1</v>
      </c>
      <c r="I162" s="136"/>
      <c r="J162" s="136"/>
      <c r="K162" s="137"/>
      <c r="L162" s="137"/>
      <c r="M162" s="137"/>
      <c r="N162" s="137"/>
      <c r="O162" s="139"/>
    </row>
    <row r="163" spans="1:15" ht="26.4" hidden="1" customHeight="1" outlineLevel="1">
      <c r="A163" s="141">
        <f>SUBTOTAL(3,$G$7:G163)</f>
        <v>105</v>
      </c>
      <c r="B163" s="139" t="s">
        <v>383</v>
      </c>
      <c r="C163" s="134"/>
      <c r="D163" s="134" t="s">
        <v>379</v>
      </c>
      <c r="E163" s="134"/>
      <c r="F163" s="330" t="s">
        <v>2206</v>
      </c>
      <c r="G163" s="135" t="s">
        <v>219</v>
      </c>
      <c r="H163" s="136">
        <v>1</v>
      </c>
      <c r="I163" s="136"/>
      <c r="J163" s="136"/>
      <c r="K163" s="137"/>
      <c r="L163" s="137"/>
      <c r="M163" s="137"/>
      <c r="N163" s="137"/>
      <c r="O163" s="139"/>
    </row>
    <row r="164" spans="1:15" ht="26.4" hidden="1" customHeight="1" outlineLevel="1">
      <c r="A164" s="141">
        <f>SUBTOTAL(3,$G$7:G712)</f>
        <v>285</v>
      </c>
      <c r="B164" s="139" t="s">
        <v>384</v>
      </c>
      <c r="C164" s="134"/>
      <c r="D164" s="134" t="s">
        <v>379</v>
      </c>
      <c r="E164" s="134"/>
      <c r="F164" s="330" t="s">
        <v>2206</v>
      </c>
      <c r="G164" s="135" t="s">
        <v>219</v>
      </c>
      <c r="H164" s="136">
        <v>1</v>
      </c>
      <c r="I164" s="136"/>
      <c r="J164" s="136"/>
      <c r="K164" s="137"/>
      <c r="L164" s="137"/>
      <c r="M164" s="137"/>
      <c r="N164" s="137"/>
      <c r="O164" s="139"/>
    </row>
    <row r="165" spans="1:15" ht="26.4" hidden="1" customHeight="1" outlineLevel="1">
      <c r="A165" s="141">
        <f>SUBTOTAL(3,$G$7:G165)</f>
        <v>105</v>
      </c>
      <c r="B165" s="139" t="s">
        <v>385</v>
      </c>
      <c r="C165" s="134"/>
      <c r="D165" s="134" t="s">
        <v>218</v>
      </c>
      <c r="E165" s="317"/>
      <c r="F165" s="330" t="s">
        <v>2204</v>
      </c>
      <c r="G165" s="135" t="s">
        <v>219</v>
      </c>
      <c r="H165" s="136">
        <v>2</v>
      </c>
      <c r="I165" s="136"/>
      <c r="J165" s="136"/>
      <c r="K165" s="137"/>
      <c r="L165" s="137"/>
      <c r="M165" s="137"/>
      <c r="N165" s="137"/>
      <c r="O165" s="139"/>
    </row>
    <row r="166" spans="1:15" ht="26.4" hidden="1" customHeight="1" outlineLevel="1">
      <c r="A166" s="141">
        <f>SUBTOTAL(3,$G$7:G166)</f>
        <v>105</v>
      </c>
      <c r="B166" s="139" t="s">
        <v>386</v>
      </c>
      <c r="C166" s="134"/>
      <c r="D166" s="134" t="s">
        <v>218</v>
      </c>
      <c r="E166" s="317"/>
      <c r="F166" s="330" t="s">
        <v>2204</v>
      </c>
      <c r="G166" s="135" t="s">
        <v>219</v>
      </c>
      <c r="H166" s="136">
        <v>2</v>
      </c>
      <c r="I166" s="136"/>
      <c r="J166" s="136"/>
      <c r="K166" s="137"/>
      <c r="L166" s="137"/>
      <c r="M166" s="137"/>
      <c r="N166" s="137"/>
      <c r="O166" s="139"/>
    </row>
    <row r="167" spans="1:15" ht="26.4" hidden="1" customHeight="1" outlineLevel="1">
      <c r="A167" s="141">
        <f>SUBTOTAL(3,$G$7:G167)</f>
        <v>105</v>
      </c>
      <c r="B167" s="139" t="s">
        <v>387</v>
      </c>
      <c r="C167" s="134"/>
      <c r="D167" s="134" t="s">
        <v>218</v>
      </c>
      <c r="E167" s="317"/>
      <c r="F167" s="330" t="s">
        <v>2204</v>
      </c>
      <c r="G167" s="135" t="s">
        <v>219</v>
      </c>
      <c r="H167" s="136">
        <v>2</v>
      </c>
      <c r="I167" s="136"/>
      <c r="J167" s="136"/>
      <c r="K167" s="137"/>
      <c r="L167" s="137"/>
      <c r="M167" s="137"/>
      <c r="N167" s="137"/>
      <c r="O167" s="139"/>
    </row>
    <row r="168" spans="1:15" ht="26.4" hidden="1" customHeight="1" outlineLevel="1">
      <c r="A168" s="141">
        <f>SUBTOTAL(3,$G$7:G168)</f>
        <v>105</v>
      </c>
      <c r="B168" s="139" t="s">
        <v>388</v>
      </c>
      <c r="C168" s="134"/>
      <c r="D168" s="134" t="s">
        <v>218</v>
      </c>
      <c r="E168" s="317"/>
      <c r="F168" s="330" t="s">
        <v>2204</v>
      </c>
      <c r="G168" s="135" t="s">
        <v>219</v>
      </c>
      <c r="H168" s="136">
        <v>2</v>
      </c>
      <c r="I168" s="136"/>
      <c r="J168" s="136"/>
      <c r="K168" s="137"/>
      <c r="L168" s="137"/>
      <c r="M168" s="137"/>
      <c r="N168" s="137"/>
      <c r="O168" s="139"/>
    </row>
    <row r="169" spans="1:15" ht="26.4" hidden="1" customHeight="1" outlineLevel="1">
      <c r="A169" s="141">
        <f>SUBTOTAL(3,$G$7:G169)</f>
        <v>105</v>
      </c>
      <c r="B169" s="139" t="s">
        <v>389</v>
      </c>
      <c r="C169" s="134"/>
      <c r="D169" s="134" t="s">
        <v>218</v>
      </c>
      <c r="E169" s="317"/>
      <c r="F169" s="330" t="s">
        <v>2204</v>
      </c>
      <c r="G169" s="135" t="s">
        <v>219</v>
      </c>
      <c r="H169" s="136">
        <v>1</v>
      </c>
      <c r="I169" s="136"/>
      <c r="J169" s="136"/>
      <c r="K169" s="137"/>
      <c r="L169" s="137"/>
      <c r="M169" s="137"/>
      <c r="N169" s="137"/>
      <c r="O169" s="139"/>
    </row>
    <row r="170" spans="1:15" ht="26.4" hidden="1" customHeight="1" outlineLevel="1">
      <c r="A170" s="141">
        <f>SUBTOTAL(3,$G$7:G170)</f>
        <v>105</v>
      </c>
      <c r="B170" s="139" t="s">
        <v>390</v>
      </c>
      <c r="C170" s="134"/>
      <c r="D170" s="134" t="s">
        <v>218</v>
      </c>
      <c r="E170" s="317"/>
      <c r="F170" s="330" t="s">
        <v>2204</v>
      </c>
      <c r="G170" s="135" t="s">
        <v>219</v>
      </c>
      <c r="H170" s="136">
        <v>1</v>
      </c>
      <c r="I170" s="136"/>
      <c r="J170" s="136"/>
      <c r="K170" s="137"/>
      <c r="L170" s="137"/>
      <c r="M170" s="137"/>
      <c r="N170" s="137"/>
      <c r="O170" s="139"/>
    </row>
    <row r="171" spans="1:15" ht="26.4" hidden="1" customHeight="1" outlineLevel="1">
      <c r="A171" s="141">
        <f>SUBTOTAL(3,$G$7:G171)</f>
        <v>105</v>
      </c>
      <c r="B171" s="139" t="s">
        <v>391</v>
      </c>
      <c r="C171" s="134"/>
      <c r="D171" s="134" t="s">
        <v>218</v>
      </c>
      <c r="E171" s="317"/>
      <c r="F171" s="330" t="s">
        <v>2204</v>
      </c>
      <c r="G171" s="135" t="s">
        <v>219</v>
      </c>
      <c r="H171" s="136">
        <v>5</v>
      </c>
      <c r="I171" s="136"/>
      <c r="J171" s="136"/>
      <c r="K171" s="137"/>
      <c r="L171" s="137"/>
      <c r="M171" s="137"/>
      <c r="N171" s="137"/>
      <c r="O171" s="139"/>
    </row>
    <row r="172" spans="1:15" ht="26.4" hidden="1" customHeight="1" outlineLevel="1">
      <c r="A172" s="141">
        <f>SUBTOTAL(3,$G$7:G172)</f>
        <v>105</v>
      </c>
      <c r="B172" s="139" t="s">
        <v>392</v>
      </c>
      <c r="C172" s="134"/>
      <c r="D172" s="134" t="s">
        <v>218</v>
      </c>
      <c r="E172" s="317"/>
      <c r="F172" s="330" t="s">
        <v>2204</v>
      </c>
      <c r="G172" s="135" t="s">
        <v>219</v>
      </c>
      <c r="H172" s="136">
        <v>1</v>
      </c>
      <c r="I172" s="136"/>
      <c r="J172" s="136"/>
      <c r="K172" s="137"/>
      <c r="L172" s="137"/>
      <c r="M172" s="137"/>
      <c r="N172" s="137"/>
      <c r="O172" s="139"/>
    </row>
    <row r="173" spans="1:15" ht="26.4" hidden="1" customHeight="1" outlineLevel="1">
      <c r="A173" s="141">
        <f>SUBTOTAL(3,$G$7:G173)</f>
        <v>105</v>
      </c>
      <c r="B173" s="139" t="s">
        <v>393</v>
      </c>
      <c r="C173" s="134"/>
      <c r="D173" s="134" t="s">
        <v>218</v>
      </c>
      <c r="E173" s="317"/>
      <c r="F173" s="330" t="s">
        <v>2204</v>
      </c>
      <c r="G173" s="135" t="s">
        <v>219</v>
      </c>
      <c r="H173" s="136">
        <v>1</v>
      </c>
      <c r="I173" s="136"/>
      <c r="J173" s="136"/>
      <c r="K173" s="137"/>
      <c r="L173" s="137"/>
      <c r="M173" s="137"/>
      <c r="N173" s="137"/>
      <c r="O173" s="139"/>
    </row>
    <row r="174" spans="1:15" ht="26.4" hidden="1" customHeight="1" outlineLevel="1">
      <c r="A174" s="141">
        <f>SUBTOTAL(3,$G$7:G174)</f>
        <v>105</v>
      </c>
      <c r="B174" s="139" t="s">
        <v>394</v>
      </c>
      <c r="C174" s="134"/>
      <c r="D174" s="134" t="s">
        <v>218</v>
      </c>
      <c r="E174" s="317"/>
      <c r="F174" s="330" t="s">
        <v>2204</v>
      </c>
      <c r="G174" s="135" t="s">
        <v>219</v>
      </c>
      <c r="H174" s="136">
        <v>1</v>
      </c>
      <c r="I174" s="136"/>
      <c r="J174" s="136"/>
      <c r="K174" s="137"/>
      <c r="L174" s="137"/>
      <c r="M174" s="137"/>
      <c r="N174" s="137"/>
      <c r="O174" s="139"/>
    </row>
    <row r="175" spans="1:15" ht="26.4" hidden="1" customHeight="1" outlineLevel="1">
      <c r="A175" s="141">
        <f>SUBTOTAL(3,$G$7:G175)</f>
        <v>105</v>
      </c>
      <c r="B175" s="139" t="s">
        <v>395</v>
      </c>
      <c r="C175" s="134"/>
      <c r="D175" s="134" t="s">
        <v>218</v>
      </c>
      <c r="E175" s="317"/>
      <c r="F175" s="330" t="s">
        <v>2204</v>
      </c>
      <c r="G175" s="135" t="s">
        <v>396</v>
      </c>
      <c r="H175" s="136">
        <v>1</v>
      </c>
      <c r="I175" s="136"/>
      <c r="J175" s="136"/>
      <c r="K175" s="137"/>
      <c r="L175" s="137"/>
      <c r="M175" s="137"/>
      <c r="N175" s="137"/>
      <c r="O175" s="139"/>
    </row>
    <row r="176" spans="1:15" ht="26.4" hidden="1" customHeight="1" outlineLevel="1">
      <c r="A176" s="141">
        <f>SUBTOTAL(3,$G$7:G176)</f>
        <v>105</v>
      </c>
      <c r="B176" s="139" t="s">
        <v>397</v>
      </c>
      <c r="C176" s="134"/>
      <c r="D176" s="134" t="s">
        <v>218</v>
      </c>
      <c r="E176" s="317"/>
      <c r="F176" s="330" t="s">
        <v>2204</v>
      </c>
      <c r="G176" s="135" t="s">
        <v>396</v>
      </c>
      <c r="H176" s="136">
        <v>2</v>
      </c>
      <c r="I176" s="136"/>
      <c r="J176" s="136"/>
      <c r="K176" s="137"/>
      <c r="L176" s="137"/>
      <c r="M176" s="137"/>
      <c r="N176" s="137"/>
      <c r="O176" s="139"/>
    </row>
    <row r="177" spans="1:15" ht="26.4" hidden="1" customHeight="1" outlineLevel="1">
      <c r="A177" s="141">
        <f>SUBTOTAL(3,$G$7:G177)</f>
        <v>105</v>
      </c>
      <c r="B177" s="139" t="s">
        <v>398</v>
      </c>
      <c r="C177" s="134"/>
      <c r="D177" s="134" t="s">
        <v>218</v>
      </c>
      <c r="E177" s="317"/>
      <c r="F177" s="330" t="s">
        <v>2204</v>
      </c>
      <c r="G177" s="135" t="s">
        <v>219</v>
      </c>
      <c r="H177" s="136">
        <v>2</v>
      </c>
      <c r="I177" s="136"/>
      <c r="J177" s="136"/>
      <c r="K177" s="137"/>
      <c r="L177" s="137"/>
      <c r="M177" s="137"/>
      <c r="N177" s="137"/>
      <c r="O177" s="139"/>
    </row>
    <row r="178" spans="1:15" ht="26.4" hidden="1" customHeight="1" outlineLevel="1">
      <c r="A178" s="141">
        <f>SUBTOTAL(3,$G$7:G178)</f>
        <v>105</v>
      </c>
      <c r="B178" s="139" t="s">
        <v>399</v>
      </c>
      <c r="C178" s="134"/>
      <c r="D178" s="134" t="s">
        <v>218</v>
      </c>
      <c r="E178" s="317"/>
      <c r="F178" s="330" t="s">
        <v>2204</v>
      </c>
      <c r="G178" s="135" t="s">
        <v>219</v>
      </c>
      <c r="H178" s="136">
        <v>2</v>
      </c>
      <c r="I178" s="136"/>
      <c r="J178" s="136"/>
      <c r="K178" s="137"/>
      <c r="L178" s="137"/>
      <c r="M178" s="137"/>
      <c r="N178" s="137"/>
      <c r="O178" s="139"/>
    </row>
    <row r="179" spans="1:15" ht="26.4" hidden="1" customHeight="1" outlineLevel="1">
      <c r="A179" s="141">
        <f>SUBTOTAL(3,$G$7:G179)</f>
        <v>105</v>
      </c>
      <c r="B179" s="139" t="s">
        <v>400</v>
      </c>
      <c r="C179" s="134"/>
      <c r="D179" s="134" t="s">
        <v>218</v>
      </c>
      <c r="E179" s="317"/>
      <c r="F179" s="330" t="s">
        <v>2204</v>
      </c>
      <c r="G179" s="135" t="s">
        <v>219</v>
      </c>
      <c r="H179" s="136">
        <v>1</v>
      </c>
      <c r="I179" s="136"/>
      <c r="J179" s="136"/>
      <c r="K179" s="137"/>
      <c r="L179" s="137"/>
      <c r="M179" s="137"/>
      <c r="N179" s="137"/>
      <c r="O179" s="139"/>
    </row>
    <row r="180" spans="1:15" ht="26.4" hidden="1" customHeight="1" outlineLevel="1">
      <c r="A180" s="141">
        <f>SUBTOTAL(3,$G$7:G180)</f>
        <v>105</v>
      </c>
      <c r="B180" s="139" t="s">
        <v>401</v>
      </c>
      <c r="C180" s="134"/>
      <c r="D180" s="134" t="s">
        <v>218</v>
      </c>
      <c r="E180" s="317"/>
      <c r="F180" s="330" t="s">
        <v>2204</v>
      </c>
      <c r="G180" s="135" t="s">
        <v>219</v>
      </c>
      <c r="H180" s="136">
        <v>1</v>
      </c>
      <c r="I180" s="136"/>
      <c r="J180" s="136"/>
      <c r="K180" s="137"/>
      <c r="L180" s="137"/>
      <c r="M180" s="137"/>
      <c r="N180" s="137"/>
      <c r="O180" s="139"/>
    </row>
    <row r="181" spans="1:15" ht="26.4" hidden="1" customHeight="1" outlineLevel="1">
      <c r="A181" s="141">
        <f>SUBTOTAL(3,$G$7:G181)</f>
        <v>105</v>
      </c>
      <c r="B181" s="139" t="s">
        <v>402</v>
      </c>
      <c r="C181" s="134"/>
      <c r="D181" s="134" t="s">
        <v>218</v>
      </c>
      <c r="E181" s="317"/>
      <c r="F181" s="330" t="s">
        <v>2204</v>
      </c>
      <c r="G181" s="135" t="s">
        <v>219</v>
      </c>
      <c r="H181" s="136">
        <v>1</v>
      </c>
      <c r="I181" s="136"/>
      <c r="J181" s="136"/>
      <c r="K181" s="137"/>
      <c r="L181" s="137"/>
      <c r="M181" s="137"/>
      <c r="N181" s="137"/>
      <c r="O181" s="139"/>
    </row>
    <row r="182" spans="1:15" ht="26.4" hidden="1" customHeight="1" outlineLevel="1">
      <c r="A182" s="141">
        <f>SUBTOTAL(3,$G$7:G182)</f>
        <v>105</v>
      </c>
      <c r="B182" s="139" t="s">
        <v>403</v>
      </c>
      <c r="C182" s="134"/>
      <c r="D182" s="134" t="s">
        <v>218</v>
      </c>
      <c r="E182" s="317"/>
      <c r="F182" s="330" t="s">
        <v>2204</v>
      </c>
      <c r="G182" s="135" t="s">
        <v>219</v>
      </c>
      <c r="H182" s="136">
        <v>1</v>
      </c>
      <c r="I182" s="136"/>
      <c r="J182" s="136"/>
      <c r="K182" s="137"/>
      <c r="L182" s="137"/>
      <c r="M182" s="137"/>
      <c r="N182" s="137"/>
      <c r="O182" s="139"/>
    </row>
    <row r="183" spans="1:15" ht="26.4" hidden="1" customHeight="1" outlineLevel="1">
      <c r="A183" s="141">
        <f>SUBTOTAL(3,$G$7:G183)</f>
        <v>105</v>
      </c>
      <c r="B183" s="139" t="s">
        <v>404</v>
      </c>
      <c r="C183" s="134"/>
      <c r="D183" s="134" t="s">
        <v>218</v>
      </c>
      <c r="E183" s="317"/>
      <c r="F183" s="330" t="s">
        <v>2204</v>
      </c>
      <c r="G183" s="135" t="s">
        <v>219</v>
      </c>
      <c r="H183" s="136">
        <v>1</v>
      </c>
      <c r="I183" s="136"/>
      <c r="J183" s="136"/>
      <c r="K183" s="137"/>
      <c r="L183" s="137"/>
      <c r="M183" s="137"/>
      <c r="N183" s="137"/>
      <c r="O183" s="139"/>
    </row>
    <row r="184" spans="1:15" ht="26.4" hidden="1" customHeight="1" outlineLevel="1">
      <c r="A184" s="141">
        <f>SUBTOTAL(3,$G$7:G184)</f>
        <v>105</v>
      </c>
      <c r="B184" s="139" t="s">
        <v>405</v>
      </c>
      <c r="C184" s="134"/>
      <c r="D184" s="134" t="s">
        <v>218</v>
      </c>
      <c r="E184" s="317"/>
      <c r="F184" s="330" t="s">
        <v>2204</v>
      </c>
      <c r="G184" s="135" t="s">
        <v>219</v>
      </c>
      <c r="H184" s="136">
        <v>1</v>
      </c>
      <c r="I184" s="136"/>
      <c r="J184" s="136"/>
      <c r="K184" s="137"/>
      <c r="L184" s="137"/>
      <c r="M184" s="137"/>
      <c r="N184" s="137"/>
      <c r="O184" s="139"/>
    </row>
    <row r="185" spans="1:15" ht="26.4" hidden="1" customHeight="1" outlineLevel="1">
      <c r="A185" s="141">
        <f>SUBTOTAL(3,$G$7:G185)</f>
        <v>105</v>
      </c>
      <c r="B185" s="139" t="s">
        <v>406</v>
      </c>
      <c r="C185" s="134"/>
      <c r="D185" s="134" t="s">
        <v>218</v>
      </c>
      <c r="E185" s="317"/>
      <c r="F185" s="330" t="s">
        <v>2204</v>
      </c>
      <c r="G185" s="135" t="s">
        <v>219</v>
      </c>
      <c r="H185" s="136">
        <v>1</v>
      </c>
      <c r="I185" s="136"/>
      <c r="J185" s="136"/>
      <c r="K185" s="137"/>
      <c r="L185" s="137"/>
      <c r="M185" s="137"/>
      <c r="N185" s="137"/>
      <c r="O185" s="139"/>
    </row>
    <row r="186" spans="1:15" ht="26.4" hidden="1" customHeight="1" outlineLevel="1">
      <c r="A186" s="141">
        <f>SUBTOTAL(3,$G$7:G186)</f>
        <v>105</v>
      </c>
      <c r="B186" s="139" t="s">
        <v>407</v>
      </c>
      <c r="C186" s="134"/>
      <c r="D186" s="134" t="s">
        <v>218</v>
      </c>
      <c r="E186" s="317"/>
      <c r="F186" s="330" t="s">
        <v>2204</v>
      </c>
      <c r="G186" s="135" t="s">
        <v>219</v>
      </c>
      <c r="H186" s="136">
        <v>1</v>
      </c>
      <c r="I186" s="136"/>
      <c r="J186" s="136"/>
      <c r="K186" s="137"/>
      <c r="L186" s="137"/>
      <c r="M186" s="137"/>
      <c r="N186" s="137"/>
      <c r="O186" s="139"/>
    </row>
    <row r="187" spans="1:15" ht="26.4" hidden="1" customHeight="1" outlineLevel="1">
      <c r="A187" s="141">
        <f>SUBTOTAL(3,$G$7:G187)</f>
        <v>105</v>
      </c>
      <c r="B187" s="139" t="s">
        <v>408</v>
      </c>
      <c r="C187" s="134"/>
      <c r="D187" s="134" t="s">
        <v>218</v>
      </c>
      <c r="E187" s="317"/>
      <c r="F187" s="330" t="s">
        <v>2204</v>
      </c>
      <c r="G187" s="135" t="s">
        <v>219</v>
      </c>
      <c r="H187" s="136">
        <v>1</v>
      </c>
      <c r="I187" s="136"/>
      <c r="J187" s="136"/>
      <c r="K187" s="137"/>
      <c r="L187" s="137"/>
      <c r="M187" s="137"/>
      <c r="N187" s="137"/>
      <c r="O187" s="139"/>
    </row>
    <row r="188" spans="1:15" ht="26.4" hidden="1" customHeight="1" outlineLevel="1">
      <c r="A188" s="141">
        <f>SUBTOTAL(3,$G$7:G188)</f>
        <v>105</v>
      </c>
      <c r="B188" s="139" t="s">
        <v>409</v>
      </c>
      <c r="C188" s="134"/>
      <c r="D188" s="134" t="s">
        <v>218</v>
      </c>
      <c r="E188" s="317"/>
      <c r="F188" s="330" t="s">
        <v>2204</v>
      </c>
      <c r="G188" s="135" t="s">
        <v>219</v>
      </c>
      <c r="H188" s="136">
        <v>1</v>
      </c>
      <c r="I188" s="136"/>
      <c r="J188" s="136"/>
      <c r="K188" s="137"/>
      <c r="L188" s="137"/>
      <c r="M188" s="137"/>
      <c r="N188" s="137"/>
      <c r="O188" s="139"/>
    </row>
    <row r="189" spans="1:15" ht="26.4" hidden="1" customHeight="1" outlineLevel="1">
      <c r="A189" s="141">
        <f>SUBTOTAL(3,$G$7:G189)</f>
        <v>105</v>
      </c>
      <c r="B189" s="139" t="s">
        <v>410</v>
      </c>
      <c r="C189" s="134"/>
      <c r="D189" s="134" t="s">
        <v>218</v>
      </c>
      <c r="E189" s="317"/>
      <c r="F189" s="330" t="s">
        <v>2204</v>
      </c>
      <c r="G189" s="135" t="s">
        <v>219</v>
      </c>
      <c r="H189" s="136">
        <v>1</v>
      </c>
      <c r="I189" s="136"/>
      <c r="J189" s="136"/>
      <c r="K189" s="137"/>
      <c r="L189" s="137"/>
      <c r="M189" s="137"/>
      <c r="N189" s="137"/>
      <c r="O189" s="139"/>
    </row>
    <row r="190" spans="1:15" ht="26.4" hidden="1" customHeight="1" outlineLevel="1">
      <c r="A190" s="141">
        <f>SUBTOTAL(3,$G$7:G190)</f>
        <v>105</v>
      </c>
      <c r="B190" s="139" t="s">
        <v>411</v>
      </c>
      <c r="C190" s="134"/>
      <c r="D190" s="134" t="s">
        <v>218</v>
      </c>
      <c r="E190" s="317"/>
      <c r="F190" s="330" t="s">
        <v>2204</v>
      </c>
      <c r="G190" s="135" t="s">
        <v>219</v>
      </c>
      <c r="H190" s="136">
        <v>1</v>
      </c>
      <c r="I190" s="136"/>
      <c r="J190" s="136"/>
      <c r="K190" s="137"/>
      <c r="L190" s="137"/>
      <c r="M190" s="137"/>
      <c r="N190" s="137"/>
      <c r="O190" s="139"/>
    </row>
    <row r="191" spans="1:15" ht="26.4" hidden="1" customHeight="1" outlineLevel="1">
      <c r="A191" s="141">
        <f>SUBTOTAL(3,$G$7:G191)</f>
        <v>105</v>
      </c>
      <c r="B191" s="139" t="s">
        <v>412</v>
      </c>
      <c r="C191" s="134"/>
      <c r="D191" s="134" t="s">
        <v>218</v>
      </c>
      <c r="E191" s="317"/>
      <c r="F191" s="330" t="s">
        <v>2204</v>
      </c>
      <c r="G191" s="135" t="s">
        <v>219</v>
      </c>
      <c r="H191" s="136">
        <v>1</v>
      </c>
      <c r="I191" s="136"/>
      <c r="J191" s="136"/>
      <c r="K191" s="137"/>
      <c r="L191" s="137"/>
      <c r="M191" s="137"/>
      <c r="N191" s="137"/>
      <c r="O191" s="139"/>
    </row>
    <row r="192" spans="1:15" ht="26.4" hidden="1" customHeight="1" outlineLevel="1">
      <c r="A192" s="141">
        <f>SUBTOTAL(3,$G$7:G192)</f>
        <v>105</v>
      </c>
      <c r="B192" s="139" t="s">
        <v>413</v>
      </c>
      <c r="C192" s="134"/>
      <c r="D192" s="134" t="s">
        <v>218</v>
      </c>
      <c r="E192" s="317"/>
      <c r="F192" s="330" t="s">
        <v>2204</v>
      </c>
      <c r="G192" s="135" t="s">
        <v>219</v>
      </c>
      <c r="H192" s="136">
        <v>1</v>
      </c>
      <c r="I192" s="136"/>
      <c r="J192" s="136"/>
      <c r="K192" s="137"/>
      <c r="L192" s="137"/>
      <c r="M192" s="137"/>
      <c r="N192" s="137"/>
      <c r="O192" s="139"/>
    </row>
    <row r="193" spans="1:15" ht="26.4" hidden="1" customHeight="1" outlineLevel="1">
      <c r="A193" s="141">
        <f>SUBTOTAL(3,$G$7:G193)</f>
        <v>105</v>
      </c>
      <c r="B193" s="139" t="s">
        <v>414</v>
      </c>
      <c r="C193" s="134"/>
      <c r="D193" s="134" t="s">
        <v>218</v>
      </c>
      <c r="E193" s="317"/>
      <c r="F193" s="330" t="s">
        <v>2204</v>
      </c>
      <c r="G193" s="135" t="s">
        <v>219</v>
      </c>
      <c r="H193" s="136">
        <v>1</v>
      </c>
      <c r="I193" s="136"/>
      <c r="J193" s="136"/>
      <c r="K193" s="137"/>
      <c r="L193" s="137"/>
      <c r="M193" s="137"/>
      <c r="N193" s="137"/>
      <c r="O193" s="139"/>
    </row>
    <row r="194" spans="1:15" ht="26.4" hidden="1" customHeight="1" outlineLevel="1">
      <c r="A194" s="141">
        <f>SUBTOTAL(3,$G$7:G194)</f>
        <v>105</v>
      </c>
      <c r="B194" s="139" t="s">
        <v>415</v>
      </c>
      <c r="C194" s="134"/>
      <c r="D194" s="134" t="s">
        <v>218</v>
      </c>
      <c r="E194" s="317"/>
      <c r="F194" s="330" t="s">
        <v>2204</v>
      </c>
      <c r="G194" s="135" t="s">
        <v>219</v>
      </c>
      <c r="H194" s="136">
        <v>1</v>
      </c>
      <c r="I194" s="136"/>
      <c r="J194" s="136"/>
      <c r="K194" s="137"/>
      <c r="L194" s="137"/>
      <c r="M194" s="137"/>
      <c r="N194" s="137"/>
      <c r="O194" s="139"/>
    </row>
    <row r="195" spans="1:15" ht="26.4" hidden="1" customHeight="1" outlineLevel="1">
      <c r="A195" s="141">
        <f>SUBTOTAL(3,$G$7:G195)</f>
        <v>105</v>
      </c>
      <c r="B195" s="139" t="s">
        <v>416</v>
      </c>
      <c r="C195" s="134"/>
      <c r="D195" s="134" t="s">
        <v>218</v>
      </c>
      <c r="E195" s="317"/>
      <c r="F195" s="330" t="s">
        <v>2204</v>
      </c>
      <c r="G195" s="135" t="s">
        <v>219</v>
      </c>
      <c r="H195" s="136">
        <v>1</v>
      </c>
      <c r="I195" s="136"/>
      <c r="J195" s="136"/>
      <c r="K195" s="137"/>
      <c r="L195" s="137"/>
      <c r="M195" s="137"/>
      <c r="N195" s="137"/>
      <c r="O195" s="139"/>
    </row>
    <row r="196" spans="1:15" ht="26.4" hidden="1" customHeight="1" outlineLevel="1">
      <c r="A196" s="141">
        <f>SUBTOTAL(3,$G$7:G196)</f>
        <v>105</v>
      </c>
      <c r="B196" s="139" t="s">
        <v>417</v>
      </c>
      <c r="C196" s="134"/>
      <c r="D196" s="134" t="s">
        <v>218</v>
      </c>
      <c r="E196" s="317"/>
      <c r="F196" s="330" t="s">
        <v>2204</v>
      </c>
      <c r="G196" s="135" t="s">
        <v>219</v>
      </c>
      <c r="H196" s="136">
        <v>1</v>
      </c>
      <c r="I196" s="136"/>
      <c r="J196" s="136"/>
      <c r="K196" s="137"/>
      <c r="L196" s="137"/>
      <c r="M196" s="137"/>
      <c r="N196" s="137"/>
      <c r="O196" s="139"/>
    </row>
    <row r="197" spans="1:15" ht="26.4" hidden="1" customHeight="1" outlineLevel="1">
      <c r="A197" s="141">
        <f>SUBTOTAL(3,$G$7:G197)</f>
        <v>105</v>
      </c>
      <c r="B197" s="139" t="s">
        <v>418</v>
      </c>
      <c r="C197" s="134"/>
      <c r="D197" s="134" t="s">
        <v>218</v>
      </c>
      <c r="E197" s="317"/>
      <c r="F197" s="330" t="s">
        <v>2204</v>
      </c>
      <c r="G197" s="135" t="s">
        <v>219</v>
      </c>
      <c r="H197" s="136">
        <v>1</v>
      </c>
      <c r="I197" s="136"/>
      <c r="J197" s="136"/>
      <c r="K197" s="137"/>
      <c r="L197" s="137"/>
      <c r="M197" s="137"/>
      <c r="N197" s="137"/>
      <c r="O197" s="139"/>
    </row>
    <row r="198" spans="1:15" ht="26.4" hidden="1" customHeight="1" outlineLevel="1">
      <c r="A198" s="141">
        <f>SUBTOTAL(3,$G$7:G198)</f>
        <v>105</v>
      </c>
      <c r="B198" s="139" t="s">
        <v>419</v>
      </c>
      <c r="C198" s="134"/>
      <c r="D198" s="134" t="s">
        <v>218</v>
      </c>
      <c r="E198" s="317"/>
      <c r="F198" s="330" t="s">
        <v>2204</v>
      </c>
      <c r="G198" s="135" t="s">
        <v>219</v>
      </c>
      <c r="H198" s="136">
        <v>1</v>
      </c>
      <c r="I198" s="136"/>
      <c r="J198" s="136"/>
      <c r="K198" s="137"/>
      <c r="L198" s="137"/>
      <c r="M198" s="137"/>
      <c r="N198" s="137"/>
      <c r="O198" s="139"/>
    </row>
    <row r="199" spans="1:15" ht="26.4" hidden="1" customHeight="1" outlineLevel="1">
      <c r="A199" s="141">
        <f>SUBTOTAL(3,$G$7:G199)</f>
        <v>105</v>
      </c>
      <c r="B199" s="139" t="s">
        <v>420</v>
      </c>
      <c r="C199" s="134"/>
      <c r="D199" s="134" t="s">
        <v>218</v>
      </c>
      <c r="E199" s="317"/>
      <c r="F199" s="330" t="s">
        <v>2204</v>
      </c>
      <c r="G199" s="135" t="s">
        <v>219</v>
      </c>
      <c r="H199" s="136">
        <v>1</v>
      </c>
      <c r="I199" s="136"/>
      <c r="J199" s="136"/>
      <c r="K199" s="137"/>
      <c r="L199" s="137"/>
      <c r="M199" s="137"/>
      <c r="N199" s="137"/>
      <c r="O199" s="139"/>
    </row>
    <row r="200" spans="1:15" ht="26.4" hidden="1" customHeight="1" outlineLevel="1">
      <c r="A200" s="141">
        <f>SUBTOTAL(3,$G$7:G200)</f>
        <v>105</v>
      </c>
      <c r="B200" s="139" t="s">
        <v>421</v>
      </c>
      <c r="C200" s="134"/>
      <c r="D200" s="134" t="s">
        <v>218</v>
      </c>
      <c r="E200" s="317"/>
      <c r="F200" s="330" t="s">
        <v>2204</v>
      </c>
      <c r="G200" s="135" t="s">
        <v>219</v>
      </c>
      <c r="H200" s="136">
        <v>1</v>
      </c>
      <c r="I200" s="136"/>
      <c r="J200" s="136"/>
      <c r="K200" s="137"/>
      <c r="L200" s="137"/>
      <c r="M200" s="137"/>
      <c r="N200" s="137"/>
      <c r="O200" s="139"/>
    </row>
    <row r="201" spans="1:15" ht="26.4" hidden="1" customHeight="1" outlineLevel="1">
      <c r="A201" s="141">
        <f>SUBTOTAL(3,$G$7:G201)</f>
        <v>105</v>
      </c>
      <c r="B201" s="139" t="s">
        <v>422</v>
      </c>
      <c r="C201" s="134"/>
      <c r="D201" s="134" t="s">
        <v>218</v>
      </c>
      <c r="E201" s="317"/>
      <c r="F201" s="330" t="s">
        <v>2204</v>
      </c>
      <c r="G201" s="135" t="s">
        <v>219</v>
      </c>
      <c r="H201" s="136">
        <v>1</v>
      </c>
      <c r="I201" s="136"/>
      <c r="J201" s="136"/>
      <c r="K201" s="137"/>
      <c r="L201" s="137"/>
      <c r="M201" s="137"/>
      <c r="N201" s="137"/>
      <c r="O201" s="139"/>
    </row>
    <row r="202" spans="1:15" ht="26.4" hidden="1" customHeight="1" outlineLevel="1">
      <c r="A202" s="141">
        <f>SUBTOTAL(3,$G$7:G202)</f>
        <v>105</v>
      </c>
      <c r="B202" s="139" t="s">
        <v>423</v>
      </c>
      <c r="C202" s="134"/>
      <c r="D202" s="134" t="s">
        <v>218</v>
      </c>
      <c r="E202" s="317"/>
      <c r="F202" s="330" t="s">
        <v>2204</v>
      </c>
      <c r="G202" s="135" t="s">
        <v>219</v>
      </c>
      <c r="H202" s="136">
        <v>1</v>
      </c>
      <c r="I202" s="136"/>
      <c r="J202" s="136"/>
      <c r="K202" s="137"/>
      <c r="L202" s="137"/>
      <c r="M202" s="137"/>
      <c r="N202" s="137"/>
      <c r="O202" s="139"/>
    </row>
    <row r="203" spans="1:15" ht="26.4" hidden="1" customHeight="1" outlineLevel="1">
      <c r="A203" s="141">
        <f>SUBTOTAL(3,$G$7:G203)</f>
        <v>105</v>
      </c>
      <c r="B203" s="139" t="s">
        <v>424</v>
      </c>
      <c r="C203" s="134"/>
      <c r="D203" s="134" t="s">
        <v>218</v>
      </c>
      <c r="E203" s="317"/>
      <c r="F203" s="330" t="s">
        <v>2204</v>
      </c>
      <c r="G203" s="135" t="s">
        <v>219</v>
      </c>
      <c r="H203" s="136">
        <v>1</v>
      </c>
      <c r="I203" s="136"/>
      <c r="J203" s="136"/>
      <c r="K203" s="137"/>
      <c r="L203" s="137"/>
      <c r="M203" s="137"/>
      <c r="N203" s="137"/>
      <c r="O203" s="139"/>
    </row>
    <row r="204" spans="1:15" ht="26.4" hidden="1" customHeight="1" outlineLevel="1">
      <c r="A204" s="141">
        <f>SUBTOTAL(3,$G$7:G204)</f>
        <v>105</v>
      </c>
      <c r="B204" s="139" t="s">
        <v>425</v>
      </c>
      <c r="C204" s="134"/>
      <c r="D204" s="134" t="s">
        <v>218</v>
      </c>
      <c r="E204" s="317"/>
      <c r="F204" s="330" t="s">
        <v>2204</v>
      </c>
      <c r="G204" s="135" t="s">
        <v>219</v>
      </c>
      <c r="H204" s="136">
        <v>1</v>
      </c>
      <c r="I204" s="136"/>
      <c r="J204" s="136"/>
      <c r="K204" s="137"/>
      <c r="L204" s="137"/>
      <c r="M204" s="137"/>
      <c r="N204" s="137"/>
      <c r="O204" s="139"/>
    </row>
    <row r="205" spans="1:15" ht="26.4" hidden="1" customHeight="1" outlineLevel="1">
      <c r="A205" s="141">
        <f>SUBTOTAL(3,$G$7:G205)</f>
        <v>105</v>
      </c>
      <c r="B205" s="139" t="s">
        <v>426</v>
      </c>
      <c r="C205" s="134"/>
      <c r="D205" s="134" t="s">
        <v>218</v>
      </c>
      <c r="E205" s="317"/>
      <c r="F205" s="330" t="s">
        <v>2204</v>
      </c>
      <c r="G205" s="135" t="s">
        <v>219</v>
      </c>
      <c r="H205" s="136">
        <v>1</v>
      </c>
      <c r="I205" s="136"/>
      <c r="J205" s="136"/>
      <c r="K205" s="137"/>
      <c r="L205" s="137"/>
      <c r="M205" s="137"/>
      <c r="N205" s="137"/>
      <c r="O205" s="139"/>
    </row>
    <row r="206" spans="1:15" ht="26.4" hidden="1" customHeight="1" outlineLevel="1">
      <c r="A206" s="141">
        <f>SUBTOTAL(3,$G$7:G206)</f>
        <v>105</v>
      </c>
      <c r="B206" s="139" t="s">
        <v>427</v>
      </c>
      <c r="C206" s="134"/>
      <c r="D206" s="134" t="s">
        <v>218</v>
      </c>
      <c r="E206" s="317"/>
      <c r="F206" s="330" t="s">
        <v>2204</v>
      </c>
      <c r="G206" s="135" t="s">
        <v>219</v>
      </c>
      <c r="H206" s="136">
        <v>1</v>
      </c>
      <c r="I206" s="136"/>
      <c r="J206" s="136"/>
      <c r="K206" s="137"/>
      <c r="L206" s="137"/>
      <c r="M206" s="137"/>
      <c r="N206" s="137"/>
      <c r="O206" s="139"/>
    </row>
    <row r="207" spans="1:15" ht="26.4" hidden="1" customHeight="1" outlineLevel="1">
      <c r="A207" s="141">
        <f>SUBTOTAL(3,$G$7:G207)</f>
        <v>105</v>
      </c>
      <c r="B207" s="139" t="s">
        <v>428</v>
      </c>
      <c r="C207" s="134"/>
      <c r="D207" s="134" t="s">
        <v>218</v>
      </c>
      <c r="E207" s="317"/>
      <c r="F207" s="330" t="s">
        <v>2204</v>
      </c>
      <c r="G207" s="135" t="s">
        <v>219</v>
      </c>
      <c r="H207" s="136">
        <v>1</v>
      </c>
      <c r="I207" s="136"/>
      <c r="J207" s="136"/>
      <c r="K207" s="137"/>
      <c r="L207" s="137"/>
      <c r="M207" s="137"/>
      <c r="N207" s="137"/>
      <c r="O207" s="139"/>
    </row>
    <row r="208" spans="1:15" ht="26.4" hidden="1" customHeight="1" outlineLevel="1">
      <c r="A208" s="141">
        <f>SUBTOTAL(3,$G$7:G208)</f>
        <v>105</v>
      </c>
      <c r="B208" s="139" t="s">
        <v>429</v>
      </c>
      <c r="C208" s="134"/>
      <c r="D208" s="134" t="s">
        <v>218</v>
      </c>
      <c r="E208" s="317"/>
      <c r="F208" s="330" t="s">
        <v>2204</v>
      </c>
      <c r="G208" s="135" t="s">
        <v>219</v>
      </c>
      <c r="H208" s="136">
        <v>1</v>
      </c>
      <c r="I208" s="136"/>
      <c r="J208" s="136"/>
      <c r="K208" s="137"/>
      <c r="L208" s="137"/>
      <c r="M208" s="137"/>
      <c r="N208" s="137"/>
      <c r="O208" s="139"/>
    </row>
    <row r="209" spans="1:15" ht="26.4" hidden="1" customHeight="1" outlineLevel="1">
      <c r="A209" s="141">
        <f>SUBTOTAL(3,$G$7:G209)</f>
        <v>105</v>
      </c>
      <c r="B209" s="139" t="s">
        <v>430</v>
      </c>
      <c r="C209" s="134"/>
      <c r="D209" s="134" t="s">
        <v>218</v>
      </c>
      <c r="E209" s="317"/>
      <c r="F209" s="330" t="s">
        <v>2204</v>
      </c>
      <c r="G209" s="135" t="s">
        <v>219</v>
      </c>
      <c r="H209" s="136">
        <v>1</v>
      </c>
      <c r="I209" s="136"/>
      <c r="J209" s="136"/>
      <c r="K209" s="137"/>
      <c r="L209" s="137"/>
      <c r="M209" s="137"/>
      <c r="N209" s="137"/>
      <c r="O209" s="139"/>
    </row>
    <row r="210" spans="1:15" ht="26.4" hidden="1" customHeight="1" outlineLevel="1">
      <c r="A210" s="141">
        <f>SUBTOTAL(3,$G$7:G210)</f>
        <v>105</v>
      </c>
      <c r="B210" s="139" t="s">
        <v>431</v>
      </c>
      <c r="C210" s="134"/>
      <c r="D210" s="134" t="s">
        <v>218</v>
      </c>
      <c r="E210" s="317"/>
      <c r="F210" s="330" t="s">
        <v>2204</v>
      </c>
      <c r="G210" s="135" t="s">
        <v>219</v>
      </c>
      <c r="H210" s="136">
        <v>1</v>
      </c>
      <c r="I210" s="136"/>
      <c r="J210" s="136"/>
      <c r="K210" s="137"/>
      <c r="L210" s="137"/>
      <c r="M210" s="137"/>
      <c r="N210" s="137"/>
      <c r="O210" s="139"/>
    </row>
    <row r="211" spans="1:15" ht="26.4" hidden="1" customHeight="1" outlineLevel="1">
      <c r="A211" s="141">
        <f>SUBTOTAL(3,$G$7:G211)</f>
        <v>105</v>
      </c>
      <c r="B211" s="139" t="s">
        <v>432</v>
      </c>
      <c r="C211" s="134"/>
      <c r="D211" s="134" t="s">
        <v>218</v>
      </c>
      <c r="E211" s="317"/>
      <c r="F211" s="330" t="s">
        <v>2204</v>
      </c>
      <c r="G211" s="135" t="s">
        <v>219</v>
      </c>
      <c r="H211" s="136">
        <v>1</v>
      </c>
      <c r="I211" s="136"/>
      <c r="J211" s="136"/>
      <c r="K211" s="137"/>
      <c r="L211" s="137"/>
      <c r="M211" s="137"/>
      <c r="N211" s="137"/>
      <c r="O211" s="139"/>
    </row>
    <row r="212" spans="1:15" ht="26.4" hidden="1" customHeight="1" outlineLevel="1">
      <c r="A212" s="141">
        <f>SUBTOTAL(3,$G$7:G212)</f>
        <v>105</v>
      </c>
      <c r="B212" s="139" t="s">
        <v>433</v>
      </c>
      <c r="C212" s="134"/>
      <c r="D212" s="134" t="s">
        <v>218</v>
      </c>
      <c r="E212" s="317"/>
      <c r="F212" s="330" t="s">
        <v>2204</v>
      </c>
      <c r="G212" s="135" t="s">
        <v>219</v>
      </c>
      <c r="H212" s="136">
        <v>1</v>
      </c>
      <c r="I212" s="136"/>
      <c r="J212" s="136"/>
      <c r="K212" s="137"/>
      <c r="L212" s="137"/>
      <c r="M212" s="137"/>
      <c r="N212" s="137"/>
      <c r="O212" s="139"/>
    </row>
    <row r="213" spans="1:15" ht="26.4" hidden="1" customHeight="1" outlineLevel="1">
      <c r="A213" s="141">
        <f>SUBTOTAL(3,$G$7:G213)</f>
        <v>105</v>
      </c>
      <c r="B213" s="139" t="s">
        <v>434</v>
      </c>
      <c r="C213" s="134"/>
      <c r="D213" s="134" t="s">
        <v>218</v>
      </c>
      <c r="E213" s="317"/>
      <c r="F213" s="330" t="s">
        <v>2204</v>
      </c>
      <c r="G213" s="135" t="s">
        <v>219</v>
      </c>
      <c r="H213" s="136">
        <v>1</v>
      </c>
      <c r="I213" s="136"/>
      <c r="J213" s="136"/>
      <c r="K213" s="137"/>
      <c r="L213" s="137"/>
      <c r="M213" s="137"/>
      <c r="N213" s="137"/>
      <c r="O213" s="139"/>
    </row>
    <row r="214" spans="1:15" ht="26.4" hidden="1" customHeight="1" outlineLevel="1">
      <c r="A214" s="141">
        <f>SUBTOTAL(3,$G$7:G214)</f>
        <v>105</v>
      </c>
      <c r="B214" s="139" t="s">
        <v>435</v>
      </c>
      <c r="C214" s="134"/>
      <c r="D214" s="134" t="s">
        <v>218</v>
      </c>
      <c r="E214" s="317"/>
      <c r="F214" s="330" t="s">
        <v>2204</v>
      </c>
      <c r="G214" s="135" t="s">
        <v>219</v>
      </c>
      <c r="H214" s="136">
        <v>1</v>
      </c>
      <c r="I214" s="136"/>
      <c r="J214" s="136"/>
      <c r="K214" s="137"/>
      <c r="L214" s="137"/>
      <c r="M214" s="137"/>
      <c r="N214" s="137"/>
      <c r="O214" s="139"/>
    </row>
    <row r="215" spans="1:15" ht="26.4" hidden="1" customHeight="1" outlineLevel="1">
      <c r="A215" s="141">
        <f>SUBTOTAL(3,$G$7:G215)</f>
        <v>105</v>
      </c>
      <c r="B215" s="139" t="s">
        <v>436</v>
      </c>
      <c r="C215" s="134"/>
      <c r="D215" s="134" t="s">
        <v>218</v>
      </c>
      <c r="E215" s="317"/>
      <c r="F215" s="330" t="s">
        <v>2204</v>
      </c>
      <c r="G215" s="135" t="s">
        <v>219</v>
      </c>
      <c r="H215" s="136">
        <v>1</v>
      </c>
      <c r="I215" s="136"/>
      <c r="J215" s="136"/>
      <c r="K215" s="137"/>
      <c r="L215" s="137"/>
      <c r="M215" s="137"/>
      <c r="N215" s="137"/>
      <c r="O215" s="139"/>
    </row>
    <row r="216" spans="1:15" ht="26.4" hidden="1" customHeight="1" outlineLevel="1">
      <c r="A216" s="141">
        <f>SUBTOTAL(3,$G$7:G216)</f>
        <v>105</v>
      </c>
      <c r="B216" s="139" t="s">
        <v>437</v>
      </c>
      <c r="C216" s="134"/>
      <c r="D216" s="134" t="s">
        <v>218</v>
      </c>
      <c r="E216" s="317"/>
      <c r="F216" s="330" t="s">
        <v>2204</v>
      </c>
      <c r="G216" s="135" t="s">
        <v>219</v>
      </c>
      <c r="H216" s="136">
        <v>1</v>
      </c>
      <c r="I216" s="136"/>
      <c r="J216" s="136"/>
      <c r="K216" s="137"/>
      <c r="L216" s="137"/>
      <c r="M216" s="137"/>
      <c r="N216" s="137"/>
      <c r="O216" s="139"/>
    </row>
    <row r="217" spans="1:15" ht="26.4" customHeight="1" outlineLevel="1">
      <c r="A217" s="141">
        <f>SUBTOTAL(3,$G$7:G217)</f>
        <v>106</v>
      </c>
      <c r="B217" s="139" t="s">
        <v>234</v>
      </c>
      <c r="C217" s="134"/>
      <c r="D217" s="134" t="s">
        <v>235</v>
      </c>
      <c r="E217" s="317" t="s">
        <v>236</v>
      </c>
      <c r="F217" s="330"/>
      <c r="G217" s="135" t="s">
        <v>237</v>
      </c>
      <c r="H217" s="136">
        <v>8</v>
      </c>
      <c r="I217" s="136"/>
      <c r="J217" s="136"/>
      <c r="K217" s="137"/>
      <c r="L217" s="137"/>
      <c r="M217" s="137"/>
      <c r="N217" s="137"/>
      <c r="O217" s="139"/>
    </row>
    <row r="218" spans="1:15" outlineLevel="1">
      <c r="A218" s="141">
        <f>SUBTOTAL(3,$G$7:G218)</f>
        <v>107</v>
      </c>
      <c r="B218" s="139" t="s">
        <v>438</v>
      </c>
      <c r="C218" s="317" t="s">
        <v>239</v>
      </c>
      <c r="D218" s="134" t="s">
        <v>326</v>
      </c>
      <c r="E218" s="317" t="s">
        <v>241</v>
      </c>
      <c r="F218" s="330"/>
      <c r="G218" s="135" t="s">
        <v>219</v>
      </c>
      <c r="H218" s="136">
        <v>4</v>
      </c>
      <c r="I218" s="136"/>
      <c r="J218" s="136"/>
      <c r="K218" s="137"/>
      <c r="L218" s="137"/>
      <c r="M218" s="137"/>
      <c r="N218" s="137"/>
      <c r="O218" s="139"/>
    </row>
    <row r="219" spans="1:15" outlineLevel="1">
      <c r="A219" s="141">
        <f>SUBTOTAL(3,$G$7:G219)</f>
        <v>108</v>
      </c>
      <c r="B219" s="139" t="s">
        <v>439</v>
      </c>
      <c r="C219" s="317" t="s">
        <v>239</v>
      </c>
      <c r="D219" s="134" t="s">
        <v>326</v>
      </c>
      <c r="E219" s="317" t="s">
        <v>241</v>
      </c>
      <c r="F219" s="330"/>
      <c r="G219" s="135" t="s">
        <v>219</v>
      </c>
      <c r="H219" s="136">
        <v>4</v>
      </c>
      <c r="I219" s="136"/>
      <c r="J219" s="136"/>
      <c r="K219" s="137"/>
      <c r="L219" s="137"/>
      <c r="M219" s="137"/>
      <c r="N219" s="137"/>
      <c r="O219" s="139"/>
    </row>
    <row r="220" spans="1:15" outlineLevel="1">
      <c r="A220" s="141">
        <f>SUBTOTAL(3,$G$7:G220)</f>
        <v>109</v>
      </c>
      <c r="B220" s="139" t="s">
        <v>440</v>
      </c>
      <c r="C220" s="317" t="s">
        <v>239</v>
      </c>
      <c r="D220" s="134" t="s">
        <v>326</v>
      </c>
      <c r="E220" s="317" t="s">
        <v>241</v>
      </c>
      <c r="F220" s="330"/>
      <c r="G220" s="135" t="s">
        <v>219</v>
      </c>
      <c r="H220" s="136">
        <v>1</v>
      </c>
      <c r="I220" s="136"/>
      <c r="J220" s="136"/>
      <c r="K220" s="137"/>
      <c r="L220" s="137"/>
      <c r="M220" s="137"/>
      <c r="N220" s="137"/>
      <c r="O220" s="139"/>
    </row>
    <row r="221" spans="1:15" outlineLevel="1">
      <c r="A221" s="141">
        <f>SUBTOTAL(3,$G$7:G221)</f>
        <v>110</v>
      </c>
      <c r="B221" s="139" t="s">
        <v>441</v>
      </c>
      <c r="C221" s="317" t="s">
        <v>239</v>
      </c>
      <c r="D221" s="134" t="s">
        <v>326</v>
      </c>
      <c r="E221" s="317" t="s">
        <v>241</v>
      </c>
      <c r="F221" s="330"/>
      <c r="G221" s="135" t="s">
        <v>219</v>
      </c>
      <c r="H221" s="136">
        <v>6</v>
      </c>
      <c r="I221" s="136"/>
      <c r="J221" s="136"/>
      <c r="K221" s="137"/>
      <c r="L221" s="137"/>
      <c r="M221" s="137"/>
      <c r="N221" s="137"/>
      <c r="O221" s="139"/>
    </row>
    <row r="222" spans="1:15" ht="26.4" customHeight="1" outlineLevel="1">
      <c r="A222" s="141">
        <f>SUBTOTAL(3,$G$7:G222)</f>
        <v>111</v>
      </c>
      <c r="B222" s="139" t="s">
        <v>442</v>
      </c>
      <c r="C222" s="317" t="s">
        <v>245</v>
      </c>
      <c r="D222" s="134" t="s">
        <v>246</v>
      </c>
      <c r="E222" s="317" t="s">
        <v>241</v>
      </c>
      <c r="F222" s="330"/>
      <c r="G222" s="135" t="s">
        <v>219</v>
      </c>
      <c r="H222" s="136">
        <v>4</v>
      </c>
      <c r="I222" s="136"/>
      <c r="J222" s="136"/>
      <c r="K222" s="137"/>
      <c r="L222" s="137"/>
      <c r="M222" s="137"/>
      <c r="N222" s="137"/>
      <c r="O222" s="139"/>
    </row>
    <row r="223" spans="1:15" ht="26.4" customHeight="1" outlineLevel="1">
      <c r="A223" s="141">
        <f>SUBTOTAL(3,$G$7:G223)</f>
        <v>112</v>
      </c>
      <c r="B223" s="139" t="s">
        <v>443</v>
      </c>
      <c r="C223" s="317" t="s">
        <v>245</v>
      </c>
      <c r="D223" s="134" t="s">
        <v>246</v>
      </c>
      <c r="E223" s="317" t="s">
        <v>241</v>
      </c>
      <c r="F223" s="330"/>
      <c r="G223" s="135" t="s">
        <v>219</v>
      </c>
      <c r="H223" s="136">
        <v>4</v>
      </c>
      <c r="I223" s="136"/>
      <c r="J223" s="136"/>
      <c r="K223" s="137"/>
      <c r="L223" s="137"/>
      <c r="M223" s="137"/>
      <c r="N223" s="137"/>
      <c r="O223" s="139"/>
    </row>
    <row r="224" spans="1:15" ht="26.4" customHeight="1" outlineLevel="1">
      <c r="A224" s="141">
        <f>SUBTOTAL(3,$G$7:G224)</f>
        <v>113</v>
      </c>
      <c r="B224" s="139" t="s">
        <v>444</v>
      </c>
      <c r="C224" s="317" t="s">
        <v>245</v>
      </c>
      <c r="D224" s="134" t="s">
        <v>246</v>
      </c>
      <c r="E224" s="317" t="s">
        <v>241</v>
      </c>
      <c r="F224" s="330"/>
      <c r="G224" s="135" t="s">
        <v>219</v>
      </c>
      <c r="H224" s="136">
        <v>3</v>
      </c>
      <c r="I224" s="136"/>
      <c r="J224" s="136"/>
      <c r="K224" s="137"/>
      <c r="L224" s="137"/>
      <c r="M224" s="137"/>
      <c r="N224" s="137"/>
      <c r="O224" s="139"/>
    </row>
    <row r="225" spans="1:15" ht="26.4" customHeight="1" outlineLevel="1">
      <c r="A225" s="141">
        <f>SUBTOTAL(3,$G$7:G225)</f>
        <v>114</v>
      </c>
      <c r="B225" s="139" t="s">
        <v>445</v>
      </c>
      <c r="C225" s="317" t="s">
        <v>245</v>
      </c>
      <c r="D225" s="134" t="s">
        <v>246</v>
      </c>
      <c r="E225" s="317" t="s">
        <v>241</v>
      </c>
      <c r="F225" s="330"/>
      <c r="G225" s="135" t="s">
        <v>219</v>
      </c>
      <c r="H225" s="136">
        <v>7</v>
      </c>
      <c r="I225" s="136"/>
      <c r="J225" s="136"/>
      <c r="K225" s="137"/>
      <c r="L225" s="137"/>
      <c r="M225" s="137"/>
      <c r="N225" s="137"/>
      <c r="O225" s="139"/>
    </row>
    <row r="226" spans="1:15" ht="26.4" customHeight="1" outlineLevel="1">
      <c r="A226" s="141">
        <f>SUBTOTAL(3,$G$7:G226)</f>
        <v>115</v>
      </c>
      <c r="B226" s="139" t="s">
        <v>353</v>
      </c>
      <c r="C226" s="317" t="s">
        <v>245</v>
      </c>
      <c r="D226" s="134" t="s">
        <v>246</v>
      </c>
      <c r="E226" s="317" t="s">
        <v>241</v>
      </c>
      <c r="F226" s="330"/>
      <c r="G226" s="135" t="s">
        <v>219</v>
      </c>
      <c r="H226" s="136">
        <v>2</v>
      </c>
      <c r="I226" s="136"/>
      <c r="J226" s="136"/>
      <c r="K226" s="137"/>
      <c r="L226" s="137"/>
      <c r="M226" s="137"/>
      <c r="N226" s="137"/>
      <c r="O226" s="139"/>
    </row>
    <row r="227" spans="1:15" ht="26.4" customHeight="1" outlineLevel="1">
      <c r="A227" s="141">
        <f>SUBTOTAL(3,$G$7:G227)</f>
        <v>116</v>
      </c>
      <c r="B227" s="139" t="s">
        <v>446</v>
      </c>
      <c r="C227" s="317" t="s">
        <v>245</v>
      </c>
      <c r="D227" s="134" t="s">
        <v>246</v>
      </c>
      <c r="E227" s="317" t="s">
        <v>241</v>
      </c>
      <c r="F227" s="330"/>
      <c r="G227" s="135" t="s">
        <v>219</v>
      </c>
      <c r="H227" s="136">
        <v>2</v>
      </c>
      <c r="I227" s="136"/>
      <c r="J227" s="136"/>
      <c r="K227" s="137"/>
      <c r="L227" s="137"/>
      <c r="M227" s="137"/>
      <c r="N227" s="137"/>
      <c r="O227" s="139"/>
    </row>
    <row r="228" spans="1:15" ht="26.4" customHeight="1" outlineLevel="1">
      <c r="A228" s="141">
        <f>SUBTOTAL(3,$G$7:G228)</f>
        <v>117</v>
      </c>
      <c r="B228" s="139" t="s">
        <v>447</v>
      </c>
      <c r="C228" s="317" t="s">
        <v>245</v>
      </c>
      <c r="D228" s="134" t="s">
        <v>246</v>
      </c>
      <c r="E228" s="317" t="s">
        <v>241</v>
      </c>
      <c r="F228" s="330"/>
      <c r="G228" s="135" t="s">
        <v>219</v>
      </c>
      <c r="H228" s="136">
        <v>1</v>
      </c>
      <c r="I228" s="136"/>
      <c r="J228" s="136"/>
      <c r="K228" s="137"/>
      <c r="L228" s="137"/>
      <c r="M228" s="137"/>
      <c r="N228" s="137"/>
      <c r="O228" s="139"/>
    </row>
    <row r="229" spans="1:15" ht="26.4" customHeight="1" outlineLevel="1">
      <c r="A229" s="141">
        <f>SUBTOTAL(3,$G$7:G229)</f>
        <v>118</v>
      </c>
      <c r="B229" s="139" t="s">
        <v>350</v>
      </c>
      <c r="C229" s="317" t="s">
        <v>245</v>
      </c>
      <c r="D229" s="134" t="s">
        <v>246</v>
      </c>
      <c r="E229" s="317" t="s">
        <v>241</v>
      </c>
      <c r="F229" s="330"/>
      <c r="G229" s="135" t="s">
        <v>219</v>
      </c>
      <c r="H229" s="136">
        <v>4</v>
      </c>
      <c r="I229" s="136"/>
      <c r="J229" s="136"/>
      <c r="K229" s="137"/>
      <c r="L229" s="137"/>
      <c r="M229" s="137"/>
      <c r="N229" s="137"/>
      <c r="O229" s="139"/>
    </row>
    <row r="230" spans="1:15" ht="26.4" customHeight="1" outlineLevel="1">
      <c r="A230" s="141">
        <f>SUBTOTAL(3,$G$7:G230)</f>
        <v>119</v>
      </c>
      <c r="B230" s="139" t="s">
        <v>357</v>
      </c>
      <c r="C230" s="317" t="s">
        <v>245</v>
      </c>
      <c r="D230" s="134" t="s">
        <v>246</v>
      </c>
      <c r="E230" s="317" t="s">
        <v>241</v>
      </c>
      <c r="F230" s="330"/>
      <c r="G230" s="135" t="s">
        <v>219</v>
      </c>
      <c r="H230" s="136">
        <v>2</v>
      </c>
      <c r="I230" s="136"/>
      <c r="J230" s="136"/>
      <c r="K230" s="137"/>
      <c r="L230" s="137"/>
      <c r="M230" s="137"/>
      <c r="N230" s="137"/>
      <c r="O230" s="139"/>
    </row>
    <row r="231" spans="1:15" ht="26.4" customHeight="1" outlineLevel="1">
      <c r="A231" s="141">
        <f>SUBTOTAL(3,$G$7:G231)</f>
        <v>120</v>
      </c>
      <c r="B231" s="139" t="s">
        <v>448</v>
      </c>
      <c r="C231" s="317" t="s">
        <v>245</v>
      </c>
      <c r="D231" s="134" t="s">
        <v>246</v>
      </c>
      <c r="E231" s="317" t="s">
        <v>241</v>
      </c>
      <c r="F231" s="330"/>
      <c r="G231" s="135" t="s">
        <v>219</v>
      </c>
      <c r="H231" s="136">
        <v>1</v>
      </c>
      <c r="I231" s="136"/>
      <c r="J231" s="136"/>
      <c r="K231" s="137"/>
      <c r="L231" s="137"/>
      <c r="M231" s="137"/>
      <c r="N231" s="137"/>
      <c r="O231" s="139"/>
    </row>
    <row r="232" spans="1:15" ht="26.4" customHeight="1" outlineLevel="1">
      <c r="A232" s="141">
        <f>SUBTOTAL(3,$G$7:G232)</f>
        <v>121</v>
      </c>
      <c r="B232" s="139" t="s">
        <v>449</v>
      </c>
      <c r="C232" s="317" t="s">
        <v>245</v>
      </c>
      <c r="D232" s="134" t="s">
        <v>246</v>
      </c>
      <c r="E232" s="317" t="s">
        <v>241</v>
      </c>
      <c r="F232" s="330"/>
      <c r="G232" s="135" t="s">
        <v>219</v>
      </c>
      <c r="H232" s="136">
        <v>1</v>
      </c>
      <c r="I232" s="136"/>
      <c r="J232" s="136"/>
      <c r="K232" s="137"/>
      <c r="L232" s="137"/>
      <c r="M232" s="137"/>
      <c r="N232" s="137"/>
      <c r="O232" s="139"/>
    </row>
    <row r="233" spans="1:15" ht="26.4" customHeight="1" outlineLevel="1">
      <c r="A233" s="141">
        <f>SUBTOTAL(3,$G$7:G233)</f>
        <v>122</v>
      </c>
      <c r="B233" s="139" t="s">
        <v>450</v>
      </c>
      <c r="C233" s="317" t="s">
        <v>245</v>
      </c>
      <c r="D233" s="134" t="s">
        <v>246</v>
      </c>
      <c r="E233" s="317" t="s">
        <v>241</v>
      </c>
      <c r="F233" s="330"/>
      <c r="G233" s="135" t="s">
        <v>219</v>
      </c>
      <c r="H233" s="136">
        <v>11</v>
      </c>
      <c r="I233" s="136"/>
      <c r="J233" s="136"/>
      <c r="K233" s="137"/>
      <c r="L233" s="137"/>
      <c r="M233" s="137"/>
      <c r="N233" s="137"/>
      <c r="O233" s="139"/>
    </row>
    <row r="234" spans="1:15" ht="26.4" customHeight="1" outlineLevel="1">
      <c r="A234" s="141">
        <f>SUBTOTAL(3,$G$7:G234)</f>
        <v>123</v>
      </c>
      <c r="B234" s="139" t="s">
        <v>451</v>
      </c>
      <c r="C234" s="317" t="s">
        <v>245</v>
      </c>
      <c r="D234" s="134" t="s">
        <v>246</v>
      </c>
      <c r="E234" s="317" t="s">
        <v>241</v>
      </c>
      <c r="F234" s="330"/>
      <c r="G234" s="135" t="s">
        <v>219</v>
      </c>
      <c r="H234" s="136">
        <v>9</v>
      </c>
      <c r="I234" s="136"/>
      <c r="J234" s="136"/>
      <c r="K234" s="137"/>
      <c r="L234" s="137"/>
      <c r="M234" s="137"/>
      <c r="N234" s="137"/>
      <c r="O234" s="139"/>
    </row>
    <row r="235" spans="1:15" ht="26.4" customHeight="1" outlineLevel="1">
      <c r="A235" s="141">
        <f>SUBTOTAL(3,$G$7:G235)</f>
        <v>124</v>
      </c>
      <c r="B235" s="139" t="s">
        <v>452</v>
      </c>
      <c r="C235" s="317" t="s">
        <v>245</v>
      </c>
      <c r="D235" s="134" t="s">
        <v>246</v>
      </c>
      <c r="E235" s="317" t="s">
        <v>241</v>
      </c>
      <c r="F235" s="330"/>
      <c r="G235" s="135" t="s">
        <v>219</v>
      </c>
      <c r="H235" s="136">
        <v>3</v>
      </c>
      <c r="I235" s="136"/>
      <c r="J235" s="136"/>
      <c r="K235" s="137"/>
      <c r="L235" s="137"/>
      <c r="M235" s="137"/>
      <c r="N235" s="137"/>
      <c r="O235" s="139"/>
    </row>
    <row r="236" spans="1:15" outlineLevel="1">
      <c r="A236" s="141">
        <f>SUBTOTAL(3,$G$7:G236)</f>
        <v>125</v>
      </c>
      <c r="B236" s="139" t="s">
        <v>453</v>
      </c>
      <c r="C236" s="134"/>
      <c r="D236" s="134" t="s">
        <v>326</v>
      </c>
      <c r="E236" s="134"/>
      <c r="F236" s="329"/>
      <c r="G236" s="135" t="s">
        <v>219</v>
      </c>
      <c r="H236" s="136">
        <v>1</v>
      </c>
      <c r="I236" s="136"/>
      <c r="J236" s="136"/>
      <c r="K236" s="137"/>
      <c r="L236" s="137"/>
      <c r="M236" s="137"/>
      <c r="N236" s="137"/>
      <c r="O236" s="139"/>
    </row>
    <row r="237" spans="1:15" outlineLevel="1">
      <c r="A237" s="141">
        <f>SUBTOTAL(3,$G$7:G237)</f>
        <v>126</v>
      </c>
      <c r="B237" s="139" t="s">
        <v>454</v>
      </c>
      <c r="C237" s="134"/>
      <c r="D237" s="134" t="s">
        <v>326</v>
      </c>
      <c r="E237" s="134"/>
      <c r="F237" s="329"/>
      <c r="G237" s="135" t="s">
        <v>219</v>
      </c>
      <c r="H237" s="136">
        <v>6</v>
      </c>
      <c r="I237" s="136"/>
      <c r="J237" s="136"/>
      <c r="K237" s="137"/>
      <c r="L237" s="137"/>
      <c r="M237" s="137"/>
      <c r="N237" s="137"/>
      <c r="O237" s="139"/>
    </row>
    <row r="238" spans="1:15" outlineLevel="1">
      <c r="A238" s="141">
        <f>SUBTOTAL(3,$G$7:G238)</f>
        <v>127</v>
      </c>
      <c r="B238" s="139" t="s">
        <v>455</v>
      </c>
      <c r="C238" s="134"/>
      <c r="D238" s="134" t="s">
        <v>326</v>
      </c>
      <c r="E238" s="134"/>
      <c r="F238" s="329"/>
      <c r="G238" s="135" t="s">
        <v>219</v>
      </c>
      <c r="H238" s="136">
        <v>6</v>
      </c>
      <c r="I238" s="136"/>
      <c r="J238" s="136"/>
      <c r="K238" s="137"/>
      <c r="L238" s="137"/>
      <c r="M238" s="137"/>
      <c r="N238" s="137"/>
      <c r="O238" s="139"/>
    </row>
    <row r="239" spans="1:15" outlineLevel="1">
      <c r="A239" s="141">
        <f>SUBTOTAL(3,$G$7:G239)</f>
        <v>128</v>
      </c>
      <c r="B239" s="139" t="s">
        <v>456</v>
      </c>
      <c r="C239" s="134"/>
      <c r="D239" s="134" t="s">
        <v>326</v>
      </c>
      <c r="E239" s="134"/>
      <c r="F239" s="329"/>
      <c r="G239" s="135" t="s">
        <v>219</v>
      </c>
      <c r="H239" s="136">
        <v>6</v>
      </c>
      <c r="I239" s="136"/>
      <c r="J239" s="136"/>
      <c r="K239" s="137"/>
      <c r="L239" s="137"/>
      <c r="M239" s="137"/>
      <c r="N239" s="137"/>
      <c r="O239" s="139"/>
    </row>
    <row r="240" spans="1:15" outlineLevel="1">
      <c r="A240" s="141">
        <f>SUBTOTAL(3,$G$7:G240)</f>
        <v>129</v>
      </c>
      <c r="B240" s="139" t="s">
        <v>457</v>
      </c>
      <c r="C240" s="134"/>
      <c r="D240" s="134" t="s">
        <v>326</v>
      </c>
      <c r="E240" s="134"/>
      <c r="F240" s="329"/>
      <c r="G240" s="135" t="s">
        <v>219</v>
      </c>
      <c r="H240" s="136">
        <v>14</v>
      </c>
      <c r="I240" s="136"/>
      <c r="J240" s="136"/>
      <c r="K240" s="137"/>
      <c r="L240" s="137"/>
      <c r="M240" s="137"/>
      <c r="N240" s="137"/>
      <c r="O240" s="139"/>
    </row>
    <row r="241" spans="1:15" ht="26.4" customHeight="1" outlineLevel="1">
      <c r="A241" s="141">
        <f>SUBTOTAL(3,$G$7:G241)</f>
        <v>130</v>
      </c>
      <c r="B241" s="139" t="s">
        <v>458</v>
      </c>
      <c r="C241" s="134"/>
      <c r="D241" s="134" t="s">
        <v>246</v>
      </c>
      <c r="E241" s="134"/>
      <c r="F241" s="329"/>
      <c r="G241" s="135" t="s">
        <v>219</v>
      </c>
      <c r="H241" s="136">
        <v>78</v>
      </c>
      <c r="I241" s="136"/>
      <c r="J241" s="136"/>
      <c r="K241" s="137"/>
      <c r="L241" s="137"/>
      <c r="M241" s="137"/>
      <c r="N241" s="137"/>
      <c r="O241" s="139"/>
    </row>
    <row r="242" spans="1:15" outlineLevel="1">
      <c r="A242" s="141">
        <f>SUBTOTAL(3,$G$7:G242)</f>
        <v>131</v>
      </c>
      <c r="B242" s="139" t="s">
        <v>459</v>
      </c>
      <c r="C242" s="134"/>
      <c r="D242" s="134" t="s">
        <v>326</v>
      </c>
      <c r="E242" s="134"/>
      <c r="F242" s="329"/>
      <c r="G242" s="135" t="s">
        <v>219</v>
      </c>
      <c r="H242" s="136">
        <v>78</v>
      </c>
      <c r="I242" s="136"/>
      <c r="J242" s="136"/>
      <c r="K242" s="137"/>
      <c r="L242" s="137"/>
      <c r="M242" s="137"/>
      <c r="N242" s="137"/>
      <c r="O242" s="139"/>
    </row>
    <row r="243" spans="1:15" outlineLevel="1">
      <c r="A243" s="141">
        <f>SUBTOTAL(3,$G$7:G243)</f>
        <v>132</v>
      </c>
      <c r="B243" s="139" t="s">
        <v>460</v>
      </c>
      <c r="C243" s="317" t="s">
        <v>254</v>
      </c>
      <c r="D243" s="134" t="s">
        <v>326</v>
      </c>
      <c r="E243" s="317" t="s">
        <v>241</v>
      </c>
      <c r="F243" s="330"/>
      <c r="G243" s="135" t="s">
        <v>219</v>
      </c>
      <c r="H243" s="136">
        <v>26</v>
      </c>
      <c r="I243" s="136"/>
      <c r="J243" s="136"/>
      <c r="K243" s="137"/>
      <c r="L243" s="137"/>
      <c r="M243" s="137"/>
      <c r="N243" s="137"/>
      <c r="O243" s="139"/>
    </row>
    <row r="244" spans="1:15" outlineLevel="1">
      <c r="A244" s="141">
        <f>SUBTOTAL(3,$G$7:G244)</f>
        <v>133</v>
      </c>
      <c r="B244" s="139" t="s">
        <v>461</v>
      </c>
      <c r="C244" s="317" t="s">
        <v>254</v>
      </c>
      <c r="D244" s="134" t="s">
        <v>326</v>
      </c>
      <c r="E244" s="317" t="s">
        <v>241</v>
      </c>
      <c r="F244" s="330"/>
      <c r="G244" s="135" t="s">
        <v>219</v>
      </c>
      <c r="H244" s="136">
        <v>413</v>
      </c>
      <c r="I244" s="136"/>
      <c r="J244" s="136"/>
      <c r="K244" s="137"/>
      <c r="L244" s="137"/>
      <c r="M244" s="137"/>
      <c r="N244" s="137"/>
      <c r="O244" s="139"/>
    </row>
    <row r="245" spans="1:15" outlineLevel="1">
      <c r="A245" s="141">
        <f>SUBTOTAL(3,$G$7:G245)</f>
        <v>134</v>
      </c>
      <c r="B245" s="139" t="s">
        <v>462</v>
      </c>
      <c r="C245" s="317" t="s">
        <v>254</v>
      </c>
      <c r="D245" s="134" t="s">
        <v>326</v>
      </c>
      <c r="E245" s="317" t="s">
        <v>241</v>
      </c>
      <c r="F245" s="330"/>
      <c r="G245" s="135" t="s">
        <v>219</v>
      </c>
      <c r="H245" s="136">
        <v>35</v>
      </c>
      <c r="I245" s="136"/>
      <c r="J245" s="136"/>
      <c r="K245" s="137"/>
      <c r="L245" s="137"/>
      <c r="M245" s="137"/>
      <c r="N245" s="137"/>
      <c r="O245" s="139"/>
    </row>
    <row r="246" spans="1:15" outlineLevel="1">
      <c r="A246" s="141">
        <f>SUBTOTAL(3,$G$7:G246)</f>
        <v>135</v>
      </c>
      <c r="B246" s="139" t="s">
        <v>463</v>
      </c>
      <c r="C246" s="317" t="s">
        <v>254</v>
      </c>
      <c r="D246" s="134" t="s">
        <v>326</v>
      </c>
      <c r="E246" s="317" t="s">
        <v>241</v>
      </c>
      <c r="F246" s="330"/>
      <c r="G246" s="135" t="s">
        <v>219</v>
      </c>
      <c r="H246" s="136">
        <v>70</v>
      </c>
      <c r="I246" s="136"/>
      <c r="J246" s="136"/>
      <c r="K246" s="137"/>
      <c r="L246" s="137"/>
      <c r="M246" s="137"/>
      <c r="N246" s="137"/>
      <c r="O246" s="139"/>
    </row>
    <row r="247" spans="1:15" outlineLevel="1">
      <c r="A247" s="141">
        <f>SUBTOTAL(3,$G$7:G247)</f>
        <v>136</v>
      </c>
      <c r="B247" s="139" t="s">
        <v>464</v>
      </c>
      <c r="C247" s="134"/>
      <c r="D247" s="134" t="s">
        <v>326</v>
      </c>
      <c r="E247" s="134"/>
      <c r="F247" s="329"/>
      <c r="G247" s="135" t="s">
        <v>219</v>
      </c>
      <c r="H247" s="136">
        <v>1</v>
      </c>
      <c r="I247" s="136"/>
      <c r="J247" s="136"/>
      <c r="K247" s="137"/>
      <c r="L247" s="137"/>
      <c r="M247" s="137"/>
      <c r="N247" s="137"/>
      <c r="O247" s="139"/>
    </row>
    <row r="248" spans="1:15" outlineLevel="1">
      <c r="A248" s="141">
        <f>SUBTOTAL(3,$G$7:G248)</f>
        <v>137</v>
      </c>
      <c r="B248" s="139" t="s">
        <v>465</v>
      </c>
      <c r="C248" s="134"/>
      <c r="D248" s="134" t="s">
        <v>326</v>
      </c>
      <c r="E248" s="134"/>
      <c r="F248" s="329"/>
      <c r="G248" s="135" t="s">
        <v>219</v>
      </c>
      <c r="H248" s="136">
        <v>2</v>
      </c>
      <c r="I248" s="136"/>
      <c r="J248" s="136"/>
      <c r="K248" s="137"/>
      <c r="L248" s="137"/>
      <c r="M248" s="137"/>
      <c r="N248" s="137"/>
      <c r="O248" s="139"/>
    </row>
    <row r="249" spans="1:15" outlineLevel="1">
      <c r="A249" s="141">
        <f>SUBTOTAL(3,$G$7:G249)</f>
        <v>138</v>
      </c>
      <c r="B249" s="139" t="s">
        <v>466</v>
      </c>
      <c r="C249" s="134"/>
      <c r="D249" s="134" t="s">
        <v>326</v>
      </c>
      <c r="E249" s="134"/>
      <c r="F249" s="329"/>
      <c r="G249" s="135" t="s">
        <v>219</v>
      </c>
      <c r="H249" s="136">
        <v>48</v>
      </c>
      <c r="I249" s="136"/>
      <c r="J249" s="136"/>
      <c r="K249" s="137"/>
      <c r="L249" s="137"/>
      <c r="M249" s="137"/>
      <c r="N249" s="137"/>
      <c r="O249" s="139"/>
    </row>
    <row r="250" spans="1:15" outlineLevel="1">
      <c r="A250" s="141">
        <f>SUBTOTAL(3,$G$7:G250)</f>
        <v>139</v>
      </c>
      <c r="B250" s="139" t="s">
        <v>467</v>
      </c>
      <c r="C250" s="134"/>
      <c r="D250" s="134" t="s">
        <v>326</v>
      </c>
      <c r="E250" s="134"/>
      <c r="F250" s="329"/>
      <c r="G250" s="135" t="s">
        <v>219</v>
      </c>
      <c r="H250" s="136">
        <v>2</v>
      </c>
      <c r="I250" s="136"/>
      <c r="J250" s="136"/>
      <c r="K250" s="137"/>
      <c r="L250" s="137"/>
      <c r="M250" s="137"/>
      <c r="N250" s="137"/>
      <c r="O250" s="139"/>
    </row>
    <row r="251" spans="1:15" outlineLevel="1">
      <c r="A251" s="141">
        <f>SUBTOTAL(3,$G$7:G251)</f>
        <v>140</v>
      </c>
      <c r="B251" s="139" t="s">
        <v>468</v>
      </c>
      <c r="C251" s="134"/>
      <c r="D251" s="134" t="s">
        <v>326</v>
      </c>
      <c r="E251" s="134"/>
      <c r="F251" s="329"/>
      <c r="G251" s="135" t="s">
        <v>219</v>
      </c>
      <c r="H251" s="136">
        <v>1</v>
      </c>
      <c r="I251" s="136"/>
      <c r="J251" s="136"/>
      <c r="K251" s="137"/>
      <c r="L251" s="137"/>
      <c r="M251" s="137"/>
      <c r="N251" s="137"/>
      <c r="O251" s="139"/>
    </row>
    <row r="252" spans="1:15" outlineLevel="1">
      <c r="A252" s="141">
        <f>SUBTOTAL(3,$G$7:G252)</f>
        <v>141</v>
      </c>
      <c r="B252" s="139" t="s">
        <v>469</v>
      </c>
      <c r="C252" s="134"/>
      <c r="D252" s="134" t="s">
        <v>326</v>
      </c>
      <c r="E252" s="134"/>
      <c r="F252" s="329"/>
      <c r="G252" s="135" t="s">
        <v>219</v>
      </c>
      <c r="H252" s="136">
        <v>2</v>
      </c>
      <c r="I252" s="136"/>
      <c r="J252" s="136"/>
      <c r="K252" s="137"/>
      <c r="L252" s="137"/>
      <c r="M252" s="137"/>
      <c r="N252" s="137"/>
      <c r="O252" s="139"/>
    </row>
    <row r="253" spans="1:15" outlineLevel="1">
      <c r="A253" s="141">
        <f>SUBTOTAL(3,$G$7:G253)</f>
        <v>142</v>
      </c>
      <c r="B253" s="139" t="s">
        <v>468</v>
      </c>
      <c r="C253" s="134"/>
      <c r="D253" s="134" t="s">
        <v>326</v>
      </c>
      <c r="E253" s="134"/>
      <c r="F253" s="329"/>
      <c r="G253" s="135" t="s">
        <v>219</v>
      </c>
      <c r="H253" s="136">
        <v>1</v>
      </c>
      <c r="I253" s="136"/>
      <c r="J253" s="136"/>
      <c r="K253" s="137"/>
      <c r="L253" s="137"/>
      <c r="M253" s="137"/>
      <c r="N253" s="137"/>
      <c r="O253" s="139"/>
    </row>
    <row r="254" spans="1:15" outlineLevel="1">
      <c r="A254" s="141">
        <f>SUBTOTAL(3,$G$7:G254)</f>
        <v>143</v>
      </c>
      <c r="B254" s="139" t="s">
        <v>468</v>
      </c>
      <c r="C254" s="134"/>
      <c r="D254" s="134" t="s">
        <v>326</v>
      </c>
      <c r="E254" s="134"/>
      <c r="F254" s="329"/>
      <c r="G254" s="135" t="s">
        <v>219</v>
      </c>
      <c r="H254" s="136">
        <v>2</v>
      </c>
      <c r="I254" s="136"/>
      <c r="J254" s="136"/>
      <c r="K254" s="137"/>
      <c r="L254" s="137"/>
      <c r="M254" s="137"/>
      <c r="N254" s="137"/>
      <c r="O254" s="139"/>
    </row>
    <row r="255" spans="1:15" outlineLevel="1">
      <c r="A255" s="141">
        <f>SUBTOTAL(3,$G$7:G255)</f>
        <v>144</v>
      </c>
      <c r="B255" s="139" t="s">
        <v>470</v>
      </c>
      <c r="C255" s="134"/>
      <c r="D255" s="134" t="s">
        <v>326</v>
      </c>
      <c r="E255" s="134"/>
      <c r="F255" s="329"/>
      <c r="G255" s="135" t="s">
        <v>219</v>
      </c>
      <c r="H255" s="136">
        <v>35</v>
      </c>
      <c r="I255" s="136"/>
      <c r="J255" s="136"/>
      <c r="K255" s="137"/>
      <c r="L255" s="137"/>
      <c r="M255" s="137"/>
      <c r="N255" s="137"/>
      <c r="O255" s="139"/>
    </row>
    <row r="256" spans="1:15" outlineLevel="1">
      <c r="A256" s="141">
        <f>SUBTOTAL(3,$G$7:G256)</f>
        <v>145</v>
      </c>
      <c r="B256" s="139" t="s">
        <v>471</v>
      </c>
      <c r="C256" s="134"/>
      <c r="D256" s="134" t="s">
        <v>326</v>
      </c>
      <c r="E256" s="134"/>
      <c r="F256" s="329"/>
      <c r="G256" s="135" t="s">
        <v>219</v>
      </c>
      <c r="H256" s="136">
        <v>3</v>
      </c>
      <c r="I256" s="136"/>
      <c r="J256" s="136"/>
      <c r="K256" s="137"/>
      <c r="L256" s="137"/>
      <c r="M256" s="137"/>
      <c r="N256" s="137"/>
      <c r="O256" s="139"/>
    </row>
    <row r="257" spans="1:15" outlineLevel="1">
      <c r="A257" s="141">
        <f>SUBTOTAL(3,$G$7:G257)</f>
        <v>146</v>
      </c>
      <c r="B257" s="139" t="s">
        <v>472</v>
      </c>
      <c r="C257" s="134"/>
      <c r="D257" s="134" t="s">
        <v>326</v>
      </c>
      <c r="E257" s="134"/>
      <c r="F257" s="329"/>
      <c r="G257" s="135" t="s">
        <v>219</v>
      </c>
      <c r="H257" s="136">
        <v>4</v>
      </c>
      <c r="I257" s="136"/>
      <c r="J257" s="136"/>
      <c r="K257" s="137"/>
      <c r="L257" s="137"/>
      <c r="M257" s="137"/>
      <c r="N257" s="137"/>
      <c r="O257" s="139"/>
    </row>
    <row r="258" spans="1:15" outlineLevel="1">
      <c r="A258" s="141">
        <f>SUBTOTAL(3,$G$7:G258)</f>
        <v>147</v>
      </c>
      <c r="B258" s="139" t="s">
        <v>473</v>
      </c>
      <c r="C258" s="134"/>
      <c r="D258" s="134" t="s">
        <v>326</v>
      </c>
      <c r="E258" s="134"/>
      <c r="F258" s="329"/>
      <c r="G258" s="135" t="s">
        <v>219</v>
      </c>
      <c r="H258" s="136">
        <v>1</v>
      </c>
      <c r="I258" s="136"/>
      <c r="J258" s="136"/>
      <c r="K258" s="137"/>
      <c r="L258" s="137"/>
      <c r="M258" s="137"/>
      <c r="N258" s="137"/>
      <c r="O258" s="139"/>
    </row>
    <row r="259" spans="1:15" outlineLevel="1">
      <c r="A259" s="141">
        <f>SUBTOTAL(3,$G$7:G259)</f>
        <v>148</v>
      </c>
      <c r="B259" s="139" t="s">
        <v>474</v>
      </c>
      <c r="C259" s="134"/>
      <c r="D259" s="134" t="s">
        <v>326</v>
      </c>
      <c r="E259" s="134"/>
      <c r="F259" s="329"/>
      <c r="G259" s="135" t="s">
        <v>287</v>
      </c>
      <c r="H259" s="136">
        <v>6</v>
      </c>
      <c r="I259" s="136"/>
      <c r="J259" s="136"/>
      <c r="K259" s="137"/>
      <c r="L259" s="137"/>
      <c r="M259" s="137"/>
      <c r="N259" s="137"/>
      <c r="O259" s="139"/>
    </row>
    <row r="260" spans="1:15" outlineLevel="1">
      <c r="A260" s="141">
        <f>SUBTOTAL(3,$G$7:G260)</f>
        <v>149</v>
      </c>
      <c r="B260" s="139" t="s">
        <v>475</v>
      </c>
      <c r="C260" s="134"/>
      <c r="D260" s="134" t="s">
        <v>326</v>
      </c>
      <c r="E260" s="134"/>
      <c r="F260" s="329"/>
      <c r="G260" s="135" t="s">
        <v>287</v>
      </c>
      <c r="H260" s="136">
        <v>15</v>
      </c>
      <c r="I260" s="136"/>
      <c r="J260" s="136"/>
      <c r="K260" s="137"/>
      <c r="L260" s="137"/>
      <c r="M260" s="137"/>
      <c r="N260" s="137"/>
      <c r="O260" s="139"/>
    </row>
    <row r="261" spans="1:15" outlineLevel="1">
      <c r="A261" s="141">
        <f>SUBTOTAL(3,$G$7:G261)</f>
        <v>150</v>
      </c>
      <c r="B261" s="139" t="s">
        <v>476</v>
      </c>
      <c r="C261" s="134"/>
      <c r="D261" s="134" t="s">
        <v>326</v>
      </c>
      <c r="E261" s="134"/>
      <c r="F261" s="329"/>
      <c r="G261" s="135" t="s">
        <v>287</v>
      </c>
      <c r="H261" s="136">
        <v>6</v>
      </c>
      <c r="I261" s="136"/>
      <c r="J261" s="136"/>
      <c r="K261" s="137"/>
      <c r="L261" s="137"/>
      <c r="M261" s="137"/>
      <c r="N261" s="137"/>
      <c r="O261" s="139"/>
    </row>
    <row r="262" spans="1:15" outlineLevel="1">
      <c r="A262" s="141">
        <f>SUBTOTAL(3,$G$7:G262)</f>
        <v>151</v>
      </c>
      <c r="B262" s="139" t="s">
        <v>477</v>
      </c>
      <c r="C262" s="134"/>
      <c r="D262" s="134" t="s">
        <v>326</v>
      </c>
      <c r="E262" s="134"/>
      <c r="F262" s="329"/>
      <c r="G262" s="135" t="s">
        <v>287</v>
      </c>
      <c r="H262" s="136">
        <v>8</v>
      </c>
      <c r="I262" s="136"/>
      <c r="J262" s="136"/>
      <c r="K262" s="137"/>
      <c r="L262" s="137"/>
      <c r="M262" s="137"/>
      <c r="N262" s="137"/>
      <c r="O262" s="139"/>
    </row>
    <row r="263" spans="1:15" outlineLevel="1">
      <c r="A263" s="141">
        <f>SUBTOTAL(3,$G$7:G263)</f>
        <v>152</v>
      </c>
      <c r="B263" s="139" t="s">
        <v>478</v>
      </c>
      <c r="C263" s="134"/>
      <c r="D263" s="134" t="s">
        <v>326</v>
      </c>
      <c r="E263" s="134"/>
      <c r="F263" s="329"/>
      <c r="G263" s="135" t="s">
        <v>287</v>
      </c>
      <c r="H263" s="136">
        <v>2</v>
      </c>
      <c r="I263" s="136"/>
      <c r="J263" s="136"/>
      <c r="K263" s="137"/>
      <c r="L263" s="137"/>
      <c r="M263" s="137"/>
      <c r="N263" s="137"/>
      <c r="O263" s="139"/>
    </row>
    <row r="264" spans="1:15" outlineLevel="1">
      <c r="A264" s="141">
        <f>SUBTOTAL(3,$G$7:G264)</f>
        <v>153</v>
      </c>
      <c r="B264" s="139" t="s">
        <v>479</v>
      </c>
      <c r="C264" s="134"/>
      <c r="D264" s="134" t="s">
        <v>326</v>
      </c>
      <c r="E264" s="134"/>
      <c r="F264" s="329"/>
      <c r="G264" s="135" t="s">
        <v>287</v>
      </c>
      <c r="H264" s="136">
        <v>1</v>
      </c>
      <c r="I264" s="136"/>
      <c r="J264" s="136"/>
      <c r="K264" s="137"/>
      <c r="L264" s="137"/>
      <c r="M264" s="137"/>
      <c r="N264" s="137"/>
      <c r="O264" s="139"/>
    </row>
    <row r="265" spans="1:15" outlineLevel="1">
      <c r="A265" s="141">
        <f>SUBTOTAL(3,$G$7:G265)</f>
        <v>154</v>
      </c>
      <c r="B265" s="139" t="s">
        <v>480</v>
      </c>
      <c r="C265" s="134"/>
      <c r="D265" s="134" t="s">
        <v>326</v>
      </c>
      <c r="E265" s="134"/>
      <c r="F265" s="329"/>
      <c r="G265" s="135" t="s">
        <v>287</v>
      </c>
      <c r="H265" s="136">
        <v>2</v>
      </c>
      <c r="I265" s="136"/>
      <c r="J265" s="136"/>
      <c r="K265" s="137"/>
      <c r="L265" s="137"/>
      <c r="M265" s="137"/>
      <c r="N265" s="137"/>
      <c r="O265" s="139"/>
    </row>
    <row r="266" spans="1:15" outlineLevel="1">
      <c r="A266" s="141">
        <f>SUBTOTAL(3,$G$7:G266)</f>
        <v>155</v>
      </c>
      <c r="B266" s="139" t="s">
        <v>371</v>
      </c>
      <c r="C266" s="134"/>
      <c r="D266" s="134" t="s">
        <v>326</v>
      </c>
      <c r="E266" s="134"/>
      <c r="F266" s="329"/>
      <c r="G266" s="135" t="s">
        <v>287</v>
      </c>
      <c r="H266" s="136">
        <v>2</v>
      </c>
      <c r="I266" s="136"/>
      <c r="J266" s="136"/>
      <c r="K266" s="137"/>
      <c r="L266" s="137"/>
      <c r="M266" s="137"/>
      <c r="N266" s="137"/>
      <c r="O266" s="139"/>
    </row>
    <row r="267" spans="1:15" outlineLevel="1">
      <c r="A267" s="141">
        <f>SUBTOTAL(3,$G$7:G267)</f>
        <v>156</v>
      </c>
      <c r="B267" s="139" t="s">
        <v>480</v>
      </c>
      <c r="C267" s="134"/>
      <c r="D267" s="134" t="s">
        <v>326</v>
      </c>
      <c r="E267" s="134"/>
      <c r="F267" s="329"/>
      <c r="G267" s="135" t="s">
        <v>287</v>
      </c>
      <c r="H267" s="136">
        <v>5</v>
      </c>
      <c r="I267" s="136"/>
      <c r="J267" s="136"/>
      <c r="K267" s="137"/>
      <c r="L267" s="137"/>
      <c r="M267" s="137"/>
      <c r="N267" s="137"/>
      <c r="O267" s="139"/>
    </row>
    <row r="268" spans="1:15" outlineLevel="1">
      <c r="A268" s="141">
        <f>SUBTOTAL(3,$G$7:G268)</f>
        <v>157</v>
      </c>
      <c r="B268" s="139" t="s">
        <v>481</v>
      </c>
      <c r="C268" s="134"/>
      <c r="D268" s="134" t="s">
        <v>326</v>
      </c>
      <c r="E268" s="134"/>
      <c r="F268" s="329"/>
      <c r="G268" s="135" t="s">
        <v>287</v>
      </c>
      <c r="H268" s="136">
        <v>1</v>
      </c>
      <c r="I268" s="136"/>
      <c r="J268" s="136"/>
      <c r="K268" s="137"/>
      <c r="L268" s="137"/>
      <c r="M268" s="137"/>
      <c r="N268" s="137"/>
      <c r="O268" s="139"/>
    </row>
    <row r="269" spans="1:15" ht="26.4" customHeight="1" outlineLevel="1">
      <c r="A269" s="141"/>
      <c r="B269" s="140" t="s">
        <v>482</v>
      </c>
      <c r="C269" s="134"/>
      <c r="D269" s="134"/>
      <c r="E269" s="134"/>
      <c r="F269" s="329" t="s">
        <v>86</v>
      </c>
      <c r="G269" s="135"/>
      <c r="H269" s="136"/>
      <c r="I269" s="136"/>
      <c r="J269" s="136"/>
      <c r="K269" s="137"/>
      <c r="L269" s="137"/>
      <c r="M269" s="137"/>
      <c r="N269" s="137"/>
      <c r="O269" s="139"/>
    </row>
    <row r="270" spans="1:15" ht="26.4" customHeight="1" outlineLevel="1">
      <c r="A270" s="141">
        <f>SUBTOTAL(3,$G$7:G270)</f>
        <v>158</v>
      </c>
      <c r="B270" s="139" t="s">
        <v>483</v>
      </c>
      <c r="C270" s="142" t="s">
        <v>279</v>
      </c>
      <c r="D270" s="134" t="s">
        <v>280</v>
      </c>
      <c r="E270" s="317" t="s">
        <v>281</v>
      </c>
      <c r="F270" s="330"/>
      <c r="G270" s="135" t="s">
        <v>282</v>
      </c>
      <c r="H270" s="136">
        <v>2259.9499999999998</v>
      </c>
      <c r="I270" s="136"/>
      <c r="J270" s="136"/>
      <c r="K270" s="137"/>
      <c r="L270" s="137"/>
      <c r="M270" s="137"/>
      <c r="N270" s="137"/>
      <c r="O270" s="139"/>
    </row>
    <row r="271" spans="1:15" ht="26.4" customHeight="1" outlineLevel="1">
      <c r="A271" s="141">
        <f>SUBTOTAL(3,$G$7:G271)</f>
        <v>159</v>
      </c>
      <c r="B271" s="139" t="s">
        <v>484</v>
      </c>
      <c r="C271" s="142" t="s">
        <v>279</v>
      </c>
      <c r="D271" s="134" t="s">
        <v>280</v>
      </c>
      <c r="E271" s="317" t="s">
        <v>281</v>
      </c>
      <c r="F271" s="330"/>
      <c r="G271" s="135" t="s">
        <v>282</v>
      </c>
      <c r="H271" s="136">
        <v>677.3</v>
      </c>
      <c r="I271" s="136"/>
      <c r="J271" s="136"/>
      <c r="K271" s="137"/>
      <c r="L271" s="137"/>
      <c r="M271" s="137"/>
      <c r="N271" s="137"/>
      <c r="O271" s="139"/>
    </row>
    <row r="272" spans="1:15" ht="26.4" customHeight="1" outlineLevel="1">
      <c r="A272" s="141">
        <f>SUBTOTAL(3,$G$7:G272)</f>
        <v>160</v>
      </c>
      <c r="B272" s="139" t="s">
        <v>485</v>
      </c>
      <c r="C272" s="142" t="s">
        <v>279</v>
      </c>
      <c r="D272" s="134" t="s">
        <v>280</v>
      </c>
      <c r="E272" s="317" t="s">
        <v>281</v>
      </c>
      <c r="F272" s="330"/>
      <c r="G272" s="135" t="s">
        <v>282</v>
      </c>
      <c r="H272" s="136">
        <v>320.75</v>
      </c>
      <c r="I272" s="136"/>
      <c r="J272" s="136"/>
      <c r="K272" s="137"/>
      <c r="L272" s="137"/>
      <c r="M272" s="137"/>
      <c r="N272" s="137"/>
      <c r="O272" s="139"/>
    </row>
    <row r="273" spans="1:15" ht="26.4" customHeight="1" outlineLevel="1">
      <c r="A273" s="141">
        <f>SUBTOTAL(3,$G$7:G273)</f>
        <v>161</v>
      </c>
      <c r="B273" s="139" t="s">
        <v>284</v>
      </c>
      <c r="C273" s="142" t="s">
        <v>279</v>
      </c>
      <c r="D273" s="134" t="s">
        <v>280</v>
      </c>
      <c r="E273" s="317" t="s">
        <v>281</v>
      </c>
      <c r="F273" s="330"/>
      <c r="G273" s="135" t="s">
        <v>282</v>
      </c>
      <c r="H273" s="136">
        <v>3375</v>
      </c>
      <c r="I273" s="136"/>
      <c r="J273" s="136"/>
      <c r="K273" s="137"/>
      <c r="L273" s="137"/>
      <c r="M273" s="137"/>
      <c r="N273" s="137"/>
      <c r="O273" s="139"/>
    </row>
    <row r="274" spans="1:15" ht="26.4" customHeight="1" outlineLevel="1">
      <c r="A274" s="141">
        <f>SUBTOTAL(3,$G$7:G274)</f>
        <v>162</v>
      </c>
      <c r="B274" s="139" t="s">
        <v>486</v>
      </c>
      <c r="C274" s="142" t="s">
        <v>279</v>
      </c>
      <c r="D274" s="134" t="s">
        <v>280</v>
      </c>
      <c r="E274" s="317" t="s">
        <v>281</v>
      </c>
      <c r="F274" s="330"/>
      <c r="G274" s="135" t="s">
        <v>282</v>
      </c>
      <c r="H274" s="136">
        <v>136</v>
      </c>
      <c r="I274" s="136"/>
      <c r="J274" s="136"/>
      <c r="K274" s="137"/>
      <c r="L274" s="137"/>
      <c r="M274" s="137"/>
      <c r="N274" s="137"/>
      <c r="O274" s="139"/>
    </row>
    <row r="275" spans="1:15" ht="26.4" customHeight="1" outlineLevel="1">
      <c r="A275" s="141">
        <f>SUBTOTAL(3,$G$7:G275)</f>
        <v>163</v>
      </c>
      <c r="B275" s="139" t="s">
        <v>288</v>
      </c>
      <c r="C275" s="142" t="s">
        <v>279</v>
      </c>
      <c r="D275" s="134" t="s">
        <v>487</v>
      </c>
      <c r="E275" s="317" t="s">
        <v>290</v>
      </c>
      <c r="F275" s="330"/>
      <c r="G275" s="135" t="s">
        <v>282</v>
      </c>
      <c r="H275" s="136">
        <v>364.55</v>
      </c>
      <c r="I275" s="136"/>
      <c r="J275" s="136"/>
      <c r="K275" s="137"/>
      <c r="L275" s="137"/>
      <c r="M275" s="137"/>
      <c r="N275" s="137"/>
      <c r="O275" s="139"/>
    </row>
    <row r="276" spans="1:15" ht="26.4" customHeight="1" outlineLevel="1">
      <c r="A276" s="141">
        <f>SUBTOTAL(3,$G$7:G276)</f>
        <v>164</v>
      </c>
      <c r="B276" s="139" t="s">
        <v>291</v>
      </c>
      <c r="C276" s="142" t="s">
        <v>279</v>
      </c>
      <c r="D276" s="134" t="s">
        <v>487</v>
      </c>
      <c r="E276" s="317" t="s">
        <v>290</v>
      </c>
      <c r="F276" s="330"/>
      <c r="G276" s="135" t="s">
        <v>282</v>
      </c>
      <c r="H276" s="136">
        <v>3334</v>
      </c>
      <c r="I276" s="136"/>
      <c r="J276" s="136"/>
      <c r="K276" s="137"/>
      <c r="L276" s="137"/>
      <c r="M276" s="137"/>
      <c r="N276" s="137"/>
      <c r="O276" s="139"/>
    </row>
    <row r="277" spans="1:15" ht="26.4" customHeight="1" outlineLevel="1">
      <c r="A277" s="141">
        <f>SUBTOTAL(3,$G$7:G277)</f>
        <v>165</v>
      </c>
      <c r="B277" s="139" t="s">
        <v>375</v>
      </c>
      <c r="C277" s="142" t="s">
        <v>279</v>
      </c>
      <c r="D277" s="134" t="s">
        <v>487</v>
      </c>
      <c r="E277" s="317" t="s">
        <v>290</v>
      </c>
      <c r="F277" s="330"/>
      <c r="G277" s="135" t="s">
        <v>282</v>
      </c>
      <c r="H277" s="136">
        <v>109.36499999999999</v>
      </c>
      <c r="I277" s="136"/>
      <c r="J277" s="136"/>
      <c r="K277" s="137"/>
      <c r="L277" s="137"/>
      <c r="M277" s="137"/>
      <c r="N277" s="137"/>
      <c r="O277" s="139"/>
    </row>
    <row r="278" spans="1:15" outlineLevel="1">
      <c r="A278" s="141">
        <f>SUBTOTAL(3,$G$7:G278)</f>
        <v>166</v>
      </c>
      <c r="B278" s="139" t="s">
        <v>275</v>
      </c>
      <c r="C278" s="134"/>
      <c r="D278" s="134"/>
      <c r="E278" s="134"/>
      <c r="F278" s="329"/>
      <c r="G278" s="135" t="s">
        <v>276</v>
      </c>
      <c r="H278" s="136">
        <v>1</v>
      </c>
      <c r="I278" s="136"/>
      <c r="J278" s="136"/>
      <c r="K278" s="137"/>
      <c r="L278" s="137"/>
      <c r="M278" s="137"/>
      <c r="N278" s="137"/>
      <c r="O278" s="139"/>
    </row>
    <row r="279" spans="1:15" outlineLevel="1">
      <c r="A279" s="132" t="s">
        <v>488</v>
      </c>
      <c r="B279" s="140" t="s">
        <v>489</v>
      </c>
      <c r="C279" s="134"/>
      <c r="D279" s="134"/>
      <c r="E279" s="134"/>
      <c r="F279" s="329" t="s">
        <v>86</v>
      </c>
      <c r="G279" s="143"/>
      <c r="H279" s="136"/>
      <c r="I279" s="136"/>
      <c r="J279" s="136"/>
      <c r="K279" s="137"/>
      <c r="L279" s="137"/>
      <c r="M279" s="137"/>
      <c r="N279" s="137"/>
      <c r="O279" s="139"/>
    </row>
    <row r="280" spans="1:15" ht="26.4" hidden="1" customHeight="1" outlineLevel="1">
      <c r="A280" s="141">
        <f>SUBTOTAL(3,$G$7:G280)</f>
        <v>166</v>
      </c>
      <c r="B280" s="139" t="s">
        <v>490</v>
      </c>
      <c r="C280" s="134"/>
      <c r="D280" s="134" t="s">
        <v>218</v>
      </c>
      <c r="E280" s="134"/>
      <c r="F280" s="330" t="s">
        <v>2204</v>
      </c>
      <c r="G280" s="135" t="s">
        <v>219</v>
      </c>
      <c r="H280" s="136">
        <v>1</v>
      </c>
      <c r="I280" s="136"/>
      <c r="J280" s="136"/>
      <c r="K280" s="137"/>
      <c r="L280" s="137"/>
      <c r="M280" s="137"/>
      <c r="N280" s="137"/>
      <c r="O280" s="139"/>
    </row>
    <row r="281" spans="1:15" ht="26.4" hidden="1" customHeight="1" outlineLevel="1">
      <c r="A281" s="141">
        <f>SUBTOTAL(3,$G$7:G281)</f>
        <v>166</v>
      </c>
      <c r="B281" s="139" t="s">
        <v>491</v>
      </c>
      <c r="C281" s="134"/>
      <c r="D281" s="134" t="s">
        <v>218</v>
      </c>
      <c r="E281" s="134"/>
      <c r="F281" s="330" t="s">
        <v>2204</v>
      </c>
      <c r="G281" s="135" t="s">
        <v>219</v>
      </c>
      <c r="H281" s="136">
        <v>1</v>
      </c>
      <c r="I281" s="136"/>
      <c r="J281" s="136"/>
      <c r="K281" s="137"/>
      <c r="L281" s="137"/>
      <c r="M281" s="137"/>
      <c r="N281" s="137"/>
      <c r="O281" s="139"/>
    </row>
    <row r="282" spans="1:15" ht="26.4" hidden="1" customHeight="1" outlineLevel="1">
      <c r="A282" s="141">
        <f>SUBTOTAL(3,$G$7:G282)</f>
        <v>166</v>
      </c>
      <c r="B282" s="139" t="s">
        <v>492</v>
      </c>
      <c r="C282" s="134"/>
      <c r="D282" s="134" t="s">
        <v>218</v>
      </c>
      <c r="E282" s="134"/>
      <c r="F282" s="330" t="s">
        <v>2204</v>
      </c>
      <c r="G282" s="135" t="s">
        <v>237</v>
      </c>
      <c r="H282" s="136">
        <v>3</v>
      </c>
      <c r="I282" s="136"/>
      <c r="J282" s="136"/>
      <c r="K282" s="137"/>
      <c r="L282" s="137"/>
      <c r="M282" s="137"/>
      <c r="N282" s="137"/>
      <c r="O282" s="139"/>
    </row>
    <row r="283" spans="1:15" ht="26.4" hidden="1" customHeight="1" outlineLevel="1">
      <c r="A283" s="141">
        <f>SUBTOTAL(3,$G$7:G283)</f>
        <v>166</v>
      </c>
      <c r="B283" s="139" t="s">
        <v>493</v>
      </c>
      <c r="C283" s="134"/>
      <c r="D283" s="134" t="s">
        <v>218</v>
      </c>
      <c r="E283" s="134"/>
      <c r="F283" s="330" t="s">
        <v>2204</v>
      </c>
      <c r="G283" s="135" t="s">
        <v>237</v>
      </c>
      <c r="H283" s="136">
        <v>1</v>
      </c>
      <c r="I283" s="136"/>
      <c r="J283" s="136"/>
      <c r="K283" s="137"/>
      <c r="L283" s="137"/>
      <c r="M283" s="137"/>
      <c r="N283" s="137"/>
      <c r="O283" s="139"/>
    </row>
    <row r="284" spans="1:15" ht="26.4" hidden="1" customHeight="1" outlineLevel="1">
      <c r="A284" s="141">
        <f>SUBTOTAL(3,$G$7:G284)</f>
        <v>166</v>
      </c>
      <c r="B284" s="139" t="s">
        <v>494</v>
      </c>
      <c r="C284" s="134"/>
      <c r="D284" s="134" t="s">
        <v>218</v>
      </c>
      <c r="E284" s="134"/>
      <c r="F284" s="330" t="s">
        <v>2204</v>
      </c>
      <c r="G284" s="135" t="s">
        <v>237</v>
      </c>
      <c r="H284" s="136">
        <v>1</v>
      </c>
      <c r="I284" s="136"/>
      <c r="J284" s="136"/>
      <c r="K284" s="137"/>
      <c r="L284" s="137"/>
      <c r="M284" s="137"/>
      <c r="N284" s="137"/>
      <c r="O284" s="139"/>
    </row>
    <row r="285" spans="1:15" ht="26.4" hidden="1" customHeight="1" outlineLevel="1">
      <c r="A285" s="141">
        <f>SUBTOTAL(3,$G$7:G285)</f>
        <v>166</v>
      </c>
      <c r="B285" s="139" t="s">
        <v>495</v>
      </c>
      <c r="C285" s="134"/>
      <c r="D285" s="134" t="s">
        <v>218</v>
      </c>
      <c r="E285" s="134"/>
      <c r="F285" s="330" t="s">
        <v>2204</v>
      </c>
      <c r="G285" s="135" t="s">
        <v>237</v>
      </c>
      <c r="H285" s="136">
        <v>1</v>
      </c>
      <c r="I285" s="136"/>
      <c r="J285" s="136"/>
      <c r="K285" s="137"/>
      <c r="L285" s="137"/>
      <c r="M285" s="137"/>
      <c r="N285" s="137"/>
      <c r="O285" s="139"/>
    </row>
    <row r="286" spans="1:15" ht="26.4" hidden="1" customHeight="1" outlineLevel="1">
      <c r="A286" s="141">
        <f>SUBTOTAL(3,$G$7:G286)</f>
        <v>166</v>
      </c>
      <c r="B286" s="139" t="s">
        <v>496</v>
      </c>
      <c r="C286" s="134"/>
      <c r="D286" s="134" t="s">
        <v>218</v>
      </c>
      <c r="E286" s="317"/>
      <c r="F286" s="330" t="s">
        <v>2204</v>
      </c>
      <c r="G286" s="135" t="s">
        <v>237</v>
      </c>
      <c r="H286" s="136">
        <v>1</v>
      </c>
      <c r="I286" s="136"/>
      <c r="J286" s="136"/>
      <c r="K286" s="137"/>
      <c r="L286" s="137"/>
      <c r="M286" s="137"/>
      <c r="N286" s="137"/>
      <c r="O286" s="139"/>
    </row>
    <row r="287" spans="1:15" ht="26.4" hidden="1" customHeight="1" outlineLevel="1">
      <c r="A287" s="141">
        <f>SUBTOTAL(3,$G$7:G287)</f>
        <v>166</v>
      </c>
      <c r="B287" s="139" t="s">
        <v>497</v>
      </c>
      <c r="C287" s="134"/>
      <c r="D287" s="134" t="s">
        <v>218</v>
      </c>
      <c r="E287" s="317"/>
      <c r="F287" s="330" t="s">
        <v>2204</v>
      </c>
      <c r="G287" s="135" t="s">
        <v>237</v>
      </c>
      <c r="H287" s="136">
        <v>1</v>
      </c>
      <c r="I287" s="136"/>
      <c r="J287" s="136"/>
      <c r="K287" s="137"/>
      <c r="L287" s="137"/>
      <c r="M287" s="137"/>
      <c r="N287" s="137"/>
      <c r="O287" s="139"/>
    </row>
    <row r="288" spans="1:15" ht="26.4" hidden="1" customHeight="1" outlineLevel="1">
      <c r="A288" s="141">
        <f>SUBTOTAL(3,$G$7:G288)</f>
        <v>166</v>
      </c>
      <c r="B288" s="139" t="s">
        <v>498</v>
      </c>
      <c r="C288" s="134"/>
      <c r="D288" s="134" t="s">
        <v>218</v>
      </c>
      <c r="E288" s="317"/>
      <c r="F288" s="330" t="s">
        <v>2204</v>
      </c>
      <c r="G288" s="135" t="s">
        <v>237</v>
      </c>
      <c r="H288" s="136">
        <v>1</v>
      </c>
      <c r="I288" s="136"/>
      <c r="J288" s="136"/>
      <c r="K288" s="137"/>
      <c r="L288" s="137"/>
      <c r="M288" s="137"/>
      <c r="N288" s="137"/>
      <c r="O288" s="139"/>
    </row>
    <row r="289" spans="1:15" ht="26.4" hidden="1" customHeight="1" outlineLevel="1">
      <c r="A289" s="141">
        <f>SUBTOTAL(3,$G$7:G289)</f>
        <v>166</v>
      </c>
      <c r="B289" s="139" t="s">
        <v>499</v>
      </c>
      <c r="C289" s="134"/>
      <c r="D289" s="134" t="s">
        <v>218</v>
      </c>
      <c r="E289" s="134"/>
      <c r="F289" s="330" t="s">
        <v>2204</v>
      </c>
      <c r="G289" s="135" t="s">
        <v>237</v>
      </c>
      <c r="H289" s="136">
        <v>1</v>
      </c>
      <c r="I289" s="136"/>
      <c r="J289" s="136"/>
      <c r="K289" s="137"/>
      <c r="L289" s="137"/>
      <c r="M289" s="137"/>
      <c r="N289" s="137"/>
      <c r="O289" s="139"/>
    </row>
    <row r="290" spans="1:15" ht="26.4" hidden="1" customHeight="1" outlineLevel="1">
      <c r="A290" s="141">
        <f>SUBTOTAL(3,$G$7:G290)</f>
        <v>166</v>
      </c>
      <c r="B290" s="139" t="s">
        <v>500</v>
      </c>
      <c r="C290" s="134"/>
      <c r="D290" s="134" t="s">
        <v>218</v>
      </c>
      <c r="E290" s="134"/>
      <c r="F290" s="330" t="s">
        <v>2204</v>
      </c>
      <c r="G290" s="135" t="s">
        <v>237</v>
      </c>
      <c r="H290" s="136">
        <v>1</v>
      </c>
      <c r="I290" s="136"/>
      <c r="J290" s="136"/>
      <c r="K290" s="137"/>
      <c r="L290" s="137"/>
      <c r="M290" s="137"/>
      <c r="N290" s="137"/>
      <c r="O290" s="139"/>
    </row>
    <row r="291" spans="1:15" ht="26.4" hidden="1" customHeight="1" outlineLevel="1">
      <c r="A291" s="141">
        <f>SUBTOTAL(3,$G$7:G291)</f>
        <v>166</v>
      </c>
      <c r="B291" s="139" t="s">
        <v>501</v>
      </c>
      <c r="C291" s="134"/>
      <c r="D291" s="134" t="s">
        <v>218</v>
      </c>
      <c r="E291" s="317"/>
      <c r="F291" s="330" t="s">
        <v>2204</v>
      </c>
      <c r="G291" s="135" t="s">
        <v>237</v>
      </c>
      <c r="H291" s="136">
        <v>1</v>
      </c>
      <c r="I291" s="136"/>
      <c r="J291" s="136"/>
      <c r="K291" s="137"/>
      <c r="L291" s="137"/>
      <c r="M291" s="137"/>
      <c r="N291" s="137"/>
      <c r="O291" s="139"/>
    </row>
    <row r="292" spans="1:15" ht="26.4" hidden="1" customHeight="1" outlineLevel="1">
      <c r="A292" s="141">
        <f>SUBTOTAL(3,$G$7:G292)</f>
        <v>166</v>
      </c>
      <c r="B292" s="139" t="s">
        <v>502</v>
      </c>
      <c r="C292" s="134"/>
      <c r="D292" s="134" t="s">
        <v>218</v>
      </c>
      <c r="E292" s="317"/>
      <c r="F292" s="330" t="s">
        <v>2204</v>
      </c>
      <c r="G292" s="135" t="s">
        <v>237</v>
      </c>
      <c r="H292" s="136">
        <v>1</v>
      </c>
      <c r="I292" s="136"/>
      <c r="J292" s="136"/>
      <c r="K292" s="137"/>
      <c r="L292" s="137"/>
      <c r="M292" s="137"/>
      <c r="N292" s="137"/>
      <c r="O292" s="139"/>
    </row>
    <row r="293" spans="1:15" ht="26.4" hidden="1" customHeight="1" outlineLevel="1">
      <c r="A293" s="141">
        <f>SUBTOTAL(3,$G$7:G293)</f>
        <v>166</v>
      </c>
      <c r="B293" s="139" t="s">
        <v>503</v>
      </c>
      <c r="C293" s="134"/>
      <c r="D293" s="134" t="s">
        <v>218</v>
      </c>
      <c r="E293" s="134"/>
      <c r="F293" s="330" t="s">
        <v>2204</v>
      </c>
      <c r="G293" s="135" t="s">
        <v>237</v>
      </c>
      <c r="H293" s="136">
        <v>1</v>
      </c>
      <c r="I293" s="136"/>
      <c r="J293" s="136"/>
      <c r="K293" s="137"/>
      <c r="L293" s="137"/>
      <c r="M293" s="137"/>
      <c r="N293" s="137"/>
      <c r="O293" s="139"/>
    </row>
    <row r="294" spans="1:15" ht="26.4" hidden="1" customHeight="1" outlineLevel="1">
      <c r="A294" s="141">
        <f>SUBTOTAL(3,$G$7:G294)</f>
        <v>166</v>
      </c>
      <c r="B294" s="139" t="s">
        <v>504</v>
      </c>
      <c r="C294" s="134"/>
      <c r="D294" s="134" t="s">
        <v>218</v>
      </c>
      <c r="E294" s="134"/>
      <c r="F294" s="330" t="s">
        <v>2204</v>
      </c>
      <c r="G294" s="135" t="s">
        <v>237</v>
      </c>
      <c r="H294" s="136">
        <v>1</v>
      </c>
      <c r="I294" s="136"/>
      <c r="J294" s="136"/>
      <c r="K294" s="137"/>
      <c r="L294" s="137"/>
      <c r="M294" s="137"/>
      <c r="N294" s="137"/>
      <c r="O294" s="139"/>
    </row>
    <row r="295" spans="1:15" ht="26.4" hidden="1" customHeight="1" outlineLevel="1">
      <c r="A295" s="141">
        <f>SUBTOTAL(3,$G$7:G295)</f>
        <v>166</v>
      </c>
      <c r="B295" s="139" t="s">
        <v>505</v>
      </c>
      <c r="C295" s="134"/>
      <c r="D295" s="134" t="s">
        <v>218</v>
      </c>
      <c r="E295" s="134"/>
      <c r="F295" s="330" t="s">
        <v>2204</v>
      </c>
      <c r="G295" s="135" t="s">
        <v>237</v>
      </c>
      <c r="H295" s="136">
        <v>1</v>
      </c>
      <c r="I295" s="136"/>
      <c r="J295" s="136"/>
      <c r="K295" s="137"/>
      <c r="L295" s="137"/>
      <c r="M295" s="137"/>
      <c r="N295" s="137"/>
      <c r="O295" s="139"/>
    </row>
    <row r="296" spans="1:15" ht="26.4" hidden="1" customHeight="1" outlineLevel="1">
      <c r="A296" s="141">
        <f>SUBTOTAL(3,$G$7:G296)</f>
        <v>166</v>
      </c>
      <c r="B296" s="139" t="s">
        <v>506</v>
      </c>
      <c r="C296" s="134"/>
      <c r="D296" s="134" t="s">
        <v>218</v>
      </c>
      <c r="E296" s="134"/>
      <c r="F296" s="330" t="s">
        <v>2204</v>
      </c>
      <c r="G296" s="135" t="s">
        <v>237</v>
      </c>
      <c r="H296" s="136">
        <v>1</v>
      </c>
      <c r="I296" s="136"/>
      <c r="J296" s="136"/>
      <c r="K296" s="137"/>
      <c r="L296" s="137"/>
      <c r="M296" s="137"/>
      <c r="N296" s="137"/>
      <c r="O296" s="139"/>
    </row>
    <row r="297" spans="1:15" ht="26.4" hidden="1" customHeight="1" outlineLevel="1">
      <c r="A297" s="141">
        <f>SUBTOTAL(3,$G$7:G297)</f>
        <v>166</v>
      </c>
      <c r="B297" s="139" t="s">
        <v>507</v>
      </c>
      <c r="C297" s="134"/>
      <c r="D297" s="134" t="s">
        <v>218</v>
      </c>
      <c r="E297" s="317"/>
      <c r="F297" s="330" t="s">
        <v>2204</v>
      </c>
      <c r="G297" s="135" t="s">
        <v>219</v>
      </c>
      <c r="H297" s="136">
        <v>2</v>
      </c>
      <c r="I297" s="136"/>
      <c r="J297" s="136"/>
      <c r="K297" s="137"/>
      <c r="L297" s="137"/>
      <c r="M297" s="137"/>
      <c r="N297" s="137"/>
      <c r="O297" s="139"/>
    </row>
    <row r="298" spans="1:15" ht="26.4" hidden="1" customHeight="1" outlineLevel="1">
      <c r="A298" s="141">
        <f>SUBTOTAL(3,$G$7:G298)</f>
        <v>166</v>
      </c>
      <c r="B298" s="139" t="s">
        <v>508</v>
      </c>
      <c r="C298" s="134"/>
      <c r="D298" s="134" t="s">
        <v>218</v>
      </c>
      <c r="E298" s="317"/>
      <c r="F298" s="330" t="s">
        <v>2204</v>
      </c>
      <c r="G298" s="135" t="s">
        <v>219</v>
      </c>
      <c r="H298" s="136">
        <v>2</v>
      </c>
      <c r="I298" s="136"/>
      <c r="J298" s="136"/>
      <c r="K298" s="137"/>
      <c r="L298" s="137"/>
      <c r="M298" s="137"/>
      <c r="N298" s="137"/>
      <c r="O298" s="139"/>
    </row>
    <row r="299" spans="1:15" ht="26.4" hidden="1" customHeight="1" outlineLevel="1">
      <c r="A299" s="141">
        <f>SUBTOTAL(3,$G$7:G299)</f>
        <v>166</v>
      </c>
      <c r="B299" s="139" t="s">
        <v>509</v>
      </c>
      <c r="C299" s="134"/>
      <c r="D299" s="134" t="s">
        <v>218</v>
      </c>
      <c r="E299" s="317"/>
      <c r="F299" s="330" t="s">
        <v>2204</v>
      </c>
      <c r="G299" s="135" t="s">
        <v>219</v>
      </c>
      <c r="H299" s="136">
        <v>2</v>
      </c>
      <c r="I299" s="136"/>
      <c r="J299" s="136"/>
      <c r="K299" s="137"/>
      <c r="L299" s="137"/>
      <c r="M299" s="137"/>
      <c r="N299" s="137"/>
      <c r="O299" s="139"/>
    </row>
    <row r="300" spans="1:15" ht="26.4" hidden="1" customHeight="1" outlineLevel="1">
      <c r="A300" s="141">
        <f>SUBTOTAL(3,$G$7:G300)</f>
        <v>166</v>
      </c>
      <c r="B300" s="139" t="s">
        <v>510</v>
      </c>
      <c r="C300" s="134"/>
      <c r="D300" s="134" t="s">
        <v>218</v>
      </c>
      <c r="E300" s="317"/>
      <c r="F300" s="330" t="s">
        <v>2204</v>
      </c>
      <c r="G300" s="135" t="s">
        <v>219</v>
      </c>
      <c r="H300" s="136">
        <v>2</v>
      </c>
      <c r="I300" s="136"/>
      <c r="J300" s="136"/>
      <c r="K300" s="137"/>
      <c r="L300" s="137"/>
      <c r="M300" s="137"/>
      <c r="N300" s="137"/>
      <c r="O300" s="139"/>
    </row>
    <row r="301" spans="1:15" ht="26.4" hidden="1" customHeight="1" outlineLevel="1">
      <c r="A301" s="141">
        <f>SUBTOTAL(3,$G$7:G301)</f>
        <v>166</v>
      </c>
      <c r="B301" s="139" t="s">
        <v>511</v>
      </c>
      <c r="C301" s="134"/>
      <c r="D301" s="134" t="s">
        <v>218</v>
      </c>
      <c r="E301" s="317"/>
      <c r="F301" s="330" t="s">
        <v>2204</v>
      </c>
      <c r="G301" s="135" t="s">
        <v>219</v>
      </c>
      <c r="H301" s="136">
        <v>2</v>
      </c>
      <c r="I301" s="136"/>
      <c r="J301" s="136"/>
      <c r="K301" s="137"/>
      <c r="L301" s="137"/>
      <c r="M301" s="137"/>
      <c r="N301" s="137"/>
      <c r="O301" s="139"/>
    </row>
    <row r="302" spans="1:15" ht="26.4" hidden="1" customHeight="1" outlineLevel="1">
      <c r="A302" s="141">
        <f>SUBTOTAL(3,$G$7:G302)</f>
        <v>166</v>
      </c>
      <c r="B302" s="139" t="s">
        <v>512</v>
      </c>
      <c r="C302" s="134"/>
      <c r="D302" s="134" t="s">
        <v>218</v>
      </c>
      <c r="E302" s="317"/>
      <c r="F302" s="330" t="s">
        <v>2204</v>
      </c>
      <c r="G302" s="135" t="s">
        <v>219</v>
      </c>
      <c r="H302" s="136">
        <v>2</v>
      </c>
      <c r="I302" s="136"/>
      <c r="J302" s="136"/>
      <c r="K302" s="137"/>
      <c r="L302" s="137"/>
      <c r="M302" s="137"/>
      <c r="N302" s="137"/>
      <c r="O302" s="139"/>
    </row>
    <row r="303" spans="1:15" ht="26.4" hidden="1" customHeight="1" outlineLevel="1">
      <c r="A303" s="141">
        <f>SUBTOTAL(3,$G$7:G303)</f>
        <v>166</v>
      </c>
      <c r="B303" s="139" t="s">
        <v>513</v>
      </c>
      <c r="C303" s="134"/>
      <c r="D303" s="134" t="s">
        <v>218</v>
      </c>
      <c r="E303" s="317"/>
      <c r="F303" s="330" t="s">
        <v>2204</v>
      </c>
      <c r="G303" s="135" t="s">
        <v>219</v>
      </c>
      <c r="H303" s="136">
        <v>2</v>
      </c>
      <c r="I303" s="136"/>
      <c r="J303" s="136"/>
      <c r="K303" s="137"/>
      <c r="L303" s="137"/>
      <c r="M303" s="137"/>
      <c r="N303" s="137"/>
      <c r="O303" s="139"/>
    </row>
    <row r="304" spans="1:15" ht="26.4" hidden="1" customHeight="1" outlineLevel="1">
      <c r="A304" s="141">
        <f>SUBTOTAL(3,$G$7:G304)</f>
        <v>166</v>
      </c>
      <c r="B304" s="139" t="s">
        <v>514</v>
      </c>
      <c r="C304" s="134"/>
      <c r="D304" s="134" t="s">
        <v>218</v>
      </c>
      <c r="E304" s="317"/>
      <c r="F304" s="330" t="s">
        <v>2204</v>
      </c>
      <c r="G304" s="135" t="s">
        <v>219</v>
      </c>
      <c r="H304" s="136">
        <v>2</v>
      </c>
      <c r="I304" s="136"/>
      <c r="J304" s="136"/>
      <c r="K304" s="137"/>
      <c r="L304" s="137"/>
      <c r="M304" s="137"/>
      <c r="N304" s="137"/>
      <c r="O304" s="139"/>
    </row>
    <row r="305" spans="1:15" ht="26.4" hidden="1" customHeight="1" outlineLevel="1">
      <c r="A305" s="141">
        <f>SUBTOTAL(3,$G$7:G305)</f>
        <v>166</v>
      </c>
      <c r="B305" s="139" t="s">
        <v>515</v>
      </c>
      <c r="C305" s="134"/>
      <c r="D305" s="134" t="s">
        <v>218</v>
      </c>
      <c r="E305" s="317"/>
      <c r="F305" s="330" t="s">
        <v>2204</v>
      </c>
      <c r="G305" s="135" t="s">
        <v>219</v>
      </c>
      <c r="H305" s="136">
        <v>2</v>
      </c>
      <c r="I305" s="136"/>
      <c r="J305" s="136"/>
      <c r="K305" s="137"/>
      <c r="L305" s="137"/>
      <c r="M305" s="137"/>
      <c r="N305" s="137"/>
      <c r="O305" s="139"/>
    </row>
    <row r="306" spans="1:15" ht="26.4" hidden="1" customHeight="1" outlineLevel="1">
      <c r="A306" s="141">
        <f>SUBTOTAL(3,$G$7:G306)</f>
        <v>166</v>
      </c>
      <c r="B306" s="139" t="s">
        <v>516</v>
      </c>
      <c r="C306" s="134"/>
      <c r="D306" s="134" t="s">
        <v>218</v>
      </c>
      <c r="E306" s="317"/>
      <c r="F306" s="330" t="s">
        <v>2204</v>
      </c>
      <c r="G306" s="135" t="s">
        <v>219</v>
      </c>
      <c r="H306" s="136">
        <v>2</v>
      </c>
      <c r="I306" s="136"/>
      <c r="J306" s="136"/>
      <c r="K306" s="137"/>
      <c r="L306" s="137"/>
      <c r="M306" s="137"/>
      <c r="N306" s="137"/>
      <c r="O306" s="139"/>
    </row>
    <row r="307" spans="1:15" ht="26.4" hidden="1" customHeight="1" outlineLevel="1">
      <c r="A307" s="141">
        <f>SUBTOTAL(3,$G$7:G307)</f>
        <v>166</v>
      </c>
      <c r="B307" s="139" t="s">
        <v>517</v>
      </c>
      <c r="C307" s="134"/>
      <c r="D307" s="134" t="s">
        <v>218</v>
      </c>
      <c r="E307" s="317"/>
      <c r="F307" s="330" t="s">
        <v>2204</v>
      </c>
      <c r="G307" s="135" t="s">
        <v>219</v>
      </c>
      <c r="H307" s="136">
        <v>2</v>
      </c>
      <c r="I307" s="136"/>
      <c r="J307" s="136"/>
      <c r="K307" s="137"/>
      <c r="L307" s="137"/>
      <c r="M307" s="137"/>
      <c r="N307" s="137"/>
      <c r="O307" s="139"/>
    </row>
    <row r="308" spans="1:15" ht="26.4" hidden="1" customHeight="1" outlineLevel="1">
      <c r="A308" s="141">
        <f>SUBTOTAL(3,$G$7:G308)</f>
        <v>166</v>
      </c>
      <c r="B308" s="139" t="s">
        <v>518</v>
      </c>
      <c r="C308" s="134"/>
      <c r="D308" s="134" t="s">
        <v>218</v>
      </c>
      <c r="E308" s="317"/>
      <c r="F308" s="330" t="s">
        <v>2204</v>
      </c>
      <c r="G308" s="135" t="s">
        <v>219</v>
      </c>
      <c r="H308" s="136">
        <v>2</v>
      </c>
      <c r="I308" s="136"/>
      <c r="J308" s="136"/>
      <c r="K308" s="137"/>
      <c r="L308" s="137"/>
      <c r="M308" s="137"/>
      <c r="N308" s="137"/>
      <c r="O308" s="139"/>
    </row>
    <row r="309" spans="1:15" ht="26.4" hidden="1" customHeight="1" outlineLevel="1">
      <c r="A309" s="141">
        <f>SUBTOTAL(3,$G$7:G309)</f>
        <v>166</v>
      </c>
      <c r="B309" s="139" t="s">
        <v>519</v>
      </c>
      <c r="C309" s="134"/>
      <c r="D309" s="134" t="s">
        <v>218</v>
      </c>
      <c r="E309" s="134"/>
      <c r="F309" s="330" t="s">
        <v>2204</v>
      </c>
      <c r="G309" s="135" t="s">
        <v>219</v>
      </c>
      <c r="H309" s="136">
        <v>16</v>
      </c>
      <c r="I309" s="136"/>
      <c r="J309" s="136"/>
      <c r="K309" s="137"/>
      <c r="L309" s="137"/>
      <c r="M309" s="137"/>
      <c r="N309" s="137"/>
      <c r="O309" s="139"/>
    </row>
    <row r="310" spans="1:15" ht="26.4" hidden="1" customHeight="1" outlineLevel="1">
      <c r="A310" s="141">
        <f>SUBTOTAL(3,$G$7:G310)</f>
        <v>166</v>
      </c>
      <c r="B310" s="139" t="s">
        <v>520</v>
      </c>
      <c r="C310" s="134"/>
      <c r="D310" s="134" t="s">
        <v>218</v>
      </c>
      <c r="E310" s="134"/>
      <c r="F310" s="330" t="s">
        <v>2204</v>
      </c>
      <c r="G310" s="135" t="s">
        <v>219</v>
      </c>
      <c r="H310" s="136">
        <v>1</v>
      </c>
      <c r="I310" s="136"/>
      <c r="J310" s="136"/>
      <c r="K310" s="137"/>
      <c r="L310" s="137"/>
      <c r="M310" s="137"/>
      <c r="N310" s="137"/>
      <c r="O310" s="139"/>
    </row>
    <row r="311" spans="1:15" ht="26.4" hidden="1" customHeight="1" outlineLevel="1">
      <c r="A311" s="141">
        <f>SUBTOTAL(3,$G$7:G311)</f>
        <v>166</v>
      </c>
      <c r="B311" s="139" t="s">
        <v>521</v>
      </c>
      <c r="C311" s="134"/>
      <c r="D311" s="134" t="s">
        <v>218</v>
      </c>
      <c r="E311" s="134"/>
      <c r="F311" s="330" t="s">
        <v>2204</v>
      </c>
      <c r="G311" s="135" t="s">
        <v>219</v>
      </c>
      <c r="H311" s="136">
        <v>28</v>
      </c>
      <c r="I311" s="136"/>
      <c r="J311" s="136"/>
      <c r="K311" s="137"/>
      <c r="L311" s="137"/>
      <c r="M311" s="137"/>
      <c r="N311" s="137"/>
      <c r="O311" s="139"/>
    </row>
    <row r="312" spans="1:15" ht="26.4" hidden="1" customHeight="1" outlineLevel="1">
      <c r="A312" s="141">
        <f>SUBTOTAL(3,$G$7:G312)</f>
        <v>166</v>
      </c>
      <c r="B312" s="139" t="s">
        <v>522</v>
      </c>
      <c r="C312" s="134"/>
      <c r="D312" s="134" t="s">
        <v>218</v>
      </c>
      <c r="E312" s="317"/>
      <c r="F312" s="330" t="s">
        <v>2204</v>
      </c>
      <c r="G312" s="135" t="s">
        <v>219</v>
      </c>
      <c r="H312" s="136">
        <v>1</v>
      </c>
      <c r="I312" s="136"/>
      <c r="J312" s="136"/>
      <c r="K312" s="137"/>
      <c r="L312" s="137"/>
      <c r="M312" s="137"/>
      <c r="N312" s="137"/>
      <c r="O312" s="139"/>
    </row>
    <row r="313" spans="1:15" ht="26.4" hidden="1" customHeight="1" outlineLevel="1">
      <c r="A313" s="141">
        <f>SUBTOTAL(3,$G$7:G313)</f>
        <v>166</v>
      </c>
      <c r="B313" s="139" t="s">
        <v>523</v>
      </c>
      <c r="C313" s="134"/>
      <c r="D313" s="134" t="s">
        <v>218</v>
      </c>
      <c r="E313" s="317"/>
      <c r="F313" s="330" t="s">
        <v>2204</v>
      </c>
      <c r="G313" s="135" t="s">
        <v>219</v>
      </c>
      <c r="H313" s="136">
        <v>1</v>
      </c>
      <c r="I313" s="136"/>
      <c r="J313" s="136"/>
      <c r="K313" s="137"/>
      <c r="L313" s="137"/>
      <c r="M313" s="137"/>
      <c r="N313" s="137"/>
      <c r="O313" s="139"/>
    </row>
    <row r="314" spans="1:15" ht="26.4" hidden="1" customHeight="1" outlineLevel="1">
      <c r="A314" s="141">
        <f>SUBTOTAL(3,$G$7:G314)</f>
        <v>166</v>
      </c>
      <c r="B314" s="139" t="s">
        <v>524</v>
      </c>
      <c r="C314" s="134"/>
      <c r="D314" s="134" t="s">
        <v>218</v>
      </c>
      <c r="E314" s="317"/>
      <c r="F314" s="330" t="s">
        <v>2204</v>
      </c>
      <c r="G314" s="135" t="s">
        <v>219</v>
      </c>
      <c r="H314" s="136">
        <v>1</v>
      </c>
      <c r="I314" s="136"/>
      <c r="J314" s="136"/>
      <c r="K314" s="137"/>
      <c r="L314" s="137"/>
      <c r="M314" s="137"/>
      <c r="N314" s="137"/>
      <c r="O314" s="139"/>
    </row>
    <row r="315" spans="1:15" outlineLevel="1">
      <c r="A315" s="141">
        <f>SUBTOTAL(3,$G$7:G315)</f>
        <v>167</v>
      </c>
      <c r="B315" s="139" t="s">
        <v>525</v>
      </c>
      <c r="C315" s="134"/>
      <c r="D315" s="134" t="s">
        <v>326</v>
      </c>
      <c r="E315" s="134"/>
      <c r="F315" s="329"/>
      <c r="G315" s="135" t="s">
        <v>219</v>
      </c>
      <c r="H315" s="136">
        <v>62</v>
      </c>
      <c r="I315" s="136"/>
      <c r="J315" s="136"/>
      <c r="K315" s="137"/>
      <c r="L315" s="137"/>
      <c r="M315" s="137"/>
      <c r="N315" s="137"/>
      <c r="O315" s="139"/>
    </row>
    <row r="316" spans="1:15" outlineLevel="1">
      <c r="A316" s="141">
        <f>SUBTOTAL(3,$G$7:G316)</f>
        <v>168</v>
      </c>
      <c r="B316" s="139" t="s">
        <v>526</v>
      </c>
      <c r="C316" s="134"/>
      <c r="D316" s="134" t="s">
        <v>326</v>
      </c>
      <c r="E316" s="134"/>
      <c r="F316" s="329"/>
      <c r="G316" s="135" t="s">
        <v>219</v>
      </c>
      <c r="H316" s="136">
        <v>2</v>
      </c>
      <c r="I316" s="136"/>
      <c r="J316" s="136"/>
      <c r="K316" s="137"/>
      <c r="L316" s="137"/>
      <c r="M316" s="137"/>
      <c r="N316" s="137"/>
      <c r="O316" s="139"/>
    </row>
    <row r="317" spans="1:15" outlineLevel="1">
      <c r="A317" s="141">
        <f>SUBTOTAL(3,$G$7:G317)</f>
        <v>169</v>
      </c>
      <c r="B317" s="139" t="s">
        <v>527</v>
      </c>
      <c r="C317" s="134"/>
      <c r="D317" s="134" t="s">
        <v>326</v>
      </c>
      <c r="E317" s="134"/>
      <c r="F317" s="329"/>
      <c r="G317" s="135" t="s">
        <v>219</v>
      </c>
      <c r="H317" s="136">
        <v>2</v>
      </c>
      <c r="I317" s="136"/>
      <c r="J317" s="136"/>
      <c r="K317" s="137"/>
      <c r="L317" s="137"/>
      <c r="M317" s="137"/>
      <c r="N317" s="137"/>
      <c r="O317" s="139"/>
    </row>
    <row r="318" spans="1:15" outlineLevel="1">
      <c r="A318" s="141">
        <f>SUBTOTAL(3,$G$7:G318)</f>
        <v>170</v>
      </c>
      <c r="B318" s="139" t="s">
        <v>528</v>
      </c>
      <c r="C318" s="134"/>
      <c r="D318" s="134" t="s">
        <v>326</v>
      </c>
      <c r="E318" s="134"/>
      <c r="F318" s="329"/>
      <c r="G318" s="135" t="s">
        <v>219</v>
      </c>
      <c r="H318" s="136">
        <v>4</v>
      </c>
      <c r="I318" s="136"/>
      <c r="J318" s="136"/>
      <c r="K318" s="137"/>
      <c r="L318" s="137"/>
      <c r="M318" s="137"/>
      <c r="N318" s="137"/>
      <c r="O318" s="139"/>
    </row>
    <row r="319" spans="1:15" outlineLevel="1">
      <c r="A319" s="141">
        <f>SUBTOTAL(3,$G$7:G319)</f>
        <v>171</v>
      </c>
      <c r="B319" s="139" t="s">
        <v>529</v>
      </c>
      <c r="C319" s="134"/>
      <c r="D319" s="134" t="s">
        <v>326</v>
      </c>
      <c r="E319" s="134"/>
      <c r="F319" s="329"/>
      <c r="G319" s="135" t="s">
        <v>219</v>
      </c>
      <c r="H319" s="136">
        <v>2</v>
      </c>
      <c r="I319" s="136"/>
      <c r="J319" s="136"/>
      <c r="K319" s="137"/>
      <c r="L319" s="137"/>
      <c r="M319" s="137"/>
      <c r="N319" s="137"/>
      <c r="O319" s="139"/>
    </row>
    <row r="320" spans="1:15" outlineLevel="1">
      <c r="A320" s="141">
        <f>SUBTOTAL(3,$G$7:G320)</f>
        <v>172</v>
      </c>
      <c r="B320" s="139" t="s">
        <v>526</v>
      </c>
      <c r="C320" s="134"/>
      <c r="D320" s="134" t="s">
        <v>326</v>
      </c>
      <c r="E320" s="134"/>
      <c r="F320" s="329"/>
      <c r="G320" s="135" t="s">
        <v>219</v>
      </c>
      <c r="H320" s="136">
        <v>1</v>
      </c>
      <c r="I320" s="136"/>
      <c r="J320" s="136"/>
      <c r="K320" s="137"/>
      <c r="L320" s="137"/>
      <c r="M320" s="137"/>
      <c r="N320" s="137"/>
      <c r="O320" s="139"/>
    </row>
    <row r="321" spans="1:15" outlineLevel="1">
      <c r="A321" s="141">
        <f>SUBTOTAL(3,$G$7:G321)</f>
        <v>173</v>
      </c>
      <c r="B321" s="139" t="s">
        <v>530</v>
      </c>
      <c r="C321" s="134"/>
      <c r="D321" s="134" t="s">
        <v>326</v>
      </c>
      <c r="E321" s="134"/>
      <c r="F321" s="329"/>
      <c r="G321" s="135" t="s">
        <v>219</v>
      </c>
      <c r="H321" s="136">
        <v>1</v>
      </c>
      <c r="I321" s="136"/>
      <c r="J321" s="136"/>
      <c r="K321" s="137"/>
      <c r="L321" s="137"/>
      <c r="M321" s="137"/>
      <c r="N321" s="137"/>
      <c r="O321" s="139"/>
    </row>
    <row r="322" spans="1:15" outlineLevel="1">
      <c r="A322" s="141">
        <f>SUBTOTAL(3,$G$7:G322)</f>
        <v>174</v>
      </c>
      <c r="B322" s="139" t="s">
        <v>531</v>
      </c>
      <c r="C322" s="134"/>
      <c r="D322" s="134" t="s">
        <v>326</v>
      </c>
      <c r="E322" s="134"/>
      <c r="F322" s="329"/>
      <c r="G322" s="135" t="s">
        <v>219</v>
      </c>
      <c r="H322" s="136">
        <v>1</v>
      </c>
      <c r="I322" s="136"/>
      <c r="J322" s="136"/>
      <c r="K322" s="137"/>
      <c r="L322" s="137"/>
      <c r="M322" s="137"/>
      <c r="N322" s="137"/>
      <c r="O322" s="139"/>
    </row>
    <row r="323" spans="1:15" outlineLevel="1">
      <c r="A323" s="141">
        <f>SUBTOTAL(3,$G$7:G323)</f>
        <v>175</v>
      </c>
      <c r="B323" s="139" t="s">
        <v>532</v>
      </c>
      <c r="C323" s="134"/>
      <c r="D323" s="134" t="s">
        <v>326</v>
      </c>
      <c r="E323" s="134"/>
      <c r="F323" s="329"/>
      <c r="G323" s="135" t="s">
        <v>219</v>
      </c>
      <c r="H323" s="136">
        <v>1</v>
      </c>
      <c r="I323" s="136"/>
      <c r="J323" s="136"/>
      <c r="K323" s="137"/>
      <c r="L323" s="137"/>
      <c r="M323" s="137"/>
      <c r="N323" s="137"/>
      <c r="O323" s="139"/>
    </row>
    <row r="324" spans="1:15" outlineLevel="1">
      <c r="A324" s="141">
        <f>SUBTOTAL(3,$G$7:G324)</f>
        <v>176</v>
      </c>
      <c r="B324" s="139" t="s">
        <v>533</v>
      </c>
      <c r="C324" s="134"/>
      <c r="D324" s="134" t="s">
        <v>326</v>
      </c>
      <c r="E324" s="134"/>
      <c r="F324" s="329"/>
      <c r="G324" s="135" t="s">
        <v>219</v>
      </c>
      <c r="H324" s="136">
        <v>1</v>
      </c>
      <c r="I324" s="136"/>
      <c r="J324" s="136"/>
      <c r="K324" s="137"/>
      <c r="L324" s="137"/>
      <c r="M324" s="137"/>
      <c r="N324" s="137"/>
      <c r="O324" s="139"/>
    </row>
    <row r="325" spans="1:15" outlineLevel="1">
      <c r="A325" s="141">
        <f>SUBTOTAL(3,$G$7:G325)</f>
        <v>177</v>
      </c>
      <c r="B325" s="139" t="s">
        <v>527</v>
      </c>
      <c r="C325" s="134"/>
      <c r="D325" s="134" t="s">
        <v>326</v>
      </c>
      <c r="E325" s="134"/>
      <c r="F325" s="329"/>
      <c r="G325" s="135" t="s">
        <v>287</v>
      </c>
      <c r="H325" s="136">
        <v>9</v>
      </c>
      <c r="I325" s="136"/>
      <c r="J325" s="136"/>
      <c r="K325" s="137"/>
      <c r="L325" s="137"/>
      <c r="M325" s="137"/>
      <c r="N325" s="137"/>
      <c r="O325" s="139"/>
    </row>
    <row r="326" spans="1:15" outlineLevel="1">
      <c r="A326" s="141">
        <f>SUBTOTAL(3,$G$7:G326)</f>
        <v>178</v>
      </c>
      <c r="B326" s="139" t="s">
        <v>529</v>
      </c>
      <c r="C326" s="134"/>
      <c r="D326" s="134" t="s">
        <v>326</v>
      </c>
      <c r="E326" s="134"/>
      <c r="F326" s="329"/>
      <c r="G326" s="135" t="s">
        <v>287</v>
      </c>
      <c r="H326" s="136">
        <v>7</v>
      </c>
      <c r="I326" s="136"/>
      <c r="J326" s="136"/>
      <c r="K326" s="137"/>
      <c r="L326" s="137"/>
      <c r="M326" s="137"/>
      <c r="N326" s="137"/>
      <c r="O326" s="139"/>
    </row>
    <row r="327" spans="1:15" outlineLevel="1">
      <c r="A327" s="141">
        <f>SUBTOTAL(3,$G$7:G327)</f>
        <v>179</v>
      </c>
      <c r="B327" s="139" t="s">
        <v>534</v>
      </c>
      <c r="C327" s="134"/>
      <c r="D327" s="134" t="s">
        <v>326</v>
      </c>
      <c r="E327" s="134"/>
      <c r="F327" s="329"/>
      <c r="G327" s="135" t="s">
        <v>287</v>
      </c>
      <c r="H327" s="136">
        <v>7</v>
      </c>
      <c r="I327" s="136"/>
      <c r="J327" s="136"/>
      <c r="K327" s="137"/>
      <c r="L327" s="137"/>
      <c r="M327" s="137"/>
      <c r="N327" s="137"/>
      <c r="O327" s="139"/>
    </row>
    <row r="328" spans="1:15" outlineLevel="1">
      <c r="A328" s="141">
        <f>SUBTOTAL(3,$G$7:G328)</f>
        <v>180</v>
      </c>
      <c r="B328" s="139" t="s">
        <v>535</v>
      </c>
      <c r="C328" s="134"/>
      <c r="D328" s="134" t="s">
        <v>326</v>
      </c>
      <c r="E328" s="134"/>
      <c r="F328" s="329"/>
      <c r="G328" s="135" t="s">
        <v>287</v>
      </c>
      <c r="H328" s="136">
        <v>5</v>
      </c>
      <c r="I328" s="136"/>
      <c r="J328" s="136"/>
      <c r="K328" s="137"/>
      <c r="L328" s="137"/>
      <c r="M328" s="137"/>
      <c r="N328" s="137"/>
      <c r="O328" s="139"/>
    </row>
    <row r="329" spans="1:15" ht="26.4" customHeight="1" outlineLevel="1">
      <c r="A329" s="141">
        <f>SUBTOTAL(3,$G$7:G329)</f>
        <v>181</v>
      </c>
      <c r="B329" s="139" t="s">
        <v>536</v>
      </c>
      <c r="C329" s="134"/>
      <c r="D329" s="134" t="s">
        <v>246</v>
      </c>
      <c r="E329" s="134"/>
      <c r="F329" s="329"/>
      <c r="G329" s="135" t="s">
        <v>219</v>
      </c>
      <c r="H329" s="136">
        <v>2</v>
      </c>
      <c r="I329" s="136"/>
      <c r="J329" s="136"/>
      <c r="K329" s="137"/>
      <c r="L329" s="137"/>
      <c r="M329" s="137"/>
      <c r="N329" s="137"/>
      <c r="O329" s="139"/>
    </row>
    <row r="330" spans="1:15" ht="26.4" customHeight="1" outlineLevel="1">
      <c r="A330" s="141">
        <f>SUBTOTAL(3,$G$7:G330)</f>
        <v>182</v>
      </c>
      <c r="B330" s="139" t="s">
        <v>537</v>
      </c>
      <c r="C330" s="134"/>
      <c r="D330" s="134" t="s">
        <v>246</v>
      </c>
      <c r="E330" s="134"/>
      <c r="F330" s="329"/>
      <c r="G330" s="135" t="s">
        <v>219</v>
      </c>
      <c r="H330" s="136">
        <v>2</v>
      </c>
      <c r="I330" s="136"/>
      <c r="J330" s="136"/>
      <c r="K330" s="137"/>
      <c r="L330" s="137"/>
      <c r="M330" s="137"/>
      <c r="N330" s="137"/>
      <c r="O330" s="139"/>
    </row>
    <row r="331" spans="1:15" ht="26.4" customHeight="1" outlineLevel="1">
      <c r="A331" s="141">
        <f>SUBTOTAL(3,$G$7:G331)</f>
        <v>183</v>
      </c>
      <c r="B331" s="139" t="s">
        <v>538</v>
      </c>
      <c r="C331" s="134"/>
      <c r="D331" s="134" t="s">
        <v>246</v>
      </c>
      <c r="E331" s="134"/>
      <c r="F331" s="329"/>
      <c r="G331" s="135" t="s">
        <v>219</v>
      </c>
      <c r="H331" s="136">
        <v>1</v>
      </c>
      <c r="I331" s="136"/>
      <c r="J331" s="136"/>
      <c r="K331" s="137"/>
      <c r="L331" s="137"/>
      <c r="M331" s="137"/>
      <c r="N331" s="137"/>
      <c r="O331" s="139"/>
    </row>
    <row r="332" spans="1:15" ht="26.4" customHeight="1" outlineLevel="1">
      <c r="A332" s="141">
        <f>SUBTOTAL(3,$G$7:G332)</f>
        <v>184</v>
      </c>
      <c r="B332" s="139" t="s">
        <v>539</v>
      </c>
      <c r="C332" s="134"/>
      <c r="D332" s="134" t="s">
        <v>246</v>
      </c>
      <c r="E332" s="134"/>
      <c r="F332" s="329"/>
      <c r="G332" s="135" t="s">
        <v>219</v>
      </c>
      <c r="H332" s="136">
        <v>1</v>
      </c>
      <c r="I332" s="136"/>
      <c r="J332" s="136"/>
      <c r="K332" s="137"/>
      <c r="L332" s="137"/>
      <c r="M332" s="137"/>
      <c r="N332" s="137"/>
      <c r="O332" s="139"/>
    </row>
    <row r="333" spans="1:15" ht="26.4" customHeight="1" outlineLevel="1">
      <c r="A333" s="141">
        <f>SUBTOTAL(3,$G$7:G333)</f>
        <v>185</v>
      </c>
      <c r="B333" s="139" t="s">
        <v>540</v>
      </c>
      <c r="C333" s="134"/>
      <c r="D333" s="134" t="s">
        <v>246</v>
      </c>
      <c r="E333" s="134"/>
      <c r="F333" s="329"/>
      <c r="G333" s="135" t="s">
        <v>219</v>
      </c>
      <c r="H333" s="136">
        <v>1</v>
      </c>
      <c r="I333" s="136"/>
      <c r="J333" s="136"/>
      <c r="K333" s="137"/>
      <c r="L333" s="137"/>
      <c r="M333" s="137"/>
      <c r="N333" s="137"/>
      <c r="O333" s="139"/>
    </row>
    <row r="334" spans="1:15" outlineLevel="1">
      <c r="A334" s="141">
        <f>SUBTOTAL(3,$G$7:G334)</f>
        <v>186</v>
      </c>
      <c r="B334" s="139" t="s">
        <v>541</v>
      </c>
      <c r="C334" s="317" t="s">
        <v>254</v>
      </c>
      <c r="D334" s="134" t="s">
        <v>326</v>
      </c>
      <c r="E334" s="317" t="s">
        <v>241</v>
      </c>
      <c r="F334" s="330"/>
      <c r="G334" s="135" t="s">
        <v>219</v>
      </c>
      <c r="H334" s="136">
        <v>61</v>
      </c>
      <c r="I334" s="136"/>
      <c r="J334" s="136"/>
      <c r="K334" s="137"/>
      <c r="L334" s="137"/>
      <c r="M334" s="137"/>
      <c r="N334" s="137"/>
      <c r="O334" s="139"/>
    </row>
    <row r="335" spans="1:15" outlineLevel="1">
      <c r="A335" s="141">
        <f>SUBTOTAL(3,$G$7:G335)</f>
        <v>187</v>
      </c>
      <c r="B335" s="139" t="s">
        <v>542</v>
      </c>
      <c r="C335" s="317" t="s">
        <v>254</v>
      </c>
      <c r="D335" s="134" t="s">
        <v>326</v>
      </c>
      <c r="E335" s="317" t="s">
        <v>241</v>
      </c>
      <c r="F335" s="330"/>
      <c r="G335" s="135" t="s">
        <v>219</v>
      </c>
      <c r="H335" s="136">
        <v>78</v>
      </c>
      <c r="I335" s="136"/>
      <c r="J335" s="136"/>
      <c r="K335" s="137"/>
      <c r="L335" s="137"/>
      <c r="M335" s="137"/>
      <c r="N335" s="137"/>
      <c r="O335" s="139"/>
    </row>
    <row r="336" spans="1:15" outlineLevel="1">
      <c r="A336" s="141">
        <f>SUBTOTAL(3,$G$7:G336)</f>
        <v>188</v>
      </c>
      <c r="B336" s="139" t="s">
        <v>458</v>
      </c>
      <c r="C336" s="134"/>
      <c r="D336" s="134" t="s">
        <v>326</v>
      </c>
      <c r="E336" s="134"/>
      <c r="F336" s="329"/>
      <c r="G336" s="135" t="s">
        <v>219</v>
      </c>
      <c r="H336" s="136">
        <v>78</v>
      </c>
      <c r="I336" s="136"/>
      <c r="J336" s="136"/>
      <c r="K336" s="137"/>
      <c r="L336" s="137"/>
      <c r="M336" s="137"/>
      <c r="N336" s="137"/>
      <c r="O336" s="139"/>
    </row>
    <row r="337" spans="1:15" outlineLevel="1">
      <c r="A337" s="141">
        <f>SUBTOTAL(3,$G$7:G337)</f>
        <v>189</v>
      </c>
      <c r="B337" s="139" t="s">
        <v>459</v>
      </c>
      <c r="C337" s="134"/>
      <c r="D337" s="134" t="s">
        <v>326</v>
      </c>
      <c r="E337" s="134"/>
      <c r="F337" s="329"/>
      <c r="G337" s="135" t="s">
        <v>219</v>
      </c>
      <c r="H337" s="136">
        <v>78</v>
      </c>
      <c r="I337" s="136"/>
      <c r="J337" s="136"/>
      <c r="K337" s="137"/>
      <c r="L337" s="137"/>
      <c r="M337" s="137"/>
      <c r="N337" s="137"/>
      <c r="O337" s="139"/>
    </row>
    <row r="338" spans="1:15" outlineLevel="1">
      <c r="A338" s="141">
        <f>SUBTOTAL(3,$G$7:G338)</f>
        <v>190</v>
      </c>
      <c r="B338" s="139" t="s">
        <v>543</v>
      </c>
      <c r="C338" s="317" t="s">
        <v>239</v>
      </c>
      <c r="D338" s="134" t="s">
        <v>326</v>
      </c>
      <c r="E338" s="317" t="s">
        <v>241</v>
      </c>
      <c r="F338" s="330"/>
      <c r="G338" s="135" t="s">
        <v>219</v>
      </c>
      <c r="H338" s="136">
        <v>38</v>
      </c>
      <c r="I338" s="136"/>
      <c r="J338" s="136"/>
      <c r="K338" s="137"/>
      <c r="L338" s="137"/>
      <c r="M338" s="137"/>
      <c r="N338" s="137"/>
      <c r="O338" s="139"/>
    </row>
    <row r="339" spans="1:15" outlineLevel="1">
      <c r="A339" s="141">
        <f>SUBTOTAL(3,$G$7:G339)</f>
        <v>191</v>
      </c>
      <c r="B339" s="139" t="s">
        <v>544</v>
      </c>
      <c r="C339" s="317" t="s">
        <v>239</v>
      </c>
      <c r="D339" s="134" t="s">
        <v>326</v>
      </c>
      <c r="E339" s="317" t="s">
        <v>241</v>
      </c>
      <c r="F339" s="330"/>
      <c r="G339" s="135" t="s">
        <v>219</v>
      </c>
      <c r="H339" s="136">
        <v>20</v>
      </c>
      <c r="I339" s="136"/>
      <c r="J339" s="136"/>
      <c r="K339" s="137"/>
      <c r="L339" s="137"/>
      <c r="M339" s="137"/>
      <c r="N339" s="137"/>
      <c r="O339" s="139"/>
    </row>
    <row r="340" spans="1:15" outlineLevel="1">
      <c r="A340" s="141">
        <f>SUBTOTAL(3,$G$7:G340)</f>
        <v>192</v>
      </c>
      <c r="B340" s="139" t="s">
        <v>545</v>
      </c>
      <c r="C340" s="317" t="s">
        <v>239</v>
      </c>
      <c r="D340" s="134" t="s">
        <v>326</v>
      </c>
      <c r="E340" s="317" t="s">
        <v>241</v>
      </c>
      <c r="F340" s="330"/>
      <c r="G340" s="135" t="s">
        <v>219</v>
      </c>
      <c r="H340" s="136">
        <v>6</v>
      </c>
      <c r="I340" s="136"/>
      <c r="J340" s="136"/>
      <c r="K340" s="137"/>
      <c r="L340" s="137"/>
      <c r="M340" s="137"/>
      <c r="N340" s="137"/>
      <c r="O340" s="139"/>
    </row>
    <row r="341" spans="1:15" outlineLevel="1">
      <c r="A341" s="141">
        <f>SUBTOTAL(3,$G$7:G341)</f>
        <v>193</v>
      </c>
      <c r="B341" s="139" t="s">
        <v>546</v>
      </c>
      <c r="C341" s="317" t="s">
        <v>239</v>
      </c>
      <c r="D341" s="134" t="s">
        <v>326</v>
      </c>
      <c r="E341" s="317" t="s">
        <v>241</v>
      </c>
      <c r="F341" s="330"/>
      <c r="G341" s="135" t="s">
        <v>219</v>
      </c>
      <c r="H341" s="136">
        <v>1</v>
      </c>
      <c r="I341" s="136"/>
      <c r="J341" s="136"/>
      <c r="K341" s="137"/>
      <c r="L341" s="137"/>
      <c r="M341" s="137"/>
      <c r="N341" s="137"/>
      <c r="O341" s="139"/>
    </row>
    <row r="342" spans="1:15" outlineLevel="1">
      <c r="A342" s="141">
        <f>SUBTOTAL(3,$G$7:G342)</f>
        <v>194</v>
      </c>
      <c r="B342" s="139" t="s">
        <v>547</v>
      </c>
      <c r="C342" s="317" t="s">
        <v>239</v>
      </c>
      <c r="D342" s="134" t="s">
        <v>326</v>
      </c>
      <c r="E342" s="317" t="s">
        <v>241</v>
      </c>
      <c r="F342" s="330"/>
      <c r="G342" s="135" t="s">
        <v>219</v>
      </c>
      <c r="H342" s="136">
        <v>1</v>
      </c>
      <c r="I342" s="136"/>
      <c r="J342" s="136"/>
      <c r="K342" s="137"/>
      <c r="L342" s="137"/>
      <c r="M342" s="137"/>
      <c r="N342" s="137"/>
      <c r="O342" s="139"/>
    </row>
    <row r="343" spans="1:15" outlineLevel="1">
      <c r="A343" s="141">
        <f>SUBTOTAL(3,$G$7:G343)</f>
        <v>195</v>
      </c>
      <c r="B343" s="139" t="s">
        <v>548</v>
      </c>
      <c r="C343" s="317" t="s">
        <v>239</v>
      </c>
      <c r="D343" s="134" t="s">
        <v>326</v>
      </c>
      <c r="E343" s="317" t="s">
        <v>241</v>
      </c>
      <c r="F343" s="330"/>
      <c r="G343" s="135" t="s">
        <v>219</v>
      </c>
      <c r="H343" s="136">
        <v>10</v>
      </c>
      <c r="I343" s="136"/>
      <c r="J343" s="136"/>
      <c r="K343" s="137"/>
      <c r="L343" s="137"/>
      <c r="M343" s="137"/>
      <c r="N343" s="137"/>
      <c r="O343" s="139"/>
    </row>
    <row r="344" spans="1:15" outlineLevel="1">
      <c r="A344" s="141">
        <f>SUBTOTAL(3,$G$7:G344)</f>
        <v>196</v>
      </c>
      <c r="B344" s="139" t="s">
        <v>441</v>
      </c>
      <c r="C344" s="317" t="s">
        <v>239</v>
      </c>
      <c r="D344" s="134" t="s">
        <v>326</v>
      </c>
      <c r="E344" s="317" t="s">
        <v>241</v>
      </c>
      <c r="F344" s="330"/>
      <c r="G344" s="135" t="s">
        <v>219</v>
      </c>
      <c r="H344" s="136">
        <v>12</v>
      </c>
      <c r="I344" s="136"/>
      <c r="J344" s="136"/>
      <c r="K344" s="137"/>
      <c r="L344" s="137"/>
      <c r="M344" s="137"/>
      <c r="N344" s="137"/>
      <c r="O344" s="139"/>
    </row>
    <row r="345" spans="1:15" outlineLevel="1">
      <c r="A345" s="141">
        <f>SUBTOTAL(3,$G$7:G345)</f>
        <v>197</v>
      </c>
      <c r="B345" s="139" t="s">
        <v>549</v>
      </c>
      <c r="C345" s="317" t="s">
        <v>261</v>
      </c>
      <c r="D345" s="134" t="s">
        <v>326</v>
      </c>
      <c r="E345" s="317" t="s">
        <v>236</v>
      </c>
      <c r="F345" s="330"/>
      <c r="G345" s="135" t="s">
        <v>219</v>
      </c>
      <c r="H345" s="136">
        <v>62</v>
      </c>
      <c r="I345" s="136"/>
      <c r="J345" s="136"/>
      <c r="K345" s="137"/>
      <c r="L345" s="137"/>
      <c r="M345" s="137"/>
      <c r="N345" s="137"/>
      <c r="O345" s="139"/>
    </row>
    <row r="346" spans="1:15" outlineLevel="1">
      <c r="A346" s="141">
        <f>SUBTOTAL(3,$G$7:G346)</f>
        <v>198</v>
      </c>
      <c r="B346" s="139" t="s">
        <v>550</v>
      </c>
      <c r="C346" s="317" t="s">
        <v>261</v>
      </c>
      <c r="D346" s="134" t="s">
        <v>326</v>
      </c>
      <c r="E346" s="317" t="s">
        <v>236</v>
      </c>
      <c r="F346" s="330"/>
      <c r="G346" s="135" t="s">
        <v>219</v>
      </c>
      <c r="H346" s="136">
        <v>2</v>
      </c>
      <c r="I346" s="136"/>
      <c r="J346" s="136"/>
      <c r="K346" s="137"/>
      <c r="L346" s="137"/>
      <c r="M346" s="137"/>
      <c r="N346" s="137"/>
      <c r="O346" s="139"/>
    </row>
    <row r="347" spans="1:15" outlineLevel="1">
      <c r="A347" s="141">
        <f>SUBTOTAL(3,$G$7:G347)</f>
        <v>199</v>
      </c>
      <c r="B347" s="139" t="s">
        <v>551</v>
      </c>
      <c r="C347" s="317" t="s">
        <v>261</v>
      </c>
      <c r="D347" s="134" t="s">
        <v>326</v>
      </c>
      <c r="E347" s="317" t="s">
        <v>236</v>
      </c>
      <c r="F347" s="330"/>
      <c r="G347" s="135" t="s">
        <v>219</v>
      </c>
      <c r="H347" s="136">
        <v>5</v>
      </c>
      <c r="I347" s="136"/>
      <c r="J347" s="136"/>
      <c r="K347" s="137"/>
      <c r="L347" s="137"/>
      <c r="M347" s="137"/>
      <c r="N347" s="137"/>
      <c r="O347" s="139"/>
    </row>
    <row r="348" spans="1:15" outlineLevel="1">
      <c r="A348" s="141">
        <f>SUBTOTAL(3,$G$7:G348)</f>
        <v>200</v>
      </c>
      <c r="B348" s="139" t="s">
        <v>552</v>
      </c>
      <c r="C348" s="317" t="s">
        <v>261</v>
      </c>
      <c r="D348" s="134" t="s">
        <v>326</v>
      </c>
      <c r="E348" s="317" t="s">
        <v>236</v>
      </c>
      <c r="F348" s="330"/>
      <c r="G348" s="135" t="s">
        <v>219</v>
      </c>
      <c r="H348" s="136">
        <v>3</v>
      </c>
      <c r="I348" s="136"/>
      <c r="J348" s="136"/>
      <c r="K348" s="137"/>
      <c r="L348" s="137"/>
      <c r="M348" s="137"/>
      <c r="N348" s="137"/>
      <c r="O348" s="139"/>
    </row>
    <row r="349" spans="1:15" outlineLevel="1">
      <c r="A349" s="141">
        <f>SUBTOTAL(3,$G$7:G349)</f>
        <v>201</v>
      </c>
      <c r="B349" s="139" t="s">
        <v>553</v>
      </c>
      <c r="C349" s="317" t="s">
        <v>261</v>
      </c>
      <c r="D349" s="134" t="s">
        <v>326</v>
      </c>
      <c r="E349" s="317" t="s">
        <v>236</v>
      </c>
      <c r="F349" s="330"/>
      <c r="G349" s="135" t="s">
        <v>219</v>
      </c>
      <c r="H349" s="136">
        <v>1</v>
      </c>
      <c r="I349" s="136"/>
      <c r="J349" s="136"/>
      <c r="K349" s="137"/>
      <c r="L349" s="137"/>
      <c r="M349" s="137"/>
      <c r="N349" s="137"/>
      <c r="O349" s="139"/>
    </row>
    <row r="350" spans="1:15" outlineLevel="1">
      <c r="A350" s="141">
        <f>SUBTOTAL(3,$G$7:G350)</f>
        <v>202</v>
      </c>
      <c r="B350" s="139" t="s">
        <v>554</v>
      </c>
      <c r="C350" s="317" t="s">
        <v>261</v>
      </c>
      <c r="D350" s="134" t="s">
        <v>326</v>
      </c>
      <c r="E350" s="317" t="s">
        <v>236</v>
      </c>
      <c r="F350" s="330"/>
      <c r="G350" s="135" t="s">
        <v>219</v>
      </c>
      <c r="H350" s="136">
        <v>3</v>
      </c>
      <c r="I350" s="136"/>
      <c r="J350" s="136"/>
      <c r="K350" s="137"/>
      <c r="L350" s="137"/>
      <c r="M350" s="137"/>
      <c r="N350" s="137"/>
      <c r="O350" s="139"/>
    </row>
    <row r="351" spans="1:15" outlineLevel="1">
      <c r="A351" s="141">
        <f>SUBTOTAL(3,$G$7:G351)</f>
        <v>203</v>
      </c>
      <c r="B351" s="139" t="s">
        <v>555</v>
      </c>
      <c r="C351" s="317" t="s">
        <v>261</v>
      </c>
      <c r="D351" s="134" t="s">
        <v>326</v>
      </c>
      <c r="E351" s="317" t="s">
        <v>236</v>
      </c>
      <c r="F351" s="330"/>
      <c r="G351" s="135" t="s">
        <v>219</v>
      </c>
      <c r="H351" s="136">
        <v>44</v>
      </c>
      <c r="I351" s="136"/>
      <c r="J351" s="136"/>
      <c r="K351" s="137"/>
      <c r="L351" s="137"/>
      <c r="M351" s="137"/>
      <c r="N351" s="137"/>
      <c r="O351" s="139"/>
    </row>
    <row r="352" spans="1:15" outlineLevel="1">
      <c r="A352" s="141">
        <f>SUBTOTAL(3,$G$7:G352)</f>
        <v>204</v>
      </c>
      <c r="B352" s="139" t="s">
        <v>556</v>
      </c>
      <c r="C352" s="134"/>
      <c r="D352" s="134" t="s">
        <v>326</v>
      </c>
      <c r="E352" s="134"/>
      <c r="F352" s="329"/>
      <c r="G352" s="135" t="s">
        <v>557</v>
      </c>
      <c r="H352" s="136">
        <v>4</v>
      </c>
      <c r="I352" s="136"/>
      <c r="J352" s="136"/>
      <c r="K352" s="137"/>
      <c r="L352" s="137"/>
      <c r="M352" s="137"/>
      <c r="N352" s="137"/>
      <c r="O352" s="139"/>
    </row>
    <row r="353" spans="1:15" outlineLevel="1">
      <c r="A353" s="141">
        <f>SUBTOTAL(3,$G$7:G353)</f>
        <v>205</v>
      </c>
      <c r="B353" s="139" t="s">
        <v>558</v>
      </c>
      <c r="C353" s="134"/>
      <c r="D353" s="134" t="s">
        <v>326</v>
      </c>
      <c r="E353" s="134"/>
      <c r="F353" s="329"/>
      <c r="G353" s="135" t="s">
        <v>557</v>
      </c>
      <c r="H353" s="136">
        <v>2</v>
      </c>
      <c r="I353" s="136"/>
      <c r="J353" s="136"/>
      <c r="K353" s="137"/>
      <c r="L353" s="137"/>
      <c r="M353" s="137"/>
      <c r="N353" s="137"/>
      <c r="O353" s="139"/>
    </row>
    <row r="354" spans="1:15" outlineLevel="1">
      <c r="A354" s="141">
        <f>SUBTOTAL(3,$G$7:G354)</f>
        <v>206</v>
      </c>
      <c r="B354" s="139" t="s">
        <v>559</v>
      </c>
      <c r="C354" s="134"/>
      <c r="D354" s="134" t="s">
        <v>326</v>
      </c>
      <c r="E354" s="134"/>
      <c r="F354" s="329"/>
      <c r="G354" s="135" t="s">
        <v>557</v>
      </c>
      <c r="H354" s="136">
        <v>1</v>
      </c>
      <c r="I354" s="136"/>
      <c r="J354" s="136"/>
      <c r="K354" s="137"/>
      <c r="L354" s="137"/>
      <c r="M354" s="137"/>
      <c r="N354" s="137"/>
      <c r="O354" s="139"/>
    </row>
    <row r="355" spans="1:15" outlineLevel="1">
      <c r="A355" s="141">
        <f>SUBTOTAL(3,$G$7:G355)</f>
        <v>207</v>
      </c>
      <c r="B355" s="139" t="s">
        <v>560</v>
      </c>
      <c r="C355" s="134"/>
      <c r="D355" s="134" t="s">
        <v>326</v>
      </c>
      <c r="E355" s="134"/>
      <c r="F355" s="329"/>
      <c r="G355" s="135" t="s">
        <v>557</v>
      </c>
      <c r="H355" s="136">
        <v>1</v>
      </c>
      <c r="I355" s="136"/>
      <c r="J355" s="136"/>
      <c r="K355" s="137"/>
      <c r="L355" s="137"/>
      <c r="M355" s="137"/>
      <c r="N355" s="137"/>
      <c r="O355" s="139"/>
    </row>
    <row r="356" spans="1:15" outlineLevel="1">
      <c r="A356" s="141">
        <f>SUBTOTAL(3,$G$7:G356)</f>
        <v>208</v>
      </c>
      <c r="B356" s="139" t="s">
        <v>561</v>
      </c>
      <c r="C356" s="134"/>
      <c r="D356" s="134" t="s">
        <v>326</v>
      </c>
      <c r="E356" s="134"/>
      <c r="F356" s="329"/>
      <c r="G356" s="135" t="s">
        <v>557</v>
      </c>
      <c r="H356" s="136">
        <v>1</v>
      </c>
      <c r="I356" s="136"/>
      <c r="J356" s="136"/>
      <c r="K356" s="137"/>
      <c r="L356" s="137"/>
      <c r="M356" s="137"/>
      <c r="N356" s="137"/>
      <c r="O356" s="139"/>
    </row>
    <row r="357" spans="1:15" outlineLevel="1">
      <c r="A357" s="141">
        <f>SUBTOTAL(3,$G$7:G357)</f>
        <v>209</v>
      </c>
      <c r="B357" s="139" t="s">
        <v>562</v>
      </c>
      <c r="C357" s="134"/>
      <c r="D357" s="134" t="s">
        <v>326</v>
      </c>
      <c r="E357" s="134"/>
      <c r="F357" s="329"/>
      <c r="G357" s="135" t="s">
        <v>557</v>
      </c>
      <c r="H357" s="136">
        <v>1</v>
      </c>
      <c r="I357" s="136"/>
      <c r="J357" s="136"/>
      <c r="K357" s="137"/>
      <c r="L357" s="137"/>
      <c r="M357" s="137"/>
      <c r="N357" s="137"/>
      <c r="O357" s="139"/>
    </row>
    <row r="358" spans="1:15" outlineLevel="1">
      <c r="A358" s="141">
        <f>SUBTOTAL(3,$G$7:G358)</f>
        <v>210</v>
      </c>
      <c r="B358" s="139" t="s">
        <v>563</v>
      </c>
      <c r="C358" s="134"/>
      <c r="D358" s="134" t="s">
        <v>326</v>
      </c>
      <c r="E358" s="134"/>
      <c r="F358" s="329"/>
      <c r="G358" s="135" t="s">
        <v>557</v>
      </c>
      <c r="H358" s="136">
        <v>1</v>
      </c>
      <c r="I358" s="136"/>
      <c r="J358" s="136"/>
      <c r="K358" s="137"/>
      <c r="L358" s="137"/>
      <c r="M358" s="137"/>
      <c r="N358" s="137"/>
      <c r="O358" s="139"/>
    </row>
    <row r="359" spans="1:15" outlineLevel="1">
      <c r="A359" s="141">
        <f>SUBTOTAL(3,$G$7:G359)</f>
        <v>211</v>
      </c>
      <c r="B359" s="139" t="s">
        <v>564</v>
      </c>
      <c r="C359" s="134"/>
      <c r="D359" s="134" t="s">
        <v>326</v>
      </c>
      <c r="E359" s="134"/>
      <c r="F359" s="329"/>
      <c r="G359" s="135" t="s">
        <v>557</v>
      </c>
      <c r="H359" s="136">
        <v>2</v>
      </c>
      <c r="I359" s="136"/>
      <c r="J359" s="136"/>
      <c r="K359" s="137"/>
      <c r="L359" s="137"/>
      <c r="M359" s="137"/>
      <c r="N359" s="137"/>
      <c r="O359" s="139"/>
    </row>
    <row r="360" spans="1:15" outlineLevel="1">
      <c r="A360" s="141">
        <f>SUBTOTAL(3,$G$7:G360)</f>
        <v>212</v>
      </c>
      <c r="B360" s="139" t="s">
        <v>565</v>
      </c>
      <c r="C360" s="134"/>
      <c r="D360" s="134" t="s">
        <v>326</v>
      </c>
      <c r="E360" s="134"/>
      <c r="F360" s="329"/>
      <c r="G360" s="135" t="s">
        <v>557</v>
      </c>
      <c r="H360" s="136">
        <v>2</v>
      </c>
      <c r="I360" s="136"/>
      <c r="J360" s="136"/>
      <c r="K360" s="137"/>
      <c r="L360" s="137"/>
      <c r="M360" s="137"/>
      <c r="N360" s="137"/>
      <c r="O360" s="139"/>
    </row>
    <row r="361" spans="1:15" outlineLevel="1">
      <c r="A361" s="132"/>
      <c r="B361" s="140" t="s">
        <v>566</v>
      </c>
      <c r="C361" s="134"/>
      <c r="D361" s="134"/>
      <c r="E361" s="134"/>
      <c r="F361" s="329" t="s">
        <v>86</v>
      </c>
      <c r="G361" s="135"/>
      <c r="H361" s="136"/>
      <c r="I361" s="136"/>
      <c r="J361" s="136"/>
      <c r="K361" s="137"/>
      <c r="L361" s="137"/>
      <c r="M361" s="137"/>
      <c r="N361" s="137"/>
      <c r="O361" s="139"/>
    </row>
    <row r="362" spans="1:15" ht="26.4" customHeight="1" outlineLevel="1">
      <c r="A362" s="141">
        <f>SUBTOTAL(3,$G$7:G362)</f>
        <v>213</v>
      </c>
      <c r="B362" s="139" t="s">
        <v>567</v>
      </c>
      <c r="C362" s="142" t="s">
        <v>279</v>
      </c>
      <c r="D362" s="134" t="s">
        <v>280</v>
      </c>
      <c r="E362" s="317" t="s">
        <v>281</v>
      </c>
      <c r="F362" s="330"/>
      <c r="G362" s="135" t="s">
        <v>282</v>
      </c>
      <c r="H362" s="136">
        <v>3490.998</v>
      </c>
      <c r="I362" s="136"/>
      <c r="J362" s="136"/>
      <c r="K362" s="137"/>
      <c r="L362" s="137"/>
      <c r="M362" s="137"/>
      <c r="N362" s="137"/>
      <c r="O362" s="139"/>
    </row>
    <row r="363" spans="1:15" ht="26.4" customHeight="1" outlineLevel="1">
      <c r="A363" s="141">
        <f>SUBTOTAL(3,$G$7:G363)</f>
        <v>214</v>
      </c>
      <c r="B363" s="139" t="s">
        <v>278</v>
      </c>
      <c r="C363" s="142" t="s">
        <v>279</v>
      </c>
      <c r="D363" s="134" t="s">
        <v>280</v>
      </c>
      <c r="E363" s="317" t="s">
        <v>281</v>
      </c>
      <c r="F363" s="330"/>
      <c r="G363" s="135" t="s">
        <v>282</v>
      </c>
      <c r="H363" s="136">
        <v>724.48</v>
      </c>
      <c r="I363" s="136"/>
      <c r="J363" s="136"/>
      <c r="K363" s="137"/>
      <c r="L363" s="137"/>
      <c r="M363" s="137"/>
      <c r="N363" s="137"/>
      <c r="O363" s="139"/>
    </row>
    <row r="364" spans="1:15" ht="26.4" customHeight="1" outlineLevel="1">
      <c r="A364" s="141">
        <f>SUBTOTAL(3,$G$7:G364)</f>
        <v>215</v>
      </c>
      <c r="B364" s="139" t="s">
        <v>568</v>
      </c>
      <c r="C364" s="142" t="s">
        <v>279</v>
      </c>
      <c r="D364" s="134" t="s">
        <v>280</v>
      </c>
      <c r="E364" s="317" t="s">
        <v>281</v>
      </c>
      <c r="F364" s="330"/>
      <c r="G364" s="135" t="s">
        <v>282</v>
      </c>
      <c r="H364" s="136">
        <v>134</v>
      </c>
      <c r="I364" s="136"/>
      <c r="J364" s="136"/>
      <c r="K364" s="137"/>
      <c r="L364" s="137"/>
      <c r="M364" s="137"/>
      <c r="N364" s="137"/>
      <c r="O364" s="139"/>
    </row>
    <row r="365" spans="1:15" ht="26.4" customHeight="1" outlineLevel="1">
      <c r="A365" s="141">
        <f>SUBTOTAL(3,$G$7:G365)</f>
        <v>216</v>
      </c>
      <c r="B365" s="139" t="s">
        <v>569</v>
      </c>
      <c r="C365" s="333" t="s">
        <v>2235</v>
      </c>
      <c r="D365" s="134"/>
      <c r="E365" s="134"/>
      <c r="F365" s="329" t="s">
        <v>2207</v>
      </c>
      <c r="G365" s="135" t="s">
        <v>570</v>
      </c>
      <c r="H365" s="136">
        <v>42.5</v>
      </c>
      <c r="I365" s="136"/>
      <c r="J365" s="136"/>
      <c r="K365" s="137"/>
      <c r="L365" s="137"/>
      <c r="M365" s="137"/>
      <c r="N365" s="137"/>
      <c r="O365" s="139"/>
    </row>
    <row r="366" spans="1:15" ht="26.4" customHeight="1" outlineLevel="1">
      <c r="A366" s="141">
        <f>SUBTOTAL(3,$G$7:G366)</f>
        <v>217</v>
      </c>
      <c r="B366" s="139" t="s">
        <v>571</v>
      </c>
      <c r="C366" s="333" t="s">
        <v>2235</v>
      </c>
      <c r="D366" s="134"/>
      <c r="E366" s="134"/>
      <c r="F366" s="329" t="s">
        <v>2207</v>
      </c>
      <c r="G366" s="135" t="s">
        <v>570</v>
      </c>
      <c r="H366" s="136">
        <v>150</v>
      </c>
      <c r="I366" s="136"/>
      <c r="J366" s="136"/>
      <c r="K366" s="137"/>
      <c r="L366" s="137"/>
      <c r="M366" s="137"/>
      <c r="N366" s="137"/>
      <c r="O366" s="139"/>
    </row>
    <row r="367" spans="1:15" ht="26.4" customHeight="1" outlineLevel="1">
      <c r="A367" s="141">
        <f>SUBTOTAL(3,$G$8:G367)</f>
        <v>218</v>
      </c>
      <c r="B367" s="139" t="s">
        <v>572</v>
      </c>
      <c r="C367" s="333" t="s">
        <v>2235</v>
      </c>
      <c r="D367" s="134"/>
      <c r="E367" s="134"/>
      <c r="F367" s="329" t="s">
        <v>2207</v>
      </c>
      <c r="G367" s="135" t="s">
        <v>570</v>
      </c>
      <c r="H367" s="136">
        <v>0</v>
      </c>
      <c r="I367" s="136"/>
      <c r="J367" s="136"/>
      <c r="K367" s="137"/>
      <c r="L367" s="137"/>
      <c r="M367" s="137"/>
      <c r="N367" s="137"/>
      <c r="O367" s="139"/>
    </row>
    <row r="368" spans="1:15" outlineLevel="1">
      <c r="A368" s="141">
        <f>SUBTOTAL(3,$G$7:G368)</f>
        <v>219</v>
      </c>
      <c r="B368" s="139" t="s">
        <v>275</v>
      </c>
      <c r="C368" s="134"/>
      <c r="D368" s="134"/>
      <c r="E368" s="134"/>
      <c r="F368" s="329"/>
      <c r="G368" s="135" t="s">
        <v>276</v>
      </c>
      <c r="H368" s="136">
        <v>1</v>
      </c>
      <c r="I368" s="136"/>
      <c r="J368" s="136"/>
      <c r="K368" s="137"/>
      <c r="L368" s="137"/>
      <c r="M368" s="137"/>
      <c r="N368" s="137"/>
      <c r="O368" s="139"/>
    </row>
    <row r="369" spans="1:15" outlineLevel="1">
      <c r="A369" s="141"/>
      <c r="B369" s="140" t="s">
        <v>573</v>
      </c>
      <c r="C369" s="134"/>
      <c r="D369" s="134"/>
      <c r="E369" s="134"/>
      <c r="F369" s="329" t="s">
        <v>86</v>
      </c>
      <c r="G369" s="135"/>
      <c r="H369" s="136"/>
      <c r="I369" s="136"/>
      <c r="J369" s="136"/>
      <c r="K369" s="137"/>
      <c r="L369" s="137"/>
      <c r="M369" s="137"/>
      <c r="N369" s="137"/>
      <c r="O369" s="139"/>
    </row>
    <row r="370" spans="1:15" ht="26.4" customHeight="1" outlineLevel="1">
      <c r="A370" s="141">
        <f>SUBTOTAL(3,$G$7:G370)</f>
        <v>220</v>
      </c>
      <c r="B370" s="139" t="s">
        <v>567</v>
      </c>
      <c r="C370" s="142" t="s">
        <v>279</v>
      </c>
      <c r="D370" s="134" t="s">
        <v>280</v>
      </c>
      <c r="E370" s="317" t="s">
        <v>281</v>
      </c>
      <c r="F370" s="330"/>
      <c r="G370" s="135" t="s">
        <v>282</v>
      </c>
      <c r="H370" s="136">
        <v>1630.01</v>
      </c>
      <c r="I370" s="136"/>
      <c r="J370" s="136"/>
      <c r="K370" s="137"/>
      <c r="L370" s="137"/>
      <c r="M370" s="137"/>
      <c r="N370" s="137"/>
      <c r="O370" s="139"/>
    </row>
    <row r="371" spans="1:15" ht="26.4" customHeight="1" outlineLevel="1">
      <c r="A371" s="141">
        <f>SUBTOTAL(3,$G$7:G371)</f>
        <v>221</v>
      </c>
      <c r="B371" s="139" t="s">
        <v>278</v>
      </c>
      <c r="C371" s="142" t="s">
        <v>279</v>
      </c>
      <c r="D371" s="134" t="s">
        <v>280</v>
      </c>
      <c r="E371" s="317" t="s">
        <v>281</v>
      </c>
      <c r="F371" s="330"/>
      <c r="G371" s="135" t="s">
        <v>282</v>
      </c>
      <c r="H371" s="136">
        <v>153.35</v>
      </c>
      <c r="I371" s="136"/>
      <c r="J371" s="136"/>
      <c r="K371" s="137"/>
      <c r="L371" s="137"/>
      <c r="M371" s="137"/>
      <c r="N371" s="137"/>
      <c r="O371" s="139"/>
    </row>
    <row r="372" spans="1:15" ht="26.4" customHeight="1" outlineLevel="1">
      <c r="A372" s="141">
        <f>SUBTOTAL(3,$G$7:G372)</f>
        <v>222</v>
      </c>
      <c r="B372" s="139" t="s">
        <v>283</v>
      </c>
      <c r="C372" s="142" t="s">
        <v>279</v>
      </c>
      <c r="D372" s="134" t="s">
        <v>280</v>
      </c>
      <c r="E372" s="317" t="s">
        <v>281</v>
      </c>
      <c r="F372" s="330"/>
      <c r="G372" s="135" t="s">
        <v>282</v>
      </c>
      <c r="H372" s="136">
        <v>200</v>
      </c>
      <c r="I372" s="136"/>
      <c r="J372" s="136"/>
      <c r="K372" s="137"/>
      <c r="L372" s="137"/>
      <c r="M372" s="137"/>
      <c r="N372" s="137"/>
      <c r="O372" s="139"/>
    </row>
    <row r="373" spans="1:15" ht="26.4" customHeight="1" outlineLevel="1">
      <c r="A373" s="141">
        <f>SUBTOTAL(3,$G$7:G373)</f>
        <v>223</v>
      </c>
      <c r="B373" s="139" t="s">
        <v>486</v>
      </c>
      <c r="C373" s="142" t="s">
        <v>279</v>
      </c>
      <c r="D373" s="134" t="s">
        <v>280</v>
      </c>
      <c r="E373" s="317" t="s">
        <v>281</v>
      </c>
      <c r="F373" s="330"/>
      <c r="G373" s="135" t="s">
        <v>282</v>
      </c>
      <c r="H373" s="136">
        <v>133</v>
      </c>
      <c r="I373" s="136"/>
      <c r="J373" s="136"/>
      <c r="K373" s="137"/>
      <c r="L373" s="137"/>
      <c r="M373" s="137"/>
      <c r="N373" s="137"/>
      <c r="O373" s="139"/>
    </row>
    <row r="374" spans="1:15" outlineLevel="1">
      <c r="A374" s="141">
        <f>SUBTOTAL(3,$G$7:G374)</f>
        <v>224</v>
      </c>
      <c r="B374" s="139" t="s">
        <v>275</v>
      </c>
      <c r="C374" s="134"/>
      <c r="D374" s="134"/>
      <c r="E374" s="134"/>
      <c r="F374" s="329"/>
      <c r="G374" s="135" t="s">
        <v>276</v>
      </c>
      <c r="H374" s="136">
        <v>1</v>
      </c>
      <c r="I374" s="136"/>
      <c r="J374" s="136"/>
      <c r="K374" s="137"/>
      <c r="L374" s="137"/>
      <c r="M374" s="137"/>
      <c r="N374" s="137"/>
      <c r="O374" s="139"/>
    </row>
    <row r="375" spans="1:15" outlineLevel="1">
      <c r="A375" s="132" t="s">
        <v>574</v>
      </c>
      <c r="B375" s="140" t="s">
        <v>575</v>
      </c>
      <c r="C375" s="134"/>
      <c r="D375" s="134"/>
      <c r="E375" s="134"/>
      <c r="F375" s="329" t="s">
        <v>86</v>
      </c>
      <c r="G375" s="135"/>
      <c r="H375" s="136"/>
      <c r="I375" s="136"/>
      <c r="J375" s="136"/>
      <c r="K375" s="137"/>
      <c r="L375" s="137"/>
      <c r="M375" s="137"/>
      <c r="N375" s="137"/>
      <c r="O375" s="139"/>
    </row>
    <row r="376" spans="1:15" ht="26.4" hidden="1" customHeight="1" outlineLevel="1">
      <c r="A376" s="141">
        <f>SUBTOTAL(3,$G$7:G376)</f>
        <v>224</v>
      </c>
      <c r="B376" s="139" t="s">
        <v>576</v>
      </c>
      <c r="C376" s="134"/>
      <c r="D376" s="134" t="s">
        <v>577</v>
      </c>
      <c r="E376" s="134"/>
      <c r="F376" s="329" t="s">
        <v>2208</v>
      </c>
      <c r="G376" s="135" t="s">
        <v>219</v>
      </c>
      <c r="H376" s="136">
        <v>27</v>
      </c>
      <c r="I376" s="136"/>
      <c r="J376" s="136"/>
      <c r="K376" s="137"/>
      <c r="L376" s="137"/>
      <c r="M376" s="137"/>
      <c r="N376" s="137"/>
      <c r="O376" s="139"/>
    </row>
    <row r="377" spans="1:15" ht="26.4" hidden="1" customHeight="1" outlineLevel="1">
      <c r="A377" s="141">
        <f>SUBTOTAL(3,$G$7:G377)</f>
        <v>224</v>
      </c>
      <c r="B377" s="139" t="s">
        <v>578</v>
      </c>
      <c r="C377" s="134"/>
      <c r="D377" s="134" t="s">
        <v>577</v>
      </c>
      <c r="E377" s="134"/>
      <c r="F377" s="329" t="s">
        <v>2208</v>
      </c>
      <c r="G377" s="135" t="s">
        <v>219</v>
      </c>
      <c r="H377" s="136">
        <v>65</v>
      </c>
      <c r="I377" s="136"/>
      <c r="J377" s="136"/>
      <c r="K377" s="137"/>
      <c r="L377" s="137"/>
      <c r="M377" s="137"/>
      <c r="N377" s="137"/>
      <c r="O377" s="139"/>
    </row>
    <row r="378" spans="1:15" ht="26.4" hidden="1" customHeight="1" outlineLevel="1">
      <c r="A378" s="141">
        <f>SUBTOTAL(3,$G$7:G378)</f>
        <v>224</v>
      </c>
      <c r="B378" s="139" t="s">
        <v>579</v>
      </c>
      <c r="C378" s="134"/>
      <c r="D378" s="134" t="s">
        <v>577</v>
      </c>
      <c r="E378" s="134"/>
      <c r="F378" s="329" t="s">
        <v>2208</v>
      </c>
      <c r="G378" s="135" t="s">
        <v>219</v>
      </c>
      <c r="H378" s="136">
        <v>48</v>
      </c>
      <c r="I378" s="136"/>
      <c r="J378" s="136"/>
      <c r="K378" s="137"/>
      <c r="L378" s="137"/>
      <c r="M378" s="137"/>
      <c r="N378" s="137"/>
      <c r="O378" s="139"/>
    </row>
    <row r="379" spans="1:15" ht="26.4" hidden="1" customHeight="1" outlineLevel="1">
      <c r="A379" s="141">
        <f>SUBTOTAL(3,$G$7:G379)</f>
        <v>224</v>
      </c>
      <c r="B379" s="139" t="s">
        <v>580</v>
      </c>
      <c r="C379" s="134"/>
      <c r="D379" s="134" t="s">
        <v>577</v>
      </c>
      <c r="E379" s="134"/>
      <c r="F379" s="329" t="s">
        <v>2208</v>
      </c>
      <c r="G379" s="135" t="s">
        <v>219</v>
      </c>
      <c r="H379" s="136">
        <v>2</v>
      </c>
      <c r="I379" s="136"/>
      <c r="J379" s="136"/>
      <c r="K379" s="137"/>
      <c r="L379" s="137"/>
      <c r="M379" s="137"/>
      <c r="N379" s="137"/>
      <c r="O379" s="139"/>
    </row>
    <row r="380" spans="1:15" hidden="1" outlineLevel="1">
      <c r="A380" s="141">
        <f>SUBTOTAL(3,$G$7:G380)</f>
        <v>224</v>
      </c>
      <c r="B380" s="139" t="s">
        <v>275</v>
      </c>
      <c r="C380" s="134"/>
      <c r="D380" s="134"/>
      <c r="E380" s="134"/>
      <c r="F380" s="329" t="s">
        <v>2208</v>
      </c>
      <c r="G380" s="135" t="s">
        <v>276</v>
      </c>
      <c r="H380" s="136">
        <v>1</v>
      </c>
      <c r="I380" s="136"/>
      <c r="J380" s="136"/>
      <c r="K380" s="137"/>
      <c r="L380" s="137"/>
      <c r="M380" s="137"/>
      <c r="N380" s="137"/>
      <c r="O380" s="139"/>
    </row>
    <row r="381" spans="1:15">
      <c r="A381" s="132" t="s">
        <v>64</v>
      </c>
      <c r="B381" s="140" t="s">
        <v>581</v>
      </c>
      <c r="C381" s="134"/>
      <c r="D381" s="134"/>
      <c r="E381" s="134"/>
      <c r="F381" s="329" t="s">
        <v>86</v>
      </c>
      <c r="G381" s="135"/>
      <c r="H381" s="136"/>
      <c r="I381" s="136"/>
      <c r="J381" s="136"/>
      <c r="K381" s="137"/>
      <c r="L381" s="138"/>
      <c r="M381" s="138"/>
      <c r="N381" s="138"/>
      <c r="O381" s="139"/>
    </row>
    <row r="382" spans="1:15" outlineLevel="1">
      <c r="A382" s="132" t="s">
        <v>582</v>
      </c>
      <c r="B382" s="140" t="s">
        <v>583</v>
      </c>
      <c r="C382" s="134"/>
      <c r="D382" s="134"/>
      <c r="E382" s="134"/>
      <c r="F382" s="329" t="s">
        <v>86</v>
      </c>
      <c r="G382" s="135"/>
      <c r="H382" s="136"/>
      <c r="I382" s="136"/>
      <c r="J382" s="136"/>
      <c r="K382" s="137"/>
      <c r="L382" s="137"/>
      <c r="M382" s="137"/>
      <c r="N382" s="137"/>
      <c r="O382" s="139"/>
    </row>
    <row r="383" spans="1:15" outlineLevel="1">
      <c r="A383" s="132" t="s">
        <v>584</v>
      </c>
      <c r="B383" s="140" t="s">
        <v>585</v>
      </c>
      <c r="C383" s="134"/>
      <c r="D383" s="134"/>
      <c r="E383" s="134"/>
      <c r="F383" s="329" t="s">
        <v>86</v>
      </c>
      <c r="G383" s="135"/>
      <c r="H383" s="136"/>
      <c r="I383" s="136"/>
      <c r="J383" s="136"/>
      <c r="K383" s="137"/>
      <c r="L383" s="137"/>
      <c r="M383" s="137"/>
      <c r="N383" s="137"/>
      <c r="O383" s="139"/>
    </row>
    <row r="384" spans="1:15" s="145" customFormat="1" outlineLevel="1">
      <c r="A384" s="132"/>
      <c r="B384" s="140" t="s">
        <v>586</v>
      </c>
      <c r="C384" s="134"/>
      <c r="D384" s="134"/>
      <c r="E384" s="134"/>
      <c r="F384" s="329" t="s">
        <v>86</v>
      </c>
      <c r="G384" s="143"/>
      <c r="H384" s="144"/>
      <c r="I384" s="144"/>
      <c r="J384" s="144"/>
      <c r="K384" s="138"/>
      <c r="L384" s="138"/>
      <c r="M384" s="138"/>
      <c r="N384" s="138"/>
      <c r="O384" s="140"/>
    </row>
    <row r="385" spans="1:15" s="145" customFormat="1" outlineLevel="1">
      <c r="A385" s="132"/>
      <c r="B385" s="140" t="s">
        <v>587</v>
      </c>
      <c r="C385" s="134"/>
      <c r="D385" s="134"/>
      <c r="E385" s="134"/>
      <c r="F385" s="329" t="s">
        <v>86</v>
      </c>
      <c r="G385" s="143"/>
      <c r="H385" s="144"/>
      <c r="I385" s="144"/>
      <c r="J385" s="144"/>
      <c r="K385" s="138"/>
      <c r="L385" s="138"/>
      <c r="M385" s="138"/>
      <c r="N385" s="138"/>
      <c r="O385" s="140"/>
    </row>
    <row r="386" spans="1:15" s="146" customFormat="1" ht="26.4" hidden="1" customHeight="1" outlineLevel="1">
      <c r="A386" s="141">
        <f>SUBTOTAL(3,$G$7:G386)</f>
        <v>224</v>
      </c>
      <c r="B386" s="139" t="s">
        <v>588</v>
      </c>
      <c r="C386" s="134"/>
      <c r="D386" s="134" t="s">
        <v>589</v>
      </c>
      <c r="E386" s="134"/>
      <c r="F386" s="329" t="s">
        <v>2209</v>
      </c>
      <c r="G386" s="135" t="s">
        <v>237</v>
      </c>
      <c r="H386" s="136">
        <v>1</v>
      </c>
      <c r="I386" s="136"/>
      <c r="J386" s="136"/>
      <c r="K386" s="137"/>
      <c r="L386" s="137"/>
      <c r="M386" s="137"/>
      <c r="N386" s="137"/>
      <c r="O386" s="142"/>
    </row>
    <row r="387" spans="1:15" s="146" customFormat="1" ht="26.4" hidden="1" customHeight="1" outlineLevel="1">
      <c r="A387" s="141">
        <f>SUBTOTAL(3,$G$7:G387)</f>
        <v>224</v>
      </c>
      <c r="B387" s="139" t="s">
        <v>590</v>
      </c>
      <c r="C387" s="134"/>
      <c r="D387" s="134" t="s">
        <v>589</v>
      </c>
      <c r="E387" s="134"/>
      <c r="F387" s="329" t="s">
        <v>2209</v>
      </c>
      <c r="G387" s="135" t="s">
        <v>237</v>
      </c>
      <c r="H387" s="136">
        <v>1</v>
      </c>
      <c r="I387" s="136"/>
      <c r="J387" s="136"/>
      <c r="K387" s="137"/>
      <c r="L387" s="137"/>
      <c r="M387" s="137"/>
      <c r="N387" s="137"/>
      <c r="O387" s="142"/>
    </row>
    <row r="388" spans="1:15" s="146" customFormat="1" ht="26.4" hidden="1" customHeight="1" outlineLevel="1">
      <c r="A388" s="141">
        <f>SUBTOTAL(3,$G$7:G388)</f>
        <v>224</v>
      </c>
      <c r="B388" s="139" t="s">
        <v>591</v>
      </c>
      <c r="C388" s="134"/>
      <c r="D388" s="134" t="s">
        <v>589</v>
      </c>
      <c r="E388" s="134"/>
      <c r="F388" s="329" t="s">
        <v>2209</v>
      </c>
      <c r="G388" s="135" t="s">
        <v>237</v>
      </c>
      <c r="H388" s="136">
        <v>1</v>
      </c>
      <c r="I388" s="136"/>
      <c r="J388" s="136"/>
      <c r="K388" s="137"/>
      <c r="L388" s="137"/>
      <c r="M388" s="137"/>
      <c r="N388" s="137"/>
      <c r="O388" s="142"/>
    </row>
    <row r="389" spans="1:15" s="146" customFormat="1" ht="26.4" hidden="1" customHeight="1" outlineLevel="1">
      <c r="A389" s="141">
        <f>SUBTOTAL(3,$G$7:G389)</f>
        <v>224</v>
      </c>
      <c r="B389" s="139" t="s">
        <v>592</v>
      </c>
      <c r="C389" s="134"/>
      <c r="D389" s="134" t="s">
        <v>589</v>
      </c>
      <c r="E389" s="134"/>
      <c r="F389" s="329" t="s">
        <v>2209</v>
      </c>
      <c r="G389" s="135" t="s">
        <v>237</v>
      </c>
      <c r="H389" s="136">
        <v>1</v>
      </c>
      <c r="I389" s="136"/>
      <c r="J389" s="136"/>
      <c r="K389" s="137"/>
      <c r="L389" s="137"/>
      <c r="M389" s="137"/>
      <c r="N389" s="137"/>
      <c r="O389" s="142"/>
    </row>
    <row r="390" spans="1:15" s="146" customFormat="1" ht="26.4" hidden="1" customHeight="1" outlineLevel="1">
      <c r="A390" s="141">
        <f>SUBTOTAL(3,$G$7:G390)</f>
        <v>224</v>
      </c>
      <c r="B390" s="139" t="s">
        <v>593</v>
      </c>
      <c r="C390" s="134"/>
      <c r="D390" s="134" t="s">
        <v>589</v>
      </c>
      <c r="E390" s="134"/>
      <c r="F390" s="329" t="s">
        <v>2209</v>
      </c>
      <c r="G390" s="135" t="s">
        <v>237</v>
      </c>
      <c r="H390" s="136">
        <v>1</v>
      </c>
      <c r="I390" s="136"/>
      <c r="J390" s="136"/>
      <c r="K390" s="137"/>
      <c r="L390" s="137"/>
      <c r="M390" s="137"/>
      <c r="N390" s="137"/>
      <c r="O390" s="142"/>
    </row>
    <row r="391" spans="1:15" s="146" customFormat="1" ht="26.4" hidden="1" customHeight="1" outlineLevel="1">
      <c r="A391" s="141">
        <f>SUBTOTAL(3,$G$7:G391)</f>
        <v>224</v>
      </c>
      <c r="B391" s="139" t="s">
        <v>594</v>
      </c>
      <c r="C391" s="134"/>
      <c r="D391" s="134" t="s">
        <v>589</v>
      </c>
      <c r="E391" s="134"/>
      <c r="F391" s="329" t="s">
        <v>2209</v>
      </c>
      <c r="G391" s="135" t="s">
        <v>237</v>
      </c>
      <c r="H391" s="136">
        <v>1</v>
      </c>
      <c r="I391" s="136"/>
      <c r="J391" s="136"/>
      <c r="K391" s="137"/>
      <c r="L391" s="137"/>
      <c r="M391" s="137"/>
      <c r="N391" s="137"/>
      <c r="O391" s="142"/>
    </row>
    <row r="392" spans="1:15" s="146" customFormat="1" ht="26.4" hidden="1" customHeight="1" outlineLevel="1">
      <c r="A392" s="141">
        <f>SUBTOTAL(3,$G$7:G392)</f>
        <v>224</v>
      </c>
      <c r="B392" s="139" t="s">
        <v>595</v>
      </c>
      <c r="C392" s="134"/>
      <c r="D392" s="134" t="s">
        <v>589</v>
      </c>
      <c r="E392" s="134"/>
      <c r="F392" s="329" t="s">
        <v>2209</v>
      </c>
      <c r="G392" s="135" t="s">
        <v>237</v>
      </c>
      <c r="H392" s="136">
        <v>1</v>
      </c>
      <c r="I392" s="136"/>
      <c r="J392" s="136"/>
      <c r="K392" s="137"/>
      <c r="L392" s="137"/>
      <c r="M392" s="137"/>
      <c r="N392" s="137"/>
      <c r="O392" s="142"/>
    </row>
    <row r="393" spans="1:15" s="146" customFormat="1" ht="26.4" hidden="1" customHeight="1" outlineLevel="1">
      <c r="A393" s="141">
        <f>SUBTOTAL(3,$G$7:G393)</f>
        <v>224</v>
      </c>
      <c r="B393" s="139" t="s">
        <v>596</v>
      </c>
      <c r="C393" s="134"/>
      <c r="D393" s="134" t="s">
        <v>589</v>
      </c>
      <c r="E393" s="134"/>
      <c r="F393" s="329" t="s">
        <v>2209</v>
      </c>
      <c r="G393" s="135" t="s">
        <v>237</v>
      </c>
      <c r="H393" s="136">
        <v>1</v>
      </c>
      <c r="I393" s="136"/>
      <c r="J393" s="136"/>
      <c r="K393" s="137"/>
      <c r="L393" s="137"/>
      <c r="M393" s="137"/>
      <c r="N393" s="137"/>
      <c r="O393" s="142"/>
    </row>
    <row r="394" spans="1:15" s="146" customFormat="1" ht="26.4" hidden="1" customHeight="1" outlineLevel="1">
      <c r="A394" s="141">
        <f>SUBTOTAL(3,$G$7:G394)</f>
        <v>224</v>
      </c>
      <c r="B394" s="139" t="s">
        <v>597</v>
      </c>
      <c r="C394" s="134"/>
      <c r="D394" s="134" t="s">
        <v>589</v>
      </c>
      <c r="E394" s="134"/>
      <c r="F394" s="329" t="s">
        <v>2209</v>
      </c>
      <c r="G394" s="135" t="s">
        <v>237</v>
      </c>
      <c r="H394" s="136">
        <v>1</v>
      </c>
      <c r="I394" s="136"/>
      <c r="J394" s="136"/>
      <c r="K394" s="137"/>
      <c r="L394" s="137"/>
      <c r="M394" s="137"/>
      <c r="N394" s="137"/>
      <c r="O394" s="142"/>
    </row>
    <row r="395" spans="1:15" s="146" customFormat="1" ht="26.4" hidden="1" customHeight="1" outlineLevel="1">
      <c r="A395" s="141">
        <f>SUBTOTAL(3,$G$7:G395)</f>
        <v>224</v>
      </c>
      <c r="B395" s="139" t="s">
        <v>598</v>
      </c>
      <c r="C395" s="134"/>
      <c r="D395" s="134" t="s">
        <v>589</v>
      </c>
      <c r="E395" s="134"/>
      <c r="F395" s="329" t="s">
        <v>2209</v>
      </c>
      <c r="G395" s="135" t="s">
        <v>237</v>
      </c>
      <c r="H395" s="136">
        <v>1</v>
      </c>
      <c r="I395" s="136"/>
      <c r="J395" s="136"/>
      <c r="K395" s="137"/>
      <c r="L395" s="137"/>
      <c r="M395" s="137"/>
      <c r="N395" s="137"/>
      <c r="O395" s="142"/>
    </row>
    <row r="396" spans="1:15" s="146" customFormat="1" ht="26.4" hidden="1" customHeight="1" outlineLevel="1">
      <c r="A396" s="141">
        <f>SUBTOTAL(3,$G$7:G396)</f>
        <v>224</v>
      </c>
      <c r="B396" s="139" t="s">
        <v>599</v>
      </c>
      <c r="C396" s="134"/>
      <c r="D396" s="134" t="s">
        <v>589</v>
      </c>
      <c r="E396" s="134"/>
      <c r="F396" s="329" t="s">
        <v>2209</v>
      </c>
      <c r="G396" s="135" t="s">
        <v>237</v>
      </c>
      <c r="H396" s="136">
        <v>1</v>
      </c>
      <c r="I396" s="136"/>
      <c r="J396" s="136"/>
      <c r="K396" s="137"/>
      <c r="L396" s="137"/>
      <c r="M396" s="137"/>
      <c r="N396" s="137"/>
      <c r="O396" s="142"/>
    </row>
    <row r="397" spans="1:15" s="146" customFormat="1" ht="26.4" hidden="1" customHeight="1" outlineLevel="1">
      <c r="A397" s="141">
        <f>SUBTOTAL(3,$G$7:G397)</f>
        <v>224</v>
      </c>
      <c r="B397" s="139" t="s">
        <v>600</v>
      </c>
      <c r="C397" s="134"/>
      <c r="D397" s="134" t="s">
        <v>589</v>
      </c>
      <c r="E397" s="134"/>
      <c r="F397" s="329" t="s">
        <v>2209</v>
      </c>
      <c r="G397" s="135" t="s">
        <v>237</v>
      </c>
      <c r="H397" s="136">
        <v>1</v>
      </c>
      <c r="I397" s="136"/>
      <c r="J397" s="136"/>
      <c r="K397" s="137"/>
      <c r="L397" s="137"/>
      <c r="M397" s="137"/>
      <c r="N397" s="137"/>
      <c r="O397" s="142"/>
    </row>
    <row r="398" spans="1:15" s="146" customFormat="1" ht="26.4" hidden="1" customHeight="1" outlineLevel="1">
      <c r="A398" s="141">
        <f>SUBTOTAL(3,$G$7:G398)</f>
        <v>224</v>
      </c>
      <c r="B398" s="139" t="s">
        <v>601</v>
      </c>
      <c r="C398" s="134"/>
      <c r="D398" s="134" t="s">
        <v>589</v>
      </c>
      <c r="E398" s="134"/>
      <c r="F398" s="329" t="s">
        <v>2209</v>
      </c>
      <c r="G398" s="135" t="s">
        <v>237</v>
      </c>
      <c r="H398" s="136">
        <v>1</v>
      </c>
      <c r="I398" s="136"/>
      <c r="J398" s="136"/>
      <c r="K398" s="137"/>
      <c r="L398" s="137"/>
      <c r="M398" s="137"/>
      <c r="N398" s="137"/>
      <c r="O398" s="142"/>
    </row>
    <row r="399" spans="1:15" s="146" customFormat="1" ht="26.4" hidden="1" customHeight="1" outlineLevel="1">
      <c r="A399" s="141">
        <f>SUBTOTAL(3,$G$7:G399)</f>
        <v>224</v>
      </c>
      <c r="B399" s="139" t="s">
        <v>602</v>
      </c>
      <c r="C399" s="134"/>
      <c r="D399" s="134" t="s">
        <v>589</v>
      </c>
      <c r="E399" s="134"/>
      <c r="F399" s="329" t="s">
        <v>2209</v>
      </c>
      <c r="G399" s="135" t="s">
        <v>237</v>
      </c>
      <c r="H399" s="136">
        <v>1</v>
      </c>
      <c r="I399" s="136"/>
      <c r="J399" s="136"/>
      <c r="K399" s="137"/>
      <c r="L399" s="137"/>
      <c r="M399" s="137"/>
      <c r="N399" s="137"/>
      <c r="O399" s="142"/>
    </row>
    <row r="400" spans="1:15" s="146" customFormat="1" ht="26.4" hidden="1" customHeight="1" outlineLevel="1">
      <c r="A400" s="141">
        <f>SUBTOTAL(3,$G$7:G400)</f>
        <v>224</v>
      </c>
      <c r="B400" s="139" t="s">
        <v>603</v>
      </c>
      <c r="C400" s="134"/>
      <c r="D400" s="134" t="s">
        <v>589</v>
      </c>
      <c r="E400" s="134"/>
      <c r="F400" s="329" t="s">
        <v>2209</v>
      </c>
      <c r="G400" s="135" t="s">
        <v>237</v>
      </c>
      <c r="H400" s="136">
        <v>1</v>
      </c>
      <c r="I400" s="136"/>
      <c r="J400" s="136"/>
      <c r="K400" s="137"/>
      <c r="L400" s="137"/>
      <c r="M400" s="137"/>
      <c r="N400" s="137"/>
      <c r="O400" s="142"/>
    </row>
    <row r="401" spans="1:15" s="146" customFormat="1" ht="26.4" hidden="1" customHeight="1" outlineLevel="1">
      <c r="A401" s="141">
        <f>SUBTOTAL(3,$G$7:G401)</f>
        <v>224</v>
      </c>
      <c r="B401" s="139" t="s">
        <v>604</v>
      </c>
      <c r="C401" s="134"/>
      <c r="D401" s="134" t="s">
        <v>589</v>
      </c>
      <c r="E401" s="134"/>
      <c r="F401" s="329" t="s">
        <v>2209</v>
      </c>
      <c r="G401" s="135" t="s">
        <v>237</v>
      </c>
      <c r="H401" s="136">
        <v>1</v>
      </c>
      <c r="I401" s="136"/>
      <c r="J401" s="136"/>
      <c r="K401" s="137"/>
      <c r="L401" s="137"/>
      <c r="M401" s="137"/>
      <c r="N401" s="137"/>
      <c r="O401" s="142"/>
    </row>
    <row r="402" spans="1:15" s="146" customFormat="1" ht="26.4" hidden="1" customHeight="1" outlineLevel="1">
      <c r="A402" s="141">
        <f>SUBTOTAL(3,$G$7:G402)</f>
        <v>224</v>
      </c>
      <c r="B402" s="139" t="s">
        <v>605</v>
      </c>
      <c r="C402" s="134"/>
      <c r="D402" s="134" t="s">
        <v>589</v>
      </c>
      <c r="E402" s="134"/>
      <c r="F402" s="329" t="s">
        <v>2209</v>
      </c>
      <c r="G402" s="135" t="s">
        <v>237</v>
      </c>
      <c r="H402" s="136">
        <v>1</v>
      </c>
      <c r="I402" s="136"/>
      <c r="J402" s="136"/>
      <c r="K402" s="137"/>
      <c r="L402" s="137"/>
      <c r="M402" s="137"/>
      <c r="N402" s="137"/>
      <c r="O402" s="142"/>
    </row>
    <row r="403" spans="1:15" s="146" customFormat="1" ht="26.4" hidden="1" customHeight="1" outlineLevel="1">
      <c r="A403" s="141">
        <f>SUBTOTAL(3,$G$7:G403)</f>
        <v>224</v>
      </c>
      <c r="B403" s="139" t="s">
        <v>606</v>
      </c>
      <c r="C403" s="134"/>
      <c r="D403" s="134" t="s">
        <v>589</v>
      </c>
      <c r="E403" s="134"/>
      <c r="F403" s="329" t="s">
        <v>2209</v>
      </c>
      <c r="G403" s="135" t="s">
        <v>237</v>
      </c>
      <c r="H403" s="136">
        <v>1</v>
      </c>
      <c r="I403" s="136"/>
      <c r="J403" s="136"/>
      <c r="K403" s="137"/>
      <c r="L403" s="137"/>
      <c r="M403" s="137"/>
      <c r="N403" s="137"/>
      <c r="O403" s="142"/>
    </row>
    <row r="404" spans="1:15" s="146" customFormat="1" ht="26.4" hidden="1" customHeight="1" outlineLevel="1">
      <c r="A404" s="141">
        <f>SUBTOTAL(3,$G$7:G404)</f>
        <v>224</v>
      </c>
      <c r="B404" s="139" t="s">
        <v>597</v>
      </c>
      <c r="C404" s="134"/>
      <c r="D404" s="134" t="s">
        <v>589</v>
      </c>
      <c r="E404" s="134"/>
      <c r="F404" s="329" t="s">
        <v>2209</v>
      </c>
      <c r="G404" s="135" t="s">
        <v>237</v>
      </c>
      <c r="H404" s="136">
        <v>1</v>
      </c>
      <c r="I404" s="136"/>
      <c r="J404" s="136"/>
      <c r="K404" s="137"/>
      <c r="L404" s="137"/>
      <c r="M404" s="137"/>
      <c r="N404" s="137"/>
      <c r="O404" s="142"/>
    </row>
    <row r="405" spans="1:15" s="146" customFormat="1" ht="26.4" hidden="1" customHeight="1" outlineLevel="1">
      <c r="A405" s="141">
        <f>SUBTOTAL(3,$G$7:G405)</f>
        <v>224</v>
      </c>
      <c r="B405" s="139" t="s">
        <v>598</v>
      </c>
      <c r="C405" s="134"/>
      <c r="D405" s="134" t="s">
        <v>589</v>
      </c>
      <c r="E405" s="134"/>
      <c r="F405" s="329" t="s">
        <v>2209</v>
      </c>
      <c r="G405" s="135" t="s">
        <v>237</v>
      </c>
      <c r="H405" s="136">
        <v>1</v>
      </c>
      <c r="I405" s="136"/>
      <c r="J405" s="136"/>
      <c r="K405" s="137"/>
      <c r="L405" s="137"/>
      <c r="M405" s="137"/>
      <c r="N405" s="137"/>
      <c r="O405" s="142"/>
    </row>
    <row r="406" spans="1:15" s="146" customFormat="1" ht="26.4" hidden="1" customHeight="1" outlineLevel="1">
      <c r="A406" s="141">
        <f>SUBTOTAL(3,$G$7:G406)</f>
        <v>224</v>
      </c>
      <c r="B406" s="139" t="s">
        <v>607</v>
      </c>
      <c r="C406" s="134"/>
      <c r="D406" s="134" t="s">
        <v>589</v>
      </c>
      <c r="E406" s="134"/>
      <c r="F406" s="329" t="s">
        <v>2209</v>
      </c>
      <c r="G406" s="135" t="s">
        <v>237</v>
      </c>
      <c r="H406" s="136">
        <v>1</v>
      </c>
      <c r="I406" s="136"/>
      <c r="J406" s="136"/>
      <c r="K406" s="137"/>
      <c r="L406" s="137"/>
      <c r="M406" s="137"/>
      <c r="N406" s="137"/>
      <c r="O406" s="142"/>
    </row>
    <row r="407" spans="1:15" s="146" customFormat="1" ht="26.4" hidden="1" customHeight="1" outlineLevel="1">
      <c r="A407" s="141">
        <f>SUBTOTAL(3,$G$7:G407)</f>
        <v>224</v>
      </c>
      <c r="B407" s="139" t="s">
        <v>608</v>
      </c>
      <c r="C407" s="134"/>
      <c r="D407" s="134" t="s">
        <v>589</v>
      </c>
      <c r="E407" s="134"/>
      <c r="F407" s="329" t="s">
        <v>2209</v>
      </c>
      <c r="G407" s="135" t="s">
        <v>237</v>
      </c>
      <c r="H407" s="136">
        <v>1</v>
      </c>
      <c r="I407" s="136"/>
      <c r="J407" s="136"/>
      <c r="K407" s="137"/>
      <c r="L407" s="137"/>
      <c r="M407" s="137"/>
      <c r="N407" s="137"/>
      <c r="O407" s="142"/>
    </row>
    <row r="408" spans="1:15" s="146" customFormat="1" ht="26.4" hidden="1" customHeight="1" outlineLevel="1">
      <c r="A408" s="141">
        <f>SUBTOTAL(3,$G$7:G408)</f>
        <v>224</v>
      </c>
      <c r="B408" s="139" t="s">
        <v>609</v>
      </c>
      <c r="C408" s="134"/>
      <c r="D408" s="134" t="s">
        <v>589</v>
      </c>
      <c r="E408" s="134"/>
      <c r="F408" s="329" t="s">
        <v>2209</v>
      </c>
      <c r="G408" s="135" t="s">
        <v>237</v>
      </c>
      <c r="H408" s="136">
        <v>1</v>
      </c>
      <c r="I408" s="136"/>
      <c r="J408" s="136"/>
      <c r="K408" s="137"/>
      <c r="L408" s="137"/>
      <c r="M408" s="137"/>
      <c r="N408" s="137"/>
      <c r="O408" s="142"/>
    </row>
    <row r="409" spans="1:15" s="146" customFormat="1" ht="26.4" hidden="1" customHeight="1" outlineLevel="1">
      <c r="A409" s="141">
        <f>SUBTOTAL(3,$G$7:G409)</f>
        <v>224</v>
      </c>
      <c r="B409" s="139" t="s">
        <v>610</v>
      </c>
      <c r="C409" s="134"/>
      <c r="D409" s="134" t="s">
        <v>589</v>
      </c>
      <c r="E409" s="134"/>
      <c r="F409" s="329" t="s">
        <v>2209</v>
      </c>
      <c r="G409" s="135" t="s">
        <v>237</v>
      </c>
      <c r="H409" s="136">
        <v>1</v>
      </c>
      <c r="I409" s="136"/>
      <c r="J409" s="136"/>
      <c r="K409" s="137"/>
      <c r="L409" s="137"/>
      <c r="M409" s="137"/>
      <c r="N409" s="137"/>
      <c r="O409" s="142"/>
    </row>
    <row r="410" spans="1:15" s="146" customFormat="1" ht="26.4" hidden="1" customHeight="1" outlineLevel="1">
      <c r="A410" s="141">
        <f>SUBTOTAL(3,$G$7:G410)</f>
        <v>224</v>
      </c>
      <c r="B410" s="139" t="s">
        <v>611</v>
      </c>
      <c r="C410" s="134"/>
      <c r="D410" s="134" t="s">
        <v>589</v>
      </c>
      <c r="E410" s="134"/>
      <c r="F410" s="329" t="s">
        <v>2209</v>
      </c>
      <c r="G410" s="135" t="s">
        <v>237</v>
      </c>
      <c r="H410" s="136">
        <v>1</v>
      </c>
      <c r="I410" s="136"/>
      <c r="J410" s="136"/>
      <c r="K410" s="137"/>
      <c r="L410" s="137"/>
      <c r="M410" s="137"/>
      <c r="N410" s="137"/>
      <c r="O410" s="142"/>
    </row>
    <row r="411" spans="1:15" s="146" customFormat="1" ht="26.4" hidden="1" customHeight="1" outlineLevel="1">
      <c r="A411" s="141">
        <f>SUBTOTAL(3,$G$7:G411)</f>
        <v>224</v>
      </c>
      <c r="B411" s="139" t="s">
        <v>612</v>
      </c>
      <c r="C411" s="134"/>
      <c r="D411" s="134" t="s">
        <v>589</v>
      </c>
      <c r="E411" s="134"/>
      <c r="F411" s="329" t="s">
        <v>2209</v>
      </c>
      <c r="G411" s="135" t="s">
        <v>237</v>
      </c>
      <c r="H411" s="136">
        <v>1</v>
      </c>
      <c r="I411" s="136"/>
      <c r="J411" s="136"/>
      <c r="K411" s="137"/>
      <c r="L411" s="137"/>
      <c r="M411" s="137"/>
      <c r="N411" s="137"/>
      <c r="O411" s="142"/>
    </row>
    <row r="412" spans="1:15" s="146" customFormat="1" ht="26.4" hidden="1" customHeight="1" outlineLevel="1">
      <c r="A412" s="141">
        <f>SUBTOTAL(3,$G$7:G412)</f>
        <v>224</v>
      </c>
      <c r="B412" s="139" t="s">
        <v>613</v>
      </c>
      <c r="C412" s="134"/>
      <c r="D412" s="134" t="s">
        <v>589</v>
      </c>
      <c r="E412" s="134"/>
      <c r="F412" s="329" t="s">
        <v>2209</v>
      </c>
      <c r="G412" s="135" t="s">
        <v>237</v>
      </c>
      <c r="H412" s="136">
        <v>1</v>
      </c>
      <c r="I412" s="136"/>
      <c r="J412" s="136"/>
      <c r="K412" s="137"/>
      <c r="L412" s="137"/>
      <c r="M412" s="137"/>
      <c r="N412" s="137"/>
      <c r="O412" s="142"/>
    </row>
    <row r="413" spans="1:15" s="146" customFormat="1" ht="26.4" hidden="1" customHeight="1" outlineLevel="1">
      <c r="A413" s="141">
        <f>SUBTOTAL(3,$G$7:G413)</f>
        <v>224</v>
      </c>
      <c r="B413" s="139" t="s">
        <v>614</v>
      </c>
      <c r="C413" s="134"/>
      <c r="D413" s="134" t="s">
        <v>589</v>
      </c>
      <c r="E413" s="134"/>
      <c r="F413" s="329" t="s">
        <v>2209</v>
      </c>
      <c r="G413" s="135" t="s">
        <v>237</v>
      </c>
      <c r="H413" s="136">
        <v>1</v>
      </c>
      <c r="I413" s="136"/>
      <c r="J413" s="136"/>
      <c r="K413" s="137"/>
      <c r="L413" s="137"/>
      <c r="M413" s="137"/>
      <c r="N413" s="137"/>
      <c r="O413" s="142"/>
    </row>
    <row r="414" spans="1:15" s="146" customFormat="1" ht="26.4" hidden="1" customHeight="1" outlineLevel="1">
      <c r="A414" s="141">
        <f>SUBTOTAL(3,$G$7:G414)</f>
        <v>224</v>
      </c>
      <c r="B414" s="139" t="s">
        <v>615</v>
      </c>
      <c r="C414" s="134"/>
      <c r="D414" s="134" t="s">
        <v>589</v>
      </c>
      <c r="E414" s="134"/>
      <c r="F414" s="329" t="s">
        <v>2209</v>
      </c>
      <c r="G414" s="135" t="s">
        <v>237</v>
      </c>
      <c r="H414" s="136">
        <v>1</v>
      </c>
      <c r="I414" s="136"/>
      <c r="J414" s="136"/>
      <c r="K414" s="137"/>
      <c r="L414" s="137"/>
      <c r="M414" s="137"/>
      <c r="N414" s="137"/>
      <c r="O414" s="142"/>
    </row>
    <row r="415" spans="1:15" s="146" customFormat="1" ht="26.4" hidden="1" customHeight="1" outlineLevel="1">
      <c r="A415" s="141">
        <f>SUBTOTAL(3,$G$7:G415)</f>
        <v>224</v>
      </c>
      <c r="B415" s="139" t="s">
        <v>616</v>
      </c>
      <c r="C415" s="134"/>
      <c r="D415" s="134" t="s">
        <v>589</v>
      </c>
      <c r="E415" s="134"/>
      <c r="F415" s="329" t="s">
        <v>2209</v>
      </c>
      <c r="G415" s="135" t="s">
        <v>237</v>
      </c>
      <c r="H415" s="136">
        <v>1</v>
      </c>
      <c r="I415" s="136"/>
      <c r="J415" s="136"/>
      <c r="K415" s="137"/>
      <c r="L415" s="137"/>
      <c r="M415" s="137"/>
      <c r="N415" s="137"/>
      <c r="O415" s="142"/>
    </row>
    <row r="416" spans="1:15" s="146" customFormat="1" ht="26.4" hidden="1" customHeight="1" outlineLevel="1">
      <c r="A416" s="141">
        <f>SUBTOTAL(3,$G$7:G416)</f>
        <v>224</v>
      </c>
      <c r="B416" s="139" t="s">
        <v>617</v>
      </c>
      <c r="C416" s="134"/>
      <c r="D416" s="134" t="s">
        <v>589</v>
      </c>
      <c r="E416" s="134"/>
      <c r="F416" s="329" t="s">
        <v>2209</v>
      </c>
      <c r="G416" s="135" t="s">
        <v>237</v>
      </c>
      <c r="H416" s="136">
        <v>1</v>
      </c>
      <c r="I416" s="136"/>
      <c r="J416" s="136"/>
      <c r="K416" s="137"/>
      <c r="L416" s="137"/>
      <c r="M416" s="137"/>
      <c r="N416" s="137"/>
      <c r="O416" s="142"/>
    </row>
    <row r="417" spans="1:15" s="146" customFormat="1" ht="26.4" hidden="1" customHeight="1" outlineLevel="1">
      <c r="A417" s="141">
        <f>SUBTOTAL(3,$G$7:G417)</f>
        <v>224</v>
      </c>
      <c r="B417" s="139" t="s">
        <v>618</v>
      </c>
      <c r="C417" s="134"/>
      <c r="D417" s="134" t="s">
        <v>589</v>
      </c>
      <c r="E417" s="134"/>
      <c r="F417" s="329" t="s">
        <v>2209</v>
      </c>
      <c r="G417" s="135" t="s">
        <v>237</v>
      </c>
      <c r="H417" s="136">
        <v>1</v>
      </c>
      <c r="I417" s="136"/>
      <c r="J417" s="136"/>
      <c r="K417" s="137"/>
      <c r="L417" s="137"/>
      <c r="M417" s="137"/>
      <c r="N417" s="137"/>
      <c r="O417" s="142"/>
    </row>
    <row r="418" spans="1:15" s="146" customFormat="1" ht="26.4" hidden="1" customHeight="1" outlineLevel="1">
      <c r="A418" s="141">
        <f>SUBTOTAL(3,$G$7:G418)</f>
        <v>224</v>
      </c>
      <c r="B418" s="139" t="s">
        <v>619</v>
      </c>
      <c r="C418" s="134"/>
      <c r="D418" s="134" t="s">
        <v>589</v>
      </c>
      <c r="E418" s="134"/>
      <c r="F418" s="329" t="s">
        <v>2209</v>
      </c>
      <c r="G418" s="135" t="s">
        <v>237</v>
      </c>
      <c r="H418" s="136">
        <v>1</v>
      </c>
      <c r="I418" s="136"/>
      <c r="J418" s="136"/>
      <c r="K418" s="137"/>
      <c r="L418" s="137"/>
      <c r="M418" s="137"/>
      <c r="N418" s="137"/>
      <c r="O418" s="142"/>
    </row>
    <row r="419" spans="1:15" s="146" customFormat="1" ht="26.4" hidden="1" customHeight="1" outlineLevel="1">
      <c r="A419" s="141">
        <f>SUBTOTAL(3,$G$7:G419)</f>
        <v>224</v>
      </c>
      <c r="B419" s="139" t="s">
        <v>620</v>
      </c>
      <c r="C419" s="134"/>
      <c r="D419" s="134" t="s">
        <v>589</v>
      </c>
      <c r="E419" s="134"/>
      <c r="F419" s="329" t="s">
        <v>2209</v>
      </c>
      <c r="G419" s="135" t="s">
        <v>237</v>
      </c>
      <c r="H419" s="136">
        <v>1</v>
      </c>
      <c r="I419" s="136"/>
      <c r="J419" s="136"/>
      <c r="K419" s="137"/>
      <c r="L419" s="137"/>
      <c r="M419" s="137"/>
      <c r="N419" s="137"/>
      <c r="O419" s="142"/>
    </row>
    <row r="420" spans="1:15" s="146" customFormat="1" ht="26.4" hidden="1" customHeight="1" outlineLevel="1">
      <c r="A420" s="141">
        <f>SUBTOTAL(3,$G$7:G420)</f>
        <v>224</v>
      </c>
      <c r="B420" s="139" t="s">
        <v>621</v>
      </c>
      <c r="C420" s="134"/>
      <c r="D420" s="134" t="s">
        <v>589</v>
      </c>
      <c r="E420" s="134"/>
      <c r="F420" s="329" t="s">
        <v>2209</v>
      </c>
      <c r="G420" s="135" t="s">
        <v>237</v>
      </c>
      <c r="H420" s="136">
        <v>1</v>
      </c>
      <c r="I420" s="136"/>
      <c r="J420" s="136"/>
      <c r="K420" s="137"/>
      <c r="L420" s="137"/>
      <c r="M420" s="137"/>
      <c r="N420" s="137"/>
      <c r="O420" s="142"/>
    </row>
    <row r="421" spans="1:15" s="146" customFormat="1" ht="26.4" hidden="1" customHeight="1" outlineLevel="1">
      <c r="A421" s="141">
        <f>SUBTOTAL(3,$G$7:G421)</f>
        <v>224</v>
      </c>
      <c r="B421" s="139" t="s">
        <v>622</v>
      </c>
      <c r="C421" s="134"/>
      <c r="D421" s="134" t="s">
        <v>589</v>
      </c>
      <c r="E421" s="134"/>
      <c r="F421" s="329" t="s">
        <v>2209</v>
      </c>
      <c r="G421" s="135" t="s">
        <v>237</v>
      </c>
      <c r="H421" s="136">
        <v>1</v>
      </c>
      <c r="I421" s="136"/>
      <c r="J421" s="136"/>
      <c r="K421" s="137"/>
      <c r="L421" s="137"/>
      <c r="M421" s="137"/>
      <c r="N421" s="137"/>
      <c r="O421" s="142"/>
    </row>
    <row r="422" spans="1:15" s="146" customFormat="1" ht="26.4" hidden="1" customHeight="1" outlineLevel="1">
      <c r="A422" s="141">
        <f>SUBTOTAL(3,$G$7:G422)</f>
        <v>224</v>
      </c>
      <c r="B422" s="139" t="s">
        <v>623</v>
      </c>
      <c r="C422" s="134"/>
      <c r="D422" s="134" t="s">
        <v>589</v>
      </c>
      <c r="E422" s="134"/>
      <c r="F422" s="329" t="s">
        <v>2209</v>
      </c>
      <c r="G422" s="135" t="s">
        <v>237</v>
      </c>
      <c r="H422" s="136">
        <v>1</v>
      </c>
      <c r="I422" s="136"/>
      <c r="J422" s="136"/>
      <c r="K422" s="137"/>
      <c r="L422" s="137"/>
      <c r="M422" s="137"/>
      <c r="N422" s="137"/>
      <c r="O422" s="142"/>
    </row>
    <row r="423" spans="1:15" s="146" customFormat="1" ht="26.4" hidden="1" customHeight="1" outlineLevel="1">
      <c r="A423" s="141">
        <f>SUBTOTAL(3,$G$7:G423)</f>
        <v>224</v>
      </c>
      <c r="B423" s="139" t="s">
        <v>624</v>
      </c>
      <c r="C423" s="134"/>
      <c r="D423" s="134" t="s">
        <v>589</v>
      </c>
      <c r="E423" s="134"/>
      <c r="F423" s="329" t="s">
        <v>2209</v>
      </c>
      <c r="G423" s="135" t="s">
        <v>237</v>
      </c>
      <c r="H423" s="136">
        <v>1</v>
      </c>
      <c r="I423" s="136"/>
      <c r="J423" s="136"/>
      <c r="K423" s="137"/>
      <c r="L423" s="137"/>
      <c r="M423" s="137"/>
      <c r="N423" s="137"/>
      <c r="O423" s="142"/>
    </row>
    <row r="424" spans="1:15" s="146" customFormat="1" ht="26.4" hidden="1" customHeight="1" outlineLevel="1">
      <c r="A424" s="141">
        <f>SUBTOTAL(3,$G$7:G424)</f>
        <v>224</v>
      </c>
      <c r="B424" s="139" t="s">
        <v>625</v>
      </c>
      <c r="C424" s="134"/>
      <c r="D424" s="134" t="s">
        <v>589</v>
      </c>
      <c r="E424" s="134"/>
      <c r="F424" s="329" t="s">
        <v>2209</v>
      </c>
      <c r="G424" s="135" t="s">
        <v>237</v>
      </c>
      <c r="H424" s="136">
        <v>1</v>
      </c>
      <c r="I424" s="136"/>
      <c r="J424" s="136"/>
      <c r="K424" s="137"/>
      <c r="L424" s="137"/>
      <c r="M424" s="137"/>
      <c r="N424" s="137"/>
      <c r="O424" s="142"/>
    </row>
    <row r="425" spans="1:15" s="146" customFormat="1" ht="26.4" hidden="1" customHeight="1" outlineLevel="1">
      <c r="A425" s="141">
        <f>SUBTOTAL(3,$G$7:G425)</f>
        <v>224</v>
      </c>
      <c r="B425" s="139" t="s">
        <v>626</v>
      </c>
      <c r="C425" s="134"/>
      <c r="D425" s="134" t="s">
        <v>589</v>
      </c>
      <c r="E425" s="134"/>
      <c r="F425" s="329" t="s">
        <v>2209</v>
      </c>
      <c r="G425" s="135" t="s">
        <v>237</v>
      </c>
      <c r="H425" s="136">
        <v>1</v>
      </c>
      <c r="I425" s="136"/>
      <c r="J425" s="136"/>
      <c r="K425" s="137"/>
      <c r="L425" s="137"/>
      <c r="M425" s="137"/>
      <c r="N425" s="137"/>
      <c r="O425" s="142"/>
    </row>
    <row r="426" spans="1:15" s="146" customFormat="1" ht="26.4" hidden="1" customHeight="1" outlineLevel="1">
      <c r="A426" s="141">
        <f>SUBTOTAL(3,$G$7:G426)</f>
        <v>224</v>
      </c>
      <c r="B426" s="139" t="s">
        <v>627</v>
      </c>
      <c r="C426" s="134"/>
      <c r="D426" s="134" t="s">
        <v>589</v>
      </c>
      <c r="E426" s="134"/>
      <c r="F426" s="329" t="s">
        <v>2209</v>
      </c>
      <c r="G426" s="135" t="s">
        <v>237</v>
      </c>
      <c r="H426" s="136">
        <v>1</v>
      </c>
      <c r="I426" s="136"/>
      <c r="J426" s="136"/>
      <c r="K426" s="137"/>
      <c r="L426" s="137"/>
      <c r="M426" s="137"/>
      <c r="N426" s="137"/>
      <c r="O426" s="142"/>
    </row>
    <row r="427" spans="1:15" s="146" customFormat="1" ht="26.4" hidden="1" customHeight="1" outlineLevel="1">
      <c r="A427" s="141">
        <f>SUBTOTAL(3,$G$7:G427)</f>
        <v>224</v>
      </c>
      <c r="B427" s="139" t="s">
        <v>628</v>
      </c>
      <c r="C427" s="134"/>
      <c r="D427" s="134" t="s">
        <v>589</v>
      </c>
      <c r="E427" s="134"/>
      <c r="F427" s="329" t="s">
        <v>2209</v>
      </c>
      <c r="G427" s="135" t="s">
        <v>237</v>
      </c>
      <c r="H427" s="136">
        <v>1</v>
      </c>
      <c r="I427" s="136"/>
      <c r="J427" s="136"/>
      <c r="K427" s="137"/>
      <c r="L427" s="137"/>
      <c r="M427" s="137"/>
      <c r="N427" s="137"/>
      <c r="O427" s="142"/>
    </row>
    <row r="428" spans="1:15" s="146" customFormat="1" ht="26.4" hidden="1" customHeight="1" outlineLevel="1">
      <c r="A428" s="141">
        <f>SUBTOTAL(3,$G$7:G428)</f>
        <v>224</v>
      </c>
      <c r="B428" s="139" t="s">
        <v>629</v>
      </c>
      <c r="C428" s="134"/>
      <c r="D428" s="134" t="s">
        <v>589</v>
      </c>
      <c r="E428" s="134"/>
      <c r="F428" s="329" t="s">
        <v>2209</v>
      </c>
      <c r="G428" s="135" t="s">
        <v>237</v>
      </c>
      <c r="H428" s="136">
        <v>1</v>
      </c>
      <c r="I428" s="136"/>
      <c r="J428" s="136"/>
      <c r="K428" s="137"/>
      <c r="L428" s="137"/>
      <c r="M428" s="137"/>
      <c r="N428" s="137"/>
      <c r="O428" s="142"/>
    </row>
    <row r="429" spans="1:15" s="146" customFormat="1" ht="26.4" hidden="1" customHeight="1" outlineLevel="1">
      <c r="A429" s="141">
        <f>SUBTOTAL(3,$G$7:G429)</f>
        <v>224</v>
      </c>
      <c r="B429" s="139" t="s">
        <v>630</v>
      </c>
      <c r="C429" s="134"/>
      <c r="D429" s="134" t="s">
        <v>589</v>
      </c>
      <c r="E429" s="134"/>
      <c r="F429" s="329" t="s">
        <v>2209</v>
      </c>
      <c r="G429" s="135" t="s">
        <v>237</v>
      </c>
      <c r="H429" s="136">
        <v>1</v>
      </c>
      <c r="I429" s="136"/>
      <c r="J429" s="136"/>
      <c r="K429" s="137"/>
      <c r="L429" s="137"/>
      <c r="M429" s="137"/>
      <c r="N429" s="137"/>
      <c r="O429" s="142"/>
    </row>
    <row r="430" spans="1:15" s="146" customFormat="1" ht="26.4" hidden="1" customHeight="1" outlineLevel="1">
      <c r="A430" s="141">
        <f>SUBTOTAL(3,$G$7:G430)</f>
        <v>224</v>
      </c>
      <c r="B430" s="139" t="s">
        <v>631</v>
      </c>
      <c r="C430" s="134"/>
      <c r="D430" s="134" t="s">
        <v>589</v>
      </c>
      <c r="E430" s="134"/>
      <c r="F430" s="329" t="s">
        <v>2209</v>
      </c>
      <c r="G430" s="135" t="s">
        <v>237</v>
      </c>
      <c r="H430" s="136">
        <v>1</v>
      </c>
      <c r="I430" s="136"/>
      <c r="J430" s="136"/>
      <c r="K430" s="137"/>
      <c r="L430" s="137"/>
      <c r="M430" s="137"/>
      <c r="N430" s="137"/>
      <c r="O430" s="142"/>
    </row>
    <row r="431" spans="1:15" s="146" customFormat="1" ht="26.4" hidden="1" customHeight="1" outlineLevel="1">
      <c r="A431" s="141">
        <f>SUBTOTAL(3,$G$7:G431)</f>
        <v>224</v>
      </c>
      <c r="B431" s="139" t="s">
        <v>632</v>
      </c>
      <c r="C431" s="134"/>
      <c r="D431" s="134" t="s">
        <v>589</v>
      </c>
      <c r="E431" s="134"/>
      <c r="F431" s="329" t="s">
        <v>2209</v>
      </c>
      <c r="G431" s="135" t="s">
        <v>237</v>
      </c>
      <c r="H431" s="136">
        <v>1</v>
      </c>
      <c r="I431" s="136"/>
      <c r="J431" s="136"/>
      <c r="K431" s="137"/>
      <c r="L431" s="137"/>
      <c r="M431" s="137"/>
      <c r="N431" s="137"/>
      <c r="O431" s="142"/>
    </row>
    <row r="432" spans="1:15" s="146" customFormat="1" ht="26.4" hidden="1" customHeight="1" outlineLevel="1">
      <c r="A432" s="141">
        <f>SUBTOTAL(3,$G$7:G432)</f>
        <v>224</v>
      </c>
      <c r="B432" s="139" t="s">
        <v>633</v>
      </c>
      <c r="C432" s="134"/>
      <c r="D432" s="134" t="s">
        <v>589</v>
      </c>
      <c r="E432" s="134"/>
      <c r="F432" s="329" t="s">
        <v>2209</v>
      </c>
      <c r="G432" s="135" t="s">
        <v>237</v>
      </c>
      <c r="H432" s="136">
        <v>1</v>
      </c>
      <c r="I432" s="136"/>
      <c r="J432" s="136"/>
      <c r="K432" s="137"/>
      <c r="L432" s="137"/>
      <c r="M432" s="137"/>
      <c r="N432" s="137"/>
      <c r="O432" s="142"/>
    </row>
    <row r="433" spans="1:15" s="146" customFormat="1" ht="26.4" hidden="1" outlineLevel="1">
      <c r="A433" s="141">
        <f>SUBTOTAL(3,$G$8:G433)</f>
        <v>224</v>
      </c>
      <c r="B433" s="139" t="s">
        <v>275</v>
      </c>
      <c r="C433" s="134"/>
      <c r="D433" s="134"/>
      <c r="E433" s="134"/>
      <c r="F433" s="329" t="s">
        <v>2209</v>
      </c>
      <c r="G433" s="135" t="s">
        <v>276</v>
      </c>
      <c r="H433" s="136">
        <v>1</v>
      </c>
      <c r="I433" s="136"/>
      <c r="J433" s="136"/>
      <c r="K433" s="137"/>
      <c r="L433" s="137"/>
      <c r="M433" s="137"/>
      <c r="N433" s="137"/>
      <c r="O433" s="142"/>
    </row>
    <row r="434" spans="1:15" s="146" customFormat="1" ht="26.4" hidden="1" outlineLevel="1">
      <c r="A434" s="141"/>
      <c r="B434" s="140" t="s">
        <v>634</v>
      </c>
      <c r="C434" s="134"/>
      <c r="D434" s="134"/>
      <c r="E434" s="134"/>
      <c r="F434" s="329" t="s">
        <v>2210</v>
      </c>
      <c r="G434" s="135"/>
      <c r="H434" s="136">
        <v>0</v>
      </c>
      <c r="I434" s="136"/>
      <c r="J434" s="136"/>
      <c r="K434" s="137"/>
      <c r="L434" s="137"/>
      <c r="M434" s="137"/>
      <c r="N434" s="137"/>
      <c r="O434" s="142"/>
    </row>
    <row r="435" spans="1:15" s="146" customFormat="1" ht="26.4" hidden="1" customHeight="1" outlineLevel="1">
      <c r="A435" s="141">
        <f>SUBTOTAL(3,$G$7:G435)</f>
        <v>224</v>
      </c>
      <c r="B435" s="139" t="s">
        <v>635</v>
      </c>
      <c r="C435" s="134"/>
      <c r="D435" s="134" t="s">
        <v>589</v>
      </c>
      <c r="E435" s="134"/>
      <c r="F435" s="329" t="s">
        <v>2210</v>
      </c>
      <c r="G435" s="135" t="s">
        <v>237</v>
      </c>
      <c r="H435" s="136">
        <v>3</v>
      </c>
      <c r="I435" s="136"/>
      <c r="J435" s="136"/>
      <c r="K435" s="137"/>
      <c r="L435" s="137"/>
      <c r="M435" s="137"/>
      <c r="N435" s="137"/>
      <c r="O435" s="142"/>
    </row>
    <row r="436" spans="1:15" s="146" customFormat="1" ht="26.4" hidden="1" customHeight="1" outlineLevel="1">
      <c r="A436" s="141">
        <f>SUBTOTAL(3,$G$7:G436)</f>
        <v>224</v>
      </c>
      <c r="B436" s="139" t="s">
        <v>636</v>
      </c>
      <c r="C436" s="134"/>
      <c r="D436" s="134" t="s">
        <v>589</v>
      </c>
      <c r="E436" s="134"/>
      <c r="F436" s="329" t="s">
        <v>2210</v>
      </c>
      <c r="G436" s="135" t="s">
        <v>237</v>
      </c>
      <c r="H436" s="136">
        <v>1</v>
      </c>
      <c r="I436" s="136"/>
      <c r="J436" s="136"/>
      <c r="K436" s="137"/>
      <c r="L436" s="137"/>
      <c r="M436" s="137"/>
      <c r="N436" s="137"/>
      <c r="O436" s="142"/>
    </row>
    <row r="437" spans="1:15" s="146" customFormat="1" ht="26.4" hidden="1" customHeight="1" outlineLevel="1">
      <c r="A437" s="141">
        <f>SUBTOTAL(3,$G$7:G437)</f>
        <v>224</v>
      </c>
      <c r="B437" s="139" t="s">
        <v>637</v>
      </c>
      <c r="C437" s="134"/>
      <c r="D437" s="134" t="s">
        <v>589</v>
      </c>
      <c r="E437" s="134"/>
      <c r="F437" s="329" t="s">
        <v>2210</v>
      </c>
      <c r="G437" s="135" t="s">
        <v>237</v>
      </c>
      <c r="H437" s="136">
        <v>1</v>
      </c>
      <c r="I437" s="136"/>
      <c r="J437" s="136"/>
      <c r="K437" s="137"/>
      <c r="L437" s="137"/>
      <c r="M437" s="137"/>
      <c r="N437" s="137"/>
      <c r="O437" s="142"/>
    </row>
    <row r="438" spans="1:15" s="146" customFormat="1" ht="26.4" hidden="1" customHeight="1" outlineLevel="1">
      <c r="A438" s="141">
        <f>SUBTOTAL(3,$G$7:G438)</f>
        <v>224</v>
      </c>
      <c r="B438" s="139" t="s">
        <v>638</v>
      </c>
      <c r="C438" s="134"/>
      <c r="D438" s="134" t="s">
        <v>589</v>
      </c>
      <c r="E438" s="134"/>
      <c r="F438" s="329" t="s">
        <v>2210</v>
      </c>
      <c r="G438" s="135" t="s">
        <v>237</v>
      </c>
      <c r="H438" s="136">
        <v>1</v>
      </c>
      <c r="I438" s="136"/>
      <c r="J438" s="136"/>
      <c r="K438" s="137"/>
      <c r="L438" s="137"/>
      <c r="M438" s="137"/>
      <c r="N438" s="137"/>
      <c r="O438" s="142"/>
    </row>
    <row r="439" spans="1:15" s="146" customFormat="1" ht="26.4" hidden="1" customHeight="1" outlineLevel="1">
      <c r="A439" s="141">
        <f>SUBTOTAL(3,$G$7:G439)</f>
        <v>224</v>
      </c>
      <c r="B439" s="139" t="s">
        <v>639</v>
      </c>
      <c r="C439" s="134"/>
      <c r="D439" s="134" t="s">
        <v>589</v>
      </c>
      <c r="E439" s="134"/>
      <c r="F439" s="329" t="s">
        <v>2210</v>
      </c>
      <c r="G439" s="135" t="s">
        <v>237</v>
      </c>
      <c r="H439" s="136">
        <v>3</v>
      </c>
      <c r="I439" s="136"/>
      <c r="J439" s="136"/>
      <c r="K439" s="137"/>
      <c r="L439" s="137"/>
      <c r="M439" s="137"/>
      <c r="N439" s="137"/>
      <c r="O439" s="142"/>
    </row>
    <row r="440" spans="1:15" s="146" customFormat="1" ht="26.4" hidden="1" customHeight="1" outlineLevel="1">
      <c r="A440" s="141">
        <f>SUBTOTAL(3,$G$7:G440)</f>
        <v>224</v>
      </c>
      <c r="B440" s="139" t="s">
        <v>640</v>
      </c>
      <c r="C440" s="134"/>
      <c r="D440" s="134" t="s">
        <v>589</v>
      </c>
      <c r="E440" s="134"/>
      <c r="F440" s="329" t="s">
        <v>2210</v>
      </c>
      <c r="G440" s="135" t="s">
        <v>237</v>
      </c>
      <c r="H440" s="136">
        <v>2</v>
      </c>
      <c r="I440" s="136"/>
      <c r="J440" s="136"/>
      <c r="K440" s="137"/>
      <c r="L440" s="137"/>
      <c r="M440" s="137"/>
      <c r="N440" s="137"/>
      <c r="O440" s="142"/>
    </row>
    <row r="441" spans="1:15" s="146" customFormat="1" ht="26.4" hidden="1" customHeight="1" outlineLevel="1">
      <c r="A441" s="141">
        <f>SUBTOTAL(3,$G$7:G441)</f>
        <v>224</v>
      </c>
      <c r="B441" s="139" t="s">
        <v>641</v>
      </c>
      <c r="C441" s="134"/>
      <c r="D441" s="134" t="s">
        <v>589</v>
      </c>
      <c r="E441" s="134"/>
      <c r="F441" s="329" t="s">
        <v>2210</v>
      </c>
      <c r="G441" s="135" t="s">
        <v>237</v>
      </c>
      <c r="H441" s="136">
        <v>1</v>
      </c>
      <c r="I441" s="136"/>
      <c r="J441" s="136"/>
      <c r="K441" s="137"/>
      <c r="L441" s="137"/>
      <c r="M441" s="137"/>
      <c r="N441" s="137"/>
      <c r="O441" s="142"/>
    </row>
    <row r="442" spans="1:15" s="146" customFormat="1" ht="26.4" hidden="1" customHeight="1" outlineLevel="1">
      <c r="A442" s="141">
        <f>SUBTOTAL(3,$G$7:G442)</f>
        <v>224</v>
      </c>
      <c r="B442" s="139" t="s">
        <v>642</v>
      </c>
      <c r="C442" s="134"/>
      <c r="D442" s="134" t="s">
        <v>589</v>
      </c>
      <c r="E442" s="134"/>
      <c r="F442" s="329" t="s">
        <v>2210</v>
      </c>
      <c r="G442" s="135" t="s">
        <v>237</v>
      </c>
      <c r="H442" s="136">
        <v>2</v>
      </c>
      <c r="I442" s="136"/>
      <c r="J442" s="136"/>
      <c r="K442" s="137"/>
      <c r="L442" s="137"/>
      <c r="M442" s="137"/>
      <c r="N442" s="137"/>
      <c r="O442" s="142"/>
    </row>
    <row r="443" spans="1:15" s="146" customFormat="1" ht="26.4" hidden="1" customHeight="1" outlineLevel="1">
      <c r="A443" s="141">
        <f>SUBTOTAL(3,$G$7:G443)</f>
        <v>224</v>
      </c>
      <c r="B443" s="139" t="s">
        <v>643</v>
      </c>
      <c r="C443" s="134"/>
      <c r="D443" s="134" t="s">
        <v>589</v>
      </c>
      <c r="E443" s="134"/>
      <c r="F443" s="329" t="s">
        <v>2210</v>
      </c>
      <c r="G443" s="135" t="s">
        <v>237</v>
      </c>
      <c r="H443" s="136">
        <v>2</v>
      </c>
      <c r="I443" s="136"/>
      <c r="J443" s="136"/>
      <c r="K443" s="137"/>
      <c r="L443" s="137"/>
      <c r="M443" s="137"/>
      <c r="N443" s="137"/>
      <c r="O443" s="142"/>
    </row>
    <row r="444" spans="1:15" s="146" customFormat="1" ht="26.4" hidden="1" customHeight="1" outlineLevel="1">
      <c r="A444" s="141">
        <f>SUBTOTAL(3,$G$7:G444)</f>
        <v>224</v>
      </c>
      <c r="B444" s="139" t="s">
        <v>644</v>
      </c>
      <c r="C444" s="134"/>
      <c r="D444" s="134" t="s">
        <v>589</v>
      </c>
      <c r="E444" s="134"/>
      <c r="F444" s="329" t="s">
        <v>2210</v>
      </c>
      <c r="G444" s="135" t="s">
        <v>237</v>
      </c>
      <c r="H444" s="136">
        <v>2</v>
      </c>
      <c r="I444" s="136"/>
      <c r="J444" s="136"/>
      <c r="K444" s="137"/>
      <c r="L444" s="137"/>
      <c r="M444" s="137"/>
      <c r="N444" s="137"/>
      <c r="O444" s="142"/>
    </row>
    <row r="445" spans="1:15" s="146" customFormat="1" ht="26.4" hidden="1" customHeight="1" outlineLevel="1">
      <c r="A445" s="141">
        <f>SUBTOTAL(3,$G$7:G445)</f>
        <v>224</v>
      </c>
      <c r="B445" s="139" t="s">
        <v>645</v>
      </c>
      <c r="C445" s="134"/>
      <c r="D445" s="134" t="s">
        <v>589</v>
      </c>
      <c r="E445" s="134"/>
      <c r="F445" s="329" t="s">
        <v>2210</v>
      </c>
      <c r="G445" s="135" t="s">
        <v>237</v>
      </c>
      <c r="H445" s="136">
        <v>2</v>
      </c>
      <c r="I445" s="136"/>
      <c r="J445" s="136"/>
      <c r="K445" s="137"/>
      <c r="L445" s="137"/>
      <c r="M445" s="137"/>
      <c r="N445" s="137"/>
      <c r="O445" s="142"/>
    </row>
    <row r="446" spans="1:15" s="146" customFormat="1" ht="26.4" hidden="1" customHeight="1" outlineLevel="1">
      <c r="A446" s="141">
        <f>SUBTOTAL(3,$G$7:G446)</f>
        <v>224</v>
      </c>
      <c r="B446" s="139" t="s">
        <v>646</v>
      </c>
      <c r="C446" s="134"/>
      <c r="D446" s="134" t="s">
        <v>589</v>
      </c>
      <c r="E446" s="134"/>
      <c r="F446" s="329" t="s">
        <v>2210</v>
      </c>
      <c r="G446" s="135" t="s">
        <v>237</v>
      </c>
      <c r="H446" s="136">
        <v>2</v>
      </c>
      <c r="I446" s="136"/>
      <c r="J446" s="136"/>
      <c r="K446" s="137"/>
      <c r="L446" s="137"/>
      <c r="M446" s="137"/>
      <c r="N446" s="137"/>
      <c r="O446" s="142"/>
    </row>
    <row r="447" spans="1:15" s="146" customFormat="1" ht="26.4" hidden="1" customHeight="1" outlineLevel="1">
      <c r="A447" s="141">
        <f>SUBTOTAL(3,$G$7:G447)</f>
        <v>224</v>
      </c>
      <c r="B447" s="139" t="s">
        <v>647</v>
      </c>
      <c r="C447" s="134"/>
      <c r="D447" s="134" t="s">
        <v>589</v>
      </c>
      <c r="E447" s="134"/>
      <c r="F447" s="329" t="s">
        <v>2210</v>
      </c>
      <c r="G447" s="135" t="s">
        <v>237</v>
      </c>
      <c r="H447" s="136">
        <v>2</v>
      </c>
      <c r="I447" s="136"/>
      <c r="J447" s="136"/>
      <c r="K447" s="137"/>
      <c r="L447" s="137"/>
      <c r="M447" s="137"/>
      <c r="N447" s="137"/>
      <c r="O447" s="142"/>
    </row>
    <row r="448" spans="1:15" s="146" customFormat="1" ht="26.4" hidden="1" customHeight="1" outlineLevel="1">
      <c r="A448" s="141">
        <f>SUBTOTAL(3,$G$7:G448)</f>
        <v>224</v>
      </c>
      <c r="B448" s="139" t="s">
        <v>648</v>
      </c>
      <c r="C448" s="134"/>
      <c r="D448" s="134" t="s">
        <v>589</v>
      </c>
      <c r="E448" s="134"/>
      <c r="F448" s="329" t="s">
        <v>2210</v>
      </c>
      <c r="G448" s="135" t="s">
        <v>237</v>
      </c>
      <c r="H448" s="136">
        <v>2</v>
      </c>
      <c r="I448" s="136"/>
      <c r="J448" s="136"/>
      <c r="K448" s="137"/>
      <c r="L448" s="137"/>
      <c r="M448" s="137"/>
      <c r="N448" s="137"/>
      <c r="O448" s="142"/>
    </row>
    <row r="449" spans="1:15" s="146" customFormat="1" ht="26.4" hidden="1" customHeight="1" outlineLevel="1">
      <c r="A449" s="141">
        <f>SUBTOTAL(3,$G$7:G449)</f>
        <v>224</v>
      </c>
      <c r="B449" s="139" t="s">
        <v>649</v>
      </c>
      <c r="C449" s="134"/>
      <c r="D449" s="134" t="s">
        <v>589</v>
      </c>
      <c r="E449" s="134"/>
      <c r="F449" s="329" t="s">
        <v>2210</v>
      </c>
      <c r="G449" s="135" t="s">
        <v>237</v>
      </c>
      <c r="H449" s="136">
        <v>2</v>
      </c>
      <c r="I449" s="136"/>
      <c r="J449" s="136"/>
      <c r="K449" s="137"/>
      <c r="L449" s="137"/>
      <c r="M449" s="137"/>
      <c r="N449" s="137"/>
      <c r="O449" s="142"/>
    </row>
    <row r="450" spans="1:15" s="146" customFormat="1" ht="26.4" hidden="1" customHeight="1" outlineLevel="1">
      <c r="A450" s="141">
        <f>SUBTOTAL(3,$G$7:G450)</f>
        <v>224</v>
      </c>
      <c r="B450" s="139" t="s">
        <v>650</v>
      </c>
      <c r="C450" s="134"/>
      <c r="D450" s="134" t="s">
        <v>589</v>
      </c>
      <c r="E450" s="134"/>
      <c r="F450" s="329" t="s">
        <v>2210</v>
      </c>
      <c r="G450" s="135" t="s">
        <v>237</v>
      </c>
      <c r="H450" s="136">
        <v>2</v>
      </c>
      <c r="I450" s="136"/>
      <c r="J450" s="136"/>
      <c r="K450" s="137"/>
      <c r="L450" s="137"/>
      <c r="M450" s="137"/>
      <c r="N450" s="137"/>
      <c r="O450" s="142"/>
    </row>
    <row r="451" spans="1:15" s="146" customFormat="1" ht="26.4" hidden="1" customHeight="1" outlineLevel="1">
      <c r="A451" s="141">
        <f>SUBTOTAL(3,$G$7:G451)</f>
        <v>224</v>
      </c>
      <c r="B451" s="139" t="s">
        <v>651</v>
      </c>
      <c r="C451" s="134"/>
      <c r="D451" s="134" t="s">
        <v>589</v>
      </c>
      <c r="E451" s="134"/>
      <c r="F451" s="329" t="s">
        <v>2210</v>
      </c>
      <c r="G451" s="135" t="s">
        <v>237</v>
      </c>
      <c r="H451" s="136">
        <v>2</v>
      </c>
      <c r="I451" s="136"/>
      <c r="J451" s="136"/>
      <c r="K451" s="137"/>
      <c r="L451" s="137"/>
      <c r="M451" s="137"/>
      <c r="N451" s="137"/>
      <c r="O451" s="142"/>
    </row>
    <row r="452" spans="1:15" s="146" customFormat="1" ht="26.4" hidden="1" customHeight="1" outlineLevel="1">
      <c r="A452" s="141">
        <f>SUBTOTAL(3,$G$7:G452)</f>
        <v>224</v>
      </c>
      <c r="B452" s="139" t="s">
        <v>652</v>
      </c>
      <c r="C452" s="134"/>
      <c r="D452" s="134" t="s">
        <v>589</v>
      </c>
      <c r="E452" s="134"/>
      <c r="F452" s="329" t="s">
        <v>2210</v>
      </c>
      <c r="G452" s="135" t="s">
        <v>237</v>
      </c>
      <c r="H452" s="136">
        <v>1</v>
      </c>
      <c r="I452" s="136"/>
      <c r="J452" s="136"/>
      <c r="K452" s="137"/>
      <c r="L452" s="137"/>
      <c r="M452" s="137"/>
      <c r="N452" s="137"/>
      <c r="O452" s="142"/>
    </row>
    <row r="453" spans="1:15" s="146" customFormat="1" ht="26.4" hidden="1" customHeight="1" outlineLevel="1">
      <c r="A453" s="141">
        <f>SUBTOTAL(3,$G$7:G453)</f>
        <v>224</v>
      </c>
      <c r="B453" s="139" t="s">
        <v>653</v>
      </c>
      <c r="C453" s="134"/>
      <c r="D453" s="134" t="s">
        <v>589</v>
      </c>
      <c r="E453" s="134"/>
      <c r="F453" s="329" t="s">
        <v>2210</v>
      </c>
      <c r="G453" s="135" t="s">
        <v>237</v>
      </c>
      <c r="H453" s="136">
        <v>1</v>
      </c>
      <c r="I453" s="136"/>
      <c r="J453" s="136"/>
      <c r="K453" s="137"/>
      <c r="L453" s="137"/>
      <c r="M453" s="137"/>
      <c r="N453" s="137"/>
      <c r="O453" s="142"/>
    </row>
    <row r="454" spans="1:15" s="146" customFormat="1" ht="26.4" hidden="1" customHeight="1" outlineLevel="1">
      <c r="A454" s="141">
        <f>SUBTOTAL(3,$G$7:G454)</f>
        <v>224</v>
      </c>
      <c r="B454" s="139" t="s">
        <v>654</v>
      </c>
      <c r="C454" s="134"/>
      <c r="D454" s="134" t="s">
        <v>589</v>
      </c>
      <c r="E454" s="134"/>
      <c r="F454" s="329" t="s">
        <v>2210</v>
      </c>
      <c r="G454" s="135" t="s">
        <v>237</v>
      </c>
      <c r="H454" s="136">
        <v>2</v>
      </c>
      <c r="I454" s="136"/>
      <c r="J454" s="136"/>
      <c r="K454" s="137"/>
      <c r="L454" s="137"/>
      <c r="M454" s="137"/>
      <c r="N454" s="137"/>
      <c r="O454" s="142"/>
    </row>
    <row r="455" spans="1:15" s="146" customFormat="1" ht="26.4" hidden="1" customHeight="1" outlineLevel="1">
      <c r="A455" s="141">
        <f>SUBTOTAL(3,$G$7:G455)</f>
        <v>224</v>
      </c>
      <c r="B455" s="139" t="s">
        <v>655</v>
      </c>
      <c r="C455" s="134"/>
      <c r="D455" s="134" t="s">
        <v>589</v>
      </c>
      <c r="E455" s="134"/>
      <c r="F455" s="329" t="s">
        <v>2210</v>
      </c>
      <c r="G455" s="135" t="s">
        <v>237</v>
      </c>
      <c r="H455" s="136">
        <v>2</v>
      </c>
      <c r="I455" s="136"/>
      <c r="J455" s="136"/>
      <c r="K455" s="137"/>
      <c r="L455" s="137"/>
      <c r="M455" s="137"/>
      <c r="N455" s="137"/>
      <c r="O455" s="142"/>
    </row>
    <row r="456" spans="1:15" s="146" customFormat="1" ht="26.4" hidden="1" customHeight="1" outlineLevel="1">
      <c r="A456" s="141">
        <f>SUBTOTAL(3,$G$7:G456)</f>
        <v>224</v>
      </c>
      <c r="B456" s="139" t="s">
        <v>656</v>
      </c>
      <c r="C456" s="134"/>
      <c r="D456" s="134" t="s">
        <v>589</v>
      </c>
      <c r="E456" s="134"/>
      <c r="F456" s="329" t="s">
        <v>2210</v>
      </c>
      <c r="G456" s="135" t="s">
        <v>237</v>
      </c>
      <c r="H456" s="136">
        <v>2</v>
      </c>
      <c r="I456" s="136"/>
      <c r="J456" s="136"/>
      <c r="K456" s="137"/>
      <c r="L456" s="137"/>
      <c r="M456" s="137"/>
      <c r="N456" s="137"/>
      <c r="O456" s="142"/>
    </row>
    <row r="457" spans="1:15" s="146" customFormat="1" ht="26.4" hidden="1" customHeight="1" outlineLevel="1">
      <c r="A457" s="141">
        <f>SUBTOTAL(3,$G$7:G457)</f>
        <v>224</v>
      </c>
      <c r="B457" s="139" t="s">
        <v>657</v>
      </c>
      <c r="C457" s="134"/>
      <c r="D457" s="134" t="s">
        <v>589</v>
      </c>
      <c r="E457" s="134"/>
      <c r="F457" s="329" t="s">
        <v>2210</v>
      </c>
      <c r="G457" s="135" t="s">
        <v>237</v>
      </c>
      <c r="H457" s="136">
        <v>2</v>
      </c>
      <c r="I457" s="136"/>
      <c r="J457" s="136"/>
      <c r="K457" s="137"/>
      <c r="L457" s="137"/>
      <c r="M457" s="137"/>
      <c r="N457" s="137"/>
      <c r="O457" s="142"/>
    </row>
    <row r="458" spans="1:15" s="146" customFormat="1" ht="26.4" hidden="1" customHeight="1" outlineLevel="1">
      <c r="A458" s="141">
        <f>SUBTOTAL(3,$G$7:G458)</f>
        <v>224</v>
      </c>
      <c r="B458" s="139" t="s">
        <v>658</v>
      </c>
      <c r="C458" s="134"/>
      <c r="D458" s="134" t="s">
        <v>589</v>
      </c>
      <c r="E458" s="134"/>
      <c r="F458" s="329" t="s">
        <v>2210</v>
      </c>
      <c r="G458" s="135" t="s">
        <v>237</v>
      </c>
      <c r="H458" s="136">
        <v>2</v>
      </c>
      <c r="I458" s="136"/>
      <c r="J458" s="136"/>
      <c r="K458" s="137"/>
      <c r="L458" s="137"/>
      <c r="M458" s="137"/>
      <c r="N458" s="137"/>
      <c r="O458" s="142"/>
    </row>
    <row r="459" spans="1:15" s="146" customFormat="1" ht="26.4" hidden="1" customHeight="1" outlineLevel="1">
      <c r="A459" s="141">
        <f>SUBTOTAL(3,$G$7:G459)</f>
        <v>224</v>
      </c>
      <c r="B459" s="139" t="s">
        <v>659</v>
      </c>
      <c r="C459" s="134"/>
      <c r="D459" s="134" t="s">
        <v>589</v>
      </c>
      <c r="E459" s="134"/>
      <c r="F459" s="329" t="s">
        <v>2210</v>
      </c>
      <c r="G459" s="135" t="s">
        <v>237</v>
      </c>
      <c r="H459" s="136">
        <v>2</v>
      </c>
      <c r="I459" s="136"/>
      <c r="J459" s="136"/>
      <c r="K459" s="137"/>
      <c r="L459" s="137"/>
      <c r="M459" s="137"/>
      <c r="N459" s="137"/>
      <c r="O459" s="142"/>
    </row>
    <row r="460" spans="1:15" s="146" customFormat="1" ht="26.4" hidden="1" customHeight="1" outlineLevel="1">
      <c r="A460" s="141">
        <f>SUBTOTAL(3,$G$7:G460)</f>
        <v>224</v>
      </c>
      <c r="B460" s="139" t="s">
        <v>660</v>
      </c>
      <c r="C460" s="134"/>
      <c r="D460" s="134" t="s">
        <v>589</v>
      </c>
      <c r="E460" s="134"/>
      <c r="F460" s="329" t="s">
        <v>2210</v>
      </c>
      <c r="G460" s="135" t="s">
        <v>237</v>
      </c>
      <c r="H460" s="136">
        <v>2</v>
      </c>
      <c r="I460" s="136"/>
      <c r="J460" s="136"/>
      <c r="K460" s="137"/>
      <c r="L460" s="137"/>
      <c r="M460" s="137"/>
      <c r="N460" s="137"/>
      <c r="O460" s="142"/>
    </row>
    <row r="461" spans="1:15" s="146" customFormat="1" ht="26.4" hidden="1" customHeight="1" outlineLevel="1">
      <c r="A461" s="141">
        <f>SUBTOTAL(3,$G$7:G461)</f>
        <v>224</v>
      </c>
      <c r="B461" s="139" t="s">
        <v>661</v>
      </c>
      <c r="C461" s="134"/>
      <c r="D461" s="134" t="s">
        <v>589</v>
      </c>
      <c r="E461" s="134"/>
      <c r="F461" s="329" t="s">
        <v>2210</v>
      </c>
      <c r="G461" s="135" t="s">
        <v>237</v>
      </c>
      <c r="H461" s="136">
        <v>2</v>
      </c>
      <c r="I461" s="136"/>
      <c r="J461" s="136"/>
      <c r="K461" s="137"/>
      <c r="L461" s="137"/>
      <c r="M461" s="137"/>
      <c r="N461" s="137"/>
      <c r="O461" s="142"/>
    </row>
    <row r="462" spans="1:15" s="146" customFormat="1" ht="26.4" hidden="1" customHeight="1" outlineLevel="1">
      <c r="A462" s="141">
        <f>SUBTOTAL(3,$G$7:G462)</f>
        <v>224</v>
      </c>
      <c r="B462" s="139" t="s">
        <v>662</v>
      </c>
      <c r="C462" s="134"/>
      <c r="D462" s="134" t="s">
        <v>589</v>
      </c>
      <c r="E462" s="134"/>
      <c r="F462" s="329" t="s">
        <v>2210</v>
      </c>
      <c r="G462" s="135" t="s">
        <v>237</v>
      </c>
      <c r="H462" s="136">
        <v>1</v>
      </c>
      <c r="I462" s="136"/>
      <c r="J462" s="136"/>
      <c r="K462" s="137"/>
      <c r="L462" s="137"/>
      <c r="M462" s="137"/>
      <c r="N462" s="137"/>
      <c r="O462" s="142"/>
    </row>
    <row r="463" spans="1:15" s="146" customFormat="1" ht="26.4" hidden="1" customHeight="1" outlineLevel="1">
      <c r="A463" s="141">
        <f>SUBTOTAL(3,$G$7:G463)</f>
        <v>224</v>
      </c>
      <c r="B463" s="139" t="s">
        <v>663</v>
      </c>
      <c r="C463" s="134"/>
      <c r="D463" s="134" t="s">
        <v>589</v>
      </c>
      <c r="E463" s="134"/>
      <c r="F463" s="329" t="s">
        <v>2210</v>
      </c>
      <c r="G463" s="135" t="s">
        <v>237</v>
      </c>
      <c r="H463" s="136">
        <v>2</v>
      </c>
      <c r="I463" s="136"/>
      <c r="J463" s="136"/>
      <c r="K463" s="137"/>
      <c r="L463" s="137"/>
      <c r="M463" s="137"/>
      <c r="N463" s="137"/>
      <c r="O463" s="142"/>
    </row>
    <row r="464" spans="1:15" s="146" customFormat="1" ht="26.4" hidden="1" customHeight="1" outlineLevel="1">
      <c r="A464" s="141">
        <f>SUBTOTAL(3,$G$7:G464)</f>
        <v>224</v>
      </c>
      <c r="B464" s="139" t="s">
        <v>664</v>
      </c>
      <c r="C464" s="134"/>
      <c r="D464" s="134" t="s">
        <v>589</v>
      </c>
      <c r="E464" s="134"/>
      <c r="F464" s="329" t="s">
        <v>2210</v>
      </c>
      <c r="G464" s="135" t="s">
        <v>237</v>
      </c>
      <c r="H464" s="136">
        <v>2</v>
      </c>
      <c r="I464" s="136"/>
      <c r="J464" s="136"/>
      <c r="K464" s="137"/>
      <c r="L464" s="137"/>
      <c r="M464" s="137"/>
      <c r="N464" s="137"/>
      <c r="O464" s="142"/>
    </row>
    <row r="465" spans="1:15" s="146" customFormat="1" ht="26.4" hidden="1" customHeight="1" outlineLevel="1">
      <c r="A465" s="141">
        <f>SUBTOTAL(3,$G$7:G465)</f>
        <v>224</v>
      </c>
      <c r="B465" s="139" t="s">
        <v>665</v>
      </c>
      <c r="C465" s="134"/>
      <c r="D465" s="134" t="s">
        <v>589</v>
      </c>
      <c r="E465" s="134"/>
      <c r="F465" s="329" t="s">
        <v>2210</v>
      </c>
      <c r="G465" s="135" t="s">
        <v>237</v>
      </c>
      <c r="H465" s="136">
        <v>3</v>
      </c>
      <c r="I465" s="136"/>
      <c r="J465" s="136"/>
      <c r="K465" s="137"/>
      <c r="L465" s="137"/>
      <c r="M465" s="137"/>
      <c r="N465" s="137"/>
      <c r="O465" s="142"/>
    </row>
    <row r="466" spans="1:15" s="146" customFormat="1" ht="26.4" hidden="1" customHeight="1" outlineLevel="1">
      <c r="A466" s="141">
        <f>SUBTOTAL(3,$G$7:G466)</f>
        <v>224</v>
      </c>
      <c r="B466" s="139" t="s">
        <v>666</v>
      </c>
      <c r="C466" s="134"/>
      <c r="D466" s="134" t="s">
        <v>589</v>
      </c>
      <c r="E466" s="134"/>
      <c r="F466" s="329" t="s">
        <v>2210</v>
      </c>
      <c r="G466" s="135" t="s">
        <v>237</v>
      </c>
      <c r="H466" s="136">
        <v>1</v>
      </c>
      <c r="I466" s="136"/>
      <c r="J466" s="136"/>
      <c r="K466" s="137"/>
      <c r="L466" s="137"/>
      <c r="M466" s="137"/>
      <c r="N466" s="137"/>
      <c r="O466" s="142"/>
    </row>
    <row r="467" spans="1:15" s="146" customFormat="1" ht="26.4" hidden="1" customHeight="1" outlineLevel="1">
      <c r="A467" s="141">
        <f>SUBTOTAL(3,$G$7:G467)</f>
        <v>224</v>
      </c>
      <c r="B467" s="139" t="s">
        <v>667</v>
      </c>
      <c r="C467" s="134"/>
      <c r="D467" s="134" t="s">
        <v>589</v>
      </c>
      <c r="E467" s="134"/>
      <c r="F467" s="329" t="s">
        <v>2210</v>
      </c>
      <c r="G467" s="135" t="s">
        <v>237</v>
      </c>
      <c r="H467" s="136">
        <v>1</v>
      </c>
      <c r="I467" s="136"/>
      <c r="J467" s="136"/>
      <c r="K467" s="137"/>
      <c r="L467" s="137"/>
      <c r="M467" s="137"/>
      <c r="N467" s="137"/>
      <c r="O467" s="142"/>
    </row>
    <row r="468" spans="1:15" s="146" customFormat="1" ht="26.4" hidden="1" customHeight="1" outlineLevel="1">
      <c r="A468" s="141">
        <f>SUBTOTAL(3,$G$7:G468)</f>
        <v>224</v>
      </c>
      <c r="B468" s="139" t="s">
        <v>668</v>
      </c>
      <c r="C468" s="134"/>
      <c r="D468" s="134" t="s">
        <v>589</v>
      </c>
      <c r="E468" s="134"/>
      <c r="F468" s="329" t="s">
        <v>2210</v>
      </c>
      <c r="G468" s="135" t="s">
        <v>237</v>
      </c>
      <c r="H468" s="136">
        <v>2</v>
      </c>
      <c r="I468" s="136"/>
      <c r="J468" s="136"/>
      <c r="K468" s="137"/>
      <c r="L468" s="137"/>
      <c r="M468" s="137"/>
      <c r="N468" s="137"/>
      <c r="O468" s="142"/>
    </row>
    <row r="469" spans="1:15" s="146" customFormat="1" ht="26.4" hidden="1" customHeight="1" outlineLevel="1">
      <c r="A469" s="141">
        <f>SUBTOTAL(3,$G$7:G469)</f>
        <v>224</v>
      </c>
      <c r="B469" s="139" t="s">
        <v>669</v>
      </c>
      <c r="C469" s="134"/>
      <c r="D469" s="134" t="s">
        <v>589</v>
      </c>
      <c r="E469" s="134"/>
      <c r="F469" s="329" t="s">
        <v>2210</v>
      </c>
      <c r="G469" s="135" t="s">
        <v>237</v>
      </c>
      <c r="H469" s="136">
        <v>2</v>
      </c>
      <c r="I469" s="136"/>
      <c r="J469" s="136"/>
      <c r="K469" s="137"/>
      <c r="L469" s="137"/>
      <c r="M469" s="137"/>
      <c r="N469" s="137"/>
      <c r="O469" s="142"/>
    </row>
    <row r="470" spans="1:15" s="146" customFormat="1" ht="26.4" hidden="1" customHeight="1" outlineLevel="1">
      <c r="A470" s="141">
        <f>SUBTOTAL(3,$G$7:G470)</f>
        <v>224</v>
      </c>
      <c r="B470" s="139" t="s">
        <v>670</v>
      </c>
      <c r="C470" s="134"/>
      <c r="D470" s="134" t="s">
        <v>589</v>
      </c>
      <c r="E470" s="134"/>
      <c r="F470" s="329" t="s">
        <v>2210</v>
      </c>
      <c r="G470" s="135" t="s">
        <v>237</v>
      </c>
      <c r="H470" s="136">
        <v>2</v>
      </c>
      <c r="I470" s="136"/>
      <c r="J470" s="136"/>
      <c r="K470" s="137"/>
      <c r="L470" s="137"/>
      <c r="M470" s="137"/>
      <c r="N470" s="137"/>
      <c r="O470" s="142"/>
    </row>
    <row r="471" spans="1:15" s="146" customFormat="1" ht="26.4" hidden="1" customHeight="1" outlineLevel="1">
      <c r="A471" s="141">
        <f>SUBTOTAL(3,$G$7:G471)</f>
        <v>224</v>
      </c>
      <c r="B471" s="139" t="s">
        <v>671</v>
      </c>
      <c r="C471" s="134"/>
      <c r="D471" s="134" t="s">
        <v>589</v>
      </c>
      <c r="E471" s="134"/>
      <c r="F471" s="329" t="s">
        <v>2210</v>
      </c>
      <c r="G471" s="135" t="s">
        <v>237</v>
      </c>
      <c r="H471" s="136">
        <v>2</v>
      </c>
      <c r="I471" s="136"/>
      <c r="J471" s="136"/>
      <c r="K471" s="137"/>
      <c r="L471" s="137"/>
      <c r="M471" s="137"/>
      <c r="N471" s="137"/>
      <c r="O471" s="142"/>
    </row>
    <row r="472" spans="1:15" s="146" customFormat="1" ht="26.4" hidden="1" customHeight="1" outlineLevel="1">
      <c r="A472" s="141">
        <f>SUBTOTAL(3,$G$7:G472)</f>
        <v>224</v>
      </c>
      <c r="B472" s="139" t="s">
        <v>672</v>
      </c>
      <c r="C472" s="134"/>
      <c r="D472" s="134" t="s">
        <v>589</v>
      </c>
      <c r="E472" s="134"/>
      <c r="F472" s="329" t="s">
        <v>2210</v>
      </c>
      <c r="G472" s="135" t="s">
        <v>237</v>
      </c>
      <c r="H472" s="136">
        <v>2</v>
      </c>
      <c r="I472" s="136"/>
      <c r="J472" s="136"/>
      <c r="K472" s="137"/>
      <c r="L472" s="137"/>
      <c r="M472" s="137"/>
      <c r="N472" s="137"/>
      <c r="O472" s="142"/>
    </row>
    <row r="473" spans="1:15" s="146" customFormat="1" ht="26.4" hidden="1" customHeight="1" outlineLevel="1">
      <c r="A473" s="141">
        <f>SUBTOTAL(3,$G$7:G473)</f>
        <v>224</v>
      </c>
      <c r="B473" s="139" t="s">
        <v>673</v>
      </c>
      <c r="C473" s="134"/>
      <c r="D473" s="134" t="s">
        <v>589</v>
      </c>
      <c r="E473" s="134"/>
      <c r="F473" s="329" t="s">
        <v>2210</v>
      </c>
      <c r="G473" s="135" t="s">
        <v>237</v>
      </c>
      <c r="H473" s="136">
        <v>2</v>
      </c>
      <c r="I473" s="136"/>
      <c r="J473" s="136"/>
      <c r="K473" s="137"/>
      <c r="L473" s="137"/>
      <c r="M473" s="137"/>
      <c r="N473" s="137"/>
      <c r="O473" s="142"/>
    </row>
    <row r="474" spans="1:15" s="146" customFormat="1" ht="26.4" hidden="1" customHeight="1" outlineLevel="1">
      <c r="A474" s="141">
        <f>SUBTOTAL(3,$G$7:G474)</f>
        <v>224</v>
      </c>
      <c r="B474" s="139" t="s">
        <v>674</v>
      </c>
      <c r="C474" s="134"/>
      <c r="D474" s="134" t="s">
        <v>589</v>
      </c>
      <c r="E474" s="134"/>
      <c r="F474" s="329" t="s">
        <v>2210</v>
      </c>
      <c r="G474" s="135" t="s">
        <v>237</v>
      </c>
      <c r="H474" s="136">
        <v>4</v>
      </c>
      <c r="I474" s="136"/>
      <c r="J474" s="136"/>
      <c r="K474" s="137"/>
      <c r="L474" s="137"/>
      <c r="M474" s="137"/>
      <c r="N474" s="137"/>
      <c r="O474" s="142"/>
    </row>
    <row r="475" spans="1:15" s="146" customFormat="1" ht="26.4" hidden="1" customHeight="1" outlineLevel="1">
      <c r="A475" s="141">
        <f>SUBTOTAL(3,$G$7:G475)</f>
        <v>224</v>
      </c>
      <c r="B475" s="139" t="s">
        <v>675</v>
      </c>
      <c r="C475" s="134"/>
      <c r="D475" s="134" t="s">
        <v>589</v>
      </c>
      <c r="E475" s="134"/>
      <c r="F475" s="329" t="s">
        <v>2210</v>
      </c>
      <c r="G475" s="135" t="s">
        <v>237</v>
      </c>
      <c r="H475" s="136">
        <v>4</v>
      </c>
      <c r="I475" s="136"/>
      <c r="J475" s="136"/>
      <c r="K475" s="137"/>
      <c r="L475" s="137"/>
      <c r="M475" s="137"/>
      <c r="N475" s="137"/>
      <c r="O475" s="142"/>
    </row>
    <row r="476" spans="1:15" s="146" customFormat="1" ht="26.4" hidden="1" customHeight="1" outlineLevel="1">
      <c r="A476" s="141">
        <f>SUBTOTAL(3,$G$7:G476)</f>
        <v>224</v>
      </c>
      <c r="B476" s="139" t="s">
        <v>676</v>
      </c>
      <c r="C476" s="134"/>
      <c r="D476" s="134" t="s">
        <v>589</v>
      </c>
      <c r="E476" s="134"/>
      <c r="F476" s="329" t="s">
        <v>2210</v>
      </c>
      <c r="G476" s="135" t="s">
        <v>237</v>
      </c>
      <c r="H476" s="136">
        <v>2</v>
      </c>
      <c r="I476" s="136"/>
      <c r="J476" s="136"/>
      <c r="K476" s="137"/>
      <c r="L476" s="137"/>
      <c r="M476" s="137"/>
      <c r="N476" s="137"/>
      <c r="O476" s="142"/>
    </row>
    <row r="477" spans="1:15" s="146" customFormat="1" ht="26.4" hidden="1" customHeight="1" outlineLevel="1">
      <c r="A477" s="141">
        <f>SUBTOTAL(3,$G$7:G477)</f>
        <v>224</v>
      </c>
      <c r="B477" s="139" t="s">
        <v>677</v>
      </c>
      <c r="C477" s="134"/>
      <c r="D477" s="134" t="s">
        <v>589</v>
      </c>
      <c r="E477" s="134"/>
      <c r="F477" s="329" t="s">
        <v>2210</v>
      </c>
      <c r="G477" s="135" t="s">
        <v>237</v>
      </c>
      <c r="H477" s="136">
        <v>2</v>
      </c>
      <c r="I477" s="136"/>
      <c r="J477" s="136"/>
      <c r="K477" s="137"/>
      <c r="L477" s="137"/>
      <c r="M477" s="137"/>
      <c r="N477" s="137"/>
      <c r="O477" s="142"/>
    </row>
    <row r="478" spans="1:15" s="146" customFormat="1" ht="26.4" hidden="1" customHeight="1" outlineLevel="1">
      <c r="A478" s="141">
        <f>SUBTOTAL(3,$G$7:G478)</f>
        <v>224</v>
      </c>
      <c r="B478" s="139" t="s">
        <v>678</v>
      </c>
      <c r="C478" s="134"/>
      <c r="D478" s="134" t="s">
        <v>589</v>
      </c>
      <c r="E478" s="134"/>
      <c r="F478" s="329" t="s">
        <v>2210</v>
      </c>
      <c r="G478" s="135" t="s">
        <v>237</v>
      </c>
      <c r="H478" s="136">
        <v>1</v>
      </c>
      <c r="I478" s="136"/>
      <c r="J478" s="136"/>
      <c r="K478" s="137"/>
      <c r="L478" s="137"/>
      <c r="M478" s="137"/>
      <c r="N478" s="137"/>
      <c r="O478" s="142"/>
    </row>
    <row r="479" spans="1:15" s="146" customFormat="1" ht="26.4" hidden="1" customHeight="1" outlineLevel="1">
      <c r="A479" s="141">
        <f>SUBTOTAL(3,$G$7:G479)</f>
        <v>224</v>
      </c>
      <c r="B479" s="139" t="s">
        <v>679</v>
      </c>
      <c r="C479" s="134"/>
      <c r="D479" s="134" t="s">
        <v>589</v>
      </c>
      <c r="E479" s="134"/>
      <c r="F479" s="329" t="s">
        <v>2210</v>
      </c>
      <c r="G479" s="135" t="s">
        <v>237</v>
      </c>
      <c r="H479" s="136">
        <v>1</v>
      </c>
      <c r="I479" s="136"/>
      <c r="J479" s="136"/>
      <c r="K479" s="137"/>
      <c r="L479" s="137"/>
      <c r="M479" s="137"/>
      <c r="N479" s="137"/>
      <c r="O479" s="142"/>
    </row>
    <row r="480" spans="1:15" s="146" customFormat="1" ht="26.4" hidden="1" customHeight="1" outlineLevel="1">
      <c r="A480" s="141">
        <f>SUBTOTAL(3,$G$7:G480)</f>
        <v>224</v>
      </c>
      <c r="B480" s="139" t="s">
        <v>680</v>
      </c>
      <c r="C480" s="134"/>
      <c r="D480" s="134" t="s">
        <v>589</v>
      </c>
      <c r="E480" s="134"/>
      <c r="F480" s="329" t="s">
        <v>2210</v>
      </c>
      <c r="G480" s="135" t="s">
        <v>237</v>
      </c>
      <c r="H480" s="136">
        <v>2</v>
      </c>
      <c r="I480" s="136"/>
      <c r="J480" s="136"/>
      <c r="K480" s="137"/>
      <c r="L480" s="137"/>
      <c r="M480" s="137"/>
      <c r="N480" s="137"/>
      <c r="O480" s="142"/>
    </row>
    <row r="481" spans="1:15" s="146" customFormat="1" ht="26.4" hidden="1" customHeight="1" outlineLevel="1">
      <c r="A481" s="141">
        <f>SUBTOTAL(3,$G$7:G481)</f>
        <v>224</v>
      </c>
      <c r="B481" s="139" t="s">
        <v>681</v>
      </c>
      <c r="C481" s="134"/>
      <c r="D481" s="134" t="s">
        <v>589</v>
      </c>
      <c r="E481" s="134"/>
      <c r="F481" s="329" t="s">
        <v>2210</v>
      </c>
      <c r="G481" s="135" t="s">
        <v>237</v>
      </c>
      <c r="H481" s="136">
        <v>2</v>
      </c>
      <c r="I481" s="136"/>
      <c r="J481" s="136"/>
      <c r="K481" s="137"/>
      <c r="L481" s="137"/>
      <c r="M481" s="137"/>
      <c r="N481" s="137"/>
      <c r="O481" s="142"/>
    </row>
    <row r="482" spans="1:15" s="146" customFormat="1" ht="26.4" hidden="1" customHeight="1" outlineLevel="1">
      <c r="A482" s="141">
        <f>SUBTOTAL(3,$G$7:G482)</f>
        <v>224</v>
      </c>
      <c r="B482" s="139" t="s">
        <v>682</v>
      </c>
      <c r="C482" s="134"/>
      <c r="D482" s="134" t="s">
        <v>589</v>
      </c>
      <c r="E482" s="134"/>
      <c r="F482" s="329" t="s">
        <v>2210</v>
      </c>
      <c r="G482" s="135" t="s">
        <v>237</v>
      </c>
      <c r="H482" s="136">
        <v>4</v>
      </c>
      <c r="I482" s="136"/>
      <c r="J482" s="136"/>
      <c r="K482" s="137"/>
      <c r="L482" s="137"/>
      <c r="M482" s="137"/>
      <c r="N482" s="137"/>
      <c r="O482" s="142"/>
    </row>
    <row r="483" spans="1:15" s="146" customFormat="1" ht="26.4" hidden="1" customHeight="1" outlineLevel="1">
      <c r="A483" s="141">
        <f>SUBTOTAL(3,$G$7:G483)</f>
        <v>224</v>
      </c>
      <c r="B483" s="139" t="s">
        <v>683</v>
      </c>
      <c r="C483" s="134"/>
      <c r="D483" s="134" t="s">
        <v>589</v>
      </c>
      <c r="E483" s="134"/>
      <c r="F483" s="329" t="s">
        <v>2210</v>
      </c>
      <c r="G483" s="135" t="s">
        <v>237</v>
      </c>
      <c r="H483" s="136">
        <v>3</v>
      </c>
      <c r="I483" s="136"/>
      <c r="J483" s="136"/>
      <c r="K483" s="137"/>
      <c r="L483" s="137"/>
      <c r="M483" s="137"/>
      <c r="N483" s="137"/>
      <c r="O483" s="142"/>
    </row>
    <row r="484" spans="1:15" s="146" customFormat="1" ht="26.4" hidden="1" customHeight="1" outlineLevel="1">
      <c r="A484" s="141">
        <f>SUBTOTAL(3,$G$7:G484)</f>
        <v>224</v>
      </c>
      <c r="B484" s="139" t="s">
        <v>684</v>
      </c>
      <c r="C484" s="134"/>
      <c r="D484" s="134" t="s">
        <v>589</v>
      </c>
      <c r="E484" s="134"/>
      <c r="F484" s="329" t="s">
        <v>2210</v>
      </c>
      <c r="G484" s="135" t="s">
        <v>237</v>
      </c>
      <c r="H484" s="136">
        <v>4</v>
      </c>
      <c r="I484" s="136"/>
      <c r="J484" s="136"/>
      <c r="K484" s="137"/>
      <c r="L484" s="137"/>
      <c r="M484" s="137"/>
      <c r="N484" s="137"/>
      <c r="O484" s="142"/>
    </row>
    <row r="485" spans="1:15" s="146" customFormat="1" ht="26.4" hidden="1" customHeight="1" outlineLevel="1">
      <c r="A485" s="141">
        <f>SUBTOTAL(3,$G$7:G485)</f>
        <v>224</v>
      </c>
      <c r="B485" s="139" t="s">
        <v>685</v>
      </c>
      <c r="C485" s="134"/>
      <c r="D485" s="134" t="s">
        <v>589</v>
      </c>
      <c r="E485" s="134"/>
      <c r="F485" s="329" t="s">
        <v>2210</v>
      </c>
      <c r="G485" s="135" t="s">
        <v>237</v>
      </c>
      <c r="H485" s="136">
        <v>2</v>
      </c>
      <c r="I485" s="136"/>
      <c r="J485" s="136"/>
      <c r="K485" s="137"/>
      <c r="L485" s="137"/>
      <c r="M485" s="137"/>
      <c r="N485" s="137"/>
      <c r="O485" s="142"/>
    </row>
    <row r="486" spans="1:15" s="146" customFormat="1" ht="26.4" hidden="1" customHeight="1" outlineLevel="1">
      <c r="A486" s="141">
        <f>SUBTOTAL(3,$G$7:G486)</f>
        <v>224</v>
      </c>
      <c r="B486" s="139" t="s">
        <v>686</v>
      </c>
      <c r="C486" s="134"/>
      <c r="D486" s="134" t="s">
        <v>589</v>
      </c>
      <c r="E486" s="134"/>
      <c r="F486" s="329" t="s">
        <v>2210</v>
      </c>
      <c r="G486" s="135" t="s">
        <v>237</v>
      </c>
      <c r="H486" s="136">
        <v>2</v>
      </c>
      <c r="I486" s="136"/>
      <c r="J486" s="136"/>
      <c r="K486" s="137"/>
      <c r="L486" s="137"/>
      <c r="M486" s="137"/>
      <c r="N486" s="137"/>
      <c r="O486" s="142"/>
    </row>
    <row r="487" spans="1:15" s="146" customFormat="1" ht="26.4" hidden="1" customHeight="1" outlineLevel="1">
      <c r="A487" s="141">
        <f>SUBTOTAL(3,$G$7:G487)</f>
        <v>224</v>
      </c>
      <c r="B487" s="139" t="s">
        <v>687</v>
      </c>
      <c r="C487" s="134"/>
      <c r="D487" s="134" t="s">
        <v>589</v>
      </c>
      <c r="E487" s="134"/>
      <c r="F487" s="329" t="s">
        <v>2210</v>
      </c>
      <c r="G487" s="135" t="s">
        <v>237</v>
      </c>
      <c r="H487" s="136">
        <v>2</v>
      </c>
      <c r="I487" s="136"/>
      <c r="J487" s="136"/>
      <c r="K487" s="137"/>
      <c r="L487" s="137"/>
      <c r="M487" s="137"/>
      <c r="N487" s="137"/>
      <c r="O487" s="142"/>
    </row>
    <row r="488" spans="1:15" s="146" customFormat="1" ht="26.4" hidden="1" customHeight="1" outlineLevel="1">
      <c r="A488" s="141">
        <f>SUBTOTAL(3,$G$7:G488)</f>
        <v>224</v>
      </c>
      <c r="B488" s="139" t="s">
        <v>688</v>
      </c>
      <c r="C488" s="134"/>
      <c r="D488" s="134" t="s">
        <v>589</v>
      </c>
      <c r="E488" s="134"/>
      <c r="F488" s="329" t="s">
        <v>2210</v>
      </c>
      <c r="G488" s="135" t="s">
        <v>237</v>
      </c>
      <c r="H488" s="136">
        <v>2</v>
      </c>
      <c r="I488" s="136"/>
      <c r="J488" s="136"/>
      <c r="K488" s="137"/>
      <c r="L488" s="137"/>
      <c r="M488" s="137"/>
      <c r="N488" s="137"/>
      <c r="O488" s="142"/>
    </row>
    <row r="489" spans="1:15" s="146" customFormat="1" ht="24.6" hidden="1" customHeight="1" outlineLevel="1">
      <c r="A489" s="141">
        <f>SUBTOTAL(3,$G$8:G489)</f>
        <v>224</v>
      </c>
      <c r="B489" s="139" t="s">
        <v>689</v>
      </c>
      <c r="C489" s="134"/>
      <c r="D489" s="134" t="s">
        <v>589</v>
      </c>
      <c r="E489" s="134"/>
      <c r="F489" s="329" t="s">
        <v>2210</v>
      </c>
      <c r="G489" s="135" t="s">
        <v>237</v>
      </c>
      <c r="H489" s="136">
        <f>SUM(H435:H488)</f>
        <v>109</v>
      </c>
      <c r="I489" s="136"/>
      <c r="J489" s="136"/>
      <c r="K489" s="137"/>
      <c r="L489" s="137"/>
      <c r="M489" s="137"/>
      <c r="N489" s="137"/>
      <c r="O489" s="142"/>
    </row>
    <row r="490" spans="1:15" s="146" customFormat="1" ht="24.6" hidden="1" customHeight="1" outlineLevel="1">
      <c r="A490" s="141">
        <f>SUBTOTAL(3,$G$8:G490)</f>
        <v>224</v>
      </c>
      <c r="B490" s="139" t="s">
        <v>275</v>
      </c>
      <c r="C490" s="134"/>
      <c r="D490" s="134"/>
      <c r="E490" s="134"/>
      <c r="F490" s="329" t="s">
        <v>2210</v>
      </c>
      <c r="G490" s="135" t="s">
        <v>276</v>
      </c>
      <c r="H490" s="136">
        <v>1</v>
      </c>
      <c r="I490" s="136"/>
      <c r="J490" s="136"/>
      <c r="K490" s="137"/>
      <c r="L490" s="137"/>
      <c r="M490" s="137"/>
      <c r="N490" s="137"/>
      <c r="O490" s="142"/>
    </row>
    <row r="491" spans="1:15" s="146" customFormat="1" ht="24" hidden="1" customHeight="1" outlineLevel="1">
      <c r="A491" s="141"/>
      <c r="B491" s="140" t="s">
        <v>690</v>
      </c>
      <c r="C491" s="134"/>
      <c r="D491" s="134"/>
      <c r="E491" s="134"/>
      <c r="F491" s="329" t="s">
        <v>2211</v>
      </c>
      <c r="G491" s="135"/>
      <c r="H491" s="136">
        <v>0</v>
      </c>
      <c r="I491" s="136"/>
      <c r="J491" s="136"/>
      <c r="K491" s="137"/>
      <c r="L491" s="137"/>
      <c r="M491" s="137"/>
      <c r="N491" s="137"/>
      <c r="O491" s="142"/>
    </row>
    <row r="492" spans="1:15" s="146" customFormat="1" ht="28.2" hidden="1" customHeight="1" outlineLevel="1">
      <c r="A492" s="141">
        <f>SUBTOTAL(3,$G$7:G492)</f>
        <v>224</v>
      </c>
      <c r="B492" s="139" t="s">
        <v>691</v>
      </c>
      <c r="C492" s="134"/>
      <c r="D492" s="134" t="s">
        <v>589</v>
      </c>
      <c r="E492" s="134"/>
      <c r="F492" s="329" t="s">
        <v>2211</v>
      </c>
      <c r="G492" s="135" t="s">
        <v>237</v>
      </c>
      <c r="H492" s="136">
        <v>2</v>
      </c>
      <c r="I492" s="136"/>
      <c r="J492" s="136"/>
      <c r="K492" s="137"/>
      <c r="L492" s="137"/>
      <c r="M492" s="137"/>
      <c r="N492" s="137"/>
      <c r="O492" s="142"/>
    </row>
    <row r="493" spans="1:15" s="146" customFormat="1" ht="28.2" hidden="1" customHeight="1" outlineLevel="1">
      <c r="A493" s="141">
        <f>SUBTOTAL(3,$G$7:G493)</f>
        <v>224</v>
      </c>
      <c r="B493" s="139" t="s">
        <v>692</v>
      </c>
      <c r="C493" s="134"/>
      <c r="D493" s="134" t="s">
        <v>589</v>
      </c>
      <c r="E493" s="134"/>
      <c r="F493" s="329" t="s">
        <v>2211</v>
      </c>
      <c r="G493" s="135" t="s">
        <v>237</v>
      </c>
      <c r="H493" s="136">
        <v>2</v>
      </c>
      <c r="I493" s="136"/>
      <c r="J493" s="136"/>
      <c r="K493" s="137"/>
      <c r="L493" s="137"/>
      <c r="M493" s="137"/>
      <c r="N493" s="137"/>
      <c r="O493" s="142"/>
    </row>
    <row r="494" spans="1:15" s="146" customFormat="1" ht="28.2" hidden="1" customHeight="1" outlineLevel="1">
      <c r="A494" s="141">
        <f>SUBTOTAL(3,$G$7:G494)</f>
        <v>224</v>
      </c>
      <c r="B494" s="139" t="s">
        <v>693</v>
      </c>
      <c r="C494" s="134"/>
      <c r="D494" s="134" t="s">
        <v>589</v>
      </c>
      <c r="E494" s="134"/>
      <c r="F494" s="329" t="s">
        <v>2211</v>
      </c>
      <c r="G494" s="135" t="s">
        <v>237</v>
      </c>
      <c r="H494" s="136">
        <v>2</v>
      </c>
      <c r="I494" s="136"/>
      <c r="J494" s="136"/>
      <c r="K494" s="137"/>
      <c r="L494" s="137"/>
      <c r="M494" s="137"/>
      <c r="N494" s="137"/>
      <c r="O494" s="142"/>
    </row>
    <row r="495" spans="1:15" s="146" customFormat="1" ht="28.2" hidden="1" customHeight="1" outlineLevel="1">
      <c r="A495" s="141">
        <f>SUBTOTAL(3,$G$7:G495)</f>
        <v>224</v>
      </c>
      <c r="B495" s="139" t="s">
        <v>694</v>
      </c>
      <c r="C495" s="134"/>
      <c r="D495" s="134" t="s">
        <v>589</v>
      </c>
      <c r="E495" s="134"/>
      <c r="F495" s="329" t="s">
        <v>2211</v>
      </c>
      <c r="G495" s="135" t="s">
        <v>237</v>
      </c>
      <c r="H495" s="136">
        <v>2</v>
      </c>
      <c r="I495" s="136"/>
      <c r="J495" s="136"/>
      <c r="K495" s="137"/>
      <c r="L495" s="137"/>
      <c r="M495" s="137"/>
      <c r="N495" s="137"/>
      <c r="O495" s="142"/>
    </row>
    <row r="496" spans="1:15" s="146" customFormat="1" ht="28.2" hidden="1" customHeight="1" outlineLevel="1">
      <c r="A496" s="141">
        <f>SUBTOTAL(3,$G$7:G496)</f>
        <v>224</v>
      </c>
      <c r="B496" s="139" t="s">
        <v>695</v>
      </c>
      <c r="C496" s="134"/>
      <c r="D496" s="134" t="s">
        <v>589</v>
      </c>
      <c r="E496" s="134"/>
      <c r="F496" s="329" t="s">
        <v>2211</v>
      </c>
      <c r="G496" s="135" t="s">
        <v>237</v>
      </c>
      <c r="H496" s="136">
        <v>2</v>
      </c>
      <c r="I496" s="136"/>
      <c r="J496" s="136"/>
      <c r="K496" s="137"/>
      <c r="L496" s="137"/>
      <c r="M496" s="137"/>
      <c r="N496" s="137"/>
      <c r="O496" s="142"/>
    </row>
    <row r="497" spans="1:15" s="146" customFormat="1" ht="28.2" hidden="1" customHeight="1" outlineLevel="1">
      <c r="A497" s="141">
        <f>SUBTOTAL(3,$G$7:G497)</f>
        <v>224</v>
      </c>
      <c r="B497" s="139" t="s">
        <v>696</v>
      </c>
      <c r="C497" s="134"/>
      <c r="D497" s="134" t="s">
        <v>589</v>
      </c>
      <c r="E497" s="134"/>
      <c r="F497" s="329" t="s">
        <v>2211</v>
      </c>
      <c r="G497" s="135" t="s">
        <v>237</v>
      </c>
      <c r="H497" s="136">
        <v>2</v>
      </c>
      <c r="I497" s="136"/>
      <c r="J497" s="136"/>
      <c r="K497" s="137"/>
      <c r="L497" s="137"/>
      <c r="M497" s="137"/>
      <c r="N497" s="137"/>
      <c r="O497" s="142"/>
    </row>
    <row r="498" spans="1:15" s="146" customFormat="1" ht="28.2" hidden="1" customHeight="1" outlineLevel="1">
      <c r="A498" s="141">
        <f>SUBTOTAL(3,$G$7:G498)</f>
        <v>224</v>
      </c>
      <c r="B498" s="139" t="s">
        <v>697</v>
      </c>
      <c r="C498" s="134"/>
      <c r="D498" s="134" t="s">
        <v>589</v>
      </c>
      <c r="E498" s="134"/>
      <c r="F498" s="329" t="s">
        <v>2211</v>
      </c>
      <c r="G498" s="135" t="s">
        <v>237</v>
      </c>
      <c r="H498" s="136">
        <v>2</v>
      </c>
      <c r="I498" s="136"/>
      <c r="J498" s="136"/>
      <c r="K498" s="137"/>
      <c r="L498" s="137"/>
      <c r="M498" s="137"/>
      <c r="N498" s="137"/>
      <c r="O498" s="142"/>
    </row>
    <row r="499" spans="1:15" s="146" customFormat="1" ht="28.2" hidden="1" customHeight="1" outlineLevel="1">
      <c r="A499" s="141">
        <f>SUBTOTAL(3,$G$7:G499)</f>
        <v>224</v>
      </c>
      <c r="B499" s="139" t="s">
        <v>698</v>
      </c>
      <c r="C499" s="134"/>
      <c r="D499" s="134" t="s">
        <v>589</v>
      </c>
      <c r="E499" s="134"/>
      <c r="F499" s="329" t="s">
        <v>2211</v>
      </c>
      <c r="G499" s="135" t="s">
        <v>237</v>
      </c>
      <c r="H499" s="136">
        <v>2</v>
      </c>
      <c r="I499" s="136"/>
      <c r="J499" s="136"/>
      <c r="K499" s="137"/>
      <c r="L499" s="137"/>
      <c r="M499" s="137"/>
      <c r="N499" s="137"/>
      <c r="O499" s="142"/>
    </row>
    <row r="500" spans="1:15" s="146" customFormat="1" ht="28.2" hidden="1" customHeight="1" outlineLevel="1">
      <c r="A500" s="141">
        <f>SUBTOTAL(3,$G$8:G500)</f>
        <v>224</v>
      </c>
      <c r="B500" s="139" t="s">
        <v>275</v>
      </c>
      <c r="C500" s="134"/>
      <c r="D500" s="134"/>
      <c r="E500" s="134"/>
      <c r="F500" s="329" t="s">
        <v>2211</v>
      </c>
      <c r="G500" s="135" t="s">
        <v>276</v>
      </c>
      <c r="H500" s="136">
        <v>1</v>
      </c>
      <c r="I500" s="136"/>
      <c r="J500" s="136"/>
      <c r="K500" s="137"/>
      <c r="L500" s="137"/>
      <c r="M500" s="137"/>
      <c r="N500" s="137"/>
      <c r="O500" s="142"/>
    </row>
    <row r="501" spans="1:15" s="146" customFormat="1" ht="26.4" customHeight="1" outlineLevel="1">
      <c r="A501" s="141"/>
      <c r="B501" s="140" t="s">
        <v>699</v>
      </c>
      <c r="C501" s="134"/>
      <c r="D501" s="134"/>
      <c r="E501" s="134"/>
      <c r="F501" s="329" t="s">
        <v>86</v>
      </c>
      <c r="G501" s="135"/>
      <c r="H501" s="136">
        <v>0</v>
      </c>
      <c r="I501" s="136"/>
      <c r="J501" s="136"/>
      <c r="K501" s="137"/>
      <c r="L501" s="137"/>
      <c r="M501" s="137"/>
      <c r="N501" s="137"/>
      <c r="O501" s="142"/>
    </row>
    <row r="502" spans="1:15" s="146" customFormat="1" ht="24" customHeight="1" outlineLevel="1">
      <c r="A502" s="141"/>
      <c r="B502" s="140" t="s">
        <v>700</v>
      </c>
      <c r="C502" s="134"/>
      <c r="D502" s="134"/>
      <c r="E502" s="134"/>
      <c r="F502" s="329" t="s">
        <v>86</v>
      </c>
      <c r="G502" s="135"/>
      <c r="H502" s="136">
        <v>0</v>
      </c>
      <c r="I502" s="136"/>
      <c r="J502" s="136"/>
      <c r="K502" s="137"/>
      <c r="L502" s="137"/>
      <c r="M502" s="137"/>
      <c r="N502" s="137"/>
      <c r="O502" s="142"/>
    </row>
    <row r="503" spans="1:15" ht="52.8" customHeight="1" outlineLevel="1">
      <c r="A503" s="141">
        <f>SUBTOTAL(3,$G$7:G503)</f>
        <v>225</v>
      </c>
      <c r="B503" s="139" t="s">
        <v>701</v>
      </c>
      <c r="C503" s="134"/>
      <c r="D503" s="147" t="s">
        <v>702</v>
      </c>
      <c r="E503" s="134"/>
      <c r="F503" s="329"/>
      <c r="G503" s="135" t="s">
        <v>237</v>
      </c>
      <c r="H503" s="136">
        <v>21</v>
      </c>
      <c r="I503" s="136"/>
      <c r="J503" s="136"/>
      <c r="K503" s="137"/>
      <c r="L503" s="137"/>
      <c r="M503" s="137"/>
      <c r="N503" s="137"/>
      <c r="O503" s="139"/>
    </row>
    <row r="504" spans="1:15" ht="52.8" customHeight="1" outlineLevel="1">
      <c r="A504" s="141">
        <f>SUBTOTAL(3,$G$7:G504)</f>
        <v>226</v>
      </c>
      <c r="B504" s="139" t="s">
        <v>703</v>
      </c>
      <c r="C504" s="134"/>
      <c r="D504" s="147" t="s">
        <v>702</v>
      </c>
      <c r="E504" s="134"/>
      <c r="F504" s="329"/>
      <c r="G504" s="135" t="s">
        <v>237</v>
      </c>
      <c r="H504" s="136">
        <v>40</v>
      </c>
      <c r="I504" s="136"/>
      <c r="J504" s="136"/>
      <c r="K504" s="137"/>
      <c r="L504" s="137"/>
      <c r="M504" s="137"/>
      <c r="N504" s="137"/>
      <c r="O504" s="139"/>
    </row>
    <row r="505" spans="1:15" ht="52.8" customHeight="1" outlineLevel="1">
      <c r="A505" s="141">
        <f>SUBTOTAL(3,$G$7:G505)</f>
        <v>227</v>
      </c>
      <c r="B505" s="139" t="s">
        <v>704</v>
      </c>
      <c r="C505" s="134"/>
      <c r="D505" s="147" t="s">
        <v>702</v>
      </c>
      <c r="E505" s="134"/>
      <c r="F505" s="329"/>
      <c r="G505" s="135" t="s">
        <v>237</v>
      </c>
      <c r="H505" s="136">
        <v>12</v>
      </c>
      <c r="I505" s="136"/>
      <c r="J505" s="136"/>
      <c r="K505" s="137"/>
      <c r="L505" s="137"/>
      <c r="M505" s="137"/>
      <c r="N505" s="137"/>
      <c r="O505" s="139"/>
    </row>
    <row r="506" spans="1:15" ht="52.8" customHeight="1" outlineLevel="1">
      <c r="A506" s="141">
        <f>SUBTOTAL(3,$G$7:G506)</f>
        <v>228</v>
      </c>
      <c r="B506" s="139" t="s">
        <v>705</v>
      </c>
      <c r="C506" s="134"/>
      <c r="D506" s="147" t="s">
        <v>702</v>
      </c>
      <c r="E506" s="134"/>
      <c r="F506" s="329"/>
      <c r="G506" s="135" t="s">
        <v>237</v>
      </c>
      <c r="H506" s="136">
        <v>12</v>
      </c>
      <c r="I506" s="136"/>
      <c r="J506" s="136"/>
      <c r="K506" s="137"/>
      <c r="L506" s="137"/>
      <c r="M506" s="137"/>
      <c r="N506" s="137"/>
      <c r="O506" s="139"/>
    </row>
    <row r="507" spans="1:15" ht="52.8" customHeight="1" outlineLevel="1">
      <c r="A507" s="141">
        <f>SUBTOTAL(3,$G$7:G507)</f>
        <v>229</v>
      </c>
      <c r="B507" s="139" t="s">
        <v>706</v>
      </c>
      <c r="C507" s="134"/>
      <c r="D507" s="147" t="s">
        <v>702</v>
      </c>
      <c r="E507" s="134"/>
      <c r="F507" s="329"/>
      <c r="G507" s="135" t="s">
        <v>237</v>
      </c>
      <c r="H507" s="136">
        <v>14</v>
      </c>
      <c r="I507" s="136"/>
      <c r="J507" s="136"/>
      <c r="K507" s="137"/>
      <c r="L507" s="137"/>
      <c r="M507" s="137"/>
      <c r="N507" s="137"/>
      <c r="O507" s="139"/>
    </row>
    <row r="508" spans="1:15" ht="52.8" customHeight="1" outlineLevel="1">
      <c r="A508" s="141">
        <f>SUBTOTAL(3,$G$7:G508)</f>
        <v>230</v>
      </c>
      <c r="B508" s="139" t="s">
        <v>707</v>
      </c>
      <c r="C508" s="134"/>
      <c r="D508" s="147" t="s">
        <v>702</v>
      </c>
      <c r="E508" s="134"/>
      <c r="F508" s="329"/>
      <c r="G508" s="135" t="s">
        <v>237</v>
      </c>
      <c r="H508" s="136">
        <v>10</v>
      </c>
      <c r="I508" s="136"/>
      <c r="J508" s="136"/>
      <c r="K508" s="137"/>
      <c r="L508" s="137"/>
      <c r="M508" s="137"/>
      <c r="N508" s="137"/>
      <c r="O508" s="139"/>
    </row>
    <row r="509" spans="1:15" outlineLevel="1">
      <c r="A509" s="141">
        <f>SUBTOTAL(3,$G$7:G509)</f>
        <v>231</v>
      </c>
      <c r="B509" s="139" t="s">
        <v>708</v>
      </c>
      <c r="C509" s="134"/>
      <c r="D509" s="134" t="s">
        <v>326</v>
      </c>
      <c r="E509" s="134"/>
      <c r="F509" s="329"/>
      <c r="G509" s="135" t="s">
        <v>219</v>
      </c>
      <c r="H509" s="136">
        <v>309</v>
      </c>
      <c r="I509" s="136"/>
      <c r="J509" s="136"/>
      <c r="K509" s="137"/>
      <c r="L509" s="137"/>
      <c r="M509" s="137"/>
      <c r="N509" s="137"/>
      <c r="O509" s="139"/>
    </row>
    <row r="510" spans="1:15" outlineLevel="1">
      <c r="A510" s="141">
        <f>SUBTOTAL(3,$G$7:G510)</f>
        <v>232</v>
      </c>
      <c r="B510" s="139" t="s">
        <v>709</v>
      </c>
      <c r="C510" s="134"/>
      <c r="D510" s="134" t="s">
        <v>326</v>
      </c>
      <c r="E510" s="134"/>
      <c r="F510" s="329"/>
      <c r="G510" s="135" t="s">
        <v>219</v>
      </c>
      <c r="H510" s="136">
        <v>195</v>
      </c>
      <c r="I510" s="136"/>
      <c r="J510" s="136"/>
      <c r="K510" s="137"/>
      <c r="L510" s="137"/>
      <c r="M510" s="137"/>
      <c r="N510" s="137"/>
      <c r="O510" s="139"/>
    </row>
    <row r="511" spans="1:15" s="146" customFormat="1" ht="24.6" customHeight="1" outlineLevel="1">
      <c r="A511" s="141">
        <f>SUBTOTAL(3,$G$7:G511)</f>
        <v>233</v>
      </c>
      <c r="B511" s="139" t="s">
        <v>275</v>
      </c>
      <c r="C511" s="134"/>
      <c r="D511" s="134"/>
      <c r="E511" s="134"/>
      <c r="F511" s="329"/>
      <c r="G511" s="135" t="s">
        <v>276</v>
      </c>
      <c r="H511" s="136">
        <v>1</v>
      </c>
      <c r="I511" s="136"/>
      <c r="J511" s="136"/>
      <c r="K511" s="137"/>
      <c r="L511" s="137"/>
      <c r="M511" s="137"/>
      <c r="N511" s="137"/>
      <c r="O511" s="142"/>
    </row>
    <row r="512" spans="1:15" s="146" customFormat="1" ht="24" customHeight="1" outlineLevel="1">
      <c r="A512" s="141"/>
      <c r="B512" s="140" t="s">
        <v>710</v>
      </c>
      <c r="C512" s="134"/>
      <c r="D512" s="134"/>
      <c r="E512" s="134"/>
      <c r="F512" s="329" t="s">
        <v>86</v>
      </c>
      <c r="G512" s="135"/>
      <c r="H512" s="136"/>
      <c r="I512" s="136"/>
      <c r="J512" s="136"/>
      <c r="K512" s="137"/>
      <c r="L512" s="137"/>
      <c r="M512" s="137"/>
      <c r="N512" s="137"/>
      <c r="O512" s="142"/>
    </row>
    <row r="513" spans="1:15" ht="26.4" outlineLevel="1">
      <c r="A513" s="141">
        <f>SUBTOTAL(3,$G$7:G513)</f>
        <v>234</v>
      </c>
      <c r="B513" s="139" t="s">
        <v>567</v>
      </c>
      <c r="C513" s="134"/>
      <c r="D513" s="134" t="s">
        <v>711</v>
      </c>
      <c r="E513" s="317" t="s">
        <v>281</v>
      </c>
      <c r="F513" s="330"/>
      <c r="G513" s="135" t="s">
        <v>282</v>
      </c>
      <c r="H513" s="136">
        <v>767.5</v>
      </c>
      <c r="I513" s="136"/>
      <c r="J513" s="136"/>
      <c r="K513" s="137"/>
      <c r="L513" s="137"/>
      <c r="M513" s="137"/>
      <c r="N513" s="137"/>
      <c r="O513" s="139"/>
    </row>
    <row r="514" spans="1:15" ht="33" hidden="1" customHeight="1" outlineLevel="1">
      <c r="A514" s="141"/>
      <c r="B514" s="139" t="s">
        <v>712</v>
      </c>
      <c r="C514" s="134"/>
      <c r="D514" s="134" t="s">
        <v>713</v>
      </c>
      <c r="E514" s="134"/>
      <c r="F514" s="329" t="s">
        <v>2212</v>
      </c>
      <c r="G514" s="135" t="s">
        <v>282</v>
      </c>
      <c r="H514" s="136">
        <v>767.5</v>
      </c>
      <c r="I514" s="136"/>
      <c r="J514" s="136"/>
      <c r="K514" s="137"/>
      <c r="L514" s="137"/>
      <c r="M514" s="137"/>
      <c r="N514" s="137"/>
      <c r="O514" s="139"/>
    </row>
    <row r="515" spans="1:15" s="339" customFormat="1" ht="26.4" customHeight="1" outlineLevel="1">
      <c r="A515" s="334"/>
      <c r="B515" s="335" t="s">
        <v>2221</v>
      </c>
      <c r="C515" s="332" t="s">
        <v>2222</v>
      </c>
      <c r="D515" s="332" t="s">
        <v>713</v>
      </c>
      <c r="E515" s="332"/>
      <c r="F515" s="332" t="s">
        <v>2234</v>
      </c>
      <c r="G515" s="336" t="s">
        <v>282</v>
      </c>
      <c r="H515" s="337">
        <v>750</v>
      </c>
      <c r="I515" s="337"/>
      <c r="J515" s="337"/>
      <c r="K515" s="338"/>
      <c r="L515" s="338"/>
      <c r="M515" s="338"/>
      <c r="N515" s="338"/>
      <c r="O515" s="335"/>
    </row>
    <row r="516" spans="1:15" outlineLevel="1">
      <c r="A516" s="141">
        <f>SUBTOTAL(3,$G$7:G516)</f>
        <v>236</v>
      </c>
      <c r="B516" s="139" t="s">
        <v>714</v>
      </c>
      <c r="C516" s="134"/>
      <c r="D516" s="134" t="s">
        <v>715</v>
      </c>
      <c r="E516" s="134"/>
      <c r="F516" s="329"/>
      <c r="G516" s="135" t="s">
        <v>570</v>
      </c>
      <c r="H516" s="136">
        <v>19.5</v>
      </c>
      <c r="I516" s="136"/>
      <c r="J516" s="136"/>
      <c r="K516" s="137"/>
      <c r="L516" s="137"/>
      <c r="M516" s="137"/>
      <c r="N516" s="137"/>
      <c r="O516" s="139"/>
    </row>
    <row r="517" spans="1:15" outlineLevel="1">
      <c r="A517" s="141">
        <f>SUBTOTAL(3,$G$7:G517)</f>
        <v>237</v>
      </c>
      <c r="B517" s="139" t="s">
        <v>716</v>
      </c>
      <c r="C517" s="134"/>
      <c r="D517" s="134" t="s">
        <v>715</v>
      </c>
      <c r="E517" s="134"/>
      <c r="F517" s="329"/>
      <c r="G517" s="135" t="s">
        <v>570</v>
      </c>
      <c r="H517" s="136">
        <v>76.5</v>
      </c>
      <c r="I517" s="136"/>
      <c r="J517" s="136"/>
      <c r="K517" s="137"/>
      <c r="L517" s="137"/>
      <c r="M517" s="137"/>
      <c r="N517" s="137"/>
      <c r="O517" s="139"/>
    </row>
    <row r="518" spans="1:15" outlineLevel="1">
      <c r="A518" s="141">
        <f>SUBTOTAL(3,$G$7:G518)</f>
        <v>238</v>
      </c>
      <c r="B518" s="139" t="s">
        <v>717</v>
      </c>
      <c r="C518" s="134"/>
      <c r="D518" s="134" t="s">
        <v>715</v>
      </c>
      <c r="E518" s="134"/>
      <c r="F518" s="329"/>
      <c r="G518" s="135" t="s">
        <v>570</v>
      </c>
      <c r="H518" s="136">
        <v>97.5</v>
      </c>
      <c r="I518" s="136"/>
      <c r="J518" s="136"/>
      <c r="K518" s="137"/>
      <c r="L518" s="137"/>
      <c r="M518" s="137"/>
      <c r="N518" s="137"/>
      <c r="O518" s="139"/>
    </row>
    <row r="519" spans="1:15" outlineLevel="1">
      <c r="A519" s="141">
        <f>SUBTOTAL(3,$G$7:G519)</f>
        <v>239</v>
      </c>
      <c r="B519" s="139" t="s">
        <v>718</v>
      </c>
      <c r="C519" s="134"/>
      <c r="D519" s="134" t="s">
        <v>715</v>
      </c>
      <c r="E519" s="134"/>
      <c r="F519" s="329"/>
      <c r="G519" s="135" t="s">
        <v>570</v>
      </c>
      <c r="H519" s="136">
        <v>630</v>
      </c>
      <c r="I519" s="136"/>
      <c r="J519" s="136"/>
      <c r="K519" s="137"/>
      <c r="L519" s="137"/>
      <c r="M519" s="137"/>
      <c r="N519" s="137"/>
      <c r="O519" s="139"/>
    </row>
    <row r="520" spans="1:15" outlineLevel="1">
      <c r="A520" s="141">
        <f>SUBTOTAL(3,$G$7:G520)</f>
        <v>240</v>
      </c>
      <c r="B520" s="139" t="s">
        <v>719</v>
      </c>
      <c r="C520" s="134"/>
      <c r="D520" s="134" t="s">
        <v>715</v>
      </c>
      <c r="E520" s="134"/>
      <c r="F520" s="329"/>
      <c r="G520" s="135" t="s">
        <v>570</v>
      </c>
      <c r="H520" s="136">
        <v>19.5</v>
      </c>
      <c r="I520" s="136"/>
      <c r="J520" s="136"/>
      <c r="K520" s="137"/>
      <c r="L520" s="137"/>
      <c r="M520" s="137"/>
      <c r="N520" s="137"/>
      <c r="O520" s="139"/>
    </row>
    <row r="521" spans="1:15" outlineLevel="1">
      <c r="A521" s="141">
        <f>SUBTOTAL(3,$G$7:G521)</f>
        <v>241</v>
      </c>
      <c r="B521" s="139" t="s">
        <v>720</v>
      </c>
      <c r="C521" s="134"/>
      <c r="D521" s="134" t="s">
        <v>715</v>
      </c>
      <c r="E521" s="134"/>
      <c r="F521" s="329"/>
      <c r="G521" s="135" t="s">
        <v>570</v>
      </c>
      <c r="H521" s="136">
        <v>76.5</v>
      </c>
      <c r="I521" s="136"/>
      <c r="J521" s="136"/>
      <c r="K521" s="137"/>
      <c r="L521" s="137"/>
      <c r="M521" s="137"/>
      <c r="N521" s="137"/>
      <c r="O521" s="139"/>
    </row>
    <row r="522" spans="1:15" outlineLevel="1">
      <c r="A522" s="141">
        <f>SUBTOTAL(3,$G$7:G522)</f>
        <v>242</v>
      </c>
      <c r="B522" s="139" t="s">
        <v>721</v>
      </c>
      <c r="C522" s="134"/>
      <c r="D522" s="134" t="s">
        <v>715</v>
      </c>
      <c r="E522" s="134"/>
      <c r="F522" s="329"/>
      <c r="G522" s="135" t="s">
        <v>570</v>
      </c>
      <c r="H522" s="136">
        <v>97.5</v>
      </c>
      <c r="I522" s="136"/>
      <c r="J522" s="136"/>
      <c r="K522" s="137"/>
      <c r="L522" s="137"/>
      <c r="M522" s="137"/>
      <c r="N522" s="137"/>
      <c r="O522" s="139"/>
    </row>
    <row r="523" spans="1:15" outlineLevel="1">
      <c r="A523" s="141">
        <f>SUBTOTAL(3,$G$7:G523)</f>
        <v>243</v>
      </c>
      <c r="B523" s="139" t="s">
        <v>722</v>
      </c>
      <c r="C523" s="134"/>
      <c r="D523" s="134" t="s">
        <v>715</v>
      </c>
      <c r="E523" s="134"/>
      <c r="F523" s="329"/>
      <c r="G523" s="135" t="s">
        <v>570</v>
      </c>
      <c r="H523" s="136">
        <v>438</v>
      </c>
      <c r="I523" s="136"/>
      <c r="J523" s="136"/>
      <c r="K523" s="137"/>
      <c r="L523" s="137"/>
      <c r="M523" s="137"/>
      <c r="N523" s="137"/>
      <c r="O523" s="139"/>
    </row>
    <row r="524" spans="1:15" s="146" customFormat="1" ht="24.6" customHeight="1" outlineLevel="1">
      <c r="A524" s="141">
        <f>SUBTOTAL(3,$G$7:G524)</f>
        <v>244</v>
      </c>
      <c r="B524" s="139" t="s">
        <v>275</v>
      </c>
      <c r="C524" s="134"/>
      <c r="D524" s="134"/>
      <c r="E524" s="134"/>
      <c r="F524" s="329"/>
      <c r="G524" s="135" t="s">
        <v>276</v>
      </c>
      <c r="H524" s="136">
        <v>1</v>
      </c>
      <c r="I524" s="136"/>
      <c r="J524" s="136"/>
      <c r="K524" s="137"/>
      <c r="L524" s="137"/>
      <c r="M524" s="137"/>
      <c r="N524" s="137"/>
      <c r="O524" s="142"/>
    </row>
    <row r="525" spans="1:15" outlineLevel="1">
      <c r="A525" s="141"/>
      <c r="B525" s="140" t="s">
        <v>723</v>
      </c>
      <c r="C525" s="134"/>
      <c r="D525" s="134"/>
      <c r="E525" s="134"/>
      <c r="F525" s="329" t="s">
        <v>86</v>
      </c>
      <c r="G525" s="135"/>
      <c r="H525" s="136"/>
      <c r="I525" s="136"/>
      <c r="J525" s="136"/>
      <c r="K525" s="137"/>
      <c r="L525" s="137"/>
      <c r="M525" s="137"/>
      <c r="N525" s="137"/>
      <c r="O525" s="139"/>
    </row>
    <row r="526" spans="1:15" ht="26.4" hidden="1" customHeight="1" outlineLevel="1">
      <c r="A526" s="141"/>
      <c r="B526" s="139" t="s">
        <v>724</v>
      </c>
      <c r="C526" s="134" t="s">
        <v>2223</v>
      </c>
      <c r="D526" s="134" t="s">
        <v>725</v>
      </c>
      <c r="E526" s="134"/>
      <c r="F526" s="329" t="s">
        <v>2213</v>
      </c>
      <c r="G526" s="135"/>
      <c r="H526" s="136">
        <v>285</v>
      </c>
      <c r="I526" s="136"/>
      <c r="J526" s="136"/>
      <c r="K526" s="137"/>
      <c r="L526" s="137"/>
      <c r="M526" s="137"/>
      <c r="N526" s="137"/>
      <c r="O526" s="139"/>
    </row>
    <row r="527" spans="1:15" ht="26.4" hidden="1" customHeight="1" outlineLevel="1">
      <c r="A527" s="141"/>
      <c r="B527" s="139" t="s">
        <v>726</v>
      </c>
      <c r="C527" s="134" t="s">
        <v>2223</v>
      </c>
      <c r="D527" s="134" t="s">
        <v>725</v>
      </c>
      <c r="E527" s="134"/>
      <c r="F527" s="329" t="s">
        <v>2213</v>
      </c>
      <c r="G527" s="135"/>
      <c r="H527" s="136">
        <v>3191.9</v>
      </c>
      <c r="I527" s="136"/>
      <c r="J527" s="136"/>
      <c r="K527" s="137"/>
      <c r="L527" s="137"/>
      <c r="M527" s="137"/>
      <c r="N527" s="137"/>
      <c r="O527" s="139"/>
    </row>
    <row r="528" spans="1:15" ht="26.4" hidden="1" customHeight="1" outlineLevel="1">
      <c r="A528" s="141"/>
      <c r="B528" s="139" t="s">
        <v>727</v>
      </c>
      <c r="C528" s="134" t="s">
        <v>2223</v>
      </c>
      <c r="D528" s="134" t="s">
        <v>725</v>
      </c>
      <c r="E528" s="134"/>
      <c r="F528" s="329" t="s">
        <v>2213</v>
      </c>
      <c r="G528" s="135"/>
      <c r="H528" s="136">
        <v>1046.7</v>
      </c>
      <c r="I528" s="136"/>
      <c r="J528" s="136"/>
      <c r="K528" s="137"/>
      <c r="L528" s="137"/>
      <c r="M528" s="137"/>
      <c r="N528" s="137"/>
      <c r="O528" s="139"/>
    </row>
    <row r="529" spans="1:15" ht="26.4" hidden="1" customHeight="1" outlineLevel="1">
      <c r="A529" s="141"/>
      <c r="B529" s="139" t="s">
        <v>728</v>
      </c>
      <c r="C529" s="134" t="s">
        <v>2224</v>
      </c>
      <c r="D529" s="134" t="s">
        <v>725</v>
      </c>
      <c r="E529" s="134"/>
      <c r="F529" s="329" t="s">
        <v>2213</v>
      </c>
      <c r="G529" s="135"/>
      <c r="H529" s="136">
        <v>1780</v>
      </c>
      <c r="I529" s="136"/>
      <c r="J529" s="136"/>
      <c r="K529" s="137"/>
      <c r="L529" s="137"/>
      <c r="M529" s="137"/>
      <c r="N529" s="137"/>
      <c r="O529" s="139"/>
    </row>
    <row r="530" spans="1:15" ht="26.4" hidden="1" customHeight="1" outlineLevel="1">
      <c r="A530" s="141"/>
      <c r="B530" s="139" t="s">
        <v>729</v>
      </c>
      <c r="C530" s="134" t="s">
        <v>2225</v>
      </c>
      <c r="D530" s="134" t="s">
        <v>725</v>
      </c>
      <c r="E530" s="134"/>
      <c r="F530" s="329" t="s">
        <v>2213</v>
      </c>
      <c r="G530" s="135"/>
      <c r="H530" s="136">
        <v>846</v>
      </c>
      <c r="I530" s="136"/>
      <c r="J530" s="136"/>
      <c r="K530" s="137"/>
      <c r="L530" s="137"/>
      <c r="M530" s="137"/>
      <c r="N530" s="137"/>
      <c r="O530" s="139"/>
    </row>
    <row r="531" spans="1:15" ht="26.4" hidden="1" customHeight="1" outlineLevel="1">
      <c r="A531" s="141"/>
      <c r="B531" s="139" t="s">
        <v>730</v>
      </c>
      <c r="C531" s="134" t="s">
        <v>2226</v>
      </c>
      <c r="D531" s="134" t="s">
        <v>725</v>
      </c>
      <c r="E531" s="134"/>
      <c r="F531" s="329" t="s">
        <v>2213</v>
      </c>
      <c r="G531" s="135"/>
      <c r="H531" s="136">
        <v>565.90000000000009</v>
      </c>
      <c r="I531" s="136"/>
      <c r="J531" s="136"/>
      <c r="K531" s="137"/>
      <c r="L531" s="137"/>
      <c r="M531" s="137"/>
      <c r="N531" s="137"/>
      <c r="O531" s="139"/>
    </row>
    <row r="532" spans="1:15" ht="26.4" hidden="1" customHeight="1" outlineLevel="1">
      <c r="A532" s="141"/>
      <c r="B532" s="139" t="s">
        <v>731</v>
      </c>
      <c r="C532" s="134" t="s">
        <v>2227</v>
      </c>
      <c r="D532" s="134" t="s">
        <v>725</v>
      </c>
      <c r="E532" s="134"/>
      <c r="F532" s="329" t="s">
        <v>2213</v>
      </c>
      <c r="G532" s="135"/>
      <c r="H532" s="136">
        <v>761.7</v>
      </c>
      <c r="I532" s="136"/>
      <c r="J532" s="136"/>
      <c r="K532" s="137"/>
      <c r="L532" s="137"/>
      <c r="M532" s="137"/>
      <c r="N532" s="137"/>
      <c r="O532" s="139"/>
    </row>
    <row r="533" spans="1:15" ht="26.4" hidden="1" customHeight="1" outlineLevel="1">
      <c r="A533" s="141"/>
      <c r="B533" s="139" t="s">
        <v>732</v>
      </c>
      <c r="C533" s="134" t="s">
        <v>2228</v>
      </c>
      <c r="D533" s="134" t="s">
        <v>713</v>
      </c>
      <c r="E533" s="134"/>
      <c r="F533" s="329" t="s">
        <v>2214</v>
      </c>
      <c r="G533" s="135"/>
      <c r="H533" s="136">
        <v>285</v>
      </c>
      <c r="I533" s="136"/>
      <c r="J533" s="136"/>
      <c r="K533" s="137"/>
      <c r="L533" s="137"/>
      <c r="M533" s="137"/>
      <c r="N533" s="137"/>
      <c r="O533" s="139"/>
    </row>
    <row r="534" spans="1:15" ht="26.4" hidden="1" customHeight="1" outlineLevel="1">
      <c r="A534" s="141"/>
      <c r="B534" s="139" t="s">
        <v>733</v>
      </c>
      <c r="C534" s="134" t="s">
        <v>2228</v>
      </c>
      <c r="D534" s="134" t="s">
        <v>713</v>
      </c>
      <c r="E534" s="134"/>
      <c r="F534" s="329" t="s">
        <v>2214</v>
      </c>
      <c r="G534" s="135"/>
      <c r="H534" s="136">
        <v>3191.9</v>
      </c>
      <c r="I534" s="136"/>
      <c r="J534" s="136"/>
      <c r="K534" s="137"/>
      <c r="L534" s="137"/>
      <c r="M534" s="137"/>
      <c r="N534" s="137"/>
      <c r="O534" s="139"/>
    </row>
    <row r="535" spans="1:15" ht="26.4" hidden="1" customHeight="1" outlineLevel="1">
      <c r="A535" s="141"/>
      <c r="B535" s="139" t="s">
        <v>734</v>
      </c>
      <c r="C535" s="134" t="s">
        <v>2228</v>
      </c>
      <c r="D535" s="134" t="s">
        <v>713</v>
      </c>
      <c r="E535" s="134"/>
      <c r="F535" s="329" t="s">
        <v>2214</v>
      </c>
      <c r="G535" s="135"/>
      <c r="H535" s="136">
        <v>1046.7</v>
      </c>
      <c r="I535" s="136"/>
      <c r="J535" s="136"/>
      <c r="K535" s="137"/>
      <c r="L535" s="137"/>
      <c r="M535" s="137"/>
      <c r="N535" s="137"/>
      <c r="O535" s="139"/>
    </row>
    <row r="536" spans="1:15" ht="26.4" hidden="1" customHeight="1" outlineLevel="1">
      <c r="A536" s="141"/>
      <c r="B536" s="139" t="s">
        <v>735</v>
      </c>
      <c r="C536" s="134" t="s">
        <v>2228</v>
      </c>
      <c r="D536" s="134" t="s">
        <v>713</v>
      </c>
      <c r="E536" s="134"/>
      <c r="F536" s="329" t="s">
        <v>2214</v>
      </c>
      <c r="G536" s="135"/>
      <c r="H536" s="136">
        <v>1780</v>
      </c>
      <c r="I536" s="136"/>
      <c r="J536" s="136"/>
      <c r="K536" s="137"/>
      <c r="L536" s="137"/>
      <c r="M536" s="137"/>
      <c r="N536" s="137"/>
      <c r="O536" s="139"/>
    </row>
    <row r="537" spans="1:15" ht="26.4" hidden="1" customHeight="1" outlineLevel="1">
      <c r="A537" s="141"/>
      <c r="B537" s="139" t="s">
        <v>736</v>
      </c>
      <c r="C537" s="134" t="s">
        <v>2229</v>
      </c>
      <c r="D537" s="134" t="s">
        <v>713</v>
      </c>
      <c r="E537" s="134"/>
      <c r="F537" s="329" t="s">
        <v>2214</v>
      </c>
      <c r="G537" s="135"/>
      <c r="H537" s="136">
        <v>846</v>
      </c>
      <c r="I537" s="136"/>
      <c r="J537" s="136"/>
      <c r="K537" s="137"/>
      <c r="L537" s="137"/>
      <c r="M537" s="137"/>
      <c r="N537" s="137"/>
      <c r="O537" s="139"/>
    </row>
    <row r="538" spans="1:15" ht="26.4" hidden="1" customHeight="1" outlineLevel="1">
      <c r="A538" s="141"/>
      <c r="B538" s="139" t="s">
        <v>737</v>
      </c>
      <c r="C538" s="134" t="s">
        <v>2229</v>
      </c>
      <c r="D538" s="134" t="s">
        <v>713</v>
      </c>
      <c r="E538" s="134"/>
      <c r="F538" s="329" t="s">
        <v>2214</v>
      </c>
      <c r="G538" s="135"/>
      <c r="H538" s="136">
        <v>565.90000000000009</v>
      </c>
      <c r="I538" s="136"/>
      <c r="J538" s="136"/>
      <c r="K538" s="137"/>
      <c r="L538" s="137"/>
      <c r="M538" s="137"/>
      <c r="N538" s="137"/>
      <c r="O538" s="139"/>
    </row>
    <row r="539" spans="1:15" ht="26.4" hidden="1" customHeight="1" outlineLevel="1">
      <c r="A539" s="141"/>
      <c r="B539" s="139" t="s">
        <v>738</v>
      </c>
      <c r="C539" s="134" t="s">
        <v>2229</v>
      </c>
      <c r="D539" s="134" t="s">
        <v>713</v>
      </c>
      <c r="E539" s="134"/>
      <c r="F539" s="329" t="s">
        <v>2214</v>
      </c>
      <c r="G539" s="135"/>
      <c r="H539" s="136">
        <v>761.7</v>
      </c>
      <c r="I539" s="136"/>
      <c r="J539" s="136"/>
      <c r="K539" s="137"/>
      <c r="L539" s="137"/>
      <c r="M539" s="137"/>
      <c r="N539" s="137"/>
      <c r="O539" s="139"/>
    </row>
    <row r="540" spans="1:15" ht="26.4" hidden="1" customHeight="1" outlineLevel="1">
      <c r="A540" s="141">
        <f>SUBTOTAL(3,$G$7:G540)</f>
        <v>244</v>
      </c>
      <c r="B540" s="139" t="s">
        <v>739</v>
      </c>
      <c r="C540" s="134"/>
      <c r="D540" s="134" t="s">
        <v>589</v>
      </c>
      <c r="E540" s="134"/>
      <c r="F540" s="329" t="s">
        <v>2215</v>
      </c>
      <c r="G540" s="135" t="s">
        <v>237</v>
      </c>
      <c r="H540" s="136">
        <v>72</v>
      </c>
      <c r="I540" s="136"/>
      <c r="J540" s="136"/>
      <c r="K540" s="137"/>
      <c r="L540" s="137"/>
      <c r="M540" s="137"/>
      <c r="N540" s="137"/>
      <c r="O540" s="139"/>
    </row>
    <row r="541" spans="1:15" hidden="1" outlineLevel="1">
      <c r="A541" s="141">
        <f>SUBTOTAL(3,$G$7:G541)</f>
        <v>244</v>
      </c>
      <c r="B541" s="139" t="s">
        <v>740</v>
      </c>
      <c r="C541" s="134" t="s">
        <v>2230</v>
      </c>
      <c r="D541" s="134"/>
      <c r="E541" s="134"/>
      <c r="F541" s="329" t="s">
        <v>2216</v>
      </c>
      <c r="G541" s="135" t="s">
        <v>276</v>
      </c>
      <c r="H541" s="136">
        <v>1</v>
      </c>
      <c r="I541" s="136"/>
      <c r="J541" s="136"/>
      <c r="K541" s="137"/>
      <c r="L541" s="137"/>
      <c r="M541" s="137"/>
      <c r="N541" s="137"/>
      <c r="O541" s="139"/>
    </row>
    <row r="542" spans="1:15" outlineLevel="1">
      <c r="A542" s="141">
        <f>SUBTOTAL(3,$G$7:G542)</f>
        <v>245</v>
      </c>
      <c r="B542" s="139" t="s">
        <v>275</v>
      </c>
      <c r="C542" s="134"/>
      <c r="D542" s="134"/>
      <c r="E542" s="134"/>
      <c r="F542" s="329" t="s">
        <v>2205</v>
      </c>
      <c r="G542" s="135" t="s">
        <v>276</v>
      </c>
      <c r="H542" s="136">
        <v>1</v>
      </c>
      <c r="I542" s="136"/>
      <c r="J542" s="136"/>
      <c r="K542" s="137"/>
      <c r="L542" s="137"/>
      <c r="M542" s="137"/>
      <c r="N542" s="137"/>
      <c r="O542" s="139"/>
    </row>
    <row r="543" spans="1:15" hidden="1" outlineLevel="1">
      <c r="A543" s="141"/>
      <c r="B543" s="140" t="s">
        <v>741</v>
      </c>
      <c r="C543" s="134"/>
      <c r="D543" s="134"/>
      <c r="E543" s="134"/>
      <c r="F543" s="329" t="s">
        <v>2217</v>
      </c>
      <c r="G543" s="135"/>
      <c r="H543" s="136">
        <v>0</v>
      </c>
      <c r="I543" s="136"/>
      <c r="J543" s="136"/>
      <c r="K543" s="137"/>
      <c r="L543" s="137"/>
      <c r="M543" s="137"/>
      <c r="N543" s="137"/>
      <c r="O543" s="139"/>
    </row>
    <row r="544" spans="1:15" hidden="1" outlineLevel="1">
      <c r="A544" s="141">
        <f>SUBTOTAL(3,$G$7:G544)</f>
        <v>245</v>
      </c>
      <c r="B544" s="139" t="s">
        <v>742</v>
      </c>
      <c r="C544" s="134" t="s">
        <v>2231</v>
      </c>
      <c r="D544" s="134" t="s">
        <v>743</v>
      </c>
      <c r="E544" s="134"/>
      <c r="F544" s="329" t="s">
        <v>2217</v>
      </c>
      <c r="G544" s="135" t="s">
        <v>570</v>
      </c>
      <c r="H544" s="136">
        <v>1030</v>
      </c>
      <c r="I544" s="136"/>
      <c r="J544" s="136"/>
      <c r="K544" s="137"/>
      <c r="L544" s="137"/>
      <c r="M544" s="137"/>
      <c r="N544" s="137"/>
      <c r="O544" s="139"/>
    </row>
    <row r="545" spans="1:15" hidden="1" outlineLevel="1">
      <c r="A545" s="141">
        <f>SUBTOTAL(3,$G$7:G545)</f>
        <v>245</v>
      </c>
      <c r="B545" s="139" t="s">
        <v>744</v>
      </c>
      <c r="C545" s="134" t="s">
        <v>2231</v>
      </c>
      <c r="D545" s="134" t="s">
        <v>743</v>
      </c>
      <c r="E545" s="134"/>
      <c r="F545" s="329" t="s">
        <v>2217</v>
      </c>
      <c r="G545" s="135" t="s">
        <v>570</v>
      </c>
      <c r="H545" s="136">
        <v>754.8</v>
      </c>
      <c r="I545" s="136"/>
      <c r="J545" s="136"/>
      <c r="K545" s="137"/>
      <c r="L545" s="137"/>
      <c r="M545" s="137"/>
      <c r="N545" s="137"/>
      <c r="O545" s="139"/>
    </row>
    <row r="546" spans="1:15" hidden="1" outlineLevel="1">
      <c r="A546" s="141">
        <f>SUBTOTAL(3,$G$7:G546)</f>
        <v>245</v>
      </c>
      <c r="B546" s="139" t="s">
        <v>745</v>
      </c>
      <c r="C546" s="134" t="s">
        <v>2231</v>
      </c>
      <c r="D546" s="134" t="s">
        <v>743</v>
      </c>
      <c r="E546" s="134"/>
      <c r="F546" s="329" t="s">
        <v>2217</v>
      </c>
      <c r="G546" s="135" t="s">
        <v>570</v>
      </c>
      <c r="H546" s="136">
        <v>101.4</v>
      </c>
      <c r="I546" s="136"/>
      <c r="J546" s="136"/>
      <c r="K546" s="137"/>
      <c r="L546" s="137"/>
      <c r="M546" s="137"/>
      <c r="N546" s="137"/>
      <c r="O546" s="139"/>
    </row>
    <row r="547" spans="1:15" hidden="1" outlineLevel="1">
      <c r="A547" s="141">
        <f>SUBTOTAL(3,$G$7:G547)</f>
        <v>245</v>
      </c>
      <c r="B547" s="139" t="s">
        <v>746</v>
      </c>
      <c r="C547" s="134" t="s">
        <v>2231</v>
      </c>
      <c r="D547" s="134" t="s">
        <v>743</v>
      </c>
      <c r="E547" s="134"/>
      <c r="F547" s="329" t="s">
        <v>2217</v>
      </c>
      <c r="G547" s="135" t="s">
        <v>570</v>
      </c>
      <c r="H547" s="136">
        <v>180</v>
      </c>
      <c r="I547" s="136"/>
      <c r="J547" s="136"/>
      <c r="K547" s="137"/>
      <c r="L547" s="137"/>
      <c r="M547" s="137"/>
      <c r="N547" s="137"/>
      <c r="O547" s="139"/>
    </row>
    <row r="548" spans="1:15" ht="26.4" hidden="1" customHeight="1" outlineLevel="1">
      <c r="A548" s="141"/>
      <c r="B548" s="139" t="s">
        <v>747</v>
      </c>
      <c r="C548" s="134" t="s">
        <v>2232</v>
      </c>
      <c r="D548" s="134" t="s">
        <v>713</v>
      </c>
      <c r="E548" s="134"/>
      <c r="F548" s="329" t="s">
        <v>2218</v>
      </c>
      <c r="G548" s="135" t="s">
        <v>570</v>
      </c>
      <c r="H548" s="136">
        <v>1030</v>
      </c>
      <c r="I548" s="136"/>
      <c r="J548" s="136"/>
      <c r="K548" s="137"/>
      <c r="L548" s="137"/>
      <c r="M548" s="137"/>
      <c r="N548" s="137"/>
      <c r="O548" s="139"/>
    </row>
    <row r="549" spans="1:15" ht="26.4" hidden="1" customHeight="1" outlineLevel="1">
      <c r="A549" s="141">
        <f>SUBTOTAL(3,$G$7:G549)</f>
        <v>245</v>
      </c>
      <c r="B549" s="139" t="s">
        <v>748</v>
      </c>
      <c r="C549" s="134" t="s">
        <v>2232</v>
      </c>
      <c r="D549" s="134" t="s">
        <v>713</v>
      </c>
      <c r="E549" s="134"/>
      <c r="F549" s="329" t="s">
        <v>2218</v>
      </c>
      <c r="G549" s="135" t="s">
        <v>570</v>
      </c>
      <c r="H549" s="136">
        <v>754.8</v>
      </c>
      <c r="I549" s="136"/>
      <c r="J549" s="136"/>
      <c r="K549" s="137"/>
      <c r="L549" s="137"/>
      <c r="M549" s="137"/>
      <c r="N549" s="137"/>
      <c r="O549" s="139"/>
    </row>
    <row r="550" spans="1:15" ht="26.4" hidden="1" customHeight="1" outlineLevel="1">
      <c r="A550" s="141">
        <f>SUBTOTAL(3,$G$7:G550)</f>
        <v>245</v>
      </c>
      <c r="B550" s="139" t="s">
        <v>749</v>
      </c>
      <c r="C550" s="134" t="s">
        <v>2232</v>
      </c>
      <c r="D550" s="134" t="s">
        <v>713</v>
      </c>
      <c r="E550" s="134"/>
      <c r="F550" s="329" t="s">
        <v>2218</v>
      </c>
      <c r="G550" s="135" t="s">
        <v>570</v>
      </c>
      <c r="H550" s="136">
        <v>101.4</v>
      </c>
      <c r="I550" s="136"/>
      <c r="J550" s="136"/>
      <c r="K550" s="137"/>
      <c r="L550" s="137"/>
      <c r="M550" s="137"/>
      <c r="N550" s="137"/>
      <c r="O550" s="139"/>
    </row>
    <row r="551" spans="1:15" ht="26.4" hidden="1" customHeight="1" outlineLevel="1">
      <c r="A551" s="141">
        <f>SUBTOTAL(3,$G$7:G551)</f>
        <v>245</v>
      </c>
      <c r="B551" s="139" t="s">
        <v>750</v>
      </c>
      <c r="C551" s="134" t="s">
        <v>2233</v>
      </c>
      <c r="D551" s="134" t="s">
        <v>713</v>
      </c>
      <c r="E551" s="134"/>
      <c r="F551" s="329" t="s">
        <v>2218</v>
      </c>
      <c r="G551" s="135" t="s">
        <v>570</v>
      </c>
      <c r="H551" s="136">
        <v>180</v>
      </c>
      <c r="I551" s="136"/>
      <c r="J551" s="136"/>
      <c r="K551" s="137"/>
      <c r="L551" s="137"/>
      <c r="M551" s="137"/>
      <c r="N551" s="137"/>
      <c r="O551" s="139"/>
    </row>
    <row r="552" spans="1:15" hidden="1" outlineLevel="1">
      <c r="A552" s="141">
        <f>SUBTOTAL(3,$G$7:G552)</f>
        <v>245</v>
      </c>
      <c r="B552" s="139" t="s">
        <v>275</v>
      </c>
      <c r="C552" s="134"/>
      <c r="D552" s="134"/>
      <c r="E552" s="134"/>
      <c r="F552" s="329" t="s">
        <v>2218</v>
      </c>
      <c r="G552" s="135" t="s">
        <v>276</v>
      </c>
      <c r="H552" s="136">
        <v>1</v>
      </c>
      <c r="I552" s="136"/>
      <c r="J552" s="136"/>
      <c r="K552" s="137"/>
      <c r="L552" s="137"/>
      <c r="M552" s="137"/>
      <c r="N552" s="137"/>
      <c r="O552" s="139"/>
    </row>
    <row r="553" spans="1:15" ht="26.4" customHeight="1" outlineLevel="1">
      <c r="A553" s="141"/>
      <c r="B553" s="140" t="s">
        <v>751</v>
      </c>
      <c r="C553" s="134"/>
      <c r="D553" s="134"/>
      <c r="E553" s="134"/>
      <c r="F553" s="329" t="s">
        <v>86</v>
      </c>
      <c r="G553" s="135"/>
      <c r="H553" s="136"/>
      <c r="I553" s="136"/>
      <c r="J553" s="136"/>
      <c r="K553" s="137"/>
      <c r="L553" s="137"/>
      <c r="M553" s="137"/>
      <c r="N553" s="137"/>
      <c r="O553" s="139"/>
    </row>
    <row r="554" spans="1:15" outlineLevel="1">
      <c r="A554" s="141">
        <f>SUBTOTAL(3,$G$7:G554)</f>
        <v>246</v>
      </c>
      <c r="B554" s="139" t="s">
        <v>752</v>
      </c>
      <c r="C554" s="134"/>
      <c r="D554" s="134" t="s">
        <v>711</v>
      </c>
      <c r="E554" s="134"/>
      <c r="F554" s="329" t="s">
        <v>2219</v>
      </c>
      <c r="G554" s="135" t="s">
        <v>570</v>
      </c>
      <c r="H554" s="136">
        <v>10</v>
      </c>
      <c r="I554" s="136"/>
      <c r="J554" s="136"/>
      <c r="K554" s="137"/>
      <c r="L554" s="137"/>
      <c r="M554" s="137"/>
      <c r="N554" s="137"/>
      <c r="O554" s="139"/>
    </row>
    <row r="555" spans="1:15" outlineLevel="1">
      <c r="A555" s="141">
        <f>SUBTOTAL(3,$G$7:G555)</f>
        <v>247</v>
      </c>
      <c r="B555" s="139" t="s">
        <v>753</v>
      </c>
      <c r="C555" s="134"/>
      <c r="D555" s="134" t="s">
        <v>711</v>
      </c>
      <c r="E555" s="134"/>
      <c r="F555" s="329" t="s">
        <v>2219</v>
      </c>
      <c r="G555" s="135" t="s">
        <v>570</v>
      </c>
      <c r="H555" s="136">
        <v>4</v>
      </c>
      <c r="I555" s="136"/>
      <c r="J555" s="136"/>
      <c r="K555" s="137"/>
      <c r="L555" s="137"/>
      <c r="M555" s="137"/>
      <c r="N555" s="137"/>
      <c r="O555" s="139"/>
    </row>
    <row r="556" spans="1:15" outlineLevel="1">
      <c r="A556" s="141">
        <f>SUBTOTAL(3,$G$7:G556)</f>
        <v>248</v>
      </c>
      <c r="B556" s="139" t="s">
        <v>754</v>
      </c>
      <c r="C556" s="134"/>
      <c r="D556" s="134" t="s">
        <v>711</v>
      </c>
      <c r="E556" s="134"/>
      <c r="F556" s="329" t="s">
        <v>2219</v>
      </c>
      <c r="G556" s="135" t="s">
        <v>570</v>
      </c>
      <c r="H556" s="136">
        <v>22</v>
      </c>
      <c r="I556" s="136"/>
      <c r="J556" s="136"/>
      <c r="K556" s="137"/>
      <c r="L556" s="137"/>
      <c r="M556" s="137"/>
      <c r="N556" s="137"/>
      <c r="O556" s="139"/>
    </row>
    <row r="557" spans="1:15" outlineLevel="1">
      <c r="A557" s="141">
        <f>SUBTOTAL(3,$G$7:G557)</f>
        <v>249</v>
      </c>
      <c r="B557" s="139" t="s">
        <v>755</v>
      </c>
      <c r="C557" s="134"/>
      <c r="D557" s="134" t="s">
        <v>711</v>
      </c>
      <c r="E557" s="134"/>
      <c r="F557" s="329" t="s">
        <v>2219</v>
      </c>
      <c r="G557" s="135" t="s">
        <v>570</v>
      </c>
      <c r="H557" s="136">
        <v>22</v>
      </c>
      <c r="I557" s="136"/>
      <c r="J557" s="136"/>
      <c r="K557" s="137"/>
      <c r="L557" s="137"/>
      <c r="M557" s="137"/>
      <c r="N557" s="137"/>
      <c r="O557" s="139"/>
    </row>
    <row r="558" spans="1:15" outlineLevel="1">
      <c r="A558" s="141">
        <f>SUBTOTAL(3,$G$7:G558)</f>
        <v>250</v>
      </c>
      <c r="B558" s="139" t="s">
        <v>756</v>
      </c>
      <c r="C558" s="134"/>
      <c r="D558" s="134" t="s">
        <v>711</v>
      </c>
      <c r="E558" s="134"/>
      <c r="F558" s="329" t="s">
        <v>2219</v>
      </c>
      <c r="G558" s="135" t="s">
        <v>570</v>
      </c>
      <c r="H558" s="136">
        <v>30</v>
      </c>
      <c r="I558" s="136"/>
      <c r="J558" s="136"/>
      <c r="K558" s="137"/>
      <c r="L558" s="137"/>
      <c r="M558" s="137"/>
      <c r="N558" s="137"/>
      <c r="O558" s="139"/>
    </row>
    <row r="559" spans="1:15" outlineLevel="1">
      <c r="A559" s="141">
        <f>SUBTOTAL(3,$G$7:G559)</f>
        <v>251</v>
      </c>
      <c r="B559" s="139" t="s">
        <v>757</v>
      </c>
      <c r="C559" s="134"/>
      <c r="D559" s="134" t="s">
        <v>711</v>
      </c>
      <c r="E559" s="134"/>
      <c r="F559" s="329" t="s">
        <v>2219</v>
      </c>
      <c r="G559" s="135" t="s">
        <v>570</v>
      </c>
      <c r="H559" s="136">
        <v>12</v>
      </c>
      <c r="I559" s="136"/>
      <c r="J559" s="136"/>
      <c r="K559" s="137"/>
      <c r="L559" s="137"/>
      <c r="M559" s="137"/>
      <c r="N559" s="137"/>
      <c r="O559" s="139"/>
    </row>
    <row r="560" spans="1:15" outlineLevel="1">
      <c r="A560" s="141">
        <f>SUBTOTAL(3,$G$7:G560)</f>
        <v>252</v>
      </c>
      <c r="B560" s="139" t="s">
        <v>757</v>
      </c>
      <c r="C560" s="134"/>
      <c r="D560" s="134" t="s">
        <v>711</v>
      </c>
      <c r="E560" s="134"/>
      <c r="F560" s="329" t="s">
        <v>2219</v>
      </c>
      <c r="G560" s="135" t="s">
        <v>570</v>
      </c>
      <c r="H560" s="136">
        <v>10</v>
      </c>
      <c r="I560" s="136"/>
      <c r="J560" s="136"/>
      <c r="K560" s="137"/>
      <c r="L560" s="137"/>
      <c r="M560" s="137"/>
      <c r="N560" s="137"/>
      <c r="O560" s="139"/>
    </row>
    <row r="561" spans="1:15" outlineLevel="1">
      <c r="A561" s="141">
        <f>SUBTOTAL(3,$G$7:G561)</f>
        <v>253</v>
      </c>
      <c r="B561" s="139" t="s">
        <v>758</v>
      </c>
      <c r="C561" s="134"/>
      <c r="D561" s="134" t="s">
        <v>711</v>
      </c>
      <c r="E561" s="134"/>
      <c r="F561" s="329" t="s">
        <v>2219</v>
      </c>
      <c r="G561" s="135" t="s">
        <v>570</v>
      </c>
      <c r="H561" s="136">
        <v>8</v>
      </c>
      <c r="I561" s="136"/>
      <c r="J561" s="136"/>
      <c r="K561" s="137"/>
      <c r="L561" s="137"/>
      <c r="M561" s="137"/>
      <c r="N561" s="137"/>
      <c r="O561" s="139"/>
    </row>
    <row r="562" spans="1:15" outlineLevel="1">
      <c r="A562" s="141">
        <f>SUBTOTAL(3,$G$7:G562)</f>
        <v>254</v>
      </c>
      <c r="B562" s="139" t="s">
        <v>759</v>
      </c>
      <c r="C562" s="134"/>
      <c r="D562" s="134" t="s">
        <v>711</v>
      </c>
      <c r="E562" s="134"/>
      <c r="F562" s="329" t="s">
        <v>2219</v>
      </c>
      <c r="G562" s="135" t="s">
        <v>570</v>
      </c>
      <c r="H562" s="136">
        <v>20</v>
      </c>
      <c r="I562" s="136"/>
      <c r="J562" s="136"/>
      <c r="K562" s="137"/>
      <c r="L562" s="137"/>
      <c r="M562" s="137"/>
      <c r="N562" s="137"/>
      <c r="O562" s="139"/>
    </row>
    <row r="563" spans="1:15" outlineLevel="1">
      <c r="A563" s="141">
        <f>SUBTOTAL(3,$G$7:G563)</f>
        <v>255</v>
      </c>
      <c r="B563" s="139" t="s">
        <v>760</v>
      </c>
      <c r="C563" s="134"/>
      <c r="D563" s="134" t="s">
        <v>711</v>
      </c>
      <c r="E563" s="134"/>
      <c r="F563" s="329" t="s">
        <v>2219</v>
      </c>
      <c r="G563" s="135" t="s">
        <v>570</v>
      </c>
      <c r="H563" s="136">
        <v>5</v>
      </c>
      <c r="I563" s="136"/>
      <c r="J563" s="136"/>
      <c r="K563" s="137"/>
      <c r="L563" s="137"/>
      <c r="M563" s="137"/>
      <c r="N563" s="137"/>
      <c r="O563" s="139"/>
    </row>
    <row r="564" spans="1:15" outlineLevel="1">
      <c r="A564" s="141">
        <f>SUBTOTAL(3,$G$7:G564)</f>
        <v>256</v>
      </c>
      <c r="B564" s="139" t="s">
        <v>761</v>
      </c>
      <c r="C564" s="134"/>
      <c r="D564" s="134" t="s">
        <v>711</v>
      </c>
      <c r="E564" s="134"/>
      <c r="F564" s="329" t="s">
        <v>2219</v>
      </c>
      <c r="G564" s="135" t="s">
        <v>570</v>
      </c>
      <c r="H564" s="136">
        <v>3</v>
      </c>
      <c r="I564" s="136"/>
      <c r="J564" s="136"/>
      <c r="K564" s="137"/>
      <c r="L564" s="137"/>
      <c r="M564" s="137"/>
      <c r="N564" s="137"/>
      <c r="O564" s="139"/>
    </row>
    <row r="565" spans="1:15" outlineLevel="1">
      <c r="A565" s="141">
        <f>SUBTOTAL(3,$G$7:G565)</f>
        <v>257</v>
      </c>
      <c r="B565" s="139" t="s">
        <v>762</v>
      </c>
      <c r="C565" s="134"/>
      <c r="D565" s="134" t="s">
        <v>711</v>
      </c>
      <c r="E565" s="134"/>
      <c r="F565" s="329" t="s">
        <v>2219</v>
      </c>
      <c r="G565" s="135" t="s">
        <v>570</v>
      </c>
      <c r="H565" s="136">
        <v>8</v>
      </c>
      <c r="I565" s="136"/>
      <c r="J565" s="136"/>
      <c r="K565" s="137"/>
      <c r="L565" s="137"/>
      <c r="M565" s="137"/>
      <c r="N565" s="137"/>
      <c r="O565" s="139"/>
    </row>
    <row r="566" spans="1:15" outlineLevel="1">
      <c r="A566" s="141">
        <f>SUBTOTAL(3,$G$7:G566)</f>
        <v>258</v>
      </c>
      <c r="B566" s="139" t="s">
        <v>763</v>
      </c>
      <c r="C566" s="134"/>
      <c r="D566" s="134" t="s">
        <v>711</v>
      </c>
      <c r="E566" s="134"/>
      <c r="F566" s="329" t="s">
        <v>2219</v>
      </c>
      <c r="G566" s="135" t="s">
        <v>570</v>
      </c>
      <c r="H566" s="136">
        <v>3</v>
      </c>
      <c r="I566" s="136"/>
      <c r="J566" s="136"/>
      <c r="K566" s="137"/>
      <c r="L566" s="137"/>
      <c r="M566" s="137"/>
      <c r="N566" s="137"/>
      <c r="O566" s="139"/>
    </row>
    <row r="567" spans="1:15" outlineLevel="1">
      <c r="A567" s="141">
        <f>SUBTOTAL(3,$G$7:G567)</f>
        <v>259</v>
      </c>
      <c r="B567" s="139" t="s">
        <v>764</v>
      </c>
      <c r="C567" s="134"/>
      <c r="D567" s="134" t="s">
        <v>711</v>
      </c>
      <c r="E567" s="134"/>
      <c r="F567" s="329" t="s">
        <v>2219</v>
      </c>
      <c r="G567" s="135" t="s">
        <v>570</v>
      </c>
      <c r="H567" s="136">
        <v>5</v>
      </c>
      <c r="I567" s="136"/>
      <c r="J567" s="136"/>
      <c r="K567" s="137"/>
      <c r="L567" s="137"/>
      <c r="M567" s="137"/>
      <c r="N567" s="137"/>
      <c r="O567" s="139"/>
    </row>
    <row r="568" spans="1:15" outlineLevel="1">
      <c r="A568" s="141">
        <f>SUBTOTAL(3,$G$7:G568)</f>
        <v>260</v>
      </c>
      <c r="B568" s="139" t="s">
        <v>765</v>
      </c>
      <c r="C568" s="134"/>
      <c r="D568" s="134" t="s">
        <v>711</v>
      </c>
      <c r="E568" s="134"/>
      <c r="F568" s="329" t="s">
        <v>2219</v>
      </c>
      <c r="G568" s="135" t="s">
        <v>570</v>
      </c>
      <c r="H568" s="136">
        <v>4</v>
      </c>
      <c r="I568" s="136"/>
      <c r="J568" s="136"/>
      <c r="K568" s="137"/>
      <c r="L568" s="137"/>
      <c r="M568" s="137"/>
      <c r="N568" s="137"/>
      <c r="O568" s="139"/>
    </row>
    <row r="569" spans="1:15" outlineLevel="1">
      <c r="A569" s="141">
        <f>SUBTOTAL(3,$G$7:G569)</f>
        <v>261</v>
      </c>
      <c r="B569" s="139" t="s">
        <v>275</v>
      </c>
      <c r="C569" s="134"/>
      <c r="D569" s="134"/>
      <c r="E569" s="134"/>
      <c r="F569" s="329" t="s">
        <v>2219</v>
      </c>
      <c r="G569" s="135" t="s">
        <v>276</v>
      </c>
      <c r="H569" s="136">
        <v>1</v>
      </c>
      <c r="I569" s="136"/>
      <c r="J569" s="136"/>
      <c r="K569" s="137"/>
      <c r="L569" s="137"/>
      <c r="M569" s="137"/>
      <c r="N569" s="137"/>
      <c r="O569" s="139"/>
    </row>
    <row r="570" spans="1:15" outlineLevel="1">
      <c r="A570" s="132" t="s">
        <v>766</v>
      </c>
      <c r="B570" s="140" t="s">
        <v>767</v>
      </c>
      <c r="C570" s="134"/>
      <c r="D570" s="134"/>
      <c r="E570" s="134"/>
      <c r="F570" s="332" t="s">
        <v>2220</v>
      </c>
      <c r="G570" s="135"/>
      <c r="H570" s="136"/>
      <c r="I570" s="136"/>
      <c r="J570" s="136"/>
      <c r="K570" s="137"/>
      <c r="L570" s="137"/>
      <c r="M570" s="137"/>
      <c r="N570" s="137"/>
      <c r="O570" s="139"/>
    </row>
    <row r="571" spans="1:15" s="145" customFormat="1" outlineLevel="1">
      <c r="A571" s="132"/>
      <c r="B571" s="140" t="s">
        <v>586</v>
      </c>
      <c r="C571" s="134"/>
      <c r="D571" s="134"/>
      <c r="E571" s="134"/>
      <c r="F571" s="332" t="s">
        <v>2220</v>
      </c>
      <c r="G571" s="143"/>
      <c r="H571" s="144"/>
      <c r="I571" s="144"/>
      <c r="J571" s="144"/>
      <c r="K571" s="138"/>
      <c r="L571" s="138"/>
      <c r="M571" s="138"/>
      <c r="N571" s="138"/>
      <c r="O571" s="140"/>
    </row>
    <row r="572" spans="1:15" s="145" customFormat="1" outlineLevel="1">
      <c r="A572" s="132"/>
      <c r="B572" s="140" t="s">
        <v>587</v>
      </c>
      <c r="C572" s="134"/>
      <c r="D572" s="134"/>
      <c r="E572" s="134"/>
      <c r="F572" s="332" t="s">
        <v>2220</v>
      </c>
      <c r="G572" s="143"/>
      <c r="H572" s="144"/>
      <c r="I572" s="144"/>
      <c r="J572" s="144"/>
      <c r="K572" s="138"/>
      <c r="L572" s="138"/>
      <c r="M572" s="138"/>
      <c r="N572" s="138"/>
      <c r="O572" s="140"/>
    </row>
    <row r="573" spans="1:15" s="146" customFormat="1" ht="24.6" hidden="1" customHeight="1" outlineLevel="1">
      <c r="A573" s="141"/>
      <c r="B573" s="140" t="s">
        <v>768</v>
      </c>
      <c r="C573" s="134"/>
      <c r="D573" s="134"/>
      <c r="E573" s="134"/>
      <c r="F573" s="329" t="s">
        <v>2215</v>
      </c>
      <c r="G573" s="135"/>
      <c r="H573" s="136">
        <v>0</v>
      </c>
      <c r="I573" s="136"/>
      <c r="J573" s="136"/>
      <c r="K573" s="137"/>
      <c r="L573" s="137"/>
      <c r="M573" s="137"/>
      <c r="N573" s="137"/>
      <c r="O573" s="142"/>
    </row>
    <row r="574" spans="1:15" s="146" customFormat="1" ht="24.6" hidden="1" customHeight="1" outlineLevel="1">
      <c r="A574" s="141">
        <f>SUBTOTAL(3,$G$7:G574)</f>
        <v>261</v>
      </c>
      <c r="B574" s="139" t="s">
        <v>769</v>
      </c>
      <c r="C574" s="134"/>
      <c r="D574" s="134" t="s">
        <v>379</v>
      </c>
      <c r="E574" s="134"/>
      <c r="F574" s="329" t="s">
        <v>2215</v>
      </c>
      <c r="G574" s="135" t="s">
        <v>237</v>
      </c>
      <c r="H574" s="136">
        <v>6</v>
      </c>
      <c r="I574" s="136"/>
      <c r="J574" s="136"/>
      <c r="K574" s="137"/>
      <c r="L574" s="137"/>
      <c r="M574" s="137"/>
      <c r="N574" s="137"/>
      <c r="O574" s="142"/>
    </row>
    <row r="575" spans="1:15" s="146" customFormat="1" ht="24.6" hidden="1" customHeight="1" outlineLevel="1">
      <c r="A575" s="141">
        <f>SUBTOTAL(3,$G$7:G575)</f>
        <v>261</v>
      </c>
      <c r="B575" s="139" t="s">
        <v>770</v>
      </c>
      <c r="C575" s="134"/>
      <c r="D575" s="134" t="s">
        <v>379</v>
      </c>
      <c r="E575" s="134"/>
      <c r="F575" s="329" t="s">
        <v>2215</v>
      </c>
      <c r="G575" s="135" t="s">
        <v>237</v>
      </c>
      <c r="H575" s="136">
        <v>12</v>
      </c>
      <c r="I575" s="136"/>
      <c r="J575" s="136"/>
      <c r="K575" s="137"/>
      <c r="L575" s="137"/>
      <c r="M575" s="137"/>
      <c r="N575" s="137"/>
      <c r="O575" s="142"/>
    </row>
    <row r="576" spans="1:15" s="146" customFormat="1" ht="24.6" hidden="1" customHeight="1" outlineLevel="1">
      <c r="A576" s="141">
        <f>SUBTOTAL(3,$G$7:G576)</f>
        <v>261</v>
      </c>
      <c r="B576" s="139" t="s">
        <v>770</v>
      </c>
      <c r="C576" s="134"/>
      <c r="D576" s="134" t="s">
        <v>379</v>
      </c>
      <c r="E576" s="134"/>
      <c r="F576" s="329" t="s">
        <v>2215</v>
      </c>
      <c r="G576" s="135" t="s">
        <v>237</v>
      </c>
      <c r="H576" s="136">
        <v>6</v>
      </c>
      <c r="I576" s="136"/>
      <c r="J576" s="136"/>
      <c r="K576" s="137"/>
      <c r="L576" s="137"/>
      <c r="M576" s="137"/>
      <c r="N576" s="137"/>
      <c r="O576" s="142"/>
    </row>
    <row r="577" spans="1:15" s="146" customFormat="1" ht="24.6" hidden="1" customHeight="1" outlineLevel="1">
      <c r="A577" s="141">
        <f>SUBTOTAL(3,$G$7:G577)</f>
        <v>261</v>
      </c>
      <c r="B577" s="139" t="s">
        <v>770</v>
      </c>
      <c r="C577" s="134"/>
      <c r="D577" s="134" t="s">
        <v>379</v>
      </c>
      <c r="E577" s="134"/>
      <c r="F577" s="329" t="s">
        <v>2215</v>
      </c>
      <c r="G577" s="135" t="s">
        <v>237</v>
      </c>
      <c r="H577" s="136">
        <v>6</v>
      </c>
      <c r="I577" s="136"/>
      <c r="J577" s="136"/>
      <c r="K577" s="137"/>
      <c r="L577" s="137"/>
      <c r="M577" s="137"/>
      <c r="N577" s="137"/>
      <c r="O577" s="142"/>
    </row>
    <row r="578" spans="1:15" s="146" customFormat="1" ht="24.6" hidden="1" customHeight="1" outlineLevel="1">
      <c r="A578" s="141">
        <f>SUBTOTAL(3,$G$7:G578)</f>
        <v>261</v>
      </c>
      <c r="B578" s="139" t="s">
        <v>770</v>
      </c>
      <c r="C578" s="134"/>
      <c r="D578" s="134" t="s">
        <v>379</v>
      </c>
      <c r="E578" s="134"/>
      <c r="F578" s="329" t="s">
        <v>2215</v>
      </c>
      <c r="G578" s="135" t="s">
        <v>237</v>
      </c>
      <c r="H578" s="136">
        <v>18</v>
      </c>
      <c r="I578" s="136"/>
      <c r="J578" s="136"/>
      <c r="K578" s="137"/>
      <c r="L578" s="137"/>
      <c r="M578" s="137"/>
      <c r="N578" s="137"/>
      <c r="O578" s="142"/>
    </row>
    <row r="579" spans="1:15" s="146" customFormat="1" ht="24.6" hidden="1" customHeight="1" outlineLevel="1">
      <c r="A579" s="141"/>
      <c r="B579" s="140"/>
      <c r="C579" s="134"/>
      <c r="D579" s="134"/>
      <c r="E579" s="134"/>
      <c r="F579" s="329" t="s">
        <v>2215</v>
      </c>
      <c r="G579" s="135"/>
      <c r="H579" s="136">
        <v>0</v>
      </c>
      <c r="I579" s="136"/>
      <c r="J579" s="136"/>
      <c r="K579" s="137"/>
      <c r="L579" s="137"/>
      <c r="M579" s="137"/>
      <c r="N579" s="137"/>
      <c r="O579" s="142"/>
    </row>
    <row r="580" spans="1:15" s="146" customFormat="1" ht="24.6" hidden="1" customHeight="1" outlineLevel="1">
      <c r="A580" s="141">
        <f>SUBTOTAL(3,$G$7:G580)</f>
        <v>261</v>
      </c>
      <c r="B580" s="139" t="s">
        <v>769</v>
      </c>
      <c r="C580" s="134"/>
      <c r="D580" s="134" t="s">
        <v>379</v>
      </c>
      <c r="E580" s="134"/>
      <c r="F580" s="329" t="s">
        <v>2215</v>
      </c>
      <c r="G580" s="135" t="s">
        <v>237</v>
      </c>
      <c r="H580" s="136">
        <v>8</v>
      </c>
      <c r="I580" s="136"/>
      <c r="J580" s="136"/>
      <c r="K580" s="137"/>
      <c r="L580" s="137"/>
      <c r="M580" s="137"/>
      <c r="N580" s="137"/>
      <c r="O580" s="142"/>
    </row>
    <row r="581" spans="1:15" s="146" customFormat="1" ht="24.6" hidden="1" customHeight="1" outlineLevel="1">
      <c r="A581" s="141">
        <f>SUBTOTAL(3,$G$7:G581)</f>
        <v>261</v>
      </c>
      <c r="B581" s="139" t="s">
        <v>770</v>
      </c>
      <c r="C581" s="134"/>
      <c r="D581" s="134" t="s">
        <v>379</v>
      </c>
      <c r="E581" s="134"/>
      <c r="F581" s="329" t="s">
        <v>2215</v>
      </c>
      <c r="G581" s="135" t="s">
        <v>237</v>
      </c>
      <c r="H581" s="136">
        <v>8</v>
      </c>
      <c r="I581" s="136"/>
      <c r="J581" s="136"/>
      <c r="K581" s="137"/>
      <c r="L581" s="137"/>
      <c r="M581" s="137"/>
      <c r="N581" s="137"/>
      <c r="O581" s="142"/>
    </row>
    <row r="582" spans="1:15" s="146" customFormat="1" ht="24.6" hidden="1" customHeight="1" outlineLevel="1">
      <c r="A582" s="141">
        <f>SUBTOTAL(3,$G$7:G582)</f>
        <v>261</v>
      </c>
      <c r="B582" s="139" t="s">
        <v>770</v>
      </c>
      <c r="C582" s="134"/>
      <c r="D582" s="134" t="s">
        <v>379</v>
      </c>
      <c r="E582" s="134"/>
      <c r="F582" s="329" t="s">
        <v>2215</v>
      </c>
      <c r="G582" s="135" t="s">
        <v>237</v>
      </c>
      <c r="H582" s="136">
        <v>48</v>
      </c>
      <c r="I582" s="136"/>
      <c r="J582" s="136"/>
      <c r="K582" s="137"/>
      <c r="L582" s="137"/>
      <c r="M582" s="137"/>
      <c r="N582" s="137"/>
      <c r="O582" s="142"/>
    </row>
    <row r="583" spans="1:15" s="146" customFormat="1" ht="24.6" hidden="1" customHeight="1" outlineLevel="1">
      <c r="A583" s="141"/>
      <c r="B583" s="140"/>
      <c r="C583" s="134"/>
      <c r="D583" s="134"/>
      <c r="E583" s="134"/>
      <c r="F583" s="329" t="s">
        <v>2215</v>
      </c>
      <c r="G583" s="135"/>
      <c r="H583" s="136">
        <v>0</v>
      </c>
      <c r="I583" s="136"/>
      <c r="J583" s="136"/>
      <c r="K583" s="137"/>
      <c r="L583" s="137"/>
      <c r="M583" s="137"/>
      <c r="N583" s="137"/>
      <c r="O583" s="142"/>
    </row>
    <row r="584" spans="1:15" s="146" customFormat="1" ht="24.6" hidden="1" customHeight="1" outlineLevel="1">
      <c r="A584" s="141">
        <f>SUBTOTAL(3,$G$7:G584)</f>
        <v>261</v>
      </c>
      <c r="B584" s="139" t="s">
        <v>769</v>
      </c>
      <c r="C584" s="134"/>
      <c r="D584" s="134" t="s">
        <v>379</v>
      </c>
      <c r="E584" s="134"/>
      <c r="F584" s="329" t="s">
        <v>2215</v>
      </c>
      <c r="G584" s="135" t="s">
        <v>237</v>
      </c>
      <c r="H584" s="136">
        <v>8</v>
      </c>
      <c r="I584" s="136"/>
      <c r="J584" s="136"/>
      <c r="K584" s="137"/>
      <c r="L584" s="137"/>
      <c r="M584" s="137"/>
      <c r="N584" s="137"/>
      <c r="O584" s="142"/>
    </row>
    <row r="585" spans="1:15" s="146" customFormat="1" ht="24.6" hidden="1" customHeight="1" outlineLevel="1">
      <c r="A585" s="141">
        <f>SUBTOTAL(3,$G$7:G585)</f>
        <v>261</v>
      </c>
      <c r="B585" s="139" t="s">
        <v>770</v>
      </c>
      <c r="C585" s="134"/>
      <c r="D585" s="134" t="s">
        <v>379</v>
      </c>
      <c r="E585" s="134"/>
      <c r="F585" s="329" t="s">
        <v>2215</v>
      </c>
      <c r="G585" s="135" t="s">
        <v>237</v>
      </c>
      <c r="H585" s="136">
        <v>8</v>
      </c>
      <c r="I585" s="136"/>
      <c r="J585" s="136"/>
      <c r="K585" s="137"/>
      <c r="L585" s="137"/>
      <c r="M585" s="137"/>
      <c r="N585" s="137"/>
      <c r="O585" s="142"/>
    </row>
    <row r="586" spans="1:15" s="146" customFormat="1" ht="24.6" hidden="1" customHeight="1" outlineLevel="1">
      <c r="A586" s="141">
        <f>SUBTOTAL(3,$G$7:G586)</f>
        <v>261</v>
      </c>
      <c r="B586" s="139" t="s">
        <v>770</v>
      </c>
      <c r="C586" s="134"/>
      <c r="D586" s="134" t="s">
        <v>379</v>
      </c>
      <c r="E586" s="134"/>
      <c r="F586" s="329" t="s">
        <v>2215</v>
      </c>
      <c r="G586" s="135" t="s">
        <v>237</v>
      </c>
      <c r="H586" s="136">
        <v>8</v>
      </c>
      <c r="I586" s="136"/>
      <c r="J586" s="136"/>
      <c r="K586" s="137"/>
      <c r="L586" s="137"/>
      <c r="M586" s="137"/>
      <c r="N586" s="137"/>
      <c r="O586" s="142"/>
    </row>
    <row r="587" spans="1:15" s="146" customFormat="1" ht="24.6" hidden="1" customHeight="1" outlineLevel="1">
      <c r="A587" s="141">
        <f>SUBTOTAL(3,$G$7:G587)</f>
        <v>261</v>
      </c>
      <c r="B587" s="139" t="s">
        <v>770</v>
      </c>
      <c r="C587" s="134"/>
      <c r="D587" s="134" t="s">
        <v>379</v>
      </c>
      <c r="E587" s="134"/>
      <c r="F587" s="329" t="s">
        <v>2215</v>
      </c>
      <c r="G587" s="135" t="s">
        <v>237</v>
      </c>
      <c r="H587" s="136">
        <v>16</v>
      </c>
      <c r="I587" s="136"/>
      <c r="J587" s="136"/>
      <c r="K587" s="137"/>
      <c r="L587" s="137"/>
      <c r="M587" s="137"/>
      <c r="N587" s="137"/>
      <c r="O587" s="142"/>
    </row>
    <row r="588" spans="1:15" s="146" customFormat="1" ht="24.6" hidden="1" customHeight="1" outlineLevel="1">
      <c r="A588" s="141"/>
      <c r="B588" s="139"/>
      <c r="C588" s="134"/>
      <c r="D588" s="134"/>
      <c r="E588" s="134"/>
      <c r="F588" s="329" t="s">
        <v>2215</v>
      </c>
      <c r="G588" s="135"/>
      <c r="H588" s="136">
        <v>0</v>
      </c>
      <c r="I588" s="136"/>
      <c r="J588" s="136"/>
      <c r="K588" s="137"/>
      <c r="L588" s="137"/>
      <c r="M588" s="137"/>
      <c r="N588" s="137"/>
      <c r="O588" s="142"/>
    </row>
    <row r="589" spans="1:15" s="146" customFormat="1" ht="24.6" hidden="1" customHeight="1" outlineLevel="1">
      <c r="A589" s="141">
        <f>SUBTOTAL(3,$G$7:G589)</f>
        <v>261</v>
      </c>
      <c r="B589" s="139" t="s">
        <v>769</v>
      </c>
      <c r="C589" s="134"/>
      <c r="D589" s="134" t="s">
        <v>379</v>
      </c>
      <c r="E589" s="134"/>
      <c r="F589" s="329" t="s">
        <v>2215</v>
      </c>
      <c r="G589" s="135" t="s">
        <v>237</v>
      </c>
      <c r="H589" s="136">
        <v>1</v>
      </c>
      <c r="I589" s="136"/>
      <c r="J589" s="136"/>
      <c r="K589" s="137"/>
      <c r="L589" s="137"/>
      <c r="M589" s="137"/>
      <c r="N589" s="137"/>
      <c r="O589" s="142"/>
    </row>
    <row r="590" spans="1:15" s="146" customFormat="1" ht="24.6" hidden="1" customHeight="1" outlineLevel="1">
      <c r="A590" s="141">
        <f>SUBTOTAL(3,$G$7:G590)</f>
        <v>261</v>
      </c>
      <c r="B590" s="139" t="s">
        <v>770</v>
      </c>
      <c r="C590" s="134"/>
      <c r="D590" s="134" t="s">
        <v>379</v>
      </c>
      <c r="E590" s="134"/>
      <c r="F590" s="329" t="s">
        <v>2215</v>
      </c>
      <c r="G590" s="135" t="s">
        <v>237</v>
      </c>
      <c r="H590" s="136">
        <v>2</v>
      </c>
      <c r="I590" s="136"/>
      <c r="J590" s="136"/>
      <c r="K590" s="137"/>
      <c r="L590" s="137"/>
      <c r="M590" s="137"/>
      <c r="N590" s="137"/>
      <c r="O590" s="142"/>
    </row>
    <row r="591" spans="1:15" s="146" customFormat="1" ht="24.6" hidden="1" customHeight="1" outlineLevel="1">
      <c r="A591" s="141">
        <f>SUBTOTAL(3,$G$7:G591)</f>
        <v>261</v>
      </c>
      <c r="B591" s="139" t="s">
        <v>770</v>
      </c>
      <c r="C591" s="134"/>
      <c r="D591" s="134" t="s">
        <v>379</v>
      </c>
      <c r="E591" s="134"/>
      <c r="F591" s="329" t="s">
        <v>2215</v>
      </c>
      <c r="G591" s="135" t="s">
        <v>237</v>
      </c>
      <c r="H591" s="136">
        <v>1</v>
      </c>
      <c r="I591" s="136"/>
      <c r="J591" s="136"/>
      <c r="K591" s="137"/>
      <c r="L591" s="137"/>
      <c r="M591" s="137"/>
      <c r="N591" s="137"/>
      <c r="O591" s="142"/>
    </row>
    <row r="592" spans="1:15" s="146" customFormat="1" ht="24.6" hidden="1" customHeight="1" outlineLevel="1">
      <c r="A592" s="141">
        <f>SUBTOTAL(3,$G$7:G592)</f>
        <v>261</v>
      </c>
      <c r="B592" s="139" t="s">
        <v>770</v>
      </c>
      <c r="C592" s="134"/>
      <c r="D592" s="134" t="s">
        <v>379</v>
      </c>
      <c r="E592" s="134"/>
      <c r="F592" s="329" t="s">
        <v>2215</v>
      </c>
      <c r="G592" s="135" t="s">
        <v>237</v>
      </c>
      <c r="H592" s="136">
        <v>4</v>
      </c>
      <c r="I592" s="136"/>
      <c r="J592" s="136"/>
      <c r="K592" s="137"/>
      <c r="L592" s="137"/>
      <c r="M592" s="137"/>
      <c r="N592" s="137"/>
      <c r="O592" s="142"/>
    </row>
    <row r="593" spans="1:15" s="146" customFormat="1" ht="24.6" hidden="1" customHeight="1" outlineLevel="1">
      <c r="A593" s="141"/>
      <c r="B593" s="139"/>
      <c r="C593" s="134"/>
      <c r="D593" s="134"/>
      <c r="E593" s="134"/>
      <c r="F593" s="329" t="s">
        <v>2215</v>
      </c>
      <c r="G593" s="135"/>
      <c r="H593" s="136">
        <v>0</v>
      </c>
      <c r="I593" s="136"/>
      <c r="J593" s="136"/>
      <c r="K593" s="137"/>
      <c r="L593" s="137"/>
      <c r="M593" s="137"/>
      <c r="N593" s="137"/>
      <c r="O593" s="142"/>
    </row>
    <row r="594" spans="1:15" s="146" customFormat="1" ht="24.6" hidden="1" customHeight="1" outlineLevel="1">
      <c r="A594" s="141">
        <f>SUBTOTAL(3,$G$7:G594)</f>
        <v>261</v>
      </c>
      <c r="B594" s="139" t="s">
        <v>769</v>
      </c>
      <c r="C594" s="134"/>
      <c r="D594" s="134" t="s">
        <v>379</v>
      </c>
      <c r="E594" s="134"/>
      <c r="F594" s="329" t="s">
        <v>2215</v>
      </c>
      <c r="G594" s="135" t="s">
        <v>237</v>
      </c>
      <c r="H594" s="136">
        <v>1</v>
      </c>
      <c r="I594" s="136"/>
      <c r="J594" s="136"/>
      <c r="K594" s="137"/>
      <c r="L594" s="137"/>
      <c r="M594" s="137"/>
      <c r="N594" s="137"/>
      <c r="O594" s="142"/>
    </row>
    <row r="595" spans="1:15" s="146" customFormat="1" ht="24.6" hidden="1" customHeight="1" outlineLevel="1">
      <c r="A595" s="141">
        <f>SUBTOTAL(3,$G$7:G595)</f>
        <v>261</v>
      </c>
      <c r="B595" s="139" t="s">
        <v>770</v>
      </c>
      <c r="C595" s="134"/>
      <c r="D595" s="134" t="s">
        <v>379</v>
      </c>
      <c r="E595" s="134"/>
      <c r="F595" s="329" t="s">
        <v>2215</v>
      </c>
      <c r="G595" s="135" t="s">
        <v>237</v>
      </c>
      <c r="H595" s="136">
        <v>2</v>
      </c>
      <c r="I595" s="136"/>
      <c r="J595" s="136"/>
      <c r="K595" s="137"/>
      <c r="L595" s="137"/>
      <c r="M595" s="137"/>
      <c r="N595" s="137"/>
      <c r="O595" s="142"/>
    </row>
    <row r="596" spans="1:15" s="146" customFormat="1" ht="24.6" hidden="1" customHeight="1" outlineLevel="1">
      <c r="A596" s="141">
        <f>SUBTOTAL(3,$G$7:G596)</f>
        <v>261</v>
      </c>
      <c r="B596" s="139" t="s">
        <v>770</v>
      </c>
      <c r="C596" s="134"/>
      <c r="D596" s="134" t="s">
        <v>379</v>
      </c>
      <c r="E596" s="134"/>
      <c r="F596" s="329" t="s">
        <v>2215</v>
      </c>
      <c r="G596" s="135" t="s">
        <v>237</v>
      </c>
      <c r="H596" s="136">
        <v>3</v>
      </c>
      <c r="I596" s="136"/>
      <c r="J596" s="136"/>
      <c r="K596" s="137"/>
      <c r="L596" s="137"/>
      <c r="M596" s="137"/>
      <c r="N596" s="137"/>
      <c r="O596" s="142"/>
    </row>
    <row r="597" spans="1:15" s="146" customFormat="1" ht="24.6" hidden="1" customHeight="1" outlineLevel="1">
      <c r="A597" s="141">
        <f>SUBTOTAL(3,$G$7:G597)</f>
        <v>261</v>
      </c>
      <c r="B597" s="139" t="s">
        <v>770</v>
      </c>
      <c r="C597" s="134"/>
      <c r="D597" s="134" t="s">
        <v>379</v>
      </c>
      <c r="E597" s="134"/>
      <c r="F597" s="329" t="s">
        <v>2215</v>
      </c>
      <c r="G597" s="135" t="s">
        <v>237</v>
      </c>
      <c r="H597" s="136">
        <v>2</v>
      </c>
      <c r="I597" s="136"/>
      <c r="J597" s="136"/>
      <c r="K597" s="137"/>
      <c r="L597" s="137"/>
      <c r="M597" s="137"/>
      <c r="N597" s="137"/>
      <c r="O597" s="142"/>
    </row>
    <row r="598" spans="1:15" s="146" customFormat="1" ht="24.6" hidden="1" customHeight="1" outlineLevel="1">
      <c r="A598" s="141"/>
      <c r="B598" s="140" t="s">
        <v>771</v>
      </c>
      <c r="C598" s="134"/>
      <c r="D598" s="134"/>
      <c r="E598" s="134"/>
      <c r="F598" s="329" t="s">
        <v>2215</v>
      </c>
      <c r="G598" s="135"/>
      <c r="H598" s="136"/>
      <c r="I598" s="136"/>
      <c r="J598" s="136"/>
      <c r="K598" s="137"/>
      <c r="L598" s="137"/>
      <c r="M598" s="137"/>
      <c r="N598" s="137"/>
      <c r="O598" s="142"/>
    </row>
    <row r="599" spans="1:15" s="146" customFormat="1" ht="24.6" hidden="1" customHeight="1" outlineLevel="1">
      <c r="A599" s="141">
        <f>SUBTOTAL(3,$G$7:G599)</f>
        <v>261</v>
      </c>
      <c r="B599" s="139" t="s">
        <v>769</v>
      </c>
      <c r="C599" s="134"/>
      <c r="D599" s="134" t="s">
        <v>379</v>
      </c>
      <c r="E599" s="134"/>
      <c r="F599" s="329" t="s">
        <v>2215</v>
      </c>
      <c r="G599" s="135" t="s">
        <v>237</v>
      </c>
      <c r="H599" s="136">
        <v>5</v>
      </c>
      <c r="I599" s="136"/>
      <c r="J599" s="136"/>
      <c r="K599" s="137"/>
      <c r="L599" s="137"/>
      <c r="M599" s="137"/>
      <c r="N599" s="137"/>
      <c r="O599" s="142"/>
    </row>
    <row r="600" spans="1:15" s="146" customFormat="1" ht="24" hidden="1" customHeight="1" outlineLevel="1">
      <c r="A600" s="141">
        <f>SUBTOTAL(3,$G$7:G600)</f>
        <v>261</v>
      </c>
      <c r="B600" s="139" t="s">
        <v>770</v>
      </c>
      <c r="C600" s="134"/>
      <c r="D600" s="134" t="s">
        <v>379</v>
      </c>
      <c r="E600" s="134"/>
      <c r="F600" s="329" t="s">
        <v>2215</v>
      </c>
      <c r="G600" s="135" t="s">
        <v>237</v>
      </c>
      <c r="H600" s="136">
        <v>5</v>
      </c>
      <c r="I600" s="136"/>
      <c r="J600" s="136"/>
      <c r="K600" s="137"/>
      <c r="L600" s="137"/>
      <c r="M600" s="137"/>
      <c r="N600" s="137"/>
      <c r="O600" s="142"/>
    </row>
    <row r="601" spans="1:15" s="146" customFormat="1" ht="24.6" hidden="1" customHeight="1" outlineLevel="1">
      <c r="A601" s="141">
        <f>SUBTOTAL(3,$G$7:G601)</f>
        <v>261</v>
      </c>
      <c r="B601" s="139" t="s">
        <v>770</v>
      </c>
      <c r="C601" s="134"/>
      <c r="D601" s="134" t="s">
        <v>379</v>
      </c>
      <c r="E601" s="134"/>
      <c r="F601" s="329" t="s">
        <v>2215</v>
      </c>
      <c r="G601" s="135" t="s">
        <v>237</v>
      </c>
      <c r="H601" s="136">
        <v>5</v>
      </c>
      <c r="I601" s="136"/>
      <c r="J601" s="136"/>
      <c r="K601" s="137"/>
      <c r="L601" s="137"/>
      <c r="M601" s="137"/>
      <c r="N601" s="137"/>
      <c r="O601" s="142"/>
    </row>
    <row r="602" spans="1:15" s="146" customFormat="1" ht="24.6" hidden="1" customHeight="1" outlineLevel="1">
      <c r="A602" s="141">
        <f>SUBTOTAL(3,$G$7:G602)</f>
        <v>261</v>
      </c>
      <c r="B602" s="139" t="s">
        <v>770</v>
      </c>
      <c r="C602" s="134"/>
      <c r="D602" s="134" t="s">
        <v>379</v>
      </c>
      <c r="E602" s="134"/>
      <c r="F602" s="329" t="s">
        <v>2215</v>
      </c>
      <c r="G602" s="135" t="s">
        <v>237</v>
      </c>
      <c r="H602" s="136">
        <v>25</v>
      </c>
      <c r="I602" s="136"/>
      <c r="J602" s="136"/>
      <c r="K602" s="137"/>
      <c r="L602" s="137"/>
      <c r="M602" s="137"/>
      <c r="N602" s="137"/>
      <c r="O602" s="142"/>
    </row>
    <row r="603" spans="1:15" s="146" customFormat="1" ht="24.6" hidden="1" customHeight="1" outlineLevel="1">
      <c r="A603" s="141"/>
      <c r="B603" s="139"/>
      <c r="C603" s="134"/>
      <c r="D603" s="134"/>
      <c r="E603" s="134"/>
      <c r="F603" s="329" t="s">
        <v>2215</v>
      </c>
      <c r="G603" s="135" t="s">
        <v>237</v>
      </c>
      <c r="H603" s="136">
        <v>0</v>
      </c>
      <c r="I603" s="136"/>
      <c r="J603" s="136"/>
      <c r="K603" s="137"/>
      <c r="L603" s="137"/>
      <c r="M603" s="137"/>
      <c r="N603" s="137"/>
      <c r="O603" s="142"/>
    </row>
    <row r="604" spans="1:15" s="146" customFormat="1" ht="24.6" hidden="1" customHeight="1" outlineLevel="1">
      <c r="A604" s="141">
        <f>SUBTOTAL(3,$G$7:G604)</f>
        <v>261</v>
      </c>
      <c r="B604" s="139" t="s">
        <v>769</v>
      </c>
      <c r="C604" s="134"/>
      <c r="D604" s="134" t="s">
        <v>379</v>
      </c>
      <c r="E604" s="134"/>
      <c r="F604" s="329" t="s">
        <v>2215</v>
      </c>
      <c r="G604" s="135" t="s">
        <v>237</v>
      </c>
      <c r="H604" s="136">
        <v>5</v>
      </c>
      <c r="I604" s="136"/>
      <c r="J604" s="136"/>
      <c r="K604" s="137"/>
      <c r="L604" s="137"/>
      <c r="M604" s="137"/>
      <c r="N604" s="137"/>
      <c r="O604" s="142"/>
    </row>
    <row r="605" spans="1:15" s="146" customFormat="1" ht="24" hidden="1" customHeight="1" outlineLevel="1">
      <c r="A605" s="141">
        <f>SUBTOTAL(3,$G$7:G605)</f>
        <v>261</v>
      </c>
      <c r="B605" s="139" t="s">
        <v>770</v>
      </c>
      <c r="C605" s="134"/>
      <c r="D605" s="134" t="s">
        <v>379</v>
      </c>
      <c r="E605" s="134"/>
      <c r="F605" s="329" t="s">
        <v>2215</v>
      </c>
      <c r="G605" s="135" t="s">
        <v>237</v>
      </c>
      <c r="H605" s="136">
        <v>5</v>
      </c>
      <c r="I605" s="136"/>
      <c r="J605" s="136"/>
      <c r="K605" s="137"/>
      <c r="L605" s="137"/>
      <c r="M605" s="137"/>
      <c r="N605" s="137"/>
      <c r="O605" s="142"/>
    </row>
    <row r="606" spans="1:15" s="146" customFormat="1" ht="24.6" hidden="1" customHeight="1" outlineLevel="1">
      <c r="A606" s="141">
        <f>SUBTOTAL(3,$G$7:G606)</f>
        <v>261</v>
      </c>
      <c r="B606" s="139" t="s">
        <v>770</v>
      </c>
      <c r="C606" s="134"/>
      <c r="D606" s="134" t="s">
        <v>379</v>
      </c>
      <c r="E606" s="134"/>
      <c r="F606" s="329" t="s">
        <v>2215</v>
      </c>
      <c r="G606" s="135" t="s">
        <v>237</v>
      </c>
      <c r="H606" s="136">
        <v>10</v>
      </c>
      <c r="I606" s="136"/>
      <c r="J606" s="136"/>
      <c r="K606" s="137"/>
      <c r="L606" s="137"/>
      <c r="M606" s="137"/>
      <c r="N606" s="137"/>
      <c r="O606" s="142"/>
    </row>
    <row r="607" spans="1:15" s="146" customFormat="1" ht="24.6" hidden="1" customHeight="1" outlineLevel="1">
      <c r="A607" s="141">
        <f>SUBTOTAL(3,$G$7:G607)</f>
        <v>261</v>
      </c>
      <c r="B607" s="139" t="s">
        <v>770</v>
      </c>
      <c r="C607" s="134"/>
      <c r="D607" s="134" t="s">
        <v>379</v>
      </c>
      <c r="E607" s="134"/>
      <c r="F607" s="329" t="s">
        <v>2215</v>
      </c>
      <c r="G607" s="135" t="s">
        <v>237</v>
      </c>
      <c r="H607" s="136">
        <v>20</v>
      </c>
      <c r="I607" s="136"/>
      <c r="J607" s="136"/>
      <c r="K607" s="137"/>
      <c r="L607" s="137"/>
      <c r="M607" s="137"/>
      <c r="N607" s="137"/>
      <c r="O607" s="142"/>
    </row>
    <row r="608" spans="1:15" s="146" customFormat="1" ht="24.6" hidden="1" customHeight="1" outlineLevel="1">
      <c r="A608" s="141"/>
      <c r="B608" s="139"/>
      <c r="C608" s="134"/>
      <c r="D608" s="134"/>
      <c r="E608" s="134"/>
      <c r="F608" s="329" t="s">
        <v>2215</v>
      </c>
      <c r="G608" s="135" t="s">
        <v>237</v>
      </c>
      <c r="H608" s="136">
        <v>0</v>
      </c>
      <c r="I608" s="136"/>
      <c r="J608" s="136"/>
      <c r="K608" s="137"/>
      <c r="L608" s="137"/>
      <c r="M608" s="137"/>
      <c r="N608" s="137"/>
      <c r="O608" s="142"/>
    </row>
    <row r="609" spans="1:15" s="146" customFormat="1" ht="24.6" hidden="1" customHeight="1" outlineLevel="1">
      <c r="A609" s="141">
        <f>SUBTOTAL(3,$G$7:G609)</f>
        <v>261</v>
      </c>
      <c r="B609" s="139" t="s">
        <v>769</v>
      </c>
      <c r="C609" s="134"/>
      <c r="D609" s="134" t="s">
        <v>379</v>
      </c>
      <c r="E609" s="134"/>
      <c r="F609" s="329" t="s">
        <v>2215</v>
      </c>
      <c r="G609" s="135" t="s">
        <v>237</v>
      </c>
      <c r="H609" s="136">
        <v>5</v>
      </c>
      <c r="I609" s="136"/>
      <c r="J609" s="136"/>
      <c r="K609" s="137"/>
      <c r="L609" s="137"/>
      <c r="M609" s="137"/>
      <c r="N609" s="137"/>
      <c r="O609" s="142"/>
    </row>
    <row r="610" spans="1:15" s="146" customFormat="1" ht="24" hidden="1" customHeight="1" outlineLevel="1">
      <c r="A610" s="141">
        <f>SUBTOTAL(3,$G$7:G610)</f>
        <v>261</v>
      </c>
      <c r="B610" s="139" t="s">
        <v>770</v>
      </c>
      <c r="C610" s="134"/>
      <c r="D610" s="134" t="s">
        <v>379</v>
      </c>
      <c r="E610" s="134"/>
      <c r="F610" s="329" t="s">
        <v>2215</v>
      </c>
      <c r="G610" s="135" t="s">
        <v>237</v>
      </c>
      <c r="H610" s="136">
        <v>5</v>
      </c>
      <c r="I610" s="136"/>
      <c r="J610" s="136"/>
      <c r="K610" s="137"/>
      <c r="L610" s="137"/>
      <c r="M610" s="137"/>
      <c r="N610" s="137"/>
      <c r="O610" s="142"/>
    </row>
    <row r="611" spans="1:15" s="146" customFormat="1" ht="24.6" hidden="1" customHeight="1" outlineLevel="1">
      <c r="A611" s="141">
        <f>SUBTOTAL(3,$G$7:G611)</f>
        <v>261</v>
      </c>
      <c r="B611" s="139" t="s">
        <v>770</v>
      </c>
      <c r="C611" s="134"/>
      <c r="D611" s="134" t="s">
        <v>379</v>
      </c>
      <c r="E611" s="134"/>
      <c r="F611" s="329" t="s">
        <v>2215</v>
      </c>
      <c r="G611" s="135" t="s">
        <v>237</v>
      </c>
      <c r="H611" s="136">
        <v>5</v>
      </c>
      <c r="I611" s="136"/>
      <c r="J611" s="136"/>
      <c r="K611" s="137"/>
      <c r="L611" s="137"/>
      <c r="M611" s="137"/>
      <c r="N611" s="137"/>
      <c r="O611" s="142"/>
    </row>
    <row r="612" spans="1:15" s="146" customFormat="1" ht="24.6" hidden="1" customHeight="1" outlineLevel="1">
      <c r="A612" s="141">
        <f>SUBTOTAL(3,$G$7:G612)</f>
        <v>261</v>
      </c>
      <c r="B612" s="139" t="s">
        <v>770</v>
      </c>
      <c r="C612" s="134"/>
      <c r="D612" s="134" t="s">
        <v>379</v>
      </c>
      <c r="E612" s="134"/>
      <c r="F612" s="329" t="s">
        <v>2215</v>
      </c>
      <c r="G612" s="135" t="s">
        <v>237</v>
      </c>
      <c r="H612" s="136">
        <v>10</v>
      </c>
      <c r="I612" s="136"/>
      <c r="J612" s="136"/>
      <c r="K612" s="137"/>
      <c r="L612" s="137"/>
      <c r="M612" s="137"/>
      <c r="N612" s="137"/>
      <c r="O612" s="142"/>
    </row>
    <row r="613" spans="1:15" s="146" customFormat="1" ht="24.6" hidden="1" customHeight="1" outlineLevel="1">
      <c r="A613" s="141"/>
      <c r="B613" s="139"/>
      <c r="C613" s="134"/>
      <c r="D613" s="134"/>
      <c r="E613" s="134"/>
      <c r="F613" s="329" t="s">
        <v>2215</v>
      </c>
      <c r="G613" s="135" t="s">
        <v>237</v>
      </c>
      <c r="H613" s="136">
        <v>0</v>
      </c>
      <c r="I613" s="136"/>
      <c r="J613" s="136"/>
      <c r="K613" s="137"/>
      <c r="L613" s="137"/>
      <c r="M613" s="137"/>
      <c r="N613" s="137"/>
      <c r="O613" s="142"/>
    </row>
    <row r="614" spans="1:15" s="146" customFormat="1" ht="24.6" hidden="1" customHeight="1" outlineLevel="1">
      <c r="A614" s="141">
        <f>SUBTOTAL(3,$G$7:G614)</f>
        <v>261</v>
      </c>
      <c r="B614" s="139" t="s">
        <v>769</v>
      </c>
      <c r="C614" s="134"/>
      <c r="D614" s="134" t="s">
        <v>379</v>
      </c>
      <c r="E614" s="134"/>
      <c r="F614" s="329" t="s">
        <v>2215</v>
      </c>
      <c r="G614" s="135" t="s">
        <v>237</v>
      </c>
      <c r="H614" s="136">
        <v>5</v>
      </c>
      <c r="I614" s="136"/>
      <c r="J614" s="136"/>
      <c r="K614" s="137"/>
      <c r="L614" s="137"/>
      <c r="M614" s="137"/>
      <c r="N614" s="137"/>
      <c r="O614" s="142"/>
    </row>
    <row r="615" spans="1:15" s="146" customFormat="1" ht="24" hidden="1" customHeight="1" outlineLevel="1">
      <c r="A615" s="141">
        <f>SUBTOTAL(3,$G$7:G615)</f>
        <v>261</v>
      </c>
      <c r="B615" s="139" t="s">
        <v>770</v>
      </c>
      <c r="C615" s="134"/>
      <c r="D615" s="134" t="s">
        <v>379</v>
      </c>
      <c r="E615" s="134"/>
      <c r="F615" s="329" t="s">
        <v>2215</v>
      </c>
      <c r="G615" s="135" t="s">
        <v>237</v>
      </c>
      <c r="H615" s="136">
        <v>5</v>
      </c>
      <c r="I615" s="136"/>
      <c r="J615" s="136"/>
      <c r="K615" s="137"/>
      <c r="L615" s="137"/>
      <c r="M615" s="137"/>
      <c r="N615" s="137"/>
      <c r="O615" s="142"/>
    </row>
    <row r="616" spans="1:15" s="146" customFormat="1" ht="24.6" hidden="1" customHeight="1" outlineLevel="1">
      <c r="A616" s="141">
        <f>SUBTOTAL(3,$G$7:G616)</f>
        <v>261</v>
      </c>
      <c r="B616" s="139" t="s">
        <v>770</v>
      </c>
      <c r="C616" s="134"/>
      <c r="D616" s="134" t="s">
        <v>379</v>
      </c>
      <c r="E616" s="134"/>
      <c r="F616" s="329" t="s">
        <v>2215</v>
      </c>
      <c r="G616" s="135" t="s">
        <v>237</v>
      </c>
      <c r="H616" s="136">
        <v>5</v>
      </c>
      <c r="I616" s="136"/>
      <c r="J616" s="136"/>
      <c r="K616" s="137"/>
      <c r="L616" s="137"/>
      <c r="M616" s="137"/>
      <c r="N616" s="137"/>
      <c r="O616" s="142"/>
    </row>
    <row r="617" spans="1:15" s="146" customFormat="1" ht="24.6" hidden="1" customHeight="1" outlineLevel="1">
      <c r="A617" s="141">
        <f>SUBTOTAL(3,$G$7:G617)</f>
        <v>261</v>
      </c>
      <c r="B617" s="139" t="s">
        <v>770</v>
      </c>
      <c r="C617" s="134"/>
      <c r="D617" s="134" t="s">
        <v>379</v>
      </c>
      <c r="E617" s="134"/>
      <c r="F617" s="329" t="s">
        <v>2215</v>
      </c>
      <c r="G617" s="135" t="s">
        <v>237</v>
      </c>
      <c r="H617" s="136">
        <v>5</v>
      </c>
      <c r="I617" s="136"/>
      <c r="J617" s="136"/>
      <c r="K617" s="137"/>
      <c r="L617" s="137"/>
      <c r="M617" s="137"/>
      <c r="N617" s="137"/>
      <c r="O617" s="142"/>
    </row>
    <row r="618" spans="1:15" s="146" customFormat="1" ht="24.6" hidden="1" customHeight="1" outlineLevel="1">
      <c r="A618" s="141"/>
      <c r="B618" s="139"/>
      <c r="C618" s="134"/>
      <c r="D618" s="134"/>
      <c r="E618" s="134"/>
      <c r="F618" s="329" t="s">
        <v>2215</v>
      </c>
      <c r="G618" s="135" t="s">
        <v>237</v>
      </c>
      <c r="H618" s="136">
        <v>0</v>
      </c>
      <c r="I618" s="136"/>
      <c r="J618" s="136"/>
      <c r="K618" s="137"/>
      <c r="L618" s="137"/>
      <c r="M618" s="137"/>
      <c r="N618" s="137"/>
      <c r="O618" s="142"/>
    </row>
    <row r="619" spans="1:15" s="146" customFormat="1" ht="24.6" hidden="1" customHeight="1" outlineLevel="1">
      <c r="A619" s="141">
        <f>SUBTOTAL(3,$G$7:G619)</f>
        <v>261</v>
      </c>
      <c r="B619" s="139" t="s">
        <v>769</v>
      </c>
      <c r="C619" s="134"/>
      <c r="D619" s="134" t="s">
        <v>379</v>
      </c>
      <c r="E619" s="134"/>
      <c r="F619" s="329" t="s">
        <v>2215</v>
      </c>
      <c r="G619" s="135" t="s">
        <v>237</v>
      </c>
      <c r="H619" s="136">
        <v>5</v>
      </c>
      <c r="I619" s="136"/>
      <c r="J619" s="136"/>
      <c r="K619" s="137"/>
      <c r="L619" s="137"/>
      <c r="M619" s="137"/>
      <c r="N619" s="137"/>
      <c r="O619" s="142"/>
    </row>
    <row r="620" spans="1:15" s="146" customFormat="1" ht="24.6" hidden="1" customHeight="1" outlineLevel="1">
      <c r="A620" s="141">
        <f>SUBTOTAL(3,$G$7:G620)</f>
        <v>261</v>
      </c>
      <c r="B620" s="139" t="s">
        <v>770</v>
      </c>
      <c r="C620" s="134"/>
      <c r="D620" s="134" t="s">
        <v>379</v>
      </c>
      <c r="E620" s="134"/>
      <c r="F620" s="329" t="s">
        <v>2215</v>
      </c>
      <c r="G620" s="135" t="s">
        <v>237</v>
      </c>
      <c r="H620" s="136">
        <v>5</v>
      </c>
      <c r="I620" s="136"/>
      <c r="J620" s="136"/>
      <c r="K620" s="137"/>
      <c r="L620" s="137"/>
      <c r="M620" s="137"/>
      <c r="N620" s="137"/>
      <c r="O620" s="142"/>
    </row>
    <row r="621" spans="1:15" s="146" customFormat="1" ht="24.6" hidden="1" customHeight="1" outlineLevel="1">
      <c r="A621" s="141">
        <f>SUBTOTAL(3,$G$7:G621)</f>
        <v>261</v>
      </c>
      <c r="B621" s="139" t="s">
        <v>770</v>
      </c>
      <c r="C621" s="134"/>
      <c r="D621" s="134" t="s">
        <v>379</v>
      </c>
      <c r="E621" s="134"/>
      <c r="F621" s="329" t="s">
        <v>2215</v>
      </c>
      <c r="G621" s="135" t="s">
        <v>237</v>
      </c>
      <c r="H621" s="136">
        <v>5</v>
      </c>
      <c r="I621" s="136"/>
      <c r="J621" s="136"/>
      <c r="K621" s="137"/>
      <c r="L621" s="137"/>
      <c r="M621" s="137"/>
      <c r="N621" s="137"/>
      <c r="O621" s="142"/>
    </row>
    <row r="622" spans="1:15" s="146" customFormat="1" ht="24.6" hidden="1" customHeight="1" outlineLevel="1">
      <c r="A622" s="141"/>
      <c r="B622" s="139"/>
      <c r="C622" s="134"/>
      <c r="D622" s="134"/>
      <c r="E622" s="134"/>
      <c r="F622" s="329" t="s">
        <v>2215</v>
      </c>
      <c r="G622" s="135" t="s">
        <v>237</v>
      </c>
      <c r="H622" s="136">
        <v>0</v>
      </c>
      <c r="I622" s="136"/>
      <c r="J622" s="136"/>
      <c r="K622" s="137"/>
      <c r="L622" s="137"/>
      <c r="M622" s="137"/>
      <c r="N622" s="137"/>
      <c r="O622" s="142"/>
    </row>
    <row r="623" spans="1:15" s="146" customFormat="1" ht="24.6" hidden="1" customHeight="1" outlineLevel="1">
      <c r="A623" s="141">
        <f>SUBTOTAL(3,$G$7:G623)</f>
        <v>261</v>
      </c>
      <c r="B623" s="139" t="s">
        <v>769</v>
      </c>
      <c r="C623" s="134"/>
      <c r="D623" s="134" t="s">
        <v>379</v>
      </c>
      <c r="E623" s="134"/>
      <c r="F623" s="329" t="s">
        <v>2215</v>
      </c>
      <c r="G623" s="135" t="s">
        <v>237</v>
      </c>
      <c r="H623" s="136">
        <v>5</v>
      </c>
      <c r="I623" s="136"/>
      <c r="J623" s="136"/>
      <c r="K623" s="137"/>
      <c r="L623" s="137"/>
      <c r="M623" s="137"/>
      <c r="N623" s="137"/>
      <c r="O623" s="142"/>
    </row>
    <row r="624" spans="1:15" s="146" customFormat="1" ht="24.6" hidden="1" customHeight="1" outlineLevel="1">
      <c r="A624" s="141">
        <f>SUBTOTAL(3,$G$7:G624)</f>
        <v>261</v>
      </c>
      <c r="B624" s="139" t="s">
        <v>770</v>
      </c>
      <c r="C624" s="134"/>
      <c r="D624" s="134" t="s">
        <v>379</v>
      </c>
      <c r="E624" s="134"/>
      <c r="F624" s="329" t="s">
        <v>2215</v>
      </c>
      <c r="G624" s="135" t="s">
        <v>237</v>
      </c>
      <c r="H624" s="136">
        <v>5</v>
      </c>
      <c r="I624" s="136"/>
      <c r="J624" s="136"/>
      <c r="K624" s="137"/>
      <c r="L624" s="137"/>
      <c r="M624" s="137"/>
      <c r="N624" s="137"/>
      <c r="O624" s="142"/>
    </row>
    <row r="625" spans="1:15" s="146" customFormat="1" ht="24.6" hidden="1" customHeight="1" outlineLevel="1">
      <c r="A625" s="141">
        <f>SUBTOTAL(3,$G$7:G625)</f>
        <v>261</v>
      </c>
      <c r="B625" s="139" t="s">
        <v>770</v>
      </c>
      <c r="C625" s="134"/>
      <c r="D625" s="134" t="s">
        <v>379</v>
      </c>
      <c r="E625" s="134"/>
      <c r="F625" s="329" t="s">
        <v>2215</v>
      </c>
      <c r="G625" s="135" t="s">
        <v>237</v>
      </c>
      <c r="H625" s="136">
        <v>10</v>
      </c>
      <c r="I625" s="136"/>
      <c r="J625" s="136"/>
      <c r="K625" s="137"/>
      <c r="L625" s="137"/>
      <c r="M625" s="137"/>
      <c r="N625" s="137"/>
      <c r="O625" s="142"/>
    </row>
    <row r="626" spans="1:15" s="146" customFormat="1" ht="24.6" hidden="1" customHeight="1" outlineLevel="1">
      <c r="A626" s="141"/>
      <c r="B626" s="140" t="s">
        <v>772</v>
      </c>
      <c r="C626" s="134"/>
      <c r="D626" s="134"/>
      <c r="E626" s="134"/>
      <c r="F626" s="329" t="s">
        <v>2215</v>
      </c>
      <c r="G626" s="135"/>
      <c r="H626" s="136"/>
      <c r="I626" s="136"/>
      <c r="J626" s="136"/>
      <c r="K626" s="137"/>
      <c r="L626" s="137"/>
      <c r="M626" s="137"/>
      <c r="N626" s="137"/>
      <c r="O626" s="142"/>
    </row>
    <row r="627" spans="1:15" s="146" customFormat="1" ht="24.6" hidden="1" customHeight="1" outlineLevel="1">
      <c r="A627" s="141">
        <f>SUBTOTAL(3,$G$7:G627)</f>
        <v>261</v>
      </c>
      <c r="B627" s="139" t="s">
        <v>769</v>
      </c>
      <c r="C627" s="134"/>
      <c r="D627" s="134" t="s">
        <v>379</v>
      </c>
      <c r="E627" s="134"/>
      <c r="F627" s="329" t="s">
        <v>2215</v>
      </c>
      <c r="G627" s="135" t="s">
        <v>237</v>
      </c>
      <c r="H627" s="136">
        <v>4</v>
      </c>
      <c r="I627" s="136"/>
      <c r="J627" s="136"/>
      <c r="K627" s="137"/>
      <c r="L627" s="137"/>
      <c r="M627" s="137"/>
      <c r="N627" s="137"/>
      <c r="O627" s="142"/>
    </row>
    <row r="628" spans="1:15" s="146" customFormat="1" ht="24.6" hidden="1" customHeight="1" outlineLevel="1">
      <c r="A628" s="141">
        <f>SUBTOTAL(3,$G$7:G628)</f>
        <v>261</v>
      </c>
      <c r="B628" s="139" t="s">
        <v>770</v>
      </c>
      <c r="C628" s="134"/>
      <c r="D628" s="134" t="s">
        <v>379</v>
      </c>
      <c r="E628" s="134"/>
      <c r="F628" s="329" t="s">
        <v>2215</v>
      </c>
      <c r="G628" s="135" t="s">
        <v>237</v>
      </c>
      <c r="H628" s="136">
        <v>8</v>
      </c>
      <c r="I628" s="136"/>
      <c r="J628" s="136"/>
      <c r="K628" s="137"/>
      <c r="L628" s="137"/>
      <c r="M628" s="137"/>
      <c r="N628" s="137"/>
      <c r="O628" s="142"/>
    </row>
    <row r="629" spans="1:15" s="146" customFormat="1" ht="24.6" hidden="1" customHeight="1" outlineLevel="1">
      <c r="A629" s="141">
        <f>SUBTOTAL(3,$G$7:G629)</f>
        <v>261</v>
      </c>
      <c r="B629" s="139" t="s">
        <v>770</v>
      </c>
      <c r="C629" s="134"/>
      <c r="D629" s="134" t="s">
        <v>379</v>
      </c>
      <c r="E629" s="134"/>
      <c r="F629" s="329" t="s">
        <v>2215</v>
      </c>
      <c r="G629" s="135" t="s">
        <v>237</v>
      </c>
      <c r="H629" s="136">
        <v>12</v>
      </c>
      <c r="I629" s="136"/>
      <c r="J629" s="136"/>
      <c r="K629" s="137"/>
      <c r="L629" s="137"/>
      <c r="M629" s="137"/>
      <c r="N629" s="137"/>
      <c r="O629" s="142"/>
    </row>
    <row r="630" spans="1:15" s="146" customFormat="1" ht="24.6" hidden="1" customHeight="1" outlineLevel="1">
      <c r="A630" s="141"/>
      <c r="B630" s="139"/>
      <c r="C630" s="134"/>
      <c r="D630" s="134"/>
      <c r="E630" s="134"/>
      <c r="F630" s="329" t="s">
        <v>2215</v>
      </c>
      <c r="G630" s="135"/>
      <c r="H630" s="136">
        <v>0</v>
      </c>
      <c r="I630" s="136"/>
      <c r="J630" s="136"/>
      <c r="K630" s="137"/>
      <c r="L630" s="137"/>
      <c r="M630" s="137"/>
      <c r="N630" s="137"/>
      <c r="O630" s="142"/>
    </row>
    <row r="631" spans="1:15" s="146" customFormat="1" ht="24.6" hidden="1" customHeight="1" outlineLevel="1">
      <c r="A631" s="141">
        <f>SUBTOTAL(3,$G$7:G631)</f>
        <v>261</v>
      </c>
      <c r="B631" s="139" t="s">
        <v>769</v>
      </c>
      <c r="C631" s="134"/>
      <c r="D631" s="134" t="s">
        <v>379</v>
      </c>
      <c r="E631" s="134"/>
      <c r="F631" s="329" t="s">
        <v>2215</v>
      </c>
      <c r="G631" s="135" t="s">
        <v>237</v>
      </c>
      <c r="H631" s="136">
        <v>4</v>
      </c>
      <c r="I631" s="136"/>
      <c r="J631" s="136"/>
      <c r="K631" s="137"/>
      <c r="L631" s="137"/>
      <c r="M631" s="137"/>
      <c r="N631" s="137"/>
      <c r="O631" s="142"/>
    </row>
    <row r="632" spans="1:15" s="146" customFormat="1" ht="24.6" hidden="1" customHeight="1" outlineLevel="1">
      <c r="A632" s="141">
        <f>SUBTOTAL(3,$G$7:G632)</f>
        <v>261</v>
      </c>
      <c r="B632" s="139" t="s">
        <v>770</v>
      </c>
      <c r="C632" s="134"/>
      <c r="D632" s="134" t="s">
        <v>379</v>
      </c>
      <c r="E632" s="134"/>
      <c r="F632" s="329" t="s">
        <v>2215</v>
      </c>
      <c r="G632" s="135" t="s">
        <v>237</v>
      </c>
      <c r="H632" s="136">
        <v>4</v>
      </c>
      <c r="I632" s="136"/>
      <c r="J632" s="136"/>
      <c r="K632" s="137"/>
      <c r="L632" s="137"/>
      <c r="M632" s="137"/>
      <c r="N632" s="137"/>
      <c r="O632" s="142"/>
    </row>
    <row r="633" spans="1:15" s="146" customFormat="1" ht="24.6" hidden="1" customHeight="1" outlineLevel="1">
      <c r="A633" s="141">
        <f>SUBTOTAL(3,$G$7:G633)</f>
        <v>261</v>
      </c>
      <c r="B633" s="139" t="s">
        <v>770</v>
      </c>
      <c r="C633" s="134"/>
      <c r="D633" s="134" t="s">
        <v>379</v>
      </c>
      <c r="E633" s="134"/>
      <c r="F633" s="329" t="s">
        <v>2215</v>
      </c>
      <c r="G633" s="135" t="s">
        <v>237</v>
      </c>
      <c r="H633" s="136">
        <v>12</v>
      </c>
      <c r="I633" s="136"/>
      <c r="J633" s="136"/>
      <c r="K633" s="137"/>
      <c r="L633" s="137"/>
      <c r="M633" s="137"/>
      <c r="N633" s="137"/>
      <c r="O633" s="142"/>
    </row>
    <row r="634" spans="1:15" s="146" customFormat="1" ht="24.6" hidden="1" customHeight="1" outlineLevel="1">
      <c r="A634" s="141"/>
      <c r="B634" s="139"/>
      <c r="C634" s="134"/>
      <c r="D634" s="134"/>
      <c r="E634" s="134"/>
      <c r="F634" s="329" t="s">
        <v>2215</v>
      </c>
      <c r="G634" s="135"/>
      <c r="H634" s="136">
        <v>0</v>
      </c>
      <c r="I634" s="136"/>
      <c r="J634" s="136"/>
      <c r="K634" s="137"/>
      <c r="L634" s="137"/>
      <c r="M634" s="137"/>
      <c r="N634" s="137"/>
      <c r="O634" s="142"/>
    </row>
    <row r="635" spans="1:15" s="146" customFormat="1" ht="24.6" hidden="1" customHeight="1" outlineLevel="1">
      <c r="A635" s="141">
        <f>SUBTOTAL(3,$G$7:G635)</f>
        <v>261</v>
      </c>
      <c r="B635" s="139" t="s">
        <v>769</v>
      </c>
      <c r="C635" s="134"/>
      <c r="D635" s="134" t="s">
        <v>379</v>
      </c>
      <c r="E635" s="134"/>
      <c r="F635" s="329" t="s">
        <v>2215</v>
      </c>
      <c r="G635" s="135" t="s">
        <v>237</v>
      </c>
      <c r="H635" s="136">
        <v>4</v>
      </c>
      <c r="I635" s="136"/>
      <c r="J635" s="136"/>
      <c r="K635" s="137"/>
      <c r="L635" s="137"/>
      <c r="M635" s="137"/>
      <c r="N635" s="137"/>
      <c r="O635" s="142"/>
    </row>
    <row r="636" spans="1:15" s="146" customFormat="1" ht="24.6" hidden="1" customHeight="1" outlineLevel="1">
      <c r="A636" s="141">
        <f>SUBTOTAL(3,$G$7:G636)</f>
        <v>261</v>
      </c>
      <c r="B636" s="139" t="s">
        <v>770</v>
      </c>
      <c r="C636" s="134"/>
      <c r="D636" s="134" t="s">
        <v>379</v>
      </c>
      <c r="E636" s="134"/>
      <c r="F636" s="329" t="s">
        <v>2215</v>
      </c>
      <c r="G636" s="135" t="s">
        <v>237</v>
      </c>
      <c r="H636" s="136">
        <v>4</v>
      </c>
      <c r="I636" s="136"/>
      <c r="J636" s="136"/>
      <c r="K636" s="137"/>
      <c r="L636" s="137"/>
      <c r="M636" s="137"/>
      <c r="N636" s="137"/>
      <c r="O636" s="142"/>
    </row>
    <row r="637" spans="1:15" s="146" customFormat="1" ht="24.6" hidden="1" customHeight="1" outlineLevel="1">
      <c r="A637" s="141">
        <f>SUBTOTAL(3,$G$7:G637)</f>
        <v>261</v>
      </c>
      <c r="B637" s="139" t="s">
        <v>770</v>
      </c>
      <c r="C637" s="134"/>
      <c r="D637" s="134" t="s">
        <v>379</v>
      </c>
      <c r="E637" s="134"/>
      <c r="F637" s="329" t="s">
        <v>2215</v>
      </c>
      <c r="G637" s="135" t="s">
        <v>237</v>
      </c>
      <c r="H637" s="136">
        <v>8</v>
      </c>
      <c r="I637" s="136"/>
      <c r="J637" s="136"/>
      <c r="K637" s="137"/>
      <c r="L637" s="137"/>
      <c r="M637" s="137"/>
      <c r="N637" s="137"/>
      <c r="O637" s="142"/>
    </row>
    <row r="638" spans="1:15" s="146" customFormat="1" ht="24.6" hidden="1" customHeight="1" outlineLevel="1">
      <c r="A638" s="141"/>
      <c r="B638" s="139"/>
      <c r="C638" s="134"/>
      <c r="D638" s="134"/>
      <c r="E638" s="134"/>
      <c r="F638" s="329" t="s">
        <v>2215</v>
      </c>
      <c r="G638" s="135"/>
      <c r="H638" s="136">
        <v>0</v>
      </c>
      <c r="I638" s="136"/>
      <c r="J638" s="136"/>
      <c r="K638" s="137"/>
      <c r="L638" s="137"/>
      <c r="M638" s="137"/>
      <c r="N638" s="137"/>
      <c r="O638" s="142"/>
    </row>
    <row r="639" spans="1:15" s="146" customFormat="1" ht="24.6" hidden="1" customHeight="1" outlineLevel="1">
      <c r="A639" s="141">
        <f>SUBTOTAL(3,$G$7:G639)</f>
        <v>261</v>
      </c>
      <c r="B639" s="139" t="s">
        <v>769</v>
      </c>
      <c r="C639" s="134"/>
      <c r="D639" s="134" t="s">
        <v>379</v>
      </c>
      <c r="E639" s="134"/>
      <c r="F639" s="329" t="s">
        <v>2215</v>
      </c>
      <c r="G639" s="135" t="s">
        <v>237</v>
      </c>
      <c r="H639" s="136">
        <v>2</v>
      </c>
      <c r="I639" s="136"/>
      <c r="J639" s="136"/>
      <c r="K639" s="137"/>
      <c r="L639" s="137"/>
      <c r="M639" s="137"/>
      <c r="N639" s="137"/>
      <c r="O639" s="142"/>
    </row>
    <row r="640" spans="1:15" s="146" customFormat="1" ht="24.6" hidden="1" customHeight="1" outlineLevel="1">
      <c r="A640" s="141">
        <f>SUBTOTAL(3,$G$7:G640)</f>
        <v>261</v>
      </c>
      <c r="B640" s="139" t="s">
        <v>770</v>
      </c>
      <c r="C640" s="134"/>
      <c r="D640" s="134" t="s">
        <v>379</v>
      </c>
      <c r="E640" s="134"/>
      <c r="F640" s="329" t="s">
        <v>2215</v>
      </c>
      <c r="G640" s="135" t="s">
        <v>237</v>
      </c>
      <c r="H640" s="136">
        <v>2</v>
      </c>
      <c r="I640" s="136"/>
      <c r="J640" s="136"/>
      <c r="K640" s="137"/>
      <c r="L640" s="137"/>
      <c r="M640" s="137"/>
      <c r="N640" s="137"/>
      <c r="O640" s="142"/>
    </row>
    <row r="641" spans="1:15" s="146" customFormat="1" ht="24.6" hidden="1" customHeight="1" outlineLevel="1">
      <c r="A641" s="141">
        <f>SUBTOTAL(3,$G$7:G641)</f>
        <v>261</v>
      </c>
      <c r="B641" s="139" t="s">
        <v>770</v>
      </c>
      <c r="C641" s="134"/>
      <c r="D641" s="134" t="s">
        <v>379</v>
      </c>
      <c r="E641" s="134"/>
      <c r="F641" s="329" t="s">
        <v>2215</v>
      </c>
      <c r="G641" s="135" t="s">
        <v>237</v>
      </c>
      <c r="H641" s="136">
        <v>4</v>
      </c>
      <c r="I641" s="136"/>
      <c r="J641" s="136"/>
      <c r="K641" s="137"/>
      <c r="L641" s="137"/>
      <c r="M641" s="137"/>
      <c r="N641" s="137"/>
      <c r="O641" s="142"/>
    </row>
    <row r="642" spans="1:15" s="146" customFormat="1" ht="24.6" hidden="1" customHeight="1" outlineLevel="1">
      <c r="A642" s="141">
        <f>SUBTOTAL(3,$G$7:G642)</f>
        <v>261</v>
      </c>
      <c r="B642" s="139" t="s">
        <v>770</v>
      </c>
      <c r="C642" s="134"/>
      <c r="D642" s="134" t="s">
        <v>379</v>
      </c>
      <c r="E642" s="134"/>
      <c r="F642" s="329" t="s">
        <v>2215</v>
      </c>
      <c r="G642" s="135" t="s">
        <v>237</v>
      </c>
      <c r="H642" s="136">
        <v>2</v>
      </c>
      <c r="I642" s="136"/>
      <c r="J642" s="136"/>
      <c r="K642" s="137"/>
      <c r="L642" s="137"/>
      <c r="M642" s="137"/>
      <c r="N642" s="137"/>
      <c r="O642" s="142"/>
    </row>
    <row r="643" spans="1:15" s="146" customFormat="1" ht="24.6" hidden="1" customHeight="1" outlineLevel="1">
      <c r="A643" s="141"/>
      <c r="B643" s="139"/>
      <c r="C643" s="134"/>
      <c r="D643" s="134"/>
      <c r="E643" s="134"/>
      <c r="F643" s="329" t="s">
        <v>2215</v>
      </c>
      <c r="G643" s="135"/>
      <c r="H643" s="136">
        <v>0</v>
      </c>
      <c r="I643" s="136"/>
      <c r="J643" s="136"/>
      <c r="K643" s="137"/>
      <c r="L643" s="137"/>
      <c r="M643" s="137"/>
      <c r="N643" s="137"/>
      <c r="O643" s="142"/>
    </row>
    <row r="644" spans="1:15" s="146" customFormat="1" ht="24.6" hidden="1" customHeight="1" outlineLevel="1">
      <c r="A644" s="141">
        <f>SUBTOTAL(3,$G$7:G644)</f>
        <v>261</v>
      </c>
      <c r="B644" s="139" t="s">
        <v>769</v>
      </c>
      <c r="C644" s="134"/>
      <c r="D644" s="134" t="s">
        <v>379</v>
      </c>
      <c r="E644" s="134"/>
      <c r="F644" s="329" t="s">
        <v>2215</v>
      </c>
      <c r="G644" s="135" t="s">
        <v>237</v>
      </c>
      <c r="H644" s="136">
        <v>4</v>
      </c>
      <c r="I644" s="136"/>
      <c r="J644" s="136"/>
      <c r="K644" s="137"/>
      <c r="L644" s="137"/>
      <c r="M644" s="137"/>
      <c r="N644" s="137"/>
      <c r="O644" s="142"/>
    </row>
    <row r="645" spans="1:15" s="146" customFormat="1" ht="24.6" hidden="1" customHeight="1" outlineLevel="1">
      <c r="A645" s="141">
        <f>SUBTOTAL(3,$G$7:G645)</f>
        <v>261</v>
      </c>
      <c r="B645" s="139" t="s">
        <v>770</v>
      </c>
      <c r="C645" s="134"/>
      <c r="D645" s="134" t="s">
        <v>379</v>
      </c>
      <c r="E645" s="134"/>
      <c r="F645" s="329" t="s">
        <v>2215</v>
      </c>
      <c r="G645" s="135" t="s">
        <v>237</v>
      </c>
      <c r="H645" s="136">
        <v>4</v>
      </c>
      <c r="I645" s="136"/>
      <c r="J645" s="136"/>
      <c r="K645" s="137"/>
      <c r="L645" s="137"/>
      <c r="M645" s="137"/>
      <c r="N645" s="137"/>
      <c r="O645" s="142"/>
    </row>
    <row r="646" spans="1:15" s="146" customFormat="1" ht="24" hidden="1" customHeight="1" outlineLevel="1">
      <c r="A646" s="141">
        <f>SUBTOTAL(3,$G$7:G646)</f>
        <v>261</v>
      </c>
      <c r="B646" s="139" t="s">
        <v>770</v>
      </c>
      <c r="C646" s="134"/>
      <c r="D646" s="134" t="s">
        <v>379</v>
      </c>
      <c r="E646" s="134"/>
      <c r="F646" s="329" t="s">
        <v>2215</v>
      </c>
      <c r="G646" s="135" t="s">
        <v>237</v>
      </c>
      <c r="H646" s="136">
        <v>8</v>
      </c>
      <c r="I646" s="136"/>
      <c r="J646" s="136"/>
      <c r="K646" s="137"/>
      <c r="L646" s="137"/>
      <c r="M646" s="137"/>
      <c r="N646" s="137"/>
      <c r="O646" s="142"/>
    </row>
    <row r="647" spans="1:15" s="146" customFormat="1" ht="24.6" hidden="1" customHeight="1" outlineLevel="1">
      <c r="A647" s="141"/>
      <c r="B647" s="139"/>
      <c r="C647" s="134"/>
      <c r="D647" s="134"/>
      <c r="E647" s="134"/>
      <c r="F647" s="329" t="s">
        <v>2215</v>
      </c>
      <c r="G647" s="135"/>
      <c r="H647" s="136">
        <v>0</v>
      </c>
      <c r="I647" s="136"/>
      <c r="J647" s="136"/>
      <c r="K647" s="137"/>
      <c r="L647" s="137"/>
      <c r="M647" s="137"/>
      <c r="N647" s="137"/>
      <c r="O647" s="142"/>
    </row>
    <row r="648" spans="1:15" s="146" customFormat="1" ht="24.6" hidden="1" customHeight="1" outlineLevel="1">
      <c r="A648" s="141">
        <f>SUBTOTAL(3,$G$7:G648)</f>
        <v>261</v>
      </c>
      <c r="B648" s="139" t="s">
        <v>769</v>
      </c>
      <c r="C648" s="134"/>
      <c r="D648" s="134" t="s">
        <v>379</v>
      </c>
      <c r="E648" s="134"/>
      <c r="F648" s="329" t="s">
        <v>2215</v>
      </c>
      <c r="G648" s="135" t="s">
        <v>237</v>
      </c>
      <c r="H648" s="136">
        <v>2</v>
      </c>
      <c r="I648" s="136"/>
      <c r="J648" s="136"/>
      <c r="K648" s="137"/>
      <c r="L648" s="137"/>
      <c r="M648" s="137"/>
      <c r="N648" s="137"/>
      <c r="O648" s="142"/>
    </row>
    <row r="649" spans="1:15" s="146" customFormat="1" ht="24.6" hidden="1" customHeight="1" outlineLevel="1">
      <c r="A649" s="141">
        <f>SUBTOTAL(3,$G$7:G649)</f>
        <v>261</v>
      </c>
      <c r="B649" s="139" t="s">
        <v>770</v>
      </c>
      <c r="C649" s="134"/>
      <c r="D649" s="134" t="s">
        <v>379</v>
      </c>
      <c r="E649" s="134"/>
      <c r="F649" s="329" t="s">
        <v>2215</v>
      </c>
      <c r="G649" s="135" t="s">
        <v>237</v>
      </c>
      <c r="H649" s="136">
        <v>2</v>
      </c>
      <c r="I649" s="136"/>
      <c r="J649" s="136"/>
      <c r="K649" s="137"/>
      <c r="L649" s="137"/>
      <c r="M649" s="137"/>
      <c r="N649" s="137"/>
      <c r="O649" s="142"/>
    </row>
    <row r="650" spans="1:15" s="146" customFormat="1" ht="24.6" hidden="1" customHeight="1" outlineLevel="1">
      <c r="A650" s="141">
        <f>SUBTOTAL(3,$G$7:G650)</f>
        <v>261</v>
      </c>
      <c r="B650" s="139" t="s">
        <v>770</v>
      </c>
      <c r="C650" s="134"/>
      <c r="D650" s="134" t="s">
        <v>379</v>
      </c>
      <c r="E650" s="134"/>
      <c r="F650" s="329" t="s">
        <v>2215</v>
      </c>
      <c r="G650" s="135" t="s">
        <v>237</v>
      </c>
      <c r="H650" s="136">
        <v>6</v>
      </c>
      <c r="I650" s="136"/>
      <c r="J650" s="136"/>
      <c r="K650" s="137"/>
      <c r="L650" s="137"/>
      <c r="M650" s="137"/>
      <c r="N650" s="137"/>
      <c r="O650" s="142"/>
    </row>
    <row r="651" spans="1:15" s="146" customFormat="1" ht="24" hidden="1" customHeight="1" outlineLevel="1">
      <c r="A651" s="141"/>
      <c r="B651" s="139"/>
      <c r="C651" s="134"/>
      <c r="D651" s="134"/>
      <c r="E651" s="134"/>
      <c r="F651" s="329" t="s">
        <v>2215</v>
      </c>
      <c r="G651" s="135"/>
      <c r="H651" s="136"/>
      <c r="I651" s="136"/>
      <c r="J651" s="136"/>
      <c r="K651" s="137"/>
      <c r="L651" s="137"/>
      <c r="M651" s="137"/>
      <c r="N651" s="137"/>
      <c r="O651" s="142"/>
    </row>
    <row r="652" spans="1:15" s="146" customFormat="1" ht="26.4" hidden="1" customHeight="1" outlineLevel="1">
      <c r="A652" s="141">
        <f>SUBTOTAL(3,$G$8:G652)</f>
        <v>261</v>
      </c>
      <c r="B652" s="139" t="s">
        <v>769</v>
      </c>
      <c r="C652" s="134"/>
      <c r="D652" s="134" t="s">
        <v>379</v>
      </c>
      <c r="E652" s="134"/>
      <c r="F652" s="329" t="s">
        <v>2215</v>
      </c>
      <c r="G652" s="135" t="s">
        <v>237</v>
      </c>
      <c r="H652" s="136">
        <v>0</v>
      </c>
      <c r="I652" s="136"/>
      <c r="J652" s="136"/>
      <c r="K652" s="137"/>
      <c r="L652" s="137"/>
      <c r="M652" s="137"/>
      <c r="N652" s="137"/>
      <c r="O652" s="137" t="s">
        <v>773</v>
      </c>
    </row>
    <row r="653" spans="1:15" s="146" customFormat="1" ht="26.4" hidden="1" customHeight="1" outlineLevel="1">
      <c r="A653" s="141">
        <f>SUBTOTAL(3,$G$8:G653)</f>
        <v>261</v>
      </c>
      <c r="B653" s="139" t="s">
        <v>770</v>
      </c>
      <c r="C653" s="134"/>
      <c r="D653" s="134" t="s">
        <v>379</v>
      </c>
      <c r="E653" s="134"/>
      <c r="F653" s="329" t="s">
        <v>2215</v>
      </c>
      <c r="G653" s="135" t="s">
        <v>237</v>
      </c>
      <c r="H653" s="136">
        <v>0</v>
      </c>
      <c r="I653" s="136"/>
      <c r="J653" s="136"/>
      <c r="K653" s="137"/>
      <c r="L653" s="137"/>
      <c r="M653" s="137"/>
      <c r="N653" s="137"/>
      <c r="O653" s="137" t="s">
        <v>773</v>
      </c>
    </row>
    <row r="654" spans="1:15" s="146" customFormat="1" ht="26.4" hidden="1" customHeight="1" outlineLevel="1">
      <c r="A654" s="141"/>
      <c r="B654" s="139"/>
      <c r="C654" s="134"/>
      <c r="D654" s="134"/>
      <c r="E654" s="134"/>
      <c r="F654" s="329" t="s">
        <v>2215</v>
      </c>
      <c r="G654" s="135"/>
      <c r="H654" s="136"/>
      <c r="I654" s="136"/>
      <c r="J654" s="136"/>
      <c r="K654" s="137"/>
      <c r="L654" s="137"/>
      <c r="M654" s="137"/>
      <c r="N654" s="137"/>
      <c r="O654" s="137"/>
    </row>
    <row r="655" spans="1:15" s="146" customFormat="1" ht="26.4" hidden="1" customHeight="1" outlineLevel="1">
      <c r="A655" s="141">
        <f>SUBTOTAL(3,$G$8:G655)</f>
        <v>261</v>
      </c>
      <c r="B655" s="139" t="s">
        <v>769</v>
      </c>
      <c r="C655" s="134"/>
      <c r="D655" s="134" t="s">
        <v>379</v>
      </c>
      <c r="E655" s="134"/>
      <c r="F655" s="329" t="s">
        <v>2215</v>
      </c>
      <c r="G655" s="135" t="s">
        <v>237</v>
      </c>
      <c r="H655" s="136">
        <v>0</v>
      </c>
      <c r="I655" s="136"/>
      <c r="J655" s="136"/>
      <c r="K655" s="137"/>
      <c r="L655" s="137"/>
      <c r="M655" s="137"/>
      <c r="N655" s="137"/>
      <c r="O655" s="137" t="s">
        <v>773</v>
      </c>
    </row>
    <row r="656" spans="1:15" s="146" customFormat="1" ht="26.4" hidden="1" customHeight="1" outlineLevel="1">
      <c r="A656" s="141">
        <f>SUBTOTAL(3,$G$8:G656)</f>
        <v>261</v>
      </c>
      <c r="B656" s="139" t="s">
        <v>770</v>
      </c>
      <c r="C656" s="134"/>
      <c r="D656" s="134" t="s">
        <v>379</v>
      </c>
      <c r="E656" s="134"/>
      <c r="F656" s="329" t="s">
        <v>2215</v>
      </c>
      <c r="G656" s="135" t="s">
        <v>237</v>
      </c>
      <c r="H656" s="136">
        <v>0</v>
      </c>
      <c r="I656" s="136"/>
      <c r="J656" s="136"/>
      <c r="K656" s="137"/>
      <c r="L656" s="137"/>
      <c r="M656" s="137"/>
      <c r="N656" s="137"/>
      <c r="O656" s="137" t="s">
        <v>773</v>
      </c>
    </row>
    <row r="657" spans="1:15" s="146" customFormat="1" ht="26.4" hidden="1" customHeight="1" outlineLevel="1">
      <c r="A657" s="141"/>
      <c r="B657" s="139"/>
      <c r="C657" s="134"/>
      <c r="D657" s="134"/>
      <c r="E657" s="134"/>
      <c r="F657" s="329" t="s">
        <v>2215</v>
      </c>
      <c r="G657" s="135"/>
      <c r="H657" s="136"/>
      <c r="I657" s="136"/>
      <c r="J657" s="136"/>
      <c r="K657" s="137"/>
      <c r="L657" s="137"/>
      <c r="M657" s="137"/>
      <c r="N657" s="137"/>
      <c r="O657" s="137"/>
    </row>
    <row r="658" spans="1:15" s="146" customFormat="1" ht="26.4" hidden="1" customHeight="1" outlineLevel="1">
      <c r="A658" s="141">
        <f>SUBTOTAL(3,$G$8:G658)</f>
        <v>261</v>
      </c>
      <c r="B658" s="139" t="s">
        <v>769</v>
      </c>
      <c r="C658" s="134"/>
      <c r="D658" s="134" t="s">
        <v>379</v>
      </c>
      <c r="E658" s="134"/>
      <c r="F658" s="329" t="s">
        <v>2215</v>
      </c>
      <c r="G658" s="135" t="s">
        <v>237</v>
      </c>
      <c r="H658" s="136">
        <v>0</v>
      </c>
      <c r="I658" s="136"/>
      <c r="J658" s="136"/>
      <c r="K658" s="137"/>
      <c r="L658" s="137"/>
      <c r="M658" s="137"/>
      <c r="N658" s="137"/>
      <c r="O658" s="137" t="s">
        <v>773</v>
      </c>
    </row>
    <row r="659" spans="1:15" s="146" customFormat="1" ht="26.4" hidden="1" customHeight="1" outlineLevel="1">
      <c r="A659" s="141">
        <f>SUBTOTAL(3,$G$8:G659)</f>
        <v>261</v>
      </c>
      <c r="B659" s="139" t="s">
        <v>770</v>
      </c>
      <c r="C659" s="134"/>
      <c r="D659" s="134" t="s">
        <v>379</v>
      </c>
      <c r="E659" s="134"/>
      <c r="F659" s="329" t="s">
        <v>2215</v>
      </c>
      <c r="G659" s="135" t="s">
        <v>237</v>
      </c>
      <c r="H659" s="136">
        <v>0</v>
      </c>
      <c r="I659" s="136"/>
      <c r="J659" s="136"/>
      <c r="K659" s="137"/>
      <c r="L659" s="137"/>
      <c r="M659" s="137"/>
      <c r="N659" s="137"/>
      <c r="O659" s="137" t="s">
        <v>773</v>
      </c>
    </row>
    <row r="660" spans="1:15" s="146" customFormat="1" ht="24.6" hidden="1" customHeight="1" outlineLevel="1">
      <c r="A660" s="141">
        <f>SUBTOTAL(3,$G$7:G660)</f>
        <v>261</v>
      </c>
      <c r="B660" s="139" t="s">
        <v>689</v>
      </c>
      <c r="C660" s="134"/>
      <c r="D660" s="134" t="s">
        <v>379</v>
      </c>
      <c r="E660" s="134"/>
      <c r="F660" s="329" t="s">
        <v>2215</v>
      </c>
      <c r="G660" s="135" t="s">
        <v>237</v>
      </c>
      <c r="H660" s="136">
        <v>350</v>
      </c>
      <c r="I660" s="136"/>
      <c r="J660" s="136"/>
      <c r="K660" s="137"/>
      <c r="L660" s="137"/>
      <c r="M660" s="137"/>
      <c r="N660" s="137"/>
      <c r="O660" s="137"/>
    </row>
    <row r="661" spans="1:15" s="146" customFormat="1" ht="24.6" hidden="1" customHeight="1" outlineLevel="1">
      <c r="A661" s="141">
        <f>SUBTOTAL(3,$G$7:G661)</f>
        <v>261</v>
      </c>
      <c r="B661" s="139" t="s">
        <v>275</v>
      </c>
      <c r="C661" s="134"/>
      <c r="D661" s="134"/>
      <c r="E661" s="134"/>
      <c r="F661" s="329" t="s">
        <v>2215</v>
      </c>
      <c r="G661" s="135" t="s">
        <v>276</v>
      </c>
      <c r="H661" s="136">
        <v>1</v>
      </c>
      <c r="I661" s="136"/>
      <c r="J661" s="136"/>
      <c r="K661" s="137"/>
      <c r="L661" s="137"/>
      <c r="M661" s="137"/>
      <c r="N661" s="137"/>
      <c r="O661" s="137"/>
    </row>
    <row r="662" spans="1:15" s="146" customFormat="1" ht="24.6" hidden="1" customHeight="1" outlineLevel="1">
      <c r="A662" s="141"/>
      <c r="B662" s="139"/>
      <c r="C662" s="134"/>
      <c r="D662" s="134"/>
      <c r="E662" s="134"/>
      <c r="F662" s="329" t="s">
        <v>2215</v>
      </c>
      <c r="G662" s="135"/>
      <c r="H662" s="136"/>
      <c r="I662" s="136"/>
      <c r="J662" s="136"/>
      <c r="K662" s="137"/>
      <c r="L662" s="137"/>
      <c r="M662" s="137"/>
      <c r="N662" s="137"/>
      <c r="O662" s="137"/>
    </row>
    <row r="663" spans="1:15" s="146" customFormat="1" ht="26.4" customHeight="1" outlineLevel="1">
      <c r="A663" s="141"/>
      <c r="B663" s="140" t="s">
        <v>699</v>
      </c>
      <c r="C663" s="134"/>
      <c r="D663" s="134"/>
      <c r="E663" s="134"/>
      <c r="F663" s="329" t="s">
        <v>86</v>
      </c>
      <c r="G663" s="135"/>
      <c r="H663" s="136"/>
      <c r="I663" s="136"/>
      <c r="J663" s="136"/>
      <c r="K663" s="137"/>
      <c r="L663" s="137"/>
      <c r="M663" s="137"/>
      <c r="N663" s="137"/>
      <c r="O663" s="137"/>
    </row>
    <row r="664" spans="1:15" s="146" customFormat="1" ht="26.4" outlineLevel="1">
      <c r="A664" s="141"/>
      <c r="B664" s="140" t="s">
        <v>774</v>
      </c>
      <c r="C664" s="134"/>
      <c r="D664" s="134"/>
      <c r="E664" s="134"/>
      <c r="F664" s="329" t="s">
        <v>86</v>
      </c>
      <c r="G664" s="135"/>
      <c r="H664" s="136"/>
      <c r="I664" s="136"/>
      <c r="J664" s="136"/>
      <c r="K664" s="137"/>
      <c r="L664" s="137"/>
      <c r="M664" s="137"/>
      <c r="N664" s="137"/>
      <c r="O664" s="148" t="s">
        <v>775</v>
      </c>
    </row>
    <row r="665" spans="1:15" ht="52.8" customHeight="1" outlineLevel="1">
      <c r="A665" s="141">
        <f>SUBTOTAL(3,$G$7:G665)</f>
        <v>262</v>
      </c>
      <c r="B665" s="139" t="s">
        <v>776</v>
      </c>
      <c r="C665" s="134"/>
      <c r="D665" s="147" t="s">
        <v>702</v>
      </c>
      <c r="E665" s="134"/>
      <c r="F665" s="329"/>
      <c r="G665" s="135" t="s">
        <v>237</v>
      </c>
      <c r="H665" s="136">
        <v>21</v>
      </c>
      <c r="I665" s="136"/>
      <c r="J665" s="136"/>
      <c r="K665" s="137"/>
      <c r="L665" s="137"/>
      <c r="M665" s="137"/>
      <c r="N665" s="137"/>
      <c r="O665" s="139"/>
    </row>
    <row r="666" spans="1:15" ht="52.8" customHeight="1" outlineLevel="1">
      <c r="A666" s="141">
        <f>SUBTOTAL(3,$G$7:G666)</f>
        <v>263</v>
      </c>
      <c r="B666" s="139" t="s">
        <v>777</v>
      </c>
      <c r="C666" s="134"/>
      <c r="D666" s="147" t="s">
        <v>702</v>
      </c>
      <c r="E666" s="134"/>
      <c r="F666" s="329"/>
      <c r="G666" s="135" t="s">
        <v>237</v>
      </c>
      <c r="H666" s="136">
        <v>21</v>
      </c>
      <c r="I666" s="136"/>
      <c r="J666" s="136"/>
      <c r="K666" s="137"/>
      <c r="L666" s="137"/>
      <c r="M666" s="137"/>
      <c r="N666" s="137"/>
      <c r="O666" s="139"/>
    </row>
    <row r="667" spans="1:15" ht="52.8" customHeight="1" outlineLevel="1">
      <c r="A667" s="141">
        <f>SUBTOTAL(3,$G$7:G667)</f>
        <v>264</v>
      </c>
      <c r="B667" s="139" t="s">
        <v>706</v>
      </c>
      <c r="C667" s="134"/>
      <c r="D667" s="147" t="s">
        <v>702</v>
      </c>
      <c r="E667" s="134"/>
      <c r="F667" s="329"/>
      <c r="G667" s="135" t="s">
        <v>237</v>
      </c>
      <c r="H667" s="136">
        <v>40</v>
      </c>
      <c r="I667" s="136"/>
      <c r="J667" s="136"/>
      <c r="K667" s="137"/>
      <c r="L667" s="137"/>
      <c r="M667" s="137"/>
      <c r="N667" s="137"/>
      <c r="O667" s="139"/>
    </row>
    <row r="668" spans="1:15" ht="52.8" customHeight="1" outlineLevel="1">
      <c r="A668" s="141">
        <f>SUBTOTAL(3,$G$7:G668)</f>
        <v>265</v>
      </c>
      <c r="B668" s="139" t="s">
        <v>778</v>
      </c>
      <c r="C668" s="134"/>
      <c r="D668" s="147" t="s">
        <v>702</v>
      </c>
      <c r="E668" s="134"/>
      <c r="F668" s="329"/>
      <c r="G668" s="135" t="s">
        <v>237</v>
      </c>
      <c r="H668" s="136">
        <v>12</v>
      </c>
      <c r="I668" s="136"/>
      <c r="J668" s="136"/>
      <c r="K668" s="137"/>
      <c r="L668" s="137"/>
      <c r="M668" s="137"/>
      <c r="N668" s="137"/>
      <c r="O668" s="139"/>
    </row>
    <row r="669" spans="1:15" ht="52.8" customHeight="1" outlineLevel="1">
      <c r="A669" s="141">
        <f>SUBTOTAL(3,$G$7:G669)</f>
        <v>266</v>
      </c>
      <c r="B669" s="139" t="s">
        <v>779</v>
      </c>
      <c r="C669" s="134"/>
      <c r="D669" s="147" t="s">
        <v>702</v>
      </c>
      <c r="E669" s="134"/>
      <c r="F669" s="329"/>
      <c r="G669" s="135" t="s">
        <v>237</v>
      </c>
      <c r="H669" s="136">
        <v>12</v>
      </c>
      <c r="I669" s="136"/>
      <c r="J669" s="136"/>
      <c r="K669" s="137"/>
      <c r="L669" s="137"/>
      <c r="M669" s="137"/>
      <c r="N669" s="137"/>
      <c r="O669" s="139"/>
    </row>
    <row r="670" spans="1:15" ht="52.8" customHeight="1" outlineLevel="1">
      <c r="A670" s="141">
        <f>SUBTOTAL(3,$G$7:G670)</f>
        <v>267</v>
      </c>
      <c r="B670" s="139" t="s">
        <v>780</v>
      </c>
      <c r="C670" s="134"/>
      <c r="D670" s="147" t="s">
        <v>702</v>
      </c>
      <c r="E670" s="134"/>
      <c r="F670" s="329"/>
      <c r="G670" s="135" t="s">
        <v>237</v>
      </c>
      <c r="H670" s="136">
        <v>14</v>
      </c>
      <c r="I670" s="136"/>
      <c r="J670" s="136"/>
      <c r="K670" s="137"/>
      <c r="L670" s="137"/>
      <c r="M670" s="137"/>
      <c r="N670" s="137"/>
      <c r="O670" s="139"/>
    </row>
    <row r="671" spans="1:15" ht="52.8" customHeight="1" outlineLevel="1">
      <c r="A671" s="141">
        <f>SUBTOTAL(3,$G$7:G671)</f>
        <v>268</v>
      </c>
      <c r="B671" s="139" t="s">
        <v>781</v>
      </c>
      <c r="C671" s="134"/>
      <c r="D671" s="147" t="s">
        <v>702</v>
      </c>
      <c r="E671" s="134"/>
      <c r="F671" s="329"/>
      <c r="G671" s="135" t="s">
        <v>237</v>
      </c>
      <c r="H671" s="136">
        <v>10</v>
      </c>
      <c r="I671" s="136"/>
      <c r="J671" s="136"/>
      <c r="K671" s="137"/>
      <c r="L671" s="137"/>
      <c r="M671" s="137"/>
      <c r="N671" s="137"/>
      <c r="O671" s="139"/>
    </row>
    <row r="672" spans="1:15" ht="66" customHeight="1" outlineLevel="1">
      <c r="A672" s="141"/>
      <c r="B672" s="139" t="s">
        <v>782</v>
      </c>
      <c r="C672" s="134"/>
      <c r="D672" s="134"/>
      <c r="E672" s="134"/>
      <c r="F672" s="329" t="s">
        <v>86</v>
      </c>
      <c r="G672" s="135"/>
      <c r="H672" s="136"/>
      <c r="I672" s="136"/>
      <c r="J672" s="136"/>
      <c r="K672" s="137"/>
      <c r="L672" s="137"/>
      <c r="M672" s="137"/>
      <c r="N672" s="137"/>
      <c r="O672" s="139" t="s">
        <v>783</v>
      </c>
    </row>
    <row r="673" spans="1:15" ht="26.4" customHeight="1" outlineLevel="1">
      <c r="A673" s="141">
        <f>SUBTOTAL(3,$G$8:G673)</f>
        <v>269</v>
      </c>
      <c r="B673" s="139" t="s">
        <v>784</v>
      </c>
      <c r="C673" s="134"/>
      <c r="D673" s="134" t="s">
        <v>785</v>
      </c>
      <c r="E673" s="134"/>
      <c r="F673" s="329"/>
      <c r="G673" s="135" t="s">
        <v>237</v>
      </c>
      <c r="H673" s="136">
        <v>291</v>
      </c>
      <c r="I673" s="136"/>
      <c r="J673" s="136"/>
      <c r="K673" s="137"/>
      <c r="L673" s="137"/>
      <c r="M673" s="137"/>
      <c r="N673" s="137"/>
      <c r="O673" s="139"/>
    </row>
    <row r="674" spans="1:15" ht="26.4" customHeight="1" outlineLevel="1">
      <c r="A674" s="141">
        <f>SUBTOTAL(3,$G$8:G674)</f>
        <v>270</v>
      </c>
      <c r="B674" s="139" t="s">
        <v>786</v>
      </c>
      <c r="C674" s="134"/>
      <c r="D674" s="134" t="s">
        <v>785</v>
      </c>
      <c r="E674" s="134"/>
      <c r="F674" s="329"/>
      <c r="G674" s="135" t="s">
        <v>237</v>
      </c>
      <c r="H674" s="136">
        <v>38</v>
      </c>
      <c r="I674" s="136"/>
      <c r="J674" s="136"/>
      <c r="K674" s="137"/>
      <c r="L674" s="137"/>
      <c r="M674" s="137"/>
      <c r="N674" s="137"/>
      <c r="O674" s="139"/>
    </row>
    <row r="675" spans="1:15" ht="26.4" customHeight="1" outlineLevel="1">
      <c r="A675" s="141">
        <f>SUBTOTAL(3,$G$8:G675)</f>
        <v>271</v>
      </c>
      <c r="B675" s="139" t="s">
        <v>787</v>
      </c>
      <c r="C675" s="134"/>
      <c r="D675" s="134" t="s">
        <v>785</v>
      </c>
      <c r="E675" s="134"/>
      <c r="F675" s="329"/>
      <c r="G675" s="135" t="s">
        <v>237</v>
      </c>
      <c r="H675" s="136">
        <v>46</v>
      </c>
      <c r="I675" s="136"/>
      <c r="J675" s="136"/>
      <c r="K675" s="137"/>
      <c r="L675" s="137"/>
      <c r="M675" s="137"/>
      <c r="N675" s="137"/>
      <c r="O675" s="139"/>
    </row>
    <row r="676" spans="1:15" ht="39.6" customHeight="1" outlineLevel="1">
      <c r="A676" s="141">
        <f>SUBTOTAL(3,$G$8:G676)</f>
        <v>272</v>
      </c>
      <c r="B676" s="139" t="s">
        <v>788</v>
      </c>
      <c r="C676" s="134"/>
      <c r="D676" s="134" t="s">
        <v>785</v>
      </c>
      <c r="E676" s="134"/>
      <c r="F676" s="329"/>
      <c r="G676" s="135" t="s">
        <v>237</v>
      </c>
      <c r="H676" s="136">
        <v>148</v>
      </c>
      <c r="I676" s="136"/>
      <c r="J676" s="136"/>
      <c r="K676" s="137"/>
      <c r="L676" s="137"/>
      <c r="M676" s="137"/>
      <c r="N676" s="137"/>
      <c r="O676" s="139"/>
    </row>
    <row r="677" spans="1:15" ht="39.6" customHeight="1" outlineLevel="1">
      <c r="A677" s="141">
        <f>SUBTOTAL(3,$G$8:G677)</f>
        <v>273</v>
      </c>
      <c r="B677" s="139" t="s">
        <v>789</v>
      </c>
      <c r="C677" s="134"/>
      <c r="D677" s="134" t="s">
        <v>785</v>
      </c>
      <c r="E677" s="134"/>
      <c r="F677" s="329"/>
      <c r="G677" s="135" t="s">
        <v>237</v>
      </c>
      <c r="H677" s="136">
        <v>12</v>
      </c>
      <c r="I677" s="136"/>
      <c r="J677" s="136"/>
      <c r="K677" s="137"/>
      <c r="L677" s="137"/>
      <c r="M677" s="137"/>
      <c r="N677" s="137"/>
      <c r="O677" s="139"/>
    </row>
    <row r="678" spans="1:15" ht="39.6" customHeight="1" outlineLevel="1">
      <c r="A678" s="141">
        <f>SUBTOTAL(3,$G$8:G678)</f>
        <v>274</v>
      </c>
      <c r="B678" s="139" t="s">
        <v>790</v>
      </c>
      <c r="C678" s="134"/>
      <c r="D678" s="134" t="s">
        <v>785</v>
      </c>
      <c r="E678" s="134"/>
      <c r="F678" s="329"/>
      <c r="G678" s="135" t="s">
        <v>237</v>
      </c>
      <c r="H678" s="136">
        <v>12</v>
      </c>
      <c r="I678" s="136"/>
      <c r="J678" s="136"/>
      <c r="K678" s="137"/>
      <c r="L678" s="137"/>
      <c r="M678" s="137"/>
      <c r="N678" s="137"/>
      <c r="O678" s="139"/>
    </row>
    <row r="679" spans="1:15" ht="39.6" customHeight="1" outlineLevel="1">
      <c r="A679" s="141">
        <f>SUBTOTAL(3,$G$8:G679)</f>
        <v>275</v>
      </c>
      <c r="B679" s="139" t="s">
        <v>791</v>
      </c>
      <c r="C679" s="134"/>
      <c r="D679" s="134" t="s">
        <v>785</v>
      </c>
      <c r="E679" s="134"/>
      <c r="F679" s="329"/>
      <c r="G679" s="135" t="s">
        <v>237</v>
      </c>
      <c r="H679" s="136">
        <v>20</v>
      </c>
      <c r="I679" s="136"/>
      <c r="J679" s="136"/>
      <c r="K679" s="137"/>
      <c r="L679" s="137"/>
      <c r="M679" s="137"/>
      <c r="N679" s="137"/>
      <c r="O679" s="139"/>
    </row>
    <row r="680" spans="1:15" ht="39.6" customHeight="1" outlineLevel="1">
      <c r="A680" s="141">
        <f>SUBTOTAL(3,$G$8:G680)</f>
        <v>276</v>
      </c>
      <c r="B680" s="139" t="s">
        <v>792</v>
      </c>
      <c r="C680" s="134"/>
      <c r="D680" s="134" t="s">
        <v>785</v>
      </c>
      <c r="E680" s="134"/>
      <c r="F680" s="329"/>
      <c r="G680" s="135" t="s">
        <v>237</v>
      </c>
      <c r="H680" s="136">
        <v>9</v>
      </c>
      <c r="I680" s="136"/>
      <c r="J680" s="136"/>
      <c r="K680" s="137"/>
      <c r="L680" s="137"/>
      <c r="M680" s="137"/>
      <c r="N680" s="137"/>
      <c r="O680" s="139"/>
    </row>
    <row r="681" spans="1:15" ht="39.6" customHeight="1" outlineLevel="1">
      <c r="A681" s="141">
        <f>SUBTOTAL(3,$G$8:G681)</f>
        <v>277</v>
      </c>
      <c r="B681" s="139" t="s">
        <v>793</v>
      </c>
      <c r="C681" s="134"/>
      <c r="D681" s="134" t="s">
        <v>785</v>
      </c>
      <c r="E681" s="134"/>
      <c r="F681" s="329"/>
      <c r="G681" s="135" t="s">
        <v>237</v>
      </c>
      <c r="H681" s="136">
        <v>6</v>
      </c>
      <c r="I681" s="136"/>
      <c r="J681" s="136"/>
      <c r="K681" s="137"/>
      <c r="L681" s="137"/>
      <c r="M681" s="137"/>
      <c r="N681" s="137"/>
      <c r="O681" s="139"/>
    </row>
    <row r="682" spans="1:15" s="146" customFormat="1" ht="24.6" customHeight="1" outlineLevel="1">
      <c r="A682" s="141">
        <f>SUBTOTAL(3,$G$7:G682)</f>
        <v>278</v>
      </c>
      <c r="B682" s="139" t="s">
        <v>275</v>
      </c>
      <c r="C682" s="134"/>
      <c r="D682" s="134"/>
      <c r="E682" s="134"/>
      <c r="F682" s="329"/>
      <c r="G682" s="135" t="s">
        <v>276</v>
      </c>
      <c r="H682" s="136">
        <v>1</v>
      </c>
      <c r="I682" s="136"/>
      <c r="J682" s="136"/>
      <c r="K682" s="137"/>
      <c r="L682" s="137"/>
      <c r="M682" s="137"/>
      <c r="N682" s="137"/>
      <c r="O682" s="142"/>
    </row>
    <row r="683" spans="1:15" s="146" customFormat="1" ht="24" customHeight="1" outlineLevel="1">
      <c r="A683" s="141"/>
      <c r="B683" s="140" t="s">
        <v>794</v>
      </c>
      <c r="C683" s="134"/>
      <c r="D683" s="134"/>
      <c r="E683" s="134"/>
      <c r="F683" s="329" t="s">
        <v>86</v>
      </c>
      <c r="G683" s="135"/>
      <c r="H683" s="136"/>
      <c r="I683" s="136"/>
      <c r="J683" s="136"/>
      <c r="K683" s="137"/>
      <c r="L683" s="137"/>
      <c r="M683" s="137"/>
      <c r="N683" s="137"/>
      <c r="O683" s="142"/>
    </row>
    <row r="684" spans="1:15" ht="26.4" customHeight="1" outlineLevel="1">
      <c r="A684" s="141">
        <f>SUBTOTAL(3,$G$7:G684)</f>
        <v>279</v>
      </c>
      <c r="B684" s="139" t="s">
        <v>795</v>
      </c>
      <c r="C684" s="134"/>
      <c r="D684" s="134" t="s">
        <v>711</v>
      </c>
      <c r="E684" s="317" t="s">
        <v>281</v>
      </c>
      <c r="F684" s="330"/>
      <c r="G684" s="135" t="s">
        <v>282</v>
      </c>
      <c r="H684" s="136">
        <v>1124.5999999999999</v>
      </c>
      <c r="I684" s="136"/>
      <c r="J684" s="136"/>
      <c r="K684" s="137"/>
      <c r="L684" s="137"/>
      <c r="M684" s="137"/>
      <c r="N684" s="137"/>
      <c r="O684" s="139"/>
    </row>
    <row r="685" spans="1:15" ht="26.4" hidden="1" customHeight="1" outlineLevel="1">
      <c r="A685" s="141"/>
      <c r="B685" s="139" t="s">
        <v>796</v>
      </c>
      <c r="C685" s="134"/>
      <c r="D685" s="134" t="s">
        <v>713</v>
      </c>
      <c r="E685" s="134"/>
      <c r="F685" s="329" t="s">
        <v>2212</v>
      </c>
      <c r="G685" s="135" t="s">
        <v>282</v>
      </c>
      <c r="H685" s="136">
        <v>1124.5999999999999</v>
      </c>
      <c r="I685" s="136"/>
      <c r="J685" s="136"/>
      <c r="K685" s="137"/>
      <c r="L685" s="137"/>
      <c r="M685" s="137"/>
      <c r="N685" s="137"/>
      <c r="O685" s="139"/>
    </row>
    <row r="686" spans="1:15" ht="26.4" outlineLevel="1">
      <c r="A686" s="141">
        <f>SUBTOTAL(3,$G$7:G686)</f>
        <v>280</v>
      </c>
      <c r="B686" s="139" t="s">
        <v>716</v>
      </c>
      <c r="C686" s="333" t="s">
        <v>2236</v>
      </c>
      <c r="D686" s="134" t="s">
        <v>715</v>
      </c>
      <c r="E686" s="134"/>
      <c r="F686" s="329" t="s">
        <v>2207</v>
      </c>
      <c r="G686" s="135" t="s">
        <v>570</v>
      </c>
      <c r="H686" s="136">
        <v>60</v>
      </c>
      <c r="I686" s="136"/>
      <c r="J686" s="136"/>
      <c r="K686" s="137"/>
      <c r="L686" s="137"/>
      <c r="M686" s="137"/>
      <c r="N686" s="137"/>
      <c r="O686" s="139"/>
    </row>
    <row r="687" spans="1:15" ht="26.4" outlineLevel="1">
      <c r="A687" s="141">
        <f>SUBTOTAL(3,$G$7:G687)</f>
        <v>281</v>
      </c>
      <c r="B687" s="139" t="s">
        <v>717</v>
      </c>
      <c r="C687" s="333" t="s">
        <v>2236</v>
      </c>
      <c r="D687" s="134" t="s">
        <v>715</v>
      </c>
      <c r="E687" s="134"/>
      <c r="F687" s="329" t="s">
        <v>2207</v>
      </c>
      <c r="G687" s="135" t="s">
        <v>570</v>
      </c>
      <c r="H687" s="136">
        <v>114</v>
      </c>
      <c r="I687" s="136"/>
      <c r="J687" s="136"/>
      <c r="K687" s="137"/>
      <c r="L687" s="137"/>
      <c r="M687" s="137"/>
      <c r="N687" s="137"/>
      <c r="O687" s="139"/>
    </row>
    <row r="688" spans="1:15" ht="26.4" outlineLevel="1">
      <c r="A688" s="141">
        <f>SUBTOTAL(3,$G$7:G688)</f>
        <v>282</v>
      </c>
      <c r="B688" s="139" t="s">
        <v>718</v>
      </c>
      <c r="C688" s="333" t="s">
        <v>2236</v>
      </c>
      <c r="D688" s="134" t="s">
        <v>715</v>
      </c>
      <c r="E688" s="134"/>
      <c r="F688" s="329" t="s">
        <v>2207</v>
      </c>
      <c r="G688" s="135" t="s">
        <v>570</v>
      </c>
      <c r="H688" s="136">
        <v>1204</v>
      </c>
      <c r="I688" s="136"/>
      <c r="J688" s="136"/>
      <c r="K688" s="137"/>
      <c r="L688" s="137"/>
      <c r="M688" s="137"/>
      <c r="N688" s="137"/>
      <c r="O688" s="139"/>
    </row>
    <row r="689" spans="1:15" ht="26.4" outlineLevel="1">
      <c r="A689" s="141">
        <f>SUBTOTAL(3,$G$7:G689)</f>
        <v>283</v>
      </c>
      <c r="B689" s="139" t="s">
        <v>797</v>
      </c>
      <c r="C689" s="333" t="s">
        <v>2236</v>
      </c>
      <c r="D689" s="134" t="s">
        <v>715</v>
      </c>
      <c r="E689" s="134"/>
      <c r="F689" s="329" t="s">
        <v>2207</v>
      </c>
      <c r="G689" s="135" t="s">
        <v>570</v>
      </c>
      <c r="H689" s="136">
        <v>488</v>
      </c>
      <c r="I689" s="136"/>
      <c r="J689" s="136"/>
      <c r="K689" s="137"/>
      <c r="L689" s="137"/>
      <c r="M689" s="137"/>
      <c r="N689" s="137"/>
      <c r="O689" s="139"/>
    </row>
    <row r="690" spans="1:15" s="146" customFormat="1" ht="24.6" customHeight="1" outlineLevel="1">
      <c r="A690" s="141">
        <f>SUBTOTAL(3,$G$7:G690)</f>
        <v>284</v>
      </c>
      <c r="B690" s="139" t="s">
        <v>275</v>
      </c>
      <c r="C690" s="134"/>
      <c r="D690" s="134"/>
      <c r="E690" s="134"/>
      <c r="F690" s="329" t="s">
        <v>2207</v>
      </c>
      <c r="G690" s="135" t="s">
        <v>276</v>
      </c>
      <c r="H690" s="136">
        <v>1</v>
      </c>
      <c r="I690" s="136"/>
      <c r="J690" s="136"/>
      <c r="K690" s="137"/>
      <c r="L690" s="137"/>
      <c r="M690" s="137"/>
      <c r="N690" s="137"/>
      <c r="O690" s="142"/>
    </row>
    <row r="691" spans="1:15" outlineLevel="1">
      <c r="A691" s="141"/>
      <c r="B691" s="140" t="s">
        <v>798</v>
      </c>
      <c r="C691" s="134"/>
      <c r="D691" s="134"/>
      <c r="E691" s="134"/>
      <c r="F691" s="329" t="s">
        <v>86</v>
      </c>
      <c r="G691" s="135"/>
      <c r="H691" s="136">
        <v>0</v>
      </c>
      <c r="I691" s="136"/>
      <c r="J691" s="136"/>
      <c r="K691" s="137"/>
      <c r="L691" s="137"/>
      <c r="M691" s="137"/>
      <c r="N691" s="137"/>
      <c r="O691" s="139"/>
    </row>
    <row r="692" spans="1:15" ht="26.4" hidden="1" customHeight="1" outlineLevel="1">
      <c r="A692" s="141"/>
      <c r="B692" s="139" t="s">
        <v>724</v>
      </c>
      <c r="C692" s="134" t="s">
        <v>2223</v>
      </c>
      <c r="D692" s="134" t="s">
        <v>725</v>
      </c>
      <c r="E692" s="134"/>
      <c r="F692" s="329" t="s">
        <v>2213</v>
      </c>
      <c r="G692" s="135" t="s">
        <v>570</v>
      </c>
      <c r="H692" s="136">
        <v>1183</v>
      </c>
      <c r="I692" s="136"/>
      <c r="J692" s="136"/>
      <c r="K692" s="137"/>
      <c r="L692" s="137"/>
      <c r="M692" s="137"/>
      <c r="N692" s="137"/>
      <c r="O692" s="139"/>
    </row>
    <row r="693" spans="1:15" ht="26.4" hidden="1" customHeight="1" outlineLevel="1">
      <c r="A693" s="141"/>
      <c r="B693" s="139" t="s">
        <v>726</v>
      </c>
      <c r="C693" s="134" t="s">
        <v>2223</v>
      </c>
      <c r="D693" s="134" t="s">
        <v>725</v>
      </c>
      <c r="E693" s="134"/>
      <c r="F693" s="329" t="s">
        <v>2213</v>
      </c>
      <c r="G693" s="135" t="s">
        <v>570</v>
      </c>
      <c r="H693" s="136">
        <v>2300</v>
      </c>
      <c r="I693" s="136"/>
      <c r="J693" s="136"/>
      <c r="K693" s="137"/>
      <c r="L693" s="137"/>
      <c r="M693" s="137"/>
      <c r="N693" s="137"/>
      <c r="O693" s="139"/>
    </row>
    <row r="694" spans="1:15" ht="26.4" hidden="1" customHeight="1" outlineLevel="1">
      <c r="A694" s="141"/>
      <c r="B694" s="139" t="s">
        <v>727</v>
      </c>
      <c r="C694" s="134" t="s">
        <v>2223</v>
      </c>
      <c r="D694" s="134" t="s">
        <v>725</v>
      </c>
      <c r="E694" s="134"/>
      <c r="F694" s="329" t="s">
        <v>2213</v>
      </c>
      <c r="G694" s="135" t="s">
        <v>570</v>
      </c>
      <c r="H694" s="136">
        <v>1183</v>
      </c>
      <c r="I694" s="136"/>
      <c r="J694" s="136"/>
      <c r="K694" s="137"/>
      <c r="L694" s="137"/>
      <c r="M694" s="137"/>
      <c r="N694" s="137"/>
      <c r="O694" s="139"/>
    </row>
    <row r="695" spans="1:15" ht="26.4" hidden="1" customHeight="1" outlineLevel="1">
      <c r="A695" s="141"/>
      <c r="B695" s="139" t="s">
        <v>728</v>
      </c>
      <c r="C695" s="134" t="s">
        <v>2224</v>
      </c>
      <c r="D695" s="134" t="s">
        <v>725</v>
      </c>
      <c r="E695" s="134"/>
      <c r="F695" s="329" t="s">
        <v>2213</v>
      </c>
      <c r="G695" s="135" t="s">
        <v>570</v>
      </c>
      <c r="H695" s="136">
        <v>1288</v>
      </c>
      <c r="I695" s="136"/>
      <c r="J695" s="136"/>
      <c r="K695" s="137"/>
      <c r="L695" s="137"/>
      <c r="M695" s="137"/>
      <c r="N695" s="137"/>
      <c r="O695" s="139"/>
    </row>
    <row r="696" spans="1:15" ht="26.4" hidden="1" customHeight="1" outlineLevel="1">
      <c r="A696" s="141"/>
      <c r="B696" s="139" t="s">
        <v>729</v>
      </c>
      <c r="C696" s="134" t="s">
        <v>2225</v>
      </c>
      <c r="D696" s="134" t="s">
        <v>725</v>
      </c>
      <c r="E696" s="134"/>
      <c r="F696" s="329" t="s">
        <v>2213</v>
      </c>
      <c r="G696" s="135" t="s">
        <v>570</v>
      </c>
      <c r="H696" s="136">
        <v>1012</v>
      </c>
      <c r="I696" s="136"/>
      <c r="J696" s="136"/>
      <c r="K696" s="137"/>
      <c r="L696" s="137"/>
      <c r="M696" s="137"/>
      <c r="N696" s="137"/>
      <c r="O696" s="139"/>
    </row>
    <row r="697" spans="1:15" ht="26.4" hidden="1" customHeight="1" outlineLevel="1">
      <c r="A697" s="141"/>
      <c r="B697" s="139" t="s">
        <v>732</v>
      </c>
      <c r="C697" s="134" t="s">
        <v>2228</v>
      </c>
      <c r="D697" s="134" t="s">
        <v>713</v>
      </c>
      <c r="E697" s="134"/>
      <c r="F697" s="329" t="s">
        <v>2214</v>
      </c>
      <c r="G697" s="135" t="s">
        <v>570</v>
      </c>
      <c r="H697" s="136">
        <v>1183</v>
      </c>
      <c r="I697" s="136"/>
      <c r="J697" s="136"/>
      <c r="K697" s="137"/>
      <c r="L697" s="137"/>
      <c r="M697" s="137"/>
      <c r="N697" s="137"/>
      <c r="O697" s="139"/>
    </row>
    <row r="698" spans="1:15" ht="26.4" hidden="1" customHeight="1" outlineLevel="1">
      <c r="A698" s="141"/>
      <c r="B698" s="139" t="s">
        <v>733</v>
      </c>
      <c r="C698" s="134" t="s">
        <v>2228</v>
      </c>
      <c r="D698" s="134" t="s">
        <v>713</v>
      </c>
      <c r="E698" s="134"/>
      <c r="F698" s="329" t="s">
        <v>2214</v>
      </c>
      <c r="G698" s="135" t="s">
        <v>570</v>
      </c>
      <c r="H698" s="136">
        <v>2300</v>
      </c>
      <c r="I698" s="136"/>
      <c r="J698" s="136"/>
      <c r="K698" s="137"/>
      <c r="L698" s="137"/>
      <c r="M698" s="137"/>
      <c r="N698" s="137"/>
      <c r="O698" s="139"/>
    </row>
    <row r="699" spans="1:15" ht="26.4" hidden="1" customHeight="1" outlineLevel="1">
      <c r="A699" s="141"/>
      <c r="B699" s="139" t="s">
        <v>734</v>
      </c>
      <c r="C699" s="134" t="s">
        <v>2228</v>
      </c>
      <c r="D699" s="134" t="s">
        <v>713</v>
      </c>
      <c r="E699" s="134"/>
      <c r="F699" s="329" t="s">
        <v>2214</v>
      </c>
      <c r="G699" s="135" t="s">
        <v>570</v>
      </c>
      <c r="H699" s="136">
        <v>1183</v>
      </c>
      <c r="I699" s="136"/>
      <c r="J699" s="136"/>
      <c r="K699" s="137"/>
      <c r="L699" s="137"/>
      <c r="M699" s="137"/>
      <c r="N699" s="137"/>
      <c r="O699" s="139"/>
    </row>
    <row r="700" spans="1:15" ht="26.4" hidden="1" customHeight="1" outlineLevel="1">
      <c r="A700" s="141"/>
      <c r="B700" s="139" t="s">
        <v>735</v>
      </c>
      <c r="C700" s="134" t="s">
        <v>2228</v>
      </c>
      <c r="D700" s="134" t="s">
        <v>713</v>
      </c>
      <c r="E700" s="134"/>
      <c r="F700" s="329" t="s">
        <v>2214</v>
      </c>
      <c r="G700" s="135" t="s">
        <v>570</v>
      </c>
      <c r="H700" s="136">
        <v>1288</v>
      </c>
      <c r="I700" s="136"/>
      <c r="J700" s="136"/>
      <c r="K700" s="137"/>
      <c r="L700" s="137"/>
      <c r="M700" s="137"/>
      <c r="N700" s="137"/>
      <c r="O700" s="139"/>
    </row>
    <row r="701" spans="1:15" ht="26.4" hidden="1" customHeight="1" outlineLevel="1">
      <c r="A701" s="141"/>
      <c r="B701" s="139" t="s">
        <v>736</v>
      </c>
      <c r="C701" s="134" t="s">
        <v>2229</v>
      </c>
      <c r="D701" s="134" t="s">
        <v>713</v>
      </c>
      <c r="E701" s="134"/>
      <c r="F701" s="329" t="s">
        <v>2214</v>
      </c>
      <c r="G701" s="135" t="s">
        <v>570</v>
      </c>
      <c r="H701" s="136">
        <v>1012</v>
      </c>
      <c r="I701" s="136"/>
      <c r="J701" s="136"/>
      <c r="K701" s="137"/>
      <c r="L701" s="137"/>
      <c r="M701" s="137"/>
      <c r="N701" s="137"/>
      <c r="O701" s="139"/>
    </row>
    <row r="702" spans="1:15" ht="26.4" hidden="1" customHeight="1" outlineLevel="1">
      <c r="A702" s="141">
        <f>SUBTOTAL(3,$G$7:G702)</f>
        <v>284</v>
      </c>
      <c r="B702" s="139" t="s">
        <v>739</v>
      </c>
      <c r="C702" s="134"/>
      <c r="D702" s="134" t="s">
        <v>379</v>
      </c>
      <c r="E702" s="134"/>
      <c r="F702" s="329" t="s">
        <v>2215</v>
      </c>
      <c r="G702" s="135" t="s">
        <v>237</v>
      </c>
      <c r="H702" s="136">
        <v>276</v>
      </c>
      <c r="I702" s="136"/>
      <c r="J702" s="136"/>
      <c r="K702" s="137"/>
      <c r="L702" s="137"/>
      <c r="M702" s="137"/>
      <c r="N702" s="137"/>
      <c r="O702" s="139"/>
    </row>
    <row r="703" spans="1:15" hidden="1" outlineLevel="1">
      <c r="A703" s="141">
        <f>SUBTOTAL(3,$G$7:G703)</f>
        <v>284</v>
      </c>
      <c r="B703" s="139" t="s">
        <v>740</v>
      </c>
      <c r="C703" s="134"/>
      <c r="D703" s="134"/>
      <c r="E703" s="134"/>
      <c r="F703" s="329" t="s">
        <v>2216</v>
      </c>
      <c r="G703" s="135" t="s">
        <v>276</v>
      </c>
      <c r="H703" s="136">
        <v>1</v>
      </c>
      <c r="I703" s="136"/>
      <c r="J703" s="136"/>
      <c r="K703" s="137"/>
      <c r="L703" s="137"/>
      <c r="M703" s="137"/>
      <c r="N703" s="137"/>
      <c r="O703" s="139"/>
    </row>
    <row r="704" spans="1:15" outlineLevel="1">
      <c r="A704" s="141">
        <f>SUBTOTAL(3,$G$7:G704)</f>
        <v>285</v>
      </c>
      <c r="B704" s="139" t="s">
        <v>275</v>
      </c>
      <c r="C704" s="134"/>
      <c r="D704" s="134"/>
      <c r="E704" s="134"/>
      <c r="F704" s="329" t="s">
        <v>2205</v>
      </c>
      <c r="G704" s="135" t="s">
        <v>276</v>
      </c>
      <c r="H704" s="136">
        <v>1</v>
      </c>
      <c r="I704" s="136"/>
      <c r="J704" s="136"/>
      <c r="K704" s="137"/>
      <c r="L704" s="137"/>
      <c r="M704" s="137"/>
      <c r="N704" s="137"/>
      <c r="O704" s="139"/>
    </row>
    <row r="705" spans="1:15" hidden="1" outlineLevel="1">
      <c r="A705" s="141"/>
      <c r="B705" s="140" t="s">
        <v>741</v>
      </c>
      <c r="C705" s="134"/>
      <c r="D705" s="134"/>
      <c r="E705" s="134"/>
      <c r="F705" s="329" t="s">
        <v>2217</v>
      </c>
      <c r="G705" s="135"/>
      <c r="H705" s="136">
        <v>0</v>
      </c>
      <c r="I705" s="136"/>
      <c r="J705" s="136"/>
      <c r="K705" s="137"/>
      <c r="L705" s="137"/>
      <c r="M705" s="137"/>
      <c r="N705" s="137"/>
      <c r="O705" s="139"/>
    </row>
    <row r="706" spans="1:15" hidden="1" outlineLevel="1">
      <c r="A706" s="141">
        <f>SUBTOTAL(3,$G$7:G706)</f>
        <v>285</v>
      </c>
      <c r="B706" s="139" t="s">
        <v>742</v>
      </c>
      <c r="C706" s="134" t="s">
        <v>2231</v>
      </c>
      <c r="D706" s="134" t="s">
        <v>743</v>
      </c>
      <c r="E706" s="134"/>
      <c r="F706" s="329" t="s">
        <v>2217</v>
      </c>
      <c r="G706" s="135" t="s">
        <v>570</v>
      </c>
      <c r="H706" s="136">
        <v>1338</v>
      </c>
      <c r="I706" s="136"/>
      <c r="J706" s="136"/>
      <c r="K706" s="137"/>
      <c r="L706" s="137"/>
      <c r="M706" s="137"/>
      <c r="N706" s="137"/>
      <c r="O706" s="139"/>
    </row>
    <row r="707" spans="1:15" hidden="1" outlineLevel="1">
      <c r="A707" s="141">
        <f>SUBTOTAL(3,$G$7:G707)</f>
        <v>285</v>
      </c>
      <c r="B707" s="139" t="s">
        <v>744</v>
      </c>
      <c r="C707" s="134" t="s">
        <v>2231</v>
      </c>
      <c r="D707" s="134" t="s">
        <v>743</v>
      </c>
      <c r="E707" s="134"/>
      <c r="F707" s="329" t="s">
        <v>2217</v>
      </c>
      <c r="G707" s="135" t="s">
        <v>570</v>
      </c>
      <c r="H707" s="136">
        <v>617</v>
      </c>
      <c r="I707" s="136"/>
      <c r="J707" s="136"/>
      <c r="K707" s="137"/>
      <c r="L707" s="137"/>
      <c r="M707" s="137"/>
      <c r="N707" s="137"/>
      <c r="O707" s="139"/>
    </row>
    <row r="708" spans="1:15" hidden="1" outlineLevel="1">
      <c r="A708" s="141">
        <f>SUBTOTAL(3,$G$7:G708)</f>
        <v>285</v>
      </c>
      <c r="B708" s="139" t="s">
        <v>746</v>
      </c>
      <c r="C708" s="134" t="s">
        <v>2231</v>
      </c>
      <c r="D708" s="134" t="s">
        <v>743</v>
      </c>
      <c r="E708" s="134"/>
      <c r="F708" s="329" t="s">
        <v>2217</v>
      </c>
      <c r="G708" s="135" t="s">
        <v>570</v>
      </c>
      <c r="H708" s="136">
        <v>2251.8000000000002</v>
      </c>
      <c r="I708" s="136"/>
      <c r="J708" s="136"/>
      <c r="K708" s="137"/>
      <c r="L708" s="137"/>
      <c r="M708" s="137"/>
      <c r="N708" s="137"/>
      <c r="O708" s="139"/>
    </row>
    <row r="709" spans="1:15" ht="26.4" hidden="1" customHeight="1" outlineLevel="1">
      <c r="A709" s="141"/>
      <c r="B709" s="139" t="s">
        <v>747</v>
      </c>
      <c r="C709" s="134" t="s">
        <v>2232</v>
      </c>
      <c r="D709" s="134" t="s">
        <v>713</v>
      </c>
      <c r="E709" s="134"/>
      <c r="F709" s="329" t="s">
        <v>2218</v>
      </c>
      <c r="G709" s="135" t="s">
        <v>570</v>
      </c>
      <c r="H709" s="136">
        <v>1338</v>
      </c>
      <c r="I709" s="136"/>
      <c r="J709" s="136"/>
      <c r="K709" s="137"/>
      <c r="L709" s="137"/>
      <c r="M709" s="137"/>
      <c r="N709" s="137"/>
      <c r="O709" s="139"/>
    </row>
    <row r="710" spans="1:15" ht="26.4" hidden="1" customHeight="1" outlineLevel="1">
      <c r="A710" s="141">
        <f>SUBTOTAL(3,$G$7:G710)</f>
        <v>285</v>
      </c>
      <c r="B710" s="139" t="s">
        <v>748</v>
      </c>
      <c r="C710" s="134" t="s">
        <v>2232</v>
      </c>
      <c r="D710" s="134" t="s">
        <v>713</v>
      </c>
      <c r="E710" s="134"/>
      <c r="F710" s="329" t="s">
        <v>2218</v>
      </c>
      <c r="G710" s="135" t="s">
        <v>570</v>
      </c>
      <c r="H710" s="136">
        <v>617</v>
      </c>
      <c r="I710" s="136"/>
      <c r="J710" s="136"/>
      <c r="K710" s="137"/>
      <c r="L710" s="137"/>
      <c r="M710" s="137"/>
      <c r="N710" s="137"/>
      <c r="O710" s="139"/>
    </row>
    <row r="711" spans="1:15" ht="26.4" hidden="1" customHeight="1" outlineLevel="1">
      <c r="A711" s="141">
        <f>SUBTOTAL(3,$G$7:G711)</f>
        <v>285</v>
      </c>
      <c r="B711" s="139" t="s">
        <v>750</v>
      </c>
      <c r="C711" s="134" t="s">
        <v>2233</v>
      </c>
      <c r="D711" s="134" t="s">
        <v>713</v>
      </c>
      <c r="E711" s="134"/>
      <c r="F711" s="329" t="s">
        <v>2218</v>
      </c>
      <c r="G711" s="135" t="s">
        <v>570</v>
      </c>
      <c r="H711" s="136">
        <v>2251.8000000000002</v>
      </c>
      <c r="I711" s="136"/>
      <c r="J711" s="136"/>
      <c r="K711" s="137"/>
      <c r="L711" s="137"/>
      <c r="M711" s="137"/>
      <c r="N711" s="137"/>
      <c r="O711" s="139"/>
    </row>
    <row r="712" spans="1:15" hidden="1" outlineLevel="1">
      <c r="A712" s="141">
        <f>SUBTOTAL(3,$G$7:G712)</f>
        <v>285</v>
      </c>
      <c r="B712" s="139" t="s">
        <v>275</v>
      </c>
      <c r="C712" s="134"/>
      <c r="D712" s="134"/>
      <c r="E712" s="134"/>
      <c r="F712" s="329" t="s">
        <v>2218</v>
      </c>
      <c r="G712" s="135" t="s">
        <v>276</v>
      </c>
      <c r="H712" s="136">
        <v>1</v>
      </c>
      <c r="I712" s="136"/>
      <c r="J712" s="136"/>
      <c r="K712" s="137"/>
      <c r="L712" s="137"/>
      <c r="M712" s="137"/>
      <c r="N712" s="137"/>
      <c r="O712" s="139"/>
    </row>
    <row r="713" spans="1:15">
      <c r="A713" s="132" t="s">
        <v>66</v>
      </c>
      <c r="B713" s="133" t="s">
        <v>799</v>
      </c>
      <c r="C713" s="134"/>
      <c r="D713" s="134"/>
      <c r="E713" s="134"/>
      <c r="F713" s="329" t="s">
        <v>86</v>
      </c>
      <c r="G713" s="135"/>
      <c r="H713" s="136"/>
      <c r="I713" s="136"/>
      <c r="J713" s="136"/>
      <c r="K713" s="137"/>
      <c r="L713" s="138"/>
      <c r="M713" s="138"/>
      <c r="N713" s="138"/>
      <c r="O713" s="139"/>
    </row>
    <row r="714" spans="1:15" outlineLevel="1">
      <c r="A714" s="141">
        <f>SUBTOTAL(3,$G$8:G714)</f>
        <v>286</v>
      </c>
      <c r="B714" s="139" t="s">
        <v>800</v>
      </c>
      <c r="C714" s="134"/>
      <c r="D714" s="134"/>
      <c r="E714" s="134"/>
      <c r="F714" s="329"/>
      <c r="G714" s="135" t="s">
        <v>276</v>
      </c>
      <c r="H714" s="136">
        <v>1</v>
      </c>
      <c r="I714" s="136"/>
      <c r="J714" s="136"/>
      <c r="K714" s="137"/>
      <c r="L714" s="137"/>
      <c r="M714" s="137"/>
      <c r="N714" s="137"/>
      <c r="O714" s="139"/>
    </row>
    <row r="715" spans="1:15" outlineLevel="1">
      <c r="A715" s="141">
        <f>SUBTOTAL(3,$G$8:G715)</f>
        <v>287</v>
      </c>
      <c r="B715" s="139" t="s">
        <v>801</v>
      </c>
      <c r="C715" s="134"/>
      <c r="D715" s="134"/>
      <c r="E715" s="134"/>
      <c r="F715" s="329"/>
      <c r="G715" s="135" t="s">
        <v>276</v>
      </c>
      <c r="H715" s="136">
        <v>1</v>
      </c>
      <c r="I715" s="136"/>
      <c r="J715" s="136"/>
      <c r="K715" s="137"/>
      <c r="L715" s="137"/>
      <c r="M715" s="137"/>
      <c r="N715" s="137"/>
      <c r="O715" s="139"/>
    </row>
    <row r="716" spans="1:15" outlineLevel="1">
      <c r="A716" s="141">
        <f>SUBTOTAL(3,$G$8:G716)</f>
        <v>288</v>
      </c>
      <c r="B716" s="139" t="s">
        <v>802</v>
      </c>
      <c r="C716" s="134"/>
      <c r="D716" s="134"/>
      <c r="E716" s="134"/>
      <c r="F716" s="329"/>
      <c r="G716" s="135" t="s">
        <v>276</v>
      </c>
      <c r="H716" s="136">
        <v>1</v>
      </c>
      <c r="I716" s="136"/>
      <c r="J716" s="136"/>
      <c r="K716" s="137"/>
      <c r="L716" s="137"/>
      <c r="M716" s="137"/>
      <c r="N716" s="137"/>
      <c r="O716" s="139"/>
    </row>
    <row r="717" spans="1:15">
      <c r="A717" s="132" t="s">
        <v>68</v>
      </c>
      <c r="B717" s="133" t="s">
        <v>803</v>
      </c>
      <c r="C717" s="134"/>
      <c r="D717" s="134"/>
      <c r="E717" s="134"/>
      <c r="F717" s="329" t="s">
        <v>86</v>
      </c>
      <c r="G717" s="135"/>
      <c r="H717" s="136"/>
      <c r="I717" s="136"/>
      <c r="J717" s="136"/>
      <c r="K717" s="137"/>
      <c r="L717" s="138"/>
      <c r="M717" s="138"/>
      <c r="N717" s="138"/>
      <c r="O717" s="139"/>
    </row>
    <row r="718" spans="1:15" ht="66" customHeight="1">
      <c r="A718" s="141"/>
      <c r="B718" s="139" t="s">
        <v>804</v>
      </c>
      <c r="C718" s="134"/>
      <c r="D718" s="134"/>
      <c r="E718" s="134"/>
      <c r="F718" s="329"/>
      <c r="G718" s="135" t="s">
        <v>45</v>
      </c>
      <c r="H718" s="136">
        <v>0</v>
      </c>
      <c r="I718" s="136"/>
      <c r="J718" s="136"/>
      <c r="K718" s="137"/>
      <c r="L718" s="137"/>
      <c r="M718" s="137"/>
      <c r="N718" s="137"/>
      <c r="O718" s="139"/>
    </row>
    <row r="719" spans="1:15">
      <c r="A719" s="141"/>
      <c r="B719" s="139"/>
      <c r="C719" s="134"/>
      <c r="D719" s="134"/>
      <c r="E719" s="134"/>
      <c r="F719" s="329"/>
      <c r="G719" s="135"/>
      <c r="H719" s="136"/>
      <c r="I719" s="136"/>
      <c r="J719" s="136"/>
      <c r="K719" s="137"/>
      <c r="L719" s="137"/>
      <c r="M719" s="137"/>
      <c r="N719" s="137"/>
      <c r="O719" s="139"/>
    </row>
    <row r="720" spans="1:15" ht="21" customHeight="1">
      <c r="A720" s="142" t="str">
        <f>IF(AND(G720&lt;&gt;"",G720&lt;&gt;"note"),MAX($A$5:A5)+1,"")</f>
        <v/>
      </c>
      <c r="B720" s="133" t="s">
        <v>805</v>
      </c>
      <c r="C720" s="134"/>
      <c r="D720" s="134"/>
      <c r="E720" s="134"/>
      <c r="F720" s="329" t="s">
        <v>86</v>
      </c>
      <c r="G720" s="142"/>
      <c r="H720" s="149"/>
      <c r="I720" s="149"/>
      <c r="J720" s="149"/>
      <c r="K720" s="149"/>
      <c r="L720" s="150"/>
      <c r="M720" s="150"/>
      <c r="N720" s="150"/>
      <c r="O720" s="151"/>
    </row>
  </sheetData>
  <autoFilter ref="A5:K720" xr:uid="{00000000-0009-0000-0000-000002000000}">
    <filterColumn colId="5">
      <filters blank="1">
        <filter val="CANVAS"/>
        <filter val="M"/>
        <filter val="M - CĂN HỘ"/>
        <filter val="OGM"/>
        <filter val="Tiêu âm"/>
        <filter val="TRUNKING"/>
        <filter val="VTP"/>
      </filters>
    </filterColumn>
  </autoFilter>
  <mergeCells count="11">
    <mergeCell ref="L3:N3"/>
    <mergeCell ref="I3:K3"/>
    <mergeCell ref="A1:O1"/>
    <mergeCell ref="C3:C4"/>
    <mergeCell ref="A3:A4"/>
    <mergeCell ref="B3:B4"/>
    <mergeCell ref="H3:H4"/>
    <mergeCell ref="E3:E4"/>
    <mergeCell ref="G3:G4"/>
    <mergeCell ref="D3:D4"/>
    <mergeCell ref="F3:F4"/>
  </mergeCells>
  <pageMargins left="0.5" right="0.5" top="0.75" bottom="0.75" header="0.3" footer="0.3"/>
  <pageSetup paperSize="9" scale="42"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pageSetUpPr fitToPage="1"/>
  </sheetPr>
  <dimension ref="A1:O370"/>
  <sheetViews>
    <sheetView topLeftCell="A361" zoomScale="85" zoomScaleNormal="85" zoomScaleSheetLayoutView="85" workbookViewId="0">
      <selection activeCell="I22" sqref="I22"/>
    </sheetView>
  </sheetViews>
  <sheetFormatPr defaultColWidth="8.88671875" defaultRowHeight="13.8" outlineLevelRow="2"/>
  <cols>
    <col min="1" max="1" width="5.88671875" style="206" customWidth="1"/>
    <col min="2" max="2" width="40.21875" style="207" customWidth="1"/>
    <col min="3" max="3" width="35.21875" style="206" customWidth="1"/>
    <col min="4" max="4" width="15.88671875" style="206" customWidth="1"/>
    <col min="5" max="5" width="21.5546875" style="208" customWidth="1"/>
    <col min="6" max="6" width="9.33203125" style="208" customWidth="1"/>
    <col min="7" max="7" width="10" style="209" customWidth="1"/>
    <col min="8" max="9" width="14.5546875" style="209" customWidth="1"/>
    <col min="10" max="10" width="14.5546875" style="210" customWidth="1"/>
    <col min="11" max="13" width="18.21875" style="210" customWidth="1"/>
    <col min="14" max="14" width="21.44140625" style="206" customWidth="1"/>
    <col min="15" max="15" width="5.109375" style="206" customWidth="1"/>
    <col min="16" max="16" width="8.88671875" style="206" customWidth="1"/>
    <col min="17" max="16384" width="8.88671875" style="206"/>
  </cols>
  <sheetData>
    <row r="1" spans="1:15" hidden="1"/>
    <row r="2" spans="1:15" hidden="1">
      <c r="A2" s="211"/>
      <c r="B2" s="212"/>
      <c r="C2" s="211"/>
      <c r="D2" s="211"/>
      <c r="E2" s="267"/>
    </row>
    <row r="3" spans="1:15">
      <c r="A3" s="212" t="s">
        <v>21</v>
      </c>
      <c r="C3" s="207"/>
      <c r="D3" s="207"/>
      <c r="E3" s="213"/>
      <c r="F3" s="213"/>
      <c r="J3" s="209"/>
      <c r="K3" s="209"/>
      <c r="L3" s="209"/>
      <c r="M3" s="209"/>
      <c r="N3" s="207"/>
    </row>
    <row r="4" spans="1:15" s="216" customFormat="1">
      <c r="A4" s="214"/>
      <c r="B4" s="215"/>
      <c r="E4" s="217"/>
      <c r="F4" s="217"/>
      <c r="G4" s="209"/>
      <c r="H4" s="209"/>
      <c r="I4" s="209"/>
      <c r="J4" s="210"/>
      <c r="K4" s="210"/>
      <c r="L4" s="210"/>
      <c r="M4" s="210"/>
    </row>
    <row r="5" spans="1:15" ht="24.45" customHeight="1">
      <c r="A5" s="367" t="s">
        <v>5</v>
      </c>
      <c r="B5" s="367" t="s">
        <v>203</v>
      </c>
      <c r="C5" s="369" t="s">
        <v>806</v>
      </c>
      <c r="D5" s="369" t="s">
        <v>807</v>
      </c>
      <c r="E5" s="369" t="s">
        <v>808</v>
      </c>
      <c r="F5" s="367" t="s">
        <v>809</v>
      </c>
      <c r="G5" s="368" t="s">
        <v>208</v>
      </c>
      <c r="H5" s="371" t="s">
        <v>209</v>
      </c>
      <c r="I5" s="350"/>
      <c r="J5" s="351"/>
      <c r="K5" s="370" t="s">
        <v>210</v>
      </c>
      <c r="L5" s="347"/>
      <c r="M5" s="348"/>
      <c r="N5" s="367" t="s">
        <v>8</v>
      </c>
    </row>
    <row r="6" spans="1:15" ht="27" customHeight="1">
      <c r="A6" s="355"/>
      <c r="B6" s="355"/>
      <c r="C6" s="355"/>
      <c r="D6" s="355"/>
      <c r="E6" s="355"/>
      <c r="F6" s="355"/>
      <c r="G6" s="355"/>
      <c r="H6" s="221" t="s">
        <v>211</v>
      </c>
      <c r="I6" s="221" t="s">
        <v>212</v>
      </c>
      <c r="J6" s="221" t="s">
        <v>13</v>
      </c>
      <c r="K6" s="221" t="s">
        <v>211</v>
      </c>
      <c r="L6" s="221" t="s">
        <v>212</v>
      </c>
      <c r="M6" s="221" t="s">
        <v>13</v>
      </c>
      <c r="N6" s="355"/>
    </row>
    <row r="7" spans="1:15" s="207" customFormat="1">
      <c r="A7" s="222" t="s">
        <v>61</v>
      </c>
      <c r="B7" s="223" t="s">
        <v>810</v>
      </c>
      <c r="C7" s="224"/>
      <c r="D7" s="225"/>
      <c r="E7" s="224"/>
      <c r="F7" s="226"/>
      <c r="G7" s="227"/>
      <c r="H7" s="227"/>
      <c r="I7" s="227"/>
      <c r="J7" s="228"/>
      <c r="K7" s="229"/>
      <c r="L7" s="229"/>
      <c r="M7" s="229"/>
      <c r="N7" s="230"/>
      <c r="O7" s="231"/>
    </row>
    <row r="8" spans="1:15" s="207" customFormat="1" outlineLevel="1">
      <c r="A8" s="222" t="s">
        <v>78</v>
      </c>
      <c r="B8" s="232" t="s">
        <v>811</v>
      </c>
      <c r="C8" s="224"/>
      <c r="D8" s="225"/>
      <c r="E8" s="224"/>
      <c r="F8" s="233"/>
      <c r="G8" s="220"/>
      <c r="H8" s="220"/>
      <c r="I8" s="220"/>
      <c r="J8" s="234"/>
      <c r="K8" s="234"/>
      <c r="L8" s="234"/>
      <c r="M8" s="234"/>
      <c r="N8" s="232"/>
      <c r="O8" s="231"/>
    </row>
    <row r="9" spans="1:15" s="207" customFormat="1" ht="14.4" customHeight="1" outlineLevel="2">
      <c r="A9" s="235">
        <v>1</v>
      </c>
      <c r="B9" s="230" t="s">
        <v>812</v>
      </c>
      <c r="C9" s="224"/>
      <c r="D9" s="225"/>
      <c r="E9" s="365" t="s">
        <v>813</v>
      </c>
      <c r="F9" s="236" t="s">
        <v>396</v>
      </c>
      <c r="G9" s="227">
        <v>78</v>
      </c>
      <c r="H9" s="227"/>
      <c r="I9" s="227"/>
      <c r="J9" s="228"/>
      <c r="K9" s="228"/>
      <c r="L9" s="228"/>
      <c r="M9" s="228"/>
      <c r="N9" s="230"/>
      <c r="O9" s="231"/>
    </row>
    <row r="10" spans="1:15" s="207" customFormat="1" outlineLevel="2">
      <c r="A10" s="235">
        <f t="shared" ref="A10:A20" si="0">A9+1</f>
        <v>2</v>
      </c>
      <c r="B10" s="318" t="s">
        <v>814</v>
      </c>
      <c r="C10" s="224"/>
      <c r="D10" s="225"/>
      <c r="E10" s="366"/>
      <c r="F10" s="236" t="s">
        <v>396</v>
      </c>
      <c r="G10" s="227">
        <v>78</v>
      </c>
      <c r="H10" s="227"/>
      <c r="I10" s="227"/>
      <c r="J10" s="228"/>
      <c r="K10" s="228"/>
      <c r="L10" s="228"/>
      <c r="M10" s="228"/>
      <c r="N10" s="230"/>
      <c r="O10" s="231"/>
    </row>
    <row r="11" spans="1:15" s="207" customFormat="1" outlineLevel="2">
      <c r="A11" s="235">
        <f t="shared" si="0"/>
        <v>3</v>
      </c>
      <c r="B11" s="230" t="s">
        <v>815</v>
      </c>
      <c r="C11" s="224"/>
      <c r="D11" s="225"/>
      <c r="E11" s="366"/>
      <c r="F11" s="236" t="s">
        <v>396</v>
      </c>
      <c r="G11" s="227">
        <v>16</v>
      </c>
      <c r="H11" s="227"/>
      <c r="I11" s="227"/>
      <c r="J11" s="228"/>
      <c r="K11" s="228"/>
      <c r="L11" s="228"/>
      <c r="M11" s="228"/>
      <c r="N11" s="230"/>
      <c r="O11" s="231"/>
    </row>
    <row r="12" spans="1:15" s="207" customFormat="1" outlineLevel="2">
      <c r="A12" s="235">
        <f t="shared" si="0"/>
        <v>4</v>
      </c>
      <c r="B12" s="230" t="s">
        <v>816</v>
      </c>
      <c r="C12" s="224"/>
      <c r="D12" s="225"/>
      <c r="E12" s="366"/>
      <c r="F12" s="236" t="s">
        <v>396</v>
      </c>
      <c r="G12" s="227">
        <v>92</v>
      </c>
      <c r="H12" s="227"/>
      <c r="I12" s="227"/>
      <c r="J12" s="228"/>
      <c r="K12" s="228"/>
      <c r="L12" s="228"/>
      <c r="M12" s="228"/>
      <c r="N12" s="230"/>
      <c r="O12" s="231"/>
    </row>
    <row r="13" spans="1:15" s="207" customFormat="1" outlineLevel="2">
      <c r="A13" s="235">
        <f t="shared" si="0"/>
        <v>5</v>
      </c>
      <c r="B13" s="318" t="s">
        <v>817</v>
      </c>
      <c r="C13" s="224"/>
      <c r="D13" s="225"/>
      <c r="E13" s="366"/>
      <c r="F13" s="236" t="s">
        <v>396</v>
      </c>
      <c r="G13" s="227">
        <v>92</v>
      </c>
      <c r="H13" s="227"/>
      <c r="I13" s="227"/>
      <c r="J13" s="228"/>
      <c r="K13" s="228"/>
      <c r="L13" s="228"/>
      <c r="M13" s="228"/>
      <c r="N13" s="230"/>
      <c r="O13" s="231"/>
    </row>
    <row r="14" spans="1:15" s="207" customFormat="1" outlineLevel="2">
      <c r="A14" s="235">
        <f t="shared" si="0"/>
        <v>6</v>
      </c>
      <c r="B14" s="318" t="s">
        <v>818</v>
      </c>
      <c r="C14" s="224"/>
      <c r="D14" s="225"/>
      <c r="E14" s="366"/>
      <c r="F14" s="236" t="s">
        <v>396</v>
      </c>
      <c r="G14" s="227">
        <v>78</v>
      </c>
      <c r="H14" s="227"/>
      <c r="I14" s="227"/>
      <c r="J14" s="228"/>
      <c r="K14" s="228"/>
      <c r="L14" s="228"/>
      <c r="M14" s="228"/>
      <c r="N14" s="230"/>
      <c r="O14" s="231"/>
    </row>
    <row r="15" spans="1:15" s="207" customFormat="1" outlineLevel="2">
      <c r="A15" s="235">
        <f t="shared" si="0"/>
        <v>7</v>
      </c>
      <c r="B15" s="318" t="s">
        <v>819</v>
      </c>
      <c r="C15" s="224"/>
      <c r="D15" s="225"/>
      <c r="E15" s="366"/>
      <c r="F15" s="236" t="s">
        <v>396</v>
      </c>
      <c r="G15" s="227">
        <v>78</v>
      </c>
      <c r="H15" s="227"/>
      <c r="I15" s="227"/>
      <c r="J15" s="228"/>
      <c r="K15" s="228"/>
      <c r="L15" s="228"/>
      <c r="M15" s="228"/>
      <c r="N15" s="230"/>
      <c r="O15" s="231"/>
    </row>
    <row r="16" spans="1:15" s="207" customFormat="1" outlineLevel="2">
      <c r="A16" s="235">
        <f t="shared" si="0"/>
        <v>8</v>
      </c>
      <c r="B16" s="318" t="s">
        <v>820</v>
      </c>
      <c r="C16" s="224"/>
      <c r="D16" s="225"/>
      <c r="E16" s="366"/>
      <c r="F16" s="236" t="s">
        <v>396</v>
      </c>
      <c r="G16" s="227">
        <v>78</v>
      </c>
      <c r="H16" s="227"/>
      <c r="I16" s="227"/>
      <c r="J16" s="228"/>
      <c r="K16" s="228"/>
      <c r="L16" s="228"/>
      <c r="M16" s="228"/>
      <c r="N16" s="230"/>
      <c r="O16" s="231"/>
    </row>
    <row r="17" spans="1:15" s="207" customFormat="1" outlineLevel="2">
      <c r="A17" s="235">
        <f t="shared" si="0"/>
        <v>9</v>
      </c>
      <c r="B17" s="318" t="s">
        <v>821</v>
      </c>
      <c r="C17" s="224"/>
      <c r="D17" s="225"/>
      <c r="E17" s="366"/>
      <c r="F17" s="236" t="s">
        <v>396</v>
      </c>
      <c r="G17" s="227">
        <v>78</v>
      </c>
      <c r="H17" s="227"/>
      <c r="I17" s="227"/>
      <c r="J17" s="228"/>
      <c r="K17" s="228"/>
      <c r="L17" s="228"/>
      <c r="M17" s="228"/>
      <c r="N17" s="230"/>
      <c r="O17" s="231"/>
    </row>
    <row r="18" spans="1:15" s="207" customFormat="1" ht="26.4" outlineLevel="2">
      <c r="A18" s="235">
        <f t="shared" si="0"/>
        <v>10</v>
      </c>
      <c r="B18" s="318" t="s">
        <v>822</v>
      </c>
      <c r="C18" s="224"/>
      <c r="D18" s="225"/>
      <c r="E18" s="366"/>
      <c r="F18" s="236" t="s">
        <v>396</v>
      </c>
      <c r="G18" s="227">
        <v>95</v>
      </c>
      <c r="H18" s="227"/>
      <c r="I18" s="227"/>
      <c r="J18" s="228"/>
      <c r="K18" s="228"/>
      <c r="L18" s="228"/>
      <c r="M18" s="228"/>
      <c r="N18" s="230"/>
      <c r="O18" s="231"/>
    </row>
    <row r="19" spans="1:15" s="207" customFormat="1" ht="26.4" outlineLevel="2">
      <c r="A19" s="235">
        <f t="shared" si="0"/>
        <v>11</v>
      </c>
      <c r="B19" s="318" t="s">
        <v>823</v>
      </c>
      <c r="C19" s="224"/>
      <c r="D19" s="225"/>
      <c r="E19" s="355"/>
      <c r="F19" s="236" t="s">
        <v>396</v>
      </c>
      <c r="G19" s="227">
        <v>12</v>
      </c>
      <c r="H19" s="227"/>
      <c r="I19" s="227"/>
      <c r="J19" s="228"/>
      <c r="K19" s="228"/>
      <c r="L19" s="228"/>
      <c r="M19" s="228"/>
      <c r="N19" s="230"/>
      <c r="O19" s="231"/>
    </row>
    <row r="20" spans="1:15" s="207" customFormat="1" outlineLevel="2">
      <c r="A20" s="235">
        <f t="shared" si="0"/>
        <v>12</v>
      </c>
      <c r="B20" s="230" t="s">
        <v>824</v>
      </c>
      <c r="C20" s="224"/>
      <c r="D20" s="225"/>
      <c r="E20" s="224"/>
      <c r="F20" s="236" t="s">
        <v>825</v>
      </c>
      <c r="G20" s="227">
        <v>1</v>
      </c>
      <c r="H20" s="227"/>
      <c r="I20" s="227"/>
      <c r="J20" s="228"/>
      <c r="K20" s="228"/>
      <c r="L20" s="228"/>
      <c r="M20" s="228"/>
      <c r="N20" s="230"/>
      <c r="O20" s="231"/>
    </row>
    <row r="21" spans="1:15" s="207" customFormat="1" outlineLevel="2">
      <c r="A21" s="222" t="s">
        <v>826</v>
      </c>
      <c r="B21" s="232" t="s">
        <v>827</v>
      </c>
      <c r="C21" s="224"/>
      <c r="D21" s="225"/>
      <c r="E21" s="224"/>
      <c r="F21" s="236"/>
      <c r="G21" s="227"/>
      <c r="H21" s="227"/>
      <c r="I21" s="227"/>
      <c r="J21" s="228"/>
      <c r="K21" s="228"/>
      <c r="L21" s="228"/>
      <c r="M21" s="228"/>
      <c r="N21" s="230"/>
      <c r="O21" s="231"/>
    </row>
    <row r="22" spans="1:15" s="207" customFormat="1" ht="27.6" customHeight="1" outlineLevel="2">
      <c r="A22" s="235">
        <v>1</v>
      </c>
      <c r="B22" s="230" t="s">
        <v>828</v>
      </c>
      <c r="C22" s="224"/>
      <c r="D22" s="225"/>
      <c r="E22" s="365" t="s">
        <v>813</v>
      </c>
      <c r="F22" s="236" t="s">
        <v>396</v>
      </c>
      <c r="G22" s="227">
        <v>241</v>
      </c>
      <c r="H22" s="227"/>
      <c r="I22" s="227"/>
      <c r="J22" s="228"/>
      <c r="K22" s="228"/>
      <c r="L22" s="228"/>
      <c r="M22" s="228"/>
      <c r="N22" s="230"/>
      <c r="O22" s="231"/>
    </row>
    <row r="23" spans="1:15" s="207" customFormat="1" outlineLevel="2">
      <c r="A23" s="235">
        <f t="shared" ref="A23:A46" si="1">A22+1</f>
        <v>2</v>
      </c>
      <c r="B23" s="318" t="s">
        <v>814</v>
      </c>
      <c r="C23" s="224"/>
      <c r="D23" s="225"/>
      <c r="E23" s="366"/>
      <c r="F23" s="236" t="s">
        <v>396</v>
      </c>
      <c r="G23" s="227">
        <f>G22</f>
        <v>241</v>
      </c>
      <c r="H23" s="227"/>
      <c r="I23" s="227"/>
      <c r="J23" s="228"/>
      <c r="K23" s="228"/>
      <c r="L23" s="228"/>
      <c r="M23" s="228"/>
      <c r="N23" s="230"/>
      <c r="O23" s="231"/>
    </row>
    <row r="24" spans="1:15" s="207" customFormat="1" outlineLevel="2">
      <c r="A24" s="235">
        <f t="shared" si="1"/>
        <v>3</v>
      </c>
      <c r="B24" s="230" t="s">
        <v>829</v>
      </c>
      <c r="C24" s="224"/>
      <c r="D24" s="225"/>
      <c r="E24" s="366"/>
      <c r="F24" s="236" t="s">
        <v>396</v>
      </c>
      <c r="G24" s="227">
        <v>271</v>
      </c>
      <c r="H24" s="227"/>
      <c r="I24" s="227"/>
      <c r="J24" s="228"/>
      <c r="K24" s="228"/>
      <c r="L24" s="228"/>
      <c r="M24" s="228"/>
      <c r="N24" s="230"/>
      <c r="O24" s="231"/>
    </row>
    <row r="25" spans="1:15" s="207" customFormat="1">
      <c r="A25" s="235">
        <f t="shared" si="1"/>
        <v>4</v>
      </c>
      <c r="B25" s="319" t="s">
        <v>817</v>
      </c>
      <c r="C25" s="238"/>
      <c r="D25" s="235"/>
      <c r="E25" s="366"/>
      <c r="F25" s="236" t="s">
        <v>396</v>
      </c>
      <c r="G25" s="227">
        <f>G24</f>
        <v>271</v>
      </c>
      <c r="H25" s="234"/>
      <c r="I25" s="234"/>
      <c r="J25" s="234"/>
      <c r="K25" s="234"/>
      <c r="L25" s="234"/>
      <c r="M25" s="234"/>
      <c r="N25" s="238"/>
    </row>
    <row r="26" spans="1:15" s="207" customFormat="1" outlineLevel="2">
      <c r="A26" s="235">
        <f t="shared" si="1"/>
        <v>5</v>
      </c>
      <c r="B26" s="230" t="s">
        <v>830</v>
      </c>
      <c r="C26" s="224"/>
      <c r="D26" s="225"/>
      <c r="E26" s="366"/>
      <c r="F26" s="236" t="s">
        <v>396</v>
      </c>
      <c r="G26" s="227">
        <v>211</v>
      </c>
      <c r="H26" s="227"/>
      <c r="I26" s="227"/>
      <c r="J26" s="228"/>
      <c r="K26" s="228"/>
      <c r="L26" s="228"/>
      <c r="M26" s="228"/>
      <c r="N26" s="230"/>
      <c r="O26" s="231"/>
    </row>
    <row r="27" spans="1:15" s="207" customFormat="1" outlineLevel="2">
      <c r="A27" s="235">
        <f t="shared" si="1"/>
        <v>6</v>
      </c>
      <c r="B27" s="230" t="s">
        <v>831</v>
      </c>
      <c r="C27" s="224"/>
      <c r="D27" s="225"/>
      <c r="E27" s="366"/>
      <c r="F27" s="236" t="s">
        <v>396</v>
      </c>
      <c r="G27" s="227">
        <v>82</v>
      </c>
      <c r="H27" s="227"/>
      <c r="I27" s="227"/>
      <c r="J27" s="228"/>
      <c r="K27" s="228"/>
      <c r="L27" s="228"/>
      <c r="M27" s="228"/>
      <c r="N27" s="230"/>
      <c r="O27" s="231"/>
    </row>
    <row r="28" spans="1:15" s="207" customFormat="1" outlineLevel="2">
      <c r="A28" s="235">
        <f t="shared" si="1"/>
        <v>7</v>
      </c>
      <c r="B28" s="230" t="s">
        <v>832</v>
      </c>
      <c r="C28" s="224"/>
      <c r="D28" s="225"/>
      <c r="E28" s="366"/>
      <c r="F28" s="236" t="s">
        <v>396</v>
      </c>
      <c r="G28" s="227">
        <v>82</v>
      </c>
      <c r="H28" s="227"/>
      <c r="I28" s="227"/>
      <c r="J28" s="228"/>
      <c r="K28" s="228"/>
      <c r="L28" s="228"/>
      <c r="M28" s="228"/>
      <c r="N28" s="230"/>
      <c r="O28" s="231"/>
    </row>
    <row r="29" spans="1:15" s="207" customFormat="1" outlineLevel="2">
      <c r="A29" s="235">
        <f t="shared" si="1"/>
        <v>8</v>
      </c>
      <c r="B29" s="318" t="s">
        <v>819</v>
      </c>
      <c r="C29" s="224"/>
      <c r="D29" s="225"/>
      <c r="E29" s="366"/>
      <c r="F29" s="236" t="s">
        <v>396</v>
      </c>
      <c r="G29" s="227">
        <v>211</v>
      </c>
      <c r="H29" s="227"/>
      <c r="I29" s="227"/>
      <c r="J29" s="228"/>
      <c r="K29" s="228"/>
      <c r="L29" s="228"/>
      <c r="M29" s="228"/>
      <c r="N29" s="230"/>
      <c r="O29" s="231"/>
    </row>
    <row r="30" spans="1:15" s="207" customFormat="1" outlineLevel="2">
      <c r="A30" s="235">
        <f t="shared" si="1"/>
        <v>9</v>
      </c>
      <c r="B30" s="318" t="s">
        <v>820</v>
      </c>
      <c r="C30" s="224"/>
      <c r="D30" s="225"/>
      <c r="E30" s="366"/>
      <c r="F30" s="236" t="s">
        <v>396</v>
      </c>
      <c r="G30" s="227">
        <v>211</v>
      </c>
      <c r="H30" s="227"/>
      <c r="I30" s="227"/>
      <c r="J30" s="228"/>
      <c r="K30" s="228"/>
      <c r="L30" s="228"/>
      <c r="M30" s="228"/>
      <c r="N30" s="230"/>
      <c r="O30" s="231"/>
    </row>
    <row r="31" spans="1:15" s="207" customFormat="1" outlineLevel="2">
      <c r="A31" s="235">
        <f t="shared" si="1"/>
        <v>10</v>
      </c>
      <c r="B31" s="318" t="s">
        <v>821</v>
      </c>
      <c r="C31" s="224"/>
      <c r="D31" s="225"/>
      <c r="E31" s="366"/>
      <c r="F31" s="236" t="s">
        <v>396</v>
      </c>
      <c r="G31" s="227">
        <v>211</v>
      </c>
      <c r="H31" s="227"/>
      <c r="I31" s="227"/>
      <c r="J31" s="228"/>
      <c r="K31" s="228"/>
      <c r="L31" s="228"/>
      <c r="M31" s="228"/>
      <c r="N31" s="230"/>
      <c r="O31" s="231"/>
    </row>
    <row r="32" spans="1:15" s="207" customFormat="1" outlineLevel="2">
      <c r="A32" s="235">
        <f t="shared" si="1"/>
        <v>11</v>
      </c>
      <c r="B32" s="230" t="s">
        <v>833</v>
      </c>
      <c r="C32" s="224"/>
      <c r="D32" s="225"/>
      <c r="E32" s="366"/>
      <c r="F32" s="236" t="s">
        <v>396</v>
      </c>
      <c r="G32" s="227">
        <v>117</v>
      </c>
      <c r="H32" s="227"/>
      <c r="I32" s="227"/>
      <c r="J32" s="228"/>
      <c r="K32" s="228"/>
      <c r="L32" s="228"/>
      <c r="M32" s="228"/>
      <c r="N32" s="230"/>
      <c r="O32" s="231"/>
    </row>
    <row r="33" spans="1:15" s="207" customFormat="1" outlineLevel="2">
      <c r="A33" s="235">
        <f t="shared" si="1"/>
        <v>12</v>
      </c>
      <c r="B33" s="230" t="s">
        <v>834</v>
      </c>
      <c r="C33" s="224"/>
      <c r="D33" s="225"/>
      <c r="E33" s="366"/>
      <c r="F33" s="236" t="s">
        <v>396</v>
      </c>
      <c r="G33" s="227">
        <v>6</v>
      </c>
      <c r="H33" s="227"/>
      <c r="I33" s="227"/>
      <c r="J33" s="228"/>
      <c r="K33" s="228"/>
      <c r="L33" s="228"/>
      <c r="M33" s="228"/>
      <c r="N33" s="230"/>
      <c r="O33" s="231"/>
    </row>
    <row r="34" spans="1:15" s="207" customFormat="1" ht="26.4" outlineLevel="2">
      <c r="A34" s="235">
        <f t="shared" si="1"/>
        <v>13</v>
      </c>
      <c r="B34" s="318" t="s">
        <v>835</v>
      </c>
      <c r="C34" s="224"/>
      <c r="D34" s="225"/>
      <c r="E34" s="366"/>
      <c r="F34" s="236" t="s">
        <v>287</v>
      </c>
      <c r="G34" s="227">
        <v>1179</v>
      </c>
      <c r="H34" s="227"/>
      <c r="I34" s="227"/>
      <c r="J34" s="228"/>
      <c r="K34" s="228"/>
      <c r="L34" s="228"/>
      <c r="M34" s="228"/>
      <c r="N34" s="230"/>
      <c r="O34" s="231"/>
    </row>
    <row r="35" spans="1:15" s="207" customFormat="1" ht="26.4" outlineLevel="2">
      <c r="A35" s="235">
        <f t="shared" si="1"/>
        <v>14</v>
      </c>
      <c r="B35" s="318" t="s">
        <v>822</v>
      </c>
      <c r="C35" s="224"/>
      <c r="D35" s="225"/>
      <c r="E35" s="366"/>
      <c r="F35" s="236" t="s">
        <v>287</v>
      </c>
      <c r="G35" s="227">
        <v>267</v>
      </c>
      <c r="H35" s="227"/>
      <c r="I35" s="227"/>
      <c r="J35" s="228"/>
      <c r="K35" s="228"/>
      <c r="L35" s="228"/>
      <c r="M35" s="228"/>
      <c r="N35" s="230"/>
      <c r="O35" s="231"/>
    </row>
    <row r="36" spans="1:15" s="207" customFormat="1" ht="26.4" outlineLevel="2">
      <c r="A36" s="235">
        <f t="shared" si="1"/>
        <v>15</v>
      </c>
      <c r="B36" s="318" t="s">
        <v>836</v>
      </c>
      <c r="C36" s="224"/>
      <c r="D36" s="225"/>
      <c r="E36" s="366"/>
      <c r="F36" s="236" t="s">
        <v>287</v>
      </c>
      <c r="G36" s="227">
        <v>232</v>
      </c>
      <c r="H36" s="227"/>
      <c r="I36" s="227"/>
      <c r="J36" s="228"/>
      <c r="K36" s="228"/>
      <c r="L36" s="228"/>
      <c r="M36" s="228"/>
      <c r="N36" s="230"/>
      <c r="O36" s="231"/>
    </row>
    <row r="37" spans="1:15" s="207" customFormat="1" outlineLevel="2">
      <c r="A37" s="235">
        <f t="shared" si="1"/>
        <v>16</v>
      </c>
      <c r="B37" s="230" t="s">
        <v>812</v>
      </c>
      <c r="C37" s="224"/>
      <c r="D37" s="225"/>
      <c r="E37" s="366"/>
      <c r="F37" s="236" t="s">
        <v>396</v>
      </c>
      <c r="G37" s="227">
        <v>37</v>
      </c>
      <c r="H37" s="227"/>
      <c r="I37" s="227"/>
      <c r="J37" s="228"/>
      <c r="K37" s="228"/>
      <c r="L37" s="228"/>
      <c r="M37" s="228"/>
      <c r="N37" s="230"/>
      <c r="O37" s="231"/>
    </row>
    <row r="38" spans="1:15" s="207" customFormat="1" outlineLevel="2">
      <c r="A38" s="235">
        <f t="shared" si="1"/>
        <v>17</v>
      </c>
      <c r="B38" s="318" t="s">
        <v>814</v>
      </c>
      <c r="C38" s="224"/>
      <c r="D38" s="225"/>
      <c r="E38" s="366"/>
      <c r="F38" s="236" t="s">
        <v>396</v>
      </c>
      <c r="G38" s="227">
        <f>G37</f>
        <v>37</v>
      </c>
      <c r="H38" s="227"/>
      <c r="I38" s="227"/>
      <c r="J38" s="228"/>
      <c r="K38" s="228"/>
      <c r="L38" s="228"/>
      <c r="M38" s="228"/>
      <c r="N38" s="230"/>
      <c r="O38" s="231"/>
    </row>
    <row r="39" spans="1:15" s="207" customFormat="1" outlineLevel="2">
      <c r="A39" s="235">
        <f t="shared" si="1"/>
        <v>18</v>
      </c>
      <c r="B39" s="230" t="s">
        <v>816</v>
      </c>
      <c r="C39" s="224"/>
      <c r="D39" s="225"/>
      <c r="E39" s="366"/>
      <c r="F39" s="236" t="s">
        <v>396</v>
      </c>
      <c r="G39" s="227">
        <v>37</v>
      </c>
      <c r="H39" s="227"/>
      <c r="I39" s="227"/>
      <c r="J39" s="228"/>
      <c r="K39" s="228"/>
      <c r="L39" s="228"/>
      <c r="M39" s="228"/>
      <c r="N39" s="230"/>
      <c r="O39" s="231"/>
    </row>
    <row r="40" spans="1:15" s="207" customFormat="1" outlineLevel="2">
      <c r="A40" s="235">
        <f t="shared" si="1"/>
        <v>19</v>
      </c>
      <c r="B40" s="318" t="s">
        <v>817</v>
      </c>
      <c r="C40" s="224"/>
      <c r="D40" s="225"/>
      <c r="E40" s="366"/>
      <c r="F40" s="236" t="s">
        <v>396</v>
      </c>
      <c r="G40" s="227">
        <v>37</v>
      </c>
      <c r="H40" s="227"/>
      <c r="I40" s="227"/>
      <c r="J40" s="228"/>
      <c r="K40" s="228"/>
      <c r="L40" s="228"/>
      <c r="M40" s="228"/>
      <c r="N40" s="230"/>
      <c r="O40" s="231"/>
    </row>
    <row r="41" spans="1:15" s="207" customFormat="1" outlineLevel="2">
      <c r="A41" s="235">
        <f t="shared" si="1"/>
        <v>20</v>
      </c>
      <c r="B41" s="230" t="s">
        <v>837</v>
      </c>
      <c r="C41" s="224"/>
      <c r="D41" s="225"/>
      <c r="E41" s="366"/>
      <c r="F41" s="236" t="s">
        <v>396</v>
      </c>
      <c r="G41" s="227">
        <v>26</v>
      </c>
      <c r="H41" s="227"/>
      <c r="I41" s="227"/>
      <c r="J41" s="228"/>
      <c r="K41" s="228"/>
      <c r="L41" s="228"/>
      <c r="M41" s="228"/>
      <c r="N41" s="230"/>
      <c r="O41" s="231"/>
    </row>
    <row r="42" spans="1:15" s="207" customFormat="1" outlineLevel="2">
      <c r="A42" s="235">
        <f t="shared" si="1"/>
        <v>21</v>
      </c>
      <c r="B42" s="318" t="s">
        <v>818</v>
      </c>
      <c r="C42" s="224"/>
      <c r="D42" s="225"/>
      <c r="E42" s="366"/>
      <c r="F42" s="236" t="s">
        <v>396</v>
      </c>
      <c r="G42" s="227">
        <v>37</v>
      </c>
      <c r="H42" s="227"/>
      <c r="I42" s="227"/>
      <c r="J42" s="228"/>
      <c r="K42" s="228"/>
      <c r="L42" s="228"/>
      <c r="M42" s="228"/>
      <c r="N42" s="230"/>
      <c r="O42" s="231"/>
    </row>
    <row r="43" spans="1:15" s="207" customFormat="1" outlineLevel="2">
      <c r="A43" s="235">
        <f t="shared" si="1"/>
        <v>22</v>
      </c>
      <c r="B43" s="318" t="s">
        <v>819</v>
      </c>
      <c r="C43" s="224"/>
      <c r="D43" s="225"/>
      <c r="E43" s="366"/>
      <c r="F43" s="236" t="s">
        <v>396</v>
      </c>
      <c r="G43" s="227">
        <v>37</v>
      </c>
      <c r="H43" s="227"/>
      <c r="I43" s="227"/>
      <c r="J43" s="228"/>
      <c r="K43" s="228"/>
      <c r="L43" s="228"/>
      <c r="M43" s="228"/>
      <c r="N43" s="230"/>
      <c r="O43" s="231"/>
    </row>
    <row r="44" spans="1:15" s="207" customFormat="1" outlineLevel="2">
      <c r="A44" s="235">
        <f t="shared" si="1"/>
        <v>23</v>
      </c>
      <c r="B44" s="318" t="s">
        <v>820</v>
      </c>
      <c r="C44" s="224"/>
      <c r="D44" s="225"/>
      <c r="E44" s="366"/>
      <c r="F44" s="236" t="s">
        <v>396</v>
      </c>
      <c r="G44" s="227">
        <v>37</v>
      </c>
      <c r="H44" s="227"/>
      <c r="I44" s="227"/>
      <c r="J44" s="228"/>
      <c r="K44" s="228"/>
      <c r="L44" s="228"/>
      <c r="M44" s="228"/>
      <c r="N44" s="230"/>
      <c r="O44" s="231"/>
    </row>
    <row r="45" spans="1:15" s="207" customFormat="1" outlineLevel="2">
      <c r="A45" s="235">
        <f t="shared" si="1"/>
        <v>24</v>
      </c>
      <c r="B45" s="318" t="s">
        <v>821</v>
      </c>
      <c r="C45" s="224"/>
      <c r="D45" s="225"/>
      <c r="E45" s="355"/>
      <c r="F45" s="236" t="s">
        <v>396</v>
      </c>
      <c r="G45" s="227">
        <v>37</v>
      </c>
      <c r="H45" s="227"/>
      <c r="I45" s="227"/>
      <c r="J45" s="228"/>
      <c r="K45" s="228"/>
      <c r="L45" s="228"/>
      <c r="M45" s="228"/>
      <c r="N45" s="230"/>
      <c r="O45" s="231"/>
    </row>
    <row r="46" spans="1:15" s="207" customFormat="1" outlineLevel="2">
      <c r="A46" s="235">
        <f t="shared" si="1"/>
        <v>25</v>
      </c>
      <c r="B46" s="230" t="s">
        <v>824</v>
      </c>
      <c r="C46" s="224"/>
      <c r="D46" s="225"/>
      <c r="E46" s="224"/>
      <c r="F46" s="236" t="s">
        <v>825</v>
      </c>
      <c r="G46" s="227">
        <v>1</v>
      </c>
      <c r="H46" s="227"/>
      <c r="I46" s="227"/>
      <c r="J46" s="228"/>
      <c r="K46" s="228"/>
      <c r="L46" s="228"/>
      <c r="M46" s="228"/>
      <c r="N46" s="230"/>
      <c r="O46" s="231"/>
    </row>
    <row r="47" spans="1:15" ht="27.6" customHeight="1">
      <c r="A47" s="222" t="s">
        <v>64</v>
      </c>
      <c r="B47" s="223" t="s">
        <v>838</v>
      </c>
      <c r="C47" s="223"/>
      <c r="D47" s="223"/>
      <c r="E47" s="218"/>
      <c r="F47" s="226"/>
      <c r="G47" s="227"/>
      <c r="H47" s="227"/>
      <c r="I47" s="227"/>
      <c r="J47" s="239"/>
      <c r="K47" s="240"/>
      <c r="L47" s="240"/>
      <c r="M47" s="240"/>
      <c r="N47" s="241"/>
    </row>
    <row r="48" spans="1:15" outlineLevel="1">
      <c r="A48" s="222" t="s">
        <v>78</v>
      </c>
      <c r="B48" s="232" t="s">
        <v>839</v>
      </c>
      <c r="C48" s="242"/>
      <c r="D48" s="242"/>
      <c r="E48" s="243"/>
      <c r="F48" s="233"/>
      <c r="G48" s="220"/>
      <c r="H48" s="220"/>
      <c r="I48" s="220"/>
      <c r="J48" s="229"/>
      <c r="K48" s="229"/>
      <c r="L48" s="229"/>
      <c r="M48" s="229"/>
      <c r="N48" s="232"/>
    </row>
    <row r="49" spans="1:14" outlineLevel="2">
      <c r="A49" s="244"/>
      <c r="B49" s="245" t="s">
        <v>840</v>
      </c>
      <c r="C49" s="246"/>
      <c r="D49" s="246"/>
      <c r="E49" s="247"/>
      <c r="F49" s="248"/>
      <c r="G49" s="249"/>
      <c r="H49" s="249"/>
      <c r="I49" s="249"/>
      <c r="J49" s="250"/>
      <c r="K49" s="250"/>
      <c r="L49" s="250"/>
      <c r="M49" s="250"/>
      <c r="N49" s="245"/>
    </row>
    <row r="50" spans="1:14" ht="151.80000000000001" customHeight="1" outlineLevel="2">
      <c r="A50" s="235">
        <f>SUBTOTAL(3,$F$50:F50)</f>
        <v>1</v>
      </c>
      <c r="B50" s="230" t="s">
        <v>841</v>
      </c>
      <c r="C50" s="241" t="s">
        <v>842</v>
      </c>
      <c r="D50" s="241"/>
      <c r="E50" s="251" t="s">
        <v>843</v>
      </c>
      <c r="F50" s="226" t="s">
        <v>844</v>
      </c>
      <c r="G50" s="227">
        <v>1</v>
      </c>
      <c r="H50" s="227"/>
      <c r="I50" s="227"/>
      <c r="J50" s="228"/>
      <c r="K50" s="228"/>
      <c r="L50" s="228"/>
      <c r="M50" s="228"/>
      <c r="N50" s="230"/>
    </row>
    <row r="51" spans="1:14" ht="151.80000000000001" customHeight="1" outlineLevel="2">
      <c r="A51" s="235">
        <f>SUBTOTAL(3,$F$50:F51)</f>
        <v>2</v>
      </c>
      <c r="B51" s="230" t="s">
        <v>845</v>
      </c>
      <c r="C51" s="241" t="s">
        <v>846</v>
      </c>
      <c r="D51" s="241"/>
      <c r="E51" s="251" t="s">
        <v>843</v>
      </c>
      <c r="F51" s="226" t="s">
        <v>844</v>
      </c>
      <c r="G51" s="227">
        <v>1</v>
      </c>
      <c r="H51" s="227"/>
      <c r="I51" s="227"/>
      <c r="J51" s="228"/>
      <c r="K51" s="228"/>
      <c r="L51" s="228"/>
      <c r="M51" s="228"/>
      <c r="N51" s="230"/>
    </row>
    <row r="52" spans="1:14" ht="157.80000000000001" customHeight="1" outlineLevel="2">
      <c r="A52" s="235">
        <f>SUBTOTAL(3,$F$50:F52)</f>
        <v>3</v>
      </c>
      <c r="B52" s="230" t="s">
        <v>847</v>
      </c>
      <c r="C52" s="241" t="s">
        <v>848</v>
      </c>
      <c r="D52" s="241"/>
      <c r="E52" s="251" t="s">
        <v>843</v>
      </c>
      <c r="F52" s="226" t="s">
        <v>844</v>
      </c>
      <c r="G52" s="227">
        <v>1</v>
      </c>
      <c r="H52" s="227"/>
      <c r="I52" s="227"/>
      <c r="J52" s="228"/>
      <c r="K52" s="228"/>
      <c r="L52" s="228"/>
      <c r="M52" s="228"/>
      <c r="N52" s="230"/>
    </row>
    <row r="53" spans="1:14" outlineLevel="2">
      <c r="A53" s="244"/>
      <c r="B53" s="252" t="s">
        <v>849</v>
      </c>
      <c r="C53" s="246"/>
      <c r="D53" s="246"/>
      <c r="E53" s="247"/>
      <c r="F53" s="248"/>
      <c r="G53" s="249"/>
      <c r="H53" s="249"/>
      <c r="I53" s="249"/>
      <c r="J53" s="228"/>
      <c r="K53" s="228"/>
      <c r="L53" s="228"/>
      <c r="M53" s="228"/>
      <c r="N53" s="245"/>
    </row>
    <row r="54" spans="1:14" ht="27.6" customHeight="1" outlineLevel="2">
      <c r="A54" s="235">
        <f>SUBTOTAL(3,$F$50:F54)</f>
        <v>4</v>
      </c>
      <c r="B54" s="230" t="s">
        <v>850</v>
      </c>
      <c r="C54" s="241"/>
      <c r="D54" s="241"/>
      <c r="E54" s="253" t="s">
        <v>851</v>
      </c>
      <c r="F54" s="226" t="s">
        <v>287</v>
      </c>
      <c r="G54" s="227">
        <v>438</v>
      </c>
      <c r="H54" s="227"/>
      <c r="I54" s="227"/>
      <c r="J54" s="228"/>
      <c r="K54" s="228"/>
      <c r="L54" s="228"/>
      <c r="M54" s="228"/>
      <c r="N54" s="230"/>
    </row>
    <row r="55" spans="1:14" ht="27.6" customHeight="1" outlineLevel="2">
      <c r="A55" s="235">
        <f>SUBTOTAL(3,$F$50:F55)</f>
        <v>5</v>
      </c>
      <c r="B55" s="230" t="s">
        <v>852</v>
      </c>
      <c r="C55" s="241"/>
      <c r="D55" s="241"/>
      <c r="E55" s="253" t="s">
        <v>851</v>
      </c>
      <c r="F55" s="226" t="s">
        <v>287</v>
      </c>
      <c r="G55" s="227">
        <v>356</v>
      </c>
      <c r="H55" s="227"/>
      <c r="I55" s="227"/>
      <c r="J55" s="228"/>
      <c r="K55" s="228"/>
      <c r="L55" s="228"/>
      <c r="M55" s="228"/>
      <c r="N55" s="230"/>
    </row>
    <row r="56" spans="1:14" ht="27.6" customHeight="1" outlineLevel="2">
      <c r="A56" s="235">
        <f>SUBTOTAL(3,$F$50:F56)</f>
        <v>6</v>
      </c>
      <c r="B56" s="230" t="s">
        <v>853</v>
      </c>
      <c r="C56" s="241"/>
      <c r="D56" s="241"/>
      <c r="E56" s="253" t="s">
        <v>851</v>
      </c>
      <c r="F56" s="226" t="s">
        <v>287</v>
      </c>
      <c r="G56" s="227">
        <v>47</v>
      </c>
      <c r="H56" s="227"/>
      <c r="I56" s="227"/>
      <c r="J56" s="228"/>
      <c r="K56" s="228"/>
      <c r="L56" s="228"/>
      <c r="M56" s="228"/>
      <c r="N56" s="230"/>
    </row>
    <row r="57" spans="1:14" ht="27.6" customHeight="1" outlineLevel="2">
      <c r="A57" s="235">
        <f>SUBTOTAL(3,$F$50:F57)</f>
        <v>7</v>
      </c>
      <c r="B57" s="230" t="s">
        <v>854</v>
      </c>
      <c r="C57" s="241"/>
      <c r="D57" s="241"/>
      <c r="E57" s="253" t="s">
        <v>851</v>
      </c>
      <c r="F57" s="226" t="s">
        <v>287</v>
      </c>
      <c r="G57" s="227">
        <v>66</v>
      </c>
      <c r="H57" s="227"/>
      <c r="I57" s="227"/>
      <c r="J57" s="228"/>
      <c r="K57" s="228"/>
      <c r="L57" s="228"/>
      <c r="M57" s="228"/>
      <c r="N57" s="230"/>
    </row>
    <row r="58" spans="1:14" ht="27.6" customHeight="1" outlineLevel="2">
      <c r="A58" s="235">
        <f>SUBTOTAL(3,$F$50:F58)</f>
        <v>8</v>
      </c>
      <c r="B58" s="230" t="s">
        <v>855</v>
      </c>
      <c r="C58" s="241"/>
      <c r="D58" s="241"/>
      <c r="E58" s="253" t="s">
        <v>851</v>
      </c>
      <c r="F58" s="226" t="s">
        <v>287</v>
      </c>
      <c r="G58" s="227">
        <v>8</v>
      </c>
      <c r="H58" s="227"/>
      <c r="I58" s="227"/>
      <c r="J58" s="228"/>
      <c r="K58" s="228"/>
      <c r="L58" s="228"/>
      <c r="M58" s="228"/>
      <c r="N58" s="230"/>
    </row>
    <row r="59" spans="1:14" ht="27.6" customHeight="1" outlineLevel="2">
      <c r="A59" s="235">
        <f>SUBTOTAL(3,$F$50:F59)</f>
        <v>9</v>
      </c>
      <c r="B59" s="230" t="s">
        <v>856</v>
      </c>
      <c r="C59" s="241"/>
      <c r="D59" s="241"/>
      <c r="E59" s="253" t="s">
        <v>851</v>
      </c>
      <c r="F59" s="226" t="s">
        <v>287</v>
      </c>
      <c r="G59" s="227">
        <v>28</v>
      </c>
      <c r="H59" s="227"/>
      <c r="I59" s="227"/>
      <c r="J59" s="228"/>
      <c r="K59" s="228"/>
      <c r="L59" s="228"/>
      <c r="M59" s="228"/>
      <c r="N59" s="230"/>
    </row>
    <row r="60" spans="1:14" ht="27.6" customHeight="1" outlineLevel="2">
      <c r="A60" s="235">
        <f>SUBTOTAL(3,$F$50:F60)</f>
        <v>10</v>
      </c>
      <c r="B60" s="230" t="s">
        <v>857</v>
      </c>
      <c r="C60" s="241"/>
      <c r="D60" s="241"/>
      <c r="E60" s="253" t="s">
        <v>851</v>
      </c>
      <c r="F60" s="226" t="s">
        <v>287</v>
      </c>
      <c r="G60" s="227">
        <v>6</v>
      </c>
      <c r="H60" s="227"/>
      <c r="I60" s="227"/>
      <c r="J60" s="228"/>
      <c r="K60" s="228"/>
      <c r="L60" s="228"/>
      <c r="M60" s="228"/>
      <c r="N60" s="230"/>
    </row>
    <row r="61" spans="1:14" ht="27.6" customHeight="1" outlineLevel="2">
      <c r="A61" s="235">
        <f>SUBTOTAL(3,$F$50:F61)</f>
        <v>11</v>
      </c>
      <c r="B61" s="230" t="s">
        <v>858</v>
      </c>
      <c r="C61" s="241"/>
      <c r="D61" s="241"/>
      <c r="E61" s="253" t="s">
        <v>851</v>
      </c>
      <c r="F61" s="226" t="s">
        <v>287</v>
      </c>
      <c r="G61" s="227">
        <v>8</v>
      </c>
      <c r="H61" s="227"/>
      <c r="I61" s="227"/>
      <c r="J61" s="228"/>
      <c r="K61" s="228"/>
      <c r="L61" s="228"/>
      <c r="M61" s="228"/>
      <c r="N61" s="230"/>
    </row>
    <row r="62" spans="1:14" ht="27.6" customHeight="1" outlineLevel="2">
      <c r="A62" s="235">
        <f>SUBTOTAL(3,$F$50:F62)</f>
        <v>12</v>
      </c>
      <c r="B62" s="230" t="s">
        <v>859</v>
      </c>
      <c r="C62" s="241"/>
      <c r="D62" s="241"/>
      <c r="E62" s="253" t="s">
        <v>851</v>
      </c>
      <c r="F62" s="226" t="s">
        <v>287</v>
      </c>
      <c r="G62" s="227">
        <v>6</v>
      </c>
      <c r="H62" s="227"/>
      <c r="I62" s="227"/>
      <c r="J62" s="228"/>
      <c r="K62" s="228"/>
      <c r="L62" s="228"/>
      <c r="M62" s="228"/>
      <c r="N62" s="230"/>
    </row>
    <row r="63" spans="1:14" ht="27.6" customHeight="1" outlineLevel="2">
      <c r="A63" s="235">
        <f>SUBTOTAL(3,$F$50:F63)</f>
        <v>13</v>
      </c>
      <c r="B63" s="230" t="s">
        <v>860</v>
      </c>
      <c r="C63" s="241"/>
      <c r="D63" s="241"/>
      <c r="E63" s="253" t="s">
        <v>851</v>
      </c>
      <c r="F63" s="226" t="s">
        <v>287</v>
      </c>
      <c r="G63" s="227">
        <v>2</v>
      </c>
      <c r="H63" s="227"/>
      <c r="I63" s="227"/>
      <c r="J63" s="228"/>
      <c r="K63" s="228"/>
      <c r="L63" s="228"/>
      <c r="M63" s="228"/>
      <c r="N63" s="230"/>
    </row>
    <row r="64" spans="1:14" outlineLevel="2">
      <c r="A64" s="244"/>
      <c r="B64" s="252" t="s">
        <v>861</v>
      </c>
      <c r="C64" s="246"/>
      <c r="D64" s="246"/>
      <c r="E64" s="247"/>
      <c r="F64" s="248"/>
      <c r="G64" s="249"/>
      <c r="H64" s="249"/>
      <c r="I64" s="249"/>
      <c r="J64" s="228"/>
      <c r="K64" s="228"/>
      <c r="L64" s="228"/>
      <c r="M64" s="228"/>
      <c r="N64" s="245"/>
    </row>
    <row r="65" spans="1:14" ht="27.6" customHeight="1" outlineLevel="2">
      <c r="A65" s="235">
        <f>SUBTOTAL(3,$F$50:F65)</f>
        <v>14</v>
      </c>
      <c r="B65" s="230" t="s">
        <v>862</v>
      </c>
      <c r="C65" s="241"/>
      <c r="D65" s="241"/>
      <c r="E65" s="253" t="s">
        <v>851</v>
      </c>
      <c r="F65" s="226" t="s">
        <v>287</v>
      </c>
      <c r="G65" s="227">
        <v>21</v>
      </c>
      <c r="H65" s="227"/>
      <c r="I65" s="227"/>
      <c r="J65" s="228"/>
      <c r="K65" s="228"/>
      <c r="L65" s="228"/>
      <c r="M65" s="228"/>
      <c r="N65" s="230"/>
    </row>
    <row r="66" spans="1:14" ht="27.6" customHeight="1" outlineLevel="2">
      <c r="A66" s="235">
        <f>SUBTOTAL(3,$F$50:F66)</f>
        <v>15</v>
      </c>
      <c r="B66" s="230" t="s">
        <v>863</v>
      </c>
      <c r="C66" s="241"/>
      <c r="D66" s="241"/>
      <c r="E66" s="253" t="s">
        <v>851</v>
      </c>
      <c r="F66" s="226" t="s">
        <v>287</v>
      </c>
      <c r="G66" s="227">
        <v>1</v>
      </c>
      <c r="H66" s="227"/>
      <c r="I66" s="227"/>
      <c r="J66" s="228"/>
      <c r="K66" s="228"/>
      <c r="L66" s="228"/>
      <c r="M66" s="228"/>
      <c r="N66" s="230"/>
    </row>
    <row r="67" spans="1:14" ht="27.6" customHeight="1" outlineLevel="2">
      <c r="A67" s="235">
        <f>SUBTOTAL(3,$F$50:F67)</f>
        <v>16</v>
      </c>
      <c r="B67" s="230" t="s">
        <v>864</v>
      </c>
      <c r="C67" s="241"/>
      <c r="D67" s="241"/>
      <c r="E67" s="253" t="s">
        <v>851</v>
      </c>
      <c r="F67" s="226" t="s">
        <v>287</v>
      </c>
      <c r="G67" s="227">
        <v>1</v>
      </c>
      <c r="H67" s="227"/>
      <c r="I67" s="227"/>
      <c r="J67" s="228"/>
      <c r="K67" s="228"/>
      <c r="L67" s="228"/>
      <c r="M67" s="228"/>
      <c r="N67" s="230"/>
    </row>
    <row r="68" spans="1:14" ht="27.6" customHeight="1" outlineLevel="2">
      <c r="A68" s="235">
        <f>SUBTOTAL(3,$F$50:F68)</f>
        <v>17</v>
      </c>
      <c r="B68" s="230" t="s">
        <v>865</v>
      </c>
      <c r="C68" s="241"/>
      <c r="D68" s="241"/>
      <c r="E68" s="253" t="s">
        <v>851</v>
      </c>
      <c r="F68" s="226" t="s">
        <v>287</v>
      </c>
      <c r="G68" s="227">
        <v>3</v>
      </c>
      <c r="H68" s="227"/>
      <c r="I68" s="227"/>
      <c r="J68" s="228"/>
      <c r="K68" s="228"/>
      <c r="L68" s="228"/>
      <c r="M68" s="228"/>
      <c r="N68" s="230"/>
    </row>
    <row r="69" spans="1:14" ht="27.6" customHeight="1" outlineLevel="2">
      <c r="A69" s="235">
        <f>SUBTOTAL(3,$F$50:F69)</f>
        <v>18</v>
      </c>
      <c r="B69" s="230" t="s">
        <v>866</v>
      </c>
      <c r="C69" s="241"/>
      <c r="D69" s="241"/>
      <c r="E69" s="253" t="s">
        <v>851</v>
      </c>
      <c r="F69" s="226" t="s">
        <v>287</v>
      </c>
      <c r="G69" s="227">
        <v>1</v>
      </c>
      <c r="H69" s="227"/>
      <c r="I69" s="227"/>
      <c r="J69" s="228"/>
      <c r="K69" s="228"/>
      <c r="L69" s="228"/>
      <c r="M69" s="228"/>
      <c r="N69" s="230"/>
    </row>
    <row r="70" spans="1:14" ht="27.6" customHeight="1" outlineLevel="2">
      <c r="A70" s="235">
        <f>SUBTOTAL(3,$F$50:F70)</f>
        <v>19</v>
      </c>
      <c r="B70" s="230" t="s">
        <v>867</v>
      </c>
      <c r="C70" s="241"/>
      <c r="D70" s="241"/>
      <c r="E70" s="253" t="s">
        <v>851</v>
      </c>
      <c r="F70" s="226" t="s">
        <v>287</v>
      </c>
      <c r="G70" s="227">
        <v>3</v>
      </c>
      <c r="H70" s="227"/>
      <c r="I70" s="227"/>
      <c r="J70" s="228"/>
      <c r="K70" s="228"/>
      <c r="L70" s="228"/>
      <c r="M70" s="228"/>
      <c r="N70" s="230"/>
    </row>
    <row r="71" spans="1:14" ht="27.6" customHeight="1" outlineLevel="2">
      <c r="A71" s="235">
        <f>SUBTOTAL(3,$F$50:F71)</f>
        <v>20</v>
      </c>
      <c r="B71" s="230" t="s">
        <v>868</v>
      </c>
      <c r="C71" s="241"/>
      <c r="D71" s="241"/>
      <c r="E71" s="253" t="s">
        <v>851</v>
      </c>
      <c r="F71" s="226" t="s">
        <v>287</v>
      </c>
      <c r="G71" s="227">
        <v>3</v>
      </c>
      <c r="H71" s="227"/>
      <c r="I71" s="227"/>
      <c r="J71" s="228"/>
      <c r="K71" s="228"/>
      <c r="L71" s="228"/>
      <c r="M71" s="228"/>
      <c r="N71" s="230"/>
    </row>
    <row r="72" spans="1:14" ht="27.6" customHeight="1" outlineLevel="2">
      <c r="A72" s="235">
        <f>SUBTOTAL(3,$F$50:F72)</f>
        <v>21</v>
      </c>
      <c r="B72" s="230" t="s">
        <v>869</v>
      </c>
      <c r="C72" s="241"/>
      <c r="D72" s="241"/>
      <c r="E72" s="253" t="s">
        <v>851</v>
      </c>
      <c r="F72" s="226" t="s">
        <v>287</v>
      </c>
      <c r="G72" s="227">
        <v>3</v>
      </c>
      <c r="H72" s="227"/>
      <c r="I72" s="227"/>
      <c r="J72" s="228"/>
      <c r="K72" s="228"/>
      <c r="L72" s="228"/>
      <c r="M72" s="228"/>
      <c r="N72" s="230"/>
    </row>
    <row r="73" spans="1:14" outlineLevel="2">
      <c r="A73" s="244"/>
      <c r="B73" s="252" t="s">
        <v>870</v>
      </c>
      <c r="C73" s="246"/>
      <c r="D73" s="246"/>
      <c r="E73" s="253"/>
      <c r="F73" s="248"/>
      <c r="G73" s="249"/>
      <c r="H73" s="249"/>
      <c r="I73" s="249"/>
      <c r="J73" s="228"/>
      <c r="K73" s="228"/>
      <c r="L73" s="228"/>
      <c r="M73" s="228"/>
      <c r="N73" s="245"/>
    </row>
    <row r="74" spans="1:14" ht="27.6" customHeight="1" outlineLevel="2">
      <c r="A74" s="235">
        <f>SUBTOTAL(3,$F$50:F74)</f>
        <v>22</v>
      </c>
      <c r="B74" s="230" t="s">
        <v>871</v>
      </c>
      <c r="C74" s="241"/>
      <c r="D74" s="241"/>
      <c r="E74" s="253" t="s">
        <v>851</v>
      </c>
      <c r="F74" s="226" t="s">
        <v>287</v>
      </c>
      <c r="G74" s="227">
        <v>6</v>
      </c>
      <c r="H74" s="227"/>
      <c r="I74" s="227"/>
      <c r="J74" s="228"/>
      <c r="K74" s="228"/>
      <c r="L74" s="228"/>
      <c r="M74" s="228"/>
      <c r="N74" s="230"/>
    </row>
    <row r="75" spans="1:14" ht="27.6" customHeight="1" outlineLevel="2">
      <c r="A75" s="235">
        <f>SUBTOTAL(3,$F$50:F75)</f>
        <v>23</v>
      </c>
      <c r="B75" s="230" t="s">
        <v>872</v>
      </c>
      <c r="C75" s="241"/>
      <c r="D75" s="241"/>
      <c r="E75" s="253" t="s">
        <v>851</v>
      </c>
      <c r="F75" s="226" t="s">
        <v>287</v>
      </c>
      <c r="G75" s="227">
        <v>6</v>
      </c>
      <c r="H75" s="227"/>
      <c r="I75" s="227"/>
      <c r="J75" s="228"/>
      <c r="K75" s="228"/>
      <c r="L75" s="228"/>
      <c r="M75" s="228"/>
      <c r="N75" s="230"/>
    </row>
    <row r="76" spans="1:14" ht="27.6" customHeight="1" outlineLevel="2">
      <c r="A76" s="235">
        <f>SUBTOTAL(3,$F$50:F76)</f>
        <v>24</v>
      </c>
      <c r="B76" s="230" t="s">
        <v>873</v>
      </c>
      <c r="C76" s="241"/>
      <c r="D76" s="241"/>
      <c r="E76" s="253" t="s">
        <v>851</v>
      </c>
      <c r="F76" s="226" t="s">
        <v>287</v>
      </c>
      <c r="G76" s="227">
        <v>6</v>
      </c>
      <c r="H76" s="227"/>
      <c r="I76" s="227"/>
      <c r="J76" s="228"/>
      <c r="K76" s="228"/>
      <c r="L76" s="228"/>
      <c r="M76" s="228"/>
      <c r="N76" s="230"/>
    </row>
    <row r="77" spans="1:14" outlineLevel="2">
      <c r="A77" s="244"/>
      <c r="B77" s="245" t="s">
        <v>874</v>
      </c>
      <c r="C77" s="246"/>
      <c r="D77" s="246"/>
      <c r="E77" s="247"/>
      <c r="F77" s="248"/>
      <c r="G77" s="249"/>
      <c r="H77" s="249"/>
      <c r="I77" s="249"/>
      <c r="J77" s="228"/>
      <c r="K77" s="228"/>
      <c r="L77" s="228"/>
      <c r="M77" s="228"/>
      <c r="N77" s="245"/>
    </row>
    <row r="78" spans="1:14" ht="27.6" customHeight="1" outlineLevel="2">
      <c r="A78" s="235">
        <f>SUBTOTAL(3,$F$50:F78)</f>
        <v>25</v>
      </c>
      <c r="B78" s="230" t="s">
        <v>875</v>
      </c>
      <c r="C78" s="241"/>
      <c r="D78" s="241"/>
      <c r="E78" s="253" t="s">
        <v>851</v>
      </c>
      <c r="F78" s="226" t="s">
        <v>287</v>
      </c>
      <c r="G78" s="227">
        <v>3</v>
      </c>
      <c r="H78" s="227"/>
      <c r="I78" s="227"/>
      <c r="J78" s="228"/>
      <c r="K78" s="228"/>
      <c r="L78" s="228"/>
      <c r="M78" s="228"/>
      <c r="N78" s="230"/>
    </row>
    <row r="79" spans="1:14" ht="27.6" customHeight="1" outlineLevel="2">
      <c r="A79" s="235">
        <f>SUBTOTAL(3,$F$50:F79)</f>
        <v>26</v>
      </c>
      <c r="B79" s="230" t="s">
        <v>876</v>
      </c>
      <c r="C79" s="241"/>
      <c r="D79" s="241"/>
      <c r="E79" s="253" t="s">
        <v>851</v>
      </c>
      <c r="F79" s="226" t="s">
        <v>287</v>
      </c>
      <c r="G79" s="227">
        <v>3</v>
      </c>
      <c r="H79" s="227"/>
      <c r="I79" s="227"/>
      <c r="J79" s="228"/>
      <c r="K79" s="228"/>
      <c r="L79" s="228"/>
      <c r="M79" s="228"/>
      <c r="N79" s="230"/>
    </row>
    <row r="80" spans="1:14" ht="27.6" customHeight="1" outlineLevel="2">
      <c r="A80" s="235">
        <f>SUBTOTAL(3,$F$50:F80)</f>
        <v>27</v>
      </c>
      <c r="B80" s="230" t="s">
        <v>877</v>
      </c>
      <c r="C80" s="241"/>
      <c r="D80" s="241"/>
      <c r="E80" s="253" t="s">
        <v>851</v>
      </c>
      <c r="F80" s="226" t="s">
        <v>287</v>
      </c>
      <c r="G80" s="227">
        <v>3</v>
      </c>
      <c r="H80" s="227"/>
      <c r="I80" s="227"/>
      <c r="J80" s="228"/>
      <c r="K80" s="228"/>
      <c r="L80" s="228"/>
      <c r="M80" s="228"/>
      <c r="N80" s="230"/>
    </row>
    <row r="81" spans="1:14" outlineLevel="2">
      <c r="A81" s="244"/>
      <c r="B81" s="245" t="s">
        <v>878</v>
      </c>
      <c r="C81" s="246"/>
      <c r="D81" s="246"/>
      <c r="E81" s="247"/>
      <c r="F81" s="248"/>
      <c r="G81" s="249"/>
      <c r="H81" s="249"/>
      <c r="I81" s="249"/>
      <c r="J81" s="228"/>
      <c r="K81" s="228"/>
      <c r="L81" s="228"/>
      <c r="M81" s="228"/>
      <c r="N81" s="245"/>
    </row>
    <row r="82" spans="1:14" ht="27.6" customHeight="1" outlineLevel="2">
      <c r="A82" s="235">
        <f>SUBTOTAL(3,$F$50:F82)</f>
        <v>28</v>
      </c>
      <c r="B82" s="230" t="s">
        <v>879</v>
      </c>
      <c r="C82" s="241"/>
      <c r="D82" s="241"/>
      <c r="E82" s="253" t="s">
        <v>851</v>
      </c>
      <c r="F82" s="226" t="s">
        <v>287</v>
      </c>
      <c r="G82" s="227">
        <v>2</v>
      </c>
      <c r="H82" s="227"/>
      <c r="I82" s="227"/>
      <c r="J82" s="228"/>
      <c r="K82" s="228"/>
      <c r="L82" s="228"/>
      <c r="M82" s="228"/>
      <c r="N82" s="230"/>
    </row>
    <row r="83" spans="1:14" outlineLevel="2">
      <c r="A83" s="244"/>
      <c r="B83" s="245" t="s">
        <v>880</v>
      </c>
      <c r="C83" s="246"/>
      <c r="D83" s="246"/>
      <c r="E83" s="247"/>
      <c r="F83" s="248"/>
      <c r="G83" s="249"/>
      <c r="H83" s="249"/>
      <c r="I83" s="249"/>
      <c r="J83" s="228"/>
      <c r="K83" s="228"/>
      <c r="L83" s="228"/>
      <c r="M83" s="228"/>
      <c r="N83" s="245"/>
    </row>
    <row r="84" spans="1:14" ht="27.6" customHeight="1" outlineLevel="2">
      <c r="A84" s="235">
        <f>SUBTOTAL(3,$F$50:F84)</f>
        <v>29</v>
      </c>
      <c r="B84" s="230" t="s">
        <v>881</v>
      </c>
      <c r="C84" s="241"/>
      <c r="D84" s="241"/>
      <c r="E84" s="253" t="s">
        <v>851</v>
      </c>
      <c r="F84" s="226" t="s">
        <v>287</v>
      </c>
      <c r="G84" s="227">
        <v>1</v>
      </c>
      <c r="H84" s="227"/>
      <c r="I84" s="227"/>
      <c r="J84" s="228"/>
      <c r="K84" s="228"/>
      <c r="L84" s="228"/>
      <c r="M84" s="228"/>
      <c r="N84" s="230"/>
    </row>
    <row r="85" spans="1:14" outlineLevel="2">
      <c r="A85" s="244"/>
      <c r="B85" s="254" t="s">
        <v>882</v>
      </c>
      <c r="C85" s="246"/>
      <c r="D85" s="246"/>
      <c r="E85" s="247"/>
      <c r="F85" s="248"/>
      <c r="G85" s="249"/>
      <c r="H85" s="249"/>
      <c r="I85" s="249"/>
      <c r="J85" s="228"/>
      <c r="K85" s="228"/>
      <c r="L85" s="228"/>
      <c r="M85" s="228"/>
      <c r="N85" s="245"/>
    </row>
    <row r="86" spans="1:14" ht="41.4" customHeight="1" outlineLevel="2">
      <c r="A86" s="235">
        <f>SUBTOTAL(3,$F$50:F86)</f>
        <v>30</v>
      </c>
      <c r="B86" s="230" t="s">
        <v>883</v>
      </c>
      <c r="C86" s="241"/>
      <c r="D86" s="241"/>
      <c r="E86" s="251" t="s">
        <v>884</v>
      </c>
      <c r="F86" s="226" t="s">
        <v>844</v>
      </c>
      <c r="G86" s="227">
        <v>42</v>
      </c>
      <c r="H86" s="227"/>
      <c r="I86" s="227"/>
      <c r="J86" s="228"/>
      <c r="K86" s="228"/>
      <c r="L86" s="228"/>
      <c r="M86" s="228"/>
      <c r="N86" s="230"/>
    </row>
    <row r="87" spans="1:14" ht="41.4" customHeight="1" outlineLevel="2">
      <c r="A87" s="235">
        <f>SUBTOTAL(3,$F$50:F87)</f>
        <v>31</v>
      </c>
      <c r="B87" s="230" t="s">
        <v>885</v>
      </c>
      <c r="C87" s="241"/>
      <c r="D87" s="241"/>
      <c r="E87" s="251" t="s">
        <v>884</v>
      </c>
      <c r="F87" s="226" t="s">
        <v>844</v>
      </c>
      <c r="G87" s="227">
        <v>17</v>
      </c>
      <c r="H87" s="227"/>
      <c r="I87" s="227"/>
      <c r="J87" s="228"/>
      <c r="K87" s="228"/>
      <c r="L87" s="228"/>
      <c r="M87" s="228"/>
      <c r="N87" s="230"/>
    </row>
    <row r="88" spans="1:14" ht="41.4" customHeight="1" outlineLevel="2">
      <c r="A88" s="235">
        <f>SUBTOTAL(3,$F$50:F88)</f>
        <v>32</v>
      </c>
      <c r="B88" s="230" t="s">
        <v>886</v>
      </c>
      <c r="C88" s="241"/>
      <c r="D88" s="241"/>
      <c r="E88" s="251" t="s">
        <v>884</v>
      </c>
      <c r="F88" s="226" t="s">
        <v>844</v>
      </c>
      <c r="G88" s="227">
        <v>60</v>
      </c>
      <c r="H88" s="227"/>
      <c r="I88" s="227"/>
      <c r="J88" s="228"/>
      <c r="K88" s="228"/>
      <c r="L88" s="228"/>
      <c r="M88" s="228"/>
      <c r="N88" s="230"/>
    </row>
    <row r="89" spans="1:14" ht="41.4" customHeight="1" outlineLevel="2">
      <c r="A89" s="235">
        <f>SUBTOTAL(3,$F$50:F89)</f>
        <v>33</v>
      </c>
      <c r="B89" s="230" t="s">
        <v>887</v>
      </c>
      <c r="C89" s="241"/>
      <c r="D89" s="241"/>
      <c r="E89" s="251" t="s">
        <v>884</v>
      </c>
      <c r="F89" s="226" t="s">
        <v>844</v>
      </c>
      <c r="G89" s="227">
        <v>4</v>
      </c>
      <c r="H89" s="227"/>
      <c r="I89" s="227"/>
      <c r="J89" s="228"/>
      <c r="K89" s="228"/>
      <c r="L89" s="228"/>
      <c r="M89" s="228"/>
      <c r="N89" s="230"/>
    </row>
    <row r="90" spans="1:14" ht="41.4" customHeight="1" outlineLevel="2">
      <c r="A90" s="235">
        <f>SUBTOTAL(3,$F$50:F90)</f>
        <v>34</v>
      </c>
      <c r="B90" s="230" t="s">
        <v>888</v>
      </c>
      <c r="C90" s="241"/>
      <c r="D90" s="241"/>
      <c r="E90" s="251" t="s">
        <v>884</v>
      </c>
      <c r="F90" s="226" t="s">
        <v>844</v>
      </c>
      <c r="G90" s="227">
        <v>1</v>
      </c>
      <c r="H90" s="227"/>
      <c r="I90" s="227"/>
      <c r="J90" s="228"/>
      <c r="K90" s="228"/>
      <c r="L90" s="228"/>
      <c r="M90" s="228"/>
      <c r="N90" s="230"/>
    </row>
    <row r="91" spans="1:14" ht="69" customHeight="1" outlineLevel="2">
      <c r="A91" s="235">
        <f>SUBTOTAL(3,$F$50:F91)</f>
        <v>35</v>
      </c>
      <c r="B91" s="230" t="s">
        <v>889</v>
      </c>
      <c r="C91" s="241"/>
      <c r="D91" s="241"/>
      <c r="E91" s="251" t="s">
        <v>884</v>
      </c>
      <c r="F91" s="226" t="s">
        <v>844</v>
      </c>
      <c r="G91" s="227">
        <v>1</v>
      </c>
      <c r="H91" s="227"/>
      <c r="I91" s="227"/>
      <c r="J91" s="228"/>
      <c r="K91" s="228"/>
      <c r="L91" s="228"/>
      <c r="M91" s="228"/>
      <c r="N91" s="230"/>
    </row>
    <row r="92" spans="1:14" ht="27.6" customHeight="1" outlineLevel="2">
      <c r="A92" s="235">
        <f>SUBTOTAL(3,$F$50:F92)</f>
        <v>36</v>
      </c>
      <c r="B92" s="318" t="s">
        <v>890</v>
      </c>
      <c r="C92" s="241"/>
      <c r="D92" s="241"/>
      <c r="E92" s="253" t="s">
        <v>851</v>
      </c>
      <c r="F92" s="226" t="s">
        <v>287</v>
      </c>
      <c r="G92" s="227">
        <v>18</v>
      </c>
      <c r="H92" s="227"/>
      <c r="I92" s="227"/>
      <c r="J92" s="228"/>
      <c r="K92" s="228"/>
      <c r="L92" s="228"/>
      <c r="M92" s="228"/>
      <c r="N92" s="230"/>
    </row>
    <row r="93" spans="1:14" ht="27.6" customHeight="1" outlineLevel="2">
      <c r="A93" s="235">
        <f>SUBTOTAL(3,$F$50:F93)</f>
        <v>37</v>
      </c>
      <c r="B93" s="318" t="s">
        <v>891</v>
      </c>
      <c r="C93" s="241"/>
      <c r="D93" s="241"/>
      <c r="E93" s="253" t="s">
        <v>851</v>
      </c>
      <c r="F93" s="226" t="s">
        <v>287</v>
      </c>
      <c r="G93" s="227">
        <v>8</v>
      </c>
      <c r="H93" s="227"/>
      <c r="I93" s="227"/>
      <c r="J93" s="228"/>
      <c r="K93" s="228"/>
      <c r="L93" s="228"/>
      <c r="M93" s="228"/>
      <c r="N93" s="230"/>
    </row>
    <row r="94" spans="1:14" ht="27.6" customHeight="1" outlineLevel="2">
      <c r="A94" s="235">
        <f>SUBTOTAL(3,$F$50:F94)</f>
        <v>38</v>
      </c>
      <c r="B94" s="318" t="s">
        <v>892</v>
      </c>
      <c r="C94" s="241"/>
      <c r="D94" s="241"/>
      <c r="E94" s="253" t="s">
        <v>851</v>
      </c>
      <c r="F94" s="226" t="s">
        <v>287</v>
      </c>
      <c r="G94" s="227">
        <v>1</v>
      </c>
      <c r="H94" s="227"/>
      <c r="I94" s="227"/>
      <c r="J94" s="228"/>
      <c r="K94" s="228"/>
      <c r="L94" s="228"/>
      <c r="M94" s="228"/>
      <c r="N94" s="230"/>
    </row>
    <row r="95" spans="1:14" ht="27.6" customHeight="1" outlineLevel="2">
      <c r="A95" s="235">
        <f>SUBTOTAL(3,$F$50:F95)</f>
        <v>39</v>
      </c>
      <c r="B95" s="318" t="s">
        <v>893</v>
      </c>
      <c r="C95" s="241"/>
      <c r="D95" s="241"/>
      <c r="E95" s="253" t="s">
        <v>851</v>
      </c>
      <c r="F95" s="226" t="s">
        <v>287</v>
      </c>
      <c r="G95" s="227">
        <v>12</v>
      </c>
      <c r="H95" s="227"/>
      <c r="I95" s="227"/>
      <c r="J95" s="228"/>
      <c r="K95" s="228"/>
      <c r="L95" s="228"/>
      <c r="M95" s="228"/>
      <c r="N95" s="230"/>
    </row>
    <row r="96" spans="1:14" outlineLevel="2">
      <c r="A96" s="244"/>
      <c r="B96" s="245" t="s">
        <v>894</v>
      </c>
      <c r="C96" s="246"/>
      <c r="D96" s="246"/>
      <c r="E96" s="247"/>
      <c r="F96" s="248"/>
      <c r="G96" s="249"/>
      <c r="H96" s="249"/>
      <c r="I96" s="249"/>
      <c r="J96" s="228"/>
      <c r="K96" s="228"/>
      <c r="L96" s="228"/>
      <c r="M96" s="228"/>
      <c r="N96" s="245"/>
    </row>
    <row r="97" spans="1:14" ht="26.4" outlineLevel="2">
      <c r="A97" s="235">
        <f>SUBTOTAL(3,$F$50:F97)</f>
        <v>40</v>
      </c>
      <c r="B97" s="318" t="s">
        <v>895</v>
      </c>
      <c r="C97" s="241"/>
      <c r="D97" s="241"/>
      <c r="E97" s="253"/>
      <c r="F97" s="226" t="s">
        <v>287</v>
      </c>
      <c r="G97" s="227">
        <v>15</v>
      </c>
      <c r="H97" s="227"/>
      <c r="I97" s="227"/>
      <c r="J97" s="228"/>
      <c r="K97" s="228"/>
      <c r="L97" s="228"/>
      <c r="M97" s="228"/>
      <c r="N97" s="230"/>
    </row>
    <row r="98" spans="1:14" outlineLevel="2">
      <c r="A98" s="244"/>
      <c r="B98" s="245" t="s">
        <v>896</v>
      </c>
      <c r="C98" s="246"/>
      <c r="D98" s="246"/>
      <c r="E98" s="247"/>
      <c r="F98" s="248"/>
      <c r="G98" s="249"/>
      <c r="H98" s="249"/>
      <c r="I98" s="249"/>
      <c r="J98" s="228"/>
      <c r="K98" s="228"/>
      <c r="L98" s="228"/>
      <c r="M98" s="228"/>
      <c r="N98" s="245"/>
    </row>
    <row r="99" spans="1:14" ht="27.6" customHeight="1" outlineLevel="2">
      <c r="A99" s="235">
        <f>SUBTOTAL(3,$F$50:F99)</f>
        <v>41</v>
      </c>
      <c r="B99" s="318" t="s">
        <v>897</v>
      </c>
      <c r="C99" s="241"/>
      <c r="D99" s="241"/>
      <c r="E99" s="320" t="s">
        <v>898</v>
      </c>
      <c r="F99" s="226" t="s">
        <v>287</v>
      </c>
      <c r="G99" s="227">
        <v>76</v>
      </c>
      <c r="H99" s="227"/>
      <c r="I99" s="227"/>
      <c r="J99" s="228"/>
      <c r="K99" s="228"/>
      <c r="L99" s="228"/>
      <c r="M99" s="228"/>
      <c r="N99" s="230"/>
    </row>
    <row r="100" spans="1:14" ht="41.4" customHeight="1" outlineLevel="2">
      <c r="A100" s="244"/>
      <c r="B100" s="245" t="s">
        <v>899</v>
      </c>
      <c r="C100" s="246"/>
      <c r="D100" s="246"/>
      <c r="E100" s="247"/>
      <c r="F100" s="248"/>
      <c r="G100" s="249"/>
      <c r="H100" s="249"/>
      <c r="I100" s="249"/>
      <c r="J100" s="228"/>
      <c r="K100" s="228"/>
      <c r="L100" s="228"/>
      <c r="M100" s="228"/>
      <c r="N100" s="245"/>
    </row>
    <row r="101" spans="1:14" ht="17.399999999999999" customHeight="1" outlineLevel="2">
      <c r="A101" s="235">
        <f>SUBTOTAL(3,$F$50:F101)</f>
        <v>42</v>
      </c>
      <c r="B101" s="318" t="s">
        <v>900</v>
      </c>
      <c r="C101" s="241"/>
      <c r="D101" s="241"/>
      <c r="E101" s="253" t="s">
        <v>901</v>
      </c>
      <c r="F101" s="226" t="s">
        <v>570</v>
      </c>
      <c r="G101" s="227">
        <v>93</v>
      </c>
      <c r="H101" s="227"/>
      <c r="I101" s="227"/>
      <c r="J101" s="228"/>
      <c r="K101" s="228"/>
      <c r="L101" s="228"/>
      <c r="M101" s="228"/>
      <c r="N101" s="230"/>
    </row>
    <row r="102" spans="1:14" ht="30.6" customHeight="1" outlineLevel="2">
      <c r="A102" s="244"/>
      <c r="B102" s="245" t="s">
        <v>902</v>
      </c>
      <c r="C102" s="246" t="s">
        <v>903</v>
      </c>
      <c r="D102" s="246"/>
      <c r="E102" s="247"/>
      <c r="F102" s="248"/>
      <c r="G102" s="249"/>
      <c r="H102" s="249"/>
      <c r="I102" s="249"/>
      <c r="J102" s="228"/>
      <c r="K102" s="228"/>
      <c r="L102" s="228"/>
      <c r="M102" s="228"/>
      <c r="N102" s="245"/>
    </row>
    <row r="103" spans="1:14" ht="32.4" customHeight="1" outlineLevel="2">
      <c r="A103" s="235">
        <f>SUBTOTAL(3,$F$50:F103)</f>
        <v>43</v>
      </c>
      <c r="B103" s="230" t="s">
        <v>904</v>
      </c>
      <c r="C103" s="241"/>
      <c r="D103" s="241"/>
      <c r="E103" s="253" t="s">
        <v>905</v>
      </c>
      <c r="F103" s="226" t="s">
        <v>570</v>
      </c>
      <c r="G103" s="227">
        <v>90</v>
      </c>
      <c r="H103" s="227"/>
      <c r="I103" s="227"/>
      <c r="J103" s="228"/>
      <c r="K103" s="228"/>
      <c r="L103" s="228"/>
      <c r="M103" s="228"/>
      <c r="N103" s="230"/>
    </row>
    <row r="104" spans="1:14" ht="32.4" customHeight="1" outlineLevel="2">
      <c r="A104" s="235">
        <f>SUBTOTAL(3,$F$50:F104)</f>
        <v>44</v>
      </c>
      <c r="B104" s="230" t="s">
        <v>906</v>
      </c>
      <c r="C104" s="241"/>
      <c r="D104" s="241"/>
      <c r="E104" s="253" t="s">
        <v>905</v>
      </c>
      <c r="F104" s="226" t="s">
        <v>570</v>
      </c>
      <c r="G104" s="227">
        <v>56</v>
      </c>
      <c r="H104" s="227"/>
      <c r="I104" s="227"/>
      <c r="J104" s="228"/>
      <c r="K104" s="228"/>
      <c r="L104" s="228"/>
      <c r="M104" s="228"/>
      <c r="N104" s="230"/>
    </row>
    <row r="105" spans="1:14" ht="32.4" customHeight="1" outlineLevel="2">
      <c r="A105" s="235">
        <f>SUBTOTAL(3,$F$50:F105)</f>
        <v>45</v>
      </c>
      <c r="B105" s="230" t="s">
        <v>907</v>
      </c>
      <c r="C105" s="241"/>
      <c r="D105" s="241"/>
      <c r="E105" s="253" t="s">
        <v>905</v>
      </c>
      <c r="F105" s="226" t="s">
        <v>570</v>
      </c>
      <c r="G105" s="227">
        <v>18</v>
      </c>
      <c r="H105" s="227"/>
      <c r="I105" s="227"/>
      <c r="J105" s="228"/>
      <c r="K105" s="228"/>
      <c r="L105" s="228"/>
      <c r="M105" s="228"/>
      <c r="N105" s="230"/>
    </row>
    <row r="106" spans="1:14" ht="32.4" customHeight="1" outlineLevel="2">
      <c r="A106" s="235">
        <f>SUBTOTAL(3,$F$50:F106)</f>
        <v>46</v>
      </c>
      <c r="B106" s="230" t="s">
        <v>908</v>
      </c>
      <c r="C106" s="241"/>
      <c r="D106" s="241"/>
      <c r="E106" s="253" t="s">
        <v>905</v>
      </c>
      <c r="F106" s="226" t="s">
        <v>570</v>
      </c>
      <c r="G106" s="227">
        <v>15</v>
      </c>
      <c r="H106" s="227"/>
      <c r="I106" s="227"/>
      <c r="J106" s="228"/>
      <c r="K106" s="228"/>
      <c r="L106" s="228"/>
      <c r="M106" s="228"/>
      <c r="N106" s="230"/>
    </row>
    <row r="107" spans="1:14" ht="21.6" customHeight="1" outlineLevel="2">
      <c r="A107" s="235">
        <f>SUBTOTAL(3,$F$50:F107)</f>
        <v>47</v>
      </c>
      <c r="B107" s="230" t="s">
        <v>909</v>
      </c>
      <c r="C107" s="241"/>
      <c r="D107" s="241"/>
      <c r="E107" s="253"/>
      <c r="F107" s="226" t="s">
        <v>276</v>
      </c>
      <c r="G107" s="227"/>
      <c r="H107" s="227"/>
      <c r="I107" s="227"/>
      <c r="J107" s="228"/>
      <c r="K107" s="228"/>
      <c r="L107" s="228"/>
      <c r="M107" s="228"/>
      <c r="N107" s="230"/>
    </row>
    <row r="108" spans="1:14" ht="21.6" customHeight="1" outlineLevel="2">
      <c r="A108" s="235">
        <f>SUBTOTAL(3,$F$50:F108)</f>
        <v>48</v>
      </c>
      <c r="B108" s="230" t="s">
        <v>910</v>
      </c>
      <c r="C108" s="241"/>
      <c r="D108" s="241"/>
      <c r="E108" s="253"/>
      <c r="F108" s="226" t="s">
        <v>276</v>
      </c>
      <c r="G108" s="227"/>
      <c r="H108" s="227"/>
      <c r="I108" s="227"/>
      <c r="J108" s="228"/>
      <c r="K108" s="228"/>
      <c r="L108" s="228"/>
      <c r="M108" s="228"/>
      <c r="N108" s="230"/>
    </row>
    <row r="109" spans="1:14" ht="19.8" customHeight="1" outlineLevel="2">
      <c r="A109" s="235"/>
      <c r="B109" s="245" t="s">
        <v>911</v>
      </c>
      <c r="C109" s="246"/>
      <c r="D109" s="246"/>
      <c r="E109" s="247"/>
      <c r="F109" s="248"/>
      <c r="G109" s="249"/>
      <c r="H109" s="249"/>
      <c r="I109" s="249"/>
      <c r="J109" s="228"/>
      <c r="K109" s="228"/>
      <c r="L109" s="228"/>
      <c r="M109" s="228"/>
      <c r="N109" s="245"/>
    </row>
    <row r="110" spans="1:14" ht="17.399999999999999" customHeight="1" outlineLevel="2">
      <c r="A110" s="235">
        <f>SUBTOTAL(3,$F$50:F110)</f>
        <v>49</v>
      </c>
      <c r="B110" s="230" t="s">
        <v>912</v>
      </c>
      <c r="C110" s="241"/>
      <c r="D110" s="241"/>
      <c r="E110" s="253" t="s">
        <v>901</v>
      </c>
      <c r="F110" s="226" t="s">
        <v>570</v>
      </c>
      <c r="G110" s="227">
        <v>438</v>
      </c>
      <c r="H110" s="227"/>
      <c r="I110" s="227"/>
      <c r="J110" s="228"/>
      <c r="K110" s="228"/>
      <c r="L110" s="228"/>
      <c r="M110" s="228"/>
      <c r="N110" s="230"/>
    </row>
    <row r="111" spans="1:14" ht="17.399999999999999" customHeight="1" outlineLevel="2">
      <c r="A111" s="235">
        <f>SUBTOTAL(3,$F$50:F111)</f>
        <v>50</v>
      </c>
      <c r="B111" s="230" t="s">
        <v>913</v>
      </c>
      <c r="C111" s="241"/>
      <c r="D111" s="241"/>
      <c r="E111" s="253" t="s">
        <v>901</v>
      </c>
      <c r="F111" s="226" t="s">
        <v>570</v>
      </c>
      <c r="G111" s="227">
        <v>56</v>
      </c>
      <c r="H111" s="227"/>
      <c r="I111" s="227"/>
      <c r="J111" s="228"/>
      <c r="K111" s="228"/>
      <c r="L111" s="228"/>
      <c r="M111" s="228"/>
      <c r="N111" s="230"/>
    </row>
    <row r="112" spans="1:14" ht="17.399999999999999" customHeight="1" outlineLevel="2">
      <c r="A112" s="235">
        <f>SUBTOTAL(3,$F$50:F112)</f>
        <v>51</v>
      </c>
      <c r="B112" s="230" t="s">
        <v>914</v>
      </c>
      <c r="C112" s="241"/>
      <c r="D112" s="241"/>
      <c r="E112" s="253" t="s">
        <v>901</v>
      </c>
      <c r="F112" s="226" t="s">
        <v>570</v>
      </c>
      <c r="G112" s="227">
        <v>418</v>
      </c>
      <c r="H112" s="227"/>
      <c r="I112" s="227"/>
      <c r="J112" s="228"/>
      <c r="K112" s="228"/>
      <c r="L112" s="228"/>
      <c r="M112" s="228"/>
      <c r="N112" s="230"/>
    </row>
    <row r="113" spans="1:14" ht="17.399999999999999" customHeight="1" outlineLevel="2">
      <c r="A113" s="235">
        <f>SUBTOTAL(3,$F$50:F113)</f>
        <v>52</v>
      </c>
      <c r="B113" s="230" t="s">
        <v>915</v>
      </c>
      <c r="C113" s="241"/>
      <c r="D113" s="241"/>
      <c r="E113" s="253" t="s">
        <v>901</v>
      </c>
      <c r="F113" s="226" t="s">
        <v>570</v>
      </c>
      <c r="G113" s="227">
        <v>1230</v>
      </c>
      <c r="H113" s="227"/>
      <c r="I113" s="227"/>
      <c r="J113" s="228"/>
      <c r="K113" s="228"/>
      <c r="L113" s="228"/>
      <c r="M113" s="228"/>
      <c r="N113" s="230"/>
    </row>
    <row r="114" spans="1:14" ht="17.399999999999999" customHeight="1" outlineLevel="2">
      <c r="A114" s="235">
        <f>SUBTOTAL(3,$F$50:F114)</f>
        <v>53</v>
      </c>
      <c r="B114" s="230" t="s">
        <v>916</v>
      </c>
      <c r="C114" s="241"/>
      <c r="D114" s="241"/>
      <c r="E114" s="253" t="s">
        <v>901</v>
      </c>
      <c r="F114" s="226" t="s">
        <v>570</v>
      </c>
      <c r="G114" s="227">
        <v>50</v>
      </c>
      <c r="H114" s="227"/>
      <c r="I114" s="227"/>
      <c r="J114" s="228"/>
      <c r="K114" s="228"/>
      <c r="L114" s="228"/>
      <c r="M114" s="228"/>
      <c r="N114" s="230"/>
    </row>
    <row r="115" spans="1:14" ht="17.399999999999999" customHeight="1" outlineLevel="2">
      <c r="A115" s="235">
        <f>SUBTOTAL(3,$F$50:F115)</f>
        <v>54</v>
      </c>
      <c r="B115" s="230" t="s">
        <v>917</v>
      </c>
      <c r="C115" s="241"/>
      <c r="D115" s="241"/>
      <c r="E115" s="253" t="s">
        <v>901</v>
      </c>
      <c r="F115" s="226" t="s">
        <v>570</v>
      </c>
      <c r="G115" s="227">
        <v>236</v>
      </c>
      <c r="H115" s="227"/>
      <c r="I115" s="227"/>
      <c r="J115" s="228"/>
      <c r="K115" s="228"/>
      <c r="L115" s="228"/>
      <c r="M115" s="228"/>
      <c r="N115" s="230"/>
    </row>
    <row r="116" spans="1:14" ht="17.399999999999999" customHeight="1" outlineLevel="2">
      <c r="A116" s="235">
        <f>SUBTOTAL(3,$F$50:F116)</f>
        <v>55</v>
      </c>
      <c r="B116" s="230" t="s">
        <v>918</v>
      </c>
      <c r="C116" s="241"/>
      <c r="D116" s="241"/>
      <c r="E116" s="253" t="s">
        <v>901</v>
      </c>
      <c r="F116" s="226" t="s">
        <v>570</v>
      </c>
      <c r="G116" s="227">
        <v>301</v>
      </c>
      <c r="H116" s="227"/>
      <c r="I116" s="227"/>
      <c r="J116" s="228"/>
      <c r="K116" s="228"/>
      <c r="L116" s="228"/>
      <c r="M116" s="228"/>
      <c r="N116" s="230"/>
    </row>
    <row r="117" spans="1:14" ht="17.399999999999999" customHeight="1" outlineLevel="2">
      <c r="A117" s="235">
        <f>SUBTOTAL(3,$F$50:F117)</f>
        <v>56</v>
      </c>
      <c r="B117" s="230" t="s">
        <v>919</v>
      </c>
      <c r="C117" s="241"/>
      <c r="D117" s="241"/>
      <c r="E117" s="253" t="s">
        <v>901</v>
      </c>
      <c r="F117" s="226" t="s">
        <v>570</v>
      </c>
      <c r="G117" s="227">
        <v>316</v>
      </c>
      <c r="H117" s="227"/>
      <c r="I117" s="227"/>
      <c r="J117" s="228"/>
      <c r="K117" s="228"/>
      <c r="L117" s="228"/>
      <c r="M117" s="228"/>
      <c r="N117" s="230"/>
    </row>
    <row r="118" spans="1:14" ht="17.399999999999999" customHeight="1" outlineLevel="2">
      <c r="A118" s="235">
        <f>SUBTOTAL(3,$F$50:F118)</f>
        <v>57</v>
      </c>
      <c r="B118" s="230" t="s">
        <v>920</v>
      </c>
      <c r="C118" s="241"/>
      <c r="D118" s="241"/>
      <c r="E118" s="253" t="s">
        <v>901</v>
      </c>
      <c r="F118" s="226" t="s">
        <v>570</v>
      </c>
      <c r="G118" s="227">
        <v>113</v>
      </c>
      <c r="H118" s="227"/>
      <c r="I118" s="227"/>
      <c r="J118" s="228"/>
      <c r="K118" s="228"/>
      <c r="L118" s="228"/>
      <c r="M118" s="228"/>
      <c r="N118" s="230"/>
    </row>
    <row r="119" spans="1:14" ht="21.6" customHeight="1" outlineLevel="2">
      <c r="A119" s="235">
        <f>SUBTOTAL(3,$F$50:F119)</f>
        <v>58</v>
      </c>
      <c r="B119" s="230" t="s">
        <v>909</v>
      </c>
      <c r="C119" s="241"/>
      <c r="D119" s="241"/>
      <c r="E119" s="253"/>
      <c r="F119" s="226" t="s">
        <v>276</v>
      </c>
      <c r="G119" s="227">
        <v>1</v>
      </c>
      <c r="H119" s="227"/>
      <c r="I119" s="227"/>
      <c r="J119" s="228"/>
      <c r="K119" s="228"/>
      <c r="L119" s="228"/>
      <c r="M119" s="228"/>
      <c r="N119" s="230"/>
    </row>
    <row r="120" spans="1:14" ht="27.6" customHeight="1" outlineLevel="2">
      <c r="A120" s="235">
        <f>SUBTOTAL(3,$F$50:F120)</f>
        <v>59</v>
      </c>
      <c r="B120" s="230" t="s">
        <v>921</v>
      </c>
      <c r="C120" s="241"/>
      <c r="D120" s="241"/>
      <c r="E120" s="253"/>
      <c r="F120" s="226" t="s">
        <v>276</v>
      </c>
      <c r="G120" s="227">
        <v>1</v>
      </c>
      <c r="H120" s="227"/>
      <c r="I120" s="227"/>
      <c r="J120" s="228"/>
      <c r="K120" s="228"/>
      <c r="L120" s="228"/>
      <c r="M120" s="228"/>
      <c r="N120" s="230"/>
    </row>
    <row r="121" spans="1:14" ht="27.6" customHeight="1" outlineLevel="2">
      <c r="A121" s="244"/>
      <c r="B121" s="245" t="s">
        <v>922</v>
      </c>
      <c r="C121" s="246"/>
      <c r="D121" s="246"/>
      <c r="E121" s="247"/>
      <c r="F121" s="248"/>
      <c r="G121" s="249"/>
      <c r="H121" s="249"/>
      <c r="I121" s="249"/>
      <c r="J121" s="228"/>
      <c r="K121" s="228"/>
      <c r="L121" s="228"/>
      <c r="M121" s="228"/>
      <c r="N121" s="245"/>
    </row>
    <row r="122" spans="1:14" outlineLevel="2">
      <c r="A122" s="235">
        <f>SUBTOTAL(3,$F$50:F122)</f>
        <v>60</v>
      </c>
      <c r="B122" s="230" t="s">
        <v>923</v>
      </c>
      <c r="C122" s="241"/>
      <c r="D122" s="241"/>
      <c r="E122" s="253" t="s">
        <v>901</v>
      </c>
      <c r="F122" s="226" t="s">
        <v>570</v>
      </c>
      <c r="G122" s="227">
        <v>1048</v>
      </c>
      <c r="H122" s="227"/>
      <c r="I122" s="227"/>
      <c r="J122" s="228"/>
      <c r="K122" s="228"/>
      <c r="L122" s="228"/>
      <c r="M122" s="228"/>
      <c r="N122" s="230"/>
    </row>
    <row r="123" spans="1:14" outlineLevel="2">
      <c r="A123" s="235">
        <f>SUBTOTAL(3,$F$50:F123)</f>
        <v>61</v>
      </c>
      <c r="B123" s="230" t="s">
        <v>912</v>
      </c>
      <c r="C123" s="241"/>
      <c r="D123" s="241"/>
      <c r="E123" s="253" t="s">
        <v>901</v>
      </c>
      <c r="F123" s="226" t="s">
        <v>570</v>
      </c>
      <c r="G123" s="227">
        <v>6931</v>
      </c>
      <c r="H123" s="227"/>
      <c r="I123" s="227"/>
      <c r="J123" s="228"/>
      <c r="K123" s="228"/>
      <c r="L123" s="228"/>
      <c r="M123" s="228"/>
      <c r="N123" s="230"/>
    </row>
    <row r="124" spans="1:14" outlineLevel="2">
      <c r="A124" s="235">
        <f>SUBTOTAL(3,$F$50:F124)</f>
        <v>62</v>
      </c>
      <c r="B124" s="230" t="s">
        <v>913</v>
      </c>
      <c r="C124" s="241"/>
      <c r="D124" s="241"/>
      <c r="E124" s="253" t="s">
        <v>901</v>
      </c>
      <c r="F124" s="226" t="s">
        <v>570</v>
      </c>
      <c r="G124" s="227">
        <v>1641</v>
      </c>
      <c r="H124" s="227"/>
      <c r="I124" s="227"/>
      <c r="J124" s="228"/>
      <c r="K124" s="228"/>
      <c r="L124" s="228"/>
      <c r="M124" s="228"/>
      <c r="N124" s="230"/>
    </row>
    <row r="125" spans="1:14" outlineLevel="2">
      <c r="A125" s="235">
        <f>SUBTOTAL(3,$F$50:F125)</f>
        <v>63</v>
      </c>
      <c r="B125" s="230" t="s">
        <v>914</v>
      </c>
      <c r="C125" s="241"/>
      <c r="D125" s="241"/>
      <c r="E125" s="253" t="s">
        <v>901</v>
      </c>
      <c r="F125" s="226" t="s">
        <v>570</v>
      </c>
      <c r="G125" s="227">
        <v>500</v>
      </c>
      <c r="H125" s="227"/>
      <c r="I125" s="227"/>
      <c r="J125" s="228"/>
      <c r="K125" s="228"/>
      <c r="L125" s="228"/>
      <c r="M125" s="228"/>
      <c r="N125" s="230"/>
    </row>
    <row r="126" spans="1:14" outlineLevel="2">
      <c r="A126" s="235">
        <f>SUBTOTAL(3,$F$50:F126)</f>
        <v>64</v>
      </c>
      <c r="B126" s="230" t="s">
        <v>915</v>
      </c>
      <c r="C126" s="241"/>
      <c r="D126" s="241"/>
      <c r="E126" s="253" t="s">
        <v>901</v>
      </c>
      <c r="F126" s="226" t="s">
        <v>570</v>
      </c>
      <c r="G126" s="227">
        <v>224</v>
      </c>
      <c r="H126" s="227"/>
      <c r="I126" s="227"/>
      <c r="J126" s="228"/>
      <c r="K126" s="228"/>
      <c r="L126" s="228"/>
      <c r="M126" s="228"/>
      <c r="N126" s="230"/>
    </row>
    <row r="127" spans="1:14" ht="21.6" customHeight="1" outlineLevel="2">
      <c r="A127" s="235">
        <f>SUBTOTAL(3,$F$50:F127)</f>
        <v>65</v>
      </c>
      <c r="B127" s="230" t="s">
        <v>909</v>
      </c>
      <c r="C127" s="241"/>
      <c r="D127" s="241"/>
      <c r="E127" s="253"/>
      <c r="F127" s="226" t="s">
        <v>276</v>
      </c>
      <c r="G127" s="227">
        <v>1</v>
      </c>
      <c r="H127" s="227"/>
      <c r="I127" s="227"/>
      <c r="J127" s="228"/>
      <c r="K127" s="228"/>
      <c r="L127" s="228"/>
      <c r="M127" s="228"/>
      <c r="N127" s="230"/>
    </row>
    <row r="128" spans="1:14" ht="27.6" customHeight="1" outlineLevel="2">
      <c r="A128" s="235">
        <f>SUBTOTAL(3,$F$50:F128)</f>
        <v>66</v>
      </c>
      <c r="B128" s="230" t="s">
        <v>921</v>
      </c>
      <c r="C128" s="241"/>
      <c r="D128" s="241"/>
      <c r="E128" s="253"/>
      <c r="F128" s="226" t="s">
        <v>276</v>
      </c>
      <c r="G128" s="227">
        <v>1</v>
      </c>
      <c r="H128" s="227"/>
      <c r="I128" s="227"/>
      <c r="J128" s="228"/>
      <c r="K128" s="228"/>
      <c r="L128" s="228"/>
      <c r="M128" s="228"/>
      <c r="N128" s="230"/>
    </row>
    <row r="129" spans="1:14" outlineLevel="1">
      <c r="A129" s="222" t="s">
        <v>826</v>
      </c>
      <c r="B129" s="232" t="s">
        <v>924</v>
      </c>
      <c r="C129" s="255"/>
      <c r="D129" s="255"/>
      <c r="E129" s="243"/>
      <c r="F129" s="233"/>
      <c r="G129" s="220"/>
      <c r="H129" s="220"/>
      <c r="I129" s="220"/>
      <c r="J129" s="228"/>
      <c r="K129" s="228"/>
      <c r="L129" s="228"/>
      <c r="M129" s="228"/>
      <c r="N129" s="232"/>
    </row>
    <row r="130" spans="1:14" outlineLevel="2">
      <c r="A130" s="244"/>
      <c r="B130" s="245" t="s">
        <v>840</v>
      </c>
      <c r="C130" s="246"/>
      <c r="D130" s="246"/>
      <c r="E130" s="247"/>
      <c r="F130" s="248"/>
      <c r="G130" s="249"/>
      <c r="H130" s="249"/>
      <c r="I130" s="249"/>
      <c r="J130" s="228"/>
      <c r="K130" s="228"/>
      <c r="L130" s="228"/>
      <c r="M130" s="228"/>
      <c r="N130" s="245"/>
    </row>
    <row r="131" spans="1:14" ht="41.4" customHeight="1" outlineLevel="2">
      <c r="A131" s="235">
        <f>SUBTOTAL(3,$F$50:F131)</f>
        <v>67</v>
      </c>
      <c r="B131" s="230" t="s">
        <v>925</v>
      </c>
      <c r="C131" s="241"/>
      <c r="D131" s="241"/>
      <c r="E131" s="251" t="s">
        <v>926</v>
      </c>
      <c r="F131" s="226" t="s">
        <v>844</v>
      </c>
      <c r="G131" s="227">
        <v>1</v>
      </c>
      <c r="H131" s="227"/>
      <c r="I131" s="227"/>
      <c r="J131" s="228"/>
      <c r="K131" s="228"/>
      <c r="L131" s="228"/>
      <c r="M131" s="228"/>
      <c r="N131" s="230"/>
    </row>
    <row r="132" spans="1:14" outlineLevel="2">
      <c r="A132" s="244"/>
      <c r="B132" s="245" t="s">
        <v>849</v>
      </c>
      <c r="C132" s="246"/>
      <c r="D132" s="246"/>
      <c r="E132" s="247"/>
      <c r="F132" s="248"/>
      <c r="G132" s="249"/>
      <c r="H132" s="249"/>
      <c r="I132" s="249"/>
      <c r="J132" s="228"/>
      <c r="K132" s="228"/>
      <c r="L132" s="228"/>
      <c r="M132" s="228"/>
      <c r="N132" s="245"/>
    </row>
    <row r="133" spans="1:14" ht="27.6" customHeight="1" outlineLevel="2">
      <c r="A133" s="235">
        <f>SUBTOTAL(3,$F$50:F133)</f>
        <v>68</v>
      </c>
      <c r="B133" s="230" t="s">
        <v>852</v>
      </c>
      <c r="C133" s="241"/>
      <c r="D133" s="241"/>
      <c r="E133" s="253" t="s">
        <v>851</v>
      </c>
      <c r="F133" s="226" t="s">
        <v>287</v>
      </c>
      <c r="G133" s="227">
        <v>12</v>
      </c>
      <c r="H133" s="227"/>
      <c r="I133" s="227"/>
      <c r="J133" s="228"/>
      <c r="K133" s="228"/>
      <c r="L133" s="228"/>
      <c r="M133" s="228"/>
      <c r="N133" s="230"/>
    </row>
    <row r="134" spans="1:14" ht="27.6" customHeight="1" outlineLevel="2">
      <c r="A134" s="235">
        <f>SUBTOTAL(3,$F$50:F134)</f>
        <v>69</v>
      </c>
      <c r="B134" s="230" t="s">
        <v>854</v>
      </c>
      <c r="C134" s="241"/>
      <c r="D134" s="241"/>
      <c r="E134" s="253" t="s">
        <v>851</v>
      </c>
      <c r="F134" s="226" t="s">
        <v>287</v>
      </c>
      <c r="G134" s="227">
        <v>3</v>
      </c>
      <c r="H134" s="227"/>
      <c r="I134" s="227"/>
      <c r="J134" s="228"/>
      <c r="K134" s="228"/>
      <c r="L134" s="228"/>
      <c r="M134" s="228"/>
      <c r="N134" s="230"/>
    </row>
    <row r="135" spans="1:14" ht="27.6" customHeight="1" outlineLevel="2">
      <c r="A135" s="235">
        <f>SUBTOTAL(3,$F$50:F135)</f>
        <v>70</v>
      </c>
      <c r="B135" s="230" t="s">
        <v>927</v>
      </c>
      <c r="C135" s="241"/>
      <c r="D135" s="241"/>
      <c r="E135" s="253" t="s">
        <v>851</v>
      </c>
      <c r="F135" s="226" t="s">
        <v>287</v>
      </c>
      <c r="G135" s="227">
        <v>2</v>
      </c>
      <c r="H135" s="227"/>
      <c r="I135" s="227"/>
      <c r="J135" s="228"/>
      <c r="K135" s="228"/>
      <c r="L135" s="228"/>
      <c r="M135" s="228"/>
      <c r="N135" s="230"/>
    </row>
    <row r="136" spans="1:14" ht="27.6" customHeight="1" outlineLevel="2">
      <c r="A136" s="235">
        <f>SUBTOTAL(3,$F$50:F136)</f>
        <v>71</v>
      </c>
      <c r="B136" s="230" t="s">
        <v>857</v>
      </c>
      <c r="C136" s="241"/>
      <c r="D136" s="241"/>
      <c r="E136" s="253" t="s">
        <v>851</v>
      </c>
      <c r="F136" s="226" t="s">
        <v>287</v>
      </c>
      <c r="G136" s="227">
        <v>2</v>
      </c>
      <c r="H136" s="227"/>
      <c r="I136" s="227"/>
      <c r="J136" s="228"/>
      <c r="K136" s="228"/>
      <c r="L136" s="228"/>
      <c r="M136" s="228"/>
      <c r="N136" s="230"/>
    </row>
    <row r="137" spans="1:14" outlineLevel="2">
      <c r="A137" s="244"/>
      <c r="B137" s="245" t="s">
        <v>861</v>
      </c>
      <c r="C137" s="246"/>
      <c r="D137" s="246"/>
      <c r="E137" s="247"/>
      <c r="F137" s="248"/>
      <c r="G137" s="249"/>
      <c r="H137" s="249"/>
      <c r="I137" s="249"/>
      <c r="J137" s="228"/>
      <c r="K137" s="228"/>
      <c r="L137" s="228"/>
      <c r="M137" s="228"/>
      <c r="N137" s="245"/>
    </row>
    <row r="138" spans="1:14" ht="27.6" customHeight="1" outlineLevel="2">
      <c r="A138" s="235">
        <f>SUBTOTAL(3,$F$50:F138)</f>
        <v>72</v>
      </c>
      <c r="B138" s="230" t="s">
        <v>866</v>
      </c>
      <c r="C138" s="241"/>
      <c r="D138" s="241"/>
      <c r="E138" s="253" t="s">
        <v>851</v>
      </c>
      <c r="F138" s="226" t="s">
        <v>287</v>
      </c>
      <c r="G138" s="227">
        <v>2</v>
      </c>
      <c r="H138" s="227"/>
      <c r="I138" s="227"/>
      <c r="J138" s="228"/>
      <c r="K138" s="228"/>
      <c r="L138" s="228"/>
      <c r="M138" s="228"/>
      <c r="N138" s="230"/>
    </row>
    <row r="139" spans="1:14" outlineLevel="2">
      <c r="A139" s="244"/>
      <c r="B139" s="245" t="s">
        <v>880</v>
      </c>
      <c r="C139" s="246"/>
      <c r="D139" s="246"/>
      <c r="E139" s="247"/>
      <c r="F139" s="248"/>
      <c r="G139" s="249"/>
      <c r="H139" s="249"/>
      <c r="I139" s="249"/>
      <c r="J139" s="228"/>
      <c r="K139" s="228"/>
      <c r="L139" s="228"/>
      <c r="M139" s="228"/>
      <c r="N139" s="245"/>
    </row>
    <row r="140" spans="1:14" ht="27.6" customHeight="1" outlineLevel="2">
      <c r="A140" s="235">
        <f>SUBTOTAL(3,$F$50:F140)</f>
        <v>73</v>
      </c>
      <c r="B140" s="230" t="s">
        <v>881</v>
      </c>
      <c r="C140" s="241"/>
      <c r="D140" s="241"/>
      <c r="E140" s="253" t="s">
        <v>851</v>
      </c>
      <c r="F140" s="226" t="s">
        <v>287</v>
      </c>
      <c r="G140" s="227">
        <v>2</v>
      </c>
      <c r="H140" s="227"/>
      <c r="I140" s="227"/>
      <c r="J140" s="228"/>
      <c r="K140" s="228"/>
      <c r="L140" s="228"/>
      <c r="M140" s="228"/>
      <c r="N140" s="230"/>
    </row>
    <row r="141" spans="1:14" outlineLevel="2">
      <c r="A141" s="244"/>
      <c r="B141" s="245" t="s">
        <v>878</v>
      </c>
      <c r="C141" s="246"/>
      <c r="D141" s="246"/>
      <c r="E141" s="247"/>
      <c r="F141" s="248"/>
      <c r="G141" s="249"/>
      <c r="H141" s="249"/>
      <c r="I141" s="249"/>
      <c r="J141" s="228"/>
      <c r="K141" s="228"/>
      <c r="L141" s="228"/>
      <c r="M141" s="228"/>
      <c r="N141" s="245"/>
    </row>
    <row r="142" spans="1:14" ht="27.6" customHeight="1" outlineLevel="2">
      <c r="A142" s="235">
        <f>SUBTOTAL(3,$F$50:F142)</f>
        <v>74</v>
      </c>
      <c r="B142" s="230" t="s">
        <v>928</v>
      </c>
      <c r="C142" s="241"/>
      <c r="D142" s="241"/>
      <c r="E142" s="253" t="s">
        <v>851</v>
      </c>
      <c r="F142" s="226" t="s">
        <v>287</v>
      </c>
      <c r="G142" s="227">
        <v>2</v>
      </c>
      <c r="H142" s="227"/>
      <c r="I142" s="227"/>
      <c r="J142" s="228"/>
      <c r="K142" s="228"/>
      <c r="L142" s="228"/>
      <c r="M142" s="228"/>
      <c r="N142" s="230"/>
    </row>
    <row r="143" spans="1:14" outlineLevel="2">
      <c r="A143" s="244"/>
      <c r="B143" s="245" t="s">
        <v>870</v>
      </c>
      <c r="C143" s="246"/>
      <c r="D143" s="246"/>
      <c r="E143" s="247"/>
      <c r="F143" s="248"/>
      <c r="G143" s="249"/>
      <c r="H143" s="249"/>
      <c r="I143" s="249"/>
      <c r="J143" s="228"/>
      <c r="K143" s="228"/>
      <c r="L143" s="228"/>
      <c r="M143" s="228"/>
      <c r="N143" s="245"/>
    </row>
    <row r="144" spans="1:14" ht="27.6" customHeight="1" outlineLevel="2">
      <c r="A144" s="235">
        <f>SUBTOTAL(3,$F$50:F144)</f>
        <v>75</v>
      </c>
      <c r="B144" s="230" t="s">
        <v>929</v>
      </c>
      <c r="C144" s="241"/>
      <c r="D144" s="241"/>
      <c r="E144" s="253" t="s">
        <v>851</v>
      </c>
      <c r="F144" s="226" t="s">
        <v>287</v>
      </c>
      <c r="G144" s="227">
        <v>2</v>
      </c>
      <c r="H144" s="227"/>
      <c r="I144" s="227"/>
      <c r="J144" s="228"/>
      <c r="K144" s="228"/>
      <c r="L144" s="228"/>
      <c r="M144" s="228"/>
      <c r="N144" s="230"/>
    </row>
    <row r="145" spans="1:14" ht="27.6" customHeight="1" outlineLevel="2">
      <c r="A145" s="235">
        <f>SUBTOTAL(3,$F$50:F145)</f>
        <v>76</v>
      </c>
      <c r="B145" s="230" t="s">
        <v>871</v>
      </c>
      <c r="C145" s="241"/>
      <c r="D145" s="241"/>
      <c r="E145" s="253" t="s">
        <v>851</v>
      </c>
      <c r="F145" s="226" t="s">
        <v>287</v>
      </c>
      <c r="G145" s="227">
        <v>2</v>
      </c>
      <c r="H145" s="227"/>
      <c r="I145" s="227"/>
      <c r="J145" s="228"/>
      <c r="K145" s="228"/>
      <c r="L145" s="228"/>
      <c r="M145" s="228"/>
      <c r="N145" s="230"/>
    </row>
    <row r="146" spans="1:14" outlineLevel="2">
      <c r="A146" s="244"/>
      <c r="B146" s="245" t="s">
        <v>874</v>
      </c>
      <c r="C146" s="246"/>
      <c r="D146" s="246"/>
      <c r="E146" s="247"/>
      <c r="F146" s="248"/>
      <c r="G146" s="249"/>
      <c r="H146" s="249"/>
      <c r="I146" s="249"/>
      <c r="J146" s="228"/>
      <c r="K146" s="228"/>
      <c r="L146" s="228"/>
      <c r="M146" s="228"/>
      <c r="N146" s="245"/>
    </row>
    <row r="147" spans="1:14" ht="27.6" customHeight="1" outlineLevel="2">
      <c r="A147" s="235">
        <f>SUBTOTAL(3,$F$50:F147)</f>
        <v>77</v>
      </c>
      <c r="B147" s="230" t="s">
        <v>875</v>
      </c>
      <c r="C147" s="241"/>
      <c r="D147" s="241"/>
      <c r="E147" s="253" t="s">
        <v>851</v>
      </c>
      <c r="F147" s="226" t="s">
        <v>287</v>
      </c>
      <c r="G147" s="227">
        <v>2</v>
      </c>
      <c r="H147" s="227"/>
      <c r="I147" s="227"/>
      <c r="J147" s="228"/>
      <c r="K147" s="228"/>
      <c r="L147" s="228"/>
      <c r="M147" s="228"/>
      <c r="N147" s="230"/>
    </row>
    <row r="148" spans="1:14" ht="27.6" customHeight="1" outlineLevel="2">
      <c r="A148" s="235">
        <f>SUBTOTAL(3,$F$50:F148)</f>
        <v>78</v>
      </c>
      <c r="B148" s="318" t="s">
        <v>891</v>
      </c>
      <c r="C148" s="241"/>
      <c r="D148" s="241"/>
      <c r="E148" s="253" t="s">
        <v>851</v>
      </c>
      <c r="F148" s="226" t="s">
        <v>287</v>
      </c>
      <c r="G148" s="227">
        <v>3</v>
      </c>
      <c r="H148" s="227"/>
      <c r="I148" s="227"/>
      <c r="J148" s="228"/>
      <c r="K148" s="228"/>
      <c r="L148" s="228"/>
      <c r="M148" s="228"/>
      <c r="N148" s="230"/>
    </row>
    <row r="149" spans="1:14" ht="26.4" outlineLevel="2">
      <c r="A149" s="235">
        <f>SUBTOTAL(3,$F$50:F149)</f>
        <v>79</v>
      </c>
      <c r="B149" s="318" t="s">
        <v>930</v>
      </c>
      <c r="C149" s="241"/>
      <c r="D149" s="241"/>
      <c r="E149" s="320" t="s">
        <v>931</v>
      </c>
      <c r="F149" s="226" t="s">
        <v>287</v>
      </c>
      <c r="G149" s="227">
        <v>1</v>
      </c>
      <c r="H149" s="227"/>
      <c r="I149" s="227"/>
      <c r="J149" s="228"/>
      <c r="K149" s="228"/>
      <c r="L149" s="228"/>
      <c r="M149" s="228"/>
      <c r="N149" s="230"/>
    </row>
    <row r="150" spans="1:14" ht="27.6" customHeight="1" outlineLevel="2">
      <c r="A150" s="235">
        <f>SUBTOTAL(3,$F$50:F150)</f>
        <v>80</v>
      </c>
      <c r="B150" s="318" t="s">
        <v>890</v>
      </c>
      <c r="C150" s="241"/>
      <c r="D150" s="241"/>
      <c r="E150" s="253" t="s">
        <v>851</v>
      </c>
      <c r="F150" s="226" t="s">
        <v>287</v>
      </c>
      <c r="G150" s="227">
        <v>4</v>
      </c>
      <c r="H150" s="227"/>
      <c r="I150" s="227"/>
      <c r="J150" s="228"/>
      <c r="K150" s="228"/>
      <c r="L150" s="228"/>
      <c r="M150" s="228"/>
      <c r="N150" s="230"/>
    </row>
    <row r="151" spans="1:14" ht="27.6" customHeight="1" outlineLevel="2">
      <c r="A151" s="235">
        <f>SUBTOTAL(3,$F$50:F151)</f>
        <v>81</v>
      </c>
      <c r="B151" s="318" t="s">
        <v>932</v>
      </c>
      <c r="C151" s="241"/>
      <c r="D151" s="241"/>
      <c r="E151" s="253" t="s">
        <v>851</v>
      </c>
      <c r="F151" s="226" t="s">
        <v>287</v>
      </c>
      <c r="G151" s="227">
        <v>1</v>
      </c>
      <c r="H151" s="227"/>
      <c r="I151" s="227"/>
      <c r="J151" s="228"/>
      <c r="K151" s="228"/>
      <c r="L151" s="228"/>
      <c r="M151" s="228"/>
      <c r="N151" s="230"/>
    </row>
    <row r="152" spans="1:14" ht="27.6" customHeight="1" outlineLevel="2">
      <c r="A152" s="235">
        <f>SUBTOTAL(3,$F$50:F152)</f>
        <v>82</v>
      </c>
      <c r="B152" s="318" t="s">
        <v>933</v>
      </c>
      <c r="C152" s="241"/>
      <c r="D152" s="241"/>
      <c r="E152" s="253" t="s">
        <v>851</v>
      </c>
      <c r="F152" s="226" t="s">
        <v>287</v>
      </c>
      <c r="G152" s="227">
        <v>2</v>
      </c>
      <c r="H152" s="227"/>
      <c r="I152" s="227"/>
      <c r="J152" s="228"/>
      <c r="K152" s="228"/>
      <c r="L152" s="228"/>
      <c r="M152" s="228"/>
      <c r="N152" s="230"/>
    </row>
    <row r="153" spans="1:14" ht="26.4" outlineLevel="2">
      <c r="A153" s="235">
        <f>SUBTOTAL(3,$F$50:F153)</f>
        <v>83</v>
      </c>
      <c r="B153" s="318" t="s">
        <v>892</v>
      </c>
      <c r="C153" s="241"/>
      <c r="D153" s="241"/>
      <c r="E153" s="320" t="s">
        <v>851</v>
      </c>
      <c r="F153" s="226" t="s">
        <v>287</v>
      </c>
      <c r="G153" s="227">
        <v>1</v>
      </c>
      <c r="H153" s="227"/>
      <c r="I153" s="227"/>
      <c r="J153" s="228"/>
      <c r="K153" s="228"/>
      <c r="L153" s="228"/>
      <c r="M153" s="228"/>
      <c r="N153" s="230"/>
    </row>
    <row r="154" spans="1:14" outlineLevel="2">
      <c r="A154" s="244"/>
      <c r="B154" s="245" t="s">
        <v>934</v>
      </c>
      <c r="C154" s="246"/>
      <c r="D154" s="246"/>
      <c r="E154" s="247"/>
      <c r="F154" s="248"/>
      <c r="G154" s="249"/>
      <c r="H154" s="249"/>
      <c r="I154" s="249"/>
      <c r="J154" s="228"/>
      <c r="K154" s="228"/>
      <c r="L154" s="228"/>
      <c r="M154" s="228"/>
      <c r="N154" s="230"/>
    </row>
    <row r="155" spans="1:14" outlineLevel="2">
      <c r="A155" s="235">
        <f>SUBTOTAL(3,$F$50:F155)</f>
        <v>84</v>
      </c>
      <c r="B155" s="230" t="s">
        <v>935</v>
      </c>
      <c r="C155" s="241"/>
      <c r="D155" s="241"/>
      <c r="E155" s="253" t="s">
        <v>901</v>
      </c>
      <c r="F155" s="226" t="s">
        <v>570</v>
      </c>
      <c r="G155" s="227">
        <v>896</v>
      </c>
      <c r="H155" s="227"/>
      <c r="I155" s="227"/>
      <c r="J155" s="228"/>
      <c r="K155" s="228"/>
      <c r="L155" s="228"/>
      <c r="M155" s="228"/>
      <c r="N155" s="230"/>
    </row>
    <row r="156" spans="1:14" outlineLevel="2">
      <c r="A156" s="235">
        <f>SUBTOTAL(3,$F$50:F156)</f>
        <v>85</v>
      </c>
      <c r="B156" s="230" t="s">
        <v>936</v>
      </c>
      <c r="C156" s="241"/>
      <c r="D156" s="241"/>
      <c r="E156" s="253" t="s">
        <v>901</v>
      </c>
      <c r="F156" s="226" t="s">
        <v>570</v>
      </c>
      <c r="G156" s="227">
        <v>156</v>
      </c>
      <c r="H156" s="227"/>
      <c r="I156" s="227"/>
      <c r="J156" s="228"/>
      <c r="K156" s="228"/>
      <c r="L156" s="228"/>
      <c r="M156" s="228"/>
      <c r="N156" s="230"/>
    </row>
    <row r="157" spans="1:14" outlineLevel="2">
      <c r="A157" s="235">
        <f>SUBTOTAL(3,$F$50:F157)</f>
        <v>86</v>
      </c>
      <c r="B157" s="230" t="s">
        <v>937</v>
      </c>
      <c r="C157" s="241"/>
      <c r="D157" s="241"/>
      <c r="E157" s="253" t="s">
        <v>901</v>
      </c>
      <c r="F157" s="226" t="s">
        <v>570</v>
      </c>
      <c r="G157" s="227">
        <v>81</v>
      </c>
      <c r="H157" s="227"/>
      <c r="I157" s="227"/>
      <c r="J157" s="228"/>
      <c r="K157" s="228"/>
      <c r="L157" s="228"/>
      <c r="M157" s="228"/>
      <c r="N157" s="230"/>
    </row>
    <row r="158" spans="1:14" outlineLevel="2">
      <c r="A158" s="235">
        <f>SUBTOTAL(3,$F$50:F158)</f>
        <v>87</v>
      </c>
      <c r="B158" s="230" t="s">
        <v>938</v>
      </c>
      <c r="C158" s="241"/>
      <c r="D158" s="241"/>
      <c r="E158" s="253" t="s">
        <v>901</v>
      </c>
      <c r="F158" s="226" t="s">
        <v>570</v>
      </c>
      <c r="G158" s="227">
        <v>96</v>
      </c>
      <c r="H158" s="227"/>
      <c r="I158" s="227"/>
      <c r="J158" s="228"/>
      <c r="K158" s="228"/>
      <c r="L158" s="228"/>
      <c r="M158" s="228"/>
      <c r="N158" s="230"/>
    </row>
    <row r="159" spans="1:14" outlineLevel="2">
      <c r="A159" s="235">
        <f>SUBTOTAL(3,$F$50:F159)</f>
        <v>88</v>
      </c>
      <c r="B159" s="230" t="s">
        <v>939</v>
      </c>
      <c r="C159" s="241"/>
      <c r="D159" s="241"/>
      <c r="E159" s="253" t="s">
        <v>901</v>
      </c>
      <c r="F159" s="226" t="s">
        <v>570</v>
      </c>
      <c r="G159" s="227">
        <v>181</v>
      </c>
      <c r="H159" s="227"/>
      <c r="I159" s="227"/>
      <c r="J159" s="228"/>
      <c r="K159" s="228"/>
      <c r="L159" s="228"/>
      <c r="M159" s="228"/>
      <c r="N159" s="230"/>
    </row>
    <row r="160" spans="1:14" outlineLevel="2">
      <c r="A160" s="235">
        <f>SUBTOTAL(3,$F$50:F160)</f>
        <v>89</v>
      </c>
      <c r="B160" s="230" t="s">
        <v>940</v>
      </c>
      <c r="C160" s="241"/>
      <c r="D160" s="241"/>
      <c r="E160" s="253" t="s">
        <v>901</v>
      </c>
      <c r="F160" s="226" t="s">
        <v>570</v>
      </c>
      <c r="G160" s="227">
        <v>61</v>
      </c>
      <c r="H160" s="227"/>
      <c r="I160" s="227"/>
      <c r="J160" s="228"/>
      <c r="K160" s="228"/>
      <c r="L160" s="228"/>
      <c r="M160" s="228"/>
      <c r="N160" s="230"/>
    </row>
    <row r="161" spans="1:14" outlineLevel="2">
      <c r="A161" s="235">
        <f>SUBTOTAL(3,$F$50:F161)</f>
        <v>90</v>
      </c>
      <c r="B161" s="230" t="s">
        <v>941</v>
      </c>
      <c r="C161" s="241"/>
      <c r="D161" s="241"/>
      <c r="E161" s="253" t="s">
        <v>901</v>
      </c>
      <c r="F161" s="226" t="s">
        <v>570</v>
      </c>
      <c r="G161" s="227">
        <v>26</v>
      </c>
      <c r="H161" s="227"/>
      <c r="I161" s="227"/>
      <c r="J161" s="228"/>
      <c r="K161" s="228"/>
      <c r="L161" s="228"/>
      <c r="M161" s="228"/>
      <c r="N161" s="230"/>
    </row>
    <row r="162" spans="1:14" outlineLevel="2">
      <c r="A162" s="235">
        <f>SUBTOTAL(3,$F$50:F162)</f>
        <v>91</v>
      </c>
      <c r="B162" s="230" t="s">
        <v>942</v>
      </c>
      <c r="C162" s="241"/>
      <c r="D162" s="241"/>
      <c r="E162" s="253" t="s">
        <v>901</v>
      </c>
      <c r="F162" s="226" t="s">
        <v>570</v>
      </c>
      <c r="G162" s="227">
        <v>15</v>
      </c>
      <c r="H162" s="227"/>
      <c r="I162" s="227"/>
      <c r="J162" s="228"/>
      <c r="K162" s="228"/>
      <c r="L162" s="228"/>
      <c r="M162" s="228"/>
      <c r="N162" s="230"/>
    </row>
    <row r="163" spans="1:14" outlineLevel="2">
      <c r="A163" s="235">
        <f>SUBTOTAL(3,$F$50:F163)</f>
        <v>92</v>
      </c>
      <c r="B163" s="230" t="s">
        <v>943</v>
      </c>
      <c r="C163" s="241"/>
      <c r="D163" s="241"/>
      <c r="E163" s="253" t="s">
        <v>901</v>
      </c>
      <c r="F163" s="226" t="s">
        <v>570</v>
      </c>
      <c r="G163" s="227">
        <v>15</v>
      </c>
      <c r="H163" s="227"/>
      <c r="I163" s="227"/>
      <c r="J163" s="228"/>
      <c r="K163" s="228"/>
      <c r="L163" s="228"/>
      <c r="M163" s="228"/>
      <c r="N163" s="230"/>
    </row>
    <row r="164" spans="1:14" ht="21.6" customHeight="1" outlineLevel="2">
      <c r="A164" s="235">
        <f>SUBTOTAL(3,$F$50:F164)</f>
        <v>93</v>
      </c>
      <c r="B164" s="230" t="s">
        <v>909</v>
      </c>
      <c r="C164" s="241"/>
      <c r="D164" s="241"/>
      <c r="E164" s="253"/>
      <c r="F164" s="226" t="s">
        <v>276</v>
      </c>
      <c r="G164" s="227">
        <v>1</v>
      </c>
      <c r="H164" s="227"/>
      <c r="I164" s="227"/>
      <c r="J164" s="228"/>
      <c r="K164" s="228"/>
      <c r="L164" s="228"/>
      <c r="M164" s="228"/>
      <c r="N164" s="230"/>
    </row>
    <row r="165" spans="1:14" ht="27.6" customHeight="1" outlineLevel="2">
      <c r="A165" s="235">
        <f>SUBTOTAL(3,$F$50:F165)</f>
        <v>94</v>
      </c>
      <c r="B165" s="230" t="s">
        <v>921</v>
      </c>
      <c r="C165" s="241"/>
      <c r="D165" s="241"/>
      <c r="E165" s="253"/>
      <c r="F165" s="226" t="s">
        <v>276</v>
      </c>
      <c r="G165" s="227">
        <v>1</v>
      </c>
      <c r="H165" s="227"/>
      <c r="I165" s="227"/>
      <c r="J165" s="228"/>
      <c r="K165" s="228"/>
      <c r="L165" s="228"/>
      <c r="M165" s="228"/>
      <c r="N165" s="230"/>
    </row>
    <row r="166" spans="1:14" outlineLevel="2">
      <c r="A166" s="244"/>
      <c r="B166" s="245" t="s">
        <v>894</v>
      </c>
      <c r="C166" s="246"/>
      <c r="D166" s="246"/>
      <c r="E166" s="247"/>
      <c r="F166" s="248"/>
      <c r="G166" s="249"/>
      <c r="H166" s="249"/>
      <c r="I166" s="249"/>
      <c r="J166" s="228"/>
      <c r="K166" s="228"/>
      <c r="L166" s="228"/>
      <c r="M166" s="228"/>
      <c r="N166" s="245"/>
    </row>
    <row r="167" spans="1:14" ht="26.4" outlineLevel="2">
      <c r="A167" s="235">
        <f>SUBTOTAL(3,$F$50:F167)</f>
        <v>95</v>
      </c>
      <c r="B167" s="318" t="s">
        <v>895</v>
      </c>
      <c r="C167" s="241"/>
      <c r="D167" s="241"/>
      <c r="E167" s="253"/>
      <c r="F167" s="226" t="s">
        <v>287</v>
      </c>
      <c r="G167" s="227">
        <v>64</v>
      </c>
      <c r="H167" s="227"/>
      <c r="I167" s="227"/>
      <c r="J167" s="228"/>
      <c r="K167" s="228"/>
      <c r="L167" s="228"/>
      <c r="M167" s="228"/>
      <c r="N167" s="230"/>
    </row>
    <row r="168" spans="1:14" ht="26.4" outlineLevel="2">
      <c r="A168" s="235">
        <f>SUBTOTAL(3,$F$50:F168)</f>
        <v>96</v>
      </c>
      <c r="B168" s="318" t="s">
        <v>944</v>
      </c>
      <c r="C168" s="241"/>
      <c r="D168" s="241"/>
      <c r="E168" s="320" t="s">
        <v>945</v>
      </c>
      <c r="F168" s="226" t="s">
        <v>396</v>
      </c>
      <c r="G168" s="227">
        <v>1</v>
      </c>
      <c r="H168" s="227"/>
      <c r="I168" s="227"/>
      <c r="J168" s="228"/>
      <c r="K168" s="228"/>
      <c r="L168" s="228"/>
      <c r="M168" s="228"/>
      <c r="N168" s="230"/>
    </row>
    <row r="169" spans="1:14" ht="26.4" outlineLevel="2">
      <c r="A169" s="235">
        <f>SUBTOTAL(3,$F$50:F169)</f>
        <v>97</v>
      </c>
      <c r="B169" s="318" t="s">
        <v>946</v>
      </c>
      <c r="C169" s="241"/>
      <c r="D169" s="241"/>
      <c r="E169" s="320" t="s">
        <v>898</v>
      </c>
      <c r="F169" s="226" t="s">
        <v>396</v>
      </c>
      <c r="G169" s="227">
        <v>1</v>
      </c>
      <c r="H169" s="227"/>
      <c r="I169" s="227"/>
      <c r="J169" s="228"/>
      <c r="K169" s="228"/>
      <c r="L169" s="228"/>
      <c r="M169" s="228"/>
      <c r="N169" s="230"/>
    </row>
    <row r="170" spans="1:14" ht="26.4" outlineLevel="2">
      <c r="A170" s="235">
        <f>SUBTOTAL(3,$F$50:F170)</f>
        <v>98</v>
      </c>
      <c r="B170" s="318" t="s">
        <v>947</v>
      </c>
      <c r="C170" s="241"/>
      <c r="D170" s="241"/>
      <c r="E170" s="320" t="s">
        <v>945</v>
      </c>
      <c r="F170" s="226" t="s">
        <v>396</v>
      </c>
      <c r="G170" s="227">
        <v>1</v>
      </c>
      <c r="H170" s="227"/>
      <c r="I170" s="227"/>
      <c r="J170" s="228"/>
      <c r="K170" s="228"/>
      <c r="L170" s="228"/>
      <c r="M170" s="228"/>
      <c r="N170" s="230"/>
    </row>
    <row r="171" spans="1:14" ht="26.4" outlineLevel="2">
      <c r="A171" s="235">
        <f>SUBTOTAL(3,$F$50:F171)</f>
        <v>99</v>
      </c>
      <c r="B171" s="318" t="s">
        <v>948</v>
      </c>
      <c r="C171" s="241"/>
      <c r="D171" s="241"/>
      <c r="E171" s="320" t="s">
        <v>898</v>
      </c>
      <c r="F171" s="226" t="s">
        <v>287</v>
      </c>
      <c r="G171" s="227">
        <v>9</v>
      </c>
      <c r="H171" s="227"/>
      <c r="I171" s="227"/>
      <c r="J171" s="228"/>
      <c r="K171" s="228"/>
      <c r="L171" s="228"/>
      <c r="M171" s="228"/>
      <c r="N171" s="230"/>
    </row>
    <row r="172" spans="1:14" outlineLevel="2">
      <c r="A172" s="235">
        <f>SUBTOTAL(3,$F$50:F172)</f>
        <v>100</v>
      </c>
      <c r="B172" s="230" t="s">
        <v>949</v>
      </c>
      <c r="C172" s="241"/>
      <c r="D172" s="241"/>
      <c r="E172" s="253"/>
      <c r="F172" s="226" t="s">
        <v>825</v>
      </c>
      <c r="G172" s="227">
        <v>1</v>
      </c>
      <c r="H172" s="227"/>
      <c r="I172" s="227"/>
      <c r="J172" s="228"/>
      <c r="K172" s="228"/>
      <c r="L172" s="228"/>
      <c r="M172" s="228"/>
      <c r="N172" s="230"/>
    </row>
    <row r="173" spans="1:14" outlineLevel="1">
      <c r="A173" s="222" t="s">
        <v>950</v>
      </c>
      <c r="B173" s="232" t="s">
        <v>951</v>
      </c>
      <c r="C173" s="255"/>
      <c r="D173" s="255"/>
      <c r="E173" s="243"/>
      <c r="F173" s="233"/>
      <c r="G173" s="220"/>
      <c r="H173" s="220"/>
      <c r="I173" s="220"/>
      <c r="J173" s="228"/>
      <c r="K173" s="228"/>
      <c r="L173" s="228"/>
      <c r="M173" s="228"/>
      <c r="N173" s="232"/>
    </row>
    <row r="174" spans="1:14" outlineLevel="2">
      <c r="A174" s="244"/>
      <c r="B174" s="245" t="s">
        <v>840</v>
      </c>
      <c r="C174" s="246"/>
      <c r="D174" s="246"/>
      <c r="E174" s="247"/>
      <c r="F174" s="248"/>
      <c r="G174" s="249"/>
      <c r="H174" s="249"/>
      <c r="I174" s="249"/>
      <c r="J174" s="228"/>
      <c r="K174" s="228"/>
      <c r="L174" s="228"/>
      <c r="M174" s="228"/>
      <c r="N174" s="245"/>
    </row>
    <row r="175" spans="1:14" s="207" customFormat="1" ht="27.6" customHeight="1" outlineLevel="2">
      <c r="A175" s="235">
        <f>SUBTOTAL(3,$F$50:F175)</f>
        <v>101</v>
      </c>
      <c r="B175" s="230" t="s">
        <v>952</v>
      </c>
      <c r="C175" s="230"/>
      <c r="D175" s="230"/>
      <c r="E175" s="251" t="s">
        <v>953</v>
      </c>
      <c r="F175" s="226" t="s">
        <v>844</v>
      </c>
      <c r="G175" s="227">
        <v>1</v>
      </c>
      <c r="H175" s="227"/>
      <c r="I175" s="227"/>
      <c r="J175" s="228"/>
      <c r="K175" s="228"/>
      <c r="L175" s="228"/>
      <c r="M175" s="228"/>
      <c r="N175" s="230"/>
    </row>
    <row r="176" spans="1:14" s="207" customFormat="1" ht="27.6" customHeight="1" outlineLevel="2">
      <c r="A176" s="235">
        <f>SUBTOTAL(3,$F$50:F176)</f>
        <v>102</v>
      </c>
      <c r="B176" s="230" t="s">
        <v>954</v>
      </c>
      <c r="C176" s="230"/>
      <c r="D176" s="230"/>
      <c r="E176" s="251" t="s">
        <v>953</v>
      </c>
      <c r="F176" s="226" t="s">
        <v>844</v>
      </c>
      <c r="G176" s="227">
        <v>1</v>
      </c>
      <c r="H176" s="227"/>
      <c r="I176" s="227"/>
      <c r="J176" s="228"/>
      <c r="K176" s="228"/>
      <c r="L176" s="228"/>
      <c r="M176" s="228"/>
      <c r="N176" s="230"/>
    </row>
    <row r="177" spans="1:14" ht="41.4" customHeight="1" outlineLevel="2">
      <c r="A177" s="235">
        <f>SUBTOTAL(3,$F$50:F177)</f>
        <v>103</v>
      </c>
      <c r="B177" s="318" t="s">
        <v>955</v>
      </c>
      <c r="C177" s="241"/>
      <c r="D177" s="241"/>
      <c r="E177" s="320" t="s">
        <v>956</v>
      </c>
      <c r="F177" s="226" t="s">
        <v>844</v>
      </c>
      <c r="G177" s="227">
        <v>1</v>
      </c>
      <c r="H177" s="227"/>
      <c r="I177" s="227"/>
      <c r="J177" s="228"/>
      <c r="K177" s="228"/>
      <c r="L177" s="228"/>
      <c r="M177" s="228"/>
      <c r="N177" s="230"/>
    </row>
    <row r="178" spans="1:14" outlineLevel="2">
      <c r="A178" s="244"/>
      <c r="B178" s="245" t="s">
        <v>849</v>
      </c>
      <c r="C178" s="246"/>
      <c r="D178" s="246"/>
      <c r="E178" s="247"/>
      <c r="F178" s="248"/>
      <c r="G178" s="249"/>
      <c r="H178" s="249"/>
      <c r="I178" s="249"/>
      <c r="J178" s="228"/>
      <c r="K178" s="228"/>
      <c r="L178" s="228"/>
      <c r="M178" s="228"/>
      <c r="N178" s="245"/>
    </row>
    <row r="179" spans="1:14" ht="27.6" customHeight="1" outlineLevel="2">
      <c r="A179" s="235">
        <f>SUBTOTAL(3,$F$50:F179)</f>
        <v>104</v>
      </c>
      <c r="B179" s="230" t="s">
        <v>856</v>
      </c>
      <c r="C179" s="241"/>
      <c r="D179" s="241"/>
      <c r="E179" s="253" t="s">
        <v>851</v>
      </c>
      <c r="F179" s="226" t="s">
        <v>287</v>
      </c>
      <c r="G179" s="227">
        <v>6</v>
      </c>
      <c r="H179" s="227"/>
      <c r="I179" s="227"/>
      <c r="J179" s="228"/>
      <c r="K179" s="228"/>
      <c r="L179" s="228"/>
      <c r="M179" s="228"/>
      <c r="N179" s="230"/>
    </row>
    <row r="180" spans="1:14" ht="27.6" customHeight="1" outlineLevel="2">
      <c r="A180" s="235">
        <f>SUBTOTAL(3,$F$50:F180)</f>
        <v>105</v>
      </c>
      <c r="B180" s="230" t="s">
        <v>857</v>
      </c>
      <c r="C180" s="241"/>
      <c r="D180" s="241"/>
      <c r="E180" s="253" t="s">
        <v>851</v>
      </c>
      <c r="F180" s="226" t="s">
        <v>287</v>
      </c>
      <c r="G180" s="227">
        <v>6</v>
      </c>
      <c r="H180" s="227"/>
      <c r="I180" s="227"/>
      <c r="J180" s="228"/>
      <c r="K180" s="228"/>
      <c r="L180" s="228"/>
      <c r="M180" s="228"/>
      <c r="N180" s="230"/>
    </row>
    <row r="181" spans="1:14" ht="27.6" customHeight="1" outlineLevel="2">
      <c r="A181" s="235">
        <f>SUBTOTAL(3,$F$50:F181)</f>
        <v>106</v>
      </c>
      <c r="B181" s="230" t="s">
        <v>858</v>
      </c>
      <c r="C181" s="241"/>
      <c r="D181" s="241"/>
      <c r="E181" s="253" t="s">
        <v>851</v>
      </c>
      <c r="F181" s="226" t="s">
        <v>287</v>
      </c>
      <c r="G181" s="227">
        <v>2</v>
      </c>
      <c r="H181" s="227"/>
      <c r="I181" s="227"/>
      <c r="J181" s="228"/>
      <c r="K181" s="228"/>
      <c r="L181" s="228"/>
      <c r="M181" s="228"/>
      <c r="N181" s="230"/>
    </row>
    <row r="182" spans="1:14" outlineLevel="2">
      <c r="A182" s="244"/>
      <c r="B182" s="245" t="s">
        <v>861</v>
      </c>
      <c r="C182" s="246"/>
      <c r="D182" s="246"/>
      <c r="E182" s="247"/>
      <c r="F182" s="248"/>
      <c r="G182" s="249"/>
      <c r="H182" s="249"/>
      <c r="I182" s="249"/>
      <c r="J182" s="228"/>
      <c r="K182" s="228"/>
      <c r="L182" s="228"/>
      <c r="M182" s="228"/>
      <c r="N182" s="245"/>
    </row>
    <row r="183" spans="1:14" ht="27.6" customHeight="1" outlineLevel="2">
      <c r="A183" s="235">
        <f>SUBTOTAL(3,$F$50:F183)</f>
        <v>107</v>
      </c>
      <c r="B183" s="230" t="s">
        <v>867</v>
      </c>
      <c r="C183" s="241"/>
      <c r="D183" s="241"/>
      <c r="E183" s="253" t="s">
        <v>851</v>
      </c>
      <c r="F183" s="226" t="s">
        <v>287</v>
      </c>
      <c r="G183" s="227">
        <v>3</v>
      </c>
      <c r="H183" s="227"/>
      <c r="I183" s="227"/>
      <c r="J183" s="228"/>
      <c r="K183" s="228"/>
      <c r="L183" s="228"/>
      <c r="M183" s="228"/>
      <c r="N183" s="230"/>
    </row>
    <row r="184" spans="1:14" outlineLevel="2">
      <c r="A184" s="244"/>
      <c r="B184" s="245" t="s">
        <v>880</v>
      </c>
      <c r="C184" s="246"/>
      <c r="D184" s="246"/>
      <c r="E184" s="247"/>
      <c r="F184" s="248"/>
      <c r="G184" s="249"/>
      <c r="H184" s="249"/>
      <c r="I184" s="249"/>
      <c r="J184" s="228"/>
      <c r="K184" s="228"/>
      <c r="L184" s="228"/>
      <c r="M184" s="228"/>
      <c r="N184" s="245"/>
    </row>
    <row r="185" spans="1:14" ht="27.6" customHeight="1" outlineLevel="2">
      <c r="A185" s="235">
        <f>SUBTOTAL(3,$F$50:F185)</f>
        <v>108</v>
      </c>
      <c r="B185" s="230" t="s">
        <v>881</v>
      </c>
      <c r="C185" s="241"/>
      <c r="D185" s="241"/>
      <c r="E185" s="253" t="s">
        <v>851</v>
      </c>
      <c r="F185" s="226" t="s">
        <v>287</v>
      </c>
      <c r="G185" s="227">
        <v>1</v>
      </c>
      <c r="H185" s="227"/>
      <c r="I185" s="227"/>
      <c r="J185" s="228"/>
      <c r="K185" s="228"/>
      <c r="L185" s="228"/>
      <c r="M185" s="228"/>
      <c r="N185" s="230"/>
    </row>
    <row r="186" spans="1:14" outlineLevel="2">
      <c r="A186" s="244"/>
      <c r="B186" s="245" t="s">
        <v>878</v>
      </c>
      <c r="C186" s="246"/>
      <c r="D186" s="246"/>
      <c r="E186" s="247"/>
      <c r="F186" s="248"/>
      <c r="G186" s="249"/>
      <c r="H186" s="249"/>
      <c r="I186" s="249"/>
      <c r="J186" s="228"/>
      <c r="K186" s="228"/>
      <c r="L186" s="228"/>
      <c r="M186" s="228"/>
      <c r="N186" s="245"/>
    </row>
    <row r="187" spans="1:14" ht="27.6" customHeight="1" outlineLevel="2">
      <c r="A187" s="235">
        <f>SUBTOTAL(3,$F$50:F187)</f>
        <v>109</v>
      </c>
      <c r="B187" s="230" t="s">
        <v>928</v>
      </c>
      <c r="C187" s="241"/>
      <c r="D187" s="241"/>
      <c r="E187" s="253" t="s">
        <v>851</v>
      </c>
      <c r="F187" s="226" t="s">
        <v>287</v>
      </c>
      <c r="G187" s="227">
        <v>2</v>
      </c>
      <c r="H187" s="227"/>
      <c r="I187" s="227"/>
      <c r="J187" s="228"/>
      <c r="K187" s="228"/>
      <c r="L187" s="228"/>
      <c r="M187" s="228"/>
      <c r="N187" s="230"/>
    </row>
    <row r="188" spans="1:14" outlineLevel="2">
      <c r="A188" s="244"/>
      <c r="B188" s="245" t="s">
        <v>870</v>
      </c>
      <c r="C188" s="246"/>
      <c r="D188" s="246"/>
      <c r="E188" s="247"/>
      <c r="F188" s="248"/>
      <c r="G188" s="249"/>
      <c r="H188" s="249"/>
      <c r="I188" s="249"/>
      <c r="J188" s="228"/>
      <c r="K188" s="228"/>
      <c r="L188" s="228"/>
      <c r="M188" s="228"/>
      <c r="N188" s="245"/>
    </row>
    <row r="189" spans="1:14" ht="27.6" customHeight="1" outlineLevel="2">
      <c r="A189" s="235">
        <f>SUBTOTAL(3,$F$50:F189)</f>
        <v>110</v>
      </c>
      <c r="B189" s="230" t="s">
        <v>871</v>
      </c>
      <c r="C189" s="241"/>
      <c r="D189" s="241"/>
      <c r="E189" s="253" t="s">
        <v>851</v>
      </c>
      <c r="F189" s="226" t="s">
        <v>287</v>
      </c>
      <c r="G189" s="227">
        <v>6</v>
      </c>
      <c r="H189" s="227"/>
      <c r="I189" s="227"/>
      <c r="J189" s="228"/>
      <c r="K189" s="228"/>
      <c r="L189" s="228"/>
      <c r="M189" s="228"/>
      <c r="N189" s="230"/>
    </row>
    <row r="190" spans="1:14" outlineLevel="2">
      <c r="A190" s="244"/>
      <c r="B190" s="245" t="s">
        <v>874</v>
      </c>
      <c r="C190" s="246"/>
      <c r="D190" s="246"/>
      <c r="E190" s="247"/>
      <c r="F190" s="248"/>
      <c r="G190" s="249"/>
      <c r="H190" s="249"/>
      <c r="I190" s="249"/>
      <c r="J190" s="228"/>
      <c r="K190" s="228"/>
      <c r="L190" s="228"/>
      <c r="M190" s="228"/>
      <c r="N190" s="245"/>
    </row>
    <row r="191" spans="1:14" ht="27.6" customHeight="1" outlineLevel="2">
      <c r="A191" s="235">
        <f>SUBTOTAL(3,$F$50:F191)</f>
        <v>111</v>
      </c>
      <c r="B191" s="230" t="s">
        <v>875</v>
      </c>
      <c r="C191" s="241"/>
      <c r="D191" s="241"/>
      <c r="E191" s="253" t="s">
        <v>851</v>
      </c>
      <c r="F191" s="226" t="s">
        <v>287</v>
      </c>
      <c r="G191" s="227">
        <v>3</v>
      </c>
      <c r="H191" s="227"/>
      <c r="I191" s="227"/>
      <c r="J191" s="228"/>
      <c r="K191" s="228"/>
      <c r="L191" s="228"/>
      <c r="M191" s="228"/>
      <c r="N191" s="230"/>
    </row>
    <row r="192" spans="1:14" ht="27.6" customHeight="1" outlineLevel="2">
      <c r="A192" s="235">
        <f>SUBTOTAL(3,$F$50:F192)</f>
        <v>112</v>
      </c>
      <c r="B192" s="318" t="s">
        <v>890</v>
      </c>
      <c r="C192" s="241"/>
      <c r="D192" s="241"/>
      <c r="E192" s="253" t="s">
        <v>851</v>
      </c>
      <c r="F192" s="226" t="s">
        <v>287</v>
      </c>
      <c r="G192" s="227">
        <v>6</v>
      </c>
      <c r="H192" s="227"/>
      <c r="I192" s="227"/>
      <c r="J192" s="228"/>
      <c r="K192" s="228"/>
      <c r="L192" s="228"/>
      <c r="M192" s="228"/>
      <c r="N192" s="230"/>
    </row>
    <row r="193" spans="1:14" ht="27.6" customHeight="1" outlineLevel="2">
      <c r="A193" s="235">
        <f>SUBTOTAL(3,$F$50:F193)</f>
        <v>113</v>
      </c>
      <c r="B193" s="318" t="s">
        <v>932</v>
      </c>
      <c r="C193" s="241"/>
      <c r="D193" s="241"/>
      <c r="E193" s="253" t="s">
        <v>851</v>
      </c>
      <c r="F193" s="226" t="s">
        <v>287</v>
      </c>
      <c r="G193" s="227">
        <v>3</v>
      </c>
      <c r="H193" s="227"/>
      <c r="I193" s="227"/>
      <c r="J193" s="228"/>
      <c r="K193" s="228"/>
      <c r="L193" s="228"/>
      <c r="M193" s="228"/>
      <c r="N193" s="230"/>
    </row>
    <row r="194" spans="1:14" ht="27.6" customHeight="1" outlineLevel="2">
      <c r="A194" s="235">
        <f>SUBTOTAL(3,$F$50:F194)</f>
        <v>114</v>
      </c>
      <c r="B194" s="318" t="s">
        <v>892</v>
      </c>
      <c r="C194" s="241"/>
      <c r="D194" s="241"/>
      <c r="E194" s="253" t="s">
        <v>851</v>
      </c>
      <c r="F194" s="226" t="s">
        <v>287</v>
      </c>
      <c r="G194" s="227">
        <v>1</v>
      </c>
      <c r="H194" s="227"/>
      <c r="I194" s="227"/>
      <c r="J194" s="228"/>
      <c r="K194" s="228"/>
      <c r="L194" s="228"/>
      <c r="M194" s="228"/>
      <c r="N194" s="230"/>
    </row>
    <row r="195" spans="1:14" outlineLevel="2">
      <c r="A195" s="244"/>
      <c r="B195" s="245" t="s">
        <v>957</v>
      </c>
      <c r="C195" s="246"/>
      <c r="D195" s="246"/>
      <c r="E195" s="247"/>
      <c r="F195" s="248"/>
      <c r="G195" s="249"/>
      <c r="H195" s="249"/>
      <c r="I195" s="249"/>
      <c r="J195" s="228"/>
      <c r="K195" s="228"/>
      <c r="L195" s="228"/>
      <c r="M195" s="228"/>
      <c r="N195" s="230"/>
    </row>
    <row r="196" spans="1:14" ht="26.4" outlineLevel="2">
      <c r="A196" s="235">
        <f>SUBTOTAL(3,$F$50:F196)</f>
        <v>115</v>
      </c>
      <c r="B196" s="318" t="s">
        <v>958</v>
      </c>
      <c r="C196" s="241"/>
      <c r="D196" s="241"/>
      <c r="E196" s="253"/>
      <c r="F196" s="226" t="s">
        <v>570</v>
      </c>
      <c r="G196" s="227">
        <v>46</v>
      </c>
      <c r="H196" s="227"/>
      <c r="I196" s="227"/>
      <c r="J196" s="228"/>
      <c r="K196" s="228"/>
      <c r="L196" s="228"/>
      <c r="M196" s="228"/>
      <c r="N196" s="230"/>
    </row>
    <row r="197" spans="1:14" ht="26.4" outlineLevel="2">
      <c r="A197" s="235">
        <f>SUBTOTAL(3,$F$50:F197)</f>
        <v>116</v>
      </c>
      <c r="B197" s="318" t="s">
        <v>959</v>
      </c>
      <c r="C197" s="241"/>
      <c r="D197" s="241"/>
      <c r="E197" s="253"/>
      <c r="F197" s="226" t="s">
        <v>570</v>
      </c>
      <c r="G197" s="227">
        <v>33</v>
      </c>
      <c r="H197" s="227"/>
      <c r="I197" s="227"/>
      <c r="J197" s="228"/>
      <c r="K197" s="228"/>
      <c r="L197" s="228"/>
      <c r="M197" s="228"/>
      <c r="N197" s="230"/>
    </row>
    <row r="198" spans="1:14" outlineLevel="2">
      <c r="A198" s="235">
        <f>SUBTOTAL(3,$F$50:F198)</f>
        <v>117</v>
      </c>
      <c r="B198" s="230" t="s">
        <v>949</v>
      </c>
      <c r="C198" s="241"/>
      <c r="D198" s="241"/>
      <c r="E198" s="253"/>
      <c r="F198" s="226" t="s">
        <v>825</v>
      </c>
      <c r="G198" s="227">
        <v>1</v>
      </c>
      <c r="H198" s="227"/>
      <c r="I198" s="227"/>
      <c r="J198" s="228"/>
      <c r="K198" s="228"/>
      <c r="L198" s="228"/>
      <c r="M198" s="228"/>
      <c r="N198" s="230"/>
    </row>
    <row r="199" spans="1:14" ht="27.6" customHeight="1" outlineLevel="1">
      <c r="A199" s="222" t="s">
        <v>960</v>
      </c>
      <c r="B199" s="232" t="s">
        <v>961</v>
      </c>
      <c r="C199" s="230" t="s">
        <v>962</v>
      </c>
      <c r="D199" s="255"/>
      <c r="E199" s="243"/>
      <c r="F199" s="233"/>
      <c r="G199" s="220"/>
      <c r="H199" s="220"/>
      <c r="I199" s="220"/>
      <c r="J199" s="228"/>
      <c r="K199" s="228"/>
      <c r="L199" s="228"/>
      <c r="M199" s="228"/>
      <c r="N199" s="232"/>
    </row>
    <row r="200" spans="1:14" ht="19.8" customHeight="1" outlineLevel="2">
      <c r="A200" s="222"/>
      <c r="B200" s="245" t="s">
        <v>840</v>
      </c>
      <c r="C200" s="246"/>
      <c r="D200" s="246"/>
      <c r="E200" s="247"/>
      <c r="F200" s="233"/>
      <c r="G200" s="220"/>
      <c r="H200" s="220"/>
      <c r="I200" s="220"/>
      <c r="J200" s="228"/>
      <c r="K200" s="228"/>
      <c r="L200" s="228"/>
      <c r="M200" s="228"/>
      <c r="N200" s="232"/>
    </row>
    <row r="201" spans="1:14" ht="39" customHeight="1" outlineLevel="2">
      <c r="A201" s="235">
        <f>SUBTOTAL(3,$F$50:F201)</f>
        <v>118</v>
      </c>
      <c r="B201" s="230" t="s">
        <v>963</v>
      </c>
      <c r="C201" s="230"/>
      <c r="D201" s="241"/>
      <c r="E201" s="253" t="s">
        <v>964</v>
      </c>
      <c r="F201" s="226" t="s">
        <v>396</v>
      </c>
      <c r="G201" s="227">
        <v>6</v>
      </c>
      <c r="H201" s="227"/>
      <c r="I201" s="227"/>
      <c r="J201" s="228"/>
      <c r="K201" s="228"/>
      <c r="L201" s="228"/>
      <c r="M201" s="228"/>
      <c r="N201" s="230"/>
    </row>
    <row r="202" spans="1:14" ht="47.4" customHeight="1" outlineLevel="2">
      <c r="A202" s="235">
        <f>SUBTOTAL(3,$F$50:F202)</f>
        <v>119</v>
      </c>
      <c r="B202" s="230" t="s">
        <v>965</v>
      </c>
      <c r="C202" s="230"/>
      <c r="D202" s="241"/>
      <c r="E202" s="253" t="s">
        <v>964</v>
      </c>
      <c r="F202" s="226" t="s">
        <v>396</v>
      </c>
      <c r="G202" s="227">
        <v>6</v>
      </c>
      <c r="H202" s="227"/>
      <c r="I202" s="227"/>
      <c r="J202" s="228"/>
      <c r="K202" s="228"/>
      <c r="L202" s="228"/>
      <c r="M202" s="228"/>
      <c r="N202" s="230"/>
    </row>
    <row r="203" spans="1:14" ht="27.6" customHeight="1" outlineLevel="2">
      <c r="A203" s="235">
        <f>SUBTOTAL(3,$F$50:F203)</f>
        <v>120</v>
      </c>
      <c r="B203" s="230" t="s">
        <v>966</v>
      </c>
      <c r="C203" s="241"/>
      <c r="D203" s="241"/>
      <c r="E203" s="253" t="s">
        <v>953</v>
      </c>
      <c r="F203" s="226" t="s">
        <v>844</v>
      </c>
      <c r="G203" s="227">
        <v>1</v>
      </c>
      <c r="H203" s="227"/>
      <c r="I203" s="227"/>
      <c r="J203" s="228"/>
      <c r="K203" s="228"/>
      <c r="L203" s="228"/>
      <c r="M203" s="228"/>
      <c r="N203" s="230"/>
    </row>
    <row r="204" spans="1:14" ht="27.6" customHeight="1" outlineLevel="2">
      <c r="A204" s="235">
        <f>SUBTOTAL(3,$F$50:F204)</f>
        <v>121</v>
      </c>
      <c r="B204" s="230" t="s">
        <v>967</v>
      </c>
      <c r="C204" s="241"/>
      <c r="D204" s="241"/>
      <c r="E204" s="253" t="s">
        <v>953</v>
      </c>
      <c r="F204" s="226" t="s">
        <v>844</v>
      </c>
      <c r="G204" s="227">
        <v>1</v>
      </c>
      <c r="H204" s="227"/>
      <c r="I204" s="227"/>
      <c r="J204" s="228"/>
      <c r="K204" s="228"/>
      <c r="L204" s="228"/>
      <c r="M204" s="228"/>
      <c r="N204" s="230"/>
    </row>
    <row r="205" spans="1:14" ht="27.6" customHeight="1" outlineLevel="2">
      <c r="A205" s="235">
        <f>SUBTOTAL(3,$F$50:F205)</f>
        <v>122</v>
      </c>
      <c r="B205" s="230" t="s">
        <v>968</v>
      </c>
      <c r="C205" s="241"/>
      <c r="D205" s="241"/>
      <c r="E205" s="253" t="s">
        <v>953</v>
      </c>
      <c r="F205" s="226" t="s">
        <v>844</v>
      </c>
      <c r="G205" s="227">
        <v>1</v>
      </c>
      <c r="H205" s="227"/>
      <c r="I205" s="227"/>
      <c r="J205" s="228"/>
      <c r="K205" s="228"/>
      <c r="L205" s="228"/>
      <c r="M205" s="228"/>
      <c r="N205" s="230"/>
    </row>
    <row r="206" spans="1:14" ht="27.6" customHeight="1" outlineLevel="2">
      <c r="A206" s="235">
        <f>SUBTOTAL(3,$F$50:F206)</f>
        <v>123</v>
      </c>
      <c r="B206" s="230" t="s">
        <v>969</v>
      </c>
      <c r="C206" s="241"/>
      <c r="D206" s="241"/>
      <c r="E206" s="253" t="s">
        <v>953</v>
      </c>
      <c r="F206" s="226" t="s">
        <v>844</v>
      </c>
      <c r="G206" s="227">
        <v>1</v>
      </c>
      <c r="H206" s="227"/>
      <c r="I206" s="227"/>
      <c r="J206" s="228"/>
      <c r="K206" s="228"/>
      <c r="L206" s="228"/>
      <c r="M206" s="228"/>
      <c r="N206" s="230"/>
    </row>
    <row r="207" spans="1:14" ht="27.6" customHeight="1" outlineLevel="2">
      <c r="A207" s="235">
        <f>SUBTOTAL(3,$F$50:F207)</f>
        <v>124</v>
      </c>
      <c r="B207" s="230" t="s">
        <v>970</v>
      </c>
      <c r="C207" s="241"/>
      <c r="D207" s="241"/>
      <c r="E207" s="253" t="s">
        <v>953</v>
      </c>
      <c r="F207" s="226" t="s">
        <v>844</v>
      </c>
      <c r="G207" s="227">
        <v>1</v>
      </c>
      <c r="H207" s="227"/>
      <c r="I207" s="227"/>
      <c r="J207" s="228"/>
      <c r="K207" s="228"/>
      <c r="L207" s="228"/>
      <c r="M207" s="228"/>
      <c r="N207" s="230"/>
    </row>
    <row r="208" spans="1:14" ht="27.6" customHeight="1" outlineLevel="2">
      <c r="A208" s="235">
        <f>SUBTOTAL(3,$F$50:F208)</f>
        <v>125</v>
      </c>
      <c r="B208" s="230" t="s">
        <v>971</v>
      </c>
      <c r="C208" s="241"/>
      <c r="D208" s="241"/>
      <c r="E208" s="253" t="s">
        <v>953</v>
      </c>
      <c r="F208" s="226" t="s">
        <v>844</v>
      </c>
      <c r="G208" s="227">
        <v>1</v>
      </c>
      <c r="H208" s="227"/>
      <c r="I208" s="227"/>
      <c r="J208" s="228"/>
      <c r="K208" s="228"/>
      <c r="L208" s="228"/>
      <c r="M208" s="228"/>
      <c r="N208" s="230"/>
    </row>
    <row r="209" spans="1:14" ht="27.6" customHeight="1" outlineLevel="2">
      <c r="A209" s="235">
        <f>SUBTOTAL(3,$F$50:F209)</f>
        <v>126</v>
      </c>
      <c r="B209" s="230" t="s">
        <v>972</v>
      </c>
      <c r="C209" s="241"/>
      <c r="D209" s="241"/>
      <c r="E209" s="253" t="s">
        <v>953</v>
      </c>
      <c r="F209" s="226" t="s">
        <v>844</v>
      </c>
      <c r="G209" s="227">
        <v>1</v>
      </c>
      <c r="H209" s="227"/>
      <c r="I209" s="227"/>
      <c r="J209" s="228"/>
      <c r="K209" s="228"/>
      <c r="L209" s="228"/>
      <c r="M209" s="228"/>
      <c r="N209" s="230"/>
    </row>
    <row r="210" spans="1:14" ht="27.6" customHeight="1" outlineLevel="2">
      <c r="A210" s="235">
        <f>SUBTOTAL(3,$F$50:F210)</f>
        <v>127</v>
      </c>
      <c r="B210" s="230" t="s">
        <v>973</v>
      </c>
      <c r="C210" s="241"/>
      <c r="D210" s="241"/>
      <c r="E210" s="253" t="s">
        <v>953</v>
      </c>
      <c r="F210" s="226" t="s">
        <v>844</v>
      </c>
      <c r="G210" s="227">
        <v>1</v>
      </c>
      <c r="H210" s="227"/>
      <c r="I210" s="227"/>
      <c r="J210" s="228"/>
      <c r="K210" s="228"/>
      <c r="L210" s="228"/>
      <c r="M210" s="228"/>
      <c r="N210" s="230"/>
    </row>
    <row r="211" spans="1:14" ht="27.6" customHeight="1" outlineLevel="2">
      <c r="A211" s="235">
        <f>SUBTOTAL(3,$F$50:F211)</f>
        <v>128</v>
      </c>
      <c r="B211" s="230" t="s">
        <v>974</v>
      </c>
      <c r="C211" s="241"/>
      <c r="D211" s="241"/>
      <c r="E211" s="253" t="s">
        <v>953</v>
      </c>
      <c r="F211" s="226" t="s">
        <v>844</v>
      </c>
      <c r="G211" s="227">
        <v>1</v>
      </c>
      <c r="H211" s="227"/>
      <c r="I211" s="227"/>
      <c r="J211" s="228"/>
      <c r="K211" s="228"/>
      <c r="L211" s="228"/>
      <c r="M211" s="228"/>
      <c r="N211" s="230"/>
    </row>
    <row r="212" spans="1:14" s="207" customFormat="1" ht="26.4" outlineLevel="2">
      <c r="A212" s="235">
        <f>SUBTOTAL(3,$F$50:F212)</f>
        <v>129</v>
      </c>
      <c r="B212" s="318" t="s">
        <v>975</v>
      </c>
      <c r="C212" s="230"/>
      <c r="D212" s="230"/>
      <c r="E212" s="321" t="s">
        <v>976</v>
      </c>
      <c r="F212" s="226" t="s">
        <v>396</v>
      </c>
      <c r="G212" s="227">
        <v>3</v>
      </c>
      <c r="H212" s="227"/>
      <c r="I212" s="227"/>
      <c r="J212" s="228"/>
      <c r="K212" s="228"/>
      <c r="L212" s="228"/>
      <c r="M212" s="228"/>
      <c r="N212" s="230"/>
    </row>
    <row r="213" spans="1:14" s="207" customFormat="1" ht="22.2" customHeight="1" outlineLevel="2">
      <c r="A213" s="235">
        <f>SUBTOTAL(3,$F$50:F213)</f>
        <v>130</v>
      </c>
      <c r="B213" s="230" t="s">
        <v>977</v>
      </c>
      <c r="C213" s="230"/>
      <c r="D213" s="230"/>
      <c r="E213" s="251" t="s">
        <v>978</v>
      </c>
      <c r="F213" s="226" t="s">
        <v>396</v>
      </c>
      <c r="G213" s="227">
        <v>6</v>
      </c>
      <c r="H213" s="227"/>
      <c r="I213" s="227"/>
      <c r="J213" s="228"/>
      <c r="K213" s="228"/>
      <c r="L213" s="228"/>
      <c r="M213" s="228"/>
      <c r="N213" s="230"/>
    </row>
    <row r="214" spans="1:14" s="207" customFormat="1" ht="26.4" outlineLevel="2">
      <c r="A214" s="235">
        <f>SUBTOTAL(3,$F$50:F214)</f>
        <v>131</v>
      </c>
      <c r="B214" s="318" t="s">
        <v>979</v>
      </c>
      <c r="C214" s="230"/>
      <c r="D214" s="230"/>
      <c r="E214" s="321" t="s">
        <v>931</v>
      </c>
      <c r="F214" s="226" t="s">
        <v>396</v>
      </c>
      <c r="G214" s="227">
        <v>3</v>
      </c>
      <c r="H214" s="227"/>
      <c r="I214" s="227"/>
      <c r="J214" s="228"/>
      <c r="K214" s="228"/>
      <c r="L214" s="228"/>
      <c r="M214" s="228"/>
      <c r="N214" s="230"/>
    </row>
    <row r="215" spans="1:14" outlineLevel="2">
      <c r="A215" s="235"/>
      <c r="B215" s="245" t="s">
        <v>849</v>
      </c>
      <c r="C215" s="246"/>
      <c r="D215" s="246"/>
      <c r="E215" s="247"/>
      <c r="F215" s="248"/>
      <c r="G215" s="227"/>
      <c r="H215" s="227"/>
      <c r="I215" s="227"/>
      <c r="J215" s="228"/>
      <c r="K215" s="228"/>
      <c r="L215" s="228"/>
      <c r="M215" s="228"/>
      <c r="N215" s="230"/>
    </row>
    <row r="216" spans="1:14" ht="27.6" customHeight="1" outlineLevel="2">
      <c r="A216" s="235">
        <f>SUBTOTAL(3,$F$50:F216)</f>
        <v>132</v>
      </c>
      <c r="B216" s="230" t="s">
        <v>850</v>
      </c>
      <c r="C216" s="241"/>
      <c r="D216" s="241"/>
      <c r="E216" s="253" t="s">
        <v>851</v>
      </c>
      <c r="F216" s="226" t="s">
        <v>287</v>
      </c>
      <c r="G216" s="227">
        <v>1</v>
      </c>
      <c r="H216" s="227"/>
      <c r="I216" s="227"/>
      <c r="J216" s="228"/>
      <c r="K216" s="228"/>
      <c r="L216" s="228"/>
      <c r="M216" s="228"/>
      <c r="N216" s="230"/>
    </row>
    <row r="217" spans="1:14" ht="27.6" customHeight="1" outlineLevel="2">
      <c r="A217" s="235">
        <f>SUBTOTAL(3,$F$50:F217)</f>
        <v>133</v>
      </c>
      <c r="B217" s="230" t="s">
        <v>852</v>
      </c>
      <c r="C217" s="241"/>
      <c r="D217" s="241"/>
      <c r="E217" s="253" t="s">
        <v>851</v>
      </c>
      <c r="F217" s="226" t="s">
        <v>287</v>
      </c>
      <c r="G217" s="227">
        <v>33</v>
      </c>
      <c r="H217" s="227"/>
      <c r="I217" s="227"/>
      <c r="J217" s="228"/>
      <c r="K217" s="228"/>
      <c r="L217" s="228"/>
      <c r="M217" s="228"/>
      <c r="N217" s="230"/>
    </row>
    <row r="218" spans="1:14" ht="27.6" customHeight="1" outlineLevel="2">
      <c r="A218" s="235">
        <f>SUBTOTAL(3,$F$50:F218)</f>
        <v>134</v>
      </c>
      <c r="B218" s="230" t="s">
        <v>853</v>
      </c>
      <c r="C218" s="241"/>
      <c r="D218" s="241"/>
      <c r="E218" s="253" t="s">
        <v>851</v>
      </c>
      <c r="F218" s="226" t="s">
        <v>287</v>
      </c>
      <c r="G218" s="227">
        <v>82</v>
      </c>
      <c r="H218" s="227"/>
      <c r="I218" s="227"/>
      <c r="J218" s="228"/>
      <c r="K218" s="228"/>
      <c r="L218" s="228"/>
      <c r="M218" s="228"/>
      <c r="N218" s="230"/>
    </row>
    <row r="219" spans="1:14" ht="27.6" customHeight="1" outlineLevel="2">
      <c r="A219" s="235">
        <f>SUBTOTAL(3,$F$50:F219)</f>
        <v>135</v>
      </c>
      <c r="B219" s="230" t="s">
        <v>854</v>
      </c>
      <c r="C219" s="241"/>
      <c r="D219" s="241"/>
      <c r="E219" s="253" t="s">
        <v>851</v>
      </c>
      <c r="F219" s="226" t="s">
        <v>287</v>
      </c>
      <c r="G219" s="227">
        <v>1</v>
      </c>
      <c r="H219" s="227"/>
      <c r="I219" s="227"/>
      <c r="J219" s="228"/>
      <c r="K219" s="228"/>
      <c r="L219" s="228"/>
      <c r="M219" s="228"/>
      <c r="N219" s="230"/>
    </row>
    <row r="220" spans="1:14" ht="27.6" customHeight="1" outlineLevel="2">
      <c r="A220" s="235">
        <f>SUBTOTAL(3,$F$50:F220)</f>
        <v>136</v>
      </c>
      <c r="B220" s="230" t="s">
        <v>855</v>
      </c>
      <c r="C220" s="241"/>
      <c r="D220" s="241"/>
      <c r="E220" s="253" t="s">
        <v>851</v>
      </c>
      <c r="F220" s="226" t="s">
        <v>287</v>
      </c>
      <c r="G220" s="227">
        <v>34</v>
      </c>
      <c r="H220" s="227"/>
      <c r="I220" s="227"/>
      <c r="J220" s="228"/>
      <c r="K220" s="228"/>
      <c r="L220" s="228"/>
      <c r="M220" s="228"/>
      <c r="N220" s="230"/>
    </row>
    <row r="221" spans="1:14" ht="27.6" customHeight="1" outlineLevel="2">
      <c r="A221" s="235">
        <f>SUBTOTAL(3,$F$50:F221)</f>
        <v>137</v>
      </c>
      <c r="B221" s="230" t="s">
        <v>856</v>
      </c>
      <c r="C221" s="241"/>
      <c r="D221" s="241"/>
      <c r="E221" s="253" t="s">
        <v>851</v>
      </c>
      <c r="F221" s="226" t="s">
        <v>287</v>
      </c>
      <c r="G221" s="227">
        <v>12</v>
      </c>
      <c r="H221" s="227"/>
      <c r="I221" s="227"/>
      <c r="J221" s="228"/>
      <c r="K221" s="228"/>
      <c r="L221" s="228"/>
      <c r="M221" s="228"/>
      <c r="N221" s="230"/>
    </row>
    <row r="222" spans="1:14" ht="27.6" customHeight="1" outlineLevel="2">
      <c r="A222" s="235">
        <f>SUBTOTAL(3,$F$50:F222)</f>
        <v>138</v>
      </c>
      <c r="B222" s="230" t="s">
        <v>927</v>
      </c>
      <c r="C222" s="241"/>
      <c r="D222" s="241"/>
      <c r="E222" s="253" t="s">
        <v>851</v>
      </c>
      <c r="F222" s="226" t="s">
        <v>287</v>
      </c>
      <c r="G222" s="227">
        <v>72</v>
      </c>
      <c r="H222" s="227"/>
      <c r="I222" s="227"/>
      <c r="J222" s="228"/>
      <c r="K222" s="228"/>
      <c r="L222" s="228"/>
      <c r="M222" s="228"/>
      <c r="N222" s="230"/>
    </row>
    <row r="223" spans="1:14" ht="27.6" customHeight="1" outlineLevel="2">
      <c r="A223" s="235">
        <f>SUBTOTAL(3,$F$50:F223)</f>
        <v>139</v>
      </c>
      <c r="B223" s="230" t="s">
        <v>857</v>
      </c>
      <c r="C223" s="241"/>
      <c r="D223" s="241"/>
      <c r="E223" s="253" t="s">
        <v>851</v>
      </c>
      <c r="F223" s="226" t="s">
        <v>287</v>
      </c>
      <c r="G223" s="227">
        <v>12</v>
      </c>
      <c r="H223" s="227"/>
      <c r="I223" s="227"/>
      <c r="J223" s="228"/>
      <c r="K223" s="228"/>
      <c r="L223" s="228"/>
      <c r="M223" s="228"/>
      <c r="N223" s="230"/>
    </row>
    <row r="224" spans="1:14" ht="27.6" customHeight="1" outlineLevel="2">
      <c r="A224" s="235">
        <f>SUBTOTAL(3,$F$50:F224)</f>
        <v>140</v>
      </c>
      <c r="B224" s="230" t="s">
        <v>858</v>
      </c>
      <c r="C224" s="241"/>
      <c r="D224" s="241"/>
      <c r="E224" s="253" t="s">
        <v>851</v>
      </c>
      <c r="F224" s="226" t="s">
        <v>287</v>
      </c>
      <c r="G224" s="227">
        <v>9</v>
      </c>
      <c r="H224" s="227"/>
      <c r="I224" s="227"/>
      <c r="J224" s="228"/>
      <c r="K224" s="228"/>
      <c r="L224" s="228"/>
      <c r="M224" s="228"/>
      <c r="N224" s="230"/>
    </row>
    <row r="225" spans="1:14" outlineLevel="2">
      <c r="A225" s="244"/>
      <c r="B225" s="245" t="s">
        <v>861</v>
      </c>
      <c r="C225" s="246"/>
      <c r="D225" s="246"/>
      <c r="E225" s="247"/>
      <c r="F225" s="248"/>
      <c r="G225" s="249"/>
      <c r="H225" s="249"/>
      <c r="I225" s="249"/>
      <c r="J225" s="228"/>
      <c r="K225" s="228"/>
      <c r="L225" s="228"/>
      <c r="M225" s="228"/>
      <c r="N225" s="245"/>
    </row>
    <row r="226" spans="1:14" ht="27.6" customHeight="1" outlineLevel="2">
      <c r="A226" s="235">
        <f>SUBTOTAL(3,$F$50:F226)</f>
        <v>141</v>
      </c>
      <c r="B226" s="230" t="s">
        <v>862</v>
      </c>
      <c r="C226" s="241"/>
      <c r="D226" s="241"/>
      <c r="E226" s="253" t="s">
        <v>851</v>
      </c>
      <c r="F226" s="226" t="s">
        <v>287</v>
      </c>
      <c r="G226" s="227">
        <v>29</v>
      </c>
      <c r="H226" s="227"/>
      <c r="I226" s="227"/>
      <c r="J226" s="228"/>
      <c r="K226" s="228"/>
      <c r="L226" s="228"/>
      <c r="M226" s="228"/>
      <c r="N226" s="230"/>
    </row>
    <row r="227" spans="1:14" ht="27.6" customHeight="1" outlineLevel="2">
      <c r="A227" s="235">
        <f>SUBTOTAL(3,$F$50:F227)</f>
        <v>142</v>
      </c>
      <c r="B227" s="230" t="s">
        <v>863</v>
      </c>
      <c r="C227" s="241"/>
      <c r="D227" s="241"/>
      <c r="E227" s="253" t="s">
        <v>851</v>
      </c>
      <c r="F227" s="226" t="s">
        <v>287</v>
      </c>
      <c r="G227" s="227">
        <v>51</v>
      </c>
      <c r="H227" s="227"/>
      <c r="I227" s="227"/>
      <c r="J227" s="228"/>
      <c r="K227" s="228"/>
      <c r="L227" s="228"/>
      <c r="M227" s="228"/>
      <c r="N227" s="230"/>
    </row>
    <row r="228" spans="1:14" ht="27.6" customHeight="1" outlineLevel="2">
      <c r="A228" s="235">
        <f>SUBTOTAL(3,$F$50:F228)</f>
        <v>143</v>
      </c>
      <c r="B228" s="230" t="s">
        <v>980</v>
      </c>
      <c r="C228" s="241"/>
      <c r="D228" s="241"/>
      <c r="E228" s="253" t="s">
        <v>851</v>
      </c>
      <c r="F228" s="226" t="s">
        <v>287</v>
      </c>
      <c r="G228" s="227">
        <v>3</v>
      </c>
      <c r="H228" s="227"/>
      <c r="I228" s="227"/>
      <c r="J228" s="228"/>
      <c r="K228" s="228"/>
      <c r="L228" s="228"/>
      <c r="M228" s="228"/>
      <c r="N228" s="230"/>
    </row>
    <row r="229" spans="1:14" ht="27.6" customHeight="1" outlineLevel="2">
      <c r="A229" s="235">
        <f>SUBTOTAL(3,$F$50:F229)</f>
        <v>144</v>
      </c>
      <c r="B229" s="230" t="s">
        <v>865</v>
      </c>
      <c r="C229" s="241"/>
      <c r="D229" s="241"/>
      <c r="E229" s="253" t="s">
        <v>851</v>
      </c>
      <c r="F229" s="226" t="s">
        <v>287</v>
      </c>
      <c r="G229" s="227">
        <v>6</v>
      </c>
      <c r="H229" s="227"/>
      <c r="I229" s="227"/>
      <c r="J229" s="228"/>
      <c r="K229" s="228"/>
      <c r="L229" s="228"/>
      <c r="M229" s="228"/>
      <c r="N229" s="230"/>
    </row>
    <row r="230" spans="1:14" ht="27.6" customHeight="1" outlineLevel="2">
      <c r="A230" s="235">
        <f>SUBTOTAL(3,$F$50:F230)</f>
        <v>145</v>
      </c>
      <c r="B230" s="230" t="s">
        <v>866</v>
      </c>
      <c r="C230" s="241"/>
      <c r="D230" s="241"/>
      <c r="E230" s="253" t="s">
        <v>851</v>
      </c>
      <c r="F230" s="226" t="s">
        <v>287</v>
      </c>
      <c r="G230" s="227">
        <v>27</v>
      </c>
      <c r="H230" s="227"/>
      <c r="I230" s="227"/>
      <c r="J230" s="228"/>
      <c r="K230" s="228"/>
      <c r="L230" s="228"/>
      <c r="M230" s="228"/>
      <c r="N230" s="230"/>
    </row>
    <row r="231" spans="1:14" ht="27.6" customHeight="1" outlineLevel="2">
      <c r="A231" s="235">
        <f>SUBTOTAL(3,$F$50:F231)</f>
        <v>146</v>
      </c>
      <c r="B231" s="230" t="s">
        <v>867</v>
      </c>
      <c r="C231" s="241"/>
      <c r="D231" s="241"/>
      <c r="E231" s="253" t="s">
        <v>851</v>
      </c>
      <c r="F231" s="226" t="s">
        <v>287</v>
      </c>
      <c r="G231" s="227">
        <v>6</v>
      </c>
      <c r="H231" s="227"/>
      <c r="I231" s="227"/>
      <c r="J231" s="228"/>
      <c r="K231" s="228"/>
      <c r="L231" s="228"/>
      <c r="M231" s="228"/>
      <c r="N231" s="230"/>
    </row>
    <row r="232" spans="1:14" outlineLevel="2">
      <c r="A232" s="244"/>
      <c r="B232" s="245" t="s">
        <v>870</v>
      </c>
      <c r="C232" s="246"/>
      <c r="D232" s="246"/>
      <c r="E232" s="247"/>
      <c r="F232" s="248"/>
      <c r="G232" s="249"/>
      <c r="H232" s="249"/>
      <c r="I232" s="249"/>
      <c r="J232" s="228"/>
      <c r="K232" s="228"/>
      <c r="L232" s="228"/>
      <c r="M232" s="228"/>
      <c r="N232" s="245"/>
    </row>
    <row r="233" spans="1:14" ht="27.6" customHeight="1" outlineLevel="2">
      <c r="A233" s="235">
        <f>SUBTOTAL(3,$F$50:F233)</f>
        <v>147</v>
      </c>
      <c r="B233" s="230" t="s">
        <v>981</v>
      </c>
      <c r="C233" s="241"/>
      <c r="D233" s="241"/>
      <c r="E233" s="253" t="s">
        <v>851</v>
      </c>
      <c r="F233" s="226" t="s">
        <v>287</v>
      </c>
      <c r="G233" s="227">
        <v>12</v>
      </c>
      <c r="H233" s="227"/>
      <c r="I233" s="227"/>
      <c r="J233" s="228"/>
      <c r="K233" s="228"/>
      <c r="L233" s="228"/>
      <c r="M233" s="228"/>
      <c r="N233" s="230"/>
    </row>
    <row r="234" spans="1:14" ht="27.6" customHeight="1" outlineLevel="2">
      <c r="A234" s="235">
        <f>SUBTOTAL(3,$F$50:F234)</f>
        <v>148</v>
      </c>
      <c r="B234" s="230" t="s">
        <v>929</v>
      </c>
      <c r="C234" s="241"/>
      <c r="D234" s="241"/>
      <c r="E234" s="253" t="s">
        <v>851</v>
      </c>
      <c r="F234" s="226" t="s">
        <v>287</v>
      </c>
      <c r="G234" s="227">
        <v>12</v>
      </c>
      <c r="H234" s="227"/>
      <c r="I234" s="227"/>
      <c r="J234" s="228"/>
      <c r="K234" s="228"/>
      <c r="L234" s="228"/>
      <c r="M234" s="228"/>
      <c r="N234" s="230"/>
    </row>
    <row r="235" spans="1:14" ht="27.6" customHeight="1" outlineLevel="2">
      <c r="A235" s="235">
        <f>SUBTOTAL(3,$F$50:F235)</f>
        <v>149</v>
      </c>
      <c r="B235" s="230" t="s">
        <v>871</v>
      </c>
      <c r="C235" s="241"/>
      <c r="D235" s="241"/>
      <c r="E235" s="253" t="s">
        <v>851</v>
      </c>
      <c r="F235" s="226" t="s">
        <v>287</v>
      </c>
      <c r="G235" s="227">
        <v>12</v>
      </c>
      <c r="H235" s="227"/>
      <c r="I235" s="227"/>
      <c r="J235" s="228"/>
      <c r="K235" s="228"/>
      <c r="L235" s="228"/>
      <c r="M235" s="228"/>
      <c r="N235" s="230"/>
    </row>
    <row r="236" spans="1:14" outlineLevel="2">
      <c r="A236" s="244"/>
      <c r="B236" s="245" t="s">
        <v>874</v>
      </c>
      <c r="C236" s="246"/>
      <c r="D236" s="246"/>
      <c r="E236" s="247"/>
      <c r="F236" s="248"/>
      <c r="G236" s="249"/>
      <c r="H236" s="249"/>
      <c r="I236" s="249"/>
      <c r="J236" s="228"/>
      <c r="K236" s="228"/>
      <c r="L236" s="228"/>
      <c r="M236" s="228"/>
      <c r="N236" s="245"/>
    </row>
    <row r="237" spans="1:14" ht="27.6" customHeight="1" outlineLevel="2">
      <c r="A237" s="235">
        <f>SUBTOTAL(3,$F$50:F237)</f>
        <v>150</v>
      </c>
      <c r="B237" s="230" t="s">
        <v>982</v>
      </c>
      <c r="C237" s="241"/>
      <c r="D237" s="241"/>
      <c r="E237" s="253" t="s">
        <v>851</v>
      </c>
      <c r="F237" s="226" t="s">
        <v>287</v>
      </c>
      <c r="G237" s="227">
        <v>3</v>
      </c>
      <c r="H237" s="227"/>
      <c r="I237" s="227"/>
      <c r="J237" s="228"/>
      <c r="K237" s="228"/>
      <c r="L237" s="228"/>
      <c r="M237" s="228"/>
      <c r="N237" s="230"/>
    </row>
    <row r="238" spans="1:14" ht="27.6" customHeight="1" outlineLevel="2">
      <c r="A238" s="235">
        <f>SUBTOTAL(3,$F$50:F238)</f>
        <v>151</v>
      </c>
      <c r="B238" s="230" t="s">
        <v>983</v>
      </c>
      <c r="C238" s="241"/>
      <c r="D238" s="241"/>
      <c r="E238" s="253" t="s">
        <v>851</v>
      </c>
      <c r="F238" s="226" t="s">
        <v>287</v>
      </c>
      <c r="G238" s="227">
        <v>6</v>
      </c>
      <c r="H238" s="227"/>
      <c r="I238" s="227"/>
      <c r="J238" s="228"/>
      <c r="K238" s="228"/>
      <c r="L238" s="228"/>
      <c r="M238" s="228"/>
      <c r="N238" s="230"/>
    </row>
    <row r="239" spans="1:14" ht="27.6" customHeight="1" outlineLevel="2">
      <c r="A239" s="235">
        <f>SUBTOTAL(3,$F$50:F239)</f>
        <v>152</v>
      </c>
      <c r="B239" s="230" t="s">
        <v>984</v>
      </c>
      <c r="C239" s="241"/>
      <c r="D239" s="241"/>
      <c r="E239" s="253" t="s">
        <v>851</v>
      </c>
      <c r="F239" s="226" t="s">
        <v>287</v>
      </c>
      <c r="G239" s="227">
        <v>6</v>
      </c>
      <c r="H239" s="227"/>
      <c r="I239" s="227"/>
      <c r="J239" s="228"/>
      <c r="K239" s="228"/>
      <c r="L239" s="228"/>
      <c r="M239" s="228"/>
      <c r="N239" s="230"/>
    </row>
    <row r="240" spans="1:14" ht="27.6" customHeight="1" outlineLevel="2">
      <c r="A240" s="235">
        <f>SUBTOTAL(3,$F$50:F240)</f>
        <v>153</v>
      </c>
      <c r="B240" s="230" t="s">
        <v>875</v>
      </c>
      <c r="C240" s="241"/>
      <c r="D240" s="241"/>
      <c r="E240" s="253" t="s">
        <v>851</v>
      </c>
      <c r="F240" s="226" t="s">
        <v>287</v>
      </c>
      <c r="G240" s="227">
        <v>6</v>
      </c>
      <c r="H240" s="227"/>
      <c r="I240" s="227"/>
      <c r="J240" s="228"/>
      <c r="K240" s="228"/>
      <c r="L240" s="228"/>
      <c r="M240" s="228"/>
      <c r="N240" s="230"/>
    </row>
    <row r="241" spans="1:14" outlineLevel="2">
      <c r="A241" s="244"/>
      <c r="B241" s="245" t="s">
        <v>985</v>
      </c>
      <c r="C241" s="246"/>
      <c r="D241" s="246"/>
      <c r="E241" s="253"/>
      <c r="F241" s="248"/>
      <c r="G241" s="249"/>
      <c r="H241" s="249"/>
      <c r="I241" s="249"/>
      <c r="J241" s="228"/>
      <c r="K241" s="228"/>
      <c r="L241" s="228"/>
      <c r="M241" s="228"/>
      <c r="N241" s="245"/>
    </row>
    <row r="242" spans="1:14" ht="41.4" customHeight="1" outlineLevel="2">
      <c r="A242" s="235">
        <f>SUBTOTAL(3,$F$50:F242)</f>
        <v>154</v>
      </c>
      <c r="B242" s="230" t="s">
        <v>986</v>
      </c>
      <c r="C242" s="241"/>
      <c r="D242" s="241"/>
      <c r="E242" s="253" t="s">
        <v>851</v>
      </c>
      <c r="F242" s="226" t="s">
        <v>844</v>
      </c>
      <c r="G242" s="227">
        <v>3</v>
      </c>
      <c r="H242" s="227"/>
      <c r="I242" s="227"/>
      <c r="J242" s="228"/>
      <c r="K242" s="228"/>
      <c r="L242" s="228"/>
      <c r="M242" s="228"/>
      <c r="N242" s="230"/>
    </row>
    <row r="243" spans="1:14" ht="41.4" customHeight="1" outlineLevel="2">
      <c r="A243" s="235">
        <f>SUBTOTAL(3,$F$50:F243)</f>
        <v>155</v>
      </c>
      <c r="B243" s="230" t="s">
        <v>987</v>
      </c>
      <c r="C243" s="241"/>
      <c r="D243" s="241"/>
      <c r="E243" s="253" t="s">
        <v>851</v>
      </c>
      <c r="F243" s="226" t="s">
        <v>844</v>
      </c>
      <c r="G243" s="227">
        <v>2</v>
      </c>
      <c r="H243" s="227"/>
      <c r="I243" s="227"/>
      <c r="J243" s="228"/>
      <c r="K243" s="228"/>
      <c r="L243" s="228"/>
      <c r="M243" s="228"/>
      <c r="N243" s="230"/>
    </row>
    <row r="244" spans="1:14" ht="27.6" customHeight="1" outlineLevel="2">
      <c r="A244" s="235">
        <f>SUBTOTAL(3,$F$50:F244)</f>
        <v>156</v>
      </c>
      <c r="B244" s="230" t="s">
        <v>988</v>
      </c>
      <c r="C244" s="241"/>
      <c r="D244" s="241"/>
      <c r="E244" s="253" t="s">
        <v>851</v>
      </c>
      <c r="F244" s="226" t="s">
        <v>287</v>
      </c>
      <c r="G244" s="227">
        <v>27</v>
      </c>
      <c r="H244" s="227"/>
      <c r="I244" s="227"/>
      <c r="J244" s="228"/>
      <c r="K244" s="228"/>
      <c r="L244" s="228"/>
      <c r="M244" s="228"/>
      <c r="N244" s="230"/>
    </row>
    <row r="245" spans="1:14" ht="26.4" outlineLevel="2">
      <c r="A245" s="235">
        <f>SUBTOTAL(3,$F$50:F245)</f>
        <v>157</v>
      </c>
      <c r="B245" s="318" t="s">
        <v>989</v>
      </c>
      <c r="C245" s="241"/>
      <c r="D245" s="241"/>
      <c r="E245" s="320" t="s">
        <v>990</v>
      </c>
      <c r="F245" s="226" t="s">
        <v>287</v>
      </c>
      <c r="G245" s="227">
        <v>21</v>
      </c>
      <c r="H245" s="227"/>
      <c r="I245" s="227"/>
      <c r="J245" s="228"/>
      <c r="K245" s="228"/>
      <c r="L245" s="228"/>
      <c r="M245" s="228"/>
      <c r="N245" s="230"/>
    </row>
    <row r="246" spans="1:14" outlineLevel="2">
      <c r="A246" s="235">
        <f>SUBTOTAL(3,$F$50:F246)</f>
        <v>158</v>
      </c>
      <c r="B246" s="318" t="s">
        <v>891</v>
      </c>
      <c r="C246" s="241"/>
      <c r="D246" s="241"/>
      <c r="E246" s="253"/>
      <c r="F246" s="226" t="s">
        <v>287</v>
      </c>
      <c r="G246" s="227">
        <v>12</v>
      </c>
      <c r="H246" s="227"/>
      <c r="I246" s="227"/>
      <c r="J246" s="228"/>
      <c r="K246" s="228"/>
      <c r="L246" s="228"/>
      <c r="M246" s="228"/>
      <c r="N246" s="230"/>
    </row>
    <row r="247" spans="1:14" ht="26.4" outlineLevel="2">
      <c r="A247" s="235">
        <f>SUBTOTAL(3,$F$50:F247)</f>
        <v>159</v>
      </c>
      <c r="B247" s="318" t="s">
        <v>991</v>
      </c>
      <c r="C247" s="241"/>
      <c r="D247" s="241"/>
      <c r="E247" s="320" t="s">
        <v>851</v>
      </c>
      <c r="F247" s="226" t="s">
        <v>287</v>
      </c>
      <c r="G247" s="227">
        <v>9</v>
      </c>
      <c r="H247" s="227"/>
      <c r="I247" s="227"/>
      <c r="J247" s="228"/>
      <c r="K247" s="228"/>
      <c r="L247" s="228"/>
      <c r="M247" s="228"/>
      <c r="N247" s="230"/>
    </row>
    <row r="248" spans="1:14" ht="27.6" customHeight="1" outlineLevel="2">
      <c r="A248" s="235">
        <f>SUBTOTAL(3,$F$50:F248)</f>
        <v>160</v>
      </c>
      <c r="B248" s="230" t="s">
        <v>992</v>
      </c>
      <c r="C248" s="241"/>
      <c r="D248" s="241"/>
      <c r="E248" s="253" t="s">
        <v>993</v>
      </c>
      <c r="F248" s="226" t="s">
        <v>287</v>
      </c>
      <c r="G248" s="227">
        <v>3</v>
      </c>
      <c r="H248" s="227"/>
      <c r="I248" s="227"/>
      <c r="J248" s="228"/>
      <c r="K248" s="228"/>
      <c r="L248" s="228"/>
      <c r="M248" s="228"/>
      <c r="N248" s="230"/>
    </row>
    <row r="249" spans="1:14" ht="27.6" customHeight="1" outlineLevel="2">
      <c r="A249" s="235">
        <f>SUBTOTAL(3,$F$50:F249)</f>
        <v>161</v>
      </c>
      <c r="B249" s="230" t="s">
        <v>994</v>
      </c>
      <c r="C249" s="241"/>
      <c r="D249" s="241"/>
      <c r="E249" s="253" t="s">
        <v>993</v>
      </c>
      <c r="F249" s="226" t="s">
        <v>287</v>
      </c>
      <c r="G249" s="227">
        <v>21</v>
      </c>
      <c r="H249" s="227"/>
      <c r="I249" s="227"/>
      <c r="J249" s="228"/>
      <c r="K249" s="228"/>
      <c r="L249" s="228"/>
      <c r="M249" s="228"/>
      <c r="N249" s="230"/>
    </row>
    <row r="250" spans="1:14" ht="27.6" customHeight="1" outlineLevel="2">
      <c r="A250" s="235">
        <f>SUBTOTAL(3,$F$50:F250)</f>
        <v>162</v>
      </c>
      <c r="B250" s="230" t="s">
        <v>995</v>
      </c>
      <c r="C250" s="241"/>
      <c r="D250" s="241"/>
      <c r="E250" s="253" t="s">
        <v>993</v>
      </c>
      <c r="F250" s="226" t="s">
        <v>287</v>
      </c>
      <c r="G250" s="227">
        <v>78</v>
      </c>
      <c r="H250" s="227"/>
      <c r="I250" s="227"/>
      <c r="J250" s="228"/>
      <c r="K250" s="228"/>
      <c r="L250" s="228"/>
      <c r="M250" s="228"/>
      <c r="N250" s="230"/>
    </row>
    <row r="251" spans="1:14" outlineLevel="2">
      <c r="A251" s="235">
        <f>SUBTOTAL(3,$F$50:F251)</f>
        <v>163</v>
      </c>
      <c r="B251" s="230" t="s">
        <v>996</v>
      </c>
      <c r="C251" s="241"/>
      <c r="D251" s="241"/>
      <c r="E251" s="253" t="s">
        <v>997</v>
      </c>
      <c r="F251" s="226" t="s">
        <v>287</v>
      </c>
      <c r="G251" s="227">
        <v>78</v>
      </c>
      <c r="H251" s="227"/>
      <c r="I251" s="227"/>
      <c r="J251" s="228"/>
      <c r="K251" s="228"/>
      <c r="L251" s="228"/>
      <c r="M251" s="228"/>
      <c r="N251" s="230"/>
    </row>
    <row r="252" spans="1:14" ht="24.6" customHeight="1" outlineLevel="2">
      <c r="A252" s="244"/>
      <c r="B252" s="245" t="s">
        <v>998</v>
      </c>
      <c r="C252" s="246"/>
      <c r="D252" s="246"/>
      <c r="E252" s="247"/>
      <c r="F252" s="248"/>
      <c r="G252" s="249"/>
      <c r="H252" s="249"/>
      <c r="I252" s="249"/>
      <c r="J252" s="228"/>
      <c r="K252" s="228"/>
      <c r="L252" s="228"/>
      <c r="M252" s="228"/>
      <c r="N252" s="245"/>
    </row>
    <row r="253" spans="1:14" ht="21" customHeight="1" outlineLevel="2">
      <c r="A253" s="235">
        <f>SUBTOTAL(3,$F$50:F253)</f>
        <v>164</v>
      </c>
      <c r="B253" s="230" t="s">
        <v>904</v>
      </c>
      <c r="C253" s="241"/>
      <c r="D253" s="241"/>
      <c r="E253" s="253"/>
      <c r="F253" s="226" t="s">
        <v>570</v>
      </c>
      <c r="G253" s="227">
        <v>90</v>
      </c>
      <c r="H253" s="227"/>
      <c r="I253" s="227"/>
      <c r="J253" s="228"/>
      <c r="K253" s="228"/>
      <c r="L253" s="228"/>
      <c r="M253" s="228"/>
      <c r="N253" s="230"/>
    </row>
    <row r="254" spans="1:14" ht="21" customHeight="1" outlineLevel="2">
      <c r="A254" s="235">
        <f>SUBTOTAL(3,$F$50:F254)</f>
        <v>165</v>
      </c>
      <c r="B254" s="230" t="s">
        <v>999</v>
      </c>
      <c r="C254" s="241"/>
      <c r="D254" s="241"/>
      <c r="E254" s="253"/>
      <c r="F254" s="226" t="s">
        <v>570</v>
      </c>
      <c r="G254" s="227">
        <v>45</v>
      </c>
      <c r="H254" s="227"/>
      <c r="I254" s="227"/>
      <c r="J254" s="228"/>
      <c r="K254" s="228"/>
      <c r="L254" s="228"/>
      <c r="M254" s="228"/>
      <c r="N254" s="230"/>
    </row>
    <row r="255" spans="1:14" ht="21" customHeight="1" outlineLevel="2">
      <c r="A255" s="235">
        <f>SUBTOTAL(3,$F$50:F255)</f>
        <v>166</v>
      </c>
      <c r="B255" s="230" t="s">
        <v>1000</v>
      </c>
      <c r="C255" s="241"/>
      <c r="D255" s="241"/>
      <c r="E255" s="253"/>
      <c r="F255" s="226" t="s">
        <v>570</v>
      </c>
      <c r="G255" s="227">
        <v>75</v>
      </c>
      <c r="H255" s="227"/>
      <c r="I255" s="227"/>
      <c r="J255" s="228"/>
      <c r="K255" s="228"/>
      <c r="L255" s="228"/>
      <c r="M255" s="228"/>
      <c r="N255" s="230"/>
    </row>
    <row r="256" spans="1:14" ht="21.6" customHeight="1" outlineLevel="2">
      <c r="A256" s="235">
        <f>SUBTOTAL(3,$F$50:F256)</f>
        <v>167</v>
      </c>
      <c r="B256" s="230" t="s">
        <v>909</v>
      </c>
      <c r="C256" s="241"/>
      <c r="D256" s="241"/>
      <c r="E256" s="253"/>
      <c r="F256" s="226" t="s">
        <v>276</v>
      </c>
      <c r="G256" s="227">
        <v>1</v>
      </c>
      <c r="H256" s="227"/>
      <c r="I256" s="227"/>
      <c r="J256" s="228"/>
      <c r="K256" s="228"/>
      <c r="L256" s="228"/>
      <c r="M256" s="228"/>
      <c r="N256" s="230"/>
    </row>
    <row r="257" spans="1:14" ht="21.6" customHeight="1" outlineLevel="2">
      <c r="A257" s="235">
        <f>SUBTOTAL(3,$F$50:F257)</f>
        <v>168</v>
      </c>
      <c r="B257" s="230" t="s">
        <v>910</v>
      </c>
      <c r="C257" s="241"/>
      <c r="D257" s="241"/>
      <c r="E257" s="253"/>
      <c r="F257" s="226" t="s">
        <v>276</v>
      </c>
      <c r="G257" s="227">
        <v>1</v>
      </c>
      <c r="H257" s="227"/>
      <c r="I257" s="227"/>
      <c r="J257" s="228"/>
      <c r="K257" s="228"/>
      <c r="L257" s="228"/>
      <c r="M257" s="228"/>
      <c r="N257" s="230"/>
    </row>
    <row r="258" spans="1:14" ht="41.4" customHeight="1" outlineLevel="2">
      <c r="A258" s="235"/>
      <c r="B258" s="245" t="s">
        <v>1001</v>
      </c>
      <c r="C258" s="246" t="s">
        <v>1002</v>
      </c>
      <c r="D258" s="246"/>
      <c r="E258" s="247"/>
      <c r="F258" s="226"/>
      <c r="G258" s="227"/>
      <c r="H258" s="227"/>
      <c r="I258" s="227"/>
      <c r="J258" s="228"/>
      <c r="K258" s="228"/>
      <c r="L258" s="228"/>
      <c r="M258" s="228"/>
      <c r="N258" s="230"/>
    </row>
    <row r="259" spans="1:14" outlineLevel="2">
      <c r="A259" s="235">
        <f>SUBTOTAL(3,$F$50:F259)</f>
        <v>169</v>
      </c>
      <c r="B259" s="230" t="s">
        <v>1003</v>
      </c>
      <c r="C259" s="241"/>
      <c r="D259" s="241"/>
      <c r="E259" s="253" t="s">
        <v>1004</v>
      </c>
      <c r="F259" s="226" t="s">
        <v>570</v>
      </c>
      <c r="G259" s="227">
        <v>727</v>
      </c>
      <c r="H259" s="227"/>
      <c r="I259" s="227"/>
      <c r="J259" s="228"/>
      <c r="K259" s="228"/>
      <c r="L259" s="228"/>
      <c r="M259" s="228"/>
      <c r="N259" s="230"/>
    </row>
    <row r="260" spans="1:14" outlineLevel="2">
      <c r="A260" s="235">
        <f>SUBTOTAL(3,$F$50:F260)</f>
        <v>170</v>
      </c>
      <c r="B260" s="230" t="s">
        <v>1005</v>
      </c>
      <c r="C260" s="241"/>
      <c r="D260" s="241"/>
      <c r="E260" s="253" t="s">
        <v>1004</v>
      </c>
      <c r="F260" s="226" t="s">
        <v>570</v>
      </c>
      <c r="G260" s="227">
        <v>78</v>
      </c>
      <c r="H260" s="227"/>
      <c r="I260" s="227"/>
      <c r="J260" s="228"/>
      <c r="K260" s="228"/>
      <c r="L260" s="228"/>
      <c r="M260" s="228"/>
      <c r="N260" s="230"/>
    </row>
    <row r="261" spans="1:14" outlineLevel="2">
      <c r="A261" s="235">
        <f>SUBTOTAL(3,$F$50:F261)</f>
        <v>171</v>
      </c>
      <c r="B261" s="230" t="s">
        <v>1006</v>
      </c>
      <c r="C261" s="241"/>
      <c r="D261" s="241"/>
      <c r="E261" s="253" t="s">
        <v>1004</v>
      </c>
      <c r="F261" s="226" t="s">
        <v>570</v>
      </c>
      <c r="G261" s="227">
        <v>659</v>
      </c>
      <c r="H261" s="227"/>
      <c r="I261" s="227"/>
      <c r="J261" s="228"/>
      <c r="K261" s="228"/>
      <c r="L261" s="228"/>
      <c r="M261" s="228"/>
      <c r="N261" s="230"/>
    </row>
    <row r="262" spans="1:14" outlineLevel="2">
      <c r="A262" s="235">
        <f>SUBTOTAL(3,$F$50:F262)</f>
        <v>172</v>
      </c>
      <c r="B262" s="230" t="s">
        <v>1007</v>
      </c>
      <c r="C262" s="241"/>
      <c r="D262" s="241"/>
      <c r="E262" s="253" t="s">
        <v>1004</v>
      </c>
      <c r="F262" s="226" t="s">
        <v>570</v>
      </c>
      <c r="G262" s="227">
        <v>21</v>
      </c>
      <c r="H262" s="227"/>
      <c r="I262" s="227"/>
      <c r="J262" s="228"/>
      <c r="K262" s="228"/>
      <c r="L262" s="228"/>
      <c r="M262" s="228"/>
      <c r="N262" s="230"/>
    </row>
    <row r="263" spans="1:14" outlineLevel="2">
      <c r="A263" s="235">
        <f>SUBTOTAL(3,$F$50:F263)</f>
        <v>173</v>
      </c>
      <c r="B263" s="230" t="s">
        <v>1008</v>
      </c>
      <c r="C263" s="241"/>
      <c r="D263" s="241"/>
      <c r="E263" s="253" t="s">
        <v>1004</v>
      </c>
      <c r="F263" s="226" t="s">
        <v>570</v>
      </c>
      <c r="G263" s="227">
        <v>128</v>
      </c>
      <c r="H263" s="227"/>
      <c r="I263" s="227"/>
      <c r="J263" s="228"/>
      <c r="K263" s="228"/>
      <c r="L263" s="228"/>
      <c r="M263" s="228"/>
      <c r="N263" s="230"/>
    </row>
    <row r="264" spans="1:14" outlineLevel="2">
      <c r="A264" s="235">
        <f>SUBTOTAL(3,$F$50:F264)</f>
        <v>174</v>
      </c>
      <c r="B264" s="230" t="s">
        <v>1009</v>
      </c>
      <c r="C264" s="241"/>
      <c r="D264" s="241"/>
      <c r="E264" s="253" t="s">
        <v>1004</v>
      </c>
      <c r="F264" s="226" t="s">
        <v>570</v>
      </c>
      <c r="G264" s="227">
        <v>35</v>
      </c>
      <c r="H264" s="227"/>
      <c r="I264" s="227"/>
      <c r="J264" s="228"/>
      <c r="K264" s="228"/>
      <c r="L264" s="228"/>
      <c r="M264" s="228"/>
      <c r="N264" s="230"/>
    </row>
    <row r="265" spans="1:14" outlineLevel="2">
      <c r="A265" s="235">
        <f>SUBTOTAL(3,$F$50:F265)</f>
        <v>175</v>
      </c>
      <c r="B265" s="230" t="s">
        <v>1010</v>
      </c>
      <c r="C265" s="241"/>
      <c r="D265" s="241"/>
      <c r="E265" s="253" t="s">
        <v>1004</v>
      </c>
      <c r="F265" s="226" t="s">
        <v>570</v>
      </c>
      <c r="G265" s="227">
        <v>103</v>
      </c>
      <c r="H265" s="227"/>
      <c r="I265" s="227"/>
      <c r="J265" s="228"/>
      <c r="K265" s="228"/>
      <c r="L265" s="228"/>
      <c r="M265" s="228"/>
      <c r="N265" s="230"/>
    </row>
    <row r="266" spans="1:14" outlineLevel="2">
      <c r="A266" s="235">
        <f>SUBTOTAL(3,$F$50:F266)</f>
        <v>176</v>
      </c>
      <c r="B266" s="230" t="s">
        <v>1011</v>
      </c>
      <c r="C266" s="241"/>
      <c r="D266" s="241"/>
      <c r="E266" s="253" t="s">
        <v>1004</v>
      </c>
      <c r="F266" s="226" t="s">
        <v>570</v>
      </c>
      <c r="G266" s="227">
        <v>93</v>
      </c>
      <c r="H266" s="227"/>
      <c r="I266" s="227"/>
      <c r="J266" s="228"/>
      <c r="K266" s="228"/>
      <c r="L266" s="228"/>
      <c r="M266" s="228"/>
      <c r="N266" s="230"/>
    </row>
    <row r="267" spans="1:14" outlineLevel="2">
      <c r="A267" s="235">
        <f>SUBTOTAL(3,$F$50:F267)</f>
        <v>177</v>
      </c>
      <c r="B267" s="230" t="s">
        <v>1012</v>
      </c>
      <c r="C267" s="241"/>
      <c r="D267" s="241"/>
      <c r="E267" s="253" t="s">
        <v>1004</v>
      </c>
      <c r="F267" s="226" t="s">
        <v>570</v>
      </c>
      <c r="G267" s="227">
        <v>106</v>
      </c>
      <c r="H267" s="227"/>
      <c r="I267" s="227"/>
      <c r="J267" s="228"/>
      <c r="K267" s="228"/>
      <c r="L267" s="228"/>
      <c r="M267" s="228"/>
      <c r="N267" s="230"/>
    </row>
    <row r="268" spans="1:14" ht="21.6" customHeight="1" outlineLevel="2">
      <c r="A268" s="235">
        <f>SUBTOTAL(3,$F$50:F268)</f>
        <v>178</v>
      </c>
      <c r="B268" s="230" t="s">
        <v>909</v>
      </c>
      <c r="C268" s="241"/>
      <c r="D268" s="241"/>
      <c r="E268" s="253"/>
      <c r="F268" s="226" t="s">
        <v>276</v>
      </c>
      <c r="G268" s="227">
        <v>1</v>
      </c>
      <c r="H268" s="227"/>
      <c r="I268" s="227"/>
      <c r="J268" s="228"/>
      <c r="K268" s="228"/>
      <c r="L268" s="228"/>
      <c r="M268" s="228"/>
      <c r="N268" s="230"/>
    </row>
    <row r="269" spans="1:14" ht="21.6" customHeight="1" outlineLevel="2">
      <c r="A269" s="235">
        <f>SUBTOTAL(3,$F$50:F269)</f>
        <v>179</v>
      </c>
      <c r="B269" s="230" t="s">
        <v>910</v>
      </c>
      <c r="C269" s="241"/>
      <c r="D269" s="241"/>
      <c r="E269" s="253"/>
      <c r="F269" s="226" t="s">
        <v>276</v>
      </c>
      <c r="G269" s="227">
        <v>1</v>
      </c>
      <c r="H269" s="227"/>
      <c r="I269" s="227"/>
      <c r="J269" s="228"/>
      <c r="K269" s="228"/>
      <c r="L269" s="228"/>
      <c r="M269" s="228"/>
      <c r="N269" s="230"/>
    </row>
    <row r="270" spans="1:14" ht="27.6" customHeight="1" outlineLevel="2">
      <c r="A270" s="235"/>
      <c r="B270" s="245" t="s">
        <v>1013</v>
      </c>
      <c r="C270" s="246"/>
      <c r="D270" s="246"/>
      <c r="E270" s="247"/>
      <c r="F270" s="226"/>
      <c r="G270" s="227"/>
      <c r="H270" s="227"/>
      <c r="I270" s="227"/>
      <c r="J270" s="228"/>
      <c r="K270" s="228"/>
      <c r="L270" s="228"/>
      <c r="M270" s="228"/>
      <c r="N270" s="230"/>
    </row>
    <row r="271" spans="1:14" outlineLevel="2">
      <c r="A271" s="235">
        <f>SUBTOTAL(3,$F$50:F271)</f>
        <v>180</v>
      </c>
      <c r="B271" s="230" t="s">
        <v>1003</v>
      </c>
      <c r="C271" s="241"/>
      <c r="D271" s="241"/>
      <c r="E271" s="253" t="s">
        <v>1004</v>
      </c>
      <c r="F271" s="226" t="s">
        <v>570</v>
      </c>
      <c r="G271" s="227">
        <v>7653</v>
      </c>
      <c r="H271" s="227"/>
      <c r="I271" s="227"/>
      <c r="J271" s="228"/>
      <c r="K271" s="228"/>
      <c r="L271" s="228"/>
      <c r="M271" s="228"/>
      <c r="N271" s="230"/>
    </row>
    <row r="272" spans="1:14" outlineLevel="2">
      <c r="A272" s="235">
        <f>SUBTOTAL(3,$F$50:F272)</f>
        <v>181</v>
      </c>
      <c r="B272" s="230" t="s">
        <v>1005</v>
      </c>
      <c r="C272" s="241"/>
      <c r="D272" s="241"/>
      <c r="E272" s="253" t="s">
        <v>1004</v>
      </c>
      <c r="F272" s="226" t="s">
        <v>570</v>
      </c>
      <c r="G272" s="227">
        <v>668</v>
      </c>
      <c r="H272" s="227"/>
      <c r="I272" s="227"/>
      <c r="J272" s="228"/>
      <c r="K272" s="228"/>
      <c r="L272" s="228"/>
      <c r="M272" s="228"/>
      <c r="N272" s="230"/>
    </row>
    <row r="273" spans="1:14" outlineLevel="2">
      <c r="A273" s="235">
        <f>SUBTOTAL(3,$F$50:F273)</f>
        <v>182</v>
      </c>
      <c r="B273" s="230" t="s">
        <v>1006</v>
      </c>
      <c r="C273" s="241"/>
      <c r="D273" s="241"/>
      <c r="E273" s="253" t="s">
        <v>1004</v>
      </c>
      <c r="F273" s="226" t="s">
        <v>570</v>
      </c>
      <c r="G273" s="227">
        <v>253</v>
      </c>
      <c r="H273" s="227"/>
      <c r="I273" s="227"/>
      <c r="J273" s="228"/>
      <c r="K273" s="228"/>
      <c r="L273" s="228"/>
      <c r="M273" s="228"/>
      <c r="N273" s="230"/>
    </row>
    <row r="274" spans="1:14" ht="21.6" customHeight="1" outlineLevel="2">
      <c r="A274" s="235">
        <f>SUBTOTAL(3,$F$50:F274)</f>
        <v>183</v>
      </c>
      <c r="B274" s="230" t="s">
        <v>909</v>
      </c>
      <c r="C274" s="241"/>
      <c r="D274" s="241"/>
      <c r="E274" s="253"/>
      <c r="F274" s="226" t="s">
        <v>276</v>
      </c>
      <c r="G274" s="227">
        <v>1</v>
      </c>
      <c r="H274" s="227"/>
      <c r="I274" s="227"/>
      <c r="J274" s="228"/>
      <c r="K274" s="228"/>
      <c r="L274" s="228"/>
      <c r="M274" s="228"/>
      <c r="N274" s="230"/>
    </row>
    <row r="275" spans="1:14" ht="21.6" customHeight="1" outlineLevel="2">
      <c r="A275" s="235">
        <f>SUBTOTAL(3,$F$50:F275)</f>
        <v>184</v>
      </c>
      <c r="B275" s="230" t="s">
        <v>1014</v>
      </c>
      <c r="C275" s="241"/>
      <c r="D275" s="241"/>
      <c r="E275" s="253"/>
      <c r="F275" s="226" t="s">
        <v>276</v>
      </c>
      <c r="G275" s="227">
        <v>1</v>
      </c>
      <c r="H275" s="227"/>
      <c r="I275" s="227"/>
      <c r="J275" s="228"/>
      <c r="K275" s="228"/>
      <c r="L275" s="228"/>
      <c r="M275" s="228"/>
      <c r="N275" s="230"/>
    </row>
    <row r="276" spans="1:14" outlineLevel="1">
      <c r="A276" s="222" t="s">
        <v>960</v>
      </c>
      <c r="B276" s="232" t="s">
        <v>1015</v>
      </c>
      <c r="C276" s="255"/>
      <c r="D276" s="255"/>
      <c r="E276" s="243"/>
      <c r="F276" s="233"/>
      <c r="G276" s="220"/>
      <c r="H276" s="220"/>
      <c r="I276" s="220"/>
      <c r="J276" s="228"/>
      <c r="K276" s="228"/>
      <c r="L276" s="228"/>
      <c r="M276" s="228"/>
      <c r="N276" s="232"/>
    </row>
    <row r="277" spans="1:14" outlineLevel="2">
      <c r="A277" s="235"/>
      <c r="B277" s="245" t="s">
        <v>1016</v>
      </c>
      <c r="C277" s="246"/>
      <c r="D277" s="246"/>
      <c r="E277" s="247"/>
      <c r="F277" s="226"/>
      <c r="G277" s="227"/>
      <c r="H277" s="227"/>
      <c r="I277" s="227"/>
      <c r="J277" s="228"/>
      <c r="K277" s="228"/>
      <c r="L277" s="228"/>
      <c r="M277" s="228"/>
      <c r="N277" s="230"/>
    </row>
    <row r="278" spans="1:14" outlineLevel="2">
      <c r="A278" s="235">
        <f>SUBTOTAL(3,$F$50:F278)</f>
        <v>185</v>
      </c>
      <c r="B278" s="256" t="s">
        <v>940</v>
      </c>
      <c r="C278" s="257"/>
      <c r="D278" s="257"/>
      <c r="E278" s="253" t="s">
        <v>1004</v>
      </c>
      <c r="F278" s="226" t="s">
        <v>570</v>
      </c>
      <c r="G278" s="227">
        <v>233</v>
      </c>
      <c r="H278" s="227"/>
      <c r="I278" s="227"/>
      <c r="J278" s="228"/>
      <c r="K278" s="228"/>
      <c r="L278" s="228"/>
      <c r="M278" s="228"/>
      <c r="N278" s="230"/>
    </row>
    <row r="279" spans="1:14" outlineLevel="2">
      <c r="A279" s="235">
        <f>SUBTOTAL(3,$F$50:F279)</f>
        <v>186</v>
      </c>
      <c r="B279" s="256" t="s">
        <v>942</v>
      </c>
      <c r="C279" s="257"/>
      <c r="D279" s="257"/>
      <c r="E279" s="253" t="s">
        <v>1004</v>
      </c>
      <c r="F279" s="226" t="s">
        <v>570</v>
      </c>
      <c r="G279" s="227">
        <v>191</v>
      </c>
      <c r="H279" s="227"/>
      <c r="I279" s="227"/>
      <c r="J279" s="228"/>
      <c r="K279" s="228"/>
      <c r="L279" s="228"/>
      <c r="M279" s="228"/>
      <c r="N279" s="230"/>
    </row>
    <row r="280" spans="1:14" outlineLevel="2">
      <c r="A280" s="235">
        <f>SUBTOTAL(3,$F$50:F280)</f>
        <v>187</v>
      </c>
      <c r="B280" s="256" t="s">
        <v>943</v>
      </c>
      <c r="C280" s="257"/>
      <c r="D280" s="257"/>
      <c r="E280" s="253" t="s">
        <v>1004</v>
      </c>
      <c r="F280" s="226" t="s">
        <v>570</v>
      </c>
      <c r="G280" s="227">
        <v>94</v>
      </c>
      <c r="H280" s="227"/>
      <c r="I280" s="227"/>
      <c r="J280" s="228"/>
      <c r="K280" s="228"/>
      <c r="L280" s="228"/>
      <c r="M280" s="228"/>
      <c r="N280" s="230"/>
    </row>
    <row r="281" spans="1:14" ht="27.6" customHeight="1" outlineLevel="2">
      <c r="A281" s="235">
        <f>SUBTOTAL(3,$F$50:F281)</f>
        <v>188</v>
      </c>
      <c r="B281" s="256" t="s">
        <v>1017</v>
      </c>
      <c r="C281" s="257"/>
      <c r="D281" s="257"/>
      <c r="E281" s="253" t="s">
        <v>1018</v>
      </c>
      <c r="F281" s="226" t="s">
        <v>570</v>
      </c>
      <c r="G281" s="227">
        <v>144</v>
      </c>
      <c r="H281" s="227"/>
      <c r="I281" s="227"/>
      <c r="J281" s="228"/>
      <c r="K281" s="228"/>
      <c r="L281" s="228"/>
      <c r="M281" s="228"/>
      <c r="N281" s="230"/>
    </row>
    <row r="282" spans="1:14" ht="27.6" customHeight="1" outlineLevel="2">
      <c r="A282" s="235">
        <f>SUBTOTAL(3,$F$50:F282)</f>
        <v>189</v>
      </c>
      <c r="B282" s="256" t="s">
        <v>1019</v>
      </c>
      <c r="C282" s="257"/>
      <c r="D282" s="257"/>
      <c r="E282" s="253" t="s">
        <v>1018</v>
      </c>
      <c r="F282" s="226" t="s">
        <v>570</v>
      </c>
      <c r="G282" s="227">
        <v>0</v>
      </c>
      <c r="H282" s="227"/>
      <c r="I282" s="227"/>
      <c r="J282" s="228"/>
      <c r="K282" s="228"/>
      <c r="L282" s="228"/>
      <c r="M282" s="228"/>
      <c r="N282" s="230"/>
    </row>
    <row r="283" spans="1:14" ht="27.6" customHeight="1" outlineLevel="2">
      <c r="A283" s="235">
        <f>SUBTOTAL(3,$F$50:F283)</f>
        <v>190</v>
      </c>
      <c r="B283" s="256" t="s">
        <v>1020</v>
      </c>
      <c r="C283" s="257"/>
      <c r="D283" s="257"/>
      <c r="E283" s="253" t="s">
        <v>1018</v>
      </c>
      <c r="F283" s="226" t="s">
        <v>570</v>
      </c>
      <c r="G283" s="227">
        <v>291</v>
      </c>
      <c r="H283" s="227"/>
      <c r="I283" s="227"/>
      <c r="J283" s="228"/>
      <c r="K283" s="228"/>
      <c r="L283" s="228"/>
      <c r="M283" s="228"/>
      <c r="N283" s="230"/>
    </row>
    <row r="284" spans="1:14" ht="27.6" customHeight="1" outlineLevel="2">
      <c r="A284" s="235">
        <f>SUBTOTAL(3,$F$50:F284)</f>
        <v>191</v>
      </c>
      <c r="B284" s="256" t="s">
        <v>1021</v>
      </c>
      <c r="C284" s="257"/>
      <c r="D284" s="257"/>
      <c r="E284" s="253" t="s">
        <v>1018</v>
      </c>
      <c r="F284" s="226" t="s">
        <v>570</v>
      </c>
      <c r="G284" s="227">
        <v>3092</v>
      </c>
      <c r="H284" s="227"/>
      <c r="I284" s="227"/>
      <c r="J284" s="228"/>
      <c r="K284" s="228"/>
      <c r="L284" s="228"/>
      <c r="M284" s="228"/>
      <c r="N284" s="230"/>
    </row>
    <row r="285" spans="1:14" ht="27.6" customHeight="1" outlineLevel="2">
      <c r="A285" s="235">
        <f>SUBTOTAL(3,$F$50:F285)</f>
        <v>192</v>
      </c>
      <c r="B285" s="256" t="s">
        <v>1022</v>
      </c>
      <c r="C285" s="257"/>
      <c r="D285" s="257"/>
      <c r="E285" s="253" t="s">
        <v>1018</v>
      </c>
      <c r="F285" s="226" t="s">
        <v>570</v>
      </c>
      <c r="G285" s="227">
        <v>812</v>
      </c>
      <c r="H285" s="227"/>
      <c r="I285" s="227"/>
      <c r="J285" s="228"/>
      <c r="K285" s="228"/>
      <c r="L285" s="228"/>
      <c r="M285" s="228"/>
      <c r="N285" s="258"/>
    </row>
    <row r="286" spans="1:14" ht="27.6" customHeight="1" outlineLevel="2">
      <c r="A286" s="235">
        <f>SUBTOTAL(3,$F$50:F286)</f>
        <v>193</v>
      </c>
      <c r="B286" s="256" t="s">
        <v>1023</v>
      </c>
      <c r="C286" s="257"/>
      <c r="D286" s="257"/>
      <c r="E286" s="253" t="s">
        <v>1018</v>
      </c>
      <c r="F286" s="226" t="s">
        <v>570</v>
      </c>
      <c r="G286" s="227">
        <v>540</v>
      </c>
      <c r="H286" s="227"/>
      <c r="I286" s="227"/>
      <c r="J286" s="228"/>
      <c r="K286" s="228"/>
      <c r="L286" s="228"/>
      <c r="M286" s="228"/>
      <c r="N286" s="258"/>
    </row>
    <row r="287" spans="1:14" ht="27.6" customHeight="1" outlineLevel="2">
      <c r="A287" s="235">
        <f>SUBTOTAL(3,$F$50:F287)</f>
        <v>194</v>
      </c>
      <c r="B287" s="256" t="s">
        <v>1024</v>
      </c>
      <c r="C287" s="257"/>
      <c r="D287" s="257"/>
      <c r="E287" s="253" t="s">
        <v>1018</v>
      </c>
      <c r="F287" s="226" t="s">
        <v>570</v>
      </c>
      <c r="G287" s="227">
        <v>461</v>
      </c>
      <c r="H287" s="227"/>
      <c r="I287" s="227"/>
      <c r="J287" s="228"/>
      <c r="K287" s="228"/>
      <c r="L287" s="228"/>
      <c r="M287" s="228"/>
      <c r="N287" s="230"/>
    </row>
    <row r="288" spans="1:14" ht="21.6" customHeight="1" outlineLevel="2">
      <c r="A288" s="235">
        <f>SUBTOTAL(3,$F$50:F288)</f>
        <v>195</v>
      </c>
      <c r="B288" s="230" t="s">
        <v>909</v>
      </c>
      <c r="C288" s="241"/>
      <c r="D288" s="241"/>
      <c r="E288" s="253"/>
      <c r="F288" s="226" t="s">
        <v>276</v>
      </c>
      <c r="G288" s="227">
        <v>1</v>
      </c>
      <c r="H288" s="227"/>
      <c r="I288" s="227"/>
      <c r="J288" s="228"/>
      <c r="K288" s="228"/>
      <c r="L288" s="228"/>
      <c r="M288" s="228"/>
      <c r="N288" s="230"/>
    </row>
    <row r="289" spans="1:14" ht="21.6" customHeight="1" outlineLevel="2">
      <c r="A289" s="235">
        <f>SUBTOTAL(3,$F$50:F289)</f>
        <v>196</v>
      </c>
      <c r="B289" s="230" t="s">
        <v>910</v>
      </c>
      <c r="C289" s="241"/>
      <c r="D289" s="241"/>
      <c r="E289" s="253"/>
      <c r="F289" s="226" t="s">
        <v>276</v>
      </c>
      <c r="G289" s="227">
        <v>1</v>
      </c>
      <c r="H289" s="227"/>
      <c r="I289" s="227"/>
      <c r="J289" s="228"/>
      <c r="K289" s="228"/>
      <c r="L289" s="228"/>
      <c r="M289" s="228"/>
      <c r="N289" s="230"/>
    </row>
    <row r="290" spans="1:14" ht="27.6" customHeight="1" outlineLevel="2">
      <c r="A290" s="235"/>
      <c r="B290" s="245" t="s">
        <v>1025</v>
      </c>
      <c r="C290" s="246"/>
      <c r="D290" s="246"/>
      <c r="E290" s="247"/>
      <c r="F290" s="226"/>
      <c r="G290" s="227"/>
      <c r="H290" s="227"/>
      <c r="I290" s="227"/>
      <c r="J290" s="228"/>
      <c r="K290" s="228"/>
      <c r="L290" s="228"/>
      <c r="M290" s="228"/>
      <c r="N290" s="230"/>
    </row>
    <row r="291" spans="1:14" ht="27.6" customHeight="1" outlineLevel="2">
      <c r="A291" s="235">
        <f>SUBTOTAL(3,$F$50:F291)</f>
        <v>197</v>
      </c>
      <c r="B291" s="256" t="s">
        <v>1017</v>
      </c>
      <c r="C291" s="257"/>
      <c r="D291" s="257"/>
      <c r="E291" s="253" t="s">
        <v>1018</v>
      </c>
      <c r="F291" s="226" t="s">
        <v>570</v>
      </c>
      <c r="G291" s="227">
        <v>1451</v>
      </c>
      <c r="H291" s="227"/>
      <c r="I291" s="227"/>
      <c r="J291" s="228"/>
      <c r="K291" s="228"/>
      <c r="L291" s="228"/>
      <c r="M291" s="228"/>
      <c r="N291" s="230"/>
    </row>
    <row r="292" spans="1:14" ht="27.6" customHeight="1" outlineLevel="2">
      <c r="A292" s="235">
        <f>SUBTOTAL(3,$F$50:F292)</f>
        <v>198</v>
      </c>
      <c r="B292" s="256" t="s">
        <v>1026</v>
      </c>
      <c r="C292" s="257"/>
      <c r="D292" s="257"/>
      <c r="E292" s="253" t="s">
        <v>1018</v>
      </c>
      <c r="F292" s="226" t="s">
        <v>570</v>
      </c>
      <c r="G292" s="227">
        <v>2229</v>
      </c>
      <c r="H292" s="227"/>
      <c r="I292" s="227"/>
      <c r="J292" s="228"/>
      <c r="K292" s="228"/>
      <c r="L292" s="228"/>
      <c r="M292" s="228"/>
      <c r="N292" s="230"/>
    </row>
    <row r="293" spans="1:14" ht="27.6" customHeight="1" outlineLevel="2">
      <c r="A293" s="235">
        <f>SUBTOTAL(3,$F$50:F293)</f>
        <v>199</v>
      </c>
      <c r="B293" s="256" t="s">
        <v>1019</v>
      </c>
      <c r="C293" s="257"/>
      <c r="D293" s="257"/>
      <c r="E293" s="253" t="s">
        <v>1018</v>
      </c>
      <c r="F293" s="226" t="s">
        <v>570</v>
      </c>
      <c r="G293" s="227">
        <v>6</v>
      </c>
      <c r="H293" s="227"/>
      <c r="I293" s="227"/>
      <c r="J293" s="228"/>
      <c r="K293" s="228"/>
      <c r="L293" s="228"/>
      <c r="M293" s="228"/>
      <c r="N293" s="230"/>
    </row>
    <row r="294" spans="1:14" ht="27.6" customHeight="1" outlineLevel="2">
      <c r="A294" s="235">
        <f>SUBTOTAL(3,$F$50:F294)</f>
        <v>200</v>
      </c>
      <c r="B294" s="256" t="s">
        <v>1020</v>
      </c>
      <c r="C294" s="257"/>
      <c r="D294" s="257"/>
      <c r="E294" s="253" t="s">
        <v>1018</v>
      </c>
      <c r="F294" s="226" t="s">
        <v>570</v>
      </c>
      <c r="G294" s="227">
        <v>1661</v>
      </c>
      <c r="H294" s="227"/>
      <c r="I294" s="227"/>
      <c r="J294" s="228"/>
      <c r="K294" s="228"/>
      <c r="L294" s="228"/>
      <c r="M294" s="228"/>
      <c r="N294" s="230"/>
    </row>
    <row r="295" spans="1:14" ht="21.6" customHeight="1" outlineLevel="2">
      <c r="A295" s="235">
        <f>SUBTOTAL(3,$F$50:F295)</f>
        <v>201</v>
      </c>
      <c r="B295" s="230" t="s">
        <v>909</v>
      </c>
      <c r="C295" s="241"/>
      <c r="D295" s="241"/>
      <c r="E295" s="253"/>
      <c r="F295" s="226" t="s">
        <v>276</v>
      </c>
      <c r="G295" s="227">
        <v>1</v>
      </c>
      <c r="H295" s="227"/>
      <c r="I295" s="227"/>
      <c r="J295" s="228"/>
      <c r="K295" s="228"/>
      <c r="L295" s="228"/>
      <c r="M295" s="228"/>
      <c r="N295" s="230"/>
    </row>
    <row r="296" spans="1:14" ht="21.6" customHeight="1" outlineLevel="2">
      <c r="A296" s="235">
        <f>SUBTOTAL(3,$F$50:F296)</f>
        <v>202</v>
      </c>
      <c r="B296" s="230" t="s">
        <v>910</v>
      </c>
      <c r="C296" s="241"/>
      <c r="D296" s="241"/>
      <c r="E296" s="253"/>
      <c r="F296" s="226" t="s">
        <v>276</v>
      </c>
      <c r="G296" s="227">
        <v>1</v>
      </c>
      <c r="H296" s="227"/>
      <c r="I296" s="227"/>
      <c r="J296" s="228"/>
      <c r="K296" s="228"/>
      <c r="L296" s="228"/>
      <c r="M296" s="228"/>
      <c r="N296" s="230"/>
    </row>
    <row r="297" spans="1:14" ht="27.6" customHeight="1" outlineLevel="2">
      <c r="A297" s="235"/>
      <c r="B297" s="245" t="s">
        <v>1027</v>
      </c>
      <c r="C297" s="246"/>
      <c r="D297" s="246"/>
      <c r="E297" s="253" t="s">
        <v>1018</v>
      </c>
      <c r="F297" s="226"/>
      <c r="G297" s="227"/>
      <c r="H297" s="227"/>
      <c r="I297" s="227"/>
      <c r="J297" s="228"/>
      <c r="K297" s="228"/>
      <c r="L297" s="228"/>
      <c r="M297" s="228"/>
      <c r="N297" s="237"/>
    </row>
    <row r="298" spans="1:14" ht="27.6" customHeight="1" outlineLevel="2">
      <c r="A298" s="235">
        <f>SUBTOTAL(3,$F$50:F298)</f>
        <v>203</v>
      </c>
      <c r="B298" s="256" t="s">
        <v>1017</v>
      </c>
      <c r="C298" s="257"/>
      <c r="D298" s="257"/>
      <c r="E298" s="253" t="s">
        <v>1018</v>
      </c>
      <c r="F298" s="226" t="s">
        <v>570</v>
      </c>
      <c r="G298" s="227">
        <v>1059</v>
      </c>
      <c r="H298" s="227"/>
      <c r="I298" s="227"/>
      <c r="J298" s="228"/>
      <c r="K298" s="228"/>
      <c r="L298" s="228"/>
      <c r="M298" s="228"/>
      <c r="N298" s="230"/>
    </row>
    <row r="299" spans="1:14" ht="27.6" customHeight="1" outlineLevel="2">
      <c r="A299" s="235">
        <f>SUBTOTAL(3,$F$50:F299)</f>
        <v>204</v>
      </c>
      <c r="B299" s="256" t="s">
        <v>1026</v>
      </c>
      <c r="C299" s="257"/>
      <c r="D299" s="257"/>
      <c r="E299" s="253" t="s">
        <v>1018</v>
      </c>
      <c r="F299" s="226" t="s">
        <v>570</v>
      </c>
      <c r="G299" s="227">
        <v>16</v>
      </c>
      <c r="H299" s="227"/>
      <c r="I299" s="227"/>
      <c r="J299" s="228"/>
      <c r="K299" s="228"/>
      <c r="L299" s="228"/>
      <c r="M299" s="228"/>
      <c r="N299" s="230"/>
    </row>
    <row r="300" spans="1:14" ht="27.6" customHeight="1" outlineLevel="2">
      <c r="A300" s="235">
        <f>SUBTOTAL(3,$F$50:F300)</f>
        <v>205</v>
      </c>
      <c r="B300" s="256" t="s">
        <v>1019</v>
      </c>
      <c r="C300" s="257"/>
      <c r="D300" s="257"/>
      <c r="E300" s="253" t="s">
        <v>1018</v>
      </c>
      <c r="F300" s="226" t="s">
        <v>570</v>
      </c>
      <c r="G300" s="227">
        <v>361</v>
      </c>
      <c r="H300" s="227"/>
      <c r="I300" s="227"/>
      <c r="J300" s="228"/>
      <c r="K300" s="228"/>
      <c r="L300" s="228"/>
      <c r="M300" s="228"/>
      <c r="N300" s="230"/>
    </row>
    <row r="301" spans="1:14" ht="27.6" customHeight="1" outlineLevel="2">
      <c r="A301" s="235">
        <f>SUBTOTAL(3,$F$50:F301)</f>
        <v>206</v>
      </c>
      <c r="B301" s="256" t="s">
        <v>1020</v>
      </c>
      <c r="C301" s="257"/>
      <c r="D301" s="257"/>
      <c r="E301" s="253" t="s">
        <v>1018</v>
      </c>
      <c r="F301" s="226" t="s">
        <v>570</v>
      </c>
      <c r="G301" s="227">
        <v>433</v>
      </c>
      <c r="H301" s="227"/>
      <c r="I301" s="227"/>
      <c r="J301" s="228"/>
      <c r="K301" s="228"/>
      <c r="L301" s="228"/>
      <c r="M301" s="228"/>
      <c r="N301" s="230"/>
    </row>
    <row r="302" spans="1:14" ht="27.6" customHeight="1" outlineLevel="2">
      <c r="A302" s="235">
        <f>SUBTOTAL(3,$F$50:F302)</f>
        <v>207</v>
      </c>
      <c r="B302" s="256" t="s">
        <v>1021</v>
      </c>
      <c r="C302" s="257"/>
      <c r="D302" s="257"/>
      <c r="E302" s="253" t="s">
        <v>1018</v>
      </c>
      <c r="F302" s="226" t="s">
        <v>570</v>
      </c>
      <c r="G302" s="227">
        <v>283</v>
      </c>
      <c r="H302" s="227"/>
      <c r="I302" s="227"/>
      <c r="J302" s="228"/>
      <c r="K302" s="228"/>
      <c r="L302" s="228"/>
      <c r="M302" s="228"/>
      <c r="N302" s="230"/>
    </row>
    <row r="303" spans="1:14" ht="27.6" customHeight="1" outlineLevel="2">
      <c r="A303" s="235">
        <f>SUBTOTAL(3,$F$50:F303)</f>
        <v>208</v>
      </c>
      <c r="B303" s="256" t="s">
        <v>1022</v>
      </c>
      <c r="C303" s="257"/>
      <c r="D303" s="257"/>
      <c r="E303" s="253" t="s">
        <v>1018</v>
      </c>
      <c r="F303" s="226" t="s">
        <v>570</v>
      </c>
      <c r="G303" s="227">
        <v>173</v>
      </c>
      <c r="H303" s="227"/>
      <c r="I303" s="227"/>
      <c r="J303" s="228"/>
      <c r="K303" s="228"/>
      <c r="L303" s="228"/>
      <c r="M303" s="228"/>
      <c r="N303" s="230"/>
    </row>
    <row r="304" spans="1:14" ht="27.6" customHeight="1" outlineLevel="2">
      <c r="A304" s="235">
        <f>SUBTOTAL(3,$F$50:F304)</f>
        <v>209</v>
      </c>
      <c r="B304" s="256" t="s">
        <v>1023</v>
      </c>
      <c r="C304" s="257"/>
      <c r="D304" s="257"/>
      <c r="E304" s="253" t="s">
        <v>1018</v>
      </c>
      <c r="F304" s="226" t="s">
        <v>570</v>
      </c>
      <c r="G304" s="227">
        <v>158</v>
      </c>
      <c r="H304" s="227"/>
      <c r="I304" s="227"/>
      <c r="J304" s="228"/>
      <c r="K304" s="228"/>
      <c r="L304" s="228"/>
      <c r="M304" s="228"/>
      <c r="N304" s="230"/>
    </row>
    <row r="305" spans="1:14" ht="21.6" customHeight="1" outlineLevel="2">
      <c r="A305" s="235">
        <f>SUBTOTAL(3,$F$50:F305)</f>
        <v>210</v>
      </c>
      <c r="B305" s="230" t="s">
        <v>909</v>
      </c>
      <c r="C305" s="241"/>
      <c r="D305" s="241"/>
      <c r="E305" s="253"/>
      <c r="F305" s="226" t="s">
        <v>276</v>
      </c>
      <c r="G305" s="227">
        <v>1</v>
      </c>
      <c r="H305" s="227"/>
      <c r="I305" s="227"/>
      <c r="J305" s="228"/>
      <c r="K305" s="228"/>
      <c r="L305" s="228"/>
      <c r="M305" s="228"/>
      <c r="N305" s="230"/>
    </row>
    <row r="306" spans="1:14" ht="21.6" customHeight="1" outlineLevel="2">
      <c r="A306" s="235">
        <f>SUBTOTAL(3,$F$50:F306)</f>
        <v>211</v>
      </c>
      <c r="B306" s="230" t="s">
        <v>910</v>
      </c>
      <c r="C306" s="241"/>
      <c r="D306" s="241"/>
      <c r="E306" s="253"/>
      <c r="F306" s="226" t="s">
        <v>276</v>
      </c>
      <c r="G306" s="227">
        <v>1</v>
      </c>
      <c r="H306" s="227"/>
      <c r="I306" s="227"/>
      <c r="J306" s="228"/>
      <c r="K306" s="228"/>
      <c r="L306" s="228"/>
      <c r="M306" s="228"/>
      <c r="N306" s="230"/>
    </row>
    <row r="307" spans="1:14" ht="12.6" customHeight="1" outlineLevel="2">
      <c r="A307" s="235"/>
      <c r="B307" s="245" t="s">
        <v>1028</v>
      </c>
      <c r="C307" s="246"/>
      <c r="D307" s="246"/>
      <c r="E307" s="247"/>
      <c r="F307" s="226"/>
      <c r="G307" s="227"/>
      <c r="H307" s="227"/>
      <c r="I307" s="227"/>
      <c r="J307" s="228"/>
      <c r="K307" s="228"/>
      <c r="L307" s="228"/>
      <c r="M307" s="228"/>
      <c r="N307" s="230"/>
    </row>
    <row r="308" spans="1:14" ht="12" customHeight="1" outlineLevel="2">
      <c r="A308" s="235">
        <f>SUBTOTAL(3,$F$50:F308)</f>
        <v>212</v>
      </c>
      <c r="B308" s="256" t="s">
        <v>1029</v>
      </c>
      <c r="C308" s="257"/>
      <c r="D308" s="257"/>
      <c r="E308" s="253" t="s">
        <v>1004</v>
      </c>
      <c r="F308" s="226" t="s">
        <v>570</v>
      </c>
      <c r="G308" s="227">
        <v>1670</v>
      </c>
      <c r="H308" s="227"/>
      <c r="I308" s="227"/>
      <c r="J308" s="228"/>
      <c r="K308" s="228"/>
      <c r="L308" s="228"/>
      <c r="M308" s="228"/>
      <c r="N308" s="230"/>
    </row>
    <row r="309" spans="1:14" outlineLevel="2">
      <c r="A309" s="235">
        <f>SUBTOTAL(3,$F$50:F309)</f>
        <v>213</v>
      </c>
      <c r="B309" s="256" t="s">
        <v>1030</v>
      </c>
      <c r="C309" s="257"/>
      <c r="D309" s="257"/>
      <c r="E309" s="253" t="s">
        <v>1004</v>
      </c>
      <c r="F309" s="226" t="s">
        <v>570</v>
      </c>
      <c r="G309" s="227">
        <v>1081</v>
      </c>
      <c r="H309" s="227"/>
      <c r="I309" s="227"/>
      <c r="J309" s="228"/>
      <c r="K309" s="228"/>
      <c r="L309" s="228"/>
      <c r="M309" s="228"/>
      <c r="N309" s="230"/>
    </row>
    <row r="310" spans="1:14" outlineLevel="2">
      <c r="A310" s="235">
        <f>SUBTOTAL(3,$F$50:F310)</f>
        <v>214</v>
      </c>
      <c r="B310" s="256" t="s">
        <v>1031</v>
      </c>
      <c r="C310" s="257"/>
      <c r="D310" s="257"/>
      <c r="E310" s="253" t="s">
        <v>1004</v>
      </c>
      <c r="F310" s="226" t="s">
        <v>570</v>
      </c>
      <c r="G310" s="227">
        <v>636</v>
      </c>
      <c r="H310" s="227"/>
      <c r="I310" s="227"/>
      <c r="J310" s="228"/>
      <c r="K310" s="228"/>
      <c r="L310" s="228"/>
      <c r="M310" s="228"/>
      <c r="N310" s="230"/>
    </row>
    <row r="311" spans="1:14" outlineLevel="2">
      <c r="A311" s="235">
        <f>SUBTOTAL(3,$F$50:F311)</f>
        <v>215</v>
      </c>
      <c r="B311" s="230" t="s">
        <v>1032</v>
      </c>
      <c r="C311" s="241"/>
      <c r="D311" s="241"/>
      <c r="E311" s="253" t="s">
        <v>1004</v>
      </c>
      <c r="F311" s="226" t="s">
        <v>570</v>
      </c>
      <c r="G311" s="227">
        <v>91</v>
      </c>
      <c r="H311" s="227"/>
      <c r="I311" s="227"/>
      <c r="J311" s="228"/>
      <c r="K311" s="228"/>
      <c r="L311" s="228"/>
      <c r="M311" s="228"/>
      <c r="N311" s="230"/>
    </row>
    <row r="312" spans="1:14" outlineLevel="2">
      <c r="A312" s="235">
        <f>SUBTOTAL(3,$F$50:F312)</f>
        <v>216</v>
      </c>
      <c r="B312" s="230" t="s">
        <v>1033</v>
      </c>
      <c r="C312" s="241"/>
      <c r="D312" s="241"/>
      <c r="E312" s="253" t="s">
        <v>1004</v>
      </c>
      <c r="F312" s="226" t="s">
        <v>570</v>
      </c>
      <c r="G312" s="227">
        <v>81</v>
      </c>
      <c r="H312" s="227"/>
      <c r="I312" s="227"/>
      <c r="J312" s="228"/>
      <c r="K312" s="228"/>
      <c r="L312" s="228"/>
      <c r="M312" s="228"/>
      <c r="N312" s="230"/>
    </row>
    <row r="313" spans="1:14" outlineLevel="2">
      <c r="A313" s="235">
        <f>SUBTOTAL(3,$F$50:F313)</f>
        <v>217</v>
      </c>
      <c r="B313" s="230" t="s">
        <v>1034</v>
      </c>
      <c r="C313" s="241"/>
      <c r="D313" s="241"/>
      <c r="E313" s="253" t="s">
        <v>1004</v>
      </c>
      <c r="F313" s="226" t="s">
        <v>570</v>
      </c>
      <c r="G313" s="227">
        <v>56</v>
      </c>
      <c r="H313" s="227"/>
      <c r="I313" s="227"/>
      <c r="J313" s="228"/>
      <c r="K313" s="228"/>
      <c r="L313" s="228"/>
      <c r="M313" s="228"/>
      <c r="N313" s="230"/>
    </row>
    <row r="314" spans="1:14" ht="21.6" customHeight="1" outlineLevel="2">
      <c r="A314" s="235">
        <f>SUBTOTAL(3,$F$50:F314)</f>
        <v>218</v>
      </c>
      <c r="B314" s="230" t="s">
        <v>909</v>
      </c>
      <c r="C314" s="241"/>
      <c r="D314" s="241"/>
      <c r="E314" s="253"/>
      <c r="F314" s="226" t="s">
        <v>276</v>
      </c>
      <c r="G314" s="227">
        <v>1</v>
      </c>
      <c r="H314" s="227"/>
      <c r="I314" s="227"/>
      <c r="J314" s="228"/>
      <c r="K314" s="228"/>
      <c r="L314" s="228"/>
      <c r="M314" s="228"/>
      <c r="N314" s="230"/>
    </row>
    <row r="315" spans="1:14" ht="21.6" customHeight="1" outlineLevel="2">
      <c r="A315" s="235">
        <f>SUBTOTAL(3,$F$50:F315)</f>
        <v>219</v>
      </c>
      <c r="B315" s="230" t="s">
        <v>910</v>
      </c>
      <c r="C315" s="241"/>
      <c r="D315" s="241"/>
      <c r="E315" s="253"/>
      <c r="F315" s="226" t="s">
        <v>276</v>
      </c>
      <c r="G315" s="227">
        <v>1</v>
      </c>
      <c r="H315" s="227"/>
      <c r="I315" s="227"/>
      <c r="J315" s="228"/>
      <c r="K315" s="228"/>
      <c r="L315" s="228"/>
      <c r="M315" s="228"/>
      <c r="N315" s="230"/>
    </row>
    <row r="316" spans="1:14" ht="21.6" customHeight="1" outlineLevel="1">
      <c r="A316" s="222" t="s">
        <v>1035</v>
      </c>
      <c r="B316" s="232" t="s">
        <v>1036</v>
      </c>
      <c r="C316" s="255"/>
      <c r="D316" s="255"/>
      <c r="E316" s="243"/>
      <c r="F316" s="233"/>
      <c r="G316" s="220"/>
      <c r="H316" s="220"/>
      <c r="I316" s="220"/>
      <c r="J316" s="228"/>
      <c r="K316" s="228"/>
      <c r="L316" s="228"/>
      <c r="M316" s="228"/>
      <c r="N316" s="232"/>
    </row>
    <row r="317" spans="1:14" ht="33" customHeight="1" outlineLevel="2">
      <c r="A317" s="222"/>
      <c r="B317" s="245" t="s">
        <v>1037</v>
      </c>
      <c r="C317" s="230" t="s">
        <v>962</v>
      </c>
      <c r="D317" s="246"/>
      <c r="E317" s="247"/>
      <c r="F317" s="233"/>
      <c r="G317" s="220"/>
      <c r="H317" s="220"/>
      <c r="I317" s="220"/>
      <c r="J317" s="228"/>
      <c r="K317" s="228"/>
      <c r="L317" s="228"/>
      <c r="M317" s="228"/>
      <c r="N317" s="232"/>
    </row>
    <row r="318" spans="1:14" ht="69" customHeight="1" outlineLevel="2">
      <c r="A318" s="235">
        <f>SUBTOTAL(3,$F$50:F318)</f>
        <v>220</v>
      </c>
      <c r="B318" s="230" t="s">
        <v>1038</v>
      </c>
      <c r="C318" s="259"/>
      <c r="D318" s="259"/>
      <c r="E318" s="253" t="s">
        <v>1039</v>
      </c>
      <c r="F318" s="236" t="s">
        <v>844</v>
      </c>
      <c r="G318" s="227">
        <v>1</v>
      </c>
      <c r="H318" s="227"/>
      <c r="I318" s="227"/>
      <c r="J318" s="228"/>
      <c r="K318" s="228"/>
      <c r="L318" s="228"/>
      <c r="M318" s="228"/>
      <c r="N318" s="230"/>
    </row>
    <row r="319" spans="1:14" ht="69" customHeight="1" outlineLevel="2">
      <c r="A319" s="235">
        <f>SUBTOTAL(3,$F$50:F319)</f>
        <v>221</v>
      </c>
      <c r="B319" s="230" t="s">
        <v>1040</v>
      </c>
      <c r="C319" s="259"/>
      <c r="D319" s="259"/>
      <c r="E319" s="253" t="s">
        <v>1039</v>
      </c>
      <c r="F319" s="236" t="s">
        <v>844</v>
      </c>
      <c r="G319" s="227">
        <v>1</v>
      </c>
      <c r="H319" s="227"/>
      <c r="I319" s="227"/>
      <c r="J319" s="228"/>
      <c r="K319" s="228"/>
      <c r="L319" s="228"/>
      <c r="M319" s="228"/>
      <c r="N319" s="230"/>
    </row>
    <row r="320" spans="1:14" ht="69" customHeight="1" outlineLevel="2">
      <c r="A320" s="235">
        <f>SUBTOTAL(3,$F$50:F320)</f>
        <v>222</v>
      </c>
      <c r="B320" s="230" t="s">
        <v>1041</v>
      </c>
      <c r="C320" s="259"/>
      <c r="D320" s="259"/>
      <c r="E320" s="253" t="s">
        <v>1039</v>
      </c>
      <c r="F320" s="236" t="s">
        <v>844</v>
      </c>
      <c r="G320" s="227">
        <v>1</v>
      </c>
      <c r="H320" s="227"/>
      <c r="I320" s="227"/>
      <c r="J320" s="228"/>
      <c r="K320" s="228"/>
      <c r="L320" s="228"/>
      <c r="M320" s="228"/>
      <c r="N320" s="230"/>
    </row>
    <row r="321" spans="1:14" ht="69" customHeight="1" outlineLevel="2">
      <c r="A321" s="235">
        <f>SUBTOTAL(3,$F$50:F321)</f>
        <v>223</v>
      </c>
      <c r="B321" s="230" t="s">
        <v>1042</v>
      </c>
      <c r="C321" s="259"/>
      <c r="D321" s="259"/>
      <c r="E321" s="253" t="s">
        <v>1039</v>
      </c>
      <c r="F321" s="236" t="s">
        <v>844</v>
      </c>
      <c r="G321" s="227">
        <v>1</v>
      </c>
      <c r="H321" s="227"/>
      <c r="I321" s="227"/>
      <c r="J321" s="228"/>
      <c r="K321" s="228"/>
      <c r="L321" s="228"/>
      <c r="M321" s="228"/>
      <c r="N321" s="230"/>
    </row>
    <row r="322" spans="1:14" ht="69" customHeight="1" outlineLevel="2">
      <c r="A322" s="235">
        <f>SUBTOTAL(3,$F$50:F322)</f>
        <v>224</v>
      </c>
      <c r="B322" s="230" t="s">
        <v>1043</v>
      </c>
      <c r="C322" s="259"/>
      <c r="D322" s="259"/>
      <c r="E322" s="253" t="s">
        <v>1039</v>
      </c>
      <c r="F322" s="236" t="s">
        <v>844</v>
      </c>
      <c r="G322" s="227">
        <v>1</v>
      </c>
      <c r="H322" s="227"/>
      <c r="I322" s="227"/>
      <c r="J322" s="228"/>
      <c r="K322" s="228"/>
      <c r="L322" s="228"/>
      <c r="M322" s="228"/>
      <c r="N322" s="230"/>
    </row>
    <row r="323" spans="1:14" ht="69" customHeight="1" outlineLevel="2">
      <c r="A323" s="235">
        <f>SUBTOTAL(3,$F$50:F323)</f>
        <v>225</v>
      </c>
      <c r="B323" s="230" t="s">
        <v>1044</v>
      </c>
      <c r="C323" s="259"/>
      <c r="D323" s="259"/>
      <c r="E323" s="253" t="s">
        <v>1039</v>
      </c>
      <c r="F323" s="236" t="s">
        <v>844</v>
      </c>
      <c r="G323" s="227">
        <v>1</v>
      </c>
      <c r="H323" s="227"/>
      <c r="I323" s="227"/>
      <c r="J323" s="228"/>
      <c r="K323" s="228"/>
      <c r="L323" s="228"/>
      <c r="M323" s="228"/>
      <c r="N323" s="230"/>
    </row>
    <row r="324" spans="1:14" ht="69" customHeight="1" outlineLevel="2">
      <c r="A324" s="235">
        <f>SUBTOTAL(3,$F$50:F324)</f>
        <v>226</v>
      </c>
      <c r="B324" s="230" t="s">
        <v>1045</v>
      </c>
      <c r="C324" s="259"/>
      <c r="D324" s="259"/>
      <c r="E324" s="253" t="s">
        <v>1039</v>
      </c>
      <c r="F324" s="236" t="s">
        <v>844</v>
      </c>
      <c r="G324" s="227">
        <v>1</v>
      </c>
      <c r="H324" s="227"/>
      <c r="I324" s="227"/>
      <c r="J324" s="228"/>
      <c r="K324" s="228"/>
      <c r="L324" s="228"/>
      <c r="M324" s="228"/>
      <c r="N324" s="230"/>
    </row>
    <row r="325" spans="1:14" ht="69" customHeight="1" outlineLevel="2">
      <c r="A325" s="235">
        <f>SUBTOTAL(3,$F$50:F325)</f>
        <v>227</v>
      </c>
      <c r="B325" s="230" t="s">
        <v>1046</v>
      </c>
      <c r="C325" s="259"/>
      <c r="D325" s="259"/>
      <c r="E325" s="253" t="s">
        <v>1039</v>
      </c>
      <c r="F325" s="236" t="s">
        <v>844</v>
      </c>
      <c r="G325" s="227">
        <v>1</v>
      </c>
      <c r="H325" s="227"/>
      <c r="I325" s="227"/>
      <c r="J325" s="228"/>
      <c r="K325" s="228"/>
      <c r="L325" s="228"/>
      <c r="M325" s="228"/>
      <c r="N325" s="230"/>
    </row>
    <row r="326" spans="1:14" ht="69" customHeight="1" outlineLevel="2">
      <c r="A326" s="235">
        <f>SUBTOTAL(3,$F$50:F326)</f>
        <v>228</v>
      </c>
      <c r="B326" s="230" t="s">
        <v>1047</v>
      </c>
      <c r="C326" s="259"/>
      <c r="D326" s="259"/>
      <c r="E326" s="253" t="s">
        <v>1039</v>
      </c>
      <c r="F326" s="236" t="s">
        <v>844</v>
      </c>
      <c r="G326" s="227">
        <v>1</v>
      </c>
      <c r="H326" s="260"/>
      <c r="I326" s="260"/>
      <c r="J326" s="261"/>
      <c r="K326" s="261"/>
      <c r="L326" s="261"/>
      <c r="M326" s="261"/>
      <c r="N326" s="262"/>
    </row>
    <row r="327" spans="1:14" outlineLevel="2">
      <c r="A327" s="235"/>
      <c r="B327" s="245" t="s">
        <v>849</v>
      </c>
      <c r="C327" s="246"/>
      <c r="D327" s="246"/>
      <c r="E327" s="247"/>
      <c r="F327" s="248"/>
      <c r="G327" s="227"/>
      <c r="H327" s="227"/>
      <c r="I327" s="227"/>
      <c r="J327" s="228"/>
      <c r="K327" s="228"/>
      <c r="L327" s="228"/>
      <c r="M327" s="228"/>
      <c r="N327" s="230"/>
    </row>
    <row r="328" spans="1:14" ht="27.6" customHeight="1" outlineLevel="2">
      <c r="A328" s="235">
        <f>SUBTOTAL(3,$F$50:F328)</f>
        <v>229</v>
      </c>
      <c r="B328" s="256" t="s">
        <v>856</v>
      </c>
      <c r="C328" s="257"/>
      <c r="D328" s="257"/>
      <c r="E328" s="253" t="s">
        <v>851</v>
      </c>
      <c r="F328" s="226" t="s">
        <v>287</v>
      </c>
      <c r="G328" s="227">
        <v>6</v>
      </c>
      <c r="H328" s="227"/>
      <c r="I328" s="227"/>
      <c r="J328" s="228"/>
      <c r="K328" s="228"/>
      <c r="L328" s="228"/>
      <c r="M328" s="228"/>
      <c r="N328" s="230"/>
    </row>
    <row r="329" spans="1:14" ht="27.6" customHeight="1" outlineLevel="2">
      <c r="A329" s="235">
        <f>SUBTOTAL(3,$F$50:F329)</f>
        <v>230</v>
      </c>
      <c r="B329" s="256" t="s">
        <v>857</v>
      </c>
      <c r="C329" s="257"/>
      <c r="D329" s="257"/>
      <c r="E329" s="253" t="s">
        <v>851</v>
      </c>
      <c r="F329" s="226" t="s">
        <v>287</v>
      </c>
      <c r="G329" s="227">
        <v>10</v>
      </c>
      <c r="H329" s="227"/>
      <c r="I329" s="227"/>
      <c r="J329" s="228"/>
      <c r="K329" s="228"/>
      <c r="L329" s="228"/>
      <c r="M329" s="228"/>
      <c r="N329" s="230"/>
    </row>
    <row r="330" spans="1:14" outlineLevel="2">
      <c r="A330" s="235"/>
      <c r="B330" s="245" t="s">
        <v>861</v>
      </c>
      <c r="C330" s="246"/>
      <c r="D330" s="246"/>
      <c r="E330" s="247"/>
      <c r="F330" s="248"/>
      <c r="G330" s="227"/>
      <c r="H330" s="227"/>
      <c r="I330" s="227"/>
      <c r="J330" s="228"/>
      <c r="K330" s="228"/>
      <c r="L330" s="228"/>
      <c r="M330" s="228"/>
      <c r="N330" s="230"/>
    </row>
    <row r="331" spans="1:14" ht="27.6" customHeight="1" outlineLevel="2">
      <c r="A331" s="235">
        <f>SUBTOTAL(3,$F$50:F331)</f>
        <v>231</v>
      </c>
      <c r="B331" s="256" t="s">
        <v>1048</v>
      </c>
      <c r="C331" s="257"/>
      <c r="D331" s="257"/>
      <c r="E331" s="253" t="s">
        <v>851</v>
      </c>
      <c r="F331" s="226" t="s">
        <v>287</v>
      </c>
      <c r="G331" s="227">
        <v>6</v>
      </c>
      <c r="H331" s="227"/>
      <c r="I331" s="227"/>
      <c r="J331" s="228"/>
      <c r="K331" s="228"/>
      <c r="L331" s="228"/>
      <c r="M331" s="228"/>
      <c r="N331" s="230"/>
    </row>
    <row r="332" spans="1:14" ht="27.6" customHeight="1" outlineLevel="2">
      <c r="A332" s="235">
        <f>SUBTOTAL(3,$F$50:F332)</f>
        <v>232</v>
      </c>
      <c r="B332" s="256" t="s">
        <v>867</v>
      </c>
      <c r="C332" s="257"/>
      <c r="D332" s="257"/>
      <c r="E332" s="253" t="s">
        <v>851</v>
      </c>
      <c r="F332" s="226" t="s">
        <v>287</v>
      </c>
      <c r="G332" s="227">
        <v>10</v>
      </c>
      <c r="H332" s="227"/>
      <c r="I332" s="227"/>
      <c r="J332" s="228"/>
      <c r="K332" s="228"/>
      <c r="L332" s="228"/>
      <c r="M332" s="228"/>
      <c r="N332" s="230"/>
    </row>
    <row r="333" spans="1:14" outlineLevel="2">
      <c r="A333" s="235"/>
      <c r="B333" s="245" t="s">
        <v>1049</v>
      </c>
      <c r="C333" s="246"/>
      <c r="D333" s="246"/>
      <c r="E333" s="247"/>
      <c r="F333" s="226"/>
      <c r="G333" s="227"/>
      <c r="H333" s="227"/>
      <c r="I333" s="227"/>
      <c r="J333" s="228"/>
      <c r="K333" s="228"/>
      <c r="L333" s="228"/>
      <c r="M333" s="228"/>
      <c r="N333" s="230"/>
    </row>
    <row r="334" spans="1:14" ht="12" customHeight="1" outlineLevel="2">
      <c r="A334" s="235">
        <f>SUBTOTAL(3,$F$50:F334)</f>
        <v>233</v>
      </c>
      <c r="B334" s="256" t="s">
        <v>1050</v>
      </c>
      <c r="C334" s="257"/>
      <c r="D334" s="257"/>
      <c r="E334" s="253" t="s">
        <v>1051</v>
      </c>
      <c r="F334" s="226" t="s">
        <v>287</v>
      </c>
      <c r="G334" s="227">
        <v>643</v>
      </c>
      <c r="H334" s="227"/>
      <c r="I334" s="227"/>
      <c r="J334" s="228"/>
      <c r="K334" s="228"/>
      <c r="L334" s="228"/>
      <c r="M334" s="228"/>
      <c r="N334" s="230"/>
    </row>
    <row r="335" spans="1:14" ht="12" customHeight="1" outlineLevel="2">
      <c r="A335" s="235">
        <f>SUBTOTAL(3,$F$50:F335)</f>
        <v>234</v>
      </c>
      <c r="B335" s="256" t="s">
        <v>1052</v>
      </c>
      <c r="C335" s="257"/>
      <c r="D335" s="257"/>
      <c r="E335" s="253" t="s">
        <v>1051</v>
      </c>
      <c r="F335" s="226" t="s">
        <v>287</v>
      </c>
      <c r="G335" s="227">
        <v>9</v>
      </c>
      <c r="H335" s="227"/>
      <c r="I335" s="227"/>
      <c r="J335" s="228"/>
      <c r="K335" s="228"/>
      <c r="L335" s="228"/>
      <c r="M335" s="228"/>
      <c r="N335" s="230"/>
    </row>
    <row r="336" spans="1:14" ht="12" customHeight="1" outlineLevel="2">
      <c r="A336" s="235">
        <f>SUBTOTAL(3,$F$50:F336)</f>
        <v>235</v>
      </c>
      <c r="B336" s="256" t="s">
        <v>1053</v>
      </c>
      <c r="C336" s="257"/>
      <c r="D336" s="257"/>
      <c r="E336" s="253" t="s">
        <v>1051</v>
      </c>
      <c r="F336" s="226" t="s">
        <v>287</v>
      </c>
      <c r="G336" s="227">
        <v>13</v>
      </c>
      <c r="H336" s="227"/>
      <c r="I336" s="227"/>
      <c r="J336" s="228"/>
      <c r="K336" s="228"/>
      <c r="L336" s="228"/>
      <c r="M336" s="228"/>
      <c r="N336" s="230"/>
    </row>
    <row r="337" spans="1:14" ht="27.6" customHeight="1" outlineLevel="2">
      <c r="A337" s="235">
        <f>SUBTOTAL(3,$F$50:F337)</f>
        <v>236</v>
      </c>
      <c r="B337" s="256" t="s">
        <v>1054</v>
      </c>
      <c r="C337" s="257"/>
      <c r="D337" s="257"/>
      <c r="E337" s="253" t="s">
        <v>1051</v>
      </c>
      <c r="F337" s="226" t="s">
        <v>287</v>
      </c>
      <c r="G337" s="227">
        <v>1274</v>
      </c>
      <c r="H337" s="227"/>
      <c r="I337" s="227"/>
      <c r="J337" s="228"/>
      <c r="K337" s="228"/>
      <c r="L337" s="228"/>
      <c r="M337" s="228"/>
      <c r="N337" s="230"/>
    </row>
    <row r="338" spans="1:14" ht="27.6" customHeight="1" outlineLevel="2">
      <c r="A338" s="235">
        <f>SUBTOTAL(3,$F$50:F338)</f>
        <v>237</v>
      </c>
      <c r="B338" s="256" t="s">
        <v>1055</v>
      </c>
      <c r="C338" s="257"/>
      <c r="D338" s="257"/>
      <c r="E338" s="253" t="s">
        <v>1051</v>
      </c>
      <c r="F338" s="226" t="s">
        <v>287</v>
      </c>
      <c r="G338" s="227">
        <v>12</v>
      </c>
      <c r="H338" s="227"/>
      <c r="I338" s="227"/>
      <c r="J338" s="228"/>
      <c r="K338" s="228"/>
      <c r="L338" s="228"/>
      <c r="M338" s="228"/>
      <c r="N338" s="230"/>
    </row>
    <row r="339" spans="1:14" ht="27.6" customHeight="1" outlineLevel="2">
      <c r="A339" s="235">
        <f>SUBTOTAL(3,$F$50:F339)</f>
        <v>238</v>
      </c>
      <c r="B339" s="256" t="s">
        <v>1056</v>
      </c>
      <c r="C339" s="257"/>
      <c r="D339" s="257"/>
      <c r="E339" s="253" t="s">
        <v>1051</v>
      </c>
      <c r="F339" s="226" t="s">
        <v>287</v>
      </c>
      <c r="G339" s="227">
        <v>25</v>
      </c>
      <c r="H339" s="227"/>
      <c r="I339" s="227"/>
      <c r="J339" s="228"/>
      <c r="K339" s="228"/>
      <c r="L339" s="228"/>
      <c r="M339" s="228"/>
      <c r="N339" s="230"/>
    </row>
    <row r="340" spans="1:14" outlineLevel="2">
      <c r="A340" s="235"/>
      <c r="B340" s="245" t="s">
        <v>1057</v>
      </c>
      <c r="C340" s="246"/>
      <c r="D340" s="246"/>
      <c r="E340" s="247"/>
      <c r="F340" s="226"/>
      <c r="G340" s="227"/>
      <c r="H340" s="227"/>
      <c r="I340" s="227"/>
      <c r="J340" s="228"/>
      <c r="K340" s="228"/>
      <c r="L340" s="228"/>
      <c r="M340" s="228"/>
      <c r="N340" s="230"/>
    </row>
    <row r="341" spans="1:14" outlineLevel="2">
      <c r="A341" s="235">
        <f>SUBTOTAL(3,$F$50:F341)</f>
        <v>239</v>
      </c>
      <c r="B341" s="256" t="s">
        <v>1029</v>
      </c>
      <c r="C341" s="257"/>
      <c r="D341" s="257"/>
      <c r="E341" s="253" t="s">
        <v>1004</v>
      </c>
      <c r="F341" s="226" t="s">
        <v>570</v>
      </c>
      <c r="G341" s="227">
        <v>2554</v>
      </c>
      <c r="H341" s="227"/>
      <c r="I341" s="227"/>
      <c r="J341" s="228"/>
      <c r="K341" s="228"/>
      <c r="L341" s="228"/>
      <c r="M341" s="228"/>
      <c r="N341" s="230"/>
    </row>
    <row r="342" spans="1:14" outlineLevel="2">
      <c r="A342" s="235">
        <f>SUBTOTAL(3,$F$50:F342)</f>
        <v>240</v>
      </c>
      <c r="B342" s="256" t="s">
        <v>1030</v>
      </c>
      <c r="C342" s="257"/>
      <c r="D342" s="257"/>
      <c r="E342" s="253" t="s">
        <v>1004</v>
      </c>
      <c r="F342" s="226" t="s">
        <v>570</v>
      </c>
      <c r="G342" s="227">
        <v>3024</v>
      </c>
      <c r="H342" s="227"/>
      <c r="I342" s="227"/>
      <c r="J342" s="228"/>
      <c r="K342" s="228"/>
      <c r="L342" s="228"/>
      <c r="M342" s="228"/>
      <c r="N342" s="230"/>
    </row>
    <row r="343" spans="1:14" outlineLevel="2">
      <c r="A343" s="235">
        <f>SUBTOTAL(3,$F$50:F343)</f>
        <v>241</v>
      </c>
      <c r="B343" s="256" t="s">
        <v>1031</v>
      </c>
      <c r="C343" s="257"/>
      <c r="D343" s="257"/>
      <c r="E343" s="253" t="s">
        <v>1004</v>
      </c>
      <c r="F343" s="226" t="s">
        <v>570</v>
      </c>
      <c r="G343" s="227">
        <v>1698</v>
      </c>
      <c r="H343" s="227"/>
      <c r="I343" s="227"/>
      <c r="J343" s="228"/>
      <c r="K343" s="228"/>
      <c r="L343" s="228"/>
      <c r="M343" s="228"/>
      <c r="N343" s="230"/>
    </row>
    <row r="344" spans="1:14" outlineLevel="2">
      <c r="A344" s="235">
        <f>SUBTOTAL(3,$F$50:F344)</f>
        <v>242</v>
      </c>
      <c r="B344" s="256" t="s">
        <v>1032</v>
      </c>
      <c r="C344" s="257"/>
      <c r="D344" s="257"/>
      <c r="E344" s="253" t="s">
        <v>1004</v>
      </c>
      <c r="F344" s="226" t="s">
        <v>570</v>
      </c>
      <c r="G344" s="227">
        <v>117</v>
      </c>
      <c r="H344" s="227"/>
      <c r="I344" s="227"/>
      <c r="J344" s="228"/>
      <c r="K344" s="228"/>
      <c r="L344" s="228"/>
      <c r="M344" s="228"/>
      <c r="N344" s="230"/>
    </row>
    <row r="345" spans="1:14" outlineLevel="2">
      <c r="A345" s="235">
        <f>SUBTOTAL(3,$F$50:F345)</f>
        <v>243</v>
      </c>
      <c r="B345" s="256" t="s">
        <v>1033</v>
      </c>
      <c r="C345" s="257"/>
      <c r="D345" s="257"/>
      <c r="E345" s="253" t="s">
        <v>1004</v>
      </c>
      <c r="F345" s="226" t="s">
        <v>570</v>
      </c>
      <c r="G345" s="227">
        <v>628</v>
      </c>
      <c r="H345" s="227"/>
      <c r="I345" s="227"/>
      <c r="J345" s="228"/>
      <c r="K345" s="228"/>
      <c r="L345" s="228"/>
      <c r="M345" s="228"/>
      <c r="N345" s="230"/>
    </row>
    <row r="346" spans="1:14" outlineLevel="2">
      <c r="A346" s="235">
        <f>SUBTOTAL(3,$F$50:F346)</f>
        <v>244</v>
      </c>
      <c r="B346" s="256" t="s">
        <v>1034</v>
      </c>
      <c r="C346" s="257"/>
      <c r="D346" s="257"/>
      <c r="E346" s="253" t="s">
        <v>1004</v>
      </c>
      <c r="F346" s="226" t="s">
        <v>570</v>
      </c>
      <c r="G346" s="227">
        <v>249</v>
      </c>
      <c r="H346" s="227"/>
      <c r="I346" s="227"/>
      <c r="J346" s="228"/>
      <c r="K346" s="228"/>
      <c r="L346" s="228"/>
      <c r="M346" s="228"/>
      <c r="N346" s="230"/>
    </row>
    <row r="347" spans="1:14" outlineLevel="2">
      <c r="A347" s="235">
        <f>SUBTOTAL(3,$F$50:F347)</f>
        <v>245</v>
      </c>
      <c r="B347" s="256" t="s">
        <v>1058</v>
      </c>
      <c r="C347" s="257"/>
      <c r="D347" s="257"/>
      <c r="E347" s="253" t="s">
        <v>1004</v>
      </c>
      <c r="F347" s="226" t="s">
        <v>570</v>
      </c>
      <c r="G347" s="227">
        <v>1197</v>
      </c>
      <c r="H347" s="227"/>
      <c r="I347" s="227"/>
      <c r="J347" s="228"/>
      <c r="K347" s="228"/>
      <c r="L347" s="228"/>
      <c r="M347" s="228"/>
      <c r="N347" s="230"/>
    </row>
    <row r="348" spans="1:14" outlineLevel="2">
      <c r="A348" s="235">
        <f>SUBTOTAL(3,$F$50:F348)</f>
        <v>246</v>
      </c>
      <c r="B348" s="256" t="s">
        <v>1059</v>
      </c>
      <c r="C348" s="257"/>
      <c r="D348" s="257"/>
      <c r="E348" s="253" t="s">
        <v>1004</v>
      </c>
      <c r="F348" s="226" t="s">
        <v>570</v>
      </c>
      <c r="G348" s="227">
        <v>177</v>
      </c>
      <c r="H348" s="227"/>
      <c r="I348" s="227"/>
      <c r="J348" s="228"/>
      <c r="K348" s="228"/>
      <c r="L348" s="228"/>
      <c r="M348" s="228"/>
      <c r="N348" s="230"/>
    </row>
    <row r="349" spans="1:14" outlineLevel="2">
      <c r="A349" s="235">
        <f>SUBTOTAL(3,$F$50:F349)</f>
        <v>247</v>
      </c>
      <c r="B349" s="256" t="s">
        <v>1060</v>
      </c>
      <c r="C349" s="257"/>
      <c r="D349" s="257"/>
      <c r="E349" s="253" t="s">
        <v>1004</v>
      </c>
      <c r="F349" s="226" t="s">
        <v>570</v>
      </c>
      <c r="G349" s="227">
        <v>137</v>
      </c>
      <c r="H349" s="227"/>
      <c r="I349" s="227"/>
      <c r="J349" s="228"/>
      <c r="K349" s="228"/>
      <c r="L349" s="228"/>
      <c r="M349" s="228"/>
      <c r="N349" s="230"/>
    </row>
    <row r="350" spans="1:14" ht="21.6" customHeight="1" outlineLevel="2">
      <c r="A350" s="235">
        <f>SUBTOTAL(3,$F$50:F350)</f>
        <v>248</v>
      </c>
      <c r="B350" s="230" t="s">
        <v>909</v>
      </c>
      <c r="C350" s="241"/>
      <c r="D350" s="241"/>
      <c r="E350" s="253"/>
      <c r="F350" s="226" t="s">
        <v>276</v>
      </c>
      <c r="G350" s="227">
        <v>1</v>
      </c>
      <c r="H350" s="227"/>
      <c r="I350" s="227"/>
      <c r="J350" s="228"/>
      <c r="K350" s="228"/>
      <c r="L350" s="228"/>
      <c r="M350" s="228"/>
      <c r="N350" s="230"/>
    </row>
    <row r="351" spans="1:14" ht="21.6" customHeight="1" outlineLevel="2">
      <c r="A351" s="235">
        <f>SUBTOTAL(3,$F$50:F351)</f>
        <v>249</v>
      </c>
      <c r="B351" s="230" t="s">
        <v>910</v>
      </c>
      <c r="C351" s="241"/>
      <c r="D351" s="241"/>
      <c r="E351" s="253"/>
      <c r="F351" s="226" t="s">
        <v>276</v>
      </c>
      <c r="G351" s="227">
        <v>1</v>
      </c>
      <c r="H351" s="227"/>
      <c r="I351" s="227"/>
      <c r="J351" s="228"/>
      <c r="K351" s="228"/>
      <c r="L351" s="228"/>
      <c r="M351" s="228"/>
      <c r="N351" s="230"/>
    </row>
    <row r="352" spans="1:14" ht="27.6" customHeight="1" outlineLevel="2">
      <c r="A352" s="235"/>
      <c r="B352" s="245" t="s">
        <v>1061</v>
      </c>
      <c r="C352" s="257" t="s">
        <v>1062</v>
      </c>
      <c r="D352" s="246"/>
      <c r="E352" s="253"/>
      <c r="F352" s="226"/>
      <c r="G352" s="227"/>
      <c r="H352" s="227"/>
      <c r="I352" s="227"/>
      <c r="J352" s="228"/>
      <c r="K352" s="228"/>
      <c r="L352" s="228"/>
      <c r="M352" s="228"/>
      <c r="N352" s="230"/>
    </row>
    <row r="353" spans="1:14" ht="24.6" customHeight="1" outlineLevel="2">
      <c r="A353" s="235">
        <f>SUBTOTAL(3,$F$50:F353)</f>
        <v>250</v>
      </c>
      <c r="B353" s="256" t="s">
        <v>1063</v>
      </c>
      <c r="C353" s="257"/>
      <c r="D353" s="257"/>
      <c r="E353" s="253" t="s">
        <v>1064</v>
      </c>
      <c r="F353" s="226" t="s">
        <v>570</v>
      </c>
      <c r="G353" s="227">
        <v>1398</v>
      </c>
      <c r="H353" s="227"/>
      <c r="I353" s="227"/>
      <c r="J353" s="228"/>
      <c r="K353" s="228"/>
      <c r="L353" s="228"/>
      <c r="M353" s="228"/>
      <c r="N353" s="230"/>
    </row>
    <row r="354" spans="1:14" ht="24.6" customHeight="1" outlineLevel="2">
      <c r="A354" s="235">
        <f>SUBTOTAL(3,$F$50:F354)</f>
        <v>251</v>
      </c>
      <c r="B354" s="256" t="s">
        <v>1065</v>
      </c>
      <c r="C354" s="257"/>
      <c r="D354" s="257"/>
      <c r="E354" s="253" t="s">
        <v>1064</v>
      </c>
      <c r="F354" s="226" t="s">
        <v>570</v>
      </c>
      <c r="G354" s="227">
        <v>928</v>
      </c>
      <c r="H354" s="227"/>
      <c r="I354" s="227"/>
      <c r="J354" s="228"/>
      <c r="K354" s="228"/>
      <c r="L354" s="228"/>
      <c r="M354" s="228"/>
      <c r="N354" s="230"/>
    </row>
    <row r="355" spans="1:14" ht="24.6" customHeight="1" outlineLevel="2">
      <c r="A355" s="235">
        <f>SUBTOTAL(3,$F$50:F355)</f>
        <v>252</v>
      </c>
      <c r="B355" s="256" t="s">
        <v>1066</v>
      </c>
      <c r="C355" s="257"/>
      <c r="D355" s="257"/>
      <c r="E355" s="253" t="s">
        <v>1064</v>
      </c>
      <c r="F355" s="226" t="s">
        <v>570</v>
      </c>
      <c r="G355" s="227">
        <v>904</v>
      </c>
      <c r="H355" s="227"/>
      <c r="I355" s="227"/>
      <c r="J355" s="228"/>
      <c r="K355" s="228"/>
      <c r="L355" s="228"/>
      <c r="M355" s="228"/>
      <c r="N355" s="230"/>
    </row>
    <row r="356" spans="1:14" ht="24.6" customHeight="1" outlineLevel="2">
      <c r="A356" s="235">
        <f>SUBTOTAL(3,$F$50:F356)</f>
        <v>253</v>
      </c>
      <c r="B356" s="256" t="s">
        <v>1067</v>
      </c>
      <c r="C356" s="257"/>
      <c r="D356" s="257"/>
      <c r="E356" s="253" t="s">
        <v>1064</v>
      </c>
      <c r="F356" s="226" t="s">
        <v>570</v>
      </c>
      <c r="G356" s="227">
        <v>117</v>
      </c>
      <c r="H356" s="227"/>
      <c r="I356" s="227"/>
      <c r="J356" s="228"/>
      <c r="K356" s="228"/>
      <c r="L356" s="228"/>
      <c r="M356" s="228"/>
      <c r="N356" s="230"/>
    </row>
    <row r="357" spans="1:14" ht="24.6" customHeight="1" outlineLevel="2">
      <c r="A357" s="235">
        <f>SUBTOTAL(3,$F$50:F357)</f>
        <v>254</v>
      </c>
      <c r="B357" s="256" t="s">
        <v>1068</v>
      </c>
      <c r="C357" s="257"/>
      <c r="D357" s="257"/>
      <c r="E357" s="253" t="s">
        <v>1064</v>
      </c>
      <c r="F357" s="226" t="s">
        <v>570</v>
      </c>
      <c r="G357" s="227">
        <v>628</v>
      </c>
      <c r="H357" s="227"/>
      <c r="I357" s="227"/>
      <c r="J357" s="228"/>
      <c r="K357" s="228"/>
      <c r="L357" s="228"/>
      <c r="M357" s="228"/>
      <c r="N357" s="230"/>
    </row>
    <row r="358" spans="1:14" ht="24.6" customHeight="1" outlineLevel="2">
      <c r="A358" s="235">
        <f>SUBTOTAL(3,$F$50:F358)</f>
        <v>255</v>
      </c>
      <c r="B358" s="256" t="s">
        <v>1069</v>
      </c>
      <c r="C358" s="257"/>
      <c r="D358" s="257"/>
      <c r="E358" s="253" t="s">
        <v>1064</v>
      </c>
      <c r="F358" s="226" t="s">
        <v>570</v>
      </c>
      <c r="G358" s="227">
        <v>228</v>
      </c>
      <c r="H358" s="227"/>
      <c r="I358" s="227"/>
      <c r="J358" s="228"/>
      <c r="K358" s="228"/>
      <c r="L358" s="228"/>
      <c r="M358" s="228"/>
      <c r="N358" s="230"/>
    </row>
    <row r="359" spans="1:14" ht="24.6" customHeight="1" outlineLevel="2">
      <c r="A359" s="235">
        <f>SUBTOTAL(3,$F$50:F359)</f>
        <v>256</v>
      </c>
      <c r="B359" s="256" t="s">
        <v>1070</v>
      </c>
      <c r="C359" s="257"/>
      <c r="D359" s="257"/>
      <c r="E359" s="253" t="s">
        <v>1064</v>
      </c>
      <c r="F359" s="226" t="s">
        <v>570</v>
      </c>
      <c r="G359" s="227">
        <v>729</v>
      </c>
      <c r="H359" s="227"/>
      <c r="I359" s="227"/>
      <c r="J359" s="228"/>
      <c r="K359" s="228"/>
      <c r="L359" s="228"/>
      <c r="M359" s="228"/>
      <c r="N359" s="230"/>
    </row>
    <row r="360" spans="1:14" ht="24.6" customHeight="1" outlineLevel="2">
      <c r="A360" s="235">
        <f>SUBTOTAL(3,$F$50:F360)</f>
        <v>257</v>
      </c>
      <c r="B360" s="256" t="s">
        <v>1071</v>
      </c>
      <c r="C360" s="257"/>
      <c r="D360" s="257"/>
      <c r="E360" s="253" t="s">
        <v>1064</v>
      </c>
      <c r="F360" s="226" t="s">
        <v>570</v>
      </c>
      <c r="G360" s="227">
        <v>177</v>
      </c>
      <c r="H360" s="227"/>
      <c r="I360" s="227"/>
      <c r="J360" s="228"/>
      <c r="K360" s="228"/>
      <c r="L360" s="228"/>
      <c r="M360" s="228"/>
      <c r="N360" s="230"/>
    </row>
    <row r="361" spans="1:14" ht="24.6" customHeight="1" outlineLevel="2">
      <c r="A361" s="235">
        <f>SUBTOTAL(3,$F$50:F361)</f>
        <v>258</v>
      </c>
      <c r="B361" s="256" t="s">
        <v>1072</v>
      </c>
      <c r="C361" s="257"/>
      <c r="D361" s="257"/>
      <c r="E361" s="253" t="s">
        <v>1064</v>
      </c>
      <c r="F361" s="226" t="s">
        <v>570</v>
      </c>
      <c r="G361" s="227">
        <v>137</v>
      </c>
      <c r="H361" s="227"/>
      <c r="I361" s="227"/>
      <c r="J361" s="228"/>
      <c r="K361" s="228"/>
      <c r="L361" s="228"/>
      <c r="M361" s="228"/>
      <c r="N361" s="230"/>
    </row>
    <row r="362" spans="1:14" outlineLevel="2">
      <c r="A362" s="235">
        <f>SUBTOTAL(3,$F$50:F362)</f>
        <v>259</v>
      </c>
      <c r="B362" s="230" t="s">
        <v>1073</v>
      </c>
      <c r="C362" s="241"/>
      <c r="D362" s="241"/>
      <c r="E362" s="253"/>
      <c r="F362" s="226" t="s">
        <v>825</v>
      </c>
      <c r="G362" s="227">
        <v>1</v>
      </c>
      <c r="H362" s="227"/>
      <c r="I362" s="227"/>
      <c r="J362" s="228"/>
      <c r="K362" s="228"/>
      <c r="L362" s="228"/>
      <c r="M362" s="228"/>
      <c r="N362" s="230"/>
    </row>
    <row r="363" spans="1:14" outlineLevel="1">
      <c r="A363" s="222" t="s">
        <v>1074</v>
      </c>
      <c r="B363" s="232" t="s">
        <v>799</v>
      </c>
      <c r="C363" s="255"/>
      <c r="D363" s="255"/>
      <c r="E363" s="243"/>
      <c r="F363" s="233"/>
      <c r="G363" s="220"/>
      <c r="H363" s="220"/>
      <c r="I363" s="220"/>
      <c r="J363" s="263"/>
      <c r="K363" s="263"/>
      <c r="L363" s="263"/>
      <c r="M363" s="263"/>
      <c r="N363" s="232"/>
    </row>
    <row r="364" spans="1:14" outlineLevel="2">
      <c r="A364" s="235">
        <f>SUBTOTAL(3,$F$50:F364)</f>
        <v>260</v>
      </c>
      <c r="B364" s="230" t="s">
        <v>800</v>
      </c>
      <c r="C364" s="259"/>
      <c r="D364" s="259"/>
      <c r="E364" s="253"/>
      <c r="F364" s="236" t="s">
        <v>825</v>
      </c>
      <c r="G364" s="227">
        <v>1</v>
      </c>
      <c r="H364" s="227"/>
      <c r="I364" s="227"/>
      <c r="J364" s="228"/>
      <c r="K364" s="228"/>
      <c r="L364" s="228"/>
      <c r="M364" s="228"/>
      <c r="N364" s="230"/>
    </row>
    <row r="365" spans="1:14" outlineLevel="2">
      <c r="A365" s="235">
        <f>SUBTOTAL(3,$F$50:F365)</f>
        <v>261</v>
      </c>
      <c r="B365" s="230" t="s">
        <v>801</v>
      </c>
      <c r="C365" s="259"/>
      <c r="D365" s="259"/>
      <c r="E365" s="253"/>
      <c r="F365" s="236" t="s">
        <v>825</v>
      </c>
      <c r="G365" s="227">
        <v>1</v>
      </c>
      <c r="H365" s="227"/>
      <c r="I365" s="227"/>
      <c r="J365" s="228"/>
      <c r="K365" s="228"/>
      <c r="L365" s="228"/>
      <c r="M365" s="228"/>
      <c r="N365" s="230"/>
    </row>
    <row r="366" spans="1:14" outlineLevel="2">
      <c r="A366" s="235">
        <f>SUBTOTAL(3,$F$50:F366)</f>
        <v>262</v>
      </c>
      <c r="B366" s="230" t="s">
        <v>1075</v>
      </c>
      <c r="C366" s="259"/>
      <c r="D366" s="259"/>
      <c r="E366" s="253"/>
      <c r="F366" s="236" t="s">
        <v>825</v>
      </c>
      <c r="G366" s="227">
        <v>1</v>
      </c>
      <c r="H366" s="227"/>
      <c r="I366" s="227"/>
      <c r="J366" s="228"/>
      <c r="K366" s="228"/>
      <c r="L366" s="228"/>
      <c r="M366" s="228"/>
      <c r="N366" s="230"/>
    </row>
    <row r="367" spans="1:14" outlineLevel="2">
      <c r="A367" s="235">
        <f>SUBTOTAL(3,$F$50:F367)</f>
        <v>263</v>
      </c>
      <c r="B367" s="230" t="s">
        <v>802</v>
      </c>
      <c r="C367" s="259"/>
      <c r="D367" s="259"/>
      <c r="E367" s="253"/>
      <c r="F367" s="236" t="s">
        <v>825</v>
      </c>
      <c r="G367" s="227">
        <v>1</v>
      </c>
      <c r="H367" s="227"/>
      <c r="I367" s="227"/>
      <c r="J367" s="228"/>
      <c r="K367" s="228"/>
      <c r="L367" s="228"/>
      <c r="M367" s="228"/>
      <c r="N367" s="230"/>
    </row>
    <row r="368" spans="1:14" ht="27.6" customHeight="1">
      <c r="A368" s="222" t="s">
        <v>64</v>
      </c>
      <c r="B368" s="223" t="s">
        <v>803</v>
      </c>
      <c r="C368" s="223"/>
      <c r="D368" s="223"/>
      <c r="E368" s="218"/>
      <c r="F368" s="226"/>
      <c r="G368" s="227"/>
      <c r="H368" s="227"/>
      <c r="I368" s="227"/>
      <c r="J368" s="263"/>
      <c r="K368" s="263"/>
      <c r="L368" s="263"/>
      <c r="M368" s="263"/>
      <c r="N368" s="241"/>
    </row>
    <row r="369" spans="1:14" ht="82.8" customHeight="1">
      <c r="A369" s="235"/>
      <c r="B369" s="230" t="s">
        <v>804</v>
      </c>
      <c r="C369" s="241"/>
      <c r="D369" s="241"/>
      <c r="E369" s="253"/>
      <c r="F369" s="226" t="s">
        <v>45</v>
      </c>
      <c r="G369" s="227">
        <v>0</v>
      </c>
      <c r="H369" s="227"/>
      <c r="I369" s="227"/>
      <c r="J369" s="263"/>
      <c r="K369" s="263"/>
      <c r="L369" s="263"/>
      <c r="M369" s="263"/>
      <c r="N369" s="230"/>
    </row>
    <row r="370" spans="1:14" ht="30" customHeight="1">
      <c r="A370" s="251" t="str">
        <f>IF(AND(F370&lt;&gt;"",F370&lt;&gt;"note"),MAX($A6:A$46)+1,"")</f>
        <v/>
      </c>
      <c r="B370" s="223" t="s">
        <v>805</v>
      </c>
      <c r="C370" s="223"/>
      <c r="D370" s="223"/>
      <c r="E370" s="218"/>
      <c r="F370" s="251"/>
      <c r="G370" s="227"/>
      <c r="H370" s="227"/>
      <c r="I370" s="227"/>
      <c r="J370" s="234"/>
      <c r="K370" s="264">
        <f>SUBTOTAL(9,K48:K369)</f>
        <v>0</v>
      </c>
      <c r="L370" s="264"/>
      <c r="M370" s="264"/>
      <c r="N370" s="265"/>
    </row>
  </sheetData>
  <autoFilter ref="A5:N369" xr:uid="{00000000-0009-0000-0000-000003000000}">
    <filterColumn colId="7" showButton="0"/>
  </autoFilter>
  <mergeCells count="12">
    <mergeCell ref="E22:E45"/>
    <mergeCell ref="E9:E19"/>
    <mergeCell ref="A5:A6"/>
    <mergeCell ref="G5:G6"/>
    <mergeCell ref="N5:N6"/>
    <mergeCell ref="E5:E6"/>
    <mergeCell ref="K5:M5"/>
    <mergeCell ref="H5:J5"/>
    <mergeCell ref="C5:C6"/>
    <mergeCell ref="F5:F6"/>
    <mergeCell ref="D5:D6"/>
    <mergeCell ref="B5:B6"/>
  </mergeCells>
  <pageMargins left="0.5" right="0.5" top="0.75" bottom="0.75" header="0.3" footer="0.3"/>
  <pageSetup paperSize="9" scale="35"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FFC000"/>
    <outlinePr summaryBelow="0"/>
    <pageSetUpPr fitToPage="1"/>
  </sheetPr>
  <dimension ref="A1:CT1034"/>
  <sheetViews>
    <sheetView topLeftCell="A1030" zoomScaleNormal="100" zoomScaleSheetLayoutView="100" workbookViewId="0">
      <selection activeCell="B50" sqref="B50"/>
    </sheetView>
  </sheetViews>
  <sheetFormatPr defaultColWidth="8.88671875" defaultRowHeight="13.8" outlineLevelRow="1"/>
  <cols>
    <col min="1" max="1" width="5.88671875" style="231" customWidth="1"/>
    <col min="2" max="2" width="45.6640625" style="231" customWidth="1"/>
    <col min="3" max="3" width="23.21875" style="274" customWidth="1"/>
    <col min="4" max="5" width="18.33203125" style="274" customWidth="1"/>
    <col min="6" max="6" width="7.77734375" style="271" customWidth="1"/>
    <col min="7" max="7" width="8" style="272" customWidth="1"/>
    <col min="8" max="13" width="12.6640625" style="272" customWidth="1"/>
    <col min="14" max="14" width="17.109375" style="231" customWidth="1"/>
    <col min="15" max="98" width="8.88671875" style="274" customWidth="1"/>
    <col min="99" max="99" width="8.88671875" style="231" customWidth="1"/>
    <col min="100" max="16384" width="8.88671875" style="231"/>
  </cols>
  <sheetData>
    <row r="1" spans="1:98">
      <c r="A1" s="270" t="s">
        <v>18</v>
      </c>
    </row>
    <row r="2" spans="1:98" s="303" customFormat="1">
      <c r="A2" s="302"/>
      <c r="C2" s="269"/>
      <c r="D2" s="269"/>
      <c r="E2" s="269"/>
      <c r="F2" s="304"/>
      <c r="G2" s="272"/>
      <c r="H2" s="272"/>
      <c r="I2" s="272"/>
      <c r="J2" s="272"/>
      <c r="K2" s="272"/>
      <c r="L2" s="272"/>
      <c r="M2" s="272"/>
      <c r="O2" s="269"/>
      <c r="P2" s="269"/>
      <c r="Q2" s="269"/>
      <c r="R2" s="269"/>
      <c r="S2" s="269"/>
      <c r="T2" s="269"/>
      <c r="U2" s="269"/>
      <c r="V2" s="269"/>
      <c r="W2" s="269"/>
      <c r="X2" s="269"/>
      <c r="Y2" s="269"/>
      <c r="Z2" s="269"/>
      <c r="AA2" s="269"/>
      <c r="AB2" s="269"/>
      <c r="AC2" s="269"/>
      <c r="AD2" s="269"/>
      <c r="AE2" s="269"/>
      <c r="AF2" s="269"/>
      <c r="AG2" s="269"/>
      <c r="AH2" s="269"/>
      <c r="AI2" s="269"/>
      <c r="AJ2" s="269"/>
      <c r="AK2" s="269"/>
      <c r="AL2" s="269"/>
      <c r="AM2" s="269"/>
      <c r="AN2" s="269"/>
      <c r="AO2" s="269"/>
      <c r="AP2" s="269"/>
      <c r="AQ2" s="269"/>
      <c r="AR2" s="269"/>
      <c r="AS2" s="269"/>
      <c r="AT2" s="269"/>
      <c r="AU2" s="269"/>
      <c r="AV2" s="269"/>
      <c r="AW2" s="269"/>
      <c r="AX2" s="269"/>
      <c r="AY2" s="269"/>
      <c r="AZ2" s="269"/>
      <c r="BA2" s="269"/>
      <c r="BB2" s="269"/>
      <c r="BC2" s="269"/>
      <c r="BD2" s="269"/>
      <c r="BE2" s="269"/>
      <c r="BF2" s="269"/>
      <c r="BG2" s="269"/>
      <c r="BH2" s="269"/>
      <c r="BI2" s="269"/>
      <c r="BJ2" s="269"/>
      <c r="BK2" s="269"/>
      <c r="BL2" s="269"/>
      <c r="BM2" s="269"/>
      <c r="BN2" s="269"/>
      <c r="BO2" s="269"/>
      <c r="BP2" s="269"/>
      <c r="BQ2" s="269"/>
      <c r="BR2" s="269"/>
      <c r="BS2" s="269"/>
      <c r="BT2" s="269"/>
      <c r="BU2" s="269"/>
      <c r="BV2" s="269"/>
      <c r="BW2" s="269"/>
      <c r="BX2" s="269"/>
      <c r="BY2" s="269"/>
      <c r="BZ2" s="269"/>
      <c r="CA2" s="269"/>
      <c r="CB2" s="269"/>
      <c r="CC2" s="269"/>
      <c r="CD2" s="269"/>
      <c r="CE2" s="269"/>
      <c r="CF2" s="269"/>
      <c r="CG2" s="269"/>
      <c r="CH2" s="269"/>
      <c r="CI2" s="269"/>
      <c r="CJ2" s="269"/>
      <c r="CK2" s="269"/>
      <c r="CL2" s="269"/>
      <c r="CM2" s="269"/>
      <c r="CN2" s="269"/>
      <c r="CO2" s="269"/>
      <c r="CP2" s="269"/>
      <c r="CQ2" s="269"/>
      <c r="CR2" s="269"/>
      <c r="CS2" s="269"/>
      <c r="CT2" s="269"/>
    </row>
    <row r="3" spans="1:98" ht="14.4">
      <c r="A3" s="369" t="s">
        <v>5</v>
      </c>
      <c r="B3" s="369" t="s">
        <v>203</v>
      </c>
      <c r="C3" s="369" t="s">
        <v>806</v>
      </c>
      <c r="D3" s="369" t="s">
        <v>807</v>
      </c>
      <c r="E3" s="369" t="s">
        <v>808</v>
      </c>
      <c r="F3" s="369" t="s">
        <v>207</v>
      </c>
      <c r="G3" s="371" t="s">
        <v>208</v>
      </c>
      <c r="H3" s="349" t="s">
        <v>209</v>
      </c>
      <c r="I3" s="350"/>
      <c r="J3" s="351"/>
      <c r="K3" s="346" t="s">
        <v>210</v>
      </c>
      <c r="L3" s="347"/>
      <c r="M3" s="348"/>
      <c r="N3" s="349" t="s">
        <v>45</v>
      </c>
    </row>
    <row r="4" spans="1:98" ht="26.4">
      <c r="A4" s="355"/>
      <c r="B4" s="355"/>
      <c r="C4" s="355"/>
      <c r="D4" s="355"/>
      <c r="E4" s="355"/>
      <c r="F4" s="355"/>
      <c r="G4" s="355"/>
      <c r="H4" s="129" t="s">
        <v>211</v>
      </c>
      <c r="I4" s="129" t="s">
        <v>212</v>
      </c>
      <c r="J4" s="129" t="s">
        <v>13</v>
      </c>
      <c r="K4" s="129" t="s">
        <v>211</v>
      </c>
      <c r="L4" s="129" t="s">
        <v>212</v>
      </c>
      <c r="M4" s="129" t="s">
        <v>13</v>
      </c>
      <c r="N4" s="355"/>
    </row>
    <row r="5" spans="1:98">
      <c r="A5" s="294"/>
      <c r="B5" s="294"/>
      <c r="C5" s="251"/>
      <c r="D5" s="224"/>
      <c r="E5" s="224"/>
      <c r="F5" s="224"/>
      <c r="G5" s="221"/>
      <c r="H5" s="221"/>
      <c r="I5" s="221"/>
      <c r="J5" s="221"/>
      <c r="K5" s="221"/>
      <c r="L5" s="221"/>
      <c r="M5" s="221"/>
      <c r="N5" s="219"/>
    </row>
    <row r="6" spans="1:98">
      <c r="A6" s="289" t="s">
        <v>78</v>
      </c>
      <c r="B6" s="280" t="s">
        <v>1076</v>
      </c>
      <c r="C6" s="219"/>
      <c r="D6" s="219"/>
      <c r="E6" s="219"/>
      <c r="F6" s="290"/>
      <c r="G6" s="291"/>
      <c r="H6" s="291"/>
      <c r="I6" s="291"/>
      <c r="J6" s="292"/>
      <c r="K6" s="292"/>
      <c r="L6" s="292"/>
      <c r="M6" s="292"/>
      <c r="N6" s="225"/>
    </row>
    <row r="7" spans="1:98" ht="27.6" outlineLevel="1">
      <c r="A7" s="266">
        <f>SUBTOTAL(3,$F$7:F7)</f>
        <v>1</v>
      </c>
      <c r="B7" s="225" t="s">
        <v>1077</v>
      </c>
      <c r="C7" s="224" t="s">
        <v>1078</v>
      </c>
      <c r="D7" s="224" t="s">
        <v>1079</v>
      </c>
      <c r="E7" s="224" t="s">
        <v>1080</v>
      </c>
      <c r="F7" s="290" t="s">
        <v>1081</v>
      </c>
      <c r="G7" s="291">
        <v>1</v>
      </c>
      <c r="H7" s="291"/>
      <c r="I7" s="291"/>
      <c r="J7" s="292"/>
      <c r="K7" s="292"/>
      <c r="L7" s="292"/>
      <c r="M7" s="292"/>
      <c r="N7" s="225"/>
    </row>
    <row r="8" spans="1:98" ht="27.6" outlineLevel="1">
      <c r="A8" s="266">
        <f>SUBTOTAL(3,$F$7:F8)</f>
        <v>2</v>
      </c>
      <c r="B8" s="225" t="s">
        <v>1082</v>
      </c>
      <c r="C8" s="224"/>
      <c r="D8" s="266"/>
      <c r="E8" s="224" t="s">
        <v>1083</v>
      </c>
      <c r="F8" s="290" t="s">
        <v>570</v>
      </c>
      <c r="G8" s="291">
        <v>100</v>
      </c>
      <c r="H8" s="291"/>
      <c r="I8" s="291"/>
      <c r="J8" s="292"/>
      <c r="K8" s="292"/>
      <c r="L8" s="292"/>
      <c r="M8" s="292"/>
      <c r="N8" s="225"/>
    </row>
    <row r="9" spans="1:98" ht="27.6" outlineLevel="1">
      <c r="A9" s="266">
        <f>SUBTOTAL(3,$F$7:F9)</f>
        <v>3</v>
      </c>
      <c r="B9" s="225" t="s">
        <v>1084</v>
      </c>
      <c r="C9" s="224"/>
      <c r="D9" s="224"/>
      <c r="E9" s="224" t="s">
        <v>1083</v>
      </c>
      <c r="F9" s="290" t="s">
        <v>570</v>
      </c>
      <c r="G9" s="291">
        <v>43</v>
      </c>
      <c r="H9" s="291"/>
      <c r="I9" s="291"/>
      <c r="J9" s="292"/>
      <c r="K9" s="292"/>
      <c r="L9" s="292"/>
      <c r="M9" s="292"/>
      <c r="N9" s="225"/>
    </row>
    <row r="10" spans="1:98" ht="27.6" outlineLevel="1">
      <c r="A10" s="266">
        <f>SUBTOTAL(3,$F$7:F10)</f>
        <v>4</v>
      </c>
      <c r="B10" s="225" t="s">
        <v>1085</v>
      </c>
      <c r="C10" s="224"/>
      <c r="D10" s="224"/>
      <c r="E10" s="224" t="s">
        <v>1086</v>
      </c>
      <c r="F10" s="290" t="s">
        <v>570</v>
      </c>
      <c r="G10" s="291">
        <v>100</v>
      </c>
      <c r="H10" s="291"/>
      <c r="I10" s="291"/>
      <c r="J10" s="292"/>
      <c r="K10" s="292"/>
      <c r="L10" s="292"/>
      <c r="M10" s="292"/>
      <c r="N10" s="225"/>
    </row>
    <row r="11" spans="1:98" ht="26.4" outlineLevel="1">
      <c r="A11" s="266">
        <f>SUBTOTAL(3,$F$7:F11)</f>
        <v>5</v>
      </c>
      <c r="B11" s="322" t="s">
        <v>1087</v>
      </c>
      <c r="C11" s="224"/>
      <c r="D11" s="224"/>
      <c r="E11" s="224"/>
      <c r="F11" s="290" t="s">
        <v>570</v>
      </c>
      <c r="G11" s="291">
        <v>70</v>
      </c>
      <c r="H11" s="291"/>
      <c r="I11" s="291"/>
      <c r="J11" s="292"/>
      <c r="K11" s="292"/>
      <c r="L11" s="292"/>
      <c r="M11" s="292"/>
      <c r="N11" s="225"/>
    </row>
    <row r="12" spans="1:98" ht="26.4" outlineLevel="1">
      <c r="A12" s="266">
        <f>SUBTOTAL(3,$F$7:F12)</f>
        <v>6</v>
      </c>
      <c r="B12" s="322" t="s">
        <v>1088</v>
      </c>
      <c r="C12" s="224"/>
      <c r="D12" s="224"/>
      <c r="E12" s="323" t="s">
        <v>1089</v>
      </c>
      <c r="F12" s="290" t="s">
        <v>219</v>
      </c>
      <c r="G12" s="291">
        <v>5</v>
      </c>
      <c r="H12" s="291"/>
      <c r="I12" s="291"/>
      <c r="J12" s="292"/>
      <c r="K12" s="292"/>
      <c r="L12" s="292"/>
      <c r="M12" s="292"/>
      <c r="N12" s="225"/>
    </row>
    <row r="13" spans="1:98" outlineLevel="1">
      <c r="A13" s="266">
        <f>SUBTOTAL(3,$F$7:F13)</f>
        <v>7</v>
      </c>
      <c r="B13" s="225" t="s">
        <v>1090</v>
      </c>
      <c r="C13" s="224"/>
      <c r="D13" s="224"/>
      <c r="E13" s="224"/>
      <c r="F13" s="290" t="s">
        <v>276</v>
      </c>
      <c r="G13" s="291">
        <v>1</v>
      </c>
      <c r="H13" s="291"/>
      <c r="I13" s="291"/>
      <c r="J13" s="292"/>
      <c r="K13" s="292"/>
      <c r="L13" s="292"/>
      <c r="M13" s="292"/>
      <c r="N13" s="225"/>
    </row>
    <row r="14" spans="1:98" outlineLevel="1">
      <c r="A14" s="266">
        <f>SUBTOTAL(3,$F$7:F14)</f>
        <v>8</v>
      </c>
      <c r="B14" s="225" t="s">
        <v>1091</v>
      </c>
      <c r="C14" s="224"/>
      <c r="D14" s="224"/>
      <c r="E14" s="224"/>
      <c r="F14" s="290" t="s">
        <v>276</v>
      </c>
      <c r="G14" s="291">
        <v>1</v>
      </c>
      <c r="H14" s="291"/>
      <c r="I14" s="291"/>
      <c r="J14" s="292"/>
      <c r="K14" s="292"/>
      <c r="L14" s="292"/>
      <c r="M14" s="292"/>
      <c r="N14" s="225"/>
    </row>
    <row r="15" spans="1:98">
      <c r="A15" s="289" t="s">
        <v>826</v>
      </c>
      <c r="B15" s="280" t="s">
        <v>1092</v>
      </c>
      <c r="C15" s="219"/>
      <c r="D15" s="219"/>
      <c r="E15" s="219"/>
      <c r="F15" s="290"/>
      <c r="G15" s="291">
        <v>0</v>
      </c>
      <c r="H15" s="291"/>
      <c r="I15" s="291"/>
      <c r="J15" s="292"/>
      <c r="K15" s="292"/>
      <c r="L15" s="292"/>
      <c r="M15" s="292"/>
      <c r="N15" s="225"/>
    </row>
    <row r="16" spans="1:98" ht="41.4" outlineLevel="1">
      <c r="A16" s="266">
        <f>SUBTOTAL(3,$F$7:F16)</f>
        <v>9</v>
      </c>
      <c r="B16" s="225" t="s">
        <v>1093</v>
      </c>
      <c r="C16" s="224" t="s">
        <v>1078</v>
      </c>
      <c r="D16" s="224"/>
      <c r="E16" s="224" t="s">
        <v>1094</v>
      </c>
      <c r="F16" s="290" t="s">
        <v>237</v>
      </c>
      <c r="G16" s="291">
        <v>1</v>
      </c>
      <c r="H16" s="291"/>
      <c r="I16" s="291"/>
      <c r="J16" s="292"/>
      <c r="K16" s="292"/>
      <c r="L16" s="292"/>
      <c r="M16" s="292"/>
      <c r="N16" s="225"/>
    </row>
    <row r="17" spans="1:14" ht="41.4" outlineLevel="1">
      <c r="A17" s="266">
        <f>SUBTOTAL(3,$F$7:F17)</f>
        <v>10</v>
      </c>
      <c r="B17" s="225" t="s">
        <v>1095</v>
      </c>
      <c r="C17" s="224" t="s">
        <v>1078</v>
      </c>
      <c r="D17" s="224"/>
      <c r="E17" s="224" t="s">
        <v>1094</v>
      </c>
      <c r="F17" s="290" t="s">
        <v>237</v>
      </c>
      <c r="G17" s="291">
        <v>1</v>
      </c>
      <c r="H17" s="291"/>
      <c r="I17" s="291"/>
      <c r="J17" s="292"/>
      <c r="K17" s="292"/>
      <c r="L17" s="292"/>
      <c r="M17" s="292"/>
      <c r="N17" s="225"/>
    </row>
    <row r="18" spans="1:14" outlineLevel="1">
      <c r="A18" s="266">
        <f>SUBTOTAL(3,$F$7:F18)</f>
        <v>11</v>
      </c>
      <c r="B18" s="225" t="s">
        <v>1091</v>
      </c>
      <c r="C18" s="224"/>
      <c r="D18" s="224"/>
      <c r="E18" s="224"/>
      <c r="F18" s="290" t="s">
        <v>276</v>
      </c>
      <c r="G18" s="291">
        <v>1</v>
      </c>
      <c r="H18" s="291"/>
      <c r="I18" s="291"/>
      <c r="J18" s="292"/>
      <c r="K18" s="292"/>
      <c r="L18" s="292"/>
      <c r="M18" s="292"/>
      <c r="N18" s="225"/>
    </row>
    <row r="19" spans="1:14" ht="27.6">
      <c r="A19" s="289" t="s">
        <v>950</v>
      </c>
      <c r="B19" s="280" t="s">
        <v>1096</v>
      </c>
      <c r="C19" s="219"/>
      <c r="D19" s="219"/>
      <c r="E19" s="219"/>
      <c r="F19" s="290"/>
      <c r="G19" s="291">
        <v>0</v>
      </c>
      <c r="H19" s="291"/>
      <c r="I19" s="291"/>
      <c r="J19" s="292"/>
      <c r="K19" s="292"/>
      <c r="L19" s="292"/>
      <c r="M19" s="292"/>
      <c r="N19" s="225"/>
    </row>
    <row r="20" spans="1:14" ht="27.6" outlineLevel="1">
      <c r="A20" s="266">
        <f>SUBTOTAL(3,$F$7:F20)</f>
        <v>12</v>
      </c>
      <c r="B20" s="225" t="s">
        <v>1097</v>
      </c>
      <c r="C20" s="224" t="s">
        <v>1098</v>
      </c>
      <c r="D20" s="224"/>
      <c r="E20" s="224"/>
      <c r="F20" s="290" t="s">
        <v>237</v>
      </c>
      <c r="G20" s="291">
        <v>2</v>
      </c>
      <c r="H20" s="291"/>
      <c r="I20" s="291"/>
      <c r="J20" s="292"/>
      <c r="K20" s="292"/>
      <c r="L20" s="292"/>
      <c r="M20" s="292"/>
      <c r="N20" s="225"/>
    </row>
    <row r="21" spans="1:14" ht="27.6" outlineLevel="1">
      <c r="A21" s="266">
        <f>SUBTOTAL(3,$F$7:F21)</f>
        <v>13</v>
      </c>
      <c r="B21" s="294" t="s">
        <v>1099</v>
      </c>
      <c r="C21" s="224" t="s">
        <v>1098</v>
      </c>
      <c r="D21" s="224"/>
      <c r="E21" s="224"/>
      <c r="F21" s="290" t="s">
        <v>237</v>
      </c>
      <c r="G21" s="291">
        <v>2</v>
      </c>
      <c r="H21" s="291"/>
      <c r="I21" s="291"/>
      <c r="J21" s="292"/>
      <c r="K21" s="292"/>
      <c r="L21" s="292"/>
      <c r="M21" s="292"/>
      <c r="N21" s="225"/>
    </row>
    <row r="22" spans="1:14" outlineLevel="1">
      <c r="A22" s="266"/>
      <c r="B22" s="295" t="s">
        <v>1100</v>
      </c>
      <c r="C22" s="219"/>
      <c r="D22" s="219"/>
      <c r="E22" s="219"/>
      <c r="F22" s="290"/>
      <c r="G22" s="291">
        <v>0</v>
      </c>
      <c r="H22" s="291"/>
      <c r="I22" s="291"/>
      <c r="J22" s="292"/>
      <c r="K22" s="292"/>
      <c r="L22" s="292"/>
      <c r="M22" s="292"/>
      <c r="N22" s="225"/>
    </row>
    <row r="23" spans="1:14" ht="27.6" outlineLevel="1">
      <c r="A23" s="266">
        <f>SUBTOTAL(3,$F$7:F23)</f>
        <v>14</v>
      </c>
      <c r="B23" s="225" t="s">
        <v>1101</v>
      </c>
      <c r="C23" s="224" t="s">
        <v>1098</v>
      </c>
      <c r="D23" s="224"/>
      <c r="E23" s="224"/>
      <c r="F23" s="290" t="s">
        <v>570</v>
      </c>
      <c r="G23" s="291">
        <v>24</v>
      </c>
      <c r="H23" s="291"/>
      <c r="I23" s="291"/>
      <c r="J23" s="292"/>
      <c r="K23" s="292"/>
      <c r="L23" s="292"/>
      <c r="M23" s="292"/>
      <c r="N23" s="225"/>
    </row>
    <row r="24" spans="1:14" ht="27.6" outlineLevel="1">
      <c r="A24" s="266">
        <f>SUBTOTAL(3,$F$7:F24)</f>
        <v>15</v>
      </c>
      <c r="B24" s="225" t="s">
        <v>1102</v>
      </c>
      <c r="C24" s="224" t="s">
        <v>1098</v>
      </c>
      <c r="D24" s="224"/>
      <c r="E24" s="224"/>
      <c r="F24" s="290" t="s">
        <v>219</v>
      </c>
      <c r="G24" s="291">
        <v>2</v>
      </c>
      <c r="H24" s="291"/>
      <c r="I24" s="291"/>
      <c r="J24" s="292"/>
      <c r="K24" s="292"/>
      <c r="L24" s="292"/>
      <c r="M24" s="292"/>
      <c r="N24" s="225"/>
    </row>
    <row r="25" spans="1:14" ht="27.6" outlineLevel="1">
      <c r="A25" s="266">
        <f>SUBTOTAL(3,$F$7:F25)</f>
        <v>16</v>
      </c>
      <c r="B25" s="225" t="s">
        <v>1103</v>
      </c>
      <c r="C25" s="224" t="s">
        <v>1098</v>
      </c>
      <c r="D25" s="224"/>
      <c r="E25" s="224"/>
      <c r="F25" s="290" t="s">
        <v>276</v>
      </c>
      <c r="G25" s="291">
        <v>1</v>
      </c>
      <c r="H25" s="291"/>
      <c r="I25" s="291"/>
      <c r="J25" s="292"/>
      <c r="K25" s="292"/>
      <c r="L25" s="292"/>
      <c r="M25" s="292"/>
      <c r="N25" s="225"/>
    </row>
    <row r="26" spans="1:14" outlineLevel="1">
      <c r="A26" s="266"/>
      <c r="B26" s="295" t="s">
        <v>1104</v>
      </c>
      <c r="C26" s="219"/>
      <c r="D26" s="219"/>
      <c r="E26" s="219"/>
      <c r="F26" s="290"/>
      <c r="G26" s="291">
        <v>0</v>
      </c>
      <c r="H26" s="291"/>
      <c r="I26" s="291"/>
      <c r="J26" s="292"/>
      <c r="K26" s="292"/>
      <c r="L26" s="292"/>
      <c r="M26" s="292"/>
      <c r="N26" s="225"/>
    </row>
    <row r="27" spans="1:14" ht="27.6" outlineLevel="1">
      <c r="A27" s="266">
        <f>SUBTOTAL(3,$F$7:F27)</f>
        <v>17</v>
      </c>
      <c r="B27" s="225" t="s">
        <v>1105</v>
      </c>
      <c r="C27" s="224" t="s">
        <v>1098</v>
      </c>
      <c r="D27" s="224"/>
      <c r="E27" s="224"/>
      <c r="F27" s="290" t="s">
        <v>219</v>
      </c>
      <c r="G27" s="291">
        <v>1</v>
      </c>
      <c r="H27" s="291"/>
      <c r="I27" s="291"/>
      <c r="J27" s="292"/>
      <c r="K27" s="292"/>
      <c r="L27" s="292"/>
      <c r="M27" s="292"/>
      <c r="N27" s="225"/>
    </row>
    <row r="28" spans="1:14" ht="27.6" outlineLevel="1">
      <c r="A28" s="266">
        <f>SUBTOTAL(3,$F$7:F28)</f>
        <v>18</v>
      </c>
      <c r="B28" s="225" t="s">
        <v>1106</v>
      </c>
      <c r="C28" s="224" t="s">
        <v>1098</v>
      </c>
      <c r="D28" s="224"/>
      <c r="E28" s="224"/>
      <c r="F28" s="290" t="s">
        <v>219</v>
      </c>
      <c r="G28" s="291">
        <v>2</v>
      </c>
      <c r="H28" s="291"/>
      <c r="I28" s="291"/>
      <c r="J28" s="292"/>
      <c r="K28" s="292"/>
      <c r="L28" s="292"/>
      <c r="M28" s="292"/>
      <c r="N28" s="225"/>
    </row>
    <row r="29" spans="1:14" ht="27.6" outlineLevel="1">
      <c r="A29" s="266">
        <f>SUBTOTAL(3,$F$7:F29)</f>
        <v>19</v>
      </c>
      <c r="B29" s="225" t="s">
        <v>1107</v>
      </c>
      <c r="C29" s="224" t="s">
        <v>1098</v>
      </c>
      <c r="D29" s="224"/>
      <c r="E29" s="224"/>
      <c r="F29" s="290" t="s">
        <v>219</v>
      </c>
      <c r="G29" s="291">
        <v>2</v>
      </c>
      <c r="H29" s="291"/>
      <c r="I29" s="291"/>
      <c r="J29" s="292"/>
      <c r="K29" s="292"/>
      <c r="L29" s="292"/>
      <c r="M29" s="292"/>
      <c r="N29" s="225"/>
    </row>
    <row r="30" spans="1:14" ht="27.6" outlineLevel="1">
      <c r="A30" s="266">
        <f>SUBTOTAL(3,$F$7:F30)</f>
        <v>20</v>
      </c>
      <c r="B30" s="225" t="s">
        <v>1108</v>
      </c>
      <c r="C30" s="224" t="s">
        <v>1098</v>
      </c>
      <c r="D30" s="224"/>
      <c r="E30" s="224"/>
      <c r="F30" s="290" t="s">
        <v>219</v>
      </c>
      <c r="G30" s="291">
        <v>1</v>
      </c>
      <c r="H30" s="291"/>
      <c r="I30" s="291"/>
      <c r="J30" s="292"/>
      <c r="K30" s="292"/>
      <c r="L30" s="292"/>
      <c r="M30" s="292"/>
      <c r="N30" s="225"/>
    </row>
    <row r="31" spans="1:14" ht="27.6" outlineLevel="1">
      <c r="A31" s="266">
        <f>SUBTOTAL(3,$F$7:F31)</f>
        <v>21</v>
      </c>
      <c r="B31" s="225" t="s">
        <v>1109</v>
      </c>
      <c r="C31" s="224" t="s">
        <v>1098</v>
      </c>
      <c r="D31" s="224"/>
      <c r="E31" s="224"/>
      <c r="F31" s="290" t="s">
        <v>219</v>
      </c>
      <c r="G31" s="291">
        <v>2</v>
      </c>
      <c r="H31" s="291"/>
      <c r="I31" s="291"/>
      <c r="J31" s="292"/>
      <c r="K31" s="292"/>
      <c r="L31" s="292"/>
      <c r="M31" s="292"/>
      <c r="N31" s="225"/>
    </row>
    <row r="32" spans="1:14" ht="27.6" outlineLevel="1">
      <c r="A32" s="266">
        <f>SUBTOTAL(3,$F$7:F32)</f>
        <v>22</v>
      </c>
      <c r="B32" s="225" t="s">
        <v>1110</v>
      </c>
      <c r="C32" s="224" t="s">
        <v>1098</v>
      </c>
      <c r="D32" s="224"/>
      <c r="E32" s="224"/>
      <c r="F32" s="290" t="s">
        <v>219</v>
      </c>
      <c r="G32" s="291">
        <v>2</v>
      </c>
      <c r="H32" s="291"/>
      <c r="I32" s="291"/>
      <c r="J32" s="292"/>
      <c r="K32" s="292"/>
      <c r="L32" s="292"/>
      <c r="M32" s="292"/>
      <c r="N32" s="225"/>
    </row>
    <row r="33" spans="1:14" ht="27.6" outlineLevel="1">
      <c r="A33" s="266">
        <f>SUBTOTAL(3,$F$7:F33)</f>
        <v>23</v>
      </c>
      <c r="B33" s="225" t="s">
        <v>1111</v>
      </c>
      <c r="C33" s="224" t="s">
        <v>1098</v>
      </c>
      <c r="D33" s="224"/>
      <c r="E33" s="224"/>
      <c r="F33" s="290" t="s">
        <v>219</v>
      </c>
      <c r="G33" s="291">
        <v>2</v>
      </c>
      <c r="H33" s="291"/>
      <c r="I33" s="291"/>
      <c r="J33" s="292"/>
      <c r="K33" s="292"/>
      <c r="L33" s="292"/>
      <c r="M33" s="292"/>
      <c r="N33" s="225"/>
    </row>
    <row r="34" spans="1:14" ht="27.6" outlineLevel="1">
      <c r="A34" s="266">
        <f>SUBTOTAL(3,$F$7:F34)</f>
        <v>24</v>
      </c>
      <c r="B34" s="225" t="s">
        <v>1112</v>
      </c>
      <c r="C34" s="224" t="s">
        <v>1098</v>
      </c>
      <c r="D34" s="224"/>
      <c r="E34" s="224"/>
      <c r="F34" s="290" t="s">
        <v>219</v>
      </c>
      <c r="G34" s="291">
        <v>1</v>
      </c>
      <c r="H34" s="291"/>
      <c r="I34" s="291"/>
      <c r="J34" s="292"/>
      <c r="K34" s="292"/>
      <c r="L34" s="292"/>
      <c r="M34" s="292"/>
      <c r="N34" s="225"/>
    </row>
    <row r="35" spans="1:14" ht="27.6" outlineLevel="1">
      <c r="A35" s="266">
        <f>SUBTOTAL(3,$F$7:F35)</f>
        <v>25</v>
      </c>
      <c r="B35" s="225" t="s">
        <v>1113</v>
      </c>
      <c r="C35" s="224" t="s">
        <v>1098</v>
      </c>
      <c r="D35" s="224"/>
      <c r="E35" s="224"/>
      <c r="F35" s="290" t="s">
        <v>219</v>
      </c>
      <c r="G35" s="291">
        <v>1</v>
      </c>
      <c r="H35" s="291"/>
      <c r="I35" s="291"/>
      <c r="J35" s="292"/>
      <c r="K35" s="292"/>
      <c r="L35" s="292"/>
      <c r="M35" s="292"/>
      <c r="N35" s="225"/>
    </row>
    <row r="36" spans="1:14" ht="27.6" outlineLevel="1">
      <c r="A36" s="266">
        <f>SUBTOTAL(3,$F$7:F36)</f>
        <v>26</v>
      </c>
      <c r="B36" s="225" t="s">
        <v>1114</v>
      </c>
      <c r="C36" s="224" t="s">
        <v>1098</v>
      </c>
      <c r="D36" s="224"/>
      <c r="E36" s="224"/>
      <c r="F36" s="290" t="s">
        <v>276</v>
      </c>
      <c r="G36" s="291">
        <v>1</v>
      </c>
      <c r="H36" s="291"/>
      <c r="I36" s="291"/>
      <c r="J36" s="292"/>
      <c r="K36" s="292"/>
      <c r="L36" s="292"/>
      <c r="M36" s="292"/>
      <c r="N36" s="225"/>
    </row>
    <row r="37" spans="1:14" outlineLevel="1">
      <c r="A37" s="266"/>
      <c r="B37" s="295" t="s">
        <v>1115</v>
      </c>
      <c r="C37" s="219"/>
      <c r="D37" s="219"/>
      <c r="E37" s="219"/>
      <c r="F37" s="290"/>
      <c r="G37" s="291">
        <v>0</v>
      </c>
      <c r="H37" s="291"/>
      <c r="I37" s="291"/>
      <c r="J37" s="292"/>
      <c r="K37" s="292"/>
      <c r="L37" s="292"/>
      <c r="M37" s="292"/>
      <c r="N37" s="225"/>
    </row>
    <row r="38" spans="1:14" ht="27.6" outlineLevel="1">
      <c r="A38" s="266">
        <f>SUBTOTAL(3,$F$7:F38)</f>
        <v>27</v>
      </c>
      <c r="B38" s="225" t="s">
        <v>1116</v>
      </c>
      <c r="C38" s="224" t="s">
        <v>1098</v>
      </c>
      <c r="D38" s="224"/>
      <c r="E38" s="224"/>
      <c r="F38" s="290" t="s">
        <v>276</v>
      </c>
      <c r="G38" s="291">
        <v>1</v>
      </c>
      <c r="H38" s="291"/>
      <c r="I38" s="291"/>
      <c r="J38" s="292"/>
      <c r="K38" s="292"/>
      <c r="L38" s="292"/>
      <c r="M38" s="292"/>
      <c r="N38" s="225"/>
    </row>
    <row r="39" spans="1:14" outlineLevel="1">
      <c r="A39" s="266"/>
      <c r="B39" s="295" t="s">
        <v>1117</v>
      </c>
      <c r="C39" s="219"/>
      <c r="D39" s="219"/>
      <c r="E39" s="219"/>
      <c r="F39" s="290"/>
      <c r="G39" s="291">
        <v>0</v>
      </c>
      <c r="H39" s="291"/>
      <c r="I39" s="291"/>
      <c r="J39" s="292"/>
      <c r="K39" s="292"/>
      <c r="L39" s="292"/>
      <c r="M39" s="292"/>
      <c r="N39" s="225"/>
    </row>
    <row r="40" spans="1:14" ht="27.6" outlineLevel="1">
      <c r="A40" s="266">
        <f>SUBTOTAL(3,$F$7:F40)</f>
        <v>28</v>
      </c>
      <c r="B40" s="225" t="s">
        <v>1118</v>
      </c>
      <c r="C40" s="224" t="s">
        <v>1098</v>
      </c>
      <c r="D40" s="224"/>
      <c r="E40" s="224"/>
      <c r="F40" s="290" t="s">
        <v>276</v>
      </c>
      <c r="G40" s="291">
        <v>1</v>
      </c>
      <c r="H40" s="291"/>
      <c r="I40" s="291"/>
      <c r="J40" s="292"/>
      <c r="K40" s="292"/>
      <c r="L40" s="292"/>
      <c r="M40" s="292"/>
      <c r="N40" s="225"/>
    </row>
    <row r="41" spans="1:14" ht="27.6" outlineLevel="1">
      <c r="A41" s="266">
        <f>SUBTOTAL(3,$F$7:F41)</f>
        <v>29</v>
      </c>
      <c r="B41" s="225" t="s">
        <v>1119</v>
      </c>
      <c r="C41" s="224" t="s">
        <v>1098</v>
      </c>
      <c r="D41" s="224"/>
      <c r="E41" s="224"/>
      <c r="F41" s="290" t="s">
        <v>276</v>
      </c>
      <c r="G41" s="291">
        <v>1</v>
      </c>
      <c r="H41" s="291"/>
      <c r="I41" s="291"/>
      <c r="J41" s="292"/>
      <c r="K41" s="292"/>
      <c r="L41" s="292"/>
      <c r="M41" s="292"/>
      <c r="N41" s="225"/>
    </row>
    <row r="42" spans="1:14" ht="41.4" outlineLevel="1">
      <c r="A42" s="266">
        <f>SUBTOTAL(3,$F$7:F42)</f>
        <v>30</v>
      </c>
      <c r="B42" s="225" t="s">
        <v>1120</v>
      </c>
      <c r="C42" s="224" t="s">
        <v>1098</v>
      </c>
      <c r="D42" s="224"/>
      <c r="E42" s="224"/>
      <c r="F42" s="290" t="s">
        <v>276</v>
      </c>
      <c r="G42" s="291">
        <v>1</v>
      </c>
      <c r="H42" s="291"/>
      <c r="I42" s="291"/>
      <c r="J42" s="292"/>
      <c r="K42" s="292"/>
      <c r="L42" s="292"/>
      <c r="M42" s="292"/>
      <c r="N42" s="225"/>
    </row>
    <row r="43" spans="1:14" ht="27.6" outlineLevel="1">
      <c r="A43" s="266">
        <f>SUBTOTAL(3,$F$7:F43)</f>
        <v>31</v>
      </c>
      <c r="B43" s="225" t="s">
        <v>1121</v>
      </c>
      <c r="C43" s="224" t="s">
        <v>1098</v>
      </c>
      <c r="D43" s="224"/>
      <c r="E43" s="224"/>
      <c r="F43" s="290" t="s">
        <v>276</v>
      </c>
      <c r="G43" s="291">
        <v>1</v>
      </c>
      <c r="H43" s="291"/>
      <c r="I43" s="291"/>
      <c r="J43" s="292"/>
      <c r="K43" s="292"/>
      <c r="L43" s="292"/>
      <c r="M43" s="292"/>
      <c r="N43" s="225"/>
    </row>
    <row r="44" spans="1:14" ht="82.8">
      <c r="A44" s="289" t="s">
        <v>960</v>
      </c>
      <c r="B44" s="280" t="s">
        <v>1122</v>
      </c>
      <c r="C44" s="219" t="s">
        <v>1123</v>
      </c>
      <c r="D44" s="219" t="s">
        <v>1124</v>
      </c>
      <c r="E44" s="219" t="s">
        <v>1125</v>
      </c>
      <c r="F44" s="290"/>
      <c r="G44" s="291">
        <v>0</v>
      </c>
      <c r="H44" s="291"/>
      <c r="I44" s="291"/>
      <c r="J44" s="292"/>
      <c r="K44" s="292"/>
      <c r="L44" s="292"/>
      <c r="M44" s="292"/>
      <c r="N44" s="225"/>
    </row>
    <row r="45" spans="1:14" outlineLevel="1">
      <c r="A45" s="266"/>
      <c r="B45" s="295" t="s">
        <v>1126</v>
      </c>
      <c r="C45" s="219"/>
      <c r="D45" s="219"/>
      <c r="E45" s="219"/>
      <c r="F45" s="290"/>
      <c r="G45" s="291">
        <v>0</v>
      </c>
      <c r="H45" s="291"/>
      <c r="I45" s="291"/>
      <c r="J45" s="292"/>
      <c r="K45" s="292"/>
      <c r="L45" s="292"/>
      <c r="M45" s="292"/>
      <c r="N45" s="225"/>
    </row>
    <row r="46" spans="1:14" ht="69" outlineLevel="1">
      <c r="A46" s="266">
        <f>SUBTOTAL(3,$F$7:F46)</f>
        <v>32</v>
      </c>
      <c r="B46" s="225" t="s">
        <v>1127</v>
      </c>
      <c r="C46" s="224"/>
      <c r="D46" s="305" t="s">
        <v>1128</v>
      </c>
      <c r="E46" s="324" t="s">
        <v>1129</v>
      </c>
      <c r="F46" s="290" t="s">
        <v>1130</v>
      </c>
      <c r="G46" s="291">
        <v>1</v>
      </c>
      <c r="H46" s="291"/>
      <c r="I46" s="291"/>
      <c r="J46" s="292"/>
      <c r="K46" s="292"/>
      <c r="L46" s="292"/>
      <c r="M46" s="292"/>
      <c r="N46" s="225"/>
    </row>
    <row r="47" spans="1:14" ht="69" outlineLevel="1">
      <c r="A47" s="266">
        <f>SUBTOTAL(3,$F$7:F47)</f>
        <v>33</v>
      </c>
      <c r="B47" s="294" t="s">
        <v>1131</v>
      </c>
      <c r="C47" s="224"/>
      <c r="D47" s="305" t="s">
        <v>1128</v>
      </c>
      <c r="E47" s="305"/>
      <c r="F47" s="290" t="s">
        <v>1130</v>
      </c>
      <c r="G47" s="291">
        <v>1</v>
      </c>
      <c r="H47" s="291"/>
      <c r="I47" s="291"/>
      <c r="J47" s="292"/>
      <c r="K47" s="292"/>
      <c r="L47" s="292"/>
      <c r="M47" s="292"/>
      <c r="N47" s="225"/>
    </row>
    <row r="48" spans="1:14" ht="69" outlineLevel="1">
      <c r="A48" s="266">
        <f>SUBTOTAL(3,$F$7:F48)</f>
        <v>34</v>
      </c>
      <c r="B48" s="294" t="s">
        <v>1132</v>
      </c>
      <c r="C48" s="224"/>
      <c r="D48" s="305" t="s">
        <v>1128</v>
      </c>
      <c r="E48" s="305"/>
      <c r="F48" s="290" t="s">
        <v>1130</v>
      </c>
      <c r="G48" s="291">
        <v>1</v>
      </c>
      <c r="H48" s="291"/>
      <c r="I48" s="291"/>
      <c r="J48" s="292"/>
      <c r="K48" s="292"/>
      <c r="L48" s="292"/>
      <c r="M48" s="292"/>
      <c r="N48" s="225"/>
    </row>
    <row r="49" spans="1:14" ht="52.8" outlineLevel="1">
      <c r="A49" s="266">
        <f>SUBTOTAL(3,$F$7:F49)</f>
        <v>35</v>
      </c>
      <c r="B49" s="225" t="s">
        <v>1133</v>
      </c>
      <c r="C49" s="224"/>
      <c r="D49" s="224"/>
      <c r="E49" s="323" t="s">
        <v>1134</v>
      </c>
      <c r="F49" s="290" t="s">
        <v>1081</v>
      </c>
      <c r="G49" s="291">
        <v>1</v>
      </c>
      <c r="H49" s="291"/>
      <c r="I49" s="291"/>
      <c r="J49" s="292"/>
      <c r="K49" s="292"/>
      <c r="L49" s="292"/>
      <c r="M49" s="292"/>
      <c r="N49" s="225"/>
    </row>
    <row r="50" spans="1:14" ht="52.8" outlineLevel="1">
      <c r="A50" s="266">
        <f>SUBTOTAL(3,$F$7:F50)</f>
        <v>36</v>
      </c>
      <c r="B50" s="225" t="s">
        <v>1135</v>
      </c>
      <c r="C50" s="224"/>
      <c r="D50" s="224"/>
      <c r="E50" s="323" t="s">
        <v>1134</v>
      </c>
      <c r="F50" s="290" t="s">
        <v>1081</v>
      </c>
      <c r="G50" s="291">
        <v>1</v>
      </c>
      <c r="H50" s="291"/>
      <c r="I50" s="291"/>
      <c r="J50" s="292"/>
      <c r="K50" s="292"/>
      <c r="L50" s="292"/>
      <c r="M50" s="292"/>
      <c r="N50" s="225"/>
    </row>
    <row r="51" spans="1:14" ht="52.8" outlineLevel="1">
      <c r="A51" s="266">
        <f>SUBTOTAL(3,$F$7:F51)</f>
        <v>37</v>
      </c>
      <c r="B51" s="225" t="s">
        <v>1136</v>
      </c>
      <c r="C51" s="224"/>
      <c r="D51" s="224"/>
      <c r="E51" s="323" t="s">
        <v>1134</v>
      </c>
      <c r="F51" s="290" t="s">
        <v>1081</v>
      </c>
      <c r="G51" s="291">
        <v>1</v>
      </c>
      <c r="H51" s="291"/>
      <c r="I51" s="291"/>
      <c r="J51" s="292"/>
      <c r="K51" s="292"/>
      <c r="L51" s="292"/>
      <c r="M51" s="292"/>
      <c r="N51" s="225"/>
    </row>
    <row r="52" spans="1:14" ht="52.8" outlineLevel="1">
      <c r="A52" s="266">
        <f>SUBTOTAL(3,$F$7:F52)</f>
        <v>38</v>
      </c>
      <c r="B52" s="225" t="s">
        <v>1137</v>
      </c>
      <c r="C52" s="224"/>
      <c r="D52" s="224"/>
      <c r="E52" s="323" t="s">
        <v>1134</v>
      </c>
      <c r="F52" s="290" t="s">
        <v>1081</v>
      </c>
      <c r="G52" s="291">
        <v>1</v>
      </c>
      <c r="H52" s="291"/>
      <c r="I52" s="291"/>
      <c r="J52" s="292"/>
      <c r="K52" s="292"/>
      <c r="L52" s="292"/>
      <c r="M52" s="292"/>
      <c r="N52" s="225"/>
    </row>
    <row r="53" spans="1:14" ht="52.8" outlineLevel="1">
      <c r="A53" s="266">
        <f>SUBTOTAL(3,$F$7:F53)</f>
        <v>39</v>
      </c>
      <c r="B53" s="225" t="s">
        <v>1138</v>
      </c>
      <c r="C53" s="224"/>
      <c r="D53" s="224"/>
      <c r="E53" s="323" t="s">
        <v>1134</v>
      </c>
      <c r="F53" s="290" t="s">
        <v>1081</v>
      </c>
      <c r="G53" s="291">
        <v>1</v>
      </c>
      <c r="H53" s="291"/>
      <c r="I53" s="291"/>
      <c r="J53" s="292"/>
      <c r="K53" s="292"/>
      <c r="L53" s="292"/>
      <c r="M53" s="292"/>
      <c r="N53" s="225"/>
    </row>
    <row r="54" spans="1:14" ht="52.8" outlineLevel="1">
      <c r="A54" s="266">
        <f>SUBTOTAL(3,$F$7:F54)</f>
        <v>40</v>
      </c>
      <c r="B54" s="225" t="s">
        <v>1139</v>
      </c>
      <c r="C54" s="224"/>
      <c r="D54" s="224"/>
      <c r="E54" s="323" t="s">
        <v>1134</v>
      </c>
      <c r="F54" s="290" t="s">
        <v>1081</v>
      </c>
      <c r="G54" s="291">
        <v>1</v>
      </c>
      <c r="H54" s="291"/>
      <c r="I54" s="291"/>
      <c r="J54" s="292"/>
      <c r="K54" s="292"/>
      <c r="L54" s="292"/>
      <c r="M54" s="292"/>
      <c r="N54" s="225"/>
    </row>
    <row r="55" spans="1:14" ht="52.8" outlineLevel="1">
      <c r="A55" s="266">
        <f>SUBTOTAL(3,$F$7:F55)</f>
        <v>41</v>
      </c>
      <c r="B55" s="225" t="s">
        <v>1140</v>
      </c>
      <c r="C55" s="224"/>
      <c r="D55" s="224"/>
      <c r="E55" s="323" t="s">
        <v>1134</v>
      </c>
      <c r="F55" s="290" t="s">
        <v>1081</v>
      </c>
      <c r="G55" s="291">
        <v>1</v>
      </c>
      <c r="H55" s="291"/>
      <c r="I55" s="291"/>
      <c r="J55" s="292"/>
      <c r="K55" s="292"/>
      <c r="L55" s="292"/>
      <c r="M55" s="292"/>
      <c r="N55" s="225"/>
    </row>
    <row r="56" spans="1:14" ht="52.8" outlineLevel="1">
      <c r="A56" s="266">
        <f>SUBTOTAL(3,$F$7:F56)</f>
        <v>42</v>
      </c>
      <c r="B56" s="225" t="s">
        <v>1141</v>
      </c>
      <c r="C56" s="224"/>
      <c r="D56" s="224"/>
      <c r="E56" s="323" t="s">
        <v>1134</v>
      </c>
      <c r="F56" s="290" t="s">
        <v>1081</v>
      </c>
      <c r="G56" s="291">
        <v>1</v>
      </c>
      <c r="H56" s="291"/>
      <c r="I56" s="291"/>
      <c r="J56" s="292"/>
      <c r="K56" s="292"/>
      <c r="L56" s="292"/>
      <c r="M56" s="292"/>
      <c r="N56" s="225"/>
    </row>
    <row r="57" spans="1:14" outlineLevel="1">
      <c r="A57" s="266">
        <f>SUBTOTAL(3,$F$7:F57)</f>
        <v>43</v>
      </c>
      <c r="B57" s="225" t="s">
        <v>1142</v>
      </c>
      <c r="C57" s="224"/>
      <c r="D57" s="224"/>
      <c r="E57" s="224"/>
      <c r="F57" s="290" t="s">
        <v>1081</v>
      </c>
      <c r="G57" s="291">
        <v>1</v>
      </c>
      <c r="H57" s="291"/>
      <c r="I57" s="291"/>
      <c r="J57" s="292"/>
      <c r="K57" s="292"/>
      <c r="L57" s="292"/>
      <c r="M57" s="292"/>
      <c r="N57" s="225"/>
    </row>
    <row r="58" spans="1:14" ht="52.8" outlineLevel="1">
      <c r="A58" s="266">
        <f>SUBTOTAL(3,$F$7:F58)</f>
        <v>44</v>
      </c>
      <c r="B58" s="225" t="s">
        <v>1143</v>
      </c>
      <c r="C58" s="224"/>
      <c r="D58" s="224"/>
      <c r="E58" s="323" t="s">
        <v>1134</v>
      </c>
      <c r="F58" s="290" t="s">
        <v>1081</v>
      </c>
      <c r="G58" s="291">
        <v>1</v>
      </c>
      <c r="H58" s="291"/>
      <c r="I58" s="291"/>
      <c r="J58" s="292"/>
      <c r="K58" s="292"/>
      <c r="L58" s="292"/>
      <c r="M58" s="292"/>
      <c r="N58" s="225"/>
    </row>
    <row r="59" spans="1:14" outlineLevel="1">
      <c r="A59" s="266">
        <f>SUBTOTAL(3,$F$7:F59)</f>
        <v>45</v>
      </c>
      <c r="B59" s="225" t="s">
        <v>1144</v>
      </c>
      <c r="C59" s="224"/>
      <c r="D59" s="224"/>
      <c r="E59" s="224"/>
      <c r="F59" s="290" t="s">
        <v>1081</v>
      </c>
      <c r="G59" s="291">
        <v>1</v>
      </c>
      <c r="H59" s="291"/>
      <c r="I59" s="291"/>
      <c r="J59" s="292"/>
      <c r="K59" s="292"/>
      <c r="L59" s="292"/>
      <c r="M59" s="292"/>
      <c r="N59" s="225"/>
    </row>
    <row r="60" spans="1:14" outlineLevel="1">
      <c r="A60" s="266">
        <f>SUBTOTAL(3,$F$7:F60)</f>
        <v>46</v>
      </c>
      <c r="B60" s="225" t="s">
        <v>1145</v>
      </c>
      <c r="C60" s="224"/>
      <c r="D60" s="224"/>
      <c r="E60" s="224"/>
      <c r="F60" s="290" t="s">
        <v>1081</v>
      </c>
      <c r="G60" s="291">
        <v>1</v>
      </c>
      <c r="H60" s="291"/>
      <c r="I60" s="291"/>
      <c r="J60" s="292"/>
      <c r="K60" s="292"/>
      <c r="L60" s="292"/>
      <c r="M60" s="292"/>
      <c r="N60" s="225"/>
    </row>
    <row r="61" spans="1:14" outlineLevel="1">
      <c r="A61" s="266">
        <f>SUBTOTAL(3,$F$7:F61)</f>
        <v>47</v>
      </c>
      <c r="B61" s="225" t="s">
        <v>1146</v>
      </c>
      <c r="C61" s="224"/>
      <c r="D61" s="224"/>
      <c r="E61" s="224"/>
      <c r="F61" s="290" t="s">
        <v>1081</v>
      </c>
      <c r="G61" s="291">
        <v>1</v>
      </c>
      <c r="H61" s="291"/>
      <c r="I61" s="291"/>
      <c r="J61" s="292"/>
      <c r="K61" s="292"/>
      <c r="L61" s="292"/>
      <c r="M61" s="292"/>
      <c r="N61" s="225"/>
    </row>
    <row r="62" spans="1:14" ht="52.8" outlineLevel="1">
      <c r="A62" s="266">
        <f>SUBTOTAL(3,$F$7:F62)</f>
        <v>48</v>
      </c>
      <c r="B62" s="225" t="s">
        <v>1147</v>
      </c>
      <c r="C62" s="224"/>
      <c r="D62" s="224"/>
      <c r="E62" s="323" t="s">
        <v>1134</v>
      </c>
      <c r="F62" s="290" t="s">
        <v>1081</v>
      </c>
      <c r="G62" s="291">
        <v>1</v>
      </c>
      <c r="H62" s="291"/>
      <c r="I62" s="291"/>
      <c r="J62" s="292"/>
      <c r="K62" s="292"/>
      <c r="L62" s="292"/>
      <c r="M62" s="292"/>
      <c r="N62" s="225"/>
    </row>
    <row r="63" spans="1:14" ht="52.8" outlineLevel="1">
      <c r="A63" s="266">
        <f>SUBTOTAL(3,$F$7:F63)</f>
        <v>49</v>
      </c>
      <c r="B63" s="225" t="s">
        <v>1148</v>
      </c>
      <c r="C63" s="224"/>
      <c r="D63" s="224"/>
      <c r="E63" s="323" t="s">
        <v>1134</v>
      </c>
      <c r="F63" s="290" t="s">
        <v>1081</v>
      </c>
      <c r="G63" s="291">
        <v>1</v>
      </c>
      <c r="H63" s="291"/>
      <c r="I63" s="291"/>
      <c r="J63" s="292"/>
      <c r="K63" s="292"/>
      <c r="L63" s="292"/>
      <c r="M63" s="292"/>
      <c r="N63" s="225"/>
    </row>
    <row r="64" spans="1:14" ht="52.8" outlineLevel="1">
      <c r="A64" s="266">
        <f>SUBTOTAL(3,$F$7:F64)</f>
        <v>50</v>
      </c>
      <c r="B64" s="225" t="s">
        <v>1149</v>
      </c>
      <c r="C64" s="224"/>
      <c r="D64" s="224"/>
      <c r="E64" s="323" t="s">
        <v>1134</v>
      </c>
      <c r="F64" s="290" t="s">
        <v>1081</v>
      </c>
      <c r="G64" s="291">
        <v>1</v>
      </c>
      <c r="H64" s="291"/>
      <c r="I64" s="291"/>
      <c r="J64" s="292"/>
      <c r="K64" s="292"/>
      <c r="L64" s="292"/>
      <c r="M64" s="292"/>
      <c r="N64" s="225"/>
    </row>
    <row r="65" spans="1:14" outlineLevel="1">
      <c r="A65" s="266">
        <f>SUBTOTAL(3,$F$7:F65)</f>
        <v>51</v>
      </c>
      <c r="B65" s="225" t="s">
        <v>1150</v>
      </c>
      <c r="C65" s="224"/>
      <c r="D65" s="224"/>
      <c r="E65" s="224"/>
      <c r="F65" s="290" t="s">
        <v>1081</v>
      </c>
      <c r="G65" s="291">
        <v>1</v>
      </c>
      <c r="H65" s="291"/>
      <c r="I65" s="291"/>
      <c r="J65" s="292"/>
      <c r="K65" s="292"/>
      <c r="L65" s="292"/>
      <c r="M65" s="292"/>
      <c r="N65" s="225"/>
    </row>
    <row r="66" spans="1:14" ht="52.8" outlineLevel="1">
      <c r="A66" s="266">
        <f>SUBTOTAL(3,$F$7:F66)</f>
        <v>52</v>
      </c>
      <c r="B66" s="225" t="s">
        <v>1151</v>
      </c>
      <c r="C66" s="224"/>
      <c r="D66" s="224"/>
      <c r="E66" s="323" t="s">
        <v>1134</v>
      </c>
      <c r="F66" s="290" t="s">
        <v>1081</v>
      </c>
      <c r="G66" s="291">
        <v>1</v>
      </c>
      <c r="H66" s="291"/>
      <c r="I66" s="291"/>
      <c r="J66" s="292"/>
      <c r="K66" s="292"/>
      <c r="L66" s="292"/>
      <c r="M66" s="292"/>
      <c r="N66" s="225"/>
    </row>
    <row r="67" spans="1:14" ht="52.8" outlineLevel="1">
      <c r="A67" s="266">
        <f>SUBTOTAL(3,$F$7:F67)</f>
        <v>53</v>
      </c>
      <c r="B67" s="225" t="s">
        <v>1152</v>
      </c>
      <c r="C67" s="224"/>
      <c r="D67" s="224"/>
      <c r="E67" s="323" t="s">
        <v>1134</v>
      </c>
      <c r="F67" s="290" t="s">
        <v>1081</v>
      </c>
      <c r="G67" s="291">
        <v>1</v>
      </c>
      <c r="H67" s="291"/>
      <c r="I67" s="291"/>
      <c r="J67" s="292"/>
      <c r="K67" s="292"/>
      <c r="L67" s="292"/>
      <c r="M67" s="292"/>
      <c r="N67" s="225"/>
    </row>
    <row r="68" spans="1:14" ht="52.8" outlineLevel="1">
      <c r="A68" s="266">
        <f>SUBTOTAL(3,$F$7:F68)</f>
        <v>54</v>
      </c>
      <c r="B68" s="225" t="s">
        <v>1153</v>
      </c>
      <c r="C68" s="224"/>
      <c r="D68" s="224"/>
      <c r="E68" s="323" t="s">
        <v>1134</v>
      </c>
      <c r="F68" s="290" t="s">
        <v>1081</v>
      </c>
      <c r="G68" s="291">
        <v>1</v>
      </c>
      <c r="H68" s="291"/>
      <c r="I68" s="291"/>
      <c r="J68" s="292"/>
      <c r="K68" s="292"/>
      <c r="L68" s="292"/>
      <c r="M68" s="292"/>
      <c r="N68" s="225"/>
    </row>
    <row r="69" spans="1:14" ht="52.8" outlineLevel="1">
      <c r="A69" s="266">
        <f>SUBTOTAL(3,$F$7:F69)</f>
        <v>55</v>
      </c>
      <c r="B69" s="225" t="s">
        <v>1154</v>
      </c>
      <c r="C69" s="224"/>
      <c r="D69" s="224"/>
      <c r="E69" s="323" t="s">
        <v>1134</v>
      </c>
      <c r="F69" s="290" t="s">
        <v>1081</v>
      </c>
      <c r="G69" s="291">
        <v>1</v>
      </c>
      <c r="H69" s="291"/>
      <c r="I69" s="291"/>
      <c r="J69" s="292"/>
      <c r="K69" s="292"/>
      <c r="L69" s="292"/>
      <c r="M69" s="292"/>
      <c r="N69" s="225"/>
    </row>
    <row r="70" spans="1:14" ht="52.8" outlineLevel="1">
      <c r="A70" s="266">
        <f>SUBTOTAL(3,$F$7:F70)</f>
        <v>56</v>
      </c>
      <c r="B70" s="225" t="s">
        <v>1155</v>
      </c>
      <c r="C70" s="224"/>
      <c r="D70" s="224"/>
      <c r="E70" s="323" t="s">
        <v>1134</v>
      </c>
      <c r="F70" s="290" t="s">
        <v>1081</v>
      </c>
      <c r="G70" s="291">
        <v>1</v>
      </c>
      <c r="H70" s="291"/>
      <c r="I70" s="291"/>
      <c r="J70" s="292"/>
      <c r="K70" s="292"/>
      <c r="L70" s="292"/>
      <c r="M70" s="292"/>
      <c r="N70" s="225"/>
    </row>
    <row r="71" spans="1:14" ht="52.8" outlineLevel="1">
      <c r="A71" s="266">
        <f>SUBTOTAL(3,$F$7:F71)</f>
        <v>57</v>
      </c>
      <c r="B71" s="225" t="s">
        <v>1156</v>
      </c>
      <c r="C71" s="224"/>
      <c r="D71" s="224"/>
      <c r="E71" s="323" t="s">
        <v>1134</v>
      </c>
      <c r="F71" s="290" t="s">
        <v>1081</v>
      </c>
      <c r="G71" s="291">
        <v>1</v>
      </c>
      <c r="H71" s="291"/>
      <c r="I71" s="291"/>
      <c r="J71" s="292"/>
      <c r="K71" s="292"/>
      <c r="L71" s="292"/>
      <c r="M71" s="292"/>
      <c r="N71" s="225"/>
    </row>
    <row r="72" spans="1:14" ht="52.8" outlineLevel="1">
      <c r="A72" s="266">
        <f>SUBTOTAL(3,$F$7:F72)</f>
        <v>58</v>
      </c>
      <c r="B72" s="225" t="s">
        <v>1157</v>
      </c>
      <c r="C72" s="224"/>
      <c r="D72" s="224"/>
      <c r="E72" s="323" t="s">
        <v>1134</v>
      </c>
      <c r="F72" s="290" t="s">
        <v>1081</v>
      </c>
      <c r="G72" s="291">
        <v>1</v>
      </c>
      <c r="H72" s="291"/>
      <c r="I72" s="291"/>
      <c r="J72" s="292"/>
      <c r="K72" s="292"/>
      <c r="L72" s="292"/>
      <c r="M72" s="292"/>
      <c r="N72" s="225"/>
    </row>
    <row r="73" spans="1:14" ht="52.8" outlineLevel="1">
      <c r="A73" s="266">
        <f>SUBTOTAL(3,$F$7:F73)</f>
        <v>59</v>
      </c>
      <c r="B73" s="225" t="s">
        <v>1158</v>
      </c>
      <c r="C73" s="224"/>
      <c r="D73" s="224"/>
      <c r="E73" s="323" t="s">
        <v>1134</v>
      </c>
      <c r="F73" s="290" t="s">
        <v>1081</v>
      </c>
      <c r="G73" s="291">
        <v>1</v>
      </c>
      <c r="H73" s="291"/>
      <c r="I73" s="291"/>
      <c r="J73" s="292"/>
      <c r="K73" s="292"/>
      <c r="L73" s="292"/>
      <c r="M73" s="292"/>
      <c r="N73" s="225"/>
    </row>
    <row r="74" spans="1:14" outlineLevel="1">
      <c r="A74" s="266">
        <f>SUBTOTAL(3,$F$7:F74)</f>
        <v>60</v>
      </c>
      <c r="B74" s="225" t="s">
        <v>1159</v>
      </c>
      <c r="C74" s="224"/>
      <c r="D74" s="224"/>
      <c r="E74" s="224"/>
      <c r="F74" s="290" t="s">
        <v>1081</v>
      </c>
      <c r="G74" s="291">
        <v>1</v>
      </c>
      <c r="H74" s="291"/>
      <c r="I74" s="291"/>
      <c r="J74" s="292"/>
      <c r="K74" s="292"/>
      <c r="L74" s="292"/>
      <c r="M74" s="292"/>
      <c r="N74" s="225"/>
    </row>
    <row r="75" spans="1:14" outlineLevel="1">
      <c r="A75" s="266">
        <f>SUBTOTAL(3,$F$7:F75)</f>
        <v>61</v>
      </c>
      <c r="B75" s="225" t="s">
        <v>1160</v>
      </c>
      <c r="C75" s="224"/>
      <c r="D75" s="224"/>
      <c r="E75" s="224"/>
      <c r="F75" s="290" t="s">
        <v>1081</v>
      </c>
      <c r="G75" s="291">
        <v>1</v>
      </c>
      <c r="H75" s="291"/>
      <c r="I75" s="291"/>
      <c r="J75" s="292"/>
      <c r="K75" s="292"/>
      <c r="L75" s="292"/>
      <c r="M75" s="292"/>
      <c r="N75" s="225"/>
    </row>
    <row r="76" spans="1:14" outlineLevel="1">
      <c r="A76" s="266">
        <f>SUBTOTAL(3,$F$7:F76)</f>
        <v>62</v>
      </c>
      <c r="B76" s="225" t="s">
        <v>1161</v>
      </c>
      <c r="C76" s="224"/>
      <c r="D76" s="224"/>
      <c r="E76" s="224"/>
      <c r="F76" s="290" t="s">
        <v>1081</v>
      </c>
      <c r="G76" s="291">
        <v>1</v>
      </c>
      <c r="H76" s="291"/>
      <c r="I76" s="291"/>
      <c r="J76" s="292"/>
      <c r="K76" s="292"/>
      <c r="L76" s="292"/>
      <c r="M76" s="292"/>
      <c r="N76" s="225"/>
    </row>
    <row r="77" spans="1:14" outlineLevel="1">
      <c r="A77" s="266">
        <f>SUBTOTAL(3,$F$7:F77)</f>
        <v>63</v>
      </c>
      <c r="B77" s="225" t="s">
        <v>1162</v>
      </c>
      <c r="C77" s="224"/>
      <c r="D77" s="224"/>
      <c r="E77" s="224"/>
      <c r="F77" s="290" t="s">
        <v>1081</v>
      </c>
      <c r="G77" s="291">
        <v>1</v>
      </c>
      <c r="H77" s="291"/>
      <c r="I77" s="291"/>
      <c r="J77" s="292"/>
      <c r="K77" s="292"/>
      <c r="L77" s="292"/>
      <c r="M77" s="292"/>
      <c r="N77" s="225"/>
    </row>
    <row r="78" spans="1:14" outlineLevel="1">
      <c r="A78" s="266">
        <f>SUBTOTAL(3,$F$7:F78)</f>
        <v>64</v>
      </c>
      <c r="B78" s="225" t="s">
        <v>1163</v>
      </c>
      <c r="C78" s="224"/>
      <c r="D78" s="224"/>
      <c r="E78" s="224"/>
      <c r="F78" s="290" t="s">
        <v>1081</v>
      </c>
      <c r="G78" s="291">
        <v>1</v>
      </c>
      <c r="H78" s="291"/>
      <c r="I78" s="291"/>
      <c r="J78" s="292"/>
      <c r="K78" s="292"/>
      <c r="L78" s="292"/>
      <c r="M78" s="292"/>
      <c r="N78" s="225"/>
    </row>
    <row r="79" spans="1:14" outlineLevel="1">
      <c r="A79" s="266"/>
      <c r="B79" s="295" t="s">
        <v>1164</v>
      </c>
      <c r="C79" s="219"/>
      <c r="D79" s="219"/>
      <c r="E79" s="219"/>
      <c r="F79" s="290"/>
      <c r="G79" s="291">
        <v>0</v>
      </c>
      <c r="H79" s="291"/>
      <c r="I79" s="291"/>
      <c r="J79" s="292"/>
      <c r="K79" s="292"/>
      <c r="L79" s="292"/>
      <c r="M79" s="292"/>
      <c r="N79" s="225"/>
    </row>
    <row r="80" spans="1:14" ht="52.8" outlineLevel="1">
      <c r="A80" s="266">
        <f>SUBTOTAL(3,$F$7:F80)</f>
        <v>65</v>
      </c>
      <c r="B80" s="225" t="s">
        <v>1165</v>
      </c>
      <c r="C80" s="224"/>
      <c r="D80" s="224"/>
      <c r="E80" s="323" t="s">
        <v>1134</v>
      </c>
      <c r="F80" s="290" t="s">
        <v>1081</v>
      </c>
      <c r="G80" s="291">
        <v>1</v>
      </c>
      <c r="H80" s="291"/>
      <c r="I80" s="291"/>
      <c r="J80" s="292"/>
      <c r="K80" s="292"/>
      <c r="L80" s="292"/>
      <c r="M80" s="292"/>
      <c r="N80" s="225"/>
    </row>
    <row r="81" spans="1:14" ht="52.8" outlineLevel="1">
      <c r="A81" s="266">
        <f>SUBTOTAL(3,$F$7:F81)</f>
        <v>66</v>
      </c>
      <c r="B81" s="225" t="s">
        <v>1166</v>
      </c>
      <c r="C81" s="224"/>
      <c r="D81" s="224"/>
      <c r="E81" s="323" t="s">
        <v>1134</v>
      </c>
      <c r="F81" s="290" t="s">
        <v>1081</v>
      </c>
      <c r="G81" s="291">
        <v>1</v>
      </c>
      <c r="H81" s="291"/>
      <c r="I81" s="291"/>
      <c r="J81" s="292"/>
      <c r="K81" s="292"/>
      <c r="L81" s="292"/>
      <c r="M81" s="292"/>
      <c r="N81" s="225"/>
    </row>
    <row r="82" spans="1:14" ht="52.8" outlineLevel="1">
      <c r="A82" s="266">
        <f>SUBTOTAL(3,$F$7:F82)</f>
        <v>67</v>
      </c>
      <c r="B82" s="225" t="s">
        <v>1167</v>
      </c>
      <c r="C82" s="224"/>
      <c r="D82" s="224"/>
      <c r="E82" s="323" t="s">
        <v>1134</v>
      </c>
      <c r="F82" s="290" t="s">
        <v>1081</v>
      </c>
      <c r="G82" s="291">
        <v>1</v>
      </c>
      <c r="H82" s="291"/>
      <c r="I82" s="291"/>
      <c r="J82" s="292"/>
      <c r="K82" s="292"/>
      <c r="L82" s="292"/>
      <c r="M82" s="292"/>
      <c r="N82" s="225"/>
    </row>
    <row r="83" spans="1:14" ht="52.8" outlineLevel="1">
      <c r="A83" s="266">
        <f>SUBTOTAL(3,$F$7:F83)</f>
        <v>68</v>
      </c>
      <c r="B83" s="225" t="s">
        <v>1168</v>
      </c>
      <c r="C83" s="224"/>
      <c r="D83" s="224"/>
      <c r="E83" s="323" t="s">
        <v>1134</v>
      </c>
      <c r="F83" s="290" t="s">
        <v>1081</v>
      </c>
      <c r="G83" s="291">
        <v>1</v>
      </c>
      <c r="H83" s="291"/>
      <c r="I83" s="291"/>
      <c r="J83" s="292"/>
      <c r="K83" s="292"/>
      <c r="L83" s="292"/>
      <c r="M83" s="292"/>
      <c r="N83" s="225"/>
    </row>
    <row r="84" spans="1:14" ht="52.8" outlineLevel="1">
      <c r="A84" s="266">
        <f>SUBTOTAL(3,$F$7:F84)</f>
        <v>69</v>
      </c>
      <c r="B84" s="225" t="s">
        <v>1169</v>
      </c>
      <c r="C84" s="224"/>
      <c r="D84" s="224"/>
      <c r="E84" s="323" t="s">
        <v>1134</v>
      </c>
      <c r="F84" s="290" t="s">
        <v>1081</v>
      </c>
      <c r="G84" s="291">
        <v>1</v>
      </c>
      <c r="H84" s="291"/>
      <c r="I84" s="291"/>
      <c r="J84" s="292"/>
      <c r="K84" s="292"/>
      <c r="L84" s="292"/>
      <c r="M84" s="292"/>
      <c r="N84" s="225"/>
    </row>
    <row r="85" spans="1:14" ht="52.8" outlineLevel="1">
      <c r="A85" s="266">
        <f>SUBTOTAL(3,$F$7:F85)</f>
        <v>70</v>
      </c>
      <c r="B85" s="225" t="s">
        <v>1170</v>
      </c>
      <c r="C85" s="224"/>
      <c r="D85" s="224"/>
      <c r="E85" s="323" t="s">
        <v>1134</v>
      </c>
      <c r="F85" s="290" t="s">
        <v>1081</v>
      </c>
      <c r="G85" s="291">
        <v>1</v>
      </c>
      <c r="H85" s="291"/>
      <c r="I85" s="291"/>
      <c r="J85" s="292"/>
      <c r="K85" s="292"/>
      <c r="L85" s="292"/>
      <c r="M85" s="292"/>
      <c r="N85" s="225"/>
    </row>
    <row r="86" spans="1:14" ht="52.8" outlineLevel="1">
      <c r="A86" s="266">
        <f>SUBTOTAL(3,$F$7:F86)</f>
        <v>71</v>
      </c>
      <c r="B86" s="225" t="s">
        <v>1171</v>
      </c>
      <c r="C86" s="224"/>
      <c r="D86" s="224"/>
      <c r="E86" s="323" t="s">
        <v>1134</v>
      </c>
      <c r="F86" s="290" t="s">
        <v>1081</v>
      </c>
      <c r="G86" s="291">
        <v>1</v>
      </c>
      <c r="H86" s="291"/>
      <c r="I86" s="291"/>
      <c r="J86" s="292"/>
      <c r="K86" s="292"/>
      <c r="L86" s="292"/>
      <c r="M86" s="292"/>
      <c r="N86" s="225"/>
    </row>
    <row r="87" spans="1:14" ht="52.8" outlineLevel="1">
      <c r="A87" s="266">
        <f>SUBTOTAL(3,$F$7:F87)</f>
        <v>72</v>
      </c>
      <c r="B87" s="225" t="s">
        <v>1172</v>
      </c>
      <c r="C87" s="224"/>
      <c r="D87" s="224"/>
      <c r="E87" s="323" t="s">
        <v>1134</v>
      </c>
      <c r="F87" s="290" t="s">
        <v>1081</v>
      </c>
      <c r="G87" s="291">
        <v>1</v>
      </c>
      <c r="H87" s="291"/>
      <c r="I87" s="291"/>
      <c r="J87" s="292"/>
      <c r="K87" s="292"/>
      <c r="L87" s="292"/>
      <c r="M87" s="292"/>
      <c r="N87" s="225"/>
    </row>
    <row r="88" spans="1:14" ht="52.8" outlineLevel="1">
      <c r="A88" s="266">
        <f>SUBTOTAL(3,$F$7:F88)</f>
        <v>73</v>
      </c>
      <c r="B88" s="225" t="s">
        <v>1173</v>
      </c>
      <c r="C88" s="224"/>
      <c r="D88" s="224"/>
      <c r="E88" s="323" t="s">
        <v>1134</v>
      </c>
      <c r="F88" s="290" t="s">
        <v>1081</v>
      </c>
      <c r="G88" s="291">
        <v>1</v>
      </c>
      <c r="H88" s="291"/>
      <c r="I88" s="291"/>
      <c r="J88" s="292"/>
      <c r="K88" s="292"/>
      <c r="L88" s="292"/>
      <c r="M88" s="292"/>
      <c r="N88" s="225"/>
    </row>
    <row r="89" spans="1:14" ht="52.8" outlineLevel="1">
      <c r="A89" s="266">
        <f>SUBTOTAL(3,$F$7:F89)</f>
        <v>74</v>
      </c>
      <c r="B89" s="225" t="s">
        <v>1174</v>
      </c>
      <c r="C89" s="224"/>
      <c r="D89" s="224"/>
      <c r="E89" s="323" t="s">
        <v>1134</v>
      </c>
      <c r="F89" s="290" t="s">
        <v>1081</v>
      </c>
      <c r="G89" s="291">
        <v>1</v>
      </c>
      <c r="H89" s="291"/>
      <c r="I89" s="291"/>
      <c r="J89" s="292"/>
      <c r="K89" s="292"/>
      <c r="L89" s="292"/>
      <c r="M89" s="292"/>
      <c r="N89" s="225"/>
    </row>
    <row r="90" spans="1:14" ht="52.8" outlineLevel="1">
      <c r="A90" s="266">
        <f>SUBTOTAL(3,$F$7:F90)</f>
        <v>75</v>
      </c>
      <c r="B90" s="225" t="s">
        <v>1175</v>
      </c>
      <c r="C90" s="224"/>
      <c r="D90" s="224"/>
      <c r="E90" s="323" t="s">
        <v>1134</v>
      </c>
      <c r="F90" s="290" t="s">
        <v>1081</v>
      </c>
      <c r="G90" s="291">
        <v>1</v>
      </c>
      <c r="H90" s="291"/>
      <c r="I90" s="291"/>
      <c r="J90" s="292"/>
      <c r="K90" s="292"/>
      <c r="L90" s="292"/>
      <c r="M90" s="292"/>
      <c r="N90" s="225"/>
    </row>
    <row r="91" spans="1:14" ht="52.8" outlineLevel="1">
      <c r="A91" s="266">
        <f>SUBTOTAL(3,$F$7:F91)</f>
        <v>76</v>
      </c>
      <c r="B91" s="225" t="s">
        <v>1176</v>
      </c>
      <c r="C91" s="224"/>
      <c r="D91" s="224"/>
      <c r="E91" s="323" t="s">
        <v>1134</v>
      </c>
      <c r="F91" s="290" t="s">
        <v>1081</v>
      </c>
      <c r="G91" s="291">
        <v>1</v>
      </c>
      <c r="H91" s="291"/>
      <c r="I91" s="291"/>
      <c r="J91" s="292"/>
      <c r="K91" s="292"/>
      <c r="L91" s="292"/>
      <c r="M91" s="292"/>
      <c r="N91" s="225"/>
    </row>
    <row r="92" spans="1:14" ht="52.8" outlineLevel="1">
      <c r="A92" s="266">
        <f>SUBTOTAL(3,$F$7:F92)</f>
        <v>77</v>
      </c>
      <c r="B92" s="225" t="s">
        <v>1177</v>
      </c>
      <c r="C92" s="224"/>
      <c r="D92" s="224"/>
      <c r="E92" s="323" t="s">
        <v>1134</v>
      </c>
      <c r="F92" s="290" t="s">
        <v>1081</v>
      </c>
      <c r="G92" s="291">
        <v>1</v>
      </c>
      <c r="H92" s="291"/>
      <c r="I92" s="291"/>
      <c r="J92" s="292"/>
      <c r="K92" s="292"/>
      <c r="L92" s="292"/>
      <c r="M92" s="292"/>
      <c r="N92" s="225"/>
    </row>
    <row r="93" spans="1:14" ht="52.8" outlineLevel="1">
      <c r="A93" s="266">
        <f>SUBTOTAL(3,$F$7:F93)</f>
        <v>78</v>
      </c>
      <c r="B93" s="225" t="s">
        <v>1178</v>
      </c>
      <c r="C93" s="224"/>
      <c r="D93" s="224"/>
      <c r="E93" s="323" t="s">
        <v>1134</v>
      </c>
      <c r="F93" s="290" t="s">
        <v>1081</v>
      </c>
      <c r="G93" s="291">
        <v>1</v>
      </c>
      <c r="H93" s="291"/>
      <c r="I93" s="291"/>
      <c r="J93" s="292"/>
      <c r="K93" s="292"/>
      <c r="L93" s="292"/>
      <c r="M93" s="292"/>
      <c r="N93" s="225"/>
    </row>
    <row r="94" spans="1:14" ht="52.8" outlineLevel="1">
      <c r="A94" s="266">
        <f>SUBTOTAL(3,$F$7:F94)</f>
        <v>79</v>
      </c>
      <c r="B94" s="225" t="s">
        <v>1179</v>
      </c>
      <c r="C94" s="224"/>
      <c r="D94" s="224"/>
      <c r="E94" s="323" t="s">
        <v>1134</v>
      </c>
      <c r="F94" s="290" t="s">
        <v>1081</v>
      </c>
      <c r="G94" s="291">
        <v>1</v>
      </c>
      <c r="H94" s="291"/>
      <c r="I94" s="291"/>
      <c r="J94" s="292"/>
      <c r="K94" s="292"/>
      <c r="L94" s="292"/>
      <c r="M94" s="292"/>
      <c r="N94" s="225"/>
    </row>
    <row r="95" spans="1:14" ht="52.8" outlineLevel="1">
      <c r="A95" s="266">
        <f>SUBTOTAL(3,$F$7:F95)</f>
        <v>80</v>
      </c>
      <c r="B95" s="225" t="s">
        <v>1180</v>
      </c>
      <c r="C95" s="224"/>
      <c r="D95" s="224"/>
      <c r="E95" s="323" t="s">
        <v>1134</v>
      </c>
      <c r="F95" s="290" t="s">
        <v>1081</v>
      </c>
      <c r="G95" s="291">
        <v>1</v>
      </c>
      <c r="H95" s="291"/>
      <c r="I95" s="291"/>
      <c r="J95" s="292"/>
      <c r="K95" s="292"/>
      <c r="L95" s="292"/>
      <c r="M95" s="292"/>
      <c r="N95" s="225"/>
    </row>
    <row r="96" spans="1:14" ht="52.8" outlineLevel="1">
      <c r="A96" s="266">
        <f>SUBTOTAL(3,$F$7:F96)</f>
        <v>81</v>
      </c>
      <c r="B96" s="225" t="s">
        <v>1181</v>
      </c>
      <c r="C96" s="224"/>
      <c r="D96" s="224"/>
      <c r="E96" s="323" t="s">
        <v>1134</v>
      </c>
      <c r="F96" s="290" t="s">
        <v>1081</v>
      </c>
      <c r="G96" s="291">
        <v>1</v>
      </c>
      <c r="H96" s="291"/>
      <c r="I96" s="291"/>
      <c r="J96" s="292"/>
      <c r="K96" s="292"/>
      <c r="L96" s="292"/>
      <c r="M96" s="292"/>
      <c r="N96" s="225"/>
    </row>
    <row r="97" spans="1:14" ht="52.8" outlineLevel="1">
      <c r="A97" s="266">
        <f>SUBTOTAL(3,$F$7:F97)</f>
        <v>82</v>
      </c>
      <c r="B97" s="225" t="s">
        <v>1182</v>
      </c>
      <c r="C97" s="224"/>
      <c r="D97" s="224"/>
      <c r="E97" s="323" t="s">
        <v>1134</v>
      </c>
      <c r="F97" s="290" t="s">
        <v>1081</v>
      </c>
      <c r="G97" s="291">
        <v>1</v>
      </c>
      <c r="H97" s="291"/>
      <c r="I97" s="291"/>
      <c r="J97" s="292"/>
      <c r="K97" s="292"/>
      <c r="L97" s="292"/>
      <c r="M97" s="292"/>
      <c r="N97" s="225"/>
    </row>
    <row r="98" spans="1:14" ht="52.8" outlineLevel="1">
      <c r="A98" s="266">
        <f>SUBTOTAL(3,$F$7:F98)</f>
        <v>83</v>
      </c>
      <c r="B98" s="225" t="s">
        <v>1183</v>
      </c>
      <c r="C98" s="224"/>
      <c r="D98" s="224"/>
      <c r="E98" s="323" t="s">
        <v>1134</v>
      </c>
      <c r="F98" s="290" t="s">
        <v>1081</v>
      </c>
      <c r="G98" s="291">
        <v>1</v>
      </c>
      <c r="H98" s="291"/>
      <c r="I98" s="291"/>
      <c r="J98" s="292"/>
      <c r="K98" s="292"/>
      <c r="L98" s="292"/>
      <c r="M98" s="292"/>
      <c r="N98" s="225"/>
    </row>
    <row r="99" spans="1:14" ht="52.8" outlineLevel="1">
      <c r="A99" s="266">
        <f>SUBTOTAL(3,$F$7:F99)</f>
        <v>84</v>
      </c>
      <c r="B99" s="225" t="s">
        <v>1184</v>
      </c>
      <c r="C99" s="224"/>
      <c r="D99" s="224"/>
      <c r="E99" s="323" t="s">
        <v>1134</v>
      </c>
      <c r="F99" s="290" t="s">
        <v>1081</v>
      </c>
      <c r="G99" s="291">
        <v>1</v>
      </c>
      <c r="H99" s="291"/>
      <c r="I99" s="291"/>
      <c r="J99" s="292"/>
      <c r="K99" s="292"/>
      <c r="L99" s="292"/>
      <c r="M99" s="292"/>
      <c r="N99" s="225"/>
    </row>
    <row r="100" spans="1:14" ht="52.8" outlineLevel="1">
      <c r="A100" s="266">
        <f>SUBTOTAL(3,$F$7:F100)</f>
        <v>85</v>
      </c>
      <c r="B100" s="225" t="s">
        <v>1185</v>
      </c>
      <c r="C100" s="224"/>
      <c r="D100" s="224"/>
      <c r="E100" s="323" t="s">
        <v>1134</v>
      </c>
      <c r="F100" s="290" t="s">
        <v>1081</v>
      </c>
      <c r="G100" s="291">
        <v>1</v>
      </c>
      <c r="H100" s="291"/>
      <c r="I100" s="291"/>
      <c r="J100" s="292"/>
      <c r="K100" s="292"/>
      <c r="L100" s="292"/>
      <c r="M100" s="292"/>
      <c r="N100" s="225"/>
    </row>
    <row r="101" spans="1:14" ht="52.8" outlineLevel="1">
      <c r="A101" s="266">
        <f>SUBTOTAL(3,$F$7:F101)</f>
        <v>86</v>
      </c>
      <c r="B101" s="225" t="s">
        <v>1186</v>
      </c>
      <c r="C101" s="224"/>
      <c r="D101" s="224"/>
      <c r="E101" s="323" t="s">
        <v>1134</v>
      </c>
      <c r="F101" s="290" t="s">
        <v>1081</v>
      </c>
      <c r="G101" s="291">
        <v>1</v>
      </c>
      <c r="H101" s="291"/>
      <c r="I101" s="291"/>
      <c r="J101" s="292"/>
      <c r="K101" s="292"/>
      <c r="L101" s="292"/>
      <c r="M101" s="292"/>
      <c r="N101" s="225"/>
    </row>
    <row r="102" spans="1:14" ht="52.8" outlineLevel="1">
      <c r="A102" s="266">
        <f>SUBTOTAL(3,$F$7:F102)</f>
        <v>87</v>
      </c>
      <c r="B102" s="225" t="s">
        <v>1187</v>
      </c>
      <c r="C102" s="224"/>
      <c r="D102" s="224"/>
      <c r="E102" s="323" t="s">
        <v>1134</v>
      </c>
      <c r="F102" s="290" t="s">
        <v>1081</v>
      </c>
      <c r="G102" s="291">
        <v>1</v>
      </c>
      <c r="H102" s="291"/>
      <c r="I102" s="291"/>
      <c r="J102" s="292"/>
      <c r="K102" s="292"/>
      <c r="L102" s="292"/>
      <c r="M102" s="292"/>
      <c r="N102" s="225"/>
    </row>
    <row r="103" spans="1:14" ht="52.8" outlineLevel="1">
      <c r="A103" s="266">
        <f>SUBTOTAL(3,$F$7:F103)</f>
        <v>88</v>
      </c>
      <c r="B103" s="225" t="s">
        <v>1188</v>
      </c>
      <c r="C103" s="224"/>
      <c r="D103" s="224"/>
      <c r="E103" s="323" t="s">
        <v>1134</v>
      </c>
      <c r="F103" s="290" t="s">
        <v>1081</v>
      </c>
      <c r="G103" s="291">
        <v>1</v>
      </c>
      <c r="H103" s="291"/>
      <c r="I103" s="291"/>
      <c r="J103" s="292"/>
      <c r="K103" s="292"/>
      <c r="L103" s="292"/>
      <c r="M103" s="292"/>
      <c r="N103" s="225"/>
    </row>
    <row r="104" spans="1:14" ht="52.8" outlineLevel="1">
      <c r="A104" s="266">
        <f>SUBTOTAL(3,$F$7:F104)</f>
        <v>89</v>
      </c>
      <c r="B104" s="225" t="s">
        <v>1189</v>
      </c>
      <c r="C104" s="224"/>
      <c r="D104" s="224"/>
      <c r="E104" s="323" t="s">
        <v>1134</v>
      </c>
      <c r="F104" s="290" t="s">
        <v>1081</v>
      </c>
      <c r="G104" s="291">
        <v>1</v>
      </c>
      <c r="H104" s="291"/>
      <c r="I104" s="291"/>
      <c r="J104" s="292"/>
      <c r="K104" s="292"/>
      <c r="L104" s="292"/>
      <c r="M104" s="292"/>
      <c r="N104" s="225"/>
    </row>
    <row r="105" spans="1:14" ht="52.8" outlineLevel="1">
      <c r="A105" s="266">
        <f>SUBTOTAL(3,$F$7:F105)</f>
        <v>90</v>
      </c>
      <c r="B105" s="225" t="s">
        <v>1190</v>
      </c>
      <c r="C105" s="224"/>
      <c r="D105" s="224"/>
      <c r="E105" s="323" t="s">
        <v>1134</v>
      </c>
      <c r="F105" s="290" t="s">
        <v>1081</v>
      </c>
      <c r="G105" s="291">
        <v>1</v>
      </c>
      <c r="H105" s="291"/>
      <c r="I105" s="291"/>
      <c r="J105" s="292"/>
      <c r="K105" s="292"/>
      <c r="L105" s="292"/>
      <c r="M105" s="292"/>
      <c r="N105" s="225"/>
    </row>
    <row r="106" spans="1:14" ht="52.8" outlineLevel="1">
      <c r="A106" s="266">
        <f>SUBTOTAL(3,$F$7:F106)</f>
        <v>91</v>
      </c>
      <c r="B106" s="225" t="s">
        <v>1191</v>
      </c>
      <c r="C106" s="224"/>
      <c r="D106" s="224"/>
      <c r="E106" s="323" t="s">
        <v>1134</v>
      </c>
      <c r="F106" s="290" t="s">
        <v>1081</v>
      </c>
      <c r="G106" s="291">
        <v>1</v>
      </c>
      <c r="H106" s="291"/>
      <c r="I106" s="291"/>
      <c r="J106" s="292"/>
      <c r="K106" s="292"/>
      <c r="L106" s="292"/>
      <c r="M106" s="292"/>
      <c r="N106" s="225"/>
    </row>
    <row r="107" spans="1:14" ht="52.8" outlineLevel="1">
      <c r="A107" s="266">
        <f>SUBTOTAL(3,$F$7:F107)</f>
        <v>92</v>
      </c>
      <c r="B107" s="225" t="s">
        <v>1192</v>
      </c>
      <c r="C107" s="224"/>
      <c r="D107" s="224"/>
      <c r="E107" s="323" t="s">
        <v>1134</v>
      </c>
      <c r="F107" s="290" t="s">
        <v>1081</v>
      </c>
      <c r="G107" s="291">
        <v>1</v>
      </c>
      <c r="H107" s="291"/>
      <c r="I107" s="291"/>
      <c r="J107" s="292"/>
      <c r="K107" s="292"/>
      <c r="L107" s="292"/>
      <c r="M107" s="292"/>
      <c r="N107" s="225"/>
    </row>
    <row r="108" spans="1:14" ht="52.8" outlineLevel="1">
      <c r="A108" s="266">
        <f>SUBTOTAL(3,$F$7:F108)</f>
        <v>93</v>
      </c>
      <c r="B108" s="225" t="s">
        <v>1193</v>
      </c>
      <c r="C108" s="224"/>
      <c r="D108" s="224"/>
      <c r="E108" s="323" t="s">
        <v>1134</v>
      </c>
      <c r="F108" s="290" t="s">
        <v>1081</v>
      </c>
      <c r="G108" s="291">
        <v>1</v>
      </c>
      <c r="H108" s="291"/>
      <c r="I108" s="291"/>
      <c r="J108" s="292"/>
      <c r="K108" s="292"/>
      <c r="L108" s="292"/>
      <c r="M108" s="292"/>
      <c r="N108" s="225"/>
    </row>
    <row r="109" spans="1:14" ht="52.8" outlineLevel="1">
      <c r="A109" s="266">
        <f>SUBTOTAL(3,$F$7:F109)</f>
        <v>94</v>
      </c>
      <c r="B109" s="225" t="s">
        <v>1194</v>
      </c>
      <c r="C109" s="224"/>
      <c r="D109" s="224"/>
      <c r="E109" s="323" t="s">
        <v>1134</v>
      </c>
      <c r="F109" s="290" t="s">
        <v>1081</v>
      </c>
      <c r="G109" s="291">
        <v>1</v>
      </c>
      <c r="H109" s="291"/>
      <c r="I109" s="291"/>
      <c r="J109" s="292"/>
      <c r="K109" s="292"/>
      <c r="L109" s="292"/>
      <c r="M109" s="292"/>
      <c r="N109" s="225"/>
    </row>
    <row r="110" spans="1:14" ht="52.8" outlineLevel="1">
      <c r="A110" s="266">
        <f>SUBTOTAL(3,$F$7:F110)</f>
        <v>95</v>
      </c>
      <c r="B110" s="225" t="s">
        <v>1195</v>
      </c>
      <c r="C110" s="224"/>
      <c r="D110" s="224"/>
      <c r="E110" s="323" t="s">
        <v>1134</v>
      </c>
      <c r="F110" s="290" t="s">
        <v>1081</v>
      </c>
      <c r="G110" s="291">
        <v>1</v>
      </c>
      <c r="H110" s="291"/>
      <c r="I110" s="291"/>
      <c r="J110" s="292"/>
      <c r="K110" s="292"/>
      <c r="L110" s="292"/>
      <c r="M110" s="292"/>
      <c r="N110" s="225"/>
    </row>
    <row r="111" spans="1:14" ht="52.8" outlineLevel="1">
      <c r="A111" s="266">
        <f>SUBTOTAL(3,$F$7:F111)</f>
        <v>96</v>
      </c>
      <c r="B111" s="225" t="s">
        <v>1196</v>
      </c>
      <c r="C111" s="224"/>
      <c r="D111" s="224"/>
      <c r="E111" s="323" t="s">
        <v>1134</v>
      </c>
      <c r="F111" s="290" t="s">
        <v>1081</v>
      </c>
      <c r="G111" s="291">
        <v>1</v>
      </c>
      <c r="H111" s="291"/>
      <c r="I111" s="291"/>
      <c r="J111" s="292"/>
      <c r="K111" s="292"/>
      <c r="L111" s="292"/>
      <c r="M111" s="292"/>
      <c r="N111" s="225"/>
    </row>
    <row r="112" spans="1:14" ht="52.8" outlineLevel="1">
      <c r="A112" s="266">
        <f>SUBTOTAL(3,$F$7:F112)</f>
        <v>97</v>
      </c>
      <c r="B112" s="225" t="s">
        <v>1197</v>
      </c>
      <c r="C112" s="224"/>
      <c r="D112" s="224"/>
      <c r="E112" s="323" t="s">
        <v>1134</v>
      </c>
      <c r="F112" s="290" t="s">
        <v>1081</v>
      </c>
      <c r="G112" s="291">
        <v>1</v>
      </c>
      <c r="H112" s="291"/>
      <c r="I112" s="291"/>
      <c r="J112" s="292"/>
      <c r="K112" s="292"/>
      <c r="L112" s="292"/>
      <c r="M112" s="292"/>
      <c r="N112" s="225"/>
    </row>
    <row r="113" spans="1:14" ht="52.8" outlineLevel="1">
      <c r="A113" s="266">
        <f>SUBTOTAL(3,$F$7:F113)</f>
        <v>98</v>
      </c>
      <c r="B113" s="225" t="s">
        <v>1198</v>
      </c>
      <c r="C113" s="224"/>
      <c r="D113" s="224"/>
      <c r="E113" s="323" t="s">
        <v>1134</v>
      </c>
      <c r="F113" s="290" t="s">
        <v>1081</v>
      </c>
      <c r="G113" s="291">
        <v>1</v>
      </c>
      <c r="H113" s="291"/>
      <c r="I113" s="291"/>
      <c r="J113" s="292"/>
      <c r="K113" s="292"/>
      <c r="L113" s="292"/>
      <c r="M113" s="292"/>
      <c r="N113" s="225"/>
    </row>
    <row r="114" spans="1:14" ht="52.8" outlineLevel="1">
      <c r="A114" s="266">
        <f>SUBTOTAL(3,$F$7:F114)</f>
        <v>99</v>
      </c>
      <c r="B114" s="225" t="s">
        <v>1199</v>
      </c>
      <c r="C114" s="224"/>
      <c r="D114" s="224"/>
      <c r="E114" s="323" t="s">
        <v>1134</v>
      </c>
      <c r="F114" s="290" t="s">
        <v>1081</v>
      </c>
      <c r="G114" s="291">
        <v>1</v>
      </c>
      <c r="H114" s="291"/>
      <c r="I114" s="291"/>
      <c r="J114" s="292"/>
      <c r="K114" s="292"/>
      <c r="L114" s="292"/>
      <c r="M114" s="292"/>
      <c r="N114" s="225"/>
    </row>
    <row r="115" spans="1:14" ht="52.8" outlineLevel="1">
      <c r="A115" s="266">
        <f>SUBTOTAL(3,$F$7:F115)</f>
        <v>100</v>
      </c>
      <c r="B115" s="225" t="s">
        <v>1200</v>
      </c>
      <c r="C115" s="224"/>
      <c r="D115" s="224"/>
      <c r="E115" s="323" t="s">
        <v>1134</v>
      </c>
      <c r="F115" s="290" t="s">
        <v>1081</v>
      </c>
      <c r="G115" s="291">
        <v>1</v>
      </c>
      <c r="H115" s="291"/>
      <c r="I115" s="291"/>
      <c r="J115" s="292"/>
      <c r="K115" s="292"/>
      <c r="L115" s="292"/>
      <c r="M115" s="292"/>
      <c r="N115" s="225"/>
    </row>
    <row r="116" spans="1:14" ht="52.8" outlineLevel="1">
      <c r="A116" s="266">
        <f>SUBTOTAL(3,$F$7:F116)</f>
        <v>101</v>
      </c>
      <c r="B116" s="225" t="s">
        <v>1201</v>
      </c>
      <c r="C116" s="224"/>
      <c r="D116" s="224"/>
      <c r="E116" s="323" t="s">
        <v>1134</v>
      </c>
      <c r="F116" s="290" t="s">
        <v>1081</v>
      </c>
      <c r="G116" s="291">
        <v>1</v>
      </c>
      <c r="H116" s="291"/>
      <c r="I116" s="291"/>
      <c r="J116" s="292"/>
      <c r="K116" s="292"/>
      <c r="L116" s="292"/>
      <c r="M116" s="292"/>
      <c r="N116" s="225"/>
    </row>
    <row r="117" spans="1:14" ht="52.8" outlineLevel="1">
      <c r="A117" s="266">
        <f>SUBTOTAL(3,$F$7:F117)</f>
        <v>102</v>
      </c>
      <c r="B117" s="225" t="s">
        <v>1202</v>
      </c>
      <c r="C117" s="224"/>
      <c r="D117" s="224"/>
      <c r="E117" s="323" t="s">
        <v>1134</v>
      </c>
      <c r="F117" s="290" t="s">
        <v>1081</v>
      </c>
      <c r="G117" s="291">
        <v>1</v>
      </c>
      <c r="H117" s="291"/>
      <c r="I117" s="291"/>
      <c r="J117" s="292"/>
      <c r="K117" s="292"/>
      <c r="L117" s="292"/>
      <c r="M117" s="292"/>
      <c r="N117" s="225"/>
    </row>
    <row r="118" spans="1:14" ht="52.8" outlineLevel="1">
      <c r="A118" s="266">
        <f>SUBTOTAL(3,$F$7:F118)</f>
        <v>103</v>
      </c>
      <c r="B118" s="225" t="s">
        <v>1203</v>
      </c>
      <c r="C118" s="224"/>
      <c r="D118" s="224"/>
      <c r="E118" s="323" t="s">
        <v>1134</v>
      </c>
      <c r="F118" s="290" t="s">
        <v>1081</v>
      </c>
      <c r="G118" s="291">
        <v>1</v>
      </c>
      <c r="H118" s="291"/>
      <c r="I118" s="291"/>
      <c r="J118" s="292"/>
      <c r="K118" s="292"/>
      <c r="L118" s="292"/>
      <c r="M118" s="292"/>
      <c r="N118" s="225"/>
    </row>
    <row r="119" spans="1:14" ht="52.8" outlineLevel="1">
      <c r="A119" s="266">
        <f>SUBTOTAL(3,$F$7:F119)</f>
        <v>104</v>
      </c>
      <c r="B119" s="225" t="s">
        <v>1204</v>
      </c>
      <c r="C119" s="224"/>
      <c r="D119" s="224"/>
      <c r="E119" s="323" t="s">
        <v>1134</v>
      </c>
      <c r="F119" s="290" t="s">
        <v>1081</v>
      </c>
      <c r="G119" s="291">
        <v>1</v>
      </c>
      <c r="H119" s="291"/>
      <c r="I119" s="291"/>
      <c r="J119" s="292"/>
      <c r="K119" s="292"/>
      <c r="L119" s="292"/>
      <c r="M119" s="292"/>
      <c r="N119" s="225"/>
    </row>
    <row r="120" spans="1:14" ht="52.8" outlineLevel="1">
      <c r="A120" s="266">
        <f>SUBTOTAL(3,$F$7:F120)</f>
        <v>105</v>
      </c>
      <c r="B120" s="225" t="s">
        <v>1205</v>
      </c>
      <c r="C120" s="224"/>
      <c r="D120" s="224"/>
      <c r="E120" s="323" t="s">
        <v>1134</v>
      </c>
      <c r="F120" s="290" t="s">
        <v>1081</v>
      </c>
      <c r="G120" s="291">
        <v>1</v>
      </c>
      <c r="H120" s="291"/>
      <c r="I120" s="291"/>
      <c r="J120" s="292"/>
      <c r="K120" s="292"/>
      <c r="L120" s="292"/>
      <c r="M120" s="292"/>
      <c r="N120" s="225"/>
    </row>
    <row r="121" spans="1:14" ht="52.8" outlineLevel="1">
      <c r="A121" s="266">
        <f>SUBTOTAL(3,$F$7:F121)</f>
        <v>106</v>
      </c>
      <c r="B121" s="225" t="s">
        <v>1206</v>
      </c>
      <c r="C121" s="224"/>
      <c r="D121" s="224"/>
      <c r="E121" s="323" t="s">
        <v>1134</v>
      </c>
      <c r="F121" s="290" t="s">
        <v>1081</v>
      </c>
      <c r="G121" s="291">
        <v>1</v>
      </c>
      <c r="H121" s="291"/>
      <c r="I121" s="291"/>
      <c r="J121" s="292"/>
      <c r="K121" s="292"/>
      <c r="L121" s="292"/>
      <c r="M121" s="292"/>
      <c r="N121" s="225"/>
    </row>
    <row r="122" spans="1:14" ht="52.8" outlineLevel="1">
      <c r="A122" s="266">
        <f>SUBTOTAL(3,$F$7:F122)</f>
        <v>107</v>
      </c>
      <c r="B122" s="225" t="s">
        <v>1207</v>
      </c>
      <c r="C122" s="224"/>
      <c r="D122" s="224"/>
      <c r="E122" s="323" t="s">
        <v>1134</v>
      </c>
      <c r="F122" s="290" t="s">
        <v>1081</v>
      </c>
      <c r="G122" s="291">
        <v>1</v>
      </c>
      <c r="H122" s="291"/>
      <c r="I122" s="291"/>
      <c r="J122" s="292"/>
      <c r="K122" s="292"/>
      <c r="L122" s="292"/>
      <c r="M122" s="292"/>
      <c r="N122" s="225"/>
    </row>
    <row r="123" spans="1:14" ht="52.8" outlineLevel="1">
      <c r="A123" s="266">
        <f>SUBTOTAL(3,$F$7:F123)</f>
        <v>108</v>
      </c>
      <c r="B123" s="225" t="s">
        <v>1208</v>
      </c>
      <c r="C123" s="224"/>
      <c r="D123" s="224"/>
      <c r="E123" s="323" t="s">
        <v>1134</v>
      </c>
      <c r="F123" s="290" t="s">
        <v>1081</v>
      </c>
      <c r="G123" s="291">
        <v>1</v>
      </c>
      <c r="H123" s="291"/>
      <c r="I123" s="291"/>
      <c r="J123" s="292"/>
      <c r="K123" s="292"/>
      <c r="L123" s="292"/>
      <c r="M123" s="292"/>
      <c r="N123" s="225"/>
    </row>
    <row r="124" spans="1:14" ht="52.8" outlineLevel="1">
      <c r="A124" s="266">
        <f>SUBTOTAL(3,$F$7:F124)</f>
        <v>109</v>
      </c>
      <c r="B124" s="225" t="s">
        <v>1209</v>
      </c>
      <c r="C124" s="224"/>
      <c r="D124" s="224"/>
      <c r="E124" s="323" t="s">
        <v>1134</v>
      </c>
      <c r="F124" s="290" t="s">
        <v>1081</v>
      </c>
      <c r="G124" s="291">
        <v>1</v>
      </c>
      <c r="H124" s="291"/>
      <c r="I124" s="291"/>
      <c r="J124" s="292"/>
      <c r="K124" s="292"/>
      <c r="L124" s="292"/>
      <c r="M124" s="292"/>
      <c r="N124" s="225"/>
    </row>
    <row r="125" spans="1:14" ht="52.8" outlineLevel="1">
      <c r="A125" s="266">
        <f>SUBTOTAL(3,$F$7:F125)</f>
        <v>110</v>
      </c>
      <c r="B125" s="225" t="s">
        <v>1210</v>
      </c>
      <c r="C125" s="224"/>
      <c r="D125" s="224"/>
      <c r="E125" s="323" t="s">
        <v>1134</v>
      </c>
      <c r="F125" s="290" t="s">
        <v>1081</v>
      </c>
      <c r="G125" s="291">
        <v>1</v>
      </c>
      <c r="H125" s="291"/>
      <c r="I125" s="291"/>
      <c r="J125" s="292"/>
      <c r="K125" s="292"/>
      <c r="L125" s="292"/>
      <c r="M125" s="292"/>
      <c r="N125" s="225"/>
    </row>
    <row r="126" spans="1:14" ht="52.8" outlineLevel="1">
      <c r="A126" s="266">
        <f>SUBTOTAL(3,$F$7:F126)</f>
        <v>111</v>
      </c>
      <c r="B126" s="225" t="s">
        <v>1211</v>
      </c>
      <c r="C126" s="224"/>
      <c r="D126" s="224"/>
      <c r="E126" s="323" t="s">
        <v>1134</v>
      </c>
      <c r="F126" s="290" t="s">
        <v>1081</v>
      </c>
      <c r="G126" s="291">
        <v>1</v>
      </c>
      <c r="H126" s="291"/>
      <c r="I126" s="291"/>
      <c r="J126" s="292"/>
      <c r="K126" s="292"/>
      <c r="L126" s="292"/>
      <c r="M126" s="292"/>
      <c r="N126" s="225"/>
    </row>
    <row r="127" spans="1:14" ht="52.8" outlineLevel="1">
      <c r="A127" s="266">
        <f>SUBTOTAL(3,$F$7:F127)</f>
        <v>112</v>
      </c>
      <c r="B127" s="225" t="s">
        <v>1212</v>
      </c>
      <c r="C127" s="224"/>
      <c r="D127" s="224"/>
      <c r="E127" s="323" t="s">
        <v>1134</v>
      </c>
      <c r="F127" s="290" t="s">
        <v>1081</v>
      </c>
      <c r="G127" s="291">
        <v>1</v>
      </c>
      <c r="H127" s="291"/>
      <c r="I127" s="291"/>
      <c r="J127" s="292"/>
      <c r="K127" s="292"/>
      <c r="L127" s="292"/>
      <c r="M127" s="292"/>
      <c r="N127" s="225"/>
    </row>
    <row r="128" spans="1:14" ht="52.8" outlineLevel="1">
      <c r="A128" s="266">
        <f>SUBTOTAL(3,$F$7:F128)</f>
        <v>113</v>
      </c>
      <c r="B128" s="225" t="s">
        <v>1213</v>
      </c>
      <c r="C128" s="224"/>
      <c r="D128" s="224"/>
      <c r="E128" s="323" t="s">
        <v>1134</v>
      </c>
      <c r="F128" s="290" t="s">
        <v>1081</v>
      </c>
      <c r="G128" s="291">
        <v>1</v>
      </c>
      <c r="H128" s="291"/>
      <c r="I128" s="291"/>
      <c r="J128" s="292"/>
      <c r="K128" s="292"/>
      <c r="L128" s="292"/>
      <c r="M128" s="292"/>
      <c r="N128" s="225"/>
    </row>
    <row r="129" spans="1:14" ht="52.8" outlineLevel="1">
      <c r="A129" s="266">
        <f>SUBTOTAL(3,$F$7:F129)</f>
        <v>114</v>
      </c>
      <c r="B129" s="225" t="s">
        <v>1214</v>
      </c>
      <c r="C129" s="224"/>
      <c r="D129" s="224"/>
      <c r="E129" s="323" t="s">
        <v>1134</v>
      </c>
      <c r="F129" s="290" t="s">
        <v>1081</v>
      </c>
      <c r="G129" s="291">
        <v>1</v>
      </c>
      <c r="H129" s="291"/>
      <c r="I129" s="291"/>
      <c r="J129" s="292"/>
      <c r="K129" s="292"/>
      <c r="L129" s="292"/>
      <c r="M129" s="292"/>
      <c r="N129" s="225"/>
    </row>
    <row r="130" spans="1:14" ht="52.8" outlineLevel="1">
      <c r="A130" s="266">
        <f>SUBTOTAL(3,$F$7:F130)</f>
        <v>115</v>
      </c>
      <c r="B130" s="225" t="s">
        <v>1215</v>
      </c>
      <c r="C130" s="224"/>
      <c r="D130" s="224"/>
      <c r="E130" s="323" t="s">
        <v>1134</v>
      </c>
      <c r="F130" s="290" t="s">
        <v>1081</v>
      </c>
      <c r="G130" s="291">
        <v>1</v>
      </c>
      <c r="H130" s="291"/>
      <c r="I130" s="291"/>
      <c r="J130" s="292"/>
      <c r="K130" s="292"/>
      <c r="L130" s="292"/>
      <c r="M130" s="292"/>
      <c r="N130" s="225"/>
    </row>
    <row r="131" spans="1:14" ht="52.8" outlineLevel="1">
      <c r="A131" s="266">
        <f>SUBTOTAL(3,$F$7:F131)</f>
        <v>116</v>
      </c>
      <c r="B131" s="225" t="s">
        <v>1216</v>
      </c>
      <c r="C131" s="224"/>
      <c r="D131" s="224"/>
      <c r="E131" s="323" t="s">
        <v>1134</v>
      </c>
      <c r="F131" s="290" t="s">
        <v>1081</v>
      </c>
      <c r="G131" s="291">
        <v>1</v>
      </c>
      <c r="H131" s="291"/>
      <c r="I131" s="291"/>
      <c r="J131" s="292"/>
      <c r="K131" s="292"/>
      <c r="L131" s="292"/>
      <c r="M131" s="292"/>
      <c r="N131" s="225"/>
    </row>
    <row r="132" spans="1:14" ht="52.8" outlineLevel="1">
      <c r="A132" s="266">
        <f>SUBTOTAL(3,$F$7:F132)</f>
        <v>117</v>
      </c>
      <c r="B132" s="225" t="s">
        <v>1217</v>
      </c>
      <c r="C132" s="224"/>
      <c r="D132" s="224"/>
      <c r="E132" s="323" t="s">
        <v>1134</v>
      </c>
      <c r="F132" s="290" t="s">
        <v>1081</v>
      </c>
      <c r="G132" s="291">
        <v>1</v>
      </c>
      <c r="H132" s="291"/>
      <c r="I132" s="291"/>
      <c r="J132" s="292"/>
      <c r="K132" s="292"/>
      <c r="L132" s="292"/>
      <c r="M132" s="292"/>
      <c r="N132" s="225"/>
    </row>
    <row r="133" spans="1:14" ht="52.8" outlineLevel="1">
      <c r="A133" s="266">
        <f>SUBTOTAL(3,$F$7:F133)</f>
        <v>118</v>
      </c>
      <c r="B133" s="225" t="s">
        <v>1218</v>
      </c>
      <c r="C133" s="224"/>
      <c r="D133" s="224"/>
      <c r="E133" s="323" t="s">
        <v>1134</v>
      </c>
      <c r="F133" s="290" t="s">
        <v>1081</v>
      </c>
      <c r="G133" s="291">
        <v>1</v>
      </c>
      <c r="H133" s="291"/>
      <c r="I133" s="291"/>
      <c r="J133" s="292"/>
      <c r="K133" s="292"/>
      <c r="L133" s="292"/>
      <c r="M133" s="292"/>
      <c r="N133" s="225"/>
    </row>
    <row r="134" spans="1:14" ht="52.8" outlineLevel="1">
      <c r="A134" s="266">
        <f>SUBTOTAL(3,$F$7:F134)</f>
        <v>119</v>
      </c>
      <c r="B134" s="225" t="s">
        <v>1219</v>
      </c>
      <c r="C134" s="224"/>
      <c r="D134" s="224"/>
      <c r="E134" s="323" t="s">
        <v>1134</v>
      </c>
      <c r="F134" s="290" t="s">
        <v>1081</v>
      </c>
      <c r="G134" s="291">
        <v>1</v>
      </c>
      <c r="H134" s="291"/>
      <c r="I134" s="291"/>
      <c r="J134" s="292"/>
      <c r="K134" s="292"/>
      <c r="L134" s="292"/>
      <c r="M134" s="292"/>
      <c r="N134" s="225"/>
    </row>
    <row r="135" spans="1:14" ht="52.8" outlineLevel="1">
      <c r="A135" s="266">
        <f>SUBTOTAL(3,$F$7:F135)</f>
        <v>120</v>
      </c>
      <c r="B135" s="225" t="s">
        <v>1220</v>
      </c>
      <c r="C135" s="224"/>
      <c r="D135" s="224"/>
      <c r="E135" s="323" t="s">
        <v>1134</v>
      </c>
      <c r="F135" s="290" t="s">
        <v>1081</v>
      </c>
      <c r="G135" s="291">
        <v>1</v>
      </c>
      <c r="H135" s="291"/>
      <c r="I135" s="291"/>
      <c r="J135" s="292"/>
      <c r="K135" s="292"/>
      <c r="L135" s="292"/>
      <c r="M135" s="292"/>
      <c r="N135" s="225"/>
    </row>
    <row r="136" spans="1:14" ht="52.8" outlineLevel="1">
      <c r="A136" s="266">
        <f>SUBTOTAL(3,$F$7:F136)</f>
        <v>121</v>
      </c>
      <c r="B136" s="225" t="s">
        <v>1221</v>
      </c>
      <c r="C136" s="224"/>
      <c r="D136" s="224"/>
      <c r="E136" s="323" t="s">
        <v>1134</v>
      </c>
      <c r="F136" s="290" t="s">
        <v>1081</v>
      </c>
      <c r="G136" s="291">
        <v>1</v>
      </c>
      <c r="H136" s="291"/>
      <c r="I136" s="291"/>
      <c r="J136" s="292"/>
      <c r="K136" s="292"/>
      <c r="L136" s="292"/>
      <c r="M136" s="292"/>
      <c r="N136" s="225"/>
    </row>
    <row r="137" spans="1:14" ht="52.8" outlineLevel="1">
      <c r="A137" s="266">
        <f>SUBTOTAL(3,$F$7:F137)</f>
        <v>122</v>
      </c>
      <c r="B137" s="225" t="s">
        <v>1222</v>
      </c>
      <c r="C137" s="224"/>
      <c r="D137" s="224"/>
      <c r="E137" s="323" t="s">
        <v>1134</v>
      </c>
      <c r="F137" s="290" t="s">
        <v>1081</v>
      </c>
      <c r="G137" s="291">
        <v>1</v>
      </c>
      <c r="H137" s="291"/>
      <c r="I137" s="291"/>
      <c r="J137" s="292"/>
      <c r="K137" s="292"/>
      <c r="L137" s="292"/>
      <c r="M137" s="292"/>
      <c r="N137" s="225"/>
    </row>
    <row r="138" spans="1:14" ht="52.8" outlineLevel="1">
      <c r="A138" s="266">
        <f>SUBTOTAL(3,$F$7:F138)</f>
        <v>123</v>
      </c>
      <c r="B138" s="225" t="s">
        <v>1223</v>
      </c>
      <c r="C138" s="224"/>
      <c r="D138" s="224"/>
      <c r="E138" s="323" t="s">
        <v>1134</v>
      </c>
      <c r="F138" s="290" t="s">
        <v>1081</v>
      </c>
      <c r="G138" s="291">
        <v>1</v>
      </c>
      <c r="H138" s="291"/>
      <c r="I138" s="291"/>
      <c r="J138" s="292"/>
      <c r="K138" s="292"/>
      <c r="L138" s="292"/>
      <c r="M138" s="292"/>
      <c r="N138" s="225"/>
    </row>
    <row r="139" spans="1:14" ht="52.8" outlineLevel="1">
      <c r="A139" s="266">
        <f>SUBTOTAL(3,$F$7:F139)</f>
        <v>124</v>
      </c>
      <c r="B139" s="225" t="s">
        <v>1224</v>
      </c>
      <c r="C139" s="224"/>
      <c r="D139" s="224"/>
      <c r="E139" s="323" t="s">
        <v>1134</v>
      </c>
      <c r="F139" s="290" t="s">
        <v>1081</v>
      </c>
      <c r="G139" s="291">
        <v>1</v>
      </c>
      <c r="H139" s="291"/>
      <c r="I139" s="291"/>
      <c r="J139" s="292"/>
      <c r="K139" s="292"/>
      <c r="L139" s="292"/>
      <c r="M139" s="292"/>
      <c r="N139" s="225"/>
    </row>
    <row r="140" spans="1:14" ht="52.8" outlineLevel="1">
      <c r="A140" s="266">
        <f>SUBTOTAL(3,$F$7:F140)</f>
        <v>125</v>
      </c>
      <c r="B140" s="225" t="s">
        <v>1225</v>
      </c>
      <c r="C140" s="224"/>
      <c r="D140" s="224"/>
      <c r="E140" s="323" t="s">
        <v>1134</v>
      </c>
      <c r="F140" s="290" t="s">
        <v>1081</v>
      </c>
      <c r="G140" s="291">
        <v>1</v>
      </c>
      <c r="H140" s="291"/>
      <c r="I140" s="291"/>
      <c r="J140" s="292"/>
      <c r="K140" s="292"/>
      <c r="L140" s="292"/>
      <c r="M140" s="292"/>
      <c r="N140" s="225"/>
    </row>
    <row r="141" spans="1:14" ht="52.8" outlineLevel="1">
      <c r="A141" s="266">
        <f>SUBTOTAL(3,$F$7:F141)</f>
        <v>126</v>
      </c>
      <c r="B141" s="225" t="s">
        <v>1226</v>
      </c>
      <c r="C141" s="224"/>
      <c r="D141" s="224"/>
      <c r="E141" s="323" t="s">
        <v>1134</v>
      </c>
      <c r="F141" s="290" t="s">
        <v>1081</v>
      </c>
      <c r="G141" s="291">
        <v>1</v>
      </c>
      <c r="H141" s="291"/>
      <c r="I141" s="291"/>
      <c r="J141" s="292"/>
      <c r="K141" s="292"/>
      <c r="L141" s="292"/>
      <c r="M141" s="292"/>
      <c r="N141" s="225"/>
    </row>
    <row r="142" spans="1:14" ht="52.8" outlineLevel="1">
      <c r="A142" s="266">
        <f>SUBTOTAL(3,$F$7:F142)</f>
        <v>127</v>
      </c>
      <c r="B142" s="225" t="s">
        <v>1227</v>
      </c>
      <c r="C142" s="224"/>
      <c r="D142" s="224"/>
      <c r="E142" s="323" t="s">
        <v>1134</v>
      </c>
      <c r="F142" s="290" t="s">
        <v>1081</v>
      </c>
      <c r="G142" s="291">
        <v>1</v>
      </c>
      <c r="H142" s="291"/>
      <c r="I142" s="291"/>
      <c r="J142" s="292"/>
      <c r="K142" s="292"/>
      <c r="L142" s="292"/>
      <c r="M142" s="292"/>
      <c r="N142" s="225"/>
    </row>
    <row r="143" spans="1:14" ht="52.8" outlineLevel="1">
      <c r="A143" s="266">
        <f>SUBTOTAL(3,$F$7:F143)</f>
        <v>128</v>
      </c>
      <c r="B143" s="225" t="s">
        <v>1228</v>
      </c>
      <c r="C143" s="224"/>
      <c r="D143" s="224"/>
      <c r="E143" s="323" t="s">
        <v>1134</v>
      </c>
      <c r="F143" s="290" t="s">
        <v>1081</v>
      </c>
      <c r="G143" s="291">
        <v>1</v>
      </c>
      <c r="H143" s="291"/>
      <c r="I143" s="291"/>
      <c r="J143" s="292"/>
      <c r="K143" s="292"/>
      <c r="L143" s="292"/>
      <c r="M143" s="292"/>
      <c r="N143" s="225"/>
    </row>
    <row r="144" spans="1:14" ht="52.8" outlineLevel="1">
      <c r="A144" s="266">
        <f>SUBTOTAL(3,$F$7:F144)</f>
        <v>129</v>
      </c>
      <c r="B144" s="225" t="s">
        <v>1229</v>
      </c>
      <c r="C144" s="224"/>
      <c r="D144" s="224"/>
      <c r="E144" s="323" t="s">
        <v>1134</v>
      </c>
      <c r="F144" s="290" t="s">
        <v>1081</v>
      </c>
      <c r="G144" s="291">
        <v>1</v>
      </c>
      <c r="H144" s="291"/>
      <c r="I144" s="291"/>
      <c r="J144" s="292"/>
      <c r="K144" s="292"/>
      <c r="L144" s="292"/>
      <c r="M144" s="292"/>
      <c r="N144" s="225"/>
    </row>
    <row r="145" spans="1:14" ht="52.8" outlineLevel="1">
      <c r="A145" s="266">
        <f>SUBTOTAL(3,$F$7:F145)</f>
        <v>130</v>
      </c>
      <c r="B145" s="225" t="s">
        <v>1230</v>
      </c>
      <c r="C145" s="224"/>
      <c r="D145" s="224"/>
      <c r="E145" s="323" t="s">
        <v>1134</v>
      </c>
      <c r="F145" s="290" t="s">
        <v>1081</v>
      </c>
      <c r="G145" s="291">
        <v>1</v>
      </c>
      <c r="H145" s="291"/>
      <c r="I145" s="291"/>
      <c r="J145" s="292"/>
      <c r="K145" s="292"/>
      <c r="L145" s="292"/>
      <c r="M145" s="292"/>
      <c r="N145" s="225"/>
    </row>
    <row r="146" spans="1:14" ht="52.8" outlineLevel="1">
      <c r="A146" s="266">
        <f>SUBTOTAL(3,$F$7:F146)</f>
        <v>131</v>
      </c>
      <c r="B146" s="225" t="s">
        <v>1231</v>
      </c>
      <c r="C146" s="224"/>
      <c r="D146" s="224"/>
      <c r="E146" s="323" t="s">
        <v>1134</v>
      </c>
      <c r="F146" s="290" t="s">
        <v>1081</v>
      </c>
      <c r="G146" s="291">
        <v>1</v>
      </c>
      <c r="H146" s="291"/>
      <c r="I146" s="291"/>
      <c r="J146" s="292"/>
      <c r="K146" s="292"/>
      <c r="L146" s="292"/>
      <c r="M146" s="292"/>
      <c r="N146" s="225"/>
    </row>
    <row r="147" spans="1:14" ht="52.8" outlineLevel="1">
      <c r="A147" s="266">
        <f>SUBTOTAL(3,$F$7:F147)</f>
        <v>132</v>
      </c>
      <c r="B147" s="225" t="s">
        <v>1232</v>
      </c>
      <c r="C147" s="224"/>
      <c r="D147" s="224"/>
      <c r="E147" s="323" t="s">
        <v>1134</v>
      </c>
      <c r="F147" s="290" t="s">
        <v>1081</v>
      </c>
      <c r="G147" s="291">
        <v>1</v>
      </c>
      <c r="H147" s="291"/>
      <c r="I147" s="291"/>
      <c r="J147" s="292"/>
      <c r="K147" s="292"/>
      <c r="L147" s="292"/>
      <c r="M147" s="292"/>
      <c r="N147" s="225"/>
    </row>
    <row r="148" spans="1:14" ht="52.8" outlineLevel="1">
      <c r="A148" s="266">
        <f>SUBTOTAL(3,$F$7:F148)</f>
        <v>133</v>
      </c>
      <c r="B148" s="225" t="s">
        <v>1233</v>
      </c>
      <c r="C148" s="224"/>
      <c r="D148" s="224"/>
      <c r="E148" s="323" t="s">
        <v>1134</v>
      </c>
      <c r="F148" s="290" t="s">
        <v>1081</v>
      </c>
      <c r="G148" s="291">
        <v>1</v>
      </c>
      <c r="H148" s="291"/>
      <c r="I148" s="291"/>
      <c r="J148" s="292"/>
      <c r="K148" s="292"/>
      <c r="L148" s="292"/>
      <c r="M148" s="292"/>
      <c r="N148" s="225"/>
    </row>
    <row r="149" spans="1:14" ht="52.8" outlineLevel="1">
      <c r="A149" s="266">
        <f>SUBTOTAL(3,$F$7:F149)</f>
        <v>134</v>
      </c>
      <c r="B149" s="225" t="s">
        <v>1234</v>
      </c>
      <c r="C149" s="224"/>
      <c r="D149" s="224"/>
      <c r="E149" s="323" t="s">
        <v>1134</v>
      </c>
      <c r="F149" s="290" t="s">
        <v>1081</v>
      </c>
      <c r="G149" s="291">
        <v>1</v>
      </c>
      <c r="H149" s="291"/>
      <c r="I149" s="291"/>
      <c r="J149" s="292"/>
      <c r="K149" s="292"/>
      <c r="L149" s="292"/>
      <c r="M149" s="292"/>
      <c r="N149" s="225"/>
    </row>
    <row r="150" spans="1:14" ht="52.8" outlineLevel="1">
      <c r="A150" s="266">
        <f>SUBTOTAL(3,$F$7:F150)</f>
        <v>135</v>
      </c>
      <c r="B150" s="225" t="s">
        <v>1235</v>
      </c>
      <c r="C150" s="224"/>
      <c r="D150" s="224"/>
      <c r="E150" s="323" t="s">
        <v>1134</v>
      </c>
      <c r="F150" s="290" t="s">
        <v>1081</v>
      </c>
      <c r="G150" s="291">
        <v>1</v>
      </c>
      <c r="H150" s="291"/>
      <c r="I150" s="291"/>
      <c r="J150" s="292"/>
      <c r="K150" s="292"/>
      <c r="L150" s="292"/>
      <c r="M150" s="292"/>
      <c r="N150" s="225"/>
    </row>
    <row r="151" spans="1:14" ht="52.8" outlineLevel="1">
      <c r="A151" s="266">
        <f>SUBTOTAL(3,$F$7:F151)</f>
        <v>136</v>
      </c>
      <c r="B151" s="225" t="s">
        <v>1236</v>
      </c>
      <c r="C151" s="224"/>
      <c r="D151" s="224"/>
      <c r="E151" s="323" t="s">
        <v>1134</v>
      </c>
      <c r="F151" s="290" t="s">
        <v>1081</v>
      </c>
      <c r="G151" s="291">
        <v>1</v>
      </c>
      <c r="H151" s="291"/>
      <c r="I151" s="291"/>
      <c r="J151" s="292"/>
      <c r="K151" s="292"/>
      <c r="L151" s="292"/>
      <c r="M151" s="292"/>
      <c r="N151" s="225"/>
    </row>
    <row r="152" spans="1:14" ht="52.8" outlineLevel="1">
      <c r="A152" s="266">
        <f>SUBTOTAL(3,$F$7:F152)</f>
        <v>137</v>
      </c>
      <c r="B152" s="225" t="s">
        <v>1237</v>
      </c>
      <c r="C152" s="224"/>
      <c r="D152" s="224"/>
      <c r="E152" s="323" t="s">
        <v>1134</v>
      </c>
      <c r="F152" s="290" t="s">
        <v>1081</v>
      </c>
      <c r="G152" s="291">
        <v>1</v>
      </c>
      <c r="H152" s="291"/>
      <c r="I152" s="291"/>
      <c r="J152" s="292"/>
      <c r="K152" s="292"/>
      <c r="L152" s="292"/>
      <c r="M152" s="292"/>
      <c r="N152" s="225"/>
    </row>
    <row r="153" spans="1:14" ht="52.8" outlineLevel="1">
      <c r="A153" s="266">
        <f>SUBTOTAL(3,$F$7:F153)</f>
        <v>138</v>
      </c>
      <c r="B153" s="225" t="s">
        <v>1238</v>
      </c>
      <c r="C153" s="224"/>
      <c r="D153" s="224"/>
      <c r="E153" s="323" t="s">
        <v>1134</v>
      </c>
      <c r="F153" s="290" t="s">
        <v>1081</v>
      </c>
      <c r="G153" s="291">
        <v>1</v>
      </c>
      <c r="H153" s="291"/>
      <c r="I153" s="291"/>
      <c r="J153" s="292"/>
      <c r="K153" s="292"/>
      <c r="L153" s="292"/>
      <c r="M153" s="292"/>
      <c r="N153" s="225"/>
    </row>
    <row r="154" spans="1:14" ht="52.8" outlineLevel="1">
      <c r="A154" s="266">
        <f>SUBTOTAL(3,$F$7:F154)</f>
        <v>139</v>
      </c>
      <c r="B154" s="225" t="s">
        <v>1239</v>
      </c>
      <c r="C154" s="224"/>
      <c r="D154" s="224"/>
      <c r="E154" s="323" t="s">
        <v>1134</v>
      </c>
      <c r="F154" s="290" t="s">
        <v>1081</v>
      </c>
      <c r="G154" s="291">
        <v>1</v>
      </c>
      <c r="H154" s="291"/>
      <c r="I154" s="291"/>
      <c r="J154" s="292"/>
      <c r="K154" s="292"/>
      <c r="L154" s="292"/>
      <c r="M154" s="292"/>
      <c r="N154" s="225"/>
    </row>
    <row r="155" spans="1:14" ht="52.8" outlineLevel="1">
      <c r="A155" s="266">
        <f>SUBTOTAL(3,$F$7:F155)</f>
        <v>140</v>
      </c>
      <c r="B155" s="225" t="s">
        <v>1240</v>
      </c>
      <c r="C155" s="224"/>
      <c r="D155" s="224"/>
      <c r="E155" s="323" t="s">
        <v>1134</v>
      </c>
      <c r="F155" s="290" t="s">
        <v>1081</v>
      </c>
      <c r="G155" s="291">
        <v>1</v>
      </c>
      <c r="H155" s="291"/>
      <c r="I155" s="291"/>
      <c r="J155" s="292"/>
      <c r="K155" s="292"/>
      <c r="L155" s="292"/>
      <c r="M155" s="292"/>
      <c r="N155" s="225"/>
    </row>
    <row r="156" spans="1:14" ht="52.8" outlineLevel="1">
      <c r="A156" s="266">
        <f>SUBTOTAL(3,$F$7:F156)</f>
        <v>141</v>
      </c>
      <c r="B156" s="225" t="s">
        <v>1241</v>
      </c>
      <c r="C156" s="224"/>
      <c r="D156" s="224"/>
      <c r="E156" s="323" t="s">
        <v>1134</v>
      </c>
      <c r="F156" s="290" t="s">
        <v>1081</v>
      </c>
      <c r="G156" s="291">
        <v>1</v>
      </c>
      <c r="H156" s="291"/>
      <c r="I156" s="291"/>
      <c r="J156" s="292"/>
      <c r="K156" s="292"/>
      <c r="L156" s="292"/>
      <c r="M156" s="292"/>
      <c r="N156" s="225"/>
    </row>
    <row r="157" spans="1:14" ht="52.8" outlineLevel="1">
      <c r="A157" s="266">
        <f>SUBTOTAL(3,$F$7:F157)</f>
        <v>142</v>
      </c>
      <c r="B157" s="225" t="s">
        <v>1242</v>
      </c>
      <c r="C157" s="224"/>
      <c r="D157" s="224"/>
      <c r="E157" s="323" t="s">
        <v>1134</v>
      </c>
      <c r="F157" s="290" t="s">
        <v>1081</v>
      </c>
      <c r="G157" s="291">
        <v>1</v>
      </c>
      <c r="H157" s="291"/>
      <c r="I157" s="291"/>
      <c r="J157" s="292"/>
      <c r="K157" s="292"/>
      <c r="L157" s="292"/>
      <c r="M157" s="292"/>
      <c r="N157" s="225"/>
    </row>
    <row r="158" spans="1:14" ht="52.8" outlineLevel="1">
      <c r="A158" s="266">
        <f>SUBTOTAL(3,$F$7:F158)</f>
        <v>143</v>
      </c>
      <c r="B158" s="225" t="s">
        <v>1243</v>
      </c>
      <c r="C158" s="224"/>
      <c r="D158" s="224"/>
      <c r="E158" s="323" t="s">
        <v>1134</v>
      </c>
      <c r="F158" s="290" t="s">
        <v>1081</v>
      </c>
      <c r="G158" s="291">
        <v>1</v>
      </c>
      <c r="H158" s="291"/>
      <c r="I158" s="291"/>
      <c r="J158" s="292"/>
      <c r="K158" s="292"/>
      <c r="L158" s="292"/>
      <c r="M158" s="292"/>
      <c r="N158" s="225"/>
    </row>
    <row r="159" spans="1:14" ht="52.8" outlineLevel="1">
      <c r="A159" s="266">
        <f>SUBTOTAL(3,$F$7:F159)</f>
        <v>144</v>
      </c>
      <c r="B159" s="225" t="s">
        <v>1244</v>
      </c>
      <c r="C159" s="224"/>
      <c r="D159" s="224"/>
      <c r="E159" s="323" t="s">
        <v>1134</v>
      </c>
      <c r="F159" s="290" t="s">
        <v>1081</v>
      </c>
      <c r="G159" s="291">
        <v>1</v>
      </c>
      <c r="H159" s="291"/>
      <c r="I159" s="291"/>
      <c r="J159" s="292"/>
      <c r="K159" s="292"/>
      <c r="L159" s="292"/>
      <c r="M159" s="292"/>
      <c r="N159" s="225"/>
    </row>
    <row r="160" spans="1:14" ht="52.8" outlineLevel="1">
      <c r="A160" s="266">
        <f>SUBTOTAL(3,$F$7:F160)</f>
        <v>145</v>
      </c>
      <c r="B160" s="225" t="s">
        <v>1245</v>
      </c>
      <c r="C160" s="224"/>
      <c r="D160" s="224"/>
      <c r="E160" s="323" t="s">
        <v>1134</v>
      </c>
      <c r="F160" s="290" t="s">
        <v>1081</v>
      </c>
      <c r="G160" s="291">
        <v>1</v>
      </c>
      <c r="H160" s="291"/>
      <c r="I160" s="291"/>
      <c r="J160" s="292"/>
      <c r="K160" s="292"/>
      <c r="L160" s="292"/>
      <c r="M160" s="292"/>
      <c r="N160" s="225"/>
    </row>
    <row r="161" spans="1:14" ht="52.8" outlineLevel="1">
      <c r="A161" s="266">
        <f>SUBTOTAL(3,$F$7:F161)</f>
        <v>146</v>
      </c>
      <c r="B161" s="225" t="s">
        <v>1246</v>
      </c>
      <c r="C161" s="224"/>
      <c r="D161" s="224"/>
      <c r="E161" s="323" t="s">
        <v>1134</v>
      </c>
      <c r="F161" s="290" t="s">
        <v>1081</v>
      </c>
      <c r="G161" s="291">
        <v>1</v>
      </c>
      <c r="H161" s="291"/>
      <c r="I161" s="291"/>
      <c r="J161" s="292"/>
      <c r="K161" s="292"/>
      <c r="L161" s="292"/>
      <c r="M161" s="292"/>
      <c r="N161" s="225"/>
    </row>
    <row r="162" spans="1:14" ht="52.8" outlineLevel="1">
      <c r="A162" s="266">
        <f>SUBTOTAL(3,$F$7:F162)</f>
        <v>147</v>
      </c>
      <c r="B162" s="225" t="s">
        <v>1247</v>
      </c>
      <c r="C162" s="224"/>
      <c r="D162" s="224"/>
      <c r="E162" s="323" t="s">
        <v>1134</v>
      </c>
      <c r="F162" s="290" t="s">
        <v>1081</v>
      </c>
      <c r="G162" s="291">
        <v>1</v>
      </c>
      <c r="H162" s="291"/>
      <c r="I162" s="291"/>
      <c r="J162" s="292"/>
      <c r="K162" s="292"/>
      <c r="L162" s="292"/>
      <c r="M162" s="292"/>
      <c r="N162" s="225"/>
    </row>
    <row r="163" spans="1:14" outlineLevel="1">
      <c r="A163" s="266">
        <f>SUBTOTAL(3,$F$7:F163)</f>
        <v>148</v>
      </c>
      <c r="B163" s="225" t="s">
        <v>1248</v>
      </c>
      <c r="C163" s="224"/>
      <c r="D163" s="224"/>
      <c r="E163" s="224"/>
      <c r="F163" s="290" t="s">
        <v>1081</v>
      </c>
      <c r="G163" s="291">
        <v>1</v>
      </c>
      <c r="H163" s="291"/>
      <c r="I163" s="291"/>
      <c r="J163" s="292"/>
      <c r="K163" s="292"/>
      <c r="L163" s="292"/>
      <c r="M163" s="292"/>
      <c r="N163" s="225"/>
    </row>
    <row r="164" spans="1:14" outlineLevel="1">
      <c r="A164" s="266">
        <f>SUBTOTAL(3,$F$7:F164)</f>
        <v>149</v>
      </c>
      <c r="B164" s="225" t="s">
        <v>1249</v>
      </c>
      <c r="C164" s="224"/>
      <c r="D164" s="224"/>
      <c r="E164" s="224"/>
      <c r="F164" s="290" t="s">
        <v>1081</v>
      </c>
      <c r="G164" s="291">
        <v>1</v>
      </c>
      <c r="H164" s="291"/>
      <c r="I164" s="291"/>
      <c r="J164" s="292"/>
      <c r="K164" s="292"/>
      <c r="L164" s="292"/>
      <c r="M164" s="292"/>
      <c r="N164" s="225"/>
    </row>
    <row r="165" spans="1:14" outlineLevel="1">
      <c r="A165" s="266">
        <f>SUBTOTAL(3,$F$7:F165)</f>
        <v>150</v>
      </c>
      <c r="B165" s="225" t="s">
        <v>1250</v>
      </c>
      <c r="C165" s="224"/>
      <c r="D165" s="224"/>
      <c r="E165" s="224"/>
      <c r="F165" s="290" t="s">
        <v>1081</v>
      </c>
      <c r="G165" s="291">
        <v>1</v>
      </c>
      <c r="H165" s="291"/>
      <c r="I165" s="291"/>
      <c r="J165" s="292"/>
      <c r="K165" s="292"/>
      <c r="L165" s="292"/>
      <c r="M165" s="292"/>
      <c r="N165" s="225"/>
    </row>
    <row r="166" spans="1:14" ht="52.8" outlineLevel="1">
      <c r="A166" s="266">
        <f>SUBTOTAL(3,$F$7:F166)</f>
        <v>151</v>
      </c>
      <c r="B166" s="225" t="s">
        <v>1251</v>
      </c>
      <c r="C166" s="224"/>
      <c r="D166" s="224"/>
      <c r="E166" s="323" t="s">
        <v>1134</v>
      </c>
      <c r="F166" s="290" t="s">
        <v>1081</v>
      </c>
      <c r="G166" s="291">
        <v>1</v>
      </c>
      <c r="H166" s="291"/>
      <c r="I166" s="291"/>
      <c r="J166" s="292"/>
      <c r="K166" s="292"/>
      <c r="L166" s="292"/>
      <c r="M166" s="292"/>
      <c r="N166" s="225"/>
    </row>
    <row r="167" spans="1:14" ht="52.8" outlineLevel="1">
      <c r="A167" s="266">
        <f>SUBTOTAL(3,$F$7:F167)</f>
        <v>152</v>
      </c>
      <c r="B167" s="225" t="s">
        <v>1252</v>
      </c>
      <c r="C167" s="224"/>
      <c r="D167" s="224"/>
      <c r="E167" s="323" t="s">
        <v>1134</v>
      </c>
      <c r="F167" s="290" t="s">
        <v>1081</v>
      </c>
      <c r="G167" s="291">
        <v>1</v>
      </c>
      <c r="H167" s="291"/>
      <c r="I167" s="291"/>
      <c r="J167" s="292"/>
      <c r="K167" s="292"/>
      <c r="L167" s="292"/>
      <c r="M167" s="292"/>
      <c r="N167" s="225"/>
    </row>
    <row r="168" spans="1:14" ht="52.8" outlineLevel="1">
      <c r="A168" s="266">
        <f>SUBTOTAL(3,$F$7:F168)</f>
        <v>153</v>
      </c>
      <c r="B168" s="225" t="s">
        <v>1253</v>
      </c>
      <c r="C168" s="224"/>
      <c r="D168" s="224"/>
      <c r="E168" s="323" t="s">
        <v>1134</v>
      </c>
      <c r="F168" s="290" t="s">
        <v>1081</v>
      </c>
      <c r="G168" s="291">
        <v>1</v>
      </c>
      <c r="H168" s="291"/>
      <c r="I168" s="291"/>
      <c r="J168" s="292"/>
      <c r="K168" s="292"/>
      <c r="L168" s="292"/>
      <c r="M168" s="292"/>
      <c r="N168" s="225"/>
    </row>
    <row r="169" spans="1:14" ht="52.8" outlineLevel="1">
      <c r="A169" s="266">
        <f>SUBTOTAL(3,$F$7:F169)</f>
        <v>154</v>
      </c>
      <c r="B169" s="225" t="s">
        <v>1254</v>
      </c>
      <c r="C169" s="224"/>
      <c r="D169" s="224"/>
      <c r="E169" s="323" t="s">
        <v>1134</v>
      </c>
      <c r="F169" s="290" t="s">
        <v>1081</v>
      </c>
      <c r="G169" s="291">
        <v>1</v>
      </c>
      <c r="H169" s="291"/>
      <c r="I169" s="291"/>
      <c r="J169" s="292"/>
      <c r="K169" s="292"/>
      <c r="L169" s="292"/>
      <c r="M169" s="292"/>
      <c r="N169" s="225"/>
    </row>
    <row r="170" spans="1:14" ht="52.8" outlineLevel="1">
      <c r="A170" s="266">
        <f>SUBTOTAL(3,$F$7:F170)</f>
        <v>155</v>
      </c>
      <c r="B170" s="225" t="s">
        <v>1255</v>
      </c>
      <c r="C170" s="224"/>
      <c r="D170" s="224"/>
      <c r="E170" s="323" t="s">
        <v>1134</v>
      </c>
      <c r="F170" s="290" t="s">
        <v>1081</v>
      </c>
      <c r="G170" s="291">
        <v>1</v>
      </c>
      <c r="H170" s="291"/>
      <c r="I170" s="291"/>
      <c r="J170" s="292"/>
      <c r="K170" s="292"/>
      <c r="L170" s="292"/>
      <c r="M170" s="292"/>
      <c r="N170" s="225"/>
    </row>
    <row r="171" spans="1:14" ht="52.8" outlineLevel="1">
      <c r="A171" s="266">
        <f>SUBTOTAL(3,$F$7:F171)</f>
        <v>156</v>
      </c>
      <c r="B171" s="225" t="s">
        <v>1256</v>
      </c>
      <c r="C171" s="224"/>
      <c r="D171" s="224"/>
      <c r="E171" s="323" t="s">
        <v>1134</v>
      </c>
      <c r="F171" s="290" t="s">
        <v>1081</v>
      </c>
      <c r="G171" s="291">
        <v>1</v>
      </c>
      <c r="H171" s="291"/>
      <c r="I171" s="291"/>
      <c r="J171" s="292"/>
      <c r="K171" s="292"/>
      <c r="L171" s="292"/>
      <c r="M171" s="292"/>
      <c r="N171" s="225"/>
    </row>
    <row r="172" spans="1:14" ht="52.8" outlineLevel="1">
      <c r="A172" s="266">
        <f>SUBTOTAL(3,$F$7:F172)</f>
        <v>157</v>
      </c>
      <c r="B172" s="225" t="s">
        <v>1257</v>
      </c>
      <c r="C172" s="224"/>
      <c r="D172" s="224"/>
      <c r="E172" s="323" t="s">
        <v>1134</v>
      </c>
      <c r="F172" s="290" t="s">
        <v>1081</v>
      </c>
      <c r="G172" s="291">
        <v>1</v>
      </c>
      <c r="H172" s="291"/>
      <c r="I172" s="291"/>
      <c r="J172" s="292"/>
      <c r="K172" s="292"/>
      <c r="L172" s="292"/>
      <c r="M172" s="292"/>
      <c r="N172" s="225"/>
    </row>
    <row r="173" spans="1:14" ht="52.8" outlineLevel="1">
      <c r="A173" s="266">
        <f>SUBTOTAL(3,$F$7:F173)</f>
        <v>158</v>
      </c>
      <c r="B173" s="225" t="s">
        <v>1258</v>
      </c>
      <c r="C173" s="224"/>
      <c r="D173" s="224"/>
      <c r="E173" s="323" t="s">
        <v>1134</v>
      </c>
      <c r="F173" s="290" t="s">
        <v>1081</v>
      </c>
      <c r="G173" s="291">
        <v>1</v>
      </c>
      <c r="H173" s="291"/>
      <c r="I173" s="291"/>
      <c r="J173" s="292"/>
      <c r="K173" s="292"/>
      <c r="L173" s="292"/>
      <c r="M173" s="292"/>
      <c r="N173" s="225"/>
    </row>
    <row r="174" spans="1:14" ht="52.8" outlineLevel="1">
      <c r="A174" s="266">
        <f>SUBTOTAL(3,$F$7:F174)</f>
        <v>159</v>
      </c>
      <c r="B174" s="225" t="s">
        <v>1259</v>
      </c>
      <c r="C174" s="224"/>
      <c r="D174" s="224"/>
      <c r="E174" s="323" t="s">
        <v>1134</v>
      </c>
      <c r="F174" s="290" t="s">
        <v>1081</v>
      </c>
      <c r="G174" s="291">
        <v>1</v>
      </c>
      <c r="H174" s="291"/>
      <c r="I174" s="291"/>
      <c r="J174" s="292"/>
      <c r="K174" s="292"/>
      <c r="L174" s="292"/>
      <c r="M174" s="292"/>
      <c r="N174" s="225"/>
    </row>
    <row r="175" spans="1:14" ht="52.8" outlineLevel="1">
      <c r="A175" s="266">
        <f>SUBTOTAL(3,$F$7:F175)</f>
        <v>160</v>
      </c>
      <c r="B175" s="225" t="s">
        <v>1260</v>
      </c>
      <c r="C175" s="224"/>
      <c r="D175" s="224"/>
      <c r="E175" s="323" t="s">
        <v>1134</v>
      </c>
      <c r="F175" s="290" t="s">
        <v>1081</v>
      </c>
      <c r="G175" s="291">
        <v>1</v>
      </c>
      <c r="H175" s="291"/>
      <c r="I175" s="291"/>
      <c r="J175" s="292"/>
      <c r="K175" s="292"/>
      <c r="L175" s="292"/>
      <c r="M175" s="292"/>
      <c r="N175" s="225"/>
    </row>
    <row r="176" spans="1:14" ht="52.8" outlineLevel="1">
      <c r="A176" s="266">
        <f>SUBTOTAL(3,$F$7:F176)</f>
        <v>161</v>
      </c>
      <c r="B176" s="225" t="s">
        <v>1261</v>
      </c>
      <c r="C176" s="224"/>
      <c r="D176" s="224"/>
      <c r="E176" s="323" t="s">
        <v>1134</v>
      </c>
      <c r="F176" s="290" t="s">
        <v>1081</v>
      </c>
      <c r="G176" s="291">
        <v>1</v>
      </c>
      <c r="H176" s="291"/>
      <c r="I176" s="291"/>
      <c r="J176" s="292"/>
      <c r="K176" s="292"/>
      <c r="L176" s="292"/>
      <c r="M176" s="292"/>
      <c r="N176" s="225"/>
    </row>
    <row r="177" spans="1:14" ht="52.8" outlineLevel="1">
      <c r="A177" s="266">
        <f>SUBTOTAL(3,$F$7:F177)</f>
        <v>162</v>
      </c>
      <c r="B177" s="225" t="s">
        <v>1262</v>
      </c>
      <c r="C177" s="224"/>
      <c r="D177" s="224"/>
      <c r="E177" s="323" t="s">
        <v>1134</v>
      </c>
      <c r="F177" s="290" t="s">
        <v>1081</v>
      </c>
      <c r="G177" s="291">
        <v>1</v>
      </c>
      <c r="H177" s="291"/>
      <c r="I177" s="291"/>
      <c r="J177" s="292"/>
      <c r="K177" s="292"/>
      <c r="L177" s="292"/>
      <c r="M177" s="292"/>
      <c r="N177" s="225"/>
    </row>
    <row r="178" spans="1:14" ht="52.8" outlineLevel="1">
      <c r="A178" s="266">
        <f>SUBTOTAL(3,$F$7:F178)</f>
        <v>163</v>
      </c>
      <c r="B178" s="225" t="s">
        <v>1263</v>
      </c>
      <c r="C178" s="224"/>
      <c r="D178" s="224"/>
      <c r="E178" s="323" t="s">
        <v>1134</v>
      </c>
      <c r="F178" s="290" t="s">
        <v>1081</v>
      </c>
      <c r="G178" s="291">
        <v>1</v>
      </c>
      <c r="H178" s="291"/>
      <c r="I178" s="291"/>
      <c r="J178" s="292"/>
      <c r="K178" s="292"/>
      <c r="L178" s="292"/>
      <c r="M178" s="292"/>
      <c r="N178" s="225"/>
    </row>
    <row r="179" spans="1:14" ht="52.8" outlineLevel="1">
      <c r="A179" s="266">
        <f>SUBTOTAL(3,$F$7:F179)</f>
        <v>164</v>
      </c>
      <c r="B179" s="225" t="s">
        <v>1264</v>
      </c>
      <c r="C179" s="224"/>
      <c r="D179" s="224"/>
      <c r="E179" s="323" t="s">
        <v>1134</v>
      </c>
      <c r="F179" s="290" t="s">
        <v>1081</v>
      </c>
      <c r="G179" s="291">
        <v>1</v>
      </c>
      <c r="H179" s="291"/>
      <c r="I179" s="291"/>
      <c r="J179" s="292"/>
      <c r="K179" s="292"/>
      <c r="L179" s="292"/>
      <c r="M179" s="292"/>
      <c r="N179" s="225"/>
    </row>
    <row r="180" spans="1:14" ht="52.8" outlineLevel="1">
      <c r="A180" s="266">
        <f>SUBTOTAL(3,$F$7:F180)</f>
        <v>165</v>
      </c>
      <c r="B180" s="225" t="s">
        <v>1265</v>
      </c>
      <c r="C180" s="224"/>
      <c r="D180" s="224"/>
      <c r="E180" s="323" t="s">
        <v>1134</v>
      </c>
      <c r="F180" s="290" t="s">
        <v>1081</v>
      </c>
      <c r="G180" s="291">
        <v>1</v>
      </c>
      <c r="H180" s="291"/>
      <c r="I180" s="291"/>
      <c r="J180" s="292"/>
      <c r="K180" s="292"/>
      <c r="L180" s="292"/>
      <c r="M180" s="292"/>
      <c r="N180" s="225"/>
    </row>
    <row r="181" spans="1:14" outlineLevel="1">
      <c r="A181" s="266">
        <f>SUBTOTAL(3,$F$7:F181)</f>
        <v>166</v>
      </c>
      <c r="B181" s="225" t="s">
        <v>1266</v>
      </c>
      <c r="C181" s="224"/>
      <c r="D181" s="224"/>
      <c r="E181" s="224"/>
      <c r="F181" s="290" t="s">
        <v>1081</v>
      </c>
      <c r="G181" s="291">
        <v>1</v>
      </c>
      <c r="H181" s="291"/>
      <c r="I181" s="291"/>
      <c r="J181" s="292"/>
      <c r="K181" s="292"/>
      <c r="L181" s="292"/>
      <c r="M181" s="292"/>
      <c r="N181" s="225"/>
    </row>
    <row r="182" spans="1:14" outlineLevel="1">
      <c r="A182" s="266">
        <f>SUBTOTAL(3,$F$7:F182)</f>
        <v>167</v>
      </c>
      <c r="B182" s="225" t="s">
        <v>1267</v>
      </c>
      <c r="C182" s="224"/>
      <c r="D182" s="224"/>
      <c r="E182" s="224"/>
      <c r="F182" s="290" t="s">
        <v>1081</v>
      </c>
      <c r="G182" s="291">
        <v>1</v>
      </c>
      <c r="H182" s="291"/>
      <c r="I182" s="291"/>
      <c r="J182" s="292"/>
      <c r="K182" s="292"/>
      <c r="L182" s="292"/>
      <c r="M182" s="292"/>
      <c r="N182" s="225"/>
    </row>
    <row r="183" spans="1:14" outlineLevel="1">
      <c r="A183" s="266">
        <f>SUBTOTAL(3,$F$7:F183)</f>
        <v>168</v>
      </c>
      <c r="B183" s="225" t="s">
        <v>1268</v>
      </c>
      <c r="C183" s="224"/>
      <c r="D183" s="224"/>
      <c r="E183" s="224"/>
      <c r="F183" s="290" t="s">
        <v>1081</v>
      </c>
      <c r="G183" s="291">
        <v>1</v>
      </c>
      <c r="H183" s="291"/>
      <c r="I183" s="291"/>
      <c r="J183" s="292"/>
      <c r="K183" s="292"/>
      <c r="L183" s="292"/>
      <c r="M183" s="292"/>
      <c r="N183" s="225"/>
    </row>
    <row r="184" spans="1:14" ht="52.8" outlineLevel="1">
      <c r="A184" s="266">
        <f>SUBTOTAL(3,$F$7:F184)</f>
        <v>169</v>
      </c>
      <c r="B184" s="225" t="s">
        <v>1269</v>
      </c>
      <c r="C184" s="224"/>
      <c r="D184" s="224"/>
      <c r="E184" s="323" t="s">
        <v>1134</v>
      </c>
      <c r="F184" s="290" t="s">
        <v>1081</v>
      </c>
      <c r="G184" s="291">
        <v>1</v>
      </c>
      <c r="H184" s="291"/>
      <c r="I184" s="291"/>
      <c r="J184" s="292"/>
      <c r="K184" s="292"/>
      <c r="L184" s="292"/>
      <c r="M184" s="292"/>
      <c r="N184" s="225"/>
    </row>
    <row r="185" spans="1:14" ht="52.8" outlineLevel="1">
      <c r="A185" s="266">
        <f>SUBTOTAL(3,$F$7:F185)</f>
        <v>170</v>
      </c>
      <c r="B185" s="225" t="s">
        <v>1270</v>
      </c>
      <c r="C185" s="224"/>
      <c r="D185" s="224"/>
      <c r="E185" s="323" t="s">
        <v>1134</v>
      </c>
      <c r="F185" s="290" t="s">
        <v>1081</v>
      </c>
      <c r="G185" s="291">
        <v>1</v>
      </c>
      <c r="H185" s="291"/>
      <c r="I185" s="291"/>
      <c r="J185" s="292"/>
      <c r="K185" s="292"/>
      <c r="L185" s="292"/>
      <c r="M185" s="292"/>
      <c r="N185" s="225"/>
    </row>
    <row r="186" spans="1:14" ht="52.8" outlineLevel="1">
      <c r="A186" s="266">
        <f>SUBTOTAL(3,$F$7:F186)</f>
        <v>171</v>
      </c>
      <c r="B186" s="225" t="s">
        <v>1271</v>
      </c>
      <c r="C186" s="224"/>
      <c r="D186" s="224"/>
      <c r="E186" s="323" t="s">
        <v>1134</v>
      </c>
      <c r="F186" s="290" t="s">
        <v>1081</v>
      </c>
      <c r="G186" s="291">
        <v>1</v>
      </c>
      <c r="H186" s="291"/>
      <c r="I186" s="291"/>
      <c r="J186" s="292"/>
      <c r="K186" s="292"/>
      <c r="L186" s="292"/>
      <c r="M186" s="292"/>
      <c r="N186" s="225"/>
    </row>
    <row r="187" spans="1:14" ht="52.8" outlineLevel="1">
      <c r="A187" s="266">
        <f>SUBTOTAL(3,$F$7:F187)</f>
        <v>172</v>
      </c>
      <c r="B187" s="225" t="s">
        <v>1272</v>
      </c>
      <c r="C187" s="224"/>
      <c r="D187" s="224"/>
      <c r="E187" s="323" t="s">
        <v>1134</v>
      </c>
      <c r="F187" s="290" t="s">
        <v>1081</v>
      </c>
      <c r="G187" s="291">
        <v>1</v>
      </c>
      <c r="H187" s="291"/>
      <c r="I187" s="291"/>
      <c r="J187" s="292"/>
      <c r="K187" s="292"/>
      <c r="L187" s="292"/>
      <c r="M187" s="292"/>
      <c r="N187" s="225"/>
    </row>
    <row r="188" spans="1:14" ht="52.8" outlineLevel="1">
      <c r="A188" s="266">
        <f>SUBTOTAL(3,$F$7:F188)</f>
        <v>173</v>
      </c>
      <c r="B188" s="225" t="s">
        <v>1273</v>
      </c>
      <c r="C188" s="224"/>
      <c r="D188" s="224"/>
      <c r="E188" s="323" t="s">
        <v>1134</v>
      </c>
      <c r="F188" s="290" t="s">
        <v>1081</v>
      </c>
      <c r="G188" s="291">
        <v>1</v>
      </c>
      <c r="H188" s="291"/>
      <c r="I188" s="291"/>
      <c r="J188" s="292"/>
      <c r="K188" s="292"/>
      <c r="L188" s="292"/>
      <c r="M188" s="292"/>
      <c r="N188" s="225"/>
    </row>
    <row r="189" spans="1:14" ht="52.8" outlineLevel="1">
      <c r="A189" s="266">
        <f>SUBTOTAL(3,$F$7:F189)</f>
        <v>174</v>
      </c>
      <c r="B189" s="225" t="s">
        <v>1274</v>
      </c>
      <c r="C189" s="224"/>
      <c r="D189" s="224"/>
      <c r="E189" s="323" t="s">
        <v>1134</v>
      </c>
      <c r="F189" s="290" t="s">
        <v>1081</v>
      </c>
      <c r="G189" s="291">
        <v>1</v>
      </c>
      <c r="H189" s="291"/>
      <c r="I189" s="291"/>
      <c r="J189" s="292"/>
      <c r="K189" s="292"/>
      <c r="L189" s="292"/>
      <c r="M189" s="292"/>
      <c r="N189" s="225"/>
    </row>
    <row r="190" spans="1:14" ht="52.8" outlineLevel="1">
      <c r="A190" s="266">
        <f>SUBTOTAL(3,$F$7:F190)</f>
        <v>175</v>
      </c>
      <c r="B190" s="225" t="s">
        <v>1275</v>
      </c>
      <c r="C190" s="224"/>
      <c r="D190" s="224"/>
      <c r="E190" s="323" t="s">
        <v>1134</v>
      </c>
      <c r="F190" s="290" t="s">
        <v>1081</v>
      </c>
      <c r="G190" s="291">
        <v>1</v>
      </c>
      <c r="H190" s="291"/>
      <c r="I190" s="291"/>
      <c r="J190" s="292"/>
      <c r="K190" s="292"/>
      <c r="L190" s="292"/>
      <c r="M190" s="292"/>
      <c r="N190" s="225"/>
    </row>
    <row r="191" spans="1:14" ht="52.8" outlineLevel="1">
      <c r="A191" s="266">
        <f>SUBTOTAL(3,$F$7:F191)</f>
        <v>176</v>
      </c>
      <c r="B191" s="225" t="s">
        <v>1276</v>
      </c>
      <c r="C191" s="224"/>
      <c r="D191" s="224"/>
      <c r="E191" s="323" t="s">
        <v>1134</v>
      </c>
      <c r="F191" s="290" t="s">
        <v>1081</v>
      </c>
      <c r="G191" s="291">
        <v>1</v>
      </c>
      <c r="H191" s="291"/>
      <c r="I191" s="291"/>
      <c r="J191" s="292"/>
      <c r="K191" s="292"/>
      <c r="L191" s="292"/>
      <c r="M191" s="292"/>
      <c r="N191" s="225"/>
    </row>
    <row r="192" spans="1:14" ht="52.8" outlineLevel="1">
      <c r="A192" s="266">
        <f>SUBTOTAL(3,$F$7:F192)</f>
        <v>177</v>
      </c>
      <c r="B192" s="225" t="s">
        <v>1277</v>
      </c>
      <c r="C192" s="224"/>
      <c r="D192" s="224"/>
      <c r="E192" s="323" t="s">
        <v>1134</v>
      </c>
      <c r="F192" s="290" t="s">
        <v>1081</v>
      </c>
      <c r="G192" s="291">
        <v>1</v>
      </c>
      <c r="H192" s="291"/>
      <c r="I192" s="291"/>
      <c r="J192" s="292"/>
      <c r="K192" s="292"/>
      <c r="L192" s="292"/>
      <c r="M192" s="292"/>
      <c r="N192" s="225"/>
    </row>
    <row r="193" spans="1:14" ht="52.8" outlineLevel="1">
      <c r="A193" s="266">
        <f>SUBTOTAL(3,$F$7:F193)</f>
        <v>178</v>
      </c>
      <c r="B193" s="225" t="s">
        <v>1278</v>
      </c>
      <c r="C193" s="224"/>
      <c r="D193" s="224"/>
      <c r="E193" s="323" t="s">
        <v>1134</v>
      </c>
      <c r="F193" s="290" t="s">
        <v>1081</v>
      </c>
      <c r="G193" s="291">
        <v>1</v>
      </c>
      <c r="H193" s="291"/>
      <c r="I193" s="291"/>
      <c r="J193" s="292"/>
      <c r="K193" s="292"/>
      <c r="L193" s="292"/>
      <c r="M193" s="292"/>
      <c r="N193" s="225"/>
    </row>
    <row r="194" spans="1:14" ht="52.8" outlineLevel="1">
      <c r="A194" s="266">
        <f>SUBTOTAL(3,$F$7:F194)</f>
        <v>179</v>
      </c>
      <c r="B194" s="225" t="s">
        <v>1279</v>
      </c>
      <c r="C194" s="224"/>
      <c r="D194" s="224"/>
      <c r="E194" s="323" t="s">
        <v>1134</v>
      </c>
      <c r="F194" s="290" t="s">
        <v>1081</v>
      </c>
      <c r="G194" s="291">
        <v>1</v>
      </c>
      <c r="H194" s="291"/>
      <c r="I194" s="291"/>
      <c r="J194" s="292"/>
      <c r="K194" s="292"/>
      <c r="L194" s="292"/>
      <c r="M194" s="292"/>
      <c r="N194" s="225"/>
    </row>
    <row r="195" spans="1:14" ht="52.8" outlineLevel="1">
      <c r="A195" s="266">
        <f>SUBTOTAL(3,$F$7:F195)</f>
        <v>180</v>
      </c>
      <c r="B195" s="225" t="s">
        <v>1280</v>
      </c>
      <c r="C195" s="224"/>
      <c r="D195" s="224"/>
      <c r="E195" s="323" t="s">
        <v>1134</v>
      </c>
      <c r="F195" s="290" t="s">
        <v>1081</v>
      </c>
      <c r="G195" s="291">
        <v>1</v>
      </c>
      <c r="H195" s="291"/>
      <c r="I195" s="291"/>
      <c r="J195" s="292"/>
      <c r="K195" s="292"/>
      <c r="L195" s="292"/>
      <c r="M195" s="292"/>
      <c r="N195" s="225"/>
    </row>
    <row r="196" spans="1:14" ht="52.8" outlineLevel="1">
      <c r="A196" s="266">
        <f>SUBTOTAL(3,$F$7:F196)</f>
        <v>181</v>
      </c>
      <c r="B196" s="225" t="s">
        <v>1281</v>
      </c>
      <c r="C196" s="224"/>
      <c r="D196" s="224"/>
      <c r="E196" s="323" t="s">
        <v>1134</v>
      </c>
      <c r="F196" s="290" t="s">
        <v>1081</v>
      </c>
      <c r="G196" s="291">
        <v>1</v>
      </c>
      <c r="H196" s="291"/>
      <c r="I196" s="291"/>
      <c r="J196" s="292"/>
      <c r="K196" s="292"/>
      <c r="L196" s="292"/>
      <c r="M196" s="292"/>
      <c r="N196" s="225"/>
    </row>
    <row r="197" spans="1:14" ht="52.8" outlineLevel="1">
      <c r="A197" s="266">
        <f>SUBTOTAL(3,$F$7:F197)</f>
        <v>182</v>
      </c>
      <c r="B197" s="225" t="s">
        <v>1282</v>
      </c>
      <c r="C197" s="224"/>
      <c r="D197" s="224"/>
      <c r="E197" s="323" t="s">
        <v>1134</v>
      </c>
      <c r="F197" s="290" t="s">
        <v>1081</v>
      </c>
      <c r="G197" s="291">
        <v>1</v>
      </c>
      <c r="H197" s="291"/>
      <c r="I197" s="291"/>
      <c r="J197" s="292"/>
      <c r="K197" s="292"/>
      <c r="L197" s="292"/>
      <c r="M197" s="292"/>
      <c r="N197" s="225"/>
    </row>
    <row r="198" spans="1:14" ht="52.8" outlineLevel="1">
      <c r="A198" s="266">
        <f>SUBTOTAL(3,$F$7:F198)</f>
        <v>183</v>
      </c>
      <c r="B198" s="225" t="s">
        <v>1283</v>
      </c>
      <c r="C198" s="224"/>
      <c r="D198" s="224"/>
      <c r="E198" s="323" t="s">
        <v>1134</v>
      </c>
      <c r="F198" s="290" t="s">
        <v>1081</v>
      </c>
      <c r="G198" s="291">
        <v>1</v>
      </c>
      <c r="H198" s="291"/>
      <c r="I198" s="291"/>
      <c r="J198" s="292"/>
      <c r="K198" s="292"/>
      <c r="L198" s="292"/>
      <c r="M198" s="292"/>
      <c r="N198" s="225"/>
    </row>
    <row r="199" spans="1:14" ht="52.8" outlineLevel="1">
      <c r="A199" s="266">
        <f>SUBTOTAL(3,$F$7:F199)</f>
        <v>184</v>
      </c>
      <c r="B199" s="225" t="s">
        <v>1284</v>
      </c>
      <c r="C199" s="224"/>
      <c r="D199" s="224"/>
      <c r="E199" s="323" t="s">
        <v>1134</v>
      </c>
      <c r="F199" s="290" t="s">
        <v>1081</v>
      </c>
      <c r="G199" s="291">
        <v>1</v>
      </c>
      <c r="H199" s="291"/>
      <c r="I199" s="291"/>
      <c r="J199" s="292"/>
      <c r="K199" s="292"/>
      <c r="L199" s="292"/>
      <c r="M199" s="292"/>
      <c r="N199" s="225"/>
    </row>
    <row r="200" spans="1:14" ht="52.8" outlineLevel="1">
      <c r="A200" s="266">
        <f>SUBTOTAL(3,$F$7:F200)</f>
        <v>185</v>
      </c>
      <c r="B200" s="225" t="s">
        <v>1285</v>
      </c>
      <c r="C200" s="224"/>
      <c r="D200" s="224"/>
      <c r="E200" s="323" t="s">
        <v>1134</v>
      </c>
      <c r="F200" s="290" t="s">
        <v>1081</v>
      </c>
      <c r="G200" s="291">
        <v>1</v>
      </c>
      <c r="H200" s="291"/>
      <c r="I200" s="291"/>
      <c r="J200" s="292"/>
      <c r="K200" s="292"/>
      <c r="L200" s="292"/>
      <c r="M200" s="292"/>
      <c r="N200" s="225"/>
    </row>
    <row r="201" spans="1:14" ht="52.8" outlineLevel="1">
      <c r="A201" s="266">
        <f>SUBTOTAL(3,$F$7:F201)</f>
        <v>186</v>
      </c>
      <c r="B201" s="225" t="s">
        <v>1286</v>
      </c>
      <c r="C201" s="224"/>
      <c r="D201" s="224"/>
      <c r="E201" s="323" t="s">
        <v>1134</v>
      </c>
      <c r="F201" s="290" t="s">
        <v>1081</v>
      </c>
      <c r="G201" s="291">
        <v>1</v>
      </c>
      <c r="H201" s="291"/>
      <c r="I201" s="291"/>
      <c r="J201" s="292"/>
      <c r="K201" s="292"/>
      <c r="L201" s="292"/>
      <c r="M201" s="292"/>
      <c r="N201" s="225"/>
    </row>
    <row r="202" spans="1:14" ht="52.8" outlineLevel="1">
      <c r="A202" s="266">
        <f>SUBTOTAL(3,$F$7:F202)</f>
        <v>187</v>
      </c>
      <c r="B202" s="225" t="s">
        <v>1287</v>
      </c>
      <c r="C202" s="224"/>
      <c r="D202" s="224"/>
      <c r="E202" s="323" t="s">
        <v>1134</v>
      </c>
      <c r="F202" s="290" t="s">
        <v>1081</v>
      </c>
      <c r="G202" s="291">
        <v>1</v>
      </c>
      <c r="H202" s="291"/>
      <c r="I202" s="291"/>
      <c r="J202" s="292"/>
      <c r="K202" s="292"/>
      <c r="L202" s="292"/>
      <c r="M202" s="292"/>
      <c r="N202" s="225"/>
    </row>
    <row r="203" spans="1:14" ht="52.8" outlineLevel="1">
      <c r="A203" s="266">
        <f>SUBTOTAL(3,$F$7:F203)</f>
        <v>188</v>
      </c>
      <c r="B203" s="225" t="s">
        <v>1288</v>
      </c>
      <c r="C203" s="224"/>
      <c r="D203" s="224"/>
      <c r="E203" s="323" t="s">
        <v>1134</v>
      </c>
      <c r="F203" s="290" t="s">
        <v>1081</v>
      </c>
      <c r="G203" s="291">
        <v>1</v>
      </c>
      <c r="H203" s="291"/>
      <c r="I203" s="291"/>
      <c r="J203" s="292"/>
      <c r="K203" s="292"/>
      <c r="L203" s="292"/>
      <c r="M203" s="292"/>
      <c r="N203" s="225"/>
    </row>
    <row r="204" spans="1:14" ht="52.8" outlineLevel="1">
      <c r="A204" s="266">
        <f>SUBTOTAL(3,$F$7:F204)</f>
        <v>189</v>
      </c>
      <c r="B204" s="225" t="s">
        <v>1289</v>
      </c>
      <c r="C204" s="224"/>
      <c r="D204" s="224"/>
      <c r="E204" s="323" t="s">
        <v>1134</v>
      </c>
      <c r="F204" s="290" t="s">
        <v>1081</v>
      </c>
      <c r="G204" s="291">
        <v>1</v>
      </c>
      <c r="H204" s="291"/>
      <c r="I204" s="291"/>
      <c r="J204" s="292"/>
      <c r="K204" s="292"/>
      <c r="L204" s="292"/>
      <c r="M204" s="292"/>
      <c r="N204" s="225"/>
    </row>
    <row r="205" spans="1:14" ht="52.8" outlineLevel="1">
      <c r="A205" s="266">
        <f>SUBTOTAL(3,$F$7:F205)</f>
        <v>190</v>
      </c>
      <c r="B205" s="225" t="s">
        <v>1290</v>
      </c>
      <c r="C205" s="224"/>
      <c r="D205" s="224"/>
      <c r="E205" s="323" t="s">
        <v>1134</v>
      </c>
      <c r="F205" s="290" t="s">
        <v>1081</v>
      </c>
      <c r="G205" s="291">
        <v>1</v>
      </c>
      <c r="H205" s="291"/>
      <c r="I205" s="291"/>
      <c r="J205" s="292"/>
      <c r="K205" s="292"/>
      <c r="L205" s="292"/>
      <c r="M205" s="292"/>
      <c r="N205" s="225"/>
    </row>
    <row r="206" spans="1:14" ht="52.8" outlineLevel="1">
      <c r="A206" s="266">
        <f>SUBTOTAL(3,$F$7:F206)</f>
        <v>191</v>
      </c>
      <c r="B206" s="225" t="s">
        <v>1291</v>
      </c>
      <c r="C206" s="224"/>
      <c r="D206" s="224"/>
      <c r="E206" s="323" t="s">
        <v>1134</v>
      </c>
      <c r="F206" s="290" t="s">
        <v>1081</v>
      </c>
      <c r="G206" s="291">
        <v>1</v>
      </c>
      <c r="H206" s="291"/>
      <c r="I206" s="291"/>
      <c r="J206" s="292"/>
      <c r="K206" s="292"/>
      <c r="L206" s="292"/>
      <c r="M206" s="292"/>
      <c r="N206" s="225"/>
    </row>
    <row r="207" spans="1:14" ht="52.8" outlineLevel="1">
      <c r="A207" s="266">
        <f>SUBTOTAL(3,$F$7:F207)</f>
        <v>192</v>
      </c>
      <c r="B207" s="225" t="s">
        <v>1292</v>
      </c>
      <c r="C207" s="224"/>
      <c r="D207" s="224"/>
      <c r="E207" s="323" t="s">
        <v>1134</v>
      </c>
      <c r="F207" s="290" t="s">
        <v>1081</v>
      </c>
      <c r="G207" s="291">
        <v>1</v>
      </c>
      <c r="H207" s="291"/>
      <c r="I207" s="291"/>
      <c r="J207" s="292"/>
      <c r="K207" s="292"/>
      <c r="L207" s="292"/>
      <c r="M207" s="292"/>
      <c r="N207" s="225"/>
    </row>
    <row r="208" spans="1:14" ht="52.8" outlineLevel="1">
      <c r="A208" s="266">
        <f>SUBTOTAL(3,$F$7:F208)</f>
        <v>193</v>
      </c>
      <c r="B208" s="225" t="s">
        <v>1293</v>
      </c>
      <c r="C208" s="224"/>
      <c r="D208" s="224"/>
      <c r="E208" s="323" t="s">
        <v>1134</v>
      </c>
      <c r="F208" s="290" t="s">
        <v>1081</v>
      </c>
      <c r="G208" s="291">
        <v>1</v>
      </c>
      <c r="H208" s="291"/>
      <c r="I208" s="291"/>
      <c r="J208" s="292"/>
      <c r="K208" s="292"/>
      <c r="L208" s="292"/>
      <c r="M208" s="292"/>
      <c r="N208" s="225"/>
    </row>
    <row r="209" spans="1:14" ht="52.8" outlineLevel="1">
      <c r="A209" s="266">
        <f>SUBTOTAL(3,$F$7:F209)</f>
        <v>194</v>
      </c>
      <c r="B209" s="225" t="s">
        <v>1294</v>
      </c>
      <c r="C209" s="224"/>
      <c r="D209" s="224"/>
      <c r="E209" s="323" t="s">
        <v>1134</v>
      </c>
      <c r="F209" s="290" t="s">
        <v>1081</v>
      </c>
      <c r="G209" s="291">
        <v>1</v>
      </c>
      <c r="H209" s="291"/>
      <c r="I209" s="291"/>
      <c r="J209" s="292"/>
      <c r="K209" s="292"/>
      <c r="L209" s="292"/>
      <c r="M209" s="292"/>
      <c r="N209" s="225"/>
    </row>
    <row r="210" spans="1:14" ht="52.8" outlineLevel="1">
      <c r="A210" s="266">
        <f>SUBTOTAL(3,$F$7:F210)</f>
        <v>195</v>
      </c>
      <c r="B210" s="225" t="s">
        <v>1295</v>
      </c>
      <c r="C210" s="224"/>
      <c r="D210" s="224"/>
      <c r="E210" s="323" t="s">
        <v>1134</v>
      </c>
      <c r="F210" s="290" t="s">
        <v>1081</v>
      </c>
      <c r="G210" s="291">
        <v>1</v>
      </c>
      <c r="H210" s="291"/>
      <c r="I210" s="291"/>
      <c r="J210" s="292"/>
      <c r="K210" s="292"/>
      <c r="L210" s="292"/>
      <c r="M210" s="292"/>
      <c r="N210" s="225"/>
    </row>
    <row r="211" spans="1:14" ht="52.8" outlineLevel="1">
      <c r="A211" s="266">
        <f>SUBTOTAL(3,$F$7:F211)</f>
        <v>196</v>
      </c>
      <c r="B211" s="225" t="s">
        <v>1296</v>
      </c>
      <c r="C211" s="224"/>
      <c r="D211" s="224"/>
      <c r="E211" s="323" t="s">
        <v>1134</v>
      </c>
      <c r="F211" s="290" t="s">
        <v>1081</v>
      </c>
      <c r="G211" s="291">
        <v>1</v>
      </c>
      <c r="H211" s="291"/>
      <c r="I211" s="291"/>
      <c r="J211" s="292"/>
      <c r="K211" s="292"/>
      <c r="L211" s="292"/>
      <c r="M211" s="292"/>
      <c r="N211" s="225"/>
    </row>
    <row r="212" spans="1:14" ht="52.8" outlineLevel="1">
      <c r="A212" s="266">
        <f>SUBTOTAL(3,$F$7:F212)</f>
        <v>197</v>
      </c>
      <c r="B212" s="225" t="s">
        <v>1297</v>
      </c>
      <c r="C212" s="224"/>
      <c r="D212" s="224"/>
      <c r="E212" s="323" t="s">
        <v>1134</v>
      </c>
      <c r="F212" s="290" t="s">
        <v>1081</v>
      </c>
      <c r="G212" s="291">
        <v>1</v>
      </c>
      <c r="H212" s="291"/>
      <c r="I212" s="291"/>
      <c r="J212" s="292"/>
      <c r="K212" s="292"/>
      <c r="L212" s="292"/>
      <c r="M212" s="292"/>
      <c r="N212" s="225"/>
    </row>
    <row r="213" spans="1:14" ht="52.8" outlineLevel="1">
      <c r="A213" s="266">
        <f>SUBTOTAL(3,$F$7:F213)</f>
        <v>198</v>
      </c>
      <c r="B213" s="225" t="s">
        <v>1298</v>
      </c>
      <c r="C213" s="224"/>
      <c r="D213" s="224"/>
      <c r="E213" s="323" t="s">
        <v>1134</v>
      </c>
      <c r="F213" s="290" t="s">
        <v>1081</v>
      </c>
      <c r="G213" s="291">
        <v>1</v>
      </c>
      <c r="H213" s="291"/>
      <c r="I213" s="291"/>
      <c r="J213" s="292"/>
      <c r="K213" s="292"/>
      <c r="L213" s="292"/>
      <c r="M213" s="292"/>
      <c r="N213" s="225"/>
    </row>
    <row r="214" spans="1:14" ht="52.8" outlineLevel="1">
      <c r="A214" s="266">
        <f>SUBTOTAL(3,$F$7:F214)</f>
        <v>199</v>
      </c>
      <c r="B214" s="225" t="s">
        <v>1299</v>
      </c>
      <c r="C214" s="224"/>
      <c r="D214" s="224"/>
      <c r="E214" s="323" t="s">
        <v>1134</v>
      </c>
      <c r="F214" s="290" t="s">
        <v>1081</v>
      </c>
      <c r="G214" s="291">
        <v>1</v>
      </c>
      <c r="H214" s="291"/>
      <c r="I214" s="291"/>
      <c r="J214" s="292"/>
      <c r="K214" s="292"/>
      <c r="L214" s="292"/>
      <c r="M214" s="292"/>
      <c r="N214" s="225"/>
    </row>
    <row r="215" spans="1:14" ht="52.8" outlineLevel="1">
      <c r="A215" s="266">
        <f>SUBTOTAL(3,$F$7:F215)</f>
        <v>200</v>
      </c>
      <c r="B215" s="225" t="s">
        <v>1300</v>
      </c>
      <c r="C215" s="224"/>
      <c r="D215" s="224"/>
      <c r="E215" s="323" t="s">
        <v>1134</v>
      </c>
      <c r="F215" s="290" t="s">
        <v>1081</v>
      </c>
      <c r="G215" s="291">
        <v>1</v>
      </c>
      <c r="H215" s="291"/>
      <c r="I215" s="291"/>
      <c r="J215" s="292"/>
      <c r="K215" s="292"/>
      <c r="L215" s="292"/>
      <c r="M215" s="292"/>
      <c r="N215" s="225"/>
    </row>
    <row r="216" spans="1:14" ht="52.8" outlineLevel="1">
      <c r="A216" s="266">
        <f>SUBTOTAL(3,$F$7:F216)</f>
        <v>201</v>
      </c>
      <c r="B216" s="225" t="s">
        <v>1301</v>
      </c>
      <c r="C216" s="224"/>
      <c r="D216" s="224"/>
      <c r="E216" s="323" t="s">
        <v>1134</v>
      </c>
      <c r="F216" s="290" t="s">
        <v>1081</v>
      </c>
      <c r="G216" s="291">
        <v>1</v>
      </c>
      <c r="H216" s="291"/>
      <c r="I216" s="291"/>
      <c r="J216" s="292"/>
      <c r="K216" s="292"/>
      <c r="L216" s="292"/>
      <c r="M216" s="292"/>
      <c r="N216" s="225"/>
    </row>
    <row r="217" spans="1:14" ht="52.8" outlineLevel="1">
      <c r="A217" s="266">
        <f>SUBTOTAL(3,$F$7:F217)</f>
        <v>202</v>
      </c>
      <c r="B217" s="225" t="s">
        <v>1302</v>
      </c>
      <c r="C217" s="224"/>
      <c r="D217" s="224"/>
      <c r="E217" s="323" t="s">
        <v>1134</v>
      </c>
      <c r="F217" s="290" t="s">
        <v>1081</v>
      </c>
      <c r="G217" s="291">
        <v>1</v>
      </c>
      <c r="H217" s="291"/>
      <c r="I217" s="291"/>
      <c r="J217" s="292"/>
      <c r="K217" s="292"/>
      <c r="L217" s="292"/>
      <c r="M217" s="292"/>
      <c r="N217" s="225"/>
    </row>
    <row r="218" spans="1:14" ht="52.8" outlineLevel="1">
      <c r="A218" s="266">
        <f>SUBTOTAL(3,$F$7:F218)</f>
        <v>203</v>
      </c>
      <c r="B218" s="225" t="s">
        <v>1303</v>
      </c>
      <c r="C218" s="224"/>
      <c r="D218" s="224"/>
      <c r="E218" s="323" t="s">
        <v>1134</v>
      </c>
      <c r="F218" s="290" t="s">
        <v>1081</v>
      </c>
      <c r="G218" s="291">
        <v>1</v>
      </c>
      <c r="H218" s="291"/>
      <c r="I218" s="291"/>
      <c r="J218" s="292"/>
      <c r="K218" s="292"/>
      <c r="L218" s="292"/>
      <c r="M218" s="292"/>
      <c r="N218" s="225"/>
    </row>
    <row r="219" spans="1:14" ht="52.8" outlineLevel="1">
      <c r="A219" s="266">
        <f>SUBTOTAL(3,$F$7:F219)</f>
        <v>204</v>
      </c>
      <c r="B219" s="225" t="s">
        <v>1304</v>
      </c>
      <c r="C219" s="224"/>
      <c r="D219" s="224"/>
      <c r="E219" s="323" t="s">
        <v>1134</v>
      </c>
      <c r="F219" s="290" t="s">
        <v>1081</v>
      </c>
      <c r="G219" s="291">
        <v>1</v>
      </c>
      <c r="H219" s="291"/>
      <c r="I219" s="291"/>
      <c r="J219" s="292"/>
      <c r="K219" s="292"/>
      <c r="L219" s="292"/>
      <c r="M219" s="292"/>
      <c r="N219" s="225"/>
    </row>
    <row r="220" spans="1:14" ht="52.8" outlineLevel="1">
      <c r="A220" s="266">
        <f>SUBTOTAL(3,$F$7:F220)</f>
        <v>205</v>
      </c>
      <c r="B220" s="225" t="s">
        <v>1305</v>
      </c>
      <c r="C220" s="224"/>
      <c r="D220" s="224"/>
      <c r="E220" s="323" t="s">
        <v>1134</v>
      </c>
      <c r="F220" s="290" t="s">
        <v>1081</v>
      </c>
      <c r="G220" s="291">
        <v>1</v>
      </c>
      <c r="H220" s="291"/>
      <c r="I220" s="291"/>
      <c r="J220" s="292"/>
      <c r="K220" s="292"/>
      <c r="L220" s="292"/>
      <c r="M220" s="292"/>
      <c r="N220" s="225"/>
    </row>
    <row r="221" spans="1:14" ht="52.8" outlineLevel="1">
      <c r="A221" s="266">
        <f>SUBTOTAL(3,$F$7:F221)</f>
        <v>206</v>
      </c>
      <c r="B221" s="225" t="s">
        <v>1306</v>
      </c>
      <c r="C221" s="224"/>
      <c r="D221" s="224"/>
      <c r="E221" s="323" t="s">
        <v>1134</v>
      </c>
      <c r="F221" s="290" t="s">
        <v>1081</v>
      </c>
      <c r="G221" s="291">
        <v>1</v>
      </c>
      <c r="H221" s="291"/>
      <c r="I221" s="291"/>
      <c r="J221" s="292"/>
      <c r="K221" s="292"/>
      <c r="L221" s="292"/>
      <c r="M221" s="292"/>
      <c r="N221" s="225"/>
    </row>
    <row r="222" spans="1:14" ht="52.8" outlineLevel="1">
      <c r="A222" s="266">
        <f>SUBTOTAL(3,$F$7:F222)</f>
        <v>207</v>
      </c>
      <c r="B222" s="225" t="s">
        <v>1307</v>
      </c>
      <c r="C222" s="224"/>
      <c r="D222" s="224"/>
      <c r="E222" s="323" t="s">
        <v>1134</v>
      </c>
      <c r="F222" s="290" t="s">
        <v>1081</v>
      </c>
      <c r="G222" s="291">
        <v>1</v>
      </c>
      <c r="H222" s="291"/>
      <c r="I222" s="291"/>
      <c r="J222" s="292"/>
      <c r="K222" s="292"/>
      <c r="L222" s="292"/>
      <c r="M222" s="292"/>
      <c r="N222" s="225"/>
    </row>
    <row r="223" spans="1:14" ht="52.8" outlineLevel="1">
      <c r="A223" s="266">
        <f>SUBTOTAL(3,$F$7:F223)</f>
        <v>208</v>
      </c>
      <c r="B223" s="225" t="s">
        <v>1308</v>
      </c>
      <c r="C223" s="224"/>
      <c r="D223" s="224"/>
      <c r="E223" s="323" t="s">
        <v>1134</v>
      </c>
      <c r="F223" s="290" t="s">
        <v>1081</v>
      </c>
      <c r="G223" s="291">
        <v>1</v>
      </c>
      <c r="H223" s="291"/>
      <c r="I223" s="291"/>
      <c r="J223" s="292"/>
      <c r="K223" s="292"/>
      <c r="L223" s="292"/>
      <c r="M223" s="292"/>
      <c r="N223" s="225"/>
    </row>
    <row r="224" spans="1:14" ht="52.8" outlineLevel="1">
      <c r="A224" s="266">
        <f>SUBTOTAL(3,$F$7:F224)</f>
        <v>209</v>
      </c>
      <c r="B224" s="225" t="s">
        <v>1309</v>
      </c>
      <c r="C224" s="224"/>
      <c r="D224" s="224"/>
      <c r="E224" s="323" t="s">
        <v>1134</v>
      </c>
      <c r="F224" s="290" t="s">
        <v>1081</v>
      </c>
      <c r="G224" s="291">
        <v>1</v>
      </c>
      <c r="H224" s="291"/>
      <c r="I224" s="291"/>
      <c r="J224" s="292"/>
      <c r="K224" s="292"/>
      <c r="L224" s="292"/>
      <c r="M224" s="292"/>
      <c r="N224" s="225"/>
    </row>
    <row r="225" spans="1:14" ht="52.8" outlineLevel="1">
      <c r="A225" s="266">
        <f>SUBTOTAL(3,$F$7:F225)</f>
        <v>210</v>
      </c>
      <c r="B225" s="225" t="s">
        <v>1310</v>
      </c>
      <c r="C225" s="224"/>
      <c r="D225" s="224"/>
      <c r="E225" s="323" t="s">
        <v>1134</v>
      </c>
      <c r="F225" s="290" t="s">
        <v>1081</v>
      </c>
      <c r="G225" s="291">
        <v>1</v>
      </c>
      <c r="H225" s="291"/>
      <c r="I225" s="291"/>
      <c r="J225" s="292"/>
      <c r="K225" s="292"/>
      <c r="L225" s="292"/>
      <c r="M225" s="292"/>
      <c r="N225" s="225"/>
    </row>
    <row r="226" spans="1:14" ht="52.8" outlineLevel="1">
      <c r="A226" s="266">
        <f>SUBTOTAL(3,$F$7:F226)</f>
        <v>211</v>
      </c>
      <c r="B226" s="225" t="s">
        <v>1311</v>
      </c>
      <c r="C226" s="224"/>
      <c r="D226" s="224"/>
      <c r="E226" s="323" t="s">
        <v>1134</v>
      </c>
      <c r="F226" s="290" t="s">
        <v>1081</v>
      </c>
      <c r="G226" s="291">
        <v>1</v>
      </c>
      <c r="H226" s="291"/>
      <c r="I226" s="291"/>
      <c r="J226" s="292"/>
      <c r="K226" s="292"/>
      <c r="L226" s="292"/>
      <c r="M226" s="292"/>
      <c r="N226" s="225"/>
    </row>
    <row r="227" spans="1:14" ht="52.8" outlineLevel="1">
      <c r="A227" s="266">
        <f>SUBTOTAL(3,$F$7:F227)</f>
        <v>212</v>
      </c>
      <c r="B227" s="225" t="s">
        <v>1312</v>
      </c>
      <c r="C227" s="224"/>
      <c r="D227" s="224"/>
      <c r="E227" s="323" t="s">
        <v>1134</v>
      </c>
      <c r="F227" s="290" t="s">
        <v>1081</v>
      </c>
      <c r="G227" s="291">
        <v>1</v>
      </c>
      <c r="H227" s="291"/>
      <c r="I227" s="291"/>
      <c r="J227" s="292"/>
      <c r="K227" s="292"/>
      <c r="L227" s="292"/>
      <c r="M227" s="292"/>
      <c r="N227" s="225"/>
    </row>
    <row r="228" spans="1:14" ht="52.8" outlineLevel="1">
      <c r="A228" s="266">
        <f>SUBTOTAL(3,$F$7:F228)</f>
        <v>213</v>
      </c>
      <c r="B228" s="225" t="s">
        <v>1313</v>
      </c>
      <c r="C228" s="224"/>
      <c r="D228" s="224"/>
      <c r="E228" s="323" t="s">
        <v>1134</v>
      </c>
      <c r="F228" s="290" t="s">
        <v>1081</v>
      </c>
      <c r="G228" s="291">
        <v>1</v>
      </c>
      <c r="H228" s="291"/>
      <c r="I228" s="291"/>
      <c r="J228" s="292"/>
      <c r="K228" s="292"/>
      <c r="L228" s="292"/>
      <c r="M228" s="292"/>
      <c r="N228" s="225"/>
    </row>
    <row r="229" spans="1:14" ht="52.8" outlineLevel="1">
      <c r="A229" s="266">
        <f>SUBTOTAL(3,$F$7:F229)</f>
        <v>214</v>
      </c>
      <c r="B229" s="225" t="s">
        <v>1314</v>
      </c>
      <c r="C229" s="224"/>
      <c r="D229" s="224"/>
      <c r="E229" s="323" t="s">
        <v>1134</v>
      </c>
      <c r="F229" s="290" t="s">
        <v>1081</v>
      </c>
      <c r="G229" s="291">
        <v>1</v>
      </c>
      <c r="H229" s="291"/>
      <c r="I229" s="291"/>
      <c r="J229" s="292"/>
      <c r="K229" s="292"/>
      <c r="L229" s="292"/>
      <c r="M229" s="292"/>
      <c r="N229" s="225"/>
    </row>
    <row r="230" spans="1:14" ht="52.8" outlineLevel="1">
      <c r="A230" s="266">
        <f>SUBTOTAL(3,$F$7:F230)</f>
        <v>215</v>
      </c>
      <c r="B230" s="225" t="s">
        <v>1315</v>
      </c>
      <c r="C230" s="224"/>
      <c r="D230" s="224"/>
      <c r="E230" s="323" t="s">
        <v>1134</v>
      </c>
      <c r="F230" s="290" t="s">
        <v>1081</v>
      </c>
      <c r="G230" s="291">
        <v>1</v>
      </c>
      <c r="H230" s="291"/>
      <c r="I230" s="291"/>
      <c r="J230" s="292"/>
      <c r="K230" s="292"/>
      <c r="L230" s="292"/>
      <c r="M230" s="292"/>
      <c r="N230" s="225"/>
    </row>
    <row r="231" spans="1:14" ht="52.8" outlineLevel="1">
      <c r="A231" s="266">
        <f>SUBTOTAL(3,$F$7:F231)</f>
        <v>216</v>
      </c>
      <c r="B231" s="225" t="s">
        <v>1316</v>
      </c>
      <c r="C231" s="224"/>
      <c r="D231" s="224"/>
      <c r="E231" s="323" t="s">
        <v>1134</v>
      </c>
      <c r="F231" s="290" t="s">
        <v>1081</v>
      </c>
      <c r="G231" s="291">
        <v>1</v>
      </c>
      <c r="H231" s="291"/>
      <c r="I231" s="291"/>
      <c r="J231" s="292"/>
      <c r="K231" s="292"/>
      <c r="L231" s="292"/>
      <c r="M231" s="292"/>
      <c r="N231" s="225"/>
    </row>
    <row r="232" spans="1:14" ht="52.8" outlineLevel="1">
      <c r="A232" s="266">
        <f>SUBTOTAL(3,$F$7:F232)</f>
        <v>217</v>
      </c>
      <c r="B232" s="225" t="s">
        <v>1317</v>
      </c>
      <c r="C232" s="224"/>
      <c r="D232" s="224"/>
      <c r="E232" s="323" t="s">
        <v>1134</v>
      </c>
      <c r="F232" s="290" t="s">
        <v>1081</v>
      </c>
      <c r="G232" s="291">
        <v>1</v>
      </c>
      <c r="H232" s="291"/>
      <c r="I232" s="291"/>
      <c r="J232" s="292"/>
      <c r="K232" s="292"/>
      <c r="L232" s="292"/>
      <c r="M232" s="292"/>
      <c r="N232" s="225"/>
    </row>
    <row r="233" spans="1:14" ht="52.8" outlineLevel="1">
      <c r="A233" s="266">
        <f>SUBTOTAL(3,$F$7:F233)</f>
        <v>218</v>
      </c>
      <c r="B233" s="225" t="s">
        <v>1318</v>
      </c>
      <c r="C233" s="224"/>
      <c r="D233" s="224"/>
      <c r="E233" s="323" t="s">
        <v>1134</v>
      </c>
      <c r="F233" s="290" t="s">
        <v>1081</v>
      </c>
      <c r="G233" s="291">
        <v>1</v>
      </c>
      <c r="H233" s="291"/>
      <c r="I233" s="291"/>
      <c r="J233" s="292"/>
      <c r="K233" s="292"/>
      <c r="L233" s="292"/>
      <c r="M233" s="292"/>
      <c r="N233" s="225"/>
    </row>
    <row r="234" spans="1:14" ht="52.8" outlineLevel="1">
      <c r="A234" s="266">
        <f>SUBTOTAL(3,$F$7:F234)</f>
        <v>219</v>
      </c>
      <c r="B234" s="225" t="s">
        <v>1319</v>
      </c>
      <c r="C234" s="224"/>
      <c r="D234" s="224"/>
      <c r="E234" s="323" t="s">
        <v>1134</v>
      </c>
      <c r="F234" s="290" t="s">
        <v>1081</v>
      </c>
      <c r="G234" s="291">
        <v>1</v>
      </c>
      <c r="H234" s="291"/>
      <c r="I234" s="291"/>
      <c r="J234" s="292"/>
      <c r="K234" s="292"/>
      <c r="L234" s="292"/>
      <c r="M234" s="292"/>
      <c r="N234" s="225"/>
    </row>
    <row r="235" spans="1:14" ht="52.8" outlineLevel="1">
      <c r="A235" s="266">
        <f>SUBTOTAL(3,$F$7:F235)</f>
        <v>220</v>
      </c>
      <c r="B235" s="225" t="s">
        <v>1320</v>
      </c>
      <c r="C235" s="224"/>
      <c r="D235" s="224"/>
      <c r="E235" s="323" t="s">
        <v>1134</v>
      </c>
      <c r="F235" s="290" t="s">
        <v>1081</v>
      </c>
      <c r="G235" s="291">
        <v>1</v>
      </c>
      <c r="H235" s="291"/>
      <c r="I235" s="291"/>
      <c r="J235" s="292"/>
      <c r="K235" s="292"/>
      <c r="L235" s="292"/>
      <c r="M235" s="292"/>
      <c r="N235" s="225"/>
    </row>
    <row r="236" spans="1:14" ht="52.8" outlineLevel="1">
      <c r="A236" s="266">
        <f>SUBTOTAL(3,$F$7:F236)</f>
        <v>221</v>
      </c>
      <c r="B236" s="225" t="s">
        <v>1321</v>
      </c>
      <c r="C236" s="224"/>
      <c r="D236" s="224"/>
      <c r="E236" s="323" t="s">
        <v>1134</v>
      </c>
      <c r="F236" s="290" t="s">
        <v>1081</v>
      </c>
      <c r="G236" s="291">
        <v>1</v>
      </c>
      <c r="H236" s="291"/>
      <c r="I236" s="291"/>
      <c r="J236" s="292"/>
      <c r="K236" s="292"/>
      <c r="L236" s="292"/>
      <c r="M236" s="292"/>
      <c r="N236" s="225"/>
    </row>
    <row r="237" spans="1:14" ht="52.8" outlineLevel="1">
      <c r="A237" s="266">
        <f>SUBTOTAL(3,$F$7:F237)</f>
        <v>222</v>
      </c>
      <c r="B237" s="225" t="s">
        <v>1322</v>
      </c>
      <c r="C237" s="224"/>
      <c r="D237" s="224"/>
      <c r="E237" s="323" t="s">
        <v>1134</v>
      </c>
      <c r="F237" s="290" t="s">
        <v>1081</v>
      </c>
      <c r="G237" s="291">
        <v>1</v>
      </c>
      <c r="H237" s="291"/>
      <c r="I237" s="291"/>
      <c r="J237" s="292"/>
      <c r="K237" s="292"/>
      <c r="L237" s="292"/>
      <c r="M237" s="292"/>
      <c r="N237" s="225"/>
    </row>
    <row r="238" spans="1:14" ht="52.8" outlineLevel="1">
      <c r="A238" s="266">
        <f>SUBTOTAL(3,$F$7:F238)</f>
        <v>223</v>
      </c>
      <c r="B238" s="225" t="s">
        <v>1323</v>
      </c>
      <c r="C238" s="224"/>
      <c r="D238" s="224"/>
      <c r="E238" s="323" t="s">
        <v>1134</v>
      </c>
      <c r="F238" s="290" t="s">
        <v>1081</v>
      </c>
      <c r="G238" s="291">
        <v>1</v>
      </c>
      <c r="H238" s="291"/>
      <c r="I238" s="291"/>
      <c r="J238" s="292"/>
      <c r="K238" s="292"/>
      <c r="L238" s="292"/>
      <c r="M238" s="292"/>
      <c r="N238" s="225"/>
    </row>
    <row r="239" spans="1:14" ht="52.8" outlineLevel="1">
      <c r="A239" s="266">
        <f>SUBTOTAL(3,$F$7:F239)</f>
        <v>224</v>
      </c>
      <c r="B239" s="225" t="s">
        <v>1324</v>
      </c>
      <c r="C239" s="224"/>
      <c r="D239" s="224"/>
      <c r="E239" s="323" t="s">
        <v>1134</v>
      </c>
      <c r="F239" s="290" t="s">
        <v>1081</v>
      </c>
      <c r="G239" s="291">
        <v>1</v>
      </c>
      <c r="H239" s="291"/>
      <c r="I239" s="291"/>
      <c r="J239" s="292"/>
      <c r="K239" s="292"/>
      <c r="L239" s="292"/>
      <c r="M239" s="292"/>
      <c r="N239" s="225"/>
    </row>
    <row r="240" spans="1:14" ht="52.8" outlineLevel="1">
      <c r="A240" s="266">
        <f>SUBTOTAL(3,$F$7:F240)</f>
        <v>225</v>
      </c>
      <c r="B240" s="225" t="s">
        <v>1325</v>
      </c>
      <c r="C240" s="224"/>
      <c r="D240" s="224"/>
      <c r="E240" s="323" t="s">
        <v>1134</v>
      </c>
      <c r="F240" s="290" t="s">
        <v>1081</v>
      </c>
      <c r="G240" s="291">
        <v>1</v>
      </c>
      <c r="H240" s="291"/>
      <c r="I240" s="291"/>
      <c r="J240" s="292"/>
      <c r="K240" s="292"/>
      <c r="L240" s="292"/>
      <c r="M240" s="292"/>
      <c r="N240" s="225"/>
    </row>
    <row r="241" spans="1:14" ht="52.8" outlineLevel="1">
      <c r="A241" s="266">
        <f>SUBTOTAL(3,$F$7:F241)</f>
        <v>226</v>
      </c>
      <c r="B241" s="225" t="s">
        <v>1326</v>
      </c>
      <c r="C241" s="224"/>
      <c r="D241" s="224"/>
      <c r="E241" s="323" t="s">
        <v>1134</v>
      </c>
      <c r="F241" s="290" t="s">
        <v>1081</v>
      </c>
      <c r="G241" s="291">
        <v>1</v>
      </c>
      <c r="H241" s="291"/>
      <c r="I241" s="291"/>
      <c r="J241" s="292"/>
      <c r="K241" s="292"/>
      <c r="L241" s="292"/>
      <c r="M241" s="292"/>
      <c r="N241" s="225"/>
    </row>
    <row r="242" spans="1:14" ht="52.8" outlineLevel="1">
      <c r="A242" s="266">
        <f>SUBTOTAL(3,$F$7:F242)</f>
        <v>227</v>
      </c>
      <c r="B242" s="225" t="s">
        <v>1327</v>
      </c>
      <c r="C242" s="224"/>
      <c r="D242" s="224"/>
      <c r="E242" s="323" t="s">
        <v>1134</v>
      </c>
      <c r="F242" s="290" t="s">
        <v>1081</v>
      </c>
      <c r="G242" s="291">
        <v>1</v>
      </c>
      <c r="H242" s="291"/>
      <c r="I242" s="291"/>
      <c r="J242" s="292"/>
      <c r="K242" s="292"/>
      <c r="L242" s="292"/>
      <c r="M242" s="292"/>
      <c r="N242" s="225"/>
    </row>
    <row r="243" spans="1:14" ht="52.8" outlineLevel="1">
      <c r="A243" s="266">
        <f>SUBTOTAL(3,$F$7:F243)</f>
        <v>228</v>
      </c>
      <c r="B243" s="225" t="s">
        <v>1328</v>
      </c>
      <c r="C243" s="224"/>
      <c r="D243" s="224"/>
      <c r="E243" s="323" t="s">
        <v>1134</v>
      </c>
      <c r="F243" s="290" t="s">
        <v>1081</v>
      </c>
      <c r="G243" s="291">
        <v>1</v>
      </c>
      <c r="H243" s="291"/>
      <c r="I243" s="291"/>
      <c r="J243" s="292"/>
      <c r="K243" s="292"/>
      <c r="L243" s="292"/>
      <c r="M243" s="292"/>
      <c r="N243" s="225"/>
    </row>
    <row r="244" spans="1:14" ht="52.8" outlineLevel="1">
      <c r="A244" s="266">
        <f>SUBTOTAL(3,$F$7:F244)</f>
        <v>229</v>
      </c>
      <c r="B244" s="225" t="s">
        <v>1329</v>
      </c>
      <c r="C244" s="224"/>
      <c r="D244" s="224"/>
      <c r="E244" s="323" t="s">
        <v>1134</v>
      </c>
      <c r="F244" s="290" t="s">
        <v>1081</v>
      </c>
      <c r="G244" s="291">
        <v>1</v>
      </c>
      <c r="H244" s="291"/>
      <c r="I244" s="291"/>
      <c r="J244" s="292"/>
      <c r="K244" s="292"/>
      <c r="L244" s="292"/>
      <c r="M244" s="292"/>
      <c r="N244" s="225"/>
    </row>
    <row r="245" spans="1:14" ht="52.8" outlineLevel="1">
      <c r="A245" s="266">
        <f>SUBTOTAL(3,$F$7:F245)</f>
        <v>230</v>
      </c>
      <c r="B245" s="225" t="s">
        <v>1330</v>
      </c>
      <c r="C245" s="224"/>
      <c r="D245" s="224"/>
      <c r="E245" s="323" t="s">
        <v>1134</v>
      </c>
      <c r="F245" s="290" t="s">
        <v>1081</v>
      </c>
      <c r="G245" s="291">
        <v>1</v>
      </c>
      <c r="H245" s="291"/>
      <c r="I245" s="291"/>
      <c r="J245" s="292"/>
      <c r="K245" s="292"/>
      <c r="L245" s="292"/>
      <c r="M245" s="292"/>
      <c r="N245" s="225"/>
    </row>
    <row r="246" spans="1:14" ht="52.8" outlineLevel="1">
      <c r="A246" s="266">
        <f>SUBTOTAL(3,$F$7:F246)</f>
        <v>231</v>
      </c>
      <c r="B246" s="225" t="s">
        <v>1331</v>
      </c>
      <c r="C246" s="224"/>
      <c r="D246" s="224"/>
      <c r="E246" s="323" t="s">
        <v>1134</v>
      </c>
      <c r="F246" s="290" t="s">
        <v>1081</v>
      </c>
      <c r="G246" s="291">
        <v>1</v>
      </c>
      <c r="H246" s="291"/>
      <c r="I246" s="291"/>
      <c r="J246" s="292"/>
      <c r="K246" s="292"/>
      <c r="L246" s="292"/>
      <c r="M246" s="292"/>
      <c r="N246" s="225"/>
    </row>
    <row r="247" spans="1:14" ht="52.8" outlineLevel="1">
      <c r="A247" s="266">
        <f>SUBTOTAL(3,$F$7:F247)</f>
        <v>232</v>
      </c>
      <c r="B247" s="225" t="s">
        <v>1332</v>
      </c>
      <c r="C247" s="224"/>
      <c r="D247" s="224"/>
      <c r="E247" s="323" t="s">
        <v>1134</v>
      </c>
      <c r="F247" s="290" t="s">
        <v>1081</v>
      </c>
      <c r="G247" s="291">
        <v>1</v>
      </c>
      <c r="H247" s="291"/>
      <c r="I247" s="291"/>
      <c r="J247" s="292"/>
      <c r="K247" s="292"/>
      <c r="L247" s="292"/>
      <c r="M247" s="292"/>
      <c r="N247" s="225"/>
    </row>
    <row r="248" spans="1:14" ht="52.8" outlineLevel="1">
      <c r="A248" s="266">
        <f>SUBTOTAL(3,$F$7:F248)</f>
        <v>233</v>
      </c>
      <c r="B248" s="225" t="s">
        <v>1333</v>
      </c>
      <c r="C248" s="224"/>
      <c r="D248" s="224"/>
      <c r="E248" s="323" t="s">
        <v>1134</v>
      </c>
      <c r="F248" s="290" t="s">
        <v>1081</v>
      </c>
      <c r="G248" s="291">
        <v>1</v>
      </c>
      <c r="H248" s="291"/>
      <c r="I248" s="291"/>
      <c r="J248" s="292"/>
      <c r="K248" s="292"/>
      <c r="L248" s="292"/>
      <c r="M248" s="292"/>
      <c r="N248" s="225"/>
    </row>
    <row r="249" spans="1:14" ht="52.8" outlineLevel="1">
      <c r="A249" s="266">
        <f>SUBTOTAL(3,$F$7:F249)</f>
        <v>234</v>
      </c>
      <c r="B249" s="225" t="s">
        <v>1334</v>
      </c>
      <c r="C249" s="224"/>
      <c r="D249" s="224"/>
      <c r="E249" s="323" t="s">
        <v>1134</v>
      </c>
      <c r="F249" s="290" t="s">
        <v>1081</v>
      </c>
      <c r="G249" s="291">
        <v>1</v>
      </c>
      <c r="H249" s="291"/>
      <c r="I249" s="291"/>
      <c r="J249" s="292"/>
      <c r="K249" s="292"/>
      <c r="L249" s="292"/>
      <c r="M249" s="292"/>
      <c r="N249" s="225"/>
    </row>
    <row r="250" spans="1:14" ht="52.8" outlineLevel="1">
      <c r="A250" s="266">
        <f>SUBTOTAL(3,$F$7:F250)</f>
        <v>235</v>
      </c>
      <c r="B250" s="225" t="s">
        <v>1335</v>
      </c>
      <c r="C250" s="224"/>
      <c r="D250" s="224"/>
      <c r="E250" s="323" t="s">
        <v>1134</v>
      </c>
      <c r="F250" s="290" t="s">
        <v>1081</v>
      </c>
      <c r="G250" s="291">
        <v>1</v>
      </c>
      <c r="H250" s="291"/>
      <c r="I250" s="291"/>
      <c r="J250" s="292"/>
      <c r="K250" s="292"/>
      <c r="L250" s="292"/>
      <c r="M250" s="292"/>
      <c r="N250" s="225"/>
    </row>
    <row r="251" spans="1:14" ht="52.8" outlineLevel="1">
      <c r="A251" s="266">
        <f>SUBTOTAL(3,$F$7:F251)</f>
        <v>236</v>
      </c>
      <c r="B251" s="225" t="s">
        <v>1336</v>
      </c>
      <c r="C251" s="224"/>
      <c r="D251" s="224"/>
      <c r="E251" s="323" t="s">
        <v>1134</v>
      </c>
      <c r="F251" s="290" t="s">
        <v>1081</v>
      </c>
      <c r="G251" s="291">
        <v>1</v>
      </c>
      <c r="H251" s="291"/>
      <c r="I251" s="291"/>
      <c r="J251" s="292"/>
      <c r="K251" s="292"/>
      <c r="L251" s="292"/>
      <c r="M251" s="292"/>
      <c r="N251" s="225"/>
    </row>
    <row r="252" spans="1:14" ht="52.8" outlineLevel="1">
      <c r="A252" s="266">
        <f>SUBTOTAL(3,$F$7:F252)</f>
        <v>237</v>
      </c>
      <c r="B252" s="225" t="s">
        <v>1337</v>
      </c>
      <c r="C252" s="224"/>
      <c r="D252" s="224"/>
      <c r="E252" s="323" t="s">
        <v>1134</v>
      </c>
      <c r="F252" s="290" t="s">
        <v>1081</v>
      </c>
      <c r="G252" s="291">
        <v>1</v>
      </c>
      <c r="H252" s="291"/>
      <c r="I252" s="291"/>
      <c r="J252" s="292"/>
      <c r="K252" s="292"/>
      <c r="L252" s="292"/>
      <c r="M252" s="292"/>
      <c r="N252" s="225"/>
    </row>
    <row r="253" spans="1:14" ht="52.8" outlineLevel="1">
      <c r="A253" s="266">
        <f>SUBTOTAL(3,$F$7:F253)</f>
        <v>238</v>
      </c>
      <c r="B253" s="225" t="s">
        <v>1338</v>
      </c>
      <c r="C253" s="224"/>
      <c r="D253" s="224"/>
      <c r="E253" s="323" t="s">
        <v>1134</v>
      </c>
      <c r="F253" s="290" t="s">
        <v>1081</v>
      </c>
      <c r="G253" s="291">
        <v>1</v>
      </c>
      <c r="H253" s="291"/>
      <c r="I253" s="291"/>
      <c r="J253" s="292"/>
      <c r="K253" s="292"/>
      <c r="L253" s="292"/>
      <c r="M253" s="292"/>
      <c r="N253" s="225"/>
    </row>
    <row r="254" spans="1:14" ht="52.8" outlineLevel="1">
      <c r="A254" s="266">
        <f>SUBTOTAL(3,$F$7:F254)</f>
        <v>239</v>
      </c>
      <c r="B254" s="225" t="s">
        <v>1339</v>
      </c>
      <c r="C254" s="224"/>
      <c r="D254" s="224"/>
      <c r="E254" s="323" t="s">
        <v>1134</v>
      </c>
      <c r="F254" s="290" t="s">
        <v>1081</v>
      </c>
      <c r="G254" s="291">
        <v>1</v>
      </c>
      <c r="H254" s="291"/>
      <c r="I254" s="291"/>
      <c r="J254" s="292"/>
      <c r="K254" s="292"/>
      <c r="L254" s="292"/>
      <c r="M254" s="292"/>
      <c r="N254" s="225"/>
    </row>
    <row r="255" spans="1:14" ht="52.8" outlineLevel="1">
      <c r="A255" s="266">
        <f>SUBTOTAL(3,$F$7:F255)</f>
        <v>240</v>
      </c>
      <c r="B255" s="225" t="s">
        <v>1340</v>
      </c>
      <c r="C255" s="224"/>
      <c r="D255" s="224"/>
      <c r="E255" s="323" t="s">
        <v>1134</v>
      </c>
      <c r="F255" s="290" t="s">
        <v>1081</v>
      </c>
      <c r="G255" s="291">
        <v>1</v>
      </c>
      <c r="H255" s="291"/>
      <c r="I255" s="291"/>
      <c r="J255" s="292"/>
      <c r="K255" s="292"/>
      <c r="L255" s="292"/>
      <c r="M255" s="292"/>
      <c r="N255" s="225"/>
    </row>
    <row r="256" spans="1:14" ht="52.8" outlineLevel="1">
      <c r="A256" s="266">
        <f>SUBTOTAL(3,$F$7:F256)</f>
        <v>241</v>
      </c>
      <c r="B256" s="225" t="s">
        <v>1341</v>
      </c>
      <c r="C256" s="224"/>
      <c r="D256" s="224"/>
      <c r="E256" s="323" t="s">
        <v>1134</v>
      </c>
      <c r="F256" s="290" t="s">
        <v>1081</v>
      </c>
      <c r="G256" s="291">
        <v>1</v>
      </c>
      <c r="H256" s="291"/>
      <c r="I256" s="291"/>
      <c r="J256" s="292"/>
      <c r="K256" s="292"/>
      <c r="L256" s="292"/>
      <c r="M256" s="292"/>
      <c r="N256" s="225"/>
    </row>
    <row r="257" spans="1:14" ht="52.8" outlineLevel="1">
      <c r="A257" s="266">
        <f>SUBTOTAL(3,$F$7:F257)</f>
        <v>242</v>
      </c>
      <c r="B257" s="225" t="s">
        <v>1342</v>
      </c>
      <c r="C257" s="224"/>
      <c r="D257" s="224"/>
      <c r="E257" s="323" t="s">
        <v>1134</v>
      </c>
      <c r="F257" s="290" t="s">
        <v>1081</v>
      </c>
      <c r="G257" s="291">
        <v>1</v>
      </c>
      <c r="H257" s="291"/>
      <c r="I257" s="291"/>
      <c r="J257" s="292"/>
      <c r="K257" s="292"/>
      <c r="L257" s="292"/>
      <c r="M257" s="292"/>
      <c r="N257" s="225"/>
    </row>
    <row r="258" spans="1:14" ht="52.8" outlineLevel="1">
      <c r="A258" s="266">
        <f>SUBTOTAL(3,$F$7:F258)</f>
        <v>243</v>
      </c>
      <c r="B258" s="225" t="s">
        <v>1343</v>
      </c>
      <c r="C258" s="224"/>
      <c r="D258" s="224"/>
      <c r="E258" s="323" t="s">
        <v>1134</v>
      </c>
      <c r="F258" s="290" t="s">
        <v>1081</v>
      </c>
      <c r="G258" s="291">
        <v>1</v>
      </c>
      <c r="H258" s="291"/>
      <c r="I258" s="291"/>
      <c r="J258" s="292"/>
      <c r="K258" s="292"/>
      <c r="L258" s="292"/>
      <c r="M258" s="292"/>
      <c r="N258" s="225"/>
    </row>
    <row r="259" spans="1:14" ht="52.8" outlineLevel="1">
      <c r="A259" s="266">
        <f>SUBTOTAL(3,$F$7:F259)</f>
        <v>244</v>
      </c>
      <c r="B259" s="225" t="s">
        <v>1344</v>
      </c>
      <c r="C259" s="224"/>
      <c r="D259" s="224"/>
      <c r="E259" s="323" t="s">
        <v>1134</v>
      </c>
      <c r="F259" s="290" t="s">
        <v>1081</v>
      </c>
      <c r="G259" s="291">
        <v>1</v>
      </c>
      <c r="H259" s="291"/>
      <c r="I259" s="291"/>
      <c r="J259" s="292"/>
      <c r="K259" s="292"/>
      <c r="L259" s="292"/>
      <c r="M259" s="292"/>
      <c r="N259" s="225"/>
    </row>
    <row r="260" spans="1:14" ht="52.8" outlineLevel="1">
      <c r="A260" s="266">
        <f>SUBTOTAL(3,$F$7:F260)</f>
        <v>245</v>
      </c>
      <c r="B260" s="225" t="s">
        <v>1345</v>
      </c>
      <c r="C260" s="224"/>
      <c r="D260" s="224"/>
      <c r="E260" s="323" t="s">
        <v>1134</v>
      </c>
      <c r="F260" s="290" t="s">
        <v>1081</v>
      </c>
      <c r="G260" s="291">
        <v>1</v>
      </c>
      <c r="H260" s="291"/>
      <c r="I260" s="291"/>
      <c r="J260" s="292"/>
      <c r="K260" s="292"/>
      <c r="L260" s="292"/>
      <c r="M260" s="292"/>
      <c r="N260" s="225"/>
    </row>
    <row r="261" spans="1:14" ht="52.8" outlineLevel="1">
      <c r="A261" s="266">
        <f>SUBTOTAL(3,$F$7:F261)</f>
        <v>246</v>
      </c>
      <c r="B261" s="225" t="s">
        <v>1346</v>
      </c>
      <c r="C261" s="224"/>
      <c r="D261" s="224"/>
      <c r="E261" s="323" t="s">
        <v>1134</v>
      </c>
      <c r="F261" s="290" t="s">
        <v>1081</v>
      </c>
      <c r="G261" s="291">
        <v>1</v>
      </c>
      <c r="H261" s="291"/>
      <c r="I261" s="291"/>
      <c r="J261" s="292"/>
      <c r="K261" s="292"/>
      <c r="L261" s="292"/>
      <c r="M261" s="292"/>
      <c r="N261" s="225"/>
    </row>
    <row r="262" spans="1:14" ht="52.8" outlineLevel="1">
      <c r="A262" s="266">
        <f>SUBTOTAL(3,$F$7:F262)</f>
        <v>247</v>
      </c>
      <c r="B262" s="225" t="s">
        <v>1347</v>
      </c>
      <c r="C262" s="224"/>
      <c r="D262" s="224"/>
      <c r="E262" s="323" t="s">
        <v>1134</v>
      </c>
      <c r="F262" s="290" t="s">
        <v>1081</v>
      </c>
      <c r="G262" s="291">
        <v>1</v>
      </c>
      <c r="H262" s="291"/>
      <c r="I262" s="291"/>
      <c r="J262" s="292"/>
      <c r="K262" s="292"/>
      <c r="L262" s="292"/>
      <c r="M262" s="292"/>
      <c r="N262" s="225"/>
    </row>
    <row r="263" spans="1:14" ht="52.8" outlineLevel="1">
      <c r="A263" s="266">
        <f>SUBTOTAL(3,$F$7:F263)</f>
        <v>248</v>
      </c>
      <c r="B263" s="225" t="s">
        <v>1348</v>
      </c>
      <c r="C263" s="224"/>
      <c r="D263" s="224"/>
      <c r="E263" s="323" t="s">
        <v>1134</v>
      </c>
      <c r="F263" s="290" t="s">
        <v>1081</v>
      </c>
      <c r="G263" s="291">
        <v>1</v>
      </c>
      <c r="H263" s="291"/>
      <c r="I263" s="291"/>
      <c r="J263" s="292"/>
      <c r="K263" s="292"/>
      <c r="L263" s="292"/>
      <c r="M263" s="292"/>
      <c r="N263" s="225"/>
    </row>
    <row r="264" spans="1:14" ht="52.8" outlineLevel="1">
      <c r="A264" s="266">
        <f>SUBTOTAL(3,$F$7:F264)</f>
        <v>249</v>
      </c>
      <c r="B264" s="225" t="s">
        <v>1349</v>
      </c>
      <c r="C264" s="224"/>
      <c r="D264" s="224"/>
      <c r="E264" s="323" t="s">
        <v>1134</v>
      </c>
      <c r="F264" s="290" t="s">
        <v>1081</v>
      </c>
      <c r="G264" s="291">
        <v>1</v>
      </c>
      <c r="H264" s="291"/>
      <c r="I264" s="291"/>
      <c r="J264" s="292"/>
      <c r="K264" s="292"/>
      <c r="L264" s="292"/>
      <c r="M264" s="292"/>
      <c r="N264" s="225"/>
    </row>
    <row r="265" spans="1:14" ht="52.8" outlineLevel="1">
      <c r="A265" s="266">
        <f>SUBTOTAL(3,$F$7:F265)</f>
        <v>250</v>
      </c>
      <c r="B265" s="225" t="s">
        <v>1350</v>
      </c>
      <c r="C265" s="224"/>
      <c r="D265" s="224"/>
      <c r="E265" s="323" t="s">
        <v>1134</v>
      </c>
      <c r="F265" s="290" t="s">
        <v>1081</v>
      </c>
      <c r="G265" s="291">
        <v>1</v>
      </c>
      <c r="H265" s="291"/>
      <c r="I265" s="291"/>
      <c r="J265" s="292"/>
      <c r="K265" s="292"/>
      <c r="L265" s="292"/>
      <c r="M265" s="292"/>
      <c r="N265" s="225"/>
    </row>
    <row r="266" spans="1:14" ht="52.8" outlineLevel="1">
      <c r="A266" s="266">
        <f>SUBTOTAL(3,$F$7:F266)</f>
        <v>251</v>
      </c>
      <c r="B266" s="225" t="s">
        <v>1351</v>
      </c>
      <c r="C266" s="224"/>
      <c r="D266" s="224"/>
      <c r="E266" s="323" t="s">
        <v>1134</v>
      </c>
      <c r="F266" s="290" t="s">
        <v>1081</v>
      </c>
      <c r="G266" s="291">
        <v>1</v>
      </c>
      <c r="H266" s="291"/>
      <c r="I266" s="291"/>
      <c r="J266" s="292"/>
      <c r="K266" s="292"/>
      <c r="L266" s="292"/>
      <c r="M266" s="292"/>
      <c r="N266" s="225"/>
    </row>
    <row r="267" spans="1:14" ht="52.8" outlineLevel="1">
      <c r="A267" s="266">
        <f>SUBTOTAL(3,$F$7:F267)</f>
        <v>252</v>
      </c>
      <c r="B267" s="225" t="s">
        <v>1352</v>
      </c>
      <c r="C267" s="224"/>
      <c r="D267" s="224"/>
      <c r="E267" s="323" t="s">
        <v>1134</v>
      </c>
      <c r="F267" s="290" t="s">
        <v>1081</v>
      </c>
      <c r="G267" s="291">
        <v>1</v>
      </c>
      <c r="H267" s="291"/>
      <c r="I267" s="291"/>
      <c r="J267" s="292"/>
      <c r="K267" s="292"/>
      <c r="L267" s="292"/>
      <c r="M267" s="292"/>
      <c r="N267" s="225"/>
    </row>
    <row r="268" spans="1:14" ht="52.8" outlineLevel="1">
      <c r="A268" s="266">
        <f>SUBTOTAL(3,$F$7:F268)</f>
        <v>253</v>
      </c>
      <c r="B268" s="225" t="s">
        <v>1353</v>
      </c>
      <c r="C268" s="224"/>
      <c r="D268" s="224"/>
      <c r="E268" s="323" t="s">
        <v>1134</v>
      </c>
      <c r="F268" s="290" t="s">
        <v>1081</v>
      </c>
      <c r="G268" s="291">
        <v>1</v>
      </c>
      <c r="H268" s="291"/>
      <c r="I268" s="291"/>
      <c r="J268" s="292"/>
      <c r="K268" s="292"/>
      <c r="L268" s="292"/>
      <c r="M268" s="292"/>
      <c r="N268" s="225"/>
    </row>
    <row r="269" spans="1:14" ht="52.8" outlineLevel="1">
      <c r="A269" s="266">
        <f>SUBTOTAL(3,$F$7:F269)</f>
        <v>254</v>
      </c>
      <c r="B269" s="225" t="s">
        <v>1354</v>
      </c>
      <c r="C269" s="224"/>
      <c r="D269" s="224"/>
      <c r="E269" s="323" t="s">
        <v>1134</v>
      </c>
      <c r="F269" s="290" t="s">
        <v>1081</v>
      </c>
      <c r="G269" s="291">
        <v>1</v>
      </c>
      <c r="H269" s="291"/>
      <c r="I269" s="291"/>
      <c r="J269" s="292"/>
      <c r="K269" s="292"/>
      <c r="L269" s="292"/>
      <c r="M269" s="292"/>
      <c r="N269" s="225"/>
    </row>
    <row r="270" spans="1:14" ht="52.8" outlineLevel="1">
      <c r="A270" s="266">
        <f>SUBTOTAL(3,$F$7:F270)</f>
        <v>255</v>
      </c>
      <c r="B270" s="225" t="s">
        <v>1355</v>
      </c>
      <c r="C270" s="224"/>
      <c r="D270" s="224"/>
      <c r="E270" s="323" t="s">
        <v>1134</v>
      </c>
      <c r="F270" s="290" t="s">
        <v>1081</v>
      </c>
      <c r="G270" s="291">
        <v>1</v>
      </c>
      <c r="H270" s="291"/>
      <c r="I270" s="291"/>
      <c r="J270" s="292"/>
      <c r="K270" s="292"/>
      <c r="L270" s="292"/>
      <c r="M270" s="292"/>
      <c r="N270" s="225"/>
    </row>
    <row r="271" spans="1:14" ht="52.8" outlineLevel="1">
      <c r="A271" s="266">
        <f>SUBTOTAL(3,$F$7:F271)</f>
        <v>256</v>
      </c>
      <c r="B271" s="225" t="s">
        <v>1356</v>
      </c>
      <c r="C271" s="224"/>
      <c r="D271" s="224"/>
      <c r="E271" s="323" t="s">
        <v>1134</v>
      </c>
      <c r="F271" s="290" t="s">
        <v>1081</v>
      </c>
      <c r="G271" s="291">
        <v>1</v>
      </c>
      <c r="H271" s="291"/>
      <c r="I271" s="291"/>
      <c r="J271" s="292"/>
      <c r="K271" s="292"/>
      <c r="L271" s="292"/>
      <c r="M271" s="292"/>
      <c r="N271" s="225"/>
    </row>
    <row r="272" spans="1:14" ht="52.8" outlineLevel="1">
      <c r="A272" s="266">
        <f>SUBTOTAL(3,$F$7:F272)</f>
        <v>257</v>
      </c>
      <c r="B272" s="225" t="s">
        <v>1357</v>
      </c>
      <c r="C272" s="224"/>
      <c r="D272" s="224"/>
      <c r="E272" s="323" t="s">
        <v>1134</v>
      </c>
      <c r="F272" s="290" t="s">
        <v>1081</v>
      </c>
      <c r="G272" s="291">
        <v>1</v>
      </c>
      <c r="H272" s="291"/>
      <c r="I272" s="291"/>
      <c r="J272" s="292"/>
      <c r="K272" s="292"/>
      <c r="L272" s="292"/>
      <c r="M272" s="292"/>
      <c r="N272" s="225"/>
    </row>
    <row r="273" spans="1:14" ht="52.8" outlineLevel="1">
      <c r="A273" s="266">
        <f>SUBTOTAL(3,$F$7:F273)</f>
        <v>258</v>
      </c>
      <c r="B273" s="225" t="s">
        <v>1358</v>
      </c>
      <c r="C273" s="224"/>
      <c r="D273" s="224"/>
      <c r="E273" s="323" t="s">
        <v>1134</v>
      </c>
      <c r="F273" s="290" t="s">
        <v>1081</v>
      </c>
      <c r="G273" s="291">
        <v>1</v>
      </c>
      <c r="H273" s="291"/>
      <c r="I273" s="291"/>
      <c r="J273" s="292"/>
      <c r="K273" s="292"/>
      <c r="L273" s="292"/>
      <c r="M273" s="292"/>
      <c r="N273" s="225"/>
    </row>
    <row r="274" spans="1:14" ht="52.8" outlineLevel="1">
      <c r="A274" s="266">
        <f>SUBTOTAL(3,$F$7:F274)</f>
        <v>259</v>
      </c>
      <c r="B274" s="225" t="s">
        <v>1359</v>
      </c>
      <c r="C274" s="224"/>
      <c r="D274" s="224"/>
      <c r="E274" s="323" t="s">
        <v>1134</v>
      </c>
      <c r="F274" s="290" t="s">
        <v>1081</v>
      </c>
      <c r="G274" s="291">
        <v>1</v>
      </c>
      <c r="H274" s="291"/>
      <c r="I274" s="291"/>
      <c r="J274" s="292"/>
      <c r="K274" s="292"/>
      <c r="L274" s="292"/>
      <c r="M274" s="292"/>
      <c r="N274" s="225"/>
    </row>
    <row r="275" spans="1:14" ht="52.8" outlineLevel="1">
      <c r="A275" s="266">
        <f>SUBTOTAL(3,$F$7:F275)</f>
        <v>260</v>
      </c>
      <c r="B275" s="225" t="s">
        <v>1360</v>
      </c>
      <c r="C275" s="224"/>
      <c r="D275" s="224"/>
      <c r="E275" s="323" t="s">
        <v>1134</v>
      </c>
      <c r="F275" s="290" t="s">
        <v>1081</v>
      </c>
      <c r="G275" s="291">
        <v>1</v>
      </c>
      <c r="H275" s="291"/>
      <c r="I275" s="291"/>
      <c r="J275" s="292"/>
      <c r="K275" s="292"/>
      <c r="L275" s="292"/>
      <c r="M275" s="292"/>
      <c r="N275" s="225"/>
    </row>
    <row r="276" spans="1:14" ht="52.8" outlineLevel="1">
      <c r="A276" s="266">
        <f>SUBTOTAL(3,$F$7:F276)</f>
        <v>261</v>
      </c>
      <c r="B276" s="225" t="s">
        <v>1361</v>
      </c>
      <c r="C276" s="224"/>
      <c r="D276" s="224"/>
      <c r="E276" s="323" t="s">
        <v>1134</v>
      </c>
      <c r="F276" s="290" t="s">
        <v>1081</v>
      </c>
      <c r="G276" s="291">
        <v>1</v>
      </c>
      <c r="H276" s="291"/>
      <c r="I276" s="291"/>
      <c r="J276" s="292"/>
      <c r="K276" s="292"/>
      <c r="L276" s="292"/>
      <c r="M276" s="292"/>
      <c r="N276" s="225"/>
    </row>
    <row r="277" spans="1:14" ht="52.8" outlineLevel="1">
      <c r="A277" s="266">
        <f>SUBTOTAL(3,$F$7:F277)</f>
        <v>262</v>
      </c>
      <c r="B277" s="225" t="s">
        <v>1362</v>
      </c>
      <c r="C277" s="224"/>
      <c r="D277" s="224"/>
      <c r="E277" s="323" t="s">
        <v>1134</v>
      </c>
      <c r="F277" s="290" t="s">
        <v>1081</v>
      </c>
      <c r="G277" s="291">
        <v>1</v>
      </c>
      <c r="H277" s="291"/>
      <c r="I277" s="291"/>
      <c r="J277" s="292"/>
      <c r="K277" s="292"/>
      <c r="L277" s="292"/>
      <c r="M277" s="292"/>
      <c r="N277" s="225"/>
    </row>
    <row r="278" spans="1:14" outlineLevel="1">
      <c r="A278" s="266">
        <f>SUBTOTAL(3,$F$7:F278)</f>
        <v>263</v>
      </c>
      <c r="B278" s="225" t="s">
        <v>1363</v>
      </c>
      <c r="C278" s="224"/>
      <c r="D278" s="224"/>
      <c r="E278" s="224"/>
      <c r="F278" s="290" t="s">
        <v>276</v>
      </c>
      <c r="G278" s="291">
        <v>0</v>
      </c>
      <c r="H278" s="291"/>
      <c r="I278" s="291"/>
      <c r="J278" s="292"/>
      <c r="K278" s="292"/>
      <c r="L278" s="292"/>
      <c r="M278" s="292"/>
      <c r="N278" s="225"/>
    </row>
    <row r="279" spans="1:14">
      <c r="A279" s="289" t="s">
        <v>1035</v>
      </c>
      <c r="B279" s="280" t="s">
        <v>1364</v>
      </c>
      <c r="C279" s="219"/>
      <c r="D279" s="219"/>
      <c r="E279" s="224"/>
      <c r="F279" s="296"/>
      <c r="G279" s="291">
        <v>0</v>
      </c>
      <c r="H279" s="297"/>
      <c r="I279" s="297"/>
      <c r="J279" s="292"/>
      <c r="K279" s="292"/>
      <c r="L279" s="292"/>
      <c r="M279" s="292"/>
      <c r="N279" s="225"/>
    </row>
    <row r="280" spans="1:14" ht="27.6" outlineLevel="1">
      <c r="A280" s="266">
        <f>SUBTOTAL(3,$F$7:F280)</f>
        <v>264</v>
      </c>
      <c r="B280" s="295" t="s">
        <v>1365</v>
      </c>
      <c r="C280" s="219"/>
      <c r="D280" s="219"/>
      <c r="E280" s="224" t="s">
        <v>1366</v>
      </c>
      <c r="F280" s="296" t="s">
        <v>570</v>
      </c>
      <c r="G280" s="291">
        <v>12</v>
      </c>
      <c r="H280" s="297"/>
      <c r="I280" s="297"/>
      <c r="J280" s="292"/>
      <c r="K280" s="292"/>
      <c r="L280" s="292"/>
      <c r="M280" s="292"/>
      <c r="N280" s="225"/>
    </row>
    <row r="281" spans="1:14" outlineLevel="1">
      <c r="A281" s="266">
        <f>SUBTOTAL(3,$F$7:F281)</f>
        <v>265</v>
      </c>
      <c r="B281" s="225" t="s">
        <v>1367</v>
      </c>
      <c r="C281" s="224"/>
      <c r="D281" s="224"/>
      <c r="E281" s="224"/>
      <c r="F281" s="290" t="s">
        <v>396</v>
      </c>
      <c r="G281" s="291">
        <v>2</v>
      </c>
      <c r="H281" s="291"/>
      <c r="I281" s="291"/>
      <c r="J281" s="292"/>
      <c r="K281" s="292"/>
      <c r="L281" s="292"/>
      <c r="M281" s="292"/>
      <c r="N281" s="225"/>
    </row>
    <row r="282" spans="1:14" outlineLevel="1">
      <c r="A282" s="266">
        <f>SUBTOTAL(3,$F$7:F282)</f>
        <v>266</v>
      </c>
      <c r="B282" s="225" t="s">
        <v>1368</v>
      </c>
      <c r="C282" s="224"/>
      <c r="D282" s="224"/>
      <c r="E282" s="224"/>
      <c r="F282" s="290" t="s">
        <v>396</v>
      </c>
      <c r="G282" s="291">
        <v>1</v>
      </c>
      <c r="H282" s="291"/>
      <c r="I282" s="291"/>
      <c r="J282" s="292"/>
      <c r="K282" s="292"/>
      <c r="L282" s="292"/>
      <c r="M282" s="292"/>
      <c r="N282" s="225"/>
    </row>
    <row r="283" spans="1:14" outlineLevel="1">
      <c r="A283" s="266">
        <f>SUBTOTAL(3,$F$7:F283)</f>
        <v>267</v>
      </c>
      <c r="B283" s="225" t="s">
        <v>1369</v>
      </c>
      <c r="C283" s="224"/>
      <c r="D283" s="224"/>
      <c r="E283" s="224"/>
      <c r="F283" s="290" t="s">
        <v>396</v>
      </c>
      <c r="G283" s="291">
        <v>1</v>
      </c>
      <c r="H283" s="291"/>
      <c r="I283" s="291"/>
      <c r="J283" s="292"/>
      <c r="K283" s="292"/>
      <c r="L283" s="292"/>
      <c r="M283" s="292"/>
      <c r="N283" s="225"/>
    </row>
    <row r="284" spans="1:14" outlineLevel="1">
      <c r="A284" s="266">
        <f>SUBTOTAL(3,$F$7:F289)</f>
        <v>273</v>
      </c>
      <c r="B284" s="225" t="s">
        <v>1370</v>
      </c>
      <c r="C284" s="224"/>
      <c r="D284" s="224"/>
      <c r="E284" s="224"/>
      <c r="F284" s="290" t="s">
        <v>276</v>
      </c>
      <c r="G284" s="291">
        <v>1</v>
      </c>
      <c r="H284" s="291"/>
      <c r="I284" s="291"/>
      <c r="J284" s="292"/>
      <c r="K284" s="292"/>
      <c r="L284" s="292"/>
      <c r="M284" s="292"/>
      <c r="N284" s="225"/>
    </row>
    <row r="285" spans="1:14" ht="27.6" outlineLevel="1">
      <c r="A285" s="266">
        <f>SUBTOTAL(3,$F$7:F285)</f>
        <v>269</v>
      </c>
      <c r="B285" s="295" t="s">
        <v>1371</v>
      </c>
      <c r="C285" s="219"/>
      <c r="D285" s="219"/>
      <c r="E285" s="224" t="s">
        <v>1366</v>
      </c>
      <c r="F285" s="296" t="s">
        <v>570</v>
      </c>
      <c r="G285" s="291">
        <v>11</v>
      </c>
      <c r="H285" s="297"/>
      <c r="I285" s="297"/>
      <c r="J285" s="292"/>
      <c r="K285" s="292"/>
      <c r="L285" s="292"/>
      <c r="M285" s="292"/>
      <c r="N285" s="225"/>
    </row>
    <row r="286" spans="1:14" outlineLevel="1">
      <c r="A286" s="266">
        <f>SUBTOTAL(3,$F$7:F286)</f>
        <v>270</v>
      </c>
      <c r="B286" s="225" t="s">
        <v>1367</v>
      </c>
      <c r="C286" s="224"/>
      <c r="D286" s="224"/>
      <c r="E286" s="224"/>
      <c r="F286" s="290" t="s">
        <v>396</v>
      </c>
      <c r="G286" s="291">
        <v>3</v>
      </c>
      <c r="H286" s="291"/>
      <c r="I286" s="291"/>
      <c r="J286" s="292"/>
      <c r="K286" s="292"/>
      <c r="L286" s="292"/>
      <c r="M286" s="292"/>
      <c r="N286" s="225"/>
    </row>
    <row r="287" spans="1:14" outlineLevel="1">
      <c r="A287" s="266">
        <f>SUBTOTAL(3,$F$7:F287)</f>
        <v>271</v>
      </c>
      <c r="B287" s="225" t="s">
        <v>1368</v>
      </c>
      <c r="C287" s="224"/>
      <c r="D287" s="224"/>
      <c r="E287" s="224"/>
      <c r="F287" s="290" t="s">
        <v>396</v>
      </c>
      <c r="G287" s="291">
        <v>1</v>
      </c>
      <c r="H287" s="291"/>
      <c r="I287" s="291"/>
      <c r="J287" s="292"/>
      <c r="K287" s="292"/>
      <c r="L287" s="292"/>
      <c r="M287" s="292"/>
      <c r="N287" s="225"/>
    </row>
    <row r="288" spans="1:14" outlineLevel="1">
      <c r="A288" s="266">
        <f>SUBTOTAL(3,$F$7:F288)</f>
        <v>272</v>
      </c>
      <c r="B288" s="225" t="s">
        <v>1369</v>
      </c>
      <c r="C288" s="224"/>
      <c r="D288" s="224"/>
      <c r="E288" s="224"/>
      <c r="F288" s="290" t="s">
        <v>396</v>
      </c>
      <c r="G288" s="291">
        <v>1</v>
      </c>
      <c r="H288" s="291"/>
      <c r="I288" s="291"/>
      <c r="J288" s="292"/>
      <c r="K288" s="292"/>
      <c r="L288" s="292"/>
      <c r="M288" s="292"/>
      <c r="N288" s="225"/>
    </row>
    <row r="289" spans="1:14" outlineLevel="1">
      <c r="A289" s="266">
        <f>SUBTOTAL(3,$F$7:F289)</f>
        <v>273</v>
      </c>
      <c r="B289" s="225" t="s">
        <v>1370</v>
      </c>
      <c r="C289" s="224"/>
      <c r="D289" s="224"/>
      <c r="E289" s="224"/>
      <c r="F289" s="290" t="s">
        <v>276</v>
      </c>
      <c r="G289" s="291">
        <v>1</v>
      </c>
      <c r="H289" s="291"/>
      <c r="I289" s="291"/>
      <c r="J289" s="292"/>
      <c r="K289" s="292"/>
      <c r="L289" s="292"/>
      <c r="M289" s="292"/>
      <c r="N289" s="225"/>
    </row>
    <row r="290" spans="1:14" ht="27.6" outlineLevel="1">
      <c r="A290" s="266">
        <f>SUBTOTAL(3,$F$7:F290)</f>
        <v>274</v>
      </c>
      <c r="B290" s="295" t="s">
        <v>1372</v>
      </c>
      <c r="C290" s="219"/>
      <c r="D290" s="219"/>
      <c r="E290" s="224" t="s">
        <v>1366</v>
      </c>
      <c r="F290" s="296" t="s">
        <v>570</v>
      </c>
      <c r="G290" s="291">
        <v>115</v>
      </c>
      <c r="H290" s="297"/>
      <c r="I290" s="297"/>
      <c r="J290" s="292"/>
      <c r="K290" s="292"/>
      <c r="L290" s="292"/>
      <c r="M290" s="292"/>
      <c r="N290" s="225"/>
    </row>
    <row r="291" spans="1:14" outlineLevel="1">
      <c r="A291" s="266">
        <f>SUBTOTAL(3,$F$7:F291)</f>
        <v>275</v>
      </c>
      <c r="B291" s="225" t="s">
        <v>1367</v>
      </c>
      <c r="C291" s="224"/>
      <c r="D291" s="224"/>
      <c r="E291" s="224"/>
      <c r="F291" s="290" t="s">
        <v>396</v>
      </c>
      <c r="G291" s="291">
        <v>7</v>
      </c>
      <c r="H291" s="291"/>
      <c r="I291" s="291"/>
      <c r="J291" s="292"/>
      <c r="K291" s="292"/>
      <c r="L291" s="292"/>
      <c r="M291" s="292"/>
      <c r="N291" s="225"/>
    </row>
    <row r="292" spans="1:14" outlineLevel="1">
      <c r="A292" s="266">
        <f>SUBTOTAL(3,$F$7:F292)</f>
        <v>276</v>
      </c>
      <c r="B292" s="225" t="s">
        <v>1373</v>
      </c>
      <c r="C292" s="224"/>
      <c r="D292" s="224"/>
      <c r="E292" s="224"/>
      <c r="F292" s="290" t="s">
        <v>396</v>
      </c>
      <c r="G292" s="291">
        <v>2</v>
      </c>
      <c r="H292" s="291"/>
      <c r="I292" s="291"/>
      <c r="J292" s="292"/>
      <c r="K292" s="292"/>
      <c r="L292" s="292"/>
      <c r="M292" s="292"/>
      <c r="N292" s="225"/>
    </row>
    <row r="293" spans="1:14" outlineLevel="1">
      <c r="A293" s="266">
        <f>SUBTOTAL(3,$F$7:F293)</f>
        <v>277</v>
      </c>
      <c r="B293" s="225" t="s">
        <v>1368</v>
      </c>
      <c r="C293" s="224"/>
      <c r="D293" s="224"/>
      <c r="E293" s="224"/>
      <c r="F293" s="290" t="s">
        <v>396</v>
      </c>
      <c r="G293" s="291">
        <v>2</v>
      </c>
      <c r="H293" s="291"/>
      <c r="I293" s="291"/>
      <c r="J293" s="292"/>
      <c r="K293" s="292"/>
      <c r="L293" s="292"/>
      <c r="M293" s="292"/>
      <c r="N293" s="225"/>
    </row>
    <row r="294" spans="1:14" outlineLevel="1">
      <c r="A294" s="266">
        <f>SUBTOTAL(3,$F$7:F294)</f>
        <v>278</v>
      </c>
      <c r="B294" s="225" t="s">
        <v>1370</v>
      </c>
      <c r="C294" s="224"/>
      <c r="D294" s="224"/>
      <c r="E294" s="224"/>
      <c r="F294" s="290" t="s">
        <v>276</v>
      </c>
      <c r="G294" s="291">
        <v>1</v>
      </c>
      <c r="H294" s="291"/>
      <c r="I294" s="291"/>
      <c r="J294" s="292"/>
      <c r="K294" s="292"/>
      <c r="L294" s="292"/>
      <c r="M294" s="292"/>
      <c r="N294" s="225"/>
    </row>
    <row r="295" spans="1:14" ht="27.6" outlineLevel="1">
      <c r="A295" s="266">
        <f>SUBTOTAL(3,$F$7:F295)</f>
        <v>279</v>
      </c>
      <c r="B295" s="295" t="s">
        <v>1374</v>
      </c>
      <c r="C295" s="219"/>
      <c r="D295" s="219"/>
      <c r="E295" s="224" t="s">
        <v>1366</v>
      </c>
      <c r="F295" s="296" t="s">
        <v>570</v>
      </c>
      <c r="G295" s="291">
        <v>113</v>
      </c>
      <c r="H295" s="297"/>
      <c r="I295" s="297"/>
      <c r="J295" s="292"/>
      <c r="K295" s="292"/>
      <c r="L295" s="292"/>
      <c r="M295" s="292"/>
      <c r="N295" s="225"/>
    </row>
    <row r="296" spans="1:14" outlineLevel="1">
      <c r="A296" s="266">
        <f>SUBTOTAL(3,$F$7:F296)</f>
        <v>280</v>
      </c>
      <c r="B296" s="225" t="s">
        <v>1367</v>
      </c>
      <c r="C296" s="224"/>
      <c r="D296" s="224"/>
      <c r="E296" s="224"/>
      <c r="F296" s="290" t="s">
        <v>396</v>
      </c>
      <c r="G296" s="291">
        <v>7</v>
      </c>
      <c r="H296" s="291"/>
      <c r="I296" s="291"/>
      <c r="J296" s="292"/>
      <c r="K296" s="292"/>
      <c r="L296" s="292"/>
      <c r="M296" s="292"/>
      <c r="N296" s="225"/>
    </row>
    <row r="297" spans="1:14" outlineLevel="1">
      <c r="A297" s="266">
        <f>SUBTOTAL(3,$F$7:F297)</f>
        <v>281</v>
      </c>
      <c r="B297" s="225" t="s">
        <v>1373</v>
      </c>
      <c r="C297" s="224"/>
      <c r="D297" s="224"/>
      <c r="E297" s="224"/>
      <c r="F297" s="290" t="s">
        <v>396</v>
      </c>
      <c r="G297" s="291">
        <v>2</v>
      </c>
      <c r="H297" s="291"/>
      <c r="I297" s="291"/>
      <c r="J297" s="292"/>
      <c r="K297" s="292"/>
      <c r="L297" s="292"/>
      <c r="M297" s="292"/>
      <c r="N297" s="225"/>
    </row>
    <row r="298" spans="1:14" outlineLevel="1">
      <c r="A298" s="266">
        <f>SUBTOTAL(3,$F$7:F298)</f>
        <v>282</v>
      </c>
      <c r="B298" s="225" t="s">
        <v>1368</v>
      </c>
      <c r="C298" s="224"/>
      <c r="D298" s="224"/>
      <c r="E298" s="224"/>
      <c r="F298" s="290" t="s">
        <v>396</v>
      </c>
      <c r="G298" s="291">
        <v>2</v>
      </c>
      <c r="H298" s="291"/>
      <c r="I298" s="291"/>
      <c r="J298" s="292"/>
      <c r="K298" s="292"/>
      <c r="L298" s="292"/>
      <c r="M298" s="292"/>
      <c r="N298" s="225"/>
    </row>
    <row r="299" spans="1:14" outlineLevel="1">
      <c r="A299" s="266">
        <f>SUBTOTAL(3,$F$7:F299)</f>
        <v>283</v>
      </c>
      <c r="B299" s="225" t="s">
        <v>1370</v>
      </c>
      <c r="C299" s="224"/>
      <c r="D299" s="224"/>
      <c r="E299" s="224"/>
      <c r="F299" s="290" t="s">
        <v>276</v>
      </c>
      <c r="G299" s="291">
        <v>1</v>
      </c>
      <c r="H299" s="291"/>
      <c r="I299" s="291"/>
      <c r="J299" s="292"/>
      <c r="K299" s="292"/>
      <c r="L299" s="292"/>
      <c r="M299" s="292"/>
      <c r="N299" s="225"/>
    </row>
    <row r="300" spans="1:14" ht="27.6" outlineLevel="1">
      <c r="A300" s="266">
        <f>SUBTOTAL(3,$F$7:F300)</f>
        <v>284</v>
      </c>
      <c r="B300" s="295" t="s">
        <v>1375</v>
      </c>
      <c r="C300" s="219"/>
      <c r="D300" s="219"/>
      <c r="E300" s="224" t="s">
        <v>1366</v>
      </c>
      <c r="F300" s="296" t="s">
        <v>570</v>
      </c>
      <c r="G300" s="291">
        <v>16</v>
      </c>
      <c r="H300" s="297"/>
      <c r="I300" s="297"/>
      <c r="J300" s="292"/>
      <c r="K300" s="292"/>
      <c r="L300" s="292"/>
      <c r="M300" s="292"/>
      <c r="N300" s="225"/>
    </row>
    <row r="301" spans="1:14" outlineLevel="1">
      <c r="A301" s="266">
        <f>SUBTOTAL(3,$F$7:F301)</f>
        <v>285</v>
      </c>
      <c r="B301" s="225" t="s">
        <v>1367</v>
      </c>
      <c r="C301" s="224"/>
      <c r="D301" s="224"/>
      <c r="E301" s="224"/>
      <c r="F301" s="290" t="s">
        <v>396</v>
      </c>
      <c r="G301" s="291">
        <v>4</v>
      </c>
      <c r="H301" s="291"/>
      <c r="I301" s="291"/>
      <c r="J301" s="292"/>
      <c r="K301" s="292"/>
      <c r="L301" s="292"/>
      <c r="M301" s="292"/>
      <c r="N301" s="225"/>
    </row>
    <row r="302" spans="1:14" outlineLevel="1">
      <c r="A302" s="266">
        <f>SUBTOTAL(3,$F$7:F302)</f>
        <v>286</v>
      </c>
      <c r="B302" s="225" t="s">
        <v>1376</v>
      </c>
      <c r="C302" s="224"/>
      <c r="D302" s="224"/>
      <c r="E302" s="224"/>
      <c r="F302" s="290" t="s">
        <v>396</v>
      </c>
      <c r="G302" s="291">
        <v>1</v>
      </c>
      <c r="H302" s="291"/>
      <c r="I302" s="291"/>
      <c r="J302" s="292"/>
      <c r="K302" s="292"/>
      <c r="L302" s="292"/>
      <c r="M302" s="292"/>
      <c r="N302" s="225"/>
    </row>
    <row r="303" spans="1:14" outlineLevel="1">
      <c r="A303" s="266">
        <f>SUBTOTAL(3,$F$7:F303)</f>
        <v>287</v>
      </c>
      <c r="B303" s="225" t="s">
        <v>1377</v>
      </c>
      <c r="C303" s="224"/>
      <c r="D303" s="224"/>
      <c r="E303" s="224"/>
      <c r="F303" s="290" t="s">
        <v>396</v>
      </c>
      <c r="G303" s="291">
        <v>1</v>
      </c>
      <c r="H303" s="291"/>
      <c r="I303" s="291"/>
      <c r="J303" s="292"/>
      <c r="K303" s="292"/>
      <c r="L303" s="292"/>
      <c r="M303" s="292"/>
      <c r="N303" s="225"/>
    </row>
    <row r="304" spans="1:14" outlineLevel="1">
      <c r="A304" s="266">
        <f>SUBTOTAL(3,$F$7:F304)</f>
        <v>288</v>
      </c>
      <c r="B304" s="225" t="s">
        <v>1370</v>
      </c>
      <c r="C304" s="224"/>
      <c r="D304" s="224"/>
      <c r="E304" s="224"/>
      <c r="F304" s="290" t="s">
        <v>396</v>
      </c>
      <c r="G304" s="291">
        <v>1</v>
      </c>
      <c r="H304" s="291"/>
      <c r="I304" s="291"/>
      <c r="J304" s="292"/>
      <c r="K304" s="292"/>
      <c r="L304" s="292"/>
      <c r="M304" s="292"/>
      <c r="N304" s="225"/>
    </row>
    <row r="305" spans="1:14" ht="27.6" outlineLevel="1">
      <c r="A305" s="266">
        <f>SUBTOTAL(3,$F$7:F305)</f>
        <v>289</v>
      </c>
      <c r="B305" s="295" t="s">
        <v>1378</v>
      </c>
      <c r="C305" s="219"/>
      <c r="D305" s="219"/>
      <c r="E305" s="224" t="s">
        <v>1366</v>
      </c>
      <c r="F305" s="296" t="s">
        <v>570</v>
      </c>
      <c r="G305" s="291">
        <v>10</v>
      </c>
      <c r="H305" s="297"/>
      <c r="I305" s="297"/>
      <c r="J305" s="292"/>
      <c r="K305" s="292"/>
      <c r="L305" s="292"/>
      <c r="M305" s="292"/>
      <c r="N305" s="225"/>
    </row>
    <row r="306" spans="1:14" outlineLevel="1">
      <c r="A306" s="266">
        <f>SUBTOTAL(3,$F$7:F306)</f>
        <v>290</v>
      </c>
      <c r="B306" s="225" t="s">
        <v>1367</v>
      </c>
      <c r="C306" s="224"/>
      <c r="D306" s="224"/>
      <c r="E306" s="224"/>
      <c r="F306" s="290" t="s">
        <v>396</v>
      </c>
      <c r="G306" s="291">
        <v>3</v>
      </c>
      <c r="H306" s="291"/>
      <c r="I306" s="291"/>
      <c r="J306" s="292"/>
      <c r="K306" s="292"/>
      <c r="L306" s="292"/>
      <c r="M306" s="292"/>
      <c r="N306" s="225"/>
    </row>
    <row r="307" spans="1:14" outlineLevel="1">
      <c r="A307" s="266">
        <f>SUBTOTAL(3,$F$7:F307)</f>
        <v>291</v>
      </c>
      <c r="B307" s="225" t="s">
        <v>1376</v>
      </c>
      <c r="C307" s="224"/>
      <c r="D307" s="224"/>
      <c r="E307" s="224"/>
      <c r="F307" s="290" t="s">
        <v>396</v>
      </c>
      <c r="G307" s="291">
        <v>1</v>
      </c>
      <c r="H307" s="291"/>
      <c r="I307" s="291"/>
      <c r="J307" s="292"/>
      <c r="K307" s="292"/>
      <c r="L307" s="292"/>
      <c r="M307" s="292"/>
      <c r="N307" s="225"/>
    </row>
    <row r="308" spans="1:14" outlineLevel="1">
      <c r="A308" s="266">
        <f>SUBTOTAL(3,$F$7:F308)</f>
        <v>292</v>
      </c>
      <c r="B308" s="225" t="s">
        <v>1377</v>
      </c>
      <c r="C308" s="224"/>
      <c r="D308" s="224"/>
      <c r="E308" s="224"/>
      <c r="F308" s="290" t="s">
        <v>396</v>
      </c>
      <c r="G308" s="291">
        <v>1</v>
      </c>
      <c r="H308" s="291"/>
      <c r="I308" s="291"/>
      <c r="J308" s="292"/>
      <c r="K308" s="292"/>
      <c r="L308" s="292"/>
      <c r="M308" s="292"/>
      <c r="N308" s="225"/>
    </row>
    <row r="309" spans="1:14" outlineLevel="1">
      <c r="A309" s="266">
        <f>SUBTOTAL(3,$F$7:F309)</f>
        <v>293</v>
      </c>
      <c r="B309" s="225" t="s">
        <v>1370</v>
      </c>
      <c r="C309" s="224"/>
      <c r="D309" s="224"/>
      <c r="E309" s="224"/>
      <c r="F309" s="290" t="s">
        <v>396</v>
      </c>
      <c r="G309" s="291">
        <v>1</v>
      </c>
      <c r="H309" s="291"/>
      <c r="I309" s="291"/>
      <c r="J309" s="292"/>
      <c r="K309" s="292"/>
      <c r="L309" s="292"/>
      <c r="M309" s="292"/>
      <c r="N309" s="225"/>
    </row>
    <row r="310" spans="1:14" outlineLevel="1">
      <c r="A310" s="266">
        <f>SUBTOTAL(3,$F$7:F310)</f>
        <v>294</v>
      </c>
      <c r="B310" s="225" t="s">
        <v>1379</v>
      </c>
      <c r="C310" s="224"/>
      <c r="D310" s="224"/>
      <c r="E310" s="224"/>
      <c r="F310" s="290" t="s">
        <v>396</v>
      </c>
      <c r="G310" s="291">
        <v>3</v>
      </c>
      <c r="H310" s="291"/>
      <c r="I310" s="291"/>
      <c r="J310" s="292"/>
      <c r="K310" s="292"/>
      <c r="L310" s="292"/>
      <c r="M310" s="292"/>
      <c r="N310" s="225"/>
    </row>
    <row r="311" spans="1:14" outlineLevel="1">
      <c r="A311" s="266">
        <f>SUBTOTAL(3,$F$7:F311)</f>
        <v>295</v>
      </c>
      <c r="B311" s="225" t="s">
        <v>1380</v>
      </c>
      <c r="C311" s="224"/>
      <c r="D311" s="224"/>
      <c r="E311" s="224"/>
      <c r="F311" s="290" t="s">
        <v>396</v>
      </c>
      <c r="G311" s="291">
        <v>18</v>
      </c>
      <c r="H311" s="291"/>
      <c r="I311" s="291"/>
      <c r="J311" s="292"/>
      <c r="K311" s="292"/>
      <c r="L311" s="292"/>
      <c r="M311" s="292"/>
      <c r="N311" s="225"/>
    </row>
    <row r="312" spans="1:14" outlineLevel="1">
      <c r="A312" s="266">
        <f>SUBTOTAL(3,$F$7:F312)</f>
        <v>296</v>
      </c>
      <c r="B312" s="225" t="s">
        <v>1381</v>
      </c>
      <c r="C312" s="224"/>
      <c r="D312" s="224"/>
      <c r="E312" s="224"/>
      <c r="F312" s="290" t="s">
        <v>396</v>
      </c>
      <c r="G312" s="291">
        <v>16</v>
      </c>
      <c r="H312" s="291"/>
      <c r="I312" s="291"/>
      <c r="J312" s="292"/>
      <c r="K312" s="292"/>
      <c r="L312" s="292"/>
      <c r="M312" s="292"/>
      <c r="N312" s="225"/>
    </row>
    <row r="313" spans="1:14" ht="27.6">
      <c r="A313" s="289" t="s">
        <v>1382</v>
      </c>
      <c r="B313" s="280" t="s">
        <v>1383</v>
      </c>
      <c r="C313" s="219" t="s">
        <v>1384</v>
      </c>
      <c r="D313" s="219"/>
      <c r="E313" s="224" t="s">
        <v>1083</v>
      </c>
      <c r="F313" s="290"/>
      <c r="G313" s="291">
        <v>0</v>
      </c>
      <c r="H313" s="291"/>
      <c r="I313" s="291"/>
      <c r="J313" s="292"/>
      <c r="K313" s="292"/>
      <c r="L313" s="292"/>
      <c r="M313" s="292"/>
      <c r="N313" s="225"/>
    </row>
    <row r="314" spans="1:14" outlineLevel="1">
      <c r="A314" s="266"/>
      <c r="B314" s="295" t="s">
        <v>1385</v>
      </c>
      <c r="C314" s="219"/>
      <c r="D314" s="219"/>
      <c r="E314" s="219"/>
      <c r="F314" s="290"/>
      <c r="G314" s="291">
        <v>0</v>
      </c>
      <c r="H314" s="291"/>
      <c r="I314" s="291"/>
      <c r="J314" s="292"/>
      <c r="K314" s="292"/>
      <c r="L314" s="292"/>
      <c r="M314" s="292"/>
      <c r="N314" s="225"/>
    </row>
    <row r="315" spans="1:14" outlineLevel="1">
      <c r="A315" s="266">
        <f>SUBTOTAL(3,$F$7:F315)</f>
        <v>297</v>
      </c>
      <c r="B315" s="225" t="s">
        <v>1386</v>
      </c>
      <c r="C315" s="224"/>
      <c r="D315" s="224"/>
      <c r="E315" s="224"/>
      <c r="F315" s="290" t="s">
        <v>570</v>
      </c>
      <c r="G315" s="291">
        <v>115</v>
      </c>
      <c r="H315" s="291"/>
      <c r="I315" s="291"/>
      <c r="J315" s="292"/>
      <c r="K315" s="292"/>
      <c r="L315" s="292"/>
      <c r="M315" s="292"/>
      <c r="N315" s="225"/>
    </row>
    <row r="316" spans="1:14" outlineLevel="1">
      <c r="A316" s="266">
        <f>SUBTOTAL(3,$F$7:F316)</f>
        <v>298</v>
      </c>
      <c r="B316" s="225" t="s">
        <v>1387</v>
      </c>
      <c r="C316" s="224"/>
      <c r="D316" s="224"/>
      <c r="E316" s="224"/>
      <c r="F316" s="290" t="s">
        <v>570</v>
      </c>
      <c r="G316" s="291">
        <v>115</v>
      </c>
      <c r="H316" s="291"/>
      <c r="I316" s="291"/>
      <c r="J316" s="292"/>
      <c r="K316" s="292"/>
      <c r="L316" s="292"/>
      <c r="M316" s="292"/>
      <c r="N316" s="225"/>
    </row>
    <row r="317" spans="1:14" outlineLevel="1">
      <c r="A317" s="266"/>
      <c r="B317" s="295" t="s">
        <v>1388</v>
      </c>
      <c r="C317" s="219"/>
      <c r="D317" s="219"/>
      <c r="E317" s="219"/>
      <c r="F317" s="290"/>
      <c r="G317" s="291">
        <v>0</v>
      </c>
      <c r="H317" s="291"/>
      <c r="I317" s="291"/>
      <c r="J317" s="292"/>
      <c r="K317" s="292"/>
      <c r="L317" s="292"/>
      <c r="M317" s="292"/>
      <c r="N317" s="225"/>
    </row>
    <row r="318" spans="1:14" outlineLevel="1">
      <c r="A318" s="266">
        <f>SUBTOTAL(3,$F$7:F318)</f>
        <v>299</v>
      </c>
      <c r="B318" s="225" t="s">
        <v>1386</v>
      </c>
      <c r="C318" s="224"/>
      <c r="D318" s="224"/>
      <c r="E318" s="224"/>
      <c r="F318" s="290" t="s">
        <v>570</v>
      </c>
      <c r="G318" s="291">
        <v>45</v>
      </c>
      <c r="H318" s="291"/>
      <c r="I318" s="291"/>
      <c r="J318" s="292"/>
      <c r="K318" s="292"/>
      <c r="L318" s="292"/>
      <c r="M318" s="292"/>
      <c r="N318" s="225"/>
    </row>
    <row r="319" spans="1:14" outlineLevel="1">
      <c r="A319" s="266">
        <f>SUBTOTAL(3,$F$7:F319)</f>
        <v>300</v>
      </c>
      <c r="B319" s="225" t="s">
        <v>1387</v>
      </c>
      <c r="C319" s="224"/>
      <c r="D319" s="224"/>
      <c r="E319" s="224"/>
      <c r="F319" s="290" t="s">
        <v>570</v>
      </c>
      <c r="G319" s="291">
        <v>45</v>
      </c>
      <c r="H319" s="291"/>
      <c r="I319" s="291"/>
      <c r="J319" s="292"/>
      <c r="K319" s="292"/>
      <c r="L319" s="292"/>
      <c r="M319" s="292"/>
      <c r="N319" s="225"/>
    </row>
    <row r="320" spans="1:14" outlineLevel="1">
      <c r="A320" s="266"/>
      <c r="B320" s="295" t="s">
        <v>1389</v>
      </c>
      <c r="C320" s="219"/>
      <c r="D320" s="219"/>
      <c r="E320" s="219"/>
      <c r="F320" s="290"/>
      <c r="G320" s="291">
        <v>0</v>
      </c>
      <c r="H320" s="291"/>
      <c r="I320" s="291"/>
      <c r="J320" s="292"/>
      <c r="K320" s="292"/>
      <c r="L320" s="292"/>
      <c r="M320" s="292"/>
      <c r="N320" s="225"/>
    </row>
    <row r="321" spans="1:14" outlineLevel="1">
      <c r="A321" s="266">
        <f>SUBTOTAL(3,$F$7:F321)</f>
        <v>301</v>
      </c>
      <c r="B321" s="225" t="s">
        <v>1386</v>
      </c>
      <c r="C321" s="224"/>
      <c r="D321" s="224"/>
      <c r="E321" s="224"/>
      <c r="F321" s="290" t="s">
        <v>570</v>
      </c>
      <c r="G321" s="291">
        <v>55</v>
      </c>
      <c r="H321" s="291"/>
      <c r="I321" s="291"/>
      <c r="J321" s="292"/>
      <c r="K321" s="292"/>
      <c r="L321" s="292"/>
      <c r="M321" s="292"/>
      <c r="N321" s="225"/>
    </row>
    <row r="322" spans="1:14" outlineLevel="1">
      <c r="A322" s="266">
        <f>SUBTOTAL(3,$F$7:F322)</f>
        <v>302</v>
      </c>
      <c r="B322" s="225" t="s">
        <v>1387</v>
      </c>
      <c r="C322" s="224"/>
      <c r="D322" s="224"/>
      <c r="E322" s="224"/>
      <c r="F322" s="290" t="s">
        <v>570</v>
      </c>
      <c r="G322" s="291">
        <v>55</v>
      </c>
      <c r="H322" s="291"/>
      <c r="I322" s="291"/>
      <c r="J322" s="292"/>
      <c r="K322" s="292"/>
      <c r="L322" s="292"/>
      <c r="M322" s="292"/>
      <c r="N322" s="225"/>
    </row>
    <row r="323" spans="1:14" outlineLevel="1">
      <c r="A323" s="266"/>
      <c r="B323" s="295" t="s">
        <v>1390</v>
      </c>
      <c r="C323" s="219"/>
      <c r="D323" s="219"/>
      <c r="E323" s="219"/>
      <c r="F323" s="290"/>
      <c r="G323" s="291">
        <v>0</v>
      </c>
      <c r="H323" s="291"/>
      <c r="I323" s="291"/>
      <c r="J323" s="292"/>
      <c r="K323" s="292"/>
      <c r="L323" s="292"/>
      <c r="M323" s="292"/>
      <c r="N323" s="225"/>
    </row>
    <row r="324" spans="1:14" outlineLevel="1">
      <c r="A324" s="266">
        <f>SUBTOTAL(3,$F$7:F324)</f>
        <v>303</v>
      </c>
      <c r="B324" s="225" t="s">
        <v>1386</v>
      </c>
      <c r="C324" s="224"/>
      <c r="D324" s="224"/>
      <c r="E324" s="224"/>
      <c r="F324" s="290" t="s">
        <v>570</v>
      </c>
      <c r="G324" s="291">
        <v>45</v>
      </c>
      <c r="H324" s="291"/>
      <c r="I324" s="291"/>
      <c r="J324" s="292"/>
      <c r="K324" s="292"/>
      <c r="L324" s="292"/>
      <c r="M324" s="292"/>
      <c r="N324" s="225"/>
    </row>
    <row r="325" spans="1:14" outlineLevel="1">
      <c r="A325" s="266">
        <f>SUBTOTAL(3,$F$7:F325)</f>
        <v>304</v>
      </c>
      <c r="B325" s="225" t="s">
        <v>1387</v>
      </c>
      <c r="C325" s="224"/>
      <c r="D325" s="224"/>
      <c r="E325" s="224"/>
      <c r="F325" s="290" t="s">
        <v>570</v>
      </c>
      <c r="G325" s="291">
        <v>45</v>
      </c>
      <c r="H325" s="291"/>
      <c r="I325" s="291"/>
      <c r="J325" s="292"/>
      <c r="K325" s="292"/>
      <c r="L325" s="292"/>
      <c r="M325" s="292"/>
      <c r="N325" s="225"/>
    </row>
    <row r="326" spans="1:14" outlineLevel="1">
      <c r="A326" s="266"/>
      <c r="B326" s="295" t="s">
        <v>1391</v>
      </c>
      <c r="C326" s="219"/>
      <c r="D326" s="219"/>
      <c r="E326" s="219"/>
      <c r="F326" s="290"/>
      <c r="G326" s="291">
        <v>0</v>
      </c>
      <c r="H326" s="291"/>
      <c r="I326" s="291"/>
      <c r="J326" s="292"/>
      <c r="K326" s="292"/>
      <c r="L326" s="292"/>
      <c r="M326" s="292"/>
      <c r="N326" s="225"/>
    </row>
    <row r="327" spans="1:14" outlineLevel="1">
      <c r="A327" s="266">
        <f>SUBTOTAL(3,$F$7:F327)</f>
        <v>305</v>
      </c>
      <c r="B327" s="225" t="s">
        <v>1386</v>
      </c>
      <c r="C327" s="224"/>
      <c r="D327" s="224"/>
      <c r="E327" s="224"/>
      <c r="F327" s="290" t="s">
        <v>570</v>
      </c>
      <c r="G327" s="291">
        <v>125</v>
      </c>
      <c r="H327" s="291"/>
      <c r="I327" s="291"/>
      <c r="J327" s="292"/>
      <c r="K327" s="292"/>
      <c r="L327" s="292"/>
      <c r="M327" s="292"/>
      <c r="N327" s="225"/>
    </row>
    <row r="328" spans="1:14" outlineLevel="1">
      <c r="A328" s="266">
        <f>SUBTOTAL(3,$F$7:F328)</f>
        <v>306</v>
      </c>
      <c r="B328" s="225" t="s">
        <v>1387</v>
      </c>
      <c r="C328" s="224"/>
      <c r="D328" s="224"/>
      <c r="E328" s="224"/>
      <c r="F328" s="290" t="s">
        <v>570</v>
      </c>
      <c r="G328" s="291">
        <v>125</v>
      </c>
      <c r="H328" s="291"/>
      <c r="I328" s="291"/>
      <c r="J328" s="292"/>
      <c r="K328" s="292"/>
      <c r="L328" s="292"/>
      <c r="M328" s="292"/>
      <c r="N328" s="225"/>
    </row>
    <row r="329" spans="1:14" outlineLevel="1">
      <c r="A329" s="266"/>
      <c r="B329" s="295" t="s">
        <v>1392</v>
      </c>
      <c r="C329" s="219"/>
      <c r="D329" s="219"/>
      <c r="E329" s="219"/>
      <c r="F329" s="290"/>
      <c r="G329" s="291">
        <v>0</v>
      </c>
      <c r="H329" s="291"/>
      <c r="I329" s="291"/>
      <c r="J329" s="292"/>
      <c r="K329" s="292"/>
      <c r="L329" s="292"/>
      <c r="M329" s="292"/>
      <c r="N329" s="225"/>
    </row>
    <row r="330" spans="1:14" outlineLevel="1">
      <c r="A330" s="266">
        <f>SUBTOTAL(3,$F$7:F330)</f>
        <v>307</v>
      </c>
      <c r="B330" s="225" t="s">
        <v>1386</v>
      </c>
      <c r="C330" s="224"/>
      <c r="D330" s="224"/>
      <c r="E330" s="224"/>
      <c r="F330" s="290" t="s">
        <v>570</v>
      </c>
      <c r="G330" s="291">
        <v>45</v>
      </c>
      <c r="H330" s="291"/>
      <c r="I330" s="291"/>
      <c r="J330" s="292"/>
      <c r="K330" s="292"/>
      <c r="L330" s="292"/>
      <c r="M330" s="292"/>
      <c r="N330" s="225"/>
    </row>
    <row r="331" spans="1:14" outlineLevel="1">
      <c r="A331" s="266">
        <f>SUBTOTAL(3,$F$7:F331)</f>
        <v>308</v>
      </c>
      <c r="B331" s="225" t="s">
        <v>1387</v>
      </c>
      <c r="C331" s="224"/>
      <c r="D331" s="224"/>
      <c r="E331" s="224"/>
      <c r="F331" s="290" t="s">
        <v>570</v>
      </c>
      <c r="G331" s="291">
        <v>45</v>
      </c>
      <c r="H331" s="291"/>
      <c r="I331" s="291"/>
      <c r="J331" s="292"/>
      <c r="K331" s="292"/>
      <c r="L331" s="292"/>
      <c r="M331" s="292"/>
      <c r="N331" s="225"/>
    </row>
    <row r="332" spans="1:14" outlineLevel="1">
      <c r="A332" s="266"/>
      <c r="B332" s="295" t="s">
        <v>1393</v>
      </c>
      <c r="C332" s="219"/>
      <c r="D332" s="219"/>
      <c r="E332" s="219"/>
      <c r="F332" s="290"/>
      <c r="G332" s="291">
        <v>0</v>
      </c>
      <c r="H332" s="291"/>
      <c r="I332" s="291"/>
      <c r="J332" s="292"/>
      <c r="K332" s="292"/>
      <c r="L332" s="292"/>
      <c r="M332" s="292"/>
      <c r="N332" s="225"/>
    </row>
    <row r="333" spans="1:14" outlineLevel="1">
      <c r="A333" s="266">
        <f>SUBTOTAL(3,$F$7:F333)</f>
        <v>309</v>
      </c>
      <c r="B333" s="225" t="s">
        <v>1386</v>
      </c>
      <c r="C333" s="224"/>
      <c r="D333" s="224"/>
      <c r="E333" s="224"/>
      <c r="F333" s="290" t="s">
        <v>570</v>
      </c>
      <c r="G333" s="291">
        <v>39</v>
      </c>
      <c r="H333" s="291"/>
      <c r="I333" s="291"/>
      <c r="J333" s="292"/>
      <c r="K333" s="292"/>
      <c r="L333" s="292"/>
      <c r="M333" s="292"/>
      <c r="N333" s="225"/>
    </row>
    <row r="334" spans="1:14" outlineLevel="1">
      <c r="A334" s="266">
        <f>SUBTOTAL(3,$F$7:F334)</f>
        <v>310</v>
      </c>
      <c r="B334" s="225" t="s">
        <v>1387</v>
      </c>
      <c r="C334" s="224"/>
      <c r="D334" s="224"/>
      <c r="E334" s="224"/>
      <c r="F334" s="290" t="s">
        <v>570</v>
      </c>
      <c r="G334" s="291">
        <v>39</v>
      </c>
      <c r="H334" s="291"/>
      <c r="I334" s="291"/>
      <c r="J334" s="292"/>
      <c r="K334" s="292"/>
      <c r="L334" s="292"/>
      <c r="M334" s="292"/>
      <c r="N334" s="225"/>
    </row>
    <row r="335" spans="1:14" outlineLevel="1">
      <c r="A335" s="266"/>
      <c r="B335" s="295" t="s">
        <v>1394</v>
      </c>
      <c r="C335" s="219"/>
      <c r="D335" s="219"/>
      <c r="E335" s="219"/>
      <c r="F335" s="290"/>
      <c r="G335" s="291">
        <v>0</v>
      </c>
      <c r="H335" s="291"/>
      <c r="I335" s="291"/>
      <c r="J335" s="292"/>
      <c r="K335" s="292"/>
      <c r="L335" s="292"/>
      <c r="M335" s="292"/>
      <c r="N335" s="225"/>
    </row>
    <row r="336" spans="1:14" outlineLevel="1">
      <c r="A336" s="266">
        <f>SUBTOTAL(3,$F$7:F336)</f>
        <v>311</v>
      </c>
      <c r="B336" s="225" t="s">
        <v>1395</v>
      </c>
      <c r="C336" s="224"/>
      <c r="D336" s="224"/>
      <c r="E336" s="224"/>
      <c r="F336" s="290" t="s">
        <v>570</v>
      </c>
      <c r="G336" s="291">
        <v>147</v>
      </c>
      <c r="H336" s="291"/>
      <c r="I336" s="291"/>
      <c r="J336" s="292"/>
      <c r="K336" s="292"/>
      <c r="L336" s="292"/>
      <c r="M336" s="292"/>
      <c r="N336" s="225"/>
    </row>
    <row r="337" spans="1:14" outlineLevel="1">
      <c r="A337" s="266">
        <f>SUBTOTAL(3,$F$7:F337)</f>
        <v>312</v>
      </c>
      <c r="B337" s="225" t="s">
        <v>1396</v>
      </c>
      <c r="C337" s="224"/>
      <c r="D337" s="224"/>
      <c r="E337" s="224"/>
      <c r="F337" s="290" t="s">
        <v>570</v>
      </c>
      <c r="G337" s="291">
        <v>147</v>
      </c>
      <c r="H337" s="291"/>
      <c r="I337" s="291"/>
      <c r="J337" s="292"/>
      <c r="K337" s="292"/>
      <c r="L337" s="292"/>
      <c r="M337" s="292"/>
      <c r="N337" s="225"/>
    </row>
    <row r="338" spans="1:14" outlineLevel="1">
      <c r="A338" s="266"/>
      <c r="B338" s="295" t="s">
        <v>1397</v>
      </c>
      <c r="C338" s="219"/>
      <c r="D338" s="219"/>
      <c r="E338" s="219"/>
      <c r="F338" s="290"/>
      <c r="G338" s="291">
        <v>0</v>
      </c>
      <c r="H338" s="291"/>
      <c r="I338" s="291"/>
      <c r="J338" s="292"/>
      <c r="K338" s="292"/>
      <c r="L338" s="292"/>
      <c r="M338" s="292"/>
      <c r="N338" s="225"/>
    </row>
    <row r="339" spans="1:14" outlineLevel="1">
      <c r="A339" s="266">
        <f>SUBTOTAL(3,$F$7:F339)</f>
        <v>313</v>
      </c>
      <c r="B339" s="225" t="s">
        <v>1395</v>
      </c>
      <c r="C339" s="224"/>
      <c r="D339" s="224"/>
      <c r="E339" s="224"/>
      <c r="F339" s="290" t="s">
        <v>570</v>
      </c>
      <c r="G339" s="291">
        <v>71</v>
      </c>
      <c r="H339" s="291"/>
      <c r="I339" s="291"/>
      <c r="J339" s="292"/>
      <c r="K339" s="292"/>
      <c r="L339" s="292"/>
      <c r="M339" s="292"/>
      <c r="N339" s="225"/>
    </row>
    <row r="340" spans="1:14" outlineLevel="1">
      <c r="A340" s="266">
        <f>SUBTOTAL(3,$F$7:F340)</f>
        <v>314</v>
      </c>
      <c r="B340" s="225" t="s">
        <v>1396</v>
      </c>
      <c r="C340" s="224"/>
      <c r="D340" s="224"/>
      <c r="E340" s="224"/>
      <c r="F340" s="290" t="s">
        <v>570</v>
      </c>
      <c r="G340" s="291">
        <v>71</v>
      </c>
      <c r="H340" s="291"/>
      <c r="I340" s="291"/>
      <c r="J340" s="292"/>
      <c r="K340" s="292"/>
      <c r="L340" s="292"/>
      <c r="M340" s="292"/>
      <c r="N340" s="225"/>
    </row>
    <row r="341" spans="1:14" outlineLevel="1">
      <c r="A341" s="266"/>
      <c r="B341" s="295" t="s">
        <v>1398</v>
      </c>
      <c r="C341" s="219"/>
      <c r="D341" s="219"/>
      <c r="E341" s="219"/>
      <c r="F341" s="290"/>
      <c r="G341" s="291">
        <v>0</v>
      </c>
      <c r="H341" s="291"/>
      <c r="I341" s="291"/>
      <c r="J341" s="292"/>
      <c r="K341" s="292"/>
      <c r="L341" s="292"/>
      <c r="M341" s="292"/>
      <c r="N341" s="225"/>
    </row>
    <row r="342" spans="1:14" outlineLevel="1">
      <c r="A342" s="266">
        <f>SUBTOTAL(3,$F$7:F342)</f>
        <v>315</v>
      </c>
      <c r="B342" s="225" t="s">
        <v>1395</v>
      </c>
      <c r="C342" s="224"/>
      <c r="D342" s="224"/>
      <c r="E342" s="224"/>
      <c r="F342" s="290" t="s">
        <v>570</v>
      </c>
      <c r="G342" s="291">
        <v>114</v>
      </c>
      <c r="H342" s="291"/>
      <c r="I342" s="291"/>
      <c r="J342" s="292"/>
      <c r="K342" s="292"/>
      <c r="L342" s="292"/>
      <c r="M342" s="292"/>
      <c r="N342" s="225"/>
    </row>
    <row r="343" spans="1:14" outlineLevel="1">
      <c r="A343" s="266">
        <f>SUBTOTAL(3,$F$7:F343)</f>
        <v>316</v>
      </c>
      <c r="B343" s="225" t="s">
        <v>1396</v>
      </c>
      <c r="C343" s="224"/>
      <c r="D343" s="224"/>
      <c r="E343" s="224"/>
      <c r="F343" s="290" t="s">
        <v>570</v>
      </c>
      <c r="G343" s="291">
        <v>114</v>
      </c>
      <c r="H343" s="291"/>
      <c r="I343" s="291"/>
      <c r="J343" s="292"/>
      <c r="K343" s="292"/>
      <c r="L343" s="292"/>
      <c r="M343" s="292"/>
      <c r="N343" s="225"/>
    </row>
    <row r="344" spans="1:14" outlineLevel="1">
      <c r="A344" s="266"/>
      <c r="B344" s="295" t="s">
        <v>1399</v>
      </c>
      <c r="C344" s="219"/>
      <c r="D344" s="219"/>
      <c r="E344" s="219"/>
      <c r="F344" s="290"/>
      <c r="G344" s="291">
        <v>0</v>
      </c>
      <c r="H344" s="291"/>
      <c r="I344" s="291"/>
      <c r="J344" s="292"/>
      <c r="K344" s="292"/>
      <c r="L344" s="292"/>
      <c r="M344" s="292"/>
      <c r="N344" s="225"/>
    </row>
    <row r="345" spans="1:14" outlineLevel="1">
      <c r="A345" s="266">
        <f>SUBTOTAL(3,$F$7:F345)</f>
        <v>317</v>
      </c>
      <c r="B345" s="225" t="s">
        <v>1395</v>
      </c>
      <c r="C345" s="224"/>
      <c r="D345" s="224"/>
      <c r="E345" s="224"/>
      <c r="F345" s="290" t="s">
        <v>570</v>
      </c>
      <c r="G345" s="291">
        <v>142</v>
      </c>
      <c r="H345" s="291"/>
      <c r="I345" s="291"/>
      <c r="J345" s="292"/>
      <c r="K345" s="292"/>
      <c r="L345" s="292"/>
      <c r="M345" s="292"/>
      <c r="N345" s="225"/>
    </row>
    <row r="346" spans="1:14" outlineLevel="1">
      <c r="A346" s="266">
        <f>SUBTOTAL(3,$F$7:F346)</f>
        <v>318</v>
      </c>
      <c r="B346" s="225" t="s">
        <v>1396</v>
      </c>
      <c r="C346" s="224"/>
      <c r="D346" s="224"/>
      <c r="E346" s="224"/>
      <c r="F346" s="290" t="s">
        <v>570</v>
      </c>
      <c r="G346" s="291">
        <v>142</v>
      </c>
      <c r="H346" s="291"/>
      <c r="I346" s="291"/>
      <c r="J346" s="292"/>
      <c r="K346" s="292"/>
      <c r="L346" s="292"/>
      <c r="M346" s="292"/>
      <c r="N346" s="225"/>
    </row>
    <row r="347" spans="1:14" outlineLevel="1">
      <c r="A347" s="266"/>
      <c r="B347" s="295" t="s">
        <v>1400</v>
      </c>
      <c r="C347" s="219"/>
      <c r="D347" s="219"/>
      <c r="E347" s="219"/>
      <c r="F347" s="290"/>
      <c r="G347" s="291">
        <v>0</v>
      </c>
      <c r="H347" s="291"/>
      <c r="I347" s="291"/>
      <c r="J347" s="292"/>
      <c r="K347" s="292"/>
      <c r="L347" s="292"/>
      <c r="M347" s="292"/>
      <c r="N347" s="225"/>
    </row>
    <row r="348" spans="1:14" outlineLevel="1">
      <c r="A348" s="266">
        <f>SUBTOTAL(3,$F$7:F348)</f>
        <v>319</v>
      </c>
      <c r="B348" s="225" t="s">
        <v>1401</v>
      </c>
      <c r="C348" s="224"/>
      <c r="D348" s="224"/>
      <c r="E348" s="224"/>
      <c r="F348" s="290" t="s">
        <v>570</v>
      </c>
      <c r="G348" s="291">
        <v>46</v>
      </c>
      <c r="H348" s="291"/>
      <c r="I348" s="291"/>
      <c r="J348" s="292"/>
      <c r="K348" s="292"/>
      <c r="L348" s="292"/>
      <c r="M348" s="292"/>
      <c r="N348" s="225"/>
    </row>
    <row r="349" spans="1:14" outlineLevel="1">
      <c r="A349" s="266">
        <f>SUBTOTAL(3,$F$7:F349)</f>
        <v>320</v>
      </c>
      <c r="B349" s="225" t="s">
        <v>1402</v>
      </c>
      <c r="C349" s="224"/>
      <c r="D349" s="224"/>
      <c r="E349" s="224"/>
      <c r="F349" s="290" t="s">
        <v>570</v>
      </c>
      <c r="G349" s="291">
        <v>46</v>
      </c>
      <c r="H349" s="291"/>
      <c r="I349" s="291"/>
      <c r="J349" s="292"/>
      <c r="K349" s="292"/>
      <c r="L349" s="292"/>
      <c r="M349" s="292"/>
      <c r="N349" s="225"/>
    </row>
    <row r="350" spans="1:14" outlineLevel="1">
      <c r="A350" s="266"/>
      <c r="B350" s="295" t="s">
        <v>1403</v>
      </c>
      <c r="C350" s="219"/>
      <c r="D350" s="219"/>
      <c r="E350" s="219"/>
      <c r="F350" s="290"/>
      <c r="G350" s="291">
        <v>0</v>
      </c>
      <c r="H350" s="291"/>
      <c r="I350" s="291"/>
      <c r="J350" s="292"/>
      <c r="K350" s="292"/>
      <c r="L350" s="292"/>
      <c r="M350" s="292"/>
      <c r="N350" s="225"/>
    </row>
    <row r="351" spans="1:14" outlineLevel="1">
      <c r="A351" s="266">
        <f>SUBTOTAL(3,$F$7:F351)</f>
        <v>321</v>
      </c>
      <c r="B351" s="225" t="s">
        <v>1404</v>
      </c>
      <c r="C351" s="224"/>
      <c r="D351" s="224"/>
      <c r="E351" s="224"/>
      <c r="F351" s="290" t="s">
        <v>570</v>
      </c>
      <c r="G351" s="291">
        <v>96</v>
      </c>
      <c r="H351" s="291"/>
      <c r="I351" s="291"/>
      <c r="J351" s="292"/>
      <c r="K351" s="292"/>
      <c r="L351" s="292"/>
      <c r="M351" s="292"/>
      <c r="N351" s="225"/>
    </row>
    <row r="352" spans="1:14" outlineLevel="1">
      <c r="A352" s="266">
        <f>SUBTOTAL(3,$F$7:F352)</f>
        <v>322</v>
      </c>
      <c r="B352" s="225" t="s">
        <v>1405</v>
      </c>
      <c r="C352" s="224"/>
      <c r="D352" s="224"/>
      <c r="E352" s="224"/>
      <c r="F352" s="290" t="s">
        <v>570</v>
      </c>
      <c r="G352" s="291">
        <v>96</v>
      </c>
      <c r="H352" s="291"/>
      <c r="I352" s="291"/>
      <c r="J352" s="292"/>
      <c r="K352" s="292"/>
      <c r="L352" s="292"/>
      <c r="M352" s="292"/>
      <c r="N352" s="225"/>
    </row>
    <row r="353" spans="1:14" outlineLevel="1">
      <c r="A353" s="266"/>
      <c r="B353" s="295" t="s">
        <v>1406</v>
      </c>
      <c r="C353" s="219"/>
      <c r="D353" s="219"/>
      <c r="E353" s="219"/>
      <c r="F353" s="290"/>
      <c r="G353" s="291">
        <v>0</v>
      </c>
      <c r="H353" s="291"/>
      <c r="I353" s="291"/>
      <c r="J353" s="292"/>
      <c r="K353" s="292"/>
      <c r="L353" s="292"/>
      <c r="M353" s="292"/>
      <c r="N353" s="225"/>
    </row>
    <row r="354" spans="1:14" outlineLevel="1">
      <c r="A354" s="266">
        <f>SUBTOTAL(3,$F$7:F354)</f>
        <v>323</v>
      </c>
      <c r="B354" s="225" t="s">
        <v>1395</v>
      </c>
      <c r="C354" s="224"/>
      <c r="D354" s="224"/>
      <c r="E354" s="224"/>
      <c r="F354" s="290" t="s">
        <v>570</v>
      </c>
      <c r="G354" s="291">
        <v>34</v>
      </c>
      <c r="H354" s="291"/>
      <c r="I354" s="291"/>
      <c r="J354" s="292"/>
      <c r="K354" s="292"/>
      <c r="L354" s="292"/>
      <c r="M354" s="292"/>
      <c r="N354" s="225"/>
    </row>
    <row r="355" spans="1:14" outlineLevel="1">
      <c r="A355" s="266">
        <f>SUBTOTAL(3,$F$7:F355)</f>
        <v>324</v>
      </c>
      <c r="B355" s="225" t="s">
        <v>1396</v>
      </c>
      <c r="C355" s="224"/>
      <c r="D355" s="224"/>
      <c r="E355" s="224"/>
      <c r="F355" s="290" t="s">
        <v>570</v>
      </c>
      <c r="G355" s="291">
        <v>34</v>
      </c>
      <c r="H355" s="291"/>
      <c r="I355" s="291"/>
      <c r="J355" s="292"/>
      <c r="K355" s="292"/>
      <c r="L355" s="292"/>
      <c r="M355" s="292"/>
      <c r="N355" s="225"/>
    </row>
    <row r="356" spans="1:14" outlineLevel="1">
      <c r="A356" s="266"/>
      <c r="B356" s="295" t="s">
        <v>1407</v>
      </c>
      <c r="C356" s="219"/>
      <c r="D356" s="219"/>
      <c r="E356" s="219"/>
      <c r="F356" s="290"/>
      <c r="G356" s="291">
        <v>0</v>
      </c>
      <c r="H356" s="291"/>
      <c r="I356" s="291"/>
      <c r="J356" s="292"/>
      <c r="K356" s="292"/>
      <c r="L356" s="292"/>
      <c r="M356" s="292"/>
      <c r="N356" s="225"/>
    </row>
    <row r="357" spans="1:14" outlineLevel="1">
      <c r="A357" s="266">
        <f>SUBTOTAL(3,$F$7:F357)</f>
        <v>325</v>
      </c>
      <c r="B357" s="225" t="s">
        <v>1395</v>
      </c>
      <c r="C357" s="224"/>
      <c r="D357" s="224"/>
      <c r="E357" s="224"/>
      <c r="F357" s="290" t="s">
        <v>570</v>
      </c>
      <c r="G357" s="291">
        <v>99</v>
      </c>
      <c r="H357" s="291"/>
      <c r="I357" s="291"/>
      <c r="J357" s="292"/>
      <c r="K357" s="292"/>
      <c r="L357" s="292"/>
      <c r="M357" s="292"/>
      <c r="N357" s="225"/>
    </row>
    <row r="358" spans="1:14" outlineLevel="1">
      <c r="A358" s="266">
        <f>SUBTOTAL(3,$F$7:F358)</f>
        <v>326</v>
      </c>
      <c r="B358" s="225" t="s">
        <v>1396</v>
      </c>
      <c r="C358" s="224"/>
      <c r="D358" s="224"/>
      <c r="E358" s="224"/>
      <c r="F358" s="290" t="s">
        <v>570</v>
      </c>
      <c r="G358" s="291">
        <v>99</v>
      </c>
      <c r="H358" s="291"/>
      <c r="I358" s="291"/>
      <c r="J358" s="292"/>
      <c r="K358" s="292"/>
      <c r="L358" s="292"/>
      <c r="M358" s="292"/>
      <c r="N358" s="225"/>
    </row>
    <row r="359" spans="1:14" outlineLevel="1">
      <c r="A359" s="266"/>
      <c r="B359" s="295" t="s">
        <v>1408</v>
      </c>
      <c r="C359" s="219"/>
      <c r="D359" s="219"/>
      <c r="E359" s="219"/>
      <c r="F359" s="290"/>
      <c r="G359" s="291">
        <v>0</v>
      </c>
      <c r="H359" s="291"/>
      <c r="I359" s="291"/>
      <c r="J359" s="292"/>
      <c r="K359" s="292"/>
      <c r="L359" s="292"/>
      <c r="M359" s="292"/>
      <c r="N359" s="225"/>
    </row>
    <row r="360" spans="1:14" outlineLevel="1">
      <c r="A360" s="266">
        <f>SUBTOTAL(3,$F$7:F360)</f>
        <v>327</v>
      </c>
      <c r="B360" s="225" t="s">
        <v>1395</v>
      </c>
      <c r="C360" s="224"/>
      <c r="D360" s="224"/>
      <c r="E360" s="224"/>
      <c r="F360" s="290" t="s">
        <v>570</v>
      </c>
      <c r="G360" s="291">
        <v>134</v>
      </c>
      <c r="H360" s="291"/>
      <c r="I360" s="291"/>
      <c r="J360" s="292"/>
      <c r="K360" s="292"/>
      <c r="L360" s="292"/>
      <c r="M360" s="292"/>
      <c r="N360" s="225"/>
    </row>
    <row r="361" spans="1:14" outlineLevel="1">
      <c r="A361" s="266">
        <f>SUBTOTAL(3,$F$7:F361)</f>
        <v>328</v>
      </c>
      <c r="B361" s="225" t="s">
        <v>1396</v>
      </c>
      <c r="C361" s="224"/>
      <c r="D361" s="224"/>
      <c r="E361" s="224"/>
      <c r="F361" s="290" t="s">
        <v>570</v>
      </c>
      <c r="G361" s="291">
        <v>134</v>
      </c>
      <c r="H361" s="291"/>
      <c r="I361" s="291"/>
      <c r="J361" s="292"/>
      <c r="K361" s="292"/>
      <c r="L361" s="292"/>
      <c r="M361" s="292"/>
      <c r="N361" s="225"/>
    </row>
    <row r="362" spans="1:14" outlineLevel="1">
      <c r="A362" s="266"/>
      <c r="B362" s="295" t="s">
        <v>1409</v>
      </c>
      <c r="C362" s="219"/>
      <c r="D362" s="219"/>
      <c r="E362" s="219"/>
      <c r="F362" s="290"/>
      <c r="G362" s="291">
        <v>0</v>
      </c>
      <c r="H362" s="291"/>
      <c r="I362" s="291"/>
      <c r="J362" s="292"/>
      <c r="K362" s="292"/>
      <c r="L362" s="292"/>
      <c r="M362" s="292"/>
      <c r="N362" s="225"/>
    </row>
    <row r="363" spans="1:14" outlineLevel="1">
      <c r="A363" s="266">
        <f>SUBTOTAL(3,$F$7:F363)</f>
        <v>329</v>
      </c>
      <c r="B363" s="225" t="s">
        <v>1410</v>
      </c>
      <c r="C363" s="224"/>
      <c r="D363" s="224"/>
      <c r="E363" s="224"/>
      <c r="F363" s="290" t="s">
        <v>570</v>
      </c>
      <c r="G363" s="291">
        <v>77</v>
      </c>
      <c r="H363" s="291"/>
      <c r="I363" s="291"/>
      <c r="J363" s="292"/>
      <c r="K363" s="292"/>
      <c r="L363" s="292"/>
      <c r="M363" s="292"/>
      <c r="N363" s="225"/>
    </row>
    <row r="364" spans="1:14" outlineLevel="1">
      <c r="A364" s="266">
        <f>SUBTOTAL(3,$F$7:F364)</f>
        <v>330</v>
      </c>
      <c r="B364" s="225" t="s">
        <v>1411</v>
      </c>
      <c r="C364" s="224"/>
      <c r="D364" s="224"/>
      <c r="E364" s="224"/>
      <c r="F364" s="290" t="s">
        <v>570</v>
      </c>
      <c r="G364" s="291">
        <v>77</v>
      </c>
      <c r="H364" s="291"/>
      <c r="I364" s="291"/>
      <c r="J364" s="292"/>
      <c r="K364" s="292"/>
      <c r="L364" s="292"/>
      <c r="M364" s="292"/>
      <c r="N364" s="225"/>
    </row>
    <row r="365" spans="1:14" outlineLevel="1">
      <c r="A365" s="266"/>
      <c r="B365" s="295" t="s">
        <v>1412</v>
      </c>
      <c r="C365" s="219"/>
      <c r="D365" s="219"/>
      <c r="E365" s="219"/>
      <c r="F365" s="290"/>
      <c r="G365" s="291">
        <v>0</v>
      </c>
      <c r="H365" s="291"/>
      <c r="I365" s="291"/>
      <c r="J365" s="292"/>
      <c r="K365" s="292"/>
      <c r="L365" s="292"/>
      <c r="M365" s="292"/>
      <c r="N365" s="225"/>
    </row>
    <row r="366" spans="1:14" outlineLevel="1">
      <c r="A366" s="266">
        <f>SUBTOTAL(3,$F$7:F366)</f>
        <v>331</v>
      </c>
      <c r="B366" s="225" t="s">
        <v>1410</v>
      </c>
      <c r="C366" s="224"/>
      <c r="D366" s="224"/>
      <c r="E366" s="224"/>
      <c r="F366" s="290" t="s">
        <v>570</v>
      </c>
      <c r="G366" s="291">
        <v>78</v>
      </c>
      <c r="H366" s="291"/>
      <c r="I366" s="291"/>
      <c r="J366" s="292"/>
      <c r="K366" s="292"/>
      <c r="L366" s="292"/>
      <c r="M366" s="292"/>
      <c r="N366" s="225"/>
    </row>
    <row r="367" spans="1:14" outlineLevel="1">
      <c r="A367" s="266">
        <f>SUBTOTAL(3,$F$7:F367)</f>
        <v>332</v>
      </c>
      <c r="B367" s="225" t="s">
        <v>1411</v>
      </c>
      <c r="C367" s="224"/>
      <c r="D367" s="224"/>
      <c r="E367" s="224"/>
      <c r="F367" s="290" t="s">
        <v>570</v>
      </c>
      <c r="G367" s="291">
        <v>78</v>
      </c>
      <c r="H367" s="291"/>
      <c r="I367" s="291"/>
      <c r="J367" s="292"/>
      <c r="K367" s="292"/>
      <c r="L367" s="292"/>
      <c r="M367" s="292"/>
      <c r="N367" s="225"/>
    </row>
    <row r="368" spans="1:14" outlineLevel="1">
      <c r="A368" s="266"/>
      <c r="B368" s="295" t="s">
        <v>1413</v>
      </c>
      <c r="C368" s="219"/>
      <c r="D368" s="219"/>
      <c r="E368" s="219"/>
      <c r="F368" s="290"/>
      <c r="G368" s="291">
        <v>0</v>
      </c>
      <c r="H368" s="291"/>
      <c r="I368" s="291"/>
      <c r="J368" s="292"/>
      <c r="K368" s="292"/>
      <c r="L368" s="292"/>
      <c r="M368" s="292"/>
      <c r="N368" s="225"/>
    </row>
    <row r="369" spans="1:14" outlineLevel="1">
      <c r="A369" s="266">
        <f>SUBTOTAL(3,$F$7:F369)</f>
        <v>333</v>
      </c>
      <c r="B369" s="225" t="s">
        <v>1410</v>
      </c>
      <c r="C369" s="224"/>
      <c r="D369" s="224"/>
      <c r="E369" s="224"/>
      <c r="F369" s="290" t="s">
        <v>570</v>
      </c>
      <c r="G369" s="291">
        <v>79</v>
      </c>
      <c r="H369" s="291"/>
      <c r="I369" s="291"/>
      <c r="J369" s="292"/>
      <c r="K369" s="292"/>
      <c r="L369" s="292"/>
      <c r="M369" s="292"/>
      <c r="N369" s="225"/>
    </row>
    <row r="370" spans="1:14" outlineLevel="1">
      <c r="A370" s="266">
        <f>SUBTOTAL(3,$F$7:F370)</f>
        <v>334</v>
      </c>
      <c r="B370" s="225" t="s">
        <v>1411</v>
      </c>
      <c r="C370" s="224"/>
      <c r="D370" s="224"/>
      <c r="E370" s="224"/>
      <c r="F370" s="290" t="s">
        <v>570</v>
      </c>
      <c r="G370" s="291">
        <v>79</v>
      </c>
      <c r="H370" s="291"/>
      <c r="I370" s="291"/>
      <c r="J370" s="292"/>
      <c r="K370" s="292"/>
      <c r="L370" s="292"/>
      <c r="M370" s="292"/>
      <c r="N370" s="225"/>
    </row>
    <row r="371" spans="1:14" outlineLevel="1">
      <c r="A371" s="266"/>
      <c r="B371" s="295" t="s">
        <v>1414</v>
      </c>
      <c r="C371" s="219"/>
      <c r="D371" s="219"/>
      <c r="E371" s="219"/>
      <c r="F371" s="290"/>
      <c r="G371" s="291">
        <v>0</v>
      </c>
      <c r="H371" s="291"/>
      <c r="I371" s="291"/>
      <c r="J371" s="292"/>
      <c r="K371" s="292"/>
      <c r="L371" s="292"/>
      <c r="M371" s="292"/>
      <c r="N371" s="225"/>
    </row>
    <row r="372" spans="1:14" outlineLevel="1">
      <c r="A372" s="266">
        <f>SUBTOTAL(3,$F$7:F372)</f>
        <v>335</v>
      </c>
      <c r="B372" s="225" t="s">
        <v>1410</v>
      </c>
      <c r="C372" s="224"/>
      <c r="D372" s="224"/>
      <c r="E372" s="224"/>
      <c r="F372" s="290" t="s">
        <v>570</v>
      </c>
      <c r="G372" s="291">
        <v>80</v>
      </c>
      <c r="H372" s="291"/>
      <c r="I372" s="291"/>
      <c r="J372" s="292"/>
      <c r="K372" s="292"/>
      <c r="L372" s="292"/>
      <c r="M372" s="292"/>
      <c r="N372" s="225"/>
    </row>
    <row r="373" spans="1:14" outlineLevel="1">
      <c r="A373" s="266">
        <f>SUBTOTAL(3,$F$7:F373)</f>
        <v>336</v>
      </c>
      <c r="B373" s="225" t="s">
        <v>1411</v>
      </c>
      <c r="C373" s="224"/>
      <c r="D373" s="224"/>
      <c r="E373" s="224"/>
      <c r="F373" s="290" t="s">
        <v>570</v>
      </c>
      <c r="G373" s="291">
        <v>80</v>
      </c>
      <c r="H373" s="291"/>
      <c r="I373" s="291"/>
      <c r="J373" s="292"/>
      <c r="K373" s="292"/>
      <c r="L373" s="292"/>
      <c r="M373" s="292"/>
      <c r="N373" s="225"/>
    </row>
    <row r="374" spans="1:14" outlineLevel="1">
      <c r="A374" s="266"/>
      <c r="B374" s="295" t="s">
        <v>1415</v>
      </c>
      <c r="C374" s="219"/>
      <c r="D374" s="219"/>
      <c r="E374" s="219"/>
      <c r="F374" s="290"/>
      <c r="G374" s="291">
        <v>0</v>
      </c>
      <c r="H374" s="291"/>
      <c r="I374" s="291"/>
      <c r="J374" s="292"/>
      <c r="K374" s="292"/>
      <c r="L374" s="292"/>
      <c r="M374" s="292"/>
      <c r="N374" s="225"/>
    </row>
    <row r="375" spans="1:14" outlineLevel="1">
      <c r="A375" s="266">
        <f>SUBTOTAL(3,$F$7:F375)</f>
        <v>337</v>
      </c>
      <c r="B375" s="225" t="s">
        <v>1416</v>
      </c>
      <c r="C375" s="224"/>
      <c r="D375" s="224"/>
      <c r="E375" s="224"/>
      <c r="F375" s="290" t="s">
        <v>570</v>
      </c>
      <c r="G375" s="291">
        <v>70</v>
      </c>
      <c r="H375" s="291"/>
      <c r="I375" s="291"/>
      <c r="J375" s="292"/>
      <c r="K375" s="292"/>
      <c r="L375" s="292"/>
      <c r="M375" s="292"/>
      <c r="N375" s="225"/>
    </row>
    <row r="376" spans="1:14" outlineLevel="1">
      <c r="A376" s="266">
        <f>SUBTOTAL(3,$F$7:F376)</f>
        <v>338</v>
      </c>
      <c r="B376" s="225" t="s">
        <v>1402</v>
      </c>
      <c r="C376" s="224"/>
      <c r="D376" s="224"/>
      <c r="E376" s="224"/>
      <c r="F376" s="290" t="s">
        <v>570</v>
      </c>
      <c r="G376" s="291">
        <v>70</v>
      </c>
      <c r="H376" s="291"/>
      <c r="I376" s="291"/>
      <c r="J376" s="292"/>
      <c r="K376" s="292"/>
      <c r="L376" s="292"/>
      <c r="M376" s="292"/>
      <c r="N376" s="225"/>
    </row>
    <row r="377" spans="1:14" outlineLevel="1">
      <c r="A377" s="266"/>
      <c r="B377" s="295" t="s">
        <v>1417</v>
      </c>
      <c r="C377" s="219"/>
      <c r="D377" s="219"/>
      <c r="E377" s="219"/>
      <c r="F377" s="290"/>
      <c r="G377" s="291">
        <v>0</v>
      </c>
      <c r="H377" s="291"/>
      <c r="I377" s="291"/>
      <c r="J377" s="292"/>
      <c r="K377" s="292"/>
      <c r="L377" s="292"/>
      <c r="M377" s="292"/>
      <c r="N377" s="225"/>
    </row>
    <row r="378" spans="1:14" outlineLevel="1">
      <c r="A378" s="266">
        <f>SUBTOTAL(3,$F$7:F378)</f>
        <v>339</v>
      </c>
      <c r="B378" s="225" t="s">
        <v>1418</v>
      </c>
      <c r="C378" s="224"/>
      <c r="D378" s="224"/>
      <c r="E378" s="224"/>
      <c r="F378" s="290" t="s">
        <v>570</v>
      </c>
      <c r="G378" s="291">
        <v>72</v>
      </c>
      <c r="H378" s="291"/>
      <c r="I378" s="291"/>
      <c r="J378" s="292"/>
      <c r="K378" s="292"/>
      <c r="L378" s="292"/>
      <c r="M378" s="292"/>
      <c r="N378" s="225"/>
    </row>
    <row r="379" spans="1:14" outlineLevel="1">
      <c r="A379" s="266">
        <f>SUBTOTAL(3,$F$7:F379)</f>
        <v>340</v>
      </c>
      <c r="B379" s="225" t="s">
        <v>1419</v>
      </c>
      <c r="C379" s="224"/>
      <c r="D379" s="224"/>
      <c r="E379" s="224"/>
      <c r="F379" s="290" t="s">
        <v>570</v>
      </c>
      <c r="G379" s="291">
        <v>72</v>
      </c>
      <c r="H379" s="291"/>
      <c r="I379" s="291"/>
      <c r="J379" s="292"/>
      <c r="K379" s="292"/>
      <c r="L379" s="292"/>
      <c r="M379" s="292"/>
      <c r="N379" s="225"/>
    </row>
    <row r="380" spans="1:14" outlineLevel="1">
      <c r="A380" s="266"/>
      <c r="B380" s="295" t="s">
        <v>1420</v>
      </c>
      <c r="C380" s="219"/>
      <c r="D380" s="219"/>
      <c r="E380" s="219"/>
      <c r="F380" s="290"/>
      <c r="G380" s="291">
        <v>0</v>
      </c>
      <c r="H380" s="291"/>
      <c r="I380" s="291"/>
      <c r="J380" s="292"/>
      <c r="K380" s="292"/>
      <c r="L380" s="292"/>
      <c r="M380" s="292"/>
      <c r="N380" s="225"/>
    </row>
    <row r="381" spans="1:14" outlineLevel="1">
      <c r="A381" s="266">
        <f>SUBTOTAL(3,$F$7:F381)</f>
        <v>341</v>
      </c>
      <c r="B381" s="225" t="s">
        <v>1421</v>
      </c>
      <c r="C381" s="224"/>
      <c r="D381" s="224"/>
      <c r="E381" s="224"/>
      <c r="F381" s="290" t="s">
        <v>570</v>
      </c>
      <c r="G381" s="291">
        <v>23</v>
      </c>
      <c r="H381" s="291"/>
      <c r="I381" s="291"/>
      <c r="J381" s="292"/>
      <c r="K381" s="292"/>
      <c r="L381" s="292"/>
      <c r="M381" s="292"/>
      <c r="N381" s="225"/>
    </row>
    <row r="382" spans="1:14" outlineLevel="1">
      <c r="A382" s="266">
        <f>SUBTOTAL(3,$F$7:F382)</f>
        <v>342</v>
      </c>
      <c r="B382" s="225" t="s">
        <v>1387</v>
      </c>
      <c r="C382" s="224"/>
      <c r="D382" s="224"/>
      <c r="E382" s="224"/>
      <c r="F382" s="290" t="s">
        <v>570</v>
      </c>
      <c r="G382" s="291">
        <v>23</v>
      </c>
      <c r="H382" s="291"/>
      <c r="I382" s="291"/>
      <c r="J382" s="292"/>
      <c r="K382" s="292"/>
      <c r="L382" s="292"/>
      <c r="M382" s="292"/>
      <c r="N382" s="225"/>
    </row>
    <row r="383" spans="1:14" outlineLevel="1">
      <c r="A383" s="266"/>
      <c r="B383" s="295" t="s">
        <v>1422</v>
      </c>
      <c r="C383" s="219"/>
      <c r="D383" s="219"/>
      <c r="E383" s="219"/>
      <c r="F383" s="290"/>
      <c r="G383" s="291">
        <v>0</v>
      </c>
      <c r="H383" s="291"/>
      <c r="I383" s="291"/>
      <c r="J383" s="292"/>
      <c r="K383" s="292"/>
      <c r="L383" s="292"/>
      <c r="M383" s="292"/>
      <c r="N383" s="225"/>
    </row>
    <row r="384" spans="1:14" outlineLevel="1">
      <c r="A384" s="266">
        <f>SUBTOTAL(3,$F$7:F384)</f>
        <v>343</v>
      </c>
      <c r="B384" s="225" t="s">
        <v>1423</v>
      </c>
      <c r="C384" s="224"/>
      <c r="D384" s="224"/>
      <c r="E384" s="224"/>
      <c r="F384" s="290" t="s">
        <v>570</v>
      </c>
      <c r="G384" s="291">
        <v>34</v>
      </c>
      <c r="H384" s="291"/>
      <c r="I384" s="291"/>
      <c r="J384" s="292"/>
      <c r="K384" s="292"/>
      <c r="L384" s="292"/>
      <c r="M384" s="292"/>
      <c r="N384" s="225"/>
    </row>
    <row r="385" spans="1:14" outlineLevel="1">
      <c r="A385" s="266">
        <f>SUBTOTAL(3,$F$7:F385)</f>
        <v>344</v>
      </c>
      <c r="B385" s="225" t="s">
        <v>1424</v>
      </c>
      <c r="C385" s="224"/>
      <c r="D385" s="224"/>
      <c r="E385" s="224"/>
      <c r="F385" s="290" t="s">
        <v>570</v>
      </c>
      <c r="G385" s="291">
        <v>34</v>
      </c>
      <c r="H385" s="291"/>
      <c r="I385" s="291"/>
      <c r="J385" s="292"/>
      <c r="K385" s="292"/>
      <c r="L385" s="292"/>
      <c r="M385" s="292"/>
      <c r="N385" s="225"/>
    </row>
    <row r="386" spans="1:14" outlineLevel="1">
      <c r="A386" s="266"/>
      <c r="B386" s="295" t="s">
        <v>1425</v>
      </c>
      <c r="C386" s="219"/>
      <c r="D386" s="219"/>
      <c r="E386" s="219"/>
      <c r="F386" s="290"/>
      <c r="G386" s="291">
        <v>0</v>
      </c>
      <c r="H386" s="291"/>
      <c r="I386" s="291"/>
      <c r="J386" s="292"/>
      <c r="K386" s="292"/>
      <c r="L386" s="292"/>
      <c r="M386" s="292"/>
      <c r="N386" s="225"/>
    </row>
    <row r="387" spans="1:14" outlineLevel="1">
      <c r="A387" s="266">
        <f>SUBTOTAL(3,$F$7:F387)</f>
        <v>345</v>
      </c>
      <c r="B387" s="225" t="s">
        <v>1421</v>
      </c>
      <c r="C387" s="224"/>
      <c r="D387" s="224"/>
      <c r="E387" s="224"/>
      <c r="F387" s="290" t="s">
        <v>570</v>
      </c>
      <c r="G387" s="291">
        <v>130</v>
      </c>
      <c r="H387" s="291"/>
      <c r="I387" s="291"/>
      <c r="J387" s="292"/>
      <c r="K387" s="292"/>
      <c r="L387" s="292"/>
      <c r="M387" s="292"/>
      <c r="N387" s="225"/>
    </row>
    <row r="388" spans="1:14" outlineLevel="1">
      <c r="A388" s="266">
        <f>SUBTOTAL(3,$F$7:F388)</f>
        <v>346</v>
      </c>
      <c r="B388" s="225" t="s">
        <v>1387</v>
      </c>
      <c r="C388" s="224"/>
      <c r="D388" s="224"/>
      <c r="E388" s="224"/>
      <c r="F388" s="290" t="s">
        <v>570</v>
      </c>
      <c r="G388" s="291">
        <v>130</v>
      </c>
      <c r="H388" s="291"/>
      <c r="I388" s="291"/>
      <c r="J388" s="292"/>
      <c r="K388" s="292"/>
      <c r="L388" s="292"/>
      <c r="M388" s="292"/>
      <c r="N388" s="225"/>
    </row>
    <row r="389" spans="1:14" outlineLevel="1">
      <c r="A389" s="266"/>
      <c r="B389" s="295" t="s">
        <v>1426</v>
      </c>
      <c r="C389" s="219"/>
      <c r="D389" s="219"/>
      <c r="E389" s="219"/>
      <c r="F389" s="290"/>
      <c r="G389" s="291">
        <v>0</v>
      </c>
      <c r="H389" s="291"/>
      <c r="I389" s="291"/>
      <c r="J389" s="292"/>
      <c r="K389" s="292"/>
      <c r="L389" s="292"/>
      <c r="M389" s="292"/>
      <c r="N389" s="225"/>
    </row>
    <row r="390" spans="1:14" outlineLevel="1">
      <c r="A390" s="266">
        <f>SUBTOTAL(3,$F$7:F390)</f>
        <v>347</v>
      </c>
      <c r="B390" s="225" t="s">
        <v>1423</v>
      </c>
      <c r="C390" s="224"/>
      <c r="D390" s="224"/>
      <c r="E390" s="224"/>
      <c r="F390" s="290" t="s">
        <v>570</v>
      </c>
      <c r="G390" s="291">
        <v>124</v>
      </c>
      <c r="H390" s="291"/>
      <c r="I390" s="291"/>
      <c r="J390" s="292"/>
      <c r="K390" s="292"/>
      <c r="L390" s="292"/>
      <c r="M390" s="292"/>
      <c r="N390" s="225"/>
    </row>
    <row r="391" spans="1:14" outlineLevel="1">
      <c r="A391" s="266">
        <f>SUBTOTAL(3,$F$7:F391)</f>
        <v>348</v>
      </c>
      <c r="B391" s="225" t="s">
        <v>1424</v>
      </c>
      <c r="C391" s="224"/>
      <c r="D391" s="224"/>
      <c r="E391" s="224"/>
      <c r="F391" s="290" t="s">
        <v>570</v>
      </c>
      <c r="G391" s="291">
        <v>124</v>
      </c>
      <c r="H391" s="291"/>
      <c r="I391" s="291"/>
      <c r="J391" s="292"/>
      <c r="K391" s="292"/>
      <c r="L391" s="292"/>
      <c r="M391" s="292"/>
      <c r="N391" s="225"/>
    </row>
    <row r="392" spans="1:14" outlineLevel="1">
      <c r="A392" s="266"/>
      <c r="B392" s="295" t="s">
        <v>1427</v>
      </c>
      <c r="C392" s="219"/>
      <c r="D392" s="219"/>
      <c r="E392" s="219"/>
      <c r="F392" s="290"/>
      <c r="G392" s="291">
        <v>0</v>
      </c>
      <c r="H392" s="291"/>
      <c r="I392" s="291"/>
      <c r="J392" s="292"/>
      <c r="K392" s="292"/>
      <c r="L392" s="292"/>
      <c r="M392" s="292"/>
      <c r="N392" s="225"/>
    </row>
    <row r="393" spans="1:14" outlineLevel="1">
      <c r="A393" s="266">
        <f>SUBTOTAL(3,$F$7:F393)</f>
        <v>349</v>
      </c>
      <c r="B393" s="225" t="s">
        <v>1421</v>
      </c>
      <c r="C393" s="224"/>
      <c r="D393" s="224"/>
      <c r="E393" s="224"/>
      <c r="F393" s="290" t="s">
        <v>570</v>
      </c>
      <c r="G393" s="291">
        <v>45</v>
      </c>
      <c r="H393" s="291"/>
      <c r="I393" s="291"/>
      <c r="J393" s="292"/>
      <c r="K393" s="292"/>
      <c r="L393" s="292"/>
      <c r="M393" s="292"/>
      <c r="N393" s="225"/>
    </row>
    <row r="394" spans="1:14" outlineLevel="1">
      <c r="A394" s="266">
        <f>SUBTOTAL(3,$F$7:F394)</f>
        <v>350</v>
      </c>
      <c r="B394" s="225" t="s">
        <v>1387</v>
      </c>
      <c r="C394" s="224"/>
      <c r="D394" s="224"/>
      <c r="E394" s="224"/>
      <c r="F394" s="290" t="s">
        <v>570</v>
      </c>
      <c r="G394" s="291">
        <v>45</v>
      </c>
      <c r="H394" s="291"/>
      <c r="I394" s="291"/>
      <c r="J394" s="292"/>
      <c r="K394" s="292"/>
      <c r="L394" s="292"/>
      <c r="M394" s="292"/>
      <c r="N394" s="225"/>
    </row>
    <row r="395" spans="1:14" outlineLevel="1">
      <c r="A395" s="266"/>
      <c r="B395" s="295" t="s">
        <v>1428</v>
      </c>
      <c r="C395" s="219"/>
      <c r="D395" s="219"/>
      <c r="E395" s="219"/>
      <c r="F395" s="290"/>
      <c r="G395" s="291">
        <v>0</v>
      </c>
      <c r="H395" s="291"/>
      <c r="I395" s="291"/>
      <c r="J395" s="292"/>
      <c r="K395" s="292"/>
      <c r="L395" s="292"/>
      <c r="M395" s="292"/>
      <c r="N395" s="225"/>
    </row>
    <row r="396" spans="1:14" outlineLevel="1">
      <c r="A396" s="266">
        <f>SUBTOTAL(3,$F$7:F396)</f>
        <v>351</v>
      </c>
      <c r="B396" s="225" t="s">
        <v>1423</v>
      </c>
      <c r="C396" s="224"/>
      <c r="D396" s="224"/>
      <c r="E396" s="224"/>
      <c r="F396" s="290" t="s">
        <v>570</v>
      </c>
      <c r="G396" s="291">
        <v>38</v>
      </c>
      <c r="H396" s="291"/>
      <c r="I396" s="291"/>
      <c r="J396" s="292"/>
      <c r="K396" s="292"/>
      <c r="L396" s="292"/>
      <c r="M396" s="292"/>
      <c r="N396" s="225"/>
    </row>
    <row r="397" spans="1:14" outlineLevel="1">
      <c r="A397" s="266">
        <f>SUBTOTAL(3,$F$7:F397)</f>
        <v>352</v>
      </c>
      <c r="B397" s="225" t="s">
        <v>1424</v>
      </c>
      <c r="C397" s="224"/>
      <c r="D397" s="224"/>
      <c r="E397" s="224"/>
      <c r="F397" s="290" t="s">
        <v>570</v>
      </c>
      <c r="G397" s="291">
        <v>8</v>
      </c>
      <c r="H397" s="291"/>
      <c r="I397" s="291"/>
      <c r="J397" s="292"/>
      <c r="K397" s="292"/>
      <c r="L397" s="292"/>
      <c r="M397" s="292"/>
      <c r="N397" s="225"/>
    </row>
    <row r="398" spans="1:14" outlineLevel="1">
      <c r="A398" s="266"/>
      <c r="B398" s="295" t="s">
        <v>1429</v>
      </c>
      <c r="C398" s="219"/>
      <c r="D398" s="219"/>
      <c r="E398" s="219"/>
      <c r="F398" s="290"/>
      <c r="G398" s="291">
        <v>0</v>
      </c>
      <c r="H398" s="291"/>
      <c r="I398" s="291"/>
      <c r="J398" s="292"/>
      <c r="K398" s="292"/>
      <c r="L398" s="292"/>
      <c r="M398" s="292"/>
      <c r="N398" s="225"/>
    </row>
    <row r="399" spans="1:14" outlineLevel="1">
      <c r="A399" s="266">
        <f>SUBTOTAL(3,$F$7:F399)</f>
        <v>353</v>
      </c>
      <c r="B399" s="225" t="s">
        <v>1421</v>
      </c>
      <c r="C399" s="224"/>
      <c r="D399" s="224"/>
      <c r="E399" s="224"/>
      <c r="F399" s="290" t="s">
        <v>570</v>
      </c>
      <c r="G399" s="291">
        <v>102</v>
      </c>
      <c r="H399" s="291"/>
      <c r="I399" s="291"/>
      <c r="J399" s="292"/>
      <c r="K399" s="292"/>
      <c r="L399" s="292"/>
      <c r="M399" s="292"/>
      <c r="N399" s="225"/>
    </row>
    <row r="400" spans="1:14" outlineLevel="1">
      <c r="A400" s="266">
        <f>SUBTOTAL(3,$F$7:F400)</f>
        <v>354</v>
      </c>
      <c r="B400" s="225" t="s">
        <v>1387</v>
      </c>
      <c r="C400" s="224"/>
      <c r="D400" s="224"/>
      <c r="E400" s="224"/>
      <c r="F400" s="290" t="s">
        <v>570</v>
      </c>
      <c r="G400" s="291">
        <v>102</v>
      </c>
      <c r="H400" s="291"/>
      <c r="I400" s="291"/>
      <c r="J400" s="292"/>
      <c r="K400" s="292"/>
      <c r="L400" s="292"/>
      <c r="M400" s="292"/>
      <c r="N400" s="225"/>
    </row>
    <row r="401" spans="1:14" outlineLevel="1">
      <c r="A401" s="266"/>
      <c r="B401" s="295" t="s">
        <v>1430</v>
      </c>
      <c r="C401" s="219"/>
      <c r="D401" s="219"/>
      <c r="E401" s="219"/>
      <c r="F401" s="290"/>
      <c r="G401" s="291">
        <v>0</v>
      </c>
      <c r="H401" s="291"/>
      <c r="I401" s="291"/>
      <c r="J401" s="292"/>
      <c r="K401" s="292"/>
      <c r="L401" s="292"/>
      <c r="M401" s="292"/>
      <c r="N401" s="225"/>
    </row>
    <row r="402" spans="1:14" outlineLevel="1">
      <c r="A402" s="266">
        <f>SUBTOTAL(3,$F$7:F402)</f>
        <v>355</v>
      </c>
      <c r="B402" s="225" t="s">
        <v>1423</v>
      </c>
      <c r="C402" s="224"/>
      <c r="D402" s="224"/>
      <c r="E402" s="224"/>
      <c r="F402" s="290" t="s">
        <v>570</v>
      </c>
      <c r="G402" s="291">
        <v>96</v>
      </c>
      <c r="H402" s="291"/>
      <c r="I402" s="291"/>
      <c r="J402" s="292"/>
      <c r="K402" s="292"/>
      <c r="L402" s="292"/>
      <c r="M402" s="292"/>
      <c r="N402" s="225"/>
    </row>
    <row r="403" spans="1:14" outlineLevel="1">
      <c r="A403" s="266">
        <f>SUBTOTAL(3,$F$7:F403)</f>
        <v>356</v>
      </c>
      <c r="B403" s="225" t="s">
        <v>1424</v>
      </c>
      <c r="C403" s="224"/>
      <c r="D403" s="224"/>
      <c r="E403" s="224"/>
      <c r="F403" s="290" t="s">
        <v>570</v>
      </c>
      <c r="G403" s="291">
        <v>96</v>
      </c>
      <c r="H403" s="291"/>
      <c r="I403" s="291"/>
      <c r="J403" s="292"/>
      <c r="K403" s="292"/>
      <c r="L403" s="292"/>
      <c r="M403" s="292"/>
      <c r="N403" s="225"/>
    </row>
    <row r="404" spans="1:14" outlineLevel="1">
      <c r="A404" s="266"/>
      <c r="B404" s="295" t="s">
        <v>1431</v>
      </c>
      <c r="C404" s="219"/>
      <c r="D404" s="219"/>
      <c r="E404" s="219"/>
      <c r="F404" s="290"/>
      <c r="G404" s="291">
        <v>0</v>
      </c>
      <c r="H404" s="291"/>
      <c r="I404" s="291"/>
      <c r="J404" s="292"/>
      <c r="K404" s="292"/>
      <c r="L404" s="292"/>
      <c r="M404" s="292"/>
      <c r="N404" s="225"/>
    </row>
    <row r="405" spans="1:14" outlineLevel="1">
      <c r="A405" s="266">
        <f>SUBTOTAL(3,$F$7:F405)</f>
        <v>357</v>
      </c>
      <c r="B405" s="225" t="s">
        <v>1418</v>
      </c>
      <c r="C405" s="224"/>
      <c r="D405" s="224"/>
      <c r="E405" s="224"/>
      <c r="F405" s="290" t="s">
        <v>570</v>
      </c>
      <c r="G405" s="291">
        <v>138</v>
      </c>
      <c r="H405" s="291"/>
      <c r="I405" s="291"/>
      <c r="J405" s="292"/>
      <c r="K405" s="292"/>
      <c r="L405" s="292"/>
      <c r="M405" s="292"/>
      <c r="N405" s="225"/>
    </row>
    <row r="406" spans="1:14" outlineLevel="1">
      <c r="A406" s="266">
        <f>SUBTOTAL(3,$F$7:F406)</f>
        <v>358</v>
      </c>
      <c r="B406" s="225" t="s">
        <v>1419</v>
      </c>
      <c r="C406" s="224"/>
      <c r="D406" s="224"/>
      <c r="E406" s="224"/>
      <c r="F406" s="290" t="s">
        <v>570</v>
      </c>
      <c r="G406" s="291">
        <v>138</v>
      </c>
      <c r="H406" s="291"/>
      <c r="I406" s="291"/>
      <c r="J406" s="292"/>
      <c r="K406" s="292"/>
      <c r="L406" s="292"/>
      <c r="M406" s="292"/>
      <c r="N406" s="225"/>
    </row>
    <row r="407" spans="1:14" outlineLevel="1">
      <c r="A407" s="266"/>
      <c r="B407" s="295" t="s">
        <v>1432</v>
      </c>
      <c r="C407" s="219"/>
      <c r="D407" s="219"/>
      <c r="E407" s="219"/>
      <c r="F407" s="290"/>
      <c r="G407" s="291">
        <v>0</v>
      </c>
      <c r="H407" s="291"/>
      <c r="I407" s="291"/>
      <c r="J407" s="292"/>
      <c r="K407" s="292"/>
      <c r="L407" s="292"/>
      <c r="M407" s="292"/>
      <c r="N407" s="225"/>
    </row>
    <row r="408" spans="1:14" outlineLevel="1">
      <c r="A408" s="266">
        <f>SUBTOTAL(3,$F$7:F408)</f>
        <v>359</v>
      </c>
      <c r="B408" s="225" t="s">
        <v>1433</v>
      </c>
      <c r="C408" s="224"/>
      <c r="D408" s="224"/>
      <c r="E408" s="224"/>
      <c r="F408" s="290" t="s">
        <v>570</v>
      </c>
      <c r="G408" s="291">
        <v>142</v>
      </c>
      <c r="H408" s="291"/>
      <c r="I408" s="291"/>
      <c r="J408" s="292"/>
      <c r="K408" s="292"/>
      <c r="L408" s="292"/>
      <c r="M408" s="292"/>
      <c r="N408" s="225"/>
    </row>
    <row r="409" spans="1:14" outlineLevel="1">
      <c r="A409" s="266">
        <f>SUBTOTAL(3,$F$7:F409)</f>
        <v>360</v>
      </c>
      <c r="B409" s="225" t="s">
        <v>1396</v>
      </c>
      <c r="C409" s="224"/>
      <c r="D409" s="224"/>
      <c r="E409" s="224"/>
      <c r="F409" s="290" t="s">
        <v>570</v>
      </c>
      <c r="G409" s="291">
        <v>142</v>
      </c>
      <c r="H409" s="291"/>
      <c r="I409" s="291"/>
      <c r="J409" s="292"/>
      <c r="K409" s="292"/>
      <c r="L409" s="292"/>
      <c r="M409" s="292"/>
      <c r="N409" s="225"/>
    </row>
    <row r="410" spans="1:14" outlineLevel="1">
      <c r="A410" s="266"/>
      <c r="B410" s="295" t="s">
        <v>1434</v>
      </c>
      <c r="C410" s="219"/>
      <c r="D410" s="219"/>
      <c r="E410" s="219"/>
      <c r="F410" s="290"/>
      <c r="G410" s="291">
        <v>0</v>
      </c>
      <c r="H410" s="291"/>
      <c r="I410" s="291"/>
      <c r="J410" s="292"/>
      <c r="K410" s="292"/>
      <c r="L410" s="292"/>
      <c r="M410" s="292"/>
      <c r="N410" s="225"/>
    </row>
    <row r="411" spans="1:14" outlineLevel="1">
      <c r="A411" s="266">
        <f>SUBTOTAL(3,$F$7:F411)</f>
        <v>361</v>
      </c>
      <c r="B411" s="225" t="s">
        <v>1433</v>
      </c>
      <c r="C411" s="224"/>
      <c r="D411" s="224"/>
      <c r="E411" s="224"/>
      <c r="F411" s="290" t="s">
        <v>570</v>
      </c>
      <c r="G411" s="291">
        <v>145</v>
      </c>
      <c r="H411" s="291"/>
      <c r="I411" s="291"/>
      <c r="J411" s="292"/>
      <c r="K411" s="292"/>
      <c r="L411" s="292"/>
      <c r="M411" s="292"/>
      <c r="N411" s="225"/>
    </row>
    <row r="412" spans="1:14" outlineLevel="1">
      <c r="A412" s="266">
        <f>SUBTOTAL(3,$F$7:F412)</f>
        <v>362</v>
      </c>
      <c r="B412" s="225" t="s">
        <v>1396</v>
      </c>
      <c r="C412" s="224"/>
      <c r="D412" s="224"/>
      <c r="E412" s="224"/>
      <c r="F412" s="290" t="s">
        <v>570</v>
      </c>
      <c r="G412" s="291">
        <v>145</v>
      </c>
      <c r="H412" s="291"/>
      <c r="I412" s="291"/>
      <c r="J412" s="292"/>
      <c r="K412" s="292"/>
      <c r="L412" s="292"/>
      <c r="M412" s="292"/>
      <c r="N412" s="225"/>
    </row>
    <row r="413" spans="1:14" outlineLevel="1">
      <c r="A413" s="266"/>
      <c r="B413" s="295" t="s">
        <v>1435</v>
      </c>
      <c r="C413" s="219"/>
      <c r="D413" s="219"/>
      <c r="E413" s="219"/>
      <c r="F413" s="290"/>
      <c r="G413" s="291">
        <v>0</v>
      </c>
      <c r="H413" s="291"/>
      <c r="I413" s="291"/>
      <c r="J413" s="292"/>
      <c r="K413" s="292"/>
      <c r="L413" s="292"/>
      <c r="M413" s="292"/>
      <c r="N413" s="225"/>
    </row>
    <row r="414" spans="1:14" outlineLevel="1">
      <c r="A414" s="266">
        <f>SUBTOTAL(3,$F$7:F414)</f>
        <v>363</v>
      </c>
      <c r="B414" s="225" t="s">
        <v>1433</v>
      </c>
      <c r="C414" s="224"/>
      <c r="D414" s="224"/>
      <c r="E414" s="224"/>
      <c r="F414" s="290" t="s">
        <v>570</v>
      </c>
      <c r="G414" s="291">
        <v>149</v>
      </c>
      <c r="H414" s="291"/>
      <c r="I414" s="291"/>
      <c r="J414" s="292"/>
      <c r="K414" s="292"/>
      <c r="L414" s="292"/>
      <c r="M414" s="292"/>
      <c r="N414" s="225"/>
    </row>
    <row r="415" spans="1:14" outlineLevel="1">
      <c r="A415" s="266">
        <f>SUBTOTAL(3,$F$7:F415)</f>
        <v>364</v>
      </c>
      <c r="B415" s="225" t="s">
        <v>1396</v>
      </c>
      <c r="C415" s="224"/>
      <c r="D415" s="224"/>
      <c r="E415" s="224"/>
      <c r="F415" s="290" t="s">
        <v>570</v>
      </c>
      <c r="G415" s="291">
        <v>149</v>
      </c>
      <c r="H415" s="291"/>
      <c r="I415" s="291"/>
      <c r="J415" s="292"/>
      <c r="K415" s="292"/>
      <c r="L415" s="292"/>
      <c r="M415" s="292"/>
      <c r="N415" s="225"/>
    </row>
    <row r="416" spans="1:14" outlineLevel="1">
      <c r="A416" s="266"/>
      <c r="B416" s="295" t="s">
        <v>1436</v>
      </c>
      <c r="C416" s="219"/>
      <c r="D416" s="219"/>
      <c r="E416" s="219"/>
      <c r="F416" s="290"/>
      <c r="G416" s="291">
        <v>0</v>
      </c>
      <c r="H416" s="291"/>
      <c r="I416" s="291"/>
      <c r="J416" s="292"/>
      <c r="K416" s="292"/>
      <c r="L416" s="292"/>
      <c r="M416" s="292"/>
      <c r="N416" s="225"/>
    </row>
    <row r="417" spans="1:14" outlineLevel="1">
      <c r="A417" s="266">
        <f>SUBTOTAL(3,$F$7:F417)</f>
        <v>365</v>
      </c>
      <c r="B417" s="225" t="s">
        <v>1433</v>
      </c>
      <c r="C417" s="224"/>
      <c r="D417" s="224"/>
      <c r="E417" s="224"/>
      <c r="F417" s="290" t="s">
        <v>570</v>
      </c>
      <c r="G417" s="291">
        <v>152</v>
      </c>
      <c r="H417" s="291"/>
      <c r="I417" s="291"/>
      <c r="J417" s="292"/>
      <c r="K417" s="292"/>
      <c r="L417" s="292"/>
      <c r="M417" s="292"/>
      <c r="N417" s="225"/>
    </row>
    <row r="418" spans="1:14" outlineLevel="1">
      <c r="A418" s="266">
        <f>SUBTOTAL(3,$F$7:F418)</f>
        <v>366</v>
      </c>
      <c r="B418" s="225" t="s">
        <v>1396</v>
      </c>
      <c r="C418" s="224"/>
      <c r="D418" s="224"/>
      <c r="E418" s="224"/>
      <c r="F418" s="290" t="s">
        <v>570</v>
      </c>
      <c r="G418" s="291">
        <v>152</v>
      </c>
      <c r="H418" s="291"/>
      <c r="I418" s="291"/>
      <c r="J418" s="292"/>
      <c r="K418" s="292"/>
      <c r="L418" s="292"/>
      <c r="M418" s="292"/>
      <c r="N418" s="225"/>
    </row>
    <row r="419" spans="1:14" outlineLevel="1">
      <c r="A419" s="266"/>
      <c r="B419" s="295" t="s">
        <v>1437</v>
      </c>
      <c r="C419" s="219"/>
      <c r="D419" s="219"/>
      <c r="E419" s="219"/>
      <c r="F419" s="290"/>
      <c r="G419" s="291">
        <v>0</v>
      </c>
      <c r="H419" s="291"/>
      <c r="I419" s="291"/>
      <c r="J419" s="292"/>
      <c r="K419" s="292"/>
      <c r="L419" s="292"/>
      <c r="M419" s="292"/>
      <c r="N419" s="225"/>
    </row>
    <row r="420" spans="1:14" outlineLevel="1">
      <c r="A420" s="266">
        <f>SUBTOTAL(3,$F$7:F420)</f>
        <v>367</v>
      </c>
      <c r="B420" s="225" t="s">
        <v>1433</v>
      </c>
      <c r="C420" s="224"/>
      <c r="D420" s="224"/>
      <c r="E420" s="224"/>
      <c r="F420" s="290" t="s">
        <v>570</v>
      </c>
      <c r="G420" s="291">
        <v>156</v>
      </c>
      <c r="H420" s="291"/>
      <c r="I420" s="291"/>
      <c r="J420" s="292"/>
      <c r="K420" s="292"/>
      <c r="L420" s="292"/>
      <c r="M420" s="292"/>
      <c r="N420" s="225"/>
    </row>
    <row r="421" spans="1:14" outlineLevel="1">
      <c r="A421" s="266">
        <f>SUBTOTAL(3,$F$7:F421)</f>
        <v>368</v>
      </c>
      <c r="B421" s="225" t="s">
        <v>1396</v>
      </c>
      <c r="C421" s="224"/>
      <c r="D421" s="224"/>
      <c r="E421" s="224"/>
      <c r="F421" s="290" t="s">
        <v>570</v>
      </c>
      <c r="G421" s="291">
        <v>156</v>
      </c>
      <c r="H421" s="291"/>
      <c r="I421" s="291"/>
      <c r="J421" s="292"/>
      <c r="K421" s="292"/>
      <c r="L421" s="292"/>
      <c r="M421" s="292"/>
      <c r="N421" s="225"/>
    </row>
    <row r="422" spans="1:14" outlineLevel="1">
      <c r="A422" s="266"/>
      <c r="B422" s="295" t="s">
        <v>1438</v>
      </c>
      <c r="C422" s="219"/>
      <c r="D422" s="219"/>
      <c r="E422" s="219"/>
      <c r="F422" s="290"/>
      <c r="G422" s="291">
        <v>0</v>
      </c>
      <c r="H422" s="291"/>
      <c r="I422" s="291"/>
      <c r="J422" s="292"/>
      <c r="K422" s="292"/>
      <c r="L422" s="292"/>
      <c r="M422" s="292"/>
      <c r="N422" s="225"/>
    </row>
    <row r="423" spans="1:14" outlineLevel="1">
      <c r="A423" s="266">
        <f>SUBTOTAL(3,$F$7:F423)</f>
        <v>369</v>
      </c>
      <c r="B423" s="225" t="s">
        <v>1433</v>
      </c>
      <c r="C423" s="224"/>
      <c r="D423" s="224"/>
      <c r="E423" s="224"/>
      <c r="F423" s="290" t="s">
        <v>570</v>
      </c>
      <c r="G423" s="291">
        <v>159</v>
      </c>
      <c r="H423" s="291"/>
      <c r="I423" s="291"/>
      <c r="J423" s="292"/>
      <c r="K423" s="292"/>
      <c r="L423" s="292"/>
      <c r="M423" s="292"/>
      <c r="N423" s="225"/>
    </row>
    <row r="424" spans="1:14" outlineLevel="1">
      <c r="A424" s="266">
        <f>SUBTOTAL(3,$F$7:F424)</f>
        <v>370</v>
      </c>
      <c r="B424" s="225" t="s">
        <v>1396</v>
      </c>
      <c r="C424" s="224"/>
      <c r="D424" s="224"/>
      <c r="E424" s="224"/>
      <c r="F424" s="290" t="s">
        <v>570</v>
      </c>
      <c r="G424" s="291">
        <v>159</v>
      </c>
      <c r="H424" s="291"/>
      <c r="I424" s="291"/>
      <c r="J424" s="292"/>
      <c r="K424" s="292"/>
      <c r="L424" s="292"/>
      <c r="M424" s="292"/>
      <c r="N424" s="225"/>
    </row>
    <row r="425" spans="1:14" outlineLevel="1">
      <c r="A425" s="266"/>
      <c r="B425" s="295" t="s">
        <v>1439</v>
      </c>
      <c r="C425" s="219"/>
      <c r="D425" s="219"/>
      <c r="E425" s="219"/>
      <c r="F425" s="290"/>
      <c r="G425" s="291">
        <v>0</v>
      </c>
      <c r="H425" s="291"/>
      <c r="I425" s="291"/>
      <c r="J425" s="292"/>
      <c r="K425" s="292"/>
      <c r="L425" s="292"/>
      <c r="M425" s="292"/>
      <c r="N425" s="225"/>
    </row>
    <row r="426" spans="1:14" outlineLevel="1">
      <c r="A426" s="266">
        <f>SUBTOTAL(3,$F$7:F426)</f>
        <v>371</v>
      </c>
      <c r="B426" s="225" t="s">
        <v>1418</v>
      </c>
      <c r="C426" s="224"/>
      <c r="D426" s="224"/>
      <c r="E426" s="224"/>
      <c r="F426" s="290" t="s">
        <v>570</v>
      </c>
      <c r="G426" s="291">
        <v>163</v>
      </c>
      <c r="H426" s="291"/>
      <c r="I426" s="291"/>
      <c r="J426" s="292"/>
      <c r="K426" s="292"/>
      <c r="L426" s="292"/>
      <c r="M426" s="292"/>
      <c r="N426" s="225"/>
    </row>
    <row r="427" spans="1:14" outlineLevel="1">
      <c r="A427" s="266">
        <f>SUBTOTAL(3,$F$7:F427)</f>
        <v>372</v>
      </c>
      <c r="B427" s="225" t="s">
        <v>1419</v>
      </c>
      <c r="C427" s="224"/>
      <c r="D427" s="224"/>
      <c r="E427" s="224"/>
      <c r="F427" s="290" t="s">
        <v>570</v>
      </c>
      <c r="G427" s="291">
        <v>163</v>
      </c>
      <c r="H427" s="291"/>
      <c r="I427" s="291"/>
      <c r="J427" s="292"/>
      <c r="K427" s="292"/>
      <c r="L427" s="292"/>
      <c r="M427" s="292"/>
      <c r="N427" s="225"/>
    </row>
    <row r="428" spans="1:14" outlineLevel="1">
      <c r="A428" s="266"/>
      <c r="B428" s="295" t="s">
        <v>1440</v>
      </c>
      <c r="C428" s="219"/>
      <c r="D428" s="219"/>
      <c r="E428" s="219"/>
      <c r="F428" s="290"/>
      <c r="G428" s="291">
        <v>0</v>
      </c>
      <c r="H428" s="291"/>
      <c r="I428" s="291"/>
      <c r="J428" s="292"/>
      <c r="K428" s="292"/>
      <c r="L428" s="292"/>
      <c r="M428" s="292"/>
      <c r="N428" s="225"/>
    </row>
    <row r="429" spans="1:14" outlineLevel="1">
      <c r="A429" s="266">
        <f>SUBTOTAL(3,$F$7:F429)</f>
        <v>373</v>
      </c>
      <c r="B429" s="225" t="s">
        <v>1418</v>
      </c>
      <c r="C429" s="224"/>
      <c r="D429" s="224"/>
      <c r="E429" s="224"/>
      <c r="F429" s="290" t="s">
        <v>570</v>
      </c>
      <c r="G429" s="291">
        <v>166</v>
      </c>
      <c r="H429" s="291"/>
      <c r="I429" s="291"/>
      <c r="J429" s="292"/>
      <c r="K429" s="292"/>
      <c r="L429" s="292"/>
      <c r="M429" s="292"/>
      <c r="N429" s="225"/>
    </row>
    <row r="430" spans="1:14" outlineLevel="1">
      <c r="A430" s="266">
        <f>SUBTOTAL(3,$F$7:F430)</f>
        <v>374</v>
      </c>
      <c r="B430" s="225" t="s">
        <v>1419</v>
      </c>
      <c r="C430" s="224"/>
      <c r="D430" s="224"/>
      <c r="E430" s="224"/>
      <c r="F430" s="290" t="s">
        <v>570</v>
      </c>
      <c r="G430" s="291">
        <v>166</v>
      </c>
      <c r="H430" s="291"/>
      <c r="I430" s="291"/>
      <c r="J430" s="292"/>
      <c r="K430" s="292"/>
      <c r="L430" s="292"/>
      <c r="M430" s="292"/>
      <c r="N430" s="225"/>
    </row>
    <row r="431" spans="1:14" outlineLevel="1">
      <c r="A431" s="266"/>
      <c r="B431" s="295" t="s">
        <v>1441</v>
      </c>
      <c r="C431" s="219"/>
      <c r="D431" s="219"/>
      <c r="E431" s="219"/>
      <c r="F431" s="290"/>
      <c r="G431" s="291">
        <v>0</v>
      </c>
      <c r="H431" s="291"/>
      <c r="I431" s="291"/>
      <c r="J431" s="292"/>
      <c r="K431" s="292"/>
      <c r="L431" s="292"/>
      <c r="M431" s="292"/>
      <c r="N431" s="225"/>
    </row>
    <row r="432" spans="1:14" outlineLevel="1">
      <c r="A432" s="266">
        <f>SUBTOTAL(3,$F$7:F432)</f>
        <v>375</v>
      </c>
      <c r="B432" s="225" t="s">
        <v>1442</v>
      </c>
      <c r="C432" s="224"/>
      <c r="D432" s="224"/>
      <c r="E432" s="224"/>
      <c r="F432" s="290" t="s">
        <v>570</v>
      </c>
      <c r="G432" s="291">
        <v>59</v>
      </c>
      <c r="H432" s="291"/>
      <c r="I432" s="291"/>
      <c r="J432" s="292"/>
      <c r="K432" s="292"/>
      <c r="L432" s="292"/>
      <c r="M432" s="292"/>
      <c r="N432" s="225"/>
    </row>
    <row r="433" spans="1:14" outlineLevel="1">
      <c r="A433" s="266">
        <f>SUBTOTAL(3,$F$7:F433)</f>
        <v>376</v>
      </c>
      <c r="B433" s="225" t="s">
        <v>1405</v>
      </c>
      <c r="C433" s="224"/>
      <c r="D433" s="224"/>
      <c r="E433" s="224"/>
      <c r="F433" s="290" t="s">
        <v>570</v>
      </c>
      <c r="G433" s="291">
        <v>59</v>
      </c>
      <c r="H433" s="291"/>
      <c r="I433" s="291"/>
      <c r="J433" s="292"/>
      <c r="K433" s="292"/>
      <c r="L433" s="292"/>
      <c r="M433" s="292"/>
      <c r="N433" s="225"/>
    </row>
    <row r="434" spans="1:14" outlineLevel="1">
      <c r="A434" s="266"/>
      <c r="B434" s="295" t="s">
        <v>1443</v>
      </c>
      <c r="C434" s="219"/>
      <c r="D434" s="219"/>
      <c r="E434" s="219"/>
      <c r="F434" s="290"/>
      <c r="G434" s="291">
        <v>0</v>
      </c>
      <c r="H434" s="291"/>
      <c r="I434" s="291"/>
      <c r="J434" s="292"/>
      <c r="K434" s="292"/>
      <c r="L434" s="292"/>
      <c r="M434" s="292"/>
      <c r="N434" s="225"/>
    </row>
    <row r="435" spans="1:14" outlineLevel="1">
      <c r="A435" s="266">
        <f>SUBTOTAL(3,$F$7:F435)</f>
        <v>377</v>
      </c>
      <c r="B435" s="225" t="s">
        <v>1442</v>
      </c>
      <c r="C435" s="224"/>
      <c r="D435" s="224"/>
      <c r="E435" s="224"/>
      <c r="F435" s="290" t="s">
        <v>570</v>
      </c>
      <c r="G435" s="291">
        <v>62</v>
      </c>
      <c r="H435" s="291"/>
      <c r="I435" s="291"/>
      <c r="J435" s="292"/>
      <c r="K435" s="292"/>
      <c r="L435" s="292"/>
      <c r="M435" s="292"/>
      <c r="N435" s="225"/>
    </row>
    <row r="436" spans="1:14" outlineLevel="1">
      <c r="A436" s="266">
        <f>SUBTOTAL(3,$F$7:F436)</f>
        <v>378</v>
      </c>
      <c r="B436" s="225" t="s">
        <v>1405</v>
      </c>
      <c r="C436" s="224"/>
      <c r="D436" s="224"/>
      <c r="E436" s="224"/>
      <c r="F436" s="290" t="s">
        <v>570</v>
      </c>
      <c r="G436" s="291">
        <v>62</v>
      </c>
      <c r="H436" s="291"/>
      <c r="I436" s="291"/>
      <c r="J436" s="292"/>
      <c r="K436" s="292"/>
      <c r="L436" s="292"/>
      <c r="M436" s="292"/>
      <c r="N436" s="225"/>
    </row>
    <row r="437" spans="1:14" outlineLevel="1">
      <c r="A437" s="266"/>
      <c r="B437" s="295" t="s">
        <v>1444</v>
      </c>
      <c r="C437" s="219"/>
      <c r="D437" s="219"/>
      <c r="E437" s="219"/>
      <c r="F437" s="290"/>
      <c r="G437" s="291">
        <v>0</v>
      </c>
      <c r="H437" s="291"/>
      <c r="I437" s="291"/>
      <c r="J437" s="292"/>
      <c r="K437" s="292"/>
      <c r="L437" s="292"/>
      <c r="M437" s="292"/>
      <c r="N437" s="225"/>
    </row>
    <row r="438" spans="1:14" outlineLevel="1">
      <c r="A438" s="266">
        <f>SUBTOTAL(3,$F$7:F438)</f>
        <v>379</v>
      </c>
      <c r="B438" s="225" t="s">
        <v>1442</v>
      </c>
      <c r="C438" s="224"/>
      <c r="D438" s="224"/>
      <c r="E438" s="224"/>
      <c r="F438" s="290" t="s">
        <v>570</v>
      </c>
      <c r="G438" s="291">
        <v>66</v>
      </c>
      <c r="H438" s="291"/>
      <c r="I438" s="291"/>
      <c r="J438" s="292"/>
      <c r="K438" s="292"/>
      <c r="L438" s="292"/>
      <c r="M438" s="292"/>
      <c r="N438" s="225"/>
    </row>
    <row r="439" spans="1:14" outlineLevel="1">
      <c r="A439" s="266">
        <f>SUBTOTAL(3,$F$7:F439)</f>
        <v>380</v>
      </c>
      <c r="B439" s="225" t="s">
        <v>1405</v>
      </c>
      <c r="C439" s="224"/>
      <c r="D439" s="224"/>
      <c r="E439" s="224"/>
      <c r="F439" s="290" t="s">
        <v>570</v>
      </c>
      <c r="G439" s="291">
        <v>66</v>
      </c>
      <c r="H439" s="291"/>
      <c r="I439" s="291"/>
      <c r="J439" s="292"/>
      <c r="K439" s="292"/>
      <c r="L439" s="292"/>
      <c r="M439" s="292"/>
      <c r="N439" s="225"/>
    </row>
    <row r="440" spans="1:14" outlineLevel="1">
      <c r="A440" s="266"/>
      <c r="B440" s="295" t="s">
        <v>1445</v>
      </c>
      <c r="C440" s="219"/>
      <c r="D440" s="219"/>
      <c r="E440" s="219"/>
      <c r="F440" s="290"/>
      <c r="G440" s="291">
        <v>0</v>
      </c>
      <c r="H440" s="291"/>
      <c r="I440" s="291"/>
      <c r="J440" s="292"/>
      <c r="K440" s="292"/>
      <c r="L440" s="292"/>
      <c r="M440" s="292"/>
      <c r="N440" s="225"/>
    </row>
    <row r="441" spans="1:14" outlineLevel="1">
      <c r="A441" s="266">
        <f>SUBTOTAL(3,$F$7:F441)</f>
        <v>381</v>
      </c>
      <c r="B441" s="225" t="s">
        <v>1442</v>
      </c>
      <c r="C441" s="224"/>
      <c r="D441" s="224"/>
      <c r="E441" s="224"/>
      <c r="F441" s="290" t="s">
        <v>570</v>
      </c>
      <c r="G441" s="291">
        <v>69</v>
      </c>
      <c r="H441" s="291"/>
      <c r="I441" s="291"/>
      <c r="J441" s="292"/>
      <c r="K441" s="292"/>
      <c r="L441" s="292"/>
      <c r="M441" s="292"/>
      <c r="N441" s="225"/>
    </row>
    <row r="442" spans="1:14" outlineLevel="1">
      <c r="A442" s="266">
        <f>SUBTOTAL(3,$F$7:F442)</f>
        <v>382</v>
      </c>
      <c r="B442" s="225" t="s">
        <v>1405</v>
      </c>
      <c r="C442" s="224"/>
      <c r="D442" s="224"/>
      <c r="E442" s="224"/>
      <c r="F442" s="290" t="s">
        <v>570</v>
      </c>
      <c r="G442" s="291">
        <v>69</v>
      </c>
      <c r="H442" s="291"/>
      <c r="I442" s="291"/>
      <c r="J442" s="292"/>
      <c r="K442" s="292"/>
      <c r="L442" s="292"/>
      <c r="M442" s="292"/>
      <c r="N442" s="225"/>
    </row>
    <row r="443" spans="1:14" outlineLevel="1">
      <c r="A443" s="266"/>
      <c r="B443" s="295" t="s">
        <v>1446</v>
      </c>
      <c r="C443" s="219"/>
      <c r="D443" s="219"/>
      <c r="E443" s="219"/>
      <c r="F443" s="290"/>
      <c r="G443" s="291">
        <v>0</v>
      </c>
      <c r="H443" s="291"/>
      <c r="I443" s="291"/>
      <c r="J443" s="292"/>
      <c r="K443" s="292"/>
      <c r="L443" s="292"/>
      <c r="M443" s="292"/>
      <c r="N443" s="225"/>
    </row>
    <row r="444" spans="1:14" outlineLevel="1">
      <c r="A444" s="266">
        <f>SUBTOTAL(3,$F$7:F444)</f>
        <v>383</v>
      </c>
      <c r="B444" s="225" t="s">
        <v>1442</v>
      </c>
      <c r="C444" s="224"/>
      <c r="D444" s="224"/>
      <c r="E444" s="224"/>
      <c r="F444" s="290" t="s">
        <v>570</v>
      </c>
      <c r="G444" s="291">
        <v>73</v>
      </c>
      <c r="H444" s="291"/>
      <c r="I444" s="291"/>
      <c r="J444" s="292"/>
      <c r="K444" s="292"/>
      <c r="L444" s="292"/>
      <c r="M444" s="292"/>
      <c r="N444" s="225"/>
    </row>
    <row r="445" spans="1:14" outlineLevel="1">
      <c r="A445" s="266">
        <f>SUBTOTAL(3,$F$7:F445)</f>
        <v>384</v>
      </c>
      <c r="B445" s="225" t="s">
        <v>1405</v>
      </c>
      <c r="C445" s="224"/>
      <c r="D445" s="224"/>
      <c r="E445" s="224"/>
      <c r="F445" s="290" t="s">
        <v>570</v>
      </c>
      <c r="G445" s="291">
        <v>73</v>
      </c>
      <c r="H445" s="291"/>
      <c r="I445" s="291"/>
      <c r="J445" s="292"/>
      <c r="K445" s="292"/>
      <c r="L445" s="292"/>
      <c r="M445" s="292"/>
      <c r="N445" s="225"/>
    </row>
    <row r="446" spans="1:14" outlineLevel="1">
      <c r="A446" s="266"/>
      <c r="B446" s="295" t="s">
        <v>1447</v>
      </c>
      <c r="C446" s="219"/>
      <c r="D446" s="219"/>
      <c r="E446" s="219"/>
      <c r="F446" s="290"/>
      <c r="G446" s="291">
        <v>0</v>
      </c>
      <c r="H446" s="291"/>
      <c r="I446" s="291"/>
      <c r="J446" s="292"/>
      <c r="K446" s="292"/>
      <c r="L446" s="292"/>
      <c r="M446" s="292"/>
      <c r="N446" s="225"/>
    </row>
    <row r="447" spans="1:14" outlineLevel="1">
      <c r="A447" s="266">
        <f>SUBTOTAL(3,$F$7:F447)</f>
        <v>385</v>
      </c>
      <c r="B447" s="225" t="s">
        <v>1418</v>
      </c>
      <c r="C447" s="224"/>
      <c r="D447" s="224"/>
      <c r="E447" s="224"/>
      <c r="F447" s="290" t="s">
        <v>570</v>
      </c>
      <c r="G447" s="291">
        <v>76</v>
      </c>
      <c r="H447" s="291"/>
      <c r="I447" s="291"/>
      <c r="J447" s="292"/>
      <c r="K447" s="292"/>
      <c r="L447" s="292"/>
      <c r="M447" s="292"/>
      <c r="N447" s="225"/>
    </row>
    <row r="448" spans="1:14" outlineLevel="1">
      <c r="A448" s="266">
        <f>SUBTOTAL(3,$F$7:F448)</f>
        <v>386</v>
      </c>
      <c r="B448" s="225" t="s">
        <v>1419</v>
      </c>
      <c r="C448" s="224"/>
      <c r="D448" s="224"/>
      <c r="E448" s="224"/>
      <c r="F448" s="290" t="s">
        <v>570</v>
      </c>
      <c r="G448" s="291">
        <v>76</v>
      </c>
      <c r="H448" s="291"/>
      <c r="I448" s="291"/>
      <c r="J448" s="292"/>
      <c r="K448" s="292"/>
      <c r="L448" s="292"/>
      <c r="M448" s="292"/>
      <c r="N448" s="225"/>
    </row>
    <row r="449" spans="1:14" outlineLevel="1">
      <c r="A449" s="266"/>
      <c r="B449" s="295" t="s">
        <v>1448</v>
      </c>
      <c r="C449" s="219"/>
      <c r="D449" s="219"/>
      <c r="E449" s="219"/>
      <c r="F449" s="290"/>
      <c r="G449" s="291">
        <v>0</v>
      </c>
      <c r="H449" s="291"/>
      <c r="I449" s="291"/>
      <c r="J449" s="292"/>
      <c r="K449" s="292"/>
      <c r="L449" s="292"/>
      <c r="M449" s="292"/>
      <c r="N449" s="225"/>
    </row>
    <row r="450" spans="1:14" outlineLevel="1">
      <c r="A450" s="266">
        <f>SUBTOTAL(3,$F$7:F450)</f>
        <v>387</v>
      </c>
      <c r="B450" s="225" t="s">
        <v>1418</v>
      </c>
      <c r="C450" s="224"/>
      <c r="D450" s="224"/>
      <c r="E450" s="224"/>
      <c r="F450" s="290" t="s">
        <v>570</v>
      </c>
      <c r="G450" s="291">
        <v>112</v>
      </c>
      <c r="H450" s="291"/>
      <c r="I450" s="291"/>
      <c r="J450" s="292"/>
      <c r="K450" s="292"/>
      <c r="L450" s="292"/>
      <c r="M450" s="292"/>
      <c r="N450" s="225"/>
    </row>
    <row r="451" spans="1:14" outlineLevel="1">
      <c r="A451" s="266">
        <f>SUBTOTAL(3,$F$7:F451)</f>
        <v>388</v>
      </c>
      <c r="B451" s="225" t="s">
        <v>1419</v>
      </c>
      <c r="C451" s="224"/>
      <c r="D451" s="224"/>
      <c r="E451" s="224"/>
      <c r="F451" s="290" t="s">
        <v>570</v>
      </c>
      <c r="G451" s="291">
        <v>112</v>
      </c>
      <c r="H451" s="291"/>
      <c r="I451" s="291"/>
      <c r="J451" s="292"/>
      <c r="K451" s="292"/>
      <c r="L451" s="292"/>
      <c r="M451" s="292"/>
      <c r="N451" s="225"/>
    </row>
    <row r="452" spans="1:14" outlineLevel="1">
      <c r="A452" s="266"/>
      <c r="B452" s="295" t="s">
        <v>1449</v>
      </c>
      <c r="C452" s="219"/>
      <c r="D452" s="219"/>
      <c r="E452" s="219"/>
      <c r="F452" s="290"/>
      <c r="G452" s="291">
        <v>0</v>
      </c>
      <c r="H452" s="291"/>
      <c r="I452" s="291"/>
      <c r="J452" s="292"/>
      <c r="K452" s="292"/>
      <c r="L452" s="292"/>
      <c r="M452" s="292"/>
      <c r="N452" s="225"/>
    </row>
    <row r="453" spans="1:14" outlineLevel="1">
      <c r="A453" s="266">
        <f>SUBTOTAL(3,$F$7:F453)</f>
        <v>389</v>
      </c>
      <c r="B453" s="225" t="s">
        <v>1442</v>
      </c>
      <c r="C453" s="224"/>
      <c r="D453" s="224"/>
      <c r="E453" s="224"/>
      <c r="F453" s="290" t="s">
        <v>570</v>
      </c>
      <c r="G453" s="291">
        <v>116</v>
      </c>
      <c r="H453" s="291"/>
      <c r="I453" s="291"/>
      <c r="J453" s="292"/>
      <c r="K453" s="292"/>
      <c r="L453" s="292"/>
      <c r="M453" s="292"/>
      <c r="N453" s="225"/>
    </row>
    <row r="454" spans="1:14" outlineLevel="1">
      <c r="A454" s="266">
        <f>SUBTOTAL(3,$F$7:F454)</f>
        <v>390</v>
      </c>
      <c r="B454" s="225" t="s">
        <v>1405</v>
      </c>
      <c r="C454" s="224"/>
      <c r="D454" s="224"/>
      <c r="E454" s="224"/>
      <c r="F454" s="290" t="s">
        <v>570</v>
      </c>
      <c r="G454" s="291">
        <v>116</v>
      </c>
      <c r="H454" s="291"/>
      <c r="I454" s="291"/>
      <c r="J454" s="292"/>
      <c r="K454" s="292"/>
      <c r="L454" s="292"/>
      <c r="M454" s="292"/>
      <c r="N454" s="225"/>
    </row>
    <row r="455" spans="1:14" outlineLevel="1">
      <c r="A455" s="266"/>
      <c r="B455" s="295" t="s">
        <v>1450</v>
      </c>
      <c r="C455" s="219"/>
      <c r="D455" s="219"/>
      <c r="E455" s="219"/>
      <c r="F455" s="290"/>
      <c r="G455" s="291">
        <v>0</v>
      </c>
      <c r="H455" s="291"/>
      <c r="I455" s="291"/>
      <c r="J455" s="292"/>
      <c r="K455" s="292"/>
      <c r="L455" s="292"/>
      <c r="M455" s="292"/>
      <c r="N455" s="225"/>
    </row>
    <row r="456" spans="1:14" outlineLevel="1">
      <c r="A456" s="266">
        <f>SUBTOTAL(3,$F$7:F456)</f>
        <v>391</v>
      </c>
      <c r="B456" s="225" t="s">
        <v>1442</v>
      </c>
      <c r="C456" s="224"/>
      <c r="D456" s="224"/>
      <c r="E456" s="224"/>
      <c r="F456" s="290" t="s">
        <v>570</v>
      </c>
      <c r="G456" s="291">
        <v>119</v>
      </c>
      <c r="H456" s="291"/>
      <c r="I456" s="291"/>
      <c r="J456" s="292"/>
      <c r="K456" s="292"/>
      <c r="L456" s="292"/>
      <c r="M456" s="292"/>
      <c r="N456" s="225"/>
    </row>
    <row r="457" spans="1:14" outlineLevel="1">
      <c r="A457" s="266">
        <f>SUBTOTAL(3,$F$7:F457)</f>
        <v>392</v>
      </c>
      <c r="B457" s="225" t="s">
        <v>1405</v>
      </c>
      <c r="C457" s="224"/>
      <c r="D457" s="224"/>
      <c r="E457" s="224"/>
      <c r="F457" s="290" t="s">
        <v>570</v>
      </c>
      <c r="G457" s="291">
        <v>119</v>
      </c>
      <c r="H457" s="291"/>
      <c r="I457" s="291"/>
      <c r="J457" s="292"/>
      <c r="K457" s="292"/>
      <c r="L457" s="292"/>
      <c r="M457" s="292"/>
      <c r="N457" s="225"/>
    </row>
    <row r="458" spans="1:14" outlineLevel="1">
      <c r="A458" s="266"/>
      <c r="B458" s="295" t="s">
        <v>1451</v>
      </c>
      <c r="C458" s="219"/>
      <c r="D458" s="219"/>
      <c r="E458" s="219"/>
      <c r="F458" s="290"/>
      <c r="G458" s="291">
        <v>0</v>
      </c>
      <c r="H458" s="291"/>
      <c r="I458" s="291"/>
      <c r="J458" s="292"/>
      <c r="K458" s="292"/>
      <c r="L458" s="292"/>
      <c r="M458" s="292"/>
      <c r="N458" s="225"/>
    </row>
    <row r="459" spans="1:14" outlineLevel="1">
      <c r="A459" s="266">
        <f>SUBTOTAL(3,$F$7:F459)</f>
        <v>393</v>
      </c>
      <c r="B459" s="225" t="s">
        <v>1442</v>
      </c>
      <c r="C459" s="224"/>
      <c r="D459" s="224"/>
      <c r="E459" s="224"/>
      <c r="F459" s="290" t="s">
        <v>570</v>
      </c>
      <c r="G459" s="291">
        <v>123</v>
      </c>
      <c r="H459" s="291"/>
      <c r="I459" s="291"/>
      <c r="J459" s="292"/>
      <c r="K459" s="292"/>
      <c r="L459" s="292"/>
      <c r="M459" s="292"/>
      <c r="N459" s="225"/>
    </row>
    <row r="460" spans="1:14" outlineLevel="1">
      <c r="A460" s="266">
        <f>SUBTOTAL(3,$F$7:F460)</f>
        <v>394</v>
      </c>
      <c r="B460" s="225" t="s">
        <v>1405</v>
      </c>
      <c r="C460" s="224"/>
      <c r="D460" s="224"/>
      <c r="E460" s="224"/>
      <c r="F460" s="290" t="s">
        <v>570</v>
      </c>
      <c r="G460" s="291">
        <v>123</v>
      </c>
      <c r="H460" s="291"/>
      <c r="I460" s="291"/>
      <c r="J460" s="292"/>
      <c r="K460" s="292"/>
      <c r="L460" s="292"/>
      <c r="M460" s="292"/>
      <c r="N460" s="225"/>
    </row>
    <row r="461" spans="1:14" outlineLevel="1">
      <c r="A461" s="266"/>
      <c r="B461" s="295" t="s">
        <v>1452</v>
      </c>
      <c r="C461" s="219"/>
      <c r="D461" s="219"/>
      <c r="E461" s="219"/>
      <c r="F461" s="290"/>
      <c r="G461" s="291">
        <v>0</v>
      </c>
      <c r="H461" s="291"/>
      <c r="I461" s="291"/>
      <c r="J461" s="292"/>
      <c r="K461" s="292"/>
      <c r="L461" s="292"/>
      <c r="M461" s="292"/>
      <c r="N461" s="225"/>
    </row>
    <row r="462" spans="1:14" outlineLevel="1">
      <c r="A462" s="266">
        <f>SUBTOTAL(3,$F$7:F462)</f>
        <v>395</v>
      </c>
      <c r="B462" s="225" t="s">
        <v>1433</v>
      </c>
      <c r="C462" s="224"/>
      <c r="D462" s="224"/>
      <c r="E462" s="224"/>
      <c r="F462" s="290" t="s">
        <v>570</v>
      </c>
      <c r="G462" s="291">
        <v>126</v>
      </c>
      <c r="H462" s="291"/>
      <c r="I462" s="291"/>
      <c r="J462" s="292"/>
      <c r="K462" s="292"/>
      <c r="L462" s="292"/>
      <c r="M462" s="292"/>
      <c r="N462" s="225"/>
    </row>
    <row r="463" spans="1:14" outlineLevel="1">
      <c r="A463" s="266">
        <f>SUBTOTAL(3,$F$7:F463)</f>
        <v>396</v>
      </c>
      <c r="B463" s="225" t="s">
        <v>1396</v>
      </c>
      <c r="C463" s="224"/>
      <c r="D463" s="224"/>
      <c r="E463" s="224"/>
      <c r="F463" s="290" t="s">
        <v>570</v>
      </c>
      <c r="G463" s="291">
        <v>126</v>
      </c>
      <c r="H463" s="291"/>
      <c r="I463" s="291"/>
      <c r="J463" s="292"/>
      <c r="K463" s="292"/>
      <c r="L463" s="292"/>
      <c r="M463" s="292"/>
      <c r="N463" s="225"/>
    </row>
    <row r="464" spans="1:14" outlineLevel="1">
      <c r="A464" s="266"/>
      <c r="B464" s="295" t="s">
        <v>1453</v>
      </c>
      <c r="C464" s="219"/>
      <c r="D464" s="219"/>
      <c r="E464" s="219"/>
      <c r="F464" s="290"/>
      <c r="G464" s="291">
        <v>0</v>
      </c>
      <c r="H464" s="291"/>
      <c r="I464" s="291"/>
      <c r="J464" s="292"/>
      <c r="K464" s="292"/>
      <c r="L464" s="292"/>
      <c r="M464" s="292"/>
      <c r="N464" s="225"/>
    </row>
    <row r="465" spans="1:14" outlineLevel="1">
      <c r="A465" s="266">
        <f>SUBTOTAL(3,$F$7:F465)</f>
        <v>397</v>
      </c>
      <c r="B465" s="225" t="s">
        <v>1454</v>
      </c>
      <c r="C465" s="224"/>
      <c r="D465" s="224"/>
      <c r="E465" s="224"/>
      <c r="F465" s="290" t="s">
        <v>570</v>
      </c>
      <c r="G465" s="291">
        <v>128</v>
      </c>
      <c r="H465" s="291"/>
      <c r="I465" s="291"/>
      <c r="J465" s="292"/>
      <c r="K465" s="292"/>
      <c r="L465" s="292"/>
      <c r="M465" s="292"/>
      <c r="N465" s="225"/>
    </row>
    <row r="466" spans="1:14" outlineLevel="1">
      <c r="A466" s="266">
        <f>SUBTOTAL(3,$F$7:F466)</f>
        <v>398</v>
      </c>
      <c r="B466" s="225" t="s">
        <v>1402</v>
      </c>
      <c r="C466" s="224"/>
      <c r="D466" s="224"/>
      <c r="E466" s="224"/>
      <c r="F466" s="290" t="s">
        <v>570</v>
      </c>
      <c r="G466" s="291">
        <v>128</v>
      </c>
      <c r="H466" s="291"/>
      <c r="I466" s="291"/>
      <c r="J466" s="292"/>
      <c r="K466" s="292"/>
      <c r="L466" s="292"/>
      <c r="M466" s="292"/>
      <c r="N466" s="225"/>
    </row>
    <row r="467" spans="1:14" outlineLevel="1">
      <c r="A467" s="266"/>
      <c r="B467" s="295" t="s">
        <v>1455</v>
      </c>
      <c r="C467" s="219"/>
      <c r="D467" s="219"/>
      <c r="E467" s="219"/>
      <c r="F467" s="290"/>
      <c r="G467" s="291">
        <v>0</v>
      </c>
      <c r="H467" s="291"/>
      <c r="I467" s="291"/>
      <c r="J467" s="292"/>
      <c r="K467" s="292"/>
      <c r="L467" s="292"/>
      <c r="M467" s="292"/>
      <c r="N467" s="225"/>
    </row>
    <row r="468" spans="1:14" outlineLevel="1">
      <c r="A468" s="266">
        <f>SUBTOTAL(3,$F$7:F468)</f>
        <v>399</v>
      </c>
      <c r="B468" s="225" t="s">
        <v>1433</v>
      </c>
      <c r="C468" s="224"/>
      <c r="D468" s="224"/>
      <c r="E468" s="224"/>
      <c r="F468" s="290" t="s">
        <v>570</v>
      </c>
      <c r="G468" s="291">
        <v>131</v>
      </c>
      <c r="H468" s="291"/>
      <c r="I468" s="291"/>
      <c r="J468" s="292"/>
      <c r="K468" s="292"/>
      <c r="L468" s="292"/>
      <c r="M468" s="292"/>
      <c r="N468" s="225"/>
    </row>
    <row r="469" spans="1:14" outlineLevel="1">
      <c r="A469" s="266">
        <f>SUBTOTAL(3,$F$7:F469)</f>
        <v>400</v>
      </c>
      <c r="B469" s="225" t="s">
        <v>1396</v>
      </c>
      <c r="C469" s="224"/>
      <c r="D469" s="224"/>
      <c r="E469" s="224"/>
      <c r="F469" s="290" t="s">
        <v>570</v>
      </c>
      <c r="G469" s="291">
        <v>131</v>
      </c>
      <c r="H469" s="291"/>
      <c r="I469" s="291"/>
      <c r="J469" s="292"/>
      <c r="K469" s="292"/>
      <c r="L469" s="292"/>
      <c r="M469" s="292"/>
      <c r="N469" s="225"/>
    </row>
    <row r="470" spans="1:14" outlineLevel="1">
      <c r="A470" s="266"/>
      <c r="B470" s="295" t="s">
        <v>1456</v>
      </c>
      <c r="C470" s="219"/>
      <c r="D470" s="219"/>
      <c r="E470" s="219"/>
      <c r="F470" s="290"/>
      <c r="G470" s="291">
        <v>0</v>
      </c>
      <c r="H470" s="291"/>
      <c r="I470" s="291"/>
      <c r="J470" s="292"/>
      <c r="K470" s="292"/>
      <c r="L470" s="292"/>
      <c r="M470" s="292"/>
      <c r="N470" s="225"/>
    </row>
    <row r="471" spans="1:14" outlineLevel="1">
      <c r="A471" s="266">
        <f>SUBTOTAL(3,$F$7:F471)</f>
        <v>401</v>
      </c>
      <c r="B471" s="225" t="s">
        <v>1433</v>
      </c>
      <c r="C471" s="224"/>
      <c r="D471" s="224"/>
      <c r="E471" s="224"/>
      <c r="F471" s="290" t="s">
        <v>570</v>
      </c>
      <c r="G471" s="291">
        <v>45</v>
      </c>
      <c r="H471" s="291"/>
      <c r="I471" s="291"/>
      <c r="J471" s="292"/>
      <c r="K471" s="292"/>
      <c r="L471" s="292"/>
      <c r="M471" s="292"/>
      <c r="N471" s="225"/>
    </row>
    <row r="472" spans="1:14" outlineLevel="1">
      <c r="A472" s="266">
        <f>SUBTOTAL(3,$F$7:F472)</f>
        <v>402</v>
      </c>
      <c r="B472" s="225" t="s">
        <v>1396</v>
      </c>
      <c r="C472" s="224"/>
      <c r="D472" s="224"/>
      <c r="E472" s="224"/>
      <c r="F472" s="290" t="s">
        <v>570</v>
      </c>
      <c r="G472" s="291">
        <v>45</v>
      </c>
      <c r="H472" s="291"/>
      <c r="I472" s="291"/>
      <c r="J472" s="292"/>
      <c r="K472" s="292"/>
      <c r="L472" s="292"/>
      <c r="M472" s="292"/>
      <c r="N472" s="225"/>
    </row>
    <row r="473" spans="1:14" outlineLevel="1">
      <c r="A473" s="266"/>
      <c r="B473" s="295" t="s">
        <v>1457</v>
      </c>
      <c r="C473" s="219"/>
      <c r="D473" s="219"/>
      <c r="E473" s="219"/>
      <c r="F473" s="290"/>
      <c r="G473" s="291">
        <v>0</v>
      </c>
      <c r="H473" s="291"/>
      <c r="I473" s="291"/>
      <c r="J473" s="292"/>
      <c r="K473" s="292"/>
      <c r="L473" s="292"/>
      <c r="M473" s="292"/>
      <c r="N473" s="225"/>
    </row>
    <row r="474" spans="1:14" outlineLevel="1">
      <c r="A474" s="266">
        <f>SUBTOTAL(3,$F$7:F474)</f>
        <v>403</v>
      </c>
      <c r="B474" s="225" t="s">
        <v>1433</v>
      </c>
      <c r="C474" s="224"/>
      <c r="D474" s="224"/>
      <c r="E474" s="224"/>
      <c r="F474" s="290" t="s">
        <v>570</v>
      </c>
      <c r="G474" s="291">
        <v>48</v>
      </c>
      <c r="H474" s="291"/>
      <c r="I474" s="291"/>
      <c r="J474" s="292"/>
      <c r="K474" s="292"/>
      <c r="L474" s="292"/>
      <c r="M474" s="292"/>
      <c r="N474" s="225"/>
    </row>
    <row r="475" spans="1:14" outlineLevel="1">
      <c r="A475" s="266">
        <f>SUBTOTAL(3,$F$7:F475)</f>
        <v>404</v>
      </c>
      <c r="B475" s="225" t="s">
        <v>1396</v>
      </c>
      <c r="C475" s="224"/>
      <c r="D475" s="224"/>
      <c r="E475" s="224"/>
      <c r="F475" s="290" t="s">
        <v>570</v>
      </c>
      <c r="G475" s="291">
        <v>48</v>
      </c>
      <c r="H475" s="291"/>
      <c r="I475" s="291"/>
      <c r="J475" s="292"/>
      <c r="K475" s="292"/>
      <c r="L475" s="292"/>
      <c r="M475" s="292"/>
      <c r="N475" s="225"/>
    </row>
    <row r="476" spans="1:14" outlineLevel="1">
      <c r="A476" s="266"/>
      <c r="B476" s="295" t="s">
        <v>1458</v>
      </c>
      <c r="C476" s="219"/>
      <c r="D476" s="219"/>
      <c r="E476" s="219"/>
      <c r="F476" s="290"/>
      <c r="G476" s="291">
        <v>0</v>
      </c>
      <c r="H476" s="291"/>
      <c r="I476" s="291"/>
      <c r="J476" s="292"/>
      <c r="K476" s="292"/>
      <c r="L476" s="292"/>
      <c r="M476" s="292"/>
      <c r="N476" s="225"/>
    </row>
    <row r="477" spans="1:14" outlineLevel="1">
      <c r="A477" s="266">
        <f>SUBTOTAL(3,$F$7:F477)</f>
        <v>405</v>
      </c>
      <c r="B477" s="225" t="s">
        <v>1433</v>
      </c>
      <c r="C477" s="224"/>
      <c r="D477" s="224"/>
      <c r="E477" s="224"/>
      <c r="F477" s="290" t="s">
        <v>570</v>
      </c>
      <c r="G477" s="291">
        <v>102</v>
      </c>
      <c r="H477" s="291"/>
      <c r="I477" s="291"/>
      <c r="J477" s="292"/>
      <c r="K477" s="292"/>
      <c r="L477" s="292"/>
      <c r="M477" s="292"/>
      <c r="N477" s="225"/>
    </row>
    <row r="478" spans="1:14" outlineLevel="1">
      <c r="A478" s="266">
        <f>SUBTOTAL(3,$F$7:F478)</f>
        <v>406</v>
      </c>
      <c r="B478" s="225" t="s">
        <v>1396</v>
      </c>
      <c r="C478" s="224"/>
      <c r="D478" s="224"/>
      <c r="E478" s="224"/>
      <c r="F478" s="290" t="s">
        <v>570</v>
      </c>
      <c r="G478" s="291">
        <v>102</v>
      </c>
      <c r="H478" s="291"/>
      <c r="I478" s="291"/>
      <c r="J478" s="292"/>
      <c r="K478" s="292"/>
      <c r="L478" s="292"/>
      <c r="M478" s="292"/>
      <c r="N478" s="225"/>
    </row>
    <row r="479" spans="1:14" outlineLevel="1">
      <c r="A479" s="266"/>
      <c r="B479" s="295" t="s">
        <v>1459</v>
      </c>
      <c r="C479" s="219"/>
      <c r="D479" s="219"/>
      <c r="E479" s="219"/>
      <c r="F479" s="290"/>
      <c r="G479" s="291">
        <v>0</v>
      </c>
      <c r="H479" s="291"/>
      <c r="I479" s="291"/>
      <c r="J479" s="292"/>
      <c r="K479" s="292"/>
      <c r="L479" s="292"/>
      <c r="M479" s="292"/>
      <c r="N479" s="225"/>
    </row>
    <row r="480" spans="1:14" outlineLevel="1">
      <c r="A480" s="266">
        <f>SUBTOTAL(3,$F$7:F480)</f>
        <v>407</v>
      </c>
      <c r="B480" s="225" t="s">
        <v>1433</v>
      </c>
      <c r="C480" s="224"/>
      <c r="D480" s="224"/>
      <c r="E480" s="224"/>
      <c r="F480" s="290" t="s">
        <v>570</v>
      </c>
      <c r="G480" s="291">
        <v>105</v>
      </c>
      <c r="H480" s="291"/>
      <c r="I480" s="291"/>
      <c r="J480" s="292"/>
      <c r="K480" s="292"/>
      <c r="L480" s="292"/>
      <c r="M480" s="292"/>
      <c r="N480" s="225"/>
    </row>
    <row r="481" spans="1:14" outlineLevel="1">
      <c r="A481" s="266">
        <f>SUBTOTAL(3,$F$7:F481)</f>
        <v>408</v>
      </c>
      <c r="B481" s="225" t="s">
        <v>1396</v>
      </c>
      <c r="C481" s="224"/>
      <c r="D481" s="224"/>
      <c r="E481" s="224"/>
      <c r="F481" s="290" t="s">
        <v>570</v>
      </c>
      <c r="G481" s="291">
        <v>105</v>
      </c>
      <c r="H481" s="291"/>
      <c r="I481" s="291"/>
      <c r="J481" s="292"/>
      <c r="K481" s="292"/>
      <c r="L481" s="292"/>
      <c r="M481" s="292"/>
      <c r="N481" s="225"/>
    </row>
    <row r="482" spans="1:14" outlineLevel="1">
      <c r="A482" s="266"/>
      <c r="B482" s="295" t="s">
        <v>1460</v>
      </c>
      <c r="C482" s="219"/>
      <c r="D482" s="219"/>
      <c r="E482" s="219"/>
      <c r="F482" s="290"/>
      <c r="G482" s="291">
        <v>0</v>
      </c>
      <c r="H482" s="291"/>
      <c r="I482" s="291"/>
      <c r="J482" s="292"/>
      <c r="K482" s="292"/>
      <c r="L482" s="292"/>
      <c r="M482" s="292"/>
      <c r="N482" s="225"/>
    </row>
    <row r="483" spans="1:14" outlineLevel="1">
      <c r="A483" s="266">
        <f>SUBTOTAL(3,$F$7:F483)</f>
        <v>409</v>
      </c>
      <c r="B483" s="225" t="s">
        <v>1416</v>
      </c>
      <c r="C483" s="224"/>
      <c r="D483" s="224"/>
      <c r="E483" s="224"/>
      <c r="F483" s="290" t="s">
        <v>570</v>
      </c>
      <c r="G483" s="291">
        <v>170</v>
      </c>
      <c r="H483" s="291"/>
      <c r="I483" s="291"/>
      <c r="J483" s="292"/>
      <c r="K483" s="292"/>
      <c r="L483" s="292"/>
      <c r="M483" s="292"/>
      <c r="N483" s="225"/>
    </row>
    <row r="484" spans="1:14" outlineLevel="1">
      <c r="A484" s="266">
        <f>SUBTOTAL(3,$F$7:F484)</f>
        <v>410</v>
      </c>
      <c r="B484" s="225" t="s">
        <v>1402</v>
      </c>
      <c r="C484" s="224"/>
      <c r="D484" s="224"/>
      <c r="E484" s="224"/>
      <c r="F484" s="290" t="s">
        <v>570</v>
      </c>
      <c r="G484" s="291">
        <v>170</v>
      </c>
      <c r="H484" s="291"/>
      <c r="I484" s="291"/>
      <c r="J484" s="292"/>
      <c r="K484" s="292"/>
      <c r="L484" s="292"/>
      <c r="M484" s="292"/>
      <c r="N484" s="225"/>
    </row>
    <row r="485" spans="1:14" outlineLevel="1">
      <c r="A485" s="266"/>
      <c r="B485" s="295" t="s">
        <v>1461</v>
      </c>
      <c r="C485" s="219"/>
      <c r="D485" s="219"/>
      <c r="E485" s="219"/>
      <c r="F485" s="290"/>
      <c r="G485" s="291">
        <v>0</v>
      </c>
      <c r="H485" s="291"/>
      <c r="I485" s="291"/>
      <c r="J485" s="292"/>
      <c r="K485" s="292"/>
      <c r="L485" s="292"/>
      <c r="M485" s="292"/>
      <c r="N485" s="225"/>
    </row>
    <row r="486" spans="1:14" outlineLevel="1">
      <c r="A486" s="266">
        <f>SUBTOTAL(3,$F$7:F486)</f>
        <v>411</v>
      </c>
      <c r="B486" s="225" t="s">
        <v>1454</v>
      </c>
      <c r="C486" s="224"/>
      <c r="D486" s="224"/>
      <c r="E486" s="224"/>
      <c r="F486" s="290" t="s">
        <v>570</v>
      </c>
      <c r="G486" s="291">
        <v>80</v>
      </c>
      <c r="H486" s="291"/>
      <c r="I486" s="291"/>
      <c r="J486" s="292"/>
      <c r="K486" s="292"/>
      <c r="L486" s="292"/>
      <c r="M486" s="292"/>
      <c r="N486" s="225"/>
    </row>
    <row r="487" spans="1:14" outlineLevel="1">
      <c r="A487" s="266">
        <f>SUBTOTAL(3,$F$7:F487)</f>
        <v>412</v>
      </c>
      <c r="B487" s="225" t="s">
        <v>1402</v>
      </c>
      <c r="C487" s="224"/>
      <c r="D487" s="224"/>
      <c r="E487" s="224"/>
      <c r="F487" s="290" t="s">
        <v>570</v>
      </c>
      <c r="G487" s="291">
        <v>80</v>
      </c>
      <c r="H487" s="291"/>
      <c r="I487" s="291"/>
      <c r="J487" s="292"/>
      <c r="K487" s="292"/>
      <c r="L487" s="292"/>
      <c r="M487" s="292"/>
      <c r="N487" s="225"/>
    </row>
    <row r="488" spans="1:14" outlineLevel="1">
      <c r="A488" s="266"/>
      <c r="B488" s="295" t="s">
        <v>1462</v>
      </c>
      <c r="C488" s="219"/>
      <c r="D488" s="219"/>
      <c r="E488" s="219"/>
      <c r="F488" s="290"/>
      <c r="G488" s="291">
        <v>0</v>
      </c>
      <c r="H488" s="291"/>
      <c r="I488" s="291"/>
      <c r="J488" s="292"/>
      <c r="K488" s="292"/>
      <c r="L488" s="292"/>
      <c r="M488" s="292"/>
      <c r="N488" s="225"/>
    </row>
    <row r="489" spans="1:14" outlineLevel="1">
      <c r="A489" s="266">
        <f>SUBTOTAL(3,$F$7:F489)</f>
        <v>413</v>
      </c>
      <c r="B489" s="225" t="s">
        <v>1454</v>
      </c>
      <c r="C489" s="224"/>
      <c r="D489" s="224"/>
      <c r="E489" s="224"/>
      <c r="F489" s="290" t="s">
        <v>570</v>
      </c>
      <c r="G489" s="291">
        <v>130</v>
      </c>
      <c r="H489" s="291"/>
      <c r="I489" s="291"/>
      <c r="J489" s="292"/>
      <c r="K489" s="292"/>
      <c r="L489" s="292"/>
      <c r="M489" s="292"/>
      <c r="N489" s="225"/>
    </row>
    <row r="490" spans="1:14" outlineLevel="1">
      <c r="A490" s="266">
        <f>SUBTOTAL(3,$F$7:F490)</f>
        <v>414</v>
      </c>
      <c r="B490" s="225" t="s">
        <v>1402</v>
      </c>
      <c r="C490" s="224"/>
      <c r="D490" s="224"/>
      <c r="E490" s="224"/>
      <c r="F490" s="290" t="s">
        <v>570</v>
      </c>
      <c r="G490" s="291">
        <v>130</v>
      </c>
      <c r="H490" s="291"/>
      <c r="I490" s="291"/>
      <c r="J490" s="292"/>
      <c r="K490" s="292"/>
      <c r="L490" s="292"/>
      <c r="M490" s="292"/>
      <c r="N490" s="225"/>
    </row>
    <row r="491" spans="1:14" outlineLevel="1">
      <c r="A491" s="266"/>
      <c r="B491" s="295" t="s">
        <v>1463</v>
      </c>
      <c r="C491" s="219"/>
      <c r="D491" s="219"/>
      <c r="E491" s="219"/>
      <c r="F491" s="290"/>
      <c r="G491" s="291">
        <v>0</v>
      </c>
      <c r="H491" s="291"/>
      <c r="I491" s="291"/>
      <c r="J491" s="292"/>
      <c r="K491" s="292"/>
      <c r="L491" s="292"/>
      <c r="M491" s="292"/>
      <c r="N491" s="225"/>
    </row>
    <row r="492" spans="1:14" outlineLevel="1">
      <c r="A492" s="266">
        <f>SUBTOTAL(3,$F$7:F492)</f>
        <v>415</v>
      </c>
      <c r="B492" s="225" t="s">
        <v>1401</v>
      </c>
      <c r="C492" s="224"/>
      <c r="D492" s="224"/>
      <c r="E492" s="224"/>
      <c r="F492" s="290" t="s">
        <v>570</v>
      </c>
      <c r="G492" s="291">
        <v>172</v>
      </c>
      <c r="H492" s="291"/>
      <c r="I492" s="291"/>
      <c r="J492" s="292"/>
      <c r="K492" s="292"/>
      <c r="L492" s="292"/>
      <c r="M492" s="292"/>
      <c r="N492" s="225"/>
    </row>
    <row r="493" spans="1:14" outlineLevel="1">
      <c r="A493" s="266">
        <f>SUBTOTAL(3,$F$7:F493)</f>
        <v>416</v>
      </c>
      <c r="B493" s="225" t="s">
        <v>1402</v>
      </c>
      <c r="C493" s="224"/>
      <c r="D493" s="224"/>
      <c r="E493" s="224"/>
      <c r="F493" s="290" t="s">
        <v>570</v>
      </c>
      <c r="G493" s="291">
        <v>172</v>
      </c>
      <c r="H493" s="291"/>
      <c r="I493" s="291"/>
      <c r="J493" s="292"/>
      <c r="K493" s="292"/>
      <c r="L493" s="292"/>
      <c r="M493" s="292"/>
      <c r="N493" s="225"/>
    </row>
    <row r="494" spans="1:14" outlineLevel="1">
      <c r="A494" s="266"/>
      <c r="B494" s="295" t="s">
        <v>1464</v>
      </c>
      <c r="C494" s="219"/>
      <c r="D494" s="219"/>
      <c r="E494" s="219"/>
      <c r="F494" s="290"/>
      <c r="G494" s="291">
        <v>0</v>
      </c>
      <c r="H494" s="291"/>
      <c r="I494" s="291"/>
      <c r="J494" s="292"/>
      <c r="K494" s="292"/>
      <c r="L494" s="292"/>
      <c r="M494" s="292"/>
      <c r="N494" s="225"/>
    </row>
    <row r="495" spans="1:14" outlineLevel="1">
      <c r="A495" s="266">
        <f>SUBTOTAL(3,$F$7:F495)</f>
        <v>417</v>
      </c>
      <c r="B495" s="225" t="s">
        <v>1465</v>
      </c>
      <c r="C495" s="224"/>
      <c r="D495" s="224"/>
      <c r="E495" s="224"/>
      <c r="F495" s="290" t="s">
        <v>570</v>
      </c>
      <c r="G495" s="291">
        <v>80</v>
      </c>
      <c r="H495" s="291"/>
      <c r="I495" s="291"/>
      <c r="J495" s="292"/>
      <c r="K495" s="292"/>
      <c r="L495" s="292"/>
      <c r="M495" s="292"/>
      <c r="N495" s="225"/>
    </row>
    <row r="496" spans="1:14" outlineLevel="1">
      <c r="A496" s="266">
        <f>SUBTOTAL(3,$F$7:F496)</f>
        <v>418</v>
      </c>
      <c r="B496" s="225" t="s">
        <v>1402</v>
      </c>
      <c r="C496" s="224"/>
      <c r="D496" s="224"/>
      <c r="E496" s="224"/>
      <c r="F496" s="290" t="s">
        <v>570</v>
      </c>
      <c r="G496" s="291">
        <v>80</v>
      </c>
      <c r="H496" s="291"/>
      <c r="I496" s="291"/>
      <c r="J496" s="292"/>
      <c r="K496" s="292"/>
      <c r="L496" s="292"/>
      <c r="M496" s="292"/>
      <c r="N496" s="225"/>
    </row>
    <row r="497" spans="1:14" outlineLevel="1">
      <c r="A497" s="266"/>
      <c r="B497" s="295" t="s">
        <v>1466</v>
      </c>
      <c r="C497" s="219"/>
      <c r="D497" s="219"/>
      <c r="E497" s="219"/>
      <c r="F497" s="290"/>
      <c r="G497" s="291">
        <v>0</v>
      </c>
      <c r="H497" s="291"/>
      <c r="I497" s="291"/>
      <c r="J497" s="292"/>
      <c r="K497" s="292"/>
      <c r="L497" s="292"/>
      <c r="M497" s="292"/>
      <c r="N497" s="225"/>
    </row>
    <row r="498" spans="1:14" outlineLevel="1">
      <c r="A498" s="266">
        <f>SUBTOTAL(3,$F$7:F498)</f>
        <v>419</v>
      </c>
      <c r="B498" s="225" t="s">
        <v>1465</v>
      </c>
      <c r="C498" s="224"/>
      <c r="D498" s="224"/>
      <c r="E498" s="224"/>
      <c r="F498" s="290" t="s">
        <v>570</v>
      </c>
      <c r="G498" s="291">
        <v>131</v>
      </c>
      <c r="H498" s="291"/>
      <c r="I498" s="291"/>
      <c r="J498" s="292"/>
      <c r="K498" s="292"/>
      <c r="L498" s="292"/>
      <c r="M498" s="292"/>
      <c r="N498" s="225"/>
    </row>
    <row r="499" spans="1:14" outlineLevel="1">
      <c r="A499" s="266">
        <f>SUBTOTAL(3,$F$7:F499)</f>
        <v>420</v>
      </c>
      <c r="B499" s="225" t="s">
        <v>1402</v>
      </c>
      <c r="C499" s="224"/>
      <c r="D499" s="224"/>
      <c r="E499" s="224"/>
      <c r="F499" s="290" t="s">
        <v>570</v>
      </c>
      <c r="G499" s="291">
        <v>131</v>
      </c>
      <c r="H499" s="291"/>
      <c r="I499" s="291"/>
      <c r="J499" s="292"/>
      <c r="K499" s="292"/>
      <c r="L499" s="292"/>
      <c r="M499" s="292"/>
      <c r="N499" s="225"/>
    </row>
    <row r="500" spans="1:14" outlineLevel="1">
      <c r="A500" s="266"/>
      <c r="B500" s="295" t="s">
        <v>1467</v>
      </c>
      <c r="C500" s="219"/>
      <c r="D500" s="219"/>
      <c r="E500" s="219"/>
      <c r="F500" s="290"/>
      <c r="G500" s="291">
        <v>0</v>
      </c>
      <c r="H500" s="291"/>
      <c r="I500" s="291"/>
      <c r="J500" s="292"/>
      <c r="K500" s="292"/>
      <c r="L500" s="292"/>
      <c r="M500" s="292"/>
      <c r="N500" s="225"/>
    </row>
    <row r="501" spans="1:14" outlineLevel="1">
      <c r="A501" s="266">
        <f>SUBTOTAL(3,$F$7:F501)</f>
        <v>421</v>
      </c>
      <c r="B501" s="225" t="s">
        <v>1468</v>
      </c>
      <c r="C501" s="224"/>
      <c r="D501" s="224"/>
      <c r="E501" s="224"/>
      <c r="F501" s="290" t="s">
        <v>570</v>
      </c>
      <c r="G501" s="291">
        <v>178</v>
      </c>
      <c r="H501" s="291"/>
      <c r="I501" s="291"/>
      <c r="J501" s="292"/>
      <c r="K501" s="292"/>
      <c r="L501" s="292"/>
      <c r="M501" s="292"/>
      <c r="N501" s="225"/>
    </row>
    <row r="502" spans="1:14" outlineLevel="1">
      <c r="A502" s="266">
        <f>SUBTOTAL(3,$F$7:F502)</f>
        <v>422</v>
      </c>
      <c r="B502" s="225" t="s">
        <v>1402</v>
      </c>
      <c r="C502" s="224"/>
      <c r="D502" s="224"/>
      <c r="E502" s="224"/>
      <c r="F502" s="290" t="s">
        <v>570</v>
      </c>
      <c r="G502" s="291">
        <v>178</v>
      </c>
      <c r="H502" s="291"/>
      <c r="I502" s="291"/>
      <c r="J502" s="292"/>
      <c r="K502" s="292"/>
      <c r="L502" s="292"/>
      <c r="M502" s="292"/>
      <c r="N502" s="225"/>
    </row>
    <row r="503" spans="1:14" outlineLevel="1">
      <c r="A503" s="266"/>
      <c r="B503" s="295" t="s">
        <v>1469</v>
      </c>
      <c r="C503" s="219"/>
      <c r="D503" s="219"/>
      <c r="E503" s="219"/>
      <c r="F503" s="290"/>
      <c r="G503" s="291">
        <v>0</v>
      </c>
      <c r="H503" s="291"/>
      <c r="I503" s="291"/>
      <c r="J503" s="292"/>
      <c r="K503" s="292"/>
      <c r="L503" s="292"/>
      <c r="M503" s="292"/>
      <c r="N503" s="225"/>
    </row>
    <row r="504" spans="1:14" outlineLevel="1">
      <c r="A504" s="266">
        <f>SUBTOTAL(3,$F$7:F504)</f>
        <v>423</v>
      </c>
      <c r="B504" s="225" t="s">
        <v>1465</v>
      </c>
      <c r="C504" s="224"/>
      <c r="D504" s="224"/>
      <c r="E504" s="224"/>
      <c r="F504" s="290" t="s">
        <v>570</v>
      </c>
      <c r="G504" s="291">
        <v>92</v>
      </c>
      <c r="H504" s="291"/>
      <c r="I504" s="291"/>
      <c r="J504" s="292"/>
      <c r="K504" s="292"/>
      <c r="L504" s="292"/>
      <c r="M504" s="292"/>
      <c r="N504" s="225"/>
    </row>
    <row r="505" spans="1:14" outlineLevel="1">
      <c r="A505" s="266">
        <f>SUBTOTAL(3,$F$7:F505)</f>
        <v>424</v>
      </c>
      <c r="B505" s="225" t="s">
        <v>1402</v>
      </c>
      <c r="C505" s="224"/>
      <c r="D505" s="224"/>
      <c r="E505" s="224"/>
      <c r="F505" s="290" t="s">
        <v>570</v>
      </c>
      <c r="G505" s="291">
        <v>92</v>
      </c>
      <c r="H505" s="291"/>
      <c r="I505" s="291"/>
      <c r="J505" s="292"/>
      <c r="K505" s="292"/>
      <c r="L505" s="292"/>
      <c r="M505" s="292"/>
      <c r="N505" s="225"/>
    </row>
    <row r="506" spans="1:14" outlineLevel="1">
      <c r="A506" s="266"/>
      <c r="B506" s="295" t="s">
        <v>1470</v>
      </c>
      <c r="C506" s="219"/>
      <c r="D506" s="219"/>
      <c r="E506" s="219"/>
      <c r="F506" s="290"/>
      <c r="G506" s="291">
        <v>0</v>
      </c>
      <c r="H506" s="291"/>
      <c r="I506" s="291"/>
      <c r="J506" s="292"/>
      <c r="K506" s="292"/>
      <c r="L506" s="292"/>
      <c r="M506" s="292"/>
      <c r="N506" s="225"/>
    </row>
    <row r="507" spans="1:14" outlineLevel="1">
      <c r="A507" s="266">
        <f>SUBTOTAL(3,$F$7:F507)</f>
        <v>425</v>
      </c>
      <c r="B507" s="225" t="s">
        <v>1465</v>
      </c>
      <c r="C507" s="224"/>
      <c r="D507" s="224"/>
      <c r="E507" s="224"/>
      <c r="F507" s="290" t="s">
        <v>570</v>
      </c>
      <c r="G507" s="291">
        <v>138</v>
      </c>
      <c r="H507" s="291"/>
      <c r="I507" s="291"/>
      <c r="J507" s="292"/>
      <c r="K507" s="292"/>
      <c r="L507" s="292"/>
      <c r="M507" s="292"/>
      <c r="N507" s="225"/>
    </row>
    <row r="508" spans="1:14" outlineLevel="1">
      <c r="A508" s="266">
        <f>SUBTOTAL(3,$F$7:F508)</f>
        <v>426</v>
      </c>
      <c r="B508" s="225" t="s">
        <v>1402</v>
      </c>
      <c r="C508" s="224"/>
      <c r="D508" s="224"/>
      <c r="E508" s="224"/>
      <c r="F508" s="290" t="s">
        <v>570</v>
      </c>
      <c r="G508" s="291">
        <v>138</v>
      </c>
      <c r="H508" s="291"/>
      <c r="I508" s="291"/>
      <c r="J508" s="292"/>
      <c r="K508" s="292"/>
      <c r="L508" s="292"/>
      <c r="M508" s="292"/>
      <c r="N508" s="225"/>
    </row>
    <row r="509" spans="1:14" outlineLevel="1">
      <c r="A509" s="266"/>
      <c r="B509" s="295" t="s">
        <v>1471</v>
      </c>
      <c r="C509" s="219"/>
      <c r="D509" s="219"/>
      <c r="E509" s="219"/>
      <c r="F509" s="290"/>
      <c r="G509" s="291">
        <v>0</v>
      </c>
      <c r="H509" s="291"/>
      <c r="I509" s="291"/>
      <c r="J509" s="292"/>
      <c r="K509" s="292"/>
      <c r="L509" s="292"/>
      <c r="M509" s="292"/>
      <c r="N509" s="225"/>
    </row>
    <row r="510" spans="1:14" outlineLevel="1">
      <c r="A510" s="266">
        <f>SUBTOTAL(3,$F$7:F510)</f>
        <v>427</v>
      </c>
      <c r="B510" s="225" t="s">
        <v>1472</v>
      </c>
      <c r="C510" s="224"/>
      <c r="D510" s="224"/>
      <c r="E510" s="224"/>
      <c r="F510" s="290" t="s">
        <v>570</v>
      </c>
      <c r="G510" s="291">
        <v>57</v>
      </c>
      <c r="H510" s="291"/>
      <c r="I510" s="291"/>
      <c r="J510" s="292"/>
      <c r="K510" s="292"/>
      <c r="L510" s="292"/>
      <c r="M510" s="292"/>
      <c r="N510" s="225"/>
    </row>
    <row r="511" spans="1:14" outlineLevel="1">
      <c r="A511" s="266">
        <f>SUBTOTAL(3,$F$7:F511)</f>
        <v>428</v>
      </c>
      <c r="B511" s="225" t="s">
        <v>1402</v>
      </c>
      <c r="C511" s="224"/>
      <c r="D511" s="224"/>
      <c r="E511" s="224"/>
      <c r="F511" s="290" t="s">
        <v>570</v>
      </c>
      <c r="G511" s="291">
        <v>57</v>
      </c>
      <c r="H511" s="291"/>
      <c r="I511" s="291"/>
      <c r="J511" s="292"/>
      <c r="K511" s="292"/>
      <c r="L511" s="292"/>
      <c r="M511" s="292"/>
      <c r="N511" s="225"/>
    </row>
    <row r="512" spans="1:14" outlineLevel="1">
      <c r="A512" s="266"/>
      <c r="B512" s="295" t="s">
        <v>1473</v>
      </c>
      <c r="C512" s="219"/>
      <c r="D512" s="219"/>
      <c r="E512" s="219"/>
      <c r="F512" s="290"/>
      <c r="G512" s="291">
        <v>0</v>
      </c>
      <c r="H512" s="291"/>
      <c r="I512" s="291"/>
      <c r="J512" s="292"/>
      <c r="K512" s="292"/>
      <c r="L512" s="292"/>
      <c r="M512" s="292"/>
      <c r="N512" s="225"/>
    </row>
    <row r="513" spans="1:14" outlineLevel="1">
      <c r="A513" s="266">
        <f>SUBTOTAL(3,$F$7:F513)</f>
        <v>429</v>
      </c>
      <c r="B513" s="225" t="s">
        <v>1474</v>
      </c>
      <c r="C513" s="224"/>
      <c r="D513" s="224"/>
      <c r="E513" s="224"/>
      <c r="F513" s="290" t="s">
        <v>570</v>
      </c>
      <c r="G513" s="291">
        <v>136</v>
      </c>
      <c r="H513" s="291"/>
      <c r="I513" s="291"/>
      <c r="J513" s="292"/>
      <c r="K513" s="292"/>
      <c r="L513" s="292"/>
      <c r="M513" s="292"/>
      <c r="N513" s="225"/>
    </row>
    <row r="514" spans="1:14" outlineLevel="1">
      <c r="A514" s="266">
        <f>SUBTOTAL(3,$F$7:F514)</f>
        <v>430</v>
      </c>
      <c r="B514" s="225" t="s">
        <v>1402</v>
      </c>
      <c r="C514" s="224"/>
      <c r="D514" s="224"/>
      <c r="E514" s="224"/>
      <c r="F514" s="290" t="s">
        <v>570</v>
      </c>
      <c r="G514" s="291">
        <v>136</v>
      </c>
      <c r="H514" s="291"/>
      <c r="I514" s="291"/>
      <c r="J514" s="292"/>
      <c r="K514" s="292"/>
      <c r="L514" s="292"/>
      <c r="M514" s="292"/>
      <c r="N514" s="225"/>
    </row>
    <row r="515" spans="1:14" outlineLevel="1">
      <c r="A515" s="266"/>
      <c r="B515" s="295" t="s">
        <v>1475</v>
      </c>
      <c r="C515" s="219"/>
      <c r="D515" s="219"/>
      <c r="E515" s="219"/>
      <c r="F515" s="290"/>
      <c r="G515" s="291">
        <v>0</v>
      </c>
      <c r="H515" s="291"/>
      <c r="I515" s="291"/>
      <c r="J515" s="292"/>
      <c r="K515" s="292"/>
      <c r="L515" s="292"/>
      <c r="M515" s="292"/>
      <c r="N515" s="225"/>
    </row>
    <row r="516" spans="1:14" outlineLevel="1">
      <c r="A516" s="266">
        <f>SUBTOTAL(3,$F$7:F516)</f>
        <v>431</v>
      </c>
      <c r="B516" s="225" t="s">
        <v>1465</v>
      </c>
      <c r="C516" s="224"/>
      <c r="D516" s="224"/>
      <c r="E516" s="224"/>
      <c r="F516" s="290" t="s">
        <v>570</v>
      </c>
      <c r="G516" s="291">
        <v>110</v>
      </c>
      <c r="H516" s="291"/>
      <c r="I516" s="291"/>
      <c r="J516" s="292"/>
      <c r="K516" s="292"/>
      <c r="L516" s="292"/>
      <c r="M516" s="292"/>
      <c r="N516" s="225"/>
    </row>
    <row r="517" spans="1:14" outlineLevel="1">
      <c r="A517" s="266">
        <f>SUBTOTAL(3,$F$7:F517)</f>
        <v>432</v>
      </c>
      <c r="B517" s="225" t="s">
        <v>1402</v>
      </c>
      <c r="C517" s="224"/>
      <c r="D517" s="224"/>
      <c r="E517" s="224"/>
      <c r="F517" s="290" t="s">
        <v>570</v>
      </c>
      <c r="G517" s="291">
        <v>110</v>
      </c>
      <c r="H517" s="291"/>
      <c r="I517" s="291"/>
      <c r="J517" s="292"/>
      <c r="K517" s="292"/>
      <c r="L517" s="292"/>
      <c r="M517" s="292"/>
      <c r="N517" s="225"/>
    </row>
    <row r="518" spans="1:14" outlineLevel="1">
      <c r="A518" s="266"/>
      <c r="B518" s="295" t="s">
        <v>1476</v>
      </c>
      <c r="C518" s="219"/>
      <c r="D518" s="219"/>
      <c r="E518" s="219"/>
      <c r="F518" s="290"/>
      <c r="G518" s="291">
        <v>0</v>
      </c>
      <c r="H518" s="291"/>
      <c r="I518" s="291"/>
      <c r="J518" s="292"/>
      <c r="K518" s="292"/>
      <c r="L518" s="292"/>
      <c r="M518" s="292"/>
      <c r="N518" s="225"/>
    </row>
    <row r="519" spans="1:14" outlineLevel="1">
      <c r="A519" s="266">
        <f>SUBTOTAL(3,$F$7:F519)</f>
        <v>433</v>
      </c>
      <c r="B519" s="225" t="s">
        <v>1474</v>
      </c>
      <c r="C519" s="224"/>
      <c r="D519" s="224"/>
      <c r="E519" s="224"/>
      <c r="F519" s="290" t="s">
        <v>570</v>
      </c>
      <c r="G519" s="291">
        <v>179</v>
      </c>
      <c r="H519" s="291"/>
      <c r="I519" s="291"/>
      <c r="J519" s="292"/>
      <c r="K519" s="292"/>
      <c r="L519" s="292"/>
      <c r="M519" s="292"/>
      <c r="N519" s="225"/>
    </row>
    <row r="520" spans="1:14" outlineLevel="1">
      <c r="A520" s="266">
        <f>SUBTOTAL(3,$F$7:F520)</f>
        <v>434</v>
      </c>
      <c r="B520" s="225" t="s">
        <v>1477</v>
      </c>
      <c r="C520" s="224"/>
      <c r="D520" s="224"/>
      <c r="E520" s="224"/>
      <c r="F520" s="290" t="s">
        <v>570</v>
      </c>
      <c r="G520" s="291">
        <v>179</v>
      </c>
      <c r="H520" s="291"/>
      <c r="I520" s="291"/>
      <c r="J520" s="292"/>
      <c r="K520" s="292"/>
      <c r="L520" s="292"/>
      <c r="M520" s="292"/>
      <c r="N520" s="225"/>
    </row>
    <row r="521" spans="1:14" outlineLevel="1">
      <c r="A521" s="266"/>
      <c r="B521" s="295" t="s">
        <v>1478</v>
      </c>
      <c r="C521" s="219"/>
      <c r="D521" s="219"/>
      <c r="E521" s="219"/>
      <c r="F521" s="290"/>
      <c r="G521" s="291">
        <v>0</v>
      </c>
      <c r="H521" s="291"/>
      <c r="I521" s="291"/>
      <c r="J521" s="292"/>
      <c r="K521" s="292"/>
      <c r="L521" s="292"/>
      <c r="M521" s="292"/>
      <c r="N521" s="225"/>
    </row>
    <row r="522" spans="1:14" outlineLevel="1">
      <c r="A522" s="266">
        <f>SUBTOTAL(3,$F$7:F522)</f>
        <v>435</v>
      </c>
      <c r="B522" s="225" t="s">
        <v>1472</v>
      </c>
      <c r="C522" s="224"/>
      <c r="D522" s="224"/>
      <c r="E522" s="224"/>
      <c r="F522" s="290" t="s">
        <v>570</v>
      </c>
      <c r="G522" s="291">
        <v>88</v>
      </c>
      <c r="H522" s="291"/>
      <c r="I522" s="291"/>
      <c r="J522" s="292"/>
      <c r="K522" s="292"/>
      <c r="L522" s="292"/>
      <c r="M522" s="292"/>
      <c r="N522" s="225"/>
    </row>
    <row r="523" spans="1:14" outlineLevel="1">
      <c r="A523" s="266">
        <f>SUBTOTAL(3,$F$7:F523)</f>
        <v>436</v>
      </c>
      <c r="B523" s="225" t="s">
        <v>1424</v>
      </c>
      <c r="C523" s="224"/>
      <c r="D523" s="224"/>
      <c r="E523" s="224"/>
      <c r="F523" s="290" t="s">
        <v>570</v>
      </c>
      <c r="G523" s="291">
        <v>88</v>
      </c>
      <c r="H523" s="291"/>
      <c r="I523" s="291"/>
      <c r="J523" s="292"/>
      <c r="K523" s="292"/>
      <c r="L523" s="292"/>
      <c r="M523" s="292"/>
      <c r="N523" s="225"/>
    </row>
    <row r="524" spans="1:14" outlineLevel="1">
      <c r="A524" s="266"/>
      <c r="B524" s="295" t="s">
        <v>1479</v>
      </c>
      <c r="C524" s="219"/>
      <c r="D524" s="219"/>
      <c r="E524" s="219"/>
      <c r="F524" s="290"/>
      <c r="G524" s="291">
        <v>0</v>
      </c>
      <c r="H524" s="291"/>
      <c r="I524" s="291"/>
      <c r="J524" s="292"/>
      <c r="K524" s="292"/>
      <c r="L524" s="292"/>
      <c r="M524" s="292"/>
      <c r="N524" s="225"/>
    </row>
    <row r="525" spans="1:14" outlineLevel="1">
      <c r="A525" s="266">
        <f>SUBTOTAL(3,$F$7:F525)</f>
        <v>437</v>
      </c>
      <c r="B525" s="225" t="s">
        <v>1472</v>
      </c>
      <c r="C525" s="224"/>
      <c r="D525" s="224"/>
      <c r="E525" s="224"/>
      <c r="F525" s="290" t="s">
        <v>570</v>
      </c>
      <c r="G525" s="291">
        <v>139</v>
      </c>
      <c r="H525" s="291"/>
      <c r="I525" s="291"/>
      <c r="J525" s="292"/>
      <c r="K525" s="292"/>
      <c r="L525" s="292"/>
      <c r="M525" s="292"/>
      <c r="N525" s="225"/>
    </row>
    <row r="526" spans="1:14" outlineLevel="1">
      <c r="A526" s="266">
        <f>SUBTOTAL(3,$F$7:F526)</f>
        <v>438</v>
      </c>
      <c r="B526" s="225" t="s">
        <v>1424</v>
      </c>
      <c r="C526" s="224"/>
      <c r="D526" s="224"/>
      <c r="E526" s="224"/>
      <c r="F526" s="290" t="s">
        <v>570</v>
      </c>
      <c r="G526" s="291">
        <v>139</v>
      </c>
      <c r="H526" s="291"/>
      <c r="I526" s="291"/>
      <c r="J526" s="292"/>
      <c r="K526" s="292"/>
      <c r="L526" s="292"/>
      <c r="M526" s="292"/>
      <c r="N526" s="225"/>
    </row>
    <row r="527" spans="1:14" outlineLevel="1">
      <c r="A527" s="266"/>
      <c r="B527" s="295" t="s">
        <v>1480</v>
      </c>
      <c r="C527" s="219"/>
      <c r="D527" s="219"/>
      <c r="E527" s="219"/>
      <c r="F527" s="290"/>
      <c r="G527" s="291">
        <v>0</v>
      </c>
      <c r="H527" s="291"/>
      <c r="I527" s="291"/>
      <c r="J527" s="292"/>
      <c r="K527" s="292"/>
      <c r="L527" s="292"/>
      <c r="M527" s="292"/>
      <c r="N527" s="225"/>
    </row>
    <row r="528" spans="1:14" outlineLevel="1">
      <c r="A528" s="266">
        <f>SUBTOTAL(3,$F$7:F528)</f>
        <v>439</v>
      </c>
      <c r="B528" s="225" t="s">
        <v>1465</v>
      </c>
      <c r="C528" s="224"/>
      <c r="D528" s="224"/>
      <c r="E528" s="224"/>
      <c r="F528" s="290" t="s">
        <v>570</v>
      </c>
      <c r="G528" s="291">
        <v>137</v>
      </c>
      <c r="H528" s="291"/>
      <c r="I528" s="291"/>
      <c r="J528" s="292"/>
      <c r="K528" s="292"/>
      <c r="L528" s="292"/>
      <c r="M528" s="292"/>
      <c r="N528" s="225"/>
    </row>
    <row r="529" spans="1:14" outlineLevel="1">
      <c r="A529" s="266">
        <f>SUBTOTAL(3,$F$7:F529)</f>
        <v>440</v>
      </c>
      <c r="B529" s="225" t="s">
        <v>1402</v>
      </c>
      <c r="C529" s="224"/>
      <c r="D529" s="224"/>
      <c r="E529" s="224"/>
      <c r="F529" s="290" t="s">
        <v>570</v>
      </c>
      <c r="G529" s="291">
        <v>137</v>
      </c>
      <c r="H529" s="291"/>
      <c r="I529" s="291"/>
      <c r="J529" s="292"/>
      <c r="K529" s="292"/>
      <c r="L529" s="292"/>
      <c r="M529" s="292"/>
      <c r="N529" s="225"/>
    </row>
    <row r="530" spans="1:14" outlineLevel="1">
      <c r="A530" s="266"/>
      <c r="B530" s="295" t="s">
        <v>1481</v>
      </c>
      <c r="C530" s="219"/>
      <c r="D530" s="219"/>
      <c r="E530" s="219"/>
      <c r="F530" s="290"/>
      <c r="G530" s="291">
        <v>0</v>
      </c>
      <c r="H530" s="291"/>
      <c r="I530" s="291"/>
      <c r="J530" s="292"/>
      <c r="K530" s="292"/>
      <c r="L530" s="292"/>
      <c r="M530" s="292"/>
      <c r="N530" s="225"/>
    </row>
    <row r="531" spans="1:14" outlineLevel="1">
      <c r="A531" s="266">
        <f>SUBTOTAL(3,$F$7:F531)</f>
        <v>441</v>
      </c>
      <c r="B531" s="225" t="s">
        <v>1474</v>
      </c>
      <c r="C531" s="224"/>
      <c r="D531" s="224"/>
      <c r="E531" s="224"/>
      <c r="F531" s="290" t="s">
        <v>570</v>
      </c>
      <c r="G531" s="291">
        <v>53</v>
      </c>
      <c r="H531" s="291"/>
      <c r="I531" s="291"/>
      <c r="J531" s="292"/>
      <c r="K531" s="292"/>
      <c r="L531" s="292"/>
      <c r="M531" s="292"/>
      <c r="N531" s="225"/>
    </row>
    <row r="532" spans="1:14" outlineLevel="1">
      <c r="A532" s="266">
        <f>SUBTOTAL(3,$F$7:F532)</f>
        <v>442</v>
      </c>
      <c r="B532" s="225" t="s">
        <v>1477</v>
      </c>
      <c r="C532" s="224"/>
      <c r="D532" s="224"/>
      <c r="E532" s="224"/>
      <c r="F532" s="290" t="s">
        <v>570</v>
      </c>
      <c r="G532" s="291">
        <v>53</v>
      </c>
      <c r="H532" s="291"/>
      <c r="I532" s="291"/>
      <c r="J532" s="292"/>
      <c r="K532" s="292"/>
      <c r="L532" s="292"/>
      <c r="M532" s="292"/>
      <c r="N532" s="225"/>
    </row>
    <row r="533" spans="1:14" outlineLevel="1">
      <c r="A533" s="266"/>
      <c r="B533" s="295" t="s">
        <v>1482</v>
      </c>
      <c r="C533" s="219"/>
      <c r="D533" s="219"/>
      <c r="E533" s="219"/>
      <c r="F533" s="290"/>
      <c r="G533" s="291">
        <v>0</v>
      </c>
      <c r="H533" s="291"/>
      <c r="I533" s="291"/>
      <c r="J533" s="292"/>
      <c r="K533" s="292"/>
      <c r="L533" s="292"/>
      <c r="M533" s="292"/>
      <c r="N533" s="225"/>
    </row>
    <row r="534" spans="1:14" outlineLevel="1">
      <c r="A534" s="266">
        <f>SUBTOTAL(3,$F$7:F534)</f>
        <v>443</v>
      </c>
      <c r="B534" s="225" t="s">
        <v>1465</v>
      </c>
      <c r="C534" s="224"/>
      <c r="D534" s="224"/>
      <c r="E534" s="224"/>
      <c r="F534" s="290" t="s">
        <v>570</v>
      </c>
      <c r="G534" s="291">
        <v>110</v>
      </c>
      <c r="H534" s="291"/>
      <c r="I534" s="291"/>
      <c r="J534" s="292"/>
      <c r="K534" s="292"/>
      <c r="L534" s="292"/>
      <c r="M534" s="292"/>
      <c r="N534" s="225"/>
    </row>
    <row r="535" spans="1:14" outlineLevel="1">
      <c r="A535" s="266">
        <f>SUBTOTAL(3,$F$7:F535)</f>
        <v>444</v>
      </c>
      <c r="B535" s="225" t="s">
        <v>1402</v>
      </c>
      <c r="C535" s="224"/>
      <c r="D535" s="224"/>
      <c r="E535" s="224"/>
      <c r="F535" s="290" t="s">
        <v>570</v>
      </c>
      <c r="G535" s="291">
        <v>110</v>
      </c>
      <c r="H535" s="291"/>
      <c r="I535" s="291"/>
      <c r="J535" s="292"/>
      <c r="K535" s="292"/>
      <c r="L535" s="292"/>
      <c r="M535" s="292"/>
      <c r="N535" s="225"/>
    </row>
    <row r="536" spans="1:14" outlineLevel="1">
      <c r="A536" s="266"/>
      <c r="B536" s="295" t="s">
        <v>1483</v>
      </c>
      <c r="C536" s="219"/>
      <c r="D536" s="219"/>
      <c r="E536" s="219"/>
      <c r="F536" s="290"/>
      <c r="G536" s="291">
        <v>0</v>
      </c>
      <c r="H536" s="291"/>
      <c r="I536" s="291"/>
      <c r="J536" s="292"/>
      <c r="K536" s="292"/>
      <c r="L536" s="292"/>
      <c r="M536" s="292"/>
      <c r="N536" s="225"/>
    </row>
    <row r="537" spans="1:14" outlineLevel="1">
      <c r="A537" s="266">
        <f>SUBTOTAL(3,$F$7:F537)</f>
        <v>445</v>
      </c>
      <c r="B537" s="225" t="s">
        <v>1474</v>
      </c>
      <c r="C537" s="224"/>
      <c r="D537" s="224"/>
      <c r="E537" s="224"/>
      <c r="F537" s="290" t="s">
        <v>570</v>
      </c>
      <c r="G537" s="291">
        <v>74</v>
      </c>
      <c r="H537" s="291"/>
      <c r="I537" s="291"/>
      <c r="J537" s="292"/>
      <c r="K537" s="292"/>
      <c r="L537" s="292"/>
      <c r="M537" s="292"/>
      <c r="N537" s="225"/>
    </row>
    <row r="538" spans="1:14" outlineLevel="1">
      <c r="A538" s="266">
        <f>SUBTOTAL(3,$F$7:F538)</f>
        <v>446</v>
      </c>
      <c r="B538" s="225" t="s">
        <v>1477</v>
      </c>
      <c r="C538" s="224"/>
      <c r="D538" s="224"/>
      <c r="E538" s="224"/>
      <c r="F538" s="290" t="s">
        <v>570</v>
      </c>
      <c r="G538" s="291">
        <v>74</v>
      </c>
      <c r="H538" s="291"/>
      <c r="I538" s="291"/>
      <c r="J538" s="292"/>
      <c r="K538" s="292"/>
      <c r="L538" s="292"/>
      <c r="M538" s="292"/>
      <c r="N538" s="225"/>
    </row>
    <row r="539" spans="1:14" outlineLevel="1">
      <c r="A539" s="266"/>
      <c r="B539" s="295" t="s">
        <v>1484</v>
      </c>
      <c r="C539" s="219"/>
      <c r="D539" s="219"/>
      <c r="E539" s="219"/>
      <c r="F539" s="290"/>
      <c r="G539" s="291">
        <v>0</v>
      </c>
      <c r="H539" s="291"/>
      <c r="I539" s="291"/>
      <c r="J539" s="292"/>
      <c r="K539" s="292"/>
      <c r="L539" s="292"/>
      <c r="M539" s="292"/>
      <c r="N539" s="225"/>
    </row>
    <row r="540" spans="1:14" outlineLevel="1">
      <c r="A540" s="266">
        <f>SUBTOTAL(3,$F$7:F540)</f>
        <v>447</v>
      </c>
      <c r="B540" s="225" t="s">
        <v>1421</v>
      </c>
      <c r="C540" s="224"/>
      <c r="D540" s="224"/>
      <c r="E540" s="224"/>
      <c r="F540" s="290" t="s">
        <v>570</v>
      </c>
      <c r="G540" s="291">
        <v>125</v>
      </c>
      <c r="H540" s="291"/>
      <c r="I540" s="291"/>
      <c r="J540" s="292"/>
      <c r="K540" s="292"/>
      <c r="L540" s="292"/>
      <c r="M540" s="292"/>
      <c r="N540" s="225"/>
    </row>
    <row r="541" spans="1:14" outlineLevel="1">
      <c r="A541" s="266">
        <f>SUBTOTAL(3,$F$7:F541)</f>
        <v>448</v>
      </c>
      <c r="B541" s="225" t="s">
        <v>1387</v>
      </c>
      <c r="C541" s="224"/>
      <c r="D541" s="224"/>
      <c r="E541" s="224"/>
      <c r="F541" s="290" t="s">
        <v>570</v>
      </c>
      <c r="G541" s="291">
        <v>125</v>
      </c>
      <c r="H541" s="291"/>
      <c r="I541" s="291"/>
      <c r="J541" s="292"/>
      <c r="K541" s="292"/>
      <c r="L541" s="292"/>
      <c r="M541" s="292"/>
      <c r="N541" s="225"/>
    </row>
    <row r="542" spans="1:14" outlineLevel="1">
      <c r="A542" s="266"/>
      <c r="B542" s="295" t="s">
        <v>1485</v>
      </c>
      <c r="C542" s="219"/>
      <c r="D542" s="219"/>
      <c r="E542" s="219"/>
      <c r="F542" s="290"/>
      <c r="G542" s="291">
        <v>0</v>
      </c>
      <c r="H542" s="291"/>
      <c r="I542" s="291"/>
      <c r="J542" s="292"/>
      <c r="K542" s="292"/>
      <c r="L542" s="292"/>
      <c r="M542" s="292"/>
      <c r="N542" s="225"/>
    </row>
    <row r="543" spans="1:14" outlineLevel="1">
      <c r="A543" s="266">
        <f>SUBTOTAL(3,$F$7:F543)</f>
        <v>449</v>
      </c>
      <c r="B543" s="225" t="s">
        <v>1472</v>
      </c>
      <c r="C543" s="224"/>
      <c r="D543" s="224"/>
      <c r="E543" s="224"/>
      <c r="F543" s="290" t="s">
        <v>570</v>
      </c>
      <c r="G543" s="291">
        <v>128</v>
      </c>
      <c r="H543" s="291"/>
      <c r="I543" s="291"/>
      <c r="J543" s="292"/>
      <c r="K543" s="292"/>
      <c r="L543" s="292"/>
      <c r="M543" s="292"/>
      <c r="N543" s="225"/>
    </row>
    <row r="544" spans="1:14" outlineLevel="1">
      <c r="A544" s="266">
        <f>SUBTOTAL(3,$F$7:F544)</f>
        <v>450</v>
      </c>
      <c r="B544" s="225" t="s">
        <v>1424</v>
      </c>
      <c r="C544" s="224"/>
      <c r="D544" s="224"/>
      <c r="E544" s="224"/>
      <c r="F544" s="290" t="s">
        <v>570</v>
      </c>
      <c r="G544" s="291">
        <v>128</v>
      </c>
      <c r="H544" s="291"/>
      <c r="I544" s="291"/>
      <c r="J544" s="292"/>
      <c r="K544" s="292"/>
      <c r="L544" s="292"/>
      <c r="M544" s="292"/>
      <c r="N544" s="225"/>
    </row>
    <row r="545" spans="1:14" outlineLevel="1">
      <c r="A545" s="266"/>
      <c r="B545" s="295" t="s">
        <v>1486</v>
      </c>
      <c r="C545" s="219"/>
      <c r="D545" s="219"/>
      <c r="E545" s="219"/>
      <c r="F545" s="290"/>
      <c r="G545" s="291">
        <v>0</v>
      </c>
      <c r="H545" s="291"/>
      <c r="I545" s="291"/>
      <c r="J545" s="292"/>
      <c r="K545" s="292"/>
      <c r="L545" s="292"/>
      <c r="M545" s="292"/>
      <c r="N545" s="225"/>
    </row>
    <row r="546" spans="1:14" outlineLevel="1">
      <c r="A546" s="266">
        <f>SUBTOTAL(3,$F$7:F546)</f>
        <v>451</v>
      </c>
      <c r="B546" s="225" t="s">
        <v>1472</v>
      </c>
      <c r="C546" s="224"/>
      <c r="D546" s="224"/>
      <c r="E546" s="224"/>
      <c r="F546" s="290" t="s">
        <v>570</v>
      </c>
      <c r="G546" s="291">
        <v>13</v>
      </c>
      <c r="H546" s="291"/>
      <c r="I546" s="291"/>
      <c r="J546" s="292"/>
      <c r="K546" s="292"/>
      <c r="L546" s="292"/>
      <c r="M546" s="292"/>
      <c r="N546" s="225"/>
    </row>
    <row r="547" spans="1:14" outlineLevel="1">
      <c r="A547" s="266">
        <f>SUBTOTAL(3,$F$7:F547)</f>
        <v>452</v>
      </c>
      <c r="B547" s="225" t="s">
        <v>1424</v>
      </c>
      <c r="C547" s="224"/>
      <c r="D547" s="224"/>
      <c r="E547" s="224"/>
      <c r="F547" s="290" t="s">
        <v>570</v>
      </c>
      <c r="G547" s="291">
        <v>13</v>
      </c>
      <c r="H547" s="291"/>
      <c r="I547" s="291"/>
      <c r="J547" s="292"/>
      <c r="K547" s="292"/>
      <c r="L547" s="292"/>
      <c r="M547" s="292"/>
      <c r="N547" s="225"/>
    </row>
    <row r="548" spans="1:14" outlineLevel="1">
      <c r="A548" s="266"/>
      <c r="B548" s="295" t="s">
        <v>1487</v>
      </c>
      <c r="C548" s="219"/>
      <c r="D548" s="219"/>
      <c r="E548" s="219"/>
      <c r="F548" s="290"/>
      <c r="G548" s="291">
        <v>0</v>
      </c>
      <c r="H548" s="291"/>
      <c r="I548" s="291"/>
      <c r="J548" s="292"/>
      <c r="K548" s="292"/>
      <c r="L548" s="292"/>
      <c r="M548" s="292"/>
      <c r="N548" s="225"/>
    </row>
    <row r="549" spans="1:14" outlineLevel="1">
      <c r="A549" s="266">
        <f>SUBTOTAL(3,$F$7:F549)</f>
        <v>453</v>
      </c>
      <c r="B549" s="225" t="s">
        <v>1472</v>
      </c>
      <c r="C549" s="224"/>
      <c r="D549" s="224"/>
      <c r="E549" s="224"/>
      <c r="F549" s="290" t="s">
        <v>570</v>
      </c>
      <c r="G549" s="291">
        <v>13</v>
      </c>
      <c r="H549" s="291"/>
      <c r="I549" s="291"/>
      <c r="J549" s="292"/>
      <c r="K549" s="292"/>
      <c r="L549" s="292"/>
      <c r="M549" s="292"/>
      <c r="N549" s="225"/>
    </row>
    <row r="550" spans="1:14" outlineLevel="1">
      <c r="A550" s="266">
        <f>SUBTOTAL(3,$F$7:F550)</f>
        <v>454</v>
      </c>
      <c r="B550" s="225" t="s">
        <v>1424</v>
      </c>
      <c r="C550" s="224"/>
      <c r="D550" s="224"/>
      <c r="E550" s="224"/>
      <c r="F550" s="290" t="s">
        <v>570</v>
      </c>
      <c r="G550" s="291">
        <v>13</v>
      </c>
      <c r="H550" s="291"/>
      <c r="I550" s="291"/>
      <c r="J550" s="292"/>
      <c r="K550" s="292"/>
      <c r="L550" s="292"/>
      <c r="M550" s="292"/>
      <c r="N550" s="225"/>
    </row>
    <row r="551" spans="1:14" outlineLevel="1">
      <c r="A551" s="266"/>
      <c r="B551" s="295" t="s">
        <v>1488</v>
      </c>
      <c r="C551" s="219"/>
      <c r="D551" s="219"/>
      <c r="E551" s="219"/>
      <c r="F551" s="290"/>
      <c r="G551" s="291">
        <v>0</v>
      </c>
      <c r="H551" s="291"/>
      <c r="I551" s="291"/>
      <c r="J551" s="292"/>
      <c r="K551" s="292"/>
      <c r="L551" s="292"/>
      <c r="M551" s="292"/>
      <c r="N551" s="225"/>
    </row>
    <row r="552" spans="1:14" outlineLevel="1">
      <c r="A552" s="266">
        <f>SUBTOTAL(3,$F$7:F552)</f>
        <v>455</v>
      </c>
      <c r="B552" s="225" t="s">
        <v>1472</v>
      </c>
      <c r="C552" s="224"/>
      <c r="D552" s="224"/>
      <c r="E552" s="224"/>
      <c r="F552" s="290" t="s">
        <v>570</v>
      </c>
      <c r="G552" s="291">
        <v>13</v>
      </c>
      <c r="H552" s="291"/>
      <c r="I552" s="291"/>
      <c r="J552" s="292"/>
      <c r="K552" s="292"/>
      <c r="L552" s="292"/>
      <c r="M552" s="292"/>
      <c r="N552" s="225"/>
    </row>
    <row r="553" spans="1:14" outlineLevel="1">
      <c r="A553" s="266">
        <f>SUBTOTAL(3,$F$7:F553)</f>
        <v>456</v>
      </c>
      <c r="B553" s="225" t="s">
        <v>1424</v>
      </c>
      <c r="C553" s="224"/>
      <c r="D553" s="224"/>
      <c r="E553" s="224"/>
      <c r="F553" s="290" t="s">
        <v>570</v>
      </c>
      <c r="G553" s="291">
        <v>13</v>
      </c>
      <c r="H553" s="291"/>
      <c r="I553" s="291"/>
      <c r="J553" s="292"/>
      <c r="K553" s="292"/>
      <c r="L553" s="292"/>
      <c r="M553" s="292"/>
      <c r="N553" s="225"/>
    </row>
    <row r="554" spans="1:14" outlineLevel="1">
      <c r="A554" s="266"/>
      <c r="B554" s="295" t="s">
        <v>1489</v>
      </c>
      <c r="C554" s="219"/>
      <c r="D554" s="219"/>
      <c r="E554" s="219"/>
      <c r="F554" s="290"/>
      <c r="G554" s="291">
        <v>0</v>
      </c>
      <c r="H554" s="291"/>
      <c r="I554" s="291"/>
      <c r="J554" s="292"/>
      <c r="K554" s="292"/>
      <c r="L554" s="292"/>
      <c r="M554" s="292"/>
      <c r="N554" s="225"/>
    </row>
    <row r="555" spans="1:14" outlineLevel="1">
      <c r="A555" s="266">
        <f>SUBTOTAL(3,$F$7:F555)</f>
        <v>457</v>
      </c>
      <c r="B555" s="225" t="s">
        <v>1472</v>
      </c>
      <c r="C555" s="224"/>
      <c r="D555" s="224"/>
      <c r="E555" s="224"/>
      <c r="F555" s="290" t="s">
        <v>570</v>
      </c>
      <c r="G555" s="291">
        <v>45</v>
      </c>
      <c r="H555" s="291"/>
      <c r="I555" s="291"/>
      <c r="J555" s="292"/>
      <c r="K555" s="292"/>
      <c r="L555" s="292"/>
      <c r="M555" s="292"/>
      <c r="N555" s="225"/>
    </row>
    <row r="556" spans="1:14" outlineLevel="1">
      <c r="A556" s="266">
        <f>SUBTOTAL(3,$F$7:F556)</f>
        <v>458</v>
      </c>
      <c r="B556" s="225" t="s">
        <v>1424</v>
      </c>
      <c r="C556" s="224"/>
      <c r="D556" s="224"/>
      <c r="E556" s="224"/>
      <c r="F556" s="290" t="s">
        <v>570</v>
      </c>
      <c r="G556" s="291">
        <v>45</v>
      </c>
      <c r="H556" s="291"/>
      <c r="I556" s="291"/>
      <c r="J556" s="292"/>
      <c r="K556" s="292"/>
      <c r="L556" s="292"/>
      <c r="M556" s="292"/>
      <c r="N556" s="225"/>
    </row>
    <row r="557" spans="1:14" outlineLevel="1">
      <c r="A557" s="266"/>
      <c r="B557" s="295" t="s">
        <v>1490</v>
      </c>
      <c r="C557" s="219"/>
      <c r="D557" s="219"/>
      <c r="E557" s="219"/>
      <c r="F557" s="290"/>
      <c r="G557" s="291">
        <v>0</v>
      </c>
      <c r="H557" s="291"/>
      <c r="I557" s="291"/>
      <c r="J557" s="292"/>
      <c r="K557" s="292"/>
      <c r="L557" s="292"/>
      <c r="M557" s="292"/>
      <c r="N557" s="225"/>
    </row>
    <row r="558" spans="1:14" outlineLevel="1">
      <c r="A558" s="266">
        <f>SUBTOTAL(3,$F$7:F558)</f>
        <v>459</v>
      </c>
      <c r="B558" s="225" t="s">
        <v>1472</v>
      </c>
      <c r="C558" s="224"/>
      <c r="D558" s="224"/>
      <c r="E558" s="224"/>
      <c r="F558" s="290" t="s">
        <v>570</v>
      </c>
      <c r="G558" s="291">
        <v>13</v>
      </c>
      <c r="H558" s="291"/>
      <c r="I558" s="291"/>
      <c r="J558" s="292"/>
      <c r="K558" s="292"/>
      <c r="L558" s="292"/>
      <c r="M558" s="292"/>
      <c r="N558" s="225"/>
    </row>
    <row r="559" spans="1:14" outlineLevel="1">
      <c r="A559" s="266">
        <f>SUBTOTAL(3,$F$7:F559)</f>
        <v>460</v>
      </c>
      <c r="B559" s="225" t="s">
        <v>1424</v>
      </c>
      <c r="C559" s="224"/>
      <c r="D559" s="224"/>
      <c r="E559" s="224"/>
      <c r="F559" s="290" t="s">
        <v>570</v>
      </c>
      <c r="G559" s="291">
        <v>13</v>
      </c>
      <c r="H559" s="291"/>
      <c r="I559" s="291"/>
      <c r="J559" s="292"/>
      <c r="K559" s="292"/>
      <c r="L559" s="292"/>
      <c r="M559" s="292"/>
      <c r="N559" s="225"/>
    </row>
    <row r="560" spans="1:14" outlineLevel="1">
      <c r="A560" s="266"/>
      <c r="B560" s="295" t="s">
        <v>1491</v>
      </c>
      <c r="C560" s="219"/>
      <c r="D560" s="219"/>
      <c r="E560" s="219"/>
      <c r="F560" s="290"/>
      <c r="G560" s="291">
        <v>0</v>
      </c>
      <c r="H560" s="291"/>
      <c r="I560" s="291"/>
      <c r="J560" s="292"/>
      <c r="K560" s="292"/>
      <c r="L560" s="292"/>
      <c r="M560" s="292"/>
      <c r="N560" s="225"/>
    </row>
    <row r="561" spans="1:14" outlineLevel="1">
      <c r="A561" s="266">
        <f>SUBTOTAL(3,$F$7:F561)</f>
        <v>461</v>
      </c>
      <c r="B561" s="225" t="s">
        <v>1472</v>
      </c>
      <c r="C561" s="224"/>
      <c r="D561" s="224"/>
      <c r="E561" s="224"/>
      <c r="F561" s="290" t="s">
        <v>570</v>
      </c>
      <c r="G561" s="291">
        <v>13</v>
      </c>
      <c r="H561" s="291"/>
      <c r="I561" s="291"/>
      <c r="J561" s="292"/>
      <c r="K561" s="292"/>
      <c r="L561" s="292"/>
      <c r="M561" s="292"/>
      <c r="N561" s="225"/>
    </row>
    <row r="562" spans="1:14" outlineLevel="1">
      <c r="A562" s="266">
        <f>SUBTOTAL(3,$F$7:F562)</f>
        <v>462</v>
      </c>
      <c r="B562" s="225" t="s">
        <v>1424</v>
      </c>
      <c r="C562" s="224"/>
      <c r="D562" s="224"/>
      <c r="E562" s="224"/>
      <c r="F562" s="290" t="s">
        <v>570</v>
      </c>
      <c r="G562" s="291">
        <v>13</v>
      </c>
      <c r="H562" s="291"/>
      <c r="I562" s="291"/>
      <c r="J562" s="292"/>
      <c r="K562" s="292"/>
      <c r="L562" s="292"/>
      <c r="M562" s="292"/>
      <c r="N562" s="225"/>
    </row>
    <row r="563" spans="1:14" outlineLevel="1">
      <c r="A563" s="266"/>
      <c r="B563" s="295" t="s">
        <v>1492</v>
      </c>
      <c r="C563" s="219"/>
      <c r="D563" s="219"/>
      <c r="E563" s="219"/>
      <c r="F563" s="290"/>
      <c r="G563" s="291">
        <v>0</v>
      </c>
      <c r="H563" s="291"/>
      <c r="I563" s="291"/>
      <c r="J563" s="292"/>
      <c r="K563" s="292"/>
      <c r="L563" s="292"/>
      <c r="M563" s="292"/>
      <c r="N563" s="225"/>
    </row>
    <row r="564" spans="1:14" outlineLevel="1">
      <c r="A564" s="266">
        <f>SUBTOTAL(3,$F$7:F564)</f>
        <v>463</v>
      </c>
      <c r="B564" s="225" t="s">
        <v>1472</v>
      </c>
      <c r="C564" s="224"/>
      <c r="D564" s="224"/>
      <c r="E564" s="224"/>
      <c r="F564" s="290" t="s">
        <v>570</v>
      </c>
      <c r="G564" s="291">
        <v>102</v>
      </c>
      <c r="H564" s="291"/>
      <c r="I564" s="291"/>
      <c r="J564" s="292"/>
      <c r="K564" s="292"/>
      <c r="L564" s="292"/>
      <c r="M564" s="292"/>
      <c r="N564" s="225"/>
    </row>
    <row r="565" spans="1:14" outlineLevel="1">
      <c r="A565" s="266">
        <f>SUBTOTAL(3,$F$7:F565)</f>
        <v>464</v>
      </c>
      <c r="B565" s="225" t="s">
        <v>1424</v>
      </c>
      <c r="C565" s="224"/>
      <c r="D565" s="224"/>
      <c r="E565" s="224"/>
      <c r="F565" s="290" t="s">
        <v>570</v>
      </c>
      <c r="G565" s="291">
        <v>102</v>
      </c>
      <c r="H565" s="291"/>
      <c r="I565" s="291"/>
      <c r="J565" s="292"/>
      <c r="K565" s="292"/>
      <c r="L565" s="292"/>
      <c r="M565" s="292"/>
      <c r="N565" s="225"/>
    </row>
    <row r="566" spans="1:14" outlineLevel="1">
      <c r="A566" s="266"/>
      <c r="B566" s="295" t="s">
        <v>1493</v>
      </c>
      <c r="C566" s="219"/>
      <c r="D566" s="219"/>
      <c r="E566" s="219"/>
      <c r="F566" s="290"/>
      <c r="G566" s="291">
        <v>0</v>
      </c>
      <c r="H566" s="291"/>
      <c r="I566" s="291"/>
      <c r="J566" s="292"/>
      <c r="K566" s="292"/>
      <c r="L566" s="292"/>
      <c r="M566" s="292"/>
      <c r="N566" s="225"/>
    </row>
    <row r="567" spans="1:14" outlineLevel="1">
      <c r="A567" s="266">
        <f>SUBTOTAL(3,$F$7:F567)</f>
        <v>465</v>
      </c>
      <c r="B567" s="225" t="s">
        <v>1472</v>
      </c>
      <c r="C567" s="224"/>
      <c r="D567" s="224"/>
      <c r="E567" s="224"/>
      <c r="F567" s="290" t="s">
        <v>570</v>
      </c>
      <c r="G567" s="291">
        <v>13</v>
      </c>
      <c r="H567" s="291"/>
      <c r="I567" s="291"/>
      <c r="J567" s="292"/>
      <c r="K567" s="292"/>
      <c r="L567" s="292"/>
      <c r="M567" s="292"/>
      <c r="N567" s="225"/>
    </row>
    <row r="568" spans="1:14" outlineLevel="1">
      <c r="A568" s="266">
        <f>SUBTOTAL(3,$F$7:F568)</f>
        <v>466</v>
      </c>
      <c r="B568" s="225" t="s">
        <v>1424</v>
      </c>
      <c r="C568" s="224"/>
      <c r="D568" s="224"/>
      <c r="E568" s="224"/>
      <c r="F568" s="290" t="s">
        <v>570</v>
      </c>
      <c r="G568" s="291">
        <v>13</v>
      </c>
      <c r="H568" s="291"/>
      <c r="I568" s="291"/>
      <c r="J568" s="292"/>
      <c r="K568" s="292"/>
      <c r="L568" s="292"/>
      <c r="M568" s="292"/>
      <c r="N568" s="225"/>
    </row>
    <row r="569" spans="1:14" outlineLevel="1">
      <c r="A569" s="266"/>
      <c r="B569" s="295" t="s">
        <v>1494</v>
      </c>
      <c r="C569" s="219"/>
      <c r="D569" s="219"/>
      <c r="E569" s="219"/>
      <c r="F569" s="290"/>
      <c r="G569" s="291">
        <v>0</v>
      </c>
      <c r="H569" s="291"/>
      <c r="I569" s="291"/>
      <c r="J569" s="292"/>
      <c r="K569" s="292"/>
      <c r="L569" s="292"/>
      <c r="M569" s="292"/>
      <c r="N569" s="225"/>
    </row>
    <row r="570" spans="1:14" outlineLevel="1">
      <c r="A570" s="266">
        <f>SUBTOTAL(3,$F$7:F570)</f>
        <v>467</v>
      </c>
      <c r="B570" s="225" t="s">
        <v>1472</v>
      </c>
      <c r="C570" s="224"/>
      <c r="D570" s="224"/>
      <c r="E570" s="224"/>
      <c r="F570" s="290" t="s">
        <v>570</v>
      </c>
      <c r="G570" s="291">
        <v>13</v>
      </c>
      <c r="H570" s="291"/>
      <c r="I570" s="291"/>
      <c r="J570" s="292"/>
      <c r="K570" s="292"/>
      <c r="L570" s="292"/>
      <c r="M570" s="292"/>
      <c r="N570" s="225"/>
    </row>
    <row r="571" spans="1:14" outlineLevel="1">
      <c r="A571" s="266">
        <f>SUBTOTAL(3,$F$7:F571)</f>
        <v>468</v>
      </c>
      <c r="B571" s="225" t="s">
        <v>1424</v>
      </c>
      <c r="C571" s="224"/>
      <c r="D571" s="224"/>
      <c r="E571" s="224"/>
      <c r="F571" s="290" t="s">
        <v>570</v>
      </c>
      <c r="G571" s="291">
        <v>13</v>
      </c>
      <c r="H571" s="291"/>
      <c r="I571" s="291"/>
      <c r="J571" s="292"/>
      <c r="K571" s="292"/>
      <c r="L571" s="292"/>
      <c r="M571" s="292"/>
      <c r="N571" s="225"/>
    </row>
    <row r="572" spans="1:14" outlineLevel="1">
      <c r="A572" s="266"/>
      <c r="B572" s="295" t="s">
        <v>1495</v>
      </c>
      <c r="C572" s="219"/>
      <c r="D572" s="219"/>
      <c r="E572" s="219"/>
      <c r="F572" s="290"/>
      <c r="G572" s="291">
        <v>0</v>
      </c>
      <c r="H572" s="291"/>
      <c r="I572" s="291"/>
      <c r="J572" s="292"/>
      <c r="K572" s="292"/>
      <c r="L572" s="292"/>
      <c r="M572" s="292"/>
      <c r="N572" s="225"/>
    </row>
    <row r="573" spans="1:14" outlineLevel="1">
      <c r="A573" s="266">
        <f>SUBTOTAL(3,$F$7:F573)</f>
        <v>469</v>
      </c>
      <c r="B573" s="225" t="s">
        <v>1496</v>
      </c>
      <c r="C573" s="224"/>
      <c r="D573" s="224"/>
      <c r="E573" s="224"/>
      <c r="F573" s="290" t="s">
        <v>570</v>
      </c>
      <c r="G573" s="291">
        <v>136</v>
      </c>
      <c r="H573" s="291"/>
      <c r="I573" s="291"/>
      <c r="J573" s="292"/>
      <c r="K573" s="292"/>
      <c r="L573" s="292"/>
      <c r="M573" s="292"/>
      <c r="N573" s="225"/>
    </row>
    <row r="574" spans="1:14" outlineLevel="1">
      <c r="A574" s="266">
        <f>SUBTOTAL(3,$F$7:F574)</f>
        <v>470</v>
      </c>
      <c r="B574" s="225" t="s">
        <v>1477</v>
      </c>
      <c r="C574" s="224"/>
      <c r="D574" s="224"/>
      <c r="E574" s="224"/>
      <c r="F574" s="290" t="s">
        <v>570</v>
      </c>
      <c r="G574" s="291">
        <v>136</v>
      </c>
      <c r="H574" s="291"/>
      <c r="I574" s="291"/>
      <c r="J574" s="292"/>
      <c r="K574" s="292"/>
      <c r="L574" s="292"/>
      <c r="M574" s="292"/>
      <c r="N574" s="225"/>
    </row>
    <row r="575" spans="1:14" outlineLevel="1">
      <c r="A575" s="266"/>
      <c r="B575" s="295" t="s">
        <v>1497</v>
      </c>
      <c r="C575" s="219"/>
      <c r="D575" s="219"/>
      <c r="E575" s="219"/>
      <c r="F575" s="290"/>
      <c r="G575" s="291">
        <v>0</v>
      </c>
      <c r="H575" s="291"/>
      <c r="I575" s="291"/>
      <c r="J575" s="292"/>
      <c r="K575" s="292"/>
      <c r="L575" s="292"/>
      <c r="M575" s="292"/>
      <c r="N575" s="225"/>
    </row>
    <row r="576" spans="1:14" outlineLevel="1">
      <c r="A576" s="266">
        <f>SUBTOTAL(3,$F$7:F576)</f>
        <v>471</v>
      </c>
      <c r="B576" s="225" t="s">
        <v>1496</v>
      </c>
      <c r="C576" s="224"/>
      <c r="D576" s="224"/>
      <c r="E576" s="224"/>
      <c r="F576" s="290" t="s">
        <v>570</v>
      </c>
      <c r="G576" s="291">
        <v>14</v>
      </c>
      <c r="H576" s="291"/>
      <c r="I576" s="291"/>
      <c r="J576" s="292"/>
      <c r="K576" s="292"/>
      <c r="L576" s="292"/>
      <c r="M576" s="292"/>
      <c r="N576" s="225"/>
    </row>
    <row r="577" spans="1:14" outlineLevel="1">
      <c r="A577" s="266">
        <f>SUBTOTAL(3,$F$7:F577)</f>
        <v>472</v>
      </c>
      <c r="B577" s="225" t="s">
        <v>1477</v>
      </c>
      <c r="C577" s="224"/>
      <c r="D577" s="224"/>
      <c r="E577" s="224"/>
      <c r="F577" s="290" t="s">
        <v>570</v>
      </c>
      <c r="G577" s="291">
        <v>14</v>
      </c>
      <c r="H577" s="291"/>
      <c r="I577" s="291"/>
      <c r="J577" s="292"/>
      <c r="K577" s="292"/>
      <c r="L577" s="292"/>
      <c r="M577" s="292"/>
      <c r="N577" s="225"/>
    </row>
    <row r="578" spans="1:14" outlineLevel="1">
      <c r="A578" s="266"/>
      <c r="B578" s="295" t="s">
        <v>1498</v>
      </c>
      <c r="C578" s="219"/>
      <c r="D578" s="219"/>
      <c r="E578" s="219"/>
      <c r="F578" s="290"/>
      <c r="G578" s="291">
        <v>0</v>
      </c>
      <c r="H578" s="291"/>
      <c r="I578" s="291"/>
      <c r="J578" s="292"/>
      <c r="K578" s="292"/>
      <c r="L578" s="292"/>
      <c r="M578" s="292"/>
      <c r="N578" s="225"/>
    </row>
    <row r="579" spans="1:14" outlineLevel="1">
      <c r="A579" s="266">
        <f>SUBTOTAL(3,$F$7:F579)</f>
        <v>473</v>
      </c>
      <c r="B579" s="225" t="s">
        <v>1496</v>
      </c>
      <c r="C579" s="224"/>
      <c r="D579" s="224"/>
      <c r="E579" s="224"/>
      <c r="F579" s="290" t="s">
        <v>570</v>
      </c>
      <c r="G579" s="291">
        <v>14</v>
      </c>
      <c r="H579" s="291"/>
      <c r="I579" s="291"/>
      <c r="J579" s="292"/>
      <c r="K579" s="292"/>
      <c r="L579" s="292"/>
      <c r="M579" s="292"/>
      <c r="N579" s="225"/>
    </row>
    <row r="580" spans="1:14" outlineLevel="1">
      <c r="A580" s="266">
        <f>SUBTOTAL(3,$F$7:F580)</f>
        <v>474</v>
      </c>
      <c r="B580" s="225" t="s">
        <v>1477</v>
      </c>
      <c r="C580" s="224"/>
      <c r="D580" s="224"/>
      <c r="E580" s="224"/>
      <c r="F580" s="290" t="s">
        <v>570</v>
      </c>
      <c r="G580" s="291">
        <v>14</v>
      </c>
      <c r="H580" s="291"/>
      <c r="I580" s="291"/>
      <c r="J580" s="292"/>
      <c r="K580" s="292"/>
      <c r="L580" s="292"/>
      <c r="M580" s="292"/>
      <c r="N580" s="225"/>
    </row>
    <row r="581" spans="1:14" outlineLevel="1">
      <c r="A581" s="266"/>
      <c r="B581" s="295" t="s">
        <v>1499</v>
      </c>
      <c r="C581" s="219"/>
      <c r="D581" s="219"/>
      <c r="E581" s="219"/>
      <c r="F581" s="290"/>
      <c r="G581" s="291">
        <v>0</v>
      </c>
      <c r="H581" s="291"/>
      <c r="I581" s="291"/>
      <c r="J581" s="292"/>
      <c r="K581" s="292"/>
      <c r="L581" s="292"/>
      <c r="M581" s="292"/>
      <c r="N581" s="225"/>
    </row>
    <row r="582" spans="1:14" outlineLevel="1">
      <c r="A582" s="266">
        <f>SUBTOTAL(3,$F$7:F582)</f>
        <v>475</v>
      </c>
      <c r="B582" s="225" t="s">
        <v>1496</v>
      </c>
      <c r="C582" s="224"/>
      <c r="D582" s="224"/>
      <c r="E582" s="224"/>
      <c r="F582" s="290" t="s">
        <v>570</v>
      </c>
      <c r="G582" s="291">
        <v>14</v>
      </c>
      <c r="H582" s="291"/>
      <c r="I582" s="291"/>
      <c r="J582" s="292"/>
      <c r="K582" s="292"/>
      <c r="L582" s="292"/>
      <c r="M582" s="292"/>
      <c r="N582" s="225"/>
    </row>
    <row r="583" spans="1:14" outlineLevel="1">
      <c r="A583" s="266">
        <f>SUBTOTAL(3,$F$7:F583)</f>
        <v>476</v>
      </c>
      <c r="B583" s="225" t="s">
        <v>1477</v>
      </c>
      <c r="C583" s="224"/>
      <c r="D583" s="224"/>
      <c r="E583" s="224"/>
      <c r="F583" s="290" t="s">
        <v>570</v>
      </c>
      <c r="G583" s="291">
        <v>14</v>
      </c>
      <c r="H583" s="291"/>
      <c r="I583" s="291"/>
      <c r="J583" s="292"/>
      <c r="K583" s="292"/>
      <c r="L583" s="292"/>
      <c r="M583" s="292"/>
      <c r="N583" s="225"/>
    </row>
    <row r="584" spans="1:14" outlineLevel="1">
      <c r="A584" s="266"/>
      <c r="B584" s="295" t="s">
        <v>1500</v>
      </c>
      <c r="C584" s="219"/>
      <c r="D584" s="219"/>
      <c r="E584" s="219"/>
      <c r="F584" s="290"/>
      <c r="G584" s="291">
        <v>0</v>
      </c>
      <c r="H584" s="291"/>
      <c r="I584" s="291"/>
      <c r="J584" s="292"/>
      <c r="K584" s="292"/>
      <c r="L584" s="292"/>
      <c r="M584" s="292"/>
      <c r="N584" s="225"/>
    </row>
    <row r="585" spans="1:14" outlineLevel="1">
      <c r="A585" s="266">
        <f>SUBTOTAL(3,$F$7:F585)</f>
        <v>477</v>
      </c>
      <c r="B585" s="225" t="s">
        <v>1386</v>
      </c>
      <c r="C585" s="224"/>
      <c r="D585" s="224"/>
      <c r="E585" s="224"/>
      <c r="F585" s="290" t="s">
        <v>570</v>
      </c>
      <c r="G585" s="291">
        <v>53</v>
      </c>
      <c r="H585" s="291"/>
      <c r="I585" s="291"/>
      <c r="J585" s="292"/>
      <c r="K585" s="292"/>
      <c r="L585" s="292"/>
      <c r="M585" s="292"/>
      <c r="N585" s="225"/>
    </row>
    <row r="586" spans="1:14" outlineLevel="1">
      <c r="A586" s="266">
        <f>SUBTOTAL(3,$F$7:F586)</f>
        <v>478</v>
      </c>
      <c r="B586" s="225" t="s">
        <v>1387</v>
      </c>
      <c r="C586" s="224"/>
      <c r="D586" s="224"/>
      <c r="E586" s="224"/>
      <c r="F586" s="290" t="s">
        <v>570</v>
      </c>
      <c r="G586" s="291">
        <v>53</v>
      </c>
      <c r="H586" s="291"/>
      <c r="I586" s="291"/>
      <c r="J586" s="292"/>
      <c r="K586" s="292"/>
      <c r="L586" s="292"/>
      <c r="M586" s="292"/>
      <c r="N586" s="225"/>
    </row>
    <row r="587" spans="1:14" outlineLevel="1">
      <c r="A587" s="266"/>
      <c r="B587" s="295" t="s">
        <v>1501</v>
      </c>
      <c r="C587" s="219"/>
      <c r="D587" s="219"/>
      <c r="E587" s="219"/>
      <c r="F587" s="290"/>
      <c r="G587" s="291">
        <v>0</v>
      </c>
      <c r="H587" s="291"/>
      <c r="I587" s="291"/>
      <c r="J587" s="292"/>
      <c r="K587" s="292"/>
      <c r="L587" s="292"/>
      <c r="M587" s="292"/>
      <c r="N587" s="225"/>
    </row>
    <row r="588" spans="1:14" outlineLevel="1">
      <c r="A588" s="266">
        <f>SUBTOTAL(3,$F$7:F588)</f>
        <v>479</v>
      </c>
      <c r="B588" s="225" t="s">
        <v>1386</v>
      </c>
      <c r="C588" s="224"/>
      <c r="D588" s="224"/>
      <c r="E588" s="224"/>
      <c r="F588" s="290" t="s">
        <v>570</v>
      </c>
      <c r="G588" s="291">
        <v>14</v>
      </c>
      <c r="H588" s="291"/>
      <c r="I588" s="291"/>
      <c r="J588" s="292"/>
      <c r="K588" s="292"/>
      <c r="L588" s="292"/>
      <c r="M588" s="292"/>
      <c r="N588" s="225"/>
    </row>
    <row r="589" spans="1:14" outlineLevel="1">
      <c r="A589" s="266">
        <f>SUBTOTAL(3,$F$7:F589)</f>
        <v>480</v>
      </c>
      <c r="B589" s="225" t="s">
        <v>1387</v>
      </c>
      <c r="C589" s="224"/>
      <c r="D589" s="224"/>
      <c r="E589" s="224"/>
      <c r="F589" s="290" t="s">
        <v>570</v>
      </c>
      <c r="G589" s="291">
        <v>14</v>
      </c>
      <c r="H589" s="291"/>
      <c r="I589" s="291"/>
      <c r="J589" s="292"/>
      <c r="K589" s="292"/>
      <c r="L589" s="292"/>
      <c r="M589" s="292"/>
      <c r="N589" s="225"/>
    </row>
    <row r="590" spans="1:14" outlineLevel="1">
      <c r="A590" s="266"/>
      <c r="B590" s="295" t="s">
        <v>1502</v>
      </c>
      <c r="C590" s="219"/>
      <c r="D590" s="219"/>
      <c r="E590" s="219"/>
      <c r="F590" s="290"/>
      <c r="G590" s="291">
        <v>0</v>
      </c>
      <c r="H590" s="291"/>
      <c r="I590" s="291"/>
      <c r="J590" s="292"/>
      <c r="K590" s="292"/>
      <c r="L590" s="292"/>
      <c r="M590" s="292"/>
      <c r="N590" s="225"/>
    </row>
    <row r="591" spans="1:14" outlineLevel="1">
      <c r="A591" s="266">
        <f>SUBTOTAL(3,$F$7:F591)</f>
        <v>481</v>
      </c>
      <c r="B591" s="225" t="s">
        <v>1386</v>
      </c>
      <c r="C591" s="224"/>
      <c r="D591" s="224"/>
      <c r="E591" s="224"/>
      <c r="F591" s="290" t="s">
        <v>570</v>
      </c>
      <c r="G591" s="291">
        <v>14</v>
      </c>
      <c r="H591" s="291"/>
      <c r="I591" s="291"/>
      <c r="J591" s="292"/>
      <c r="K591" s="292"/>
      <c r="L591" s="292"/>
      <c r="M591" s="292"/>
      <c r="N591" s="225"/>
    </row>
    <row r="592" spans="1:14" outlineLevel="1">
      <c r="A592" s="266">
        <f>SUBTOTAL(3,$F$7:F592)</f>
        <v>482</v>
      </c>
      <c r="B592" s="225" t="s">
        <v>1387</v>
      </c>
      <c r="C592" s="224"/>
      <c r="D592" s="224"/>
      <c r="E592" s="224"/>
      <c r="F592" s="290" t="s">
        <v>570</v>
      </c>
      <c r="G592" s="291">
        <v>14</v>
      </c>
      <c r="H592" s="291"/>
      <c r="I592" s="291"/>
      <c r="J592" s="292"/>
      <c r="K592" s="292"/>
      <c r="L592" s="292"/>
      <c r="M592" s="292"/>
      <c r="N592" s="225"/>
    </row>
    <row r="593" spans="1:14" outlineLevel="1">
      <c r="A593" s="266"/>
      <c r="B593" s="295" t="s">
        <v>1503</v>
      </c>
      <c r="C593" s="219"/>
      <c r="D593" s="219"/>
      <c r="E593" s="219"/>
      <c r="F593" s="290"/>
      <c r="G593" s="291">
        <v>0</v>
      </c>
      <c r="H593" s="291"/>
      <c r="I593" s="291"/>
      <c r="J593" s="292"/>
      <c r="K593" s="292"/>
      <c r="L593" s="292"/>
      <c r="M593" s="292"/>
      <c r="N593" s="225"/>
    </row>
    <row r="594" spans="1:14" outlineLevel="1">
      <c r="A594" s="266">
        <f>SUBTOTAL(3,$F$7:F594)</f>
        <v>483</v>
      </c>
      <c r="B594" s="225" t="s">
        <v>1386</v>
      </c>
      <c r="C594" s="224"/>
      <c r="D594" s="224"/>
      <c r="E594" s="224"/>
      <c r="F594" s="290" t="s">
        <v>570</v>
      </c>
      <c r="G594" s="291">
        <v>110</v>
      </c>
      <c r="H594" s="291"/>
      <c r="I594" s="291"/>
      <c r="J594" s="292"/>
      <c r="K594" s="292"/>
      <c r="L594" s="292"/>
      <c r="M594" s="292"/>
      <c r="N594" s="225"/>
    </row>
    <row r="595" spans="1:14" outlineLevel="1">
      <c r="A595" s="266">
        <f>SUBTOTAL(3,$F$7:F595)</f>
        <v>484</v>
      </c>
      <c r="B595" s="225" t="s">
        <v>1387</v>
      </c>
      <c r="C595" s="224"/>
      <c r="D595" s="224"/>
      <c r="E595" s="224"/>
      <c r="F595" s="290" t="s">
        <v>570</v>
      </c>
      <c r="G595" s="291">
        <v>110</v>
      </c>
      <c r="H595" s="291"/>
      <c r="I595" s="291"/>
      <c r="J595" s="292"/>
      <c r="K595" s="292"/>
      <c r="L595" s="292"/>
      <c r="M595" s="292"/>
      <c r="N595" s="225"/>
    </row>
    <row r="596" spans="1:14" outlineLevel="1">
      <c r="A596" s="266"/>
      <c r="B596" s="295" t="s">
        <v>1504</v>
      </c>
      <c r="C596" s="219"/>
      <c r="D596" s="219"/>
      <c r="E596" s="219"/>
      <c r="F596" s="290"/>
      <c r="G596" s="291">
        <v>0</v>
      </c>
      <c r="H596" s="291"/>
      <c r="I596" s="291"/>
      <c r="J596" s="292"/>
      <c r="K596" s="292"/>
      <c r="L596" s="292"/>
      <c r="M596" s="292"/>
      <c r="N596" s="225"/>
    </row>
    <row r="597" spans="1:14" outlineLevel="1">
      <c r="A597" s="266">
        <f>SUBTOTAL(3,$F$7:F597)</f>
        <v>485</v>
      </c>
      <c r="B597" s="225" t="s">
        <v>1386</v>
      </c>
      <c r="C597" s="224"/>
      <c r="D597" s="224"/>
      <c r="E597" s="224"/>
      <c r="F597" s="290" t="s">
        <v>570</v>
      </c>
      <c r="G597" s="291">
        <v>14</v>
      </c>
      <c r="H597" s="291"/>
      <c r="I597" s="291"/>
      <c r="J597" s="292"/>
      <c r="K597" s="292"/>
      <c r="L597" s="292"/>
      <c r="M597" s="292"/>
      <c r="N597" s="225"/>
    </row>
    <row r="598" spans="1:14" outlineLevel="1">
      <c r="A598" s="266">
        <f>SUBTOTAL(3,$F$7:F598)</f>
        <v>486</v>
      </c>
      <c r="B598" s="225" t="s">
        <v>1387</v>
      </c>
      <c r="C598" s="224"/>
      <c r="D598" s="224"/>
      <c r="E598" s="224"/>
      <c r="F598" s="290" t="s">
        <v>570</v>
      </c>
      <c r="G598" s="291">
        <v>14</v>
      </c>
      <c r="H598" s="291"/>
      <c r="I598" s="291"/>
      <c r="J598" s="292"/>
      <c r="K598" s="292"/>
      <c r="L598" s="292"/>
      <c r="M598" s="292"/>
      <c r="N598" s="225"/>
    </row>
    <row r="599" spans="1:14" outlineLevel="1">
      <c r="A599" s="266"/>
      <c r="B599" s="295" t="s">
        <v>1502</v>
      </c>
      <c r="C599" s="219"/>
      <c r="D599" s="219"/>
      <c r="E599" s="219"/>
      <c r="F599" s="290"/>
      <c r="G599" s="291">
        <v>0</v>
      </c>
      <c r="H599" s="291"/>
      <c r="I599" s="291"/>
      <c r="J599" s="292"/>
      <c r="K599" s="292"/>
      <c r="L599" s="292"/>
      <c r="M599" s="292"/>
      <c r="N599" s="225"/>
    </row>
    <row r="600" spans="1:14" outlineLevel="1">
      <c r="A600" s="266">
        <f>SUBTOTAL(3,$F$7:F600)</f>
        <v>487</v>
      </c>
      <c r="B600" s="225" t="s">
        <v>1386</v>
      </c>
      <c r="C600" s="224"/>
      <c r="D600" s="224"/>
      <c r="E600" s="224"/>
      <c r="F600" s="290" t="s">
        <v>570</v>
      </c>
      <c r="G600" s="291">
        <v>14</v>
      </c>
      <c r="H600" s="291"/>
      <c r="I600" s="291"/>
      <c r="J600" s="292"/>
      <c r="K600" s="292"/>
      <c r="L600" s="292"/>
      <c r="M600" s="292"/>
      <c r="N600" s="225"/>
    </row>
    <row r="601" spans="1:14" outlineLevel="1">
      <c r="A601" s="266">
        <f>SUBTOTAL(3,$F$7:F601)</f>
        <v>488</v>
      </c>
      <c r="B601" s="225" t="s">
        <v>1387</v>
      </c>
      <c r="C601" s="224"/>
      <c r="D601" s="224"/>
      <c r="E601" s="224"/>
      <c r="F601" s="290" t="s">
        <v>570</v>
      </c>
      <c r="G601" s="291">
        <v>14</v>
      </c>
      <c r="H601" s="291"/>
      <c r="I601" s="291"/>
      <c r="J601" s="292"/>
      <c r="K601" s="292"/>
      <c r="L601" s="292"/>
      <c r="M601" s="292"/>
      <c r="N601" s="225"/>
    </row>
    <row r="602" spans="1:14" outlineLevel="1">
      <c r="A602" s="266"/>
      <c r="B602" s="295" t="s">
        <v>1505</v>
      </c>
      <c r="C602" s="219"/>
      <c r="D602" s="219"/>
      <c r="E602" s="219"/>
      <c r="F602" s="290"/>
      <c r="G602" s="291">
        <v>0</v>
      </c>
      <c r="H602" s="291"/>
      <c r="I602" s="291"/>
      <c r="J602" s="292"/>
      <c r="K602" s="292"/>
      <c r="L602" s="292"/>
      <c r="M602" s="292"/>
      <c r="N602" s="225"/>
    </row>
    <row r="603" spans="1:14" outlineLevel="1">
      <c r="A603" s="266">
        <f>SUBTOTAL(3,$F$7:F603)</f>
        <v>489</v>
      </c>
      <c r="B603" s="225" t="s">
        <v>1421</v>
      </c>
      <c r="C603" s="224"/>
      <c r="D603" s="224"/>
      <c r="E603" s="224"/>
      <c r="F603" s="290" t="s">
        <v>570</v>
      </c>
      <c r="G603" s="291">
        <v>83</v>
      </c>
      <c r="H603" s="291"/>
      <c r="I603" s="291"/>
      <c r="J603" s="292"/>
      <c r="K603" s="292"/>
      <c r="L603" s="292"/>
      <c r="M603" s="292"/>
      <c r="N603" s="225"/>
    </row>
    <row r="604" spans="1:14" outlineLevel="1">
      <c r="A604" s="266">
        <f>SUBTOTAL(3,$F$7:F604)</f>
        <v>490</v>
      </c>
      <c r="B604" s="225" t="s">
        <v>1387</v>
      </c>
      <c r="C604" s="224"/>
      <c r="D604" s="224"/>
      <c r="E604" s="224"/>
      <c r="F604" s="290" t="s">
        <v>570</v>
      </c>
      <c r="G604" s="291">
        <v>83</v>
      </c>
      <c r="H604" s="291"/>
      <c r="I604" s="291"/>
      <c r="J604" s="292"/>
      <c r="K604" s="292"/>
      <c r="L604" s="292"/>
      <c r="M604" s="292"/>
      <c r="N604" s="225"/>
    </row>
    <row r="605" spans="1:14" outlineLevel="1">
      <c r="A605" s="266"/>
      <c r="B605" s="295" t="s">
        <v>1506</v>
      </c>
      <c r="C605" s="219"/>
      <c r="D605" s="219"/>
      <c r="E605" s="219"/>
      <c r="F605" s="290"/>
      <c r="G605" s="291">
        <v>0</v>
      </c>
      <c r="H605" s="291"/>
      <c r="I605" s="291"/>
      <c r="J605" s="292"/>
      <c r="K605" s="292"/>
      <c r="L605" s="292"/>
      <c r="M605" s="292"/>
      <c r="N605" s="225"/>
    </row>
    <row r="606" spans="1:14" outlineLevel="1">
      <c r="A606" s="266">
        <f>SUBTOTAL(3,$F$7:F606)</f>
        <v>491</v>
      </c>
      <c r="B606" s="225" t="s">
        <v>1507</v>
      </c>
      <c r="C606" s="224"/>
      <c r="D606" s="224"/>
      <c r="E606" s="224"/>
      <c r="F606" s="290" t="s">
        <v>570</v>
      </c>
      <c r="G606" s="291">
        <v>92</v>
      </c>
      <c r="H606" s="291"/>
      <c r="I606" s="291"/>
      <c r="J606" s="292"/>
      <c r="K606" s="292"/>
      <c r="L606" s="292"/>
      <c r="M606" s="292"/>
      <c r="N606" s="225"/>
    </row>
    <row r="607" spans="1:14" outlineLevel="1">
      <c r="A607" s="266">
        <f>SUBTOTAL(3,$F$7:F607)</f>
        <v>492</v>
      </c>
      <c r="B607" s="225" t="s">
        <v>1508</v>
      </c>
      <c r="C607" s="224"/>
      <c r="D607" s="224"/>
      <c r="E607" s="224"/>
      <c r="F607" s="290" t="s">
        <v>570</v>
      </c>
      <c r="G607" s="291">
        <v>92</v>
      </c>
      <c r="H607" s="291"/>
      <c r="I607" s="291"/>
      <c r="J607" s="292"/>
      <c r="K607" s="292"/>
      <c r="L607" s="292"/>
      <c r="M607" s="292"/>
      <c r="N607" s="225"/>
    </row>
    <row r="608" spans="1:14" outlineLevel="1">
      <c r="A608" s="266"/>
      <c r="B608" s="295" t="s">
        <v>1509</v>
      </c>
      <c r="C608" s="219"/>
      <c r="D608" s="219"/>
      <c r="E608" s="219"/>
      <c r="F608" s="290"/>
      <c r="G608" s="291">
        <v>0</v>
      </c>
      <c r="H608" s="291"/>
      <c r="I608" s="291"/>
      <c r="J608" s="292"/>
      <c r="K608" s="292"/>
      <c r="L608" s="292"/>
      <c r="M608" s="292"/>
      <c r="N608" s="225"/>
    </row>
    <row r="609" spans="1:14" outlineLevel="1">
      <c r="A609" s="266">
        <f>SUBTOTAL(3,$F$7:F609)</f>
        <v>493</v>
      </c>
      <c r="B609" s="225" t="s">
        <v>1418</v>
      </c>
      <c r="C609" s="224"/>
      <c r="D609" s="224"/>
      <c r="E609" s="224"/>
      <c r="F609" s="290" t="s">
        <v>570</v>
      </c>
      <c r="G609" s="291">
        <v>99</v>
      </c>
      <c r="H609" s="291"/>
      <c r="I609" s="291"/>
      <c r="J609" s="292"/>
      <c r="K609" s="292"/>
      <c r="L609" s="292"/>
      <c r="M609" s="292"/>
      <c r="N609" s="225"/>
    </row>
    <row r="610" spans="1:14" outlineLevel="1">
      <c r="A610" s="266">
        <f>SUBTOTAL(3,$F$7:F610)</f>
        <v>494</v>
      </c>
      <c r="B610" s="225" t="s">
        <v>1419</v>
      </c>
      <c r="C610" s="224"/>
      <c r="D610" s="224"/>
      <c r="E610" s="224"/>
      <c r="F610" s="290" t="s">
        <v>570</v>
      </c>
      <c r="G610" s="291">
        <v>99</v>
      </c>
      <c r="H610" s="291"/>
      <c r="I610" s="291"/>
      <c r="J610" s="292"/>
      <c r="K610" s="292"/>
      <c r="L610" s="292"/>
      <c r="M610" s="292"/>
      <c r="N610" s="225"/>
    </row>
    <row r="611" spans="1:14" outlineLevel="1">
      <c r="A611" s="266"/>
      <c r="B611" s="295" t="s">
        <v>1510</v>
      </c>
      <c r="C611" s="219"/>
      <c r="D611" s="219"/>
      <c r="E611" s="219"/>
      <c r="F611" s="290"/>
      <c r="G611" s="291">
        <v>0</v>
      </c>
      <c r="H611" s="291"/>
      <c r="I611" s="291"/>
      <c r="J611" s="292"/>
      <c r="K611" s="292"/>
      <c r="L611" s="292"/>
      <c r="M611" s="292"/>
      <c r="N611" s="225"/>
    </row>
    <row r="612" spans="1:14" outlineLevel="1">
      <c r="A612" s="266">
        <f>SUBTOTAL(3,$F$7:F612)</f>
        <v>495</v>
      </c>
      <c r="B612" s="225" t="s">
        <v>1454</v>
      </c>
      <c r="C612" s="224"/>
      <c r="D612" s="224"/>
      <c r="E612" s="224"/>
      <c r="F612" s="290" t="s">
        <v>570</v>
      </c>
      <c r="G612" s="291">
        <v>86</v>
      </c>
      <c r="H612" s="291"/>
      <c r="I612" s="291"/>
      <c r="J612" s="292"/>
      <c r="K612" s="292"/>
      <c r="L612" s="292"/>
      <c r="M612" s="292"/>
      <c r="N612" s="225"/>
    </row>
    <row r="613" spans="1:14" outlineLevel="1">
      <c r="A613" s="266">
        <f>SUBTOTAL(3,$F$7:F613)</f>
        <v>496</v>
      </c>
      <c r="B613" s="225" t="s">
        <v>1402</v>
      </c>
      <c r="C613" s="224"/>
      <c r="D613" s="224"/>
      <c r="E613" s="224"/>
      <c r="F613" s="290" t="s">
        <v>570</v>
      </c>
      <c r="G613" s="291">
        <v>86</v>
      </c>
      <c r="H613" s="291"/>
      <c r="I613" s="291"/>
      <c r="J613" s="292"/>
      <c r="K613" s="292"/>
      <c r="L613" s="292"/>
      <c r="M613" s="292"/>
      <c r="N613" s="225"/>
    </row>
    <row r="614" spans="1:14" outlineLevel="1">
      <c r="A614" s="266"/>
      <c r="B614" s="295" t="s">
        <v>1511</v>
      </c>
      <c r="C614" s="219"/>
      <c r="D614" s="219"/>
      <c r="E614" s="219"/>
      <c r="F614" s="290"/>
      <c r="G614" s="291">
        <v>0</v>
      </c>
      <c r="H614" s="291"/>
      <c r="I614" s="291"/>
      <c r="J614" s="292"/>
      <c r="K614" s="292"/>
      <c r="L614" s="292"/>
      <c r="M614" s="292"/>
      <c r="N614" s="225"/>
    </row>
    <row r="615" spans="1:14" outlineLevel="1">
      <c r="A615" s="266">
        <f>SUBTOTAL(3,$F$7:F615)</f>
        <v>497</v>
      </c>
      <c r="B615" s="225" t="s">
        <v>1454</v>
      </c>
      <c r="C615" s="224"/>
      <c r="D615" s="224"/>
      <c r="E615" s="224"/>
      <c r="F615" s="290" t="s">
        <v>570</v>
      </c>
      <c r="G615" s="291">
        <v>130</v>
      </c>
      <c r="H615" s="291"/>
      <c r="I615" s="291"/>
      <c r="J615" s="292"/>
      <c r="K615" s="292"/>
      <c r="L615" s="292"/>
      <c r="M615" s="292"/>
      <c r="N615" s="225"/>
    </row>
    <row r="616" spans="1:14" outlineLevel="1">
      <c r="A616" s="266">
        <f>SUBTOTAL(3,$F$7:F616)</f>
        <v>498</v>
      </c>
      <c r="B616" s="225" t="s">
        <v>1402</v>
      </c>
      <c r="C616" s="224"/>
      <c r="D616" s="224"/>
      <c r="E616" s="224"/>
      <c r="F616" s="290" t="s">
        <v>570</v>
      </c>
      <c r="G616" s="291">
        <v>130</v>
      </c>
      <c r="H616" s="291"/>
      <c r="I616" s="291"/>
      <c r="J616" s="292"/>
      <c r="K616" s="292"/>
      <c r="L616" s="292"/>
      <c r="M616" s="292"/>
      <c r="N616" s="225"/>
    </row>
    <row r="617" spans="1:14" outlineLevel="1">
      <c r="A617" s="266"/>
      <c r="B617" s="295" t="s">
        <v>1512</v>
      </c>
      <c r="C617" s="219"/>
      <c r="D617" s="219"/>
      <c r="E617" s="219"/>
      <c r="F617" s="290"/>
      <c r="G617" s="291">
        <v>0</v>
      </c>
      <c r="H617" s="291"/>
      <c r="I617" s="291"/>
      <c r="J617" s="292"/>
      <c r="K617" s="292"/>
      <c r="L617" s="292"/>
      <c r="M617" s="292"/>
      <c r="N617" s="225"/>
    </row>
    <row r="618" spans="1:14" outlineLevel="1">
      <c r="A618" s="266">
        <f>SUBTOTAL(3,$F$7:F618)</f>
        <v>499</v>
      </c>
      <c r="B618" s="225" t="s">
        <v>1454</v>
      </c>
      <c r="C618" s="224"/>
      <c r="D618" s="224"/>
      <c r="E618" s="224"/>
      <c r="F618" s="290" t="s">
        <v>570</v>
      </c>
      <c r="G618" s="291">
        <v>140</v>
      </c>
      <c r="H618" s="291"/>
      <c r="I618" s="291"/>
      <c r="J618" s="292"/>
      <c r="K618" s="292"/>
      <c r="L618" s="292"/>
      <c r="M618" s="292"/>
      <c r="N618" s="225"/>
    </row>
    <row r="619" spans="1:14" outlineLevel="1">
      <c r="A619" s="266">
        <f>SUBTOTAL(3,$F$7:F619)</f>
        <v>500</v>
      </c>
      <c r="B619" s="225" t="s">
        <v>1402</v>
      </c>
      <c r="C619" s="224"/>
      <c r="D619" s="224"/>
      <c r="E619" s="224"/>
      <c r="F619" s="290" t="s">
        <v>570</v>
      </c>
      <c r="G619" s="291">
        <v>140</v>
      </c>
      <c r="H619" s="291"/>
      <c r="I619" s="291"/>
      <c r="J619" s="292"/>
      <c r="K619" s="292"/>
      <c r="L619" s="292"/>
      <c r="M619" s="292"/>
      <c r="N619" s="225"/>
    </row>
    <row r="620" spans="1:14" outlineLevel="1">
      <c r="A620" s="266"/>
      <c r="B620" s="295" t="s">
        <v>1513</v>
      </c>
      <c r="C620" s="219"/>
      <c r="D620" s="219"/>
      <c r="E620" s="219"/>
      <c r="F620" s="290"/>
      <c r="G620" s="291">
        <v>0</v>
      </c>
      <c r="H620" s="291"/>
      <c r="I620" s="291"/>
      <c r="J620" s="292"/>
      <c r="K620" s="292"/>
      <c r="L620" s="292"/>
      <c r="M620" s="292"/>
      <c r="N620" s="225"/>
    </row>
    <row r="621" spans="1:14" outlineLevel="1">
      <c r="A621" s="266">
        <f>SUBTOTAL(3,$F$7:F621)</f>
        <v>501</v>
      </c>
      <c r="B621" s="225" t="s">
        <v>1514</v>
      </c>
      <c r="C621" s="224"/>
      <c r="D621" s="224"/>
      <c r="E621" s="224"/>
      <c r="F621" s="290" t="s">
        <v>570</v>
      </c>
      <c r="G621" s="291">
        <v>52</v>
      </c>
      <c r="H621" s="291"/>
      <c r="I621" s="291"/>
      <c r="J621" s="292"/>
      <c r="K621" s="292"/>
      <c r="L621" s="292"/>
      <c r="M621" s="292"/>
      <c r="N621" s="225"/>
    </row>
    <row r="622" spans="1:14" outlineLevel="1">
      <c r="A622" s="266">
        <f>SUBTOTAL(3,$F$7:F622)</f>
        <v>502</v>
      </c>
      <c r="B622" s="225" t="s">
        <v>1477</v>
      </c>
      <c r="C622" s="224"/>
      <c r="D622" s="224"/>
      <c r="E622" s="224"/>
      <c r="F622" s="290" t="s">
        <v>570</v>
      </c>
      <c r="G622" s="291">
        <v>52</v>
      </c>
      <c r="H622" s="291"/>
      <c r="I622" s="291"/>
      <c r="J622" s="292"/>
      <c r="K622" s="292"/>
      <c r="L622" s="292"/>
      <c r="M622" s="292"/>
      <c r="N622" s="225"/>
    </row>
    <row r="623" spans="1:14" outlineLevel="1">
      <c r="A623" s="266"/>
      <c r="B623" s="295" t="s">
        <v>1515</v>
      </c>
      <c r="C623" s="219"/>
      <c r="D623" s="219"/>
      <c r="E623" s="219"/>
      <c r="F623" s="290"/>
      <c r="G623" s="291">
        <v>0</v>
      </c>
      <c r="H623" s="291"/>
      <c r="I623" s="291"/>
      <c r="J623" s="292"/>
      <c r="K623" s="292"/>
      <c r="L623" s="292"/>
      <c r="M623" s="292"/>
      <c r="N623" s="225"/>
    </row>
    <row r="624" spans="1:14" outlineLevel="1">
      <c r="A624" s="266">
        <f>SUBTOTAL(3,$F$7:F624)</f>
        <v>503</v>
      </c>
      <c r="B624" s="225" t="s">
        <v>1514</v>
      </c>
      <c r="C624" s="224"/>
      <c r="D624" s="224"/>
      <c r="E624" s="224"/>
      <c r="F624" s="290" t="s">
        <v>570</v>
      </c>
      <c r="G624" s="291">
        <v>13</v>
      </c>
      <c r="H624" s="291"/>
      <c r="I624" s="291"/>
      <c r="J624" s="292"/>
      <c r="K624" s="292"/>
      <c r="L624" s="292"/>
      <c r="M624" s="292"/>
      <c r="N624" s="225"/>
    </row>
    <row r="625" spans="1:14" outlineLevel="1">
      <c r="A625" s="266">
        <f>SUBTOTAL(3,$F$7:F625)</f>
        <v>504</v>
      </c>
      <c r="B625" s="225" t="s">
        <v>1477</v>
      </c>
      <c r="C625" s="224"/>
      <c r="D625" s="224"/>
      <c r="E625" s="224"/>
      <c r="F625" s="290" t="s">
        <v>570</v>
      </c>
      <c r="G625" s="291">
        <v>13</v>
      </c>
      <c r="H625" s="291"/>
      <c r="I625" s="291"/>
      <c r="J625" s="292"/>
      <c r="K625" s="292"/>
      <c r="L625" s="292"/>
      <c r="M625" s="292"/>
      <c r="N625" s="225"/>
    </row>
    <row r="626" spans="1:14" outlineLevel="1">
      <c r="A626" s="266"/>
      <c r="B626" s="295" t="s">
        <v>1516</v>
      </c>
      <c r="C626" s="219"/>
      <c r="D626" s="219"/>
      <c r="E626" s="219"/>
      <c r="F626" s="290"/>
      <c r="G626" s="291">
        <v>0</v>
      </c>
      <c r="H626" s="291"/>
      <c r="I626" s="291"/>
      <c r="J626" s="292"/>
      <c r="K626" s="292"/>
      <c r="L626" s="292"/>
      <c r="M626" s="292"/>
      <c r="N626" s="225"/>
    </row>
    <row r="627" spans="1:14" outlineLevel="1">
      <c r="A627" s="266">
        <f>SUBTOTAL(3,$F$7:F627)</f>
        <v>505</v>
      </c>
      <c r="B627" s="225" t="s">
        <v>1514</v>
      </c>
      <c r="C627" s="224"/>
      <c r="D627" s="224"/>
      <c r="E627" s="224"/>
      <c r="F627" s="290" t="s">
        <v>570</v>
      </c>
      <c r="G627" s="291">
        <v>13</v>
      </c>
      <c r="H627" s="291"/>
      <c r="I627" s="291"/>
      <c r="J627" s="292"/>
      <c r="K627" s="292"/>
      <c r="L627" s="292"/>
      <c r="M627" s="292"/>
      <c r="N627" s="225"/>
    </row>
    <row r="628" spans="1:14" outlineLevel="1">
      <c r="A628" s="266">
        <f>SUBTOTAL(3,$F$7:F628)</f>
        <v>506</v>
      </c>
      <c r="B628" s="225" t="s">
        <v>1477</v>
      </c>
      <c r="C628" s="224"/>
      <c r="D628" s="224"/>
      <c r="E628" s="224"/>
      <c r="F628" s="290" t="s">
        <v>570</v>
      </c>
      <c r="G628" s="291">
        <v>13</v>
      </c>
      <c r="H628" s="291"/>
      <c r="I628" s="291"/>
      <c r="J628" s="292"/>
      <c r="K628" s="292"/>
      <c r="L628" s="292"/>
      <c r="M628" s="292"/>
      <c r="N628" s="225"/>
    </row>
    <row r="629" spans="1:14" outlineLevel="1">
      <c r="A629" s="266"/>
      <c r="B629" s="295" t="s">
        <v>1517</v>
      </c>
      <c r="C629" s="219"/>
      <c r="D629" s="219"/>
      <c r="E629" s="219"/>
      <c r="F629" s="290"/>
      <c r="G629" s="291">
        <v>0</v>
      </c>
      <c r="H629" s="291"/>
      <c r="I629" s="291"/>
      <c r="J629" s="292"/>
      <c r="K629" s="292"/>
      <c r="L629" s="292"/>
      <c r="M629" s="292"/>
      <c r="N629" s="225"/>
    </row>
    <row r="630" spans="1:14" outlineLevel="1">
      <c r="A630" s="266">
        <f>SUBTOTAL(3,$F$7:F630)</f>
        <v>507</v>
      </c>
      <c r="B630" s="225" t="s">
        <v>1454</v>
      </c>
      <c r="C630" s="224"/>
      <c r="D630" s="224"/>
      <c r="E630" s="224"/>
      <c r="F630" s="290" t="s">
        <v>570</v>
      </c>
      <c r="G630" s="291">
        <v>109</v>
      </c>
      <c r="H630" s="291"/>
      <c r="I630" s="291"/>
      <c r="J630" s="292"/>
      <c r="K630" s="292"/>
      <c r="L630" s="292"/>
      <c r="M630" s="292"/>
      <c r="N630" s="225"/>
    </row>
    <row r="631" spans="1:14" outlineLevel="1">
      <c r="A631" s="266">
        <f>SUBTOTAL(3,$F$7:F631)</f>
        <v>508</v>
      </c>
      <c r="B631" s="225" t="s">
        <v>1402</v>
      </c>
      <c r="C631" s="224"/>
      <c r="D631" s="224"/>
      <c r="E631" s="224"/>
      <c r="F631" s="290" t="s">
        <v>570</v>
      </c>
      <c r="G631" s="291">
        <v>109</v>
      </c>
      <c r="H631" s="291"/>
      <c r="I631" s="291"/>
      <c r="J631" s="292"/>
      <c r="K631" s="292"/>
      <c r="L631" s="292"/>
      <c r="M631" s="292"/>
      <c r="N631" s="225"/>
    </row>
    <row r="632" spans="1:14" outlineLevel="1">
      <c r="A632" s="266"/>
      <c r="B632" s="295" t="s">
        <v>1518</v>
      </c>
      <c r="C632" s="219"/>
      <c r="D632" s="219"/>
      <c r="E632" s="219"/>
      <c r="F632" s="290"/>
      <c r="G632" s="291">
        <v>0</v>
      </c>
      <c r="H632" s="291"/>
      <c r="I632" s="291"/>
      <c r="J632" s="292"/>
      <c r="K632" s="292"/>
      <c r="L632" s="292"/>
      <c r="M632" s="292"/>
      <c r="N632" s="225"/>
    </row>
    <row r="633" spans="1:14" outlineLevel="1">
      <c r="A633" s="266">
        <f>SUBTOTAL(3,$F$7:F633)</f>
        <v>509</v>
      </c>
      <c r="B633" s="225" t="s">
        <v>1454</v>
      </c>
      <c r="C633" s="224"/>
      <c r="D633" s="224"/>
      <c r="E633" s="224"/>
      <c r="F633" s="290" t="s">
        <v>570</v>
      </c>
      <c r="G633" s="291">
        <v>13</v>
      </c>
      <c r="H633" s="291"/>
      <c r="I633" s="291"/>
      <c r="J633" s="292"/>
      <c r="K633" s="292"/>
      <c r="L633" s="292"/>
      <c r="M633" s="292"/>
      <c r="N633" s="225"/>
    </row>
    <row r="634" spans="1:14" outlineLevel="1">
      <c r="A634" s="266">
        <f>SUBTOTAL(3,$F$7:F634)</f>
        <v>510</v>
      </c>
      <c r="B634" s="225" t="s">
        <v>1402</v>
      </c>
      <c r="C634" s="224"/>
      <c r="D634" s="224"/>
      <c r="E634" s="224"/>
      <c r="F634" s="290" t="s">
        <v>570</v>
      </c>
      <c r="G634" s="291">
        <v>13</v>
      </c>
      <c r="H634" s="291"/>
      <c r="I634" s="291"/>
      <c r="J634" s="292"/>
      <c r="K634" s="292"/>
      <c r="L634" s="292"/>
      <c r="M634" s="292"/>
      <c r="N634" s="225"/>
    </row>
    <row r="635" spans="1:14" outlineLevel="1">
      <c r="A635" s="266"/>
      <c r="B635" s="295" t="s">
        <v>1519</v>
      </c>
      <c r="C635" s="219"/>
      <c r="D635" s="219"/>
      <c r="E635" s="219"/>
      <c r="F635" s="290"/>
      <c r="G635" s="291">
        <v>0</v>
      </c>
      <c r="H635" s="291"/>
      <c r="I635" s="291"/>
      <c r="J635" s="292"/>
      <c r="K635" s="292"/>
      <c r="L635" s="292"/>
      <c r="M635" s="292"/>
      <c r="N635" s="225"/>
    </row>
    <row r="636" spans="1:14" outlineLevel="1">
      <c r="A636" s="266">
        <f>SUBTOTAL(3,$F$7:F636)</f>
        <v>511</v>
      </c>
      <c r="B636" s="225" t="s">
        <v>1454</v>
      </c>
      <c r="C636" s="224"/>
      <c r="D636" s="224"/>
      <c r="E636" s="224"/>
      <c r="F636" s="290" t="s">
        <v>570</v>
      </c>
      <c r="G636" s="291">
        <v>13</v>
      </c>
      <c r="H636" s="291"/>
      <c r="I636" s="291"/>
      <c r="J636" s="292"/>
      <c r="K636" s="292"/>
      <c r="L636" s="292"/>
      <c r="M636" s="292"/>
      <c r="N636" s="225"/>
    </row>
    <row r="637" spans="1:14" outlineLevel="1">
      <c r="A637" s="266">
        <f>SUBTOTAL(3,$F$7:F637)</f>
        <v>512</v>
      </c>
      <c r="B637" s="225" t="s">
        <v>1402</v>
      </c>
      <c r="C637" s="224"/>
      <c r="D637" s="224"/>
      <c r="E637" s="224"/>
      <c r="F637" s="290" t="s">
        <v>570</v>
      </c>
      <c r="G637" s="291">
        <v>13</v>
      </c>
      <c r="H637" s="291"/>
      <c r="I637" s="291"/>
      <c r="J637" s="292"/>
      <c r="K637" s="292"/>
      <c r="L637" s="292"/>
      <c r="M637" s="292"/>
      <c r="N637" s="225"/>
    </row>
    <row r="638" spans="1:14" outlineLevel="1">
      <c r="A638" s="266"/>
      <c r="B638" s="295" t="s">
        <v>1520</v>
      </c>
      <c r="C638" s="219"/>
      <c r="D638" s="219"/>
      <c r="E638" s="219"/>
      <c r="F638" s="290"/>
      <c r="G638" s="291">
        <v>0</v>
      </c>
      <c r="H638" s="291"/>
      <c r="I638" s="291"/>
      <c r="J638" s="292"/>
      <c r="K638" s="292"/>
      <c r="L638" s="292"/>
      <c r="M638" s="292"/>
      <c r="N638" s="225"/>
    </row>
    <row r="639" spans="1:14" outlineLevel="1">
      <c r="A639" s="266">
        <f>SUBTOTAL(3,$F$7:F639)</f>
        <v>513</v>
      </c>
      <c r="B639" s="225" t="s">
        <v>1521</v>
      </c>
      <c r="C639" s="224"/>
      <c r="D639" s="224"/>
      <c r="E639" s="224"/>
      <c r="F639" s="290" t="s">
        <v>570</v>
      </c>
      <c r="G639" s="291">
        <v>135</v>
      </c>
      <c r="H639" s="291"/>
      <c r="I639" s="291"/>
      <c r="J639" s="292"/>
      <c r="K639" s="292"/>
      <c r="L639" s="292"/>
      <c r="M639" s="292"/>
      <c r="N639" s="225"/>
    </row>
    <row r="640" spans="1:14" outlineLevel="1">
      <c r="A640" s="266">
        <f>SUBTOTAL(3,$F$7:F640)</f>
        <v>514</v>
      </c>
      <c r="B640" s="225" t="s">
        <v>1402</v>
      </c>
      <c r="C640" s="224"/>
      <c r="D640" s="224"/>
      <c r="E640" s="224"/>
      <c r="F640" s="290" t="s">
        <v>570</v>
      </c>
      <c r="G640" s="291">
        <v>135</v>
      </c>
      <c r="H640" s="291"/>
      <c r="I640" s="291"/>
      <c r="J640" s="292"/>
      <c r="K640" s="292"/>
      <c r="L640" s="292"/>
      <c r="M640" s="292"/>
      <c r="N640" s="225"/>
    </row>
    <row r="641" spans="1:14" outlineLevel="1">
      <c r="A641" s="266"/>
      <c r="B641" s="295" t="s">
        <v>1522</v>
      </c>
      <c r="C641" s="219"/>
      <c r="D641" s="219"/>
      <c r="E641" s="219"/>
      <c r="F641" s="290"/>
      <c r="G641" s="291">
        <v>0</v>
      </c>
      <c r="H641" s="291"/>
      <c r="I641" s="291"/>
      <c r="J641" s="292"/>
      <c r="K641" s="292"/>
      <c r="L641" s="292"/>
      <c r="M641" s="292"/>
      <c r="N641" s="225"/>
    </row>
    <row r="642" spans="1:14" outlineLevel="1">
      <c r="A642" s="266">
        <f>SUBTOTAL(3,$F$7:F642)</f>
        <v>515</v>
      </c>
      <c r="B642" s="225" t="s">
        <v>1521</v>
      </c>
      <c r="C642" s="224"/>
      <c r="D642" s="224"/>
      <c r="E642" s="224"/>
      <c r="F642" s="290" t="s">
        <v>570</v>
      </c>
      <c r="G642" s="291">
        <v>13</v>
      </c>
      <c r="H642" s="291"/>
      <c r="I642" s="291"/>
      <c r="J642" s="292"/>
      <c r="K642" s="292"/>
      <c r="L642" s="292"/>
      <c r="M642" s="292"/>
      <c r="N642" s="225"/>
    </row>
    <row r="643" spans="1:14" outlineLevel="1">
      <c r="A643" s="266">
        <f>SUBTOTAL(3,$F$7:F643)</f>
        <v>516</v>
      </c>
      <c r="B643" s="225" t="s">
        <v>1402</v>
      </c>
      <c r="C643" s="224"/>
      <c r="D643" s="224"/>
      <c r="E643" s="224"/>
      <c r="F643" s="290" t="s">
        <v>570</v>
      </c>
      <c r="G643" s="291">
        <v>13</v>
      </c>
      <c r="H643" s="291"/>
      <c r="I643" s="291"/>
      <c r="J643" s="292"/>
      <c r="K643" s="292"/>
      <c r="L643" s="292"/>
      <c r="M643" s="292"/>
      <c r="N643" s="225"/>
    </row>
    <row r="644" spans="1:14" outlineLevel="1">
      <c r="A644" s="266"/>
      <c r="B644" s="295" t="s">
        <v>1523</v>
      </c>
      <c r="C644" s="219"/>
      <c r="D644" s="219"/>
      <c r="E644" s="219"/>
      <c r="F644" s="290"/>
      <c r="G644" s="291">
        <v>0</v>
      </c>
      <c r="H644" s="291"/>
      <c r="I644" s="291"/>
      <c r="J644" s="292"/>
      <c r="K644" s="292"/>
      <c r="L644" s="292"/>
      <c r="M644" s="292"/>
      <c r="N644" s="225"/>
    </row>
    <row r="645" spans="1:14" outlineLevel="1">
      <c r="A645" s="266">
        <f>SUBTOTAL(3,$F$7:F645)</f>
        <v>517</v>
      </c>
      <c r="B645" s="225" t="s">
        <v>1521</v>
      </c>
      <c r="C645" s="224"/>
      <c r="D645" s="224"/>
      <c r="E645" s="224"/>
      <c r="F645" s="290" t="s">
        <v>570</v>
      </c>
      <c r="G645" s="291">
        <v>13</v>
      </c>
      <c r="H645" s="291"/>
      <c r="I645" s="291"/>
      <c r="J645" s="292"/>
      <c r="K645" s="292"/>
      <c r="L645" s="292"/>
      <c r="M645" s="292"/>
      <c r="N645" s="225"/>
    </row>
    <row r="646" spans="1:14" outlineLevel="1">
      <c r="A646" s="266">
        <f>SUBTOTAL(3,$F$7:F646)</f>
        <v>518</v>
      </c>
      <c r="B646" s="225" t="s">
        <v>1402</v>
      </c>
      <c r="C646" s="224"/>
      <c r="D646" s="224"/>
      <c r="E646" s="224"/>
      <c r="F646" s="290" t="s">
        <v>570</v>
      </c>
      <c r="G646" s="291">
        <v>13</v>
      </c>
      <c r="H646" s="291"/>
      <c r="I646" s="291"/>
      <c r="J646" s="292"/>
      <c r="K646" s="292"/>
      <c r="L646" s="292"/>
      <c r="M646" s="292"/>
      <c r="N646" s="225"/>
    </row>
    <row r="647" spans="1:14" outlineLevel="1">
      <c r="A647" s="266"/>
      <c r="B647" s="295" t="s">
        <v>1524</v>
      </c>
      <c r="C647" s="219"/>
      <c r="D647" s="219"/>
      <c r="E647" s="219"/>
      <c r="F647" s="290"/>
      <c r="G647" s="291">
        <v>0</v>
      </c>
      <c r="H647" s="291"/>
      <c r="I647" s="291"/>
      <c r="J647" s="292"/>
      <c r="K647" s="292"/>
      <c r="L647" s="292"/>
      <c r="M647" s="292"/>
      <c r="N647" s="225"/>
    </row>
    <row r="648" spans="1:14" outlineLevel="1">
      <c r="A648" s="266">
        <f>SUBTOTAL(3,$F$7:F648)</f>
        <v>519</v>
      </c>
      <c r="B648" s="225" t="s">
        <v>1521</v>
      </c>
      <c r="C648" s="224"/>
      <c r="D648" s="224"/>
      <c r="E648" s="224"/>
      <c r="F648" s="290" t="s">
        <v>570</v>
      </c>
      <c r="G648" s="291">
        <v>13</v>
      </c>
      <c r="H648" s="291"/>
      <c r="I648" s="291"/>
      <c r="J648" s="292"/>
      <c r="K648" s="292"/>
      <c r="L648" s="292"/>
      <c r="M648" s="292"/>
      <c r="N648" s="225"/>
    </row>
    <row r="649" spans="1:14" outlineLevel="1">
      <c r="A649" s="266">
        <f>SUBTOTAL(3,$F$7:F649)</f>
        <v>520</v>
      </c>
      <c r="B649" s="225" t="s">
        <v>1402</v>
      </c>
      <c r="C649" s="224"/>
      <c r="D649" s="224"/>
      <c r="E649" s="224"/>
      <c r="F649" s="290" t="s">
        <v>570</v>
      </c>
      <c r="G649" s="291">
        <v>13</v>
      </c>
      <c r="H649" s="291"/>
      <c r="I649" s="291"/>
      <c r="J649" s="292"/>
      <c r="K649" s="292"/>
      <c r="L649" s="292"/>
      <c r="M649" s="292"/>
      <c r="N649" s="225"/>
    </row>
    <row r="650" spans="1:14" outlineLevel="1">
      <c r="A650" s="266"/>
      <c r="B650" s="295" t="s">
        <v>1525</v>
      </c>
      <c r="C650" s="219"/>
      <c r="D650" s="219"/>
      <c r="E650" s="219"/>
      <c r="F650" s="290"/>
      <c r="G650" s="291">
        <v>0</v>
      </c>
      <c r="H650" s="291"/>
      <c r="I650" s="291"/>
      <c r="J650" s="292"/>
      <c r="K650" s="292"/>
      <c r="L650" s="292"/>
      <c r="M650" s="292"/>
      <c r="N650" s="225"/>
    </row>
    <row r="651" spans="1:14" outlineLevel="1">
      <c r="A651" s="266">
        <f>SUBTOTAL(3,$F$7:F651)</f>
        <v>521</v>
      </c>
      <c r="B651" s="225" t="s">
        <v>1421</v>
      </c>
      <c r="C651" s="224"/>
      <c r="D651" s="224"/>
      <c r="E651" s="224"/>
      <c r="F651" s="290" t="s">
        <v>570</v>
      </c>
      <c r="G651" s="291">
        <v>131</v>
      </c>
      <c r="H651" s="291"/>
      <c r="I651" s="291"/>
      <c r="J651" s="292"/>
      <c r="K651" s="292"/>
      <c r="L651" s="292"/>
      <c r="M651" s="292"/>
      <c r="N651" s="225"/>
    </row>
    <row r="652" spans="1:14" outlineLevel="1">
      <c r="A652" s="266">
        <f>SUBTOTAL(3,$F$7:F652)</f>
        <v>522</v>
      </c>
      <c r="B652" s="225" t="s">
        <v>1387</v>
      </c>
      <c r="C652" s="224"/>
      <c r="D652" s="224"/>
      <c r="E652" s="224"/>
      <c r="F652" s="290" t="s">
        <v>570</v>
      </c>
      <c r="G652" s="291">
        <v>131</v>
      </c>
      <c r="H652" s="291"/>
      <c r="I652" s="291"/>
      <c r="J652" s="292"/>
      <c r="K652" s="292"/>
      <c r="L652" s="292"/>
      <c r="M652" s="292"/>
      <c r="N652" s="225"/>
    </row>
    <row r="653" spans="1:14" outlineLevel="1">
      <c r="A653" s="266"/>
      <c r="B653" s="295" t="s">
        <v>1526</v>
      </c>
      <c r="C653" s="219"/>
      <c r="D653" s="219"/>
      <c r="E653" s="219"/>
      <c r="F653" s="290"/>
      <c r="G653" s="291">
        <v>0</v>
      </c>
      <c r="H653" s="291"/>
      <c r="I653" s="291"/>
      <c r="J653" s="292"/>
      <c r="K653" s="292"/>
      <c r="L653" s="292"/>
      <c r="M653" s="292"/>
      <c r="N653" s="225"/>
    </row>
    <row r="654" spans="1:14" outlineLevel="1">
      <c r="A654" s="266">
        <f>SUBTOTAL(3,$F$7:F654)</f>
        <v>523</v>
      </c>
      <c r="B654" s="225" t="s">
        <v>1527</v>
      </c>
      <c r="C654" s="224"/>
      <c r="D654" s="224"/>
      <c r="E654" s="224"/>
      <c r="F654" s="290" t="s">
        <v>570</v>
      </c>
      <c r="G654" s="291">
        <v>131</v>
      </c>
      <c r="H654" s="291"/>
      <c r="I654" s="291"/>
      <c r="J654" s="292"/>
      <c r="K654" s="292"/>
      <c r="L654" s="292"/>
      <c r="M654" s="292"/>
      <c r="N654" s="225"/>
    </row>
    <row r="655" spans="1:14" outlineLevel="1">
      <c r="A655" s="266">
        <f>SUBTOTAL(3,$F$7:F655)</f>
        <v>524</v>
      </c>
      <c r="B655" s="225" t="s">
        <v>1411</v>
      </c>
      <c r="C655" s="224"/>
      <c r="D655" s="224"/>
      <c r="E655" s="224"/>
      <c r="F655" s="290" t="s">
        <v>570</v>
      </c>
      <c r="G655" s="291">
        <v>131</v>
      </c>
      <c r="H655" s="291"/>
      <c r="I655" s="291"/>
      <c r="J655" s="292"/>
      <c r="K655" s="292"/>
      <c r="L655" s="292"/>
      <c r="M655" s="292"/>
      <c r="N655" s="225"/>
    </row>
    <row r="656" spans="1:14" outlineLevel="1">
      <c r="A656" s="266"/>
      <c r="B656" s="295" t="s">
        <v>1528</v>
      </c>
      <c r="C656" s="219"/>
      <c r="D656" s="219"/>
      <c r="E656" s="219"/>
      <c r="F656" s="290"/>
      <c r="G656" s="291">
        <v>0</v>
      </c>
      <c r="H656" s="291"/>
      <c r="I656" s="291"/>
      <c r="J656" s="292"/>
      <c r="K656" s="292"/>
      <c r="L656" s="292"/>
      <c r="M656" s="292"/>
      <c r="N656" s="225"/>
    </row>
    <row r="657" spans="1:14" outlineLevel="1">
      <c r="A657" s="266">
        <f>SUBTOTAL(3,$F$7:F657)</f>
        <v>525</v>
      </c>
      <c r="B657" s="225" t="s">
        <v>1416</v>
      </c>
      <c r="C657" s="224"/>
      <c r="D657" s="224"/>
      <c r="E657" s="224"/>
      <c r="F657" s="290" t="s">
        <v>570</v>
      </c>
      <c r="G657" s="291">
        <v>141</v>
      </c>
      <c r="H657" s="291"/>
      <c r="I657" s="291"/>
      <c r="J657" s="292"/>
      <c r="K657" s="292"/>
      <c r="L657" s="292"/>
      <c r="M657" s="292"/>
      <c r="N657" s="225"/>
    </row>
    <row r="658" spans="1:14" outlineLevel="1">
      <c r="A658" s="266">
        <f>SUBTOTAL(3,$F$7:F658)</f>
        <v>526</v>
      </c>
      <c r="B658" s="225" t="s">
        <v>1402</v>
      </c>
      <c r="C658" s="224"/>
      <c r="D658" s="224"/>
      <c r="E658" s="224"/>
      <c r="F658" s="290" t="s">
        <v>570</v>
      </c>
      <c r="G658" s="291">
        <v>141</v>
      </c>
      <c r="H658" s="291"/>
      <c r="I658" s="291"/>
      <c r="J658" s="292"/>
      <c r="K658" s="292"/>
      <c r="L658" s="292"/>
      <c r="M658" s="292"/>
      <c r="N658" s="225"/>
    </row>
    <row r="659" spans="1:14" outlineLevel="1">
      <c r="A659" s="266"/>
      <c r="B659" s="295" t="s">
        <v>1529</v>
      </c>
      <c r="C659" s="219"/>
      <c r="D659" s="219"/>
      <c r="E659" s="219"/>
      <c r="F659" s="290"/>
      <c r="G659" s="291">
        <v>0</v>
      </c>
      <c r="H659" s="291"/>
      <c r="I659" s="291"/>
      <c r="J659" s="292"/>
      <c r="K659" s="292"/>
      <c r="L659" s="292"/>
      <c r="M659" s="292"/>
      <c r="N659" s="225"/>
    </row>
    <row r="660" spans="1:14" outlineLevel="1">
      <c r="A660" s="266">
        <f>SUBTOTAL(3,$F$7:F660)</f>
        <v>527</v>
      </c>
      <c r="B660" s="225" t="s">
        <v>1454</v>
      </c>
      <c r="C660" s="224"/>
      <c r="D660" s="224"/>
      <c r="E660" s="224"/>
      <c r="F660" s="290" t="s">
        <v>570</v>
      </c>
      <c r="G660" s="291">
        <v>63</v>
      </c>
      <c r="H660" s="291"/>
      <c r="I660" s="291"/>
      <c r="J660" s="292"/>
      <c r="K660" s="292"/>
      <c r="L660" s="292"/>
      <c r="M660" s="292"/>
      <c r="N660" s="225"/>
    </row>
    <row r="661" spans="1:14" outlineLevel="1">
      <c r="A661" s="266">
        <f>SUBTOTAL(3,$F$7:F661)</f>
        <v>528</v>
      </c>
      <c r="B661" s="225" t="s">
        <v>1402</v>
      </c>
      <c r="C661" s="224"/>
      <c r="D661" s="224"/>
      <c r="E661" s="224"/>
      <c r="F661" s="290" t="s">
        <v>570</v>
      </c>
      <c r="G661" s="291">
        <v>63</v>
      </c>
      <c r="H661" s="291"/>
      <c r="I661" s="291"/>
      <c r="J661" s="292"/>
      <c r="K661" s="292"/>
      <c r="L661" s="292"/>
      <c r="M661" s="292"/>
      <c r="N661" s="225"/>
    </row>
    <row r="662" spans="1:14" outlineLevel="1">
      <c r="A662" s="266"/>
      <c r="B662" s="295" t="s">
        <v>1530</v>
      </c>
      <c r="C662" s="219"/>
      <c r="D662" s="219"/>
      <c r="E662" s="219"/>
      <c r="F662" s="290"/>
      <c r="G662" s="291">
        <v>0</v>
      </c>
      <c r="H662" s="291"/>
      <c r="I662" s="291"/>
      <c r="J662" s="292"/>
      <c r="K662" s="292"/>
      <c r="L662" s="292"/>
      <c r="M662" s="292"/>
      <c r="N662" s="225"/>
    </row>
    <row r="663" spans="1:14" outlineLevel="1">
      <c r="A663" s="266">
        <f>SUBTOTAL(3,$F$7:F663)</f>
        <v>529</v>
      </c>
      <c r="B663" s="225" t="s">
        <v>1514</v>
      </c>
      <c r="C663" s="224"/>
      <c r="D663" s="224"/>
      <c r="E663" s="224"/>
      <c r="F663" s="290" t="s">
        <v>570</v>
      </c>
      <c r="G663" s="291">
        <v>159</v>
      </c>
      <c r="H663" s="291"/>
      <c r="I663" s="291"/>
      <c r="J663" s="292"/>
      <c r="K663" s="292"/>
      <c r="L663" s="292"/>
      <c r="M663" s="292"/>
      <c r="N663" s="225"/>
    </row>
    <row r="664" spans="1:14" outlineLevel="1">
      <c r="A664" s="266">
        <f>SUBTOTAL(3,$F$7:F664)</f>
        <v>530</v>
      </c>
      <c r="B664" s="225" t="s">
        <v>1477</v>
      </c>
      <c r="C664" s="224"/>
      <c r="D664" s="224"/>
      <c r="E664" s="224"/>
      <c r="F664" s="290" t="s">
        <v>570</v>
      </c>
      <c r="G664" s="291">
        <v>159</v>
      </c>
      <c r="H664" s="291"/>
      <c r="I664" s="291"/>
      <c r="J664" s="292"/>
      <c r="K664" s="292"/>
      <c r="L664" s="292"/>
      <c r="M664" s="292"/>
      <c r="N664" s="225"/>
    </row>
    <row r="665" spans="1:14" outlineLevel="1">
      <c r="A665" s="266"/>
      <c r="B665" s="295" t="s">
        <v>1531</v>
      </c>
      <c r="C665" s="219"/>
      <c r="D665" s="219"/>
      <c r="E665" s="219"/>
      <c r="F665" s="290"/>
      <c r="G665" s="291">
        <v>0</v>
      </c>
      <c r="H665" s="291"/>
      <c r="I665" s="291"/>
      <c r="J665" s="292"/>
      <c r="K665" s="292"/>
      <c r="L665" s="292"/>
      <c r="M665" s="292"/>
      <c r="N665" s="225"/>
    </row>
    <row r="666" spans="1:14" outlineLevel="1">
      <c r="A666" s="266">
        <f>SUBTOTAL(3,$F$7:F666)</f>
        <v>531</v>
      </c>
      <c r="B666" s="225" t="s">
        <v>1433</v>
      </c>
      <c r="C666" s="224"/>
      <c r="D666" s="224"/>
      <c r="E666" s="224"/>
      <c r="F666" s="290" t="s">
        <v>570</v>
      </c>
      <c r="G666" s="291">
        <v>130</v>
      </c>
      <c r="H666" s="291"/>
      <c r="I666" s="291"/>
      <c r="J666" s="292"/>
      <c r="K666" s="292"/>
      <c r="L666" s="292"/>
      <c r="M666" s="292"/>
      <c r="N666" s="225"/>
    </row>
    <row r="667" spans="1:14" outlineLevel="1">
      <c r="A667" s="266">
        <f>SUBTOTAL(3,$F$7:F667)</f>
        <v>532</v>
      </c>
      <c r="B667" s="225" t="s">
        <v>1396</v>
      </c>
      <c r="C667" s="224"/>
      <c r="D667" s="224"/>
      <c r="E667" s="224"/>
      <c r="F667" s="290" t="s">
        <v>570</v>
      </c>
      <c r="G667" s="291">
        <v>130</v>
      </c>
      <c r="H667" s="291"/>
      <c r="I667" s="291"/>
      <c r="J667" s="292"/>
      <c r="K667" s="292"/>
      <c r="L667" s="292"/>
      <c r="M667" s="292"/>
      <c r="N667" s="225"/>
    </row>
    <row r="668" spans="1:14" outlineLevel="1">
      <c r="A668" s="266"/>
      <c r="B668" s="295" t="s">
        <v>1532</v>
      </c>
      <c r="C668" s="219"/>
      <c r="D668" s="219"/>
      <c r="E668" s="219"/>
      <c r="F668" s="290"/>
      <c r="G668" s="291">
        <v>0</v>
      </c>
      <c r="H668" s="291"/>
      <c r="I668" s="291"/>
      <c r="J668" s="292"/>
      <c r="K668" s="292"/>
      <c r="L668" s="292"/>
      <c r="M668" s="292"/>
      <c r="N668" s="225"/>
    </row>
    <row r="669" spans="1:14" outlineLevel="1">
      <c r="A669" s="266">
        <f>SUBTOTAL(3,$F$7:F669)</f>
        <v>533</v>
      </c>
      <c r="B669" s="225" t="s">
        <v>1521</v>
      </c>
      <c r="C669" s="224"/>
      <c r="D669" s="224"/>
      <c r="E669" s="224"/>
      <c r="F669" s="290" t="s">
        <v>570</v>
      </c>
      <c r="G669" s="291">
        <v>130</v>
      </c>
      <c r="H669" s="291"/>
      <c r="I669" s="291"/>
      <c r="J669" s="292"/>
      <c r="K669" s="292"/>
      <c r="L669" s="292"/>
      <c r="M669" s="292"/>
      <c r="N669" s="225"/>
    </row>
    <row r="670" spans="1:14" outlineLevel="1">
      <c r="A670" s="266">
        <f>SUBTOTAL(3,$F$7:F670)</f>
        <v>534</v>
      </c>
      <c r="B670" s="225" t="s">
        <v>1402</v>
      </c>
      <c r="C670" s="224"/>
      <c r="D670" s="224"/>
      <c r="E670" s="224"/>
      <c r="F670" s="290" t="s">
        <v>570</v>
      </c>
      <c r="G670" s="291">
        <v>130</v>
      </c>
      <c r="H670" s="291"/>
      <c r="I670" s="291"/>
      <c r="J670" s="292"/>
      <c r="K670" s="292"/>
      <c r="L670" s="292"/>
      <c r="M670" s="292"/>
      <c r="N670" s="225"/>
    </row>
    <row r="671" spans="1:14" outlineLevel="1">
      <c r="A671" s="266"/>
      <c r="B671" s="295" t="s">
        <v>1533</v>
      </c>
      <c r="C671" s="219"/>
      <c r="D671" s="219"/>
      <c r="E671" s="219"/>
      <c r="F671" s="290"/>
      <c r="G671" s="291">
        <v>0</v>
      </c>
      <c r="H671" s="291"/>
      <c r="I671" s="291"/>
      <c r="J671" s="292"/>
      <c r="K671" s="292"/>
      <c r="L671" s="292"/>
      <c r="M671" s="292"/>
      <c r="N671" s="225"/>
    </row>
    <row r="672" spans="1:14" outlineLevel="1">
      <c r="A672" s="266">
        <f>SUBTOTAL(3,$F$7:F672)</f>
        <v>535</v>
      </c>
      <c r="B672" s="225" t="s">
        <v>1442</v>
      </c>
      <c r="C672" s="224"/>
      <c r="D672" s="224"/>
      <c r="E672" s="224"/>
      <c r="F672" s="290" t="s">
        <v>570</v>
      </c>
      <c r="G672" s="291">
        <v>65</v>
      </c>
      <c r="H672" s="291"/>
      <c r="I672" s="291"/>
      <c r="J672" s="292"/>
      <c r="K672" s="292"/>
      <c r="L672" s="292"/>
      <c r="M672" s="292"/>
      <c r="N672" s="225"/>
    </row>
    <row r="673" spans="1:14" outlineLevel="1">
      <c r="A673" s="266">
        <f>SUBTOTAL(3,$F$7:F673)</f>
        <v>536</v>
      </c>
      <c r="B673" s="225" t="s">
        <v>1405</v>
      </c>
      <c r="C673" s="224"/>
      <c r="D673" s="224"/>
      <c r="E673" s="224"/>
      <c r="F673" s="290" t="s">
        <v>570</v>
      </c>
      <c r="G673" s="291">
        <v>65</v>
      </c>
      <c r="H673" s="291"/>
      <c r="I673" s="291"/>
      <c r="J673" s="292"/>
      <c r="K673" s="292"/>
      <c r="L673" s="292"/>
      <c r="M673" s="292"/>
      <c r="N673" s="225"/>
    </row>
    <row r="674" spans="1:14" outlineLevel="1">
      <c r="A674" s="266"/>
      <c r="B674" s="295" t="s">
        <v>1534</v>
      </c>
      <c r="C674" s="219"/>
      <c r="D674" s="219"/>
      <c r="E674" s="219"/>
      <c r="F674" s="290"/>
      <c r="G674" s="291">
        <v>0</v>
      </c>
      <c r="H674" s="291"/>
      <c r="I674" s="291"/>
      <c r="J674" s="292"/>
      <c r="K674" s="292"/>
      <c r="L674" s="292"/>
      <c r="M674" s="292"/>
      <c r="N674" s="225"/>
    </row>
    <row r="675" spans="1:14" outlineLevel="1">
      <c r="A675" s="266">
        <f>SUBTOTAL(3,$F$7:F675)</f>
        <v>537</v>
      </c>
      <c r="B675" s="225" t="s">
        <v>1421</v>
      </c>
      <c r="C675" s="224"/>
      <c r="D675" s="224"/>
      <c r="E675" s="224"/>
      <c r="F675" s="290" t="s">
        <v>570</v>
      </c>
      <c r="G675" s="291">
        <v>180</v>
      </c>
      <c r="H675" s="291"/>
      <c r="I675" s="291"/>
      <c r="J675" s="292"/>
      <c r="K675" s="292"/>
      <c r="L675" s="292"/>
      <c r="M675" s="292"/>
      <c r="N675" s="225"/>
    </row>
    <row r="676" spans="1:14" outlineLevel="1">
      <c r="A676" s="266">
        <f>SUBTOTAL(3,$F$7:F676)</f>
        <v>538</v>
      </c>
      <c r="B676" s="225" t="s">
        <v>1387</v>
      </c>
      <c r="C676" s="224"/>
      <c r="D676" s="224"/>
      <c r="E676" s="224"/>
      <c r="F676" s="290" t="s">
        <v>570</v>
      </c>
      <c r="G676" s="291">
        <v>180</v>
      </c>
      <c r="H676" s="291"/>
      <c r="I676" s="291"/>
      <c r="J676" s="292"/>
      <c r="K676" s="292"/>
      <c r="L676" s="292"/>
      <c r="M676" s="292"/>
      <c r="N676" s="225"/>
    </row>
    <row r="677" spans="1:14" outlineLevel="1">
      <c r="A677" s="266"/>
      <c r="B677" s="295" t="s">
        <v>1535</v>
      </c>
      <c r="C677" s="219"/>
      <c r="D677" s="219"/>
      <c r="E677" s="219"/>
      <c r="F677" s="290"/>
      <c r="G677" s="291">
        <v>0</v>
      </c>
      <c r="H677" s="291"/>
      <c r="I677" s="291"/>
      <c r="J677" s="292"/>
      <c r="K677" s="292"/>
      <c r="L677" s="292"/>
      <c r="M677" s="292"/>
      <c r="N677" s="225"/>
    </row>
    <row r="678" spans="1:14" outlineLevel="1">
      <c r="A678" s="266">
        <f>SUBTOTAL(3,$F$7:F678)</f>
        <v>539</v>
      </c>
      <c r="B678" s="225" t="s">
        <v>1433</v>
      </c>
      <c r="C678" s="224"/>
      <c r="D678" s="224"/>
      <c r="E678" s="224"/>
      <c r="F678" s="290" t="s">
        <v>570</v>
      </c>
      <c r="G678" s="291">
        <v>171</v>
      </c>
      <c r="H678" s="291"/>
      <c r="I678" s="291"/>
      <c r="J678" s="292"/>
      <c r="K678" s="292"/>
      <c r="L678" s="292"/>
      <c r="M678" s="292"/>
      <c r="N678" s="225"/>
    </row>
    <row r="679" spans="1:14" outlineLevel="1">
      <c r="A679" s="266">
        <f>SUBTOTAL(3,$F$7:F679)</f>
        <v>540</v>
      </c>
      <c r="B679" s="225" t="s">
        <v>1396</v>
      </c>
      <c r="C679" s="224"/>
      <c r="D679" s="224"/>
      <c r="E679" s="224"/>
      <c r="F679" s="290" t="s">
        <v>570</v>
      </c>
      <c r="G679" s="291">
        <v>171</v>
      </c>
      <c r="H679" s="291"/>
      <c r="I679" s="291"/>
      <c r="J679" s="292"/>
      <c r="K679" s="292"/>
      <c r="L679" s="292"/>
      <c r="M679" s="292"/>
      <c r="N679" s="225"/>
    </row>
    <row r="680" spans="1:14" outlineLevel="1">
      <c r="A680" s="266"/>
      <c r="B680" s="295" t="s">
        <v>1536</v>
      </c>
      <c r="C680" s="219"/>
      <c r="D680" s="219"/>
      <c r="E680" s="219"/>
      <c r="F680" s="290"/>
      <c r="G680" s="291">
        <v>0</v>
      </c>
      <c r="H680" s="291"/>
      <c r="I680" s="291"/>
      <c r="J680" s="292"/>
      <c r="K680" s="292"/>
      <c r="L680" s="292"/>
      <c r="M680" s="292"/>
      <c r="N680" s="225"/>
    </row>
    <row r="681" spans="1:14" outlineLevel="1">
      <c r="A681" s="266">
        <f>SUBTOTAL(3,$F$7:F681)</f>
        <v>541</v>
      </c>
      <c r="B681" s="225" t="s">
        <v>1521</v>
      </c>
      <c r="C681" s="224"/>
      <c r="D681" s="224"/>
      <c r="E681" s="224"/>
      <c r="F681" s="290" t="s">
        <v>570</v>
      </c>
      <c r="G681" s="291">
        <v>179</v>
      </c>
      <c r="H681" s="291"/>
      <c r="I681" s="291"/>
      <c r="J681" s="292"/>
      <c r="K681" s="292"/>
      <c r="L681" s="292"/>
      <c r="M681" s="292"/>
      <c r="N681" s="225"/>
    </row>
    <row r="682" spans="1:14" outlineLevel="1">
      <c r="A682" s="266">
        <f>SUBTOTAL(3,$F$7:F682)</f>
        <v>542</v>
      </c>
      <c r="B682" s="225" t="s">
        <v>1402</v>
      </c>
      <c r="C682" s="224"/>
      <c r="D682" s="224"/>
      <c r="E682" s="224"/>
      <c r="F682" s="290" t="s">
        <v>570</v>
      </c>
      <c r="G682" s="291">
        <v>179</v>
      </c>
      <c r="H682" s="291"/>
      <c r="I682" s="291"/>
      <c r="J682" s="292"/>
      <c r="K682" s="292"/>
      <c r="L682" s="292"/>
      <c r="M682" s="292"/>
      <c r="N682" s="225"/>
    </row>
    <row r="683" spans="1:14" outlineLevel="1">
      <c r="A683" s="266"/>
      <c r="B683" s="295" t="s">
        <v>1537</v>
      </c>
      <c r="C683" s="219"/>
      <c r="D683" s="219"/>
      <c r="E683" s="219"/>
      <c r="F683" s="290"/>
      <c r="G683" s="291">
        <v>0</v>
      </c>
      <c r="H683" s="291"/>
      <c r="I683" s="291"/>
      <c r="J683" s="292"/>
      <c r="K683" s="292"/>
      <c r="L683" s="292"/>
      <c r="M683" s="292"/>
      <c r="N683" s="225"/>
    </row>
    <row r="684" spans="1:14" outlineLevel="1">
      <c r="A684" s="266">
        <f>SUBTOTAL(3,$F$7:F684)</f>
        <v>543</v>
      </c>
      <c r="B684" s="225" t="s">
        <v>1521</v>
      </c>
      <c r="C684" s="224"/>
      <c r="D684" s="224"/>
      <c r="E684" s="224"/>
      <c r="F684" s="290" t="s">
        <v>570</v>
      </c>
      <c r="G684" s="291">
        <v>166</v>
      </c>
      <c r="H684" s="291"/>
      <c r="I684" s="291"/>
      <c r="J684" s="292"/>
      <c r="K684" s="292"/>
      <c r="L684" s="292"/>
      <c r="M684" s="292"/>
      <c r="N684" s="225"/>
    </row>
    <row r="685" spans="1:14" outlineLevel="1">
      <c r="A685" s="266">
        <f>SUBTOTAL(3,$F$7:F685)</f>
        <v>544</v>
      </c>
      <c r="B685" s="225" t="s">
        <v>1402</v>
      </c>
      <c r="C685" s="224"/>
      <c r="D685" s="224"/>
      <c r="E685" s="224"/>
      <c r="F685" s="290" t="s">
        <v>570</v>
      </c>
      <c r="G685" s="291">
        <v>166</v>
      </c>
      <c r="H685" s="291"/>
      <c r="I685" s="291"/>
      <c r="J685" s="292"/>
      <c r="K685" s="292"/>
      <c r="L685" s="292"/>
      <c r="M685" s="292"/>
      <c r="N685" s="225"/>
    </row>
    <row r="686" spans="1:14" outlineLevel="1">
      <c r="A686" s="266"/>
      <c r="B686" s="295" t="s">
        <v>1538</v>
      </c>
      <c r="C686" s="219"/>
      <c r="D686" s="219"/>
      <c r="E686" s="219"/>
      <c r="F686" s="290"/>
      <c r="G686" s="291">
        <v>0</v>
      </c>
      <c r="H686" s="291"/>
      <c r="I686" s="291"/>
      <c r="J686" s="292"/>
      <c r="K686" s="292"/>
      <c r="L686" s="292"/>
      <c r="M686" s="292"/>
      <c r="N686" s="225"/>
    </row>
    <row r="687" spans="1:14" outlineLevel="1">
      <c r="A687" s="266">
        <f>SUBTOTAL(3,$F$7:F687)</f>
        <v>545</v>
      </c>
      <c r="B687" s="225" t="s">
        <v>1521</v>
      </c>
      <c r="C687" s="224"/>
      <c r="D687" s="224"/>
      <c r="E687" s="224"/>
      <c r="F687" s="290" t="s">
        <v>570</v>
      </c>
      <c r="G687" s="291">
        <v>171</v>
      </c>
      <c r="H687" s="291"/>
      <c r="I687" s="291"/>
      <c r="J687" s="292"/>
      <c r="K687" s="292"/>
      <c r="L687" s="292"/>
      <c r="M687" s="292"/>
      <c r="N687" s="225"/>
    </row>
    <row r="688" spans="1:14" outlineLevel="1">
      <c r="A688" s="266">
        <f>SUBTOTAL(3,$F$7:F688)</f>
        <v>546</v>
      </c>
      <c r="B688" s="225" t="s">
        <v>1402</v>
      </c>
      <c r="C688" s="224"/>
      <c r="D688" s="224"/>
      <c r="E688" s="224"/>
      <c r="F688" s="290" t="s">
        <v>570</v>
      </c>
      <c r="G688" s="291">
        <v>171</v>
      </c>
      <c r="H688" s="291"/>
      <c r="I688" s="291"/>
      <c r="J688" s="292"/>
      <c r="K688" s="292"/>
      <c r="L688" s="292"/>
      <c r="M688" s="292"/>
      <c r="N688" s="225"/>
    </row>
    <row r="689" spans="1:14" outlineLevel="1">
      <c r="A689" s="266"/>
      <c r="B689" s="295" t="s">
        <v>1539</v>
      </c>
      <c r="C689" s="219"/>
      <c r="D689" s="219"/>
      <c r="E689" s="219"/>
      <c r="F689" s="290"/>
      <c r="G689" s="291">
        <v>0</v>
      </c>
      <c r="H689" s="291"/>
      <c r="I689" s="291"/>
      <c r="J689" s="292"/>
      <c r="K689" s="292"/>
      <c r="L689" s="292"/>
      <c r="M689" s="292"/>
      <c r="N689" s="225"/>
    </row>
    <row r="690" spans="1:14" outlineLevel="1">
      <c r="A690" s="266">
        <f>SUBTOTAL(3,$F$7:F690)</f>
        <v>547</v>
      </c>
      <c r="B690" s="225" t="s">
        <v>1540</v>
      </c>
      <c r="C690" s="224"/>
      <c r="D690" s="224"/>
      <c r="E690" s="224"/>
      <c r="F690" s="290" t="s">
        <v>570</v>
      </c>
      <c r="G690" s="291">
        <v>153</v>
      </c>
      <c r="H690" s="291"/>
      <c r="I690" s="291"/>
      <c r="J690" s="292"/>
      <c r="K690" s="292"/>
      <c r="L690" s="292"/>
      <c r="M690" s="292"/>
      <c r="N690" s="225"/>
    </row>
    <row r="691" spans="1:14" outlineLevel="1">
      <c r="A691" s="266">
        <f>SUBTOTAL(3,$F$7:F691)</f>
        <v>548</v>
      </c>
      <c r="B691" s="225" t="s">
        <v>1396</v>
      </c>
      <c r="C691" s="224"/>
      <c r="D691" s="224"/>
      <c r="E691" s="224"/>
      <c r="F691" s="290" t="s">
        <v>570</v>
      </c>
      <c r="G691" s="291">
        <v>153</v>
      </c>
      <c r="H691" s="291"/>
      <c r="I691" s="291"/>
      <c r="J691" s="292"/>
      <c r="K691" s="292"/>
      <c r="L691" s="292"/>
      <c r="M691" s="292"/>
      <c r="N691" s="225"/>
    </row>
    <row r="692" spans="1:14" outlineLevel="1">
      <c r="A692" s="266"/>
      <c r="B692" s="295" t="s">
        <v>1541</v>
      </c>
      <c r="C692" s="219"/>
      <c r="D692" s="219"/>
      <c r="E692" s="219"/>
      <c r="F692" s="290"/>
      <c r="G692" s="291">
        <v>0</v>
      </c>
      <c r="H692" s="291"/>
      <c r="I692" s="291"/>
      <c r="J692" s="292"/>
      <c r="K692" s="292"/>
      <c r="L692" s="292"/>
      <c r="M692" s="292"/>
      <c r="N692" s="225"/>
    </row>
    <row r="693" spans="1:14" outlineLevel="1">
      <c r="A693" s="266">
        <f>SUBTOTAL(3,$F$7:F693)</f>
        <v>549</v>
      </c>
      <c r="B693" s="225" t="s">
        <v>1521</v>
      </c>
      <c r="C693" s="224"/>
      <c r="D693" s="224"/>
      <c r="E693" s="224"/>
      <c r="F693" s="290" t="s">
        <v>570</v>
      </c>
      <c r="G693" s="291">
        <v>153</v>
      </c>
      <c r="H693" s="291"/>
      <c r="I693" s="291"/>
      <c r="J693" s="292"/>
      <c r="K693" s="292"/>
      <c r="L693" s="292"/>
      <c r="M693" s="292"/>
      <c r="N693" s="225"/>
    </row>
    <row r="694" spans="1:14" outlineLevel="1">
      <c r="A694" s="266">
        <f>SUBTOTAL(3,$F$7:F694)</f>
        <v>550</v>
      </c>
      <c r="B694" s="225" t="s">
        <v>1402</v>
      </c>
      <c r="C694" s="224"/>
      <c r="D694" s="224"/>
      <c r="E694" s="224"/>
      <c r="F694" s="290" t="s">
        <v>570</v>
      </c>
      <c r="G694" s="291">
        <v>153</v>
      </c>
      <c r="H694" s="291"/>
      <c r="I694" s="291"/>
      <c r="J694" s="292"/>
      <c r="K694" s="292"/>
      <c r="L694" s="292"/>
      <c r="M694" s="292"/>
      <c r="N694" s="225"/>
    </row>
    <row r="695" spans="1:14" outlineLevel="1">
      <c r="A695" s="266"/>
      <c r="B695" s="295" t="s">
        <v>1542</v>
      </c>
      <c r="C695" s="219"/>
      <c r="D695" s="219"/>
      <c r="E695" s="219"/>
      <c r="F695" s="290"/>
      <c r="G695" s="291">
        <v>0</v>
      </c>
      <c r="H695" s="291"/>
      <c r="I695" s="291"/>
      <c r="J695" s="292"/>
      <c r="K695" s="292"/>
      <c r="L695" s="292"/>
      <c r="M695" s="292"/>
      <c r="N695" s="225"/>
    </row>
    <row r="696" spans="1:14" outlineLevel="1">
      <c r="A696" s="266">
        <f>SUBTOTAL(3,$F$7:F696)</f>
        <v>551</v>
      </c>
      <c r="B696" s="225" t="s">
        <v>1543</v>
      </c>
      <c r="C696" s="224"/>
      <c r="D696" s="224"/>
      <c r="E696" s="224"/>
      <c r="F696" s="290" t="s">
        <v>570</v>
      </c>
      <c r="G696" s="291">
        <v>153</v>
      </c>
      <c r="H696" s="291"/>
      <c r="I696" s="291"/>
      <c r="J696" s="292"/>
      <c r="K696" s="292"/>
      <c r="L696" s="292"/>
      <c r="M696" s="292"/>
      <c r="N696" s="225"/>
    </row>
    <row r="697" spans="1:14" outlineLevel="1">
      <c r="A697" s="266">
        <f>SUBTOTAL(3,$F$7:F697)</f>
        <v>552</v>
      </c>
      <c r="B697" s="225" t="s">
        <v>1544</v>
      </c>
      <c r="C697" s="224"/>
      <c r="D697" s="224"/>
      <c r="E697" s="224"/>
      <c r="F697" s="290" t="s">
        <v>570</v>
      </c>
      <c r="G697" s="291">
        <v>153</v>
      </c>
      <c r="H697" s="291"/>
      <c r="I697" s="291"/>
      <c r="J697" s="292"/>
      <c r="K697" s="292"/>
      <c r="L697" s="292"/>
      <c r="M697" s="292"/>
      <c r="N697" s="225"/>
    </row>
    <row r="698" spans="1:14" outlineLevel="1">
      <c r="A698" s="266"/>
      <c r="B698" s="295" t="s">
        <v>1545</v>
      </c>
      <c r="C698" s="219"/>
      <c r="D698" s="219"/>
      <c r="E698" s="219"/>
      <c r="F698" s="290"/>
      <c r="G698" s="291">
        <v>0</v>
      </c>
      <c r="H698" s="291"/>
      <c r="I698" s="291"/>
      <c r="J698" s="292"/>
      <c r="K698" s="292"/>
      <c r="L698" s="292"/>
      <c r="M698" s="292"/>
      <c r="N698" s="225"/>
    </row>
    <row r="699" spans="1:14" outlineLevel="1">
      <c r="A699" s="266">
        <f>SUBTOTAL(3,$F$7:F699)</f>
        <v>553</v>
      </c>
      <c r="B699" s="225" t="s">
        <v>1543</v>
      </c>
      <c r="C699" s="224"/>
      <c r="D699" s="224"/>
      <c r="E699" s="224"/>
      <c r="F699" s="290" t="s">
        <v>570</v>
      </c>
      <c r="G699" s="291">
        <v>70</v>
      </c>
      <c r="H699" s="291"/>
      <c r="I699" s="291"/>
      <c r="J699" s="292"/>
      <c r="K699" s="292"/>
      <c r="L699" s="292"/>
      <c r="M699" s="292"/>
      <c r="N699" s="225"/>
    </row>
    <row r="700" spans="1:14" outlineLevel="1">
      <c r="A700" s="266">
        <f>SUBTOTAL(3,$F$7:F700)</f>
        <v>554</v>
      </c>
      <c r="B700" s="225" t="s">
        <v>1544</v>
      </c>
      <c r="C700" s="224"/>
      <c r="D700" s="224"/>
      <c r="E700" s="224"/>
      <c r="F700" s="290" t="s">
        <v>570</v>
      </c>
      <c r="G700" s="291">
        <v>71</v>
      </c>
      <c r="H700" s="291"/>
      <c r="I700" s="291"/>
      <c r="J700" s="292"/>
      <c r="K700" s="292"/>
      <c r="L700" s="292"/>
      <c r="M700" s="292"/>
      <c r="N700" s="225"/>
    </row>
    <row r="701" spans="1:14" outlineLevel="1">
      <c r="A701" s="266"/>
      <c r="B701" s="295" t="s">
        <v>1546</v>
      </c>
      <c r="C701" s="219"/>
      <c r="D701" s="219"/>
      <c r="E701" s="219"/>
      <c r="F701" s="290"/>
      <c r="G701" s="291">
        <v>0</v>
      </c>
      <c r="H701" s="291"/>
      <c r="I701" s="291"/>
      <c r="J701" s="292"/>
      <c r="K701" s="292"/>
      <c r="L701" s="292"/>
      <c r="M701" s="292"/>
      <c r="N701" s="225"/>
    </row>
    <row r="702" spans="1:14" outlineLevel="1">
      <c r="A702" s="266">
        <f>SUBTOTAL(3,$F$7:F702)</f>
        <v>555</v>
      </c>
      <c r="B702" s="225" t="s">
        <v>1543</v>
      </c>
      <c r="C702" s="224"/>
      <c r="D702" s="224"/>
      <c r="E702" s="224"/>
      <c r="F702" s="290" t="s">
        <v>570</v>
      </c>
      <c r="G702" s="291">
        <v>127</v>
      </c>
      <c r="H702" s="291"/>
      <c r="I702" s="291"/>
      <c r="J702" s="292"/>
      <c r="K702" s="292"/>
      <c r="L702" s="292"/>
      <c r="M702" s="292"/>
      <c r="N702" s="225"/>
    </row>
    <row r="703" spans="1:14" outlineLevel="1">
      <c r="A703" s="266">
        <f>SUBTOTAL(3,$F$7:F703)</f>
        <v>556</v>
      </c>
      <c r="B703" s="225" t="s">
        <v>1544</v>
      </c>
      <c r="C703" s="224"/>
      <c r="D703" s="224"/>
      <c r="E703" s="224"/>
      <c r="F703" s="290" t="s">
        <v>570</v>
      </c>
      <c r="G703" s="291">
        <v>128</v>
      </c>
      <c r="H703" s="291"/>
      <c r="I703" s="291"/>
      <c r="J703" s="292"/>
      <c r="K703" s="292"/>
      <c r="L703" s="292"/>
      <c r="M703" s="292"/>
      <c r="N703" s="225"/>
    </row>
    <row r="704" spans="1:14" outlineLevel="1">
      <c r="A704" s="266"/>
      <c r="B704" s="295" t="s">
        <v>1547</v>
      </c>
      <c r="C704" s="219"/>
      <c r="D704" s="219"/>
      <c r="E704" s="219"/>
      <c r="F704" s="290"/>
      <c r="G704" s="291">
        <v>0</v>
      </c>
      <c r="H704" s="291"/>
      <c r="I704" s="291"/>
      <c r="J704" s="292"/>
      <c r="K704" s="292"/>
      <c r="L704" s="292"/>
      <c r="M704" s="292"/>
      <c r="N704" s="225"/>
    </row>
    <row r="705" spans="1:98" outlineLevel="1">
      <c r="A705" s="266">
        <f>SUBTOTAL(3,$F$7:F705)</f>
        <v>557</v>
      </c>
      <c r="B705" s="225" t="s">
        <v>1421</v>
      </c>
      <c r="C705" s="224"/>
      <c r="D705" s="224"/>
      <c r="E705" s="224"/>
      <c r="F705" s="290" t="s">
        <v>570</v>
      </c>
      <c r="G705" s="291">
        <v>106</v>
      </c>
      <c r="H705" s="291"/>
      <c r="I705" s="291"/>
      <c r="J705" s="292"/>
      <c r="K705" s="292"/>
      <c r="L705" s="292"/>
      <c r="M705" s="292"/>
      <c r="N705" s="225"/>
    </row>
    <row r="706" spans="1:98" outlineLevel="1">
      <c r="A706" s="266">
        <f>SUBTOTAL(3,$F$7:F706)</f>
        <v>558</v>
      </c>
      <c r="B706" s="225" t="s">
        <v>1387</v>
      </c>
      <c r="C706" s="224"/>
      <c r="D706" s="224"/>
      <c r="E706" s="224"/>
      <c r="F706" s="290" t="s">
        <v>570</v>
      </c>
      <c r="G706" s="291">
        <v>106</v>
      </c>
      <c r="H706" s="291"/>
      <c r="I706" s="291"/>
      <c r="J706" s="292"/>
      <c r="K706" s="292"/>
      <c r="L706" s="292"/>
      <c r="M706" s="292"/>
      <c r="N706" s="225"/>
    </row>
    <row r="707" spans="1:98" s="270" customFormat="1" outlineLevel="1">
      <c r="A707" s="289"/>
      <c r="B707" s="295" t="s">
        <v>1548</v>
      </c>
      <c r="C707" s="219"/>
      <c r="D707" s="219"/>
      <c r="E707" s="219"/>
      <c r="F707" s="296"/>
      <c r="G707" s="291">
        <v>0</v>
      </c>
      <c r="H707" s="297"/>
      <c r="I707" s="297"/>
      <c r="J707" s="298"/>
      <c r="K707" s="298"/>
      <c r="L707" s="298"/>
      <c r="M707" s="298"/>
      <c r="N707" s="295"/>
      <c r="O707" s="279"/>
      <c r="P707" s="279"/>
      <c r="Q707" s="279"/>
      <c r="R707" s="279"/>
      <c r="S707" s="279"/>
      <c r="T707" s="279"/>
      <c r="U707" s="279"/>
      <c r="V707" s="279"/>
      <c r="W707" s="279"/>
      <c r="X707" s="279"/>
      <c r="Y707" s="279"/>
      <c r="Z707" s="279"/>
      <c r="AA707" s="279"/>
      <c r="AB707" s="279"/>
      <c r="AC707" s="279"/>
      <c r="AD707" s="279"/>
      <c r="AE707" s="279"/>
      <c r="AF707" s="279"/>
      <c r="AG707" s="279"/>
      <c r="AH707" s="279"/>
      <c r="AI707" s="279"/>
      <c r="AJ707" s="279"/>
      <c r="AK707" s="279"/>
      <c r="AL707" s="279"/>
      <c r="AM707" s="279"/>
      <c r="AN707" s="279"/>
      <c r="AO707" s="279"/>
      <c r="AP707" s="279"/>
      <c r="AQ707" s="279"/>
      <c r="AR707" s="279"/>
      <c r="AS707" s="279"/>
      <c r="AT707" s="279"/>
      <c r="AU707" s="279"/>
      <c r="AV707" s="279"/>
      <c r="AW707" s="279"/>
      <c r="AX707" s="279"/>
      <c r="AY707" s="279"/>
      <c r="AZ707" s="279"/>
      <c r="BA707" s="279"/>
      <c r="BB707" s="279"/>
      <c r="BC707" s="279"/>
      <c r="BD707" s="279"/>
      <c r="BE707" s="279"/>
      <c r="BF707" s="279"/>
      <c r="BG707" s="279"/>
      <c r="BH707" s="279"/>
      <c r="BI707" s="279"/>
      <c r="BJ707" s="279"/>
      <c r="BK707" s="279"/>
      <c r="BL707" s="279"/>
      <c r="BM707" s="279"/>
      <c r="BN707" s="279"/>
      <c r="BO707" s="279"/>
      <c r="BP707" s="279"/>
      <c r="BQ707" s="279"/>
      <c r="BR707" s="279"/>
      <c r="BS707" s="279"/>
      <c r="BT707" s="279"/>
      <c r="BU707" s="279"/>
      <c r="BV707" s="279"/>
      <c r="BW707" s="279"/>
      <c r="BX707" s="279"/>
      <c r="BY707" s="279"/>
      <c r="BZ707" s="279"/>
      <c r="CA707" s="279"/>
      <c r="CB707" s="279"/>
      <c r="CC707" s="279"/>
      <c r="CD707" s="279"/>
      <c r="CE707" s="279"/>
      <c r="CF707" s="279"/>
      <c r="CG707" s="279"/>
      <c r="CH707" s="279"/>
      <c r="CI707" s="279"/>
      <c r="CJ707" s="279"/>
      <c r="CK707" s="279"/>
      <c r="CL707" s="279"/>
      <c r="CM707" s="279"/>
      <c r="CN707" s="279"/>
      <c r="CO707" s="279"/>
      <c r="CP707" s="279"/>
      <c r="CQ707" s="279"/>
      <c r="CR707" s="279"/>
      <c r="CS707" s="279"/>
      <c r="CT707" s="279"/>
    </row>
    <row r="708" spans="1:98" outlineLevel="1">
      <c r="A708" s="266">
        <f>SUBTOTAL(3,$F$7:F708)</f>
        <v>559</v>
      </c>
      <c r="B708" s="225" t="s">
        <v>1549</v>
      </c>
      <c r="C708" s="224"/>
      <c r="D708" s="224"/>
      <c r="E708" s="224"/>
      <c r="F708" s="290" t="s">
        <v>570</v>
      </c>
      <c r="G708" s="291">
        <v>14971</v>
      </c>
      <c r="H708" s="291"/>
      <c r="I708" s="291"/>
      <c r="J708" s="292"/>
      <c r="K708" s="292"/>
      <c r="L708" s="292"/>
      <c r="M708" s="292"/>
      <c r="N708" s="225"/>
    </row>
    <row r="709" spans="1:98" outlineLevel="1">
      <c r="A709" s="266">
        <f>SUBTOTAL(3,$F$7:F709)</f>
        <v>560</v>
      </c>
      <c r="B709" s="225" t="s">
        <v>1550</v>
      </c>
      <c r="C709" s="224"/>
      <c r="D709" s="224"/>
      <c r="E709" s="224"/>
      <c r="F709" s="290" t="s">
        <v>570</v>
      </c>
      <c r="G709" s="291">
        <v>14971</v>
      </c>
      <c r="H709" s="291"/>
      <c r="I709" s="291"/>
      <c r="J709" s="292"/>
      <c r="K709" s="292"/>
      <c r="L709" s="292"/>
      <c r="M709" s="292"/>
      <c r="N709" s="225"/>
    </row>
    <row r="710" spans="1:98" ht="41.4" outlineLevel="1">
      <c r="A710" s="266">
        <f>SUBTOTAL(3,$F$7:F710)</f>
        <v>561</v>
      </c>
      <c r="B710" s="225" t="s">
        <v>1551</v>
      </c>
      <c r="C710" s="224" t="s">
        <v>1552</v>
      </c>
      <c r="D710" s="224"/>
      <c r="E710" s="224"/>
      <c r="F710" s="290" t="s">
        <v>570</v>
      </c>
      <c r="G710" s="291">
        <v>10102</v>
      </c>
      <c r="H710" s="291"/>
      <c r="I710" s="291"/>
      <c r="J710" s="292"/>
      <c r="K710" s="292"/>
      <c r="L710" s="292"/>
      <c r="M710" s="292"/>
      <c r="N710" s="225"/>
    </row>
    <row r="711" spans="1:98" outlineLevel="1">
      <c r="A711" s="266">
        <f>SUBTOTAL(3,$F$7:F711)</f>
        <v>562</v>
      </c>
      <c r="B711" s="225" t="s">
        <v>1553</v>
      </c>
      <c r="C711" s="224"/>
      <c r="D711" s="224"/>
      <c r="E711" s="224"/>
      <c r="F711" s="290" t="s">
        <v>570</v>
      </c>
      <c r="G711" s="291">
        <v>2322</v>
      </c>
      <c r="H711" s="291"/>
      <c r="I711" s="291"/>
      <c r="J711" s="292"/>
      <c r="K711" s="292"/>
      <c r="L711" s="292"/>
      <c r="M711" s="292"/>
      <c r="N711" s="225"/>
    </row>
    <row r="712" spans="1:98" s="270" customFormat="1" ht="41.4" outlineLevel="1">
      <c r="A712" s="289"/>
      <c r="B712" s="295" t="s">
        <v>1554</v>
      </c>
      <c r="C712" s="219"/>
      <c r="D712" s="219"/>
      <c r="E712" s="219"/>
      <c r="F712" s="296"/>
      <c r="G712" s="291">
        <v>0</v>
      </c>
      <c r="H712" s="297"/>
      <c r="I712" s="297"/>
      <c r="J712" s="298"/>
      <c r="K712" s="298"/>
      <c r="L712" s="298"/>
      <c r="M712" s="298"/>
      <c r="N712" s="295"/>
      <c r="O712" s="279"/>
      <c r="P712" s="279"/>
      <c r="Q712" s="279"/>
      <c r="R712" s="279"/>
      <c r="S712" s="279"/>
      <c r="T712" s="279"/>
      <c r="U712" s="279"/>
      <c r="V712" s="279"/>
      <c r="W712" s="279"/>
      <c r="X712" s="279"/>
      <c r="Y712" s="279"/>
      <c r="Z712" s="279"/>
      <c r="AA712" s="279"/>
      <c r="AB712" s="279"/>
      <c r="AC712" s="279"/>
      <c r="AD712" s="279"/>
      <c r="AE712" s="279"/>
      <c r="AF712" s="279"/>
      <c r="AG712" s="279"/>
      <c r="AH712" s="279"/>
      <c r="AI712" s="279"/>
      <c r="AJ712" s="279"/>
      <c r="AK712" s="279"/>
      <c r="AL712" s="279"/>
      <c r="AM712" s="279"/>
      <c r="AN712" s="279"/>
      <c r="AO712" s="279"/>
      <c r="AP712" s="279"/>
      <c r="AQ712" s="279"/>
      <c r="AR712" s="279"/>
      <c r="AS712" s="279"/>
      <c r="AT712" s="279"/>
      <c r="AU712" s="279"/>
      <c r="AV712" s="279"/>
      <c r="AW712" s="279"/>
      <c r="AX712" s="279"/>
      <c r="AY712" s="279"/>
      <c r="AZ712" s="279"/>
      <c r="BA712" s="279"/>
      <c r="BB712" s="279"/>
      <c r="BC712" s="279"/>
      <c r="BD712" s="279"/>
      <c r="BE712" s="279"/>
      <c r="BF712" s="279"/>
      <c r="BG712" s="279"/>
      <c r="BH712" s="279"/>
      <c r="BI712" s="279"/>
      <c r="BJ712" s="279"/>
      <c r="BK712" s="279"/>
      <c r="BL712" s="279"/>
      <c r="BM712" s="279"/>
      <c r="BN712" s="279"/>
      <c r="BO712" s="279"/>
      <c r="BP712" s="279"/>
      <c r="BQ712" s="279"/>
      <c r="BR712" s="279"/>
      <c r="BS712" s="279"/>
      <c r="BT712" s="279"/>
      <c r="BU712" s="279"/>
      <c r="BV712" s="279"/>
      <c r="BW712" s="279"/>
      <c r="BX712" s="279"/>
      <c r="BY712" s="279"/>
      <c r="BZ712" s="279"/>
      <c r="CA712" s="279"/>
      <c r="CB712" s="279"/>
      <c r="CC712" s="279"/>
      <c r="CD712" s="279"/>
      <c r="CE712" s="279"/>
      <c r="CF712" s="279"/>
      <c r="CG712" s="279"/>
      <c r="CH712" s="279"/>
      <c r="CI712" s="279"/>
      <c r="CJ712" s="279"/>
      <c r="CK712" s="279"/>
      <c r="CL712" s="279"/>
      <c r="CM712" s="279"/>
      <c r="CN712" s="279"/>
      <c r="CO712" s="279"/>
      <c r="CP712" s="279"/>
      <c r="CQ712" s="279"/>
      <c r="CR712" s="279"/>
      <c r="CS712" s="279"/>
      <c r="CT712" s="279"/>
    </row>
    <row r="713" spans="1:98" outlineLevel="1">
      <c r="A713" s="266">
        <f>SUBTOTAL(3,$F$7:F713)</f>
        <v>563</v>
      </c>
      <c r="B713" s="225" t="s">
        <v>1555</v>
      </c>
      <c r="C713" s="224"/>
      <c r="D713" s="224"/>
      <c r="E713" s="224"/>
      <c r="F713" s="290" t="s">
        <v>570</v>
      </c>
      <c r="G713" s="291">
        <v>24380</v>
      </c>
      <c r="H713" s="291"/>
      <c r="I713" s="291"/>
      <c r="J713" s="292"/>
      <c r="K713" s="292"/>
      <c r="L713" s="292"/>
      <c r="M713" s="292"/>
      <c r="N713" s="225"/>
    </row>
    <row r="714" spans="1:98" outlineLevel="1">
      <c r="A714" s="266">
        <f>SUBTOTAL(3,$F$7:F714)</f>
        <v>564</v>
      </c>
      <c r="B714" s="225" t="s">
        <v>1556</v>
      </c>
      <c r="C714" s="224"/>
      <c r="D714" s="224"/>
      <c r="E714" s="224"/>
      <c r="F714" s="290" t="s">
        <v>570</v>
      </c>
      <c r="G714" s="291">
        <v>24380</v>
      </c>
      <c r="H714" s="291"/>
      <c r="I714" s="291"/>
      <c r="J714" s="292"/>
      <c r="K714" s="292"/>
      <c r="L714" s="292"/>
      <c r="M714" s="292"/>
      <c r="N714" s="225"/>
    </row>
    <row r="715" spans="1:98" ht="41.4" outlineLevel="1">
      <c r="A715" s="266">
        <f>SUBTOTAL(3,$F$7:F715)</f>
        <v>565</v>
      </c>
      <c r="B715" s="225" t="s">
        <v>1551</v>
      </c>
      <c r="C715" s="224" t="s">
        <v>1557</v>
      </c>
      <c r="D715" s="224"/>
      <c r="E715" s="224"/>
      <c r="F715" s="290" t="s">
        <v>570</v>
      </c>
      <c r="G715" s="291">
        <v>21942</v>
      </c>
      <c r="H715" s="291"/>
      <c r="I715" s="291"/>
      <c r="J715" s="292"/>
      <c r="K715" s="292"/>
      <c r="L715" s="292"/>
      <c r="M715" s="292"/>
      <c r="N715" s="225"/>
    </row>
    <row r="716" spans="1:98" outlineLevel="1">
      <c r="A716" s="266">
        <f>SUBTOTAL(3,$F$7:F716)</f>
        <v>566</v>
      </c>
      <c r="B716" s="225" t="s">
        <v>1553</v>
      </c>
      <c r="C716" s="224"/>
      <c r="D716" s="224"/>
      <c r="E716" s="224"/>
      <c r="F716" s="290" t="s">
        <v>570</v>
      </c>
      <c r="G716" s="291">
        <v>2438</v>
      </c>
      <c r="H716" s="291"/>
      <c r="I716" s="291"/>
      <c r="J716" s="292"/>
      <c r="K716" s="292"/>
      <c r="L716" s="292"/>
      <c r="M716" s="292"/>
      <c r="N716" s="225"/>
    </row>
    <row r="717" spans="1:98" s="270" customFormat="1" ht="27.6" outlineLevel="1">
      <c r="A717" s="289"/>
      <c r="B717" s="295" t="s">
        <v>1558</v>
      </c>
      <c r="C717" s="219"/>
      <c r="D717" s="219"/>
      <c r="E717" s="219"/>
      <c r="F717" s="296"/>
      <c r="G717" s="291">
        <v>0</v>
      </c>
      <c r="H717" s="297"/>
      <c r="I717" s="297"/>
      <c r="J717" s="298"/>
      <c r="K717" s="298"/>
      <c r="L717" s="298"/>
      <c r="M717" s="298"/>
      <c r="N717" s="295"/>
      <c r="O717" s="279"/>
      <c r="P717" s="279"/>
      <c r="Q717" s="279"/>
      <c r="R717" s="279"/>
      <c r="S717" s="279"/>
      <c r="T717" s="279"/>
      <c r="U717" s="279"/>
      <c r="V717" s="279"/>
      <c r="W717" s="279"/>
      <c r="X717" s="279"/>
      <c r="Y717" s="279"/>
      <c r="Z717" s="279"/>
      <c r="AA717" s="279"/>
      <c r="AB717" s="279"/>
      <c r="AC717" s="279"/>
      <c r="AD717" s="279"/>
      <c r="AE717" s="279"/>
      <c r="AF717" s="279"/>
      <c r="AG717" s="279"/>
      <c r="AH717" s="279"/>
      <c r="AI717" s="279"/>
      <c r="AJ717" s="279"/>
      <c r="AK717" s="279"/>
      <c r="AL717" s="279"/>
      <c r="AM717" s="279"/>
      <c r="AN717" s="279"/>
      <c r="AO717" s="279"/>
      <c r="AP717" s="279"/>
      <c r="AQ717" s="279"/>
      <c r="AR717" s="279"/>
      <c r="AS717" s="279"/>
      <c r="AT717" s="279"/>
      <c r="AU717" s="279"/>
      <c r="AV717" s="279"/>
      <c r="AW717" s="279"/>
      <c r="AX717" s="279"/>
      <c r="AY717" s="279"/>
      <c r="AZ717" s="279"/>
      <c r="BA717" s="279"/>
      <c r="BB717" s="279"/>
      <c r="BC717" s="279"/>
      <c r="BD717" s="279"/>
      <c r="BE717" s="279"/>
      <c r="BF717" s="279"/>
      <c r="BG717" s="279"/>
      <c r="BH717" s="279"/>
      <c r="BI717" s="279"/>
      <c r="BJ717" s="279"/>
      <c r="BK717" s="279"/>
      <c r="BL717" s="279"/>
      <c r="BM717" s="279"/>
      <c r="BN717" s="279"/>
      <c r="BO717" s="279"/>
      <c r="BP717" s="279"/>
      <c r="BQ717" s="279"/>
      <c r="BR717" s="279"/>
      <c r="BS717" s="279"/>
      <c r="BT717" s="279"/>
      <c r="BU717" s="279"/>
      <c r="BV717" s="279"/>
      <c r="BW717" s="279"/>
      <c r="BX717" s="279"/>
      <c r="BY717" s="279"/>
      <c r="BZ717" s="279"/>
      <c r="CA717" s="279"/>
      <c r="CB717" s="279"/>
      <c r="CC717" s="279"/>
      <c r="CD717" s="279"/>
      <c r="CE717" s="279"/>
      <c r="CF717" s="279"/>
      <c r="CG717" s="279"/>
      <c r="CH717" s="279"/>
      <c r="CI717" s="279"/>
      <c r="CJ717" s="279"/>
      <c r="CK717" s="279"/>
      <c r="CL717" s="279"/>
      <c r="CM717" s="279"/>
      <c r="CN717" s="279"/>
      <c r="CO717" s="279"/>
      <c r="CP717" s="279"/>
      <c r="CQ717" s="279"/>
      <c r="CR717" s="279"/>
      <c r="CS717" s="279"/>
      <c r="CT717" s="279"/>
    </row>
    <row r="718" spans="1:98" outlineLevel="1">
      <c r="A718" s="266">
        <f>SUBTOTAL(3,$F$7:F718)</f>
        <v>567</v>
      </c>
      <c r="B718" s="225" t="s">
        <v>1559</v>
      </c>
      <c r="C718" s="224"/>
      <c r="D718" s="224"/>
      <c r="E718" s="224"/>
      <c r="F718" s="290" t="s">
        <v>570</v>
      </c>
      <c r="G718" s="291">
        <v>75</v>
      </c>
      <c r="H718" s="291"/>
      <c r="I718" s="291"/>
      <c r="J718" s="292"/>
      <c r="K718" s="292"/>
      <c r="L718" s="292"/>
      <c r="M718" s="292"/>
      <c r="N718" s="225"/>
    </row>
    <row r="719" spans="1:98" outlineLevel="1">
      <c r="A719" s="266">
        <f>SUBTOTAL(3,$F$7:F719)</f>
        <v>568</v>
      </c>
      <c r="B719" s="225" t="s">
        <v>1560</v>
      </c>
      <c r="C719" s="224"/>
      <c r="D719" s="224"/>
      <c r="E719" s="224"/>
      <c r="F719" s="290" t="s">
        <v>570</v>
      </c>
      <c r="G719" s="291">
        <v>75</v>
      </c>
      <c r="H719" s="291"/>
      <c r="I719" s="291"/>
      <c r="J719" s="292"/>
      <c r="K719" s="292"/>
      <c r="L719" s="292"/>
      <c r="M719" s="292"/>
      <c r="N719" s="225"/>
    </row>
    <row r="720" spans="1:98" outlineLevel="1">
      <c r="A720" s="266">
        <f>SUBTOTAL(3,$F$7:F720)</f>
        <v>569</v>
      </c>
      <c r="B720" s="225" t="s">
        <v>1561</v>
      </c>
      <c r="C720" s="224"/>
      <c r="D720" s="224"/>
      <c r="E720" s="224"/>
      <c r="F720" s="290" t="s">
        <v>570</v>
      </c>
      <c r="G720" s="291">
        <v>71</v>
      </c>
      <c r="H720" s="291"/>
      <c r="I720" s="291"/>
      <c r="J720" s="292"/>
      <c r="K720" s="292"/>
      <c r="L720" s="292"/>
      <c r="M720" s="292"/>
      <c r="N720" s="225"/>
    </row>
    <row r="721" spans="1:98" outlineLevel="1">
      <c r="A721" s="266">
        <f>SUBTOTAL(3,$F$7:F721)</f>
        <v>570</v>
      </c>
      <c r="B721" s="225" t="s">
        <v>1562</v>
      </c>
      <c r="C721" s="224"/>
      <c r="D721" s="224"/>
      <c r="E721" s="224"/>
      <c r="F721" s="290" t="s">
        <v>570</v>
      </c>
      <c r="G721" s="291">
        <v>4</v>
      </c>
      <c r="H721" s="291"/>
      <c r="I721" s="291"/>
      <c r="J721" s="292"/>
      <c r="K721" s="292"/>
      <c r="L721" s="292"/>
      <c r="M721" s="292"/>
      <c r="N721" s="225"/>
    </row>
    <row r="722" spans="1:98" outlineLevel="1">
      <c r="A722" s="266">
        <f>SUBTOTAL(3,$F$7:F722)</f>
        <v>571</v>
      </c>
      <c r="B722" s="225" t="s">
        <v>1563</v>
      </c>
      <c r="C722" s="224"/>
      <c r="D722" s="224"/>
      <c r="E722" s="224"/>
      <c r="F722" s="290" t="s">
        <v>570</v>
      </c>
      <c r="G722" s="291">
        <v>625</v>
      </c>
      <c r="H722" s="291"/>
      <c r="I722" s="291"/>
      <c r="J722" s="292"/>
      <c r="K722" s="292"/>
      <c r="L722" s="292"/>
      <c r="M722" s="292"/>
      <c r="N722" s="225"/>
    </row>
    <row r="723" spans="1:98" outlineLevel="1">
      <c r="A723" s="266">
        <f>SUBTOTAL(3,$F$7:F723)</f>
        <v>572</v>
      </c>
      <c r="B723" s="225" t="s">
        <v>1560</v>
      </c>
      <c r="C723" s="224"/>
      <c r="D723" s="224"/>
      <c r="E723" s="224"/>
      <c r="F723" s="290" t="s">
        <v>570</v>
      </c>
      <c r="G723" s="291">
        <v>625</v>
      </c>
      <c r="H723" s="291"/>
      <c r="I723" s="291"/>
      <c r="J723" s="292"/>
      <c r="K723" s="292"/>
      <c r="L723" s="292"/>
      <c r="M723" s="292"/>
      <c r="N723" s="225"/>
    </row>
    <row r="724" spans="1:98" outlineLevel="1">
      <c r="A724" s="266">
        <f>SUBTOTAL(3,$F$7:F724)</f>
        <v>573</v>
      </c>
      <c r="B724" s="225" t="s">
        <v>1564</v>
      </c>
      <c r="C724" s="224"/>
      <c r="D724" s="224"/>
      <c r="E724" s="224"/>
      <c r="F724" s="290" t="s">
        <v>570</v>
      </c>
      <c r="G724" s="291">
        <v>140</v>
      </c>
      <c r="H724" s="291"/>
      <c r="I724" s="291"/>
      <c r="J724" s="292"/>
      <c r="K724" s="292"/>
      <c r="L724" s="292"/>
      <c r="M724" s="292"/>
      <c r="N724" s="225"/>
    </row>
    <row r="725" spans="1:98" outlineLevel="1">
      <c r="A725" s="266">
        <f>SUBTOTAL(3,$F$7:F725)</f>
        <v>574</v>
      </c>
      <c r="B725" s="225" t="s">
        <v>1565</v>
      </c>
      <c r="C725" s="224"/>
      <c r="D725" s="224"/>
      <c r="E725" s="224"/>
      <c r="F725" s="290" t="s">
        <v>570</v>
      </c>
      <c r="G725" s="291">
        <v>140</v>
      </c>
      <c r="H725" s="291"/>
      <c r="I725" s="291"/>
      <c r="J725" s="292"/>
      <c r="K725" s="292"/>
      <c r="L725" s="292"/>
      <c r="M725" s="292"/>
      <c r="N725" s="225"/>
    </row>
    <row r="726" spans="1:98" outlineLevel="1">
      <c r="A726" s="266">
        <f>SUBTOTAL(3,$F$7:F726)</f>
        <v>575</v>
      </c>
      <c r="B726" s="225" t="s">
        <v>1566</v>
      </c>
      <c r="C726" s="224"/>
      <c r="D726" s="224"/>
      <c r="E726" s="224"/>
      <c r="F726" s="290" t="s">
        <v>570</v>
      </c>
      <c r="G726" s="291">
        <v>160</v>
      </c>
      <c r="H726" s="291"/>
      <c r="I726" s="291"/>
      <c r="J726" s="292"/>
      <c r="K726" s="292"/>
      <c r="L726" s="292"/>
      <c r="M726" s="292"/>
      <c r="N726" s="225"/>
    </row>
    <row r="727" spans="1:98" outlineLevel="1">
      <c r="A727" s="266">
        <f>SUBTOTAL(3,$F$7:F727)</f>
        <v>576</v>
      </c>
      <c r="B727" s="225" t="s">
        <v>1567</v>
      </c>
      <c r="C727" s="224"/>
      <c r="D727" s="224"/>
      <c r="E727" s="224"/>
      <c r="F727" s="290" t="s">
        <v>570</v>
      </c>
      <c r="G727" s="291">
        <v>160</v>
      </c>
      <c r="H727" s="291"/>
      <c r="I727" s="291"/>
      <c r="J727" s="292"/>
      <c r="K727" s="292"/>
      <c r="L727" s="292"/>
      <c r="M727" s="292"/>
      <c r="N727" s="225"/>
    </row>
    <row r="728" spans="1:98" outlineLevel="1">
      <c r="A728" s="266">
        <f>SUBTOTAL(3,$F$7:F728)</f>
        <v>577</v>
      </c>
      <c r="B728" s="225" t="s">
        <v>1568</v>
      </c>
      <c r="C728" s="224"/>
      <c r="D728" s="224"/>
      <c r="E728" s="224"/>
      <c r="F728" s="290" t="s">
        <v>570</v>
      </c>
      <c r="G728" s="291">
        <v>40</v>
      </c>
      <c r="H728" s="291"/>
      <c r="I728" s="291"/>
      <c r="J728" s="292"/>
      <c r="K728" s="292"/>
      <c r="L728" s="292"/>
      <c r="M728" s="292"/>
      <c r="N728" s="225"/>
    </row>
    <row r="729" spans="1:98" outlineLevel="1">
      <c r="A729" s="266">
        <f>SUBTOTAL(3,$F$7:F729)</f>
        <v>578</v>
      </c>
      <c r="B729" s="225" t="s">
        <v>1569</v>
      </c>
      <c r="C729" s="224"/>
      <c r="D729" s="224"/>
      <c r="E729" s="224"/>
      <c r="F729" s="290" t="s">
        <v>570</v>
      </c>
      <c r="G729" s="291">
        <v>40</v>
      </c>
      <c r="H729" s="291"/>
      <c r="I729" s="291"/>
      <c r="J729" s="292"/>
      <c r="K729" s="292"/>
      <c r="L729" s="292"/>
      <c r="M729" s="292"/>
      <c r="N729" s="225"/>
    </row>
    <row r="730" spans="1:98" outlineLevel="1">
      <c r="A730" s="266">
        <f>SUBTOTAL(3,$F$7:F730)</f>
        <v>579</v>
      </c>
      <c r="B730" s="225" t="s">
        <v>1570</v>
      </c>
      <c r="C730" s="224"/>
      <c r="D730" s="224"/>
      <c r="E730" s="224"/>
      <c r="F730" s="290" t="s">
        <v>570</v>
      </c>
      <c r="G730" s="291">
        <v>20</v>
      </c>
      <c r="H730" s="291"/>
      <c r="I730" s="291"/>
      <c r="J730" s="292"/>
      <c r="K730" s="292"/>
      <c r="L730" s="292"/>
      <c r="M730" s="292"/>
      <c r="N730" s="225"/>
    </row>
    <row r="731" spans="1:98" outlineLevel="1">
      <c r="A731" s="266">
        <f>SUBTOTAL(3,$F$7:F731)</f>
        <v>580</v>
      </c>
      <c r="B731" s="225" t="s">
        <v>1571</v>
      </c>
      <c r="C731" s="224"/>
      <c r="D731" s="224"/>
      <c r="E731" s="224"/>
      <c r="F731" s="290" t="s">
        <v>570</v>
      </c>
      <c r="G731" s="291">
        <v>20</v>
      </c>
      <c r="H731" s="291"/>
      <c r="I731" s="291"/>
      <c r="J731" s="292"/>
      <c r="K731" s="292"/>
      <c r="L731" s="292"/>
      <c r="M731" s="292"/>
      <c r="N731" s="225"/>
    </row>
    <row r="732" spans="1:98" s="270" customFormat="1" outlineLevel="1">
      <c r="A732" s="289"/>
      <c r="B732" s="295" t="s">
        <v>1572</v>
      </c>
      <c r="C732" s="219"/>
      <c r="D732" s="219"/>
      <c r="E732" s="219"/>
      <c r="F732" s="296"/>
      <c r="G732" s="291">
        <v>0</v>
      </c>
      <c r="H732" s="297"/>
      <c r="I732" s="297"/>
      <c r="J732" s="298"/>
      <c r="K732" s="298"/>
      <c r="L732" s="298"/>
      <c r="M732" s="298"/>
      <c r="N732" s="295"/>
      <c r="O732" s="279"/>
      <c r="P732" s="279"/>
      <c r="Q732" s="279"/>
      <c r="R732" s="279"/>
      <c r="S732" s="279"/>
      <c r="T732" s="279"/>
      <c r="U732" s="279"/>
      <c r="V732" s="279"/>
      <c r="W732" s="279"/>
      <c r="X732" s="279"/>
      <c r="Y732" s="279"/>
      <c r="Z732" s="279"/>
      <c r="AA732" s="279"/>
      <c r="AB732" s="279"/>
      <c r="AC732" s="279"/>
      <c r="AD732" s="279"/>
      <c r="AE732" s="279"/>
      <c r="AF732" s="279"/>
      <c r="AG732" s="279"/>
      <c r="AH732" s="279"/>
      <c r="AI732" s="279"/>
      <c r="AJ732" s="279"/>
      <c r="AK732" s="279"/>
      <c r="AL732" s="279"/>
      <c r="AM732" s="279"/>
      <c r="AN732" s="279"/>
      <c r="AO732" s="279"/>
      <c r="AP732" s="279"/>
      <c r="AQ732" s="279"/>
      <c r="AR732" s="279"/>
      <c r="AS732" s="279"/>
      <c r="AT732" s="279"/>
      <c r="AU732" s="279"/>
      <c r="AV732" s="279"/>
      <c r="AW732" s="279"/>
      <c r="AX732" s="279"/>
      <c r="AY732" s="279"/>
      <c r="AZ732" s="279"/>
      <c r="BA732" s="279"/>
      <c r="BB732" s="279"/>
      <c r="BC732" s="279"/>
      <c r="BD732" s="279"/>
      <c r="BE732" s="279"/>
      <c r="BF732" s="279"/>
      <c r="BG732" s="279"/>
      <c r="BH732" s="279"/>
      <c r="BI732" s="279"/>
      <c r="BJ732" s="279"/>
      <c r="BK732" s="279"/>
      <c r="BL732" s="279"/>
      <c r="BM732" s="279"/>
      <c r="BN732" s="279"/>
      <c r="BO732" s="279"/>
      <c r="BP732" s="279"/>
      <c r="BQ732" s="279"/>
      <c r="BR732" s="279"/>
      <c r="BS732" s="279"/>
      <c r="BT732" s="279"/>
      <c r="BU732" s="279"/>
      <c r="BV732" s="279"/>
      <c r="BW732" s="279"/>
      <c r="BX732" s="279"/>
      <c r="BY732" s="279"/>
      <c r="BZ732" s="279"/>
      <c r="CA732" s="279"/>
      <c r="CB732" s="279"/>
      <c r="CC732" s="279"/>
      <c r="CD732" s="279"/>
      <c r="CE732" s="279"/>
      <c r="CF732" s="279"/>
      <c r="CG732" s="279"/>
      <c r="CH732" s="279"/>
      <c r="CI732" s="279"/>
      <c r="CJ732" s="279"/>
      <c r="CK732" s="279"/>
      <c r="CL732" s="279"/>
      <c r="CM732" s="279"/>
      <c r="CN732" s="279"/>
      <c r="CO732" s="279"/>
      <c r="CP732" s="279"/>
      <c r="CQ732" s="279"/>
      <c r="CR732" s="279"/>
      <c r="CS732" s="279"/>
      <c r="CT732" s="279"/>
    </row>
    <row r="733" spans="1:98" outlineLevel="1">
      <c r="A733" s="266">
        <f>SUBTOTAL(3,$F$7:F733)</f>
        <v>581</v>
      </c>
      <c r="B733" s="225" t="s">
        <v>1573</v>
      </c>
      <c r="C733" s="224"/>
      <c r="D733" s="224"/>
      <c r="E733" s="224"/>
      <c r="F733" s="290" t="s">
        <v>570</v>
      </c>
      <c r="G733" s="291">
        <v>625</v>
      </c>
      <c r="H733" s="291"/>
      <c r="I733" s="291"/>
      <c r="J733" s="292"/>
      <c r="K733" s="292"/>
      <c r="L733" s="292"/>
      <c r="M733" s="292"/>
      <c r="N733" s="225"/>
    </row>
    <row r="734" spans="1:98" outlineLevel="1">
      <c r="A734" s="266">
        <f>SUBTOTAL(3,$F$7:F734)</f>
        <v>582</v>
      </c>
      <c r="B734" s="225" t="s">
        <v>1556</v>
      </c>
      <c r="C734" s="224"/>
      <c r="D734" s="224"/>
      <c r="E734" s="224"/>
      <c r="F734" s="290" t="s">
        <v>570</v>
      </c>
      <c r="G734" s="291">
        <v>625</v>
      </c>
      <c r="H734" s="291"/>
      <c r="I734" s="291"/>
      <c r="J734" s="292"/>
      <c r="K734" s="292"/>
      <c r="L734" s="292"/>
      <c r="M734" s="292"/>
      <c r="N734" s="225"/>
    </row>
    <row r="735" spans="1:98" outlineLevel="1">
      <c r="A735" s="266">
        <f>SUBTOTAL(3,$F$7:F735)</f>
        <v>583</v>
      </c>
      <c r="B735" s="225" t="s">
        <v>1574</v>
      </c>
      <c r="C735" s="224"/>
      <c r="D735" s="224"/>
      <c r="E735" s="224"/>
      <c r="F735" s="290" t="s">
        <v>570</v>
      </c>
      <c r="G735" s="291">
        <v>350</v>
      </c>
      <c r="H735" s="291"/>
      <c r="I735" s="291"/>
      <c r="J735" s="292"/>
      <c r="K735" s="292"/>
      <c r="L735" s="292"/>
      <c r="M735" s="292"/>
      <c r="N735" s="225"/>
    </row>
    <row r="736" spans="1:98" outlineLevel="1">
      <c r="A736" s="266">
        <f>SUBTOTAL(3,$F$7:F736)</f>
        <v>584</v>
      </c>
      <c r="B736" s="225" t="s">
        <v>1560</v>
      </c>
      <c r="C736" s="224"/>
      <c r="D736" s="224"/>
      <c r="E736" s="224"/>
      <c r="F736" s="290" t="s">
        <v>570</v>
      </c>
      <c r="G736" s="291">
        <v>350</v>
      </c>
      <c r="H736" s="291"/>
      <c r="I736" s="291"/>
      <c r="J736" s="292"/>
      <c r="K736" s="292"/>
      <c r="L736" s="292"/>
      <c r="M736" s="292"/>
      <c r="N736" s="225"/>
    </row>
    <row r="737" spans="1:98" outlineLevel="1">
      <c r="A737" s="266">
        <f>SUBTOTAL(3,$F$7:F737)</f>
        <v>585</v>
      </c>
      <c r="B737" s="225" t="s">
        <v>1575</v>
      </c>
      <c r="C737" s="224"/>
      <c r="D737" s="224"/>
      <c r="E737" s="224"/>
      <c r="F737" s="290" t="s">
        <v>570</v>
      </c>
      <c r="G737" s="291">
        <v>195</v>
      </c>
      <c r="H737" s="291"/>
      <c r="I737" s="291"/>
      <c r="J737" s="292"/>
      <c r="K737" s="292"/>
      <c r="L737" s="292"/>
      <c r="M737" s="292"/>
      <c r="N737" s="225"/>
    </row>
    <row r="738" spans="1:98" outlineLevel="1">
      <c r="A738" s="266">
        <f>SUBTOTAL(3,$F$7:F738)</f>
        <v>586</v>
      </c>
      <c r="B738" s="225" t="s">
        <v>1567</v>
      </c>
      <c r="C738" s="224"/>
      <c r="D738" s="224"/>
      <c r="E738" s="224"/>
      <c r="F738" s="290" t="s">
        <v>570</v>
      </c>
      <c r="G738" s="291">
        <v>195</v>
      </c>
      <c r="H738" s="291"/>
      <c r="I738" s="291"/>
      <c r="J738" s="292"/>
      <c r="K738" s="292"/>
      <c r="L738" s="292"/>
      <c r="M738" s="292"/>
      <c r="N738" s="225"/>
    </row>
    <row r="739" spans="1:98" s="270" customFormat="1" outlineLevel="1">
      <c r="A739" s="289"/>
      <c r="B739" s="295" t="s">
        <v>1576</v>
      </c>
      <c r="C739" s="219"/>
      <c r="D739" s="219"/>
      <c r="E739" s="219"/>
      <c r="F739" s="296"/>
      <c r="G739" s="291">
        <v>0</v>
      </c>
      <c r="H739" s="297"/>
      <c r="I739" s="297"/>
      <c r="J739" s="298"/>
      <c r="K739" s="298"/>
      <c r="L739" s="298"/>
      <c r="M739" s="298"/>
      <c r="N739" s="295"/>
      <c r="O739" s="279"/>
      <c r="P739" s="279"/>
      <c r="Q739" s="279"/>
      <c r="R739" s="279"/>
      <c r="S739" s="279"/>
      <c r="T739" s="279"/>
      <c r="U739" s="279"/>
      <c r="V739" s="279"/>
      <c r="W739" s="279"/>
      <c r="X739" s="279"/>
      <c r="Y739" s="279"/>
      <c r="Z739" s="279"/>
      <c r="AA739" s="279"/>
      <c r="AB739" s="279"/>
      <c r="AC739" s="279"/>
      <c r="AD739" s="279"/>
      <c r="AE739" s="279"/>
      <c r="AF739" s="279"/>
      <c r="AG739" s="279"/>
      <c r="AH739" s="279"/>
      <c r="AI739" s="279"/>
      <c r="AJ739" s="279"/>
      <c r="AK739" s="279"/>
      <c r="AL739" s="279"/>
      <c r="AM739" s="279"/>
      <c r="AN739" s="279"/>
      <c r="AO739" s="279"/>
      <c r="AP739" s="279"/>
      <c r="AQ739" s="279"/>
      <c r="AR739" s="279"/>
      <c r="AS739" s="279"/>
      <c r="AT739" s="279"/>
      <c r="AU739" s="279"/>
      <c r="AV739" s="279"/>
      <c r="AW739" s="279"/>
      <c r="AX739" s="279"/>
      <c r="AY739" s="279"/>
      <c r="AZ739" s="279"/>
      <c r="BA739" s="279"/>
      <c r="BB739" s="279"/>
      <c r="BC739" s="279"/>
      <c r="BD739" s="279"/>
      <c r="BE739" s="279"/>
      <c r="BF739" s="279"/>
      <c r="BG739" s="279"/>
      <c r="BH739" s="279"/>
      <c r="BI739" s="279"/>
      <c r="BJ739" s="279"/>
      <c r="BK739" s="279"/>
      <c r="BL739" s="279"/>
      <c r="BM739" s="279"/>
      <c r="BN739" s="279"/>
      <c r="BO739" s="279"/>
      <c r="BP739" s="279"/>
      <c r="BQ739" s="279"/>
      <c r="BR739" s="279"/>
      <c r="BS739" s="279"/>
      <c r="BT739" s="279"/>
      <c r="BU739" s="279"/>
      <c r="BV739" s="279"/>
      <c r="BW739" s="279"/>
      <c r="BX739" s="279"/>
      <c r="BY739" s="279"/>
      <c r="BZ739" s="279"/>
      <c r="CA739" s="279"/>
      <c r="CB739" s="279"/>
      <c r="CC739" s="279"/>
      <c r="CD739" s="279"/>
      <c r="CE739" s="279"/>
      <c r="CF739" s="279"/>
      <c r="CG739" s="279"/>
      <c r="CH739" s="279"/>
      <c r="CI739" s="279"/>
      <c r="CJ739" s="279"/>
      <c r="CK739" s="279"/>
      <c r="CL739" s="279"/>
      <c r="CM739" s="279"/>
      <c r="CN739" s="279"/>
      <c r="CO739" s="279"/>
      <c r="CP739" s="279"/>
      <c r="CQ739" s="279"/>
      <c r="CR739" s="279"/>
      <c r="CS739" s="279"/>
      <c r="CT739" s="279"/>
    </row>
    <row r="740" spans="1:98" outlineLevel="1">
      <c r="A740" s="266">
        <f>SUBTOTAL(3,$F$7:F740)</f>
        <v>587</v>
      </c>
      <c r="B740" s="225" t="s">
        <v>1577</v>
      </c>
      <c r="C740" s="224"/>
      <c r="D740" s="224"/>
      <c r="E740" s="224"/>
      <c r="F740" s="290" t="s">
        <v>570</v>
      </c>
      <c r="G740" s="291">
        <v>460</v>
      </c>
      <c r="H740" s="291"/>
      <c r="I740" s="291"/>
      <c r="J740" s="292"/>
      <c r="K740" s="292"/>
      <c r="L740" s="292"/>
      <c r="M740" s="292"/>
      <c r="N740" s="225"/>
    </row>
    <row r="741" spans="1:98" outlineLevel="1">
      <c r="A741" s="266">
        <f>SUBTOTAL(3,$F$7:F741)</f>
        <v>588</v>
      </c>
      <c r="B741" s="225" t="s">
        <v>1556</v>
      </c>
      <c r="C741" s="224"/>
      <c r="D741" s="224"/>
      <c r="E741" s="224"/>
      <c r="F741" s="290" t="s">
        <v>570</v>
      </c>
      <c r="G741" s="291">
        <v>460</v>
      </c>
      <c r="H741" s="291"/>
      <c r="I741" s="291"/>
      <c r="J741" s="292"/>
      <c r="K741" s="292"/>
      <c r="L741" s="292"/>
      <c r="M741" s="292"/>
      <c r="N741" s="225"/>
    </row>
    <row r="742" spans="1:98" outlineLevel="1">
      <c r="A742" s="266">
        <f>SUBTOTAL(3,$F$7:F742)</f>
        <v>589</v>
      </c>
      <c r="B742" s="225" t="s">
        <v>1578</v>
      </c>
      <c r="C742" s="224"/>
      <c r="D742" s="224"/>
      <c r="E742" s="224"/>
      <c r="F742" s="290" t="s">
        <v>570</v>
      </c>
      <c r="G742" s="291">
        <v>60</v>
      </c>
      <c r="H742" s="291"/>
      <c r="I742" s="291"/>
      <c r="J742" s="292"/>
      <c r="K742" s="292"/>
      <c r="L742" s="292"/>
      <c r="M742" s="292"/>
      <c r="N742" s="225"/>
    </row>
    <row r="743" spans="1:98" outlineLevel="1">
      <c r="A743" s="266">
        <f>SUBTOTAL(3,$F$7:F743)</f>
        <v>590</v>
      </c>
      <c r="B743" s="225" t="s">
        <v>1560</v>
      </c>
      <c r="C743" s="224"/>
      <c r="D743" s="224"/>
      <c r="E743" s="224"/>
      <c r="F743" s="290" t="s">
        <v>570</v>
      </c>
      <c r="G743" s="291">
        <v>60</v>
      </c>
      <c r="H743" s="291"/>
      <c r="I743" s="291"/>
      <c r="J743" s="292"/>
      <c r="K743" s="292"/>
      <c r="L743" s="292"/>
      <c r="M743" s="292"/>
      <c r="N743" s="225"/>
    </row>
    <row r="744" spans="1:98" outlineLevel="1">
      <c r="A744" s="266">
        <f>SUBTOTAL(3,$F$7:F744)</f>
        <v>591</v>
      </c>
      <c r="B744" s="225" t="s">
        <v>1573</v>
      </c>
      <c r="C744" s="224"/>
      <c r="D744" s="224"/>
      <c r="E744" s="224"/>
      <c r="F744" s="290" t="s">
        <v>570</v>
      </c>
      <c r="G744" s="291">
        <v>360</v>
      </c>
      <c r="H744" s="291"/>
      <c r="I744" s="291"/>
      <c r="J744" s="292"/>
      <c r="K744" s="292"/>
      <c r="L744" s="292"/>
      <c r="M744" s="292"/>
      <c r="N744" s="225"/>
    </row>
    <row r="745" spans="1:98" outlineLevel="1">
      <c r="A745" s="266">
        <f>SUBTOTAL(3,$F$7:F745)</f>
        <v>592</v>
      </c>
      <c r="B745" s="225" t="s">
        <v>1556</v>
      </c>
      <c r="C745" s="224"/>
      <c r="D745" s="224"/>
      <c r="E745" s="224"/>
      <c r="F745" s="290" t="s">
        <v>570</v>
      </c>
      <c r="G745" s="291">
        <v>360</v>
      </c>
      <c r="H745" s="291"/>
      <c r="I745" s="291"/>
      <c r="J745" s="292"/>
      <c r="K745" s="292"/>
      <c r="L745" s="292"/>
      <c r="M745" s="292"/>
      <c r="N745" s="225"/>
    </row>
    <row r="746" spans="1:98" outlineLevel="1">
      <c r="A746" s="266">
        <f>SUBTOTAL(3,$F$7:F746)</f>
        <v>593</v>
      </c>
      <c r="B746" s="225" t="s">
        <v>1574</v>
      </c>
      <c r="C746" s="224"/>
      <c r="D746" s="224"/>
      <c r="E746" s="224"/>
      <c r="F746" s="290" t="s">
        <v>570</v>
      </c>
      <c r="G746" s="291">
        <v>60</v>
      </c>
      <c r="H746" s="291"/>
      <c r="I746" s="291"/>
      <c r="J746" s="292"/>
      <c r="K746" s="292"/>
      <c r="L746" s="292"/>
      <c r="M746" s="292"/>
      <c r="N746" s="225"/>
    </row>
    <row r="747" spans="1:98" outlineLevel="1">
      <c r="A747" s="266">
        <f>SUBTOTAL(3,$F$7:F747)</f>
        <v>594</v>
      </c>
      <c r="B747" s="225" t="s">
        <v>1560</v>
      </c>
      <c r="C747" s="224"/>
      <c r="D747" s="224"/>
      <c r="E747" s="224"/>
      <c r="F747" s="290" t="s">
        <v>570</v>
      </c>
      <c r="G747" s="291">
        <v>60</v>
      </c>
      <c r="H747" s="291"/>
      <c r="I747" s="291"/>
      <c r="J747" s="292"/>
      <c r="K747" s="292"/>
      <c r="L747" s="292"/>
      <c r="M747" s="292"/>
      <c r="N747" s="225"/>
    </row>
    <row r="748" spans="1:98" outlineLevel="1">
      <c r="A748" s="266">
        <f>SUBTOTAL(3,$F$7:F748)</f>
        <v>595</v>
      </c>
      <c r="B748" s="225" t="s">
        <v>1579</v>
      </c>
      <c r="C748" s="224"/>
      <c r="D748" s="224"/>
      <c r="E748" s="224"/>
      <c r="F748" s="290" t="s">
        <v>570</v>
      </c>
      <c r="G748" s="291">
        <v>460</v>
      </c>
      <c r="H748" s="291"/>
      <c r="I748" s="291"/>
      <c r="J748" s="292"/>
      <c r="K748" s="292"/>
      <c r="L748" s="292"/>
      <c r="M748" s="292"/>
      <c r="N748" s="225"/>
    </row>
    <row r="749" spans="1:98" outlineLevel="1">
      <c r="A749" s="266">
        <f>SUBTOTAL(3,$F$7:F749)</f>
        <v>596</v>
      </c>
      <c r="B749" s="225" t="s">
        <v>1556</v>
      </c>
      <c r="C749" s="224"/>
      <c r="D749" s="224"/>
      <c r="E749" s="224"/>
      <c r="F749" s="290" t="s">
        <v>570</v>
      </c>
      <c r="G749" s="291">
        <v>460</v>
      </c>
      <c r="H749" s="291"/>
      <c r="I749" s="291"/>
      <c r="J749" s="292"/>
      <c r="K749" s="292"/>
      <c r="L749" s="292"/>
      <c r="M749" s="292"/>
      <c r="N749" s="225"/>
    </row>
    <row r="750" spans="1:98" outlineLevel="1">
      <c r="A750" s="266">
        <f>SUBTOTAL(3,$F$7:F750)</f>
        <v>597</v>
      </c>
      <c r="B750" s="225" t="s">
        <v>1563</v>
      </c>
      <c r="C750" s="224"/>
      <c r="D750" s="224"/>
      <c r="E750" s="224"/>
      <c r="F750" s="290" t="s">
        <v>570</v>
      </c>
      <c r="G750" s="291">
        <v>40</v>
      </c>
      <c r="H750" s="291"/>
      <c r="I750" s="291"/>
      <c r="J750" s="292"/>
      <c r="K750" s="292"/>
      <c r="L750" s="292"/>
      <c r="M750" s="292"/>
      <c r="N750" s="225"/>
    </row>
    <row r="751" spans="1:98" outlineLevel="1">
      <c r="A751" s="266">
        <f>SUBTOTAL(3,$F$7:F751)</f>
        <v>598</v>
      </c>
      <c r="B751" s="225" t="s">
        <v>1560</v>
      </c>
      <c r="C751" s="224"/>
      <c r="D751" s="224"/>
      <c r="E751" s="224"/>
      <c r="F751" s="290" t="s">
        <v>570</v>
      </c>
      <c r="G751" s="291">
        <v>40</v>
      </c>
      <c r="H751" s="291"/>
      <c r="I751" s="291"/>
      <c r="J751" s="292"/>
      <c r="K751" s="292"/>
      <c r="L751" s="292"/>
      <c r="M751" s="292"/>
      <c r="N751" s="225"/>
    </row>
    <row r="752" spans="1:98" outlineLevel="1">
      <c r="A752" s="266">
        <f>SUBTOTAL(3,$F$7:F752)</f>
        <v>599</v>
      </c>
      <c r="B752" s="225" t="s">
        <v>1564</v>
      </c>
      <c r="C752" s="224"/>
      <c r="D752" s="224"/>
      <c r="E752" s="224"/>
      <c r="F752" s="290" t="s">
        <v>570</v>
      </c>
      <c r="G752" s="291">
        <v>120</v>
      </c>
      <c r="H752" s="291"/>
      <c r="I752" s="291"/>
      <c r="J752" s="292"/>
      <c r="K752" s="292"/>
      <c r="L752" s="292"/>
      <c r="M752" s="292"/>
      <c r="N752" s="225"/>
    </row>
    <row r="753" spans="1:98" outlineLevel="1">
      <c r="A753" s="266">
        <f>SUBTOTAL(3,$F$7:F753)</f>
        <v>600</v>
      </c>
      <c r="B753" s="225" t="s">
        <v>1565</v>
      </c>
      <c r="C753" s="224"/>
      <c r="D753" s="224"/>
      <c r="E753" s="224"/>
      <c r="F753" s="290" t="s">
        <v>570</v>
      </c>
      <c r="G753" s="291">
        <v>120</v>
      </c>
      <c r="H753" s="291"/>
      <c r="I753" s="291"/>
      <c r="J753" s="292"/>
      <c r="K753" s="292"/>
      <c r="L753" s="292"/>
      <c r="M753" s="292"/>
      <c r="N753" s="225"/>
    </row>
    <row r="754" spans="1:98" outlineLevel="1">
      <c r="A754" s="266">
        <f>SUBTOTAL(3,$F$7:F754)</f>
        <v>601</v>
      </c>
      <c r="B754" s="225" t="s">
        <v>1566</v>
      </c>
      <c r="C754" s="224"/>
      <c r="D754" s="224"/>
      <c r="E754" s="224"/>
      <c r="F754" s="290" t="s">
        <v>570</v>
      </c>
      <c r="G754" s="291">
        <v>20</v>
      </c>
      <c r="H754" s="291"/>
      <c r="I754" s="291"/>
      <c r="J754" s="292"/>
      <c r="K754" s="292"/>
      <c r="L754" s="292"/>
      <c r="M754" s="292"/>
      <c r="N754" s="225"/>
    </row>
    <row r="755" spans="1:98" outlineLevel="1">
      <c r="A755" s="266">
        <f>SUBTOTAL(3,$F$7:F755)</f>
        <v>602</v>
      </c>
      <c r="B755" s="225" t="s">
        <v>1567</v>
      </c>
      <c r="C755" s="224"/>
      <c r="D755" s="224"/>
      <c r="E755" s="224"/>
      <c r="F755" s="290" t="s">
        <v>570</v>
      </c>
      <c r="G755" s="291">
        <v>20</v>
      </c>
      <c r="H755" s="291"/>
      <c r="I755" s="291"/>
      <c r="J755" s="292"/>
      <c r="K755" s="292"/>
      <c r="L755" s="292"/>
      <c r="M755" s="292"/>
      <c r="N755" s="225"/>
    </row>
    <row r="756" spans="1:98" s="270" customFormat="1" ht="27.6" outlineLevel="1">
      <c r="A756" s="289"/>
      <c r="B756" s="295" t="s">
        <v>1580</v>
      </c>
      <c r="C756" s="219"/>
      <c r="D756" s="219"/>
      <c r="E756" s="219"/>
      <c r="F756" s="296"/>
      <c r="G756" s="291">
        <v>0</v>
      </c>
      <c r="H756" s="297"/>
      <c r="I756" s="297"/>
      <c r="J756" s="298"/>
      <c r="K756" s="298"/>
      <c r="L756" s="298"/>
      <c r="M756" s="298"/>
      <c r="N756" s="295"/>
      <c r="O756" s="279"/>
      <c r="P756" s="279"/>
      <c r="Q756" s="279"/>
      <c r="R756" s="279"/>
      <c r="S756" s="279"/>
      <c r="T756" s="279"/>
      <c r="U756" s="279"/>
      <c r="V756" s="279"/>
      <c r="W756" s="279"/>
      <c r="X756" s="279"/>
      <c r="Y756" s="279"/>
      <c r="Z756" s="279"/>
      <c r="AA756" s="279"/>
      <c r="AB756" s="279"/>
      <c r="AC756" s="279"/>
      <c r="AD756" s="279"/>
      <c r="AE756" s="279"/>
      <c r="AF756" s="279"/>
      <c r="AG756" s="279"/>
      <c r="AH756" s="279"/>
      <c r="AI756" s="279"/>
      <c r="AJ756" s="279"/>
      <c r="AK756" s="279"/>
      <c r="AL756" s="279"/>
      <c r="AM756" s="279"/>
      <c r="AN756" s="279"/>
      <c r="AO756" s="279"/>
      <c r="AP756" s="279"/>
      <c r="AQ756" s="279"/>
      <c r="AR756" s="279"/>
      <c r="AS756" s="279"/>
      <c r="AT756" s="279"/>
      <c r="AU756" s="279"/>
      <c r="AV756" s="279"/>
      <c r="AW756" s="279"/>
      <c r="AX756" s="279"/>
      <c r="AY756" s="279"/>
      <c r="AZ756" s="279"/>
      <c r="BA756" s="279"/>
      <c r="BB756" s="279"/>
      <c r="BC756" s="279"/>
      <c r="BD756" s="279"/>
      <c r="BE756" s="279"/>
      <c r="BF756" s="279"/>
      <c r="BG756" s="279"/>
      <c r="BH756" s="279"/>
      <c r="BI756" s="279"/>
      <c r="BJ756" s="279"/>
      <c r="BK756" s="279"/>
      <c r="BL756" s="279"/>
      <c r="BM756" s="279"/>
      <c r="BN756" s="279"/>
      <c r="BO756" s="279"/>
      <c r="BP756" s="279"/>
      <c r="BQ756" s="279"/>
      <c r="BR756" s="279"/>
      <c r="BS756" s="279"/>
      <c r="BT756" s="279"/>
      <c r="BU756" s="279"/>
      <c r="BV756" s="279"/>
      <c r="BW756" s="279"/>
      <c r="BX756" s="279"/>
      <c r="BY756" s="279"/>
      <c r="BZ756" s="279"/>
      <c r="CA756" s="279"/>
      <c r="CB756" s="279"/>
      <c r="CC756" s="279"/>
      <c r="CD756" s="279"/>
      <c r="CE756" s="279"/>
      <c r="CF756" s="279"/>
      <c r="CG756" s="279"/>
      <c r="CH756" s="279"/>
      <c r="CI756" s="279"/>
      <c r="CJ756" s="279"/>
      <c r="CK756" s="279"/>
      <c r="CL756" s="279"/>
      <c r="CM756" s="279"/>
      <c r="CN756" s="279"/>
      <c r="CO756" s="279"/>
      <c r="CP756" s="279"/>
      <c r="CQ756" s="279"/>
      <c r="CR756" s="279"/>
      <c r="CS756" s="279"/>
      <c r="CT756" s="279"/>
    </row>
    <row r="757" spans="1:98" outlineLevel="1">
      <c r="A757" s="266"/>
      <c r="B757" s="295" t="s">
        <v>1581</v>
      </c>
      <c r="C757" s="219"/>
      <c r="D757" s="219"/>
      <c r="E757" s="219"/>
      <c r="F757" s="290"/>
      <c r="G757" s="291">
        <v>0</v>
      </c>
      <c r="H757" s="291"/>
      <c r="I757" s="291"/>
      <c r="J757" s="292"/>
      <c r="K757" s="292"/>
      <c r="L757" s="292"/>
      <c r="M757" s="292"/>
      <c r="N757" s="225"/>
    </row>
    <row r="758" spans="1:98" outlineLevel="1">
      <c r="A758" s="266">
        <f>SUBTOTAL(3,$F$7:F758)</f>
        <v>603</v>
      </c>
      <c r="B758" s="225" t="s">
        <v>1582</v>
      </c>
      <c r="C758" s="224"/>
      <c r="D758" s="224"/>
      <c r="E758" s="224"/>
      <c r="F758" s="290" t="s">
        <v>570</v>
      </c>
      <c r="G758" s="291">
        <v>7</v>
      </c>
      <c r="H758" s="291"/>
      <c r="I758" s="291"/>
      <c r="J758" s="292"/>
      <c r="K758" s="292"/>
      <c r="L758" s="292"/>
      <c r="M758" s="292"/>
      <c r="N758" s="225"/>
    </row>
    <row r="759" spans="1:98" outlineLevel="1">
      <c r="A759" s="266">
        <f>SUBTOTAL(3,$F$7:F759)</f>
        <v>604</v>
      </c>
      <c r="B759" s="225" t="s">
        <v>1569</v>
      </c>
      <c r="C759" s="224"/>
      <c r="D759" s="224"/>
      <c r="E759" s="224"/>
      <c r="F759" s="290" t="s">
        <v>570</v>
      </c>
      <c r="G759" s="291">
        <v>7</v>
      </c>
      <c r="H759" s="291"/>
      <c r="I759" s="291"/>
      <c r="J759" s="292"/>
      <c r="K759" s="292"/>
      <c r="L759" s="292"/>
      <c r="M759" s="292"/>
      <c r="N759" s="225"/>
    </row>
    <row r="760" spans="1:98" outlineLevel="1">
      <c r="A760" s="266"/>
      <c r="B760" s="295" t="s">
        <v>1583</v>
      </c>
      <c r="C760" s="219"/>
      <c r="D760" s="219"/>
      <c r="E760" s="219"/>
      <c r="F760" s="290"/>
      <c r="G760" s="291">
        <v>0</v>
      </c>
      <c r="H760" s="291"/>
      <c r="I760" s="291"/>
      <c r="J760" s="292"/>
      <c r="K760" s="292"/>
      <c r="L760" s="292"/>
      <c r="M760" s="292"/>
      <c r="N760" s="225"/>
    </row>
    <row r="761" spans="1:98" outlineLevel="1">
      <c r="A761" s="266">
        <f>SUBTOTAL(3,$F$7:F761)</f>
        <v>605</v>
      </c>
      <c r="B761" s="225" t="s">
        <v>1582</v>
      </c>
      <c r="C761" s="224"/>
      <c r="D761" s="224"/>
      <c r="E761" s="224"/>
      <c r="F761" s="290" t="s">
        <v>570</v>
      </c>
      <c r="G761" s="291">
        <v>8</v>
      </c>
      <c r="H761" s="291"/>
      <c r="I761" s="291"/>
      <c r="J761" s="292"/>
      <c r="K761" s="292"/>
      <c r="L761" s="292"/>
      <c r="M761" s="292"/>
      <c r="N761" s="225"/>
    </row>
    <row r="762" spans="1:98" outlineLevel="1">
      <c r="A762" s="266">
        <f>SUBTOTAL(3,$F$7:F762)</f>
        <v>606</v>
      </c>
      <c r="B762" s="225" t="s">
        <v>1569</v>
      </c>
      <c r="C762" s="224"/>
      <c r="D762" s="224"/>
      <c r="E762" s="224"/>
      <c r="F762" s="290" t="s">
        <v>570</v>
      </c>
      <c r="G762" s="291">
        <v>8</v>
      </c>
      <c r="H762" s="291"/>
      <c r="I762" s="291"/>
      <c r="J762" s="292"/>
      <c r="K762" s="292"/>
      <c r="L762" s="292"/>
      <c r="M762" s="292"/>
      <c r="N762" s="225"/>
    </row>
    <row r="763" spans="1:98" outlineLevel="1">
      <c r="A763" s="266"/>
      <c r="B763" s="295" t="s">
        <v>1584</v>
      </c>
      <c r="C763" s="219"/>
      <c r="D763" s="219"/>
      <c r="E763" s="219"/>
      <c r="F763" s="290"/>
      <c r="G763" s="291">
        <v>0</v>
      </c>
      <c r="H763" s="291"/>
      <c r="I763" s="291"/>
      <c r="J763" s="292"/>
      <c r="K763" s="292"/>
      <c r="L763" s="292"/>
      <c r="M763" s="292"/>
      <c r="N763" s="225"/>
    </row>
    <row r="764" spans="1:98" outlineLevel="1">
      <c r="A764" s="266">
        <f>SUBTOTAL(3,$F$7:F764)</f>
        <v>607</v>
      </c>
      <c r="B764" s="225" t="s">
        <v>1582</v>
      </c>
      <c r="C764" s="224"/>
      <c r="D764" s="224"/>
      <c r="E764" s="224"/>
      <c r="F764" s="290" t="s">
        <v>570</v>
      </c>
      <c r="G764" s="291">
        <v>8</v>
      </c>
      <c r="H764" s="291"/>
      <c r="I764" s="291"/>
      <c r="J764" s="292"/>
      <c r="K764" s="292"/>
      <c r="L764" s="292"/>
      <c r="M764" s="292"/>
      <c r="N764" s="225"/>
    </row>
    <row r="765" spans="1:98" outlineLevel="1">
      <c r="A765" s="266">
        <f>SUBTOTAL(3,$F$7:F765)</f>
        <v>608</v>
      </c>
      <c r="B765" s="225" t="s">
        <v>1569</v>
      </c>
      <c r="C765" s="224"/>
      <c r="D765" s="224"/>
      <c r="E765" s="224"/>
      <c r="F765" s="290" t="s">
        <v>570</v>
      </c>
      <c r="G765" s="291">
        <v>8</v>
      </c>
      <c r="H765" s="291"/>
      <c r="I765" s="291"/>
      <c r="J765" s="292"/>
      <c r="K765" s="292"/>
      <c r="L765" s="292"/>
      <c r="M765" s="292"/>
      <c r="N765" s="225"/>
    </row>
    <row r="766" spans="1:98" outlineLevel="1">
      <c r="A766" s="266"/>
      <c r="B766" s="295" t="s">
        <v>1585</v>
      </c>
      <c r="C766" s="219"/>
      <c r="D766" s="219"/>
      <c r="E766" s="219"/>
      <c r="F766" s="290"/>
      <c r="G766" s="291">
        <v>0</v>
      </c>
      <c r="H766" s="291"/>
      <c r="I766" s="291"/>
      <c r="J766" s="292"/>
      <c r="K766" s="292"/>
      <c r="L766" s="292"/>
      <c r="M766" s="292"/>
      <c r="N766" s="225"/>
    </row>
    <row r="767" spans="1:98" outlineLevel="1">
      <c r="A767" s="266">
        <f>SUBTOTAL(3,$F$7:F767)</f>
        <v>609</v>
      </c>
      <c r="B767" s="225" t="s">
        <v>1582</v>
      </c>
      <c r="C767" s="224"/>
      <c r="D767" s="224"/>
      <c r="E767" s="224"/>
      <c r="F767" s="290" t="s">
        <v>570</v>
      </c>
      <c r="G767" s="291">
        <v>7</v>
      </c>
      <c r="H767" s="291"/>
      <c r="I767" s="291"/>
      <c r="J767" s="292"/>
      <c r="K767" s="292"/>
      <c r="L767" s="292"/>
      <c r="M767" s="292"/>
      <c r="N767" s="225"/>
    </row>
    <row r="768" spans="1:98" outlineLevel="1">
      <c r="A768" s="266">
        <f>SUBTOTAL(3,$F$7:F768)</f>
        <v>610</v>
      </c>
      <c r="B768" s="225" t="s">
        <v>1569</v>
      </c>
      <c r="C768" s="224"/>
      <c r="D768" s="224"/>
      <c r="E768" s="224"/>
      <c r="F768" s="290" t="s">
        <v>570</v>
      </c>
      <c r="G768" s="291">
        <v>7</v>
      </c>
      <c r="H768" s="291"/>
      <c r="I768" s="291"/>
      <c r="J768" s="292"/>
      <c r="K768" s="292"/>
      <c r="L768" s="292"/>
      <c r="M768" s="292"/>
      <c r="N768" s="225"/>
    </row>
    <row r="769" spans="1:14" outlineLevel="1">
      <c r="A769" s="266"/>
      <c r="B769" s="295" t="s">
        <v>1586</v>
      </c>
      <c r="C769" s="219"/>
      <c r="D769" s="219"/>
      <c r="E769" s="219"/>
      <c r="F769" s="290"/>
      <c r="G769" s="291">
        <v>0</v>
      </c>
      <c r="H769" s="291"/>
      <c r="I769" s="291"/>
      <c r="J769" s="292"/>
      <c r="K769" s="292"/>
      <c r="L769" s="292"/>
      <c r="M769" s="292"/>
      <c r="N769" s="225"/>
    </row>
    <row r="770" spans="1:14" outlineLevel="1">
      <c r="A770" s="266">
        <f>SUBTOTAL(3,$F$7:F770)</f>
        <v>611</v>
      </c>
      <c r="B770" s="225" t="s">
        <v>1582</v>
      </c>
      <c r="C770" s="224"/>
      <c r="D770" s="224"/>
      <c r="E770" s="224"/>
      <c r="F770" s="290" t="s">
        <v>570</v>
      </c>
      <c r="G770" s="291">
        <v>10</v>
      </c>
      <c r="H770" s="291"/>
      <c r="I770" s="291"/>
      <c r="J770" s="292"/>
      <c r="K770" s="292"/>
      <c r="L770" s="292"/>
      <c r="M770" s="292"/>
      <c r="N770" s="225"/>
    </row>
    <row r="771" spans="1:14" outlineLevel="1">
      <c r="A771" s="266">
        <f>SUBTOTAL(3,$F$7:F771)</f>
        <v>612</v>
      </c>
      <c r="B771" s="225" t="s">
        <v>1569</v>
      </c>
      <c r="C771" s="224"/>
      <c r="D771" s="224"/>
      <c r="E771" s="224"/>
      <c r="F771" s="290" t="s">
        <v>570</v>
      </c>
      <c r="G771" s="291">
        <v>10</v>
      </c>
      <c r="H771" s="291"/>
      <c r="I771" s="291"/>
      <c r="J771" s="292"/>
      <c r="K771" s="292"/>
      <c r="L771" s="292"/>
      <c r="M771" s="292"/>
      <c r="N771" s="225"/>
    </row>
    <row r="772" spans="1:14" outlineLevel="1">
      <c r="A772" s="266"/>
      <c r="B772" s="295" t="s">
        <v>1587</v>
      </c>
      <c r="C772" s="219"/>
      <c r="D772" s="219"/>
      <c r="E772" s="219"/>
      <c r="F772" s="290"/>
      <c r="G772" s="291">
        <v>0</v>
      </c>
      <c r="H772" s="291"/>
      <c r="I772" s="291"/>
      <c r="J772" s="292"/>
      <c r="K772" s="292"/>
      <c r="L772" s="292"/>
      <c r="M772" s="292"/>
      <c r="N772" s="225"/>
    </row>
    <row r="773" spans="1:14" outlineLevel="1">
      <c r="A773" s="266">
        <f>SUBTOTAL(3,$F$7:F773)</f>
        <v>613</v>
      </c>
      <c r="B773" s="225" t="s">
        <v>1582</v>
      </c>
      <c r="C773" s="224"/>
      <c r="D773" s="224"/>
      <c r="E773" s="224"/>
      <c r="F773" s="290" t="s">
        <v>570</v>
      </c>
      <c r="G773" s="291">
        <v>9</v>
      </c>
      <c r="H773" s="291"/>
      <c r="I773" s="291"/>
      <c r="J773" s="292"/>
      <c r="K773" s="292"/>
      <c r="L773" s="292"/>
      <c r="M773" s="292"/>
      <c r="N773" s="225"/>
    </row>
    <row r="774" spans="1:14" outlineLevel="1">
      <c r="A774" s="266">
        <f>SUBTOTAL(3,$F$7:F774)</f>
        <v>614</v>
      </c>
      <c r="B774" s="225" t="s">
        <v>1569</v>
      </c>
      <c r="C774" s="224"/>
      <c r="D774" s="224"/>
      <c r="E774" s="224"/>
      <c r="F774" s="290" t="s">
        <v>570</v>
      </c>
      <c r="G774" s="291">
        <v>9</v>
      </c>
      <c r="H774" s="291"/>
      <c r="I774" s="291"/>
      <c r="J774" s="292"/>
      <c r="K774" s="292"/>
      <c r="L774" s="292"/>
      <c r="M774" s="292"/>
      <c r="N774" s="225"/>
    </row>
    <row r="775" spans="1:14" outlineLevel="1">
      <c r="A775" s="266"/>
      <c r="B775" s="295" t="s">
        <v>1588</v>
      </c>
      <c r="C775" s="219"/>
      <c r="D775" s="219"/>
      <c r="E775" s="219"/>
      <c r="F775" s="290"/>
      <c r="G775" s="291">
        <v>0</v>
      </c>
      <c r="H775" s="291"/>
      <c r="I775" s="291"/>
      <c r="J775" s="292"/>
      <c r="K775" s="292"/>
      <c r="L775" s="292"/>
      <c r="M775" s="292"/>
      <c r="N775" s="225"/>
    </row>
    <row r="776" spans="1:14" outlineLevel="1">
      <c r="A776" s="266">
        <f>SUBTOTAL(3,$F$7:F776)</f>
        <v>615</v>
      </c>
      <c r="B776" s="225" t="s">
        <v>1582</v>
      </c>
      <c r="C776" s="224"/>
      <c r="D776" s="224"/>
      <c r="E776" s="224"/>
      <c r="F776" s="290" t="s">
        <v>570</v>
      </c>
      <c r="G776" s="291">
        <v>16</v>
      </c>
      <c r="H776" s="291"/>
      <c r="I776" s="291"/>
      <c r="J776" s="292"/>
      <c r="K776" s="292"/>
      <c r="L776" s="292"/>
      <c r="M776" s="292"/>
      <c r="N776" s="225"/>
    </row>
    <row r="777" spans="1:14" outlineLevel="1">
      <c r="A777" s="266">
        <f>SUBTOTAL(3,$F$7:F777)</f>
        <v>616</v>
      </c>
      <c r="B777" s="225" t="s">
        <v>1569</v>
      </c>
      <c r="C777" s="224"/>
      <c r="D777" s="224"/>
      <c r="E777" s="224"/>
      <c r="F777" s="290" t="s">
        <v>570</v>
      </c>
      <c r="G777" s="291">
        <v>16</v>
      </c>
      <c r="H777" s="291"/>
      <c r="I777" s="291"/>
      <c r="J777" s="292"/>
      <c r="K777" s="292"/>
      <c r="L777" s="292"/>
      <c r="M777" s="292"/>
      <c r="N777" s="225"/>
    </row>
    <row r="778" spans="1:14" outlineLevel="1">
      <c r="A778" s="266"/>
      <c r="B778" s="295" t="s">
        <v>1589</v>
      </c>
      <c r="C778" s="219"/>
      <c r="D778" s="219"/>
      <c r="E778" s="219"/>
      <c r="F778" s="290"/>
      <c r="G778" s="291">
        <v>0</v>
      </c>
      <c r="H778" s="291"/>
      <c r="I778" s="291"/>
      <c r="J778" s="292"/>
      <c r="K778" s="292"/>
      <c r="L778" s="292"/>
      <c r="M778" s="292"/>
      <c r="N778" s="225"/>
    </row>
    <row r="779" spans="1:14" outlineLevel="1">
      <c r="A779" s="266">
        <f>SUBTOTAL(3,$F$7:F779)</f>
        <v>617</v>
      </c>
      <c r="B779" s="225" t="s">
        <v>1582</v>
      </c>
      <c r="C779" s="224"/>
      <c r="D779" s="224"/>
      <c r="E779" s="224"/>
      <c r="F779" s="290" t="s">
        <v>570</v>
      </c>
      <c r="G779" s="291">
        <v>8</v>
      </c>
      <c r="H779" s="291"/>
      <c r="I779" s="291"/>
      <c r="J779" s="292"/>
      <c r="K779" s="292"/>
      <c r="L779" s="292"/>
      <c r="M779" s="292"/>
      <c r="N779" s="225"/>
    </row>
    <row r="780" spans="1:14" outlineLevel="1">
      <c r="A780" s="266">
        <f>SUBTOTAL(3,$F$7:F780)</f>
        <v>618</v>
      </c>
      <c r="B780" s="225" t="s">
        <v>1569</v>
      </c>
      <c r="C780" s="224"/>
      <c r="D780" s="224"/>
      <c r="E780" s="224"/>
      <c r="F780" s="290" t="s">
        <v>570</v>
      </c>
      <c r="G780" s="291">
        <v>8</v>
      </c>
      <c r="H780" s="291"/>
      <c r="I780" s="291"/>
      <c r="J780" s="292"/>
      <c r="K780" s="292"/>
      <c r="L780" s="292"/>
      <c r="M780" s="292"/>
      <c r="N780" s="225"/>
    </row>
    <row r="781" spans="1:14" outlineLevel="1">
      <c r="A781" s="266"/>
      <c r="B781" s="295" t="s">
        <v>1590</v>
      </c>
      <c r="C781" s="219"/>
      <c r="D781" s="219"/>
      <c r="E781" s="219"/>
      <c r="F781" s="290"/>
      <c r="G781" s="291">
        <v>0</v>
      </c>
      <c r="H781" s="291"/>
      <c r="I781" s="291"/>
      <c r="J781" s="292"/>
      <c r="K781" s="292"/>
      <c r="L781" s="292"/>
      <c r="M781" s="292"/>
      <c r="N781" s="225"/>
    </row>
    <row r="782" spans="1:14" outlineLevel="1">
      <c r="A782" s="266">
        <f>SUBTOTAL(3,$F$7:F782)</f>
        <v>619</v>
      </c>
      <c r="B782" s="225" t="s">
        <v>1582</v>
      </c>
      <c r="C782" s="224"/>
      <c r="D782" s="224"/>
      <c r="E782" s="224"/>
      <c r="F782" s="290" t="s">
        <v>570</v>
      </c>
      <c r="G782" s="291">
        <v>9</v>
      </c>
      <c r="H782" s="291"/>
      <c r="I782" s="291"/>
      <c r="J782" s="292"/>
      <c r="K782" s="292"/>
      <c r="L782" s="292"/>
      <c r="M782" s="292"/>
      <c r="N782" s="225"/>
    </row>
    <row r="783" spans="1:14" outlineLevel="1">
      <c r="A783" s="266">
        <f>SUBTOTAL(3,$F$7:F783)</f>
        <v>620</v>
      </c>
      <c r="B783" s="225" t="s">
        <v>1569</v>
      </c>
      <c r="C783" s="224"/>
      <c r="D783" s="224"/>
      <c r="E783" s="224"/>
      <c r="F783" s="290" t="s">
        <v>570</v>
      </c>
      <c r="G783" s="291">
        <v>9</v>
      </c>
      <c r="H783" s="291"/>
      <c r="I783" s="291"/>
      <c r="J783" s="292"/>
      <c r="K783" s="292"/>
      <c r="L783" s="292"/>
      <c r="M783" s="292"/>
      <c r="N783" s="225"/>
    </row>
    <row r="784" spans="1:14" outlineLevel="1">
      <c r="A784" s="266"/>
      <c r="B784" s="295" t="s">
        <v>1591</v>
      </c>
      <c r="C784" s="219"/>
      <c r="D784" s="219"/>
      <c r="E784" s="219"/>
      <c r="F784" s="290"/>
      <c r="G784" s="291">
        <v>0</v>
      </c>
      <c r="H784" s="291"/>
      <c r="I784" s="291"/>
      <c r="J784" s="292"/>
      <c r="K784" s="292"/>
      <c r="L784" s="292"/>
      <c r="M784" s="292"/>
      <c r="N784" s="225"/>
    </row>
    <row r="785" spans="1:14" outlineLevel="1">
      <c r="A785" s="266">
        <f>SUBTOTAL(3,$F$7:F785)</f>
        <v>621</v>
      </c>
      <c r="B785" s="225" t="s">
        <v>1582</v>
      </c>
      <c r="C785" s="224"/>
      <c r="D785" s="224"/>
      <c r="E785" s="224"/>
      <c r="F785" s="290" t="s">
        <v>570</v>
      </c>
      <c r="G785" s="291">
        <v>13</v>
      </c>
      <c r="H785" s="291"/>
      <c r="I785" s="291"/>
      <c r="J785" s="292"/>
      <c r="K785" s="292"/>
      <c r="L785" s="292"/>
      <c r="M785" s="292"/>
      <c r="N785" s="225"/>
    </row>
    <row r="786" spans="1:14" outlineLevel="1">
      <c r="A786" s="266">
        <f>SUBTOTAL(3,$F$7:F786)</f>
        <v>622</v>
      </c>
      <c r="B786" s="225" t="s">
        <v>1569</v>
      </c>
      <c r="C786" s="224"/>
      <c r="D786" s="224"/>
      <c r="E786" s="224"/>
      <c r="F786" s="290" t="s">
        <v>570</v>
      </c>
      <c r="G786" s="291">
        <v>13</v>
      </c>
      <c r="H786" s="291"/>
      <c r="I786" s="291"/>
      <c r="J786" s="292"/>
      <c r="K786" s="292"/>
      <c r="L786" s="292"/>
      <c r="M786" s="292"/>
      <c r="N786" s="225"/>
    </row>
    <row r="787" spans="1:14" outlineLevel="1">
      <c r="A787" s="266"/>
      <c r="B787" s="295" t="s">
        <v>1592</v>
      </c>
      <c r="C787" s="219"/>
      <c r="D787" s="219"/>
      <c r="E787" s="219"/>
      <c r="F787" s="290"/>
      <c r="G787" s="291">
        <v>0</v>
      </c>
      <c r="H787" s="291"/>
      <c r="I787" s="291"/>
      <c r="J787" s="292"/>
      <c r="K787" s="292"/>
      <c r="L787" s="292"/>
      <c r="M787" s="292"/>
      <c r="N787" s="225"/>
    </row>
    <row r="788" spans="1:14" outlineLevel="1">
      <c r="A788" s="266">
        <f>SUBTOTAL(3,$F$7:F788)</f>
        <v>623</v>
      </c>
      <c r="B788" s="225" t="s">
        <v>1582</v>
      </c>
      <c r="C788" s="224"/>
      <c r="D788" s="224"/>
      <c r="E788" s="224"/>
      <c r="F788" s="290" t="s">
        <v>570</v>
      </c>
      <c r="G788" s="291">
        <v>12</v>
      </c>
      <c r="H788" s="291"/>
      <c r="I788" s="291"/>
      <c r="J788" s="292"/>
      <c r="K788" s="292"/>
      <c r="L788" s="292"/>
      <c r="M788" s="292"/>
      <c r="N788" s="225"/>
    </row>
    <row r="789" spans="1:14" outlineLevel="1">
      <c r="A789" s="266">
        <f>SUBTOTAL(3,$F$7:F789)</f>
        <v>624</v>
      </c>
      <c r="B789" s="225" t="s">
        <v>1569</v>
      </c>
      <c r="C789" s="224"/>
      <c r="D789" s="224"/>
      <c r="E789" s="224"/>
      <c r="F789" s="290" t="s">
        <v>570</v>
      </c>
      <c r="G789" s="291">
        <v>12</v>
      </c>
      <c r="H789" s="291"/>
      <c r="I789" s="291"/>
      <c r="J789" s="292"/>
      <c r="K789" s="292"/>
      <c r="L789" s="292"/>
      <c r="M789" s="292"/>
      <c r="N789" s="225"/>
    </row>
    <row r="790" spans="1:14" outlineLevel="1">
      <c r="A790" s="266"/>
      <c r="B790" s="295" t="s">
        <v>1593</v>
      </c>
      <c r="C790" s="219"/>
      <c r="D790" s="219"/>
      <c r="E790" s="219"/>
      <c r="F790" s="290"/>
      <c r="G790" s="291">
        <v>0</v>
      </c>
      <c r="H790" s="291"/>
      <c r="I790" s="291"/>
      <c r="J790" s="292"/>
      <c r="K790" s="292"/>
      <c r="L790" s="292"/>
      <c r="M790" s="292"/>
      <c r="N790" s="225"/>
    </row>
    <row r="791" spans="1:14" outlineLevel="1">
      <c r="A791" s="266">
        <f>SUBTOTAL(3,$F$7:F791)</f>
        <v>625</v>
      </c>
      <c r="B791" s="225" t="s">
        <v>1582</v>
      </c>
      <c r="C791" s="224"/>
      <c r="D791" s="224"/>
      <c r="E791" s="224"/>
      <c r="F791" s="290" t="s">
        <v>570</v>
      </c>
      <c r="G791" s="291">
        <v>8</v>
      </c>
      <c r="H791" s="291"/>
      <c r="I791" s="291"/>
      <c r="J791" s="292"/>
      <c r="K791" s="292"/>
      <c r="L791" s="292"/>
      <c r="M791" s="292"/>
      <c r="N791" s="225"/>
    </row>
    <row r="792" spans="1:14" outlineLevel="1">
      <c r="A792" s="266">
        <f>SUBTOTAL(3,$F$7:F792)</f>
        <v>626</v>
      </c>
      <c r="B792" s="225" t="s">
        <v>1569</v>
      </c>
      <c r="C792" s="224"/>
      <c r="D792" s="224"/>
      <c r="E792" s="224"/>
      <c r="F792" s="290" t="s">
        <v>570</v>
      </c>
      <c r="G792" s="291">
        <v>8</v>
      </c>
      <c r="H792" s="291"/>
      <c r="I792" s="291"/>
      <c r="J792" s="292"/>
      <c r="K792" s="292"/>
      <c r="L792" s="292"/>
      <c r="M792" s="292"/>
      <c r="N792" s="225"/>
    </row>
    <row r="793" spans="1:14" outlineLevel="1">
      <c r="A793" s="266"/>
      <c r="B793" s="295" t="s">
        <v>1594</v>
      </c>
      <c r="C793" s="219"/>
      <c r="D793" s="219"/>
      <c r="E793" s="219"/>
      <c r="F793" s="290"/>
      <c r="G793" s="291">
        <v>0</v>
      </c>
      <c r="H793" s="291"/>
      <c r="I793" s="291"/>
      <c r="J793" s="292"/>
      <c r="K793" s="292"/>
      <c r="L793" s="292"/>
      <c r="M793" s="292"/>
      <c r="N793" s="225"/>
    </row>
    <row r="794" spans="1:14" outlineLevel="1">
      <c r="A794" s="266">
        <f>SUBTOTAL(3,$F$7:F794)</f>
        <v>627</v>
      </c>
      <c r="B794" s="225" t="s">
        <v>1582</v>
      </c>
      <c r="C794" s="224"/>
      <c r="D794" s="224"/>
      <c r="E794" s="224"/>
      <c r="F794" s="290" t="s">
        <v>570</v>
      </c>
      <c r="G794" s="291">
        <v>7</v>
      </c>
      <c r="H794" s="291"/>
      <c r="I794" s="291"/>
      <c r="J794" s="292"/>
      <c r="K794" s="292"/>
      <c r="L794" s="292"/>
      <c r="M794" s="292"/>
      <c r="N794" s="225"/>
    </row>
    <row r="795" spans="1:14" outlineLevel="1">
      <c r="A795" s="266">
        <f>SUBTOTAL(3,$F$7:F795)</f>
        <v>628</v>
      </c>
      <c r="B795" s="225" t="s">
        <v>1569</v>
      </c>
      <c r="C795" s="224"/>
      <c r="D795" s="224"/>
      <c r="E795" s="224"/>
      <c r="F795" s="290" t="s">
        <v>570</v>
      </c>
      <c r="G795" s="291">
        <v>7</v>
      </c>
      <c r="H795" s="291"/>
      <c r="I795" s="291"/>
      <c r="J795" s="292"/>
      <c r="K795" s="292"/>
      <c r="L795" s="292"/>
      <c r="M795" s="292"/>
      <c r="N795" s="225"/>
    </row>
    <row r="796" spans="1:14" outlineLevel="1">
      <c r="A796" s="266"/>
      <c r="B796" s="295" t="s">
        <v>1595</v>
      </c>
      <c r="C796" s="219"/>
      <c r="D796" s="219"/>
      <c r="E796" s="219"/>
      <c r="F796" s="290"/>
      <c r="G796" s="291">
        <v>0</v>
      </c>
      <c r="H796" s="291"/>
      <c r="I796" s="291"/>
      <c r="J796" s="292"/>
      <c r="K796" s="292"/>
      <c r="L796" s="292"/>
      <c r="M796" s="292"/>
      <c r="N796" s="225"/>
    </row>
    <row r="797" spans="1:14" outlineLevel="1">
      <c r="A797" s="266">
        <f>SUBTOTAL(3,$F$7:F797)</f>
        <v>629</v>
      </c>
      <c r="B797" s="225" t="s">
        <v>1582</v>
      </c>
      <c r="C797" s="224"/>
      <c r="D797" s="224"/>
      <c r="E797" s="224"/>
      <c r="F797" s="290" t="s">
        <v>570</v>
      </c>
      <c r="G797" s="291">
        <v>9</v>
      </c>
      <c r="H797" s="291"/>
      <c r="I797" s="291"/>
      <c r="J797" s="292"/>
      <c r="K797" s="292"/>
      <c r="L797" s="292"/>
      <c r="M797" s="292"/>
      <c r="N797" s="225"/>
    </row>
    <row r="798" spans="1:14" outlineLevel="1">
      <c r="A798" s="266">
        <f>SUBTOTAL(3,$F$7:F798)</f>
        <v>630</v>
      </c>
      <c r="B798" s="225" t="s">
        <v>1569</v>
      </c>
      <c r="C798" s="224"/>
      <c r="D798" s="224"/>
      <c r="E798" s="224"/>
      <c r="F798" s="290" t="s">
        <v>570</v>
      </c>
      <c r="G798" s="291">
        <v>9</v>
      </c>
      <c r="H798" s="291"/>
      <c r="I798" s="291"/>
      <c r="J798" s="292"/>
      <c r="K798" s="292"/>
      <c r="L798" s="292"/>
      <c r="M798" s="292"/>
      <c r="N798" s="225"/>
    </row>
    <row r="799" spans="1:14" outlineLevel="1">
      <c r="A799" s="266"/>
      <c r="B799" s="295" t="s">
        <v>1596</v>
      </c>
      <c r="C799" s="219"/>
      <c r="D799" s="219"/>
      <c r="E799" s="219"/>
      <c r="F799" s="290"/>
      <c r="G799" s="291">
        <v>0</v>
      </c>
      <c r="H799" s="291"/>
      <c r="I799" s="291"/>
      <c r="J799" s="292"/>
      <c r="K799" s="292"/>
      <c r="L799" s="292"/>
      <c r="M799" s="292"/>
      <c r="N799" s="225"/>
    </row>
    <row r="800" spans="1:14" outlineLevel="1">
      <c r="A800" s="266">
        <f>SUBTOTAL(3,$F$7:F800)</f>
        <v>631</v>
      </c>
      <c r="B800" s="225" t="s">
        <v>1582</v>
      </c>
      <c r="C800" s="224"/>
      <c r="D800" s="224"/>
      <c r="E800" s="224"/>
      <c r="F800" s="290" t="s">
        <v>570</v>
      </c>
      <c r="G800" s="291">
        <v>10</v>
      </c>
      <c r="H800" s="291"/>
      <c r="I800" s="291"/>
      <c r="J800" s="292"/>
      <c r="K800" s="292"/>
      <c r="L800" s="292"/>
      <c r="M800" s="292"/>
      <c r="N800" s="225"/>
    </row>
    <row r="801" spans="1:14" outlineLevel="1">
      <c r="A801" s="266">
        <f>SUBTOTAL(3,$F$7:F801)</f>
        <v>632</v>
      </c>
      <c r="B801" s="225" t="s">
        <v>1569</v>
      </c>
      <c r="C801" s="224"/>
      <c r="D801" s="224"/>
      <c r="E801" s="224"/>
      <c r="F801" s="290" t="s">
        <v>570</v>
      </c>
      <c r="G801" s="291">
        <v>10</v>
      </c>
      <c r="H801" s="291"/>
      <c r="I801" s="291"/>
      <c r="J801" s="292"/>
      <c r="K801" s="292"/>
      <c r="L801" s="292"/>
      <c r="M801" s="292"/>
      <c r="N801" s="225"/>
    </row>
    <row r="802" spans="1:14" outlineLevel="1">
      <c r="A802" s="266"/>
      <c r="B802" s="295" t="s">
        <v>1597</v>
      </c>
      <c r="C802" s="219"/>
      <c r="D802" s="219"/>
      <c r="E802" s="219"/>
      <c r="F802" s="290"/>
      <c r="G802" s="291">
        <v>0</v>
      </c>
      <c r="H802" s="291"/>
      <c r="I802" s="291"/>
      <c r="J802" s="292"/>
      <c r="K802" s="292"/>
      <c r="L802" s="292"/>
      <c r="M802" s="292"/>
      <c r="N802" s="225"/>
    </row>
    <row r="803" spans="1:14" outlineLevel="1">
      <c r="A803" s="266">
        <f>SUBTOTAL(3,$F$7:F803)</f>
        <v>633</v>
      </c>
      <c r="B803" s="225" t="s">
        <v>1582</v>
      </c>
      <c r="C803" s="224"/>
      <c r="D803" s="224"/>
      <c r="E803" s="224"/>
      <c r="F803" s="290" t="s">
        <v>570</v>
      </c>
      <c r="G803" s="291">
        <v>8</v>
      </c>
      <c r="H803" s="291"/>
      <c r="I803" s="291"/>
      <c r="J803" s="292"/>
      <c r="K803" s="292"/>
      <c r="L803" s="292"/>
      <c r="M803" s="292"/>
      <c r="N803" s="225"/>
    </row>
    <row r="804" spans="1:14" outlineLevel="1">
      <c r="A804" s="266">
        <f>SUBTOTAL(3,$F$7:F804)</f>
        <v>634</v>
      </c>
      <c r="B804" s="225" t="s">
        <v>1569</v>
      </c>
      <c r="C804" s="224"/>
      <c r="D804" s="224"/>
      <c r="E804" s="224"/>
      <c r="F804" s="290" t="s">
        <v>570</v>
      </c>
      <c r="G804" s="291">
        <v>8</v>
      </c>
      <c r="H804" s="291"/>
      <c r="I804" s="291"/>
      <c r="J804" s="292"/>
      <c r="K804" s="292"/>
      <c r="L804" s="292"/>
      <c r="M804" s="292"/>
      <c r="N804" s="225"/>
    </row>
    <row r="805" spans="1:14" outlineLevel="1">
      <c r="A805" s="266"/>
      <c r="B805" s="295" t="s">
        <v>1598</v>
      </c>
      <c r="C805" s="219"/>
      <c r="D805" s="219"/>
      <c r="E805" s="219"/>
      <c r="F805" s="290"/>
      <c r="G805" s="291">
        <v>0</v>
      </c>
      <c r="H805" s="291"/>
      <c r="I805" s="291"/>
      <c r="J805" s="292"/>
      <c r="K805" s="292"/>
      <c r="L805" s="292"/>
      <c r="M805" s="292"/>
      <c r="N805" s="225"/>
    </row>
    <row r="806" spans="1:14" outlineLevel="1">
      <c r="A806" s="266">
        <f>SUBTOTAL(3,$F$7:F806)</f>
        <v>635</v>
      </c>
      <c r="B806" s="225" t="s">
        <v>1582</v>
      </c>
      <c r="C806" s="224"/>
      <c r="D806" s="224"/>
      <c r="E806" s="224"/>
      <c r="F806" s="290" t="s">
        <v>570</v>
      </c>
      <c r="G806" s="291">
        <v>9</v>
      </c>
      <c r="H806" s="291"/>
      <c r="I806" s="291"/>
      <c r="J806" s="292"/>
      <c r="K806" s="292"/>
      <c r="L806" s="292"/>
      <c r="M806" s="292"/>
      <c r="N806" s="225"/>
    </row>
    <row r="807" spans="1:14" outlineLevel="1">
      <c r="A807" s="266">
        <f>SUBTOTAL(3,$F$7:F807)</f>
        <v>636</v>
      </c>
      <c r="B807" s="225" t="s">
        <v>1569</v>
      </c>
      <c r="C807" s="224"/>
      <c r="D807" s="224"/>
      <c r="E807" s="224"/>
      <c r="F807" s="290" t="s">
        <v>570</v>
      </c>
      <c r="G807" s="291">
        <v>9</v>
      </c>
      <c r="H807" s="291"/>
      <c r="I807" s="291"/>
      <c r="J807" s="292"/>
      <c r="K807" s="292"/>
      <c r="L807" s="292"/>
      <c r="M807" s="292"/>
      <c r="N807" s="225"/>
    </row>
    <row r="808" spans="1:14" outlineLevel="1">
      <c r="A808" s="266">
        <f>SUBTOTAL(3,$F$7:F808)</f>
        <v>637</v>
      </c>
      <c r="B808" s="225" t="s">
        <v>1599</v>
      </c>
      <c r="C808" s="224"/>
      <c r="D808" s="224"/>
      <c r="E808" s="224"/>
      <c r="F808" s="290" t="s">
        <v>570</v>
      </c>
      <c r="G808" s="291">
        <v>20</v>
      </c>
      <c r="H808" s="291"/>
      <c r="I808" s="291"/>
      <c r="J808" s="292"/>
      <c r="K808" s="292"/>
      <c r="L808" s="292"/>
      <c r="M808" s="292"/>
      <c r="N808" s="225"/>
    </row>
    <row r="809" spans="1:14" outlineLevel="1">
      <c r="A809" s="266">
        <f>SUBTOTAL(3,$F$7:F825)</f>
        <v>654</v>
      </c>
      <c r="B809" s="225" t="s">
        <v>1560</v>
      </c>
      <c r="C809" s="224"/>
      <c r="D809" s="224"/>
      <c r="E809" s="224"/>
      <c r="F809" s="290" t="s">
        <v>570</v>
      </c>
      <c r="G809" s="291">
        <v>20</v>
      </c>
      <c r="H809" s="291"/>
      <c r="I809" s="291"/>
      <c r="J809" s="292"/>
      <c r="K809" s="292"/>
      <c r="L809" s="292"/>
      <c r="M809" s="292"/>
      <c r="N809" s="225"/>
    </row>
    <row r="810" spans="1:14" outlineLevel="1">
      <c r="A810" s="266">
        <f>SUBTOTAL(3,$F$7:F810)</f>
        <v>639</v>
      </c>
      <c r="B810" s="225" t="s">
        <v>1600</v>
      </c>
      <c r="C810" s="224"/>
      <c r="D810" s="224"/>
      <c r="E810" s="224"/>
      <c r="F810" s="290" t="s">
        <v>570</v>
      </c>
      <c r="G810" s="291">
        <v>53</v>
      </c>
      <c r="H810" s="291"/>
      <c r="I810" s="291"/>
      <c r="J810" s="292"/>
      <c r="K810" s="292"/>
      <c r="L810" s="292"/>
      <c r="M810" s="292"/>
      <c r="N810" s="225"/>
    </row>
    <row r="811" spans="1:14" outlineLevel="1">
      <c r="A811" s="266">
        <f>SUBTOTAL(3,$F$7:F964)</f>
        <v>746</v>
      </c>
      <c r="B811" s="225" t="s">
        <v>1560</v>
      </c>
      <c r="C811" s="224"/>
      <c r="D811" s="224"/>
      <c r="E811" s="224"/>
      <c r="F811" s="290" t="s">
        <v>570</v>
      </c>
      <c r="G811" s="291">
        <v>53</v>
      </c>
      <c r="H811" s="291"/>
      <c r="I811" s="291"/>
      <c r="J811" s="292"/>
      <c r="K811" s="292"/>
      <c r="L811" s="292"/>
      <c r="M811" s="292"/>
      <c r="N811" s="225"/>
    </row>
    <row r="812" spans="1:14" outlineLevel="1">
      <c r="A812" s="266">
        <f>SUBTOTAL(3,$F$7:F812)</f>
        <v>641</v>
      </c>
      <c r="B812" s="225" t="s">
        <v>1601</v>
      </c>
      <c r="C812" s="224"/>
      <c r="D812" s="224"/>
      <c r="E812" s="224"/>
      <c r="F812" s="290" t="s">
        <v>570</v>
      </c>
      <c r="G812" s="291">
        <v>212</v>
      </c>
      <c r="H812" s="291"/>
      <c r="I812" s="291"/>
      <c r="J812" s="292"/>
      <c r="K812" s="292"/>
      <c r="L812" s="292"/>
      <c r="M812" s="292"/>
      <c r="N812" s="225"/>
    </row>
    <row r="813" spans="1:14" outlineLevel="1">
      <c r="A813" s="266">
        <f>SUBTOTAL(3,$F$7:F817)</f>
        <v>646</v>
      </c>
      <c r="B813" s="225" t="s">
        <v>1556</v>
      </c>
      <c r="C813" s="224"/>
      <c r="D813" s="224"/>
      <c r="E813" s="224"/>
      <c r="F813" s="290" t="s">
        <v>570</v>
      </c>
      <c r="G813" s="291">
        <v>212</v>
      </c>
      <c r="H813" s="291"/>
      <c r="I813" s="291"/>
      <c r="J813" s="292"/>
      <c r="K813" s="292"/>
      <c r="L813" s="292"/>
      <c r="M813" s="292"/>
      <c r="N813" s="225"/>
    </row>
    <row r="814" spans="1:14" outlineLevel="1">
      <c r="A814" s="266">
        <f>SUBTOTAL(3,$F$7:F814)</f>
        <v>643</v>
      </c>
      <c r="B814" s="225" t="s">
        <v>1602</v>
      </c>
      <c r="C814" s="224"/>
      <c r="D814" s="224"/>
      <c r="E814" s="224"/>
      <c r="F814" s="290" t="s">
        <v>570</v>
      </c>
      <c r="G814" s="291">
        <v>1215</v>
      </c>
      <c r="H814" s="291"/>
      <c r="I814" s="291"/>
      <c r="J814" s="292"/>
      <c r="K814" s="292"/>
      <c r="L814" s="292"/>
      <c r="M814" s="292"/>
      <c r="N814" s="225"/>
    </row>
    <row r="815" spans="1:14" outlineLevel="1">
      <c r="A815" s="266">
        <f>SUBTOTAL(3,$F$7:F825)</f>
        <v>654</v>
      </c>
      <c r="B815" s="225" t="s">
        <v>1556</v>
      </c>
      <c r="C815" s="224"/>
      <c r="D815" s="224"/>
      <c r="E815" s="224"/>
      <c r="F815" s="290" t="s">
        <v>570</v>
      </c>
      <c r="G815" s="291">
        <v>1215</v>
      </c>
      <c r="H815" s="291"/>
      <c r="I815" s="291"/>
      <c r="J815" s="292"/>
      <c r="K815" s="292"/>
      <c r="L815" s="292"/>
      <c r="M815" s="292"/>
      <c r="N815" s="225"/>
    </row>
    <row r="816" spans="1:14" outlineLevel="1">
      <c r="A816" s="266">
        <f>SUBTOTAL(3,$F$7:F816)</f>
        <v>645</v>
      </c>
      <c r="B816" s="225" t="s">
        <v>1603</v>
      </c>
      <c r="C816" s="224"/>
      <c r="D816" s="224"/>
      <c r="E816" s="224"/>
      <c r="F816" s="290" t="s">
        <v>570</v>
      </c>
      <c r="G816" s="291">
        <v>321</v>
      </c>
      <c r="H816" s="291"/>
      <c r="I816" s="291"/>
      <c r="J816" s="292"/>
      <c r="K816" s="292"/>
      <c r="L816" s="292"/>
      <c r="M816" s="292"/>
      <c r="N816" s="225"/>
    </row>
    <row r="817" spans="1:98" outlineLevel="1">
      <c r="A817" s="266">
        <f>SUBTOTAL(3,$F$7:F817)</f>
        <v>646</v>
      </c>
      <c r="B817" s="225" t="s">
        <v>1556</v>
      </c>
      <c r="C817" s="224"/>
      <c r="D817" s="224"/>
      <c r="E817" s="224"/>
      <c r="F817" s="290" t="s">
        <v>570</v>
      </c>
      <c r="G817" s="291">
        <v>321</v>
      </c>
      <c r="H817" s="291"/>
      <c r="I817" s="291"/>
      <c r="J817" s="292"/>
      <c r="K817" s="292"/>
      <c r="L817" s="292"/>
      <c r="M817" s="292"/>
      <c r="N817" s="225"/>
    </row>
    <row r="818" spans="1:98" outlineLevel="1">
      <c r="A818" s="266">
        <f>SUBTOTAL(3,$F$7:F818)</f>
        <v>647</v>
      </c>
      <c r="B818" s="225" t="s">
        <v>1604</v>
      </c>
      <c r="C818" s="224"/>
      <c r="D818" s="224"/>
      <c r="E818" s="224"/>
      <c r="F818" s="290" t="s">
        <v>570</v>
      </c>
      <c r="G818" s="291">
        <v>68</v>
      </c>
      <c r="H818" s="291"/>
      <c r="I818" s="291"/>
      <c r="J818" s="292"/>
      <c r="K818" s="292"/>
      <c r="L818" s="292"/>
      <c r="M818" s="292"/>
      <c r="N818" s="225"/>
    </row>
    <row r="819" spans="1:98" outlineLevel="1">
      <c r="A819" s="266">
        <f>SUBTOTAL(3,$F$7:F829)</f>
        <v>657</v>
      </c>
      <c r="B819" s="225" t="s">
        <v>1556</v>
      </c>
      <c r="C819" s="224"/>
      <c r="D819" s="224"/>
      <c r="E819" s="224"/>
      <c r="F819" s="290" t="s">
        <v>570</v>
      </c>
      <c r="G819" s="291">
        <v>68</v>
      </c>
      <c r="H819" s="291"/>
      <c r="I819" s="291"/>
      <c r="J819" s="292"/>
      <c r="K819" s="292"/>
      <c r="L819" s="292"/>
      <c r="M819" s="292"/>
      <c r="N819" s="225"/>
    </row>
    <row r="820" spans="1:98" outlineLevel="1">
      <c r="A820" s="266">
        <f>SUBTOTAL(3,$F$7:F820)</f>
        <v>649</v>
      </c>
      <c r="B820" s="225" t="s">
        <v>1605</v>
      </c>
      <c r="C820" s="224"/>
      <c r="D820" s="224"/>
      <c r="E820" s="224"/>
      <c r="F820" s="290" t="s">
        <v>570</v>
      </c>
      <c r="G820" s="291">
        <v>600</v>
      </c>
      <c r="H820" s="291"/>
      <c r="I820" s="291"/>
      <c r="J820" s="292"/>
      <c r="K820" s="292"/>
      <c r="L820" s="292"/>
      <c r="M820" s="292"/>
      <c r="N820" s="225"/>
    </row>
    <row r="821" spans="1:98" outlineLevel="1">
      <c r="A821" s="266">
        <f>SUBTOTAL(3,$F$7:F821)</f>
        <v>650</v>
      </c>
      <c r="B821" s="225" t="s">
        <v>1606</v>
      </c>
      <c r="C821" s="224"/>
      <c r="D821" s="224"/>
      <c r="E821" s="224"/>
      <c r="F821" s="290" t="s">
        <v>570</v>
      </c>
      <c r="G821" s="291">
        <v>3286</v>
      </c>
      <c r="H821" s="291"/>
      <c r="I821" s="291"/>
      <c r="J821" s="292"/>
      <c r="K821" s="292"/>
      <c r="L821" s="292"/>
      <c r="M821" s="292"/>
      <c r="N821" s="225"/>
    </row>
    <row r="822" spans="1:98" ht="27.6" outlineLevel="1">
      <c r="A822" s="266">
        <f>SUBTOTAL(3,$F$7:F822)</f>
        <v>651</v>
      </c>
      <c r="B822" s="225" t="s">
        <v>1607</v>
      </c>
      <c r="C822" s="224"/>
      <c r="D822" s="224"/>
      <c r="E822" s="224" t="s">
        <v>1608</v>
      </c>
      <c r="F822" s="290" t="s">
        <v>570</v>
      </c>
      <c r="G822" s="291">
        <v>1857</v>
      </c>
      <c r="H822" s="291"/>
      <c r="I822" s="291"/>
      <c r="J822" s="292"/>
      <c r="K822" s="292"/>
      <c r="L822" s="292"/>
      <c r="M822" s="292"/>
      <c r="N822" s="225"/>
    </row>
    <row r="823" spans="1:98" ht="41.4" outlineLevel="1">
      <c r="A823" s="266">
        <f>SUBTOTAL(3,$F$7:F823)</f>
        <v>652</v>
      </c>
      <c r="B823" s="225" t="s">
        <v>1551</v>
      </c>
      <c r="C823" s="224" t="s">
        <v>1557</v>
      </c>
      <c r="D823" s="224"/>
      <c r="E823" s="224"/>
      <c r="F823" s="290" t="s">
        <v>570</v>
      </c>
      <c r="G823" s="291">
        <v>2957</v>
      </c>
      <c r="H823" s="291"/>
      <c r="I823" s="291"/>
      <c r="J823" s="292"/>
      <c r="K823" s="292"/>
      <c r="L823" s="292"/>
      <c r="M823" s="292"/>
      <c r="N823" s="225"/>
    </row>
    <row r="824" spans="1:98" outlineLevel="1">
      <c r="A824" s="266">
        <f>SUBTOTAL(3,$F$7:F824)</f>
        <v>653</v>
      </c>
      <c r="B824" s="225" t="s">
        <v>1609</v>
      </c>
      <c r="C824" s="224"/>
      <c r="D824" s="224"/>
      <c r="E824" s="224"/>
      <c r="F824" s="290" t="s">
        <v>570</v>
      </c>
      <c r="G824" s="291">
        <v>207</v>
      </c>
      <c r="H824" s="291"/>
      <c r="I824" s="291"/>
      <c r="J824" s="292"/>
      <c r="K824" s="292"/>
      <c r="L824" s="292"/>
      <c r="M824" s="292"/>
      <c r="N824" s="225"/>
    </row>
    <row r="825" spans="1:98" outlineLevel="1">
      <c r="A825" s="266">
        <f>SUBTOTAL(3,$F$7:F825)</f>
        <v>654</v>
      </c>
      <c r="B825" s="225" t="s">
        <v>1553</v>
      </c>
      <c r="C825" s="224"/>
      <c r="D825" s="224"/>
      <c r="E825" s="224"/>
      <c r="F825" s="290" t="s">
        <v>570</v>
      </c>
      <c r="G825" s="291">
        <v>329</v>
      </c>
      <c r="H825" s="291"/>
      <c r="I825" s="291"/>
      <c r="J825" s="292"/>
      <c r="K825" s="292"/>
      <c r="L825" s="292"/>
      <c r="M825" s="292"/>
      <c r="N825" s="225"/>
    </row>
    <row r="826" spans="1:98" s="270" customFormat="1" outlineLevel="1">
      <c r="A826" s="289"/>
      <c r="B826" s="295" t="s">
        <v>1610</v>
      </c>
      <c r="C826" s="219"/>
      <c r="D826" s="219"/>
      <c r="E826" s="219"/>
      <c r="F826" s="296"/>
      <c r="G826" s="291">
        <v>0</v>
      </c>
      <c r="H826" s="297"/>
      <c r="I826" s="297"/>
      <c r="J826" s="298"/>
      <c r="K826" s="298"/>
      <c r="L826" s="298"/>
      <c r="M826" s="298"/>
      <c r="N826" s="295"/>
      <c r="O826" s="279"/>
      <c r="P826" s="279"/>
      <c r="Q826" s="279"/>
      <c r="R826" s="279"/>
      <c r="S826" s="279"/>
      <c r="T826" s="279"/>
      <c r="U826" s="279"/>
      <c r="V826" s="279"/>
      <c r="W826" s="279"/>
      <c r="X826" s="279"/>
      <c r="Y826" s="279"/>
      <c r="Z826" s="279"/>
      <c r="AA826" s="279"/>
      <c r="AB826" s="279"/>
      <c r="AC826" s="279"/>
      <c r="AD826" s="279"/>
      <c r="AE826" s="279"/>
      <c r="AF826" s="279"/>
      <c r="AG826" s="279"/>
      <c r="AH826" s="279"/>
      <c r="AI826" s="279"/>
      <c r="AJ826" s="279"/>
      <c r="AK826" s="279"/>
      <c r="AL826" s="279"/>
      <c r="AM826" s="279"/>
      <c r="AN826" s="279"/>
      <c r="AO826" s="279"/>
      <c r="AP826" s="279"/>
      <c r="AQ826" s="279"/>
      <c r="AR826" s="279"/>
      <c r="AS826" s="279"/>
      <c r="AT826" s="279"/>
      <c r="AU826" s="279"/>
      <c r="AV826" s="279"/>
      <c r="AW826" s="279"/>
      <c r="AX826" s="279"/>
      <c r="AY826" s="279"/>
      <c r="AZ826" s="279"/>
      <c r="BA826" s="279"/>
      <c r="BB826" s="279"/>
      <c r="BC826" s="279"/>
      <c r="BD826" s="279"/>
      <c r="BE826" s="279"/>
      <c r="BF826" s="279"/>
      <c r="BG826" s="279"/>
      <c r="BH826" s="279"/>
      <c r="BI826" s="279"/>
      <c r="BJ826" s="279"/>
      <c r="BK826" s="279"/>
      <c r="BL826" s="279"/>
      <c r="BM826" s="279"/>
      <c r="BN826" s="279"/>
      <c r="BO826" s="279"/>
      <c r="BP826" s="279"/>
      <c r="BQ826" s="279"/>
      <c r="BR826" s="279"/>
      <c r="BS826" s="279"/>
      <c r="BT826" s="279"/>
      <c r="BU826" s="279"/>
      <c r="BV826" s="279"/>
      <c r="BW826" s="279"/>
      <c r="BX826" s="279"/>
      <c r="BY826" s="279"/>
      <c r="BZ826" s="279"/>
      <c r="CA826" s="279"/>
      <c r="CB826" s="279"/>
      <c r="CC826" s="279"/>
      <c r="CD826" s="279"/>
      <c r="CE826" s="279"/>
      <c r="CF826" s="279"/>
      <c r="CG826" s="279"/>
      <c r="CH826" s="279"/>
      <c r="CI826" s="279"/>
      <c r="CJ826" s="279"/>
      <c r="CK826" s="279"/>
      <c r="CL826" s="279"/>
      <c r="CM826" s="279"/>
      <c r="CN826" s="279"/>
      <c r="CO826" s="279"/>
      <c r="CP826" s="279"/>
      <c r="CQ826" s="279"/>
      <c r="CR826" s="279"/>
      <c r="CS826" s="279"/>
      <c r="CT826" s="279"/>
    </row>
    <row r="827" spans="1:98" outlineLevel="1">
      <c r="A827" s="266">
        <f>SUBTOTAL(3,$F$7:F827)</f>
        <v>655</v>
      </c>
      <c r="B827" s="225" t="s">
        <v>1611</v>
      </c>
      <c r="C827" s="224"/>
      <c r="D827" s="224"/>
      <c r="E827" s="224"/>
      <c r="F827" s="290" t="s">
        <v>570</v>
      </c>
      <c r="G827" s="291">
        <v>29</v>
      </c>
      <c r="H827" s="291"/>
      <c r="I827" s="291"/>
      <c r="J827" s="292"/>
      <c r="K827" s="292"/>
      <c r="L827" s="292"/>
      <c r="M827" s="292"/>
      <c r="N827" s="225"/>
    </row>
    <row r="828" spans="1:98" outlineLevel="1">
      <c r="A828" s="266">
        <f>SUBTOTAL(3,$F$7:F828)</f>
        <v>656</v>
      </c>
      <c r="B828" s="225" t="s">
        <v>1612</v>
      </c>
      <c r="C828" s="224"/>
      <c r="D828" s="224"/>
      <c r="E828" s="224"/>
      <c r="F828" s="290" t="s">
        <v>570</v>
      </c>
      <c r="G828" s="291">
        <v>29</v>
      </c>
      <c r="H828" s="291"/>
      <c r="I828" s="291"/>
      <c r="J828" s="292"/>
      <c r="K828" s="292"/>
      <c r="L828" s="292"/>
      <c r="M828" s="292"/>
      <c r="N828" s="225"/>
    </row>
    <row r="829" spans="1:98" outlineLevel="1">
      <c r="A829" s="266">
        <f>SUBTOTAL(3,$F$7:F829)</f>
        <v>657</v>
      </c>
      <c r="B829" s="225" t="s">
        <v>1602</v>
      </c>
      <c r="C829" s="224"/>
      <c r="D829" s="224"/>
      <c r="E829" s="224"/>
      <c r="F829" s="290" t="s">
        <v>570</v>
      </c>
      <c r="G829" s="291">
        <v>14</v>
      </c>
      <c r="H829" s="291"/>
      <c r="I829" s="291"/>
      <c r="J829" s="292"/>
      <c r="K829" s="292"/>
      <c r="L829" s="292"/>
      <c r="M829" s="292"/>
      <c r="N829" s="225"/>
    </row>
    <row r="830" spans="1:98" outlineLevel="1">
      <c r="A830" s="266">
        <f>SUBTOTAL(3,$F$7:F969)</f>
        <v>748</v>
      </c>
      <c r="B830" s="225" t="s">
        <v>1556</v>
      </c>
      <c r="C830" s="224"/>
      <c r="D830" s="224"/>
      <c r="E830" s="224"/>
      <c r="F830" s="290" t="s">
        <v>570</v>
      </c>
      <c r="G830" s="291">
        <v>14</v>
      </c>
      <c r="H830" s="291"/>
      <c r="I830" s="291"/>
      <c r="J830" s="292"/>
      <c r="K830" s="292"/>
      <c r="L830" s="292"/>
      <c r="M830" s="292"/>
      <c r="N830" s="225"/>
    </row>
    <row r="831" spans="1:98" s="270" customFormat="1" outlineLevel="1">
      <c r="A831" s="289"/>
      <c r="B831" s="295" t="s">
        <v>1613</v>
      </c>
      <c r="C831" s="219"/>
      <c r="D831" s="219"/>
      <c r="E831" s="219"/>
      <c r="F831" s="296"/>
      <c r="G831" s="291">
        <v>0</v>
      </c>
      <c r="H831" s="297"/>
      <c r="I831" s="297"/>
      <c r="J831" s="298"/>
      <c r="K831" s="298"/>
      <c r="L831" s="298"/>
      <c r="M831" s="298"/>
      <c r="N831" s="295"/>
      <c r="O831" s="279"/>
      <c r="P831" s="279"/>
      <c r="Q831" s="279"/>
      <c r="R831" s="279"/>
      <c r="S831" s="279"/>
      <c r="T831" s="279"/>
      <c r="U831" s="279"/>
      <c r="V831" s="279"/>
      <c r="W831" s="279"/>
      <c r="X831" s="279"/>
      <c r="Y831" s="279"/>
      <c r="Z831" s="279"/>
      <c r="AA831" s="279"/>
      <c r="AB831" s="279"/>
      <c r="AC831" s="279"/>
      <c r="AD831" s="279"/>
      <c r="AE831" s="279"/>
      <c r="AF831" s="279"/>
      <c r="AG831" s="279"/>
      <c r="AH831" s="279"/>
      <c r="AI831" s="279"/>
      <c r="AJ831" s="279"/>
      <c r="AK831" s="279"/>
      <c r="AL831" s="279"/>
      <c r="AM831" s="279"/>
      <c r="AN831" s="279"/>
      <c r="AO831" s="279"/>
      <c r="AP831" s="279"/>
      <c r="AQ831" s="279"/>
      <c r="AR831" s="279"/>
      <c r="AS831" s="279"/>
      <c r="AT831" s="279"/>
      <c r="AU831" s="279"/>
      <c r="AV831" s="279"/>
      <c r="AW831" s="279"/>
      <c r="AX831" s="279"/>
      <c r="AY831" s="279"/>
      <c r="AZ831" s="279"/>
      <c r="BA831" s="279"/>
      <c r="BB831" s="279"/>
      <c r="BC831" s="279"/>
      <c r="BD831" s="279"/>
      <c r="BE831" s="279"/>
      <c r="BF831" s="279"/>
      <c r="BG831" s="279"/>
      <c r="BH831" s="279"/>
      <c r="BI831" s="279"/>
      <c r="BJ831" s="279"/>
      <c r="BK831" s="279"/>
      <c r="BL831" s="279"/>
      <c r="BM831" s="279"/>
      <c r="BN831" s="279"/>
      <c r="BO831" s="279"/>
      <c r="BP831" s="279"/>
      <c r="BQ831" s="279"/>
      <c r="BR831" s="279"/>
      <c r="BS831" s="279"/>
      <c r="BT831" s="279"/>
      <c r="BU831" s="279"/>
      <c r="BV831" s="279"/>
      <c r="BW831" s="279"/>
      <c r="BX831" s="279"/>
      <c r="BY831" s="279"/>
      <c r="BZ831" s="279"/>
      <c r="CA831" s="279"/>
      <c r="CB831" s="279"/>
      <c r="CC831" s="279"/>
      <c r="CD831" s="279"/>
      <c r="CE831" s="279"/>
      <c r="CF831" s="279"/>
      <c r="CG831" s="279"/>
      <c r="CH831" s="279"/>
      <c r="CI831" s="279"/>
      <c r="CJ831" s="279"/>
      <c r="CK831" s="279"/>
      <c r="CL831" s="279"/>
      <c r="CM831" s="279"/>
      <c r="CN831" s="279"/>
      <c r="CO831" s="279"/>
      <c r="CP831" s="279"/>
      <c r="CQ831" s="279"/>
      <c r="CR831" s="279"/>
      <c r="CS831" s="279"/>
      <c r="CT831" s="279"/>
    </row>
    <row r="832" spans="1:98" outlineLevel="1">
      <c r="A832" s="266"/>
      <c r="B832" s="295" t="s">
        <v>1614</v>
      </c>
      <c r="C832" s="219"/>
      <c r="D832" s="219"/>
      <c r="E832" s="219"/>
      <c r="F832" s="290"/>
      <c r="G832" s="291">
        <v>0</v>
      </c>
      <c r="H832" s="291"/>
      <c r="I832" s="291"/>
      <c r="J832" s="292"/>
      <c r="K832" s="292"/>
      <c r="L832" s="292"/>
      <c r="M832" s="292"/>
      <c r="N832" s="225"/>
    </row>
    <row r="833" spans="1:14" outlineLevel="1">
      <c r="A833" s="266">
        <f>SUBTOTAL(3,$F$7:F833)</f>
        <v>659</v>
      </c>
      <c r="B833" s="225" t="s">
        <v>1568</v>
      </c>
      <c r="C833" s="224"/>
      <c r="D833" s="224"/>
      <c r="E833" s="224"/>
      <c r="F833" s="290" t="s">
        <v>570</v>
      </c>
      <c r="G833" s="291">
        <v>10</v>
      </c>
      <c r="H833" s="291"/>
      <c r="I833" s="291"/>
      <c r="J833" s="292"/>
      <c r="K833" s="292"/>
      <c r="L833" s="292"/>
      <c r="M833" s="292"/>
      <c r="N833" s="225"/>
    </row>
    <row r="834" spans="1:14" outlineLevel="1">
      <c r="A834" s="266">
        <f>SUBTOTAL(3,$F$7:F834)</f>
        <v>660</v>
      </c>
      <c r="B834" s="225" t="s">
        <v>1569</v>
      </c>
      <c r="C834" s="224"/>
      <c r="D834" s="224"/>
      <c r="E834" s="224"/>
      <c r="F834" s="290" t="s">
        <v>570</v>
      </c>
      <c r="G834" s="291">
        <v>10</v>
      </c>
      <c r="H834" s="291"/>
      <c r="I834" s="291"/>
      <c r="J834" s="292"/>
      <c r="K834" s="292"/>
      <c r="L834" s="292"/>
      <c r="M834" s="292"/>
      <c r="N834" s="225"/>
    </row>
    <row r="835" spans="1:14" outlineLevel="1">
      <c r="A835" s="266"/>
      <c r="B835" s="295" t="s">
        <v>1615</v>
      </c>
      <c r="C835" s="219"/>
      <c r="D835" s="219"/>
      <c r="E835" s="219"/>
      <c r="F835" s="290"/>
      <c r="G835" s="291">
        <v>0</v>
      </c>
      <c r="H835" s="291"/>
      <c r="I835" s="291"/>
      <c r="J835" s="292"/>
      <c r="K835" s="292"/>
      <c r="L835" s="292"/>
      <c r="M835" s="292"/>
      <c r="N835" s="225"/>
    </row>
    <row r="836" spans="1:14" outlineLevel="1">
      <c r="A836" s="266">
        <f>SUBTOTAL(3,$F$7:F836)</f>
        <v>661</v>
      </c>
      <c r="B836" s="225" t="s">
        <v>1568</v>
      </c>
      <c r="C836" s="224"/>
      <c r="D836" s="224"/>
      <c r="E836" s="224"/>
      <c r="F836" s="290" t="s">
        <v>570</v>
      </c>
      <c r="G836" s="291">
        <v>86</v>
      </c>
      <c r="H836" s="291"/>
      <c r="I836" s="291"/>
      <c r="J836" s="292"/>
      <c r="K836" s="292"/>
      <c r="L836" s="292"/>
      <c r="M836" s="292"/>
      <c r="N836" s="225"/>
    </row>
    <row r="837" spans="1:14" outlineLevel="1">
      <c r="A837" s="266">
        <f>SUBTOTAL(3,$F$7:F837)</f>
        <v>662</v>
      </c>
      <c r="B837" s="225" t="s">
        <v>1569</v>
      </c>
      <c r="C837" s="224"/>
      <c r="D837" s="224"/>
      <c r="E837" s="224"/>
      <c r="F837" s="290" t="s">
        <v>570</v>
      </c>
      <c r="G837" s="291">
        <v>86</v>
      </c>
      <c r="H837" s="291"/>
      <c r="I837" s="291"/>
      <c r="J837" s="292"/>
      <c r="K837" s="292"/>
      <c r="L837" s="292"/>
      <c r="M837" s="292"/>
      <c r="N837" s="225"/>
    </row>
    <row r="838" spans="1:14" outlineLevel="1">
      <c r="A838" s="266"/>
      <c r="B838" s="295" t="s">
        <v>1616</v>
      </c>
      <c r="C838" s="219"/>
      <c r="D838" s="219"/>
      <c r="E838" s="219"/>
      <c r="F838" s="290"/>
      <c r="G838" s="291">
        <v>0</v>
      </c>
      <c r="H838" s="291"/>
      <c r="I838" s="291"/>
      <c r="J838" s="292"/>
      <c r="K838" s="292"/>
      <c r="L838" s="292"/>
      <c r="M838" s="292"/>
      <c r="N838" s="225"/>
    </row>
    <row r="839" spans="1:14" outlineLevel="1">
      <c r="A839" s="266">
        <f>SUBTOTAL(3,$F$7:F839)</f>
        <v>663</v>
      </c>
      <c r="B839" s="225" t="s">
        <v>1570</v>
      </c>
      <c r="C839" s="224"/>
      <c r="D839" s="224"/>
      <c r="E839" s="224"/>
      <c r="F839" s="290" t="s">
        <v>570</v>
      </c>
      <c r="G839" s="291">
        <v>99</v>
      </c>
      <c r="H839" s="291"/>
      <c r="I839" s="291"/>
      <c r="J839" s="292"/>
      <c r="K839" s="292"/>
      <c r="L839" s="292"/>
      <c r="M839" s="292"/>
      <c r="N839" s="225"/>
    </row>
    <row r="840" spans="1:14" outlineLevel="1">
      <c r="A840" s="266">
        <f>SUBTOTAL(3,$F$7:F840)</f>
        <v>664</v>
      </c>
      <c r="B840" s="225" t="s">
        <v>1569</v>
      </c>
      <c r="C840" s="224"/>
      <c r="D840" s="224"/>
      <c r="E840" s="224"/>
      <c r="F840" s="290" t="s">
        <v>570</v>
      </c>
      <c r="G840" s="291">
        <v>99</v>
      </c>
      <c r="H840" s="291"/>
      <c r="I840" s="291"/>
      <c r="J840" s="292"/>
      <c r="K840" s="292"/>
      <c r="L840" s="292"/>
      <c r="M840" s="292"/>
      <c r="N840" s="225"/>
    </row>
    <row r="841" spans="1:14" outlineLevel="1">
      <c r="A841" s="266"/>
      <c r="B841" s="295" t="s">
        <v>1617</v>
      </c>
      <c r="C841" s="219"/>
      <c r="D841" s="219"/>
      <c r="E841" s="219"/>
      <c r="F841" s="290"/>
      <c r="G841" s="291">
        <v>0</v>
      </c>
      <c r="H841" s="291"/>
      <c r="I841" s="291"/>
      <c r="J841" s="292"/>
      <c r="K841" s="292"/>
      <c r="L841" s="292"/>
      <c r="M841" s="292"/>
      <c r="N841" s="225"/>
    </row>
    <row r="842" spans="1:14" outlineLevel="1">
      <c r="A842" s="266">
        <f>SUBTOTAL(3,$F$7:F842)</f>
        <v>665</v>
      </c>
      <c r="B842" s="225" t="s">
        <v>1568</v>
      </c>
      <c r="C842" s="224"/>
      <c r="D842" s="224"/>
      <c r="E842" s="224"/>
      <c r="F842" s="290" t="s">
        <v>570</v>
      </c>
      <c r="G842" s="291">
        <v>39</v>
      </c>
      <c r="H842" s="291"/>
      <c r="I842" s="291"/>
      <c r="J842" s="292"/>
      <c r="K842" s="292"/>
      <c r="L842" s="292"/>
      <c r="M842" s="292"/>
      <c r="N842" s="225"/>
    </row>
    <row r="843" spans="1:14" outlineLevel="1">
      <c r="A843" s="266">
        <f>SUBTOTAL(3,$F$7:F843)</f>
        <v>666</v>
      </c>
      <c r="B843" s="225" t="s">
        <v>1569</v>
      </c>
      <c r="C843" s="224"/>
      <c r="D843" s="224"/>
      <c r="E843" s="224"/>
      <c r="F843" s="290" t="s">
        <v>570</v>
      </c>
      <c r="G843" s="291">
        <v>39</v>
      </c>
      <c r="H843" s="291"/>
      <c r="I843" s="291"/>
      <c r="J843" s="292"/>
      <c r="K843" s="292"/>
      <c r="L843" s="292"/>
      <c r="M843" s="292"/>
      <c r="N843" s="225"/>
    </row>
    <row r="844" spans="1:14" outlineLevel="1">
      <c r="A844" s="266"/>
      <c r="B844" s="295" t="s">
        <v>1618</v>
      </c>
      <c r="C844" s="219"/>
      <c r="D844" s="219"/>
      <c r="E844" s="219"/>
      <c r="F844" s="290"/>
      <c r="G844" s="291">
        <v>0</v>
      </c>
      <c r="H844" s="291"/>
      <c r="I844" s="291"/>
      <c r="J844" s="292"/>
      <c r="K844" s="292"/>
      <c r="L844" s="292"/>
      <c r="M844" s="292"/>
      <c r="N844" s="225"/>
    </row>
    <row r="845" spans="1:14" outlineLevel="1">
      <c r="A845" s="266">
        <f>SUBTOTAL(3,$F$7:F845)</f>
        <v>667</v>
      </c>
      <c r="B845" s="225" t="s">
        <v>1566</v>
      </c>
      <c r="C845" s="224"/>
      <c r="D845" s="224"/>
      <c r="E845" s="224"/>
      <c r="F845" s="290" t="s">
        <v>570</v>
      </c>
      <c r="G845" s="291">
        <v>72</v>
      </c>
      <c r="H845" s="291"/>
      <c r="I845" s="291"/>
      <c r="J845" s="292"/>
      <c r="K845" s="292"/>
      <c r="L845" s="292"/>
      <c r="M845" s="292"/>
      <c r="N845" s="225"/>
    </row>
    <row r="846" spans="1:14" outlineLevel="1">
      <c r="A846" s="266">
        <f>SUBTOTAL(3,$F$7:F846)</f>
        <v>668</v>
      </c>
      <c r="B846" s="225" t="s">
        <v>1567</v>
      </c>
      <c r="C846" s="224"/>
      <c r="D846" s="224"/>
      <c r="E846" s="224"/>
      <c r="F846" s="290" t="s">
        <v>570</v>
      </c>
      <c r="G846" s="291">
        <v>72</v>
      </c>
      <c r="H846" s="291"/>
      <c r="I846" s="291"/>
      <c r="J846" s="292"/>
      <c r="K846" s="292"/>
      <c r="L846" s="292"/>
      <c r="M846" s="292"/>
      <c r="N846" s="225"/>
    </row>
    <row r="847" spans="1:14" outlineLevel="1">
      <c r="A847" s="266"/>
      <c r="B847" s="295" t="s">
        <v>1619</v>
      </c>
      <c r="C847" s="219"/>
      <c r="D847" s="219"/>
      <c r="E847" s="219"/>
      <c r="F847" s="290"/>
      <c r="G847" s="291">
        <v>0</v>
      </c>
      <c r="H847" s="291"/>
      <c r="I847" s="291"/>
      <c r="J847" s="292"/>
      <c r="K847" s="292"/>
      <c r="L847" s="292"/>
      <c r="M847" s="292"/>
      <c r="N847" s="225"/>
    </row>
    <row r="848" spans="1:14" outlineLevel="1">
      <c r="A848" s="266">
        <f>SUBTOTAL(3,$F$7:F848)</f>
        <v>669</v>
      </c>
      <c r="B848" s="225" t="s">
        <v>1570</v>
      </c>
      <c r="C848" s="224"/>
      <c r="D848" s="224"/>
      <c r="E848" s="224"/>
      <c r="F848" s="290" t="s">
        <v>570</v>
      </c>
      <c r="G848" s="291">
        <v>66</v>
      </c>
      <c r="H848" s="291"/>
      <c r="I848" s="291"/>
      <c r="J848" s="292"/>
      <c r="K848" s="292"/>
      <c r="L848" s="292"/>
      <c r="M848" s="292"/>
      <c r="N848" s="225"/>
    </row>
    <row r="849" spans="1:14" outlineLevel="1">
      <c r="A849" s="266">
        <f>SUBTOTAL(3,$F$7:F849)</f>
        <v>670</v>
      </c>
      <c r="B849" s="225" t="s">
        <v>1569</v>
      </c>
      <c r="C849" s="224"/>
      <c r="D849" s="224"/>
      <c r="E849" s="224"/>
      <c r="F849" s="290" t="s">
        <v>570</v>
      </c>
      <c r="G849" s="291">
        <v>66</v>
      </c>
      <c r="H849" s="291"/>
      <c r="I849" s="291"/>
      <c r="J849" s="292"/>
      <c r="K849" s="292"/>
      <c r="L849" s="292"/>
      <c r="M849" s="292"/>
      <c r="N849" s="225"/>
    </row>
    <row r="850" spans="1:14" outlineLevel="1">
      <c r="A850" s="266"/>
      <c r="B850" s="295" t="s">
        <v>1620</v>
      </c>
      <c r="C850" s="219"/>
      <c r="D850" s="219"/>
      <c r="E850" s="219"/>
      <c r="F850" s="290"/>
      <c r="G850" s="291">
        <v>0</v>
      </c>
      <c r="H850" s="291"/>
      <c r="I850" s="291"/>
      <c r="J850" s="292"/>
      <c r="K850" s="292"/>
      <c r="L850" s="292"/>
      <c r="M850" s="292"/>
      <c r="N850" s="225"/>
    </row>
    <row r="851" spans="1:14" outlineLevel="1">
      <c r="A851" s="266">
        <f>SUBTOTAL(3,$F$7:F851)</f>
        <v>671</v>
      </c>
      <c r="B851" s="225" t="s">
        <v>1568</v>
      </c>
      <c r="C851" s="224"/>
      <c r="D851" s="224"/>
      <c r="E851" s="224"/>
      <c r="F851" s="290" t="s">
        <v>570</v>
      </c>
      <c r="G851" s="291">
        <v>26</v>
      </c>
      <c r="H851" s="291"/>
      <c r="I851" s="291"/>
      <c r="J851" s="292"/>
      <c r="K851" s="292"/>
      <c r="L851" s="292"/>
      <c r="M851" s="292"/>
      <c r="N851" s="225"/>
    </row>
    <row r="852" spans="1:14" outlineLevel="1">
      <c r="A852" s="266">
        <f>SUBTOTAL(3,$F$7:F852)</f>
        <v>672</v>
      </c>
      <c r="B852" s="225" t="s">
        <v>1569</v>
      </c>
      <c r="C852" s="224"/>
      <c r="D852" s="224"/>
      <c r="E852" s="224"/>
      <c r="F852" s="290" t="s">
        <v>570</v>
      </c>
      <c r="G852" s="291">
        <v>26</v>
      </c>
      <c r="H852" s="291"/>
      <c r="I852" s="291"/>
      <c r="J852" s="292"/>
      <c r="K852" s="292"/>
      <c r="L852" s="292"/>
      <c r="M852" s="292"/>
      <c r="N852" s="225"/>
    </row>
    <row r="853" spans="1:14" outlineLevel="1">
      <c r="A853" s="266"/>
      <c r="B853" s="295" t="s">
        <v>1621</v>
      </c>
      <c r="C853" s="219"/>
      <c r="D853" s="219"/>
      <c r="E853" s="219"/>
      <c r="F853" s="290"/>
      <c r="G853" s="291">
        <v>0</v>
      </c>
      <c r="H853" s="291"/>
      <c r="I853" s="291"/>
      <c r="J853" s="292"/>
      <c r="K853" s="292"/>
      <c r="L853" s="292"/>
      <c r="M853" s="292"/>
      <c r="N853" s="225"/>
    </row>
    <row r="854" spans="1:14" outlineLevel="1">
      <c r="A854" s="266">
        <f>SUBTOTAL(3,$F$7:F854)</f>
        <v>673</v>
      </c>
      <c r="B854" s="225" t="s">
        <v>1568</v>
      </c>
      <c r="C854" s="224"/>
      <c r="D854" s="224"/>
      <c r="E854" s="224"/>
      <c r="F854" s="290" t="s">
        <v>570</v>
      </c>
      <c r="G854" s="291">
        <v>48</v>
      </c>
      <c r="H854" s="291"/>
      <c r="I854" s="291"/>
      <c r="J854" s="292"/>
      <c r="K854" s="292"/>
      <c r="L854" s="292"/>
      <c r="M854" s="292"/>
      <c r="N854" s="225"/>
    </row>
    <row r="855" spans="1:14" outlineLevel="1">
      <c r="A855" s="266">
        <f>SUBTOTAL(3,$F$7:F855)</f>
        <v>674</v>
      </c>
      <c r="B855" s="225" t="s">
        <v>1569</v>
      </c>
      <c r="C855" s="224"/>
      <c r="D855" s="224"/>
      <c r="E855" s="224"/>
      <c r="F855" s="290" t="s">
        <v>570</v>
      </c>
      <c r="G855" s="291">
        <v>48</v>
      </c>
      <c r="H855" s="291"/>
      <c r="I855" s="291"/>
      <c r="J855" s="292"/>
      <c r="K855" s="292"/>
      <c r="L855" s="292"/>
      <c r="M855" s="292"/>
      <c r="N855" s="225"/>
    </row>
    <row r="856" spans="1:14" outlineLevel="1">
      <c r="A856" s="266"/>
      <c r="B856" s="295" t="s">
        <v>1622</v>
      </c>
      <c r="C856" s="219"/>
      <c r="D856" s="219"/>
      <c r="E856" s="219"/>
      <c r="F856" s="290"/>
      <c r="G856" s="291">
        <v>0</v>
      </c>
      <c r="H856" s="291"/>
      <c r="I856" s="291"/>
      <c r="J856" s="292"/>
      <c r="K856" s="292"/>
      <c r="L856" s="292"/>
      <c r="M856" s="292"/>
      <c r="N856" s="225"/>
    </row>
    <row r="857" spans="1:14" outlineLevel="1">
      <c r="A857" s="266">
        <f>SUBTOTAL(3,$F$7:F857)</f>
        <v>675</v>
      </c>
      <c r="B857" s="225" t="s">
        <v>1623</v>
      </c>
      <c r="C857" s="224"/>
      <c r="D857" s="224"/>
      <c r="E857" s="224"/>
      <c r="F857" s="290" t="s">
        <v>570</v>
      </c>
      <c r="G857" s="291">
        <v>33</v>
      </c>
      <c r="H857" s="291"/>
      <c r="I857" s="291"/>
      <c r="J857" s="292"/>
      <c r="K857" s="292"/>
      <c r="L857" s="292"/>
      <c r="M857" s="292"/>
      <c r="N857" s="225"/>
    </row>
    <row r="858" spans="1:14" outlineLevel="1">
      <c r="A858" s="266">
        <f>SUBTOTAL(3,$F$7:F858)</f>
        <v>676</v>
      </c>
      <c r="B858" s="225" t="s">
        <v>1569</v>
      </c>
      <c r="C858" s="224"/>
      <c r="D858" s="224"/>
      <c r="E858" s="224"/>
      <c r="F858" s="290" t="s">
        <v>570</v>
      </c>
      <c r="G858" s="291">
        <v>33</v>
      </c>
      <c r="H858" s="291"/>
      <c r="I858" s="291"/>
      <c r="J858" s="292"/>
      <c r="K858" s="292"/>
      <c r="L858" s="292"/>
      <c r="M858" s="292"/>
      <c r="N858" s="225"/>
    </row>
    <row r="859" spans="1:14" outlineLevel="1">
      <c r="A859" s="266"/>
      <c r="B859" s="295" t="s">
        <v>1624</v>
      </c>
      <c r="C859" s="219"/>
      <c r="D859" s="219"/>
      <c r="E859" s="219"/>
      <c r="F859" s="290"/>
      <c r="G859" s="291">
        <v>0</v>
      </c>
      <c r="H859" s="291"/>
      <c r="I859" s="291"/>
      <c r="J859" s="292"/>
      <c r="K859" s="292"/>
      <c r="L859" s="292"/>
      <c r="M859" s="292"/>
      <c r="N859" s="225"/>
    </row>
    <row r="860" spans="1:14" outlineLevel="1">
      <c r="A860" s="266">
        <f>SUBTOTAL(3,$F$7:F860)</f>
        <v>677</v>
      </c>
      <c r="B860" s="225" t="s">
        <v>1568</v>
      </c>
      <c r="C860" s="224"/>
      <c r="D860" s="224"/>
      <c r="E860" s="224"/>
      <c r="F860" s="290" t="s">
        <v>570</v>
      </c>
      <c r="G860" s="291">
        <v>13</v>
      </c>
      <c r="H860" s="291"/>
      <c r="I860" s="291"/>
      <c r="J860" s="292"/>
      <c r="K860" s="292"/>
      <c r="L860" s="292"/>
      <c r="M860" s="292"/>
      <c r="N860" s="225"/>
    </row>
    <row r="861" spans="1:14" outlineLevel="1">
      <c r="A861" s="266">
        <f>SUBTOTAL(3,$F$7:F861)</f>
        <v>678</v>
      </c>
      <c r="B861" s="225" t="s">
        <v>1569</v>
      </c>
      <c r="C861" s="224"/>
      <c r="D861" s="224"/>
      <c r="E861" s="224"/>
      <c r="F861" s="290" t="s">
        <v>570</v>
      </c>
      <c r="G861" s="291">
        <v>13</v>
      </c>
      <c r="H861" s="291"/>
      <c r="I861" s="291"/>
      <c r="J861" s="292"/>
      <c r="K861" s="292"/>
      <c r="L861" s="292"/>
      <c r="M861" s="292"/>
      <c r="N861" s="225"/>
    </row>
    <row r="862" spans="1:14" outlineLevel="1">
      <c r="A862" s="266"/>
      <c r="B862" s="295" t="s">
        <v>1625</v>
      </c>
      <c r="C862" s="219"/>
      <c r="D862" s="219"/>
      <c r="E862" s="219"/>
      <c r="F862" s="290"/>
      <c r="G862" s="291">
        <v>0</v>
      </c>
      <c r="H862" s="291"/>
      <c r="I862" s="291"/>
      <c r="J862" s="292"/>
      <c r="K862" s="292"/>
      <c r="L862" s="292"/>
      <c r="M862" s="292"/>
      <c r="N862" s="225"/>
    </row>
    <row r="863" spans="1:14" outlineLevel="1">
      <c r="A863" s="266">
        <f>SUBTOTAL(3,$F$7:F863)</f>
        <v>679</v>
      </c>
      <c r="B863" s="225" t="s">
        <v>1568</v>
      </c>
      <c r="C863" s="224"/>
      <c r="D863" s="224"/>
      <c r="E863" s="224"/>
      <c r="F863" s="290" t="s">
        <v>570</v>
      </c>
      <c r="G863" s="291">
        <v>24</v>
      </c>
      <c r="H863" s="291"/>
      <c r="I863" s="291"/>
      <c r="J863" s="292"/>
      <c r="K863" s="292"/>
      <c r="L863" s="292"/>
      <c r="M863" s="292"/>
      <c r="N863" s="225"/>
    </row>
    <row r="864" spans="1:14" outlineLevel="1">
      <c r="A864" s="266">
        <f>SUBTOTAL(3,$F$7:F864)</f>
        <v>680</v>
      </c>
      <c r="B864" s="225" t="s">
        <v>1569</v>
      </c>
      <c r="C864" s="224"/>
      <c r="D864" s="224"/>
      <c r="E864" s="224"/>
      <c r="F864" s="290" t="s">
        <v>570</v>
      </c>
      <c r="G864" s="291">
        <v>24</v>
      </c>
      <c r="H864" s="291"/>
      <c r="I864" s="291"/>
      <c r="J864" s="292"/>
      <c r="K864" s="292"/>
      <c r="L864" s="292"/>
      <c r="M864" s="292"/>
      <c r="N864" s="225"/>
    </row>
    <row r="865" spans="1:14" outlineLevel="1">
      <c r="A865" s="266"/>
      <c r="B865" s="295" t="s">
        <v>1626</v>
      </c>
      <c r="C865" s="219"/>
      <c r="D865" s="219"/>
      <c r="E865" s="219"/>
      <c r="F865" s="290"/>
      <c r="G865" s="291">
        <v>0</v>
      </c>
      <c r="H865" s="291"/>
      <c r="I865" s="291"/>
      <c r="J865" s="292"/>
      <c r="K865" s="292"/>
      <c r="L865" s="292"/>
      <c r="M865" s="292"/>
      <c r="N865" s="225"/>
    </row>
    <row r="866" spans="1:14" outlineLevel="1">
      <c r="A866" s="266">
        <f>SUBTOTAL(3,$F$7:F866)</f>
        <v>681</v>
      </c>
      <c r="B866" s="225" t="s">
        <v>1568</v>
      </c>
      <c r="C866" s="224"/>
      <c r="D866" s="224"/>
      <c r="E866" s="224"/>
      <c r="F866" s="290" t="s">
        <v>570</v>
      </c>
      <c r="G866" s="291">
        <v>33</v>
      </c>
      <c r="H866" s="291"/>
      <c r="I866" s="291"/>
      <c r="J866" s="292"/>
      <c r="K866" s="292"/>
      <c r="L866" s="292"/>
      <c r="M866" s="292"/>
      <c r="N866" s="225"/>
    </row>
    <row r="867" spans="1:14" outlineLevel="1">
      <c r="A867" s="266">
        <f>SUBTOTAL(3,$F$7:F867)</f>
        <v>682</v>
      </c>
      <c r="B867" s="225" t="s">
        <v>1569</v>
      </c>
      <c r="C867" s="224"/>
      <c r="D867" s="224"/>
      <c r="E867" s="224"/>
      <c r="F867" s="290" t="s">
        <v>570</v>
      </c>
      <c r="G867" s="291">
        <v>33</v>
      </c>
      <c r="H867" s="291"/>
      <c r="I867" s="291"/>
      <c r="J867" s="292"/>
      <c r="K867" s="292"/>
      <c r="L867" s="292"/>
      <c r="M867" s="292"/>
      <c r="N867" s="225"/>
    </row>
    <row r="868" spans="1:14" outlineLevel="1">
      <c r="A868" s="266"/>
      <c r="B868" s="295" t="s">
        <v>1627</v>
      </c>
      <c r="C868" s="219"/>
      <c r="D868" s="219"/>
      <c r="E868" s="219"/>
      <c r="F868" s="290"/>
      <c r="G868" s="291">
        <v>0</v>
      </c>
      <c r="H868" s="291"/>
      <c r="I868" s="291"/>
      <c r="J868" s="292"/>
      <c r="K868" s="292"/>
      <c r="L868" s="292"/>
      <c r="M868" s="292"/>
      <c r="N868" s="225"/>
    </row>
    <row r="869" spans="1:14" outlineLevel="1">
      <c r="A869" s="266">
        <f>SUBTOTAL(3,$F$7:F869)</f>
        <v>683</v>
      </c>
      <c r="B869" s="225" t="s">
        <v>1623</v>
      </c>
      <c r="C869" s="224"/>
      <c r="D869" s="224"/>
      <c r="E869" s="224"/>
      <c r="F869" s="290" t="s">
        <v>570</v>
      </c>
      <c r="G869" s="291">
        <v>13</v>
      </c>
      <c r="H869" s="291"/>
      <c r="I869" s="291"/>
      <c r="J869" s="292"/>
      <c r="K869" s="292"/>
      <c r="L869" s="292"/>
      <c r="M869" s="292"/>
      <c r="N869" s="225"/>
    </row>
    <row r="870" spans="1:14" outlineLevel="1">
      <c r="A870" s="266">
        <f>SUBTOTAL(3,$F$7:F870)</f>
        <v>684</v>
      </c>
      <c r="B870" s="225" t="s">
        <v>1569</v>
      </c>
      <c r="C870" s="224"/>
      <c r="D870" s="224"/>
      <c r="E870" s="224"/>
      <c r="F870" s="290" t="s">
        <v>570</v>
      </c>
      <c r="G870" s="291">
        <v>13</v>
      </c>
      <c r="H870" s="291"/>
      <c r="I870" s="291"/>
      <c r="J870" s="292"/>
      <c r="K870" s="292"/>
      <c r="L870" s="292"/>
      <c r="M870" s="292"/>
      <c r="N870" s="225"/>
    </row>
    <row r="871" spans="1:14" outlineLevel="1">
      <c r="A871" s="266"/>
      <c r="B871" s="295" t="s">
        <v>1628</v>
      </c>
      <c r="C871" s="219"/>
      <c r="D871" s="219"/>
      <c r="E871" s="219"/>
      <c r="F871" s="290"/>
      <c r="G871" s="291">
        <v>0</v>
      </c>
      <c r="H871" s="291"/>
      <c r="I871" s="291"/>
      <c r="J871" s="292"/>
      <c r="K871" s="292"/>
      <c r="L871" s="292"/>
      <c r="M871" s="292"/>
      <c r="N871" s="225"/>
    </row>
    <row r="872" spans="1:14" outlineLevel="1">
      <c r="A872" s="266">
        <f>SUBTOTAL(3,$F$7:F872)</f>
        <v>685</v>
      </c>
      <c r="B872" s="225" t="s">
        <v>1568</v>
      </c>
      <c r="C872" s="224"/>
      <c r="D872" s="224"/>
      <c r="E872" s="224"/>
      <c r="F872" s="290" t="s">
        <v>570</v>
      </c>
      <c r="G872" s="291">
        <v>33</v>
      </c>
      <c r="H872" s="291"/>
      <c r="I872" s="291"/>
      <c r="J872" s="292"/>
      <c r="K872" s="292"/>
      <c r="L872" s="292"/>
      <c r="M872" s="292"/>
      <c r="N872" s="225"/>
    </row>
    <row r="873" spans="1:14" outlineLevel="1">
      <c r="A873" s="266">
        <f>SUBTOTAL(3,$F$7:F873)</f>
        <v>686</v>
      </c>
      <c r="B873" s="225" t="s">
        <v>1569</v>
      </c>
      <c r="C873" s="224"/>
      <c r="D873" s="224"/>
      <c r="E873" s="224"/>
      <c r="F873" s="290" t="s">
        <v>570</v>
      </c>
      <c r="G873" s="291">
        <v>33</v>
      </c>
      <c r="H873" s="291"/>
      <c r="I873" s="291"/>
      <c r="J873" s="292"/>
      <c r="K873" s="292"/>
      <c r="L873" s="292"/>
      <c r="M873" s="292"/>
      <c r="N873" s="225"/>
    </row>
    <row r="874" spans="1:14" outlineLevel="1">
      <c r="A874" s="266"/>
      <c r="B874" s="295" t="s">
        <v>1629</v>
      </c>
      <c r="C874" s="219"/>
      <c r="D874" s="219"/>
      <c r="E874" s="219"/>
      <c r="F874" s="290"/>
      <c r="G874" s="291">
        <v>0</v>
      </c>
      <c r="H874" s="291"/>
      <c r="I874" s="291"/>
      <c r="J874" s="292"/>
      <c r="K874" s="292"/>
      <c r="L874" s="292"/>
      <c r="M874" s="292"/>
      <c r="N874" s="225"/>
    </row>
    <row r="875" spans="1:14" outlineLevel="1">
      <c r="A875" s="266">
        <f>SUBTOTAL(3,$F$7:F875)</f>
        <v>687</v>
      </c>
      <c r="B875" s="225" t="s">
        <v>1568</v>
      </c>
      <c r="C875" s="224"/>
      <c r="D875" s="224"/>
      <c r="E875" s="224"/>
      <c r="F875" s="290" t="s">
        <v>570</v>
      </c>
      <c r="G875" s="291">
        <v>13</v>
      </c>
      <c r="H875" s="291"/>
      <c r="I875" s="291"/>
      <c r="J875" s="292"/>
      <c r="K875" s="292"/>
      <c r="L875" s="292"/>
      <c r="M875" s="292"/>
      <c r="N875" s="225"/>
    </row>
    <row r="876" spans="1:14" outlineLevel="1">
      <c r="A876" s="266">
        <f>SUBTOTAL(3,$F$7:F876)</f>
        <v>688</v>
      </c>
      <c r="B876" s="225" t="s">
        <v>1569</v>
      </c>
      <c r="C876" s="224"/>
      <c r="D876" s="224"/>
      <c r="E876" s="224"/>
      <c r="F876" s="290" t="s">
        <v>570</v>
      </c>
      <c r="G876" s="291">
        <v>13</v>
      </c>
      <c r="H876" s="291"/>
      <c r="I876" s="291"/>
      <c r="J876" s="292"/>
      <c r="K876" s="292"/>
      <c r="L876" s="292"/>
      <c r="M876" s="292"/>
      <c r="N876" s="225"/>
    </row>
    <row r="877" spans="1:14" outlineLevel="1">
      <c r="A877" s="266"/>
      <c r="B877" s="295" t="s">
        <v>1630</v>
      </c>
      <c r="C877" s="219"/>
      <c r="D877" s="219"/>
      <c r="E877" s="219"/>
      <c r="F877" s="290"/>
      <c r="G877" s="291">
        <v>0</v>
      </c>
      <c r="H877" s="291"/>
      <c r="I877" s="291"/>
      <c r="J877" s="292"/>
      <c r="K877" s="292"/>
      <c r="L877" s="292"/>
      <c r="M877" s="292"/>
      <c r="N877" s="225"/>
    </row>
    <row r="878" spans="1:14" outlineLevel="1">
      <c r="A878" s="266">
        <f>SUBTOTAL(3,$F$7:F878)</f>
        <v>689</v>
      </c>
      <c r="B878" s="225" t="s">
        <v>1568</v>
      </c>
      <c r="C878" s="224"/>
      <c r="D878" s="224"/>
      <c r="E878" s="224"/>
      <c r="F878" s="290" t="s">
        <v>570</v>
      </c>
      <c r="G878" s="291">
        <v>165</v>
      </c>
      <c r="H878" s="291"/>
      <c r="I878" s="291"/>
      <c r="J878" s="292"/>
      <c r="K878" s="292"/>
      <c r="L878" s="292"/>
      <c r="M878" s="292"/>
      <c r="N878" s="225"/>
    </row>
    <row r="879" spans="1:14" outlineLevel="1">
      <c r="A879" s="266">
        <f>SUBTOTAL(3,$F$7:F879)</f>
        <v>690</v>
      </c>
      <c r="B879" s="225" t="s">
        <v>1569</v>
      </c>
      <c r="C879" s="224"/>
      <c r="D879" s="224"/>
      <c r="E879" s="224"/>
      <c r="F879" s="290" t="s">
        <v>570</v>
      </c>
      <c r="G879" s="291">
        <v>165</v>
      </c>
      <c r="H879" s="291"/>
      <c r="I879" s="291"/>
      <c r="J879" s="292"/>
      <c r="K879" s="292"/>
      <c r="L879" s="292"/>
      <c r="M879" s="292"/>
      <c r="N879" s="225"/>
    </row>
    <row r="880" spans="1:14" outlineLevel="1">
      <c r="A880" s="266"/>
      <c r="B880" s="295" t="s">
        <v>1631</v>
      </c>
      <c r="C880" s="219"/>
      <c r="D880" s="219"/>
      <c r="E880" s="219"/>
      <c r="F880" s="290"/>
      <c r="G880" s="291">
        <v>0</v>
      </c>
      <c r="H880" s="291"/>
      <c r="I880" s="291"/>
      <c r="J880" s="292"/>
      <c r="K880" s="292"/>
      <c r="L880" s="292"/>
      <c r="M880" s="292"/>
      <c r="N880" s="225"/>
    </row>
    <row r="881" spans="1:14" outlineLevel="1">
      <c r="A881" s="266">
        <f>SUBTOTAL(3,$F$7:F881)</f>
        <v>691</v>
      </c>
      <c r="B881" s="225" t="s">
        <v>1568</v>
      </c>
      <c r="C881" s="224"/>
      <c r="D881" s="224"/>
      <c r="E881" s="224"/>
      <c r="F881" s="290" t="s">
        <v>570</v>
      </c>
      <c r="G881" s="291">
        <v>135</v>
      </c>
      <c r="H881" s="291"/>
      <c r="I881" s="291"/>
      <c r="J881" s="292"/>
      <c r="K881" s="292"/>
      <c r="L881" s="292"/>
      <c r="M881" s="292"/>
      <c r="N881" s="225"/>
    </row>
    <row r="882" spans="1:14" outlineLevel="1">
      <c r="A882" s="266">
        <f>SUBTOTAL(3,$F$7:F882)</f>
        <v>692</v>
      </c>
      <c r="B882" s="225" t="s">
        <v>1569</v>
      </c>
      <c r="C882" s="224"/>
      <c r="D882" s="224"/>
      <c r="E882" s="224"/>
      <c r="F882" s="290" t="s">
        <v>570</v>
      </c>
      <c r="G882" s="291">
        <v>135</v>
      </c>
      <c r="H882" s="291"/>
      <c r="I882" s="291"/>
      <c r="J882" s="292"/>
      <c r="K882" s="292"/>
      <c r="L882" s="292"/>
      <c r="M882" s="292"/>
      <c r="N882" s="225"/>
    </row>
    <row r="883" spans="1:14" outlineLevel="1">
      <c r="A883" s="266"/>
      <c r="B883" s="295" t="s">
        <v>1632</v>
      </c>
      <c r="C883" s="219"/>
      <c r="D883" s="219"/>
      <c r="E883" s="219"/>
      <c r="F883" s="290"/>
      <c r="G883" s="291">
        <v>0</v>
      </c>
      <c r="H883" s="291"/>
      <c r="I883" s="291"/>
      <c r="J883" s="292"/>
      <c r="K883" s="292"/>
      <c r="L883" s="292"/>
      <c r="M883" s="292"/>
      <c r="N883" s="225"/>
    </row>
    <row r="884" spans="1:14" outlineLevel="1">
      <c r="A884" s="266">
        <f>SUBTOTAL(3,$F$7:F884)</f>
        <v>693</v>
      </c>
      <c r="B884" s="225" t="s">
        <v>1566</v>
      </c>
      <c r="C884" s="224"/>
      <c r="D884" s="224"/>
      <c r="E884" s="224"/>
      <c r="F884" s="290" t="s">
        <v>570</v>
      </c>
      <c r="G884" s="291">
        <v>80</v>
      </c>
      <c r="H884" s="291"/>
      <c r="I884" s="291"/>
      <c r="J884" s="292"/>
      <c r="K884" s="292"/>
      <c r="L884" s="292"/>
      <c r="M884" s="292"/>
      <c r="N884" s="225"/>
    </row>
    <row r="885" spans="1:14" outlineLevel="1">
      <c r="A885" s="266">
        <f>SUBTOTAL(3,$F$7:F885)</f>
        <v>694</v>
      </c>
      <c r="B885" s="225" t="s">
        <v>1567</v>
      </c>
      <c r="C885" s="224"/>
      <c r="D885" s="224"/>
      <c r="E885" s="224"/>
      <c r="F885" s="290" t="s">
        <v>570</v>
      </c>
      <c r="G885" s="291">
        <v>80</v>
      </c>
      <c r="H885" s="291"/>
      <c r="I885" s="291"/>
      <c r="J885" s="292"/>
      <c r="K885" s="292"/>
      <c r="L885" s="292"/>
      <c r="M885" s="292"/>
      <c r="N885" s="225"/>
    </row>
    <row r="886" spans="1:14" outlineLevel="1">
      <c r="A886" s="266"/>
      <c r="B886" s="295" t="s">
        <v>1633</v>
      </c>
      <c r="C886" s="219"/>
      <c r="D886" s="219"/>
      <c r="E886" s="219"/>
      <c r="F886" s="290"/>
      <c r="G886" s="291">
        <v>0</v>
      </c>
      <c r="H886" s="291"/>
      <c r="I886" s="291"/>
      <c r="J886" s="292"/>
      <c r="K886" s="292"/>
      <c r="L886" s="292"/>
      <c r="M886" s="292"/>
      <c r="N886" s="225"/>
    </row>
    <row r="887" spans="1:14" outlineLevel="1">
      <c r="A887" s="266">
        <f>SUBTOTAL(3,$F$7:F887)</f>
        <v>695</v>
      </c>
      <c r="B887" s="225" t="s">
        <v>1564</v>
      </c>
      <c r="C887" s="224"/>
      <c r="D887" s="224"/>
      <c r="E887" s="224"/>
      <c r="F887" s="290" t="s">
        <v>570</v>
      </c>
      <c r="G887" s="291">
        <v>80</v>
      </c>
      <c r="H887" s="291"/>
      <c r="I887" s="291"/>
      <c r="J887" s="292"/>
      <c r="K887" s="292"/>
      <c r="L887" s="292"/>
      <c r="M887" s="292"/>
      <c r="N887" s="225"/>
    </row>
    <row r="888" spans="1:14" outlineLevel="1">
      <c r="A888" s="266">
        <f>SUBTOTAL(3,$F$7:F888)</f>
        <v>696</v>
      </c>
      <c r="B888" s="225" t="s">
        <v>1565</v>
      </c>
      <c r="C888" s="224"/>
      <c r="D888" s="224"/>
      <c r="E888" s="224"/>
      <c r="F888" s="290" t="s">
        <v>570</v>
      </c>
      <c r="G888" s="291">
        <v>80</v>
      </c>
      <c r="H888" s="291"/>
      <c r="I888" s="291"/>
      <c r="J888" s="292"/>
      <c r="K888" s="292"/>
      <c r="L888" s="292"/>
      <c r="M888" s="292"/>
      <c r="N888" s="225"/>
    </row>
    <row r="889" spans="1:14" outlineLevel="1">
      <c r="A889" s="266"/>
      <c r="B889" s="295" t="s">
        <v>1634</v>
      </c>
      <c r="C889" s="219"/>
      <c r="D889" s="219"/>
      <c r="E889" s="219"/>
      <c r="F889" s="290"/>
      <c r="G889" s="291">
        <v>0</v>
      </c>
      <c r="H889" s="291"/>
      <c r="I889" s="291"/>
      <c r="J889" s="292"/>
      <c r="K889" s="292"/>
      <c r="L889" s="292"/>
      <c r="M889" s="292"/>
      <c r="N889" s="225"/>
    </row>
    <row r="890" spans="1:14" outlineLevel="1">
      <c r="A890" s="266">
        <f>SUBTOTAL(3,$F$7:F890)</f>
        <v>697</v>
      </c>
      <c r="B890" s="225" t="s">
        <v>1566</v>
      </c>
      <c r="C890" s="224"/>
      <c r="D890" s="224"/>
      <c r="E890" s="224"/>
      <c r="F890" s="290" t="s">
        <v>570</v>
      </c>
      <c r="G890" s="291">
        <v>80</v>
      </c>
      <c r="H890" s="291"/>
      <c r="I890" s="291"/>
      <c r="J890" s="292"/>
      <c r="K890" s="292"/>
      <c r="L890" s="292"/>
      <c r="M890" s="292"/>
      <c r="N890" s="225"/>
    </row>
    <row r="891" spans="1:14" outlineLevel="1">
      <c r="A891" s="266">
        <f>SUBTOTAL(3,$F$7:F891)</f>
        <v>698</v>
      </c>
      <c r="B891" s="225" t="s">
        <v>1567</v>
      </c>
      <c r="C891" s="224"/>
      <c r="D891" s="224"/>
      <c r="E891" s="224"/>
      <c r="F891" s="290" t="s">
        <v>570</v>
      </c>
      <c r="G891" s="291">
        <v>80</v>
      </c>
      <c r="H891" s="291"/>
      <c r="I891" s="291"/>
      <c r="J891" s="292"/>
      <c r="K891" s="292"/>
      <c r="L891" s="292"/>
      <c r="M891" s="292"/>
      <c r="N891" s="225"/>
    </row>
    <row r="892" spans="1:14" outlineLevel="1">
      <c r="A892" s="266"/>
      <c r="B892" s="295" t="s">
        <v>1635</v>
      </c>
      <c r="C892" s="219"/>
      <c r="D892" s="219"/>
      <c r="E892" s="219"/>
      <c r="F892" s="290"/>
      <c r="G892" s="291">
        <v>0</v>
      </c>
      <c r="H892" s="291"/>
      <c r="I892" s="291"/>
      <c r="J892" s="292"/>
      <c r="K892" s="292"/>
      <c r="L892" s="292"/>
      <c r="M892" s="292"/>
      <c r="N892" s="225"/>
    </row>
    <row r="893" spans="1:14" outlineLevel="1">
      <c r="A893" s="266">
        <f>SUBTOTAL(3,$F$7:F893)</f>
        <v>699</v>
      </c>
      <c r="B893" s="225" t="s">
        <v>1566</v>
      </c>
      <c r="C893" s="224"/>
      <c r="D893" s="224"/>
      <c r="E893" s="224"/>
      <c r="F893" s="290" t="s">
        <v>570</v>
      </c>
      <c r="G893" s="291">
        <v>95</v>
      </c>
      <c r="H893" s="291"/>
      <c r="I893" s="291"/>
      <c r="J893" s="292"/>
      <c r="K893" s="292"/>
      <c r="L893" s="292"/>
      <c r="M893" s="292"/>
      <c r="N893" s="225"/>
    </row>
    <row r="894" spans="1:14" outlineLevel="1">
      <c r="A894" s="266">
        <f>SUBTOTAL(3,$F$7:F894)</f>
        <v>700</v>
      </c>
      <c r="B894" s="225" t="s">
        <v>1567</v>
      </c>
      <c r="C894" s="224"/>
      <c r="D894" s="224"/>
      <c r="E894" s="224"/>
      <c r="F894" s="290" t="s">
        <v>570</v>
      </c>
      <c r="G894" s="291">
        <v>95</v>
      </c>
      <c r="H894" s="291"/>
      <c r="I894" s="291"/>
      <c r="J894" s="292"/>
      <c r="K894" s="292"/>
      <c r="L894" s="292"/>
      <c r="M894" s="292"/>
      <c r="N894" s="225"/>
    </row>
    <row r="895" spans="1:14" outlineLevel="1">
      <c r="A895" s="266"/>
      <c r="B895" s="295" t="s">
        <v>1636</v>
      </c>
      <c r="C895" s="219"/>
      <c r="D895" s="219"/>
      <c r="E895" s="219"/>
      <c r="F895" s="290"/>
      <c r="G895" s="291">
        <v>0</v>
      </c>
      <c r="H895" s="291"/>
      <c r="I895" s="291"/>
      <c r="J895" s="292"/>
      <c r="K895" s="292"/>
      <c r="L895" s="292"/>
      <c r="M895" s="292"/>
      <c r="N895" s="225"/>
    </row>
    <row r="896" spans="1:14" outlineLevel="1">
      <c r="A896" s="266">
        <f>SUBTOTAL(3,$F$7:F896)</f>
        <v>701</v>
      </c>
      <c r="B896" s="225" t="s">
        <v>1568</v>
      </c>
      <c r="C896" s="224"/>
      <c r="D896" s="224"/>
      <c r="E896" s="224"/>
      <c r="F896" s="290" t="s">
        <v>570</v>
      </c>
      <c r="G896" s="291">
        <v>33</v>
      </c>
      <c r="H896" s="291"/>
      <c r="I896" s="291"/>
      <c r="J896" s="292"/>
      <c r="K896" s="292"/>
      <c r="L896" s="292"/>
      <c r="M896" s="292"/>
      <c r="N896" s="225"/>
    </row>
    <row r="897" spans="1:14" outlineLevel="1">
      <c r="A897" s="266">
        <f>SUBTOTAL(3,$F$7:F897)</f>
        <v>702</v>
      </c>
      <c r="B897" s="225" t="s">
        <v>1569</v>
      </c>
      <c r="C897" s="224"/>
      <c r="D897" s="224"/>
      <c r="E897" s="224"/>
      <c r="F897" s="290" t="s">
        <v>570</v>
      </c>
      <c r="G897" s="291">
        <v>33</v>
      </c>
      <c r="H897" s="291"/>
      <c r="I897" s="291"/>
      <c r="J897" s="292"/>
      <c r="K897" s="292"/>
      <c r="L897" s="292"/>
      <c r="M897" s="292"/>
      <c r="N897" s="225"/>
    </row>
    <row r="898" spans="1:14" outlineLevel="1">
      <c r="A898" s="266"/>
      <c r="B898" s="295" t="s">
        <v>1637</v>
      </c>
      <c r="C898" s="219"/>
      <c r="D898" s="219"/>
      <c r="E898" s="219"/>
      <c r="F898" s="290"/>
      <c r="G898" s="291">
        <v>0</v>
      </c>
      <c r="H898" s="291"/>
      <c r="I898" s="291"/>
      <c r="J898" s="292"/>
      <c r="K898" s="292"/>
      <c r="L898" s="292"/>
      <c r="M898" s="292"/>
      <c r="N898" s="225"/>
    </row>
    <row r="899" spans="1:14" outlineLevel="1">
      <c r="A899" s="266">
        <f>SUBTOTAL(3,$F$7:F899)</f>
        <v>703</v>
      </c>
      <c r="B899" s="225" t="s">
        <v>1568</v>
      </c>
      <c r="C899" s="224"/>
      <c r="D899" s="224"/>
      <c r="E899" s="224"/>
      <c r="F899" s="290" t="s">
        <v>570</v>
      </c>
      <c r="G899" s="291">
        <v>17</v>
      </c>
      <c r="H899" s="291"/>
      <c r="I899" s="291"/>
      <c r="J899" s="292"/>
      <c r="K899" s="292"/>
      <c r="L899" s="292"/>
      <c r="M899" s="292"/>
      <c r="N899" s="225"/>
    </row>
    <row r="900" spans="1:14" outlineLevel="1">
      <c r="A900" s="266">
        <f>SUBTOTAL(3,$F$7:F900)</f>
        <v>704</v>
      </c>
      <c r="B900" s="225" t="s">
        <v>1569</v>
      </c>
      <c r="C900" s="224"/>
      <c r="D900" s="224"/>
      <c r="E900" s="224"/>
      <c r="F900" s="290" t="s">
        <v>570</v>
      </c>
      <c r="G900" s="291">
        <v>17</v>
      </c>
      <c r="H900" s="291"/>
      <c r="I900" s="291"/>
      <c r="J900" s="292"/>
      <c r="K900" s="292"/>
      <c r="L900" s="292"/>
      <c r="M900" s="292"/>
      <c r="N900" s="225"/>
    </row>
    <row r="901" spans="1:14" outlineLevel="1">
      <c r="A901" s="266"/>
      <c r="B901" s="295" t="s">
        <v>1638</v>
      </c>
      <c r="C901" s="219"/>
      <c r="D901" s="219"/>
      <c r="E901" s="219"/>
      <c r="F901" s="290"/>
      <c r="G901" s="291">
        <v>0</v>
      </c>
      <c r="H901" s="291"/>
      <c r="I901" s="291"/>
      <c r="J901" s="292"/>
      <c r="K901" s="292"/>
      <c r="L901" s="292"/>
      <c r="M901" s="292"/>
      <c r="N901" s="225"/>
    </row>
    <row r="902" spans="1:14" outlineLevel="1">
      <c r="A902" s="266">
        <f>SUBTOTAL(3,$F$7:F902)</f>
        <v>705</v>
      </c>
      <c r="B902" s="225" t="s">
        <v>1568</v>
      </c>
      <c r="C902" s="224"/>
      <c r="D902" s="224"/>
      <c r="E902" s="224"/>
      <c r="F902" s="290" t="s">
        <v>570</v>
      </c>
      <c r="G902" s="291">
        <v>32</v>
      </c>
      <c r="H902" s="291"/>
      <c r="I902" s="291"/>
      <c r="J902" s="292"/>
      <c r="K902" s="292"/>
      <c r="L902" s="292"/>
      <c r="M902" s="292"/>
      <c r="N902" s="225"/>
    </row>
    <row r="903" spans="1:14" outlineLevel="1">
      <c r="A903" s="266">
        <f>SUBTOTAL(3,$F$7:F903)</f>
        <v>706</v>
      </c>
      <c r="B903" s="225" t="s">
        <v>1569</v>
      </c>
      <c r="C903" s="224"/>
      <c r="D903" s="224"/>
      <c r="E903" s="224"/>
      <c r="F903" s="290" t="s">
        <v>570</v>
      </c>
      <c r="G903" s="291">
        <v>32</v>
      </c>
      <c r="H903" s="291"/>
      <c r="I903" s="291"/>
      <c r="J903" s="292"/>
      <c r="K903" s="292"/>
      <c r="L903" s="292"/>
      <c r="M903" s="292"/>
      <c r="N903" s="225"/>
    </row>
    <row r="904" spans="1:14" outlineLevel="1">
      <c r="A904" s="266"/>
      <c r="B904" s="295" t="s">
        <v>1639</v>
      </c>
      <c r="C904" s="219"/>
      <c r="D904" s="219"/>
      <c r="E904" s="219"/>
      <c r="F904" s="290"/>
      <c r="G904" s="291">
        <v>0</v>
      </c>
      <c r="H904" s="291"/>
      <c r="I904" s="291"/>
      <c r="J904" s="292"/>
      <c r="K904" s="292"/>
      <c r="L904" s="292"/>
      <c r="M904" s="292"/>
      <c r="N904" s="225"/>
    </row>
    <row r="905" spans="1:14" outlineLevel="1">
      <c r="A905" s="266">
        <f>SUBTOTAL(3,$F$7:F905)</f>
        <v>707</v>
      </c>
      <c r="B905" s="225" t="s">
        <v>1568</v>
      </c>
      <c r="C905" s="224"/>
      <c r="D905" s="224"/>
      <c r="E905" s="224"/>
      <c r="F905" s="290" t="s">
        <v>570</v>
      </c>
      <c r="G905" s="291">
        <v>24</v>
      </c>
      <c r="H905" s="291"/>
      <c r="I905" s="291"/>
      <c r="J905" s="292"/>
      <c r="K905" s="292"/>
      <c r="L905" s="292"/>
      <c r="M905" s="292"/>
      <c r="N905" s="225"/>
    </row>
    <row r="906" spans="1:14" outlineLevel="1">
      <c r="A906" s="266">
        <f>SUBTOTAL(3,$F$7:F906)</f>
        <v>708</v>
      </c>
      <c r="B906" s="225" t="s">
        <v>1569</v>
      </c>
      <c r="C906" s="224"/>
      <c r="D906" s="224"/>
      <c r="E906" s="224"/>
      <c r="F906" s="290" t="s">
        <v>570</v>
      </c>
      <c r="G906" s="291">
        <v>24</v>
      </c>
      <c r="H906" s="291"/>
      <c r="I906" s="291"/>
      <c r="J906" s="292"/>
      <c r="K906" s="292"/>
      <c r="L906" s="292"/>
      <c r="M906" s="292"/>
      <c r="N906" s="225"/>
    </row>
    <row r="907" spans="1:14" outlineLevel="1">
      <c r="A907" s="266"/>
      <c r="B907" s="295" t="s">
        <v>1640</v>
      </c>
      <c r="C907" s="219"/>
      <c r="D907" s="219"/>
      <c r="E907" s="219"/>
      <c r="F907" s="290"/>
      <c r="G907" s="291">
        <v>0</v>
      </c>
      <c r="H907" s="291"/>
      <c r="I907" s="291"/>
      <c r="J907" s="292"/>
      <c r="K907" s="292"/>
      <c r="L907" s="292"/>
      <c r="M907" s="292"/>
      <c r="N907" s="225"/>
    </row>
    <row r="908" spans="1:14" outlineLevel="1">
      <c r="A908" s="266">
        <f>SUBTOTAL(3,$F$7:F908)</f>
        <v>709</v>
      </c>
      <c r="B908" s="225" t="s">
        <v>1566</v>
      </c>
      <c r="C908" s="224"/>
      <c r="D908" s="224"/>
      <c r="E908" s="224"/>
      <c r="F908" s="290" t="s">
        <v>570</v>
      </c>
      <c r="G908" s="291">
        <v>48</v>
      </c>
      <c r="H908" s="291"/>
      <c r="I908" s="291"/>
      <c r="J908" s="292"/>
      <c r="K908" s="292"/>
      <c r="L908" s="292"/>
      <c r="M908" s="292"/>
      <c r="N908" s="225"/>
    </row>
    <row r="909" spans="1:14" outlineLevel="1">
      <c r="A909" s="266">
        <f>SUBTOTAL(3,$F$7:F909)</f>
        <v>710</v>
      </c>
      <c r="B909" s="225" t="s">
        <v>1567</v>
      </c>
      <c r="C909" s="224"/>
      <c r="D909" s="224"/>
      <c r="E909" s="224"/>
      <c r="F909" s="290" t="s">
        <v>570</v>
      </c>
      <c r="G909" s="291">
        <v>48</v>
      </c>
      <c r="H909" s="291"/>
      <c r="I909" s="291"/>
      <c r="J909" s="292"/>
      <c r="K909" s="292"/>
      <c r="L909" s="292"/>
      <c r="M909" s="292"/>
      <c r="N909" s="225"/>
    </row>
    <row r="910" spans="1:14" outlineLevel="1">
      <c r="A910" s="266"/>
      <c r="B910" s="295" t="s">
        <v>1641</v>
      </c>
      <c r="C910" s="219"/>
      <c r="D910" s="219"/>
      <c r="E910" s="219"/>
      <c r="F910" s="290"/>
      <c r="G910" s="291">
        <v>0</v>
      </c>
      <c r="H910" s="291"/>
      <c r="I910" s="291"/>
      <c r="J910" s="292"/>
      <c r="K910" s="292"/>
      <c r="L910" s="292"/>
      <c r="M910" s="292"/>
      <c r="N910" s="225"/>
    </row>
    <row r="911" spans="1:14" outlineLevel="1">
      <c r="A911" s="266">
        <f>SUBTOTAL(3,$F$7:F911)</f>
        <v>711</v>
      </c>
      <c r="B911" s="225" t="s">
        <v>1566</v>
      </c>
      <c r="C911" s="224"/>
      <c r="D911" s="224"/>
      <c r="E911" s="224"/>
      <c r="F911" s="290" t="s">
        <v>570</v>
      </c>
      <c r="G911" s="291">
        <v>56</v>
      </c>
      <c r="H911" s="291"/>
      <c r="I911" s="291"/>
      <c r="J911" s="292"/>
      <c r="K911" s="292"/>
      <c r="L911" s="292"/>
      <c r="M911" s="292"/>
      <c r="N911" s="225"/>
    </row>
    <row r="912" spans="1:14" outlineLevel="1">
      <c r="A912" s="266">
        <f>SUBTOTAL(3,$F$7:F912)</f>
        <v>712</v>
      </c>
      <c r="B912" s="225" t="s">
        <v>1567</v>
      </c>
      <c r="C912" s="224"/>
      <c r="D912" s="224"/>
      <c r="E912" s="224"/>
      <c r="F912" s="290" t="s">
        <v>570</v>
      </c>
      <c r="G912" s="291">
        <v>56</v>
      </c>
      <c r="H912" s="291"/>
      <c r="I912" s="291"/>
      <c r="J912" s="292"/>
      <c r="K912" s="292"/>
      <c r="L912" s="292"/>
      <c r="M912" s="292"/>
      <c r="N912" s="225"/>
    </row>
    <row r="913" spans="1:14" outlineLevel="1">
      <c r="A913" s="266"/>
      <c r="B913" s="295" t="s">
        <v>1642</v>
      </c>
      <c r="C913" s="219"/>
      <c r="D913" s="219"/>
      <c r="E913" s="219"/>
      <c r="F913" s="290"/>
      <c r="G913" s="291">
        <v>0</v>
      </c>
      <c r="H913" s="291"/>
      <c r="I913" s="291"/>
      <c r="J913" s="292"/>
      <c r="K913" s="292"/>
      <c r="L913" s="292"/>
      <c r="M913" s="292"/>
      <c r="N913" s="225"/>
    </row>
    <row r="914" spans="1:14" outlineLevel="1">
      <c r="A914" s="266">
        <f>SUBTOTAL(3,$F$7:F914)</f>
        <v>713</v>
      </c>
      <c r="B914" s="225" t="s">
        <v>1566</v>
      </c>
      <c r="C914" s="224"/>
      <c r="D914" s="224"/>
      <c r="E914" s="224"/>
      <c r="F914" s="290" t="s">
        <v>570</v>
      </c>
      <c r="G914" s="291">
        <v>52</v>
      </c>
      <c r="H914" s="291"/>
      <c r="I914" s="291"/>
      <c r="J914" s="292"/>
      <c r="K914" s="292"/>
      <c r="L914" s="292"/>
      <c r="M914" s="292"/>
      <c r="N914" s="225"/>
    </row>
    <row r="915" spans="1:14" outlineLevel="1">
      <c r="A915" s="266">
        <f>SUBTOTAL(3,$F$7:F915)</f>
        <v>714</v>
      </c>
      <c r="B915" s="225" t="s">
        <v>1567</v>
      </c>
      <c r="C915" s="224"/>
      <c r="D915" s="224"/>
      <c r="E915" s="224"/>
      <c r="F915" s="290" t="s">
        <v>570</v>
      </c>
      <c r="G915" s="291">
        <v>52</v>
      </c>
      <c r="H915" s="291"/>
      <c r="I915" s="291"/>
      <c r="J915" s="292"/>
      <c r="K915" s="292"/>
      <c r="L915" s="292"/>
      <c r="M915" s="292"/>
      <c r="N915" s="225"/>
    </row>
    <row r="916" spans="1:14" outlineLevel="1">
      <c r="A916" s="266"/>
      <c r="B916" s="295" t="s">
        <v>1643</v>
      </c>
      <c r="C916" s="219"/>
      <c r="D916" s="219"/>
      <c r="E916" s="219"/>
      <c r="F916" s="290"/>
      <c r="G916" s="291">
        <v>0</v>
      </c>
      <c r="H916" s="291"/>
      <c r="I916" s="291"/>
      <c r="J916" s="292"/>
      <c r="K916" s="292"/>
      <c r="L916" s="292"/>
      <c r="M916" s="292"/>
      <c r="N916" s="225"/>
    </row>
    <row r="917" spans="1:14" outlineLevel="1">
      <c r="A917" s="266">
        <f>SUBTOTAL(3,$F$7:F917)</f>
        <v>715</v>
      </c>
      <c r="B917" s="225" t="s">
        <v>1566</v>
      </c>
      <c r="C917" s="224"/>
      <c r="D917" s="224"/>
      <c r="E917" s="224"/>
      <c r="F917" s="290" t="s">
        <v>570</v>
      </c>
      <c r="G917" s="291">
        <v>24</v>
      </c>
      <c r="H917" s="291"/>
      <c r="I917" s="291"/>
      <c r="J917" s="292"/>
      <c r="K917" s="292"/>
      <c r="L917" s="292"/>
      <c r="M917" s="292"/>
      <c r="N917" s="225"/>
    </row>
    <row r="918" spans="1:14" outlineLevel="1">
      <c r="A918" s="266">
        <f>SUBTOTAL(3,$F$7:F918)</f>
        <v>716</v>
      </c>
      <c r="B918" s="225" t="s">
        <v>1567</v>
      </c>
      <c r="C918" s="224"/>
      <c r="D918" s="224"/>
      <c r="E918" s="224"/>
      <c r="F918" s="290" t="s">
        <v>570</v>
      </c>
      <c r="G918" s="291">
        <v>24</v>
      </c>
      <c r="H918" s="291"/>
      <c r="I918" s="291"/>
      <c r="J918" s="292"/>
      <c r="K918" s="292"/>
      <c r="L918" s="292"/>
      <c r="M918" s="292"/>
      <c r="N918" s="225"/>
    </row>
    <row r="919" spans="1:14" outlineLevel="1">
      <c r="A919" s="266"/>
      <c r="B919" s="295" t="s">
        <v>1644</v>
      </c>
      <c r="C919" s="219"/>
      <c r="D919" s="219"/>
      <c r="E919" s="219"/>
      <c r="F919" s="290"/>
      <c r="G919" s="291">
        <v>0</v>
      </c>
      <c r="H919" s="291"/>
      <c r="I919" s="291"/>
      <c r="J919" s="292"/>
      <c r="K919" s="292"/>
      <c r="L919" s="292"/>
      <c r="M919" s="292"/>
      <c r="N919" s="225"/>
    </row>
    <row r="920" spans="1:14" outlineLevel="1">
      <c r="A920" s="266">
        <f>SUBTOTAL(3,$F$7:F920)</f>
        <v>717</v>
      </c>
      <c r="B920" s="225" t="s">
        <v>1566</v>
      </c>
      <c r="C920" s="224"/>
      <c r="D920" s="224"/>
      <c r="E920" s="224"/>
      <c r="F920" s="290" t="s">
        <v>570</v>
      </c>
      <c r="G920" s="291">
        <v>44</v>
      </c>
      <c r="H920" s="291"/>
      <c r="I920" s="291"/>
      <c r="J920" s="292"/>
      <c r="K920" s="292"/>
      <c r="L920" s="292"/>
      <c r="M920" s="292"/>
      <c r="N920" s="225"/>
    </row>
    <row r="921" spans="1:14" outlineLevel="1">
      <c r="A921" s="266">
        <f>SUBTOTAL(3,$F$7:F921)</f>
        <v>718</v>
      </c>
      <c r="B921" s="225" t="s">
        <v>1567</v>
      </c>
      <c r="C921" s="224"/>
      <c r="D921" s="224"/>
      <c r="E921" s="224"/>
      <c r="F921" s="290" t="s">
        <v>570</v>
      </c>
      <c r="G921" s="291">
        <v>44</v>
      </c>
      <c r="H921" s="291"/>
      <c r="I921" s="291"/>
      <c r="J921" s="292"/>
      <c r="K921" s="292"/>
      <c r="L921" s="292"/>
      <c r="M921" s="292"/>
      <c r="N921" s="225"/>
    </row>
    <row r="922" spans="1:14" outlineLevel="1">
      <c r="A922" s="266"/>
      <c r="B922" s="295" t="s">
        <v>1645</v>
      </c>
      <c r="C922" s="219"/>
      <c r="D922" s="219"/>
      <c r="E922" s="219"/>
      <c r="F922" s="290"/>
      <c r="G922" s="291">
        <v>0</v>
      </c>
      <c r="H922" s="291"/>
      <c r="I922" s="291"/>
      <c r="J922" s="292"/>
      <c r="K922" s="292"/>
      <c r="L922" s="292"/>
      <c r="M922" s="292"/>
      <c r="N922" s="225"/>
    </row>
    <row r="923" spans="1:14" outlineLevel="1">
      <c r="A923" s="266">
        <f>SUBTOTAL(3,$F$7:F923)</f>
        <v>719</v>
      </c>
      <c r="B923" s="225" t="s">
        <v>1566</v>
      </c>
      <c r="C923" s="224"/>
      <c r="D923" s="224"/>
      <c r="E923" s="224"/>
      <c r="F923" s="290" t="s">
        <v>570</v>
      </c>
      <c r="G923" s="291">
        <v>30</v>
      </c>
      <c r="H923" s="291"/>
      <c r="I923" s="291"/>
      <c r="J923" s="292"/>
      <c r="K923" s="292"/>
      <c r="L923" s="292"/>
      <c r="M923" s="292"/>
      <c r="N923" s="225"/>
    </row>
    <row r="924" spans="1:14" outlineLevel="1">
      <c r="A924" s="266">
        <f>SUBTOTAL(3,$F$7:F924)</f>
        <v>720</v>
      </c>
      <c r="B924" s="225" t="s">
        <v>1567</v>
      </c>
      <c r="C924" s="224"/>
      <c r="D924" s="224"/>
      <c r="E924" s="224"/>
      <c r="F924" s="290" t="s">
        <v>570</v>
      </c>
      <c r="G924" s="291">
        <v>30</v>
      </c>
      <c r="H924" s="291"/>
      <c r="I924" s="291"/>
      <c r="J924" s="292"/>
      <c r="K924" s="292"/>
      <c r="L924" s="292"/>
      <c r="M924" s="292"/>
      <c r="N924" s="225"/>
    </row>
    <row r="925" spans="1:14" outlineLevel="1">
      <c r="A925" s="266"/>
      <c r="B925" s="295" t="s">
        <v>1646</v>
      </c>
      <c r="C925" s="219"/>
      <c r="D925" s="219"/>
      <c r="E925" s="219"/>
      <c r="F925" s="290"/>
      <c r="G925" s="291">
        <v>0</v>
      </c>
      <c r="H925" s="291"/>
      <c r="I925" s="291"/>
      <c r="J925" s="292"/>
      <c r="K925" s="292"/>
      <c r="L925" s="292"/>
      <c r="M925" s="292"/>
      <c r="N925" s="225"/>
    </row>
    <row r="926" spans="1:14" outlineLevel="1">
      <c r="A926" s="266">
        <f>SUBTOTAL(3,$F$7:F926)</f>
        <v>721</v>
      </c>
      <c r="B926" s="225" t="s">
        <v>1566</v>
      </c>
      <c r="C926" s="224"/>
      <c r="D926" s="224"/>
      <c r="E926" s="224"/>
      <c r="F926" s="290" t="s">
        <v>570</v>
      </c>
      <c r="G926" s="291">
        <v>24</v>
      </c>
      <c r="H926" s="291"/>
      <c r="I926" s="291"/>
      <c r="J926" s="292"/>
      <c r="K926" s="292"/>
      <c r="L926" s="292"/>
      <c r="M926" s="292"/>
      <c r="N926" s="225"/>
    </row>
    <row r="927" spans="1:14" outlineLevel="1">
      <c r="A927" s="266">
        <f>SUBTOTAL(3,$F$7:F927)</f>
        <v>722</v>
      </c>
      <c r="B927" s="225" t="s">
        <v>1567</v>
      </c>
      <c r="C927" s="224"/>
      <c r="D927" s="224"/>
      <c r="E927" s="224"/>
      <c r="F927" s="290" t="s">
        <v>570</v>
      </c>
      <c r="G927" s="291">
        <v>24</v>
      </c>
      <c r="H927" s="291"/>
      <c r="I927" s="291"/>
      <c r="J927" s="292"/>
      <c r="K927" s="292"/>
      <c r="L927" s="292"/>
      <c r="M927" s="292"/>
      <c r="N927" s="225"/>
    </row>
    <row r="928" spans="1:14" outlineLevel="1">
      <c r="A928" s="266"/>
      <c r="B928" s="295" t="s">
        <v>1647</v>
      </c>
      <c r="C928" s="219"/>
      <c r="D928" s="219"/>
      <c r="E928" s="219"/>
      <c r="F928" s="290"/>
      <c r="G928" s="291">
        <v>0</v>
      </c>
      <c r="H928" s="291"/>
      <c r="I928" s="291"/>
      <c r="J928" s="292"/>
      <c r="K928" s="292"/>
      <c r="L928" s="292"/>
      <c r="M928" s="292"/>
      <c r="N928" s="225"/>
    </row>
    <row r="929" spans="1:14" outlineLevel="1">
      <c r="A929" s="266">
        <f>SUBTOTAL(3,$F$7:F929)</f>
        <v>723</v>
      </c>
      <c r="B929" s="225" t="s">
        <v>1566</v>
      </c>
      <c r="C929" s="224"/>
      <c r="D929" s="224"/>
      <c r="E929" s="224"/>
      <c r="F929" s="290" t="s">
        <v>570</v>
      </c>
      <c r="G929" s="291">
        <v>28</v>
      </c>
      <c r="H929" s="291"/>
      <c r="I929" s="291"/>
      <c r="J929" s="292"/>
      <c r="K929" s="292"/>
      <c r="L929" s="292"/>
      <c r="M929" s="292"/>
      <c r="N929" s="225"/>
    </row>
    <row r="930" spans="1:14" outlineLevel="1">
      <c r="A930" s="266">
        <f>SUBTOTAL(3,$F$7:F930)</f>
        <v>724</v>
      </c>
      <c r="B930" s="225" t="s">
        <v>1567</v>
      </c>
      <c r="C930" s="224"/>
      <c r="D930" s="224"/>
      <c r="E930" s="224"/>
      <c r="F930" s="290" t="s">
        <v>570</v>
      </c>
      <c r="G930" s="291">
        <v>28</v>
      </c>
      <c r="H930" s="291"/>
      <c r="I930" s="291"/>
      <c r="J930" s="292"/>
      <c r="K930" s="292"/>
      <c r="L930" s="292"/>
      <c r="M930" s="292"/>
      <c r="N930" s="225"/>
    </row>
    <row r="931" spans="1:14" outlineLevel="1">
      <c r="A931" s="266"/>
      <c r="B931" s="295" t="s">
        <v>1648</v>
      </c>
      <c r="C931" s="219"/>
      <c r="D931" s="219"/>
      <c r="E931" s="219"/>
      <c r="F931" s="290"/>
      <c r="G931" s="291">
        <v>0</v>
      </c>
      <c r="H931" s="291"/>
      <c r="I931" s="291"/>
      <c r="J931" s="292"/>
      <c r="K931" s="292"/>
      <c r="L931" s="292"/>
      <c r="M931" s="292"/>
      <c r="N931" s="225"/>
    </row>
    <row r="932" spans="1:14" outlineLevel="1">
      <c r="A932" s="266">
        <f>SUBTOTAL(3,$F$7:F932)</f>
        <v>725</v>
      </c>
      <c r="B932" s="225" t="s">
        <v>1566</v>
      </c>
      <c r="C932" s="224"/>
      <c r="D932" s="224"/>
      <c r="E932" s="224"/>
      <c r="F932" s="290" t="s">
        <v>570</v>
      </c>
      <c r="G932" s="291">
        <v>26</v>
      </c>
      <c r="H932" s="291"/>
      <c r="I932" s="291"/>
      <c r="J932" s="292"/>
      <c r="K932" s="292"/>
      <c r="L932" s="292"/>
      <c r="M932" s="292"/>
      <c r="N932" s="225"/>
    </row>
    <row r="933" spans="1:14" outlineLevel="1">
      <c r="A933" s="266">
        <f>SUBTOTAL(3,$F$7:F933)</f>
        <v>726</v>
      </c>
      <c r="B933" s="225" t="s">
        <v>1567</v>
      </c>
      <c r="C933" s="224"/>
      <c r="D933" s="224"/>
      <c r="E933" s="224"/>
      <c r="F933" s="290" t="s">
        <v>570</v>
      </c>
      <c r="G933" s="291">
        <v>26</v>
      </c>
      <c r="H933" s="291"/>
      <c r="I933" s="291"/>
      <c r="J933" s="292"/>
      <c r="K933" s="292"/>
      <c r="L933" s="292"/>
      <c r="M933" s="292"/>
      <c r="N933" s="225"/>
    </row>
    <row r="934" spans="1:14" outlineLevel="1">
      <c r="A934" s="266"/>
      <c r="B934" s="295" t="s">
        <v>1649</v>
      </c>
      <c r="C934" s="219"/>
      <c r="D934" s="219"/>
      <c r="E934" s="219"/>
      <c r="F934" s="290"/>
      <c r="G934" s="291">
        <v>0</v>
      </c>
      <c r="H934" s="291"/>
      <c r="I934" s="291"/>
      <c r="J934" s="292"/>
      <c r="K934" s="292"/>
      <c r="L934" s="292"/>
      <c r="M934" s="292"/>
      <c r="N934" s="225"/>
    </row>
    <row r="935" spans="1:14" outlineLevel="1">
      <c r="A935" s="266">
        <f>SUBTOTAL(3,$F$7:F935)</f>
        <v>727</v>
      </c>
      <c r="B935" s="225" t="s">
        <v>1566</v>
      </c>
      <c r="C935" s="224"/>
      <c r="D935" s="224"/>
      <c r="E935" s="224"/>
      <c r="F935" s="290" t="s">
        <v>570</v>
      </c>
      <c r="G935" s="291">
        <v>12</v>
      </c>
      <c r="H935" s="291"/>
      <c r="I935" s="291"/>
      <c r="J935" s="292"/>
      <c r="K935" s="292"/>
      <c r="L935" s="292"/>
      <c r="M935" s="292"/>
      <c r="N935" s="225"/>
    </row>
    <row r="936" spans="1:14" outlineLevel="1">
      <c r="A936" s="266">
        <f>SUBTOTAL(3,$F$7:F936)</f>
        <v>728</v>
      </c>
      <c r="B936" s="225" t="s">
        <v>1567</v>
      </c>
      <c r="C936" s="224"/>
      <c r="D936" s="224"/>
      <c r="E936" s="224"/>
      <c r="F936" s="290" t="s">
        <v>570</v>
      </c>
      <c r="G936" s="291">
        <v>12</v>
      </c>
      <c r="H936" s="291"/>
      <c r="I936" s="291"/>
      <c r="J936" s="292"/>
      <c r="K936" s="292"/>
      <c r="L936" s="292"/>
      <c r="M936" s="292"/>
      <c r="N936" s="225"/>
    </row>
    <row r="937" spans="1:14" outlineLevel="1">
      <c r="A937" s="266"/>
      <c r="B937" s="295" t="s">
        <v>1650</v>
      </c>
      <c r="C937" s="219"/>
      <c r="D937" s="219"/>
      <c r="E937" s="219"/>
      <c r="F937" s="290"/>
      <c r="G937" s="291">
        <v>0</v>
      </c>
      <c r="H937" s="291"/>
      <c r="I937" s="291"/>
      <c r="J937" s="292"/>
      <c r="K937" s="292"/>
      <c r="L937" s="292"/>
      <c r="M937" s="292"/>
      <c r="N937" s="225"/>
    </row>
    <row r="938" spans="1:14" outlineLevel="1">
      <c r="A938" s="266">
        <f>SUBTOTAL(3,$F$7:F938)</f>
        <v>729</v>
      </c>
      <c r="B938" s="225" t="s">
        <v>1568</v>
      </c>
      <c r="C938" s="224"/>
      <c r="D938" s="224"/>
      <c r="E938" s="224"/>
      <c r="F938" s="290" t="s">
        <v>570</v>
      </c>
      <c r="G938" s="291">
        <v>15</v>
      </c>
      <c r="H938" s="291"/>
      <c r="I938" s="291"/>
      <c r="J938" s="292"/>
      <c r="K938" s="292"/>
      <c r="L938" s="292"/>
      <c r="M938" s="292"/>
      <c r="N938" s="225"/>
    </row>
    <row r="939" spans="1:14" outlineLevel="1">
      <c r="A939" s="266">
        <f>SUBTOTAL(3,$F$7:F939)</f>
        <v>730</v>
      </c>
      <c r="B939" s="225" t="s">
        <v>1569</v>
      </c>
      <c r="C939" s="224"/>
      <c r="D939" s="224"/>
      <c r="E939" s="224"/>
      <c r="F939" s="290" t="s">
        <v>570</v>
      </c>
      <c r="G939" s="291">
        <v>15</v>
      </c>
      <c r="H939" s="291"/>
      <c r="I939" s="291"/>
      <c r="J939" s="292"/>
      <c r="K939" s="292"/>
      <c r="L939" s="292"/>
      <c r="M939" s="292"/>
      <c r="N939" s="225"/>
    </row>
    <row r="940" spans="1:14" outlineLevel="1">
      <c r="A940" s="266"/>
      <c r="B940" s="295" t="s">
        <v>1651</v>
      </c>
      <c r="C940" s="219"/>
      <c r="D940" s="219"/>
      <c r="E940" s="219"/>
      <c r="F940" s="290"/>
      <c r="G940" s="291">
        <v>0</v>
      </c>
      <c r="H940" s="291"/>
      <c r="I940" s="291"/>
      <c r="J940" s="292"/>
      <c r="K940" s="292"/>
      <c r="L940" s="292"/>
      <c r="M940" s="292"/>
      <c r="N940" s="225"/>
    </row>
    <row r="941" spans="1:14" outlineLevel="1">
      <c r="A941" s="266">
        <f>SUBTOTAL(3,$F$7:F941)</f>
        <v>731</v>
      </c>
      <c r="B941" s="225" t="s">
        <v>1566</v>
      </c>
      <c r="C941" s="224"/>
      <c r="D941" s="224"/>
      <c r="E941" s="224"/>
      <c r="F941" s="290" t="s">
        <v>570</v>
      </c>
      <c r="G941" s="291">
        <v>22</v>
      </c>
      <c r="H941" s="291"/>
      <c r="I941" s="291"/>
      <c r="J941" s="292"/>
      <c r="K941" s="292"/>
      <c r="L941" s="292"/>
      <c r="M941" s="292"/>
      <c r="N941" s="225"/>
    </row>
    <row r="942" spans="1:14" outlineLevel="1">
      <c r="A942" s="266">
        <f>SUBTOTAL(3,$F$7:F942)</f>
        <v>732</v>
      </c>
      <c r="B942" s="225" t="s">
        <v>1567</v>
      </c>
      <c r="C942" s="224"/>
      <c r="D942" s="224"/>
      <c r="E942" s="224"/>
      <c r="F942" s="290" t="s">
        <v>570</v>
      </c>
      <c r="G942" s="291">
        <v>22</v>
      </c>
      <c r="H942" s="291"/>
      <c r="I942" s="291"/>
      <c r="J942" s="292"/>
      <c r="K942" s="292"/>
      <c r="L942" s="292"/>
      <c r="M942" s="292"/>
      <c r="N942" s="225"/>
    </row>
    <row r="943" spans="1:14" outlineLevel="1">
      <c r="A943" s="266"/>
      <c r="B943" s="295" t="s">
        <v>1652</v>
      </c>
      <c r="C943" s="219"/>
      <c r="D943" s="219"/>
      <c r="E943" s="219"/>
      <c r="F943" s="290"/>
      <c r="G943" s="291">
        <v>0</v>
      </c>
      <c r="H943" s="291"/>
      <c r="I943" s="291"/>
      <c r="J943" s="292"/>
      <c r="K943" s="292"/>
      <c r="L943" s="292"/>
      <c r="M943" s="292"/>
      <c r="N943" s="225"/>
    </row>
    <row r="944" spans="1:14" outlineLevel="1">
      <c r="A944" s="266">
        <f>SUBTOTAL(3,$F$7:F944)</f>
        <v>733</v>
      </c>
      <c r="B944" s="225" t="s">
        <v>1566</v>
      </c>
      <c r="C944" s="224"/>
      <c r="D944" s="224"/>
      <c r="E944" s="224"/>
      <c r="F944" s="290" t="s">
        <v>570</v>
      </c>
      <c r="G944" s="291">
        <v>24</v>
      </c>
      <c r="H944" s="291"/>
      <c r="I944" s="291"/>
      <c r="J944" s="292"/>
      <c r="K944" s="292"/>
      <c r="L944" s="292"/>
      <c r="M944" s="292"/>
      <c r="N944" s="225"/>
    </row>
    <row r="945" spans="1:98" outlineLevel="1">
      <c r="A945" s="266">
        <f>SUBTOTAL(3,$F$7:F945)</f>
        <v>734</v>
      </c>
      <c r="B945" s="225" t="s">
        <v>1567</v>
      </c>
      <c r="C945" s="224"/>
      <c r="D945" s="224"/>
      <c r="E945" s="224"/>
      <c r="F945" s="290" t="s">
        <v>570</v>
      </c>
      <c r="G945" s="291">
        <v>24</v>
      </c>
      <c r="H945" s="291"/>
      <c r="I945" s="291"/>
      <c r="J945" s="292"/>
      <c r="K945" s="292"/>
      <c r="L945" s="292"/>
      <c r="M945" s="292"/>
      <c r="N945" s="225"/>
    </row>
    <row r="946" spans="1:98" outlineLevel="1">
      <c r="A946" s="266"/>
      <c r="B946" s="295" t="s">
        <v>1653</v>
      </c>
      <c r="C946" s="219"/>
      <c r="D946" s="219"/>
      <c r="E946" s="219"/>
      <c r="F946" s="290"/>
      <c r="G946" s="291">
        <v>0</v>
      </c>
      <c r="H946" s="291"/>
      <c r="I946" s="291"/>
      <c r="J946" s="292"/>
      <c r="K946" s="292"/>
      <c r="L946" s="292"/>
      <c r="M946" s="292"/>
      <c r="N946" s="225"/>
    </row>
    <row r="947" spans="1:98" outlineLevel="1">
      <c r="A947" s="266">
        <f>SUBTOTAL(3,$F$7:F947)</f>
        <v>735</v>
      </c>
      <c r="B947" s="225" t="s">
        <v>1566</v>
      </c>
      <c r="C947" s="224"/>
      <c r="D947" s="224"/>
      <c r="E947" s="224"/>
      <c r="F947" s="290" t="s">
        <v>570</v>
      </c>
      <c r="G947" s="291">
        <v>28</v>
      </c>
      <c r="H947" s="291"/>
      <c r="I947" s="291"/>
      <c r="J947" s="292"/>
      <c r="K947" s="292"/>
      <c r="L947" s="292"/>
      <c r="M947" s="292"/>
      <c r="N947" s="225"/>
    </row>
    <row r="948" spans="1:98" outlineLevel="1">
      <c r="A948" s="266">
        <f>SUBTOTAL(3,$F$7:F948)</f>
        <v>736</v>
      </c>
      <c r="B948" s="225" t="s">
        <v>1567</v>
      </c>
      <c r="C948" s="224"/>
      <c r="D948" s="224"/>
      <c r="E948" s="224"/>
      <c r="F948" s="290" t="s">
        <v>570</v>
      </c>
      <c r="G948" s="291">
        <v>28</v>
      </c>
      <c r="H948" s="291"/>
      <c r="I948" s="291"/>
      <c r="J948" s="292"/>
      <c r="K948" s="292"/>
      <c r="L948" s="292"/>
      <c r="M948" s="292"/>
      <c r="N948" s="225"/>
    </row>
    <row r="949" spans="1:98" outlineLevel="1">
      <c r="A949" s="266"/>
      <c r="B949" s="295" t="s">
        <v>1654</v>
      </c>
      <c r="C949" s="219"/>
      <c r="D949" s="219"/>
      <c r="E949" s="219"/>
      <c r="F949" s="290"/>
      <c r="G949" s="291">
        <v>0</v>
      </c>
      <c r="H949" s="291"/>
      <c r="I949" s="291"/>
      <c r="J949" s="292"/>
      <c r="K949" s="292"/>
      <c r="L949" s="292"/>
      <c r="M949" s="292"/>
      <c r="N949" s="225"/>
    </row>
    <row r="950" spans="1:98" outlineLevel="1">
      <c r="A950" s="266">
        <f>SUBTOTAL(3,$F$7:F950)</f>
        <v>737</v>
      </c>
      <c r="B950" s="225" t="s">
        <v>1566</v>
      </c>
      <c r="C950" s="224"/>
      <c r="D950" s="224"/>
      <c r="E950" s="224"/>
      <c r="F950" s="290" t="s">
        <v>570</v>
      </c>
      <c r="G950" s="291">
        <v>26</v>
      </c>
      <c r="H950" s="291"/>
      <c r="I950" s="291"/>
      <c r="J950" s="292"/>
      <c r="K950" s="292"/>
      <c r="L950" s="292"/>
      <c r="M950" s="292"/>
      <c r="N950" s="225"/>
    </row>
    <row r="951" spans="1:98" outlineLevel="1">
      <c r="A951" s="266">
        <f>SUBTOTAL(3,$F$7:F951)</f>
        <v>738</v>
      </c>
      <c r="B951" s="225" t="s">
        <v>1567</v>
      </c>
      <c r="C951" s="224"/>
      <c r="D951" s="224"/>
      <c r="E951" s="224"/>
      <c r="F951" s="290" t="s">
        <v>570</v>
      </c>
      <c r="G951" s="291">
        <v>26</v>
      </c>
      <c r="H951" s="291"/>
      <c r="I951" s="291"/>
      <c r="J951" s="292"/>
      <c r="K951" s="292"/>
      <c r="L951" s="292"/>
      <c r="M951" s="292"/>
      <c r="N951" s="225"/>
    </row>
    <row r="952" spans="1:98" outlineLevel="1">
      <c r="A952" s="266"/>
      <c r="B952" s="295" t="s">
        <v>1655</v>
      </c>
      <c r="C952" s="219"/>
      <c r="D952" s="219"/>
      <c r="E952" s="219"/>
      <c r="F952" s="290"/>
      <c r="G952" s="291">
        <v>0</v>
      </c>
      <c r="H952" s="291"/>
      <c r="I952" s="291"/>
      <c r="J952" s="292"/>
      <c r="K952" s="292"/>
      <c r="L952" s="292"/>
      <c r="M952" s="292"/>
      <c r="N952" s="225"/>
    </row>
    <row r="953" spans="1:98" outlineLevel="1">
      <c r="A953" s="266">
        <f>SUBTOTAL(3,$F$7:F953)</f>
        <v>739</v>
      </c>
      <c r="B953" s="225" t="s">
        <v>1566</v>
      </c>
      <c r="C953" s="224"/>
      <c r="D953" s="224"/>
      <c r="E953" s="224"/>
      <c r="F953" s="290" t="s">
        <v>570</v>
      </c>
      <c r="G953" s="291">
        <v>12</v>
      </c>
      <c r="H953" s="291"/>
      <c r="I953" s="291"/>
      <c r="J953" s="292"/>
      <c r="K953" s="292"/>
      <c r="L953" s="292"/>
      <c r="M953" s="292"/>
      <c r="N953" s="225"/>
    </row>
    <row r="954" spans="1:98" outlineLevel="1">
      <c r="A954" s="266">
        <f>SUBTOTAL(3,$F$7:F954)</f>
        <v>740</v>
      </c>
      <c r="B954" s="225" t="s">
        <v>1567</v>
      </c>
      <c r="C954" s="224"/>
      <c r="D954" s="224"/>
      <c r="E954" s="224"/>
      <c r="F954" s="290" t="s">
        <v>570</v>
      </c>
      <c r="G954" s="291">
        <v>12</v>
      </c>
      <c r="H954" s="291"/>
      <c r="I954" s="291"/>
      <c r="J954" s="292"/>
      <c r="K954" s="292"/>
      <c r="L954" s="292"/>
      <c r="M954" s="292"/>
      <c r="N954" s="225"/>
    </row>
    <row r="955" spans="1:98" outlineLevel="1">
      <c r="A955" s="266"/>
      <c r="B955" s="295" t="s">
        <v>1656</v>
      </c>
      <c r="C955" s="219"/>
      <c r="D955" s="219"/>
      <c r="E955" s="219"/>
      <c r="F955" s="290"/>
      <c r="G955" s="291">
        <v>0</v>
      </c>
      <c r="H955" s="291"/>
      <c r="I955" s="291"/>
      <c r="J955" s="292"/>
      <c r="K955" s="292"/>
      <c r="L955" s="292"/>
      <c r="M955" s="292"/>
      <c r="N955" s="225"/>
    </row>
    <row r="956" spans="1:98" outlineLevel="1">
      <c r="A956" s="266">
        <f>SUBTOTAL(3,$F$7:F956)</f>
        <v>741</v>
      </c>
      <c r="B956" s="225" t="s">
        <v>1566</v>
      </c>
      <c r="C956" s="224"/>
      <c r="D956" s="224"/>
      <c r="E956" s="224"/>
      <c r="F956" s="290" t="s">
        <v>570</v>
      </c>
      <c r="G956" s="291">
        <v>15</v>
      </c>
      <c r="H956" s="291"/>
      <c r="I956" s="291"/>
      <c r="J956" s="292"/>
      <c r="K956" s="292"/>
      <c r="L956" s="292"/>
      <c r="M956" s="292"/>
      <c r="N956" s="225"/>
    </row>
    <row r="957" spans="1:98" outlineLevel="1">
      <c r="A957" s="266">
        <f>SUBTOTAL(3,$F$7:F957)</f>
        <v>742</v>
      </c>
      <c r="B957" s="225" t="s">
        <v>1567</v>
      </c>
      <c r="C957" s="224"/>
      <c r="D957" s="224"/>
      <c r="E957" s="224"/>
      <c r="F957" s="290" t="s">
        <v>570</v>
      </c>
      <c r="G957" s="291">
        <v>15</v>
      </c>
      <c r="H957" s="291"/>
      <c r="I957" s="291"/>
      <c r="J957" s="292"/>
      <c r="K957" s="292"/>
      <c r="L957" s="292"/>
      <c r="M957" s="292"/>
      <c r="N957" s="225"/>
    </row>
    <row r="958" spans="1:98" s="270" customFormat="1" outlineLevel="1">
      <c r="A958" s="289"/>
      <c r="B958" s="295" t="s">
        <v>1657</v>
      </c>
      <c r="C958" s="219"/>
      <c r="D958" s="219"/>
      <c r="E958" s="219"/>
      <c r="F958" s="296"/>
      <c r="G958" s="291">
        <v>0</v>
      </c>
      <c r="H958" s="297"/>
      <c r="I958" s="297"/>
      <c r="J958" s="298"/>
      <c r="K958" s="298"/>
      <c r="L958" s="298"/>
      <c r="M958" s="298"/>
      <c r="N958" s="295"/>
      <c r="O958" s="279"/>
      <c r="P958" s="279"/>
      <c r="Q958" s="279"/>
      <c r="R958" s="279"/>
      <c r="S958" s="279"/>
      <c r="T958" s="279"/>
      <c r="U958" s="279"/>
      <c r="V958" s="279"/>
      <c r="W958" s="279"/>
      <c r="X958" s="279"/>
      <c r="Y958" s="279"/>
      <c r="Z958" s="279"/>
      <c r="AA958" s="279"/>
      <c r="AB958" s="279"/>
      <c r="AC958" s="279"/>
      <c r="AD958" s="279"/>
      <c r="AE958" s="279"/>
      <c r="AF958" s="279"/>
      <c r="AG958" s="279"/>
      <c r="AH958" s="279"/>
      <c r="AI958" s="279"/>
      <c r="AJ958" s="279"/>
      <c r="AK958" s="279"/>
      <c r="AL958" s="279"/>
      <c r="AM958" s="279"/>
      <c r="AN958" s="279"/>
      <c r="AO958" s="279"/>
      <c r="AP958" s="279"/>
      <c r="AQ958" s="279"/>
      <c r="AR958" s="279"/>
      <c r="AS958" s="279"/>
      <c r="AT958" s="279"/>
      <c r="AU958" s="279"/>
      <c r="AV958" s="279"/>
      <c r="AW958" s="279"/>
      <c r="AX958" s="279"/>
      <c r="AY958" s="279"/>
      <c r="AZ958" s="279"/>
      <c r="BA958" s="279"/>
      <c r="BB958" s="279"/>
      <c r="BC958" s="279"/>
      <c r="BD958" s="279"/>
      <c r="BE958" s="279"/>
      <c r="BF958" s="279"/>
      <c r="BG958" s="279"/>
      <c r="BH958" s="279"/>
      <c r="BI958" s="279"/>
      <c r="BJ958" s="279"/>
      <c r="BK958" s="279"/>
      <c r="BL958" s="279"/>
      <c r="BM958" s="279"/>
      <c r="BN958" s="279"/>
      <c r="BO958" s="279"/>
      <c r="BP958" s="279"/>
      <c r="BQ958" s="279"/>
      <c r="BR958" s="279"/>
      <c r="BS958" s="279"/>
      <c r="BT958" s="279"/>
      <c r="BU958" s="279"/>
      <c r="BV958" s="279"/>
      <c r="BW958" s="279"/>
      <c r="BX958" s="279"/>
      <c r="BY958" s="279"/>
      <c r="BZ958" s="279"/>
      <c r="CA958" s="279"/>
      <c r="CB958" s="279"/>
      <c r="CC958" s="279"/>
      <c r="CD958" s="279"/>
      <c r="CE958" s="279"/>
      <c r="CF958" s="279"/>
      <c r="CG958" s="279"/>
      <c r="CH958" s="279"/>
      <c r="CI958" s="279"/>
      <c r="CJ958" s="279"/>
      <c r="CK958" s="279"/>
      <c r="CL958" s="279"/>
      <c r="CM958" s="279"/>
      <c r="CN958" s="279"/>
      <c r="CO958" s="279"/>
      <c r="CP958" s="279"/>
      <c r="CQ958" s="279"/>
      <c r="CR958" s="279"/>
      <c r="CS958" s="279"/>
      <c r="CT958" s="279"/>
    </row>
    <row r="959" spans="1:98" outlineLevel="1">
      <c r="A959" s="266">
        <f>SUBTOTAL(3,$F$7:F959)</f>
        <v>743</v>
      </c>
      <c r="B959" s="225" t="s">
        <v>1658</v>
      </c>
      <c r="C959" s="224"/>
      <c r="D959" s="224"/>
      <c r="E959" s="224"/>
      <c r="F959" s="290" t="s">
        <v>570</v>
      </c>
      <c r="G959" s="291">
        <v>480</v>
      </c>
      <c r="H959" s="291"/>
      <c r="I959" s="291"/>
      <c r="J959" s="292"/>
      <c r="K959" s="292"/>
      <c r="L959" s="292"/>
      <c r="M959" s="292"/>
      <c r="N959" s="225"/>
    </row>
    <row r="960" spans="1:98" outlineLevel="1">
      <c r="A960" s="266">
        <f>SUBTOTAL(3,$F$7:F960)</f>
        <v>744</v>
      </c>
      <c r="B960" s="225" t="s">
        <v>1560</v>
      </c>
      <c r="C960" s="224"/>
      <c r="D960" s="224"/>
      <c r="E960" s="224"/>
      <c r="F960" s="290" t="s">
        <v>570</v>
      </c>
      <c r="G960" s="291">
        <v>480</v>
      </c>
      <c r="H960" s="291"/>
      <c r="I960" s="291"/>
      <c r="J960" s="292"/>
      <c r="K960" s="292"/>
      <c r="L960" s="292"/>
      <c r="M960" s="292"/>
      <c r="N960" s="225"/>
    </row>
    <row r="961" spans="1:14" outlineLevel="1">
      <c r="A961" s="266"/>
      <c r="B961" s="295" t="s">
        <v>1659</v>
      </c>
      <c r="C961" s="219"/>
      <c r="D961" s="219"/>
      <c r="E961" s="219"/>
      <c r="F961" s="290"/>
      <c r="G961" s="291">
        <v>0</v>
      </c>
      <c r="H961" s="291"/>
      <c r="I961" s="291"/>
      <c r="J961" s="292"/>
      <c r="K961" s="292"/>
      <c r="L961" s="292"/>
      <c r="M961" s="292"/>
      <c r="N961" s="225"/>
    </row>
    <row r="962" spans="1:14" outlineLevel="1">
      <c r="A962" s="266">
        <f>SUBTOTAL(3,$F$7:F962)</f>
        <v>745</v>
      </c>
      <c r="B962" s="225" t="s">
        <v>1660</v>
      </c>
      <c r="C962" s="224"/>
      <c r="D962" s="224"/>
      <c r="E962" s="224"/>
      <c r="F962" s="290" t="s">
        <v>570</v>
      </c>
      <c r="G962" s="291">
        <v>0</v>
      </c>
      <c r="H962" s="291"/>
      <c r="I962" s="291"/>
      <c r="J962" s="292"/>
      <c r="K962" s="292"/>
      <c r="L962" s="292"/>
      <c r="M962" s="292"/>
      <c r="N962" s="225"/>
    </row>
    <row r="963" spans="1:14" outlineLevel="1">
      <c r="A963" s="266"/>
      <c r="B963" s="225"/>
      <c r="C963" s="224"/>
      <c r="D963" s="224"/>
      <c r="E963" s="224"/>
      <c r="F963" s="290"/>
      <c r="G963" s="291">
        <v>0</v>
      </c>
      <c r="H963" s="291"/>
      <c r="I963" s="291"/>
      <c r="J963" s="292"/>
      <c r="K963" s="292"/>
      <c r="L963" s="292"/>
      <c r="M963" s="292"/>
      <c r="N963" s="225"/>
    </row>
    <row r="964" spans="1:14" outlineLevel="1">
      <c r="A964" s="266">
        <f>SUBTOTAL(3,$F$7:F964)</f>
        <v>746</v>
      </c>
      <c r="B964" s="225" t="s">
        <v>1661</v>
      </c>
      <c r="C964" s="224"/>
      <c r="D964" s="224"/>
      <c r="E964" s="224"/>
      <c r="F964" s="290" t="s">
        <v>276</v>
      </c>
      <c r="G964" s="291">
        <v>4</v>
      </c>
      <c r="H964" s="291"/>
      <c r="I964" s="291"/>
      <c r="J964" s="292"/>
      <c r="K964" s="292"/>
      <c r="L964" s="292"/>
      <c r="M964" s="292"/>
      <c r="N964" s="225"/>
    </row>
    <row r="965" spans="1:14">
      <c r="A965" s="289" t="s">
        <v>1074</v>
      </c>
      <c r="B965" s="280" t="s">
        <v>1662</v>
      </c>
      <c r="C965" s="219"/>
      <c r="D965" s="219"/>
      <c r="E965" s="219"/>
      <c r="F965" s="296"/>
      <c r="G965" s="291">
        <v>0</v>
      </c>
      <c r="H965" s="297"/>
      <c r="I965" s="297"/>
      <c r="J965" s="292"/>
      <c r="K965" s="292"/>
      <c r="L965" s="292"/>
      <c r="M965" s="292"/>
      <c r="N965" s="225"/>
    </row>
    <row r="966" spans="1:14" outlineLevel="1">
      <c r="A966" s="266"/>
      <c r="B966" s="295" t="s">
        <v>1663</v>
      </c>
      <c r="C966" s="219"/>
      <c r="D966" s="219"/>
      <c r="E966" s="219"/>
      <c r="F966" s="296"/>
      <c r="G966" s="291">
        <v>0</v>
      </c>
      <c r="H966" s="297"/>
      <c r="I966" s="297"/>
      <c r="J966" s="292"/>
      <c r="K966" s="292"/>
      <c r="L966" s="292"/>
      <c r="M966" s="292"/>
      <c r="N966" s="225"/>
    </row>
    <row r="967" spans="1:14" ht="27.6" outlineLevel="1">
      <c r="A967" s="266">
        <f>SUBTOTAL(3,$F$7:F967)</f>
        <v>747</v>
      </c>
      <c r="B967" s="225" t="s">
        <v>1664</v>
      </c>
      <c r="C967" s="224" t="s">
        <v>1078</v>
      </c>
      <c r="D967" s="224"/>
      <c r="E967" s="224"/>
      <c r="F967" s="290" t="s">
        <v>570</v>
      </c>
      <c r="G967" s="291">
        <v>9</v>
      </c>
      <c r="H967" s="291"/>
      <c r="I967" s="291"/>
      <c r="J967" s="292"/>
      <c r="K967" s="292"/>
      <c r="L967" s="292"/>
      <c r="M967" s="292"/>
      <c r="N967" s="225"/>
    </row>
    <row r="968" spans="1:14" ht="27.6" outlineLevel="1">
      <c r="A968" s="266">
        <f>SUBTOTAL(3,$F$7:F968)</f>
        <v>748</v>
      </c>
      <c r="B968" s="225" t="s">
        <v>1665</v>
      </c>
      <c r="C968" s="224" t="s">
        <v>1078</v>
      </c>
      <c r="D968" s="224"/>
      <c r="E968" s="224"/>
      <c r="F968" s="290" t="s">
        <v>570</v>
      </c>
      <c r="G968" s="291">
        <v>338</v>
      </c>
      <c r="H968" s="291"/>
      <c r="I968" s="291"/>
      <c r="J968" s="292"/>
      <c r="K968" s="292"/>
      <c r="L968" s="292"/>
      <c r="M968" s="292"/>
      <c r="N968" s="225"/>
    </row>
    <row r="969" spans="1:14" outlineLevel="1">
      <c r="A969" s="266"/>
      <c r="B969" s="295" t="s">
        <v>1666</v>
      </c>
      <c r="C969" s="219"/>
      <c r="D969" s="219"/>
      <c r="E969" s="219"/>
      <c r="F969" s="290"/>
      <c r="G969" s="291">
        <v>0</v>
      </c>
      <c r="H969" s="291"/>
      <c r="I969" s="291"/>
      <c r="J969" s="292"/>
      <c r="K969" s="292"/>
      <c r="L969" s="292"/>
      <c r="M969" s="292"/>
      <c r="N969" s="225"/>
    </row>
    <row r="970" spans="1:14" ht="27.6" outlineLevel="1">
      <c r="A970" s="266">
        <f>SUBTOTAL(3,$F$7:F970)</f>
        <v>749</v>
      </c>
      <c r="B970" s="225" t="s">
        <v>1667</v>
      </c>
      <c r="C970" s="224" t="s">
        <v>1078</v>
      </c>
      <c r="D970" s="224"/>
      <c r="E970" s="224"/>
      <c r="F970" s="290" t="s">
        <v>570</v>
      </c>
      <c r="G970" s="291">
        <v>742</v>
      </c>
      <c r="H970" s="291"/>
      <c r="I970" s="291"/>
      <c r="J970" s="292"/>
      <c r="K970" s="292"/>
      <c r="L970" s="292"/>
      <c r="M970" s="292"/>
      <c r="N970" s="225"/>
    </row>
    <row r="971" spans="1:14" ht="27.6" outlineLevel="1">
      <c r="A971" s="266">
        <f>SUBTOTAL(3,$F$7:F971)</f>
        <v>750</v>
      </c>
      <c r="B971" s="225" t="s">
        <v>1668</v>
      </c>
      <c r="C971" s="224" t="s">
        <v>1078</v>
      </c>
      <c r="D971" s="224"/>
      <c r="E971" s="224"/>
      <c r="F971" s="290" t="s">
        <v>570</v>
      </c>
      <c r="G971" s="291">
        <v>293</v>
      </c>
      <c r="H971" s="291"/>
      <c r="I971" s="291"/>
      <c r="J971" s="292"/>
      <c r="K971" s="292"/>
      <c r="L971" s="292"/>
      <c r="M971" s="292"/>
      <c r="N971" s="225"/>
    </row>
    <row r="972" spans="1:14" ht="27.6" outlineLevel="1">
      <c r="A972" s="266">
        <f>SUBTOTAL(3,$F$7:F972)</f>
        <v>751</v>
      </c>
      <c r="B972" s="225" t="s">
        <v>1669</v>
      </c>
      <c r="C972" s="224"/>
      <c r="D972" s="224"/>
      <c r="E972" s="224"/>
      <c r="F972" s="290" t="s">
        <v>276</v>
      </c>
      <c r="G972" s="291">
        <v>0</v>
      </c>
      <c r="H972" s="291"/>
      <c r="I972" s="291"/>
      <c r="J972" s="292"/>
      <c r="K972" s="292"/>
      <c r="L972" s="292"/>
      <c r="M972" s="292"/>
      <c r="N972" s="225"/>
    </row>
    <row r="973" spans="1:14">
      <c r="A973" s="289" t="s">
        <v>1670</v>
      </c>
      <c r="B973" s="280" t="s">
        <v>1671</v>
      </c>
      <c r="C973" s="219"/>
      <c r="D973" s="219"/>
      <c r="E973" s="219"/>
      <c r="F973" s="296"/>
      <c r="G973" s="291">
        <v>0</v>
      </c>
      <c r="H973" s="297"/>
      <c r="I973" s="297"/>
      <c r="J973" s="292"/>
      <c r="K973" s="292"/>
      <c r="L973" s="292"/>
      <c r="M973" s="292"/>
      <c r="N973" s="225"/>
    </row>
    <row r="974" spans="1:14" ht="27.6" outlineLevel="1">
      <c r="A974" s="266">
        <f>SUBTOTAL(3,$F$7:F974)</f>
        <v>752</v>
      </c>
      <c r="B974" s="225" t="s">
        <v>1672</v>
      </c>
      <c r="C974" s="306" t="s">
        <v>1673</v>
      </c>
      <c r="D974" s="224"/>
      <c r="E974" s="224"/>
      <c r="F974" s="290" t="s">
        <v>237</v>
      </c>
      <c r="G974" s="291">
        <v>905</v>
      </c>
      <c r="H974" s="291"/>
      <c r="I974" s="291"/>
      <c r="J974" s="292"/>
      <c r="K974" s="292"/>
      <c r="L974" s="292"/>
      <c r="M974" s="292"/>
      <c r="N974" s="225"/>
    </row>
    <row r="975" spans="1:14" ht="27.6" outlineLevel="1">
      <c r="A975" s="266">
        <f>SUBTOTAL(3,$F$7:F975)</f>
        <v>753</v>
      </c>
      <c r="B975" s="225" t="s">
        <v>1674</v>
      </c>
      <c r="C975" s="306" t="s">
        <v>1673</v>
      </c>
      <c r="D975" s="224"/>
      <c r="E975" s="224"/>
      <c r="F975" s="290" t="s">
        <v>237</v>
      </c>
      <c r="G975" s="291">
        <v>277</v>
      </c>
      <c r="H975" s="291"/>
      <c r="I975" s="291"/>
      <c r="J975" s="292"/>
      <c r="K975" s="292"/>
      <c r="L975" s="292"/>
      <c r="M975" s="292"/>
      <c r="N975" s="225" t="s">
        <v>1675</v>
      </c>
    </row>
    <row r="976" spans="1:14" ht="27.6" outlineLevel="1">
      <c r="A976" s="266">
        <f>SUBTOTAL(3,$F$7:F976)</f>
        <v>754</v>
      </c>
      <c r="B976" s="225" t="s">
        <v>1676</v>
      </c>
      <c r="C976" s="306" t="s">
        <v>1673</v>
      </c>
      <c r="D976" s="224"/>
      <c r="E976" s="224"/>
      <c r="F976" s="290" t="s">
        <v>237</v>
      </c>
      <c r="G976" s="291">
        <v>121</v>
      </c>
      <c r="H976" s="291"/>
      <c r="I976" s="291"/>
      <c r="J976" s="292"/>
      <c r="K976" s="292"/>
      <c r="L976" s="292"/>
      <c r="M976" s="292"/>
      <c r="N976" s="225"/>
    </row>
    <row r="977" spans="1:14" ht="27.6" outlineLevel="1">
      <c r="A977" s="266">
        <f>SUBTOTAL(3,$F$7:F977)</f>
        <v>755</v>
      </c>
      <c r="B977" s="225" t="s">
        <v>1677</v>
      </c>
      <c r="C977" s="306" t="s">
        <v>1673</v>
      </c>
      <c r="D977" s="224"/>
      <c r="E977" s="224"/>
      <c r="F977" s="290" t="s">
        <v>237</v>
      </c>
      <c r="G977" s="291">
        <v>5</v>
      </c>
      <c r="H977" s="291"/>
      <c r="I977" s="291"/>
      <c r="J977" s="292"/>
      <c r="K977" s="292"/>
      <c r="L977" s="292"/>
      <c r="M977" s="292"/>
      <c r="N977" s="225"/>
    </row>
    <row r="978" spans="1:14" ht="27.6" outlineLevel="1">
      <c r="A978" s="266">
        <f>SUBTOTAL(3,$F$7:F978)</f>
        <v>756</v>
      </c>
      <c r="B978" s="225" t="s">
        <v>1678</v>
      </c>
      <c r="C978" s="306" t="s">
        <v>1673</v>
      </c>
      <c r="D978" s="224"/>
      <c r="E978" s="224"/>
      <c r="F978" s="290" t="s">
        <v>237</v>
      </c>
      <c r="G978" s="291">
        <v>71</v>
      </c>
      <c r="H978" s="291"/>
      <c r="I978" s="291"/>
      <c r="J978" s="292"/>
      <c r="K978" s="292"/>
      <c r="L978" s="292"/>
      <c r="M978" s="292"/>
      <c r="N978" s="225"/>
    </row>
    <row r="979" spans="1:14" ht="27.6" outlineLevel="1">
      <c r="A979" s="266">
        <f>SUBTOTAL(3,$F$7:F979)</f>
        <v>757</v>
      </c>
      <c r="B979" s="225" t="s">
        <v>1679</v>
      </c>
      <c r="C979" s="306" t="s">
        <v>1673</v>
      </c>
      <c r="D979" s="224"/>
      <c r="E979" s="224"/>
      <c r="F979" s="290" t="s">
        <v>237</v>
      </c>
      <c r="G979" s="291">
        <v>209</v>
      </c>
      <c r="H979" s="291"/>
      <c r="I979" s="291"/>
      <c r="J979" s="292"/>
      <c r="K979" s="292"/>
      <c r="L979" s="292"/>
      <c r="M979" s="292"/>
      <c r="N979" s="225"/>
    </row>
    <row r="980" spans="1:14" ht="27.6" outlineLevel="1">
      <c r="A980" s="266">
        <f>SUBTOTAL(3,$F$7:F980)</f>
        <v>758</v>
      </c>
      <c r="B980" s="225" t="s">
        <v>1680</v>
      </c>
      <c r="C980" s="306" t="s">
        <v>1673</v>
      </c>
      <c r="D980" s="224"/>
      <c r="E980" s="224"/>
      <c r="F980" s="290" t="s">
        <v>237</v>
      </c>
      <c r="G980" s="291">
        <v>717</v>
      </c>
      <c r="H980" s="291"/>
      <c r="I980" s="291"/>
      <c r="J980" s="292"/>
      <c r="K980" s="292"/>
      <c r="L980" s="292"/>
      <c r="M980" s="292"/>
      <c r="N980" s="225"/>
    </row>
    <row r="981" spans="1:14" ht="27.6" outlineLevel="1">
      <c r="A981" s="266">
        <f>SUBTOTAL(3,$F$7:F981)</f>
        <v>759</v>
      </c>
      <c r="B981" s="225" t="s">
        <v>1681</v>
      </c>
      <c r="C981" s="224"/>
      <c r="D981" s="224"/>
      <c r="E981" s="224"/>
      <c r="F981" s="290" t="s">
        <v>237</v>
      </c>
      <c r="G981" s="291">
        <v>245</v>
      </c>
      <c r="H981" s="291"/>
      <c r="I981" s="291"/>
      <c r="J981" s="292"/>
      <c r="K981" s="292"/>
      <c r="L981" s="292"/>
      <c r="M981" s="292"/>
      <c r="N981" s="225" t="s">
        <v>1675</v>
      </c>
    </row>
    <row r="982" spans="1:14" ht="27.6" outlineLevel="1">
      <c r="A982" s="266">
        <f>SUBTOTAL(3,$F$7:F982)</f>
        <v>760</v>
      </c>
      <c r="B982" s="225" t="s">
        <v>1682</v>
      </c>
      <c r="C982" s="224"/>
      <c r="D982" s="224"/>
      <c r="E982" s="224"/>
      <c r="F982" s="290" t="s">
        <v>237</v>
      </c>
      <c r="G982" s="291">
        <v>149</v>
      </c>
      <c r="H982" s="291"/>
      <c r="I982" s="291"/>
      <c r="J982" s="292"/>
      <c r="K982" s="292"/>
      <c r="L982" s="292"/>
      <c r="M982" s="292"/>
      <c r="N982" s="225" t="s">
        <v>1675</v>
      </c>
    </row>
    <row r="983" spans="1:14" ht="27.6" outlineLevel="1">
      <c r="A983" s="266">
        <f>SUBTOTAL(3,$F$7:F983)</f>
        <v>761</v>
      </c>
      <c r="B983" s="225" t="s">
        <v>1683</v>
      </c>
      <c r="C983" s="224"/>
      <c r="D983" s="224"/>
      <c r="E983" s="224"/>
      <c r="F983" s="290" t="s">
        <v>237</v>
      </c>
      <c r="G983" s="291">
        <v>4</v>
      </c>
      <c r="H983" s="291"/>
      <c r="I983" s="291"/>
      <c r="J983" s="292"/>
      <c r="K983" s="292"/>
      <c r="L983" s="292"/>
      <c r="M983" s="292"/>
      <c r="N983" s="225" t="s">
        <v>1675</v>
      </c>
    </row>
    <row r="984" spans="1:14" ht="27.6" outlineLevel="1">
      <c r="A984" s="266">
        <f>SUBTOTAL(3,$F$7:F984)</f>
        <v>762</v>
      </c>
      <c r="B984" s="225" t="s">
        <v>1684</v>
      </c>
      <c r="C984" s="224"/>
      <c r="D984" s="224"/>
      <c r="E984" s="224"/>
      <c r="F984" s="290" t="s">
        <v>237</v>
      </c>
      <c r="G984" s="291">
        <v>307</v>
      </c>
      <c r="H984" s="291"/>
      <c r="I984" s="291"/>
      <c r="J984" s="292"/>
      <c r="K984" s="292"/>
      <c r="L984" s="292"/>
      <c r="M984" s="292"/>
      <c r="N984" s="225" t="s">
        <v>1675</v>
      </c>
    </row>
    <row r="985" spans="1:14" ht="27.6" outlineLevel="1">
      <c r="A985" s="266">
        <f>SUBTOTAL(3,$F$7:F985)</f>
        <v>763</v>
      </c>
      <c r="B985" s="225" t="s">
        <v>1685</v>
      </c>
      <c r="C985" s="224"/>
      <c r="D985" s="224"/>
      <c r="E985" s="224"/>
      <c r="F985" s="290" t="s">
        <v>237</v>
      </c>
      <c r="G985" s="291">
        <v>286</v>
      </c>
      <c r="H985" s="291"/>
      <c r="I985" s="291"/>
      <c r="J985" s="292"/>
      <c r="K985" s="292"/>
      <c r="L985" s="292"/>
      <c r="M985" s="292"/>
      <c r="N985" s="225" t="s">
        <v>1675</v>
      </c>
    </row>
    <row r="986" spans="1:14" ht="27.6" outlineLevel="1">
      <c r="A986" s="266">
        <f>SUBTOTAL(3,$F$7:F986)</f>
        <v>764</v>
      </c>
      <c r="B986" s="225" t="s">
        <v>1686</v>
      </c>
      <c r="C986" s="224"/>
      <c r="D986" s="224"/>
      <c r="E986" s="224"/>
      <c r="F986" s="290" t="s">
        <v>237</v>
      </c>
      <c r="G986" s="291">
        <v>54</v>
      </c>
      <c r="H986" s="291"/>
      <c r="I986" s="291"/>
      <c r="J986" s="292"/>
      <c r="K986" s="292"/>
      <c r="L986" s="292"/>
      <c r="M986" s="292"/>
      <c r="N986" s="225"/>
    </row>
    <row r="987" spans="1:14" ht="27.6" outlineLevel="1">
      <c r="A987" s="266">
        <f>SUBTOTAL(3,$F$7:F987)</f>
        <v>765</v>
      </c>
      <c r="B987" s="225" t="s">
        <v>1687</v>
      </c>
      <c r="C987" s="224"/>
      <c r="D987" s="224"/>
      <c r="E987" s="224"/>
      <c r="F987" s="290" t="s">
        <v>237</v>
      </c>
      <c r="G987" s="291">
        <v>9</v>
      </c>
      <c r="H987" s="291"/>
      <c r="I987" s="291"/>
      <c r="J987" s="292"/>
      <c r="K987" s="292"/>
      <c r="L987" s="292"/>
      <c r="M987" s="292"/>
      <c r="N987" s="225"/>
    </row>
    <row r="988" spans="1:14" ht="27.6" outlineLevel="1">
      <c r="A988" s="266">
        <f>SUBTOTAL(3,$F$7:F988)</f>
        <v>766</v>
      </c>
      <c r="B988" s="225" t="s">
        <v>1688</v>
      </c>
      <c r="C988" s="224"/>
      <c r="D988" s="224"/>
      <c r="E988" s="224"/>
      <c r="F988" s="290" t="s">
        <v>237</v>
      </c>
      <c r="G988" s="291">
        <v>57</v>
      </c>
      <c r="H988" s="291"/>
      <c r="I988" s="291"/>
      <c r="J988" s="292"/>
      <c r="K988" s="292"/>
      <c r="L988" s="292"/>
      <c r="M988" s="292"/>
      <c r="N988" s="225" t="s">
        <v>1675</v>
      </c>
    </row>
    <row r="989" spans="1:14" ht="27.6" outlineLevel="1">
      <c r="A989" s="266">
        <f>SUBTOTAL(3,$F$7:F989)</f>
        <v>767</v>
      </c>
      <c r="B989" s="225" t="s">
        <v>1689</v>
      </c>
      <c r="C989" s="224"/>
      <c r="D989" s="224"/>
      <c r="E989" s="224"/>
      <c r="F989" s="290" t="s">
        <v>237</v>
      </c>
      <c r="G989" s="291">
        <v>24</v>
      </c>
      <c r="H989" s="291"/>
      <c r="I989" s="291"/>
      <c r="J989" s="292"/>
      <c r="K989" s="292"/>
      <c r="L989" s="292"/>
      <c r="M989" s="292"/>
      <c r="N989" s="225"/>
    </row>
    <row r="990" spans="1:14" ht="27.6" outlineLevel="1">
      <c r="A990" s="266">
        <f>SUBTOTAL(3,$F$7:F990)</f>
        <v>768</v>
      </c>
      <c r="B990" s="225" t="s">
        <v>1680</v>
      </c>
      <c r="C990" s="224"/>
      <c r="D990" s="224"/>
      <c r="E990" s="224"/>
      <c r="F990" s="290" t="s">
        <v>237</v>
      </c>
      <c r="G990" s="291">
        <v>18</v>
      </c>
      <c r="H990" s="291"/>
      <c r="I990" s="291"/>
      <c r="J990" s="292"/>
      <c r="K990" s="292"/>
      <c r="L990" s="292"/>
      <c r="M990" s="292"/>
      <c r="N990" s="225" t="s">
        <v>1675</v>
      </c>
    </row>
    <row r="991" spans="1:14" ht="27.6" outlineLevel="1">
      <c r="A991" s="266">
        <f>SUBTOTAL(3,$F$7:F991)</f>
        <v>769</v>
      </c>
      <c r="B991" s="225" t="s">
        <v>1690</v>
      </c>
      <c r="C991" s="224"/>
      <c r="D991" s="224"/>
      <c r="E991" s="224"/>
      <c r="F991" s="290" t="s">
        <v>237</v>
      </c>
      <c r="G991" s="291">
        <v>17</v>
      </c>
      <c r="H991" s="291"/>
      <c r="I991" s="291"/>
      <c r="J991" s="292"/>
      <c r="K991" s="292"/>
      <c r="L991" s="292"/>
      <c r="M991" s="292"/>
      <c r="N991" s="225"/>
    </row>
    <row r="992" spans="1:14" outlineLevel="1">
      <c r="A992" s="266">
        <f>SUBTOTAL(3,$F$7:F992)</f>
        <v>770</v>
      </c>
      <c r="B992" s="225" t="s">
        <v>1691</v>
      </c>
      <c r="C992" s="224"/>
      <c r="D992" s="224"/>
      <c r="E992" s="224"/>
      <c r="F992" s="290" t="s">
        <v>237</v>
      </c>
      <c r="G992" s="291">
        <v>3</v>
      </c>
      <c r="H992" s="291"/>
      <c r="I992" s="291"/>
      <c r="J992" s="292"/>
      <c r="K992" s="292"/>
      <c r="L992" s="292"/>
      <c r="M992" s="292"/>
      <c r="N992" s="225"/>
    </row>
    <row r="993" spans="1:14" outlineLevel="1">
      <c r="A993" s="266">
        <f>SUBTOTAL(3,$F$7:F993)</f>
        <v>771</v>
      </c>
      <c r="B993" s="225" t="s">
        <v>1692</v>
      </c>
      <c r="C993" s="224"/>
      <c r="D993" s="224"/>
      <c r="E993" s="224"/>
      <c r="F993" s="290" t="s">
        <v>237</v>
      </c>
      <c r="G993" s="291">
        <v>50</v>
      </c>
      <c r="H993" s="291"/>
      <c r="I993" s="291"/>
      <c r="J993" s="292"/>
      <c r="K993" s="292"/>
      <c r="L993" s="292"/>
      <c r="M993" s="292"/>
      <c r="N993" s="225"/>
    </row>
    <row r="994" spans="1:14" outlineLevel="1">
      <c r="A994" s="266">
        <f>SUBTOTAL(3,$F$7:F994)</f>
        <v>772</v>
      </c>
      <c r="B994" s="225" t="s">
        <v>1693</v>
      </c>
      <c r="C994" s="224"/>
      <c r="D994" s="224"/>
      <c r="E994" s="224"/>
      <c r="F994" s="290" t="s">
        <v>237</v>
      </c>
      <c r="G994" s="291">
        <v>1</v>
      </c>
      <c r="H994" s="291"/>
      <c r="I994" s="291"/>
      <c r="J994" s="292"/>
      <c r="K994" s="292"/>
      <c r="L994" s="292"/>
      <c r="M994" s="292"/>
      <c r="N994" s="225"/>
    </row>
    <row r="995" spans="1:14">
      <c r="A995" s="289" t="s">
        <v>1694</v>
      </c>
      <c r="B995" s="280" t="s">
        <v>1695</v>
      </c>
      <c r="C995" s="219"/>
      <c r="D995" s="219"/>
      <c r="E995" s="219"/>
      <c r="F995" s="296"/>
      <c r="G995" s="291">
        <v>0</v>
      </c>
      <c r="H995" s="291"/>
      <c r="I995" s="291"/>
      <c r="J995" s="292"/>
      <c r="K995" s="292"/>
      <c r="L995" s="292"/>
      <c r="M995" s="292"/>
      <c r="N995" s="225"/>
    </row>
    <row r="996" spans="1:14" ht="27.6" outlineLevel="1">
      <c r="A996" s="266">
        <f>SUBTOTAL(3,$F$7:F996)</f>
        <v>773</v>
      </c>
      <c r="B996" s="225" t="s">
        <v>1696</v>
      </c>
      <c r="C996" s="306" t="s">
        <v>1673</v>
      </c>
      <c r="D996" s="224"/>
      <c r="E996" s="224"/>
      <c r="F996" s="290" t="s">
        <v>237</v>
      </c>
      <c r="G996" s="291">
        <v>107</v>
      </c>
      <c r="H996" s="291"/>
      <c r="I996" s="291"/>
      <c r="J996" s="292"/>
      <c r="K996" s="292"/>
      <c r="L996" s="292"/>
      <c r="M996" s="292"/>
      <c r="N996" s="225"/>
    </row>
    <row r="997" spans="1:14" ht="27.6" outlineLevel="1">
      <c r="A997" s="266">
        <f>SUBTOTAL(3,$F$7:F997)</f>
        <v>774</v>
      </c>
      <c r="B997" s="225" t="s">
        <v>1697</v>
      </c>
      <c r="C997" s="306" t="s">
        <v>1673</v>
      </c>
      <c r="D997" s="224"/>
      <c r="E997" s="224"/>
      <c r="F997" s="290" t="s">
        <v>237</v>
      </c>
      <c r="G997" s="291">
        <v>42</v>
      </c>
      <c r="H997" s="291"/>
      <c r="I997" s="291"/>
      <c r="J997" s="292"/>
      <c r="K997" s="292"/>
      <c r="L997" s="292"/>
      <c r="M997" s="292"/>
      <c r="N997" s="225"/>
    </row>
    <row r="998" spans="1:14" ht="27.6" outlineLevel="1">
      <c r="A998" s="266">
        <f>SUBTOTAL(3,$F$7:F998)</f>
        <v>775</v>
      </c>
      <c r="B998" s="225" t="s">
        <v>1698</v>
      </c>
      <c r="C998" s="306" t="s">
        <v>1673</v>
      </c>
      <c r="D998" s="224"/>
      <c r="E998" s="224"/>
      <c r="F998" s="290" t="s">
        <v>237</v>
      </c>
      <c r="G998" s="291">
        <v>4</v>
      </c>
      <c r="H998" s="291"/>
      <c r="I998" s="291"/>
      <c r="J998" s="292"/>
      <c r="K998" s="292"/>
      <c r="L998" s="292"/>
      <c r="M998" s="292"/>
      <c r="N998" s="225"/>
    </row>
    <row r="999" spans="1:14" ht="27.6" outlineLevel="1">
      <c r="A999" s="266">
        <f>SUBTOTAL(3,$F$7:F999)</f>
        <v>776</v>
      </c>
      <c r="B999" s="225" t="s">
        <v>1699</v>
      </c>
      <c r="C999" s="306" t="s">
        <v>1673</v>
      </c>
      <c r="D999" s="224"/>
      <c r="E999" s="224"/>
      <c r="F999" s="290" t="s">
        <v>237</v>
      </c>
      <c r="G999" s="291">
        <v>9</v>
      </c>
      <c r="H999" s="291"/>
      <c r="I999" s="291"/>
      <c r="J999" s="292"/>
      <c r="K999" s="292"/>
      <c r="L999" s="292"/>
      <c r="M999" s="292"/>
      <c r="N999" s="225"/>
    </row>
    <row r="1000" spans="1:14" ht="27.6" outlineLevel="1">
      <c r="A1000" s="266">
        <f>SUBTOTAL(3,$F$7:F1000)</f>
        <v>777</v>
      </c>
      <c r="B1000" s="225" t="s">
        <v>1700</v>
      </c>
      <c r="C1000" s="306" t="s">
        <v>1673</v>
      </c>
      <c r="D1000" s="224"/>
      <c r="E1000" s="224"/>
      <c r="F1000" s="290" t="s">
        <v>237</v>
      </c>
      <c r="G1000" s="291">
        <v>0</v>
      </c>
      <c r="H1000" s="291"/>
      <c r="I1000" s="291"/>
      <c r="J1000" s="292"/>
      <c r="K1000" s="292"/>
      <c r="L1000" s="292"/>
      <c r="M1000" s="292"/>
      <c r="N1000" s="225"/>
    </row>
    <row r="1001" spans="1:14" ht="27.6" outlineLevel="1">
      <c r="A1001" s="266">
        <f>SUBTOTAL(3,$F$7:F1001)</f>
        <v>778</v>
      </c>
      <c r="B1001" s="225" t="s">
        <v>1701</v>
      </c>
      <c r="C1001" s="306" t="s">
        <v>1673</v>
      </c>
      <c r="D1001" s="224"/>
      <c r="E1001" s="224"/>
      <c r="F1001" s="290" t="s">
        <v>237</v>
      </c>
      <c r="G1001" s="291">
        <v>193</v>
      </c>
      <c r="H1001" s="291"/>
      <c r="I1001" s="291"/>
      <c r="J1001" s="292"/>
      <c r="K1001" s="292"/>
      <c r="L1001" s="292"/>
      <c r="M1001" s="292"/>
      <c r="N1001" s="225"/>
    </row>
    <row r="1002" spans="1:14" ht="27.6" outlineLevel="1">
      <c r="A1002" s="266">
        <f>SUBTOTAL(3,$F$7:F1002)</f>
        <v>779</v>
      </c>
      <c r="B1002" s="225" t="s">
        <v>1702</v>
      </c>
      <c r="C1002" s="306" t="s">
        <v>1673</v>
      </c>
      <c r="D1002" s="224"/>
      <c r="E1002" s="224"/>
      <c r="F1002" s="290" t="s">
        <v>237</v>
      </c>
      <c r="G1002" s="291">
        <v>0</v>
      </c>
      <c r="H1002" s="291"/>
      <c r="I1002" s="291"/>
      <c r="J1002" s="292"/>
      <c r="K1002" s="292"/>
      <c r="L1002" s="292"/>
      <c r="M1002" s="292"/>
      <c r="N1002" s="225"/>
    </row>
    <row r="1003" spans="1:14" ht="27.6" outlineLevel="1">
      <c r="A1003" s="266">
        <f>SUBTOTAL(3,$F$7:F1003)</f>
        <v>780</v>
      </c>
      <c r="B1003" s="225" t="s">
        <v>1703</v>
      </c>
      <c r="C1003" s="306" t="s">
        <v>1673</v>
      </c>
      <c r="D1003" s="224"/>
      <c r="E1003" s="224"/>
      <c r="F1003" s="290" t="s">
        <v>237</v>
      </c>
      <c r="G1003" s="291">
        <v>42</v>
      </c>
      <c r="H1003" s="291"/>
      <c r="I1003" s="291"/>
      <c r="J1003" s="292"/>
      <c r="K1003" s="292"/>
      <c r="L1003" s="292"/>
      <c r="M1003" s="292"/>
      <c r="N1003" s="225"/>
    </row>
    <row r="1004" spans="1:14">
      <c r="A1004" s="289" t="s">
        <v>1704</v>
      </c>
      <c r="B1004" s="280" t="s">
        <v>1705</v>
      </c>
      <c r="C1004" s="219"/>
      <c r="D1004" s="219"/>
      <c r="E1004" s="219"/>
      <c r="F1004" s="290"/>
      <c r="G1004" s="291">
        <v>0</v>
      </c>
      <c r="H1004" s="291"/>
      <c r="I1004" s="291"/>
      <c r="J1004" s="292"/>
      <c r="K1004" s="292"/>
      <c r="L1004" s="292"/>
      <c r="M1004" s="292"/>
      <c r="N1004" s="225"/>
    </row>
    <row r="1005" spans="1:14" outlineLevel="1">
      <c r="A1005" s="266"/>
      <c r="B1005" s="295" t="s">
        <v>1706</v>
      </c>
      <c r="C1005" s="219"/>
      <c r="D1005" s="219"/>
      <c r="E1005" s="219"/>
      <c r="F1005" s="290"/>
      <c r="G1005" s="291">
        <v>0</v>
      </c>
      <c r="H1005" s="291"/>
      <c r="I1005" s="291"/>
      <c r="J1005" s="292"/>
      <c r="K1005" s="292"/>
      <c r="L1005" s="292"/>
      <c r="M1005" s="292"/>
      <c r="N1005" s="225"/>
    </row>
    <row r="1006" spans="1:14" ht="27.6" outlineLevel="1">
      <c r="A1006" s="266">
        <f>SUBTOTAL(3,$F$7:F1006)</f>
        <v>781</v>
      </c>
      <c r="B1006" s="225" t="s">
        <v>1707</v>
      </c>
      <c r="C1006" s="224"/>
      <c r="D1006" s="224"/>
      <c r="E1006" s="224"/>
      <c r="F1006" s="290" t="s">
        <v>237</v>
      </c>
      <c r="G1006" s="291">
        <v>3</v>
      </c>
      <c r="H1006" s="291"/>
      <c r="I1006" s="291"/>
      <c r="J1006" s="292"/>
      <c r="K1006" s="292"/>
      <c r="L1006" s="292"/>
      <c r="M1006" s="292"/>
      <c r="N1006" s="225"/>
    </row>
    <row r="1007" spans="1:14" ht="27.6" outlineLevel="1">
      <c r="A1007" s="266">
        <f>SUBTOTAL(3,$F$7:F1007)</f>
        <v>782</v>
      </c>
      <c r="B1007" s="225" t="s">
        <v>1708</v>
      </c>
      <c r="C1007" s="224"/>
      <c r="D1007" s="224"/>
      <c r="E1007" s="224"/>
      <c r="F1007" s="290" t="s">
        <v>237</v>
      </c>
      <c r="G1007" s="291">
        <v>14</v>
      </c>
      <c r="H1007" s="291"/>
      <c r="I1007" s="291"/>
      <c r="J1007" s="292"/>
      <c r="K1007" s="292"/>
      <c r="L1007" s="292"/>
      <c r="M1007" s="292"/>
      <c r="N1007" s="225"/>
    </row>
    <row r="1008" spans="1:14" ht="27.6" outlineLevel="1">
      <c r="A1008" s="266">
        <f>SUBTOTAL(3,$F$7:F1008)</f>
        <v>783</v>
      </c>
      <c r="B1008" s="225" t="s">
        <v>1709</v>
      </c>
      <c r="C1008" s="224"/>
      <c r="D1008" s="224"/>
      <c r="E1008" s="224" t="s">
        <v>1083</v>
      </c>
      <c r="F1008" s="290" t="s">
        <v>570</v>
      </c>
      <c r="G1008" s="291">
        <v>652</v>
      </c>
      <c r="H1008" s="291"/>
      <c r="I1008" s="291"/>
      <c r="J1008" s="292"/>
      <c r="K1008" s="292"/>
      <c r="L1008" s="292"/>
      <c r="M1008" s="292"/>
      <c r="N1008" s="225"/>
    </row>
    <row r="1009" spans="1:14" ht="27.6" outlineLevel="1">
      <c r="A1009" s="266">
        <f>SUBTOTAL(3,$F$7:F1009)</f>
        <v>784</v>
      </c>
      <c r="B1009" s="225" t="s">
        <v>1710</v>
      </c>
      <c r="C1009" s="224"/>
      <c r="D1009" s="224"/>
      <c r="E1009" s="224" t="s">
        <v>1083</v>
      </c>
      <c r="F1009" s="290" t="s">
        <v>570</v>
      </c>
      <c r="G1009" s="291">
        <v>0</v>
      </c>
      <c r="H1009" s="291"/>
      <c r="I1009" s="291"/>
      <c r="J1009" s="292"/>
      <c r="K1009" s="292"/>
      <c r="L1009" s="292"/>
      <c r="M1009" s="292"/>
      <c r="N1009" s="225"/>
    </row>
    <row r="1010" spans="1:14" ht="27.6" outlineLevel="1">
      <c r="A1010" s="266">
        <f>SUBTOTAL(3,$F$7:F1010)</f>
        <v>785</v>
      </c>
      <c r="B1010" s="225" t="s">
        <v>1711</v>
      </c>
      <c r="C1010" s="224"/>
      <c r="D1010" s="224"/>
      <c r="E1010" s="224" t="s">
        <v>1083</v>
      </c>
      <c r="F1010" s="290" t="s">
        <v>570</v>
      </c>
      <c r="G1010" s="291">
        <v>320</v>
      </c>
      <c r="H1010" s="291"/>
      <c r="I1010" s="291"/>
      <c r="J1010" s="292"/>
      <c r="K1010" s="292"/>
      <c r="L1010" s="292"/>
      <c r="M1010" s="292"/>
      <c r="N1010" s="225"/>
    </row>
    <row r="1011" spans="1:14" ht="27.6" outlineLevel="1">
      <c r="A1011" s="266">
        <f>SUBTOTAL(3,$F$7:F1011)</f>
        <v>786</v>
      </c>
      <c r="B1011" s="225" t="s">
        <v>1712</v>
      </c>
      <c r="C1011" s="224"/>
      <c r="D1011" s="224"/>
      <c r="E1011" s="224" t="s">
        <v>1083</v>
      </c>
      <c r="F1011" s="290" t="s">
        <v>570</v>
      </c>
      <c r="G1011" s="291">
        <v>70</v>
      </c>
      <c r="H1011" s="291"/>
      <c r="I1011" s="291"/>
      <c r="J1011" s="292"/>
      <c r="K1011" s="292"/>
      <c r="L1011" s="292"/>
      <c r="M1011" s="292"/>
      <c r="N1011" s="225"/>
    </row>
    <row r="1012" spans="1:14" ht="27.6" outlineLevel="1">
      <c r="A1012" s="266">
        <f>SUBTOTAL(3,$F$7:F1012)</f>
        <v>787</v>
      </c>
      <c r="B1012" s="225" t="s">
        <v>1713</v>
      </c>
      <c r="C1012" s="224"/>
      <c r="D1012" s="224"/>
      <c r="E1012" s="224" t="s">
        <v>1083</v>
      </c>
      <c r="F1012" s="290" t="s">
        <v>570</v>
      </c>
      <c r="G1012" s="291">
        <v>150</v>
      </c>
      <c r="H1012" s="291"/>
      <c r="I1012" s="291"/>
      <c r="J1012" s="292"/>
      <c r="K1012" s="292"/>
      <c r="L1012" s="292"/>
      <c r="M1012" s="292"/>
      <c r="N1012" s="225"/>
    </row>
    <row r="1013" spans="1:14" ht="27.6" outlineLevel="1">
      <c r="A1013" s="266">
        <f>SUBTOTAL(3,$F$7:F1013)</f>
        <v>788</v>
      </c>
      <c r="B1013" s="225" t="s">
        <v>1714</v>
      </c>
      <c r="C1013" s="224"/>
      <c r="D1013" s="224"/>
      <c r="E1013" s="224" t="s">
        <v>1083</v>
      </c>
      <c r="F1013" s="290" t="s">
        <v>570</v>
      </c>
      <c r="G1013" s="291">
        <v>150</v>
      </c>
      <c r="H1013" s="291"/>
      <c r="I1013" s="291"/>
      <c r="J1013" s="292"/>
      <c r="K1013" s="292"/>
      <c r="L1013" s="292"/>
      <c r="M1013" s="292"/>
      <c r="N1013" s="225"/>
    </row>
    <row r="1014" spans="1:14" outlineLevel="1">
      <c r="A1014" s="266">
        <f>SUBTOTAL(3,$F$7:F1014)</f>
        <v>789</v>
      </c>
      <c r="B1014" s="225" t="s">
        <v>1715</v>
      </c>
      <c r="C1014" s="224"/>
      <c r="D1014" s="224"/>
      <c r="E1014" s="224"/>
      <c r="F1014" s="290" t="s">
        <v>570</v>
      </c>
      <c r="G1014" s="291">
        <v>120</v>
      </c>
      <c r="H1014" s="291"/>
      <c r="I1014" s="291"/>
      <c r="J1014" s="292"/>
      <c r="K1014" s="292"/>
      <c r="L1014" s="292"/>
      <c r="M1014" s="292"/>
      <c r="N1014" s="225"/>
    </row>
    <row r="1015" spans="1:14" outlineLevel="1">
      <c r="A1015" s="266">
        <f>SUBTOTAL(3,$F$7:F1015)</f>
        <v>790</v>
      </c>
      <c r="B1015" s="225" t="s">
        <v>1607</v>
      </c>
      <c r="C1015" s="224"/>
      <c r="D1015" s="224"/>
      <c r="E1015" s="224"/>
      <c r="F1015" s="290" t="s">
        <v>570</v>
      </c>
      <c r="G1015" s="291">
        <v>150</v>
      </c>
      <c r="H1015" s="291"/>
      <c r="I1015" s="291"/>
      <c r="J1015" s="292"/>
      <c r="K1015" s="292"/>
      <c r="L1015" s="292"/>
      <c r="M1015" s="292"/>
      <c r="N1015" s="225"/>
    </row>
    <row r="1016" spans="1:14" outlineLevel="1">
      <c r="A1016" s="266">
        <f>SUBTOTAL(3,$F$7:F1016)</f>
        <v>791</v>
      </c>
      <c r="B1016" s="225" t="s">
        <v>1716</v>
      </c>
      <c r="C1016" s="224"/>
      <c r="D1016" s="224"/>
      <c r="E1016" s="224"/>
      <c r="F1016" s="290" t="s">
        <v>1717</v>
      </c>
      <c r="G1016" s="291">
        <v>4</v>
      </c>
      <c r="H1016" s="291"/>
      <c r="I1016" s="291"/>
      <c r="J1016" s="292"/>
      <c r="K1016" s="292"/>
      <c r="L1016" s="292"/>
      <c r="M1016" s="292"/>
      <c r="N1016" s="225"/>
    </row>
    <row r="1017" spans="1:14" outlineLevel="1">
      <c r="A1017" s="266">
        <f>SUBTOTAL(3,$F$7:F1017)</f>
        <v>792</v>
      </c>
      <c r="B1017" s="225" t="s">
        <v>1718</v>
      </c>
      <c r="C1017" s="224"/>
      <c r="D1017" s="224"/>
      <c r="E1017" s="224"/>
      <c r="F1017" s="290" t="s">
        <v>237</v>
      </c>
      <c r="G1017" s="291">
        <v>6</v>
      </c>
      <c r="H1017" s="291"/>
      <c r="I1017" s="291"/>
      <c r="J1017" s="292"/>
      <c r="K1017" s="292"/>
      <c r="L1017" s="292"/>
      <c r="M1017" s="292"/>
      <c r="N1017" s="225"/>
    </row>
    <row r="1018" spans="1:14" outlineLevel="1">
      <c r="A1018" s="266">
        <f>SUBTOTAL(3,$F$7:F1018)</f>
        <v>793</v>
      </c>
      <c r="B1018" s="225" t="s">
        <v>1719</v>
      </c>
      <c r="C1018" s="224"/>
      <c r="D1018" s="224"/>
      <c r="E1018" s="224"/>
      <c r="F1018" s="290" t="s">
        <v>237</v>
      </c>
      <c r="G1018" s="291">
        <v>3</v>
      </c>
      <c r="H1018" s="291"/>
      <c r="I1018" s="291"/>
      <c r="J1018" s="292"/>
      <c r="K1018" s="292"/>
      <c r="L1018" s="292"/>
      <c r="M1018" s="292"/>
      <c r="N1018" s="225"/>
    </row>
    <row r="1019" spans="1:14" outlineLevel="1">
      <c r="A1019" s="266">
        <f>SUBTOTAL(3,$F$7:F1019)</f>
        <v>794</v>
      </c>
      <c r="B1019" s="225" t="s">
        <v>1720</v>
      </c>
      <c r="C1019" s="224"/>
      <c r="D1019" s="224"/>
      <c r="E1019" s="224"/>
      <c r="F1019" s="290" t="s">
        <v>396</v>
      </c>
      <c r="G1019" s="291">
        <v>28</v>
      </c>
      <c r="H1019" s="291"/>
      <c r="I1019" s="291"/>
      <c r="J1019" s="292"/>
      <c r="K1019" s="292"/>
      <c r="L1019" s="292"/>
      <c r="M1019" s="292"/>
      <c r="N1019" s="225"/>
    </row>
    <row r="1020" spans="1:14" outlineLevel="1">
      <c r="A1020" s="266">
        <f>SUBTOTAL(3,$F$7:F1020)</f>
        <v>795</v>
      </c>
      <c r="B1020" s="225" t="s">
        <v>1721</v>
      </c>
      <c r="C1020" s="224"/>
      <c r="D1020" s="224"/>
      <c r="E1020" s="224"/>
      <c r="F1020" s="290" t="s">
        <v>1722</v>
      </c>
      <c r="G1020" s="291">
        <v>3</v>
      </c>
      <c r="H1020" s="291"/>
      <c r="I1020" s="291"/>
      <c r="J1020" s="292"/>
      <c r="K1020" s="292"/>
      <c r="L1020" s="292"/>
      <c r="M1020" s="292"/>
      <c r="N1020" s="225"/>
    </row>
    <row r="1021" spans="1:14" outlineLevel="1">
      <c r="A1021" s="266">
        <f>SUBTOTAL(3,$F$7:F1021)</f>
        <v>796</v>
      </c>
      <c r="B1021" s="225" t="s">
        <v>1723</v>
      </c>
      <c r="C1021" s="224"/>
      <c r="D1021" s="224"/>
      <c r="E1021" s="224"/>
      <c r="F1021" s="290" t="s">
        <v>276</v>
      </c>
      <c r="G1021" s="291">
        <v>1</v>
      </c>
      <c r="H1021" s="291"/>
      <c r="I1021" s="291"/>
      <c r="J1021" s="292"/>
      <c r="K1021" s="292"/>
      <c r="L1021" s="292"/>
      <c r="M1021" s="292"/>
      <c r="N1021" s="225"/>
    </row>
    <row r="1022" spans="1:14" outlineLevel="1">
      <c r="A1022" s="266">
        <f>SUBTOTAL(3,$F$7:F1022)</f>
        <v>797</v>
      </c>
      <c r="B1022" s="225" t="s">
        <v>1724</v>
      </c>
      <c r="C1022" s="224"/>
      <c r="D1022" s="224"/>
      <c r="E1022" s="224"/>
      <c r="F1022" s="290" t="s">
        <v>570</v>
      </c>
      <c r="G1022" s="291">
        <v>0</v>
      </c>
      <c r="H1022" s="291"/>
      <c r="I1022" s="291"/>
      <c r="J1022" s="292"/>
      <c r="K1022" s="292"/>
      <c r="L1022" s="292"/>
      <c r="M1022" s="292"/>
      <c r="N1022" s="225"/>
    </row>
    <row r="1023" spans="1:14" outlineLevel="1">
      <c r="A1023" s="266">
        <f>SUBTOTAL(3,$F$7:F1023)</f>
        <v>798</v>
      </c>
      <c r="B1023" s="225" t="s">
        <v>1725</v>
      </c>
      <c r="C1023" s="224"/>
      <c r="D1023" s="224"/>
      <c r="E1023" s="224"/>
      <c r="F1023" s="290" t="s">
        <v>219</v>
      </c>
      <c r="G1023" s="291">
        <v>0</v>
      </c>
      <c r="H1023" s="291"/>
      <c r="I1023" s="291"/>
      <c r="J1023" s="292"/>
      <c r="K1023" s="292"/>
      <c r="L1023" s="292"/>
      <c r="M1023" s="292"/>
      <c r="N1023" s="225"/>
    </row>
    <row r="1024" spans="1:14" outlineLevel="1">
      <c r="A1024" s="266">
        <f>SUBTOTAL(3,$F$7:F1025)</f>
        <v>800</v>
      </c>
      <c r="B1024" s="225" t="s">
        <v>1726</v>
      </c>
      <c r="C1024" s="224"/>
      <c r="D1024" s="224"/>
      <c r="E1024" s="224"/>
      <c r="F1024" s="290" t="s">
        <v>219</v>
      </c>
      <c r="G1024" s="291">
        <v>0</v>
      </c>
      <c r="H1024" s="291"/>
      <c r="I1024" s="291"/>
      <c r="J1024" s="292"/>
      <c r="K1024" s="292"/>
      <c r="L1024" s="292"/>
      <c r="M1024" s="292"/>
      <c r="N1024" s="225"/>
    </row>
    <row r="1025" spans="1:14" outlineLevel="1">
      <c r="A1025" s="266">
        <f>SUBTOTAL(3,$F$7:F1025)</f>
        <v>800</v>
      </c>
      <c r="B1025" s="225" t="s">
        <v>1091</v>
      </c>
      <c r="C1025" s="224"/>
      <c r="D1025" s="224"/>
      <c r="E1025" s="224"/>
      <c r="F1025" s="290" t="s">
        <v>276</v>
      </c>
      <c r="G1025" s="291">
        <v>1</v>
      </c>
      <c r="H1025" s="291"/>
      <c r="I1025" s="291"/>
      <c r="J1025" s="292"/>
      <c r="K1025" s="292"/>
      <c r="L1025" s="292"/>
      <c r="M1025" s="292"/>
      <c r="N1025" s="225"/>
    </row>
    <row r="1026" spans="1:14">
      <c r="A1026" s="289" t="s">
        <v>1727</v>
      </c>
      <c r="B1026" s="280" t="s">
        <v>799</v>
      </c>
      <c r="C1026" s="219"/>
      <c r="D1026" s="219"/>
      <c r="E1026" s="219"/>
      <c r="F1026" s="290"/>
      <c r="G1026" s="291">
        <v>0</v>
      </c>
      <c r="H1026" s="291"/>
      <c r="I1026" s="291"/>
      <c r="J1026" s="292"/>
      <c r="K1026" s="298"/>
      <c r="L1026" s="298"/>
      <c r="M1026" s="298"/>
      <c r="N1026" s="225"/>
    </row>
    <row r="1027" spans="1:14" outlineLevel="1">
      <c r="A1027" s="266">
        <f>SUBTOTAL(3,$F$7:F1027)</f>
        <v>801</v>
      </c>
      <c r="B1027" s="225" t="s">
        <v>801</v>
      </c>
      <c r="C1027" s="224"/>
      <c r="D1027" s="224"/>
      <c r="E1027" s="224"/>
      <c r="F1027" s="290" t="s">
        <v>276</v>
      </c>
      <c r="G1027" s="291">
        <v>4</v>
      </c>
      <c r="H1027" s="291"/>
      <c r="I1027" s="291"/>
      <c r="J1027" s="292"/>
      <c r="K1027" s="292"/>
      <c r="L1027" s="292"/>
      <c r="M1027" s="292"/>
      <c r="N1027" s="225"/>
    </row>
    <row r="1028" spans="1:14" outlineLevel="1">
      <c r="A1028" s="266">
        <f>SUBTOTAL(3,$F$7:F1028)</f>
        <v>802</v>
      </c>
      <c r="B1028" s="225" t="s">
        <v>802</v>
      </c>
      <c r="C1028" s="224"/>
      <c r="D1028" s="224"/>
      <c r="E1028" s="224"/>
      <c r="F1028" s="290" t="s">
        <v>276</v>
      </c>
      <c r="G1028" s="291">
        <v>4</v>
      </c>
      <c r="H1028" s="291"/>
      <c r="I1028" s="291"/>
      <c r="J1028" s="292"/>
      <c r="K1028" s="292"/>
      <c r="L1028" s="292"/>
      <c r="M1028" s="292"/>
      <c r="N1028" s="225"/>
    </row>
    <row r="1029" spans="1:14" outlineLevel="1">
      <c r="A1029" s="266">
        <f>SUBTOTAL(3,$F$7:F1029)</f>
        <v>803</v>
      </c>
      <c r="B1029" s="225" t="s">
        <v>1728</v>
      </c>
      <c r="C1029" s="224"/>
      <c r="D1029" s="224"/>
      <c r="E1029" s="224"/>
      <c r="F1029" s="290" t="s">
        <v>276</v>
      </c>
      <c r="G1029" s="291">
        <v>1</v>
      </c>
      <c r="H1029" s="291"/>
      <c r="I1029" s="291"/>
      <c r="J1029" s="292"/>
      <c r="K1029" s="292"/>
      <c r="L1029" s="292"/>
      <c r="M1029" s="292"/>
      <c r="N1029" s="225"/>
    </row>
    <row r="1030" spans="1:14" ht="41.4" outlineLevel="1">
      <c r="A1030" s="266">
        <f>SUBTOTAL(3,$F$7:F1030)</f>
        <v>804</v>
      </c>
      <c r="B1030" s="225" t="s">
        <v>1729</v>
      </c>
      <c r="C1030" s="224"/>
      <c r="D1030" s="224"/>
      <c r="E1030" s="224"/>
      <c r="F1030" s="290" t="s">
        <v>276</v>
      </c>
      <c r="G1030" s="291">
        <v>1</v>
      </c>
      <c r="H1030" s="291"/>
      <c r="I1030" s="291"/>
      <c r="J1030" s="292"/>
      <c r="K1030" s="292"/>
      <c r="L1030" s="292"/>
      <c r="M1030" s="292"/>
      <c r="N1030" s="225"/>
    </row>
    <row r="1031" spans="1:14">
      <c r="A1031" s="289" t="s">
        <v>1730</v>
      </c>
      <c r="B1031" s="280" t="s">
        <v>803</v>
      </c>
      <c r="C1031" s="219"/>
      <c r="D1031" s="219"/>
      <c r="E1031" s="219"/>
      <c r="F1031" s="290"/>
      <c r="G1031" s="291">
        <v>0</v>
      </c>
      <c r="H1031" s="291"/>
      <c r="I1031" s="291"/>
      <c r="J1031" s="292"/>
      <c r="K1031" s="298"/>
      <c r="L1031" s="298"/>
      <c r="M1031" s="298"/>
      <c r="N1031" s="225"/>
    </row>
    <row r="1032" spans="1:14" ht="69" outlineLevel="1">
      <c r="A1032" s="266"/>
      <c r="B1032" s="225" t="s">
        <v>804</v>
      </c>
      <c r="C1032" s="224"/>
      <c r="D1032" s="224"/>
      <c r="E1032" s="224"/>
      <c r="F1032" s="290" t="s">
        <v>45</v>
      </c>
      <c r="G1032" s="291">
        <v>0</v>
      </c>
      <c r="H1032" s="291"/>
      <c r="I1032" s="291"/>
      <c r="J1032" s="292"/>
      <c r="K1032" s="292"/>
      <c r="L1032" s="292"/>
      <c r="M1032" s="292"/>
      <c r="N1032" s="225"/>
    </row>
    <row r="1033" spans="1:14" outlineLevel="1">
      <c r="A1033" s="266"/>
      <c r="B1033" s="225"/>
      <c r="C1033" s="224"/>
      <c r="D1033" s="224"/>
      <c r="E1033" s="224"/>
      <c r="F1033" s="290"/>
      <c r="G1033" s="291">
        <v>0</v>
      </c>
      <c r="H1033" s="291"/>
      <c r="I1033" s="291"/>
      <c r="J1033" s="292"/>
      <c r="K1033" s="292"/>
      <c r="L1033" s="292"/>
      <c r="M1033" s="292"/>
      <c r="N1033" s="225"/>
    </row>
    <row r="1034" spans="1:14">
      <c r="A1034" s="224" t="str">
        <f>IF(AND(F1034&lt;&gt;"",F1034&lt;&gt;"note"),MAX($A$5:A5)+1,"")</f>
        <v/>
      </c>
      <c r="B1034" s="280" t="s">
        <v>805</v>
      </c>
      <c r="C1034" s="219"/>
      <c r="D1034" s="219"/>
      <c r="E1034" s="219"/>
      <c r="F1034" s="224"/>
      <c r="G1034" s="282"/>
      <c r="H1034" s="282"/>
      <c r="I1034" s="282"/>
      <c r="J1034" s="282"/>
      <c r="K1034" s="283">
        <f>SUBTOTAL(9,K5:K1033)</f>
        <v>0</v>
      </c>
      <c r="L1034" s="283">
        <f>SUBTOTAL(9,L5:L1033)</f>
        <v>0</v>
      </c>
      <c r="M1034" s="283">
        <f>SUBTOTAL(9,M5:M1033)</f>
        <v>0</v>
      </c>
      <c r="N1034" s="284"/>
    </row>
  </sheetData>
  <autoFilter ref="A4:N1033" xr:uid="{00000000-0009-0000-0000-000004000000}"/>
  <mergeCells count="10">
    <mergeCell ref="N3:N4"/>
    <mergeCell ref="F3:F4"/>
    <mergeCell ref="D3:D4"/>
    <mergeCell ref="K3:M3"/>
    <mergeCell ref="H3:J3"/>
    <mergeCell ref="C3:C4"/>
    <mergeCell ref="A3:A4"/>
    <mergeCell ref="B3:B4"/>
    <mergeCell ref="G3:G4"/>
    <mergeCell ref="E3:E4"/>
  </mergeCells>
  <pageMargins left="0.5" right="0.5" top="0.75" bottom="0.75" header="0.3" footer="0.3"/>
  <pageSetup paperSize="9" scale="42" fitToHeight="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FFC000"/>
    <outlinePr summaryBelow="0"/>
    <pageSetUpPr fitToPage="1"/>
  </sheetPr>
  <dimension ref="A1:N279"/>
  <sheetViews>
    <sheetView topLeftCell="A255" zoomScale="85" zoomScaleNormal="85" zoomScaleSheetLayoutView="85" workbookViewId="0">
      <selection activeCell="J14" sqref="J14"/>
    </sheetView>
  </sheetViews>
  <sheetFormatPr defaultColWidth="8.88671875" defaultRowHeight="13.8" outlineLevelRow="1"/>
  <cols>
    <col min="1" max="1" width="5.88671875" style="273" customWidth="1"/>
    <col min="2" max="2" width="49.6640625" style="312" customWidth="1"/>
    <col min="3" max="3" width="20.5546875" style="273" customWidth="1"/>
    <col min="4" max="4" width="20.33203125" style="273" customWidth="1"/>
    <col min="5" max="5" width="25.6640625" style="314" customWidth="1"/>
    <col min="6" max="6" width="12.109375" style="285" customWidth="1"/>
    <col min="7" max="7" width="12.77734375" style="272" customWidth="1"/>
    <col min="8" max="9" width="17.109375" style="272" customWidth="1"/>
    <col min="10" max="13" width="17.109375" style="277" customWidth="1"/>
    <col min="14" max="14" width="21.33203125" style="273" customWidth="1"/>
    <col min="15" max="15" width="8.88671875" style="273" customWidth="1"/>
    <col min="16" max="16384" width="8.88671875" style="273"/>
  </cols>
  <sheetData>
    <row r="1" spans="1:14">
      <c r="A1" s="270" t="s">
        <v>19</v>
      </c>
      <c r="B1" s="309"/>
      <c r="C1" s="231"/>
      <c r="D1" s="231"/>
      <c r="E1" s="274"/>
      <c r="F1" s="271"/>
      <c r="J1" s="272"/>
      <c r="K1" s="272"/>
      <c r="L1" s="272"/>
      <c r="M1" s="272"/>
      <c r="N1" s="231"/>
    </row>
    <row r="2" spans="1:14" s="268" customFormat="1">
      <c r="A2" s="275"/>
      <c r="B2" s="310"/>
      <c r="E2" s="313"/>
      <c r="F2" s="276"/>
      <c r="G2" s="272"/>
      <c r="H2" s="272"/>
      <c r="I2" s="272"/>
      <c r="J2" s="277"/>
      <c r="K2" s="277"/>
      <c r="L2" s="277"/>
      <c r="M2" s="277"/>
    </row>
    <row r="3" spans="1:14" ht="13.8" customHeight="1">
      <c r="A3" s="369" t="s">
        <v>5</v>
      </c>
      <c r="B3" s="372" t="s">
        <v>203</v>
      </c>
      <c r="C3" s="369" t="s">
        <v>806</v>
      </c>
      <c r="D3" s="369" t="s">
        <v>807</v>
      </c>
      <c r="E3" s="369" t="s">
        <v>808</v>
      </c>
      <c r="F3" s="369" t="s">
        <v>207</v>
      </c>
      <c r="G3" s="371" t="s">
        <v>208</v>
      </c>
      <c r="H3" s="349" t="s">
        <v>209</v>
      </c>
      <c r="I3" s="350"/>
      <c r="J3" s="351"/>
      <c r="K3" s="346" t="s">
        <v>210</v>
      </c>
      <c r="L3" s="347"/>
      <c r="M3" s="348"/>
      <c r="N3" s="369" t="s">
        <v>8</v>
      </c>
    </row>
    <row r="4" spans="1:14" ht="26.4" customHeight="1">
      <c r="A4" s="355"/>
      <c r="B4" s="355"/>
      <c r="C4" s="355"/>
      <c r="D4" s="355"/>
      <c r="E4" s="355"/>
      <c r="F4" s="355"/>
      <c r="G4" s="355"/>
      <c r="H4" s="129" t="s">
        <v>211</v>
      </c>
      <c r="I4" s="129" t="s">
        <v>212</v>
      </c>
      <c r="J4" s="129" t="s">
        <v>13</v>
      </c>
      <c r="K4" s="129" t="s">
        <v>211</v>
      </c>
      <c r="L4" s="129" t="s">
        <v>212</v>
      </c>
      <c r="M4" s="129" t="s">
        <v>13</v>
      </c>
      <c r="N4" s="355"/>
    </row>
    <row r="5" spans="1:14">
      <c r="A5" s="289" t="s">
        <v>78</v>
      </c>
      <c r="B5" s="311" t="s">
        <v>1731</v>
      </c>
      <c r="C5" s="307"/>
      <c r="D5" s="307"/>
      <c r="E5" s="289"/>
      <c r="F5" s="289"/>
      <c r="G5" s="281"/>
      <c r="H5" s="281"/>
      <c r="I5" s="281"/>
      <c r="J5" s="287"/>
      <c r="K5" s="287"/>
      <c r="L5" s="287"/>
      <c r="M5" s="287"/>
      <c r="N5" s="288"/>
    </row>
    <row r="6" spans="1:14" outlineLevel="1">
      <c r="A6" s="266"/>
      <c r="B6" s="295" t="s">
        <v>1732</v>
      </c>
      <c r="C6" s="295"/>
      <c r="D6" s="295"/>
      <c r="E6" s="219"/>
      <c r="F6" s="224"/>
      <c r="G6" s="281"/>
      <c r="H6" s="281"/>
      <c r="I6" s="281"/>
      <c r="J6" s="292"/>
      <c r="K6" s="292"/>
      <c r="L6" s="292"/>
      <c r="M6" s="292"/>
      <c r="N6" s="225"/>
    </row>
    <row r="7" spans="1:14" outlineLevel="1">
      <c r="A7" s="266"/>
      <c r="B7" s="295" t="s">
        <v>1733</v>
      </c>
      <c r="C7" s="295"/>
      <c r="D7" s="295"/>
      <c r="E7" s="219"/>
      <c r="F7" s="219"/>
      <c r="G7" s="281"/>
      <c r="H7" s="281"/>
      <c r="I7" s="281"/>
      <c r="J7" s="292"/>
      <c r="K7" s="292"/>
      <c r="L7" s="292"/>
      <c r="M7" s="292"/>
      <c r="N7" s="225"/>
    </row>
    <row r="8" spans="1:14" ht="26.4" outlineLevel="1">
      <c r="A8" s="266">
        <f>SUBTOTAL(3,$F$7:F8)</f>
        <v>1</v>
      </c>
      <c r="B8" s="322" t="s">
        <v>1734</v>
      </c>
      <c r="C8" s="225"/>
      <c r="D8" s="225"/>
      <c r="E8" s="323" t="s">
        <v>1089</v>
      </c>
      <c r="F8" s="224" t="s">
        <v>1717</v>
      </c>
      <c r="G8" s="281">
        <v>2</v>
      </c>
      <c r="H8" s="281"/>
      <c r="I8" s="281"/>
      <c r="J8" s="292"/>
      <c r="K8" s="292"/>
      <c r="L8" s="292"/>
      <c r="M8" s="292"/>
      <c r="N8" s="225"/>
    </row>
    <row r="9" spans="1:14" ht="26.4" outlineLevel="1">
      <c r="A9" s="266">
        <f>SUBTOTAL(3,$F$7:F9)</f>
        <v>2</v>
      </c>
      <c r="B9" s="322" t="s">
        <v>1735</v>
      </c>
      <c r="C9" s="225"/>
      <c r="D9" s="225"/>
      <c r="E9" s="323" t="s">
        <v>1089</v>
      </c>
      <c r="F9" s="224" t="s">
        <v>570</v>
      </c>
      <c r="G9" s="281">
        <v>8</v>
      </c>
      <c r="H9" s="281"/>
      <c r="I9" s="281"/>
      <c r="J9" s="292"/>
      <c r="K9" s="292"/>
      <c r="L9" s="292"/>
      <c r="M9" s="292"/>
      <c r="N9" s="225"/>
    </row>
    <row r="10" spans="1:14" outlineLevel="1">
      <c r="A10" s="266">
        <f>SUBTOTAL(3,$F$7:F10)</f>
        <v>3</v>
      </c>
      <c r="B10" s="225" t="s">
        <v>1736</v>
      </c>
      <c r="C10" s="225"/>
      <c r="D10" s="225"/>
      <c r="E10" s="224" t="s">
        <v>1086</v>
      </c>
      <c r="F10" s="224" t="s">
        <v>570</v>
      </c>
      <c r="G10" s="281">
        <v>50</v>
      </c>
      <c r="H10" s="281"/>
      <c r="I10" s="281"/>
      <c r="J10" s="292"/>
      <c r="K10" s="292"/>
      <c r="L10" s="292"/>
      <c r="M10" s="292"/>
      <c r="N10" s="225"/>
    </row>
    <row r="11" spans="1:14" outlineLevel="1">
      <c r="A11" s="266"/>
      <c r="B11" s="295" t="s">
        <v>1737</v>
      </c>
      <c r="C11" s="295"/>
      <c r="D11" s="295"/>
      <c r="E11" s="219"/>
      <c r="F11" s="219"/>
      <c r="G11" s="281">
        <v>0</v>
      </c>
      <c r="H11" s="281"/>
      <c r="I11" s="281"/>
      <c r="J11" s="292"/>
      <c r="K11" s="292"/>
      <c r="L11" s="292"/>
      <c r="M11" s="292"/>
      <c r="N11" s="225"/>
    </row>
    <row r="12" spans="1:14" ht="27.6" customHeight="1" outlineLevel="1">
      <c r="A12" s="266">
        <f>SUBTOTAL(3,$F$7:F12)</f>
        <v>4</v>
      </c>
      <c r="B12" s="225" t="s">
        <v>1738</v>
      </c>
      <c r="C12" s="225"/>
      <c r="D12" s="225"/>
      <c r="E12" s="224" t="s">
        <v>1739</v>
      </c>
      <c r="F12" s="224" t="s">
        <v>237</v>
      </c>
      <c r="G12" s="281">
        <v>1</v>
      </c>
      <c r="H12" s="281"/>
      <c r="I12" s="281"/>
      <c r="J12" s="292"/>
      <c r="K12" s="292"/>
      <c r="L12" s="292"/>
      <c r="M12" s="292"/>
      <c r="N12" s="225"/>
    </row>
    <row r="13" spans="1:14" outlineLevel="1">
      <c r="A13" s="266">
        <f>SUBTOTAL(3,$F$7:F13)</f>
        <v>5</v>
      </c>
      <c r="B13" s="225" t="s">
        <v>1740</v>
      </c>
      <c r="C13" s="225"/>
      <c r="D13" s="225"/>
      <c r="E13" s="224" t="s">
        <v>1741</v>
      </c>
      <c r="F13" s="224" t="s">
        <v>237</v>
      </c>
      <c r="G13" s="281">
        <v>1</v>
      </c>
      <c r="H13" s="281"/>
      <c r="I13" s="281"/>
      <c r="J13" s="292"/>
      <c r="K13" s="292"/>
      <c r="L13" s="292"/>
      <c r="M13" s="292"/>
      <c r="N13" s="225"/>
    </row>
    <row r="14" spans="1:14" ht="41.4" customHeight="1" outlineLevel="1">
      <c r="A14" s="266">
        <f>SUBTOTAL(3,$F$7:F14)</f>
        <v>6</v>
      </c>
      <c r="B14" s="225" t="s">
        <v>1742</v>
      </c>
      <c r="C14" s="225"/>
      <c r="D14" s="225"/>
      <c r="E14" s="224" t="s">
        <v>1743</v>
      </c>
      <c r="F14" s="224" t="s">
        <v>237</v>
      </c>
      <c r="G14" s="281">
        <v>1</v>
      </c>
      <c r="H14" s="281"/>
      <c r="I14" s="281"/>
      <c r="J14" s="292"/>
      <c r="K14" s="292"/>
      <c r="L14" s="292"/>
      <c r="M14" s="292"/>
      <c r="N14" s="225"/>
    </row>
    <row r="15" spans="1:14" outlineLevel="1">
      <c r="A15" s="266">
        <f>SUBTOTAL(3,$F$7:F15)</f>
        <v>7</v>
      </c>
      <c r="B15" s="225" t="s">
        <v>1744</v>
      </c>
      <c r="C15" s="225"/>
      <c r="D15" s="225"/>
      <c r="E15" s="224" t="s">
        <v>1745</v>
      </c>
      <c r="F15" s="224" t="s">
        <v>237</v>
      </c>
      <c r="G15" s="281">
        <v>1</v>
      </c>
      <c r="H15" s="281"/>
      <c r="I15" s="281"/>
      <c r="J15" s="292"/>
      <c r="K15" s="292"/>
      <c r="L15" s="292"/>
      <c r="M15" s="292"/>
      <c r="N15" s="225"/>
    </row>
    <row r="16" spans="1:14" ht="27.6" customHeight="1" outlineLevel="1">
      <c r="A16" s="266">
        <f>SUBTOTAL(3,$F$7:F16)</f>
        <v>8</v>
      </c>
      <c r="B16" s="225" t="s">
        <v>1746</v>
      </c>
      <c r="C16" s="225"/>
      <c r="D16" s="225"/>
      <c r="E16" s="224" t="s">
        <v>1747</v>
      </c>
      <c r="F16" s="224" t="s">
        <v>237</v>
      </c>
      <c r="G16" s="281">
        <v>1</v>
      </c>
      <c r="H16" s="281"/>
      <c r="I16" s="281"/>
      <c r="J16" s="292"/>
      <c r="K16" s="292"/>
      <c r="L16" s="292"/>
      <c r="M16" s="292"/>
      <c r="N16" s="225"/>
    </row>
    <row r="17" spans="1:14" ht="27.6" customHeight="1" outlineLevel="1">
      <c r="A17" s="266">
        <f>SUBTOTAL(3,$F$7:F17)</f>
        <v>9</v>
      </c>
      <c r="B17" s="225" t="s">
        <v>1748</v>
      </c>
      <c r="C17" s="225"/>
      <c r="D17" s="225"/>
      <c r="E17" s="224" t="s">
        <v>1749</v>
      </c>
      <c r="F17" s="224" t="s">
        <v>237</v>
      </c>
      <c r="G17" s="281">
        <v>1</v>
      </c>
      <c r="H17" s="281"/>
      <c r="I17" s="281"/>
      <c r="J17" s="292"/>
      <c r="K17" s="292"/>
      <c r="L17" s="292"/>
      <c r="M17" s="292"/>
      <c r="N17" s="225"/>
    </row>
    <row r="18" spans="1:14" outlineLevel="1">
      <c r="A18" s="266">
        <f>SUBTOTAL(3,$F$7:F18)</f>
        <v>10</v>
      </c>
      <c r="B18" s="225" t="s">
        <v>1750</v>
      </c>
      <c r="C18" s="225"/>
      <c r="D18" s="225"/>
      <c r="E18" s="224" t="s">
        <v>1751</v>
      </c>
      <c r="F18" s="224" t="s">
        <v>237</v>
      </c>
      <c r="G18" s="281">
        <v>1</v>
      </c>
      <c r="H18" s="281"/>
      <c r="I18" s="281"/>
      <c r="J18" s="292"/>
      <c r="K18" s="292"/>
      <c r="L18" s="292"/>
      <c r="M18" s="292"/>
      <c r="N18" s="225"/>
    </row>
    <row r="19" spans="1:14" ht="27.6" customHeight="1" outlineLevel="1">
      <c r="A19" s="266">
        <f>SUBTOTAL(3,$F$7:F19)</f>
        <v>11</v>
      </c>
      <c r="B19" s="225" t="s">
        <v>1752</v>
      </c>
      <c r="C19" s="225"/>
      <c r="D19" s="225"/>
      <c r="E19" s="224" t="s">
        <v>1753</v>
      </c>
      <c r="F19" s="224" t="s">
        <v>237</v>
      </c>
      <c r="G19" s="281">
        <v>1</v>
      </c>
      <c r="H19" s="281"/>
      <c r="I19" s="281"/>
      <c r="J19" s="292"/>
      <c r="K19" s="292"/>
      <c r="L19" s="292"/>
      <c r="M19" s="292"/>
      <c r="N19" s="225"/>
    </row>
    <row r="20" spans="1:14" ht="27.6" customHeight="1" outlineLevel="1">
      <c r="A20" s="266">
        <f>SUBTOTAL(3,$F$7:F20)</f>
        <v>12</v>
      </c>
      <c r="B20" s="225" t="s">
        <v>1754</v>
      </c>
      <c r="C20" s="225"/>
      <c r="D20" s="225"/>
      <c r="E20" s="224" t="s">
        <v>1747</v>
      </c>
      <c r="F20" s="224" t="s">
        <v>237</v>
      </c>
      <c r="G20" s="281">
        <v>1</v>
      </c>
      <c r="H20" s="281"/>
      <c r="I20" s="281"/>
      <c r="J20" s="292"/>
      <c r="K20" s="292"/>
      <c r="L20" s="292"/>
      <c r="M20" s="292"/>
      <c r="N20" s="225"/>
    </row>
    <row r="21" spans="1:14" outlineLevel="1">
      <c r="A21" s="266">
        <f>SUBTOTAL(3,$F$7:F21)</f>
        <v>13</v>
      </c>
      <c r="B21" s="225" t="s">
        <v>1755</v>
      </c>
      <c r="C21" s="225" t="s">
        <v>1756</v>
      </c>
      <c r="D21" s="225"/>
      <c r="E21" s="224"/>
      <c r="F21" s="224" t="s">
        <v>237</v>
      </c>
      <c r="G21" s="281">
        <v>0</v>
      </c>
      <c r="H21" s="281"/>
      <c r="I21" s="281"/>
      <c r="J21" s="292"/>
      <c r="K21" s="292"/>
      <c r="L21" s="292"/>
      <c r="M21" s="292"/>
      <c r="N21" s="225"/>
    </row>
    <row r="22" spans="1:14" outlineLevel="1">
      <c r="A22" s="266">
        <f>SUBTOTAL(3,$F$7:F22)</f>
        <v>14</v>
      </c>
      <c r="B22" s="225" t="s">
        <v>1757</v>
      </c>
      <c r="C22" s="225"/>
      <c r="D22" s="225"/>
      <c r="E22" s="224" t="s">
        <v>1741</v>
      </c>
      <c r="F22" s="224" t="s">
        <v>237</v>
      </c>
      <c r="G22" s="281">
        <v>1</v>
      </c>
      <c r="H22" s="281"/>
      <c r="I22" s="281"/>
      <c r="J22" s="292"/>
      <c r="K22" s="292"/>
      <c r="L22" s="292"/>
      <c r="M22" s="292"/>
      <c r="N22" s="225"/>
    </row>
    <row r="23" spans="1:14" outlineLevel="1">
      <c r="A23" s="266">
        <f>SUBTOTAL(3,$F$7:F23)</f>
        <v>15</v>
      </c>
      <c r="B23" s="225" t="s">
        <v>1758</v>
      </c>
      <c r="C23" s="225"/>
      <c r="D23" s="225"/>
      <c r="E23" s="224" t="s">
        <v>1741</v>
      </c>
      <c r="F23" s="224" t="s">
        <v>1759</v>
      </c>
      <c r="G23" s="281">
        <v>28</v>
      </c>
      <c r="H23" s="281"/>
      <c r="I23" s="281"/>
      <c r="J23" s="292"/>
      <c r="K23" s="292"/>
      <c r="L23" s="292"/>
      <c r="M23" s="292"/>
      <c r="N23" s="225"/>
    </row>
    <row r="24" spans="1:14" outlineLevel="1">
      <c r="A24" s="266">
        <f>SUBTOTAL(3,$F$7:F24)</f>
        <v>16</v>
      </c>
      <c r="B24" s="225" t="s">
        <v>1760</v>
      </c>
      <c r="C24" s="225"/>
      <c r="D24" s="225"/>
      <c r="E24" s="224" t="s">
        <v>1741</v>
      </c>
      <c r="F24" s="224" t="s">
        <v>1759</v>
      </c>
      <c r="G24" s="281">
        <v>3</v>
      </c>
      <c r="H24" s="281"/>
      <c r="I24" s="281"/>
      <c r="J24" s="292"/>
      <c r="K24" s="292"/>
      <c r="L24" s="292"/>
      <c r="M24" s="292"/>
      <c r="N24" s="225"/>
    </row>
    <row r="25" spans="1:14" outlineLevel="1">
      <c r="A25" s="266">
        <f>SUBTOTAL(3,$F$7:F25)</f>
        <v>17</v>
      </c>
      <c r="B25" s="225" t="s">
        <v>1761</v>
      </c>
      <c r="C25" s="225"/>
      <c r="D25" s="225"/>
      <c r="E25" s="224"/>
      <c r="F25" s="224" t="s">
        <v>276</v>
      </c>
      <c r="G25" s="281">
        <v>1</v>
      </c>
      <c r="H25" s="281"/>
      <c r="I25" s="281"/>
      <c r="J25" s="292"/>
      <c r="K25" s="292"/>
      <c r="L25" s="292"/>
      <c r="M25" s="292"/>
      <c r="N25" s="225"/>
    </row>
    <row r="26" spans="1:14" outlineLevel="1">
      <c r="A26" s="266"/>
      <c r="B26" s="295" t="s">
        <v>1762</v>
      </c>
      <c r="C26" s="295"/>
      <c r="D26" s="295"/>
      <c r="E26" s="219"/>
      <c r="F26" s="224"/>
      <c r="G26" s="281">
        <v>0</v>
      </c>
      <c r="H26" s="281"/>
      <c r="I26" s="281"/>
      <c r="J26" s="292"/>
      <c r="K26" s="292"/>
      <c r="L26" s="292"/>
      <c r="M26" s="292"/>
      <c r="N26" s="225"/>
    </row>
    <row r="27" spans="1:14" ht="27.6" customHeight="1" outlineLevel="1">
      <c r="A27" s="266">
        <f>SUBTOTAL(3,$F$7:F27)</f>
        <v>18</v>
      </c>
      <c r="B27" s="225" t="s">
        <v>1763</v>
      </c>
      <c r="C27" s="225"/>
      <c r="D27" s="225"/>
      <c r="E27" s="224" t="s">
        <v>1739</v>
      </c>
      <c r="F27" s="224" t="s">
        <v>237</v>
      </c>
      <c r="G27" s="281">
        <v>3</v>
      </c>
      <c r="H27" s="281"/>
      <c r="I27" s="281"/>
      <c r="J27" s="292"/>
      <c r="K27" s="292"/>
      <c r="L27" s="292"/>
      <c r="M27" s="292"/>
      <c r="N27" s="225"/>
    </row>
    <row r="28" spans="1:14" outlineLevel="1">
      <c r="A28" s="266">
        <f>SUBTOTAL(3,$F$7:F28)</f>
        <v>19</v>
      </c>
      <c r="B28" s="225" t="s">
        <v>1764</v>
      </c>
      <c r="C28" s="225"/>
      <c r="D28" s="225"/>
      <c r="E28" s="224" t="s">
        <v>1741</v>
      </c>
      <c r="F28" s="224" t="s">
        <v>219</v>
      </c>
      <c r="G28" s="281">
        <v>3</v>
      </c>
      <c r="H28" s="281"/>
      <c r="I28" s="281"/>
      <c r="J28" s="292"/>
      <c r="K28" s="292"/>
      <c r="L28" s="292"/>
      <c r="M28" s="292"/>
      <c r="N28" s="225"/>
    </row>
    <row r="29" spans="1:14" outlineLevel="1">
      <c r="A29" s="266">
        <f>SUBTOTAL(3,$F$7:F29)</f>
        <v>20</v>
      </c>
      <c r="B29" s="225" t="s">
        <v>1765</v>
      </c>
      <c r="C29" s="225"/>
      <c r="D29" s="225"/>
      <c r="E29" s="224" t="s">
        <v>1741</v>
      </c>
      <c r="F29" s="224" t="s">
        <v>219</v>
      </c>
      <c r="G29" s="281">
        <v>3</v>
      </c>
      <c r="H29" s="281"/>
      <c r="I29" s="281"/>
      <c r="J29" s="292"/>
      <c r="K29" s="292"/>
      <c r="L29" s="292"/>
      <c r="M29" s="292"/>
      <c r="N29" s="225"/>
    </row>
    <row r="30" spans="1:14" ht="27.6" customHeight="1" outlineLevel="1">
      <c r="A30" s="266">
        <f>SUBTOTAL(3,$F$7:F30)</f>
        <v>21</v>
      </c>
      <c r="B30" s="225" t="s">
        <v>1766</v>
      </c>
      <c r="C30" s="225"/>
      <c r="D30" s="225"/>
      <c r="E30" s="224" t="s">
        <v>1747</v>
      </c>
      <c r="F30" s="224" t="s">
        <v>219</v>
      </c>
      <c r="G30" s="281">
        <v>3</v>
      </c>
      <c r="H30" s="281"/>
      <c r="I30" s="281"/>
      <c r="J30" s="292"/>
      <c r="K30" s="292"/>
      <c r="L30" s="292"/>
      <c r="M30" s="292"/>
      <c r="N30" s="225"/>
    </row>
    <row r="31" spans="1:14" ht="27.6" customHeight="1" outlineLevel="1">
      <c r="A31" s="266">
        <f>SUBTOTAL(3,$F$7:F31)</f>
        <v>22</v>
      </c>
      <c r="B31" s="225" t="s">
        <v>1767</v>
      </c>
      <c r="C31" s="225"/>
      <c r="D31" s="225"/>
      <c r="E31" s="224" t="s">
        <v>1768</v>
      </c>
      <c r="F31" s="224" t="s">
        <v>237</v>
      </c>
      <c r="G31" s="281">
        <v>1</v>
      </c>
      <c r="H31" s="281"/>
      <c r="I31" s="281"/>
      <c r="J31" s="292"/>
      <c r="K31" s="292"/>
      <c r="L31" s="292"/>
      <c r="M31" s="292"/>
      <c r="N31" s="225"/>
    </row>
    <row r="32" spans="1:14" outlineLevel="1">
      <c r="A32" s="266">
        <f>SUBTOTAL(3,$F$7:F32)</f>
        <v>23</v>
      </c>
      <c r="B32" s="225" t="s">
        <v>1769</v>
      </c>
      <c r="C32" s="225"/>
      <c r="D32" s="225"/>
      <c r="E32" s="224" t="s">
        <v>1741</v>
      </c>
      <c r="F32" s="224" t="s">
        <v>237</v>
      </c>
      <c r="G32" s="281">
        <v>3</v>
      </c>
      <c r="H32" s="281"/>
      <c r="I32" s="281"/>
      <c r="J32" s="292"/>
      <c r="K32" s="292"/>
      <c r="L32" s="292"/>
      <c r="M32" s="292"/>
      <c r="N32" s="225"/>
    </row>
    <row r="33" spans="1:14" outlineLevel="1">
      <c r="A33" s="266">
        <f>SUBTOTAL(3,$F$7:F33)</f>
        <v>24</v>
      </c>
      <c r="B33" s="225" t="s">
        <v>1770</v>
      </c>
      <c r="C33" s="225"/>
      <c r="D33" s="225"/>
      <c r="E33" s="224" t="s">
        <v>1741</v>
      </c>
      <c r="F33" s="224" t="s">
        <v>237</v>
      </c>
      <c r="G33" s="281">
        <v>1</v>
      </c>
      <c r="H33" s="281"/>
      <c r="I33" s="281"/>
      <c r="J33" s="292"/>
      <c r="K33" s="292"/>
      <c r="L33" s="292"/>
      <c r="M33" s="292"/>
      <c r="N33" s="225"/>
    </row>
    <row r="34" spans="1:14" outlineLevel="1">
      <c r="A34" s="266">
        <f>SUBTOTAL(3,$F$7:F34)</f>
        <v>25</v>
      </c>
      <c r="B34" s="225" t="s">
        <v>1771</v>
      </c>
      <c r="C34" s="225"/>
      <c r="D34" s="225"/>
      <c r="E34" s="224" t="s">
        <v>1741</v>
      </c>
      <c r="F34" s="224" t="s">
        <v>237</v>
      </c>
      <c r="G34" s="281">
        <v>1</v>
      </c>
      <c r="H34" s="281"/>
      <c r="I34" s="281"/>
      <c r="J34" s="292"/>
      <c r="K34" s="292"/>
      <c r="L34" s="292"/>
      <c r="M34" s="292"/>
      <c r="N34" s="225"/>
    </row>
    <row r="35" spans="1:14" outlineLevel="1">
      <c r="A35" s="266">
        <f>SUBTOTAL(3,$F$7:F35)</f>
        <v>26</v>
      </c>
      <c r="B35" s="225" t="s">
        <v>1772</v>
      </c>
      <c r="C35" s="225"/>
      <c r="D35" s="225"/>
      <c r="E35" s="224" t="s">
        <v>1741</v>
      </c>
      <c r="F35" s="224" t="s">
        <v>237</v>
      </c>
      <c r="G35" s="281">
        <v>3</v>
      </c>
      <c r="H35" s="281"/>
      <c r="I35" s="281"/>
      <c r="J35" s="292"/>
      <c r="K35" s="292"/>
      <c r="L35" s="292"/>
      <c r="M35" s="292"/>
      <c r="N35" s="225"/>
    </row>
    <row r="36" spans="1:14" ht="27.6" customHeight="1" outlineLevel="1">
      <c r="A36" s="266">
        <f>SUBTOTAL(3,$F$7:F36)</f>
        <v>27</v>
      </c>
      <c r="B36" s="225" t="s">
        <v>1752</v>
      </c>
      <c r="C36" s="225"/>
      <c r="D36" s="225"/>
      <c r="E36" s="224" t="s">
        <v>1753</v>
      </c>
      <c r="F36" s="224" t="s">
        <v>219</v>
      </c>
      <c r="G36" s="281">
        <v>9</v>
      </c>
      <c r="H36" s="281"/>
      <c r="I36" s="281"/>
      <c r="J36" s="292"/>
      <c r="K36" s="292"/>
      <c r="L36" s="292"/>
      <c r="M36" s="292"/>
      <c r="N36" s="225"/>
    </row>
    <row r="37" spans="1:14" ht="27.6" customHeight="1" outlineLevel="1">
      <c r="A37" s="266">
        <f>SUBTOTAL(3,$F$7:F37)</f>
        <v>28</v>
      </c>
      <c r="B37" s="225" t="s">
        <v>1773</v>
      </c>
      <c r="C37" s="225"/>
      <c r="D37" s="225"/>
      <c r="E37" s="224" t="s">
        <v>1739</v>
      </c>
      <c r="F37" s="224" t="s">
        <v>237</v>
      </c>
      <c r="G37" s="281">
        <v>84</v>
      </c>
      <c r="H37" s="281"/>
      <c r="I37" s="281"/>
      <c r="J37" s="292"/>
      <c r="K37" s="292"/>
      <c r="L37" s="292"/>
      <c r="M37" s="292"/>
      <c r="N37" s="225"/>
    </row>
    <row r="38" spans="1:14" ht="27.6" customHeight="1" outlineLevel="1">
      <c r="A38" s="266">
        <f>SUBTOTAL(3,$F$7:F38)</f>
        <v>29</v>
      </c>
      <c r="B38" s="225" t="s">
        <v>1774</v>
      </c>
      <c r="C38" s="225"/>
      <c r="D38" s="225"/>
      <c r="E38" s="224" t="s">
        <v>1775</v>
      </c>
      <c r="F38" s="224" t="s">
        <v>219</v>
      </c>
      <c r="G38" s="281">
        <v>3</v>
      </c>
      <c r="H38" s="281"/>
      <c r="I38" s="281"/>
      <c r="J38" s="292"/>
      <c r="K38" s="292"/>
      <c r="L38" s="292"/>
      <c r="M38" s="292"/>
      <c r="N38" s="225"/>
    </row>
    <row r="39" spans="1:14" ht="27.6" customHeight="1" outlineLevel="1">
      <c r="A39" s="266">
        <f>SUBTOTAL(3,$F$7:F39)</f>
        <v>30</v>
      </c>
      <c r="B39" s="225" t="s">
        <v>1776</v>
      </c>
      <c r="C39" s="225"/>
      <c r="D39" s="225"/>
      <c r="E39" s="224" t="s">
        <v>1775</v>
      </c>
      <c r="F39" s="224" t="s">
        <v>219</v>
      </c>
      <c r="G39" s="281">
        <v>3</v>
      </c>
      <c r="H39" s="281"/>
      <c r="I39" s="281"/>
      <c r="J39" s="292"/>
      <c r="K39" s="292"/>
      <c r="L39" s="292"/>
      <c r="M39" s="292"/>
      <c r="N39" s="225"/>
    </row>
    <row r="40" spans="1:14" ht="27.6" customHeight="1" outlineLevel="1">
      <c r="A40" s="266">
        <f>SUBTOTAL(3,$F$7:F40)</f>
        <v>31</v>
      </c>
      <c r="B40" s="225" t="s">
        <v>1777</v>
      </c>
      <c r="C40" s="225"/>
      <c r="D40" s="225"/>
      <c r="E40" s="224" t="s">
        <v>1747</v>
      </c>
      <c r="F40" s="224" t="s">
        <v>219</v>
      </c>
      <c r="G40" s="281">
        <v>34</v>
      </c>
      <c r="H40" s="281"/>
      <c r="I40" s="281"/>
      <c r="J40" s="292"/>
      <c r="K40" s="292"/>
      <c r="L40" s="292"/>
      <c r="M40" s="292"/>
      <c r="N40" s="225"/>
    </row>
    <row r="41" spans="1:14" ht="27.6" customHeight="1" outlineLevel="1">
      <c r="A41" s="266">
        <f>SUBTOTAL(3,$F$7:F41)</f>
        <v>32</v>
      </c>
      <c r="B41" s="225" t="s">
        <v>1778</v>
      </c>
      <c r="C41" s="225"/>
      <c r="D41" s="225"/>
      <c r="E41" s="224" t="s">
        <v>1775</v>
      </c>
      <c r="F41" s="224" t="s">
        <v>219</v>
      </c>
      <c r="G41" s="281">
        <v>2</v>
      </c>
      <c r="H41" s="281"/>
      <c r="I41" s="281"/>
      <c r="J41" s="292"/>
      <c r="K41" s="292"/>
      <c r="L41" s="292"/>
      <c r="M41" s="292"/>
      <c r="N41" s="225"/>
    </row>
    <row r="42" spans="1:14" ht="27.6" customHeight="1" outlineLevel="1">
      <c r="A42" s="266">
        <f>SUBTOTAL(3,$F$7:F42)</f>
        <v>33</v>
      </c>
      <c r="B42" s="225" t="s">
        <v>1779</v>
      </c>
      <c r="C42" s="225"/>
      <c r="D42" s="225"/>
      <c r="E42" s="224" t="s">
        <v>1775</v>
      </c>
      <c r="F42" s="224" t="s">
        <v>219</v>
      </c>
      <c r="G42" s="281">
        <v>12</v>
      </c>
      <c r="H42" s="281"/>
      <c r="I42" s="281"/>
      <c r="J42" s="292"/>
      <c r="K42" s="292"/>
      <c r="L42" s="292"/>
      <c r="M42" s="292"/>
      <c r="N42" s="225"/>
    </row>
    <row r="43" spans="1:14" outlineLevel="1">
      <c r="A43" s="266">
        <f>SUBTOTAL(3,$F$7:F43)</f>
        <v>34</v>
      </c>
      <c r="B43" s="225" t="s">
        <v>1761</v>
      </c>
      <c r="C43" s="225"/>
      <c r="D43" s="225"/>
      <c r="E43" s="224"/>
      <c r="F43" s="224" t="s">
        <v>276</v>
      </c>
      <c r="G43" s="281">
        <v>3</v>
      </c>
      <c r="H43" s="281"/>
      <c r="I43" s="281"/>
      <c r="J43" s="292"/>
      <c r="K43" s="292"/>
      <c r="L43" s="292"/>
      <c r="M43" s="292"/>
      <c r="N43" s="225"/>
    </row>
    <row r="44" spans="1:14" outlineLevel="1">
      <c r="A44" s="266"/>
      <c r="B44" s="295" t="s">
        <v>1780</v>
      </c>
      <c r="C44" s="295"/>
      <c r="D44" s="295"/>
      <c r="E44" s="219"/>
      <c r="F44" s="224"/>
      <c r="G44" s="281">
        <v>0</v>
      </c>
      <c r="H44" s="281"/>
      <c r="I44" s="281"/>
      <c r="J44" s="292"/>
      <c r="K44" s="292"/>
      <c r="L44" s="292"/>
      <c r="M44" s="292"/>
      <c r="N44" s="225"/>
    </row>
    <row r="45" spans="1:14" outlineLevel="1">
      <c r="A45" s="266">
        <f>SUBTOTAL(3,$F$7:F45)</f>
        <v>35</v>
      </c>
      <c r="B45" s="225" t="s">
        <v>1781</v>
      </c>
      <c r="C45" s="225"/>
      <c r="D45" s="225"/>
      <c r="E45" s="224" t="s">
        <v>1741</v>
      </c>
      <c r="F45" s="224" t="s">
        <v>570</v>
      </c>
      <c r="G45" s="281">
        <v>2546</v>
      </c>
      <c r="H45" s="281"/>
      <c r="I45" s="281"/>
      <c r="J45" s="292"/>
      <c r="K45" s="292"/>
      <c r="L45" s="292"/>
      <c r="M45" s="292"/>
      <c r="N45" s="225"/>
    </row>
    <row r="46" spans="1:14" outlineLevel="1">
      <c r="A46" s="266">
        <f>SUBTOTAL(3,$F$7:F46)</f>
        <v>36</v>
      </c>
      <c r="B46" s="225" t="s">
        <v>1782</v>
      </c>
      <c r="C46" s="225"/>
      <c r="D46" s="225"/>
      <c r="E46" s="224" t="s">
        <v>1741</v>
      </c>
      <c r="F46" s="224" t="s">
        <v>570</v>
      </c>
      <c r="G46" s="281">
        <v>2186</v>
      </c>
      <c r="H46" s="281"/>
      <c r="I46" s="281"/>
      <c r="J46" s="292"/>
      <c r="K46" s="292"/>
      <c r="L46" s="292"/>
      <c r="M46" s="292"/>
      <c r="N46" s="225"/>
    </row>
    <row r="47" spans="1:14" outlineLevel="1">
      <c r="A47" s="266">
        <f>SUBTOTAL(3,$F$7:F47)</f>
        <v>37</v>
      </c>
      <c r="B47" s="225" t="s">
        <v>1783</v>
      </c>
      <c r="C47" s="225"/>
      <c r="D47" s="225"/>
      <c r="E47" s="224" t="s">
        <v>1741</v>
      </c>
      <c r="F47" s="224" t="s">
        <v>570</v>
      </c>
      <c r="G47" s="281">
        <v>1271</v>
      </c>
      <c r="H47" s="281"/>
      <c r="I47" s="281"/>
      <c r="J47" s="292"/>
      <c r="K47" s="292"/>
      <c r="L47" s="292"/>
      <c r="M47" s="292"/>
      <c r="N47" s="225"/>
    </row>
    <row r="48" spans="1:14" outlineLevel="1">
      <c r="A48" s="266">
        <f>SUBTOTAL(3,$F$7:F48)</f>
        <v>38</v>
      </c>
      <c r="B48" s="225" t="s">
        <v>1784</v>
      </c>
      <c r="C48" s="225"/>
      <c r="D48" s="225"/>
      <c r="E48" s="224" t="s">
        <v>1741</v>
      </c>
      <c r="F48" s="224" t="s">
        <v>570</v>
      </c>
      <c r="G48" s="281">
        <v>389</v>
      </c>
      <c r="H48" s="281"/>
      <c r="I48" s="281"/>
      <c r="J48" s="292"/>
      <c r="K48" s="292"/>
      <c r="L48" s="292"/>
      <c r="M48" s="292"/>
      <c r="N48" s="225"/>
    </row>
    <row r="49" spans="1:14" outlineLevel="1">
      <c r="A49" s="266">
        <f>SUBTOTAL(3,$F$7:F49)</f>
        <v>39</v>
      </c>
      <c r="B49" s="225" t="s">
        <v>1785</v>
      </c>
      <c r="C49" s="225"/>
      <c r="D49" s="225"/>
      <c r="E49" s="224" t="s">
        <v>1741</v>
      </c>
      <c r="F49" s="224" t="s">
        <v>570</v>
      </c>
      <c r="G49" s="281">
        <v>68</v>
      </c>
      <c r="H49" s="281"/>
      <c r="I49" s="281"/>
      <c r="J49" s="292"/>
      <c r="K49" s="292"/>
      <c r="L49" s="292"/>
      <c r="M49" s="292"/>
      <c r="N49" s="225"/>
    </row>
    <row r="50" spans="1:14" outlineLevel="1">
      <c r="A50" s="266">
        <f>SUBTOTAL(3,$F$7:F50)</f>
        <v>40</v>
      </c>
      <c r="B50" s="225" t="s">
        <v>1786</v>
      </c>
      <c r="C50" s="225"/>
      <c r="D50" s="225"/>
      <c r="E50" s="224" t="s">
        <v>1741</v>
      </c>
      <c r="F50" s="224" t="s">
        <v>570</v>
      </c>
      <c r="G50" s="281">
        <v>123</v>
      </c>
      <c r="H50" s="281"/>
      <c r="I50" s="281"/>
      <c r="J50" s="292"/>
      <c r="K50" s="292"/>
      <c r="L50" s="292"/>
      <c r="M50" s="292"/>
      <c r="N50" s="225"/>
    </row>
    <row r="51" spans="1:14" outlineLevel="1">
      <c r="A51" s="266">
        <f>SUBTOTAL(3,$F$7:F51)</f>
        <v>41</v>
      </c>
      <c r="B51" s="225" t="s">
        <v>1787</v>
      </c>
      <c r="C51" s="225"/>
      <c r="D51" s="225"/>
      <c r="E51" s="224" t="s">
        <v>1741</v>
      </c>
      <c r="F51" s="224" t="s">
        <v>570</v>
      </c>
      <c r="G51" s="281">
        <v>297</v>
      </c>
      <c r="H51" s="281"/>
      <c r="I51" s="281"/>
      <c r="J51" s="292"/>
      <c r="K51" s="292"/>
      <c r="L51" s="292"/>
      <c r="M51" s="292"/>
      <c r="N51" s="225"/>
    </row>
    <row r="52" spans="1:14" ht="27.6" customHeight="1" outlineLevel="1">
      <c r="A52" s="266">
        <f>SUBTOTAL(3,$F$7:F52)</f>
        <v>42</v>
      </c>
      <c r="B52" s="225" t="s">
        <v>1788</v>
      </c>
      <c r="C52" s="225" t="s">
        <v>1789</v>
      </c>
      <c r="D52" s="225"/>
      <c r="E52" s="224" t="s">
        <v>1790</v>
      </c>
      <c r="F52" s="224" t="s">
        <v>570</v>
      </c>
      <c r="G52" s="281">
        <v>1751</v>
      </c>
      <c r="H52" s="281"/>
      <c r="I52" s="281"/>
      <c r="J52" s="292"/>
      <c r="K52" s="292"/>
      <c r="L52" s="292"/>
      <c r="M52" s="292"/>
      <c r="N52" s="225"/>
    </row>
    <row r="53" spans="1:14" outlineLevel="1">
      <c r="A53" s="266">
        <f>SUBTOTAL(3,$F$7:F53)</f>
        <v>43</v>
      </c>
      <c r="B53" s="225" t="s">
        <v>1791</v>
      </c>
      <c r="C53" s="225"/>
      <c r="D53" s="225"/>
      <c r="E53" s="224" t="s">
        <v>1790</v>
      </c>
      <c r="F53" s="224" t="s">
        <v>570</v>
      </c>
      <c r="G53" s="281">
        <v>53</v>
      </c>
      <c r="H53" s="281"/>
      <c r="I53" s="281"/>
      <c r="J53" s="292"/>
      <c r="K53" s="292"/>
      <c r="L53" s="292"/>
      <c r="M53" s="292"/>
      <c r="N53" s="225"/>
    </row>
    <row r="54" spans="1:14" outlineLevel="1">
      <c r="A54" s="266">
        <f>SUBTOTAL(3,$F$7:F54)</f>
        <v>44</v>
      </c>
      <c r="B54" s="225" t="s">
        <v>1761</v>
      </c>
      <c r="C54" s="225"/>
      <c r="D54" s="225"/>
      <c r="E54" s="224"/>
      <c r="F54" s="224" t="s">
        <v>276</v>
      </c>
      <c r="G54" s="281">
        <v>3</v>
      </c>
      <c r="H54" s="281"/>
      <c r="I54" s="281"/>
      <c r="J54" s="292"/>
      <c r="K54" s="292"/>
      <c r="L54" s="292"/>
      <c r="M54" s="292"/>
      <c r="N54" s="225"/>
    </row>
    <row r="55" spans="1:14" s="278" customFormat="1">
      <c r="A55" s="289" t="s">
        <v>826</v>
      </c>
      <c r="B55" s="311" t="s">
        <v>1792</v>
      </c>
      <c r="C55" s="307"/>
      <c r="D55" s="307"/>
      <c r="E55" s="289"/>
      <c r="F55" s="289"/>
      <c r="G55" s="281">
        <v>0</v>
      </c>
      <c r="H55" s="221"/>
      <c r="I55" s="221"/>
      <c r="J55" s="298"/>
      <c r="K55" s="298"/>
      <c r="L55" s="298"/>
      <c r="M55" s="298"/>
      <c r="N55" s="295"/>
    </row>
    <row r="56" spans="1:14" outlineLevel="1">
      <c r="A56" s="266"/>
      <c r="B56" s="295" t="s">
        <v>1732</v>
      </c>
      <c r="C56" s="295"/>
      <c r="D56" s="295"/>
      <c r="E56" s="219"/>
      <c r="F56" s="224"/>
      <c r="G56" s="281">
        <v>0</v>
      </c>
      <c r="H56" s="281"/>
      <c r="I56" s="281"/>
      <c r="J56" s="292"/>
      <c r="K56" s="292"/>
      <c r="L56" s="292"/>
      <c r="M56" s="292"/>
      <c r="N56" s="225"/>
    </row>
    <row r="57" spans="1:14" ht="41.4" customHeight="1" outlineLevel="1">
      <c r="A57" s="266">
        <f>SUBTOTAL(3,$F$7:F57)</f>
        <v>45</v>
      </c>
      <c r="B57" s="225" t="s">
        <v>1793</v>
      </c>
      <c r="C57" s="225"/>
      <c r="D57" s="225"/>
      <c r="E57" s="224" t="s">
        <v>1794</v>
      </c>
      <c r="F57" s="224" t="s">
        <v>237</v>
      </c>
      <c r="G57" s="281">
        <v>1</v>
      </c>
      <c r="H57" s="281"/>
      <c r="I57" s="281"/>
      <c r="J57" s="292"/>
      <c r="K57" s="292"/>
      <c r="L57" s="292"/>
      <c r="M57" s="292"/>
      <c r="N57" s="225"/>
    </row>
    <row r="58" spans="1:14" ht="27.6" customHeight="1" outlineLevel="1">
      <c r="A58" s="266">
        <f>SUBTOTAL(3,$F$7:F58)</f>
        <v>46</v>
      </c>
      <c r="B58" s="225" t="s">
        <v>1795</v>
      </c>
      <c r="C58" s="225"/>
      <c r="D58" s="225"/>
      <c r="E58" s="224" t="s">
        <v>1796</v>
      </c>
      <c r="F58" s="224" t="s">
        <v>237</v>
      </c>
      <c r="G58" s="281">
        <v>1</v>
      </c>
      <c r="H58" s="281"/>
      <c r="I58" s="281"/>
      <c r="J58" s="292"/>
      <c r="K58" s="292"/>
      <c r="L58" s="292"/>
      <c r="M58" s="292"/>
      <c r="N58" s="225"/>
    </row>
    <row r="59" spans="1:14" ht="41.4" customHeight="1" outlineLevel="1">
      <c r="A59" s="266">
        <f>SUBTOTAL(3,$F$7:F59)</f>
        <v>47</v>
      </c>
      <c r="B59" s="225" t="s">
        <v>1797</v>
      </c>
      <c r="C59" s="225"/>
      <c r="D59" s="225"/>
      <c r="E59" s="224" t="s">
        <v>1794</v>
      </c>
      <c r="F59" s="224" t="s">
        <v>237</v>
      </c>
      <c r="G59" s="281">
        <v>5</v>
      </c>
      <c r="H59" s="281"/>
      <c r="I59" s="281"/>
      <c r="J59" s="292"/>
      <c r="K59" s="292"/>
      <c r="L59" s="292"/>
      <c r="M59" s="292"/>
      <c r="N59" s="225"/>
    </row>
    <row r="60" spans="1:14" outlineLevel="1">
      <c r="A60" s="266">
        <f>SUBTOTAL(3,$F$7:F60)</f>
        <v>48</v>
      </c>
      <c r="B60" s="225" t="s">
        <v>1798</v>
      </c>
      <c r="C60" s="225"/>
      <c r="D60" s="225"/>
      <c r="E60" s="224" t="s">
        <v>1799</v>
      </c>
      <c r="F60" s="224" t="s">
        <v>237</v>
      </c>
      <c r="G60" s="281">
        <v>5</v>
      </c>
      <c r="H60" s="281"/>
      <c r="I60" s="281"/>
      <c r="J60" s="292"/>
      <c r="K60" s="292"/>
      <c r="L60" s="292"/>
      <c r="M60" s="292"/>
      <c r="N60" s="225"/>
    </row>
    <row r="61" spans="1:14" outlineLevel="1">
      <c r="A61" s="266">
        <f>SUBTOTAL(3,$F$7:F61)</f>
        <v>49</v>
      </c>
      <c r="B61" s="225" t="s">
        <v>1800</v>
      </c>
      <c r="C61" s="225"/>
      <c r="D61" s="225"/>
      <c r="E61" s="224" t="s">
        <v>1796</v>
      </c>
      <c r="F61" s="224" t="s">
        <v>237</v>
      </c>
      <c r="G61" s="281">
        <v>0</v>
      </c>
      <c r="H61" s="281"/>
      <c r="I61" s="281"/>
      <c r="J61" s="292"/>
      <c r="K61" s="292"/>
      <c r="L61" s="292"/>
      <c r="M61" s="292"/>
      <c r="N61" s="225"/>
    </row>
    <row r="62" spans="1:14" outlineLevel="1">
      <c r="A62" s="266">
        <f>SUBTOTAL(3,$F$7:F62)</f>
        <v>50</v>
      </c>
      <c r="B62" s="225" t="s">
        <v>1801</v>
      </c>
      <c r="C62" s="225"/>
      <c r="D62" s="225"/>
      <c r="E62" s="224" t="s">
        <v>1802</v>
      </c>
      <c r="F62" s="224" t="s">
        <v>237</v>
      </c>
      <c r="G62" s="281">
        <v>0</v>
      </c>
      <c r="H62" s="281"/>
      <c r="I62" s="281"/>
      <c r="J62" s="292"/>
      <c r="K62" s="292"/>
      <c r="L62" s="292"/>
      <c r="M62" s="292"/>
      <c r="N62" s="225"/>
    </row>
    <row r="63" spans="1:14" outlineLevel="1">
      <c r="A63" s="266">
        <f>SUBTOTAL(3,$F$7:F63)</f>
        <v>51</v>
      </c>
      <c r="B63" s="225" t="s">
        <v>1803</v>
      </c>
      <c r="C63" s="225"/>
      <c r="D63" s="225"/>
      <c r="E63" s="224" t="s">
        <v>1741</v>
      </c>
      <c r="F63" s="224" t="s">
        <v>237</v>
      </c>
      <c r="G63" s="281">
        <v>8</v>
      </c>
      <c r="H63" s="281"/>
      <c r="I63" s="281"/>
      <c r="J63" s="292"/>
      <c r="K63" s="292"/>
      <c r="L63" s="292"/>
      <c r="M63" s="292"/>
      <c r="N63" s="225"/>
    </row>
    <row r="64" spans="1:14" ht="27.6" customHeight="1" outlineLevel="1">
      <c r="A64" s="266">
        <f>SUBTOTAL(3,$F$7:F64)</f>
        <v>52</v>
      </c>
      <c r="B64" s="225" t="s">
        <v>1804</v>
      </c>
      <c r="C64" s="225"/>
      <c r="D64" s="225"/>
      <c r="E64" s="224" t="s">
        <v>1739</v>
      </c>
      <c r="F64" s="224" t="s">
        <v>237</v>
      </c>
      <c r="G64" s="281">
        <v>1</v>
      </c>
      <c r="H64" s="281"/>
      <c r="I64" s="281"/>
      <c r="J64" s="292"/>
      <c r="K64" s="292"/>
      <c r="L64" s="292"/>
      <c r="M64" s="292"/>
      <c r="N64" s="225"/>
    </row>
    <row r="65" spans="1:14" outlineLevel="1">
      <c r="A65" s="266">
        <f>SUBTOTAL(3,$F$7:F65)</f>
        <v>53</v>
      </c>
      <c r="B65" s="225" t="s">
        <v>1805</v>
      </c>
      <c r="C65" s="225"/>
      <c r="D65" s="225"/>
      <c r="E65" s="224" t="s">
        <v>1741</v>
      </c>
      <c r="F65" s="224" t="s">
        <v>237</v>
      </c>
      <c r="G65" s="281">
        <v>1</v>
      </c>
      <c r="H65" s="281"/>
      <c r="I65" s="281"/>
      <c r="J65" s="292"/>
      <c r="K65" s="292"/>
      <c r="L65" s="292"/>
      <c r="M65" s="292"/>
      <c r="N65" s="225"/>
    </row>
    <row r="66" spans="1:14" ht="27.6" customHeight="1" outlineLevel="1">
      <c r="A66" s="266">
        <f>SUBTOTAL(3,$F$7:F66)</f>
        <v>54</v>
      </c>
      <c r="B66" s="225" t="s">
        <v>1806</v>
      </c>
      <c r="C66" s="225"/>
      <c r="D66" s="225"/>
      <c r="E66" s="224" t="s">
        <v>1747</v>
      </c>
      <c r="F66" s="224" t="s">
        <v>237</v>
      </c>
      <c r="G66" s="281">
        <v>1</v>
      </c>
      <c r="H66" s="281"/>
      <c r="I66" s="281"/>
      <c r="J66" s="292"/>
      <c r="K66" s="292"/>
      <c r="L66" s="292"/>
      <c r="M66" s="292"/>
      <c r="N66" s="225"/>
    </row>
    <row r="67" spans="1:14" ht="27.6" customHeight="1" outlineLevel="1">
      <c r="A67" s="266">
        <f>SUBTOTAL(3,$F$7:F67)</f>
        <v>55</v>
      </c>
      <c r="B67" s="225" t="s">
        <v>1807</v>
      </c>
      <c r="C67" s="225"/>
      <c r="D67" s="225"/>
      <c r="E67" s="224" t="s">
        <v>1747</v>
      </c>
      <c r="F67" s="224" t="s">
        <v>237</v>
      </c>
      <c r="G67" s="281">
        <v>1</v>
      </c>
      <c r="H67" s="281"/>
      <c r="I67" s="281"/>
      <c r="J67" s="292"/>
      <c r="K67" s="292"/>
      <c r="L67" s="292"/>
      <c r="M67" s="292"/>
      <c r="N67" s="225"/>
    </row>
    <row r="68" spans="1:14" ht="27.6" customHeight="1" outlineLevel="1">
      <c r="A68" s="266">
        <f>SUBTOTAL(3,$F$7:F68)</f>
        <v>56</v>
      </c>
      <c r="B68" s="225" t="s">
        <v>1808</v>
      </c>
      <c r="C68" s="225"/>
      <c r="D68" s="225"/>
      <c r="E68" s="224" t="s">
        <v>1749</v>
      </c>
      <c r="F68" s="224" t="s">
        <v>237</v>
      </c>
      <c r="G68" s="281">
        <v>1</v>
      </c>
      <c r="H68" s="281"/>
      <c r="I68" s="281"/>
      <c r="J68" s="292"/>
      <c r="K68" s="292"/>
      <c r="L68" s="292"/>
      <c r="M68" s="292"/>
      <c r="N68" s="225" t="s">
        <v>1809</v>
      </c>
    </row>
    <row r="69" spans="1:14" ht="27.6" customHeight="1" outlineLevel="1">
      <c r="A69" s="266">
        <f>SUBTOTAL(3,$F$7:F69)</f>
        <v>57</v>
      </c>
      <c r="B69" s="225" t="s">
        <v>1752</v>
      </c>
      <c r="C69" s="225"/>
      <c r="D69" s="225"/>
      <c r="E69" s="224" t="s">
        <v>1753</v>
      </c>
      <c r="F69" s="224" t="s">
        <v>237</v>
      </c>
      <c r="G69" s="281">
        <v>1</v>
      </c>
      <c r="H69" s="281"/>
      <c r="I69" s="281"/>
      <c r="J69" s="292"/>
      <c r="K69" s="292"/>
      <c r="L69" s="292"/>
      <c r="M69" s="292"/>
      <c r="N69" s="225"/>
    </row>
    <row r="70" spans="1:14" outlineLevel="1">
      <c r="A70" s="266"/>
      <c r="B70" s="295" t="s">
        <v>1762</v>
      </c>
      <c r="C70" s="295"/>
      <c r="D70" s="295"/>
      <c r="E70" s="219"/>
      <c r="F70" s="224"/>
      <c r="G70" s="281">
        <v>0</v>
      </c>
      <c r="H70" s="281"/>
      <c r="I70" s="281"/>
      <c r="J70" s="292"/>
      <c r="K70" s="292"/>
      <c r="L70" s="292"/>
      <c r="M70" s="292"/>
      <c r="N70" s="225"/>
    </row>
    <row r="71" spans="1:14" ht="27.6" customHeight="1" outlineLevel="1">
      <c r="A71" s="266">
        <f>SUBTOTAL(3,$F$7:F71)</f>
        <v>58</v>
      </c>
      <c r="B71" s="225" t="s">
        <v>1810</v>
      </c>
      <c r="C71" s="225"/>
      <c r="D71" s="225"/>
      <c r="E71" s="224" t="s">
        <v>1739</v>
      </c>
      <c r="F71" s="224" t="s">
        <v>237</v>
      </c>
      <c r="G71" s="281">
        <v>8</v>
      </c>
      <c r="H71" s="281"/>
      <c r="I71" s="281"/>
      <c r="J71" s="292"/>
      <c r="K71" s="292"/>
      <c r="L71" s="292"/>
      <c r="M71" s="292"/>
      <c r="N71" s="225"/>
    </row>
    <row r="72" spans="1:14" outlineLevel="1">
      <c r="A72" s="266">
        <f>SUBTOTAL(3,$F$7:F72)</f>
        <v>59</v>
      </c>
      <c r="B72" s="225" t="s">
        <v>1811</v>
      </c>
      <c r="C72" s="225"/>
      <c r="D72" s="225"/>
      <c r="E72" s="224" t="s">
        <v>1741</v>
      </c>
      <c r="F72" s="224" t="s">
        <v>237</v>
      </c>
      <c r="G72" s="281">
        <v>8</v>
      </c>
      <c r="H72" s="281"/>
      <c r="I72" s="281"/>
      <c r="J72" s="292"/>
      <c r="K72" s="292"/>
      <c r="L72" s="292"/>
      <c r="M72" s="292"/>
      <c r="N72" s="225"/>
    </row>
    <row r="73" spans="1:14" ht="27.6" customHeight="1" outlineLevel="1">
      <c r="A73" s="266">
        <f>SUBTOTAL(3,$F$7:F73)</f>
        <v>60</v>
      </c>
      <c r="B73" s="225" t="s">
        <v>1812</v>
      </c>
      <c r="C73" s="225"/>
      <c r="D73" s="225"/>
      <c r="E73" s="224" t="s">
        <v>1747</v>
      </c>
      <c r="F73" s="224" t="s">
        <v>237</v>
      </c>
      <c r="G73" s="281">
        <v>17</v>
      </c>
      <c r="H73" s="281"/>
      <c r="I73" s="281"/>
      <c r="J73" s="292"/>
      <c r="K73" s="292"/>
      <c r="L73" s="292"/>
      <c r="M73" s="292"/>
      <c r="N73" s="225"/>
    </row>
    <row r="74" spans="1:14" outlineLevel="1">
      <c r="A74" s="266">
        <f>SUBTOTAL(3,$F$7:F74)</f>
        <v>61</v>
      </c>
      <c r="B74" s="225" t="s">
        <v>1813</v>
      </c>
      <c r="C74" s="225"/>
      <c r="D74" s="225"/>
      <c r="E74" s="224" t="s">
        <v>1741</v>
      </c>
      <c r="F74" s="224" t="s">
        <v>237</v>
      </c>
      <c r="G74" s="281">
        <v>17</v>
      </c>
      <c r="H74" s="281"/>
      <c r="I74" s="281"/>
      <c r="J74" s="292"/>
      <c r="K74" s="292"/>
      <c r="L74" s="292"/>
      <c r="M74" s="292"/>
      <c r="N74" s="225"/>
    </row>
    <row r="75" spans="1:14" outlineLevel="1">
      <c r="A75" s="266">
        <f>SUBTOTAL(3,$F$7:F75)</f>
        <v>62</v>
      </c>
      <c r="B75" s="225" t="s">
        <v>1758</v>
      </c>
      <c r="C75" s="225"/>
      <c r="D75" s="225"/>
      <c r="E75" s="224" t="s">
        <v>1741</v>
      </c>
      <c r="F75" s="224" t="s">
        <v>1759</v>
      </c>
      <c r="G75" s="281">
        <v>408</v>
      </c>
      <c r="H75" s="281"/>
      <c r="I75" s="281"/>
      <c r="J75" s="292"/>
      <c r="K75" s="292"/>
      <c r="L75" s="292"/>
      <c r="M75" s="292"/>
      <c r="N75" s="225"/>
    </row>
    <row r="76" spans="1:14" outlineLevel="1">
      <c r="A76" s="266">
        <f>SUBTOTAL(3,$F$7:F76)</f>
        <v>63</v>
      </c>
      <c r="B76" s="225" t="s">
        <v>1760</v>
      </c>
      <c r="C76" s="225"/>
      <c r="D76" s="225"/>
      <c r="E76" s="224" t="s">
        <v>1741</v>
      </c>
      <c r="F76" s="224" t="s">
        <v>1759</v>
      </c>
      <c r="G76" s="281">
        <v>17</v>
      </c>
      <c r="H76" s="281"/>
      <c r="I76" s="281"/>
      <c r="J76" s="292"/>
      <c r="K76" s="292"/>
      <c r="L76" s="292"/>
      <c r="M76" s="292"/>
      <c r="N76" s="225"/>
    </row>
    <row r="77" spans="1:14" outlineLevel="1">
      <c r="A77" s="266">
        <f>SUBTOTAL(3,$F$7:F77)</f>
        <v>64</v>
      </c>
      <c r="B77" s="225" t="s">
        <v>1814</v>
      </c>
      <c r="C77" s="225"/>
      <c r="D77" s="225"/>
      <c r="E77" s="224"/>
      <c r="F77" s="224" t="s">
        <v>237</v>
      </c>
      <c r="G77" s="281">
        <v>3</v>
      </c>
      <c r="H77" s="281"/>
      <c r="I77" s="281"/>
      <c r="J77" s="292"/>
      <c r="K77" s="292"/>
      <c r="L77" s="292"/>
      <c r="M77" s="292"/>
      <c r="N77" s="225"/>
    </row>
    <row r="78" spans="1:14" ht="41.4" customHeight="1" outlineLevel="1">
      <c r="A78" s="266">
        <f>SUBTOTAL(3,$F$7:F78)</f>
        <v>65</v>
      </c>
      <c r="B78" s="225" t="s">
        <v>1815</v>
      </c>
      <c r="C78" s="225"/>
      <c r="D78" s="225"/>
      <c r="E78" s="224" t="s">
        <v>1816</v>
      </c>
      <c r="F78" s="224" t="s">
        <v>237</v>
      </c>
      <c r="G78" s="281">
        <v>223</v>
      </c>
      <c r="H78" s="281"/>
      <c r="I78" s="281"/>
      <c r="J78" s="292"/>
      <c r="K78" s="292"/>
      <c r="L78" s="292"/>
      <c r="M78" s="292"/>
      <c r="N78" s="225"/>
    </row>
    <row r="79" spans="1:14" ht="41.4" customHeight="1" outlineLevel="1">
      <c r="A79" s="266">
        <f>SUBTOTAL(3,$F$7:F79)</f>
        <v>66</v>
      </c>
      <c r="B79" s="225" t="s">
        <v>1817</v>
      </c>
      <c r="C79" s="225"/>
      <c r="D79" s="225"/>
      <c r="E79" s="224" t="s">
        <v>1816</v>
      </c>
      <c r="F79" s="224" t="s">
        <v>237</v>
      </c>
      <c r="G79" s="281">
        <v>22</v>
      </c>
      <c r="H79" s="281"/>
      <c r="I79" s="281"/>
      <c r="J79" s="292"/>
      <c r="K79" s="292"/>
      <c r="L79" s="292"/>
      <c r="M79" s="292"/>
      <c r="N79" s="225"/>
    </row>
    <row r="80" spans="1:14" ht="41.4" customHeight="1" outlineLevel="1">
      <c r="A80" s="266">
        <f>SUBTOTAL(3,$F$7:F80)</f>
        <v>67</v>
      </c>
      <c r="B80" s="225" t="s">
        <v>1818</v>
      </c>
      <c r="C80" s="225"/>
      <c r="D80" s="225"/>
      <c r="E80" s="224" t="s">
        <v>1816</v>
      </c>
      <c r="F80" s="224" t="s">
        <v>237</v>
      </c>
      <c r="G80" s="281">
        <v>27</v>
      </c>
      <c r="H80" s="281"/>
      <c r="I80" s="281"/>
      <c r="J80" s="292"/>
      <c r="K80" s="292"/>
      <c r="L80" s="292"/>
      <c r="M80" s="292"/>
      <c r="N80" s="225"/>
    </row>
    <row r="81" spans="1:14" ht="41.4" customHeight="1" outlineLevel="1">
      <c r="A81" s="266">
        <f>SUBTOTAL(3,$F$7:F81)</f>
        <v>68</v>
      </c>
      <c r="B81" s="225" t="s">
        <v>1819</v>
      </c>
      <c r="C81" s="225"/>
      <c r="D81" s="225"/>
      <c r="E81" s="224" t="s">
        <v>1816</v>
      </c>
      <c r="F81" s="224" t="s">
        <v>237</v>
      </c>
      <c r="G81" s="281">
        <v>6</v>
      </c>
      <c r="H81" s="281"/>
      <c r="I81" s="281"/>
      <c r="J81" s="292"/>
      <c r="K81" s="292"/>
      <c r="L81" s="292"/>
      <c r="M81" s="292"/>
      <c r="N81" s="225"/>
    </row>
    <row r="82" spans="1:14" outlineLevel="1">
      <c r="A82" s="266">
        <f>SUBTOTAL(3,$F$7:F82)</f>
        <v>69</v>
      </c>
      <c r="B82" s="225" t="s">
        <v>1820</v>
      </c>
      <c r="C82" s="225"/>
      <c r="D82" s="225"/>
      <c r="E82" s="224" t="s">
        <v>1741</v>
      </c>
      <c r="F82" s="224" t="s">
        <v>570</v>
      </c>
      <c r="G82" s="281">
        <v>1243</v>
      </c>
      <c r="H82" s="281"/>
      <c r="I82" s="281"/>
      <c r="J82" s="292"/>
      <c r="K82" s="292"/>
      <c r="L82" s="292"/>
      <c r="M82" s="292"/>
      <c r="N82" s="225"/>
    </row>
    <row r="83" spans="1:14" outlineLevel="1">
      <c r="A83" s="266">
        <f>SUBTOTAL(3,$F$7:F83)</f>
        <v>70</v>
      </c>
      <c r="B83" s="225" t="s">
        <v>1821</v>
      </c>
      <c r="C83" s="225"/>
      <c r="D83" s="225"/>
      <c r="E83" s="224" t="s">
        <v>1741</v>
      </c>
      <c r="F83" s="224" t="s">
        <v>570</v>
      </c>
      <c r="G83" s="281">
        <v>8931</v>
      </c>
      <c r="H83" s="281"/>
      <c r="I83" s="281"/>
      <c r="J83" s="292"/>
      <c r="K83" s="292"/>
      <c r="L83" s="292"/>
      <c r="M83" s="292"/>
      <c r="N83" s="225"/>
    </row>
    <row r="84" spans="1:14" outlineLevel="1">
      <c r="A84" s="266">
        <f>SUBTOTAL(3,$F$7:F84)</f>
        <v>71</v>
      </c>
      <c r="B84" s="225" t="s">
        <v>1822</v>
      </c>
      <c r="C84" s="280"/>
      <c r="D84" s="280"/>
      <c r="E84" s="224" t="s">
        <v>1083</v>
      </c>
      <c r="F84" s="224" t="s">
        <v>570</v>
      </c>
      <c r="G84" s="281">
        <v>1243</v>
      </c>
      <c r="H84" s="281"/>
      <c r="I84" s="281"/>
      <c r="J84" s="292"/>
      <c r="K84" s="292"/>
      <c r="L84" s="292"/>
      <c r="M84" s="292"/>
      <c r="N84" s="225"/>
    </row>
    <row r="85" spans="1:14" ht="27.6" customHeight="1" outlineLevel="1">
      <c r="A85" s="266">
        <f>SUBTOTAL(3,$F$7:F85)</f>
        <v>72</v>
      </c>
      <c r="B85" s="225" t="s">
        <v>1788</v>
      </c>
      <c r="C85" s="225" t="s">
        <v>1789</v>
      </c>
      <c r="D85" s="225"/>
      <c r="E85" s="224" t="s">
        <v>1790</v>
      </c>
      <c r="F85" s="224" t="s">
        <v>570</v>
      </c>
      <c r="G85" s="281">
        <v>3052</v>
      </c>
      <c r="H85" s="281"/>
      <c r="I85" s="281"/>
      <c r="J85" s="292"/>
      <c r="K85" s="292"/>
      <c r="L85" s="292"/>
      <c r="M85" s="292"/>
      <c r="N85" s="225"/>
    </row>
    <row r="86" spans="1:14" outlineLevel="1">
      <c r="A86" s="266">
        <f>SUBTOTAL(3,$F$7:F86)</f>
        <v>73</v>
      </c>
      <c r="B86" s="225" t="s">
        <v>1553</v>
      </c>
      <c r="C86" s="225"/>
      <c r="D86" s="225"/>
      <c r="E86" s="224" t="s">
        <v>1790</v>
      </c>
      <c r="F86" s="224" t="s">
        <v>570</v>
      </c>
      <c r="G86" s="281">
        <v>509</v>
      </c>
      <c r="H86" s="281"/>
      <c r="I86" s="281"/>
      <c r="J86" s="292"/>
      <c r="K86" s="292"/>
      <c r="L86" s="292"/>
      <c r="M86" s="292"/>
      <c r="N86" s="225"/>
    </row>
    <row r="87" spans="1:14" outlineLevel="1">
      <c r="A87" s="266">
        <f>SUBTOTAL(3,$F$7:F87)</f>
        <v>74</v>
      </c>
      <c r="B87" s="225" t="s">
        <v>1823</v>
      </c>
      <c r="C87" s="225"/>
      <c r="D87" s="225"/>
      <c r="E87" s="224"/>
      <c r="F87" s="224" t="s">
        <v>276</v>
      </c>
      <c r="G87" s="281">
        <v>1</v>
      </c>
      <c r="H87" s="281"/>
      <c r="I87" s="281"/>
      <c r="J87" s="292"/>
      <c r="K87" s="292"/>
      <c r="L87" s="292"/>
      <c r="M87" s="292"/>
      <c r="N87" s="225"/>
    </row>
    <row r="88" spans="1:14" outlineLevel="1">
      <c r="A88" s="266">
        <f>SUBTOTAL(3,$F$7:F88)</f>
        <v>75</v>
      </c>
      <c r="B88" s="225" t="s">
        <v>1761</v>
      </c>
      <c r="C88" s="225"/>
      <c r="D88" s="225"/>
      <c r="E88" s="224"/>
      <c r="F88" s="224" t="s">
        <v>276</v>
      </c>
      <c r="G88" s="281">
        <v>0</v>
      </c>
      <c r="H88" s="281"/>
      <c r="I88" s="281"/>
      <c r="J88" s="292"/>
      <c r="K88" s="292"/>
      <c r="L88" s="292"/>
      <c r="M88" s="292"/>
      <c r="N88" s="225"/>
    </row>
    <row r="89" spans="1:14">
      <c r="A89" s="289" t="s">
        <v>950</v>
      </c>
      <c r="B89" s="311" t="s">
        <v>1824</v>
      </c>
      <c r="C89" s="307"/>
      <c r="D89" s="307"/>
      <c r="E89" s="289"/>
      <c r="F89" s="289"/>
      <c r="G89" s="281">
        <v>0</v>
      </c>
      <c r="H89" s="281"/>
      <c r="I89" s="281"/>
      <c r="J89" s="292"/>
      <c r="K89" s="298"/>
      <c r="L89" s="298"/>
      <c r="M89" s="298"/>
      <c r="N89" s="225"/>
    </row>
    <row r="90" spans="1:14" ht="27.6" customHeight="1" outlineLevel="1">
      <c r="A90" s="266">
        <f>SUBTOTAL(3,$F$7:F90)</f>
        <v>76</v>
      </c>
      <c r="B90" s="225" t="s">
        <v>1795</v>
      </c>
      <c r="C90" s="225"/>
      <c r="D90" s="225"/>
      <c r="E90" s="224" t="s">
        <v>1796</v>
      </c>
      <c r="F90" s="224" t="s">
        <v>237</v>
      </c>
      <c r="G90" s="281">
        <v>1</v>
      </c>
      <c r="H90" s="281"/>
      <c r="I90" s="281"/>
      <c r="J90" s="292"/>
      <c r="K90" s="292"/>
      <c r="L90" s="292"/>
      <c r="M90" s="292"/>
      <c r="N90" s="225"/>
    </row>
    <row r="91" spans="1:14" ht="27.6" customHeight="1" outlineLevel="1">
      <c r="A91" s="266">
        <f>SUBTOTAL(3,$F$7:F91)</f>
        <v>77</v>
      </c>
      <c r="B91" s="225" t="s">
        <v>1808</v>
      </c>
      <c r="C91" s="225"/>
      <c r="D91" s="225"/>
      <c r="E91" s="224" t="s">
        <v>1749</v>
      </c>
      <c r="F91" s="224" t="s">
        <v>237</v>
      </c>
      <c r="G91" s="281">
        <v>0</v>
      </c>
      <c r="H91" s="281"/>
      <c r="I91" s="281"/>
      <c r="J91" s="292"/>
      <c r="K91" s="292"/>
      <c r="L91" s="292"/>
      <c r="M91" s="292"/>
      <c r="N91" s="225" t="s">
        <v>1825</v>
      </c>
    </row>
    <row r="92" spans="1:14" outlineLevel="1">
      <c r="A92" s="266">
        <f>SUBTOTAL(3,$F$7:F92)</f>
        <v>78</v>
      </c>
      <c r="B92" s="225" t="s">
        <v>1805</v>
      </c>
      <c r="C92" s="225"/>
      <c r="D92" s="225"/>
      <c r="E92" s="224" t="s">
        <v>1741</v>
      </c>
      <c r="F92" s="224" t="s">
        <v>237</v>
      </c>
      <c r="G92" s="281">
        <v>0</v>
      </c>
      <c r="H92" s="281"/>
      <c r="I92" s="281"/>
      <c r="J92" s="292"/>
      <c r="K92" s="292"/>
      <c r="L92" s="292"/>
      <c r="M92" s="292"/>
      <c r="N92" s="225" t="s">
        <v>1826</v>
      </c>
    </row>
    <row r="93" spans="1:14" ht="27.6" customHeight="1" outlineLevel="1">
      <c r="A93" s="266">
        <f>SUBTOTAL(3,$F$7:F93)</f>
        <v>79</v>
      </c>
      <c r="B93" s="225" t="s">
        <v>1806</v>
      </c>
      <c r="C93" s="225"/>
      <c r="D93" s="225"/>
      <c r="E93" s="224" t="s">
        <v>1747</v>
      </c>
      <c r="F93" s="224" t="s">
        <v>237</v>
      </c>
      <c r="G93" s="281">
        <v>1</v>
      </c>
      <c r="H93" s="281"/>
      <c r="I93" s="281"/>
      <c r="J93" s="292"/>
      <c r="K93" s="292"/>
      <c r="L93" s="292"/>
      <c r="M93" s="292"/>
      <c r="N93" s="225"/>
    </row>
    <row r="94" spans="1:14" ht="27.6" customHeight="1" outlineLevel="1">
      <c r="A94" s="266">
        <f>SUBTOTAL(3,$F$7:F94)</f>
        <v>80</v>
      </c>
      <c r="B94" s="225" t="s">
        <v>1807</v>
      </c>
      <c r="C94" s="225"/>
      <c r="D94" s="225"/>
      <c r="E94" s="224" t="s">
        <v>1747</v>
      </c>
      <c r="F94" s="224" t="s">
        <v>237</v>
      </c>
      <c r="G94" s="281">
        <v>1</v>
      </c>
      <c r="H94" s="281"/>
      <c r="I94" s="281"/>
      <c r="J94" s="292"/>
      <c r="K94" s="292"/>
      <c r="L94" s="292"/>
      <c r="M94" s="292"/>
      <c r="N94" s="225"/>
    </row>
    <row r="95" spans="1:14" ht="27.6" customHeight="1" outlineLevel="1">
      <c r="A95" s="266">
        <f>SUBTOTAL(3,$F$7:F95)</f>
        <v>81</v>
      </c>
      <c r="B95" s="225" t="s">
        <v>1812</v>
      </c>
      <c r="C95" s="225"/>
      <c r="D95" s="225"/>
      <c r="E95" s="224" t="s">
        <v>1747</v>
      </c>
      <c r="F95" s="224" t="s">
        <v>237</v>
      </c>
      <c r="G95" s="281">
        <v>5</v>
      </c>
      <c r="H95" s="281"/>
      <c r="I95" s="281"/>
      <c r="J95" s="292"/>
      <c r="K95" s="292"/>
      <c r="L95" s="292"/>
      <c r="M95" s="292"/>
      <c r="N95" s="225"/>
    </row>
    <row r="96" spans="1:14" outlineLevel="1">
      <c r="A96" s="266">
        <f>SUBTOTAL(3,$F$7:F96)</f>
        <v>82</v>
      </c>
      <c r="B96" s="225" t="s">
        <v>1813</v>
      </c>
      <c r="C96" s="225"/>
      <c r="D96" s="225"/>
      <c r="E96" s="224" t="s">
        <v>1741</v>
      </c>
      <c r="F96" s="224" t="s">
        <v>237</v>
      </c>
      <c r="G96" s="281">
        <v>5</v>
      </c>
      <c r="H96" s="281"/>
      <c r="I96" s="281"/>
      <c r="J96" s="292"/>
      <c r="K96" s="292"/>
      <c r="L96" s="292"/>
      <c r="M96" s="292"/>
      <c r="N96" s="225"/>
    </row>
    <row r="97" spans="1:14" outlineLevel="1">
      <c r="A97" s="266">
        <f>SUBTOTAL(3,$F$7:F97)</f>
        <v>83</v>
      </c>
      <c r="B97" s="225" t="s">
        <v>1765</v>
      </c>
      <c r="C97" s="225"/>
      <c r="D97" s="225"/>
      <c r="E97" s="224" t="s">
        <v>1741</v>
      </c>
      <c r="F97" s="224" t="s">
        <v>237</v>
      </c>
      <c r="G97" s="281">
        <v>5</v>
      </c>
      <c r="H97" s="281"/>
      <c r="I97" s="281"/>
      <c r="J97" s="292"/>
      <c r="K97" s="292"/>
      <c r="L97" s="292"/>
      <c r="M97" s="292"/>
      <c r="N97" s="225"/>
    </row>
    <row r="98" spans="1:14" outlineLevel="1">
      <c r="A98" s="266">
        <f>SUBTOTAL(3,$F$7:F98)</f>
        <v>84</v>
      </c>
      <c r="B98" s="225" t="s">
        <v>1758</v>
      </c>
      <c r="C98" s="225"/>
      <c r="D98" s="225"/>
      <c r="E98" s="224" t="s">
        <v>1741</v>
      </c>
      <c r="F98" s="224" t="s">
        <v>1759</v>
      </c>
      <c r="G98" s="281">
        <v>120</v>
      </c>
      <c r="H98" s="281"/>
      <c r="I98" s="281"/>
      <c r="J98" s="292"/>
      <c r="K98" s="292"/>
      <c r="L98" s="292"/>
      <c r="M98" s="292"/>
      <c r="N98" s="225"/>
    </row>
    <row r="99" spans="1:14" outlineLevel="1">
      <c r="A99" s="266">
        <f>SUBTOTAL(3,$F$7:F99)</f>
        <v>85</v>
      </c>
      <c r="B99" s="225" t="s">
        <v>1760</v>
      </c>
      <c r="C99" s="225"/>
      <c r="D99" s="225"/>
      <c r="E99" s="224" t="s">
        <v>1741</v>
      </c>
      <c r="F99" s="224" t="s">
        <v>1759</v>
      </c>
      <c r="G99" s="281">
        <v>20</v>
      </c>
      <c r="H99" s="281"/>
      <c r="I99" s="281"/>
      <c r="J99" s="292"/>
      <c r="K99" s="292"/>
      <c r="L99" s="292"/>
      <c r="M99" s="292"/>
      <c r="N99" s="225"/>
    </row>
    <row r="100" spans="1:14" ht="27.6" customHeight="1" outlineLevel="1">
      <c r="A100" s="266">
        <f>SUBTOTAL(3,$F$7:F100)</f>
        <v>86</v>
      </c>
      <c r="B100" s="225" t="s">
        <v>1827</v>
      </c>
      <c r="C100" s="225"/>
      <c r="D100" s="225"/>
      <c r="E100" s="224" t="s">
        <v>1828</v>
      </c>
      <c r="F100" s="224" t="s">
        <v>237</v>
      </c>
      <c r="G100" s="281">
        <v>3</v>
      </c>
      <c r="H100" s="281"/>
      <c r="I100" s="281"/>
      <c r="J100" s="292"/>
      <c r="K100" s="292"/>
      <c r="L100" s="292"/>
      <c r="M100" s="292"/>
      <c r="N100" s="225"/>
    </row>
    <row r="101" spans="1:14" ht="27.6" customHeight="1" outlineLevel="1">
      <c r="A101" s="266">
        <f>SUBTOTAL(3,$F$7:F101)</f>
        <v>87</v>
      </c>
      <c r="B101" s="225" t="s">
        <v>1829</v>
      </c>
      <c r="C101" s="225"/>
      <c r="D101" s="225"/>
      <c r="E101" s="224" t="s">
        <v>1830</v>
      </c>
      <c r="F101" s="224" t="s">
        <v>237</v>
      </c>
      <c r="G101" s="281">
        <v>27</v>
      </c>
      <c r="H101" s="281"/>
      <c r="I101" s="281"/>
      <c r="J101" s="292"/>
      <c r="K101" s="292"/>
      <c r="L101" s="292"/>
      <c r="M101" s="292"/>
      <c r="N101" s="225"/>
    </row>
    <row r="102" spans="1:14" ht="27.6" customHeight="1" outlineLevel="1">
      <c r="A102" s="266">
        <f>SUBTOTAL(3,$F$7:F102)</f>
        <v>88</v>
      </c>
      <c r="B102" s="225" t="s">
        <v>1831</v>
      </c>
      <c r="C102" s="225"/>
      <c r="D102" s="225"/>
      <c r="E102" s="224" t="s">
        <v>1832</v>
      </c>
      <c r="F102" s="224" t="s">
        <v>237</v>
      </c>
      <c r="G102" s="281">
        <v>85</v>
      </c>
      <c r="H102" s="281"/>
      <c r="I102" s="281"/>
      <c r="J102" s="292"/>
      <c r="K102" s="292"/>
      <c r="L102" s="292"/>
      <c r="M102" s="292"/>
      <c r="N102" s="225"/>
    </row>
    <row r="103" spans="1:14" ht="27.6" customHeight="1" outlineLevel="1">
      <c r="A103" s="266">
        <f>SUBTOTAL(3,$F$7:F103)</f>
        <v>89</v>
      </c>
      <c r="B103" s="225" t="s">
        <v>1833</v>
      </c>
      <c r="C103" s="225"/>
      <c r="D103" s="225"/>
      <c r="E103" s="224" t="s">
        <v>1832</v>
      </c>
      <c r="F103" s="224" t="s">
        <v>237</v>
      </c>
      <c r="G103" s="281">
        <v>85</v>
      </c>
      <c r="H103" s="281"/>
      <c r="I103" s="281"/>
      <c r="J103" s="292"/>
      <c r="K103" s="292"/>
      <c r="L103" s="292"/>
      <c r="M103" s="292"/>
      <c r="N103" s="225"/>
    </row>
    <row r="104" spans="1:14" outlineLevel="1">
      <c r="A104" s="266">
        <f>SUBTOTAL(3,$F$7:F104)</f>
        <v>90</v>
      </c>
      <c r="B104" s="225" t="s">
        <v>1820</v>
      </c>
      <c r="C104" s="225"/>
      <c r="D104" s="225"/>
      <c r="E104" s="224" t="s">
        <v>1741</v>
      </c>
      <c r="F104" s="224" t="s">
        <v>570</v>
      </c>
      <c r="G104" s="281">
        <v>876</v>
      </c>
      <c r="H104" s="281"/>
      <c r="I104" s="281"/>
      <c r="J104" s="292"/>
      <c r="K104" s="292"/>
      <c r="L104" s="292"/>
      <c r="M104" s="292"/>
      <c r="N104" s="225"/>
    </row>
    <row r="105" spans="1:14" outlineLevel="1">
      <c r="A105" s="266">
        <f>SUBTOTAL(3,$F$7:F105)</f>
        <v>91</v>
      </c>
      <c r="B105" s="225" t="s">
        <v>1834</v>
      </c>
      <c r="C105" s="225"/>
      <c r="D105" s="225"/>
      <c r="E105" s="224" t="s">
        <v>1741</v>
      </c>
      <c r="F105" s="224" t="s">
        <v>570</v>
      </c>
      <c r="G105" s="281">
        <v>3569</v>
      </c>
      <c r="H105" s="281"/>
      <c r="I105" s="281"/>
      <c r="J105" s="292"/>
      <c r="K105" s="292"/>
      <c r="L105" s="292"/>
      <c r="M105" s="292"/>
      <c r="N105" s="225"/>
    </row>
    <row r="106" spans="1:14" outlineLevel="1">
      <c r="A106" s="266">
        <f>SUBTOTAL(3,$F$7:F106)</f>
        <v>92</v>
      </c>
      <c r="B106" s="225" t="s">
        <v>1835</v>
      </c>
      <c r="C106" s="280"/>
      <c r="D106" s="280"/>
      <c r="E106" s="224" t="s">
        <v>1083</v>
      </c>
      <c r="F106" s="224" t="s">
        <v>570</v>
      </c>
      <c r="G106" s="281">
        <v>112</v>
      </c>
      <c r="H106" s="281"/>
      <c r="I106" s="281"/>
      <c r="J106" s="292"/>
      <c r="K106" s="292"/>
      <c r="L106" s="292"/>
      <c r="M106" s="292"/>
      <c r="N106" s="225"/>
    </row>
    <row r="107" spans="1:14" ht="27.6" customHeight="1" outlineLevel="1">
      <c r="A107" s="266">
        <f>SUBTOTAL(3,$F$7:F107)</f>
        <v>93</v>
      </c>
      <c r="B107" s="225" t="s">
        <v>1788</v>
      </c>
      <c r="C107" s="225" t="s">
        <v>1789</v>
      </c>
      <c r="D107" s="225"/>
      <c r="E107" s="224" t="s">
        <v>1790</v>
      </c>
      <c r="F107" s="224" t="s">
        <v>570</v>
      </c>
      <c r="G107" s="281">
        <v>1833</v>
      </c>
      <c r="H107" s="281"/>
      <c r="I107" s="281"/>
      <c r="J107" s="292"/>
      <c r="K107" s="292"/>
      <c r="L107" s="292"/>
      <c r="M107" s="292"/>
      <c r="N107" s="225"/>
    </row>
    <row r="108" spans="1:14" outlineLevel="1">
      <c r="A108" s="266">
        <f>SUBTOTAL(3,$F$7:F108)</f>
        <v>94</v>
      </c>
      <c r="B108" s="225" t="s">
        <v>1553</v>
      </c>
      <c r="C108" s="225"/>
      <c r="D108" s="225"/>
      <c r="E108" s="224" t="s">
        <v>1790</v>
      </c>
      <c r="F108" s="224" t="s">
        <v>570</v>
      </c>
      <c r="G108" s="281">
        <v>184</v>
      </c>
      <c r="H108" s="281"/>
      <c r="I108" s="281"/>
      <c r="J108" s="292"/>
      <c r="K108" s="292"/>
      <c r="L108" s="292"/>
      <c r="M108" s="292"/>
      <c r="N108" s="225"/>
    </row>
    <row r="109" spans="1:14" outlineLevel="1">
      <c r="A109" s="266">
        <f>SUBTOTAL(3,$F$7:F109)</f>
        <v>95</v>
      </c>
      <c r="B109" s="225" t="s">
        <v>1761</v>
      </c>
      <c r="C109" s="225"/>
      <c r="D109" s="225"/>
      <c r="E109" s="224"/>
      <c r="F109" s="224" t="s">
        <v>276</v>
      </c>
      <c r="G109" s="281">
        <v>4</v>
      </c>
      <c r="H109" s="281"/>
      <c r="I109" s="281"/>
      <c r="J109" s="292"/>
      <c r="K109" s="292"/>
      <c r="L109" s="292"/>
      <c r="M109" s="292"/>
      <c r="N109" s="225"/>
    </row>
    <row r="110" spans="1:14" s="278" customFormat="1">
      <c r="A110" s="289" t="s">
        <v>960</v>
      </c>
      <c r="B110" s="311" t="s">
        <v>1836</v>
      </c>
      <c r="C110" s="307"/>
      <c r="D110" s="307"/>
      <c r="E110" s="289"/>
      <c r="F110" s="289"/>
      <c r="G110" s="281">
        <v>0</v>
      </c>
      <c r="H110" s="221"/>
      <c r="I110" s="221"/>
      <c r="J110" s="298"/>
      <c r="K110" s="298"/>
      <c r="L110" s="298"/>
      <c r="M110" s="298"/>
      <c r="N110" s="295"/>
    </row>
    <row r="111" spans="1:14" outlineLevel="1">
      <c r="A111" s="266"/>
      <c r="B111" s="295" t="s">
        <v>1732</v>
      </c>
      <c r="C111" s="295"/>
      <c r="D111" s="295"/>
      <c r="E111" s="219"/>
      <c r="F111" s="224"/>
      <c r="G111" s="281">
        <v>0</v>
      </c>
      <c r="H111" s="281"/>
      <c r="I111" s="281"/>
      <c r="J111" s="292"/>
      <c r="K111" s="292"/>
      <c r="L111" s="292"/>
      <c r="M111" s="292"/>
      <c r="N111" s="225"/>
    </row>
    <row r="112" spans="1:14" outlineLevel="1">
      <c r="A112" s="266">
        <f>SUBTOTAL(3,$F$7:F112)</f>
        <v>96</v>
      </c>
      <c r="B112" s="225" t="s">
        <v>1837</v>
      </c>
      <c r="C112" s="225"/>
      <c r="D112" s="225"/>
      <c r="E112" s="224" t="s">
        <v>1796</v>
      </c>
      <c r="F112" s="224" t="s">
        <v>237</v>
      </c>
      <c r="G112" s="281">
        <v>1</v>
      </c>
      <c r="H112" s="281"/>
      <c r="I112" s="281"/>
      <c r="J112" s="292"/>
      <c r="K112" s="292"/>
      <c r="L112" s="292"/>
      <c r="M112" s="292"/>
      <c r="N112" s="225"/>
    </row>
    <row r="113" spans="1:14" ht="27.6" customHeight="1" outlineLevel="1">
      <c r="A113" s="266">
        <f>SUBTOTAL(3,$F$7:F113)</f>
        <v>97</v>
      </c>
      <c r="B113" s="225" t="s">
        <v>1838</v>
      </c>
      <c r="C113" s="225"/>
      <c r="D113" s="225"/>
      <c r="E113" s="224" t="s">
        <v>1839</v>
      </c>
      <c r="F113" s="224" t="s">
        <v>237</v>
      </c>
      <c r="G113" s="281">
        <v>1</v>
      </c>
      <c r="H113" s="281"/>
      <c r="I113" s="281"/>
      <c r="J113" s="292"/>
      <c r="K113" s="292"/>
      <c r="L113" s="292"/>
      <c r="M113" s="292"/>
      <c r="N113" s="225"/>
    </row>
    <row r="114" spans="1:14" ht="27.6" customHeight="1" outlineLevel="1">
      <c r="A114" s="266">
        <f>SUBTOTAL(3,$F$7:F114)</f>
        <v>98</v>
      </c>
      <c r="B114" s="225" t="s">
        <v>1840</v>
      </c>
      <c r="C114" s="225"/>
      <c r="D114" s="225"/>
      <c r="E114" s="224" t="s">
        <v>1839</v>
      </c>
      <c r="F114" s="224" t="s">
        <v>237</v>
      </c>
      <c r="G114" s="281">
        <v>1</v>
      </c>
      <c r="H114" s="281"/>
      <c r="I114" s="281"/>
      <c r="J114" s="292"/>
      <c r="K114" s="292"/>
      <c r="L114" s="292"/>
      <c r="M114" s="292"/>
      <c r="N114" s="225"/>
    </row>
    <row r="115" spans="1:14" ht="27.6" customHeight="1" outlineLevel="1">
      <c r="A115" s="266">
        <f>SUBTOTAL(3,$F$7:F115)</f>
        <v>99</v>
      </c>
      <c r="B115" s="225" t="s">
        <v>1808</v>
      </c>
      <c r="C115" s="225"/>
      <c r="D115" s="225"/>
      <c r="E115" s="224" t="s">
        <v>1749</v>
      </c>
      <c r="F115" s="224" t="s">
        <v>237</v>
      </c>
      <c r="G115" s="281">
        <v>0</v>
      </c>
      <c r="H115" s="281"/>
      <c r="I115" s="281"/>
      <c r="J115" s="292"/>
      <c r="K115" s="292"/>
      <c r="L115" s="292"/>
      <c r="M115" s="292"/>
      <c r="N115" s="225" t="s">
        <v>1841</v>
      </c>
    </row>
    <row r="116" spans="1:14" ht="27.6" customHeight="1" outlineLevel="1">
      <c r="A116" s="266">
        <f>SUBTOTAL(3,$F$7:F116)</f>
        <v>100</v>
      </c>
      <c r="B116" s="225" t="s">
        <v>1806</v>
      </c>
      <c r="C116" s="225"/>
      <c r="D116" s="225"/>
      <c r="E116" s="224" t="s">
        <v>1747</v>
      </c>
      <c r="F116" s="224" t="s">
        <v>237</v>
      </c>
      <c r="G116" s="281">
        <v>0</v>
      </c>
      <c r="H116" s="281"/>
      <c r="I116" s="281"/>
      <c r="J116" s="292"/>
      <c r="K116" s="292"/>
      <c r="L116" s="292"/>
      <c r="M116" s="292"/>
      <c r="N116" s="225" t="s">
        <v>1842</v>
      </c>
    </row>
    <row r="117" spans="1:14" outlineLevel="1">
      <c r="A117" s="266"/>
      <c r="B117" s="295" t="s">
        <v>1843</v>
      </c>
      <c r="C117" s="295"/>
      <c r="D117" s="295"/>
      <c r="E117" s="219"/>
      <c r="F117" s="224"/>
      <c r="G117" s="281">
        <v>0</v>
      </c>
      <c r="H117" s="281"/>
      <c r="I117" s="281"/>
      <c r="J117" s="292"/>
      <c r="K117" s="292"/>
      <c r="L117" s="292"/>
      <c r="M117" s="292"/>
      <c r="N117" s="225"/>
    </row>
    <row r="118" spans="1:14" ht="27.6" customHeight="1" outlineLevel="1">
      <c r="A118" s="266">
        <f>SUBTOTAL(3,$F$7:F118)</f>
        <v>101</v>
      </c>
      <c r="B118" s="225" t="s">
        <v>1812</v>
      </c>
      <c r="C118" s="225"/>
      <c r="D118" s="225"/>
      <c r="E118" s="224" t="s">
        <v>1747</v>
      </c>
      <c r="F118" s="224" t="s">
        <v>237</v>
      </c>
      <c r="G118" s="281">
        <v>4</v>
      </c>
      <c r="H118" s="281"/>
      <c r="I118" s="281"/>
      <c r="J118" s="292"/>
      <c r="K118" s="292"/>
      <c r="L118" s="292"/>
      <c r="M118" s="292"/>
      <c r="N118" s="225"/>
    </row>
    <row r="119" spans="1:14" outlineLevel="1">
      <c r="A119" s="266">
        <f>SUBTOTAL(3,$F$7:F119)</f>
        <v>102</v>
      </c>
      <c r="B119" s="225" t="s">
        <v>1813</v>
      </c>
      <c r="C119" s="225"/>
      <c r="D119" s="225"/>
      <c r="E119" s="224" t="s">
        <v>1741</v>
      </c>
      <c r="F119" s="224" t="s">
        <v>237</v>
      </c>
      <c r="G119" s="281">
        <v>4</v>
      </c>
      <c r="H119" s="281"/>
      <c r="I119" s="281"/>
      <c r="J119" s="292"/>
      <c r="K119" s="292"/>
      <c r="L119" s="292"/>
      <c r="M119" s="292"/>
      <c r="N119" s="225"/>
    </row>
    <row r="120" spans="1:14" outlineLevel="1">
      <c r="A120" s="266">
        <f>SUBTOTAL(3,$F$7:F120)</f>
        <v>103</v>
      </c>
      <c r="B120" s="225" t="s">
        <v>1765</v>
      </c>
      <c r="C120" s="225"/>
      <c r="D120" s="225"/>
      <c r="E120" s="224" t="s">
        <v>1741</v>
      </c>
      <c r="F120" s="224" t="s">
        <v>237</v>
      </c>
      <c r="G120" s="281">
        <v>4</v>
      </c>
      <c r="H120" s="281"/>
      <c r="I120" s="281"/>
      <c r="J120" s="292"/>
      <c r="K120" s="292"/>
      <c r="L120" s="292"/>
      <c r="M120" s="292"/>
      <c r="N120" s="225"/>
    </row>
    <row r="121" spans="1:14" outlineLevel="1">
      <c r="A121" s="266">
        <f>SUBTOTAL(3,$F$7:F121)</f>
        <v>104</v>
      </c>
      <c r="B121" s="225" t="s">
        <v>1758</v>
      </c>
      <c r="C121" s="225"/>
      <c r="D121" s="225"/>
      <c r="E121" s="224" t="s">
        <v>1741</v>
      </c>
      <c r="F121" s="224" t="s">
        <v>1759</v>
      </c>
      <c r="G121" s="281">
        <v>124</v>
      </c>
      <c r="H121" s="281"/>
      <c r="I121" s="281"/>
      <c r="J121" s="292"/>
      <c r="K121" s="292"/>
      <c r="L121" s="292"/>
      <c r="M121" s="292"/>
      <c r="N121" s="225"/>
    </row>
    <row r="122" spans="1:14" outlineLevel="1">
      <c r="A122" s="266">
        <f>SUBTOTAL(3,$F$7:F122)</f>
        <v>105</v>
      </c>
      <c r="B122" s="225" t="s">
        <v>1760</v>
      </c>
      <c r="C122" s="225"/>
      <c r="D122" s="225"/>
      <c r="E122" s="224" t="s">
        <v>1741</v>
      </c>
      <c r="F122" s="224" t="s">
        <v>1759</v>
      </c>
      <c r="G122" s="281">
        <v>19</v>
      </c>
      <c r="H122" s="281"/>
      <c r="I122" s="281"/>
      <c r="J122" s="292"/>
      <c r="K122" s="292"/>
      <c r="L122" s="292"/>
      <c r="M122" s="292"/>
      <c r="N122" s="225"/>
    </row>
    <row r="123" spans="1:14" outlineLevel="1">
      <c r="A123" s="266"/>
      <c r="B123" s="295" t="s">
        <v>1844</v>
      </c>
      <c r="C123" s="295"/>
      <c r="D123" s="295"/>
      <c r="E123" s="219"/>
      <c r="F123" s="224"/>
      <c r="G123" s="281">
        <v>0</v>
      </c>
      <c r="H123" s="281"/>
      <c r="I123" s="281"/>
      <c r="J123" s="292"/>
      <c r="K123" s="292"/>
      <c r="L123" s="292"/>
      <c r="M123" s="292"/>
      <c r="N123" s="225"/>
    </row>
    <row r="124" spans="1:14" ht="27.6" customHeight="1" outlineLevel="1">
      <c r="A124" s="266">
        <f>SUBTOTAL(3,$F$7:F124)</f>
        <v>106</v>
      </c>
      <c r="B124" s="225" t="s">
        <v>1845</v>
      </c>
      <c r="C124" s="293"/>
      <c r="D124" s="293"/>
      <c r="E124" s="224" t="s">
        <v>1839</v>
      </c>
      <c r="F124" s="224" t="s">
        <v>237</v>
      </c>
      <c r="G124" s="281">
        <v>3</v>
      </c>
      <c r="H124" s="281"/>
      <c r="I124" s="281"/>
      <c r="J124" s="292"/>
      <c r="K124" s="292"/>
      <c r="L124" s="292"/>
      <c r="M124" s="292"/>
      <c r="N124" s="225"/>
    </row>
    <row r="125" spans="1:14" ht="27.6" customHeight="1" outlineLevel="1">
      <c r="A125" s="266">
        <f>SUBTOTAL(3,$F$7:F125)</f>
        <v>107</v>
      </c>
      <c r="B125" s="225" t="s">
        <v>1846</v>
      </c>
      <c r="C125" s="293"/>
      <c r="D125" s="293"/>
      <c r="E125" s="224" t="s">
        <v>1839</v>
      </c>
      <c r="F125" s="224" t="s">
        <v>237</v>
      </c>
      <c r="G125" s="281">
        <v>3</v>
      </c>
      <c r="H125" s="281"/>
      <c r="I125" s="281"/>
      <c r="J125" s="292"/>
      <c r="K125" s="292"/>
      <c r="L125" s="292"/>
      <c r="M125" s="292"/>
      <c r="N125" s="225"/>
    </row>
    <row r="126" spans="1:14" ht="27.6" customHeight="1" outlineLevel="1">
      <c r="A126" s="266">
        <f>SUBTOTAL(3,$F$7:F126)</f>
        <v>108</v>
      </c>
      <c r="B126" s="225" t="s">
        <v>1847</v>
      </c>
      <c r="C126" s="293"/>
      <c r="D126" s="293"/>
      <c r="E126" s="224" t="s">
        <v>1839</v>
      </c>
      <c r="F126" s="224" t="s">
        <v>237</v>
      </c>
      <c r="G126" s="281">
        <v>3</v>
      </c>
      <c r="H126" s="281"/>
      <c r="I126" s="281"/>
      <c r="J126" s="292"/>
      <c r="K126" s="292"/>
      <c r="L126" s="292"/>
      <c r="M126" s="292"/>
      <c r="N126" s="225"/>
    </row>
    <row r="127" spans="1:14" ht="26.4" outlineLevel="1">
      <c r="A127" s="266">
        <f>SUBTOTAL(3,$F$7:F127)</f>
        <v>109</v>
      </c>
      <c r="B127" s="225" t="s">
        <v>1848</v>
      </c>
      <c r="C127" s="293"/>
      <c r="D127" s="293"/>
      <c r="E127" s="323" t="s">
        <v>1849</v>
      </c>
      <c r="F127" s="224" t="s">
        <v>237</v>
      </c>
      <c r="G127" s="281">
        <v>3</v>
      </c>
      <c r="H127" s="281"/>
      <c r="I127" s="281"/>
      <c r="J127" s="292"/>
      <c r="K127" s="292"/>
      <c r="L127" s="292"/>
      <c r="M127" s="292"/>
      <c r="N127" s="225"/>
    </row>
    <row r="128" spans="1:14" ht="27.6" customHeight="1" outlineLevel="1">
      <c r="A128" s="266">
        <f>SUBTOTAL(3,$F$7:F128)</f>
        <v>110</v>
      </c>
      <c r="B128" s="225" t="s">
        <v>1850</v>
      </c>
      <c r="C128" s="293"/>
      <c r="D128" s="293"/>
      <c r="E128" s="224" t="s">
        <v>1851</v>
      </c>
      <c r="F128" s="224" t="s">
        <v>237</v>
      </c>
      <c r="G128" s="281">
        <v>4</v>
      </c>
      <c r="H128" s="281"/>
      <c r="I128" s="281"/>
      <c r="J128" s="292"/>
      <c r="K128" s="292"/>
      <c r="L128" s="292"/>
      <c r="M128" s="292"/>
      <c r="N128" s="225"/>
    </row>
    <row r="129" spans="1:14" outlineLevel="1">
      <c r="A129" s="266">
        <f>SUBTOTAL(3,$F$7:F129)</f>
        <v>111</v>
      </c>
      <c r="B129" s="225" t="s">
        <v>1852</v>
      </c>
      <c r="C129" s="225"/>
      <c r="D129" s="225"/>
      <c r="E129" s="224" t="s">
        <v>1741</v>
      </c>
      <c r="F129" s="224" t="s">
        <v>570</v>
      </c>
      <c r="G129" s="281">
        <v>307</v>
      </c>
      <c r="H129" s="281"/>
      <c r="I129" s="281"/>
      <c r="J129" s="292"/>
      <c r="K129" s="292"/>
      <c r="L129" s="292"/>
      <c r="M129" s="292"/>
      <c r="N129" s="225"/>
    </row>
    <row r="130" spans="1:14" outlineLevel="1">
      <c r="A130" s="266">
        <f>SUBTOTAL(3,$F$7:F130)</f>
        <v>112</v>
      </c>
      <c r="B130" s="225" t="s">
        <v>1853</v>
      </c>
      <c r="C130" s="225"/>
      <c r="D130" s="225"/>
      <c r="E130" s="224" t="s">
        <v>1083</v>
      </c>
      <c r="F130" s="224" t="s">
        <v>570</v>
      </c>
      <c r="G130" s="281">
        <v>161</v>
      </c>
      <c r="H130" s="281"/>
      <c r="I130" s="281"/>
      <c r="J130" s="292"/>
      <c r="K130" s="292"/>
      <c r="L130" s="292"/>
      <c r="M130" s="292"/>
      <c r="N130" s="225"/>
    </row>
    <row r="131" spans="1:14" outlineLevel="1">
      <c r="A131" s="266">
        <f>SUBTOTAL(3,$F$7:F131)</f>
        <v>113</v>
      </c>
      <c r="B131" s="225" t="s">
        <v>1820</v>
      </c>
      <c r="C131" s="225"/>
      <c r="D131" s="225"/>
      <c r="E131" s="224" t="s">
        <v>1741</v>
      </c>
      <c r="F131" s="224" t="s">
        <v>570</v>
      </c>
      <c r="G131" s="281">
        <v>347</v>
      </c>
      <c r="H131" s="281"/>
      <c r="I131" s="281"/>
      <c r="J131" s="292"/>
      <c r="K131" s="292"/>
      <c r="L131" s="292"/>
      <c r="M131" s="292"/>
      <c r="N131" s="225"/>
    </row>
    <row r="132" spans="1:14" ht="27.6" customHeight="1" outlineLevel="1">
      <c r="A132" s="266">
        <f>SUBTOTAL(3,$F$7:F132)</f>
        <v>114</v>
      </c>
      <c r="B132" s="225" t="s">
        <v>1788</v>
      </c>
      <c r="C132" s="225" t="s">
        <v>1789</v>
      </c>
      <c r="D132" s="225"/>
      <c r="E132" s="224" t="s">
        <v>1790</v>
      </c>
      <c r="F132" s="224" t="s">
        <v>570</v>
      </c>
      <c r="G132" s="281">
        <v>1478</v>
      </c>
      <c r="H132" s="281"/>
      <c r="I132" s="281"/>
      <c r="J132" s="292"/>
      <c r="K132" s="292"/>
      <c r="L132" s="292"/>
      <c r="M132" s="292"/>
      <c r="N132" s="225"/>
    </row>
    <row r="133" spans="1:14" outlineLevel="1">
      <c r="A133" s="266">
        <f>SUBTOTAL(3,$F$7:F133)</f>
        <v>115</v>
      </c>
      <c r="B133" s="225" t="s">
        <v>1553</v>
      </c>
      <c r="C133" s="225"/>
      <c r="D133" s="225"/>
      <c r="E133" s="323" t="s">
        <v>1854</v>
      </c>
      <c r="F133" s="224" t="s">
        <v>570</v>
      </c>
      <c r="G133" s="281">
        <v>148</v>
      </c>
      <c r="H133" s="281"/>
      <c r="I133" s="281"/>
      <c r="J133" s="292"/>
      <c r="K133" s="292"/>
      <c r="L133" s="292"/>
      <c r="M133" s="292"/>
      <c r="N133" s="225"/>
    </row>
    <row r="134" spans="1:14" outlineLevel="1">
      <c r="A134" s="266">
        <f>SUBTOTAL(3,$F$7:F134)</f>
        <v>116</v>
      </c>
      <c r="B134" s="225" t="s">
        <v>1823</v>
      </c>
      <c r="C134" s="225"/>
      <c r="D134" s="225"/>
      <c r="E134" s="224"/>
      <c r="F134" s="224" t="s">
        <v>276</v>
      </c>
      <c r="G134" s="281">
        <v>1</v>
      </c>
      <c r="H134" s="281"/>
      <c r="I134" s="281"/>
      <c r="J134" s="292"/>
      <c r="K134" s="292"/>
      <c r="L134" s="292"/>
      <c r="M134" s="292"/>
      <c r="N134" s="225"/>
    </row>
    <row r="135" spans="1:14" outlineLevel="1">
      <c r="A135" s="266">
        <f>SUBTOTAL(3,$F$7:F135)</f>
        <v>117</v>
      </c>
      <c r="B135" s="225" t="s">
        <v>1761</v>
      </c>
      <c r="C135" s="225"/>
      <c r="D135" s="225"/>
      <c r="E135" s="224"/>
      <c r="F135" s="224" t="s">
        <v>276</v>
      </c>
      <c r="G135" s="281">
        <v>1</v>
      </c>
      <c r="H135" s="281"/>
      <c r="I135" s="281"/>
      <c r="J135" s="292"/>
      <c r="K135" s="292"/>
      <c r="L135" s="292"/>
      <c r="M135" s="292"/>
      <c r="N135" s="225"/>
    </row>
    <row r="136" spans="1:14">
      <c r="A136" s="289" t="s">
        <v>1035</v>
      </c>
      <c r="B136" s="311" t="s">
        <v>1855</v>
      </c>
      <c r="C136" s="307"/>
      <c r="D136" s="307"/>
      <c r="E136" s="289"/>
      <c r="F136" s="289"/>
      <c r="G136" s="281">
        <v>0</v>
      </c>
      <c r="H136" s="281"/>
      <c r="I136" s="281"/>
      <c r="J136" s="292"/>
      <c r="K136" s="298"/>
      <c r="L136" s="298"/>
      <c r="M136" s="298"/>
      <c r="N136" s="225"/>
    </row>
    <row r="137" spans="1:14" outlineLevel="1">
      <c r="A137" s="266"/>
      <c r="B137" s="295" t="s">
        <v>1732</v>
      </c>
      <c r="C137" s="295"/>
      <c r="D137" s="295"/>
      <c r="E137" s="219"/>
      <c r="F137" s="224"/>
      <c r="G137" s="281">
        <v>0</v>
      </c>
      <c r="H137" s="281"/>
      <c r="I137" s="281"/>
      <c r="J137" s="292"/>
      <c r="K137" s="292"/>
      <c r="L137" s="292"/>
      <c r="M137" s="292"/>
      <c r="N137" s="225"/>
    </row>
    <row r="138" spans="1:14" ht="27.6" customHeight="1" outlineLevel="1">
      <c r="A138" s="266">
        <f>SUBTOTAL(3,$F$7:F138)</f>
        <v>118</v>
      </c>
      <c r="B138" s="225" t="s">
        <v>1856</v>
      </c>
      <c r="C138" s="225"/>
      <c r="D138" s="225"/>
      <c r="E138" s="224" t="s">
        <v>1739</v>
      </c>
      <c r="F138" s="224" t="s">
        <v>1081</v>
      </c>
      <c r="G138" s="281">
        <v>1</v>
      </c>
      <c r="H138" s="281"/>
      <c r="I138" s="281"/>
      <c r="J138" s="292"/>
      <c r="K138" s="292"/>
      <c r="L138" s="292"/>
      <c r="M138" s="292"/>
      <c r="N138" s="225"/>
    </row>
    <row r="139" spans="1:14" outlineLevel="1">
      <c r="A139" s="266">
        <f>SUBTOTAL(3,$F$7:F139)</f>
        <v>119</v>
      </c>
      <c r="B139" s="225" t="s">
        <v>1857</v>
      </c>
      <c r="C139" s="293"/>
      <c r="D139" s="293"/>
      <c r="E139" s="224" t="s">
        <v>1796</v>
      </c>
      <c r="F139" s="224" t="s">
        <v>237</v>
      </c>
      <c r="G139" s="281">
        <v>1</v>
      </c>
      <c r="H139" s="281"/>
      <c r="I139" s="281"/>
      <c r="J139" s="292"/>
      <c r="K139" s="292"/>
      <c r="L139" s="292"/>
      <c r="M139" s="292"/>
      <c r="N139" s="225"/>
    </row>
    <row r="140" spans="1:14" outlineLevel="1">
      <c r="A140" s="266">
        <f>SUBTOTAL(3,$F$7:F140)</f>
        <v>120</v>
      </c>
      <c r="B140" s="225" t="s">
        <v>1858</v>
      </c>
      <c r="C140" s="293"/>
      <c r="D140" s="293"/>
      <c r="E140" s="305" t="s">
        <v>1859</v>
      </c>
      <c r="F140" s="224" t="s">
        <v>237</v>
      </c>
      <c r="G140" s="281">
        <v>1</v>
      </c>
      <c r="H140" s="281"/>
      <c r="I140" s="281"/>
      <c r="J140" s="292"/>
      <c r="K140" s="292"/>
      <c r="L140" s="292"/>
      <c r="M140" s="292"/>
      <c r="N140" s="225"/>
    </row>
    <row r="141" spans="1:14" outlineLevel="1">
      <c r="A141" s="266">
        <f>SUBTOTAL(3,$F$7:F141)</f>
        <v>121</v>
      </c>
      <c r="B141" s="225" t="s">
        <v>1860</v>
      </c>
      <c r="C141" s="293"/>
      <c r="D141" s="293"/>
      <c r="E141" s="305" t="s">
        <v>1859</v>
      </c>
      <c r="F141" s="224" t="s">
        <v>237</v>
      </c>
      <c r="G141" s="281">
        <v>2</v>
      </c>
      <c r="H141" s="281"/>
      <c r="I141" s="281"/>
      <c r="J141" s="292"/>
      <c r="K141" s="292"/>
      <c r="L141" s="292"/>
      <c r="M141" s="292"/>
      <c r="N141" s="225"/>
    </row>
    <row r="142" spans="1:14" outlineLevel="1">
      <c r="A142" s="266">
        <f>SUBTOTAL(3,$F$7:F142)</f>
        <v>122</v>
      </c>
      <c r="B142" s="225" t="s">
        <v>1861</v>
      </c>
      <c r="C142" s="293"/>
      <c r="D142" s="293"/>
      <c r="E142" s="305" t="s">
        <v>1859</v>
      </c>
      <c r="F142" s="224" t="s">
        <v>237</v>
      </c>
      <c r="G142" s="281">
        <v>3</v>
      </c>
      <c r="H142" s="281"/>
      <c r="I142" s="281"/>
      <c r="J142" s="292"/>
      <c r="K142" s="292"/>
      <c r="L142" s="292"/>
      <c r="M142" s="292"/>
      <c r="N142" s="225"/>
    </row>
    <row r="143" spans="1:14" outlineLevel="1">
      <c r="A143" s="266">
        <f>SUBTOTAL(3,$F$7:F143)</f>
        <v>123</v>
      </c>
      <c r="B143" s="225" t="s">
        <v>1862</v>
      </c>
      <c r="C143" s="293"/>
      <c r="D143" s="293"/>
      <c r="E143" s="305" t="s">
        <v>1859</v>
      </c>
      <c r="F143" s="224" t="s">
        <v>237</v>
      </c>
      <c r="G143" s="281">
        <v>3</v>
      </c>
      <c r="H143" s="281"/>
      <c r="I143" s="281"/>
      <c r="J143" s="292"/>
      <c r="K143" s="292"/>
      <c r="L143" s="292"/>
      <c r="M143" s="292"/>
      <c r="N143" s="225"/>
    </row>
    <row r="144" spans="1:14" ht="27.6" customHeight="1" outlineLevel="1">
      <c r="A144" s="266">
        <f>SUBTOTAL(3,$F$7:F144)</f>
        <v>124</v>
      </c>
      <c r="B144" s="225" t="s">
        <v>1863</v>
      </c>
      <c r="C144" s="293"/>
      <c r="D144" s="293"/>
      <c r="E144" s="224" t="s">
        <v>1749</v>
      </c>
      <c r="F144" s="224" t="s">
        <v>237</v>
      </c>
      <c r="G144" s="281">
        <v>1</v>
      </c>
      <c r="H144" s="281"/>
      <c r="I144" s="281"/>
      <c r="J144" s="292"/>
      <c r="K144" s="292"/>
      <c r="L144" s="292"/>
      <c r="M144" s="292"/>
      <c r="N144" s="225"/>
    </row>
    <row r="145" spans="1:14" outlineLevel="1">
      <c r="A145" s="266">
        <f>SUBTOTAL(3,$F$7:F145)</f>
        <v>125</v>
      </c>
      <c r="B145" s="225" t="s">
        <v>1864</v>
      </c>
      <c r="C145" s="293"/>
      <c r="D145" s="293"/>
      <c r="E145" s="305" t="s">
        <v>1859</v>
      </c>
      <c r="F145" s="224" t="s">
        <v>237</v>
      </c>
      <c r="G145" s="281">
        <v>1</v>
      </c>
      <c r="H145" s="281"/>
      <c r="I145" s="281"/>
      <c r="J145" s="292"/>
      <c r="K145" s="292"/>
      <c r="L145" s="292"/>
      <c r="M145" s="292"/>
      <c r="N145" s="225"/>
    </row>
    <row r="146" spans="1:14" outlineLevel="1">
      <c r="A146" s="266">
        <f>SUBTOTAL(3,$F$7:F146)</f>
        <v>126</v>
      </c>
      <c r="B146" s="225" t="s">
        <v>1865</v>
      </c>
      <c r="C146" s="293"/>
      <c r="D146" s="293"/>
      <c r="E146" s="305" t="s">
        <v>1859</v>
      </c>
      <c r="F146" s="224" t="s">
        <v>237</v>
      </c>
      <c r="G146" s="281">
        <v>2</v>
      </c>
      <c r="H146" s="281"/>
      <c r="I146" s="281"/>
      <c r="J146" s="292"/>
      <c r="K146" s="292"/>
      <c r="L146" s="292"/>
      <c r="M146" s="292"/>
      <c r="N146" s="225"/>
    </row>
    <row r="147" spans="1:14" outlineLevel="1">
      <c r="A147" s="266">
        <f>SUBTOTAL(3,$F$7:F147)</f>
        <v>127</v>
      </c>
      <c r="B147" s="225" t="s">
        <v>1866</v>
      </c>
      <c r="C147" s="293"/>
      <c r="D147" s="293"/>
      <c r="E147" s="305" t="s">
        <v>1859</v>
      </c>
      <c r="F147" s="224" t="s">
        <v>237</v>
      </c>
      <c r="G147" s="281">
        <v>1</v>
      </c>
      <c r="H147" s="281"/>
      <c r="I147" s="281"/>
      <c r="J147" s="292"/>
      <c r="K147" s="292"/>
      <c r="L147" s="292"/>
      <c r="M147" s="292"/>
      <c r="N147" s="225"/>
    </row>
    <row r="148" spans="1:14" outlineLevel="1">
      <c r="A148" s="266">
        <f>SUBTOTAL(3,$F$7:F148)</f>
        <v>128</v>
      </c>
      <c r="B148" s="225" t="s">
        <v>1867</v>
      </c>
      <c r="C148" s="293"/>
      <c r="D148" s="293"/>
      <c r="E148" s="305" t="s">
        <v>1859</v>
      </c>
      <c r="F148" s="224" t="s">
        <v>237</v>
      </c>
      <c r="G148" s="281">
        <v>1</v>
      </c>
      <c r="H148" s="281"/>
      <c r="I148" s="281"/>
      <c r="J148" s="292"/>
      <c r="K148" s="292"/>
      <c r="L148" s="292"/>
      <c r="M148" s="292"/>
      <c r="N148" s="225"/>
    </row>
    <row r="149" spans="1:14" outlineLevel="1">
      <c r="A149" s="266">
        <f>SUBTOTAL(3,$F$7:F149)</f>
        <v>129</v>
      </c>
      <c r="B149" s="225" t="s">
        <v>1868</v>
      </c>
      <c r="C149" s="293"/>
      <c r="D149" s="293"/>
      <c r="E149" s="305" t="s">
        <v>1859</v>
      </c>
      <c r="F149" s="224" t="s">
        <v>237</v>
      </c>
      <c r="G149" s="281">
        <v>1</v>
      </c>
      <c r="H149" s="281"/>
      <c r="I149" s="281"/>
      <c r="J149" s="292"/>
      <c r="K149" s="292"/>
      <c r="L149" s="292"/>
      <c r="M149" s="292"/>
      <c r="N149" s="225"/>
    </row>
    <row r="150" spans="1:14" outlineLevel="1">
      <c r="A150" s="266">
        <f>SUBTOTAL(3,$F$7:F150)</f>
        <v>130</v>
      </c>
      <c r="B150" s="225" t="s">
        <v>1869</v>
      </c>
      <c r="C150" s="293"/>
      <c r="D150" s="293"/>
      <c r="E150" s="305" t="s">
        <v>1859</v>
      </c>
      <c r="F150" s="224" t="s">
        <v>237</v>
      </c>
      <c r="G150" s="281">
        <v>1</v>
      </c>
      <c r="H150" s="281"/>
      <c r="I150" s="281"/>
      <c r="J150" s="292"/>
      <c r="K150" s="292"/>
      <c r="L150" s="292"/>
      <c r="M150" s="292"/>
      <c r="N150" s="225"/>
    </row>
    <row r="151" spans="1:14" outlineLevel="1">
      <c r="A151" s="266">
        <f>SUBTOTAL(3,$F$7:F151)</f>
        <v>131</v>
      </c>
      <c r="B151" s="225" t="s">
        <v>1870</v>
      </c>
      <c r="C151" s="293"/>
      <c r="D151" s="293"/>
      <c r="E151" s="305" t="s">
        <v>1859</v>
      </c>
      <c r="F151" s="224" t="s">
        <v>237</v>
      </c>
      <c r="G151" s="281">
        <v>1</v>
      </c>
      <c r="H151" s="281"/>
      <c r="I151" s="281"/>
      <c r="J151" s="292"/>
      <c r="K151" s="292"/>
      <c r="L151" s="292"/>
      <c r="M151" s="292"/>
      <c r="N151" s="225"/>
    </row>
    <row r="152" spans="1:14" outlineLevel="1">
      <c r="A152" s="266">
        <f>SUBTOTAL(3,$F$7:F152)</f>
        <v>132</v>
      </c>
      <c r="B152" s="225" t="s">
        <v>1871</v>
      </c>
      <c r="C152" s="293"/>
      <c r="D152" s="293"/>
      <c r="E152" s="305" t="s">
        <v>1859</v>
      </c>
      <c r="F152" s="224" t="s">
        <v>237</v>
      </c>
      <c r="G152" s="281">
        <v>1</v>
      </c>
      <c r="H152" s="281"/>
      <c r="I152" s="281"/>
      <c r="J152" s="292"/>
      <c r="K152" s="292"/>
      <c r="L152" s="292"/>
      <c r="M152" s="292"/>
      <c r="N152" s="225"/>
    </row>
    <row r="153" spans="1:14" outlineLevel="1">
      <c r="A153" s="266">
        <f>SUBTOTAL(3,$F$7:F153)</f>
        <v>133</v>
      </c>
      <c r="B153" s="225" t="s">
        <v>1761</v>
      </c>
      <c r="C153" s="293"/>
      <c r="D153" s="293"/>
      <c r="E153" s="305" t="s">
        <v>1859</v>
      </c>
      <c r="F153" s="224" t="s">
        <v>276</v>
      </c>
      <c r="G153" s="281">
        <v>1</v>
      </c>
      <c r="H153" s="281"/>
      <c r="I153" s="281"/>
      <c r="J153" s="292"/>
      <c r="K153" s="292"/>
      <c r="L153" s="292"/>
      <c r="M153" s="292"/>
      <c r="N153" s="225"/>
    </row>
    <row r="154" spans="1:14" outlineLevel="1">
      <c r="A154" s="266"/>
      <c r="B154" s="295" t="s">
        <v>1843</v>
      </c>
      <c r="C154" s="295"/>
      <c r="D154" s="295"/>
      <c r="E154" s="219"/>
      <c r="F154" s="224"/>
      <c r="G154" s="281">
        <v>0</v>
      </c>
      <c r="H154" s="281"/>
      <c r="I154" s="281"/>
      <c r="J154" s="292"/>
      <c r="K154" s="292"/>
      <c r="L154" s="292"/>
      <c r="M154" s="292"/>
      <c r="N154" s="225"/>
    </row>
    <row r="155" spans="1:14" outlineLevel="1">
      <c r="A155" s="266">
        <f>SUBTOTAL(3,$F$7:F155)</f>
        <v>134</v>
      </c>
      <c r="B155" s="225" t="s">
        <v>1872</v>
      </c>
      <c r="C155" s="225"/>
      <c r="D155" s="225"/>
      <c r="E155" s="305" t="s">
        <v>1859</v>
      </c>
      <c r="F155" s="224" t="s">
        <v>237</v>
      </c>
      <c r="G155" s="281">
        <v>590</v>
      </c>
      <c r="H155" s="281"/>
      <c r="I155" s="281"/>
      <c r="J155" s="292"/>
      <c r="K155" s="292"/>
      <c r="L155" s="292"/>
      <c r="M155" s="292"/>
      <c r="N155" s="225"/>
    </row>
    <row r="156" spans="1:14" outlineLevel="1">
      <c r="A156" s="266">
        <f>SUBTOTAL(3,$F$7:F156)</f>
        <v>135</v>
      </c>
      <c r="B156" s="225" t="s">
        <v>1873</v>
      </c>
      <c r="C156" s="225"/>
      <c r="D156" s="225"/>
      <c r="E156" s="305" t="s">
        <v>1859</v>
      </c>
      <c r="F156" s="224" t="s">
        <v>237</v>
      </c>
      <c r="G156" s="281">
        <v>102</v>
      </c>
      <c r="H156" s="281"/>
      <c r="I156" s="281"/>
      <c r="J156" s="292"/>
      <c r="K156" s="292"/>
      <c r="L156" s="292"/>
      <c r="M156" s="292"/>
      <c r="N156" s="225"/>
    </row>
    <row r="157" spans="1:14" outlineLevel="1">
      <c r="A157" s="266">
        <f>SUBTOTAL(3,$F$7:F157)</f>
        <v>136</v>
      </c>
      <c r="B157" s="225" t="s">
        <v>1874</v>
      </c>
      <c r="C157" s="225"/>
      <c r="D157" s="225"/>
      <c r="E157" s="305" t="s">
        <v>1859</v>
      </c>
      <c r="F157" s="224" t="s">
        <v>237</v>
      </c>
      <c r="G157" s="281">
        <v>30</v>
      </c>
      <c r="H157" s="281"/>
      <c r="I157" s="281"/>
      <c r="J157" s="292"/>
      <c r="K157" s="292"/>
      <c r="L157" s="292"/>
      <c r="M157" s="292"/>
      <c r="N157" s="225"/>
    </row>
    <row r="158" spans="1:14" outlineLevel="1">
      <c r="A158" s="266">
        <f>SUBTOTAL(3,$F$7:F158)</f>
        <v>137</v>
      </c>
      <c r="B158" s="225" t="s">
        <v>1875</v>
      </c>
      <c r="C158" s="225"/>
      <c r="D158" s="225"/>
      <c r="E158" s="305" t="s">
        <v>1859</v>
      </c>
      <c r="F158" s="224" t="s">
        <v>237</v>
      </c>
      <c r="G158" s="281">
        <v>2</v>
      </c>
      <c r="H158" s="281"/>
      <c r="I158" s="281"/>
      <c r="J158" s="292"/>
      <c r="K158" s="292"/>
      <c r="L158" s="292"/>
      <c r="M158" s="292"/>
      <c r="N158" s="225"/>
    </row>
    <row r="159" spans="1:14" outlineLevel="1">
      <c r="A159" s="266">
        <f>SUBTOTAL(3,$F$7:F159)</f>
        <v>138</v>
      </c>
      <c r="B159" s="225" t="s">
        <v>1876</v>
      </c>
      <c r="C159" s="225"/>
      <c r="D159" s="225"/>
      <c r="E159" s="305" t="s">
        <v>1859</v>
      </c>
      <c r="F159" s="224" t="s">
        <v>237</v>
      </c>
      <c r="G159" s="281">
        <v>16</v>
      </c>
      <c r="H159" s="281"/>
      <c r="I159" s="281"/>
      <c r="J159" s="292"/>
      <c r="K159" s="292"/>
      <c r="L159" s="292"/>
      <c r="M159" s="292"/>
      <c r="N159" s="225"/>
    </row>
    <row r="160" spans="1:14" outlineLevel="1">
      <c r="A160" s="266">
        <f>SUBTOTAL(3,$F$7:F160)</f>
        <v>139</v>
      </c>
      <c r="B160" s="225" t="s">
        <v>1877</v>
      </c>
      <c r="C160" s="225"/>
      <c r="D160" s="225"/>
      <c r="E160" s="224" t="s">
        <v>1878</v>
      </c>
      <c r="F160" s="224" t="s">
        <v>570</v>
      </c>
      <c r="G160" s="281">
        <v>9805</v>
      </c>
      <c r="H160" s="281"/>
      <c r="I160" s="281"/>
      <c r="J160" s="292"/>
      <c r="K160" s="292"/>
      <c r="L160" s="292"/>
      <c r="M160" s="292"/>
      <c r="N160" s="225"/>
    </row>
    <row r="161" spans="1:14" ht="27.6" customHeight="1" outlineLevel="1">
      <c r="A161" s="266">
        <f>SUBTOTAL(3,$F$7:F161)</f>
        <v>140</v>
      </c>
      <c r="B161" s="225" t="s">
        <v>1788</v>
      </c>
      <c r="C161" s="225" t="s">
        <v>1789</v>
      </c>
      <c r="D161" s="225"/>
      <c r="E161" s="224" t="s">
        <v>1790</v>
      </c>
      <c r="F161" s="224" t="s">
        <v>570</v>
      </c>
      <c r="G161" s="281">
        <v>6020</v>
      </c>
      <c r="H161" s="281"/>
      <c r="I161" s="281"/>
      <c r="J161" s="292"/>
      <c r="K161" s="292"/>
      <c r="L161" s="292"/>
      <c r="M161" s="292"/>
      <c r="N161" s="225"/>
    </row>
    <row r="162" spans="1:14" outlineLevel="1">
      <c r="A162" s="266">
        <f>SUBTOTAL(3,$F$7:F162)</f>
        <v>141</v>
      </c>
      <c r="B162" s="225" t="s">
        <v>1823</v>
      </c>
      <c r="C162" s="225"/>
      <c r="D162" s="225"/>
      <c r="E162" s="224"/>
      <c r="F162" s="224" t="s">
        <v>276</v>
      </c>
      <c r="G162" s="281">
        <v>0</v>
      </c>
      <c r="H162" s="281"/>
      <c r="I162" s="281"/>
      <c r="J162" s="292"/>
      <c r="K162" s="292"/>
      <c r="L162" s="292"/>
      <c r="M162" s="292"/>
      <c r="N162" s="225"/>
    </row>
    <row r="163" spans="1:14" outlineLevel="1">
      <c r="A163" s="266">
        <f>SUBTOTAL(3,$F$7:F163)</f>
        <v>142</v>
      </c>
      <c r="B163" s="225" t="s">
        <v>1761</v>
      </c>
      <c r="C163" s="225"/>
      <c r="D163" s="225"/>
      <c r="E163" s="224"/>
      <c r="F163" s="224" t="s">
        <v>276</v>
      </c>
      <c r="G163" s="281">
        <v>0</v>
      </c>
      <c r="H163" s="281"/>
      <c r="I163" s="281"/>
      <c r="J163" s="292"/>
      <c r="K163" s="292"/>
      <c r="L163" s="292"/>
      <c r="M163" s="292"/>
      <c r="N163" s="225"/>
    </row>
    <row r="164" spans="1:14" ht="27.6" customHeight="1">
      <c r="A164" s="289" t="s">
        <v>1382</v>
      </c>
      <c r="B164" s="295" t="s">
        <v>1879</v>
      </c>
      <c r="C164" s="280" t="s">
        <v>1880</v>
      </c>
      <c r="D164" s="280"/>
      <c r="E164" s="219"/>
      <c r="F164" s="289"/>
      <c r="G164" s="281">
        <v>0</v>
      </c>
      <c r="H164" s="281"/>
      <c r="I164" s="281"/>
      <c r="J164" s="292"/>
      <c r="K164" s="298"/>
      <c r="L164" s="298"/>
      <c r="M164" s="298"/>
      <c r="N164" s="225"/>
    </row>
    <row r="165" spans="1:14" outlineLevel="1">
      <c r="A165" s="266"/>
      <c r="B165" s="295" t="s">
        <v>840</v>
      </c>
      <c r="C165" s="295"/>
      <c r="D165" s="295"/>
      <c r="E165" s="219"/>
      <c r="F165" s="224"/>
      <c r="G165" s="281">
        <v>0</v>
      </c>
      <c r="H165" s="281"/>
      <c r="I165" s="281"/>
      <c r="J165" s="292"/>
      <c r="K165" s="292"/>
      <c r="L165" s="292"/>
      <c r="M165" s="292"/>
      <c r="N165" s="225"/>
    </row>
    <row r="166" spans="1:14" outlineLevel="1">
      <c r="A166" s="266">
        <f>SUBTOTAL(3,$F$7:F166)</f>
        <v>143</v>
      </c>
      <c r="B166" s="225" t="s">
        <v>1881</v>
      </c>
      <c r="C166" s="308"/>
      <c r="D166" s="308"/>
      <c r="E166" s="224" t="s">
        <v>1796</v>
      </c>
      <c r="F166" s="224" t="s">
        <v>237</v>
      </c>
      <c r="G166" s="281">
        <v>4</v>
      </c>
      <c r="H166" s="281"/>
      <c r="I166" s="281"/>
      <c r="J166" s="292"/>
      <c r="K166" s="292"/>
      <c r="L166" s="292"/>
      <c r="M166" s="292"/>
      <c r="N166" s="225"/>
    </row>
    <row r="167" spans="1:14" outlineLevel="1">
      <c r="A167" s="266">
        <f>SUBTOTAL(3,$F$7:F167)</f>
        <v>144</v>
      </c>
      <c r="B167" s="225" t="s">
        <v>1882</v>
      </c>
      <c r="C167" s="308"/>
      <c r="D167" s="308"/>
      <c r="E167" s="224" t="s">
        <v>1796</v>
      </c>
      <c r="F167" s="224" t="s">
        <v>237</v>
      </c>
      <c r="G167" s="281">
        <v>3</v>
      </c>
      <c r="H167" s="281"/>
      <c r="I167" s="281"/>
      <c r="J167" s="292"/>
      <c r="K167" s="292"/>
      <c r="L167" s="292"/>
      <c r="M167" s="292"/>
      <c r="N167" s="225"/>
    </row>
    <row r="168" spans="1:14" ht="27.6" customHeight="1" outlineLevel="1">
      <c r="A168" s="266">
        <f>SUBTOTAL(3,$F$7:F168)</f>
        <v>145</v>
      </c>
      <c r="B168" s="225" t="s">
        <v>1883</v>
      </c>
      <c r="C168" s="308"/>
      <c r="D168" s="308"/>
      <c r="E168" s="224" t="s">
        <v>1747</v>
      </c>
      <c r="F168" s="224" t="s">
        <v>237</v>
      </c>
      <c r="G168" s="281">
        <v>4</v>
      </c>
      <c r="H168" s="281"/>
      <c r="I168" s="281"/>
      <c r="J168" s="292"/>
      <c r="K168" s="292"/>
      <c r="L168" s="292"/>
      <c r="M168" s="292"/>
      <c r="N168" s="225"/>
    </row>
    <row r="169" spans="1:14" outlineLevel="1">
      <c r="A169" s="266">
        <f>SUBTOTAL(3,$F$7:F169)</f>
        <v>146</v>
      </c>
      <c r="B169" s="225" t="s">
        <v>1764</v>
      </c>
      <c r="C169" s="308"/>
      <c r="D169" s="308"/>
      <c r="E169" s="224" t="s">
        <v>1741</v>
      </c>
      <c r="F169" s="224" t="s">
        <v>237</v>
      </c>
      <c r="G169" s="281">
        <v>4</v>
      </c>
      <c r="H169" s="281"/>
      <c r="I169" s="281"/>
      <c r="J169" s="292"/>
      <c r="K169" s="292"/>
      <c r="L169" s="292"/>
      <c r="M169" s="292"/>
      <c r="N169" s="225"/>
    </row>
    <row r="170" spans="1:14" ht="27.6" customHeight="1" outlineLevel="1">
      <c r="A170" s="266">
        <f>SUBTOTAL(3,$F$7:F170)</f>
        <v>147</v>
      </c>
      <c r="B170" s="225" t="s">
        <v>1884</v>
      </c>
      <c r="C170" s="308"/>
      <c r="D170" s="308"/>
      <c r="E170" s="224" t="s">
        <v>1749</v>
      </c>
      <c r="F170" s="224" t="s">
        <v>237</v>
      </c>
      <c r="G170" s="281">
        <v>1</v>
      </c>
      <c r="H170" s="281"/>
      <c r="I170" s="281"/>
      <c r="J170" s="292"/>
      <c r="K170" s="292"/>
      <c r="L170" s="292"/>
      <c r="M170" s="292"/>
      <c r="N170" s="225"/>
    </row>
    <row r="171" spans="1:14" ht="26.4" outlineLevel="1">
      <c r="A171" s="266">
        <f>SUBTOTAL(3,$F$7:F171)</f>
        <v>148</v>
      </c>
      <c r="B171" s="225" t="s">
        <v>1885</v>
      </c>
      <c r="C171" s="308"/>
      <c r="D171" s="308"/>
      <c r="E171" s="323" t="s">
        <v>1886</v>
      </c>
      <c r="F171" s="224" t="s">
        <v>237</v>
      </c>
      <c r="G171" s="281">
        <v>4</v>
      </c>
      <c r="H171" s="281"/>
      <c r="I171" s="281"/>
      <c r="J171" s="292"/>
      <c r="K171" s="292"/>
      <c r="L171" s="292"/>
      <c r="M171" s="292"/>
      <c r="N171" s="225"/>
    </row>
    <row r="172" spans="1:14" outlineLevel="1">
      <c r="A172" s="266">
        <f>SUBTOTAL(3,$F$7:F172)</f>
        <v>149</v>
      </c>
      <c r="B172" s="225" t="s">
        <v>1887</v>
      </c>
      <c r="C172" s="308"/>
      <c r="D172" s="308"/>
      <c r="E172" s="323" t="s">
        <v>1888</v>
      </c>
      <c r="F172" s="224" t="s">
        <v>237</v>
      </c>
      <c r="G172" s="281">
        <v>3</v>
      </c>
      <c r="H172" s="281"/>
      <c r="I172" s="281"/>
      <c r="J172" s="292"/>
      <c r="K172" s="292"/>
      <c r="L172" s="292"/>
      <c r="M172" s="292"/>
      <c r="N172" s="225"/>
    </row>
    <row r="173" spans="1:14" ht="26.4" outlineLevel="1">
      <c r="A173" s="266">
        <f>SUBTOTAL(3,$F$7:F173)</f>
        <v>150</v>
      </c>
      <c r="B173" s="225" t="s">
        <v>1889</v>
      </c>
      <c r="C173" s="308"/>
      <c r="D173" s="308"/>
      <c r="E173" s="323" t="s">
        <v>1890</v>
      </c>
      <c r="F173" s="224" t="s">
        <v>237</v>
      </c>
      <c r="G173" s="281">
        <v>4</v>
      </c>
      <c r="H173" s="281"/>
      <c r="I173" s="281"/>
      <c r="J173" s="292"/>
      <c r="K173" s="292"/>
      <c r="L173" s="292"/>
      <c r="M173" s="292"/>
      <c r="N173" s="225"/>
    </row>
    <row r="174" spans="1:14" ht="41.4" customHeight="1" outlineLevel="1">
      <c r="A174" s="266">
        <f>SUBTOTAL(3,$F$7:F174)</f>
        <v>151</v>
      </c>
      <c r="B174" s="225" t="s">
        <v>1891</v>
      </c>
      <c r="C174" s="308"/>
      <c r="D174" s="308"/>
      <c r="E174" s="224" t="s">
        <v>1892</v>
      </c>
      <c r="F174" s="224" t="s">
        <v>237</v>
      </c>
      <c r="G174" s="281">
        <v>4</v>
      </c>
      <c r="H174" s="281"/>
      <c r="I174" s="281"/>
      <c r="J174" s="292"/>
      <c r="K174" s="292"/>
      <c r="L174" s="292"/>
      <c r="M174" s="292"/>
      <c r="N174" s="225"/>
    </row>
    <row r="175" spans="1:14" ht="41.4" customHeight="1" outlineLevel="1">
      <c r="A175" s="266">
        <f>SUBTOTAL(3,$F$7:F175)</f>
        <v>152</v>
      </c>
      <c r="B175" s="225" t="s">
        <v>1893</v>
      </c>
      <c r="C175" s="308"/>
      <c r="D175" s="308"/>
      <c r="E175" s="224" t="s">
        <v>1892</v>
      </c>
      <c r="F175" s="224" t="s">
        <v>237</v>
      </c>
      <c r="G175" s="281">
        <v>4</v>
      </c>
      <c r="H175" s="281"/>
      <c r="I175" s="281"/>
      <c r="J175" s="292"/>
      <c r="K175" s="292"/>
      <c r="L175" s="292"/>
      <c r="M175" s="292"/>
      <c r="N175" s="225"/>
    </row>
    <row r="176" spans="1:14" ht="41.4" customHeight="1" outlineLevel="1">
      <c r="A176" s="266">
        <f>SUBTOTAL(3,$F$7:F176)</f>
        <v>153</v>
      </c>
      <c r="B176" s="225" t="s">
        <v>1894</v>
      </c>
      <c r="C176" s="308"/>
      <c r="D176" s="308"/>
      <c r="E176" s="224" t="s">
        <v>1892</v>
      </c>
      <c r="F176" s="224" t="s">
        <v>237</v>
      </c>
      <c r="G176" s="281">
        <v>4</v>
      </c>
      <c r="H176" s="281"/>
      <c r="I176" s="281"/>
      <c r="J176" s="292"/>
      <c r="K176" s="292"/>
      <c r="L176" s="292"/>
      <c r="M176" s="292"/>
      <c r="N176" s="225"/>
    </row>
    <row r="177" spans="1:14" ht="27.6" customHeight="1" outlineLevel="1">
      <c r="A177" s="266">
        <f>SUBTOTAL(3,$F$7:F177)</f>
        <v>154</v>
      </c>
      <c r="B177" s="225" t="s">
        <v>1895</v>
      </c>
      <c r="C177" s="308"/>
      <c r="D177" s="308"/>
      <c r="E177" s="224" t="s">
        <v>1896</v>
      </c>
      <c r="F177" s="224" t="s">
        <v>237</v>
      </c>
      <c r="G177" s="281">
        <v>8</v>
      </c>
      <c r="H177" s="281"/>
      <c r="I177" s="281"/>
      <c r="J177" s="292"/>
      <c r="K177" s="292"/>
      <c r="L177" s="292"/>
      <c r="M177" s="292"/>
      <c r="N177" s="225"/>
    </row>
    <row r="178" spans="1:14" outlineLevel="1">
      <c r="A178" s="266">
        <f>SUBTOTAL(3,$F$7:F178)</f>
        <v>155</v>
      </c>
      <c r="B178" s="225" t="s">
        <v>1897</v>
      </c>
      <c r="C178" s="308"/>
      <c r="D178" s="308"/>
      <c r="E178" s="323" t="s">
        <v>1898</v>
      </c>
      <c r="F178" s="224" t="s">
        <v>237</v>
      </c>
      <c r="G178" s="281">
        <v>8</v>
      </c>
      <c r="H178" s="281"/>
      <c r="I178" s="281"/>
      <c r="J178" s="292"/>
      <c r="K178" s="292"/>
      <c r="L178" s="292"/>
      <c r="M178" s="292"/>
      <c r="N178" s="225"/>
    </row>
    <row r="179" spans="1:14" outlineLevel="1">
      <c r="A179" s="266">
        <f>SUBTOTAL(3,$F$7:F179)</f>
        <v>156</v>
      </c>
      <c r="B179" s="225" t="s">
        <v>1899</v>
      </c>
      <c r="C179" s="308"/>
      <c r="D179" s="308"/>
      <c r="E179" s="323" t="s">
        <v>1900</v>
      </c>
      <c r="F179" s="224" t="s">
        <v>237</v>
      </c>
      <c r="G179" s="281">
        <v>8</v>
      </c>
      <c r="H179" s="281"/>
      <c r="I179" s="281"/>
      <c r="J179" s="292"/>
      <c r="K179" s="292"/>
      <c r="L179" s="292"/>
      <c r="M179" s="292"/>
      <c r="N179" s="225"/>
    </row>
    <row r="180" spans="1:14" outlineLevel="1">
      <c r="A180" s="266">
        <f>SUBTOTAL(3,$F$7:F180)</f>
        <v>157</v>
      </c>
      <c r="B180" s="225" t="s">
        <v>1901</v>
      </c>
      <c r="C180" s="308"/>
      <c r="D180" s="308"/>
      <c r="E180" s="323" t="s">
        <v>1900</v>
      </c>
      <c r="F180" s="224" t="s">
        <v>237</v>
      </c>
      <c r="G180" s="281">
        <v>8</v>
      </c>
      <c r="H180" s="281"/>
      <c r="I180" s="281"/>
      <c r="J180" s="292"/>
      <c r="K180" s="292"/>
      <c r="L180" s="292"/>
      <c r="M180" s="292"/>
      <c r="N180" s="225"/>
    </row>
    <row r="181" spans="1:14" outlineLevel="1">
      <c r="A181" s="266">
        <f>SUBTOTAL(3,$F$7:F181)</f>
        <v>158</v>
      </c>
      <c r="B181" s="225" t="s">
        <v>1902</v>
      </c>
      <c r="C181" s="308"/>
      <c r="D181" s="308"/>
      <c r="E181" s="323" t="s">
        <v>1888</v>
      </c>
      <c r="F181" s="224" t="s">
        <v>237</v>
      </c>
      <c r="G181" s="281">
        <v>8</v>
      </c>
      <c r="H181" s="281"/>
      <c r="I181" s="281"/>
      <c r="J181" s="292"/>
      <c r="K181" s="292"/>
      <c r="L181" s="292"/>
      <c r="M181" s="292"/>
      <c r="N181" s="225"/>
    </row>
    <row r="182" spans="1:14" ht="27.6" customHeight="1" outlineLevel="1">
      <c r="A182" s="266">
        <f>SUBTOTAL(3,$F$7:F182)</f>
        <v>159</v>
      </c>
      <c r="B182" s="225" t="s">
        <v>1903</v>
      </c>
      <c r="C182" s="308"/>
      <c r="D182" s="308"/>
      <c r="E182" s="224" t="s">
        <v>1904</v>
      </c>
      <c r="F182" s="224" t="s">
        <v>219</v>
      </c>
      <c r="G182" s="281">
        <v>16</v>
      </c>
      <c r="H182" s="281"/>
      <c r="I182" s="281"/>
      <c r="J182" s="292"/>
      <c r="K182" s="292"/>
      <c r="L182" s="292"/>
      <c r="M182" s="292"/>
      <c r="N182" s="225"/>
    </row>
    <row r="183" spans="1:14" outlineLevel="1">
      <c r="A183" s="266">
        <f>SUBTOTAL(3,$F$7:F183)</f>
        <v>160</v>
      </c>
      <c r="B183" s="225" t="s">
        <v>1905</v>
      </c>
      <c r="C183" s="308"/>
      <c r="D183" s="308"/>
      <c r="E183" s="323" t="s">
        <v>1906</v>
      </c>
      <c r="F183" s="224" t="s">
        <v>570</v>
      </c>
      <c r="G183" s="281">
        <v>8</v>
      </c>
      <c r="H183" s="281"/>
      <c r="I183" s="281"/>
      <c r="J183" s="292"/>
      <c r="K183" s="292"/>
      <c r="L183" s="292"/>
      <c r="M183" s="292"/>
      <c r="N183" s="225"/>
    </row>
    <row r="184" spans="1:14" ht="26.4" outlineLevel="1">
      <c r="A184" s="266">
        <f>SUBTOTAL(3,$F$7:F184)</f>
        <v>161</v>
      </c>
      <c r="B184" s="225" t="s">
        <v>1907</v>
      </c>
      <c r="C184" s="308"/>
      <c r="D184" s="308"/>
      <c r="E184" s="323" t="s">
        <v>1908</v>
      </c>
      <c r="F184" s="224" t="s">
        <v>237</v>
      </c>
      <c r="G184" s="281">
        <v>16</v>
      </c>
      <c r="H184" s="281"/>
      <c r="I184" s="281"/>
      <c r="J184" s="292"/>
      <c r="K184" s="292"/>
      <c r="L184" s="292"/>
      <c r="M184" s="292"/>
      <c r="N184" s="225"/>
    </row>
    <row r="185" spans="1:14" outlineLevel="1">
      <c r="A185" s="266">
        <f>SUBTOTAL(3,$F$7:F185)</f>
        <v>162</v>
      </c>
      <c r="B185" s="225" t="s">
        <v>1909</v>
      </c>
      <c r="C185" s="308"/>
      <c r="D185" s="308"/>
      <c r="E185" s="323" t="s">
        <v>1910</v>
      </c>
      <c r="F185" s="224" t="s">
        <v>219</v>
      </c>
      <c r="G185" s="281">
        <v>500</v>
      </c>
      <c r="H185" s="281"/>
      <c r="I185" s="281"/>
      <c r="J185" s="292"/>
      <c r="K185" s="292"/>
      <c r="L185" s="292"/>
      <c r="M185" s="292"/>
      <c r="N185" s="225"/>
    </row>
    <row r="186" spans="1:14" ht="26.4" outlineLevel="1">
      <c r="A186" s="266">
        <f>SUBTOTAL(3,$F$7:F186)</f>
        <v>163</v>
      </c>
      <c r="B186" s="225" t="s">
        <v>1911</v>
      </c>
      <c r="C186" s="308"/>
      <c r="D186" s="308"/>
      <c r="E186" s="323" t="s">
        <v>1912</v>
      </c>
      <c r="F186" s="224" t="s">
        <v>219</v>
      </c>
      <c r="G186" s="281">
        <v>137</v>
      </c>
      <c r="H186" s="281"/>
      <c r="I186" s="281"/>
      <c r="J186" s="292"/>
      <c r="K186" s="292"/>
      <c r="L186" s="292"/>
      <c r="M186" s="292"/>
      <c r="N186" s="225"/>
    </row>
    <row r="187" spans="1:14" outlineLevel="1">
      <c r="A187" s="266">
        <f>SUBTOTAL(3,$F$7:F187)</f>
        <v>164</v>
      </c>
      <c r="B187" s="225" t="s">
        <v>1913</v>
      </c>
      <c r="C187" s="308"/>
      <c r="D187" s="308"/>
      <c r="E187" s="323" t="s">
        <v>1914</v>
      </c>
      <c r="F187" s="224" t="s">
        <v>276</v>
      </c>
      <c r="G187" s="281">
        <v>1</v>
      </c>
      <c r="H187" s="281"/>
      <c r="I187" s="281"/>
      <c r="J187" s="292"/>
      <c r="K187" s="292"/>
      <c r="L187" s="292"/>
      <c r="M187" s="292"/>
      <c r="N187" s="225"/>
    </row>
    <row r="188" spans="1:14" outlineLevel="1">
      <c r="A188" s="266">
        <f>SUBTOTAL(3,$F$7:F188)</f>
        <v>165</v>
      </c>
      <c r="B188" s="225" t="s">
        <v>1915</v>
      </c>
      <c r="C188" s="308"/>
      <c r="D188" s="308"/>
      <c r="E188" s="323" t="s">
        <v>1916</v>
      </c>
      <c r="F188" s="224" t="s">
        <v>237</v>
      </c>
      <c r="G188" s="281">
        <v>1</v>
      </c>
      <c r="H188" s="281"/>
      <c r="I188" s="281"/>
      <c r="J188" s="292"/>
      <c r="K188" s="292"/>
      <c r="L188" s="292"/>
      <c r="M188" s="292"/>
      <c r="N188" s="225"/>
    </row>
    <row r="189" spans="1:14" ht="27.6" customHeight="1" outlineLevel="1">
      <c r="A189" s="266">
        <f>SUBTOTAL(3,$F$7:F189)</f>
        <v>166</v>
      </c>
      <c r="B189" s="225" t="s">
        <v>1883</v>
      </c>
      <c r="C189" s="308"/>
      <c r="D189" s="308"/>
      <c r="E189" s="224" t="s">
        <v>1747</v>
      </c>
      <c r="F189" s="224" t="s">
        <v>237</v>
      </c>
      <c r="G189" s="281">
        <v>1</v>
      </c>
      <c r="H189" s="281"/>
      <c r="I189" s="281"/>
      <c r="J189" s="292"/>
      <c r="K189" s="292"/>
      <c r="L189" s="292"/>
      <c r="M189" s="292"/>
      <c r="N189" s="225"/>
    </row>
    <row r="190" spans="1:14" outlineLevel="1">
      <c r="A190" s="266">
        <f>SUBTOTAL(3,$F$7:F190)</f>
        <v>167</v>
      </c>
      <c r="B190" s="225" t="s">
        <v>1764</v>
      </c>
      <c r="C190" s="308"/>
      <c r="D190" s="308"/>
      <c r="E190" s="224" t="s">
        <v>1741</v>
      </c>
      <c r="F190" s="224" t="s">
        <v>237</v>
      </c>
      <c r="G190" s="281">
        <v>1</v>
      </c>
      <c r="H190" s="281"/>
      <c r="I190" s="281"/>
      <c r="J190" s="292"/>
      <c r="K190" s="292"/>
      <c r="L190" s="292"/>
      <c r="M190" s="292"/>
      <c r="N190" s="225"/>
    </row>
    <row r="191" spans="1:14" ht="27.6" customHeight="1" outlineLevel="1">
      <c r="A191" s="266">
        <f>SUBTOTAL(3,$F$7:F191)</f>
        <v>168</v>
      </c>
      <c r="B191" s="225" t="s">
        <v>1917</v>
      </c>
      <c r="C191" s="308"/>
      <c r="D191" s="308"/>
      <c r="E191" s="224" t="s">
        <v>1749</v>
      </c>
      <c r="F191" s="224" t="s">
        <v>237</v>
      </c>
      <c r="G191" s="281">
        <v>1</v>
      </c>
      <c r="H191" s="281"/>
      <c r="I191" s="281"/>
      <c r="J191" s="292"/>
      <c r="K191" s="292"/>
      <c r="L191" s="292"/>
      <c r="M191" s="292"/>
      <c r="N191" s="225"/>
    </row>
    <row r="192" spans="1:14" ht="41.4" customHeight="1" outlineLevel="1">
      <c r="A192" s="266">
        <f>SUBTOTAL(3,$F$7:F192)</f>
        <v>169</v>
      </c>
      <c r="B192" s="225" t="s">
        <v>1918</v>
      </c>
      <c r="C192" s="308"/>
      <c r="D192" s="308"/>
      <c r="E192" s="224" t="s">
        <v>1919</v>
      </c>
      <c r="F192" s="224" t="s">
        <v>237</v>
      </c>
      <c r="G192" s="281">
        <v>1</v>
      </c>
      <c r="H192" s="281"/>
      <c r="I192" s="281"/>
      <c r="J192" s="292"/>
      <c r="K192" s="292"/>
      <c r="L192" s="292"/>
      <c r="M192" s="292"/>
      <c r="N192" s="225"/>
    </row>
    <row r="193" spans="1:14" ht="41.4" customHeight="1" outlineLevel="1">
      <c r="A193" s="266">
        <f>SUBTOTAL(3,$F$7:F193)</f>
        <v>170</v>
      </c>
      <c r="B193" s="225" t="s">
        <v>1920</v>
      </c>
      <c r="C193" s="308"/>
      <c r="D193" s="308"/>
      <c r="E193" s="224" t="s">
        <v>1919</v>
      </c>
      <c r="F193" s="224" t="s">
        <v>237</v>
      </c>
      <c r="G193" s="281">
        <v>4</v>
      </c>
      <c r="H193" s="281"/>
      <c r="I193" s="281"/>
      <c r="J193" s="292"/>
      <c r="K193" s="292"/>
      <c r="L193" s="292"/>
      <c r="M193" s="292"/>
      <c r="N193" s="225"/>
    </row>
    <row r="194" spans="1:14" outlineLevel="1">
      <c r="A194" s="266">
        <f>SUBTOTAL(3,$F$7:F194)</f>
        <v>171</v>
      </c>
      <c r="B194" s="225" t="s">
        <v>1921</v>
      </c>
      <c r="C194" s="308"/>
      <c r="D194" s="308"/>
      <c r="E194" s="323" t="s">
        <v>1916</v>
      </c>
      <c r="F194" s="224" t="s">
        <v>237</v>
      </c>
      <c r="G194" s="281">
        <v>10</v>
      </c>
      <c r="H194" s="281"/>
      <c r="I194" s="281"/>
      <c r="J194" s="292"/>
      <c r="K194" s="292"/>
      <c r="L194" s="292"/>
      <c r="M194" s="292"/>
      <c r="N194" s="225"/>
    </row>
    <row r="195" spans="1:14" ht="26.4" outlineLevel="1">
      <c r="A195" s="266">
        <f>SUBTOTAL(3,$F$7:F195)</f>
        <v>172</v>
      </c>
      <c r="B195" s="225" t="s">
        <v>1922</v>
      </c>
      <c r="C195" s="308"/>
      <c r="D195" s="308"/>
      <c r="E195" s="323" t="s">
        <v>1923</v>
      </c>
      <c r="F195" s="224" t="s">
        <v>237</v>
      </c>
      <c r="G195" s="281">
        <v>137</v>
      </c>
      <c r="H195" s="281"/>
      <c r="I195" s="281"/>
      <c r="J195" s="292"/>
      <c r="K195" s="292"/>
      <c r="L195" s="292"/>
      <c r="M195" s="292"/>
      <c r="N195" s="225"/>
    </row>
    <row r="196" spans="1:14" ht="26.4" outlineLevel="1">
      <c r="A196" s="266">
        <f>SUBTOTAL(3,$F$7:F196)</f>
        <v>173</v>
      </c>
      <c r="B196" s="225" t="s">
        <v>1924</v>
      </c>
      <c r="C196" s="308"/>
      <c r="D196" s="308"/>
      <c r="E196" s="323" t="s">
        <v>1890</v>
      </c>
      <c r="F196" s="224" t="s">
        <v>1925</v>
      </c>
      <c r="G196" s="281">
        <v>1</v>
      </c>
      <c r="H196" s="281"/>
      <c r="I196" s="281"/>
      <c r="J196" s="292"/>
      <c r="K196" s="292"/>
      <c r="L196" s="292"/>
      <c r="M196" s="292"/>
      <c r="N196" s="225"/>
    </row>
    <row r="197" spans="1:14" ht="26.4" outlineLevel="1">
      <c r="A197" s="266">
        <f>SUBTOTAL(3,$F$7:F197)</f>
        <v>174</v>
      </c>
      <c r="B197" s="225" t="s">
        <v>1926</v>
      </c>
      <c r="C197" s="308"/>
      <c r="D197" s="308"/>
      <c r="E197" s="323" t="s">
        <v>1890</v>
      </c>
      <c r="F197" s="224" t="s">
        <v>1925</v>
      </c>
      <c r="G197" s="281">
        <v>1</v>
      </c>
      <c r="H197" s="281"/>
      <c r="I197" s="281"/>
      <c r="J197" s="292"/>
      <c r="K197" s="292"/>
      <c r="L197" s="292"/>
      <c r="M197" s="292"/>
      <c r="N197" s="225"/>
    </row>
    <row r="198" spans="1:14" outlineLevel="1">
      <c r="A198" s="266">
        <f>SUBTOTAL(3,$F$7:F198)</f>
        <v>175</v>
      </c>
      <c r="B198" s="225" t="s">
        <v>1927</v>
      </c>
      <c r="C198" s="308"/>
      <c r="D198" s="308"/>
      <c r="E198" s="323" t="s">
        <v>1928</v>
      </c>
      <c r="F198" s="224" t="s">
        <v>219</v>
      </c>
      <c r="G198" s="281">
        <v>10</v>
      </c>
      <c r="H198" s="281"/>
      <c r="I198" s="281"/>
      <c r="J198" s="292"/>
      <c r="K198" s="292"/>
      <c r="L198" s="292"/>
      <c r="M198" s="292"/>
      <c r="N198" s="225"/>
    </row>
    <row r="199" spans="1:14" outlineLevel="1">
      <c r="A199" s="266">
        <f>SUBTOTAL(3,$F$7:F199)</f>
        <v>176</v>
      </c>
      <c r="B199" s="225" t="s">
        <v>1929</v>
      </c>
      <c r="C199" s="308"/>
      <c r="D199" s="308"/>
      <c r="E199" s="323" t="s">
        <v>1916</v>
      </c>
      <c r="F199" s="224" t="s">
        <v>237</v>
      </c>
      <c r="G199" s="281">
        <v>10</v>
      </c>
      <c r="H199" s="281"/>
      <c r="I199" s="281"/>
      <c r="J199" s="292"/>
      <c r="K199" s="292"/>
      <c r="L199" s="292"/>
      <c r="M199" s="292"/>
      <c r="N199" s="225"/>
    </row>
    <row r="200" spans="1:14" outlineLevel="1">
      <c r="A200" s="266">
        <f>SUBTOTAL(3,$F$7:F200)</f>
        <v>177</v>
      </c>
      <c r="B200" s="225" t="s">
        <v>1930</v>
      </c>
      <c r="C200" s="308"/>
      <c r="D200" s="308"/>
      <c r="E200" s="224"/>
      <c r="F200" s="224" t="s">
        <v>276</v>
      </c>
      <c r="G200" s="281">
        <v>1</v>
      </c>
      <c r="H200" s="281"/>
      <c r="I200" s="281"/>
      <c r="J200" s="292"/>
      <c r="K200" s="292"/>
      <c r="L200" s="292"/>
      <c r="M200" s="292"/>
      <c r="N200" s="225"/>
    </row>
    <row r="201" spans="1:14" outlineLevel="1">
      <c r="A201" s="266"/>
      <c r="B201" s="295" t="s">
        <v>1931</v>
      </c>
      <c r="C201" s="295"/>
      <c r="D201" s="295"/>
      <c r="E201" s="219"/>
      <c r="F201" s="224"/>
      <c r="G201" s="281">
        <v>0</v>
      </c>
      <c r="H201" s="281"/>
      <c r="I201" s="281"/>
      <c r="J201" s="292"/>
      <c r="K201" s="292"/>
      <c r="L201" s="292"/>
      <c r="M201" s="292"/>
      <c r="N201" s="225"/>
    </row>
    <row r="202" spans="1:14" outlineLevel="1">
      <c r="A202" s="266">
        <f>SUBTOTAL(3,$F$7:F202)</f>
        <v>178</v>
      </c>
      <c r="B202" s="225" t="s">
        <v>1932</v>
      </c>
      <c r="C202" s="308"/>
      <c r="D202" s="308"/>
      <c r="E202" s="224" t="s">
        <v>1741</v>
      </c>
      <c r="F202" s="224" t="s">
        <v>570</v>
      </c>
      <c r="G202" s="281">
        <v>2500</v>
      </c>
      <c r="H202" s="281"/>
      <c r="I202" s="281"/>
      <c r="J202" s="292"/>
      <c r="K202" s="292"/>
      <c r="L202" s="292"/>
      <c r="M202" s="292"/>
      <c r="N202" s="225"/>
    </row>
    <row r="203" spans="1:14" outlineLevel="1">
      <c r="A203" s="266">
        <f>SUBTOTAL(3,$F$7:F203)</f>
        <v>179</v>
      </c>
      <c r="B203" s="225" t="s">
        <v>1820</v>
      </c>
      <c r="C203" s="308"/>
      <c r="D203" s="308"/>
      <c r="E203" s="224" t="s">
        <v>1741</v>
      </c>
      <c r="F203" s="224" t="s">
        <v>570</v>
      </c>
      <c r="G203" s="281">
        <v>75</v>
      </c>
      <c r="H203" s="281"/>
      <c r="I203" s="281"/>
      <c r="J203" s="292"/>
      <c r="K203" s="292"/>
      <c r="L203" s="292"/>
      <c r="M203" s="292"/>
      <c r="N203" s="225"/>
    </row>
    <row r="204" spans="1:14" outlineLevel="1">
      <c r="A204" s="266">
        <f>SUBTOTAL(3,$F$7:F204)</f>
        <v>180</v>
      </c>
      <c r="B204" s="225" t="s">
        <v>1933</v>
      </c>
      <c r="C204" s="308"/>
      <c r="D204" s="308"/>
      <c r="E204" s="224" t="s">
        <v>1878</v>
      </c>
      <c r="F204" s="224" t="s">
        <v>570</v>
      </c>
      <c r="G204" s="281">
        <v>200</v>
      </c>
      <c r="H204" s="281"/>
      <c r="I204" s="281"/>
      <c r="J204" s="292"/>
      <c r="K204" s="292"/>
      <c r="L204" s="292"/>
      <c r="M204" s="292"/>
      <c r="N204" s="225"/>
    </row>
    <row r="205" spans="1:14" ht="27.6" customHeight="1" outlineLevel="1">
      <c r="A205" s="266">
        <f>SUBTOTAL(3,$F$7:F205)</f>
        <v>181</v>
      </c>
      <c r="B205" s="225" t="s">
        <v>1788</v>
      </c>
      <c r="C205" s="225" t="s">
        <v>1789</v>
      </c>
      <c r="D205" s="225"/>
      <c r="E205" s="224" t="s">
        <v>1790</v>
      </c>
      <c r="F205" s="224" t="s">
        <v>570</v>
      </c>
      <c r="G205" s="281">
        <v>450</v>
      </c>
      <c r="H205" s="281"/>
      <c r="I205" s="281"/>
      <c r="J205" s="292"/>
      <c r="K205" s="292"/>
      <c r="L205" s="292"/>
      <c r="M205" s="292"/>
      <c r="N205" s="225"/>
    </row>
    <row r="206" spans="1:14" outlineLevel="1">
      <c r="A206" s="266">
        <f>SUBTOTAL(3,$F$7:F206)</f>
        <v>182</v>
      </c>
      <c r="B206" s="225" t="s">
        <v>1934</v>
      </c>
      <c r="C206" s="308"/>
      <c r="D206" s="308"/>
      <c r="E206" s="224"/>
      <c r="F206" s="224" t="s">
        <v>570</v>
      </c>
      <c r="G206" s="281">
        <v>50</v>
      </c>
      <c r="H206" s="281"/>
      <c r="I206" s="281"/>
      <c r="J206" s="292"/>
      <c r="K206" s="292"/>
      <c r="L206" s="292"/>
      <c r="M206" s="292"/>
      <c r="N206" s="225"/>
    </row>
    <row r="207" spans="1:14" outlineLevel="1">
      <c r="A207" s="266">
        <f>SUBTOTAL(3,$F$7:F207)</f>
        <v>183</v>
      </c>
      <c r="B207" s="225" t="s">
        <v>275</v>
      </c>
      <c r="C207" s="308"/>
      <c r="D207" s="308"/>
      <c r="E207" s="224"/>
      <c r="F207" s="224" t="s">
        <v>1925</v>
      </c>
      <c r="G207" s="281">
        <v>0</v>
      </c>
      <c r="H207" s="281"/>
      <c r="I207" s="281"/>
      <c r="J207" s="292"/>
      <c r="K207" s="292"/>
      <c r="L207" s="292"/>
      <c r="M207" s="292"/>
      <c r="N207" s="225"/>
    </row>
    <row r="208" spans="1:14">
      <c r="A208" s="289" t="s">
        <v>1074</v>
      </c>
      <c r="B208" s="311" t="s">
        <v>1935</v>
      </c>
      <c r="C208" s="307"/>
      <c r="D208" s="307"/>
      <c r="E208" s="289"/>
      <c r="F208" s="289"/>
      <c r="G208" s="281">
        <v>0</v>
      </c>
      <c r="H208" s="281"/>
      <c r="I208" s="281"/>
      <c r="J208" s="292"/>
      <c r="K208" s="298"/>
      <c r="L208" s="298"/>
      <c r="M208" s="298"/>
      <c r="N208" s="225"/>
    </row>
    <row r="209" spans="1:14" ht="26.4" outlineLevel="1">
      <c r="A209" s="266">
        <f>SUBTOTAL(3,$F$7:F209)</f>
        <v>184</v>
      </c>
      <c r="B209" s="225" t="s">
        <v>1936</v>
      </c>
      <c r="C209" s="225"/>
      <c r="D209" s="225"/>
      <c r="E209" s="323" t="s">
        <v>1937</v>
      </c>
      <c r="F209" s="224" t="s">
        <v>237</v>
      </c>
      <c r="G209" s="281">
        <v>1</v>
      </c>
      <c r="H209" s="281"/>
      <c r="I209" s="281"/>
      <c r="J209" s="292"/>
      <c r="K209" s="292"/>
      <c r="L209" s="292"/>
      <c r="M209" s="292"/>
      <c r="N209" s="225"/>
    </row>
    <row r="210" spans="1:14" ht="26.4" outlineLevel="1">
      <c r="A210" s="266">
        <f>SUBTOTAL(3,$F$7:F210)</f>
        <v>185</v>
      </c>
      <c r="B210" s="225" t="s">
        <v>1938</v>
      </c>
      <c r="C210" s="225"/>
      <c r="D210" s="225"/>
      <c r="E210" s="323" t="s">
        <v>1937</v>
      </c>
      <c r="F210" s="224" t="s">
        <v>237</v>
      </c>
      <c r="G210" s="281">
        <v>1</v>
      </c>
      <c r="H210" s="281"/>
      <c r="I210" s="281"/>
      <c r="J210" s="292"/>
      <c r="K210" s="292"/>
      <c r="L210" s="292"/>
      <c r="M210" s="292"/>
      <c r="N210" s="225"/>
    </row>
    <row r="211" spans="1:14" ht="26.4" outlineLevel="1">
      <c r="A211" s="266">
        <f>SUBTOTAL(3,$F$7:F211)</f>
        <v>186</v>
      </c>
      <c r="B211" s="225" t="s">
        <v>1939</v>
      </c>
      <c r="C211" s="225"/>
      <c r="D211" s="225"/>
      <c r="E211" s="323" t="s">
        <v>1937</v>
      </c>
      <c r="F211" s="224" t="s">
        <v>237</v>
      </c>
      <c r="G211" s="281">
        <v>1</v>
      </c>
      <c r="H211" s="281"/>
      <c r="I211" s="281"/>
      <c r="J211" s="292"/>
      <c r="K211" s="292"/>
      <c r="L211" s="292"/>
      <c r="M211" s="292"/>
      <c r="N211" s="225"/>
    </row>
    <row r="212" spans="1:14" ht="26.4" outlineLevel="1">
      <c r="A212" s="266">
        <f>SUBTOTAL(3,$F$7:F212)</f>
        <v>187</v>
      </c>
      <c r="B212" s="225" t="s">
        <v>1940</v>
      </c>
      <c r="C212" s="225"/>
      <c r="D212" s="225"/>
      <c r="E212" s="323" t="s">
        <v>1937</v>
      </c>
      <c r="F212" s="224" t="s">
        <v>237</v>
      </c>
      <c r="G212" s="281">
        <v>1</v>
      </c>
      <c r="H212" s="281"/>
      <c r="I212" s="281"/>
      <c r="J212" s="292"/>
      <c r="K212" s="292"/>
      <c r="L212" s="292"/>
      <c r="M212" s="292"/>
      <c r="N212" s="225"/>
    </row>
    <row r="213" spans="1:14" ht="26.4" outlineLevel="1">
      <c r="A213" s="266">
        <f>SUBTOTAL(3,$F$7:F213)</f>
        <v>188</v>
      </c>
      <c r="B213" s="225" t="s">
        <v>1941</v>
      </c>
      <c r="C213" s="225"/>
      <c r="D213" s="225"/>
      <c r="E213" s="323" t="s">
        <v>1937</v>
      </c>
      <c r="F213" s="224" t="s">
        <v>237</v>
      </c>
      <c r="G213" s="281">
        <v>1</v>
      </c>
      <c r="H213" s="281"/>
      <c r="I213" s="281"/>
      <c r="J213" s="292"/>
      <c r="K213" s="292"/>
      <c r="L213" s="292"/>
      <c r="M213" s="292"/>
      <c r="N213" s="225"/>
    </row>
    <row r="214" spans="1:14" ht="26.4" outlineLevel="1">
      <c r="A214" s="266">
        <f>SUBTOTAL(3,$F$7:F214)</f>
        <v>189</v>
      </c>
      <c r="B214" s="225" t="s">
        <v>1942</v>
      </c>
      <c r="C214" s="225"/>
      <c r="D214" s="225"/>
      <c r="E214" s="323" t="s">
        <v>1937</v>
      </c>
      <c r="F214" s="224" t="s">
        <v>237</v>
      </c>
      <c r="G214" s="281">
        <v>1</v>
      </c>
      <c r="H214" s="281"/>
      <c r="I214" s="281"/>
      <c r="J214" s="292"/>
      <c r="K214" s="292"/>
      <c r="L214" s="292"/>
      <c r="M214" s="292"/>
      <c r="N214" s="225"/>
    </row>
    <row r="215" spans="1:14" ht="26.4" outlineLevel="1">
      <c r="A215" s="266">
        <f>SUBTOTAL(3,$F$7:F215)</f>
        <v>190</v>
      </c>
      <c r="B215" s="225" t="s">
        <v>1943</v>
      </c>
      <c r="C215" s="225"/>
      <c r="D215" s="225"/>
      <c r="E215" s="323" t="s">
        <v>1937</v>
      </c>
      <c r="F215" s="224" t="s">
        <v>237</v>
      </c>
      <c r="G215" s="281">
        <v>37</v>
      </c>
      <c r="H215" s="281"/>
      <c r="I215" s="281"/>
      <c r="J215" s="292"/>
      <c r="K215" s="292"/>
      <c r="L215" s="292"/>
      <c r="M215" s="292"/>
      <c r="N215" s="225"/>
    </row>
    <row r="216" spans="1:14" ht="26.4" outlineLevel="1">
      <c r="A216" s="266">
        <f>SUBTOTAL(3,$F$7:F216)</f>
        <v>191</v>
      </c>
      <c r="B216" s="225" t="s">
        <v>1944</v>
      </c>
      <c r="C216" s="225"/>
      <c r="D216" s="225"/>
      <c r="E216" s="323" t="s">
        <v>1937</v>
      </c>
      <c r="F216" s="224" t="s">
        <v>237</v>
      </c>
      <c r="G216" s="281">
        <v>5</v>
      </c>
      <c r="H216" s="281"/>
      <c r="I216" s="281"/>
      <c r="J216" s="292"/>
      <c r="K216" s="292"/>
      <c r="L216" s="292"/>
      <c r="M216" s="292"/>
      <c r="N216" s="225"/>
    </row>
    <row r="217" spans="1:14" ht="26.4" outlineLevel="1">
      <c r="A217" s="266">
        <f>SUBTOTAL(3,$F$7:F217)</f>
        <v>192</v>
      </c>
      <c r="B217" s="225" t="s">
        <v>1945</v>
      </c>
      <c r="C217" s="225"/>
      <c r="D217" s="225"/>
      <c r="E217" s="323" t="s">
        <v>1937</v>
      </c>
      <c r="F217" s="224" t="s">
        <v>237</v>
      </c>
      <c r="G217" s="281">
        <v>66</v>
      </c>
      <c r="H217" s="281"/>
      <c r="I217" s="281"/>
      <c r="J217" s="292"/>
      <c r="K217" s="292"/>
      <c r="L217" s="292"/>
      <c r="M217" s="292"/>
      <c r="N217" s="225"/>
    </row>
    <row r="218" spans="1:14" ht="26.4" outlineLevel="1">
      <c r="A218" s="266">
        <f>SUBTOTAL(3,$F$7:F218)</f>
        <v>193</v>
      </c>
      <c r="B218" s="225" t="s">
        <v>1946</v>
      </c>
      <c r="C218" s="225"/>
      <c r="D218" s="225"/>
      <c r="E218" s="323" t="s">
        <v>1937</v>
      </c>
      <c r="F218" s="224" t="s">
        <v>237</v>
      </c>
      <c r="G218" s="281">
        <v>188</v>
      </c>
      <c r="H218" s="281"/>
      <c r="I218" s="281"/>
      <c r="J218" s="292"/>
      <c r="K218" s="292"/>
      <c r="L218" s="292"/>
      <c r="M218" s="292"/>
      <c r="N218" s="225"/>
    </row>
    <row r="219" spans="1:14" ht="26.4" outlineLevel="1">
      <c r="A219" s="266">
        <f>SUBTOTAL(3,$F$7:F219)</f>
        <v>194</v>
      </c>
      <c r="B219" s="225" t="s">
        <v>1947</v>
      </c>
      <c r="C219" s="225"/>
      <c r="D219" s="225"/>
      <c r="E219" s="323" t="s">
        <v>1937</v>
      </c>
      <c r="F219" s="224" t="s">
        <v>237</v>
      </c>
      <c r="G219" s="281">
        <v>10</v>
      </c>
      <c r="H219" s="281"/>
      <c r="I219" s="281"/>
      <c r="J219" s="292"/>
      <c r="K219" s="292"/>
      <c r="L219" s="292"/>
      <c r="M219" s="292"/>
      <c r="N219" s="225"/>
    </row>
    <row r="220" spans="1:14" outlineLevel="1">
      <c r="A220" s="266">
        <f>SUBTOTAL(3,$F$7:F220)</f>
        <v>195</v>
      </c>
      <c r="B220" s="225" t="s">
        <v>1948</v>
      </c>
      <c r="C220" s="225"/>
      <c r="D220" s="225"/>
      <c r="E220" s="323" t="s">
        <v>1949</v>
      </c>
      <c r="F220" s="224" t="s">
        <v>570</v>
      </c>
      <c r="G220" s="281">
        <v>0</v>
      </c>
      <c r="H220" s="281"/>
      <c r="I220" s="281"/>
      <c r="J220" s="292"/>
      <c r="K220" s="292"/>
      <c r="L220" s="292"/>
      <c r="M220" s="292"/>
      <c r="N220" s="225"/>
    </row>
    <row r="221" spans="1:14" outlineLevel="1">
      <c r="A221" s="266">
        <f>SUBTOTAL(3,$F$7:F221)</f>
        <v>196</v>
      </c>
      <c r="B221" s="225" t="s">
        <v>1950</v>
      </c>
      <c r="C221" s="225"/>
      <c r="D221" s="225"/>
      <c r="E221" s="323" t="s">
        <v>1949</v>
      </c>
      <c r="F221" s="224" t="s">
        <v>570</v>
      </c>
      <c r="G221" s="281">
        <v>10045</v>
      </c>
      <c r="H221" s="281"/>
      <c r="I221" s="281"/>
      <c r="J221" s="292"/>
      <c r="K221" s="292"/>
      <c r="L221" s="292"/>
      <c r="M221" s="292"/>
      <c r="N221" s="225"/>
    </row>
    <row r="222" spans="1:14" outlineLevel="1">
      <c r="A222" s="266">
        <f>SUBTOTAL(3,$F$7:F222)</f>
        <v>197</v>
      </c>
      <c r="B222" s="225" t="s">
        <v>1551</v>
      </c>
      <c r="C222" s="225"/>
      <c r="D222" s="225"/>
      <c r="E222" s="224"/>
      <c r="F222" s="224" t="s">
        <v>570</v>
      </c>
      <c r="G222" s="281">
        <v>1944</v>
      </c>
      <c r="H222" s="281"/>
      <c r="I222" s="281"/>
      <c r="J222" s="292"/>
      <c r="K222" s="292"/>
      <c r="L222" s="292"/>
      <c r="M222" s="292"/>
      <c r="N222" s="225"/>
    </row>
    <row r="223" spans="1:14" outlineLevel="1">
      <c r="A223" s="266">
        <f>SUBTOTAL(3,$F$7:F223)</f>
        <v>198</v>
      </c>
      <c r="B223" s="225" t="s">
        <v>1553</v>
      </c>
      <c r="C223" s="225"/>
      <c r="D223" s="225"/>
      <c r="E223" s="323" t="s">
        <v>1854</v>
      </c>
      <c r="F223" s="224" t="s">
        <v>570</v>
      </c>
      <c r="G223" s="281">
        <v>131</v>
      </c>
      <c r="H223" s="281"/>
      <c r="I223" s="281"/>
      <c r="J223" s="292"/>
      <c r="K223" s="292"/>
      <c r="L223" s="292"/>
      <c r="M223" s="292"/>
      <c r="N223" s="225"/>
    </row>
    <row r="224" spans="1:14" outlineLevel="1">
      <c r="A224" s="266">
        <f>SUBTOTAL(3,$F$7:F224)</f>
        <v>199</v>
      </c>
      <c r="B224" s="225" t="s">
        <v>1823</v>
      </c>
      <c r="C224" s="225"/>
      <c r="D224" s="225"/>
      <c r="E224" s="224"/>
      <c r="F224" s="224" t="s">
        <v>276</v>
      </c>
      <c r="G224" s="281">
        <v>1</v>
      </c>
      <c r="H224" s="281"/>
      <c r="I224" s="281"/>
      <c r="J224" s="292"/>
      <c r="K224" s="292"/>
      <c r="L224" s="292"/>
      <c r="M224" s="292"/>
      <c r="N224" s="225"/>
    </row>
    <row r="225" spans="1:14" outlineLevel="1">
      <c r="A225" s="266">
        <f>SUBTOTAL(3,$F$7:F225)</f>
        <v>200</v>
      </c>
      <c r="B225" s="225" t="s">
        <v>1761</v>
      </c>
      <c r="C225" s="225"/>
      <c r="D225" s="225"/>
      <c r="E225" s="224"/>
      <c r="F225" s="224" t="s">
        <v>276</v>
      </c>
      <c r="G225" s="281">
        <v>1</v>
      </c>
      <c r="H225" s="281"/>
      <c r="I225" s="281"/>
      <c r="J225" s="292"/>
      <c r="K225" s="292"/>
      <c r="L225" s="292"/>
      <c r="M225" s="292"/>
      <c r="N225" s="225"/>
    </row>
    <row r="226" spans="1:14" s="278" customFormat="1">
      <c r="A226" s="289" t="s">
        <v>1670</v>
      </c>
      <c r="B226" s="311" t="s">
        <v>1951</v>
      </c>
      <c r="C226" s="307"/>
      <c r="D226" s="307"/>
      <c r="E226" s="289"/>
      <c r="F226" s="289"/>
      <c r="G226" s="281">
        <v>0</v>
      </c>
      <c r="H226" s="221"/>
      <c r="I226" s="221"/>
      <c r="J226" s="298"/>
      <c r="K226" s="298"/>
      <c r="L226" s="298"/>
      <c r="M226" s="298"/>
      <c r="N226" s="295"/>
    </row>
    <row r="227" spans="1:14" outlineLevel="1">
      <c r="A227" s="266"/>
      <c r="B227" s="295" t="s">
        <v>1952</v>
      </c>
      <c r="C227" s="295"/>
      <c r="D227" s="295"/>
      <c r="E227" s="219"/>
      <c r="F227" s="224"/>
      <c r="G227" s="281">
        <v>0</v>
      </c>
      <c r="H227" s="281"/>
      <c r="I227" s="281"/>
      <c r="J227" s="292"/>
      <c r="K227" s="292"/>
      <c r="L227" s="292"/>
      <c r="M227" s="292"/>
      <c r="N227" s="225"/>
    </row>
    <row r="228" spans="1:14" outlineLevel="1">
      <c r="A228" s="266">
        <f>SUBTOTAL(3,$F$7:F228)</f>
        <v>201</v>
      </c>
      <c r="B228" s="225" t="s">
        <v>1953</v>
      </c>
      <c r="C228" s="225"/>
      <c r="D228" s="225"/>
      <c r="E228" s="224" t="s">
        <v>1796</v>
      </c>
      <c r="F228" s="224" t="s">
        <v>237</v>
      </c>
      <c r="G228" s="281">
        <v>1</v>
      </c>
      <c r="H228" s="281"/>
      <c r="I228" s="281"/>
      <c r="J228" s="292"/>
      <c r="K228" s="292"/>
      <c r="L228" s="292"/>
      <c r="M228" s="292"/>
      <c r="N228" s="225"/>
    </row>
    <row r="229" spans="1:14" outlineLevel="1">
      <c r="A229" s="266">
        <f>SUBTOTAL(3,$F$7:F229)</f>
        <v>202</v>
      </c>
      <c r="B229" s="225" t="s">
        <v>1954</v>
      </c>
      <c r="C229" s="225"/>
      <c r="D229" s="225"/>
      <c r="E229" s="224" t="s">
        <v>1796</v>
      </c>
      <c r="F229" s="224" t="s">
        <v>237</v>
      </c>
      <c r="G229" s="281">
        <v>1</v>
      </c>
      <c r="H229" s="281"/>
      <c r="I229" s="281"/>
      <c r="J229" s="292"/>
      <c r="K229" s="292"/>
      <c r="L229" s="292"/>
      <c r="M229" s="292"/>
      <c r="N229" s="225"/>
    </row>
    <row r="230" spans="1:14" ht="27.6" customHeight="1" outlineLevel="1">
      <c r="A230" s="266">
        <f>SUBTOTAL(3,$F$7:F230)</f>
        <v>203</v>
      </c>
      <c r="B230" s="225" t="s">
        <v>1955</v>
      </c>
      <c r="C230" s="225"/>
      <c r="D230" s="225"/>
      <c r="E230" s="224" t="s">
        <v>1749</v>
      </c>
      <c r="F230" s="224" t="s">
        <v>237</v>
      </c>
      <c r="G230" s="281">
        <v>1</v>
      </c>
      <c r="H230" s="281"/>
      <c r="I230" s="281"/>
      <c r="J230" s="292"/>
      <c r="K230" s="292"/>
      <c r="L230" s="292"/>
      <c r="M230" s="292"/>
      <c r="N230" s="225"/>
    </row>
    <row r="231" spans="1:14" outlineLevel="1">
      <c r="A231" s="266">
        <f>SUBTOTAL(3,$F$7:F231)</f>
        <v>204</v>
      </c>
      <c r="B231" s="225" t="s">
        <v>1801</v>
      </c>
      <c r="C231" s="225"/>
      <c r="D231" s="225"/>
      <c r="E231" s="224" t="s">
        <v>1802</v>
      </c>
      <c r="F231" s="224" t="s">
        <v>237</v>
      </c>
      <c r="G231" s="281">
        <v>1</v>
      </c>
      <c r="H231" s="281"/>
      <c r="I231" s="281"/>
      <c r="J231" s="292"/>
      <c r="K231" s="292"/>
      <c r="L231" s="292"/>
      <c r="M231" s="292"/>
      <c r="N231" s="225"/>
    </row>
    <row r="232" spans="1:14" ht="27.6" customHeight="1" outlineLevel="1">
      <c r="A232" s="266">
        <f>SUBTOTAL(3,$F$7:F232)</f>
        <v>205</v>
      </c>
      <c r="B232" s="225" t="s">
        <v>1956</v>
      </c>
      <c r="C232" s="225"/>
      <c r="D232" s="225"/>
      <c r="E232" s="224" t="s">
        <v>1747</v>
      </c>
      <c r="F232" s="224" t="s">
        <v>237</v>
      </c>
      <c r="G232" s="281">
        <v>1</v>
      </c>
      <c r="H232" s="281"/>
      <c r="I232" s="281"/>
      <c r="J232" s="292"/>
      <c r="K232" s="292"/>
      <c r="L232" s="292"/>
      <c r="M232" s="292"/>
      <c r="N232" s="225"/>
    </row>
    <row r="233" spans="1:14" ht="27.6" customHeight="1" outlineLevel="1">
      <c r="A233" s="266">
        <f>SUBTOTAL(3,$F$7:F233)</f>
        <v>206</v>
      </c>
      <c r="B233" s="225" t="s">
        <v>1957</v>
      </c>
      <c r="C233" s="225"/>
      <c r="D233" s="225"/>
      <c r="E233" s="224" t="s">
        <v>1958</v>
      </c>
      <c r="F233" s="224" t="s">
        <v>237</v>
      </c>
      <c r="G233" s="281">
        <v>1</v>
      </c>
      <c r="H233" s="281"/>
      <c r="I233" s="281"/>
      <c r="J233" s="292"/>
      <c r="K233" s="292"/>
      <c r="L233" s="292"/>
      <c r="M233" s="292"/>
      <c r="N233" s="225"/>
    </row>
    <row r="234" spans="1:14" ht="27.6" customHeight="1" outlineLevel="1">
      <c r="A234" s="266">
        <f>SUBTOTAL(3,$F$7:F234)</f>
        <v>207</v>
      </c>
      <c r="B234" s="225" t="s">
        <v>1959</v>
      </c>
      <c r="C234" s="225"/>
      <c r="D234" s="225"/>
      <c r="E234" s="224" t="s">
        <v>1958</v>
      </c>
      <c r="F234" s="224" t="s">
        <v>237</v>
      </c>
      <c r="G234" s="281">
        <v>1</v>
      </c>
      <c r="H234" s="281"/>
      <c r="I234" s="281"/>
      <c r="J234" s="292"/>
      <c r="K234" s="292"/>
      <c r="L234" s="292"/>
      <c r="M234" s="292"/>
      <c r="N234" s="225"/>
    </row>
    <row r="235" spans="1:14" ht="27.6" customHeight="1" outlineLevel="1">
      <c r="A235" s="266">
        <f>SUBTOTAL(3,$F$7:F235)</f>
        <v>208</v>
      </c>
      <c r="B235" s="225" t="s">
        <v>1960</v>
      </c>
      <c r="C235" s="225"/>
      <c r="D235" s="225"/>
      <c r="E235" s="224" t="s">
        <v>1958</v>
      </c>
      <c r="F235" s="224" t="s">
        <v>237</v>
      </c>
      <c r="G235" s="281">
        <v>1</v>
      </c>
      <c r="H235" s="281"/>
      <c r="I235" s="281"/>
      <c r="J235" s="292"/>
      <c r="K235" s="292"/>
      <c r="L235" s="292"/>
      <c r="M235" s="292"/>
      <c r="N235" s="225"/>
    </row>
    <row r="236" spans="1:14" ht="41.4" customHeight="1" outlineLevel="1">
      <c r="A236" s="266">
        <f>SUBTOTAL(3,$F$7:F236)</f>
        <v>209</v>
      </c>
      <c r="B236" s="225" t="s">
        <v>1961</v>
      </c>
      <c r="C236" s="225"/>
      <c r="D236" s="225"/>
      <c r="E236" s="224" t="s">
        <v>1962</v>
      </c>
      <c r="F236" s="224" t="s">
        <v>1925</v>
      </c>
      <c r="G236" s="281">
        <v>1</v>
      </c>
      <c r="H236" s="281"/>
      <c r="I236" s="281"/>
      <c r="J236" s="292"/>
      <c r="K236" s="292"/>
      <c r="L236" s="292"/>
      <c r="M236" s="292"/>
      <c r="N236" s="225"/>
    </row>
    <row r="237" spans="1:14" outlineLevel="1">
      <c r="A237" s="266">
        <f>SUBTOTAL(3,$F$7:F237)</f>
        <v>210</v>
      </c>
      <c r="B237" s="225" t="s">
        <v>1823</v>
      </c>
      <c r="C237" s="225"/>
      <c r="D237" s="225"/>
      <c r="E237" s="224"/>
      <c r="F237" s="224" t="s">
        <v>276</v>
      </c>
      <c r="G237" s="281">
        <v>1</v>
      </c>
      <c r="H237" s="281"/>
      <c r="I237" s="281"/>
      <c r="J237" s="292"/>
      <c r="K237" s="292"/>
      <c r="L237" s="292"/>
      <c r="M237" s="292"/>
      <c r="N237" s="225"/>
    </row>
    <row r="238" spans="1:14" outlineLevel="1">
      <c r="A238" s="266"/>
      <c r="B238" s="295" t="s">
        <v>1963</v>
      </c>
      <c r="C238" s="295"/>
      <c r="D238" s="295"/>
      <c r="E238" s="219"/>
      <c r="F238" s="224"/>
      <c r="G238" s="281">
        <v>0</v>
      </c>
      <c r="H238" s="281"/>
      <c r="I238" s="281"/>
      <c r="J238" s="292"/>
      <c r="K238" s="292"/>
      <c r="L238" s="292"/>
      <c r="M238" s="292"/>
      <c r="N238" s="225"/>
    </row>
    <row r="239" spans="1:14" ht="41.4" customHeight="1" outlineLevel="1">
      <c r="A239" s="266">
        <f>SUBTOTAL(3,$F$7:F239)</f>
        <v>211</v>
      </c>
      <c r="B239" s="225" t="s">
        <v>1964</v>
      </c>
      <c r="C239" s="225"/>
      <c r="D239" s="225"/>
      <c r="E239" s="224" t="s">
        <v>1962</v>
      </c>
      <c r="F239" s="224" t="s">
        <v>237</v>
      </c>
      <c r="G239" s="281">
        <v>1</v>
      </c>
      <c r="H239" s="281"/>
      <c r="I239" s="281"/>
      <c r="J239" s="292"/>
      <c r="K239" s="292"/>
      <c r="L239" s="292"/>
      <c r="M239" s="292"/>
      <c r="N239" s="225"/>
    </row>
    <row r="240" spans="1:14" ht="41.4" customHeight="1" outlineLevel="1">
      <c r="A240" s="266">
        <f>SUBTOTAL(3,$F$7:F240)</f>
        <v>212</v>
      </c>
      <c r="B240" s="225" t="s">
        <v>1965</v>
      </c>
      <c r="C240" s="225"/>
      <c r="D240" s="225"/>
      <c r="E240" s="224" t="s">
        <v>1962</v>
      </c>
      <c r="F240" s="224" t="s">
        <v>237</v>
      </c>
      <c r="G240" s="281">
        <v>1</v>
      </c>
      <c r="H240" s="281"/>
      <c r="I240" s="281"/>
      <c r="J240" s="292"/>
      <c r="K240" s="292"/>
      <c r="L240" s="292"/>
      <c r="M240" s="292"/>
      <c r="N240" s="225"/>
    </row>
    <row r="241" spans="1:14" ht="41.4" customHeight="1" outlineLevel="1">
      <c r="A241" s="266">
        <f>SUBTOTAL(3,$F$7:F241)</f>
        <v>213</v>
      </c>
      <c r="B241" s="225" t="s">
        <v>1966</v>
      </c>
      <c r="C241" s="225"/>
      <c r="D241" s="225"/>
      <c r="E241" s="224" t="s">
        <v>1962</v>
      </c>
      <c r="F241" s="224" t="s">
        <v>237</v>
      </c>
      <c r="G241" s="281">
        <v>1</v>
      </c>
      <c r="H241" s="281"/>
      <c r="I241" s="281"/>
      <c r="J241" s="292"/>
      <c r="K241" s="292"/>
      <c r="L241" s="292"/>
      <c r="M241" s="292"/>
      <c r="N241" s="225"/>
    </row>
    <row r="242" spans="1:14" ht="41.4" customHeight="1" outlineLevel="1">
      <c r="A242" s="266">
        <f>SUBTOTAL(3,$F$7:F242)</f>
        <v>214</v>
      </c>
      <c r="B242" s="225" t="s">
        <v>1967</v>
      </c>
      <c r="C242" s="225"/>
      <c r="D242" s="225"/>
      <c r="E242" s="224" t="s">
        <v>1962</v>
      </c>
      <c r="F242" s="224" t="s">
        <v>237</v>
      </c>
      <c r="G242" s="281">
        <v>1</v>
      </c>
      <c r="H242" s="281"/>
      <c r="I242" s="281"/>
      <c r="J242" s="292"/>
      <c r="K242" s="292"/>
      <c r="L242" s="292"/>
      <c r="M242" s="292"/>
      <c r="N242" s="225"/>
    </row>
    <row r="243" spans="1:14" ht="41.4" customHeight="1" outlineLevel="1">
      <c r="A243" s="266">
        <f>SUBTOTAL(3,$F$7:F243)</f>
        <v>215</v>
      </c>
      <c r="B243" s="225" t="s">
        <v>1968</v>
      </c>
      <c r="C243" s="225"/>
      <c r="D243" s="225"/>
      <c r="E243" s="224" t="s">
        <v>1962</v>
      </c>
      <c r="F243" s="224" t="s">
        <v>237</v>
      </c>
      <c r="G243" s="281">
        <v>1</v>
      </c>
      <c r="H243" s="281"/>
      <c r="I243" s="281"/>
      <c r="J243" s="292"/>
      <c r="K243" s="292"/>
      <c r="L243" s="292"/>
      <c r="M243" s="292"/>
      <c r="N243" s="225"/>
    </row>
    <row r="244" spans="1:14" ht="41.4" customHeight="1" outlineLevel="1">
      <c r="A244" s="266">
        <f>SUBTOTAL(3,$F$7:F244)</f>
        <v>216</v>
      </c>
      <c r="B244" s="225" t="s">
        <v>1969</v>
      </c>
      <c r="C244" s="225"/>
      <c r="D244" s="225"/>
      <c r="E244" s="224" t="s">
        <v>1962</v>
      </c>
      <c r="F244" s="224" t="s">
        <v>237</v>
      </c>
      <c r="G244" s="281">
        <v>1</v>
      </c>
      <c r="H244" s="281"/>
      <c r="I244" s="281"/>
      <c r="J244" s="292"/>
      <c r="K244" s="292"/>
      <c r="L244" s="292"/>
      <c r="M244" s="292"/>
      <c r="N244" s="225"/>
    </row>
    <row r="245" spans="1:14" ht="41.4" customHeight="1" outlineLevel="1">
      <c r="A245" s="266">
        <f>SUBTOTAL(3,$F$7:F245)</f>
        <v>217</v>
      </c>
      <c r="B245" s="225" t="s">
        <v>1970</v>
      </c>
      <c r="C245" s="225"/>
      <c r="D245" s="225"/>
      <c r="E245" s="224" t="s">
        <v>1962</v>
      </c>
      <c r="F245" s="224" t="s">
        <v>237</v>
      </c>
      <c r="G245" s="281">
        <v>1</v>
      </c>
      <c r="H245" s="281"/>
      <c r="I245" s="281"/>
      <c r="J245" s="292"/>
      <c r="K245" s="292"/>
      <c r="L245" s="292"/>
      <c r="M245" s="292"/>
      <c r="N245" s="225"/>
    </row>
    <row r="246" spans="1:14" ht="41.4" customHeight="1" outlineLevel="1">
      <c r="A246" s="266">
        <f>SUBTOTAL(3,$F$7:F246)</f>
        <v>218</v>
      </c>
      <c r="B246" s="225" t="s">
        <v>1971</v>
      </c>
      <c r="C246" s="225"/>
      <c r="D246" s="225"/>
      <c r="E246" s="224" t="s">
        <v>1962</v>
      </c>
      <c r="F246" s="224" t="s">
        <v>237</v>
      </c>
      <c r="G246" s="281">
        <v>1</v>
      </c>
      <c r="H246" s="281"/>
      <c r="I246" s="281"/>
      <c r="J246" s="292"/>
      <c r="K246" s="292"/>
      <c r="L246" s="292"/>
      <c r="M246" s="292"/>
      <c r="N246" s="225"/>
    </row>
    <row r="247" spans="1:14" ht="41.4" customHeight="1" outlineLevel="1">
      <c r="A247" s="266">
        <f>SUBTOTAL(3,$F$7:F247)</f>
        <v>219</v>
      </c>
      <c r="B247" s="225" t="s">
        <v>1972</v>
      </c>
      <c r="C247" s="225"/>
      <c r="D247" s="225"/>
      <c r="E247" s="224" t="s">
        <v>1962</v>
      </c>
      <c r="F247" s="224" t="s">
        <v>237</v>
      </c>
      <c r="G247" s="281">
        <v>1</v>
      </c>
      <c r="H247" s="281"/>
      <c r="I247" s="281"/>
      <c r="J247" s="292"/>
      <c r="K247" s="292"/>
      <c r="L247" s="292"/>
      <c r="M247" s="292"/>
      <c r="N247" s="225"/>
    </row>
    <row r="248" spans="1:14" ht="41.4" customHeight="1" outlineLevel="1">
      <c r="A248" s="266">
        <f>SUBTOTAL(3,$F$7:F248)</f>
        <v>220</v>
      </c>
      <c r="B248" s="225" t="s">
        <v>1973</v>
      </c>
      <c r="C248" s="225"/>
      <c r="D248" s="225"/>
      <c r="E248" s="224" t="s">
        <v>1962</v>
      </c>
      <c r="F248" s="224" t="s">
        <v>237</v>
      </c>
      <c r="G248" s="281">
        <v>1</v>
      </c>
      <c r="H248" s="281"/>
      <c r="I248" s="281"/>
      <c r="J248" s="292"/>
      <c r="K248" s="292"/>
      <c r="L248" s="292"/>
      <c r="M248" s="292"/>
      <c r="N248" s="225"/>
    </row>
    <row r="249" spans="1:14" ht="41.4" customHeight="1" outlineLevel="1">
      <c r="A249" s="266">
        <f>SUBTOTAL(3,$F$7:F249)</f>
        <v>221</v>
      </c>
      <c r="B249" s="225" t="s">
        <v>1974</v>
      </c>
      <c r="C249" s="225"/>
      <c r="D249" s="225"/>
      <c r="E249" s="224" t="s">
        <v>1962</v>
      </c>
      <c r="F249" s="224" t="s">
        <v>237</v>
      </c>
      <c r="G249" s="281">
        <v>1</v>
      </c>
      <c r="H249" s="281"/>
      <c r="I249" s="281"/>
      <c r="J249" s="292"/>
      <c r="K249" s="292"/>
      <c r="L249" s="292"/>
      <c r="M249" s="292"/>
      <c r="N249" s="225"/>
    </row>
    <row r="250" spans="1:14" ht="41.4" customHeight="1" outlineLevel="1">
      <c r="A250" s="266">
        <f>SUBTOTAL(3,$F$7:F250)</f>
        <v>222</v>
      </c>
      <c r="B250" s="225" t="s">
        <v>1975</v>
      </c>
      <c r="C250" s="225"/>
      <c r="D250" s="225"/>
      <c r="E250" s="224" t="s">
        <v>1976</v>
      </c>
      <c r="F250" s="224" t="s">
        <v>237</v>
      </c>
      <c r="G250" s="281">
        <v>1</v>
      </c>
      <c r="H250" s="281"/>
      <c r="I250" s="281"/>
      <c r="J250" s="292"/>
      <c r="K250" s="292"/>
      <c r="L250" s="292"/>
      <c r="M250" s="292"/>
      <c r="N250" s="225"/>
    </row>
    <row r="251" spans="1:14" outlineLevel="1">
      <c r="A251" s="266"/>
      <c r="B251" s="295" t="s">
        <v>1977</v>
      </c>
      <c r="C251" s="295"/>
      <c r="D251" s="295"/>
      <c r="E251" s="219"/>
      <c r="F251" s="224"/>
      <c r="G251" s="281">
        <v>0</v>
      </c>
      <c r="H251" s="281"/>
      <c r="I251" s="281"/>
      <c r="J251" s="292"/>
      <c r="K251" s="292"/>
      <c r="L251" s="292"/>
      <c r="M251" s="292"/>
      <c r="N251" s="225"/>
    </row>
    <row r="252" spans="1:14" ht="41.4" customHeight="1" outlineLevel="1">
      <c r="A252" s="266">
        <f>SUBTOTAL(3,$F$7:F252)</f>
        <v>223</v>
      </c>
      <c r="B252" s="225" t="s">
        <v>1978</v>
      </c>
      <c r="C252" s="225"/>
      <c r="D252" s="225"/>
      <c r="E252" s="224" t="s">
        <v>1976</v>
      </c>
      <c r="F252" s="224" t="s">
        <v>237</v>
      </c>
      <c r="G252" s="281">
        <v>9</v>
      </c>
      <c r="H252" s="281"/>
      <c r="I252" s="281"/>
      <c r="J252" s="292"/>
      <c r="K252" s="292"/>
      <c r="L252" s="292"/>
      <c r="M252" s="292"/>
      <c r="N252" s="225"/>
    </row>
    <row r="253" spans="1:14" ht="41.4" customHeight="1" outlineLevel="1">
      <c r="A253" s="266">
        <f>SUBTOTAL(3,$F$7:F253)</f>
        <v>224</v>
      </c>
      <c r="B253" s="225" t="s">
        <v>1979</v>
      </c>
      <c r="C253" s="225"/>
      <c r="D253" s="225"/>
      <c r="E253" s="224" t="s">
        <v>1976</v>
      </c>
      <c r="F253" s="224" t="s">
        <v>237</v>
      </c>
      <c r="G253" s="281">
        <v>5</v>
      </c>
      <c r="H253" s="281"/>
      <c r="I253" s="281"/>
      <c r="J253" s="292"/>
      <c r="K253" s="292"/>
      <c r="L253" s="292"/>
      <c r="M253" s="292"/>
      <c r="N253" s="225"/>
    </row>
    <row r="254" spans="1:14" ht="41.4" customHeight="1" outlineLevel="1">
      <c r="A254" s="266">
        <f>SUBTOTAL(3,$F$7:F254)</f>
        <v>225</v>
      </c>
      <c r="B254" s="225" t="s">
        <v>1980</v>
      </c>
      <c r="C254" s="225"/>
      <c r="D254" s="225"/>
      <c r="E254" s="224" t="s">
        <v>1976</v>
      </c>
      <c r="F254" s="224" t="s">
        <v>237</v>
      </c>
      <c r="G254" s="281">
        <v>3</v>
      </c>
      <c r="H254" s="281"/>
      <c r="I254" s="281"/>
      <c r="J254" s="292"/>
      <c r="K254" s="292"/>
      <c r="L254" s="292"/>
      <c r="M254" s="292"/>
      <c r="N254" s="225"/>
    </row>
    <row r="255" spans="1:14" ht="41.4" customHeight="1" outlineLevel="1">
      <c r="A255" s="266">
        <f>SUBTOTAL(3,$F$7:F255)</f>
        <v>226</v>
      </c>
      <c r="B255" s="225" t="s">
        <v>1981</v>
      </c>
      <c r="C255" s="225"/>
      <c r="D255" s="225"/>
      <c r="E255" s="224" t="s">
        <v>1976</v>
      </c>
      <c r="F255" s="224" t="s">
        <v>237</v>
      </c>
      <c r="G255" s="281">
        <v>23</v>
      </c>
      <c r="H255" s="281"/>
      <c r="I255" s="281"/>
      <c r="J255" s="292"/>
      <c r="K255" s="292"/>
      <c r="L255" s="292"/>
      <c r="M255" s="292"/>
      <c r="N255" s="225"/>
    </row>
    <row r="256" spans="1:14" ht="41.4" customHeight="1" outlineLevel="1">
      <c r="A256" s="266">
        <f>SUBTOTAL(3,$F$7:F256)</f>
        <v>227</v>
      </c>
      <c r="B256" s="225" t="s">
        <v>1982</v>
      </c>
      <c r="C256" s="225"/>
      <c r="D256" s="225"/>
      <c r="E256" s="224" t="s">
        <v>1976</v>
      </c>
      <c r="F256" s="224" t="s">
        <v>237</v>
      </c>
      <c r="G256" s="281">
        <v>1</v>
      </c>
      <c r="H256" s="281"/>
      <c r="I256" s="281"/>
      <c r="J256" s="292"/>
      <c r="K256" s="292"/>
      <c r="L256" s="292"/>
      <c r="M256" s="292"/>
      <c r="N256" s="225"/>
    </row>
    <row r="257" spans="1:14" ht="41.4" customHeight="1" outlineLevel="1">
      <c r="A257" s="266">
        <f>SUBTOTAL(3,$F$7:F257)</f>
        <v>228</v>
      </c>
      <c r="B257" s="225" t="s">
        <v>1983</v>
      </c>
      <c r="C257" s="225"/>
      <c r="D257" s="225"/>
      <c r="E257" s="224" t="s">
        <v>1976</v>
      </c>
      <c r="F257" s="224" t="s">
        <v>237</v>
      </c>
      <c r="G257" s="281">
        <v>1</v>
      </c>
      <c r="H257" s="281"/>
      <c r="I257" s="281"/>
      <c r="J257" s="292"/>
      <c r="K257" s="292"/>
      <c r="L257" s="292"/>
      <c r="M257" s="292"/>
      <c r="N257" s="225"/>
    </row>
    <row r="258" spans="1:14" ht="41.4" customHeight="1" outlineLevel="1">
      <c r="A258" s="266">
        <f>SUBTOTAL(3,$F$7:F258)</f>
        <v>229</v>
      </c>
      <c r="B258" s="225" t="s">
        <v>1984</v>
      </c>
      <c r="C258" s="225"/>
      <c r="D258" s="225"/>
      <c r="E258" s="224" t="s">
        <v>1976</v>
      </c>
      <c r="F258" s="224" t="s">
        <v>237</v>
      </c>
      <c r="G258" s="281">
        <v>14</v>
      </c>
      <c r="H258" s="281"/>
      <c r="I258" s="281"/>
      <c r="J258" s="292"/>
      <c r="K258" s="292"/>
      <c r="L258" s="292"/>
      <c r="M258" s="292"/>
      <c r="N258" s="225"/>
    </row>
    <row r="259" spans="1:14" outlineLevel="1">
      <c r="A259" s="266">
        <f>SUBTOTAL(3,$F$7:F259)</f>
        <v>230</v>
      </c>
      <c r="B259" s="225" t="s">
        <v>1985</v>
      </c>
      <c r="C259" s="225"/>
      <c r="D259" s="225"/>
      <c r="E259" s="224" t="s">
        <v>1741</v>
      </c>
      <c r="F259" s="224" t="s">
        <v>570</v>
      </c>
      <c r="G259" s="281">
        <v>100</v>
      </c>
      <c r="H259" s="281"/>
      <c r="I259" s="281"/>
      <c r="J259" s="292"/>
      <c r="K259" s="292"/>
      <c r="L259" s="292"/>
      <c r="M259" s="292"/>
      <c r="N259" s="225"/>
    </row>
    <row r="260" spans="1:14" outlineLevel="1">
      <c r="A260" s="266">
        <f>SUBTOTAL(3,$F$7:F260)</f>
        <v>231</v>
      </c>
      <c r="B260" s="225" t="s">
        <v>1986</v>
      </c>
      <c r="C260" s="225"/>
      <c r="D260" s="225"/>
      <c r="E260" s="224" t="s">
        <v>1741</v>
      </c>
      <c r="F260" s="224" t="s">
        <v>570</v>
      </c>
      <c r="G260" s="281">
        <v>1825</v>
      </c>
      <c r="H260" s="281"/>
      <c r="I260" s="281"/>
      <c r="J260" s="292"/>
      <c r="K260" s="292"/>
      <c r="L260" s="292"/>
      <c r="M260" s="292"/>
      <c r="N260" s="225"/>
    </row>
    <row r="261" spans="1:14" outlineLevel="1">
      <c r="A261" s="266">
        <f>SUBTOTAL(3,$F$7:F261)</f>
        <v>232</v>
      </c>
      <c r="B261" s="225" t="s">
        <v>1987</v>
      </c>
      <c r="C261" s="225"/>
      <c r="D261" s="225"/>
      <c r="E261" s="224" t="s">
        <v>1878</v>
      </c>
      <c r="F261" s="224" t="s">
        <v>570</v>
      </c>
      <c r="G261" s="281">
        <v>5800</v>
      </c>
      <c r="H261" s="281"/>
      <c r="I261" s="281"/>
      <c r="J261" s="292"/>
      <c r="K261" s="292"/>
      <c r="L261" s="292"/>
      <c r="M261" s="292"/>
      <c r="N261" s="225"/>
    </row>
    <row r="262" spans="1:14" outlineLevel="1">
      <c r="A262" s="266">
        <f>SUBTOTAL(3,$F$7:F262)</f>
        <v>233</v>
      </c>
      <c r="B262" s="225" t="s">
        <v>1988</v>
      </c>
      <c r="C262" s="225"/>
      <c r="D262" s="225"/>
      <c r="E262" s="224" t="s">
        <v>1878</v>
      </c>
      <c r="F262" s="224" t="s">
        <v>570</v>
      </c>
      <c r="G262" s="281">
        <v>1900</v>
      </c>
      <c r="H262" s="281"/>
      <c r="I262" s="281"/>
      <c r="J262" s="292"/>
      <c r="K262" s="292"/>
      <c r="L262" s="292"/>
      <c r="M262" s="292"/>
      <c r="N262" s="225"/>
    </row>
    <row r="263" spans="1:14" ht="27.6" customHeight="1" outlineLevel="1">
      <c r="A263" s="266">
        <f>SUBTOTAL(3,$F$7:F263)</f>
        <v>234</v>
      </c>
      <c r="B263" s="225" t="s">
        <v>1788</v>
      </c>
      <c r="C263" s="225" t="s">
        <v>1789</v>
      </c>
      <c r="D263" s="225"/>
      <c r="E263" s="224" t="s">
        <v>1790</v>
      </c>
      <c r="F263" s="224" t="s">
        <v>570</v>
      </c>
      <c r="G263" s="281">
        <v>4900</v>
      </c>
      <c r="H263" s="281"/>
      <c r="I263" s="281"/>
      <c r="J263" s="292"/>
      <c r="K263" s="292"/>
      <c r="L263" s="292"/>
      <c r="M263" s="292"/>
      <c r="N263" s="225"/>
    </row>
    <row r="264" spans="1:14" outlineLevel="1">
      <c r="A264" s="266">
        <f>SUBTOTAL(3,$F$7:F264)</f>
        <v>235</v>
      </c>
      <c r="B264" s="225" t="s">
        <v>1553</v>
      </c>
      <c r="C264" s="225"/>
      <c r="D264" s="225"/>
      <c r="E264" s="323" t="s">
        <v>1854</v>
      </c>
      <c r="F264" s="224" t="s">
        <v>570</v>
      </c>
      <c r="G264" s="281">
        <v>245</v>
      </c>
      <c r="H264" s="281"/>
      <c r="I264" s="281"/>
      <c r="J264" s="292"/>
      <c r="K264" s="292"/>
      <c r="L264" s="292"/>
      <c r="M264" s="292"/>
      <c r="N264" s="225"/>
    </row>
    <row r="265" spans="1:14" outlineLevel="1">
      <c r="A265" s="266">
        <f>SUBTOTAL(3,$F$7:F265)</f>
        <v>236</v>
      </c>
      <c r="B265" s="225" t="s">
        <v>1103</v>
      </c>
      <c r="C265" s="225"/>
      <c r="D265" s="225"/>
      <c r="E265" s="224"/>
      <c r="F265" s="224" t="s">
        <v>276</v>
      </c>
      <c r="G265" s="281">
        <v>4</v>
      </c>
      <c r="H265" s="281"/>
      <c r="I265" s="281"/>
      <c r="J265" s="292"/>
      <c r="K265" s="292"/>
      <c r="L265" s="292"/>
      <c r="M265" s="292"/>
      <c r="N265" s="225"/>
    </row>
    <row r="266" spans="1:14" s="278" customFormat="1" ht="27.6" customHeight="1">
      <c r="A266" s="289" t="s">
        <v>1694</v>
      </c>
      <c r="B266" s="311" t="s">
        <v>1989</v>
      </c>
      <c r="C266" s="280" t="s">
        <v>1880</v>
      </c>
      <c r="D266" s="307"/>
      <c r="E266" s="289"/>
      <c r="F266" s="289"/>
      <c r="G266" s="281">
        <v>0</v>
      </c>
      <c r="H266" s="221"/>
      <c r="I266" s="221"/>
      <c r="J266" s="298"/>
      <c r="K266" s="298"/>
      <c r="L266" s="298"/>
      <c r="M266" s="298"/>
      <c r="N266" s="295"/>
    </row>
    <row r="267" spans="1:14" outlineLevel="1">
      <c r="A267" s="266">
        <f>SUBTOTAL(3,$F$7:F267)</f>
        <v>237</v>
      </c>
      <c r="B267" s="225" t="s">
        <v>1990</v>
      </c>
      <c r="C267" s="225"/>
      <c r="D267" s="225"/>
      <c r="E267" s="224"/>
      <c r="F267" s="224" t="s">
        <v>570</v>
      </c>
      <c r="G267" s="281">
        <v>739</v>
      </c>
      <c r="H267" s="281"/>
      <c r="I267" s="281"/>
      <c r="J267" s="292"/>
      <c r="K267" s="292"/>
      <c r="L267" s="292"/>
      <c r="M267" s="292"/>
      <c r="N267" s="225"/>
    </row>
    <row r="268" spans="1:14" outlineLevel="1">
      <c r="A268" s="266">
        <f>SUBTOTAL(3,$F$7:F268)</f>
        <v>238</v>
      </c>
      <c r="B268" s="225" t="s">
        <v>1668</v>
      </c>
      <c r="C268" s="225"/>
      <c r="D268" s="225"/>
      <c r="E268" s="224"/>
      <c r="F268" s="224" t="s">
        <v>570</v>
      </c>
      <c r="G268" s="281">
        <v>225</v>
      </c>
      <c r="H268" s="281"/>
      <c r="I268" s="281"/>
      <c r="J268" s="292"/>
      <c r="K268" s="292"/>
      <c r="L268" s="292"/>
      <c r="M268" s="292"/>
      <c r="N268" s="225"/>
    </row>
    <row r="269" spans="1:14" outlineLevel="1">
      <c r="A269" s="266">
        <f>SUBTOTAL(3,$F$7:F269)</f>
        <v>239</v>
      </c>
      <c r="B269" s="225" t="s">
        <v>1991</v>
      </c>
      <c r="C269" s="225"/>
      <c r="D269" s="225"/>
      <c r="E269" s="224"/>
      <c r="F269" s="224" t="s">
        <v>570</v>
      </c>
      <c r="G269" s="281">
        <v>209</v>
      </c>
      <c r="H269" s="281"/>
      <c r="I269" s="281"/>
      <c r="J269" s="292"/>
      <c r="K269" s="292"/>
      <c r="L269" s="292"/>
      <c r="M269" s="292"/>
      <c r="N269" s="225"/>
    </row>
    <row r="270" spans="1:14" outlineLevel="1">
      <c r="A270" s="266">
        <f>SUBTOTAL(3,$F$7:F270)</f>
        <v>240</v>
      </c>
      <c r="B270" s="225" t="s">
        <v>1667</v>
      </c>
      <c r="C270" s="225"/>
      <c r="D270" s="225"/>
      <c r="E270" s="224"/>
      <c r="F270" s="224" t="s">
        <v>570</v>
      </c>
      <c r="G270" s="281">
        <v>10</v>
      </c>
      <c r="H270" s="281"/>
      <c r="I270" s="281"/>
      <c r="J270" s="292"/>
      <c r="K270" s="292"/>
      <c r="L270" s="292"/>
      <c r="M270" s="292"/>
      <c r="N270" s="225"/>
    </row>
    <row r="271" spans="1:14" outlineLevel="1">
      <c r="A271" s="266">
        <f>SUBTOTAL(3,$F$7:F271)</f>
        <v>241</v>
      </c>
      <c r="B271" s="225" t="s">
        <v>1992</v>
      </c>
      <c r="C271" s="225"/>
      <c r="D271" s="225"/>
      <c r="E271" s="224"/>
      <c r="F271" s="224" t="s">
        <v>570</v>
      </c>
      <c r="G271" s="281">
        <v>131</v>
      </c>
      <c r="H271" s="281"/>
      <c r="I271" s="281"/>
      <c r="J271" s="292"/>
      <c r="K271" s="292"/>
      <c r="L271" s="292"/>
      <c r="M271" s="292"/>
      <c r="N271" s="225"/>
    </row>
    <row r="272" spans="1:14" ht="27.6" customHeight="1" outlineLevel="1">
      <c r="A272" s="266">
        <f>SUBTOTAL(3,$F$7:F272)</f>
        <v>242</v>
      </c>
      <c r="B272" s="225" t="s">
        <v>1669</v>
      </c>
      <c r="C272" s="225"/>
      <c r="D272" s="225"/>
      <c r="E272" s="224"/>
      <c r="F272" s="224" t="s">
        <v>276</v>
      </c>
      <c r="G272" s="281">
        <v>4</v>
      </c>
      <c r="H272" s="281"/>
      <c r="I272" s="281"/>
      <c r="J272" s="292"/>
      <c r="K272" s="292"/>
      <c r="L272" s="292"/>
      <c r="M272" s="292"/>
      <c r="N272" s="225"/>
    </row>
    <row r="273" spans="1:14" s="278" customFormat="1">
      <c r="A273" s="289" t="s">
        <v>1704</v>
      </c>
      <c r="B273" s="311" t="s">
        <v>799</v>
      </c>
      <c r="C273" s="307"/>
      <c r="D273" s="307"/>
      <c r="E273" s="289"/>
      <c r="F273" s="289"/>
      <c r="G273" s="281">
        <v>0</v>
      </c>
      <c r="H273" s="221"/>
      <c r="I273" s="221"/>
      <c r="J273" s="298"/>
      <c r="K273" s="298"/>
      <c r="L273" s="298"/>
      <c r="M273" s="298"/>
      <c r="N273" s="295"/>
    </row>
    <row r="274" spans="1:14" outlineLevel="1">
      <c r="A274" s="266">
        <f>SUBTOTAL(3,$F$7:F274)</f>
        <v>243</v>
      </c>
      <c r="B274" s="225" t="s">
        <v>801</v>
      </c>
      <c r="C274" s="225"/>
      <c r="D274" s="225"/>
      <c r="E274" s="224"/>
      <c r="F274" s="224" t="s">
        <v>276</v>
      </c>
      <c r="G274" s="281">
        <v>4</v>
      </c>
      <c r="H274" s="281"/>
      <c r="I274" s="281"/>
      <c r="J274" s="292"/>
      <c r="K274" s="292"/>
      <c r="L274" s="292"/>
      <c r="M274" s="292"/>
      <c r="N274" s="225"/>
    </row>
    <row r="275" spans="1:14" outlineLevel="1">
      <c r="A275" s="266">
        <f>SUBTOTAL(3,$F$7:F275)</f>
        <v>244</v>
      </c>
      <c r="B275" s="225" t="s">
        <v>802</v>
      </c>
      <c r="C275" s="225"/>
      <c r="D275" s="225"/>
      <c r="E275" s="224"/>
      <c r="F275" s="224" t="s">
        <v>276</v>
      </c>
      <c r="G275" s="281">
        <v>4</v>
      </c>
      <c r="H275" s="281"/>
      <c r="I275" s="281"/>
      <c r="J275" s="292"/>
      <c r="K275" s="292"/>
      <c r="L275" s="292"/>
      <c r="M275" s="292"/>
      <c r="N275" s="225"/>
    </row>
    <row r="276" spans="1:14">
      <c r="A276" s="289" t="s">
        <v>1727</v>
      </c>
      <c r="B276" s="295" t="s">
        <v>803</v>
      </c>
      <c r="C276" s="280"/>
      <c r="D276" s="280"/>
      <c r="E276" s="219"/>
      <c r="F276" s="290"/>
      <c r="G276" s="281">
        <v>0</v>
      </c>
      <c r="H276" s="291"/>
      <c r="I276" s="291"/>
      <c r="J276" s="299"/>
      <c r="K276" s="300"/>
      <c r="L276" s="300"/>
      <c r="M276" s="300"/>
      <c r="N276" s="301"/>
    </row>
    <row r="277" spans="1:14" ht="69" customHeight="1">
      <c r="A277" s="266"/>
      <c r="B277" s="301" t="s">
        <v>804</v>
      </c>
      <c r="C277" s="301"/>
      <c r="D277" s="301"/>
      <c r="E277" s="286"/>
      <c r="F277" s="290" t="s">
        <v>45</v>
      </c>
      <c r="G277" s="281">
        <v>0</v>
      </c>
      <c r="H277" s="291"/>
      <c r="I277" s="291"/>
      <c r="J277" s="292"/>
      <c r="K277" s="292"/>
      <c r="L277" s="292"/>
      <c r="M277" s="292"/>
      <c r="N277" s="225"/>
    </row>
    <row r="279" spans="1:14" s="231" customFormat="1">
      <c r="A279" s="224" t="str">
        <f>IF(AND(F279&lt;&gt;"",F279&lt;&gt;"note"),MAX($A$5:A5)+1,"")</f>
        <v/>
      </c>
      <c r="B279" s="295" t="s">
        <v>805</v>
      </c>
      <c r="C279" s="280"/>
      <c r="D279" s="280"/>
      <c r="E279" s="219"/>
      <c r="F279" s="224"/>
      <c r="G279" s="282"/>
      <c r="H279" s="282"/>
      <c r="I279" s="282"/>
      <c r="J279" s="282"/>
      <c r="K279" s="283">
        <f>SUBTOTAL(9,K5:K277)</f>
        <v>0</v>
      </c>
      <c r="L279" s="283">
        <f>SUBTOTAL(9,L5:L277)</f>
        <v>0</v>
      </c>
      <c r="M279" s="283">
        <f>SUBTOTAL(9,M5:M277)</f>
        <v>0</v>
      </c>
      <c r="N279" s="284"/>
    </row>
  </sheetData>
  <autoFilter ref="A4:N277" xr:uid="{00000000-0009-0000-0000-000005000000}"/>
  <mergeCells count="10">
    <mergeCell ref="N3:N4"/>
    <mergeCell ref="F3:F4"/>
    <mergeCell ref="D3:D4"/>
    <mergeCell ref="K3:M3"/>
    <mergeCell ref="H3:J3"/>
    <mergeCell ref="C3:C4"/>
    <mergeCell ref="A3:A4"/>
    <mergeCell ref="B3:B4"/>
    <mergeCell ref="G3:G4"/>
    <mergeCell ref="E3:E4"/>
  </mergeCells>
  <pageMargins left="0.5" right="0.5" top="0.75" bottom="0.75" header="0.3" footer="0.3"/>
  <pageSetup paperSize="9" scale="34"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FFC000"/>
    <outlinePr summaryBelow="0"/>
    <pageSetUpPr fitToPage="1"/>
  </sheetPr>
  <dimension ref="A1:N57"/>
  <sheetViews>
    <sheetView topLeftCell="A53" zoomScaleNormal="100" zoomScaleSheetLayoutView="85" workbookViewId="0">
      <selection activeCell="A57" sqref="A57:XFD57"/>
    </sheetView>
  </sheetViews>
  <sheetFormatPr defaultColWidth="8.88671875" defaultRowHeight="13.8" outlineLevelRow="1"/>
  <cols>
    <col min="1" max="1" width="5.88671875" style="273" customWidth="1"/>
    <col min="2" max="2" width="42.109375" style="273" customWidth="1"/>
    <col min="3" max="3" width="24.77734375" style="314" customWidth="1"/>
    <col min="4" max="4" width="28.44140625" style="314" customWidth="1"/>
    <col min="5" max="5" width="27.44140625" style="314" customWidth="1"/>
    <col min="6" max="6" width="12.109375" style="285" customWidth="1"/>
    <col min="7" max="9" width="15.109375" style="272" customWidth="1"/>
    <col min="10" max="10" width="14.6640625" style="277" customWidth="1"/>
    <col min="11" max="13" width="17.88671875" style="277" customWidth="1"/>
    <col min="14" max="14" width="13.6640625" style="273" customWidth="1"/>
    <col min="15" max="15" width="8.88671875" style="273" customWidth="1"/>
    <col min="16" max="16384" width="8.88671875" style="273"/>
  </cols>
  <sheetData>
    <row r="1" spans="1:14">
      <c r="A1" s="270" t="s">
        <v>20</v>
      </c>
      <c r="B1" s="231"/>
      <c r="C1" s="274"/>
      <c r="D1" s="274"/>
      <c r="E1" s="274"/>
      <c r="F1" s="271"/>
      <c r="J1" s="272"/>
      <c r="K1" s="272"/>
      <c r="L1" s="272"/>
      <c r="M1" s="272"/>
      <c r="N1" s="231"/>
    </row>
    <row r="2" spans="1:14" s="268" customFormat="1">
      <c r="A2" s="275"/>
      <c r="C2" s="313"/>
      <c r="D2" s="313"/>
      <c r="E2" s="313"/>
      <c r="F2" s="276"/>
      <c r="G2" s="272"/>
      <c r="H2" s="272"/>
      <c r="I2" s="272"/>
      <c r="J2" s="277"/>
      <c r="K2" s="277"/>
      <c r="L2" s="277"/>
      <c r="M2" s="277"/>
    </row>
    <row r="3" spans="1:14" ht="20.399999999999999" customHeight="1">
      <c r="A3" s="369" t="s">
        <v>5</v>
      </c>
      <c r="B3" s="369" t="s">
        <v>203</v>
      </c>
      <c r="C3" s="369" t="s">
        <v>806</v>
      </c>
      <c r="D3" s="369" t="s">
        <v>807</v>
      </c>
      <c r="E3" s="369" t="s">
        <v>808</v>
      </c>
      <c r="F3" s="369" t="s">
        <v>207</v>
      </c>
      <c r="G3" s="371" t="s">
        <v>208</v>
      </c>
      <c r="H3" s="374" t="s">
        <v>209</v>
      </c>
      <c r="I3" s="350"/>
      <c r="J3" s="351"/>
      <c r="K3" s="373" t="s">
        <v>210</v>
      </c>
      <c r="L3" s="350"/>
      <c r="M3" s="351"/>
      <c r="N3" s="369" t="s">
        <v>8</v>
      </c>
    </row>
    <row r="4" spans="1:14" ht="20.399999999999999" customHeight="1">
      <c r="A4" s="355"/>
      <c r="B4" s="355"/>
      <c r="C4" s="355"/>
      <c r="D4" s="355"/>
      <c r="E4" s="355"/>
      <c r="F4" s="355"/>
      <c r="G4" s="355"/>
      <c r="H4" s="182" t="s">
        <v>211</v>
      </c>
      <c r="I4" s="182" t="s">
        <v>212</v>
      </c>
      <c r="J4" s="182" t="s">
        <v>13</v>
      </c>
      <c r="K4" s="182" t="s">
        <v>211</v>
      </c>
      <c r="L4" s="182" t="s">
        <v>212</v>
      </c>
      <c r="M4" s="182" t="s">
        <v>13</v>
      </c>
      <c r="N4" s="355"/>
    </row>
    <row r="5" spans="1:14">
      <c r="A5" s="289" t="s">
        <v>78</v>
      </c>
      <c r="B5" s="307" t="s">
        <v>20</v>
      </c>
      <c r="C5" s="289"/>
      <c r="D5" s="289"/>
      <c r="E5" s="289"/>
      <c r="F5" s="289"/>
      <c r="G5" s="315"/>
      <c r="H5" s="315"/>
      <c r="I5" s="315"/>
      <c r="J5" s="315"/>
      <c r="K5" s="316"/>
      <c r="L5" s="316"/>
      <c r="M5" s="316"/>
      <c r="N5" s="315"/>
    </row>
    <row r="6" spans="1:14" ht="41.4" customHeight="1" outlineLevel="1">
      <c r="A6" s="266"/>
      <c r="B6" s="295" t="s">
        <v>1732</v>
      </c>
      <c r="C6" s="219" t="s">
        <v>1993</v>
      </c>
      <c r="D6" s="219"/>
      <c r="E6" s="219"/>
      <c r="F6" s="224"/>
      <c r="G6" s="315"/>
      <c r="H6" s="315"/>
      <c r="I6" s="315"/>
      <c r="J6" s="315"/>
      <c r="K6" s="315"/>
      <c r="L6" s="315"/>
      <c r="M6" s="315"/>
      <c r="N6" s="315"/>
    </row>
    <row r="7" spans="1:14" ht="27.6" customHeight="1" outlineLevel="1">
      <c r="A7" s="266">
        <f>SUBTOTAL(3,$F$7:F7)</f>
        <v>1</v>
      </c>
      <c r="B7" s="225" t="s">
        <v>1994</v>
      </c>
      <c r="C7" s="224" t="s">
        <v>1995</v>
      </c>
      <c r="D7" s="224"/>
      <c r="E7" s="305" t="s">
        <v>1996</v>
      </c>
      <c r="F7" s="224" t="s">
        <v>1081</v>
      </c>
      <c r="G7" s="315">
        <v>2</v>
      </c>
      <c r="H7" s="315"/>
      <c r="I7" s="315"/>
      <c r="J7" s="292"/>
      <c r="K7" s="292"/>
      <c r="L7" s="292"/>
      <c r="M7" s="292"/>
      <c r="N7" s="225"/>
    </row>
    <row r="8" spans="1:14" ht="41.4" customHeight="1" outlineLevel="1">
      <c r="A8" s="266">
        <f>SUBTOTAL(3,$F$7:F8)</f>
        <v>2</v>
      </c>
      <c r="B8" s="225" t="s">
        <v>1997</v>
      </c>
      <c r="C8" s="224" t="s">
        <v>1995</v>
      </c>
      <c r="D8" s="224" t="s">
        <v>1998</v>
      </c>
      <c r="E8" s="305" t="s">
        <v>1996</v>
      </c>
      <c r="F8" s="224" t="s">
        <v>1081</v>
      </c>
      <c r="G8" s="315">
        <v>1</v>
      </c>
      <c r="H8" s="315"/>
      <c r="I8" s="315"/>
      <c r="J8" s="292"/>
      <c r="K8" s="292"/>
      <c r="L8" s="292"/>
      <c r="M8" s="292"/>
      <c r="N8" s="225"/>
    </row>
    <row r="9" spans="1:14" ht="27.6" customHeight="1" outlineLevel="1">
      <c r="A9" s="266">
        <f>SUBTOTAL(3,$F$7:F9)</f>
        <v>3</v>
      </c>
      <c r="B9" s="225" t="s">
        <v>1999</v>
      </c>
      <c r="C9" s="224" t="s">
        <v>1995</v>
      </c>
      <c r="D9" s="224"/>
      <c r="E9" s="305" t="s">
        <v>1996</v>
      </c>
      <c r="F9" s="224" t="s">
        <v>1081</v>
      </c>
      <c r="G9" s="315">
        <v>1</v>
      </c>
      <c r="H9" s="315"/>
      <c r="I9" s="315"/>
      <c r="J9" s="292"/>
      <c r="K9" s="292"/>
      <c r="L9" s="292"/>
      <c r="M9" s="292"/>
      <c r="N9" s="225"/>
    </row>
    <row r="10" spans="1:14" ht="28.8" customHeight="1" outlineLevel="1">
      <c r="A10" s="266">
        <f>SUBTOTAL(3,$F$7:F10)</f>
        <v>4</v>
      </c>
      <c r="B10" s="225" t="s">
        <v>2000</v>
      </c>
      <c r="C10" s="224" t="s">
        <v>2001</v>
      </c>
      <c r="D10" s="224"/>
      <c r="E10" s="224" t="s">
        <v>1751</v>
      </c>
      <c r="F10" s="224" t="s">
        <v>237</v>
      </c>
      <c r="G10" s="315">
        <v>1</v>
      </c>
      <c r="H10" s="315"/>
      <c r="I10" s="315"/>
      <c r="J10" s="292"/>
      <c r="K10" s="292"/>
      <c r="L10" s="292"/>
      <c r="M10" s="292"/>
      <c r="N10" s="225"/>
    </row>
    <row r="11" spans="1:14" ht="31.2" customHeight="1" outlineLevel="1">
      <c r="A11" s="266">
        <f>SUBTOTAL(3,$F$7:F11)</f>
        <v>5</v>
      </c>
      <c r="B11" s="225" t="s">
        <v>1801</v>
      </c>
      <c r="C11" s="224" t="s">
        <v>2001</v>
      </c>
      <c r="D11" s="224"/>
      <c r="E11" s="224" t="s">
        <v>2002</v>
      </c>
      <c r="F11" s="224" t="s">
        <v>237</v>
      </c>
      <c r="G11" s="315">
        <v>1</v>
      </c>
      <c r="H11" s="315"/>
      <c r="I11" s="315"/>
      <c r="J11" s="292"/>
      <c r="K11" s="292"/>
      <c r="L11" s="292"/>
      <c r="M11" s="292"/>
      <c r="N11" s="225"/>
    </row>
    <row r="12" spans="1:14" ht="24.6" customHeight="1" outlineLevel="1">
      <c r="A12" s="266">
        <f>SUBTOTAL(3,$F$7:F12)</f>
        <v>6</v>
      </c>
      <c r="B12" s="225" t="s">
        <v>2003</v>
      </c>
      <c r="C12" s="224"/>
      <c r="D12" s="224"/>
      <c r="E12" s="224" t="s">
        <v>2004</v>
      </c>
      <c r="F12" s="224" t="s">
        <v>237</v>
      </c>
      <c r="G12" s="315">
        <v>1</v>
      </c>
      <c r="H12" s="315"/>
      <c r="I12" s="315"/>
      <c r="J12" s="292"/>
      <c r="K12" s="292"/>
      <c r="L12" s="292"/>
      <c r="M12" s="292"/>
      <c r="N12" s="225"/>
    </row>
    <row r="13" spans="1:14" ht="24.6" customHeight="1" outlineLevel="1">
      <c r="A13" s="266">
        <f>SUBTOTAL(3,$F$7:F13)</f>
        <v>7</v>
      </c>
      <c r="B13" s="225" t="s">
        <v>2005</v>
      </c>
      <c r="C13" s="224"/>
      <c r="D13" s="224"/>
      <c r="E13" s="224" t="s">
        <v>1089</v>
      </c>
      <c r="F13" s="224" t="s">
        <v>237</v>
      </c>
      <c r="G13" s="315">
        <v>2</v>
      </c>
      <c r="H13" s="315"/>
      <c r="I13" s="315"/>
      <c r="J13" s="292"/>
      <c r="K13" s="292"/>
      <c r="L13" s="292"/>
      <c r="M13" s="292"/>
      <c r="N13" s="225"/>
    </row>
    <row r="14" spans="1:14" ht="24.6" customHeight="1" outlineLevel="1">
      <c r="A14" s="266">
        <f>SUBTOTAL(3,$F$7:F14)</f>
        <v>8</v>
      </c>
      <c r="B14" s="225" t="s">
        <v>1752</v>
      </c>
      <c r="C14" s="224"/>
      <c r="D14" s="224"/>
      <c r="E14" s="224" t="s">
        <v>1753</v>
      </c>
      <c r="F14" s="224" t="s">
        <v>237</v>
      </c>
      <c r="G14" s="315">
        <v>2</v>
      </c>
      <c r="H14" s="315"/>
      <c r="I14" s="315"/>
      <c r="J14" s="292"/>
      <c r="K14" s="292"/>
      <c r="L14" s="292"/>
      <c r="M14" s="292"/>
      <c r="N14" s="225"/>
    </row>
    <row r="15" spans="1:14" ht="24.6" customHeight="1" outlineLevel="1">
      <c r="A15" s="266">
        <f>SUBTOTAL(3,$F$7:F15)</f>
        <v>9</v>
      </c>
      <c r="B15" s="225" t="s">
        <v>2006</v>
      </c>
      <c r="C15" s="224" t="s">
        <v>1995</v>
      </c>
      <c r="D15" s="224"/>
      <c r="E15" s="305" t="s">
        <v>1996</v>
      </c>
      <c r="F15" s="224" t="s">
        <v>219</v>
      </c>
      <c r="G15" s="315">
        <v>1</v>
      </c>
      <c r="H15" s="315"/>
      <c r="I15" s="315"/>
      <c r="J15" s="292"/>
      <c r="K15" s="292"/>
      <c r="L15" s="292"/>
      <c r="M15" s="292"/>
      <c r="N15" s="225"/>
    </row>
    <row r="16" spans="1:14" ht="24.6" customHeight="1" outlineLevel="1">
      <c r="A16" s="266">
        <f>SUBTOTAL(3,$F$7:F16)</f>
        <v>10</v>
      </c>
      <c r="B16" s="225" t="s">
        <v>2007</v>
      </c>
      <c r="C16" s="224"/>
      <c r="D16" s="224"/>
      <c r="E16" s="305" t="s">
        <v>1996</v>
      </c>
      <c r="F16" s="224" t="s">
        <v>219</v>
      </c>
      <c r="G16" s="315">
        <v>7</v>
      </c>
      <c r="H16" s="315"/>
      <c r="I16" s="315"/>
      <c r="J16" s="292"/>
      <c r="K16" s="292"/>
      <c r="L16" s="292"/>
      <c r="M16" s="292"/>
      <c r="N16" s="225"/>
    </row>
    <row r="17" spans="1:14" ht="24.6" customHeight="1" outlineLevel="1">
      <c r="A17" s="266">
        <f>SUBTOTAL(3,$F$7:F17)</f>
        <v>11</v>
      </c>
      <c r="B17" s="322" t="s">
        <v>2008</v>
      </c>
      <c r="C17" s="224" t="s">
        <v>1995</v>
      </c>
      <c r="D17" s="224"/>
      <c r="E17" s="305" t="s">
        <v>1996</v>
      </c>
      <c r="F17" s="224" t="s">
        <v>237</v>
      </c>
      <c r="G17" s="315">
        <v>1</v>
      </c>
      <c r="H17" s="315"/>
      <c r="I17" s="315"/>
      <c r="J17" s="292"/>
      <c r="K17" s="292"/>
      <c r="L17" s="292"/>
      <c r="M17" s="292"/>
      <c r="N17" s="225"/>
    </row>
    <row r="18" spans="1:14" ht="24.6" customHeight="1" outlineLevel="1">
      <c r="A18" s="266">
        <f>SUBTOTAL(3,$F$7:F18)</f>
        <v>12</v>
      </c>
      <c r="B18" s="322" t="s">
        <v>2009</v>
      </c>
      <c r="C18" s="224" t="s">
        <v>1995</v>
      </c>
      <c r="D18" s="224"/>
      <c r="E18" s="305" t="s">
        <v>1996</v>
      </c>
      <c r="F18" s="224" t="s">
        <v>237</v>
      </c>
      <c r="G18" s="315">
        <v>1</v>
      </c>
      <c r="H18" s="315"/>
      <c r="I18" s="315"/>
      <c r="J18" s="292"/>
      <c r="K18" s="292"/>
      <c r="L18" s="292"/>
      <c r="M18" s="292"/>
      <c r="N18" s="225"/>
    </row>
    <row r="19" spans="1:14" ht="24.6" customHeight="1" outlineLevel="1">
      <c r="A19" s="266">
        <f>SUBTOTAL(3,$F$7:F19)</f>
        <v>13</v>
      </c>
      <c r="B19" s="322" t="s">
        <v>2010</v>
      </c>
      <c r="C19" s="224" t="s">
        <v>1995</v>
      </c>
      <c r="D19" s="224"/>
      <c r="E19" s="305" t="s">
        <v>1996</v>
      </c>
      <c r="F19" s="224" t="s">
        <v>237</v>
      </c>
      <c r="G19" s="315">
        <v>1</v>
      </c>
      <c r="H19" s="315"/>
      <c r="I19" s="315"/>
      <c r="J19" s="292"/>
      <c r="K19" s="292"/>
      <c r="L19" s="292"/>
      <c r="M19" s="292"/>
      <c r="N19" s="225"/>
    </row>
    <row r="20" spans="1:14" ht="24.6" customHeight="1" outlineLevel="1">
      <c r="A20" s="266">
        <f>SUBTOTAL(3,$F$7:F20)</f>
        <v>14</v>
      </c>
      <c r="B20" s="322" t="s">
        <v>2011</v>
      </c>
      <c r="C20" s="224" t="s">
        <v>1995</v>
      </c>
      <c r="D20" s="224"/>
      <c r="E20" s="305" t="s">
        <v>1996</v>
      </c>
      <c r="F20" s="224" t="s">
        <v>237</v>
      </c>
      <c r="G20" s="315">
        <v>1</v>
      </c>
      <c r="H20" s="315"/>
      <c r="I20" s="315"/>
      <c r="J20" s="292"/>
      <c r="K20" s="292"/>
      <c r="L20" s="292"/>
      <c r="M20" s="292"/>
      <c r="N20" s="225"/>
    </row>
    <row r="21" spans="1:14" outlineLevel="1">
      <c r="A21" s="266"/>
      <c r="B21" s="295" t="s">
        <v>1843</v>
      </c>
      <c r="C21" s="219"/>
      <c r="D21" s="219"/>
      <c r="E21" s="219"/>
      <c r="F21" s="224"/>
      <c r="G21" s="315">
        <v>0</v>
      </c>
      <c r="H21" s="315"/>
      <c r="I21" s="315"/>
      <c r="J21" s="315"/>
      <c r="K21" s="315"/>
      <c r="L21" s="315"/>
      <c r="M21" s="315"/>
      <c r="N21" s="315"/>
    </row>
    <row r="22" spans="1:14" ht="26.4" customHeight="1" outlineLevel="1">
      <c r="A22" s="266">
        <f>SUBTOTAL(3,$F$7:F22)</f>
        <v>15</v>
      </c>
      <c r="B22" s="225" t="s">
        <v>2012</v>
      </c>
      <c r="C22" s="224" t="s">
        <v>2013</v>
      </c>
      <c r="D22" s="323" t="s">
        <v>2014</v>
      </c>
      <c r="E22" s="305" t="s">
        <v>1996</v>
      </c>
      <c r="F22" s="224" t="s">
        <v>219</v>
      </c>
      <c r="G22" s="315">
        <v>855</v>
      </c>
      <c r="H22" s="315"/>
      <c r="I22" s="315"/>
      <c r="J22" s="292"/>
      <c r="K22" s="292"/>
      <c r="L22" s="292"/>
      <c r="M22" s="292"/>
      <c r="N22" s="225"/>
    </row>
    <row r="23" spans="1:14" ht="26.4" customHeight="1" outlineLevel="1">
      <c r="A23" s="266">
        <f>SUBTOTAL(3,$F$7:F23)</f>
        <v>16</v>
      </c>
      <c r="B23" s="225" t="s">
        <v>2015</v>
      </c>
      <c r="C23" s="224" t="s">
        <v>2013</v>
      </c>
      <c r="D23" s="224"/>
      <c r="E23" s="305" t="s">
        <v>1996</v>
      </c>
      <c r="F23" s="224" t="s">
        <v>219</v>
      </c>
      <c r="G23" s="315">
        <v>80</v>
      </c>
      <c r="H23" s="315"/>
      <c r="I23" s="315"/>
      <c r="J23" s="292"/>
      <c r="K23" s="292"/>
      <c r="L23" s="292"/>
      <c r="M23" s="292"/>
      <c r="N23" s="225"/>
    </row>
    <row r="24" spans="1:14" ht="26.4" customHeight="1" outlineLevel="1">
      <c r="A24" s="266">
        <f>SUBTOTAL(3,$F$7:F24)</f>
        <v>17</v>
      </c>
      <c r="B24" s="284" t="s">
        <v>2016</v>
      </c>
      <c r="C24" s="266" t="s">
        <v>2017</v>
      </c>
      <c r="D24" s="325" t="s">
        <v>2018</v>
      </c>
      <c r="E24" s="305" t="s">
        <v>1996</v>
      </c>
      <c r="F24" s="224" t="s">
        <v>219</v>
      </c>
      <c r="G24" s="315">
        <v>537</v>
      </c>
      <c r="H24" s="315"/>
      <c r="I24" s="315"/>
      <c r="J24" s="292"/>
      <c r="K24" s="292"/>
      <c r="L24" s="292"/>
      <c r="M24" s="292"/>
      <c r="N24" s="225"/>
    </row>
    <row r="25" spans="1:14" ht="26.4" customHeight="1" outlineLevel="1">
      <c r="A25" s="266">
        <f>SUBTOTAL(3,$F$7:F25)</f>
        <v>18</v>
      </c>
      <c r="B25" s="225" t="s">
        <v>2019</v>
      </c>
      <c r="C25" s="224" t="s">
        <v>2013</v>
      </c>
      <c r="D25" s="224"/>
      <c r="E25" s="305" t="s">
        <v>1996</v>
      </c>
      <c r="F25" s="224" t="s">
        <v>219</v>
      </c>
      <c r="G25" s="315">
        <v>147</v>
      </c>
      <c r="H25" s="315"/>
      <c r="I25" s="315"/>
      <c r="J25" s="292"/>
      <c r="K25" s="292"/>
      <c r="L25" s="292"/>
      <c r="M25" s="292"/>
      <c r="N25" s="225"/>
    </row>
    <row r="26" spans="1:14" ht="26.4" customHeight="1" outlineLevel="1">
      <c r="A26" s="266">
        <f>SUBTOTAL(3,$F$7:F26)</f>
        <v>19</v>
      </c>
      <c r="B26" s="225" t="s">
        <v>2020</v>
      </c>
      <c r="C26" s="224" t="s">
        <v>2013</v>
      </c>
      <c r="D26" s="323" t="s">
        <v>2021</v>
      </c>
      <c r="E26" s="305" t="s">
        <v>1996</v>
      </c>
      <c r="F26" s="224" t="s">
        <v>219</v>
      </c>
      <c r="G26" s="315">
        <v>102</v>
      </c>
      <c r="H26" s="315"/>
      <c r="I26" s="315"/>
      <c r="J26" s="292"/>
      <c r="K26" s="292"/>
      <c r="L26" s="292"/>
      <c r="M26" s="292"/>
      <c r="N26" s="225"/>
    </row>
    <row r="27" spans="1:14" ht="26.4" customHeight="1" outlineLevel="1">
      <c r="A27" s="266">
        <f>SUBTOTAL(3,$F$7:F27)</f>
        <v>20</v>
      </c>
      <c r="B27" s="225" t="s">
        <v>2022</v>
      </c>
      <c r="C27" s="224" t="s">
        <v>2013</v>
      </c>
      <c r="D27" s="224"/>
      <c r="E27" s="305" t="s">
        <v>1996</v>
      </c>
      <c r="F27" s="224" t="s">
        <v>219</v>
      </c>
      <c r="G27" s="315">
        <v>102</v>
      </c>
      <c r="H27" s="315"/>
      <c r="I27" s="315"/>
      <c r="J27" s="292"/>
      <c r="K27" s="292"/>
      <c r="L27" s="292"/>
      <c r="M27" s="292"/>
      <c r="N27" s="225"/>
    </row>
    <row r="28" spans="1:14" ht="26.4" customHeight="1" outlineLevel="1">
      <c r="A28" s="266">
        <f>SUBTOTAL(3,$F$7:F28)</f>
        <v>21</v>
      </c>
      <c r="B28" s="322" t="s">
        <v>2023</v>
      </c>
      <c r="C28" s="224" t="s">
        <v>2013</v>
      </c>
      <c r="D28" s="224"/>
      <c r="E28" s="305" t="s">
        <v>1996</v>
      </c>
      <c r="F28" s="224" t="s">
        <v>219</v>
      </c>
      <c r="G28" s="315">
        <v>28</v>
      </c>
      <c r="H28" s="315"/>
      <c r="I28" s="315"/>
      <c r="J28" s="292"/>
      <c r="K28" s="292"/>
      <c r="L28" s="292"/>
      <c r="M28" s="292"/>
      <c r="N28" s="225"/>
    </row>
    <row r="29" spans="1:14" ht="26.4" customHeight="1" outlineLevel="1">
      <c r="A29" s="266">
        <f>SUBTOTAL(3,$F$7:F29)</f>
        <v>22</v>
      </c>
      <c r="B29" s="322" t="s">
        <v>2024</v>
      </c>
      <c r="C29" s="224" t="s">
        <v>2013</v>
      </c>
      <c r="D29" s="224"/>
      <c r="E29" s="305" t="s">
        <v>1996</v>
      </c>
      <c r="F29" s="224" t="s">
        <v>219</v>
      </c>
      <c r="G29" s="315">
        <v>30</v>
      </c>
      <c r="H29" s="315"/>
      <c r="I29" s="315"/>
      <c r="J29" s="292"/>
      <c r="K29" s="292"/>
      <c r="L29" s="292"/>
      <c r="M29" s="292"/>
      <c r="N29" s="225"/>
    </row>
    <row r="30" spans="1:14" ht="26.4" customHeight="1" outlineLevel="1">
      <c r="A30" s="266">
        <f>SUBTOTAL(3,$F$7:F30)</f>
        <v>23</v>
      </c>
      <c r="B30" s="225" t="s">
        <v>2025</v>
      </c>
      <c r="C30" s="224" t="s">
        <v>2013</v>
      </c>
      <c r="D30" s="224"/>
      <c r="E30" s="305" t="s">
        <v>1996</v>
      </c>
      <c r="F30" s="224" t="s">
        <v>219</v>
      </c>
      <c r="G30" s="315">
        <v>99</v>
      </c>
      <c r="H30" s="315"/>
      <c r="I30" s="315"/>
      <c r="J30" s="292"/>
      <c r="K30" s="292"/>
      <c r="L30" s="292"/>
      <c r="M30" s="292"/>
      <c r="N30" s="225"/>
    </row>
    <row r="31" spans="1:14" ht="26.4" customHeight="1" outlineLevel="1">
      <c r="A31" s="266">
        <f>SUBTOTAL(3,$F$7:F31)</f>
        <v>24</v>
      </c>
      <c r="B31" s="322" t="s">
        <v>2026</v>
      </c>
      <c r="C31" s="224" t="s">
        <v>2013</v>
      </c>
      <c r="D31" s="224"/>
      <c r="E31" s="305" t="s">
        <v>1996</v>
      </c>
      <c r="F31" s="224" t="s">
        <v>219</v>
      </c>
      <c r="G31" s="315">
        <v>28</v>
      </c>
      <c r="H31" s="315"/>
      <c r="I31" s="315"/>
      <c r="J31" s="292"/>
      <c r="K31" s="292"/>
      <c r="L31" s="292"/>
      <c r="M31" s="292"/>
      <c r="N31" s="225"/>
    </row>
    <row r="32" spans="1:14" ht="26.4" customHeight="1" outlineLevel="1">
      <c r="A32" s="266">
        <f>SUBTOTAL(3,$F$7:F32)</f>
        <v>25</v>
      </c>
      <c r="B32" s="322" t="s">
        <v>2027</v>
      </c>
      <c r="C32" s="224" t="s">
        <v>2013</v>
      </c>
      <c r="D32" s="224"/>
      <c r="E32" s="305" t="s">
        <v>1996</v>
      </c>
      <c r="F32" s="224" t="s">
        <v>219</v>
      </c>
      <c r="G32" s="315">
        <v>26</v>
      </c>
      <c r="H32" s="315"/>
      <c r="I32" s="315"/>
      <c r="J32" s="292"/>
      <c r="K32" s="292"/>
      <c r="L32" s="292"/>
      <c r="M32" s="292"/>
      <c r="N32" s="225"/>
    </row>
    <row r="33" spans="1:14" ht="26.4" customHeight="1" outlineLevel="1">
      <c r="A33" s="266">
        <f>SUBTOTAL(3,$F$7:F33)</f>
        <v>26</v>
      </c>
      <c r="B33" s="322" t="s">
        <v>2028</v>
      </c>
      <c r="C33" s="224" t="s">
        <v>2013</v>
      </c>
      <c r="D33" s="224"/>
      <c r="E33" s="305" t="s">
        <v>1996</v>
      </c>
      <c r="F33" s="224" t="s">
        <v>219</v>
      </c>
      <c r="G33" s="315">
        <v>0</v>
      </c>
      <c r="H33" s="315"/>
      <c r="I33" s="315"/>
      <c r="J33" s="292"/>
      <c r="K33" s="292"/>
      <c r="L33" s="292"/>
      <c r="M33" s="292"/>
      <c r="N33" s="225"/>
    </row>
    <row r="34" spans="1:14" ht="26.4" customHeight="1" outlineLevel="1">
      <c r="A34" s="266">
        <f>SUBTOTAL(3,$F$7:F34)</f>
        <v>27</v>
      </c>
      <c r="B34" s="322" t="s">
        <v>2029</v>
      </c>
      <c r="C34" s="224" t="s">
        <v>2013</v>
      </c>
      <c r="D34" s="224"/>
      <c r="E34" s="305" t="s">
        <v>1996</v>
      </c>
      <c r="F34" s="224" t="s">
        <v>219</v>
      </c>
      <c r="G34" s="315">
        <v>1</v>
      </c>
      <c r="H34" s="315"/>
      <c r="I34" s="315"/>
      <c r="J34" s="292"/>
      <c r="K34" s="292"/>
      <c r="L34" s="292"/>
      <c r="M34" s="292"/>
      <c r="N34" s="225"/>
    </row>
    <row r="35" spans="1:14" ht="26.4" customHeight="1" outlineLevel="1">
      <c r="A35" s="266">
        <f>SUBTOTAL(3,$F$7:F35)</f>
        <v>28</v>
      </c>
      <c r="B35" s="322" t="s">
        <v>2030</v>
      </c>
      <c r="C35" s="224" t="s">
        <v>2013</v>
      </c>
      <c r="D35" s="224"/>
      <c r="E35" s="305" t="s">
        <v>1996</v>
      </c>
      <c r="F35" s="224" t="s">
        <v>219</v>
      </c>
      <c r="G35" s="315">
        <v>1</v>
      </c>
      <c r="H35" s="315"/>
      <c r="I35" s="315"/>
      <c r="J35" s="292"/>
      <c r="K35" s="292"/>
      <c r="L35" s="292"/>
      <c r="M35" s="292"/>
      <c r="N35" s="225"/>
    </row>
    <row r="36" spans="1:14" ht="26.4" customHeight="1" outlineLevel="1">
      <c r="A36" s="266">
        <f>SUBTOTAL(3,$F$7:F36)</f>
        <v>29</v>
      </c>
      <c r="B36" s="322" t="s">
        <v>2031</v>
      </c>
      <c r="C36" s="224" t="s">
        <v>2013</v>
      </c>
      <c r="D36" s="224"/>
      <c r="E36" s="305" t="s">
        <v>1996</v>
      </c>
      <c r="F36" s="224" t="s">
        <v>219</v>
      </c>
      <c r="G36" s="315">
        <v>0</v>
      </c>
      <c r="H36" s="315"/>
      <c r="I36" s="315"/>
      <c r="J36" s="292"/>
      <c r="K36" s="292"/>
      <c r="L36" s="292"/>
      <c r="M36" s="292"/>
      <c r="N36" s="225"/>
    </row>
    <row r="37" spans="1:14" ht="26.4" customHeight="1" outlineLevel="1">
      <c r="A37" s="266">
        <f>SUBTOTAL(3,$F$7:F37)</f>
        <v>30</v>
      </c>
      <c r="B37" s="322" t="s">
        <v>2032</v>
      </c>
      <c r="C37" s="224" t="s">
        <v>2013</v>
      </c>
      <c r="D37" s="224"/>
      <c r="E37" s="305" t="s">
        <v>1996</v>
      </c>
      <c r="F37" s="224" t="s">
        <v>219</v>
      </c>
      <c r="G37" s="315">
        <v>51</v>
      </c>
      <c r="H37" s="315"/>
      <c r="I37" s="315"/>
      <c r="J37" s="292"/>
      <c r="K37" s="292"/>
      <c r="L37" s="292"/>
      <c r="M37" s="292"/>
      <c r="N37" s="225"/>
    </row>
    <row r="38" spans="1:14" ht="26.4" customHeight="1" outlineLevel="1">
      <c r="A38" s="266">
        <f>SUBTOTAL(3,$F$7:F38)</f>
        <v>31</v>
      </c>
      <c r="B38" s="322" t="s">
        <v>2033</v>
      </c>
      <c r="C38" s="224" t="s">
        <v>2013</v>
      </c>
      <c r="D38" s="224"/>
      <c r="E38" s="305" t="s">
        <v>1996</v>
      </c>
      <c r="F38" s="224" t="s">
        <v>219</v>
      </c>
      <c r="G38" s="315">
        <v>42</v>
      </c>
      <c r="H38" s="315"/>
      <c r="I38" s="315"/>
      <c r="J38" s="292"/>
      <c r="K38" s="292"/>
      <c r="L38" s="292"/>
      <c r="M38" s="292"/>
      <c r="N38" s="225"/>
    </row>
    <row r="39" spans="1:14" ht="26.4" customHeight="1" outlineLevel="1">
      <c r="A39" s="266">
        <f>SUBTOTAL(3,$F$7:F39)</f>
        <v>32</v>
      </c>
      <c r="B39" s="322" t="s">
        <v>2034</v>
      </c>
      <c r="C39" s="224" t="s">
        <v>2013</v>
      </c>
      <c r="D39" s="224"/>
      <c r="E39" s="305" t="s">
        <v>1996</v>
      </c>
      <c r="F39" s="224" t="s">
        <v>219</v>
      </c>
      <c r="G39" s="315">
        <v>10</v>
      </c>
      <c r="H39" s="315"/>
      <c r="I39" s="315"/>
      <c r="J39" s="292"/>
      <c r="K39" s="292"/>
      <c r="L39" s="292"/>
      <c r="M39" s="292"/>
      <c r="N39" s="225"/>
    </row>
    <row r="40" spans="1:14" ht="26.4" customHeight="1" outlineLevel="1">
      <c r="A40" s="266">
        <f>SUBTOTAL(3,$F$7:F40)</f>
        <v>33</v>
      </c>
      <c r="B40" s="322" t="s">
        <v>2035</v>
      </c>
      <c r="C40" s="224" t="s">
        <v>2013</v>
      </c>
      <c r="D40" s="224"/>
      <c r="E40" s="305" t="s">
        <v>1996</v>
      </c>
      <c r="F40" s="224" t="s">
        <v>219</v>
      </c>
      <c r="G40" s="315">
        <v>6</v>
      </c>
      <c r="H40" s="315"/>
      <c r="I40" s="315"/>
      <c r="J40" s="292"/>
      <c r="K40" s="292"/>
      <c r="L40" s="292"/>
      <c r="M40" s="292"/>
      <c r="N40" s="225"/>
    </row>
    <row r="41" spans="1:14" ht="26.4" customHeight="1" outlineLevel="1">
      <c r="A41" s="266">
        <f>SUBTOTAL(3,$F$7:F41)</f>
        <v>34</v>
      </c>
      <c r="B41" s="322" t="s">
        <v>2036</v>
      </c>
      <c r="C41" s="224" t="s">
        <v>2013</v>
      </c>
      <c r="D41" s="224"/>
      <c r="E41" s="305" t="s">
        <v>1996</v>
      </c>
      <c r="F41" s="224" t="s">
        <v>219</v>
      </c>
      <c r="G41" s="315">
        <v>6</v>
      </c>
      <c r="H41" s="315"/>
      <c r="I41" s="315"/>
      <c r="J41" s="292"/>
      <c r="K41" s="292"/>
      <c r="L41" s="292"/>
      <c r="M41" s="292"/>
      <c r="N41" s="225"/>
    </row>
    <row r="42" spans="1:14" ht="26.4" customHeight="1" outlineLevel="1">
      <c r="A42" s="266">
        <f>SUBTOTAL(3,$F$7:F42)</f>
        <v>35</v>
      </c>
      <c r="B42" s="225" t="s">
        <v>2037</v>
      </c>
      <c r="C42" s="224" t="s">
        <v>2013</v>
      </c>
      <c r="D42" s="224"/>
      <c r="E42" s="305" t="s">
        <v>1996</v>
      </c>
      <c r="F42" s="224" t="s">
        <v>219</v>
      </c>
      <c r="G42" s="315">
        <v>38</v>
      </c>
      <c r="H42" s="315"/>
      <c r="I42" s="315"/>
      <c r="J42" s="292"/>
      <c r="K42" s="292"/>
      <c r="L42" s="292"/>
      <c r="M42" s="292"/>
      <c r="N42" s="225"/>
    </row>
    <row r="43" spans="1:14" ht="21" customHeight="1" outlineLevel="1">
      <c r="A43" s="266">
        <f>SUBTOTAL(3,$F$7:F43)</f>
        <v>36</v>
      </c>
      <c r="B43" s="225" t="s">
        <v>2038</v>
      </c>
      <c r="C43" s="224"/>
      <c r="D43" s="224"/>
      <c r="E43" s="224" t="s">
        <v>1878</v>
      </c>
      <c r="F43" s="224" t="s">
        <v>570</v>
      </c>
      <c r="G43" s="315">
        <v>18031</v>
      </c>
      <c r="H43" s="315"/>
      <c r="I43" s="315"/>
      <c r="J43" s="292"/>
      <c r="K43" s="292"/>
      <c r="L43" s="292"/>
      <c r="M43" s="292"/>
      <c r="N43" s="225"/>
    </row>
    <row r="44" spans="1:14" ht="21" customHeight="1" outlineLevel="1">
      <c r="A44" s="266">
        <f>SUBTOTAL(3,$F$7:F44)</f>
        <v>37</v>
      </c>
      <c r="B44" s="225" t="s">
        <v>2039</v>
      </c>
      <c r="C44" s="224"/>
      <c r="D44" s="224"/>
      <c r="E44" s="224" t="s">
        <v>1878</v>
      </c>
      <c r="F44" s="224" t="s">
        <v>570</v>
      </c>
      <c r="G44" s="315">
        <v>2881.5</v>
      </c>
      <c r="H44" s="315"/>
      <c r="I44" s="315"/>
      <c r="J44" s="292"/>
      <c r="K44" s="292"/>
      <c r="L44" s="292"/>
      <c r="M44" s="292"/>
      <c r="N44" s="225"/>
    </row>
    <row r="45" spans="1:14" ht="21" customHeight="1" outlineLevel="1">
      <c r="A45" s="266">
        <f>SUBTOTAL(3,$F$7:F45)</f>
        <v>38</v>
      </c>
      <c r="B45" s="225" t="s">
        <v>2040</v>
      </c>
      <c r="C45" s="224"/>
      <c r="D45" s="224"/>
      <c r="E45" s="224" t="s">
        <v>1878</v>
      </c>
      <c r="F45" s="224" t="s">
        <v>570</v>
      </c>
      <c r="G45" s="315">
        <v>976.5</v>
      </c>
      <c r="H45" s="315"/>
      <c r="I45" s="315"/>
      <c r="J45" s="292"/>
      <c r="K45" s="292"/>
      <c r="L45" s="292"/>
      <c r="M45" s="292"/>
      <c r="N45" s="225"/>
    </row>
    <row r="46" spans="1:14" ht="21" customHeight="1" outlineLevel="1">
      <c r="A46" s="266">
        <f>SUBTOTAL(3,$F$7:F46)</f>
        <v>39</v>
      </c>
      <c r="B46" s="225" t="s">
        <v>2041</v>
      </c>
      <c r="C46" s="224" t="s">
        <v>1789</v>
      </c>
      <c r="D46" s="224"/>
      <c r="E46" s="224" t="s">
        <v>1790</v>
      </c>
      <c r="F46" s="224" t="s">
        <v>570</v>
      </c>
      <c r="G46" s="315">
        <v>13133</v>
      </c>
      <c r="H46" s="315"/>
      <c r="I46" s="315"/>
      <c r="J46" s="292"/>
      <c r="K46" s="292"/>
      <c r="L46" s="292"/>
      <c r="M46" s="292"/>
      <c r="N46" s="225"/>
    </row>
    <row r="47" spans="1:14" ht="21" customHeight="1" outlineLevel="1">
      <c r="A47" s="266">
        <f>SUBTOTAL(3,$F$7:F47)</f>
        <v>40</v>
      </c>
      <c r="B47" s="225" t="s">
        <v>1553</v>
      </c>
      <c r="C47" s="224" t="s">
        <v>1789</v>
      </c>
      <c r="D47" s="224"/>
      <c r="E47" s="224" t="s">
        <v>1790</v>
      </c>
      <c r="F47" s="224" t="s">
        <v>570</v>
      </c>
      <c r="G47" s="315">
        <v>2190</v>
      </c>
      <c r="H47" s="315"/>
      <c r="I47" s="315"/>
      <c r="J47" s="292"/>
      <c r="K47" s="292"/>
      <c r="L47" s="292"/>
      <c r="M47" s="292"/>
      <c r="N47" s="225"/>
    </row>
    <row r="48" spans="1:14" ht="21" customHeight="1" outlineLevel="1">
      <c r="A48" s="266">
        <f>SUBTOTAL(3,$F$7:F48)</f>
        <v>41</v>
      </c>
      <c r="B48" s="225" t="s">
        <v>1823</v>
      </c>
      <c r="C48" s="224"/>
      <c r="D48" s="224"/>
      <c r="E48" s="224"/>
      <c r="F48" s="224" t="s">
        <v>276</v>
      </c>
      <c r="G48" s="315">
        <v>4</v>
      </c>
      <c r="H48" s="315"/>
      <c r="I48" s="315"/>
      <c r="J48" s="292"/>
      <c r="K48" s="292"/>
      <c r="L48" s="292"/>
      <c r="M48" s="292"/>
      <c r="N48" s="225"/>
    </row>
    <row r="49" spans="1:14" ht="21" customHeight="1" outlineLevel="1">
      <c r="A49" s="266">
        <f>SUBTOTAL(3,$F$7:F49)</f>
        <v>42</v>
      </c>
      <c r="B49" s="225" t="s">
        <v>1761</v>
      </c>
      <c r="C49" s="224"/>
      <c r="D49" s="224"/>
      <c r="E49" s="224"/>
      <c r="F49" s="224" t="s">
        <v>276</v>
      </c>
      <c r="G49" s="315">
        <v>4</v>
      </c>
      <c r="H49" s="315"/>
      <c r="I49" s="315"/>
      <c r="J49" s="292"/>
      <c r="K49" s="292"/>
      <c r="L49" s="292"/>
      <c r="M49" s="292"/>
      <c r="N49" s="225"/>
    </row>
    <row r="50" spans="1:14" ht="21.6" customHeight="1">
      <c r="A50" s="289" t="s">
        <v>826</v>
      </c>
      <c r="B50" s="280" t="s">
        <v>1117</v>
      </c>
      <c r="C50" s="219"/>
      <c r="D50" s="219"/>
      <c r="E50" s="219"/>
      <c r="F50" s="290"/>
      <c r="G50" s="291"/>
      <c r="H50" s="291"/>
      <c r="I50" s="291"/>
      <c r="J50" s="292"/>
      <c r="K50" s="297"/>
      <c r="L50" s="297"/>
      <c r="M50" s="297"/>
      <c r="N50" s="225"/>
    </row>
    <row r="51" spans="1:14" ht="42.6" customHeight="1" outlineLevel="1">
      <c r="A51" s="266">
        <f>SUBTOTAL(3,$F$7:F51)</f>
        <v>43</v>
      </c>
      <c r="B51" s="294" t="s">
        <v>2042</v>
      </c>
      <c r="C51" s="224"/>
      <c r="D51" s="224"/>
      <c r="E51" s="224"/>
      <c r="F51" s="290" t="s">
        <v>276</v>
      </c>
      <c r="G51" s="315">
        <v>1</v>
      </c>
      <c r="H51" s="291"/>
      <c r="I51" s="291"/>
      <c r="J51" s="291"/>
      <c r="K51" s="292"/>
      <c r="L51" s="292"/>
      <c r="M51" s="292"/>
      <c r="N51" s="225"/>
    </row>
    <row r="52" spans="1:14" ht="27.6" customHeight="1" outlineLevel="1">
      <c r="A52" s="266">
        <f>SUBTOTAL(3,$F$7:F52)</f>
        <v>44</v>
      </c>
      <c r="B52" s="294" t="s">
        <v>2043</v>
      </c>
      <c r="C52" s="224"/>
      <c r="D52" s="224"/>
      <c r="E52" s="224"/>
      <c r="F52" s="290" t="s">
        <v>276</v>
      </c>
      <c r="G52" s="315">
        <v>4</v>
      </c>
      <c r="H52" s="291"/>
      <c r="I52" s="291"/>
      <c r="J52" s="291"/>
      <c r="K52" s="292"/>
      <c r="L52" s="292"/>
      <c r="M52" s="292"/>
      <c r="N52" s="225"/>
    </row>
    <row r="53" spans="1:14" ht="22.8" customHeight="1" outlineLevel="1">
      <c r="A53" s="266">
        <f>SUBTOTAL(3,$F$7:F53)</f>
        <v>45</v>
      </c>
      <c r="B53" s="225" t="s">
        <v>2044</v>
      </c>
      <c r="C53" s="224"/>
      <c r="D53" s="224"/>
      <c r="E53" s="224"/>
      <c r="F53" s="290" t="s">
        <v>276</v>
      </c>
      <c r="G53" s="315">
        <v>1</v>
      </c>
      <c r="H53" s="291"/>
      <c r="I53" s="291"/>
      <c r="J53" s="291"/>
      <c r="K53" s="292"/>
      <c r="L53" s="292"/>
      <c r="M53" s="292"/>
      <c r="N53" s="225"/>
    </row>
    <row r="54" spans="1:14" ht="27.6" customHeight="1" outlineLevel="1">
      <c r="A54" s="266">
        <f>SUBTOTAL(3,$F$7:F54)</f>
        <v>46</v>
      </c>
      <c r="B54" s="225" t="s">
        <v>2045</v>
      </c>
      <c r="C54" s="224"/>
      <c r="D54" s="224"/>
      <c r="E54" s="224"/>
      <c r="F54" s="290" t="s">
        <v>276</v>
      </c>
      <c r="G54" s="315">
        <v>1</v>
      </c>
      <c r="H54" s="291"/>
      <c r="I54" s="291"/>
      <c r="J54" s="291"/>
      <c r="K54" s="292"/>
      <c r="L54" s="292"/>
      <c r="M54" s="292"/>
      <c r="N54" s="225"/>
    </row>
    <row r="55" spans="1:14" ht="27.6" customHeight="1">
      <c r="A55" s="289" t="s">
        <v>950</v>
      </c>
      <c r="B55" s="280" t="s">
        <v>803</v>
      </c>
      <c r="C55" s="219"/>
      <c r="D55" s="219"/>
      <c r="E55" s="219"/>
      <c r="F55" s="290"/>
      <c r="G55" s="291"/>
      <c r="H55" s="291"/>
      <c r="I55" s="291"/>
      <c r="J55" s="292"/>
      <c r="K55" s="292"/>
      <c r="L55" s="292"/>
      <c r="M55" s="292"/>
      <c r="N55" s="225"/>
    </row>
    <row r="56" spans="1:14" ht="82.8" customHeight="1">
      <c r="A56" s="266"/>
      <c r="B56" s="301" t="s">
        <v>804</v>
      </c>
      <c r="C56" s="286"/>
      <c r="D56" s="286"/>
      <c r="E56" s="286"/>
      <c r="F56" s="290" t="s">
        <v>45</v>
      </c>
      <c r="G56" s="315">
        <v>0</v>
      </c>
      <c r="H56" s="291"/>
      <c r="I56" s="291"/>
      <c r="J56" s="292"/>
      <c r="K56" s="292"/>
      <c r="L56" s="292"/>
      <c r="M56" s="292"/>
      <c r="N56" s="225"/>
    </row>
    <row r="57" spans="1:14" s="231" customFormat="1" ht="30" customHeight="1">
      <c r="A57" s="224" t="str">
        <f>IF(AND(F57&lt;&gt;"",F57&lt;&gt;"note"),MAX(#REF!)+1,"")</f>
        <v/>
      </c>
      <c r="B57" s="280" t="s">
        <v>805</v>
      </c>
      <c r="C57" s="219"/>
      <c r="D57" s="219"/>
      <c r="E57" s="219"/>
      <c r="F57" s="224"/>
      <c r="G57" s="282"/>
      <c r="H57" s="282"/>
      <c r="I57" s="282"/>
      <c r="J57" s="282"/>
      <c r="K57" s="283">
        <f>SUBTOTAL(9,K5:K56)</f>
        <v>0</v>
      </c>
      <c r="L57" s="283">
        <f>SUBTOTAL(9,L5:L56)</f>
        <v>0</v>
      </c>
      <c r="M57" s="283">
        <f>SUBTOTAL(9,M5:M56)</f>
        <v>0</v>
      </c>
      <c r="N57" s="284"/>
    </row>
  </sheetData>
  <autoFilter ref="A4:N56" xr:uid="{00000000-0009-0000-0000-000006000000}"/>
  <mergeCells count="10">
    <mergeCell ref="N3:N4"/>
    <mergeCell ref="F3:F4"/>
    <mergeCell ref="D3:D4"/>
    <mergeCell ref="K3:M3"/>
    <mergeCell ref="H3:J3"/>
    <mergeCell ref="C3:C4"/>
    <mergeCell ref="A3:A4"/>
    <mergeCell ref="B3:B4"/>
    <mergeCell ref="G3:G4"/>
    <mergeCell ref="E3:E4"/>
  </mergeCells>
  <pageMargins left="0.5" right="0.5" top="0.75" bottom="0.75" header="0.3" footer="0.3"/>
  <pageSetup paperSize="9" scale="34"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outlinePr summaryBelow="0"/>
    <pageSetUpPr fitToPage="1"/>
  </sheetPr>
  <dimension ref="A1:N142"/>
  <sheetViews>
    <sheetView zoomScale="70" zoomScaleNormal="70" zoomScaleSheetLayoutView="70" workbookViewId="0">
      <pane xSplit="6" ySplit="4" topLeftCell="G134" activePane="bottomRight" state="frozenSplit"/>
      <selection activeCell="D41" sqref="D41"/>
      <selection pane="topRight" activeCell="D41" sqref="D41"/>
      <selection pane="bottomLeft" activeCell="D41" sqref="D41"/>
      <selection pane="bottomRight" activeCell="H3" sqref="H3:M4"/>
    </sheetView>
  </sheetViews>
  <sheetFormatPr defaultColWidth="8.88671875" defaultRowHeight="15.6" outlineLevelRow="1"/>
  <cols>
    <col min="1" max="1" width="5.88671875" style="169" customWidth="1"/>
    <col min="2" max="2" width="52.109375" style="169" customWidth="1"/>
    <col min="3" max="3" width="23.5546875" style="204" customWidth="1"/>
    <col min="4" max="4" width="23.5546875" style="169" customWidth="1"/>
    <col min="5" max="5" width="27" style="166" customWidth="1"/>
    <col min="6" max="6" width="9.44140625" style="166" customWidth="1"/>
    <col min="7" max="7" width="14.88671875" style="167" customWidth="1"/>
    <col min="8" max="9" width="17.88671875" style="167" customWidth="1"/>
    <col min="10" max="10" width="20.21875" style="168" customWidth="1"/>
    <col min="11" max="13" width="21.5546875" style="168" customWidth="1"/>
    <col min="14" max="14" width="20.6640625" style="169" customWidth="1"/>
    <col min="15" max="15" width="8.88671875" style="169" customWidth="1"/>
    <col min="16" max="16384" width="8.88671875" style="169"/>
  </cols>
  <sheetData>
    <row r="1" spans="1:14">
      <c r="A1" s="170" t="s">
        <v>2046</v>
      </c>
      <c r="B1" s="171"/>
      <c r="C1" s="201"/>
      <c r="D1" s="171"/>
      <c r="E1" s="177"/>
      <c r="F1" s="177"/>
      <c r="J1" s="167"/>
      <c r="K1" s="167"/>
      <c r="L1" s="167"/>
      <c r="M1" s="167"/>
      <c r="N1" s="171"/>
    </row>
    <row r="2" spans="1:14" s="179" customFormat="1">
      <c r="A2" s="178"/>
      <c r="C2" s="202"/>
      <c r="E2" s="180"/>
      <c r="F2" s="180"/>
      <c r="G2" s="167"/>
      <c r="H2" s="167"/>
      <c r="I2" s="167"/>
      <c r="J2" s="168"/>
      <c r="K2" s="168"/>
      <c r="L2" s="168"/>
      <c r="M2" s="168"/>
    </row>
    <row r="3" spans="1:14" ht="31.05" customHeight="1">
      <c r="A3" s="376" t="s">
        <v>5</v>
      </c>
      <c r="B3" s="376" t="s">
        <v>203</v>
      </c>
      <c r="C3" s="375" t="s">
        <v>806</v>
      </c>
      <c r="D3" s="375" t="s">
        <v>807</v>
      </c>
      <c r="E3" s="375" t="s">
        <v>808</v>
      </c>
      <c r="F3" s="376" t="s">
        <v>207</v>
      </c>
      <c r="G3" s="373" t="s">
        <v>208</v>
      </c>
      <c r="H3" s="374" t="s">
        <v>209</v>
      </c>
      <c r="I3" s="350"/>
      <c r="J3" s="351"/>
      <c r="K3" s="373" t="s">
        <v>210</v>
      </c>
      <c r="L3" s="350"/>
      <c r="M3" s="351"/>
      <c r="N3" s="376" t="s">
        <v>8</v>
      </c>
    </row>
    <row r="4" spans="1:14" ht="27.6" customHeight="1">
      <c r="A4" s="355"/>
      <c r="B4" s="355"/>
      <c r="C4" s="355"/>
      <c r="D4" s="355"/>
      <c r="E4" s="355"/>
      <c r="F4" s="355"/>
      <c r="G4" s="355"/>
      <c r="H4" s="182" t="s">
        <v>211</v>
      </c>
      <c r="I4" s="182" t="s">
        <v>212</v>
      </c>
      <c r="J4" s="182" t="s">
        <v>13</v>
      </c>
      <c r="K4" s="182" t="s">
        <v>211</v>
      </c>
      <c r="L4" s="182" t="s">
        <v>212</v>
      </c>
      <c r="M4" s="182" t="s">
        <v>13</v>
      </c>
      <c r="N4" s="355"/>
    </row>
    <row r="5" spans="1:14" s="170" customFormat="1" ht="21" customHeight="1">
      <c r="A5" s="185" t="s">
        <v>61</v>
      </c>
      <c r="B5" s="173" t="s">
        <v>2047</v>
      </c>
      <c r="C5" s="181"/>
      <c r="D5" s="173"/>
      <c r="E5" s="181"/>
      <c r="F5" s="186"/>
      <c r="G5" s="187"/>
      <c r="H5" s="187"/>
      <c r="I5" s="187"/>
      <c r="J5" s="187"/>
      <c r="K5" s="187"/>
      <c r="L5" s="187"/>
      <c r="M5" s="187"/>
      <c r="N5" s="188"/>
    </row>
    <row r="6" spans="1:14" s="171" customFormat="1" ht="37.799999999999997" customHeight="1" outlineLevel="1">
      <c r="A6" s="189">
        <f>SUBTOTAL(3,$F$6:F6)</f>
        <v>1</v>
      </c>
      <c r="B6" s="190" t="s">
        <v>2048</v>
      </c>
      <c r="C6" s="172" t="s">
        <v>2049</v>
      </c>
      <c r="D6" s="190"/>
      <c r="E6" s="172" t="s">
        <v>2050</v>
      </c>
      <c r="F6" s="191" t="s">
        <v>396</v>
      </c>
      <c r="G6" s="192">
        <v>1</v>
      </c>
      <c r="H6" s="192"/>
      <c r="I6" s="192"/>
      <c r="J6" s="193"/>
      <c r="K6" s="193"/>
      <c r="L6" s="193"/>
      <c r="M6" s="193"/>
      <c r="N6" s="194"/>
    </row>
    <row r="7" spans="1:14" s="171" customFormat="1" ht="37.799999999999997" customHeight="1" outlineLevel="1">
      <c r="A7" s="189">
        <f>SUBTOTAL(3,$F$6:F7)</f>
        <v>2</v>
      </c>
      <c r="B7" s="190" t="s">
        <v>2051</v>
      </c>
      <c r="C7" s="172" t="s">
        <v>2049</v>
      </c>
      <c r="D7" s="190"/>
      <c r="E7" s="172" t="s">
        <v>2050</v>
      </c>
      <c r="F7" s="191" t="s">
        <v>396</v>
      </c>
      <c r="G7" s="192">
        <v>1</v>
      </c>
      <c r="H7" s="192"/>
      <c r="I7" s="192"/>
      <c r="J7" s="193"/>
      <c r="K7" s="193"/>
      <c r="L7" s="193"/>
      <c r="M7" s="193"/>
      <c r="N7" s="194"/>
    </row>
    <row r="8" spans="1:14" s="171" customFormat="1" ht="37.799999999999997" customHeight="1" outlineLevel="1">
      <c r="A8" s="189">
        <f>SUBTOTAL(3,$F$6:F8)</f>
        <v>3</v>
      </c>
      <c r="B8" s="190" t="s">
        <v>2052</v>
      </c>
      <c r="C8" s="172" t="s">
        <v>2049</v>
      </c>
      <c r="D8" s="190"/>
      <c r="E8" s="172" t="s">
        <v>2050</v>
      </c>
      <c r="F8" s="191" t="s">
        <v>396</v>
      </c>
      <c r="G8" s="192">
        <v>1</v>
      </c>
      <c r="H8" s="192"/>
      <c r="I8" s="192"/>
      <c r="J8" s="193"/>
      <c r="K8" s="193"/>
      <c r="L8" s="193"/>
      <c r="M8" s="193"/>
      <c r="N8" s="194"/>
    </row>
    <row r="9" spans="1:14" s="171" customFormat="1" ht="37.799999999999997" customHeight="1" outlineLevel="1">
      <c r="A9" s="189">
        <f>SUBTOTAL(3,$F$6:F9)</f>
        <v>4</v>
      </c>
      <c r="B9" s="190" t="s">
        <v>2053</v>
      </c>
      <c r="C9" s="172" t="s">
        <v>2049</v>
      </c>
      <c r="D9" s="190"/>
      <c r="E9" s="172" t="s">
        <v>2050</v>
      </c>
      <c r="F9" s="191" t="s">
        <v>396</v>
      </c>
      <c r="G9" s="192">
        <v>1</v>
      </c>
      <c r="H9" s="192"/>
      <c r="I9" s="192"/>
      <c r="J9" s="193"/>
      <c r="K9" s="193"/>
      <c r="L9" s="193"/>
      <c r="M9" s="193"/>
      <c r="N9" s="194"/>
    </row>
    <row r="10" spans="1:14" s="171" customFormat="1" ht="37.799999999999997" customHeight="1" outlineLevel="1">
      <c r="A10" s="189">
        <f>SUBTOTAL(3,$F$6:F10)</f>
        <v>5</v>
      </c>
      <c r="B10" s="190" t="s">
        <v>2054</v>
      </c>
      <c r="C10" s="172" t="s">
        <v>2049</v>
      </c>
      <c r="D10" s="190"/>
      <c r="E10" s="172" t="s">
        <v>2050</v>
      </c>
      <c r="F10" s="191" t="s">
        <v>396</v>
      </c>
      <c r="G10" s="192">
        <v>1</v>
      </c>
      <c r="H10" s="192"/>
      <c r="I10" s="192"/>
      <c r="J10" s="193"/>
      <c r="K10" s="193"/>
      <c r="L10" s="193"/>
      <c r="M10" s="193"/>
      <c r="N10" s="194"/>
    </row>
    <row r="11" spans="1:14" s="171" customFormat="1" ht="37.799999999999997" customHeight="1" outlineLevel="1">
      <c r="A11" s="189">
        <f>SUBTOTAL(3,$F$6:F11)</f>
        <v>6</v>
      </c>
      <c r="B11" s="190" t="s">
        <v>2055</v>
      </c>
      <c r="C11" s="172" t="s">
        <v>2049</v>
      </c>
      <c r="D11" s="190"/>
      <c r="E11" s="172" t="s">
        <v>2050</v>
      </c>
      <c r="F11" s="191" t="s">
        <v>396</v>
      </c>
      <c r="G11" s="192">
        <v>1</v>
      </c>
      <c r="H11" s="192"/>
      <c r="I11" s="192"/>
      <c r="J11" s="193"/>
      <c r="K11" s="193"/>
      <c r="L11" s="193"/>
      <c r="M11" s="193"/>
      <c r="N11" s="194"/>
    </row>
    <row r="12" spans="1:14" s="171" customFormat="1" ht="37.799999999999997" customHeight="1" outlineLevel="1">
      <c r="A12" s="189">
        <f>SUBTOTAL(3,$F$6:F12)</f>
        <v>7</v>
      </c>
      <c r="B12" s="190" t="s">
        <v>910</v>
      </c>
      <c r="C12" s="172"/>
      <c r="D12" s="190"/>
      <c r="E12" s="172"/>
      <c r="F12" s="191" t="s">
        <v>825</v>
      </c>
      <c r="G12" s="192">
        <v>1</v>
      </c>
      <c r="H12" s="192"/>
      <c r="I12" s="192"/>
      <c r="J12" s="193"/>
      <c r="K12" s="193"/>
      <c r="L12" s="193"/>
      <c r="M12" s="193"/>
      <c r="N12" s="194"/>
    </row>
    <row r="13" spans="1:14">
      <c r="A13" s="185" t="s">
        <v>64</v>
      </c>
      <c r="B13" s="173" t="s">
        <v>2056</v>
      </c>
      <c r="C13" s="181"/>
      <c r="D13" s="173"/>
      <c r="E13" s="181"/>
      <c r="F13" s="191"/>
      <c r="G13" s="192"/>
      <c r="H13" s="192"/>
      <c r="I13" s="192"/>
      <c r="J13" s="193"/>
      <c r="K13" s="187"/>
      <c r="L13" s="187"/>
      <c r="M13" s="187"/>
      <c r="N13" s="194"/>
    </row>
    <row r="14" spans="1:14" outlineLevel="1">
      <c r="A14" s="189"/>
      <c r="B14" s="195"/>
      <c r="C14" s="203"/>
      <c r="D14" s="195"/>
      <c r="E14" s="203"/>
      <c r="F14" s="191"/>
      <c r="G14" s="192"/>
      <c r="H14" s="192"/>
      <c r="I14" s="192"/>
      <c r="J14" s="193"/>
      <c r="K14" s="193"/>
      <c r="L14" s="193"/>
      <c r="M14" s="193"/>
      <c r="N14" s="194"/>
    </row>
    <row r="15" spans="1:14" ht="30.6" customHeight="1" outlineLevel="1">
      <c r="A15" s="189"/>
      <c r="B15" s="195" t="s">
        <v>2057</v>
      </c>
      <c r="C15" s="203"/>
      <c r="D15" s="195"/>
      <c r="E15" s="203"/>
      <c r="F15" s="191"/>
      <c r="G15" s="192"/>
      <c r="H15" s="192"/>
      <c r="I15" s="192"/>
      <c r="J15" s="193"/>
      <c r="K15" s="193"/>
      <c r="L15" s="193"/>
      <c r="M15" s="193"/>
      <c r="N15" s="194"/>
    </row>
    <row r="16" spans="1:14" ht="30.6" customHeight="1" outlineLevel="1">
      <c r="A16" s="189">
        <f>SUBTOTAL(3,$F$6:F16)</f>
        <v>8</v>
      </c>
      <c r="B16" s="183" t="s">
        <v>2058</v>
      </c>
      <c r="C16" s="184"/>
      <c r="D16" s="183"/>
      <c r="E16" s="172" t="s">
        <v>851</v>
      </c>
      <c r="F16" s="191" t="s">
        <v>287</v>
      </c>
      <c r="G16" s="192">
        <v>7</v>
      </c>
      <c r="H16" s="192"/>
      <c r="I16" s="192"/>
      <c r="J16" s="193"/>
      <c r="K16" s="193"/>
      <c r="L16" s="193"/>
      <c r="M16" s="193"/>
      <c r="N16" s="194"/>
    </row>
    <row r="17" spans="1:14" ht="30.6" customHeight="1" outlineLevel="1">
      <c r="A17" s="189">
        <f>SUBTOTAL(3,$F$6:F17)</f>
        <v>9</v>
      </c>
      <c r="B17" s="183" t="s">
        <v>2059</v>
      </c>
      <c r="C17" s="184"/>
      <c r="D17" s="183"/>
      <c r="E17" s="172" t="s">
        <v>851</v>
      </c>
      <c r="F17" s="191" t="s">
        <v>287</v>
      </c>
      <c r="G17" s="192">
        <v>3</v>
      </c>
      <c r="H17" s="192"/>
      <c r="I17" s="192"/>
      <c r="J17" s="193"/>
      <c r="K17" s="193"/>
      <c r="L17" s="193"/>
      <c r="M17" s="193"/>
      <c r="N17" s="194"/>
    </row>
    <row r="18" spans="1:14" ht="30.6" customHeight="1" outlineLevel="1">
      <c r="A18" s="189">
        <f>SUBTOTAL(3,$F$6:F18)</f>
        <v>10</v>
      </c>
      <c r="B18" s="183" t="s">
        <v>2060</v>
      </c>
      <c r="C18" s="184"/>
      <c r="D18" s="183"/>
      <c r="E18" s="172" t="s">
        <v>851</v>
      </c>
      <c r="F18" s="191" t="s">
        <v>287</v>
      </c>
      <c r="G18" s="192">
        <v>9</v>
      </c>
      <c r="H18" s="192"/>
      <c r="I18" s="192"/>
      <c r="J18" s="193"/>
      <c r="K18" s="193"/>
      <c r="L18" s="193"/>
      <c r="M18" s="193"/>
      <c r="N18" s="194"/>
    </row>
    <row r="19" spans="1:14" ht="30.6" customHeight="1" outlineLevel="1">
      <c r="A19" s="189">
        <f>SUBTOTAL(3,$F$6:F19)</f>
        <v>11</v>
      </c>
      <c r="B19" s="183" t="s">
        <v>2061</v>
      </c>
      <c r="C19" s="184"/>
      <c r="D19" s="183"/>
      <c r="E19" s="172" t="s">
        <v>851</v>
      </c>
      <c r="F19" s="191" t="s">
        <v>287</v>
      </c>
      <c r="G19" s="192">
        <v>1</v>
      </c>
      <c r="H19" s="192"/>
      <c r="I19" s="192"/>
      <c r="J19" s="193"/>
      <c r="K19" s="193"/>
      <c r="L19" s="193"/>
      <c r="M19" s="193"/>
      <c r="N19" s="194"/>
    </row>
    <row r="20" spans="1:14" ht="30.6" customHeight="1" outlineLevel="1">
      <c r="A20" s="189">
        <f>SUBTOTAL(3,$F$6:F20)</f>
        <v>12</v>
      </c>
      <c r="B20" s="183" t="s">
        <v>2062</v>
      </c>
      <c r="C20" s="184"/>
      <c r="D20" s="183"/>
      <c r="E20" s="172" t="s">
        <v>851</v>
      </c>
      <c r="F20" s="191" t="s">
        <v>287</v>
      </c>
      <c r="G20" s="192">
        <v>1</v>
      </c>
      <c r="H20" s="192"/>
      <c r="I20" s="192"/>
      <c r="J20" s="193"/>
      <c r="K20" s="193"/>
      <c r="L20" s="193"/>
      <c r="M20" s="193"/>
      <c r="N20" s="194"/>
    </row>
    <row r="21" spans="1:14" outlineLevel="1">
      <c r="A21" s="189"/>
      <c r="B21" s="195" t="s">
        <v>2063</v>
      </c>
      <c r="C21" s="203"/>
      <c r="D21" s="195"/>
      <c r="E21" s="203"/>
      <c r="F21" s="191"/>
      <c r="G21" s="192"/>
      <c r="H21" s="192"/>
      <c r="I21" s="192"/>
      <c r="J21" s="193"/>
      <c r="K21" s="193"/>
      <c r="L21" s="193"/>
      <c r="M21" s="193"/>
      <c r="N21" s="194"/>
    </row>
    <row r="22" spans="1:14" outlineLevel="1">
      <c r="A22" s="189">
        <f>SUBTOTAL(3,$F$6:F22)</f>
        <v>13</v>
      </c>
      <c r="B22" s="183" t="s">
        <v>2064</v>
      </c>
      <c r="C22" s="184"/>
      <c r="D22" s="183"/>
      <c r="E22" s="172" t="s">
        <v>851</v>
      </c>
      <c r="F22" s="191" t="s">
        <v>287</v>
      </c>
      <c r="G22" s="192">
        <v>2</v>
      </c>
      <c r="H22" s="192"/>
      <c r="I22" s="192"/>
      <c r="J22" s="193"/>
      <c r="K22" s="193"/>
      <c r="L22" s="193"/>
      <c r="M22" s="193"/>
      <c r="N22" s="194"/>
    </row>
    <row r="23" spans="1:14" ht="22.8" customHeight="1" outlineLevel="1">
      <c r="A23" s="189"/>
      <c r="B23" s="195" t="s">
        <v>2065</v>
      </c>
      <c r="C23" s="203"/>
      <c r="D23" s="195"/>
      <c r="E23" s="203"/>
      <c r="F23" s="191"/>
      <c r="G23" s="192"/>
      <c r="H23" s="192"/>
      <c r="I23" s="192"/>
      <c r="J23" s="193"/>
      <c r="K23" s="193"/>
      <c r="L23" s="193"/>
      <c r="M23" s="193"/>
      <c r="N23" s="194"/>
    </row>
    <row r="24" spans="1:14" s="171" customFormat="1" ht="22.8" customHeight="1" outlineLevel="1">
      <c r="A24" s="189">
        <f>SUBTOTAL(3,$F$6:F24)</f>
        <v>14</v>
      </c>
      <c r="B24" s="190" t="s">
        <v>2066</v>
      </c>
      <c r="C24" s="172" t="s">
        <v>2067</v>
      </c>
      <c r="D24" s="190"/>
      <c r="E24" s="172" t="s">
        <v>2068</v>
      </c>
      <c r="F24" s="191" t="s">
        <v>844</v>
      </c>
      <c r="G24" s="192">
        <v>3</v>
      </c>
      <c r="H24" s="192"/>
      <c r="I24" s="192"/>
      <c r="J24" s="193"/>
      <c r="K24" s="193"/>
      <c r="L24" s="193"/>
      <c r="M24" s="193"/>
      <c r="N24" s="194"/>
    </row>
    <row r="25" spans="1:14" s="171" customFormat="1" ht="22.8" customHeight="1" outlineLevel="1">
      <c r="A25" s="189">
        <f>SUBTOTAL(3,$F$6:F25)</f>
        <v>15</v>
      </c>
      <c r="B25" s="190" t="s">
        <v>2069</v>
      </c>
      <c r="C25" s="172" t="s">
        <v>2067</v>
      </c>
      <c r="D25" s="190"/>
      <c r="E25" s="172" t="s">
        <v>2068</v>
      </c>
      <c r="F25" s="191" t="s">
        <v>844</v>
      </c>
      <c r="G25" s="192">
        <v>3</v>
      </c>
      <c r="H25" s="192"/>
      <c r="I25" s="192"/>
      <c r="J25" s="193"/>
      <c r="K25" s="193"/>
      <c r="L25" s="193"/>
      <c r="M25" s="193"/>
      <c r="N25" s="194"/>
    </row>
    <row r="26" spans="1:14" ht="21" customHeight="1" outlineLevel="1">
      <c r="A26" s="189"/>
      <c r="B26" s="195" t="s">
        <v>849</v>
      </c>
      <c r="C26" s="203"/>
      <c r="D26" s="195"/>
      <c r="E26" s="203"/>
      <c r="F26" s="191"/>
      <c r="G26" s="192"/>
      <c r="H26" s="192"/>
      <c r="I26" s="192"/>
      <c r="J26" s="193"/>
      <c r="K26" s="193"/>
      <c r="L26" s="193"/>
      <c r="M26" s="193"/>
      <c r="N26" s="194"/>
    </row>
    <row r="27" spans="1:14" ht="21" customHeight="1" outlineLevel="1">
      <c r="A27" s="189">
        <f>SUBTOTAL(3,$F$6:F27)</f>
        <v>16</v>
      </c>
      <c r="B27" s="183" t="s">
        <v>2070</v>
      </c>
      <c r="C27" s="184"/>
      <c r="D27" s="183"/>
      <c r="E27" s="172" t="s">
        <v>851</v>
      </c>
      <c r="F27" s="191" t="s">
        <v>287</v>
      </c>
      <c r="G27" s="192">
        <v>1</v>
      </c>
      <c r="H27" s="192"/>
      <c r="I27" s="192"/>
      <c r="J27" s="193"/>
      <c r="K27" s="193"/>
      <c r="L27" s="193"/>
      <c r="M27" s="193"/>
      <c r="N27" s="194"/>
    </row>
    <row r="28" spans="1:14" ht="21" customHeight="1" outlineLevel="1">
      <c r="A28" s="189">
        <f>SUBTOTAL(3,$F$6:F28)</f>
        <v>17</v>
      </c>
      <c r="B28" s="183" t="s">
        <v>2071</v>
      </c>
      <c r="C28" s="184"/>
      <c r="D28" s="183"/>
      <c r="E28" s="172" t="s">
        <v>851</v>
      </c>
      <c r="F28" s="191" t="s">
        <v>287</v>
      </c>
      <c r="G28" s="192">
        <v>4</v>
      </c>
      <c r="H28" s="192"/>
      <c r="I28" s="192"/>
      <c r="J28" s="193"/>
      <c r="K28" s="193"/>
      <c r="L28" s="193"/>
      <c r="M28" s="193"/>
      <c r="N28" s="194"/>
    </row>
    <row r="29" spans="1:14" ht="21" customHeight="1" outlineLevel="1">
      <c r="A29" s="189">
        <f>SUBTOTAL(3,$F$6:F29)</f>
        <v>18</v>
      </c>
      <c r="B29" s="183" t="s">
        <v>2072</v>
      </c>
      <c r="C29" s="184"/>
      <c r="D29" s="183"/>
      <c r="E29" s="172" t="s">
        <v>851</v>
      </c>
      <c r="F29" s="191" t="s">
        <v>287</v>
      </c>
      <c r="G29" s="192">
        <v>4</v>
      </c>
      <c r="H29" s="192"/>
      <c r="I29" s="192"/>
      <c r="J29" s="193"/>
      <c r="K29" s="193"/>
      <c r="L29" s="193"/>
      <c r="M29" s="193"/>
      <c r="N29" s="194"/>
    </row>
    <row r="30" spans="1:14" ht="21" customHeight="1" outlineLevel="1">
      <c r="A30" s="189"/>
      <c r="B30" s="195" t="s">
        <v>861</v>
      </c>
      <c r="C30" s="203"/>
      <c r="D30" s="195"/>
      <c r="E30" s="203"/>
      <c r="F30" s="191"/>
      <c r="G30" s="192"/>
      <c r="H30" s="192"/>
      <c r="I30" s="192"/>
      <c r="J30" s="193"/>
      <c r="K30" s="193"/>
      <c r="L30" s="193"/>
      <c r="M30" s="193"/>
      <c r="N30" s="194"/>
    </row>
    <row r="31" spans="1:14" ht="21" customHeight="1" outlineLevel="1">
      <c r="A31" s="189">
        <f>SUBTOTAL(3,$F$6:F31)</f>
        <v>19</v>
      </c>
      <c r="B31" s="183" t="s">
        <v>2073</v>
      </c>
      <c r="C31" s="184"/>
      <c r="D31" s="183"/>
      <c r="E31" s="172" t="s">
        <v>851</v>
      </c>
      <c r="F31" s="191" t="s">
        <v>287</v>
      </c>
      <c r="G31" s="192">
        <v>3</v>
      </c>
      <c r="H31" s="192"/>
      <c r="I31" s="192"/>
      <c r="J31" s="193"/>
      <c r="K31" s="193"/>
      <c r="L31" s="193"/>
      <c r="M31" s="193"/>
      <c r="N31" s="194"/>
    </row>
    <row r="32" spans="1:14" ht="21" customHeight="1" outlineLevel="1">
      <c r="A32" s="189">
        <f>SUBTOTAL(3,$F$6:F32)</f>
        <v>20</v>
      </c>
      <c r="B32" s="183" t="s">
        <v>2074</v>
      </c>
      <c r="C32" s="184"/>
      <c r="D32" s="183"/>
      <c r="E32" s="172" t="s">
        <v>851</v>
      </c>
      <c r="F32" s="191" t="s">
        <v>287</v>
      </c>
      <c r="G32" s="192">
        <v>6</v>
      </c>
      <c r="H32" s="192"/>
      <c r="I32" s="192"/>
      <c r="J32" s="193"/>
      <c r="K32" s="193"/>
      <c r="L32" s="193"/>
      <c r="M32" s="193"/>
      <c r="N32" s="194"/>
    </row>
    <row r="33" spans="1:14" ht="21" customHeight="1" outlineLevel="1">
      <c r="A33" s="189">
        <f>SUBTOTAL(3,$F$6:F33)</f>
        <v>21</v>
      </c>
      <c r="B33" s="183" t="s">
        <v>2075</v>
      </c>
      <c r="C33" s="184"/>
      <c r="D33" s="183"/>
      <c r="E33" s="172" t="s">
        <v>851</v>
      </c>
      <c r="F33" s="191" t="s">
        <v>287</v>
      </c>
      <c r="G33" s="192">
        <v>6</v>
      </c>
      <c r="H33" s="192"/>
      <c r="I33" s="192"/>
      <c r="J33" s="193"/>
      <c r="K33" s="193"/>
      <c r="L33" s="193"/>
      <c r="M33" s="193"/>
      <c r="N33" s="194"/>
    </row>
    <row r="34" spans="1:14" ht="24.6" customHeight="1" outlineLevel="1">
      <c r="A34" s="189"/>
      <c r="B34" s="195" t="s">
        <v>874</v>
      </c>
      <c r="C34" s="203"/>
      <c r="D34" s="195"/>
      <c r="E34" s="203"/>
      <c r="F34" s="191"/>
      <c r="G34" s="192"/>
      <c r="H34" s="192"/>
      <c r="I34" s="192"/>
      <c r="J34" s="193"/>
      <c r="K34" s="193"/>
      <c r="L34" s="193"/>
      <c r="M34" s="193"/>
      <c r="N34" s="194"/>
    </row>
    <row r="35" spans="1:14" ht="24.6" customHeight="1" outlineLevel="1">
      <c r="A35" s="189">
        <f>SUBTOTAL(3,$F$6:F35)</f>
        <v>22</v>
      </c>
      <c r="B35" s="183" t="s">
        <v>2076</v>
      </c>
      <c r="C35" s="184"/>
      <c r="D35" s="183"/>
      <c r="E35" s="172" t="s">
        <v>851</v>
      </c>
      <c r="F35" s="191" t="s">
        <v>287</v>
      </c>
      <c r="G35" s="192">
        <v>2</v>
      </c>
      <c r="H35" s="192"/>
      <c r="I35" s="192"/>
      <c r="J35" s="193"/>
      <c r="K35" s="193"/>
      <c r="L35" s="193"/>
      <c r="M35" s="193"/>
      <c r="N35" s="194"/>
    </row>
    <row r="36" spans="1:14" ht="24.6" customHeight="1" outlineLevel="1">
      <c r="A36" s="189">
        <f>SUBTOTAL(3,$F$6:F36)</f>
        <v>23</v>
      </c>
      <c r="B36" s="183" t="s">
        <v>2077</v>
      </c>
      <c r="C36" s="184"/>
      <c r="D36" s="183"/>
      <c r="E36" s="172" t="s">
        <v>851</v>
      </c>
      <c r="F36" s="191" t="s">
        <v>287</v>
      </c>
      <c r="G36" s="192">
        <v>1</v>
      </c>
      <c r="H36" s="192"/>
      <c r="I36" s="192"/>
      <c r="J36" s="193"/>
      <c r="K36" s="193"/>
      <c r="L36" s="193"/>
      <c r="M36" s="193"/>
      <c r="N36" s="194"/>
    </row>
    <row r="37" spans="1:14" ht="24.6" customHeight="1" outlineLevel="1">
      <c r="A37" s="189"/>
      <c r="B37" s="195" t="s">
        <v>2078</v>
      </c>
      <c r="C37" s="203"/>
      <c r="D37" s="195"/>
      <c r="E37" s="203"/>
      <c r="F37" s="191"/>
      <c r="G37" s="192"/>
      <c r="H37" s="192"/>
      <c r="I37" s="192"/>
      <c r="J37" s="193"/>
      <c r="K37" s="193"/>
      <c r="L37" s="193"/>
      <c r="M37" s="193"/>
      <c r="N37" s="194"/>
    </row>
    <row r="38" spans="1:14" ht="24.6" customHeight="1" outlineLevel="1">
      <c r="A38" s="189">
        <f>SUBTOTAL(3,$F$6:F38)</f>
        <v>24</v>
      </c>
      <c r="B38" s="183" t="s">
        <v>2079</v>
      </c>
      <c r="C38" s="184"/>
      <c r="D38" s="183"/>
      <c r="E38" s="172" t="s">
        <v>851</v>
      </c>
      <c r="F38" s="191" t="s">
        <v>287</v>
      </c>
      <c r="G38" s="192">
        <v>4</v>
      </c>
      <c r="H38" s="192"/>
      <c r="I38" s="192"/>
      <c r="J38" s="193"/>
      <c r="K38" s="193"/>
      <c r="L38" s="193"/>
      <c r="M38" s="193"/>
      <c r="N38" s="194"/>
    </row>
    <row r="39" spans="1:14" ht="24.6" customHeight="1" outlineLevel="1">
      <c r="A39" s="189">
        <f>SUBTOTAL(3,$F$6:F39)</f>
        <v>25</v>
      </c>
      <c r="B39" s="183" t="s">
        <v>2080</v>
      </c>
      <c r="C39" s="184"/>
      <c r="D39" s="183"/>
      <c r="E39" s="172" t="s">
        <v>851</v>
      </c>
      <c r="F39" s="191" t="s">
        <v>287</v>
      </c>
      <c r="G39" s="192">
        <v>1</v>
      </c>
      <c r="H39" s="192"/>
      <c r="I39" s="192"/>
      <c r="J39" s="193"/>
      <c r="K39" s="193"/>
      <c r="L39" s="193"/>
      <c r="M39" s="193"/>
      <c r="N39" s="194"/>
    </row>
    <row r="40" spans="1:14" ht="24.6" customHeight="1" outlineLevel="1">
      <c r="A40" s="189">
        <f>SUBTOTAL(3,$F$6:F40)</f>
        <v>26</v>
      </c>
      <c r="B40" s="183" t="s">
        <v>2081</v>
      </c>
      <c r="C40" s="184"/>
      <c r="D40" s="183"/>
      <c r="E40" s="172" t="s">
        <v>851</v>
      </c>
      <c r="F40" s="191" t="s">
        <v>287</v>
      </c>
      <c r="G40" s="192">
        <v>1</v>
      </c>
      <c r="H40" s="192"/>
      <c r="I40" s="192"/>
      <c r="J40" s="193"/>
      <c r="K40" s="193"/>
      <c r="L40" s="193"/>
      <c r="M40" s="193"/>
      <c r="N40" s="194"/>
    </row>
    <row r="41" spans="1:14" ht="24.6" customHeight="1" outlineLevel="1">
      <c r="A41" s="189"/>
      <c r="B41" s="195" t="s">
        <v>2082</v>
      </c>
      <c r="C41" s="203"/>
      <c r="D41" s="195"/>
      <c r="E41" s="203"/>
      <c r="F41" s="191"/>
      <c r="G41" s="192"/>
      <c r="H41" s="192"/>
      <c r="I41" s="192"/>
      <c r="J41" s="193"/>
      <c r="K41" s="193"/>
      <c r="L41" s="193"/>
      <c r="M41" s="193"/>
      <c r="N41" s="194"/>
    </row>
    <row r="42" spans="1:14" ht="24.6" customHeight="1" outlineLevel="1">
      <c r="A42" s="189">
        <f>SUBTOTAL(3,$F$6:F42)</f>
        <v>27</v>
      </c>
      <c r="B42" s="183" t="s">
        <v>2083</v>
      </c>
      <c r="C42" s="184"/>
      <c r="D42" s="183"/>
      <c r="E42" s="172" t="s">
        <v>851</v>
      </c>
      <c r="F42" s="191" t="s">
        <v>287</v>
      </c>
      <c r="G42" s="192">
        <v>2</v>
      </c>
      <c r="H42" s="192"/>
      <c r="I42" s="192"/>
      <c r="J42" s="193"/>
      <c r="K42" s="193"/>
      <c r="L42" s="193"/>
      <c r="M42" s="193"/>
      <c r="N42" s="194"/>
    </row>
    <row r="43" spans="1:14" ht="24.6" customHeight="1" outlineLevel="1">
      <c r="A43" s="189">
        <f>SUBTOTAL(3,$F$6:F43)</f>
        <v>28</v>
      </c>
      <c r="B43" s="183" t="s">
        <v>2084</v>
      </c>
      <c r="C43" s="184"/>
      <c r="D43" s="183"/>
      <c r="E43" s="172" t="s">
        <v>851</v>
      </c>
      <c r="F43" s="191" t="s">
        <v>287</v>
      </c>
      <c r="G43" s="192">
        <v>1</v>
      </c>
      <c r="H43" s="192"/>
      <c r="I43" s="192"/>
      <c r="J43" s="193"/>
      <c r="K43" s="193"/>
      <c r="L43" s="193"/>
      <c r="M43" s="193"/>
      <c r="N43" s="194"/>
    </row>
    <row r="44" spans="1:14" ht="24.6" customHeight="1" outlineLevel="1">
      <c r="A44" s="189">
        <f>SUBTOTAL(3,$F$6:F44)</f>
        <v>29</v>
      </c>
      <c r="B44" s="183" t="s">
        <v>2085</v>
      </c>
      <c r="C44" s="184"/>
      <c r="D44" s="183"/>
      <c r="E44" s="172" t="s">
        <v>851</v>
      </c>
      <c r="F44" s="191" t="s">
        <v>396</v>
      </c>
      <c r="G44" s="192">
        <v>1</v>
      </c>
      <c r="H44" s="192"/>
      <c r="I44" s="192"/>
      <c r="J44" s="193"/>
      <c r="K44" s="193"/>
      <c r="L44" s="193"/>
      <c r="M44" s="193"/>
      <c r="N44" s="194"/>
    </row>
    <row r="45" spans="1:14" ht="24.6" customHeight="1" outlineLevel="1">
      <c r="A45" s="189">
        <f>SUBTOTAL(3,$F$6:F45)</f>
        <v>30</v>
      </c>
      <c r="B45" s="183" t="s">
        <v>2086</v>
      </c>
      <c r="C45" s="184"/>
      <c r="D45" s="183"/>
      <c r="E45" s="172" t="s">
        <v>851</v>
      </c>
      <c r="F45" s="191" t="s">
        <v>287</v>
      </c>
      <c r="G45" s="192">
        <v>1</v>
      </c>
      <c r="H45" s="192"/>
      <c r="I45" s="192"/>
      <c r="J45" s="193"/>
      <c r="K45" s="193"/>
      <c r="L45" s="193"/>
      <c r="M45" s="193"/>
      <c r="N45" s="194"/>
    </row>
    <row r="46" spans="1:14" ht="24.6" customHeight="1" outlineLevel="1">
      <c r="A46" s="189">
        <f>SUBTOTAL(3,$F$6:F46)</f>
        <v>31</v>
      </c>
      <c r="B46" s="183" t="s">
        <v>2087</v>
      </c>
      <c r="C46" s="184"/>
      <c r="D46" s="183"/>
      <c r="E46" s="172" t="s">
        <v>851</v>
      </c>
      <c r="F46" s="191" t="s">
        <v>287</v>
      </c>
      <c r="G46" s="192">
        <v>1</v>
      </c>
      <c r="H46" s="192"/>
      <c r="I46" s="192"/>
      <c r="J46" s="193"/>
      <c r="K46" s="193"/>
      <c r="L46" s="193"/>
      <c r="M46" s="193"/>
      <c r="N46" s="194"/>
    </row>
    <row r="47" spans="1:14" ht="24.6" customHeight="1" outlineLevel="1">
      <c r="A47" s="189">
        <f>SUBTOTAL(3,$F$6:F47)</f>
        <v>32</v>
      </c>
      <c r="B47" s="183" t="s">
        <v>2088</v>
      </c>
      <c r="C47" s="184"/>
      <c r="D47" s="183"/>
      <c r="E47" s="172" t="s">
        <v>851</v>
      </c>
      <c r="F47" s="191" t="s">
        <v>287</v>
      </c>
      <c r="G47" s="192">
        <v>6</v>
      </c>
      <c r="H47" s="192"/>
      <c r="I47" s="192"/>
      <c r="J47" s="193"/>
      <c r="K47" s="193"/>
      <c r="L47" s="193"/>
      <c r="M47" s="193"/>
      <c r="N47" s="194"/>
    </row>
    <row r="48" spans="1:14" ht="24.6" customHeight="1" outlineLevel="1">
      <c r="A48" s="189">
        <f>SUBTOTAL(3,$F$6:F48)</f>
        <v>33</v>
      </c>
      <c r="B48" s="183" t="s">
        <v>2089</v>
      </c>
      <c r="C48" s="184"/>
      <c r="D48" s="183"/>
      <c r="E48" s="172" t="s">
        <v>851</v>
      </c>
      <c r="F48" s="191" t="s">
        <v>287</v>
      </c>
      <c r="G48" s="192">
        <v>14</v>
      </c>
      <c r="H48" s="192"/>
      <c r="I48" s="192"/>
      <c r="J48" s="193"/>
      <c r="K48" s="193"/>
      <c r="L48" s="193"/>
      <c r="M48" s="193"/>
      <c r="N48" s="194"/>
    </row>
    <row r="49" spans="1:14" ht="24.6" customHeight="1" outlineLevel="1">
      <c r="A49" s="189">
        <f>SUBTOTAL(3,$F$6:F49)</f>
        <v>34</v>
      </c>
      <c r="B49" s="326" t="s">
        <v>2090</v>
      </c>
      <c r="C49" s="184"/>
      <c r="D49" s="183"/>
      <c r="E49" s="172" t="s">
        <v>851</v>
      </c>
      <c r="F49" s="191" t="s">
        <v>396</v>
      </c>
      <c r="G49" s="192">
        <v>9</v>
      </c>
      <c r="H49" s="192"/>
      <c r="I49" s="192"/>
      <c r="J49" s="193"/>
      <c r="K49" s="193"/>
      <c r="L49" s="193"/>
      <c r="M49" s="193"/>
      <c r="N49" s="194"/>
    </row>
    <row r="50" spans="1:14" ht="24.6" customHeight="1" outlineLevel="1">
      <c r="A50" s="189">
        <f>SUBTOTAL(3,$F$6:F50)</f>
        <v>35</v>
      </c>
      <c r="B50" s="183" t="s">
        <v>2091</v>
      </c>
      <c r="C50" s="184"/>
      <c r="D50" s="183"/>
      <c r="E50" s="172" t="s">
        <v>851</v>
      </c>
      <c r="F50" s="191" t="s">
        <v>287</v>
      </c>
      <c r="G50" s="192">
        <v>3</v>
      </c>
      <c r="H50" s="192"/>
      <c r="I50" s="192"/>
      <c r="J50" s="193"/>
      <c r="K50" s="193"/>
      <c r="L50" s="193"/>
      <c r="M50" s="193"/>
      <c r="N50" s="194"/>
    </row>
    <row r="51" spans="1:14" ht="24.6" customHeight="1" outlineLevel="1">
      <c r="A51" s="189">
        <f>SUBTOTAL(3,$F$6:F51)</f>
        <v>36</v>
      </c>
      <c r="B51" s="183" t="s">
        <v>2092</v>
      </c>
      <c r="C51" s="184"/>
      <c r="D51" s="183"/>
      <c r="E51" s="172" t="s">
        <v>851</v>
      </c>
      <c r="F51" s="191" t="s">
        <v>287</v>
      </c>
      <c r="G51" s="192">
        <v>1</v>
      </c>
      <c r="H51" s="192"/>
      <c r="I51" s="192"/>
      <c r="J51" s="193"/>
      <c r="K51" s="193"/>
      <c r="L51" s="193"/>
      <c r="M51" s="193"/>
      <c r="N51" s="194"/>
    </row>
    <row r="52" spans="1:14" ht="24.6" customHeight="1" outlineLevel="1">
      <c r="A52" s="189">
        <f>SUBTOTAL(3,$F$6:F52)</f>
        <v>37</v>
      </c>
      <c r="B52" s="183" t="s">
        <v>2093</v>
      </c>
      <c r="C52" s="184"/>
      <c r="D52" s="183"/>
      <c r="E52" s="172"/>
      <c r="F52" s="191" t="s">
        <v>287</v>
      </c>
      <c r="G52" s="192">
        <v>1</v>
      </c>
      <c r="H52" s="192"/>
      <c r="I52" s="192"/>
      <c r="J52" s="193"/>
      <c r="K52" s="193"/>
      <c r="L52" s="193"/>
      <c r="M52" s="193"/>
      <c r="N52" s="194"/>
    </row>
    <row r="53" spans="1:14" s="171" customFormat="1" ht="24.6" customHeight="1" outlineLevel="1">
      <c r="A53" s="189">
        <f>SUBTOTAL(3,$F$6:F53)</f>
        <v>38</v>
      </c>
      <c r="B53" s="190" t="s">
        <v>2094</v>
      </c>
      <c r="C53" s="172"/>
      <c r="D53" s="190"/>
      <c r="E53" s="172"/>
      <c r="F53" s="191" t="s">
        <v>396</v>
      </c>
      <c r="G53" s="192">
        <v>1</v>
      </c>
      <c r="H53" s="192"/>
      <c r="I53" s="192"/>
      <c r="J53" s="193"/>
      <c r="K53" s="193"/>
      <c r="L53" s="193"/>
      <c r="M53" s="193"/>
      <c r="N53" s="194"/>
    </row>
    <row r="54" spans="1:14" ht="27" customHeight="1" outlineLevel="1">
      <c r="A54" s="189"/>
      <c r="B54" s="195" t="s">
        <v>2095</v>
      </c>
      <c r="C54" s="203"/>
      <c r="D54" s="195"/>
      <c r="E54" s="203"/>
      <c r="F54" s="191"/>
      <c r="G54" s="192"/>
      <c r="H54" s="192"/>
      <c r="I54" s="192"/>
      <c r="J54" s="193"/>
      <c r="K54" s="193"/>
      <c r="L54" s="193"/>
      <c r="M54" s="193"/>
      <c r="N54" s="194"/>
    </row>
    <row r="55" spans="1:14" ht="62.4" customHeight="1" outlineLevel="1">
      <c r="A55" s="189">
        <f>SUBTOTAL(3,$F$6:F55)</f>
        <v>39</v>
      </c>
      <c r="B55" s="183" t="s">
        <v>2096</v>
      </c>
      <c r="C55" s="184"/>
      <c r="D55" s="183"/>
      <c r="E55" s="172" t="s">
        <v>851</v>
      </c>
      <c r="F55" s="191" t="s">
        <v>844</v>
      </c>
      <c r="G55" s="192">
        <v>14</v>
      </c>
      <c r="H55" s="192"/>
      <c r="I55" s="192"/>
      <c r="J55" s="193"/>
      <c r="K55" s="193"/>
      <c r="L55" s="193"/>
      <c r="M55" s="193"/>
      <c r="N55" s="194"/>
    </row>
    <row r="56" spans="1:14" ht="62.4" customHeight="1" outlineLevel="1">
      <c r="A56" s="189">
        <f>SUBTOTAL(3,$F$6:F56)</f>
        <v>40</v>
      </c>
      <c r="B56" s="183" t="s">
        <v>2097</v>
      </c>
      <c r="C56" s="184"/>
      <c r="D56" s="183"/>
      <c r="E56" s="172" t="s">
        <v>851</v>
      </c>
      <c r="F56" s="191" t="s">
        <v>844</v>
      </c>
      <c r="G56" s="192">
        <v>39</v>
      </c>
      <c r="H56" s="192"/>
      <c r="I56" s="192"/>
      <c r="J56" s="193"/>
      <c r="K56" s="193"/>
      <c r="L56" s="193"/>
      <c r="M56" s="193"/>
      <c r="N56" s="194"/>
    </row>
    <row r="57" spans="1:14" ht="62.4" customHeight="1" outlineLevel="1">
      <c r="A57" s="189">
        <f>SUBTOTAL(3,$F$6:F57)</f>
        <v>41</v>
      </c>
      <c r="B57" s="183" t="s">
        <v>2098</v>
      </c>
      <c r="C57" s="184"/>
      <c r="D57" s="183"/>
      <c r="E57" s="172" t="s">
        <v>851</v>
      </c>
      <c r="F57" s="191" t="s">
        <v>844</v>
      </c>
      <c r="G57" s="192">
        <v>4</v>
      </c>
      <c r="H57" s="192"/>
      <c r="I57" s="192"/>
      <c r="J57" s="193"/>
      <c r="K57" s="193"/>
      <c r="L57" s="193"/>
      <c r="M57" s="193"/>
      <c r="N57" s="194"/>
    </row>
    <row r="58" spans="1:14" ht="31.2" customHeight="1" outlineLevel="1">
      <c r="A58" s="189">
        <f>SUBTOTAL(3,$F$6:F58)</f>
        <v>42</v>
      </c>
      <c r="B58" s="183" t="s">
        <v>2099</v>
      </c>
      <c r="C58" s="184"/>
      <c r="D58" s="183"/>
      <c r="E58" s="172" t="s">
        <v>851</v>
      </c>
      <c r="F58" s="191" t="s">
        <v>844</v>
      </c>
      <c r="G58" s="192">
        <v>27</v>
      </c>
      <c r="H58" s="192"/>
      <c r="I58" s="192"/>
      <c r="J58" s="193"/>
      <c r="K58" s="193"/>
      <c r="L58" s="193"/>
      <c r="M58" s="193"/>
      <c r="N58" s="194"/>
    </row>
    <row r="59" spans="1:14" s="171" customFormat="1" ht="21" customHeight="1" outlineLevel="1">
      <c r="A59" s="189">
        <f>SUBTOTAL(3,$F$6:F59)</f>
        <v>43</v>
      </c>
      <c r="B59" s="190" t="s">
        <v>275</v>
      </c>
      <c r="C59" s="172"/>
      <c r="D59" s="190"/>
      <c r="E59" s="172"/>
      <c r="F59" s="191" t="s">
        <v>825</v>
      </c>
      <c r="G59" s="192">
        <v>1</v>
      </c>
      <c r="H59" s="192"/>
      <c r="I59" s="192"/>
      <c r="J59" s="193"/>
      <c r="K59" s="193"/>
      <c r="L59" s="193"/>
      <c r="M59" s="193"/>
      <c r="N59" s="194"/>
    </row>
    <row r="60" spans="1:14" s="171" customFormat="1" ht="21" customHeight="1">
      <c r="A60" s="185" t="s">
        <v>66</v>
      </c>
      <c r="B60" s="173" t="s">
        <v>2100</v>
      </c>
      <c r="C60" s="181"/>
      <c r="D60" s="173"/>
      <c r="E60" s="181"/>
      <c r="F60" s="191"/>
      <c r="G60" s="192"/>
      <c r="H60" s="192"/>
      <c r="I60" s="192"/>
      <c r="J60" s="193"/>
      <c r="K60" s="187"/>
      <c r="L60" s="187"/>
      <c r="M60" s="187"/>
      <c r="N60" s="194"/>
    </row>
    <row r="61" spans="1:14" s="171" customFormat="1" ht="40.799999999999997" customHeight="1" outlineLevel="1">
      <c r="A61" s="189">
        <f>SUBTOTAL(3,$F$6:F61)</f>
        <v>44</v>
      </c>
      <c r="B61" s="190" t="s">
        <v>2101</v>
      </c>
      <c r="C61" s="172"/>
      <c r="D61" s="190"/>
      <c r="E61" s="172" t="s">
        <v>2102</v>
      </c>
      <c r="F61" s="191" t="s">
        <v>287</v>
      </c>
      <c r="G61" s="192">
        <v>4</v>
      </c>
      <c r="H61" s="192"/>
      <c r="I61" s="192"/>
      <c r="J61" s="193"/>
      <c r="K61" s="193"/>
      <c r="L61" s="193"/>
      <c r="M61" s="193"/>
      <c r="N61" s="194"/>
    </row>
    <row r="62" spans="1:14" s="171" customFormat="1" ht="29.4" customHeight="1" outlineLevel="1">
      <c r="A62" s="189">
        <f>SUBTOTAL(3,$F$6:F62)</f>
        <v>45</v>
      </c>
      <c r="B62" s="190" t="s">
        <v>2103</v>
      </c>
      <c r="C62" s="172"/>
      <c r="D62" s="190"/>
      <c r="E62" s="172" t="s">
        <v>2102</v>
      </c>
      <c r="F62" s="191" t="s">
        <v>287</v>
      </c>
      <c r="G62" s="192">
        <v>1</v>
      </c>
      <c r="H62" s="192"/>
      <c r="I62" s="192"/>
      <c r="J62" s="193"/>
      <c r="K62" s="193"/>
      <c r="L62" s="193"/>
      <c r="M62" s="193"/>
      <c r="N62" s="194"/>
    </row>
    <row r="63" spans="1:14" s="171" customFormat="1" ht="29.4" customHeight="1" outlineLevel="1">
      <c r="A63" s="189">
        <f>SUBTOTAL(3,$F$6:F63)</f>
        <v>46</v>
      </c>
      <c r="B63" s="190" t="s">
        <v>2104</v>
      </c>
      <c r="C63" s="172"/>
      <c r="D63" s="190"/>
      <c r="E63" s="172" t="s">
        <v>2102</v>
      </c>
      <c r="F63" s="191" t="s">
        <v>287</v>
      </c>
      <c r="G63" s="192">
        <v>2</v>
      </c>
      <c r="H63" s="192"/>
      <c r="I63" s="192"/>
      <c r="J63" s="193"/>
      <c r="K63" s="193"/>
      <c r="L63" s="193"/>
      <c r="M63" s="193"/>
      <c r="N63" s="194"/>
    </row>
    <row r="64" spans="1:14" s="171" customFormat="1" ht="29.4" customHeight="1" outlineLevel="1">
      <c r="A64" s="189">
        <f>SUBTOTAL(3,$F$6:F64)</f>
        <v>47</v>
      </c>
      <c r="B64" s="190" t="s">
        <v>2105</v>
      </c>
      <c r="C64" s="172"/>
      <c r="D64" s="190"/>
      <c r="E64" s="172" t="s">
        <v>2102</v>
      </c>
      <c r="F64" s="191" t="s">
        <v>287</v>
      </c>
      <c r="G64" s="192">
        <v>36</v>
      </c>
      <c r="H64" s="192"/>
      <c r="I64" s="192"/>
      <c r="J64" s="193"/>
      <c r="K64" s="193"/>
      <c r="L64" s="193"/>
      <c r="M64" s="193"/>
      <c r="N64" s="194"/>
    </row>
    <row r="65" spans="1:14" ht="78" customHeight="1" outlineLevel="1">
      <c r="A65" s="189">
        <f>SUBTOTAL(3,$F$6:F65)</f>
        <v>48</v>
      </c>
      <c r="B65" s="183" t="s">
        <v>2106</v>
      </c>
      <c r="C65" s="184"/>
      <c r="D65" s="183"/>
      <c r="E65" s="172" t="s">
        <v>2102</v>
      </c>
      <c r="F65" s="191" t="s">
        <v>2107</v>
      </c>
      <c r="G65" s="192">
        <v>22</v>
      </c>
      <c r="H65" s="192"/>
      <c r="I65" s="192"/>
      <c r="J65" s="193"/>
      <c r="K65" s="193"/>
      <c r="L65" s="193"/>
      <c r="M65" s="193"/>
      <c r="N65" s="194"/>
    </row>
    <row r="66" spans="1:14" ht="78" customHeight="1" outlineLevel="1">
      <c r="A66" s="189">
        <f>SUBTOTAL(3,$F$6:F66)</f>
        <v>49</v>
      </c>
      <c r="B66" s="183" t="s">
        <v>2108</v>
      </c>
      <c r="C66" s="184"/>
      <c r="D66" s="183"/>
      <c r="E66" s="172" t="s">
        <v>2102</v>
      </c>
      <c r="F66" s="191" t="s">
        <v>2107</v>
      </c>
      <c r="G66" s="192">
        <v>82</v>
      </c>
      <c r="H66" s="192"/>
      <c r="I66" s="192"/>
      <c r="J66" s="193"/>
      <c r="K66" s="193"/>
      <c r="L66" s="193"/>
      <c r="M66" s="193"/>
      <c r="N66" s="194"/>
    </row>
    <row r="67" spans="1:14" ht="62.4" customHeight="1" outlineLevel="1">
      <c r="A67" s="189">
        <f>SUBTOTAL(3,$F$6:F67)</f>
        <v>50</v>
      </c>
      <c r="B67" s="183" t="s">
        <v>2109</v>
      </c>
      <c r="C67" s="184"/>
      <c r="D67" s="183"/>
      <c r="E67" s="172" t="s">
        <v>2102</v>
      </c>
      <c r="F67" s="191" t="s">
        <v>2107</v>
      </c>
      <c r="G67" s="192">
        <v>6</v>
      </c>
      <c r="H67" s="192"/>
      <c r="I67" s="192"/>
      <c r="J67" s="193"/>
      <c r="K67" s="193"/>
      <c r="L67" s="193"/>
      <c r="M67" s="193"/>
      <c r="N67" s="194"/>
    </row>
    <row r="68" spans="1:14" ht="34.799999999999997" customHeight="1" outlineLevel="1">
      <c r="A68" s="189">
        <f>SUBTOTAL(3,$F$6:F68)</f>
        <v>51</v>
      </c>
      <c r="B68" s="326" t="s">
        <v>2110</v>
      </c>
      <c r="C68" s="184"/>
      <c r="D68" s="183"/>
      <c r="E68" s="172" t="s">
        <v>2102</v>
      </c>
      <c r="F68" s="191" t="s">
        <v>2107</v>
      </c>
      <c r="G68" s="192">
        <v>59</v>
      </c>
      <c r="H68" s="192"/>
      <c r="I68" s="192"/>
      <c r="J68" s="193"/>
      <c r="K68" s="193"/>
      <c r="L68" s="193"/>
      <c r="M68" s="193"/>
      <c r="N68" s="194"/>
    </row>
    <row r="69" spans="1:14" s="171" customFormat="1" ht="33.6" customHeight="1" outlineLevel="1">
      <c r="A69" s="189">
        <f>SUBTOTAL(3,$F$6:F69)</f>
        <v>52</v>
      </c>
      <c r="B69" s="190" t="s">
        <v>2111</v>
      </c>
      <c r="C69" s="172"/>
      <c r="D69" s="190"/>
      <c r="E69" s="172" t="s">
        <v>2102</v>
      </c>
      <c r="F69" s="191" t="s">
        <v>396</v>
      </c>
      <c r="G69" s="192">
        <v>127</v>
      </c>
      <c r="H69" s="192"/>
      <c r="I69" s="192"/>
      <c r="J69" s="193"/>
      <c r="K69" s="193"/>
      <c r="L69" s="193"/>
      <c r="M69" s="193"/>
      <c r="N69" s="194"/>
    </row>
    <row r="70" spans="1:14" s="171" customFormat="1" ht="33.6" customHeight="1" outlineLevel="1">
      <c r="A70" s="189">
        <f>SUBTOTAL(3,$F$6:F70)</f>
        <v>53</v>
      </c>
      <c r="B70" s="190" t="s">
        <v>2112</v>
      </c>
      <c r="C70" s="172" t="s">
        <v>2113</v>
      </c>
      <c r="D70" s="190"/>
      <c r="E70" s="172" t="s">
        <v>2114</v>
      </c>
      <c r="F70" s="191" t="s">
        <v>287</v>
      </c>
      <c r="G70" s="192">
        <v>553</v>
      </c>
      <c r="H70" s="192"/>
      <c r="I70" s="192"/>
      <c r="J70" s="193"/>
      <c r="K70" s="193"/>
      <c r="L70" s="193"/>
      <c r="M70" s="193"/>
      <c r="N70" s="194"/>
    </row>
    <row r="71" spans="1:14" s="171" customFormat="1" ht="33.6" customHeight="1" outlineLevel="1">
      <c r="A71" s="189">
        <f>SUBTOTAL(3,$F$6:F71)</f>
        <v>54</v>
      </c>
      <c r="B71" s="190" t="s">
        <v>2115</v>
      </c>
      <c r="C71" s="172" t="s">
        <v>2113</v>
      </c>
      <c r="D71" s="190"/>
      <c r="E71" s="172" t="s">
        <v>2114</v>
      </c>
      <c r="F71" s="191" t="s">
        <v>287</v>
      </c>
      <c r="G71" s="192">
        <v>1117</v>
      </c>
      <c r="H71" s="192"/>
      <c r="I71" s="192"/>
      <c r="J71" s="193"/>
      <c r="K71" s="193"/>
      <c r="L71" s="193"/>
      <c r="M71" s="193"/>
      <c r="N71" s="194"/>
    </row>
    <row r="72" spans="1:14" s="171" customFormat="1" ht="33.6" customHeight="1" outlineLevel="1">
      <c r="A72" s="189">
        <f>SUBTOTAL(3,$F$6:F72)</f>
        <v>55</v>
      </c>
      <c r="B72" s="190" t="s">
        <v>2116</v>
      </c>
      <c r="C72" s="172" t="s">
        <v>2113</v>
      </c>
      <c r="D72" s="190"/>
      <c r="E72" s="172" t="s">
        <v>2114</v>
      </c>
      <c r="F72" s="191" t="s">
        <v>287</v>
      </c>
      <c r="G72" s="192">
        <v>1325</v>
      </c>
      <c r="H72" s="192"/>
      <c r="I72" s="192"/>
      <c r="J72" s="193"/>
      <c r="K72" s="193"/>
      <c r="L72" s="193"/>
      <c r="M72" s="193"/>
      <c r="N72" s="194"/>
    </row>
    <row r="73" spans="1:14" ht="33" customHeight="1" outlineLevel="1">
      <c r="A73" s="189">
        <f>SUBTOTAL(3,$F$6:F73)</f>
        <v>56</v>
      </c>
      <c r="B73" s="190" t="s">
        <v>2117</v>
      </c>
      <c r="C73" s="172" t="s">
        <v>2113</v>
      </c>
      <c r="D73" s="190"/>
      <c r="E73" s="172" t="s">
        <v>2114</v>
      </c>
      <c r="F73" s="191" t="s">
        <v>287</v>
      </c>
      <c r="G73" s="192">
        <v>266</v>
      </c>
      <c r="H73" s="192"/>
      <c r="I73" s="192"/>
      <c r="J73" s="193"/>
      <c r="K73" s="193"/>
      <c r="L73" s="193"/>
      <c r="M73" s="193"/>
      <c r="N73" s="194"/>
    </row>
    <row r="74" spans="1:14" ht="41.4" customHeight="1" outlineLevel="1">
      <c r="A74" s="189">
        <f>SUBTOTAL(3,$F$6:F74)</f>
        <v>57</v>
      </c>
      <c r="B74" s="190" t="s">
        <v>2118</v>
      </c>
      <c r="C74" s="172" t="s">
        <v>2113</v>
      </c>
      <c r="D74" s="190"/>
      <c r="E74" s="172" t="s">
        <v>2114</v>
      </c>
      <c r="F74" s="191" t="s">
        <v>287</v>
      </c>
      <c r="G74" s="192">
        <v>126</v>
      </c>
      <c r="H74" s="192"/>
      <c r="I74" s="192"/>
      <c r="J74" s="193"/>
      <c r="K74" s="193"/>
      <c r="L74" s="193"/>
      <c r="M74" s="193"/>
      <c r="N74" s="194"/>
    </row>
    <row r="75" spans="1:14" ht="33" customHeight="1" outlineLevel="1">
      <c r="A75" s="189">
        <f>SUBTOTAL(3,$F$6:F75)</f>
        <v>58</v>
      </c>
      <c r="B75" s="190" t="s">
        <v>2119</v>
      </c>
      <c r="C75" s="172" t="s">
        <v>2113</v>
      </c>
      <c r="D75" s="190"/>
      <c r="E75" s="172" t="s">
        <v>2120</v>
      </c>
      <c r="F75" s="191" t="s">
        <v>396</v>
      </c>
      <c r="G75" s="192">
        <v>487</v>
      </c>
      <c r="H75" s="192"/>
      <c r="I75" s="192"/>
      <c r="J75" s="193"/>
      <c r="K75" s="193"/>
      <c r="L75" s="193"/>
      <c r="M75" s="193"/>
      <c r="N75" s="196" t="s">
        <v>2121</v>
      </c>
    </row>
    <row r="76" spans="1:14" outlineLevel="1">
      <c r="A76" s="189">
        <f>SUBTOTAL(3,$F$6:F76)</f>
        <v>59</v>
      </c>
      <c r="B76" s="183" t="s">
        <v>910</v>
      </c>
      <c r="C76" s="184"/>
      <c r="D76" s="183"/>
      <c r="E76" s="184"/>
      <c r="F76" s="191" t="s">
        <v>825</v>
      </c>
      <c r="G76" s="192">
        <v>1</v>
      </c>
      <c r="H76" s="192"/>
      <c r="I76" s="192"/>
      <c r="J76" s="193"/>
      <c r="K76" s="193"/>
      <c r="L76" s="193"/>
      <c r="M76" s="193"/>
      <c r="N76" s="194"/>
    </row>
    <row r="77" spans="1:14" ht="27" customHeight="1">
      <c r="A77" s="185" t="s">
        <v>68</v>
      </c>
      <c r="B77" s="173" t="s">
        <v>2122</v>
      </c>
      <c r="C77" s="197" t="s">
        <v>2123</v>
      </c>
      <c r="D77" s="173"/>
      <c r="E77" s="181"/>
      <c r="F77" s="191"/>
      <c r="G77" s="192"/>
      <c r="H77" s="192"/>
      <c r="I77" s="192"/>
      <c r="J77" s="193"/>
      <c r="K77" s="187"/>
      <c r="L77" s="187"/>
      <c r="M77" s="187"/>
      <c r="N77" s="194"/>
    </row>
    <row r="78" spans="1:14" s="171" customFormat="1" ht="31.2" customHeight="1" outlineLevel="1">
      <c r="A78" s="189">
        <f>SUBTOTAL(3,$F$6:F78)</f>
        <v>60</v>
      </c>
      <c r="B78" s="327" t="s">
        <v>2124</v>
      </c>
      <c r="C78" s="172"/>
      <c r="D78" s="190"/>
      <c r="E78" s="172" t="s">
        <v>2125</v>
      </c>
      <c r="F78" s="191" t="s">
        <v>570</v>
      </c>
      <c r="G78" s="192">
        <v>2368.5</v>
      </c>
      <c r="H78" s="192"/>
      <c r="I78" s="192"/>
      <c r="J78" s="193"/>
      <c r="K78" s="193"/>
      <c r="L78" s="193"/>
      <c r="M78" s="193"/>
      <c r="N78" s="194"/>
    </row>
    <row r="79" spans="1:14" s="171" customFormat="1" ht="31.2" customHeight="1" outlineLevel="1">
      <c r="A79" s="189">
        <f>SUBTOTAL(3,$F$6:F79)</f>
        <v>61</v>
      </c>
      <c r="B79" s="327" t="s">
        <v>2126</v>
      </c>
      <c r="C79" s="172"/>
      <c r="D79" s="190"/>
      <c r="E79" s="172" t="s">
        <v>2125</v>
      </c>
      <c r="F79" s="191" t="s">
        <v>570</v>
      </c>
      <c r="G79" s="192">
        <v>2074.3000000000002</v>
      </c>
      <c r="H79" s="192"/>
      <c r="I79" s="192"/>
      <c r="J79" s="193"/>
      <c r="K79" s="193"/>
      <c r="L79" s="193"/>
      <c r="M79" s="193"/>
      <c r="N79" s="194"/>
    </row>
    <row r="80" spans="1:14" s="171" customFormat="1" ht="31.2" customHeight="1" outlineLevel="1">
      <c r="A80" s="189">
        <f>SUBTOTAL(3,$F$6:F80)</f>
        <v>62</v>
      </c>
      <c r="B80" s="327" t="s">
        <v>2127</v>
      </c>
      <c r="C80" s="172"/>
      <c r="D80" s="190"/>
      <c r="E80" s="172" t="s">
        <v>2125</v>
      </c>
      <c r="F80" s="191" t="s">
        <v>570</v>
      </c>
      <c r="G80" s="192">
        <v>90</v>
      </c>
      <c r="H80" s="192"/>
      <c r="I80" s="192"/>
      <c r="J80" s="193"/>
      <c r="K80" s="193"/>
      <c r="L80" s="193"/>
      <c r="M80" s="193"/>
      <c r="N80" s="194"/>
    </row>
    <row r="81" spans="1:14" s="171" customFormat="1" ht="31.2" customHeight="1" outlineLevel="1">
      <c r="A81" s="189">
        <f>SUBTOTAL(3,$F$6:F81)</f>
        <v>63</v>
      </c>
      <c r="B81" s="327" t="s">
        <v>2128</v>
      </c>
      <c r="C81" s="172"/>
      <c r="D81" s="190"/>
      <c r="E81" s="172" t="s">
        <v>2125</v>
      </c>
      <c r="F81" s="191" t="s">
        <v>570</v>
      </c>
      <c r="G81" s="192">
        <v>381</v>
      </c>
      <c r="H81" s="192"/>
      <c r="I81" s="192"/>
      <c r="J81" s="193"/>
      <c r="K81" s="193"/>
      <c r="L81" s="193"/>
      <c r="M81" s="193"/>
      <c r="N81" s="194"/>
    </row>
    <row r="82" spans="1:14" s="171" customFormat="1" ht="31.2" customHeight="1" outlineLevel="1">
      <c r="A82" s="189">
        <f>SUBTOTAL(3,$F$6:F82)</f>
        <v>64</v>
      </c>
      <c r="B82" s="327" t="s">
        <v>2129</v>
      </c>
      <c r="C82" s="172"/>
      <c r="D82" s="190"/>
      <c r="E82" s="172" t="s">
        <v>2125</v>
      </c>
      <c r="F82" s="191" t="s">
        <v>570</v>
      </c>
      <c r="G82" s="192">
        <v>1280</v>
      </c>
      <c r="H82" s="192"/>
      <c r="I82" s="192"/>
      <c r="J82" s="193"/>
      <c r="K82" s="193"/>
      <c r="L82" s="193"/>
      <c r="M82" s="193"/>
      <c r="N82" s="194"/>
    </row>
    <row r="83" spans="1:14" s="171" customFormat="1" ht="31.2" customHeight="1" outlineLevel="1">
      <c r="A83" s="189">
        <f>SUBTOTAL(3,$F$6:F83)</f>
        <v>65</v>
      </c>
      <c r="B83" s="327" t="s">
        <v>2130</v>
      </c>
      <c r="C83" s="172"/>
      <c r="D83" s="190"/>
      <c r="E83" s="172" t="s">
        <v>2125</v>
      </c>
      <c r="F83" s="191" t="s">
        <v>570</v>
      </c>
      <c r="G83" s="192">
        <v>1320</v>
      </c>
      <c r="H83" s="192"/>
      <c r="I83" s="192"/>
      <c r="J83" s="193"/>
      <c r="K83" s="193"/>
      <c r="L83" s="193"/>
      <c r="M83" s="193"/>
      <c r="N83" s="194"/>
    </row>
    <row r="84" spans="1:14" s="171" customFormat="1" ht="31.2" customHeight="1" outlineLevel="1">
      <c r="A84" s="189">
        <f>SUBTOTAL(3,$F$6:F84)</f>
        <v>66</v>
      </c>
      <c r="B84" s="327" t="s">
        <v>2131</v>
      </c>
      <c r="C84" s="172"/>
      <c r="D84" s="190"/>
      <c r="E84" s="172" t="s">
        <v>2125</v>
      </c>
      <c r="F84" s="191" t="s">
        <v>570</v>
      </c>
      <c r="G84" s="192">
        <v>1160</v>
      </c>
      <c r="H84" s="192"/>
      <c r="I84" s="192"/>
      <c r="J84" s="193"/>
      <c r="K84" s="193"/>
      <c r="L84" s="193"/>
      <c r="M84" s="193"/>
      <c r="N84" s="194"/>
    </row>
    <row r="85" spans="1:14" s="171" customFormat="1" ht="31.2" customHeight="1" outlineLevel="1">
      <c r="A85" s="189">
        <f>SUBTOTAL(3,$F$6:F85)</f>
        <v>67</v>
      </c>
      <c r="B85" s="327" t="s">
        <v>2132</v>
      </c>
      <c r="C85" s="172"/>
      <c r="D85" s="190"/>
      <c r="E85" s="172" t="s">
        <v>2125</v>
      </c>
      <c r="F85" s="191" t="s">
        <v>570</v>
      </c>
      <c r="G85" s="192">
        <v>7561</v>
      </c>
      <c r="H85" s="192"/>
      <c r="I85" s="192"/>
      <c r="J85" s="193"/>
      <c r="K85" s="193"/>
      <c r="L85" s="193"/>
      <c r="M85" s="193"/>
      <c r="N85" s="194"/>
    </row>
    <row r="86" spans="1:14" s="171" customFormat="1" ht="31.2" customHeight="1" outlineLevel="1">
      <c r="A86" s="189">
        <f>SUBTOTAL(3,$F$6:F86)</f>
        <v>68</v>
      </c>
      <c r="B86" s="190" t="s">
        <v>2133</v>
      </c>
      <c r="C86" s="172"/>
      <c r="D86" s="190"/>
      <c r="E86" s="172"/>
      <c r="F86" s="191" t="s">
        <v>825</v>
      </c>
      <c r="G86" s="192">
        <v>1</v>
      </c>
      <c r="H86" s="192"/>
      <c r="I86" s="192"/>
      <c r="J86" s="193"/>
      <c r="K86" s="193"/>
      <c r="L86" s="193"/>
      <c r="M86" s="193"/>
      <c r="N86" s="194"/>
    </row>
    <row r="87" spans="1:14" s="171" customFormat="1" ht="31.2" customHeight="1" outlineLevel="1">
      <c r="A87" s="189">
        <f>SUBTOTAL(3,$F$6:F87)</f>
        <v>69</v>
      </c>
      <c r="B87" s="190" t="s">
        <v>2134</v>
      </c>
      <c r="C87" s="172"/>
      <c r="D87" s="190"/>
      <c r="E87" s="172"/>
      <c r="F87" s="191" t="s">
        <v>825</v>
      </c>
      <c r="G87" s="192">
        <v>1</v>
      </c>
      <c r="H87" s="192"/>
      <c r="I87" s="192"/>
      <c r="J87" s="193"/>
      <c r="K87" s="193"/>
      <c r="L87" s="193"/>
      <c r="M87" s="193"/>
      <c r="N87" s="194"/>
    </row>
    <row r="88" spans="1:14" s="171" customFormat="1" ht="49.8" customHeight="1" outlineLevel="1">
      <c r="A88" s="189">
        <f>SUBTOTAL(3,$F$6:F88)</f>
        <v>70</v>
      </c>
      <c r="B88" s="190" t="s">
        <v>2135</v>
      </c>
      <c r="C88" s="172"/>
      <c r="D88" s="190"/>
      <c r="E88" s="172"/>
      <c r="F88" s="191" t="s">
        <v>825</v>
      </c>
      <c r="G88" s="192">
        <v>1</v>
      </c>
      <c r="H88" s="192"/>
      <c r="I88" s="192"/>
      <c r="J88" s="193"/>
      <c r="K88" s="193"/>
      <c r="L88" s="193"/>
      <c r="M88" s="193"/>
      <c r="N88" s="194"/>
    </row>
    <row r="89" spans="1:14" ht="46.8" customHeight="1">
      <c r="A89" s="185" t="s">
        <v>70</v>
      </c>
      <c r="B89" s="173" t="s">
        <v>2136</v>
      </c>
      <c r="C89" s="181" t="s">
        <v>2137</v>
      </c>
      <c r="D89" s="173"/>
      <c r="E89" s="181"/>
      <c r="F89" s="191"/>
      <c r="G89" s="192"/>
      <c r="H89" s="192"/>
      <c r="I89" s="192"/>
      <c r="J89" s="193"/>
      <c r="K89" s="187"/>
      <c r="L89" s="187"/>
      <c r="M89" s="187"/>
      <c r="N89" s="194"/>
    </row>
    <row r="90" spans="1:14" ht="21" customHeight="1" outlineLevel="1">
      <c r="A90" s="185"/>
      <c r="B90" s="198" t="s">
        <v>2138</v>
      </c>
      <c r="C90" s="197"/>
      <c r="D90" s="198"/>
      <c r="E90" s="197"/>
      <c r="F90" s="186"/>
      <c r="G90" s="187"/>
      <c r="H90" s="187"/>
      <c r="I90" s="187"/>
      <c r="J90" s="193"/>
      <c r="K90" s="193"/>
      <c r="L90" s="193"/>
      <c r="M90" s="193"/>
      <c r="N90" s="194"/>
    </row>
    <row r="91" spans="1:14" s="171" customFormat="1" ht="25.8" customHeight="1" outlineLevel="1">
      <c r="A91" s="189">
        <f>SUBTOTAL(3,$F$6:F91)</f>
        <v>71</v>
      </c>
      <c r="B91" s="190" t="s">
        <v>2139</v>
      </c>
      <c r="C91" s="172" t="s">
        <v>2140</v>
      </c>
      <c r="D91" s="190"/>
      <c r="E91" s="172" t="s">
        <v>2141</v>
      </c>
      <c r="F91" s="191" t="s">
        <v>2142</v>
      </c>
      <c r="G91" s="192">
        <v>3</v>
      </c>
      <c r="H91" s="192"/>
      <c r="I91" s="192"/>
      <c r="J91" s="193"/>
      <c r="K91" s="193"/>
      <c r="L91" s="193"/>
      <c r="M91" s="193"/>
      <c r="N91" s="194"/>
    </row>
    <row r="92" spans="1:14" s="171" customFormat="1" ht="25.8" customHeight="1" outlineLevel="1">
      <c r="A92" s="189">
        <f>SUBTOTAL(3,$F$6:F92)</f>
        <v>72</v>
      </c>
      <c r="B92" s="190" t="s">
        <v>2143</v>
      </c>
      <c r="C92" s="172" t="s">
        <v>2140</v>
      </c>
      <c r="D92" s="190"/>
      <c r="E92" s="172" t="s">
        <v>2141</v>
      </c>
      <c r="F92" s="191" t="s">
        <v>2142</v>
      </c>
      <c r="G92" s="192">
        <v>1</v>
      </c>
      <c r="H92" s="192"/>
      <c r="I92" s="192"/>
      <c r="J92" s="193"/>
      <c r="K92" s="193"/>
      <c r="L92" s="193"/>
      <c r="M92" s="193"/>
      <c r="N92" s="194"/>
    </row>
    <row r="93" spans="1:14" s="171" customFormat="1" ht="25.8" customHeight="1" outlineLevel="1">
      <c r="A93" s="189">
        <f>SUBTOTAL(3,$F$6:F93)</f>
        <v>73</v>
      </c>
      <c r="B93" s="190" t="s">
        <v>2144</v>
      </c>
      <c r="C93" s="172" t="s">
        <v>2140</v>
      </c>
      <c r="D93" s="190"/>
      <c r="E93" s="172" t="s">
        <v>2141</v>
      </c>
      <c r="F93" s="191" t="s">
        <v>2142</v>
      </c>
      <c r="G93" s="192">
        <v>1</v>
      </c>
      <c r="H93" s="192"/>
      <c r="I93" s="192"/>
      <c r="J93" s="193"/>
      <c r="K93" s="193"/>
      <c r="L93" s="193"/>
      <c r="M93" s="193"/>
      <c r="N93" s="194"/>
    </row>
    <row r="94" spans="1:14" s="171" customFormat="1" ht="25.8" customHeight="1" outlineLevel="1">
      <c r="A94" s="189">
        <f>SUBTOTAL(3,$F$6:F94)</f>
        <v>74</v>
      </c>
      <c r="B94" s="190" t="s">
        <v>2145</v>
      </c>
      <c r="C94" s="172" t="s">
        <v>2140</v>
      </c>
      <c r="D94" s="190"/>
      <c r="E94" s="172" t="s">
        <v>2141</v>
      </c>
      <c r="F94" s="191" t="s">
        <v>2142</v>
      </c>
      <c r="G94" s="192">
        <v>1</v>
      </c>
      <c r="H94" s="192"/>
      <c r="I94" s="192"/>
      <c r="J94" s="193"/>
      <c r="K94" s="193"/>
      <c r="L94" s="193"/>
      <c r="M94" s="193"/>
      <c r="N94" s="194"/>
    </row>
    <row r="95" spans="1:14" s="171" customFormat="1" ht="25.8" customHeight="1" outlineLevel="1">
      <c r="A95" s="189">
        <f>SUBTOTAL(3,$F$6:F95)</f>
        <v>75</v>
      </c>
      <c r="B95" s="190" t="s">
        <v>2146</v>
      </c>
      <c r="C95" s="172" t="s">
        <v>2140</v>
      </c>
      <c r="D95" s="190"/>
      <c r="E95" s="172" t="s">
        <v>2141</v>
      </c>
      <c r="F95" s="191" t="s">
        <v>2142</v>
      </c>
      <c r="G95" s="192">
        <v>2</v>
      </c>
      <c r="H95" s="192"/>
      <c r="I95" s="192"/>
      <c r="J95" s="193"/>
      <c r="K95" s="193"/>
      <c r="L95" s="193"/>
      <c r="M95" s="193"/>
      <c r="N95" s="194"/>
    </row>
    <row r="96" spans="1:14" s="171" customFormat="1" ht="25.8" customHeight="1" outlineLevel="1">
      <c r="A96" s="189">
        <f>SUBTOTAL(3,$F$6:F96)</f>
        <v>76</v>
      </c>
      <c r="B96" s="190" t="s">
        <v>2147</v>
      </c>
      <c r="C96" s="172" t="s">
        <v>2140</v>
      </c>
      <c r="D96" s="190"/>
      <c r="E96" s="172" t="s">
        <v>2141</v>
      </c>
      <c r="F96" s="191" t="s">
        <v>2142</v>
      </c>
      <c r="G96" s="192">
        <v>2</v>
      </c>
      <c r="H96" s="192"/>
      <c r="I96" s="192"/>
      <c r="J96" s="193"/>
      <c r="K96" s="193"/>
      <c r="L96" s="193"/>
      <c r="M96" s="193"/>
      <c r="N96" s="194"/>
    </row>
    <row r="97" spans="1:14" s="171" customFormat="1" ht="25.8" customHeight="1" outlineLevel="1">
      <c r="A97" s="189">
        <f>SUBTOTAL(3,$F$6:F97)</f>
        <v>77</v>
      </c>
      <c r="B97" s="190" t="s">
        <v>2148</v>
      </c>
      <c r="C97" s="172" t="s">
        <v>2140</v>
      </c>
      <c r="D97" s="190"/>
      <c r="E97" s="172" t="s">
        <v>2141</v>
      </c>
      <c r="F97" s="191" t="s">
        <v>2142</v>
      </c>
      <c r="G97" s="192">
        <v>1</v>
      </c>
      <c r="H97" s="192"/>
      <c r="I97" s="192"/>
      <c r="J97" s="193"/>
      <c r="K97" s="193"/>
      <c r="L97" s="193"/>
      <c r="M97" s="193"/>
      <c r="N97" s="194"/>
    </row>
    <row r="98" spans="1:14" s="171" customFormat="1" ht="25.8" customHeight="1" outlineLevel="1">
      <c r="A98" s="189">
        <f>SUBTOTAL(3,$F$6:F98)</f>
        <v>78</v>
      </c>
      <c r="B98" s="190" t="s">
        <v>2149</v>
      </c>
      <c r="C98" s="172" t="s">
        <v>2140</v>
      </c>
      <c r="D98" s="190"/>
      <c r="E98" s="172" t="s">
        <v>2141</v>
      </c>
      <c r="F98" s="191" t="s">
        <v>2142</v>
      </c>
      <c r="G98" s="192">
        <v>1</v>
      </c>
      <c r="H98" s="192"/>
      <c r="I98" s="192"/>
      <c r="J98" s="193"/>
      <c r="K98" s="193"/>
      <c r="L98" s="193"/>
      <c r="M98" s="193"/>
      <c r="N98" s="194"/>
    </row>
    <row r="99" spans="1:14" s="171" customFormat="1" ht="25.8" customHeight="1" outlineLevel="1">
      <c r="A99" s="189">
        <f>SUBTOTAL(3,$F$6:F99)</f>
        <v>79</v>
      </c>
      <c r="B99" s="190" t="s">
        <v>2150</v>
      </c>
      <c r="C99" s="172" t="s">
        <v>2140</v>
      </c>
      <c r="D99" s="190"/>
      <c r="E99" s="172" t="s">
        <v>2141</v>
      </c>
      <c r="F99" s="191" t="s">
        <v>2142</v>
      </c>
      <c r="G99" s="192">
        <v>12</v>
      </c>
      <c r="H99" s="192"/>
      <c r="I99" s="192"/>
      <c r="J99" s="193"/>
      <c r="K99" s="193"/>
      <c r="L99" s="193"/>
      <c r="M99" s="193"/>
      <c r="N99" s="194"/>
    </row>
    <row r="100" spans="1:14" s="171" customFormat="1" ht="25.8" customHeight="1" outlineLevel="1">
      <c r="A100" s="189">
        <f>SUBTOTAL(3,$F$6:F100)</f>
        <v>80</v>
      </c>
      <c r="B100" s="190" t="s">
        <v>2151</v>
      </c>
      <c r="C100" s="172" t="s">
        <v>2140</v>
      </c>
      <c r="D100" s="190"/>
      <c r="E100" s="172" t="s">
        <v>2141</v>
      </c>
      <c r="F100" s="191" t="s">
        <v>2142</v>
      </c>
      <c r="G100" s="192">
        <v>39</v>
      </c>
      <c r="H100" s="192"/>
      <c r="I100" s="192"/>
      <c r="J100" s="193"/>
      <c r="K100" s="193"/>
      <c r="L100" s="193"/>
      <c r="M100" s="193"/>
      <c r="N100" s="194"/>
    </row>
    <row r="101" spans="1:14" s="171" customFormat="1" ht="25.8" customHeight="1" outlineLevel="1">
      <c r="A101" s="189">
        <f>SUBTOTAL(3,$F$6:F101)</f>
        <v>81</v>
      </c>
      <c r="B101" s="190" t="s">
        <v>2152</v>
      </c>
      <c r="C101" s="172"/>
      <c r="D101" s="190"/>
      <c r="E101" s="172"/>
      <c r="F101" s="191" t="s">
        <v>287</v>
      </c>
      <c r="G101" s="192">
        <v>30</v>
      </c>
      <c r="H101" s="192"/>
      <c r="I101" s="192"/>
      <c r="J101" s="193"/>
      <c r="K101" s="193"/>
      <c r="L101" s="193"/>
      <c r="M101" s="193"/>
      <c r="N101" s="194"/>
    </row>
    <row r="102" spans="1:14" s="171" customFormat="1" ht="25.8" customHeight="1" outlineLevel="1">
      <c r="A102" s="189">
        <f>SUBTOTAL(3,$F$6:F102)</f>
        <v>82</v>
      </c>
      <c r="B102" s="190" t="s">
        <v>2153</v>
      </c>
      <c r="C102" s="172"/>
      <c r="D102" s="190"/>
      <c r="E102" s="172"/>
      <c r="F102" s="191" t="s">
        <v>287</v>
      </c>
      <c r="G102" s="192">
        <v>12</v>
      </c>
      <c r="H102" s="192"/>
      <c r="I102" s="192"/>
      <c r="J102" s="193"/>
      <c r="K102" s="193"/>
      <c r="L102" s="193"/>
      <c r="M102" s="193"/>
      <c r="N102" s="194"/>
    </row>
    <row r="103" spans="1:14" s="171" customFormat="1" ht="25.8" customHeight="1" outlineLevel="1">
      <c r="A103" s="189">
        <f>SUBTOTAL(3,$F$6:F103)</f>
        <v>83</v>
      </c>
      <c r="B103" s="190" t="s">
        <v>2154</v>
      </c>
      <c r="C103" s="172"/>
      <c r="D103" s="190"/>
      <c r="E103" s="172"/>
      <c r="F103" s="191" t="s">
        <v>287</v>
      </c>
      <c r="G103" s="192">
        <v>12</v>
      </c>
      <c r="H103" s="192"/>
      <c r="I103" s="192"/>
      <c r="J103" s="193"/>
      <c r="K103" s="193"/>
      <c r="L103" s="193"/>
      <c r="M103" s="193"/>
      <c r="N103" s="194"/>
    </row>
    <row r="104" spans="1:14" s="171" customFormat="1" ht="25.8" customHeight="1" outlineLevel="1">
      <c r="A104" s="189">
        <f>SUBTOTAL(3,$F$6:F104)</f>
        <v>84</v>
      </c>
      <c r="B104" s="190" t="s">
        <v>2155</v>
      </c>
      <c r="C104" s="172"/>
      <c r="D104" s="190"/>
      <c r="E104" s="172"/>
      <c r="F104" s="191" t="s">
        <v>287</v>
      </c>
      <c r="G104" s="192">
        <v>12</v>
      </c>
      <c r="H104" s="192"/>
      <c r="I104" s="192"/>
      <c r="J104" s="193"/>
      <c r="K104" s="193"/>
      <c r="L104" s="193"/>
      <c r="M104" s="193"/>
      <c r="N104" s="194"/>
    </row>
    <row r="105" spans="1:14" s="171" customFormat="1" ht="25.8" customHeight="1" outlineLevel="1">
      <c r="A105" s="189">
        <f>SUBTOTAL(3,$F$6:F105)</f>
        <v>85</v>
      </c>
      <c r="B105" s="194" t="s">
        <v>2156</v>
      </c>
      <c r="C105" s="172"/>
      <c r="D105" s="194"/>
      <c r="E105" s="172"/>
      <c r="F105" s="191" t="s">
        <v>825</v>
      </c>
      <c r="G105" s="192">
        <v>1</v>
      </c>
      <c r="H105" s="192"/>
      <c r="I105" s="192"/>
      <c r="J105" s="193"/>
      <c r="K105" s="193"/>
      <c r="L105" s="193"/>
      <c r="M105" s="193"/>
      <c r="N105" s="194"/>
    </row>
    <row r="106" spans="1:14" s="171" customFormat="1" ht="25.8" customHeight="1" outlineLevel="1">
      <c r="A106" s="189">
        <f>SUBTOTAL(3,$F$6:F106)</f>
        <v>86</v>
      </c>
      <c r="B106" s="190" t="s">
        <v>2157</v>
      </c>
      <c r="C106" s="172"/>
      <c r="D106" s="190"/>
      <c r="E106" s="172"/>
      <c r="F106" s="191" t="s">
        <v>287</v>
      </c>
      <c r="G106" s="192">
        <v>9</v>
      </c>
      <c r="H106" s="192"/>
      <c r="I106" s="192"/>
      <c r="J106" s="193"/>
      <c r="K106" s="193"/>
      <c r="L106" s="193"/>
      <c r="M106" s="193"/>
      <c r="N106" s="194"/>
    </row>
    <row r="107" spans="1:14" s="171" customFormat="1" ht="25.8" customHeight="1" outlineLevel="1">
      <c r="A107" s="189">
        <f>SUBTOTAL(3,$F$6:F107)</f>
        <v>87</v>
      </c>
      <c r="B107" s="194" t="s">
        <v>2158</v>
      </c>
      <c r="C107" s="172"/>
      <c r="D107" s="194"/>
      <c r="E107" s="172"/>
      <c r="F107" s="191" t="s">
        <v>396</v>
      </c>
      <c r="G107" s="192">
        <v>12</v>
      </c>
      <c r="H107" s="192"/>
      <c r="I107" s="192"/>
      <c r="J107" s="193"/>
      <c r="K107" s="193"/>
      <c r="L107" s="193"/>
      <c r="M107" s="193"/>
      <c r="N107" s="194"/>
    </row>
    <row r="108" spans="1:14" s="171" customFormat="1" ht="25.8" customHeight="1" outlineLevel="1">
      <c r="A108" s="189">
        <f>SUBTOTAL(3,$F$6:F108)</f>
        <v>88</v>
      </c>
      <c r="B108" s="194" t="s">
        <v>2159</v>
      </c>
      <c r="C108" s="172"/>
      <c r="D108" s="194"/>
      <c r="E108" s="172"/>
      <c r="F108" s="191" t="s">
        <v>396</v>
      </c>
      <c r="G108" s="192">
        <v>9</v>
      </c>
      <c r="H108" s="192"/>
      <c r="I108" s="192"/>
      <c r="J108" s="193"/>
      <c r="K108" s="193"/>
      <c r="L108" s="193"/>
      <c r="M108" s="193"/>
      <c r="N108" s="194"/>
    </row>
    <row r="109" spans="1:14" s="171" customFormat="1" ht="25.8" customHeight="1" outlineLevel="1">
      <c r="A109" s="189">
        <f>SUBTOTAL(3,$F$6:F109)</f>
        <v>89</v>
      </c>
      <c r="B109" s="194" t="s">
        <v>2160</v>
      </c>
      <c r="C109" s="172"/>
      <c r="D109" s="194"/>
      <c r="E109" s="172"/>
      <c r="F109" s="191" t="s">
        <v>287</v>
      </c>
      <c r="G109" s="192">
        <v>1</v>
      </c>
      <c r="H109" s="192"/>
      <c r="I109" s="192"/>
      <c r="J109" s="193"/>
      <c r="K109" s="193"/>
      <c r="L109" s="193"/>
      <c r="M109" s="193"/>
      <c r="N109" s="194"/>
    </row>
    <row r="110" spans="1:14" s="171" customFormat="1" ht="25.8" customHeight="1" outlineLevel="1">
      <c r="A110" s="189">
        <f>SUBTOTAL(3,$F$6:F110)</f>
        <v>90</v>
      </c>
      <c r="B110" s="194" t="s">
        <v>2161</v>
      </c>
      <c r="C110" s="172"/>
      <c r="D110" s="194"/>
      <c r="E110" s="172"/>
      <c r="F110" s="191" t="s">
        <v>287</v>
      </c>
      <c r="G110" s="192">
        <v>2</v>
      </c>
      <c r="H110" s="192"/>
      <c r="I110" s="192"/>
      <c r="J110" s="193"/>
      <c r="K110" s="193"/>
      <c r="L110" s="193"/>
      <c r="M110" s="193"/>
      <c r="N110" s="194"/>
    </row>
    <row r="111" spans="1:14" s="171" customFormat="1" ht="25.8" customHeight="1" outlineLevel="1">
      <c r="A111" s="189">
        <f>SUBTOTAL(3,$F$6:F111)</f>
        <v>91</v>
      </c>
      <c r="B111" s="194" t="s">
        <v>2162</v>
      </c>
      <c r="C111" s="172"/>
      <c r="D111" s="194"/>
      <c r="E111" s="172"/>
      <c r="F111" s="191" t="s">
        <v>287</v>
      </c>
      <c r="G111" s="192">
        <v>6</v>
      </c>
      <c r="H111" s="192"/>
      <c r="I111" s="192"/>
      <c r="J111" s="193"/>
      <c r="K111" s="193"/>
      <c r="L111" s="193"/>
      <c r="M111" s="193"/>
      <c r="N111" s="194"/>
    </row>
    <row r="112" spans="1:14" s="171" customFormat="1" ht="31.2" customHeight="1" outlineLevel="1">
      <c r="A112" s="189">
        <f>SUBTOTAL(3,$F$6:F112)</f>
        <v>92</v>
      </c>
      <c r="B112" s="327" t="s">
        <v>2126</v>
      </c>
      <c r="C112" s="172"/>
      <c r="D112" s="190"/>
      <c r="E112" s="172" t="s">
        <v>2125</v>
      </c>
      <c r="F112" s="191" t="s">
        <v>570</v>
      </c>
      <c r="G112" s="192">
        <v>14</v>
      </c>
      <c r="H112" s="192"/>
      <c r="I112" s="192"/>
      <c r="J112" s="193"/>
      <c r="K112" s="193"/>
      <c r="L112" s="193"/>
      <c r="M112" s="193"/>
      <c r="N112" s="194"/>
    </row>
    <row r="113" spans="1:14" s="171" customFormat="1" ht="31.2" customHeight="1" outlineLevel="1">
      <c r="A113" s="189">
        <f>SUBTOTAL(3,$F$6:F113)</f>
        <v>93</v>
      </c>
      <c r="B113" s="327" t="s">
        <v>2128</v>
      </c>
      <c r="C113" s="172"/>
      <c r="D113" s="190"/>
      <c r="E113" s="172" t="s">
        <v>2125</v>
      </c>
      <c r="F113" s="191" t="s">
        <v>570</v>
      </c>
      <c r="G113" s="192">
        <v>19</v>
      </c>
      <c r="H113" s="192"/>
      <c r="I113" s="192"/>
      <c r="J113" s="193"/>
      <c r="K113" s="193"/>
      <c r="L113" s="193"/>
      <c r="M113" s="193"/>
      <c r="N113" s="194"/>
    </row>
    <row r="114" spans="1:14" s="171" customFormat="1" ht="31.2" customHeight="1" outlineLevel="1">
      <c r="A114" s="189">
        <f>SUBTOTAL(3,$F$6:F114)</f>
        <v>94</v>
      </c>
      <c r="B114" s="327" t="s">
        <v>2129</v>
      </c>
      <c r="C114" s="172"/>
      <c r="D114" s="190"/>
      <c r="E114" s="172" t="s">
        <v>2125</v>
      </c>
      <c r="F114" s="191" t="s">
        <v>570</v>
      </c>
      <c r="G114" s="192">
        <v>42</v>
      </c>
      <c r="H114" s="192"/>
      <c r="I114" s="192"/>
      <c r="J114" s="193"/>
      <c r="K114" s="193"/>
      <c r="L114" s="193"/>
      <c r="M114" s="193"/>
      <c r="N114" s="194"/>
    </row>
    <row r="115" spans="1:14" s="171" customFormat="1" ht="31.2" customHeight="1" outlineLevel="1">
      <c r="A115" s="189">
        <f>SUBTOTAL(3,$F$6:F115)</f>
        <v>95</v>
      </c>
      <c r="B115" s="327" t="s">
        <v>2130</v>
      </c>
      <c r="C115" s="172"/>
      <c r="D115" s="190"/>
      <c r="E115" s="172" t="s">
        <v>2125</v>
      </c>
      <c r="F115" s="191" t="s">
        <v>570</v>
      </c>
      <c r="G115" s="192">
        <v>5</v>
      </c>
      <c r="H115" s="192"/>
      <c r="I115" s="192"/>
      <c r="J115" s="193"/>
      <c r="K115" s="193"/>
      <c r="L115" s="193"/>
      <c r="M115" s="193"/>
      <c r="N115" s="194"/>
    </row>
    <row r="116" spans="1:14" s="171" customFormat="1" ht="31.2" customHeight="1" outlineLevel="1">
      <c r="A116" s="189">
        <f>SUBTOTAL(3,$F$6:F116)</f>
        <v>96</v>
      </c>
      <c r="B116" s="327" t="s">
        <v>2131</v>
      </c>
      <c r="C116" s="172"/>
      <c r="D116" s="190"/>
      <c r="E116" s="172" t="s">
        <v>2125</v>
      </c>
      <c r="F116" s="191" t="s">
        <v>570</v>
      </c>
      <c r="G116" s="192">
        <v>87</v>
      </c>
      <c r="H116" s="192"/>
      <c r="I116" s="192"/>
      <c r="J116" s="193"/>
      <c r="K116" s="193"/>
      <c r="L116" s="193"/>
      <c r="M116" s="193"/>
      <c r="N116" s="194"/>
    </row>
    <row r="117" spans="1:14" s="171" customFormat="1" ht="31.2" customHeight="1" outlineLevel="1">
      <c r="A117" s="189">
        <f>SUBTOTAL(3,$F$6:F117)</f>
        <v>97</v>
      </c>
      <c r="B117" s="327" t="s">
        <v>2131</v>
      </c>
      <c r="C117" s="172"/>
      <c r="D117" s="190"/>
      <c r="E117" s="172" t="s">
        <v>2125</v>
      </c>
      <c r="F117" s="191" t="s">
        <v>570</v>
      </c>
      <c r="G117" s="192">
        <v>39</v>
      </c>
      <c r="H117" s="192"/>
      <c r="I117" s="192"/>
      <c r="J117" s="193"/>
      <c r="K117" s="193"/>
      <c r="L117" s="193"/>
      <c r="M117" s="193"/>
      <c r="N117" s="194"/>
    </row>
    <row r="118" spans="1:14" s="171" customFormat="1" ht="31.2" customHeight="1" outlineLevel="1">
      <c r="A118" s="189">
        <f>SUBTOTAL(3,$F$6:F118)</f>
        <v>98</v>
      </c>
      <c r="B118" s="190" t="s">
        <v>2133</v>
      </c>
      <c r="C118" s="172"/>
      <c r="D118" s="190"/>
      <c r="E118" s="172"/>
      <c r="F118" s="191" t="s">
        <v>825</v>
      </c>
      <c r="G118" s="192">
        <v>1</v>
      </c>
      <c r="H118" s="192"/>
      <c r="I118" s="192"/>
      <c r="J118" s="193"/>
      <c r="K118" s="193"/>
      <c r="L118" s="193"/>
      <c r="M118" s="193"/>
      <c r="N118" s="194"/>
    </row>
    <row r="119" spans="1:14" s="171" customFormat="1" ht="31.2" customHeight="1" outlineLevel="1">
      <c r="A119" s="189">
        <f>SUBTOTAL(3,$F$6:F119)</f>
        <v>99</v>
      </c>
      <c r="B119" s="190" t="s">
        <v>2134</v>
      </c>
      <c r="C119" s="172"/>
      <c r="D119" s="190"/>
      <c r="E119" s="172"/>
      <c r="F119" s="191" t="s">
        <v>825</v>
      </c>
      <c r="G119" s="192">
        <v>1</v>
      </c>
      <c r="H119" s="192"/>
      <c r="I119" s="192"/>
      <c r="J119" s="193"/>
      <c r="K119" s="193"/>
      <c r="L119" s="193"/>
      <c r="M119" s="193"/>
      <c r="N119" s="194"/>
    </row>
    <row r="120" spans="1:14" s="171" customFormat="1" ht="49.8" customHeight="1" outlineLevel="1">
      <c r="A120" s="189">
        <f>SUBTOTAL(3,$F$6:F120)</f>
        <v>100</v>
      </c>
      <c r="B120" s="190" t="s">
        <v>2135</v>
      </c>
      <c r="C120" s="172"/>
      <c r="D120" s="190"/>
      <c r="E120" s="172"/>
      <c r="F120" s="191" t="s">
        <v>825</v>
      </c>
      <c r="G120" s="192">
        <v>1</v>
      </c>
      <c r="H120" s="192"/>
      <c r="I120" s="192"/>
      <c r="J120" s="193"/>
      <c r="K120" s="193"/>
      <c r="L120" s="193"/>
      <c r="M120" s="193"/>
      <c r="N120" s="194"/>
    </row>
    <row r="121" spans="1:14" ht="28.8" customHeight="1" outlineLevel="1">
      <c r="A121" s="189"/>
      <c r="B121" s="199" t="s">
        <v>2163</v>
      </c>
      <c r="C121" s="197"/>
      <c r="D121" s="199"/>
      <c r="E121" s="197"/>
      <c r="F121" s="191"/>
      <c r="G121" s="192"/>
      <c r="H121" s="192"/>
      <c r="I121" s="192"/>
      <c r="J121" s="193"/>
      <c r="K121" s="193"/>
      <c r="L121" s="193"/>
      <c r="M121" s="193"/>
      <c r="N121" s="194"/>
    </row>
    <row r="122" spans="1:14" s="171" customFormat="1" ht="52.2" customHeight="1" outlineLevel="1">
      <c r="A122" s="189">
        <f>SUBTOTAL(3,$F$6:F122)</f>
        <v>101</v>
      </c>
      <c r="B122" s="190" t="s">
        <v>2164</v>
      </c>
      <c r="C122" s="172"/>
      <c r="D122" s="190"/>
      <c r="E122" s="172" t="s">
        <v>2165</v>
      </c>
      <c r="F122" s="191" t="s">
        <v>2107</v>
      </c>
      <c r="G122" s="192">
        <v>9</v>
      </c>
      <c r="H122" s="192"/>
      <c r="I122" s="192"/>
      <c r="J122" s="193"/>
      <c r="K122" s="193"/>
      <c r="L122" s="193"/>
      <c r="M122" s="193"/>
      <c r="N122" s="194"/>
    </row>
    <row r="123" spans="1:14" s="171" customFormat="1" ht="36.6" customHeight="1" outlineLevel="1">
      <c r="A123" s="189">
        <f>SUBTOTAL(3,$F$6:F123)</f>
        <v>102</v>
      </c>
      <c r="B123" s="194" t="s">
        <v>2166</v>
      </c>
      <c r="C123" s="172"/>
      <c r="D123" s="194"/>
      <c r="E123" s="205" t="s">
        <v>2167</v>
      </c>
      <c r="F123" s="191" t="s">
        <v>287</v>
      </c>
      <c r="G123" s="192">
        <v>18</v>
      </c>
      <c r="H123" s="192"/>
      <c r="I123" s="192"/>
      <c r="J123" s="193"/>
      <c r="K123" s="193"/>
      <c r="L123" s="193"/>
      <c r="M123" s="193"/>
      <c r="N123" s="194"/>
    </row>
    <row r="124" spans="1:14" s="171" customFormat="1" ht="36.6" customHeight="1" outlineLevel="1">
      <c r="A124" s="189">
        <f>SUBTOTAL(3,$F$6:F124)</f>
        <v>103</v>
      </c>
      <c r="B124" s="190" t="s">
        <v>2168</v>
      </c>
      <c r="C124" s="172"/>
      <c r="D124" s="190"/>
      <c r="E124" s="205" t="s">
        <v>2167</v>
      </c>
      <c r="F124" s="191" t="s">
        <v>287</v>
      </c>
      <c r="G124" s="192">
        <v>18</v>
      </c>
      <c r="H124" s="192"/>
      <c r="I124" s="192"/>
      <c r="J124" s="193"/>
      <c r="K124" s="193"/>
      <c r="L124" s="193"/>
      <c r="M124" s="193"/>
      <c r="N124" s="194"/>
    </row>
    <row r="125" spans="1:14" s="171" customFormat="1" ht="36.6" customHeight="1" outlineLevel="1">
      <c r="A125" s="189">
        <f>SUBTOTAL(3,$F$6:F125)</f>
        <v>104</v>
      </c>
      <c r="B125" s="190" t="s">
        <v>2169</v>
      </c>
      <c r="C125" s="172"/>
      <c r="D125" s="190"/>
      <c r="E125" s="172" t="s">
        <v>2170</v>
      </c>
      <c r="F125" s="191" t="s">
        <v>287</v>
      </c>
      <c r="G125" s="192">
        <v>20</v>
      </c>
      <c r="H125" s="192"/>
      <c r="I125" s="192"/>
      <c r="J125" s="193"/>
      <c r="K125" s="193"/>
      <c r="L125" s="193"/>
      <c r="M125" s="193"/>
      <c r="N125" s="194"/>
    </row>
    <row r="126" spans="1:14" s="171" customFormat="1" ht="36.6" customHeight="1" outlineLevel="1">
      <c r="A126" s="189">
        <f>SUBTOTAL(3,$F$6:F126)</f>
        <v>105</v>
      </c>
      <c r="B126" s="194" t="s">
        <v>2171</v>
      </c>
      <c r="C126" s="172"/>
      <c r="D126" s="194"/>
      <c r="E126" s="172" t="s">
        <v>2165</v>
      </c>
      <c r="F126" s="191" t="s">
        <v>287</v>
      </c>
      <c r="G126" s="192">
        <v>9</v>
      </c>
      <c r="H126" s="192"/>
      <c r="I126" s="192"/>
      <c r="J126" s="193"/>
      <c r="K126" s="193"/>
      <c r="L126" s="193"/>
      <c r="M126" s="193"/>
      <c r="N126" s="194"/>
    </row>
    <row r="127" spans="1:14" s="171" customFormat="1" ht="36.6" customHeight="1" outlineLevel="1">
      <c r="A127" s="189">
        <f>SUBTOTAL(3,$F$6:F127)</f>
        <v>106</v>
      </c>
      <c r="B127" s="194" t="s">
        <v>2172</v>
      </c>
      <c r="C127" s="172"/>
      <c r="D127" s="194"/>
      <c r="E127" s="172" t="s">
        <v>2165</v>
      </c>
      <c r="F127" s="191" t="s">
        <v>287</v>
      </c>
      <c r="G127" s="192">
        <v>9</v>
      </c>
      <c r="H127" s="192"/>
      <c r="I127" s="192"/>
      <c r="J127" s="193"/>
      <c r="K127" s="193"/>
      <c r="L127" s="193"/>
      <c r="M127" s="193"/>
      <c r="N127" s="194"/>
    </row>
    <row r="128" spans="1:14" s="171" customFormat="1" ht="36.6" customHeight="1" outlineLevel="1">
      <c r="A128" s="189">
        <f>SUBTOTAL(3,$F$6:F128)</f>
        <v>107</v>
      </c>
      <c r="B128" s="194" t="s">
        <v>2173</v>
      </c>
      <c r="C128" s="172"/>
      <c r="D128" s="194"/>
      <c r="E128" s="172" t="s">
        <v>2174</v>
      </c>
      <c r="F128" s="191" t="s">
        <v>396</v>
      </c>
      <c r="G128" s="192">
        <v>9</v>
      </c>
      <c r="H128" s="192"/>
      <c r="I128" s="192"/>
      <c r="J128" s="193"/>
      <c r="K128" s="193"/>
      <c r="L128" s="193"/>
      <c r="M128" s="193"/>
      <c r="N128" s="194"/>
    </row>
    <row r="129" spans="1:14" s="171" customFormat="1" ht="36.6" customHeight="1" outlineLevel="1">
      <c r="A129" s="189">
        <f>SUBTOTAL(3,$F$6:F129)</f>
        <v>108</v>
      </c>
      <c r="B129" s="194" t="s">
        <v>2175</v>
      </c>
      <c r="C129" s="172"/>
      <c r="D129" s="194"/>
      <c r="E129" s="172" t="s">
        <v>2176</v>
      </c>
      <c r="F129" s="191" t="s">
        <v>287</v>
      </c>
      <c r="G129" s="192">
        <v>9</v>
      </c>
      <c r="H129" s="192"/>
      <c r="I129" s="192"/>
      <c r="J129" s="193"/>
      <c r="K129" s="193"/>
      <c r="L129" s="193"/>
      <c r="M129" s="193"/>
      <c r="N129" s="194"/>
    </row>
    <row r="130" spans="1:14" s="171" customFormat="1" ht="36.6" customHeight="1" outlineLevel="1">
      <c r="A130" s="189">
        <f>SUBTOTAL(3,$F$6:F130)</f>
        <v>109</v>
      </c>
      <c r="B130" s="194" t="s">
        <v>2177</v>
      </c>
      <c r="C130" s="172"/>
      <c r="D130" s="194"/>
      <c r="E130" s="172" t="s">
        <v>2178</v>
      </c>
      <c r="F130" s="191" t="s">
        <v>287</v>
      </c>
      <c r="G130" s="192">
        <v>9</v>
      </c>
      <c r="H130" s="192"/>
      <c r="I130" s="192"/>
      <c r="J130" s="193"/>
      <c r="K130" s="193"/>
      <c r="L130" s="193"/>
      <c r="M130" s="193"/>
      <c r="N130" s="194"/>
    </row>
    <row r="131" spans="1:14" s="171" customFormat="1" ht="36.6" customHeight="1" outlineLevel="1">
      <c r="A131" s="189">
        <f>SUBTOTAL(3,$F$6:F131)</f>
        <v>110</v>
      </c>
      <c r="B131" s="194" t="s">
        <v>2179</v>
      </c>
      <c r="C131" s="172"/>
      <c r="D131" s="194"/>
      <c r="E131" s="172"/>
      <c r="F131" s="191" t="s">
        <v>287</v>
      </c>
      <c r="G131" s="192"/>
      <c r="H131" s="192"/>
      <c r="I131" s="192"/>
      <c r="J131" s="193"/>
      <c r="K131" s="193"/>
      <c r="L131" s="193"/>
      <c r="M131" s="193"/>
      <c r="N131" s="194"/>
    </row>
    <row r="132" spans="1:14" s="171" customFormat="1" ht="36.6" customHeight="1" outlineLevel="1">
      <c r="A132" s="189">
        <f>SUBTOTAL(3,$F$6:F132)</f>
        <v>111</v>
      </c>
      <c r="B132" s="194" t="s">
        <v>2180</v>
      </c>
      <c r="C132" s="172"/>
      <c r="D132" s="194"/>
      <c r="E132" s="172"/>
      <c r="F132" s="191" t="s">
        <v>287</v>
      </c>
      <c r="G132" s="192">
        <v>9</v>
      </c>
      <c r="H132" s="192"/>
      <c r="I132" s="192"/>
      <c r="J132" s="193"/>
      <c r="K132" s="193"/>
      <c r="L132" s="193"/>
      <c r="M132" s="193"/>
      <c r="N132" s="194"/>
    </row>
    <row r="133" spans="1:14" s="171" customFormat="1" ht="39.6" customHeight="1" outlineLevel="1">
      <c r="A133" s="189">
        <f>SUBTOTAL(3,$F$6:F133)</f>
        <v>112</v>
      </c>
      <c r="B133" s="194" t="s">
        <v>2181</v>
      </c>
      <c r="C133" s="172"/>
      <c r="D133" s="194"/>
      <c r="E133" s="172"/>
      <c r="F133" s="191" t="s">
        <v>570</v>
      </c>
      <c r="G133" s="192">
        <v>594.20000000000005</v>
      </c>
      <c r="H133" s="192"/>
      <c r="I133" s="192"/>
      <c r="J133" s="193"/>
      <c r="K133" s="193"/>
      <c r="L133" s="193"/>
      <c r="M133" s="193"/>
      <c r="N133" s="194"/>
    </row>
    <row r="134" spans="1:14" s="171" customFormat="1" ht="39.6" customHeight="1" outlineLevel="1">
      <c r="A134" s="189">
        <f>SUBTOTAL(3,$F$6:F134)</f>
        <v>113</v>
      </c>
      <c r="B134" s="190" t="s">
        <v>910</v>
      </c>
      <c r="C134" s="172"/>
      <c r="D134" s="190"/>
      <c r="E134" s="172"/>
      <c r="F134" s="191" t="s">
        <v>825</v>
      </c>
      <c r="G134" s="192">
        <v>1</v>
      </c>
      <c r="H134" s="192"/>
      <c r="I134" s="192"/>
      <c r="J134" s="193"/>
      <c r="K134" s="193"/>
      <c r="L134" s="193"/>
      <c r="M134" s="193"/>
      <c r="N134" s="194"/>
    </row>
    <row r="135" spans="1:14" ht="27.6" customHeight="1">
      <c r="A135" s="185" t="s">
        <v>72</v>
      </c>
      <c r="B135" s="173" t="s">
        <v>1117</v>
      </c>
      <c r="C135" s="181"/>
      <c r="D135" s="173"/>
      <c r="E135" s="181"/>
      <c r="F135" s="191"/>
      <c r="G135" s="192"/>
      <c r="H135" s="192"/>
      <c r="I135" s="192"/>
      <c r="J135" s="193"/>
      <c r="K135" s="187"/>
      <c r="L135" s="187"/>
      <c r="M135" s="187"/>
      <c r="N135" s="194"/>
    </row>
    <row r="136" spans="1:14" ht="29.4" customHeight="1" outlineLevel="1">
      <c r="A136" s="189">
        <f>SUBTOTAL(3,$F$6:F136)</f>
        <v>114</v>
      </c>
      <c r="B136" s="190" t="s">
        <v>2043</v>
      </c>
      <c r="C136" s="172"/>
      <c r="D136" s="190"/>
      <c r="E136" s="172"/>
      <c r="F136" s="191" t="s">
        <v>825</v>
      </c>
      <c r="G136" s="192">
        <v>0</v>
      </c>
      <c r="H136" s="192"/>
      <c r="I136" s="192"/>
      <c r="J136" s="193"/>
      <c r="K136" s="193"/>
      <c r="L136" s="193"/>
      <c r="M136" s="193"/>
      <c r="N136" s="194"/>
    </row>
    <row r="137" spans="1:14" ht="29.4" customHeight="1" outlineLevel="1">
      <c r="A137" s="189">
        <f>SUBTOTAL(3,$F$6:F137)</f>
        <v>115</v>
      </c>
      <c r="B137" s="190" t="s">
        <v>2182</v>
      </c>
      <c r="C137" s="172"/>
      <c r="D137" s="190"/>
      <c r="E137" s="172"/>
      <c r="F137" s="191" t="s">
        <v>825</v>
      </c>
      <c r="G137" s="192">
        <v>0</v>
      </c>
      <c r="H137" s="192"/>
      <c r="I137" s="192"/>
      <c r="J137" s="193"/>
      <c r="K137" s="193"/>
      <c r="L137" s="193"/>
      <c r="M137" s="193"/>
      <c r="N137" s="194"/>
    </row>
    <row r="138" spans="1:14" ht="29.4" customHeight="1" outlineLevel="1">
      <c r="A138" s="189">
        <f>SUBTOTAL(3,$F$6:F138)</f>
        <v>116</v>
      </c>
      <c r="B138" s="194" t="s">
        <v>2044</v>
      </c>
      <c r="C138" s="172"/>
      <c r="D138" s="194"/>
      <c r="E138" s="172"/>
      <c r="F138" s="191" t="s">
        <v>825</v>
      </c>
      <c r="G138" s="192">
        <v>0</v>
      </c>
      <c r="H138" s="192"/>
      <c r="I138" s="192"/>
      <c r="J138" s="193"/>
      <c r="K138" s="193"/>
      <c r="L138" s="193"/>
      <c r="M138" s="193"/>
      <c r="N138" s="194"/>
    </row>
    <row r="139" spans="1:14" ht="29.4" customHeight="1" outlineLevel="1">
      <c r="A139" s="189">
        <f>SUBTOTAL(3,$F$6:F139)</f>
        <v>117</v>
      </c>
      <c r="B139" s="194" t="s">
        <v>2045</v>
      </c>
      <c r="C139" s="172"/>
      <c r="D139" s="194"/>
      <c r="E139" s="172"/>
      <c r="F139" s="191" t="s">
        <v>825</v>
      </c>
      <c r="G139" s="192">
        <v>0</v>
      </c>
      <c r="H139" s="192"/>
      <c r="I139" s="192"/>
      <c r="J139" s="193"/>
      <c r="K139" s="193"/>
      <c r="L139" s="193"/>
      <c r="M139" s="193"/>
      <c r="N139" s="194"/>
    </row>
    <row r="140" spans="1:14">
      <c r="A140" s="185" t="s">
        <v>74</v>
      </c>
      <c r="B140" s="173" t="s">
        <v>803</v>
      </c>
      <c r="C140" s="181"/>
      <c r="D140" s="173"/>
      <c r="E140" s="181"/>
      <c r="F140" s="191"/>
      <c r="G140" s="192"/>
      <c r="H140" s="192"/>
      <c r="I140" s="192"/>
      <c r="J140" s="193"/>
      <c r="K140" s="193"/>
      <c r="L140" s="193"/>
      <c r="M140" s="193"/>
      <c r="N140" s="194"/>
    </row>
    <row r="141" spans="1:14" ht="78" customHeight="1">
      <c r="A141" s="189"/>
      <c r="B141" s="200" t="s">
        <v>804</v>
      </c>
      <c r="C141" s="184"/>
      <c r="D141" s="200"/>
      <c r="E141" s="184"/>
      <c r="F141" s="191" t="s">
        <v>45</v>
      </c>
      <c r="G141" s="192"/>
      <c r="H141" s="192"/>
      <c r="I141" s="192"/>
      <c r="J141" s="193"/>
      <c r="K141" s="193"/>
      <c r="L141" s="193"/>
      <c r="M141" s="193"/>
      <c r="N141" s="194"/>
    </row>
    <row r="142" spans="1:14" s="171" customFormat="1" ht="30" customHeight="1">
      <c r="A142" s="172" t="str">
        <f>IF(AND(F142&lt;&gt;"",F142&lt;&gt;"note"),MAX(#REF!)+1,"")</f>
        <v/>
      </c>
      <c r="B142" s="173" t="s">
        <v>805</v>
      </c>
      <c r="C142" s="181"/>
      <c r="D142" s="173"/>
      <c r="E142" s="181"/>
      <c r="F142" s="172"/>
      <c r="G142" s="174"/>
      <c r="H142" s="174"/>
      <c r="I142" s="174"/>
      <c r="J142" s="174"/>
      <c r="K142" s="175">
        <f>SUBTOTAL(9,K5:K141)</f>
        <v>0</v>
      </c>
      <c r="L142" s="175">
        <f>SUBTOTAL(9,L5:L141)</f>
        <v>0</v>
      </c>
      <c r="M142" s="175">
        <f>SUBTOTAL(9,M5:M141)</f>
        <v>0</v>
      </c>
      <c r="N142" s="176"/>
    </row>
  </sheetData>
  <autoFilter ref="A3:N141" xr:uid="{00000000-0009-0000-0000-000007000000}">
    <filterColumn colId="7" showButton="0"/>
  </autoFilter>
  <mergeCells count="10">
    <mergeCell ref="N3:N4"/>
    <mergeCell ref="F3:F4"/>
    <mergeCell ref="D3:D4"/>
    <mergeCell ref="K3:M3"/>
    <mergeCell ref="H3:J3"/>
    <mergeCell ref="C3:C4"/>
    <mergeCell ref="A3:A4"/>
    <mergeCell ref="B3:B4"/>
    <mergeCell ref="G3:G4"/>
    <mergeCell ref="E3:E4"/>
  </mergeCells>
  <pageMargins left="0.5" right="0.5" top="0.75" bottom="0.75" header="0.3" footer="0.3"/>
  <pageSetup paperSize="9" scale="31"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F24"/>
  <sheetViews>
    <sheetView workbookViewId="0">
      <selection activeCell="E5" sqref="E5"/>
    </sheetView>
  </sheetViews>
  <sheetFormatPr defaultRowHeight="13.8"/>
  <cols>
    <col min="1" max="1" width="6.6640625" style="165" customWidth="1"/>
    <col min="2" max="2" width="42" style="158" customWidth="1"/>
    <col min="3" max="3" width="23.21875" style="158" customWidth="1"/>
    <col min="4" max="4" width="29.77734375" style="158" customWidth="1"/>
    <col min="5" max="5" width="37.6640625" style="158" customWidth="1"/>
    <col min="6" max="6" width="8.88671875" style="158" customWidth="1"/>
    <col min="7" max="16384" width="8.88671875" style="158"/>
  </cols>
  <sheetData>
    <row r="2" spans="1:6" s="155" customFormat="1">
      <c r="A2" s="154" t="s">
        <v>5</v>
      </c>
      <c r="B2" s="154" t="s">
        <v>2183</v>
      </c>
      <c r="C2" s="154" t="s">
        <v>2184</v>
      </c>
      <c r="D2" s="154" t="s">
        <v>2185</v>
      </c>
      <c r="E2" s="154" t="s">
        <v>2186</v>
      </c>
      <c r="F2" s="154"/>
    </row>
    <row r="3" spans="1:6">
      <c r="A3" s="156" t="s">
        <v>78</v>
      </c>
      <c r="B3" s="157" t="s">
        <v>2187</v>
      </c>
      <c r="C3" s="157"/>
      <c r="D3" s="157"/>
      <c r="E3" s="157"/>
      <c r="F3" s="157"/>
    </row>
    <row r="4" spans="1:6">
      <c r="A4" s="156"/>
      <c r="B4" s="159" t="s">
        <v>2188</v>
      </c>
      <c r="C4" s="157"/>
      <c r="D4" s="157"/>
      <c r="E4" s="157"/>
      <c r="F4" s="157"/>
    </row>
    <row r="5" spans="1:6" s="164" customFormat="1" ht="96.6" customHeight="1">
      <c r="A5" s="160"/>
      <c r="B5" s="161" t="s">
        <v>2189</v>
      </c>
      <c r="C5" s="161" t="s">
        <v>785</v>
      </c>
      <c r="D5" s="162" t="s">
        <v>2190</v>
      </c>
      <c r="E5" s="163" t="s">
        <v>2191</v>
      </c>
      <c r="F5" s="161"/>
    </row>
    <row r="6" spans="1:6">
      <c r="A6" s="156"/>
      <c r="B6" s="159" t="s">
        <v>2192</v>
      </c>
      <c r="C6" s="157"/>
      <c r="D6" s="157"/>
      <c r="E6" s="157"/>
      <c r="F6" s="157"/>
    </row>
    <row r="7" spans="1:6" ht="96.6" customHeight="1">
      <c r="A7" s="156"/>
      <c r="B7" s="161" t="s">
        <v>2189</v>
      </c>
      <c r="C7" s="161" t="s">
        <v>785</v>
      </c>
      <c r="D7" s="162" t="s">
        <v>2190</v>
      </c>
      <c r="E7" s="163" t="s">
        <v>2191</v>
      </c>
      <c r="F7" s="157"/>
    </row>
    <row r="8" spans="1:6">
      <c r="A8" s="156"/>
      <c r="B8" s="159" t="s">
        <v>377</v>
      </c>
      <c r="C8" s="157"/>
      <c r="D8" s="157"/>
      <c r="E8" s="157"/>
      <c r="F8" s="157"/>
    </row>
    <row r="9" spans="1:6" ht="96.6" customHeight="1">
      <c r="A9" s="156"/>
      <c r="B9" s="161" t="s">
        <v>2189</v>
      </c>
      <c r="C9" s="161" t="s">
        <v>785</v>
      </c>
      <c r="D9" s="162" t="s">
        <v>2190</v>
      </c>
      <c r="E9" s="163" t="s">
        <v>2191</v>
      </c>
      <c r="F9" s="157"/>
    </row>
    <row r="10" spans="1:6">
      <c r="A10" s="156"/>
      <c r="B10" s="161" t="s">
        <v>2193</v>
      </c>
      <c r="C10" s="161"/>
      <c r="D10" s="162"/>
      <c r="E10" s="163"/>
      <c r="F10" s="157"/>
    </row>
    <row r="11" spans="1:6" ht="96.6" customHeight="1">
      <c r="A11" s="156"/>
      <c r="B11" s="161" t="s">
        <v>2194</v>
      </c>
      <c r="C11" s="161" t="s">
        <v>785</v>
      </c>
      <c r="D11" s="162" t="s">
        <v>2190</v>
      </c>
      <c r="E11" s="163" t="s">
        <v>2191</v>
      </c>
      <c r="F11" s="157"/>
    </row>
    <row r="12" spans="1:6">
      <c r="A12" s="156"/>
      <c r="B12" s="161" t="s">
        <v>2195</v>
      </c>
      <c r="C12" s="161" t="s">
        <v>785</v>
      </c>
      <c r="D12" s="161" t="s">
        <v>785</v>
      </c>
      <c r="E12" s="163"/>
      <c r="F12" s="157"/>
    </row>
    <row r="13" spans="1:6">
      <c r="A13" s="156"/>
      <c r="B13" s="159" t="s">
        <v>2196</v>
      </c>
      <c r="C13" s="157"/>
      <c r="D13" s="157"/>
      <c r="E13" s="157"/>
      <c r="F13" s="157"/>
    </row>
    <row r="14" spans="1:6">
      <c r="A14" s="156"/>
      <c r="B14" s="157" t="s">
        <v>2197</v>
      </c>
      <c r="C14" s="161" t="s">
        <v>785</v>
      </c>
      <c r="D14" s="162" t="s">
        <v>326</v>
      </c>
      <c r="E14" s="157"/>
      <c r="F14" s="157"/>
    </row>
    <row r="15" spans="1:6">
      <c r="A15" s="156"/>
      <c r="B15" s="159" t="s">
        <v>2198</v>
      </c>
      <c r="C15" s="157"/>
      <c r="D15" s="157"/>
      <c r="E15" s="157"/>
      <c r="F15" s="157"/>
    </row>
    <row r="16" spans="1:6" s="164" customFormat="1">
      <c r="A16" s="160"/>
      <c r="B16" s="161" t="s">
        <v>2199</v>
      </c>
      <c r="C16" s="160" t="s">
        <v>2200</v>
      </c>
      <c r="D16" s="162" t="s">
        <v>2201</v>
      </c>
      <c r="E16" s="162" t="s">
        <v>2202</v>
      </c>
      <c r="F16" s="161"/>
    </row>
    <row r="17" spans="1:6">
      <c r="A17" s="156"/>
      <c r="B17" s="157"/>
      <c r="C17" s="157"/>
      <c r="D17" s="157"/>
      <c r="E17" s="157"/>
      <c r="F17" s="157"/>
    </row>
    <row r="18" spans="1:6">
      <c r="A18" s="156"/>
      <c r="B18" s="157"/>
      <c r="C18" s="157"/>
      <c r="D18" s="157"/>
      <c r="E18" s="157"/>
      <c r="F18" s="157"/>
    </row>
    <row r="19" spans="1:6">
      <c r="A19" s="156"/>
      <c r="B19" s="157"/>
      <c r="C19" s="157"/>
      <c r="D19" s="157"/>
      <c r="E19" s="157"/>
      <c r="F19" s="157"/>
    </row>
    <row r="20" spans="1:6">
      <c r="A20" s="156"/>
      <c r="B20" s="157"/>
      <c r="C20" s="157"/>
      <c r="D20" s="157"/>
      <c r="E20" s="157"/>
      <c r="F20" s="157"/>
    </row>
    <row r="21" spans="1:6">
      <c r="A21" s="156"/>
      <c r="B21" s="157"/>
      <c r="C21" s="157"/>
      <c r="D21" s="157"/>
      <c r="E21" s="157"/>
      <c r="F21" s="157"/>
    </row>
    <row r="22" spans="1:6">
      <c r="A22" s="156"/>
      <c r="B22" s="157"/>
      <c r="C22" s="157"/>
      <c r="D22" s="157"/>
      <c r="E22" s="157"/>
      <c r="F22" s="157"/>
    </row>
    <row r="23" spans="1:6">
      <c r="A23" s="156"/>
      <c r="B23" s="157"/>
      <c r="C23" s="157"/>
      <c r="D23" s="157"/>
      <c r="E23" s="157"/>
      <c r="F23" s="157"/>
    </row>
    <row r="24" spans="1:6">
      <c r="A24" s="156"/>
      <c r="B24" s="157"/>
      <c r="C24" s="157"/>
      <c r="D24" s="157"/>
      <c r="E24" s="157"/>
      <c r="F24" s="1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SUMMARY</vt:lpstr>
      <vt:lpstr>Bill 01 - Prelims</vt:lpstr>
      <vt:lpstr>DHKK</vt:lpstr>
      <vt:lpstr>CTN</vt:lpstr>
      <vt:lpstr>DIEN</vt:lpstr>
      <vt:lpstr>DIEN NHE</vt:lpstr>
      <vt:lpstr>FA</vt:lpstr>
      <vt:lpstr>PCCC</vt:lpstr>
      <vt:lpstr>Điều chỉnh</vt:lpstr>
      <vt:lpstr>'Bill 01 - Prelims'!Print_Area</vt:lpstr>
      <vt:lpstr>DIEN!Print_Area</vt:lpstr>
      <vt:lpstr>'DIEN NHE'!Print_Area</vt:lpstr>
      <vt:lpstr>SUMMARY!Print_Area</vt:lpstr>
      <vt:lpstr>'Bill 01 - Prelims'!Print_Titles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Nam Lê Ngoc</cp:lastModifiedBy>
  <cp:lastPrinted>2026-04-17T08:53:00Z</cp:lastPrinted>
  <dcterms:created xsi:type="dcterms:W3CDTF">2020-12-24T10:08:00Z</dcterms:created>
  <dcterms:modified xsi:type="dcterms:W3CDTF">2026-10-10T01:09:03Z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_Rate" linkTarget="Prop_Matl_Rate">
    <vt:lpwstr/>
  </property>
  <property fmtid="{D5CDD505-2E9C-101B-9397-08002B2CF9AE}" pid="3" name="MD_Rate" linkTarget="Prop_MD_Rate">
    <vt:lpwstr/>
  </property>
  <property fmtid="{D5CDD505-2E9C-101B-9397-08002B2CF9AE}" pid="4" name="Total_Matl" linkTarget="Prop_Total_Matl">
    <vt:lpwstr/>
  </property>
  <property fmtid="{D5CDD505-2E9C-101B-9397-08002B2CF9AE}" pid="5" name="Total_MD" linkTarget="Prop_Total_MD">
    <vt:lpwstr/>
  </property>
  <property fmtid="{D5CDD505-2E9C-101B-9397-08002B2CF9AE}" pid="6" name="ICV">
    <vt:lpwstr>4058743BC0AB49F79E8168B33A6D557C_12</vt:lpwstr>
  </property>
  <property fmtid="{D5CDD505-2E9C-101B-9397-08002B2CF9AE}" pid="7" name="KSOProductBuildVer">
    <vt:lpwstr>1033-12.1.0.25242</vt:lpwstr>
  </property>
  <property fmtid="{D5CDD505-2E9C-101B-9397-08002B2CF9AE}" pid="8" name="CalculationRule">
    <vt:i4>0</vt:i4>
  </property>
</Properties>
</file>
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CCD71041-69BA-4A56-976A-1F03040332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ăng áp HK A1,2" sheetId="7" r:id="rId1"/>
    <sheet name="Tang áp HK A3" sheetId="4" r:id="rId2"/>
    <sheet name="DHKK A3" sheetId="1" r:id="rId3"/>
    <sheet name=" DHKK tgio A3" sheetId="3" r:id="rId4"/>
  </sheets>
  <definedNames>
    <definedName name="_xlnm.Print_Area" localSheetId="3">' DHKK tgio A3'!$A$1:$Q$243</definedName>
    <definedName name="_xlnm.Print_Area" localSheetId="2">'DHKK A3'!$A$1:$Q$275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70" i="7" l="1"/>
  <c r="N470" i="7"/>
  <c r="P470" i="7" s="1"/>
  <c r="O469" i="7"/>
  <c r="N469" i="7"/>
  <c r="P469" i="7" s="1"/>
  <c r="O468" i="7"/>
  <c r="N468" i="7"/>
  <c r="P468" i="7" s="1"/>
  <c r="O467" i="7"/>
  <c r="N467" i="7"/>
  <c r="P467" i="7" s="1"/>
  <c r="P466" i="7"/>
  <c r="O466" i="7"/>
  <c r="N466" i="7"/>
  <c r="P465" i="7"/>
  <c r="O465" i="7"/>
  <c r="N465" i="7"/>
  <c r="O464" i="7"/>
  <c r="N464" i="7"/>
  <c r="P464" i="7" s="1"/>
  <c r="O463" i="7"/>
  <c r="N463" i="7"/>
  <c r="P463" i="7" s="1"/>
  <c r="P462" i="7"/>
  <c r="O462" i="7"/>
  <c r="N462" i="7"/>
  <c r="P461" i="7"/>
  <c r="O461" i="7"/>
  <c r="N461" i="7"/>
  <c r="O460" i="7"/>
  <c r="N460" i="7"/>
  <c r="P460" i="7" s="1"/>
  <c r="O459" i="7"/>
  <c r="N459" i="7"/>
  <c r="P459" i="7" s="1"/>
  <c r="O458" i="7"/>
  <c r="N458" i="7"/>
  <c r="P458" i="7" s="1"/>
  <c r="O457" i="7"/>
  <c r="N457" i="7"/>
  <c r="P457" i="7" s="1"/>
  <c r="O456" i="7"/>
  <c r="N456" i="7"/>
  <c r="P456" i="7" s="1"/>
  <c r="O455" i="7"/>
  <c r="N455" i="7"/>
  <c r="P455" i="7" s="1"/>
  <c r="O454" i="7"/>
  <c r="N454" i="7"/>
  <c r="P454" i="7" s="1"/>
  <c r="O453" i="7"/>
  <c r="N453" i="7"/>
  <c r="P453" i="7" s="1"/>
  <c r="O452" i="7"/>
  <c r="N452" i="7"/>
  <c r="P452" i="7" s="1"/>
  <c r="O451" i="7"/>
  <c r="N451" i="7"/>
  <c r="P451" i="7" s="1"/>
  <c r="P450" i="7"/>
  <c r="O450" i="7"/>
  <c r="N450" i="7"/>
  <c r="N449" i="7"/>
  <c r="P449" i="7" s="1"/>
  <c r="M449" i="7"/>
  <c r="O449" i="7" s="1"/>
  <c r="N448" i="7"/>
  <c r="P448" i="7" s="1"/>
  <c r="M448" i="7"/>
  <c r="O448" i="7" s="1"/>
  <c r="O446" i="7"/>
  <c r="N446" i="7"/>
  <c r="P446" i="7" s="1"/>
  <c r="M446" i="7"/>
  <c r="O445" i="7"/>
  <c r="N445" i="7"/>
  <c r="P445" i="7" s="1"/>
  <c r="M445" i="7"/>
  <c r="N444" i="7"/>
  <c r="P444" i="7" s="1"/>
  <c r="M444" i="7"/>
  <c r="O444" i="7" s="1"/>
  <c r="N443" i="7"/>
  <c r="P443" i="7" s="1"/>
  <c r="M443" i="7"/>
  <c r="O443" i="7" s="1"/>
  <c r="O442" i="7"/>
  <c r="N442" i="7"/>
  <c r="P442" i="7" s="1"/>
  <c r="M442" i="7"/>
  <c r="O441" i="7"/>
  <c r="N441" i="7"/>
  <c r="P441" i="7" s="1"/>
  <c r="M441" i="7"/>
  <c r="N440" i="7"/>
  <c r="P440" i="7" s="1"/>
  <c r="M440" i="7"/>
  <c r="O440" i="7" s="1"/>
  <c r="N439" i="7"/>
  <c r="P439" i="7" s="1"/>
  <c r="M439" i="7"/>
  <c r="O439" i="7" s="1"/>
  <c r="O438" i="7"/>
  <c r="N438" i="7"/>
  <c r="P438" i="7" s="1"/>
  <c r="M438" i="7"/>
  <c r="O436" i="7"/>
  <c r="N436" i="7"/>
  <c r="P436" i="7" s="1"/>
  <c r="M436" i="7"/>
  <c r="N435" i="7"/>
  <c r="P435" i="7" s="1"/>
  <c r="M435" i="7"/>
  <c r="O435" i="7" s="1"/>
  <c r="N434" i="7"/>
  <c r="P434" i="7" s="1"/>
  <c r="M434" i="7"/>
  <c r="O434" i="7" s="1"/>
  <c r="O433" i="7"/>
  <c r="N433" i="7"/>
  <c r="P433" i="7" s="1"/>
  <c r="M433" i="7"/>
  <c r="O431" i="7"/>
  <c r="N431" i="7"/>
  <c r="P431" i="7" s="1"/>
  <c r="M431" i="7"/>
  <c r="N430" i="7"/>
  <c r="P430" i="7" s="1"/>
  <c r="M430" i="7"/>
  <c r="O430" i="7" s="1"/>
  <c r="N429" i="7"/>
  <c r="P429" i="7" s="1"/>
  <c r="M429" i="7"/>
  <c r="O429" i="7" s="1"/>
  <c r="O428" i="7"/>
  <c r="N428" i="7"/>
  <c r="P428" i="7" s="1"/>
  <c r="M428" i="7"/>
  <c r="O427" i="7"/>
  <c r="N427" i="7"/>
  <c r="P427" i="7" s="1"/>
  <c r="M427" i="7"/>
  <c r="N426" i="7"/>
  <c r="P426" i="7" s="1"/>
  <c r="M426" i="7"/>
  <c r="O426" i="7" s="1"/>
  <c r="N425" i="7"/>
  <c r="P425" i="7" s="1"/>
  <c r="M425" i="7"/>
  <c r="O425" i="7" s="1"/>
  <c r="O423" i="7"/>
  <c r="N423" i="7"/>
  <c r="P423" i="7" s="1"/>
  <c r="O422" i="7"/>
  <c r="N422" i="7"/>
  <c r="P422" i="7" s="1"/>
  <c r="O421" i="7"/>
  <c r="N421" i="7"/>
  <c r="P421" i="7" s="1"/>
  <c r="O420" i="7"/>
  <c r="N420" i="7"/>
  <c r="P420" i="7" s="1"/>
  <c r="O419" i="7"/>
  <c r="N419" i="7"/>
  <c r="P419" i="7" s="1"/>
  <c r="O418" i="7"/>
  <c r="N418" i="7"/>
  <c r="P418" i="7" s="1"/>
  <c r="O417" i="7"/>
  <c r="N417" i="7"/>
  <c r="P417" i="7" s="1"/>
  <c r="P416" i="7"/>
  <c r="O416" i="7"/>
  <c r="N416" i="7"/>
  <c r="O415" i="7"/>
  <c r="N415" i="7"/>
  <c r="P415" i="7" s="1"/>
  <c r="O414" i="7"/>
  <c r="N414" i="7"/>
  <c r="P414" i="7" s="1"/>
  <c r="O413" i="7"/>
  <c r="N413" i="7"/>
  <c r="P413" i="7" s="1"/>
  <c r="O412" i="7"/>
  <c r="N412" i="7"/>
  <c r="P412" i="7" s="1"/>
  <c r="O411" i="7"/>
  <c r="N411" i="7"/>
  <c r="P411" i="7" s="1"/>
  <c r="O410" i="7"/>
  <c r="N410" i="7"/>
  <c r="P410" i="7" s="1"/>
  <c r="O409" i="7"/>
  <c r="N409" i="7"/>
  <c r="P409" i="7" s="1"/>
  <c r="O408" i="7"/>
  <c r="N408" i="7"/>
  <c r="P408" i="7" s="1"/>
  <c r="O407" i="7"/>
  <c r="N407" i="7"/>
  <c r="P407" i="7" s="1"/>
  <c r="O406" i="7"/>
  <c r="N406" i="7"/>
  <c r="P406" i="7" s="1"/>
  <c r="O405" i="7"/>
  <c r="N405" i="7"/>
  <c r="P405" i="7" s="1"/>
  <c r="O404" i="7"/>
  <c r="N404" i="7"/>
  <c r="P404" i="7" s="1"/>
  <c r="O403" i="7"/>
  <c r="N403" i="7"/>
  <c r="P403" i="7" s="1"/>
  <c r="O402" i="7"/>
  <c r="N402" i="7"/>
  <c r="P402" i="7" s="1"/>
  <c r="O401" i="7"/>
  <c r="N401" i="7"/>
  <c r="P401" i="7" s="1"/>
  <c r="O400" i="7"/>
  <c r="N400" i="7"/>
  <c r="P400" i="7" s="1"/>
  <c r="O399" i="7"/>
  <c r="N399" i="7"/>
  <c r="P399" i="7" s="1"/>
  <c r="O398" i="7"/>
  <c r="N398" i="7"/>
  <c r="P398" i="7" s="1"/>
  <c r="O397" i="7"/>
  <c r="N397" i="7"/>
  <c r="P397" i="7" s="1"/>
  <c r="O396" i="7"/>
  <c r="N396" i="7"/>
  <c r="P396" i="7" s="1"/>
  <c r="O395" i="7"/>
  <c r="N395" i="7"/>
  <c r="P395" i="7" s="1"/>
  <c r="O394" i="7"/>
  <c r="N394" i="7"/>
  <c r="P394" i="7" s="1"/>
  <c r="O393" i="7"/>
  <c r="N393" i="7"/>
  <c r="P393" i="7" s="1"/>
  <c r="O392" i="7"/>
  <c r="N392" i="7"/>
  <c r="P392" i="7" s="1"/>
  <c r="O391" i="7"/>
  <c r="N391" i="7"/>
  <c r="P391" i="7" s="1"/>
  <c r="O390" i="7"/>
  <c r="N390" i="7"/>
  <c r="P390" i="7" s="1"/>
  <c r="O389" i="7"/>
  <c r="N389" i="7"/>
  <c r="P389" i="7" s="1"/>
  <c r="O388" i="7"/>
  <c r="N388" i="7"/>
  <c r="P388" i="7" s="1"/>
  <c r="O387" i="7"/>
  <c r="N387" i="7"/>
  <c r="P387" i="7" s="1"/>
  <c r="O386" i="7"/>
  <c r="N386" i="7"/>
  <c r="P386" i="7" s="1"/>
  <c r="O385" i="7"/>
  <c r="N385" i="7"/>
  <c r="P385" i="7" s="1"/>
  <c r="O384" i="7"/>
  <c r="N384" i="7"/>
  <c r="P384" i="7" s="1"/>
  <c r="O383" i="7"/>
  <c r="N383" i="7"/>
  <c r="P383" i="7" s="1"/>
  <c r="O382" i="7"/>
  <c r="N382" i="7"/>
  <c r="P382" i="7" s="1"/>
  <c r="O381" i="7"/>
  <c r="N381" i="7"/>
  <c r="P381" i="7" s="1"/>
  <c r="O380" i="7"/>
  <c r="N380" i="7"/>
  <c r="P380" i="7" s="1"/>
  <c r="O379" i="7"/>
  <c r="N379" i="7"/>
  <c r="P379" i="7" s="1"/>
  <c r="O378" i="7"/>
  <c r="N378" i="7"/>
  <c r="P378" i="7" s="1"/>
  <c r="O377" i="7"/>
  <c r="N377" i="7"/>
  <c r="P377" i="7" s="1"/>
  <c r="O376" i="7"/>
  <c r="N376" i="7"/>
  <c r="P376" i="7" s="1"/>
  <c r="O375" i="7"/>
  <c r="N375" i="7"/>
  <c r="P375" i="7" s="1"/>
  <c r="O374" i="7"/>
  <c r="N374" i="7"/>
  <c r="P374" i="7" s="1"/>
  <c r="O373" i="7"/>
  <c r="N373" i="7"/>
  <c r="P373" i="7" s="1"/>
  <c r="O372" i="7"/>
  <c r="N372" i="7"/>
  <c r="P372" i="7" s="1"/>
  <c r="O371" i="7"/>
  <c r="N371" i="7"/>
  <c r="P371" i="7" s="1"/>
  <c r="O370" i="7"/>
  <c r="N370" i="7"/>
  <c r="P370" i="7" s="1"/>
  <c r="O369" i="7"/>
  <c r="N369" i="7"/>
  <c r="P369" i="7" s="1"/>
  <c r="O368" i="7"/>
  <c r="N368" i="7"/>
  <c r="P368" i="7" s="1"/>
  <c r="O367" i="7"/>
  <c r="N367" i="7"/>
  <c r="P367" i="7" s="1"/>
  <c r="O366" i="7"/>
  <c r="N366" i="7"/>
  <c r="P366" i="7" s="1"/>
  <c r="P365" i="7"/>
  <c r="O365" i="7"/>
  <c r="N365" i="7"/>
  <c r="P363" i="7"/>
  <c r="O363" i="7"/>
  <c r="N363" i="7"/>
  <c r="O362" i="7"/>
  <c r="N362" i="7"/>
  <c r="P362" i="7" s="1"/>
  <c r="O361" i="7"/>
  <c r="N361" i="7"/>
  <c r="P361" i="7" s="1"/>
  <c r="P360" i="7"/>
  <c r="O360" i="7"/>
  <c r="N360" i="7"/>
  <c r="P359" i="7"/>
  <c r="O359" i="7"/>
  <c r="N359" i="7"/>
  <c r="O358" i="7"/>
  <c r="N358" i="7"/>
  <c r="P358" i="7" s="1"/>
  <c r="O357" i="7"/>
  <c r="N357" i="7"/>
  <c r="P357" i="7" s="1"/>
  <c r="O356" i="7"/>
  <c r="N356" i="7"/>
  <c r="P356" i="7" s="1"/>
  <c r="P355" i="7"/>
  <c r="O355" i="7"/>
  <c r="N355" i="7"/>
  <c r="O354" i="7"/>
  <c r="N354" i="7"/>
  <c r="P354" i="7" s="1"/>
  <c r="O353" i="7"/>
  <c r="N353" i="7"/>
  <c r="P353" i="7" s="1"/>
  <c r="O352" i="7"/>
  <c r="N352" i="7"/>
  <c r="P352" i="7" s="1"/>
  <c r="O351" i="7"/>
  <c r="N351" i="7"/>
  <c r="P351" i="7" s="1"/>
  <c r="O350" i="7"/>
  <c r="N350" i="7"/>
  <c r="P350" i="7" s="1"/>
  <c r="O349" i="7"/>
  <c r="N349" i="7"/>
  <c r="P349" i="7" s="1"/>
  <c r="O348" i="7"/>
  <c r="N348" i="7"/>
  <c r="P348" i="7" s="1"/>
  <c r="O347" i="7"/>
  <c r="N347" i="7"/>
  <c r="P347" i="7" s="1"/>
  <c r="O346" i="7"/>
  <c r="N346" i="7"/>
  <c r="P346" i="7" s="1"/>
  <c r="O345" i="7"/>
  <c r="N345" i="7"/>
  <c r="P345" i="7" s="1"/>
  <c r="O344" i="7"/>
  <c r="N344" i="7"/>
  <c r="P344" i="7" s="1"/>
  <c r="P343" i="7"/>
  <c r="O343" i="7"/>
  <c r="N343" i="7"/>
  <c r="P342" i="7"/>
  <c r="O342" i="7"/>
  <c r="N342" i="7"/>
  <c r="O341" i="7"/>
  <c r="N341" i="7"/>
  <c r="P341" i="7" s="1"/>
  <c r="O340" i="7"/>
  <c r="N340" i="7"/>
  <c r="P340" i="7" s="1"/>
  <c r="O339" i="7"/>
  <c r="N339" i="7"/>
  <c r="P339" i="7" s="1"/>
  <c r="P338" i="7"/>
  <c r="O338" i="7"/>
  <c r="N338" i="7"/>
  <c r="O337" i="7"/>
  <c r="N337" i="7"/>
  <c r="P337" i="7" s="1"/>
  <c r="O336" i="7"/>
  <c r="N336" i="7"/>
  <c r="P336" i="7" s="1"/>
  <c r="O335" i="7"/>
  <c r="N335" i="7"/>
  <c r="P335" i="7" s="1"/>
  <c r="P334" i="7"/>
  <c r="O334" i="7"/>
  <c r="N334" i="7"/>
  <c r="O333" i="7"/>
  <c r="N333" i="7"/>
  <c r="P333" i="7" s="1"/>
  <c r="O332" i="7"/>
  <c r="N332" i="7"/>
  <c r="P332" i="7" s="1"/>
  <c r="O331" i="7"/>
  <c r="N331" i="7"/>
  <c r="P331" i="7" s="1"/>
  <c r="O330" i="7"/>
  <c r="N330" i="7"/>
  <c r="P330" i="7" s="1"/>
  <c r="O329" i="7"/>
  <c r="N329" i="7"/>
  <c r="P329" i="7" s="1"/>
  <c r="O328" i="7"/>
  <c r="N328" i="7"/>
  <c r="P328" i="7" s="1"/>
  <c r="P327" i="7"/>
  <c r="O327" i="7"/>
  <c r="N327" i="7"/>
  <c r="O326" i="7"/>
  <c r="N326" i="7"/>
  <c r="P326" i="7" s="1"/>
  <c r="O325" i="7"/>
  <c r="N325" i="7"/>
  <c r="P325" i="7" s="1"/>
  <c r="O324" i="7"/>
  <c r="N324" i="7"/>
  <c r="P324" i="7" s="1"/>
  <c r="O323" i="7"/>
  <c r="N323" i="7"/>
  <c r="P323" i="7" s="1"/>
  <c r="O322" i="7"/>
  <c r="N322" i="7"/>
  <c r="P322" i="7" s="1"/>
  <c r="N320" i="7"/>
  <c r="P320" i="7" s="1"/>
  <c r="M320" i="7"/>
  <c r="O320" i="7" s="1"/>
  <c r="N319" i="7"/>
  <c r="P319" i="7" s="1"/>
  <c r="M319" i="7"/>
  <c r="O319" i="7" s="1"/>
  <c r="N318" i="7"/>
  <c r="P318" i="7" s="1"/>
  <c r="M318" i="7"/>
  <c r="O318" i="7" s="1"/>
  <c r="N317" i="7"/>
  <c r="P317" i="7" s="1"/>
  <c r="M317" i="7"/>
  <c r="O317" i="7" s="1"/>
  <c r="N316" i="7"/>
  <c r="P316" i="7" s="1"/>
  <c r="M316" i="7"/>
  <c r="O316" i="7" s="1"/>
  <c r="N315" i="7"/>
  <c r="P315" i="7" s="1"/>
  <c r="M315" i="7"/>
  <c r="O315" i="7" s="1"/>
  <c r="O314" i="7"/>
  <c r="N314" i="7"/>
  <c r="P314" i="7" s="1"/>
  <c r="M314" i="7"/>
  <c r="O313" i="7"/>
  <c r="N313" i="7"/>
  <c r="P313" i="7" s="1"/>
  <c r="M313" i="7"/>
  <c r="N312" i="7"/>
  <c r="P312" i="7" s="1"/>
  <c r="M312" i="7"/>
  <c r="O312" i="7" s="1"/>
  <c r="N310" i="7"/>
  <c r="P310" i="7" s="1"/>
  <c r="M310" i="7"/>
  <c r="O310" i="7" s="1"/>
  <c r="O309" i="7"/>
  <c r="N309" i="7"/>
  <c r="P309" i="7" s="1"/>
  <c r="M309" i="7"/>
  <c r="O308" i="7"/>
  <c r="N308" i="7"/>
  <c r="P308" i="7" s="1"/>
  <c r="M308" i="7"/>
  <c r="N307" i="7"/>
  <c r="P307" i="7" s="1"/>
  <c r="M307" i="7"/>
  <c r="O307" i="7" s="1"/>
  <c r="N306" i="7"/>
  <c r="P306" i="7" s="1"/>
  <c r="M306" i="7"/>
  <c r="O306" i="7" s="1"/>
  <c r="O305" i="7"/>
  <c r="N305" i="7"/>
  <c r="P305" i="7" s="1"/>
  <c r="M305" i="7"/>
  <c r="O304" i="7"/>
  <c r="N304" i="7"/>
  <c r="P304" i="7" s="1"/>
  <c r="M304" i="7"/>
  <c r="N303" i="7"/>
  <c r="P303" i="7" s="1"/>
  <c r="M303" i="7"/>
  <c r="O303" i="7" s="1"/>
  <c r="N302" i="7"/>
  <c r="P302" i="7" s="1"/>
  <c r="M302" i="7"/>
  <c r="O302" i="7" s="1"/>
  <c r="O301" i="7"/>
  <c r="N301" i="7"/>
  <c r="P301" i="7" s="1"/>
  <c r="M301" i="7"/>
  <c r="O300" i="7"/>
  <c r="N300" i="7"/>
  <c r="P300" i="7" s="1"/>
  <c r="M300" i="7"/>
  <c r="N299" i="7"/>
  <c r="P299" i="7" s="1"/>
  <c r="M299" i="7"/>
  <c r="O299" i="7" s="1"/>
  <c r="N298" i="7"/>
  <c r="P298" i="7" s="1"/>
  <c r="M298" i="7"/>
  <c r="O298" i="7" s="1"/>
  <c r="O297" i="7"/>
  <c r="N297" i="7"/>
  <c r="P297" i="7" s="1"/>
  <c r="M297" i="7"/>
  <c r="O296" i="7"/>
  <c r="N296" i="7"/>
  <c r="P296" i="7" s="1"/>
  <c r="M296" i="7"/>
  <c r="N294" i="7"/>
  <c r="P294" i="7" s="1"/>
  <c r="M294" i="7"/>
  <c r="O294" i="7" s="1"/>
  <c r="N293" i="7"/>
  <c r="P293" i="7" s="1"/>
  <c r="M293" i="7"/>
  <c r="O293" i="7" s="1"/>
  <c r="O292" i="7"/>
  <c r="N292" i="7"/>
  <c r="P292" i="7" s="1"/>
  <c r="M292" i="7"/>
  <c r="O291" i="7"/>
  <c r="N291" i="7"/>
  <c r="P291" i="7" s="1"/>
  <c r="M291" i="7"/>
  <c r="N290" i="7"/>
  <c r="P290" i="7" s="1"/>
  <c r="M290" i="7"/>
  <c r="O290" i="7" s="1"/>
  <c r="N289" i="7"/>
  <c r="P289" i="7" s="1"/>
  <c r="M289" i="7"/>
  <c r="O289" i="7" s="1"/>
  <c r="O288" i="7"/>
  <c r="N288" i="7"/>
  <c r="P288" i="7" s="1"/>
  <c r="M288" i="7"/>
  <c r="O286" i="7"/>
  <c r="N286" i="7"/>
  <c r="P286" i="7" s="1"/>
  <c r="M286" i="7"/>
  <c r="N285" i="7"/>
  <c r="P285" i="7" s="1"/>
  <c r="M285" i="7"/>
  <c r="O285" i="7" s="1"/>
  <c r="N284" i="7"/>
  <c r="P284" i="7" s="1"/>
  <c r="M284" i="7"/>
  <c r="O284" i="7" s="1"/>
  <c r="O283" i="7"/>
  <c r="N283" i="7"/>
  <c r="P283" i="7" s="1"/>
  <c r="M283" i="7"/>
  <c r="O282" i="7"/>
  <c r="N282" i="7"/>
  <c r="P282" i="7" s="1"/>
  <c r="M282" i="7"/>
  <c r="N281" i="7"/>
  <c r="P281" i="7" s="1"/>
  <c r="M281" i="7"/>
  <c r="O281" i="7" s="1"/>
  <c r="N280" i="7"/>
  <c r="P280" i="7" s="1"/>
  <c r="M280" i="7"/>
  <c r="O280" i="7" s="1"/>
  <c r="O279" i="7"/>
  <c r="N279" i="7"/>
  <c r="P279" i="7" s="1"/>
  <c r="M279" i="7"/>
  <c r="O278" i="7"/>
  <c r="N278" i="7"/>
  <c r="P278" i="7" s="1"/>
  <c r="M278" i="7"/>
  <c r="O273" i="7"/>
  <c r="N273" i="7"/>
  <c r="P273" i="7" s="1"/>
  <c r="O272" i="7"/>
  <c r="N272" i="7"/>
  <c r="P272" i="7" s="1"/>
  <c r="P271" i="7"/>
  <c r="O271" i="7"/>
  <c r="N271" i="7"/>
  <c r="P270" i="7"/>
  <c r="O270" i="7"/>
  <c r="N270" i="7"/>
  <c r="O269" i="7"/>
  <c r="N269" i="7"/>
  <c r="P269" i="7" s="1"/>
  <c r="O268" i="7"/>
  <c r="N268" i="7"/>
  <c r="P268" i="7" s="1"/>
  <c r="P267" i="7"/>
  <c r="N267" i="7"/>
  <c r="M267" i="7"/>
  <c r="O267" i="7" s="1"/>
  <c r="P266" i="7"/>
  <c r="N266" i="7"/>
  <c r="M266" i="7"/>
  <c r="O266" i="7" s="1"/>
  <c r="N265" i="7"/>
  <c r="P265" i="7" s="1"/>
  <c r="M265" i="7"/>
  <c r="O265" i="7" s="1"/>
  <c r="P264" i="7"/>
  <c r="N264" i="7"/>
  <c r="M264" i="7"/>
  <c r="O264" i="7" s="1"/>
  <c r="P247" i="7"/>
  <c r="N247" i="7"/>
  <c r="M247" i="7"/>
  <c r="O247" i="7" s="1"/>
  <c r="P246" i="7"/>
  <c r="N246" i="7"/>
  <c r="M246" i="7"/>
  <c r="O246" i="7" s="1"/>
  <c r="N245" i="7"/>
  <c r="P245" i="7" s="1"/>
  <c r="M245" i="7"/>
  <c r="O245" i="7" s="1"/>
  <c r="P243" i="7"/>
  <c r="N243" i="7"/>
  <c r="M243" i="7"/>
  <c r="O243" i="7" s="1"/>
  <c r="P242" i="7"/>
  <c r="N242" i="7"/>
  <c r="M242" i="7"/>
  <c r="O242" i="7" s="1"/>
  <c r="P241" i="7"/>
  <c r="O241" i="7"/>
  <c r="N241" i="7"/>
  <c r="M241" i="7"/>
  <c r="P240" i="7"/>
  <c r="O240" i="7"/>
  <c r="N240" i="7"/>
  <c r="M240" i="7"/>
  <c r="P239" i="7"/>
  <c r="P238" i="7"/>
  <c r="N238" i="7"/>
  <c r="M238" i="7"/>
  <c r="O238" i="7" s="1"/>
  <c r="P237" i="7"/>
  <c r="N237" i="7"/>
  <c r="M237" i="7"/>
  <c r="O237" i="7" s="1"/>
  <c r="N235" i="7"/>
  <c r="P235" i="7" s="1"/>
  <c r="M235" i="7"/>
  <c r="O235" i="7" s="1"/>
  <c r="P234" i="7"/>
  <c r="N234" i="7"/>
  <c r="M234" i="7"/>
  <c r="O234" i="7" s="1"/>
  <c r="P233" i="7"/>
  <c r="N233" i="7"/>
  <c r="M233" i="7"/>
  <c r="O233" i="7" s="1"/>
  <c r="P232" i="7"/>
  <c r="N232" i="7"/>
  <c r="M232" i="7"/>
  <c r="O232" i="7" s="1"/>
  <c r="N228" i="7"/>
  <c r="P228" i="7" s="1"/>
  <c r="M228" i="7"/>
  <c r="O228" i="7" s="1"/>
  <c r="N227" i="7"/>
  <c r="P227" i="7" s="1"/>
  <c r="M227" i="7"/>
  <c r="O227" i="7" s="1"/>
  <c r="O226" i="7"/>
  <c r="N226" i="7"/>
  <c r="P226" i="7" s="1"/>
  <c r="P225" i="7"/>
  <c r="O225" i="7"/>
  <c r="N225" i="7"/>
  <c r="O224" i="7"/>
  <c r="N224" i="7"/>
  <c r="P224" i="7" s="1"/>
  <c r="O223" i="7"/>
  <c r="N223" i="7"/>
  <c r="P223" i="7" s="1"/>
  <c r="O222" i="7"/>
  <c r="N222" i="7"/>
  <c r="P222" i="7" s="1"/>
  <c r="O221" i="7"/>
  <c r="N221" i="7"/>
  <c r="P221" i="7" s="1"/>
  <c r="O220" i="7"/>
  <c r="N220" i="7"/>
  <c r="P220" i="7" s="1"/>
  <c r="O219" i="7"/>
  <c r="N219" i="7"/>
  <c r="P219" i="7" s="1"/>
  <c r="P218" i="7"/>
  <c r="O218" i="7"/>
  <c r="N218" i="7"/>
  <c r="O217" i="7"/>
  <c r="N217" i="7"/>
  <c r="P217" i="7" s="1"/>
  <c r="O216" i="7"/>
  <c r="N216" i="7"/>
  <c r="P216" i="7" s="1"/>
  <c r="O215" i="7"/>
  <c r="N215" i="7"/>
  <c r="P215" i="7" s="1"/>
  <c r="O214" i="7"/>
  <c r="N214" i="7"/>
  <c r="P214" i="7" s="1"/>
  <c r="O213" i="7"/>
  <c r="N213" i="7"/>
  <c r="P213" i="7" s="1"/>
  <c r="O212" i="7"/>
  <c r="N212" i="7"/>
  <c r="P212" i="7" s="1"/>
  <c r="O211" i="7"/>
  <c r="N211" i="7"/>
  <c r="P211" i="7" s="1"/>
  <c r="O210" i="7"/>
  <c r="N210" i="7"/>
  <c r="P210" i="7" s="1"/>
  <c r="P209" i="7"/>
  <c r="O209" i="7"/>
  <c r="N209" i="7"/>
  <c r="O208" i="7"/>
  <c r="N208" i="7"/>
  <c r="P208" i="7" s="1"/>
  <c r="O207" i="7"/>
  <c r="N207" i="7"/>
  <c r="P207" i="7" s="1"/>
  <c r="O206" i="7"/>
  <c r="N206" i="7"/>
  <c r="P206" i="7" s="1"/>
  <c r="P205" i="7"/>
  <c r="O205" i="7"/>
  <c r="N205" i="7"/>
  <c r="P204" i="7"/>
  <c r="O204" i="7"/>
  <c r="N204" i="7"/>
  <c r="O203" i="7"/>
  <c r="N203" i="7"/>
  <c r="P203" i="7" s="1"/>
  <c r="O202" i="7"/>
  <c r="N202" i="7"/>
  <c r="P202" i="7" s="1"/>
  <c r="P201" i="7"/>
  <c r="O201" i="7"/>
  <c r="N201" i="7"/>
  <c r="O200" i="7"/>
  <c r="N200" i="7"/>
  <c r="P200" i="7" s="1"/>
  <c r="O199" i="7"/>
  <c r="N199" i="7"/>
  <c r="P199" i="7" s="1"/>
  <c r="O198" i="7"/>
  <c r="N198" i="7"/>
  <c r="P198" i="7" s="1"/>
  <c r="O197" i="7"/>
  <c r="N197" i="7"/>
  <c r="P197" i="7" s="1"/>
  <c r="O196" i="7"/>
  <c r="N196" i="7"/>
  <c r="P196" i="7" s="1"/>
  <c r="O195" i="7"/>
  <c r="N195" i="7"/>
  <c r="P195" i="7" s="1"/>
  <c r="O194" i="7"/>
  <c r="N194" i="7"/>
  <c r="P194" i="7" s="1"/>
  <c r="O193" i="7"/>
  <c r="N193" i="7"/>
  <c r="P193" i="7" s="1"/>
  <c r="O192" i="7"/>
  <c r="N192" i="7"/>
  <c r="P192" i="7" s="1"/>
  <c r="O191" i="7"/>
  <c r="N191" i="7"/>
  <c r="P191" i="7" s="1"/>
  <c r="O190" i="7"/>
  <c r="N190" i="7"/>
  <c r="P190" i="7" s="1"/>
  <c r="O189" i="7"/>
  <c r="N189" i="7"/>
  <c r="P189" i="7" s="1"/>
  <c r="O188" i="7"/>
  <c r="N188" i="7"/>
  <c r="P188" i="7" s="1"/>
  <c r="O187" i="7"/>
  <c r="N187" i="7"/>
  <c r="P187" i="7" s="1"/>
  <c r="O186" i="7"/>
  <c r="N186" i="7"/>
  <c r="P186" i="7" s="1"/>
  <c r="P185" i="7"/>
  <c r="O185" i="7"/>
  <c r="N185" i="7"/>
  <c r="O184" i="7"/>
  <c r="N184" i="7"/>
  <c r="P184" i="7" s="1"/>
  <c r="O183" i="7"/>
  <c r="N183" i="7"/>
  <c r="P183" i="7" s="1"/>
  <c r="O182" i="7"/>
  <c r="N182" i="7"/>
  <c r="P182" i="7" s="1"/>
  <c r="O181" i="7"/>
  <c r="N181" i="7"/>
  <c r="P181" i="7" s="1"/>
  <c r="P180" i="7"/>
  <c r="O180" i="7"/>
  <c r="N180" i="7"/>
  <c r="N179" i="7"/>
  <c r="P179" i="7" s="1"/>
  <c r="M179" i="7"/>
  <c r="O179" i="7" s="1"/>
  <c r="N178" i="7"/>
  <c r="P178" i="7" s="1"/>
  <c r="M178" i="7"/>
  <c r="O178" i="7" s="1"/>
  <c r="N176" i="7"/>
  <c r="P176" i="7" s="1"/>
  <c r="M176" i="7"/>
  <c r="O176" i="7" s="1"/>
  <c r="O175" i="7"/>
  <c r="N175" i="7"/>
  <c r="P175" i="7" s="1"/>
  <c r="M175" i="7"/>
  <c r="N174" i="7"/>
  <c r="P174" i="7" s="1"/>
  <c r="M174" i="7"/>
  <c r="O174" i="7" s="1"/>
  <c r="N173" i="7"/>
  <c r="P173" i="7" s="1"/>
  <c r="M173" i="7"/>
  <c r="O173" i="7" s="1"/>
  <c r="N172" i="7"/>
  <c r="P172" i="7" s="1"/>
  <c r="M172" i="7"/>
  <c r="O172" i="7" s="1"/>
  <c r="O171" i="7"/>
  <c r="N171" i="7"/>
  <c r="P171" i="7" s="1"/>
  <c r="M171" i="7"/>
  <c r="N170" i="7"/>
  <c r="P170" i="7" s="1"/>
  <c r="M170" i="7"/>
  <c r="O170" i="7" s="1"/>
  <c r="N169" i="7"/>
  <c r="P169" i="7" s="1"/>
  <c r="M169" i="7"/>
  <c r="O169" i="7" s="1"/>
  <c r="N168" i="7"/>
  <c r="P168" i="7" s="1"/>
  <c r="M168" i="7"/>
  <c r="O168" i="7" s="1"/>
  <c r="O166" i="7"/>
  <c r="N166" i="7"/>
  <c r="P166" i="7" s="1"/>
  <c r="M166" i="7"/>
  <c r="N165" i="7"/>
  <c r="P165" i="7" s="1"/>
  <c r="M165" i="7"/>
  <c r="O165" i="7" s="1"/>
  <c r="N164" i="7"/>
  <c r="P164" i="7" s="1"/>
  <c r="M164" i="7"/>
  <c r="O164" i="7" s="1"/>
  <c r="N163" i="7"/>
  <c r="P163" i="7" s="1"/>
  <c r="M163" i="7"/>
  <c r="O163" i="7" s="1"/>
  <c r="O161" i="7"/>
  <c r="N161" i="7"/>
  <c r="P161" i="7" s="1"/>
  <c r="M161" i="7"/>
  <c r="N160" i="7"/>
  <c r="P160" i="7" s="1"/>
  <c r="M160" i="7"/>
  <c r="O160" i="7" s="1"/>
  <c r="N159" i="7"/>
  <c r="P159" i="7" s="1"/>
  <c r="M159" i="7"/>
  <c r="O159" i="7" s="1"/>
  <c r="N158" i="7"/>
  <c r="P158" i="7" s="1"/>
  <c r="M158" i="7"/>
  <c r="O158" i="7" s="1"/>
  <c r="N157" i="7"/>
  <c r="P157" i="7" s="1"/>
  <c r="M157" i="7"/>
  <c r="O157" i="7" s="1"/>
  <c r="O156" i="7"/>
  <c r="N156" i="7"/>
  <c r="P156" i="7" s="1"/>
  <c r="M156" i="7"/>
  <c r="N155" i="7"/>
  <c r="P155" i="7" s="1"/>
  <c r="M155" i="7"/>
  <c r="O155" i="7" s="1"/>
  <c r="O153" i="7"/>
  <c r="N153" i="7"/>
  <c r="P153" i="7" s="1"/>
  <c r="O152" i="7"/>
  <c r="N152" i="7"/>
  <c r="P152" i="7" s="1"/>
  <c r="O151" i="7"/>
  <c r="N151" i="7"/>
  <c r="P151" i="7" s="1"/>
  <c r="P150" i="7"/>
  <c r="O150" i="7"/>
  <c r="N150" i="7"/>
  <c r="O149" i="7"/>
  <c r="N149" i="7"/>
  <c r="P149" i="7" s="1"/>
  <c r="O148" i="7"/>
  <c r="N148" i="7"/>
  <c r="P148" i="7" s="1"/>
  <c r="O147" i="7"/>
  <c r="N147" i="7"/>
  <c r="P147" i="7" s="1"/>
  <c r="O146" i="7"/>
  <c r="N146" i="7"/>
  <c r="P146" i="7" s="1"/>
  <c r="O145" i="7"/>
  <c r="N145" i="7"/>
  <c r="P145" i="7" s="1"/>
  <c r="O144" i="7"/>
  <c r="N144" i="7"/>
  <c r="P144" i="7" s="1"/>
  <c r="P143" i="7"/>
  <c r="O143" i="7"/>
  <c r="N143" i="7"/>
  <c r="O142" i="7"/>
  <c r="N142" i="7"/>
  <c r="P142" i="7" s="1"/>
  <c r="O141" i="7"/>
  <c r="N141" i="7"/>
  <c r="P141" i="7" s="1"/>
  <c r="O140" i="7"/>
  <c r="N140" i="7"/>
  <c r="P140" i="7" s="1"/>
  <c r="O139" i="7"/>
  <c r="N139" i="7"/>
  <c r="P139" i="7" s="1"/>
  <c r="P138" i="7"/>
  <c r="O138" i="7"/>
  <c r="N138" i="7"/>
  <c r="O137" i="7"/>
  <c r="N137" i="7"/>
  <c r="P137" i="7" s="1"/>
  <c r="O136" i="7"/>
  <c r="N136" i="7"/>
  <c r="P136" i="7" s="1"/>
  <c r="P135" i="7"/>
  <c r="O135" i="7"/>
  <c r="N135" i="7"/>
  <c r="O134" i="7"/>
  <c r="N134" i="7"/>
  <c r="P134" i="7" s="1"/>
  <c r="O133" i="7"/>
  <c r="N133" i="7"/>
  <c r="P133" i="7" s="1"/>
  <c r="O132" i="7"/>
  <c r="N132" i="7"/>
  <c r="P132" i="7" s="1"/>
  <c r="O131" i="7"/>
  <c r="N131" i="7"/>
  <c r="P131" i="7" s="1"/>
  <c r="O130" i="7"/>
  <c r="N130" i="7"/>
  <c r="P130" i="7" s="1"/>
  <c r="O129" i="7"/>
  <c r="N129" i="7"/>
  <c r="P129" i="7" s="1"/>
  <c r="O128" i="7"/>
  <c r="N128" i="7"/>
  <c r="P128" i="7" s="1"/>
  <c r="O127" i="7"/>
  <c r="N127" i="7"/>
  <c r="P127" i="7" s="1"/>
  <c r="O126" i="7"/>
  <c r="N126" i="7"/>
  <c r="P126" i="7" s="1"/>
  <c r="O125" i="7"/>
  <c r="N125" i="7"/>
  <c r="P125" i="7" s="1"/>
  <c r="O124" i="7"/>
  <c r="N124" i="7"/>
  <c r="P124" i="7" s="1"/>
  <c r="P123" i="7"/>
  <c r="O123" i="7"/>
  <c r="N123" i="7"/>
  <c r="O122" i="7"/>
  <c r="N122" i="7"/>
  <c r="P122" i="7" s="1"/>
  <c r="O121" i="7"/>
  <c r="N121" i="7"/>
  <c r="P121" i="7" s="1"/>
  <c r="O120" i="7"/>
  <c r="N120" i="7"/>
  <c r="P120" i="7" s="1"/>
  <c r="P119" i="7"/>
  <c r="O119" i="7"/>
  <c r="N119" i="7"/>
  <c r="O118" i="7"/>
  <c r="N118" i="7"/>
  <c r="P118" i="7" s="1"/>
  <c r="O117" i="7"/>
  <c r="N117" i="7"/>
  <c r="P117" i="7" s="1"/>
  <c r="O116" i="7"/>
  <c r="N116" i="7"/>
  <c r="P116" i="7" s="1"/>
  <c r="P115" i="7"/>
  <c r="O115" i="7"/>
  <c r="N115" i="7"/>
  <c r="O114" i="7"/>
  <c r="N114" i="7"/>
  <c r="P114" i="7" s="1"/>
  <c r="O113" i="7"/>
  <c r="N113" i="7"/>
  <c r="P113" i="7" s="1"/>
  <c r="O112" i="7"/>
  <c r="N112" i="7"/>
  <c r="P112" i="7" s="1"/>
  <c r="O111" i="7"/>
  <c r="N111" i="7"/>
  <c r="P111" i="7" s="1"/>
  <c r="O110" i="7"/>
  <c r="N110" i="7"/>
  <c r="P110" i="7" s="1"/>
  <c r="O109" i="7"/>
  <c r="N109" i="7"/>
  <c r="P109" i="7" s="1"/>
  <c r="O108" i="7"/>
  <c r="N108" i="7"/>
  <c r="P108" i="7" s="1"/>
  <c r="O107" i="7"/>
  <c r="N107" i="7"/>
  <c r="P107" i="7" s="1"/>
  <c r="O106" i="7"/>
  <c r="N106" i="7"/>
  <c r="P106" i="7" s="1"/>
  <c r="O105" i="7"/>
  <c r="N105" i="7"/>
  <c r="P105" i="7" s="1"/>
  <c r="O104" i="7"/>
  <c r="N104" i="7"/>
  <c r="P104" i="7" s="1"/>
  <c r="P103" i="7"/>
  <c r="O103" i="7"/>
  <c r="N103" i="7"/>
  <c r="O102" i="7"/>
  <c r="N102" i="7"/>
  <c r="P102" i="7" s="1"/>
  <c r="O101" i="7"/>
  <c r="N101" i="7"/>
  <c r="P101" i="7" s="1"/>
  <c r="O100" i="7"/>
  <c r="N100" i="7"/>
  <c r="P100" i="7" s="1"/>
  <c r="P99" i="7"/>
  <c r="O99" i="7"/>
  <c r="N99" i="7"/>
  <c r="O98" i="7"/>
  <c r="N98" i="7"/>
  <c r="P98" i="7" s="1"/>
  <c r="O97" i="7"/>
  <c r="N97" i="7"/>
  <c r="P97" i="7" s="1"/>
  <c r="O96" i="7"/>
  <c r="N96" i="7"/>
  <c r="P96" i="7" s="1"/>
  <c r="O95" i="7"/>
  <c r="N95" i="7"/>
  <c r="P95" i="7" s="1"/>
  <c r="O93" i="7"/>
  <c r="N93" i="7"/>
  <c r="P93" i="7" s="1"/>
  <c r="O92" i="7"/>
  <c r="N92" i="7"/>
  <c r="P92" i="7" s="1"/>
  <c r="O91" i="7"/>
  <c r="N91" i="7"/>
  <c r="P91" i="7" s="1"/>
  <c r="O90" i="7"/>
  <c r="N90" i="7"/>
  <c r="P90" i="7" s="1"/>
  <c r="O89" i="7"/>
  <c r="N89" i="7"/>
  <c r="P89" i="7" s="1"/>
  <c r="O88" i="7"/>
  <c r="N88" i="7"/>
  <c r="P88" i="7" s="1"/>
  <c r="O87" i="7"/>
  <c r="N87" i="7"/>
  <c r="P87" i="7" s="1"/>
  <c r="P86" i="7"/>
  <c r="O86" i="7"/>
  <c r="N86" i="7"/>
  <c r="O85" i="7"/>
  <c r="N85" i="7"/>
  <c r="P85" i="7" s="1"/>
  <c r="O84" i="7"/>
  <c r="N84" i="7"/>
  <c r="P84" i="7" s="1"/>
  <c r="O83" i="7"/>
  <c r="N83" i="7"/>
  <c r="P83" i="7" s="1"/>
  <c r="P82" i="7"/>
  <c r="O82" i="7"/>
  <c r="N82" i="7"/>
  <c r="O81" i="7"/>
  <c r="N81" i="7"/>
  <c r="P81" i="7" s="1"/>
  <c r="O80" i="7"/>
  <c r="N80" i="7"/>
  <c r="P80" i="7" s="1"/>
  <c r="O79" i="7"/>
  <c r="N79" i="7"/>
  <c r="P79" i="7" s="1"/>
  <c r="O78" i="7"/>
  <c r="N78" i="7"/>
  <c r="P78" i="7" s="1"/>
  <c r="O77" i="7"/>
  <c r="N77" i="7"/>
  <c r="P77" i="7" s="1"/>
  <c r="O76" i="7"/>
  <c r="N76" i="7"/>
  <c r="P76" i="7" s="1"/>
  <c r="O75" i="7"/>
  <c r="N75" i="7"/>
  <c r="P75" i="7" s="1"/>
  <c r="O74" i="7"/>
  <c r="N74" i="7"/>
  <c r="P74" i="7" s="1"/>
  <c r="O73" i="7"/>
  <c r="N73" i="7"/>
  <c r="P73" i="7" s="1"/>
  <c r="O72" i="7"/>
  <c r="N72" i="7"/>
  <c r="P72" i="7" s="1"/>
  <c r="O71" i="7"/>
  <c r="N71" i="7"/>
  <c r="P71" i="7" s="1"/>
  <c r="P70" i="7"/>
  <c r="O70" i="7"/>
  <c r="N70" i="7"/>
  <c r="O69" i="7"/>
  <c r="N69" i="7"/>
  <c r="P69" i="7" s="1"/>
  <c r="O68" i="7"/>
  <c r="N68" i="7"/>
  <c r="P68" i="7" s="1"/>
  <c r="O67" i="7"/>
  <c r="N67" i="7"/>
  <c r="P67" i="7" s="1"/>
  <c r="P66" i="7"/>
  <c r="O66" i="7"/>
  <c r="N66" i="7"/>
  <c r="O65" i="7"/>
  <c r="N65" i="7"/>
  <c r="P65" i="7" s="1"/>
  <c r="O64" i="7"/>
  <c r="N64" i="7"/>
  <c r="P64" i="7" s="1"/>
  <c r="O63" i="7"/>
  <c r="N63" i="7"/>
  <c r="P63" i="7" s="1"/>
  <c r="O62" i="7"/>
  <c r="N62" i="7"/>
  <c r="P62" i="7" s="1"/>
  <c r="O61" i="7"/>
  <c r="N61" i="7"/>
  <c r="P61" i="7" s="1"/>
  <c r="O60" i="7"/>
  <c r="N60" i="7"/>
  <c r="P60" i="7" s="1"/>
  <c r="O59" i="7"/>
  <c r="N59" i="7"/>
  <c r="P59" i="7" s="1"/>
  <c r="O58" i="7"/>
  <c r="N58" i="7"/>
  <c r="P58" i="7" s="1"/>
  <c r="O57" i="7"/>
  <c r="N57" i="7"/>
  <c r="P57" i="7" s="1"/>
  <c r="O56" i="7"/>
  <c r="N56" i="7"/>
  <c r="P56" i="7" s="1"/>
  <c r="O55" i="7"/>
  <c r="N55" i="7"/>
  <c r="P55" i="7" s="1"/>
  <c r="P54" i="7"/>
  <c r="O54" i="7"/>
  <c r="N54" i="7"/>
  <c r="O53" i="7"/>
  <c r="N53" i="7"/>
  <c r="P53" i="7" s="1"/>
  <c r="O52" i="7"/>
  <c r="N52" i="7"/>
  <c r="P52" i="7" s="1"/>
  <c r="N50" i="7"/>
  <c r="P50" i="7" s="1"/>
  <c r="M50" i="7"/>
  <c r="O50" i="7" s="1"/>
  <c r="N49" i="7"/>
  <c r="P49" i="7" s="1"/>
  <c r="M49" i="7"/>
  <c r="O49" i="7" s="1"/>
  <c r="N48" i="7"/>
  <c r="P48" i="7" s="1"/>
  <c r="M48" i="7"/>
  <c r="O48" i="7" s="1"/>
  <c r="N47" i="7"/>
  <c r="P47" i="7" s="1"/>
  <c r="M47" i="7"/>
  <c r="O47" i="7" s="1"/>
  <c r="N46" i="7"/>
  <c r="P46" i="7" s="1"/>
  <c r="M46" i="7"/>
  <c r="O46" i="7" s="1"/>
  <c r="N45" i="7"/>
  <c r="P45" i="7" s="1"/>
  <c r="M45" i="7"/>
  <c r="O45" i="7" s="1"/>
  <c r="N44" i="7"/>
  <c r="P44" i="7" s="1"/>
  <c r="M44" i="7"/>
  <c r="O44" i="7" s="1"/>
  <c r="N43" i="7"/>
  <c r="P43" i="7" s="1"/>
  <c r="M43" i="7"/>
  <c r="O43" i="7" s="1"/>
  <c r="N42" i="7"/>
  <c r="P42" i="7" s="1"/>
  <c r="M42" i="7"/>
  <c r="O42" i="7" s="1"/>
  <c r="N40" i="7"/>
  <c r="P40" i="7" s="1"/>
  <c r="M40" i="7"/>
  <c r="O40" i="7" s="1"/>
  <c r="N39" i="7"/>
  <c r="P39" i="7" s="1"/>
  <c r="M39" i="7"/>
  <c r="O39" i="7" s="1"/>
  <c r="N38" i="7"/>
  <c r="P38" i="7" s="1"/>
  <c r="M38" i="7"/>
  <c r="O38" i="7" s="1"/>
  <c r="N37" i="7"/>
  <c r="P37" i="7" s="1"/>
  <c r="M37" i="7"/>
  <c r="O37" i="7" s="1"/>
  <c r="N36" i="7"/>
  <c r="P36" i="7" s="1"/>
  <c r="M36" i="7"/>
  <c r="O36" i="7" s="1"/>
  <c r="N35" i="7"/>
  <c r="P35" i="7" s="1"/>
  <c r="M35" i="7"/>
  <c r="O35" i="7" s="1"/>
  <c r="N34" i="7"/>
  <c r="P34" i="7" s="1"/>
  <c r="M34" i="7"/>
  <c r="O34" i="7" s="1"/>
  <c r="N33" i="7"/>
  <c r="P33" i="7" s="1"/>
  <c r="M33" i="7"/>
  <c r="O33" i="7" s="1"/>
  <c r="N32" i="7"/>
  <c r="P32" i="7" s="1"/>
  <c r="M32" i="7"/>
  <c r="O32" i="7" s="1"/>
  <c r="N31" i="7"/>
  <c r="P31" i="7" s="1"/>
  <c r="M31" i="7"/>
  <c r="O31" i="7" s="1"/>
  <c r="N30" i="7"/>
  <c r="P30" i="7" s="1"/>
  <c r="M30" i="7"/>
  <c r="O30" i="7" s="1"/>
  <c r="N29" i="7"/>
  <c r="P29" i="7" s="1"/>
  <c r="M29" i="7"/>
  <c r="O29" i="7" s="1"/>
  <c r="N28" i="7"/>
  <c r="P28" i="7" s="1"/>
  <c r="M28" i="7"/>
  <c r="O28" i="7" s="1"/>
  <c r="N27" i="7"/>
  <c r="P27" i="7" s="1"/>
  <c r="M27" i="7"/>
  <c r="O27" i="7" s="1"/>
  <c r="N26" i="7"/>
  <c r="P26" i="7" s="1"/>
  <c r="M26" i="7"/>
  <c r="O26" i="7" s="1"/>
  <c r="N24" i="7"/>
  <c r="P24" i="7" s="1"/>
  <c r="M24" i="7"/>
  <c r="O24" i="7" s="1"/>
  <c r="P23" i="7"/>
  <c r="N23" i="7"/>
  <c r="M23" i="7"/>
  <c r="O23" i="7" s="1"/>
  <c r="P22" i="7"/>
  <c r="N22" i="7"/>
  <c r="M22" i="7"/>
  <c r="O22" i="7" s="1"/>
  <c r="N21" i="7"/>
  <c r="P21" i="7" s="1"/>
  <c r="M21" i="7"/>
  <c r="O21" i="7" s="1"/>
  <c r="N20" i="7"/>
  <c r="P20" i="7" s="1"/>
  <c r="M20" i="7"/>
  <c r="O20" i="7" s="1"/>
  <c r="P19" i="7"/>
  <c r="N19" i="7"/>
  <c r="M19" i="7"/>
  <c r="O19" i="7" s="1"/>
  <c r="P18" i="7"/>
  <c r="N18" i="7"/>
  <c r="M18" i="7"/>
  <c r="O18" i="7" s="1"/>
  <c r="N16" i="7"/>
  <c r="P16" i="7" s="1"/>
  <c r="M16" i="7"/>
  <c r="O16" i="7" s="1"/>
  <c r="N15" i="7"/>
  <c r="P15" i="7" s="1"/>
  <c r="M15" i="7"/>
  <c r="O15" i="7" s="1"/>
  <c r="P14" i="7"/>
  <c r="N14" i="7"/>
  <c r="M14" i="7"/>
  <c r="O14" i="7" s="1"/>
  <c r="P13" i="7"/>
  <c r="N13" i="7"/>
  <c r="M13" i="7"/>
  <c r="O13" i="7" s="1"/>
  <c r="N12" i="7"/>
  <c r="P12" i="7" s="1"/>
  <c r="M12" i="7"/>
  <c r="O12" i="7" s="1"/>
  <c r="N11" i="7"/>
  <c r="P11" i="7" s="1"/>
  <c r="M11" i="7"/>
  <c r="O11" i="7" s="1"/>
  <c r="P10" i="7"/>
  <c r="N10" i="7"/>
  <c r="M10" i="7"/>
  <c r="O10" i="7" s="1"/>
  <c r="P9" i="7"/>
  <c r="N9" i="7"/>
  <c r="M9" i="7"/>
  <c r="O9" i="7" s="1"/>
  <c r="N8" i="7"/>
  <c r="P8" i="7" s="1"/>
  <c r="M8" i="7"/>
  <c r="O8" i="7" s="1"/>
  <c r="M8" i="4"/>
  <c r="N8" i="4"/>
  <c r="N9" i="4"/>
  <c r="M9" i="4"/>
  <c r="N10" i="4"/>
  <c r="M10" i="4"/>
  <c r="M11" i="4"/>
  <c r="N11" i="4"/>
  <c r="M12" i="4"/>
  <c r="N12" i="4"/>
  <c r="N13" i="4"/>
  <c r="M13" i="4"/>
  <c r="N14" i="4"/>
  <c r="M14" i="4"/>
  <c r="M15" i="4"/>
  <c r="N15" i="4"/>
  <c r="M16" i="4"/>
  <c r="N16" i="4"/>
  <c r="N18" i="4"/>
  <c r="M18" i="4"/>
  <c r="N19" i="4"/>
  <c r="M19" i="4"/>
  <c r="M20" i="4"/>
  <c r="N20" i="4"/>
  <c r="M21" i="4"/>
  <c r="N21" i="4"/>
  <c r="N22" i="4"/>
  <c r="M22" i="4"/>
  <c r="N23" i="4"/>
  <c r="M23" i="4"/>
  <c r="M24" i="4"/>
  <c r="N24" i="4"/>
  <c r="M26" i="4"/>
  <c r="N26" i="4"/>
  <c r="N27" i="4"/>
  <c r="M27" i="4"/>
  <c r="N28" i="4"/>
  <c r="M28" i="4"/>
  <c r="M29" i="4"/>
  <c r="N29" i="4"/>
  <c r="M30" i="4"/>
  <c r="N30" i="4"/>
  <c r="N31" i="4"/>
  <c r="M31" i="4"/>
  <c r="N32" i="4"/>
  <c r="M32" i="4"/>
  <c r="M33" i="4"/>
  <c r="N33" i="4"/>
  <c r="M34" i="4"/>
  <c r="N34" i="4"/>
  <c r="M35" i="4"/>
  <c r="N35" i="4"/>
  <c r="P35" i="4" s="1"/>
  <c r="M36" i="4"/>
  <c r="N36" i="4"/>
  <c r="M37" i="4"/>
  <c r="N37" i="4"/>
  <c r="M38" i="4"/>
  <c r="N38" i="4"/>
  <c r="M39" i="4"/>
  <c r="N39" i="4"/>
  <c r="P39" i="4" s="1"/>
  <c r="N52" i="4"/>
  <c r="P52" i="4" s="1"/>
  <c r="N53" i="4"/>
  <c r="N54" i="4"/>
  <c r="P54" i="4" s="1"/>
  <c r="N55" i="4"/>
  <c r="P55" i="4" s="1"/>
  <c r="N56" i="4"/>
  <c r="N57" i="4"/>
  <c r="N58" i="4"/>
  <c r="N59" i="4"/>
  <c r="P59" i="4" s="1"/>
  <c r="N60" i="4"/>
  <c r="P60" i="4" s="1"/>
  <c r="N61" i="4"/>
  <c r="N62" i="4"/>
  <c r="P62" i="4" s="1"/>
  <c r="N63" i="4"/>
  <c r="P63" i="4" s="1"/>
  <c r="N64" i="4"/>
  <c r="N65" i="4"/>
  <c r="N66" i="4"/>
  <c r="P66" i="4" s="1"/>
  <c r="N67" i="4"/>
  <c r="P67" i="4" s="1"/>
  <c r="N68" i="4"/>
  <c r="P68" i="4" s="1"/>
  <c r="N69" i="4"/>
  <c r="N70" i="4"/>
  <c r="P70" i="4" s="1"/>
  <c r="N71" i="4"/>
  <c r="P71" i="4" s="1"/>
  <c r="N72" i="4"/>
  <c r="N73" i="4"/>
  <c r="N74" i="4"/>
  <c r="N75" i="4"/>
  <c r="P75" i="4" s="1"/>
  <c r="N76" i="4"/>
  <c r="P76" i="4" s="1"/>
  <c r="N77" i="4"/>
  <c r="N78" i="4"/>
  <c r="P78" i="4" s="1"/>
  <c r="N79" i="4"/>
  <c r="P79" i="4" s="1"/>
  <c r="N80" i="4"/>
  <c r="N81" i="4"/>
  <c r="N82" i="4"/>
  <c r="N83" i="4"/>
  <c r="P83" i="4" s="1"/>
  <c r="N84" i="4"/>
  <c r="P84" i="4" s="1"/>
  <c r="N85" i="4"/>
  <c r="N86" i="4"/>
  <c r="N87" i="4"/>
  <c r="P87" i="4" s="1"/>
  <c r="N88" i="4"/>
  <c r="N89" i="4"/>
  <c r="N90" i="4"/>
  <c r="P90" i="4" s="1"/>
  <c r="N91" i="4"/>
  <c r="P91" i="4" s="1"/>
  <c r="N92" i="4"/>
  <c r="P92" i="4" s="1"/>
  <c r="N93" i="4"/>
  <c r="N95" i="4"/>
  <c r="P95" i="4" s="1"/>
  <c r="N96" i="4"/>
  <c r="P96" i="4" s="1"/>
  <c r="N97" i="4"/>
  <c r="N98" i="4"/>
  <c r="N99" i="4"/>
  <c r="N100" i="4"/>
  <c r="P100" i="4" s="1"/>
  <c r="N101" i="4"/>
  <c r="P101" i="4" s="1"/>
  <c r="N102" i="4"/>
  <c r="N103" i="4"/>
  <c r="P103" i="4" s="1"/>
  <c r="N104" i="4"/>
  <c r="P104" i="4" s="1"/>
  <c r="N105" i="4"/>
  <c r="N106" i="4"/>
  <c r="N107" i="4"/>
  <c r="N108" i="4"/>
  <c r="P108" i="4" s="1"/>
  <c r="N109" i="4"/>
  <c r="P109" i="4" s="1"/>
  <c r="N110" i="4"/>
  <c r="N111" i="4"/>
  <c r="P111" i="4" s="1"/>
  <c r="N112" i="4"/>
  <c r="P112" i="4" s="1"/>
  <c r="N113" i="4"/>
  <c r="N114" i="4"/>
  <c r="N115" i="4"/>
  <c r="P115" i="4" s="1"/>
  <c r="N116" i="4"/>
  <c r="P116" i="4" s="1"/>
  <c r="N117" i="4"/>
  <c r="P117" i="4" s="1"/>
  <c r="N118" i="4"/>
  <c r="N119" i="4"/>
  <c r="P119" i="4" s="1"/>
  <c r="N120" i="4"/>
  <c r="P120" i="4" s="1"/>
  <c r="N121" i="4"/>
  <c r="N122" i="4"/>
  <c r="N123" i="4"/>
  <c r="N124" i="4"/>
  <c r="P124" i="4" s="1"/>
  <c r="N125" i="4"/>
  <c r="P125" i="4" s="1"/>
  <c r="N126" i="4"/>
  <c r="N127" i="4"/>
  <c r="P127" i="4" s="1"/>
  <c r="N128" i="4"/>
  <c r="P128" i="4" s="1"/>
  <c r="N129" i="4"/>
  <c r="N130" i="4"/>
  <c r="N131" i="4"/>
  <c r="N132" i="4"/>
  <c r="P132" i="4" s="1"/>
  <c r="N133" i="4"/>
  <c r="P133" i="4" s="1"/>
  <c r="N134" i="4"/>
  <c r="N135" i="4"/>
  <c r="P135" i="4" s="1"/>
  <c r="N136" i="4"/>
  <c r="P136" i="4" s="1"/>
  <c r="N137" i="4"/>
  <c r="N138" i="4"/>
  <c r="N139" i="4"/>
  <c r="P139" i="4" s="1"/>
  <c r="N140" i="4"/>
  <c r="P140" i="4" s="1"/>
  <c r="N141" i="4"/>
  <c r="P141" i="4" s="1"/>
  <c r="N142" i="4"/>
  <c r="N143" i="4"/>
  <c r="P143" i="4" s="1"/>
  <c r="N144" i="4"/>
  <c r="P144" i="4" s="1"/>
  <c r="N145" i="4"/>
  <c r="N146" i="4"/>
  <c r="N147" i="4"/>
  <c r="N148" i="4"/>
  <c r="P148" i="4" s="1"/>
  <c r="N149" i="4"/>
  <c r="P149" i="4" s="1"/>
  <c r="N150" i="4"/>
  <c r="N151" i="4"/>
  <c r="P151" i="4" s="1"/>
  <c r="N152" i="4"/>
  <c r="P152" i="4" s="1"/>
  <c r="N153" i="4"/>
  <c r="M155" i="4"/>
  <c r="N155" i="4"/>
  <c r="P155" i="4" s="1"/>
  <c r="M156" i="4"/>
  <c r="N156" i="4"/>
  <c r="P156" i="4" s="1"/>
  <c r="M157" i="4"/>
  <c r="N157" i="4"/>
  <c r="M158" i="4"/>
  <c r="O158" i="4" s="1"/>
  <c r="N158" i="4"/>
  <c r="P158" i="4" s="1"/>
  <c r="M159" i="4"/>
  <c r="N159" i="4"/>
  <c r="P159" i="4" s="1"/>
  <c r="M163" i="4"/>
  <c r="N163" i="4"/>
  <c r="M164" i="4"/>
  <c r="N164" i="4"/>
  <c r="P164" i="4" s="1"/>
  <c r="N165" i="4"/>
  <c r="M165" i="4"/>
  <c r="N166" i="4"/>
  <c r="M166" i="4"/>
  <c r="M168" i="4"/>
  <c r="O168" i="4" s="1"/>
  <c r="N168" i="4"/>
  <c r="M169" i="4"/>
  <c r="N169" i="4"/>
  <c r="P169" i="4" s="1"/>
  <c r="M170" i="4"/>
  <c r="N170" i="4"/>
  <c r="M171" i="4"/>
  <c r="N171" i="4"/>
  <c r="P171" i="4" s="1"/>
  <c r="M172" i="4"/>
  <c r="O172" i="4" s="1"/>
  <c r="N172" i="4"/>
  <c r="M173" i="4"/>
  <c r="N173" i="4"/>
  <c r="M174" i="4"/>
  <c r="N174" i="4"/>
  <c r="P174" i="4" s="1"/>
  <c r="M175" i="4"/>
  <c r="N175" i="4"/>
  <c r="M176" i="4"/>
  <c r="M178" i="4"/>
  <c r="N178" i="4"/>
  <c r="N179" i="4"/>
  <c r="M179" i="4"/>
  <c r="N180" i="4"/>
  <c r="O181" i="4"/>
  <c r="N181" i="4"/>
  <c r="P181" i="4" s="1"/>
  <c r="N182" i="4"/>
  <c r="P182" i="4" s="1"/>
  <c r="O183" i="4"/>
  <c r="N183" i="4"/>
  <c r="N184" i="4"/>
  <c r="P184" i="4" s="1"/>
  <c r="O185" i="4"/>
  <c r="N185" i="4"/>
  <c r="N186" i="4"/>
  <c r="N187" i="4"/>
  <c r="P187" i="4" s="1"/>
  <c r="N188" i="4"/>
  <c r="P188" i="4" s="1"/>
  <c r="O189" i="4"/>
  <c r="N189" i="4"/>
  <c r="N190" i="4"/>
  <c r="O191" i="4"/>
  <c r="N191" i="4"/>
  <c r="P191" i="4" s="1"/>
  <c r="N192" i="4"/>
  <c r="O193" i="4"/>
  <c r="N193" i="4"/>
  <c r="N194" i="4"/>
  <c r="O195" i="4"/>
  <c r="N195" i="4"/>
  <c r="P195" i="4" s="1"/>
  <c r="N196" i="4"/>
  <c r="P196" i="4" s="1"/>
  <c r="O197" i="4"/>
  <c r="N197" i="4"/>
  <c r="N198" i="4"/>
  <c r="P198" i="4" s="1"/>
  <c r="N199" i="4"/>
  <c r="P199" i="4" s="1"/>
  <c r="N200" i="4"/>
  <c r="O201" i="4"/>
  <c r="N201" i="4"/>
  <c r="P201" i="4" s="1"/>
  <c r="N202" i="4"/>
  <c r="P202" i="4" s="1"/>
  <c r="O203" i="4"/>
  <c r="N203" i="4"/>
  <c r="N204" i="4"/>
  <c r="P204" i="4" s="1"/>
  <c r="O205" i="4"/>
  <c r="N205" i="4"/>
  <c r="N206" i="4"/>
  <c r="N207" i="4"/>
  <c r="P207" i="4" s="1"/>
  <c r="N208" i="4"/>
  <c r="O209" i="4"/>
  <c r="N209" i="4"/>
  <c r="N210" i="4"/>
  <c r="P210" i="4" s="1"/>
  <c r="O211" i="4"/>
  <c r="N211" i="4"/>
  <c r="N212" i="4"/>
  <c r="O213" i="4"/>
  <c r="N213" i="4"/>
  <c r="N214" i="4"/>
  <c r="P214" i="4" s="1"/>
  <c r="N215" i="4"/>
  <c r="N216" i="4"/>
  <c r="O217" i="4"/>
  <c r="N217" i="4"/>
  <c r="N218" i="4"/>
  <c r="O219" i="4"/>
  <c r="N219" i="4"/>
  <c r="P219" i="4" s="1"/>
  <c r="N220" i="4"/>
  <c r="O221" i="4"/>
  <c r="N221" i="4"/>
  <c r="P221" i="4" s="1"/>
  <c r="N222" i="4"/>
  <c r="P222" i="4" s="1"/>
  <c r="N223" i="4"/>
  <c r="P223" i="4" s="1"/>
  <c r="N224" i="4"/>
  <c r="O225" i="4"/>
  <c r="N225" i="4"/>
  <c r="N226" i="4"/>
  <c r="P226" i="4" s="1"/>
  <c r="M228" i="4"/>
  <c r="N228" i="4"/>
  <c r="P228" i="4" s="1"/>
  <c r="M232" i="4"/>
  <c r="N232" i="4"/>
  <c r="M233" i="4"/>
  <c r="M234" i="4"/>
  <c r="N234" i="4"/>
  <c r="M235" i="4"/>
  <c r="M237" i="4"/>
  <c r="N237" i="4"/>
  <c r="M238" i="4"/>
  <c r="M240" i="4"/>
  <c r="N240" i="4"/>
  <c r="M241" i="4"/>
  <c r="M242" i="4"/>
  <c r="N242" i="4"/>
  <c r="M243" i="4"/>
  <c r="M245" i="4"/>
  <c r="N245" i="4"/>
  <c r="P245" i="4" s="1"/>
  <c r="M246" i="4"/>
  <c r="N246" i="4"/>
  <c r="P246" i="4" s="1"/>
  <c r="M247" i="4"/>
  <c r="N247" i="4"/>
  <c r="P247" i="4" s="1"/>
  <c r="M264" i="4"/>
  <c r="N264" i="4"/>
  <c r="M265" i="4"/>
  <c r="N265" i="4"/>
  <c r="P265" i="4" s="1"/>
  <c r="M266" i="4"/>
  <c r="N266" i="4"/>
  <c r="M267" i="4"/>
  <c r="N267" i="4"/>
  <c r="P267" i="4" s="1"/>
  <c r="N268" i="4"/>
  <c r="P268" i="4" s="1"/>
  <c r="N269" i="4"/>
  <c r="N270" i="4"/>
  <c r="P270" i="4" s="1"/>
  <c r="N271" i="4"/>
  <c r="P271" i="4" s="1"/>
  <c r="N272" i="4"/>
  <c r="N273" i="4"/>
  <c r="N278" i="4"/>
  <c r="M278" i="4"/>
  <c r="N279" i="4"/>
  <c r="M279" i="4"/>
  <c r="N280" i="4"/>
  <c r="M280" i="4"/>
  <c r="N281" i="4"/>
  <c r="M281" i="4"/>
  <c r="N282" i="4"/>
  <c r="M282" i="4"/>
  <c r="N283" i="4"/>
  <c r="M283" i="4"/>
  <c r="N284" i="4"/>
  <c r="M284" i="4"/>
  <c r="N285" i="4"/>
  <c r="M285" i="4"/>
  <c r="N286" i="4"/>
  <c r="M286" i="4"/>
  <c r="N288" i="4"/>
  <c r="M288" i="4"/>
  <c r="N289" i="4"/>
  <c r="M289" i="4"/>
  <c r="N290" i="4"/>
  <c r="M290" i="4"/>
  <c r="N291" i="4"/>
  <c r="P291" i="4" s="1"/>
  <c r="M291" i="4"/>
  <c r="N292" i="4"/>
  <c r="M292" i="4"/>
  <c r="N293" i="4"/>
  <c r="M293" i="4"/>
  <c r="N294" i="4"/>
  <c r="M294" i="4"/>
  <c r="N296" i="4"/>
  <c r="M296" i="4"/>
  <c r="N297" i="4"/>
  <c r="M297" i="4"/>
  <c r="N298" i="4"/>
  <c r="M298" i="4"/>
  <c r="N299" i="4"/>
  <c r="M299" i="4"/>
  <c r="N300" i="4"/>
  <c r="M300" i="4"/>
  <c r="N301" i="4"/>
  <c r="M301" i="4"/>
  <c r="N302" i="4"/>
  <c r="M302" i="4"/>
  <c r="N303" i="4"/>
  <c r="M303" i="4"/>
  <c r="N304" i="4"/>
  <c r="M304" i="4"/>
  <c r="M305" i="4"/>
  <c r="N305" i="4"/>
  <c r="M306" i="4"/>
  <c r="O306" i="4" s="1"/>
  <c r="N306" i="4"/>
  <c r="P306" i="4" s="1"/>
  <c r="M307" i="4"/>
  <c r="N307" i="4"/>
  <c r="M308" i="4"/>
  <c r="N308" i="4"/>
  <c r="M309" i="4"/>
  <c r="N309" i="4"/>
  <c r="P309" i="4" s="1"/>
  <c r="M310" i="4"/>
  <c r="N310" i="4"/>
  <c r="M312" i="4"/>
  <c r="N312" i="4"/>
  <c r="N313" i="4"/>
  <c r="M313" i="4"/>
  <c r="N314" i="4"/>
  <c r="M314" i="4"/>
  <c r="M315" i="4"/>
  <c r="N315" i="4"/>
  <c r="M316" i="4"/>
  <c r="N316" i="4"/>
  <c r="N317" i="4"/>
  <c r="M317" i="4"/>
  <c r="N318" i="4"/>
  <c r="M318" i="4"/>
  <c r="M319" i="4"/>
  <c r="N319" i="4"/>
  <c r="M320" i="4"/>
  <c r="N320" i="4"/>
  <c r="N322" i="4"/>
  <c r="P322" i="4" s="1"/>
  <c r="N323" i="4"/>
  <c r="P323" i="4" s="1"/>
  <c r="N324" i="4"/>
  <c r="N325" i="4"/>
  <c r="P325" i="4" s="1"/>
  <c r="N326" i="4"/>
  <c r="P326" i="4" s="1"/>
  <c r="N327" i="4"/>
  <c r="P327" i="4" s="1"/>
  <c r="N328" i="4"/>
  <c r="N329" i="4"/>
  <c r="P329" i="4" s="1"/>
  <c r="N330" i="4"/>
  <c r="P330" i="4" s="1"/>
  <c r="N331" i="4"/>
  <c r="P331" i="4" s="1"/>
  <c r="N332" i="4"/>
  <c r="N333" i="4"/>
  <c r="P333" i="4" s="1"/>
  <c r="N334" i="4"/>
  <c r="P334" i="4" s="1"/>
  <c r="N335" i="4"/>
  <c r="N336" i="4"/>
  <c r="P336" i="4" s="1"/>
  <c r="N337" i="4"/>
  <c r="P337" i="4" s="1"/>
  <c r="N338" i="4"/>
  <c r="P338" i="4" s="1"/>
  <c r="N339" i="4"/>
  <c r="P339" i="4" s="1"/>
  <c r="N340" i="4"/>
  <c r="P340" i="4" s="1"/>
  <c r="N341" i="4"/>
  <c r="P341" i="4" s="1"/>
  <c r="N342" i="4"/>
  <c r="P342" i="4" s="1"/>
  <c r="N343" i="4"/>
  <c r="P343" i="4" s="1"/>
  <c r="N344" i="4"/>
  <c r="P344" i="4" s="1"/>
  <c r="N345" i="4"/>
  <c r="P345" i="4" s="1"/>
  <c r="N346" i="4"/>
  <c r="P346" i="4" s="1"/>
  <c r="N347" i="4"/>
  <c r="P347" i="4" s="1"/>
  <c r="N348" i="4"/>
  <c r="P348" i="4" s="1"/>
  <c r="N349" i="4"/>
  <c r="P349" i="4" s="1"/>
  <c r="N350" i="4"/>
  <c r="P350" i="4" s="1"/>
  <c r="N351" i="4"/>
  <c r="N352" i="4"/>
  <c r="N353" i="4"/>
  <c r="P353" i="4" s="1"/>
  <c r="N354" i="4"/>
  <c r="P354" i="4" s="1"/>
  <c r="N355" i="4"/>
  <c r="P355" i="4" s="1"/>
  <c r="N356" i="4"/>
  <c r="N357" i="4"/>
  <c r="P357" i="4" s="1"/>
  <c r="N358" i="4"/>
  <c r="P358" i="4" s="1"/>
  <c r="N359" i="4"/>
  <c r="P359" i="4" s="1"/>
  <c r="N360" i="4"/>
  <c r="N361" i="4"/>
  <c r="P361" i="4" s="1"/>
  <c r="N362" i="4"/>
  <c r="P362" i="4" s="1"/>
  <c r="N363" i="4"/>
  <c r="P363" i="4" s="1"/>
  <c r="N365" i="4"/>
  <c r="N366" i="4"/>
  <c r="P366" i="4" s="1"/>
  <c r="N367" i="4"/>
  <c r="P367" i="4" s="1"/>
  <c r="N368" i="4"/>
  <c r="N369" i="4"/>
  <c r="P369" i="4" s="1"/>
  <c r="N370" i="4"/>
  <c r="P370" i="4" s="1"/>
  <c r="N371" i="4"/>
  <c r="N372" i="4"/>
  <c r="P372" i="4" s="1"/>
  <c r="N373" i="4"/>
  <c r="P373" i="4" s="1"/>
  <c r="N374" i="4"/>
  <c r="P374" i="4" s="1"/>
  <c r="N375" i="4"/>
  <c r="P375" i="4" s="1"/>
  <c r="N376" i="4"/>
  <c r="P376" i="4" s="1"/>
  <c r="N377" i="4"/>
  <c r="P377" i="4" s="1"/>
  <c r="N378" i="4"/>
  <c r="P378" i="4" s="1"/>
  <c r="N379" i="4"/>
  <c r="N380" i="4"/>
  <c r="P380" i="4" s="1"/>
  <c r="N381" i="4"/>
  <c r="P381" i="4" s="1"/>
  <c r="N382" i="4"/>
  <c r="P382" i="4" s="1"/>
  <c r="N383" i="4"/>
  <c r="P383" i="4" s="1"/>
  <c r="N384" i="4"/>
  <c r="P384" i="4" s="1"/>
  <c r="N385" i="4"/>
  <c r="N386" i="4"/>
  <c r="P386" i="4" s="1"/>
  <c r="N387" i="4"/>
  <c r="P387" i="4" s="1"/>
  <c r="N388" i="4"/>
  <c r="P388" i="4" s="1"/>
  <c r="N389" i="4"/>
  <c r="N390" i="4"/>
  <c r="P390" i="4" s="1"/>
  <c r="N391" i="4"/>
  <c r="P391" i="4" s="1"/>
  <c r="N392" i="4"/>
  <c r="P392" i="4" s="1"/>
  <c r="N393" i="4"/>
  <c r="N394" i="4"/>
  <c r="P394" i="4" s="1"/>
  <c r="N395" i="4"/>
  <c r="P395" i="4" s="1"/>
  <c r="N396" i="4"/>
  <c r="P396" i="4" s="1"/>
  <c r="N397" i="4"/>
  <c r="N398" i="4"/>
  <c r="P398" i="4" s="1"/>
  <c r="N399" i="4"/>
  <c r="P399" i="4" s="1"/>
  <c r="N400" i="4"/>
  <c r="N401" i="4"/>
  <c r="P401" i="4" s="1"/>
  <c r="N402" i="4"/>
  <c r="P402" i="4" s="1"/>
  <c r="N403" i="4"/>
  <c r="P403" i="4" s="1"/>
  <c r="N404" i="4"/>
  <c r="P404" i="4" s="1"/>
  <c r="N405" i="4"/>
  <c r="P405" i="4" s="1"/>
  <c r="N406" i="4"/>
  <c r="P406" i="4" s="1"/>
  <c r="N407" i="4"/>
  <c r="P407" i="4" s="1"/>
  <c r="N408" i="4"/>
  <c r="P408" i="4" s="1"/>
  <c r="N409" i="4"/>
  <c r="P409" i="4" s="1"/>
  <c r="N410" i="4"/>
  <c r="P410" i="4" s="1"/>
  <c r="N411" i="4"/>
  <c r="P411" i="4" s="1"/>
  <c r="O411" i="4"/>
  <c r="O410" i="4"/>
  <c r="O409" i="4"/>
  <c r="O408" i="4"/>
  <c r="O407" i="4"/>
  <c r="O406" i="4"/>
  <c r="O405" i="4"/>
  <c r="O404" i="4"/>
  <c r="O403" i="4"/>
  <c r="O402" i="4"/>
  <c r="O401" i="4"/>
  <c r="O400" i="4"/>
  <c r="P400" i="4"/>
  <c r="O399" i="4"/>
  <c r="O398" i="4"/>
  <c r="O397" i="4"/>
  <c r="P397" i="4"/>
  <c r="O396" i="4"/>
  <c r="O395" i="4"/>
  <c r="O394" i="4"/>
  <c r="O393" i="4"/>
  <c r="P393" i="4"/>
  <c r="O392" i="4"/>
  <c r="O391" i="4"/>
  <c r="O390" i="4"/>
  <c r="O389" i="4"/>
  <c r="P389" i="4"/>
  <c r="O388" i="4"/>
  <c r="O387" i="4"/>
  <c r="O386" i="4"/>
  <c r="O385" i="4"/>
  <c r="P385" i="4"/>
  <c r="O384" i="4"/>
  <c r="O383" i="4"/>
  <c r="O382" i="4"/>
  <c r="O381" i="4"/>
  <c r="O380" i="4"/>
  <c r="O379" i="4"/>
  <c r="P379" i="4"/>
  <c r="O378" i="4"/>
  <c r="O377" i="4"/>
  <c r="O376" i="4"/>
  <c r="O375" i="4"/>
  <c r="O374" i="4"/>
  <c r="O373" i="4"/>
  <c r="O372" i="4"/>
  <c r="O371" i="4"/>
  <c r="P371" i="4"/>
  <c r="O370" i="4"/>
  <c r="O369" i="4"/>
  <c r="O368" i="4"/>
  <c r="P368" i="4"/>
  <c r="O367" i="4"/>
  <c r="O366" i="4"/>
  <c r="O365" i="4"/>
  <c r="P365" i="4"/>
  <c r="O363" i="4"/>
  <c r="O362" i="4"/>
  <c r="O361" i="4"/>
  <c r="O360" i="4"/>
  <c r="P360" i="4"/>
  <c r="O359" i="4"/>
  <c r="O358" i="4"/>
  <c r="O357" i="4"/>
  <c r="O356" i="4"/>
  <c r="P356" i="4"/>
  <c r="O355" i="4"/>
  <c r="O354" i="4"/>
  <c r="O353" i="4"/>
  <c r="O352" i="4"/>
  <c r="P352" i="4"/>
  <c r="O351" i="4"/>
  <c r="P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P335" i="4"/>
  <c r="O334" i="4"/>
  <c r="O333" i="4"/>
  <c r="O332" i="4"/>
  <c r="P332" i="4"/>
  <c r="O331" i="4"/>
  <c r="O330" i="4"/>
  <c r="O329" i="4"/>
  <c r="O328" i="4"/>
  <c r="P328" i="4"/>
  <c r="O327" i="4"/>
  <c r="O326" i="4"/>
  <c r="O325" i="4"/>
  <c r="O324" i="4"/>
  <c r="P324" i="4"/>
  <c r="O323" i="4"/>
  <c r="O322" i="4"/>
  <c r="P308" i="4"/>
  <c r="P307" i="4"/>
  <c r="P305" i="4"/>
  <c r="O273" i="4"/>
  <c r="P273" i="4"/>
  <c r="O272" i="4"/>
  <c r="P272" i="4"/>
  <c r="O271" i="4"/>
  <c r="O270" i="4"/>
  <c r="O269" i="4"/>
  <c r="P269" i="4"/>
  <c r="O268" i="4"/>
  <c r="P266" i="4"/>
  <c r="P264" i="4"/>
  <c r="P239" i="4"/>
  <c r="O228" i="4"/>
  <c r="O226" i="4"/>
  <c r="P225" i="4"/>
  <c r="P224" i="4"/>
  <c r="O224" i="4"/>
  <c r="O223" i="4"/>
  <c r="O222" i="4"/>
  <c r="P220" i="4"/>
  <c r="O220" i="4"/>
  <c r="P218" i="4"/>
  <c r="O218" i="4"/>
  <c r="P217" i="4"/>
  <c r="O216" i="4"/>
  <c r="P216" i="4"/>
  <c r="O215" i="4"/>
  <c r="P215" i="4"/>
  <c r="O214" i="4"/>
  <c r="P213" i="4"/>
  <c r="P212" i="4"/>
  <c r="O212" i="4"/>
  <c r="P211" i="4"/>
  <c r="O210" i="4"/>
  <c r="P209" i="4"/>
  <c r="O208" i="4"/>
  <c r="P208" i="4"/>
  <c r="O207" i="4"/>
  <c r="P206" i="4"/>
  <c r="O206" i="4"/>
  <c r="P205" i="4"/>
  <c r="O204" i="4"/>
  <c r="P203" i="4"/>
  <c r="O202" i="4"/>
  <c r="P200" i="4"/>
  <c r="O200" i="4"/>
  <c r="O199" i="4"/>
  <c r="O198" i="4"/>
  <c r="P197" i="4"/>
  <c r="O196" i="4"/>
  <c r="P194" i="4"/>
  <c r="O194" i="4"/>
  <c r="P193" i="4"/>
  <c r="P192" i="4"/>
  <c r="O192" i="4"/>
  <c r="P190" i="4"/>
  <c r="O190" i="4"/>
  <c r="P189" i="4"/>
  <c r="O188" i="4"/>
  <c r="O187" i="4"/>
  <c r="P186" i="4"/>
  <c r="O186" i="4"/>
  <c r="P185" i="4"/>
  <c r="O184" i="4"/>
  <c r="P183" i="4"/>
  <c r="O182" i="4"/>
  <c r="P180" i="4"/>
  <c r="O180" i="4"/>
  <c r="P178" i="4"/>
  <c r="P172" i="4"/>
  <c r="P170" i="4"/>
  <c r="P168" i="4"/>
  <c r="P163" i="4"/>
  <c r="P157" i="4"/>
  <c r="O155" i="4"/>
  <c r="O153" i="4"/>
  <c r="P153" i="4"/>
  <c r="O152" i="4"/>
  <c r="O151" i="4"/>
  <c r="O150" i="4"/>
  <c r="P150" i="4"/>
  <c r="O149" i="4"/>
  <c r="O148" i="4"/>
  <c r="O147" i="4"/>
  <c r="P147" i="4"/>
  <c r="P146" i="4"/>
  <c r="O146" i="4"/>
  <c r="O145" i="4"/>
  <c r="P145" i="4"/>
  <c r="O144" i="4"/>
  <c r="O143" i="4"/>
  <c r="O142" i="4"/>
  <c r="P142" i="4"/>
  <c r="O141" i="4"/>
  <c r="O140" i="4"/>
  <c r="O139" i="4"/>
  <c r="P138" i="4"/>
  <c r="O138" i="4"/>
  <c r="O137" i="4"/>
  <c r="P137" i="4"/>
  <c r="O136" i="4"/>
  <c r="O135" i="4"/>
  <c r="O134" i="4"/>
  <c r="P134" i="4"/>
  <c r="O133" i="4"/>
  <c r="O132" i="4"/>
  <c r="O131" i="4"/>
  <c r="P131" i="4"/>
  <c r="P130" i="4"/>
  <c r="O130" i="4"/>
  <c r="O129" i="4"/>
  <c r="P129" i="4"/>
  <c r="O128" i="4"/>
  <c r="O127" i="4"/>
  <c r="O126" i="4"/>
  <c r="P126" i="4"/>
  <c r="O125" i="4"/>
  <c r="O124" i="4"/>
  <c r="O123" i="4"/>
  <c r="P123" i="4"/>
  <c r="P122" i="4"/>
  <c r="O122" i="4"/>
  <c r="O121" i="4"/>
  <c r="P121" i="4"/>
  <c r="O120" i="4"/>
  <c r="O119" i="4"/>
  <c r="O118" i="4"/>
  <c r="P118" i="4"/>
  <c r="O117" i="4"/>
  <c r="O116" i="4"/>
  <c r="O115" i="4"/>
  <c r="P114" i="4"/>
  <c r="O114" i="4"/>
  <c r="O113" i="4"/>
  <c r="P113" i="4"/>
  <c r="O112" i="4"/>
  <c r="O111" i="4"/>
  <c r="O110" i="4"/>
  <c r="P110" i="4"/>
  <c r="O109" i="4"/>
  <c r="O108" i="4"/>
  <c r="O107" i="4"/>
  <c r="P107" i="4"/>
  <c r="P106" i="4"/>
  <c r="O106" i="4"/>
  <c r="O105" i="4"/>
  <c r="P105" i="4"/>
  <c r="O104" i="4"/>
  <c r="O103" i="4"/>
  <c r="O102" i="4"/>
  <c r="P102" i="4"/>
  <c r="O101" i="4"/>
  <c r="O100" i="4"/>
  <c r="O99" i="4"/>
  <c r="P99" i="4"/>
  <c r="P98" i="4"/>
  <c r="O98" i="4"/>
  <c r="O97" i="4"/>
  <c r="P97" i="4"/>
  <c r="O96" i="4"/>
  <c r="O95" i="4"/>
  <c r="O93" i="4"/>
  <c r="P93" i="4"/>
  <c r="O92" i="4"/>
  <c r="O91" i="4"/>
  <c r="O90" i="4"/>
  <c r="P89" i="4"/>
  <c r="O89" i="4"/>
  <c r="O88" i="4"/>
  <c r="P88" i="4"/>
  <c r="O87" i="4"/>
  <c r="P86" i="4"/>
  <c r="O86" i="4"/>
  <c r="O85" i="4"/>
  <c r="P85" i="4"/>
  <c r="O84" i="4"/>
  <c r="O83" i="4"/>
  <c r="O82" i="4"/>
  <c r="P82" i="4"/>
  <c r="P81" i="4"/>
  <c r="O81" i="4"/>
  <c r="O80" i="4"/>
  <c r="P80" i="4"/>
  <c r="O79" i="4"/>
  <c r="O78" i="4"/>
  <c r="O77" i="4"/>
  <c r="P77" i="4"/>
  <c r="O76" i="4"/>
  <c r="O75" i="4"/>
  <c r="O74" i="4"/>
  <c r="P74" i="4"/>
  <c r="P73" i="4"/>
  <c r="O73" i="4"/>
  <c r="O72" i="4"/>
  <c r="P72" i="4"/>
  <c r="O71" i="4"/>
  <c r="O70" i="4"/>
  <c r="O69" i="4"/>
  <c r="P69" i="4"/>
  <c r="O68" i="4"/>
  <c r="O67" i="4"/>
  <c r="O66" i="4"/>
  <c r="P65" i="4"/>
  <c r="O65" i="4"/>
  <c r="O64" i="4"/>
  <c r="P64" i="4"/>
  <c r="O63" i="4"/>
  <c r="O62" i="4"/>
  <c r="O61" i="4"/>
  <c r="P61" i="4"/>
  <c r="O60" i="4"/>
  <c r="O59" i="4"/>
  <c r="O58" i="4"/>
  <c r="P58" i="4"/>
  <c r="P57" i="4"/>
  <c r="O57" i="4"/>
  <c r="O56" i="4"/>
  <c r="P56" i="4"/>
  <c r="O55" i="4"/>
  <c r="O54" i="4"/>
  <c r="O53" i="4"/>
  <c r="P53" i="4"/>
  <c r="O52" i="4"/>
  <c r="P38" i="4"/>
  <c r="P37" i="4"/>
  <c r="P36" i="4"/>
  <c r="O471" i="7" l="1"/>
  <c r="P471" i="7"/>
  <c r="N161" i="4"/>
  <c r="M161" i="4"/>
  <c r="N227" i="4"/>
  <c r="M227" i="4"/>
  <c r="O227" i="4" s="1"/>
  <c r="N50" i="4"/>
  <c r="M50" i="4"/>
  <c r="N48" i="4"/>
  <c r="M48" i="4"/>
  <c r="N46" i="4"/>
  <c r="M46" i="4"/>
  <c r="N42" i="4"/>
  <c r="M42" i="4"/>
  <c r="O164" i="4"/>
  <c r="N243" i="4"/>
  <c r="N241" i="4"/>
  <c r="N238" i="4"/>
  <c r="N235" i="4"/>
  <c r="N233" i="4"/>
  <c r="N176" i="4"/>
  <c r="N160" i="4"/>
  <c r="M160" i="4"/>
  <c r="N44" i="4"/>
  <c r="M44" i="4"/>
  <c r="N49" i="4"/>
  <c r="M49" i="4"/>
  <c r="N47" i="4"/>
  <c r="M47" i="4"/>
  <c r="N45" i="4"/>
  <c r="M45" i="4"/>
  <c r="O45" i="4" s="1"/>
  <c r="N43" i="4"/>
  <c r="M43" i="4"/>
  <c r="N40" i="4"/>
  <c r="M40" i="4"/>
  <c r="P280" i="4"/>
  <c r="O291" i="4"/>
  <c r="P298" i="4"/>
  <c r="O305" i="4"/>
  <c r="O302" i="4"/>
  <c r="O157" i="4"/>
  <c r="P282" i="4"/>
  <c r="O284" i="4"/>
  <c r="O293" i="4"/>
  <c r="P300" i="4"/>
  <c r="O314" i="4"/>
  <c r="O282" i="4"/>
  <c r="O300" i="4"/>
  <c r="O307" i="4"/>
  <c r="O316" i="4"/>
  <c r="O294" i="4"/>
  <c r="O301" i="4"/>
  <c r="P319" i="4"/>
  <c r="P278" i="4"/>
  <c r="O280" i="4"/>
  <c r="O281" i="4"/>
  <c r="O285" i="4"/>
  <c r="P286" i="4"/>
  <c r="O289" i="4"/>
  <c r="O290" i="4"/>
  <c r="P296" i="4"/>
  <c r="O299" i="4"/>
  <c r="O303" i="4"/>
  <c r="P304" i="4"/>
  <c r="O312" i="4"/>
  <c r="P317" i="4"/>
  <c r="O320" i="4"/>
  <c r="P313" i="4"/>
  <c r="O308" i="4"/>
  <c r="O278" i="4"/>
  <c r="O279" i="4"/>
  <c r="O283" i="4"/>
  <c r="P284" i="4"/>
  <c r="O286" i="4"/>
  <c r="O288" i="4"/>
  <c r="O292" i="4"/>
  <c r="P293" i="4"/>
  <c r="O297" i="4"/>
  <c r="P302" i="4"/>
  <c r="O304" i="4"/>
  <c r="O309" i="4"/>
  <c r="P310" i="4"/>
  <c r="P315" i="4"/>
  <c r="O318" i="4"/>
  <c r="O310" i="4"/>
  <c r="O313" i="4"/>
  <c r="O315" i="4"/>
  <c r="O317" i="4"/>
  <c r="O319" i="4"/>
  <c r="O296" i="4"/>
  <c r="O298" i="4"/>
  <c r="O173" i="4"/>
  <c r="O36" i="4"/>
  <c r="O37" i="4"/>
  <c r="O38" i="4"/>
  <c r="O170" i="4"/>
  <c r="O171" i="4"/>
  <c r="O233" i="4"/>
  <c r="O166" i="4"/>
  <c r="O49" i="4"/>
  <c r="O159" i="4"/>
  <c r="O267" i="4"/>
  <c r="O39" i="4"/>
  <c r="P173" i="4"/>
  <c r="O35" i="4"/>
  <c r="O156" i="4"/>
  <c r="O163" i="4"/>
  <c r="O169" i="4"/>
  <c r="O174" i="4"/>
  <c r="O264" i="4"/>
  <c r="O265" i="4"/>
  <c r="O266" i="4"/>
  <c r="O232" i="4"/>
  <c r="O178" i="4"/>
  <c r="O472" i="7" l="1"/>
  <c r="P233" i="4"/>
  <c r="P314" i="4"/>
  <c r="P289" i="4"/>
  <c r="P316" i="4"/>
  <c r="P299" i="4"/>
  <c r="P279" i="4"/>
  <c r="P281" i="4"/>
  <c r="P283" i="4"/>
  <c r="P292" i="4"/>
  <c r="P318" i="4"/>
  <c r="P312" i="4"/>
  <c r="P303" i="4"/>
  <c r="P285" i="4"/>
  <c r="P288" i="4"/>
  <c r="P290" i="4"/>
  <c r="P320" i="4"/>
  <c r="P294" i="4"/>
  <c r="P297" i="4"/>
  <c r="P301" i="4"/>
  <c r="O245" i="4"/>
  <c r="O34" i="4"/>
  <c r="O32" i="4"/>
  <c r="O26" i="4"/>
  <c r="O237" i="4"/>
  <c r="O13" i="4"/>
  <c r="O161" i="4"/>
  <c r="O48" i="4"/>
  <c r="O47" i="4"/>
  <c r="O31" i="4"/>
  <c r="O11" i="4"/>
  <c r="O42" i="4"/>
  <c r="O28" i="4"/>
  <c r="P166" i="4"/>
  <c r="O165" i="4"/>
  <c r="P45" i="4"/>
  <c r="P232" i="4"/>
  <c r="P227" i="4"/>
  <c r="O46" i="4"/>
  <c r="O23" i="4"/>
  <c r="O14" i="4"/>
  <c r="O9" i="4"/>
  <c r="O50" i="4"/>
  <c r="O27" i="4"/>
  <c r="P49" i="4"/>
  <c r="O21" i="4"/>
  <c r="O30" i="4"/>
  <c r="O10" i="4"/>
  <c r="P239" i="1"/>
  <c r="K234" i="3"/>
  <c r="K233" i="3"/>
  <c r="K232" i="3"/>
  <c r="N140" i="3"/>
  <c r="P140" i="3" s="1"/>
  <c r="G140" i="3"/>
  <c r="K140" i="3" s="1"/>
  <c r="N135" i="3"/>
  <c r="P135" i="3" s="1"/>
  <c r="N136" i="3"/>
  <c r="P136" i="3" s="1"/>
  <c r="N174" i="1"/>
  <c r="K135" i="3"/>
  <c r="M135" i="3" s="1"/>
  <c r="G136" i="3"/>
  <c r="K136" i="3" s="1"/>
  <c r="G135" i="3"/>
  <c r="F136" i="3"/>
  <c r="F135" i="3"/>
  <c r="G134" i="3"/>
  <c r="K134" i="3" s="1"/>
  <c r="G130" i="3"/>
  <c r="K130" i="3" s="1"/>
  <c r="G129" i="3"/>
  <c r="K129" i="3" s="1"/>
  <c r="M129" i="3" s="1"/>
  <c r="L37" i="3"/>
  <c r="L38" i="3"/>
  <c r="L39" i="3"/>
  <c r="L40" i="3"/>
  <c r="L36" i="3"/>
  <c r="G37" i="3"/>
  <c r="K37" i="3" s="1"/>
  <c r="G38" i="3"/>
  <c r="K38" i="3" s="1"/>
  <c r="G39" i="3"/>
  <c r="K39" i="3" s="1"/>
  <c r="G40" i="3"/>
  <c r="K40" i="3" s="1"/>
  <c r="G36" i="3"/>
  <c r="K36" i="3" s="1"/>
  <c r="M36" i="3" s="1"/>
  <c r="L125" i="3"/>
  <c r="K125" i="3"/>
  <c r="M125" i="3" s="1"/>
  <c r="K124" i="3"/>
  <c r="M124" i="3" s="1"/>
  <c r="K123" i="3"/>
  <c r="M123" i="3" s="1"/>
  <c r="K122" i="3"/>
  <c r="E125" i="3"/>
  <c r="N37" i="1"/>
  <c r="P37" i="1" s="1"/>
  <c r="N36" i="1"/>
  <c r="P36" i="1" s="1"/>
  <c r="K37" i="1"/>
  <c r="M37" i="1" s="1"/>
  <c r="N39" i="1"/>
  <c r="P39" i="1" s="1"/>
  <c r="K36" i="1"/>
  <c r="K39" i="1"/>
  <c r="K169" i="1"/>
  <c r="K170" i="1"/>
  <c r="M170" i="1" s="1"/>
  <c r="K171" i="1"/>
  <c r="K172" i="1"/>
  <c r="M172" i="1" s="1"/>
  <c r="K173" i="1"/>
  <c r="K174" i="1"/>
  <c r="M174" i="1" s="1"/>
  <c r="K156" i="1"/>
  <c r="K157" i="1"/>
  <c r="K158" i="1"/>
  <c r="M158" i="1" s="1"/>
  <c r="K159" i="1"/>
  <c r="N156" i="1"/>
  <c r="P156" i="1" s="1"/>
  <c r="N157" i="1"/>
  <c r="P157" i="1" s="1"/>
  <c r="N158" i="1"/>
  <c r="N159" i="1"/>
  <c r="O129" i="3" l="1"/>
  <c r="O123" i="3"/>
  <c r="O179" i="4"/>
  <c r="O238" i="4"/>
  <c r="O8" i="4"/>
  <c r="O33" i="4"/>
  <c r="P50" i="4"/>
  <c r="O29" i="4"/>
  <c r="O176" i="4"/>
  <c r="P161" i="4"/>
  <c r="P13" i="4"/>
  <c r="O247" i="4"/>
  <c r="P10" i="4"/>
  <c r="O241" i="4"/>
  <c r="P9" i="4"/>
  <c r="P31" i="4"/>
  <c r="P48" i="4"/>
  <c r="O240" i="4"/>
  <c r="O20" i="4"/>
  <c r="O234" i="4"/>
  <c r="P30" i="4"/>
  <c r="O242" i="4"/>
  <c r="P32" i="4"/>
  <c r="O44" i="4"/>
  <c r="P27" i="4"/>
  <c r="P14" i="4"/>
  <c r="P11" i="4"/>
  <c r="O22" i="4"/>
  <c r="P165" i="4"/>
  <c r="O12" i="4"/>
  <c r="O235" i="4"/>
  <c r="P21" i="4"/>
  <c r="P23" i="4"/>
  <c r="P46" i="4"/>
  <c r="O24" i="4"/>
  <c r="O19" i="4"/>
  <c r="P28" i="4"/>
  <c r="P42" i="4"/>
  <c r="P47" i="4"/>
  <c r="P237" i="4"/>
  <c r="P26" i="4"/>
  <c r="P34" i="4"/>
  <c r="M134" i="3"/>
  <c r="O134" i="3"/>
  <c r="M136" i="3"/>
  <c r="O136" i="3" s="1"/>
  <c r="M173" i="1"/>
  <c r="M169" i="1"/>
  <c r="O169" i="1" s="1"/>
  <c r="O135" i="3"/>
  <c r="N125" i="3"/>
  <c r="N39" i="3"/>
  <c r="P39" i="3" s="1"/>
  <c r="M140" i="3"/>
  <c r="O140" i="3" s="1"/>
  <c r="O37" i="1"/>
  <c r="M171" i="1"/>
  <c r="O171" i="1" s="1"/>
  <c r="M36" i="1"/>
  <c r="O36" i="1" s="1"/>
  <c r="O172" i="1"/>
  <c r="M39" i="1"/>
  <c r="O39" i="1" s="1"/>
  <c r="M159" i="1"/>
  <c r="M130" i="3"/>
  <c r="O130" i="3" s="1"/>
  <c r="O36" i="3"/>
  <c r="O170" i="1"/>
  <c r="N36" i="3"/>
  <c r="P36" i="3" s="1"/>
  <c r="M38" i="3"/>
  <c r="O38" i="3" s="1"/>
  <c r="M37" i="3"/>
  <c r="O37" i="3" s="1"/>
  <c r="M39" i="3"/>
  <c r="O39" i="3" s="1"/>
  <c r="M40" i="3"/>
  <c r="O40" i="3" s="1"/>
  <c r="N38" i="3"/>
  <c r="P38" i="3" s="1"/>
  <c r="N37" i="3"/>
  <c r="P37" i="3" s="1"/>
  <c r="N40" i="3"/>
  <c r="P40" i="3" s="1"/>
  <c r="H34" i="1"/>
  <c r="H27" i="1"/>
  <c r="H28" i="1"/>
  <c r="H29" i="1"/>
  <c r="H30" i="1"/>
  <c r="H31" i="1"/>
  <c r="H32" i="1"/>
  <c r="H33" i="1"/>
  <c r="H26" i="1"/>
  <c r="O160" i="4" l="1"/>
  <c r="P44" i="4"/>
  <c r="P24" i="4"/>
  <c r="P234" i="4"/>
  <c r="P33" i="4"/>
  <c r="P19" i="4"/>
  <c r="P235" i="4"/>
  <c r="P242" i="4"/>
  <c r="O175" i="4"/>
  <c r="O43" i="4"/>
  <c r="P20" i="4"/>
  <c r="P241" i="4"/>
  <c r="P238" i="4"/>
  <c r="P179" i="4"/>
  <c r="P12" i="4"/>
  <c r="P22" i="4"/>
  <c r="P176" i="4"/>
  <c r="P29" i="4"/>
  <c r="O18" i="4"/>
  <c r="O246" i="4"/>
  <c r="P240" i="4"/>
  <c r="P8" i="4"/>
  <c r="G131" i="3"/>
  <c r="H131" i="3" s="1"/>
  <c r="I131" i="3" s="1"/>
  <c r="G137" i="3"/>
  <c r="G141" i="3"/>
  <c r="G267" i="1"/>
  <c r="K267" i="1" s="1"/>
  <c r="G235" i="3"/>
  <c r="C233" i="3"/>
  <c r="C234" i="3"/>
  <c r="C232" i="3"/>
  <c r="D214" i="3"/>
  <c r="D215" i="3"/>
  <c r="D213" i="3"/>
  <c r="G165" i="1"/>
  <c r="H165" i="1" s="1"/>
  <c r="G179" i="1"/>
  <c r="N134" i="3"/>
  <c r="P134" i="3" s="1"/>
  <c r="N130" i="3"/>
  <c r="P130" i="3" s="1"/>
  <c r="N129" i="3"/>
  <c r="P129" i="3" s="1"/>
  <c r="M122" i="3"/>
  <c r="O122" i="3" s="1"/>
  <c r="L124" i="3"/>
  <c r="L123" i="3"/>
  <c r="L122" i="3"/>
  <c r="C44" i="3"/>
  <c r="C214" i="3" s="1"/>
  <c r="C45" i="3"/>
  <c r="C215" i="3" s="1"/>
  <c r="C46" i="3"/>
  <c r="C47" i="3"/>
  <c r="C48" i="3"/>
  <c r="C49" i="3"/>
  <c r="C50" i="3"/>
  <c r="C43" i="3"/>
  <c r="C213" i="3" s="1"/>
  <c r="C13" i="3"/>
  <c r="C14" i="3"/>
  <c r="C15" i="3"/>
  <c r="C12" i="3"/>
  <c r="C9" i="3"/>
  <c r="C10" i="3"/>
  <c r="C8" i="3"/>
  <c r="C24" i="3"/>
  <c r="C25" i="3"/>
  <c r="C26" i="3"/>
  <c r="C23" i="3"/>
  <c r="H11" i="3"/>
  <c r="H43" i="1"/>
  <c r="H246" i="1" s="1"/>
  <c r="H44" i="1"/>
  <c r="I44" i="1" s="1"/>
  <c r="I247" i="1" s="1"/>
  <c r="H45" i="1"/>
  <c r="I45" i="1" s="1"/>
  <c r="H46" i="1"/>
  <c r="H47" i="1"/>
  <c r="I47" i="1" s="1"/>
  <c r="H48" i="1"/>
  <c r="I48" i="1" s="1"/>
  <c r="H49" i="1"/>
  <c r="I49" i="1" s="1"/>
  <c r="J49" i="1" s="1"/>
  <c r="H50" i="1"/>
  <c r="H42" i="1"/>
  <c r="H245" i="1" s="1"/>
  <c r="G247" i="1"/>
  <c r="G246" i="1"/>
  <c r="G245" i="1"/>
  <c r="N267" i="1"/>
  <c r="P267" i="1" s="1"/>
  <c r="G264" i="1"/>
  <c r="G266" i="1"/>
  <c r="K266" i="1" s="1"/>
  <c r="G265" i="1"/>
  <c r="K265" i="1" s="1"/>
  <c r="K264" i="1"/>
  <c r="K233" i="1"/>
  <c r="M233" i="1" s="1"/>
  <c r="K232" i="1"/>
  <c r="L232" i="1" s="1"/>
  <c r="G238" i="1"/>
  <c r="G237" i="1"/>
  <c r="H237" i="1" s="1"/>
  <c r="H238" i="1"/>
  <c r="K178" i="1"/>
  <c r="K180" i="1"/>
  <c r="O180" i="1" s="1"/>
  <c r="K181" i="1"/>
  <c r="O181" i="1" s="1"/>
  <c r="K182" i="1"/>
  <c r="O182" i="1" s="1"/>
  <c r="K183" i="1"/>
  <c r="O183" i="1" s="1"/>
  <c r="K184" i="1"/>
  <c r="O184" i="1" s="1"/>
  <c r="K185" i="1"/>
  <c r="O185" i="1" s="1"/>
  <c r="K186" i="1"/>
  <c r="O186" i="1" s="1"/>
  <c r="K187" i="1"/>
  <c r="O187" i="1" s="1"/>
  <c r="K188" i="1"/>
  <c r="O188" i="1" s="1"/>
  <c r="K189" i="1"/>
  <c r="O189" i="1" s="1"/>
  <c r="K190" i="1"/>
  <c r="O190" i="1" s="1"/>
  <c r="K191" i="1"/>
  <c r="O191" i="1" s="1"/>
  <c r="K192" i="1"/>
  <c r="O192" i="1" s="1"/>
  <c r="K193" i="1"/>
  <c r="O193" i="1" s="1"/>
  <c r="K194" i="1"/>
  <c r="O194" i="1" s="1"/>
  <c r="K195" i="1"/>
  <c r="O195" i="1" s="1"/>
  <c r="K196" i="1"/>
  <c r="O196" i="1" s="1"/>
  <c r="K197" i="1"/>
  <c r="O197" i="1" s="1"/>
  <c r="K198" i="1"/>
  <c r="O198" i="1" s="1"/>
  <c r="K199" i="1"/>
  <c r="O199" i="1" s="1"/>
  <c r="K200" i="1"/>
  <c r="O200" i="1" s="1"/>
  <c r="K201" i="1"/>
  <c r="O201" i="1" s="1"/>
  <c r="K202" i="1"/>
  <c r="O202" i="1" s="1"/>
  <c r="K203" i="1"/>
  <c r="O203" i="1" s="1"/>
  <c r="K204" i="1"/>
  <c r="O204" i="1" s="1"/>
  <c r="K205" i="1"/>
  <c r="O205" i="1" s="1"/>
  <c r="K206" i="1"/>
  <c r="O206" i="1" s="1"/>
  <c r="K207" i="1"/>
  <c r="O207" i="1" s="1"/>
  <c r="K208" i="1"/>
  <c r="O208" i="1" s="1"/>
  <c r="K209" i="1"/>
  <c r="O209" i="1" s="1"/>
  <c r="K210" i="1"/>
  <c r="O210" i="1" s="1"/>
  <c r="K211" i="1"/>
  <c r="O211" i="1" s="1"/>
  <c r="K212" i="1"/>
  <c r="O212" i="1" s="1"/>
  <c r="K213" i="1"/>
  <c r="O213" i="1" s="1"/>
  <c r="K214" i="1"/>
  <c r="O214" i="1" s="1"/>
  <c r="K215" i="1"/>
  <c r="O215" i="1" s="1"/>
  <c r="K216" i="1"/>
  <c r="O216" i="1" s="1"/>
  <c r="K217" i="1"/>
  <c r="O217" i="1" s="1"/>
  <c r="K218" i="1"/>
  <c r="O218" i="1" s="1"/>
  <c r="K219" i="1"/>
  <c r="O219" i="1" s="1"/>
  <c r="K220" i="1"/>
  <c r="O220" i="1" s="1"/>
  <c r="K221" i="1"/>
  <c r="O221" i="1" s="1"/>
  <c r="K222" i="1"/>
  <c r="O222" i="1" s="1"/>
  <c r="K223" i="1"/>
  <c r="O223" i="1" s="1"/>
  <c r="K224" i="1"/>
  <c r="O224" i="1" s="1"/>
  <c r="K225" i="1"/>
  <c r="O225" i="1" s="1"/>
  <c r="K226" i="1"/>
  <c r="O226" i="1" s="1"/>
  <c r="K228" i="1"/>
  <c r="M228" i="1" s="1"/>
  <c r="M232" i="1" l="1"/>
  <c r="I42" i="1"/>
  <c r="J42" i="1" s="1"/>
  <c r="J245" i="1" s="1"/>
  <c r="H247" i="1"/>
  <c r="H141" i="3"/>
  <c r="I141" i="3" s="1"/>
  <c r="J141" i="3" s="1"/>
  <c r="P43" i="4"/>
  <c r="P175" i="4"/>
  <c r="P18" i="4"/>
  <c r="P160" i="4"/>
  <c r="M264" i="1"/>
  <c r="O264" i="1"/>
  <c r="M267" i="1"/>
  <c r="O267" i="1"/>
  <c r="N122" i="3"/>
  <c r="P122" i="3"/>
  <c r="M178" i="1"/>
  <c r="O178" i="1"/>
  <c r="O232" i="1"/>
  <c r="M266" i="1"/>
  <c r="O266" i="1"/>
  <c r="L233" i="1"/>
  <c r="O233" i="1"/>
  <c r="I43" i="1"/>
  <c r="I246" i="1" s="1"/>
  <c r="N123" i="3"/>
  <c r="P123" i="3" s="1"/>
  <c r="N124" i="3"/>
  <c r="M233" i="3"/>
  <c r="O233" i="3" s="1"/>
  <c r="M265" i="1"/>
  <c r="O265" i="1" s="1"/>
  <c r="L232" i="3"/>
  <c r="L234" i="3"/>
  <c r="J131" i="3"/>
  <c r="K131" i="3" s="1"/>
  <c r="H137" i="3"/>
  <c r="H235" i="3"/>
  <c r="I235" i="3" s="1"/>
  <c r="J235" i="3" s="1"/>
  <c r="I165" i="1"/>
  <c r="H22" i="3"/>
  <c r="I11" i="3"/>
  <c r="J11" i="3" s="1"/>
  <c r="I245" i="1"/>
  <c r="K245" i="1" s="1"/>
  <c r="J45" i="1"/>
  <c r="K45" i="1" s="1"/>
  <c r="K49" i="1"/>
  <c r="J48" i="1"/>
  <c r="K48" i="1" s="1"/>
  <c r="J44" i="1"/>
  <c r="J247" i="1" s="1"/>
  <c r="K247" i="1" s="1"/>
  <c r="J47" i="1"/>
  <c r="K47" i="1" s="1"/>
  <c r="I50" i="1"/>
  <c r="J50" i="1" s="1"/>
  <c r="I46" i="1"/>
  <c r="J46" i="1" s="1"/>
  <c r="I238" i="1"/>
  <c r="I237" i="1"/>
  <c r="J237" i="1" s="1"/>
  <c r="J43" i="1" l="1"/>
  <c r="K141" i="3"/>
  <c r="L141" i="3" s="1"/>
  <c r="K235" i="3"/>
  <c r="L235" i="3" s="1"/>
  <c r="K11" i="3"/>
  <c r="M247" i="1"/>
  <c r="O247" i="1"/>
  <c r="M245" i="1"/>
  <c r="O245" i="1" s="1"/>
  <c r="K49" i="3"/>
  <c r="K50" i="3"/>
  <c r="K48" i="3"/>
  <c r="M48" i="3" s="1"/>
  <c r="K46" i="3"/>
  <c r="N234" i="3"/>
  <c r="P234" i="3" s="1"/>
  <c r="N232" i="3"/>
  <c r="P232" i="3" s="1"/>
  <c r="L233" i="3"/>
  <c r="M232" i="3"/>
  <c r="O232" i="3" s="1"/>
  <c r="M234" i="3"/>
  <c r="O234" i="3" s="1"/>
  <c r="M50" i="3"/>
  <c r="L131" i="3"/>
  <c r="M131" i="3"/>
  <c r="O131" i="3" s="1"/>
  <c r="I137" i="3"/>
  <c r="J137" i="3" s="1"/>
  <c r="M141" i="3"/>
  <c r="J165" i="1"/>
  <c r="K165" i="1" s="1"/>
  <c r="I22" i="3"/>
  <c r="J22" i="3" s="1"/>
  <c r="K44" i="1"/>
  <c r="K50" i="1"/>
  <c r="K43" i="1"/>
  <c r="J246" i="1"/>
  <c r="K246" i="1" s="1"/>
  <c r="K46" i="1"/>
  <c r="J238" i="1"/>
  <c r="K238" i="1" s="1"/>
  <c r="K237" i="1"/>
  <c r="I227" i="1"/>
  <c r="H227" i="1"/>
  <c r="F166" i="1"/>
  <c r="H176" i="1"/>
  <c r="H166" i="1"/>
  <c r="I166" i="1" s="1"/>
  <c r="H161" i="1"/>
  <c r="I161" i="1" s="1"/>
  <c r="N168" i="1"/>
  <c r="P168" i="1" s="1"/>
  <c r="F173" i="1"/>
  <c r="O173" i="1" s="1"/>
  <c r="N173" i="1"/>
  <c r="K168" i="1"/>
  <c r="K164" i="1"/>
  <c r="K163" i="1"/>
  <c r="M157" i="1"/>
  <c r="O157" i="1" s="1"/>
  <c r="M156" i="1"/>
  <c r="O156" i="1" s="1"/>
  <c r="K155" i="1"/>
  <c r="I34" i="1"/>
  <c r="I32" i="1"/>
  <c r="I31" i="1"/>
  <c r="J31" i="1" s="1"/>
  <c r="I29" i="1"/>
  <c r="H14" i="1"/>
  <c r="I14" i="1" s="1"/>
  <c r="H13" i="1"/>
  <c r="I13" i="1" s="1"/>
  <c r="H12" i="1"/>
  <c r="I12" i="1" s="1"/>
  <c r="J12" i="1" s="1"/>
  <c r="K12" i="1" s="1"/>
  <c r="H11" i="1"/>
  <c r="H10" i="1"/>
  <c r="I10" i="1" s="1"/>
  <c r="H9" i="1"/>
  <c r="I9" i="1" s="1"/>
  <c r="H8" i="1"/>
  <c r="I8" i="1" s="1"/>
  <c r="G24" i="1"/>
  <c r="G23" i="1"/>
  <c r="G22" i="1"/>
  <c r="G21" i="1"/>
  <c r="H21" i="1" s="1"/>
  <c r="G20" i="1"/>
  <c r="H20" i="1" s="1"/>
  <c r="G19" i="1"/>
  <c r="G18" i="1"/>
  <c r="H18" i="1" s="1"/>
  <c r="N52" i="1"/>
  <c r="P52" i="1" s="1"/>
  <c r="N53" i="1"/>
  <c r="P53" i="1" s="1"/>
  <c r="N54" i="1"/>
  <c r="P54" i="1" s="1"/>
  <c r="N55" i="1"/>
  <c r="P55" i="1" s="1"/>
  <c r="N56" i="1"/>
  <c r="P56" i="1" s="1"/>
  <c r="N57" i="1"/>
  <c r="P57" i="1" s="1"/>
  <c r="N58" i="1"/>
  <c r="P58" i="1" s="1"/>
  <c r="N59" i="1"/>
  <c r="P59" i="1" s="1"/>
  <c r="N60" i="1"/>
  <c r="P60" i="1" s="1"/>
  <c r="N61" i="1"/>
  <c r="P61" i="1" s="1"/>
  <c r="N62" i="1"/>
  <c r="P62" i="1" s="1"/>
  <c r="N63" i="1"/>
  <c r="P63" i="1" s="1"/>
  <c r="N64" i="1"/>
  <c r="P64" i="1" s="1"/>
  <c r="N65" i="1"/>
  <c r="P65" i="1" s="1"/>
  <c r="N66" i="1"/>
  <c r="P66" i="1" s="1"/>
  <c r="N67" i="1"/>
  <c r="P67" i="1" s="1"/>
  <c r="N68" i="1"/>
  <c r="P68" i="1" s="1"/>
  <c r="N69" i="1"/>
  <c r="P69" i="1" s="1"/>
  <c r="N70" i="1"/>
  <c r="P70" i="1" s="1"/>
  <c r="N71" i="1"/>
  <c r="P71" i="1" s="1"/>
  <c r="N72" i="1"/>
  <c r="P72" i="1" s="1"/>
  <c r="N73" i="1"/>
  <c r="P73" i="1" s="1"/>
  <c r="N74" i="1"/>
  <c r="P74" i="1" s="1"/>
  <c r="N75" i="1"/>
  <c r="P75" i="1" s="1"/>
  <c r="N76" i="1"/>
  <c r="P76" i="1" s="1"/>
  <c r="N77" i="1"/>
  <c r="P77" i="1" s="1"/>
  <c r="N78" i="1"/>
  <c r="P78" i="1" s="1"/>
  <c r="N79" i="1"/>
  <c r="P79" i="1" s="1"/>
  <c r="N80" i="1"/>
  <c r="P80" i="1" s="1"/>
  <c r="N81" i="1"/>
  <c r="P81" i="1" s="1"/>
  <c r="N82" i="1"/>
  <c r="P82" i="1" s="1"/>
  <c r="N83" i="1"/>
  <c r="P83" i="1" s="1"/>
  <c r="N84" i="1"/>
  <c r="P84" i="1" s="1"/>
  <c r="N85" i="1"/>
  <c r="P85" i="1" s="1"/>
  <c r="N86" i="1"/>
  <c r="P86" i="1" s="1"/>
  <c r="N87" i="1"/>
  <c r="P87" i="1" s="1"/>
  <c r="N88" i="1"/>
  <c r="P88" i="1" s="1"/>
  <c r="N89" i="1"/>
  <c r="P89" i="1" s="1"/>
  <c r="N90" i="1"/>
  <c r="P90" i="1" s="1"/>
  <c r="N91" i="1"/>
  <c r="P91" i="1" s="1"/>
  <c r="N92" i="1"/>
  <c r="P92" i="1" s="1"/>
  <c r="N93" i="1"/>
  <c r="P93" i="1" s="1"/>
  <c r="N95" i="1"/>
  <c r="P95" i="1" s="1"/>
  <c r="N96" i="1"/>
  <c r="P96" i="1" s="1"/>
  <c r="N97" i="1"/>
  <c r="P97" i="1" s="1"/>
  <c r="N98" i="1"/>
  <c r="P98" i="1" s="1"/>
  <c r="N99" i="1"/>
  <c r="P99" i="1" s="1"/>
  <c r="N100" i="1"/>
  <c r="P100" i="1" s="1"/>
  <c r="N101" i="1"/>
  <c r="P101" i="1" s="1"/>
  <c r="N102" i="1"/>
  <c r="P102" i="1" s="1"/>
  <c r="N103" i="1"/>
  <c r="P103" i="1" s="1"/>
  <c r="N104" i="1"/>
  <c r="P104" i="1" s="1"/>
  <c r="N105" i="1"/>
  <c r="P105" i="1" s="1"/>
  <c r="N106" i="1"/>
  <c r="P106" i="1" s="1"/>
  <c r="N107" i="1"/>
  <c r="P107" i="1" s="1"/>
  <c r="N108" i="1"/>
  <c r="P108" i="1" s="1"/>
  <c r="N109" i="1"/>
  <c r="P109" i="1" s="1"/>
  <c r="N110" i="1"/>
  <c r="P110" i="1" s="1"/>
  <c r="N111" i="1"/>
  <c r="P111" i="1" s="1"/>
  <c r="N112" i="1"/>
  <c r="P112" i="1" s="1"/>
  <c r="N113" i="1"/>
  <c r="P113" i="1" s="1"/>
  <c r="N114" i="1"/>
  <c r="P114" i="1" s="1"/>
  <c r="N115" i="1"/>
  <c r="P115" i="1" s="1"/>
  <c r="N116" i="1"/>
  <c r="P116" i="1" s="1"/>
  <c r="N117" i="1"/>
  <c r="P117" i="1" s="1"/>
  <c r="N118" i="1"/>
  <c r="P118" i="1" s="1"/>
  <c r="N119" i="1"/>
  <c r="P119" i="1" s="1"/>
  <c r="N120" i="1"/>
  <c r="P120" i="1" s="1"/>
  <c r="N121" i="1"/>
  <c r="P121" i="1" s="1"/>
  <c r="N122" i="1"/>
  <c r="P122" i="1" s="1"/>
  <c r="N123" i="1"/>
  <c r="P123" i="1" s="1"/>
  <c r="N124" i="1"/>
  <c r="P124" i="1" s="1"/>
  <c r="N125" i="1"/>
  <c r="P125" i="1" s="1"/>
  <c r="N126" i="1"/>
  <c r="P126" i="1" s="1"/>
  <c r="N127" i="1"/>
  <c r="P127" i="1" s="1"/>
  <c r="N128" i="1"/>
  <c r="P128" i="1" s="1"/>
  <c r="N129" i="1"/>
  <c r="P129" i="1" s="1"/>
  <c r="N130" i="1"/>
  <c r="P130" i="1" s="1"/>
  <c r="N131" i="1"/>
  <c r="P131" i="1" s="1"/>
  <c r="N132" i="1"/>
  <c r="P132" i="1" s="1"/>
  <c r="N133" i="1"/>
  <c r="P133" i="1" s="1"/>
  <c r="N134" i="1"/>
  <c r="P134" i="1" s="1"/>
  <c r="N135" i="1"/>
  <c r="P135" i="1" s="1"/>
  <c r="N136" i="1"/>
  <c r="P136" i="1" s="1"/>
  <c r="N137" i="1"/>
  <c r="P137" i="1" s="1"/>
  <c r="N138" i="1"/>
  <c r="P138" i="1" s="1"/>
  <c r="N139" i="1"/>
  <c r="P139" i="1" s="1"/>
  <c r="N140" i="1"/>
  <c r="P140" i="1" s="1"/>
  <c r="N141" i="1"/>
  <c r="P141" i="1" s="1"/>
  <c r="N142" i="1"/>
  <c r="P142" i="1" s="1"/>
  <c r="N143" i="1"/>
  <c r="P143" i="1" s="1"/>
  <c r="N144" i="1"/>
  <c r="P144" i="1" s="1"/>
  <c r="N145" i="1"/>
  <c r="P145" i="1" s="1"/>
  <c r="N146" i="1"/>
  <c r="P146" i="1" s="1"/>
  <c r="N147" i="1"/>
  <c r="P147" i="1" s="1"/>
  <c r="N148" i="1"/>
  <c r="P148" i="1" s="1"/>
  <c r="N149" i="1"/>
  <c r="P149" i="1" s="1"/>
  <c r="N150" i="1"/>
  <c r="P150" i="1" s="1"/>
  <c r="N151" i="1"/>
  <c r="P151" i="1" s="1"/>
  <c r="N152" i="1"/>
  <c r="P152" i="1" s="1"/>
  <c r="N153" i="1"/>
  <c r="P153" i="1" s="1"/>
  <c r="N155" i="1"/>
  <c r="P155" i="1" s="1"/>
  <c r="N163" i="1"/>
  <c r="P163" i="1" s="1"/>
  <c r="N164" i="1"/>
  <c r="P164" i="1" s="1"/>
  <c r="N169" i="1"/>
  <c r="P169" i="1" s="1"/>
  <c r="N170" i="1"/>
  <c r="P170" i="1" s="1"/>
  <c r="N171" i="1"/>
  <c r="P171" i="1" s="1"/>
  <c r="N172" i="1"/>
  <c r="P172" i="1" s="1"/>
  <c r="N178" i="1"/>
  <c r="P178" i="1" s="1"/>
  <c r="N180" i="1"/>
  <c r="P180" i="1" s="1"/>
  <c r="N181" i="1"/>
  <c r="P181" i="1" s="1"/>
  <c r="N182" i="1"/>
  <c r="P182" i="1" s="1"/>
  <c r="N183" i="1"/>
  <c r="P183" i="1" s="1"/>
  <c r="N184" i="1"/>
  <c r="P184" i="1" s="1"/>
  <c r="N185" i="1"/>
  <c r="P185" i="1" s="1"/>
  <c r="N186" i="1"/>
  <c r="P186" i="1" s="1"/>
  <c r="N187" i="1"/>
  <c r="P187" i="1" s="1"/>
  <c r="N188" i="1"/>
  <c r="P188" i="1" s="1"/>
  <c r="N189" i="1"/>
  <c r="P189" i="1" s="1"/>
  <c r="N190" i="1"/>
  <c r="P190" i="1" s="1"/>
  <c r="N191" i="1"/>
  <c r="P191" i="1" s="1"/>
  <c r="N192" i="1"/>
  <c r="P192" i="1" s="1"/>
  <c r="N193" i="1"/>
  <c r="P193" i="1" s="1"/>
  <c r="N194" i="1"/>
  <c r="P194" i="1" s="1"/>
  <c r="N195" i="1"/>
  <c r="P195" i="1" s="1"/>
  <c r="N196" i="1"/>
  <c r="P196" i="1" s="1"/>
  <c r="N197" i="1"/>
  <c r="P197" i="1" s="1"/>
  <c r="N198" i="1"/>
  <c r="P198" i="1" s="1"/>
  <c r="N199" i="1"/>
  <c r="P199" i="1" s="1"/>
  <c r="N200" i="1"/>
  <c r="P200" i="1" s="1"/>
  <c r="N201" i="1"/>
  <c r="P201" i="1" s="1"/>
  <c r="N202" i="1"/>
  <c r="P202" i="1" s="1"/>
  <c r="N203" i="1"/>
  <c r="P203" i="1" s="1"/>
  <c r="N204" i="1"/>
  <c r="P204" i="1" s="1"/>
  <c r="N205" i="1"/>
  <c r="P205" i="1" s="1"/>
  <c r="N206" i="1"/>
  <c r="P206" i="1" s="1"/>
  <c r="N207" i="1"/>
  <c r="P207" i="1" s="1"/>
  <c r="N208" i="1"/>
  <c r="P208" i="1" s="1"/>
  <c r="N209" i="1"/>
  <c r="P209" i="1" s="1"/>
  <c r="N210" i="1"/>
  <c r="P210" i="1" s="1"/>
  <c r="N211" i="1"/>
  <c r="P211" i="1" s="1"/>
  <c r="N212" i="1"/>
  <c r="P212" i="1" s="1"/>
  <c r="N213" i="1"/>
  <c r="P213" i="1" s="1"/>
  <c r="N214" i="1"/>
  <c r="P214" i="1" s="1"/>
  <c r="N215" i="1"/>
  <c r="P215" i="1" s="1"/>
  <c r="N216" i="1"/>
  <c r="P216" i="1" s="1"/>
  <c r="N217" i="1"/>
  <c r="P217" i="1" s="1"/>
  <c r="N218" i="1"/>
  <c r="P218" i="1" s="1"/>
  <c r="N219" i="1"/>
  <c r="P219" i="1" s="1"/>
  <c r="N220" i="1"/>
  <c r="P220" i="1" s="1"/>
  <c r="N221" i="1"/>
  <c r="P221" i="1" s="1"/>
  <c r="N222" i="1"/>
  <c r="P222" i="1" s="1"/>
  <c r="N223" i="1"/>
  <c r="P223" i="1" s="1"/>
  <c r="N224" i="1"/>
  <c r="P224" i="1" s="1"/>
  <c r="N225" i="1"/>
  <c r="P225" i="1" s="1"/>
  <c r="N226" i="1"/>
  <c r="P226" i="1" s="1"/>
  <c r="N228" i="1"/>
  <c r="P228" i="1" s="1"/>
  <c r="N232" i="1"/>
  <c r="P232" i="1" s="1"/>
  <c r="N233" i="1"/>
  <c r="P233" i="1" s="1"/>
  <c r="N245" i="1"/>
  <c r="P245" i="1" s="1"/>
  <c r="N246" i="1"/>
  <c r="P246" i="1" s="1"/>
  <c r="N247" i="1"/>
  <c r="P247" i="1" s="1"/>
  <c r="N264" i="1"/>
  <c r="P264" i="1" s="1"/>
  <c r="N265" i="1"/>
  <c r="P265" i="1" s="1"/>
  <c r="N266" i="1"/>
  <c r="P266" i="1" s="1"/>
  <c r="N268" i="1"/>
  <c r="P268" i="1" s="1"/>
  <c r="N269" i="1"/>
  <c r="P269" i="1" s="1"/>
  <c r="N270" i="1"/>
  <c r="P270" i="1" s="1"/>
  <c r="N271" i="1"/>
  <c r="P271" i="1" s="1"/>
  <c r="N272" i="1"/>
  <c r="P272" i="1" s="1"/>
  <c r="N273" i="1"/>
  <c r="P273" i="1" s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H179" i="1"/>
  <c r="O228" i="1"/>
  <c r="O268" i="1"/>
  <c r="O269" i="1"/>
  <c r="O270" i="1"/>
  <c r="O271" i="1"/>
  <c r="O272" i="1"/>
  <c r="O273" i="1"/>
  <c r="M235" i="3" l="1"/>
  <c r="O235" i="3" s="1"/>
  <c r="M11" i="3"/>
  <c r="O11" i="3" s="1"/>
  <c r="L11" i="3"/>
  <c r="O141" i="3"/>
  <c r="O40" i="4"/>
  <c r="M163" i="1"/>
  <c r="O163" i="1"/>
  <c r="O12" i="1"/>
  <c r="M168" i="1"/>
  <c r="O168" i="1" s="1"/>
  <c r="M238" i="1"/>
  <c r="O238" i="1"/>
  <c r="L46" i="3"/>
  <c r="L50" i="3"/>
  <c r="O50" i="3"/>
  <c r="P173" i="1"/>
  <c r="K47" i="3"/>
  <c r="M47" i="3" s="1"/>
  <c r="K45" i="3"/>
  <c r="L45" i="3" s="1"/>
  <c r="M46" i="3"/>
  <c r="O46" i="3" s="1"/>
  <c r="M246" i="1"/>
  <c r="O246" i="1"/>
  <c r="L48" i="3"/>
  <c r="O48" i="3"/>
  <c r="L49" i="3"/>
  <c r="M155" i="1"/>
  <c r="O155" i="1"/>
  <c r="M164" i="1"/>
  <c r="O164" i="1"/>
  <c r="M237" i="1"/>
  <c r="O237" i="1"/>
  <c r="K44" i="3"/>
  <c r="M49" i="3"/>
  <c r="O49" i="3" s="1"/>
  <c r="N233" i="3"/>
  <c r="P233" i="3" s="1"/>
  <c r="G234" i="1"/>
  <c r="G235" i="1"/>
  <c r="K235" i="1" s="1"/>
  <c r="F174" i="1"/>
  <c r="G175" i="1"/>
  <c r="L12" i="1"/>
  <c r="K13" i="3"/>
  <c r="M44" i="3"/>
  <c r="N131" i="3"/>
  <c r="P131" i="3" s="1"/>
  <c r="K137" i="3"/>
  <c r="N141" i="3"/>
  <c r="P141" i="3" s="1"/>
  <c r="N235" i="3"/>
  <c r="P235" i="3" s="1"/>
  <c r="M165" i="1"/>
  <c r="O165" i="1" s="1"/>
  <c r="L165" i="1"/>
  <c r="I179" i="1"/>
  <c r="K22" i="3"/>
  <c r="J227" i="1"/>
  <c r="K227" i="1" s="1"/>
  <c r="I176" i="1"/>
  <c r="J166" i="1"/>
  <c r="K166" i="1" s="1"/>
  <c r="J161" i="1"/>
  <c r="K161" i="1" s="1"/>
  <c r="I20" i="1"/>
  <c r="J20" i="1" s="1"/>
  <c r="K20" i="1" s="1"/>
  <c r="H24" i="1"/>
  <c r="I24" i="1" s="1"/>
  <c r="J24" i="1" s="1"/>
  <c r="K24" i="1" s="1"/>
  <c r="H23" i="1"/>
  <c r="I23" i="1" s="1"/>
  <c r="H19" i="1"/>
  <c r="I19" i="1" s="1"/>
  <c r="K31" i="1"/>
  <c r="H22" i="1"/>
  <c r="I18" i="1"/>
  <c r="I21" i="1"/>
  <c r="J21" i="1" s="1"/>
  <c r="J13" i="1"/>
  <c r="K13" i="1" s="1"/>
  <c r="M12" i="1"/>
  <c r="J32" i="1"/>
  <c r="K32" i="1" s="1"/>
  <c r="J179" i="1"/>
  <c r="K179" i="1" s="1"/>
  <c r="J34" i="1"/>
  <c r="K34" i="1" s="1"/>
  <c r="I33" i="1"/>
  <c r="I30" i="1"/>
  <c r="J30" i="1" s="1"/>
  <c r="J29" i="1"/>
  <c r="K29" i="1" s="1"/>
  <c r="I28" i="1"/>
  <c r="J28" i="1" s="1"/>
  <c r="I27" i="1"/>
  <c r="I26" i="1"/>
  <c r="J9" i="1"/>
  <c r="K9" i="1" s="1"/>
  <c r="J8" i="1"/>
  <c r="K8" i="1" s="1"/>
  <c r="J10" i="1"/>
  <c r="K10" i="1" s="1"/>
  <c r="I11" i="1"/>
  <c r="J14" i="1"/>
  <c r="K14" i="1" s="1"/>
  <c r="L238" i="1"/>
  <c r="F158" i="1"/>
  <c r="F124" i="3"/>
  <c r="K215" i="3" l="1"/>
  <c r="L47" i="3"/>
  <c r="F125" i="3"/>
  <c r="O124" i="3"/>
  <c r="G126" i="3"/>
  <c r="P124" i="3"/>
  <c r="N11" i="3"/>
  <c r="P11" i="3"/>
  <c r="O15" i="4"/>
  <c r="O243" i="4"/>
  <c r="P40" i="4"/>
  <c r="O16" i="4"/>
  <c r="N45" i="3"/>
  <c r="P45" i="3"/>
  <c r="K9" i="3"/>
  <c r="K127" i="3"/>
  <c r="L127" i="3" s="1"/>
  <c r="O44" i="3"/>
  <c r="N49" i="3"/>
  <c r="P49" i="3"/>
  <c r="O158" i="1"/>
  <c r="P158" i="1"/>
  <c r="K10" i="3"/>
  <c r="L10" i="3" s="1"/>
  <c r="L44" i="3"/>
  <c r="N12" i="1"/>
  <c r="P12" i="1"/>
  <c r="N47" i="3"/>
  <c r="P47" i="3" s="1"/>
  <c r="O47" i="3"/>
  <c r="K15" i="3"/>
  <c r="O29" i="1"/>
  <c r="K21" i="3"/>
  <c r="M21" i="3" s="1"/>
  <c r="O20" i="1"/>
  <c r="O45" i="3"/>
  <c r="O174" i="1"/>
  <c r="P174" i="1"/>
  <c r="N50" i="3"/>
  <c r="P50" i="3" s="1"/>
  <c r="K8" i="3"/>
  <c r="O8" i="1"/>
  <c r="M34" i="1"/>
  <c r="O34" i="1" s="1"/>
  <c r="K14" i="3"/>
  <c r="L14" i="3" s="1"/>
  <c r="K26" i="3"/>
  <c r="N165" i="1"/>
  <c r="P165" i="1"/>
  <c r="K214" i="3"/>
  <c r="M45" i="3"/>
  <c r="N48" i="3"/>
  <c r="P48" i="3"/>
  <c r="N46" i="3"/>
  <c r="P46" i="3" s="1"/>
  <c r="M235" i="1"/>
  <c r="O235" i="1" s="1"/>
  <c r="L235" i="1"/>
  <c r="F159" i="1"/>
  <c r="G160" i="1"/>
  <c r="K234" i="1"/>
  <c r="K35" i="1"/>
  <c r="K38" i="1"/>
  <c r="K132" i="3"/>
  <c r="M127" i="3"/>
  <c r="M215" i="3"/>
  <c r="O215" i="3" s="1"/>
  <c r="L215" i="3"/>
  <c r="M8" i="3"/>
  <c r="K200" i="3"/>
  <c r="M31" i="1"/>
  <c r="O31" i="1" s="1"/>
  <c r="K33" i="3"/>
  <c r="L13" i="3"/>
  <c r="P13" i="3" s="1"/>
  <c r="K201" i="3"/>
  <c r="M29" i="1"/>
  <c r="K31" i="3"/>
  <c r="M32" i="1"/>
  <c r="O32" i="1" s="1"/>
  <c r="K34" i="3"/>
  <c r="N13" i="3"/>
  <c r="M13" i="3"/>
  <c r="O13" i="3" s="1"/>
  <c r="M137" i="3"/>
  <c r="O137" i="3" s="1"/>
  <c r="L137" i="3"/>
  <c r="L22" i="3"/>
  <c r="M22" i="3"/>
  <c r="O22" i="3" s="1"/>
  <c r="L227" i="1"/>
  <c r="M227" i="1"/>
  <c r="O227" i="1" s="1"/>
  <c r="J176" i="1"/>
  <c r="K176" i="1" s="1"/>
  <c r="L166" i="1"/>
  <c r="M166" i="1"/>
  <c r="O166" i="1" s="1"/>
  <c r="M161" i="1"/>
  <c r="O161" i="1" s="1"/>
  <c r="L161" i="1"/>
  <c r="J19" i="1"/>
  <c r="L31" i="1"/>
  <c r="J23" i="1"/>
  <c r="K23" i="1" s="1"/>
  <c r="M24" i="1"/>
  <c r="O24" i="1" s="1"/>
  <c r="L24" i="1"/>
  <c r="L9" i="1"/>
  <c r="M9" i="1"/>
  <c r="O9" i="1" s="1"/>
  <c r="M20" i="1"/>
  <c r="L20" i="1"/>
  <c r="H175" i="1"/>
  <c r="I175" i="1" s="1"/>
  <c r="L14" i="1"/>
  <c r="M14" i="1"/>
  <c r="O14" i="1" s="1"/>
  <c r="J18" i="1"/>
  <c r="K18" i="1" s="1"/>
  <c r="I22" i="1"/>
  <c r="J22" i="1" s="1"/>
  <c r="K22" i="1" s="1"/>
  <c r="K42" i="1"/>
  <c r="L10" i="1"/>
  <c r="M10" i="1"/>
  <c r="O10" i="1" s="1"/>
  <c r="L32" i="1"/>
  <c r="K21" i="1"/>
  <c r="L8" i="1"/>
  <c r="M8" i="1"/>
  <c r="L13" i="1"/>
  <c r="M13" i="1"/>
  <c r="O13" i="1" s="1"/>
  <c r="J33" i="1"/>
  <c r="K33" i="1" s="1"/>
  <c r="K19" i="1"/>
  <c r="M179" i="1"/>
  <c r="O179" i="1" s="1"/>
  <c r="L179" i="1"/>
  <c r="N38" i="1"/>
  <c r="P38" i="1" s="1"/>
  <c r="L34" i="1"/>
  <c r="K30" i="1"/>
  <c r="L29" i="1"/>
  <c r="K28" i="1"/>
  <c r="J27" i="1"/>
  <c r="K27" i="1" s="1"/>
  <c r="J26" i="1"/>
  <c r="K26" i="1" s="1"/>
  <c r="J11" i="1"/>
  <c r="K11" i="1" s="1"/>
  <c r="N238" i="1"/>
  <c r="P238" i="1" s="1"/>
  <c r="L237" i="1"/>
  <c r="L21" i="3" l="1"/>
  <c r="M10" i="3"/>
  <c r="O10" i="3" s="1"/>
  <c r="H126" i="3"/>
  <c r="I126" i="3" s="1"/>
  <c r="J126" i="3" s="1"/>
  <c r="K126" i="3" s="1"/>
  <c r="O125" i="3"/>
  <c r="P125" i="3"/>
  <c r="P243" i="4"/>
  <c r="P15" i="4"/>
  <c r="O412" i="4"/>
  <c r="P16" i="4"/>
  <c r="O127" i="3"/>
  <c r="K12" i="3"/>
  <c r="O11" i="1"/>
  <c r="K23" i="3"/>
  <c r="K43" i="3"/>
  <c r="N14" i="1"/>
  <c r="N15" i="3" s="1"/>
  <c r="P14" i="1"/>
  <c r="K25" i="3"/>
  <c r="M38" i="1"/>
  <c r="O38" i="1" s="1"/>
  <c r="P159" i="1"/>
  <c r="O159" i="1"/>
  <c r="N44" i="3"/>
  <c r="P44" i="3" s="1"/>
  <c r="N13" i="1"/>
  <c r="P13" i="1" s="1"/>
  <c r="N32" i="1"/>
  <c r="P32" i="1"/>
  <c r="K24" i="3"/>
  <c r="N31" i="1"/>
  <c r="P31" i="1"/>
  <c r="N10" i="3"/>
  <c r="P10" i="3" s="1"/>
  <c r="L9" i="3"/>
  <c r="M214" i="3"/>
  <c r="O214" i="3" s="1"/>
  <c r="N21" i="3"/>
  <c r="P21" i="3"/>
  <c r="N127" i="3"/>
  <c r="P127" i="3" s="1"/>
  <c r="M35" i="1"/>
  <c r="O35" i="1"/>
  <c r="N237" i="1"/>
  <c r="P237" i="1"/>
  <c r="K20" i="3"/>
  <c r="M20" i="3" s="1"/>
  <c r="K19" i="3"/>
  <c r="N20" i="1"/>
  <c r="P20" i="1"/>
  <c r="N24" i="1"/>
  <c r="P24" i="1"/>
  <c r="M26" i="3"/>
  <c r="O26" i="3" s="1"/>
  <c r="L214" i="3"/>
  <c r="O8" i="3"/>
  <c r="K35" i="3"/>
  <c r="N10" i="1"/>
  <c r="P10" i="1"/>
  <c r="L15" i="3"/>
  <c r="M9" i="3"/>
  <c r="O9" i="3" s="1"/>
  <c r="L26" i="3"/>
  <c r="L8" i="3"/>
  <c r="N8" i="3" s="1"/>
  <c r="P8" i="3" s="1"/>
  <c r="O21" i="3"/>
  <c r="L234" i="1"/>
  <c r="N234" i="1" s="1"/>
  <c r="N235" i="1"/>
  <c r="P235" i="1" s="1"/>
  <c r="M43" i="3"/>
  <c r="K213" i="3"/>
  <c r="L43" i="3"/>
  <c r="M234" i="1"/>
  <c r="O234" i="1" s="1"/>
  <c r="L19" i="3"/>
  <c r="M19" i="3"/>
  <c r="O19" i="3" s="1"/>
  <c r="K205" i="3"/>
  <c r="M132" i="3"/>
  <c r="O132" i="3" s="1"/>
  <c r="L132" i="3"/>
  <c r="K138" i="3"/>
  <c r="M27" i="1"/>
  <c r="O27" i="1" s="1"/>
  <c r="K241" i="1"/>
  <c r="K29" i="3"/>
  <c r="L24" i="3"/>
  <c r="M201" i="3"/>
  <c r="O201" i="3" s="1"/>
  <c r="L201" i="3"/>
  <c r="M28" i="1"/>
  <c r="O28" i="1" s="1"/>
  <c r="K30" i="3"/>
  <c r="K242" i="1"/>
  <c r="L20" i="3"/>
  <c r="L31" i="3"/>
  <c r="M31" i="3"/>
  <c r="O31" i="3" s="1"/>
  <c r="M30" i="1"/>
  <c r="O30" i="1" s="1"/>
  <c r="K32" i="3"/>
  <c r="M33" i="3"/>
  <c r="O33" i="3" s="1"/>
  <c r="L33" i="3"/>
  <c r="N215" i="3"/>
  <c r="P215" i="3" s="1"/>
  <c r="L12" i="3"/>
  <c r="M15" i="3"/>
  <c r="O15" i="3" s="1"/>
  <c r="M200" i="3"/>
  <c r="O200" i="3" s="1"/>
  <c r="L200" i="3"/>
  <c r="M26" i="1"/>
  <c r="O26" i="1" s="1"/>
  <c r="K240" i="1"/>
  <c r="K28" i="3"/>
  <c r="M14" i="3"/>
  <c r="O14" i="3" s="1"/>
  <c r="M23" i="3"/>
  <c r="L23" i="3"/>
  <c r="L25" i="3"/>
  <c r="M25" i="3"/>
  <c r="M34" i="3"/>
  <c r="O34" i="3" s="1"/>
  <c r="L34" i="3"/>
  <c r="N214" i="3"/>
  <c r="N137" i="3"/>
  <c r="P137" i="3" s="1"/>
  <c r="N22" i="3"/>
  <c r="P22" i="3" s="1"/>
  <c r="L49" i="1"/>
  <c r="M49" i="1"/>
  <c r="O49" i="1" s="1"/>
  <c r="N227" i="1"/>
  <c r="P227" i="1" s="1"/>
  <c r="L176" i="1"/>
  <c r="M176" i="1"/>
  <c r="O176" i="1" s="1"/>
  <c r="N161" i="1"/>
  <c r="P161" i="1" s="1"/>
  <c r="N166" i="1"/>
  <c r="P166" i="1" s="1"/>
  <c r="L23" i="1"/>
  <c r="M23" i="1"/>
  <c r="O23" i="1" s="1"/>
  <c r="J175" i="1"/>
  <c r="K175" i="1" s="1"/>
  <c r="M33" i="1"/>
  <c r="O33" i="1" s="1"/>
  <c r="L33" i="1"/>
  <c r="L22" i="1"/>
  <c r="M22" i="1"/>
  <c r="O22" i="1" s="1"/>
  <c r="M18" i="1"/>
  <c r="O18" i="1" s="1"/>
  <c r="L18" i="1"/>
  <c r="L47" i="1"/>
  <c r="M47" i="1"/>
  <c r="O47" i="1" s="1"/>
  <c r="L11" i="1"/>
  <c r="M11" i="1"/>
  <c r="M46" i="1"/>
  <c r="O46" i="1" s="1"/>
  <c r="L46" i="1"/>
  <c r="L21" i="1"/>
  <c r="M21" i="1"/>
  <c r="O21" i="1" s="1"/>
  <c r="L48" i="1"/>
  <c r="M48" i="1"/>
  <c r="O48" i="1" s="1"/>
  <c r="M50" i="1"/>
  <c r="O50" i="1" s="1"/>
  <c r="L50" i="1"/>
  <c r="M44" i="1"/>
  <c r="O44" i="1" s="1"/>
  <c r="L44" i="1"/>
  <c r="L42" i="1"/>
  <c r="M42" i="1"/>
  <c r="O42" i="1" s="1"/>
  <c r="H160" i="1"/>
  <c r="I160" i="1" s="1"/>
  <c r="J160" i="1" s="1"/>
  <c r="L43" i="1"/>
  <c r="M43" i="1"/>
  <c r="O43" i="1" s="1"/>
  <c r="M19" i="1"/>
  <c r="O19" i="1" s="1"/>
  <c r="L19" i="1"/>
  <c r="M45" i="1"/>
  <c r="O45" i="1" s="1"/>
  <c r="L45" i="1"/>
  <c r="N9" i="1"/>
  <c r="P9" i="1" s="1"/>
  <c r="N179" i="1"/>
  <c r="P179" i="1" s="1"/>
  <c r="N34" i="1"/>
  <c r="P34" i="1" s="1"/>
  <c r="L30" i="1"/>
  <c r="N29" i="1"/>
  <c r="P29" i="1" s="1"/>
  <c r="L28" i="1"/>
  <c r="L27" i="1"/>
  <c r="L26" i="1"/>
  <c r="N8" i="1"/>
  <c r="P8" i="1" s="1"/>
  <c r="M126" i="3" l="1"/>
  <c r="O126" i="3" s="1"/>
  <c r="L126" i="3"/>
  <c r="P412" i="4"/>
  <c r="O413" i="4" s="1"/>
  <c r="N24" i="3"/>
  <c r="P24" i="3"/>
  <c r="O25" i="3"/>
  <c r="O43" i="3"/>
  <c r="N42" i="1"/>
  <c r="P42" i="1" s="1"/>
  <c r="P21" i="1"/>
  <c r="N11" i="1"/>
  <c r="P11" i="1" s="1"/>
  <c r="N23" i="3"/>
  <c r="P23" i="3" s="1"/>
  <c r="N20" i="3"/>
  <c r="P20" i="3" s="1"/>
  <c r="N43" i="3"/>
  <c r="P43" i="3"/>
  <c r="N27" i="1"/>
  <c r="P27" i="1"/>
  <c r="M175" i="1"/>
  <c r="O175" i="1"/>
  <c r="M24" i="3"/>
  <c r="O24" i="3" s="1"/>
  <c r="O20" i="3"/>
  <c r="N28" i="1"/>
  <c r="P28" i="1" s="1"/>
  <c r="N19" i="1"/>
  <c r="P19" i="1" s="1"/>
  <c r="N49" i="1"/>
  <c r="P49" i="1"/>
  <c r="N26" i="3"/>
  <c r="P26" i="3" s="1"/>
  <c r="N14" i="3"/>
  <c r="P14" i="3" s="1"/>
  <c r="M35" i="3"/>
  <c r="O35" i="3" s="1"/>
  <c r="N33" i="3"/>
  <c r="P33" i="3" s="1"/>
  <c r="K206" i="3"/>
  <c r="N19" i="3"/>
  <c r="P19" i="3"/>
  <c r="P234" i="1"/>
  <c r="O23" i="3"/>
  <c r="N18" i="1"/>
  <c r="P18" i="1" s="1"/>
  <c r="N33" i="1"/>
  <c r="P33" i="1"/>
  <c r="N23" i="1"/>
  <c r="P23" i="1" s="1"/>
  <c r="N34" i="3"/>
  <c r="P34" i="3" s="1"/>
  <c r="L35" i="3"/>
  <c r="N31" i="3"/>
  <c r="P31" i="3" s="1"/>
  <c r="O241" i="1"/>
  <c r="P15" i="3"/>
  <c r="P214" i="3"/>
  <c r="N9" i="3"/>
  <c r="P9" i="3"/>
  <c r="N35" i="1"/>
  <c r="P35" i="1" s="1"/>
  <c r="M213" i="3"/>
  <c r="O213" i="3" s="1"/>
  <c r="L213" i="3"/>
  <c r="M205" i="3"/>
  <c r="O205" i="3" s="1"/>
  <c r="L205" i="3"/>
  <c r="N132" i="3"/>
  <c r="P132" i="3" s="1"/>
  <c r="M138" i="3"/>
  <c r="O138" i="3" s="1"/>
  <c r="K142" i="3"/>
  <c r="L138" i="3"/>
  <c r="M12" i="3"/>
  <c r="O12" i="3" s="1"/>
  <c r="L242" i="1"/>
  <c r="M242" i="1"/>
  <c r="O242" i="1" s="1"/>
  <c r="K208" i="3"/>
  <c r="L28" i="3"/>
  <c r="M28" i="3"/>
  <c r="O28" i="3" s="1"/>
  <c r="M30" i="3"/>
  <c r="O30" i="3" s="1"/>
  <c r="L30" i="3"/>
  <c r="K210" i="3"/>
  <c r="N201" i="3"/>
  <c r="P201" i="3" s="1"/>
  <c r="K209" i="3"/>
  <c r="M29" i="3"/>
  <c r="O29" i="3" s="1"/>
  <c r="L29" i="3"/>
  <c r="N25" i="3"/>
  <c r="P25" i="3" s="1"/>
  <c r="L240" i="1"/>
  <c r="M240" i="1"/>
  <c r="O240" i="1" s="1"/>
  <c r="N200" i="3"/>
  <c r="P200" i="3" s="1"/>
  <c r="M32" i="3"/>
  <c r="O32" i="3" s="1"/>
  <c r="L32" i="3"/>
  <c r="L241" i="1"/>
  <c r="M241" i="1"/>
  <c r="G202" i="3"/>
  <c r="G203" i="3"/>
  <c r="M206" i="3"/>
  <c r="L206" i="3"/>
  <c r="G40" i="1"/>
  <c r="L175" i="1"/>
  <c r="N176" i="1"/>
  <c r="P176" i="1" s="1"/>
  <c r="N50" i="1"/>
  <c r="P50" i="1" s="1"/>
  <c r="K160" i="1"/>
  <c r="N44" i="1"/>
  <c r="P44" i="1" s="1"/>
  <c r="N21" i="1"/>
  <c r="N45" i="1"/>
  <c r="P45" i="1" s="1"/>
  <c r="N46" i="1"/>
  <c r="P46" i="1" s="1"/>
  <c r="N43" i="1"/>
  <c r="P43" i="1" s="1"/>
  <c r="N48" i="1"/>
  <c r="P48" i="1" s="1"/>
  <c r="N47" i="1"/>
  <c r="P47" i="1" s="1"/>
  <c r="N22" i="1"/>
  <c r="P22" i="1" s="1"/>
  <c r="N30" i="1"/>
  <c r="P30" i="1" s="1"/>
  <c r="N26" i="1"/>
  <c r="P26" i="1" s="1"/>
  <c r="N12" i="3" l="1"/>
  <c r="P12" i="3" s="1"/>
  <c r="N126" i="3"/>
  <c r="P126" i="3" s="1"/>
  <c r="N175" i="1"/>
  <c r="P175" i="1"/>
  <c r="N32" i="3"/>
  <c r="P32" i="3" s="1"/>
  <c r="N138" i="3"/>
  <c r="P138" i="3" s="1"/>
  <c r="N205" i="3"/>
  <c r="P205" i="3" s="1"/>
  <c r="N35" i="3"/>
  <c r="P35" i="3"/>
  <c r="N206" i="3"/>
  <c r="P206" i="3" s="1"/>
  <c r="N29" i="3"/>
  <c r="P29" i="3"/>
  <c r="N242" i="1"/>
  <c r="P242" i="1"/>
  <c r="N213" i="3"/>
  <c r="P213" i="3" s="1"/>
  <c r="N241" i="1"/>
  <c r="P241" i="1"/>
  <c r="N30" i="3"/>
  <c r="P30" i="3" s="1"/>
  <c r="O206" i="3"/>
  <c r="L142" i="3"/>
  <c r="M142" i="3"/>
  <c r="O142" i="3" s="1"/>
  <c r="K41" i="3"/>
  <c r="H203" i="3"/>
  <c r="I203" i="3" s="1"/>
  <c r="J203" i="3" s="1"/>
  <c r="K203" i="3" s="1"/>
  <c r="L208" i="3"/>
  <c r="M208" i="3"/>
  <c r="O208" i="3" s="1"/>
  <c r="G243" i="1"/>
  <c r="H243" i="1" s="1"/>
  <c r="I243" i="1" s="1"/>
  <c r="J243" i="1" s="1"/>
  <c r="K243" i="1" s="1"/>
  <c r="H202" i="3"/>
  <c r="I202" i="3" s="1"/>
  <c r="J202" i="3" s="1"/>
  <c r="N240" i="1"/>
  <c r="P240" i="1" s="1"/>
  <c r="M210" i="3"/>
  <c r="O210" i="3" s="1"/>
  <c r="L210" i="3"/>
  <c r="K17" i="3"/>
  <c r="K16" i="3"/>
  <c r="N28" i="3"/>
  <c r="P28" i="3" s="1"/>
  <c r="M209" i="3"/>
  <c r="O209" i="3" s="1"/>
  <c r="L209" i="3"/>
  <c r="G15" i="1"/>
  <c r="G16" i="1"/>
  <c r="H40" i="1"/>
  <c r="I40" i="1" s="1"/>
  <c r="L160" i="1"/>
  <c r="M160" i="1"/>
  <c r="O160" i="1" s="1"/>
  <c r="N142" i="3" l="1"/>
  <c r="P142" i="3"/>
  <c r="N209" i="3"/>
  <c r="P209" i="3" s="1"/>
  <c r="N210" i="3"/>
  <c r="P210" i="3"/>
  <c r="N208" i="3"/>
  <c r="P208" i="3" s="1"/>
  <c r="O243" i="1"/>
  <c r="L41" i="3"/>
  <c r="M41" i="3"/>
  <c r="O41" i="3" s="1"/>
  <c r="J40" i="1"/>
  <c r="K40" i="1" s="1"/>
  <c r="K202" i="3"/>
  <c r="G211" i="3"/>
  <c r="H211" i="3" s="1"/>
  <c r="I211" i="3" s="1"/>
  <c r="L243" i="1"/>
  <c r="M243" i="1"/>
  <c r="H15" i="1"/>
  <c r="I15" i="1" s="1"/>
  <c r="J15" i="1" s="1"/>
  <c r="L16" i="3"/>
  <c r="L17" i="3"/>
  <c r="M203" i="3"/>
  <c r="O203" i="3" s="1"/>
  <c r="L203" i="3"/>
  <c r="N160" i="1"/>
  <c r="P160" i="1" s="1"/>
  <c r="N203" i="3" l="1"/>
  <c r="P203" i="3" s="1"/>
  <c r="M202" i="3"/>
  <c r="O202" i="3"/>
  <c r="N41" i="3"/>
  <c r="P41" i="3" s="1"/>
  <c r="N243" i="1"/>
  <c r="P243" i="1"/>
  <c r="M40" i="1"/>
  <c r="O40" i="1" s="1"/>
  <c r="L40" i="1"/>
  <c r="L202" i="3"/>
  <c r="J211" i="3"/>
  <c r="K211" i="3" s="1"/>
  <c r="K15" i="1"/>
  <c r="N202" i="3" l="1"/>
  <c r="P202" i="3"/>
  <c r="N40" i="1"/>
  <c r="P40" i="1" s="1"/>
  <c r="L15" i="1"/>
  <c r="M15" i="1"/>
  <c r="O15" i="1" s="1"/>
  <c r="M211" i="3"/>
  <c r="O211" i="3" s="1"/>
  <c r="L211" i="3"/>
  <c r="N15" i="1" l="1"/>
  <c r="P15" i="1"/>
  <c r="N211" i="3"/>
  <c r="P211" i="3"/>
  <c r="M16" i="3"/>
  <c r="O16" i="3" s="1"/>
  <c r="N16" i="3"/>
  <c r="P16" i="3" s="1"/>
  <c r="H16" i="1" l="1"/>
  <c r="I16" i="1" l="1"/>
  <c r="J16" i="1" s="1"/>
  <c r="K16" i="1" l="1"/>
  <c r="L16" i="1" l="1"/>
  <c r="M16" i="1"/>
  <c r="O16" i="1" s="1"/>
  <c r="O274" i="1" s="1"/>
  <c r="M17" i="3"/>
  <c r="O17" i="3" s="1"/>
  <c r="O242" i="3" s="1"/>
  <c r="N16" i="1" l="1"/>
  <c r="N17" i="3" s="1"/>
  <c r="P17" i="3" s="1"/>
  <c r="P242" i="3" s="1"/>
  <c r="O243" i="3" s="1"/>
  <c r="P16" i="1" l="1"/>
  <c r="P274" i="1" s="1"/>
  <c r="O27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4" authorId="0" shapeId="0" xr:uid="{00000000-0006-0000-0000-000001000000}">
      <text>
        <r>
          <rPr>
            <sz val="8.25"/>
            <color indexed="8"/>
            <rFont val="Microsoft Sans Serif"/>
            <family val="2"/>
          </rPr>
          <t>Có thể thay đổi tên Hạng Mục đầu tiên tại ô này.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4" authorId="0" shapeId="0" xr:uid="{00000000-0006-0000-0100-000001000000}">
      <text>
        <r>
          <rPr>
            <sz val="8.25"/>
            <color indexed="8"/>
            <rFont val="Microsoft Sans Serif"/>
            <family val="2"/>
          </rPr>
          <t>Có thể thay đổi tên Hạng Mục đầu tiên tại ô này.</t>
        </r>
      </text>
    </comment>
  </commentList>
</comments>
</file>

<file path=xl/sharedStrings.xml><?xml version="1.0" encoding="utf-8"?>
<sst xmlns="http://schemas.openxmlformats.org/spreadsheetml/2006/main" count="2882" uniqueCount="1102">
  <si>
    <t>TT</t>
  </si>
  <si>
    <t>BOQ</t>
  </si>
  <si>
    <t>Hạng mục: HỆ THỐNG ĐIỀU HÒA KHÔNG KHÍ VÀ THÔNG GIÓ - KHỐI A1 + A2</t>
  </si>
  <si>
    <t>A. PHẦN CÔNG CỘNG</t>
  </si>
  <si>
    <t>I. Đường ống</t>
  </si>
  <si>
    <t>1. Ống nước ngưng</t>
  </si>
  <si>
    <t xml:space="preserve">Ống nước ngưng uPVC D.27 </t>
  </si>
  <si>
    <t xml:space="preserve">Ống nước ngưng uPVC D.34 </t>
  </si>
  <si>
    <t>Ống nước ngưng uPVC D.42</t>
  </si>
  <si>
    <t>Ống nước ngưng uPVC D.60</t>
  </si>
  <si>
    <t>Ống nước ngưng uPVC D.75</t>
  </si>
  <si>
    <t>Ống nước ngưng uPVC D.90</t>
  </si>
  <si>
    <t>Ống nước ngưng uPVC D.114</t>
  </si>
  <si>
    <t>Phụ kiện ống nước ngưng</t>
  </si>
  <si>
    <t>Vật tư phụ</t>
  </si>
  <si>
    <t>Ống Cách nhiệt ống nước ngưng, tỉ trọng 25kg/m3</t>
  </si>
  <si>
    <t>Cách nhiệt ống D.27 dày 10mm</t>
  </si>
  <si>
    <t>Cách nhiệt ống D.34 dày 10mm</t>
  </si>
  <si>
    <t>Cách nhiệt ống D.42 dày 10mm</t>
  </si>
  <si>
    <t>Cách nhiệt ống D.60 dày 10mm</t>
  </si>
  <si>
    <t>Cách nhiệt ống D.75 dày 10mm</t>
  </si>
  <si>
    <t>Cách nhiệt ống D.90 dày 10mm</t>
  </si>
  <si>
    <t>Cách nhiệt ống D.114 dày 10mm</t>
  </si>
  <si>
    <t>2. Ống đồng</t>
  </si>
  <si>
    <t xml:space="preserve">Ống đồng Ø6.4 </t>
  </si>
  <si>
    <t xml:space="preserve">Ống đồng  Ø9.5 </t>
  </si>
  <si>
    <t xml:space="preserve">Ống đồng  Ø12.7 </t>
  </si>
  <si>
    <t xml:space="preserve">Ống đồng  Ø15.9 </t>
  </si>
  <si>
    <t xml:space="preserve">Ống đồng  Ø19.1 </t>
  </si>
  <si>
    <t xml:space="preserve">Ống đồng  Ø22.2 </t>
  </si>
  <si>
    <t xml:space="preserve">Ống đồng  Ø28.6 </t>
  </si>
  <si>
    <t xml:space="preserve">Ống đồng  Ø34.9 </t>
  </si>
  <si>
    <t xml:space="preserve">Ống đồng  Ø41.3 </t>
  </si>
  <si>
    <t>Bộ chia gas dàn lạnh</t>
  </si>
  <si>
    <t>Bộ chia gas dàn nóng</t>
  </si>
  <si>
    <t>Ống Cách nhiệt ống gas lạnh, tỉ trọng 25kg/m3</t>
  </si>
  <si>
    <t>Cách nhiệt ống Ø6.4 dày 19mm</t>
  </si>
  <si>
    <t>Cách nhiệt ống Ø9.5 dày 19mm</t>
  </si>
  <si>
    <t>Cách nhiệt ống Ø12.7 dày 19mm</t>
  </si>
  <si>
    <t>Cách nhiệt ống Ø15.9 dày 19mm</t>
  </si>
  <si>
    <t>Cách nhiệt ống Ø19.1 dày 19mm</t>
  </si>
  <si>
    <t>Cách nhiệt ống Ø22.2 dày 19mm</t>
  </si>
  <si>
    <t>Cách nhiệt ống Ø28.6 dày 19mm</t>
  </si>
  <si>
    <t>Cách nhiệt ống Ø34.9 dày 19mm</t>
  </si>
  <si>
    <t>Cách nhiệt ống Ø41.3 dày 19mm</t>
  </si>
  <si>
    <t>3. Ống gió/ Duct work</t>
  </si>
  <si>
    <t>a. Ống tole tráng kẽm dày 0.6mm</t>
  </si>
  <si>
    <t>Ống tole tráng kẽm dày 0.6mm 150x150</t>
  </si>
  <si>
    <t>Ống tole tráng kẽm dày 0.6mm 200x100</t>
  </si>
  <si>
    <t>Ống tole tráng kẽm dày 0.6mm 200x150</t>
  </si>
  <si>
    <t>Ống tole tráng kẽm dày 0.6mm 200x200</t>
  </si>
  <si>
    <t>Ống tole tráng kẽm dày 0.6mm 250x100</t>
  </si>
  <si>
    <t>Ống tole tráng kẽm dày 0.6mm 250x150</t>
  </si>
  <si>
    <t>Ống tole tráng kẽm dày 0.6mm 250x200</t>
  </si>
  <si>
    <t>Ống tole tráng kẽm dày 0.6mm 300x200</t>
  </si>
  <si>
    <t>Ống tole tráng kẽm dày 0.6mm 300x250</t>
  </si>
  <si>
    <t>Ống tole tráng kẽm dày 0.6mm 350x200</t>
  </si>
  <si>
    <t>Ống tole tráng kẽm dày 0.6mm 350x250</t>
  </si>
  <si>
    <t>Ống tole tráng kẽm dày 0.6mm 400x250</t>
  </si>
  <si>
    <t>Ống tole tráng kẽm dày 0.6mm 450x200</t>
  </si>
  <si>
    <t>Ống tole tráng kẽm dày 0.6mm 450x250</t>
  </si>
  <si>
    <t>Ống tole tráng kẽm dày 0.6mm 450x300</t>
  </si>
  <si>
    <t>Ống tole tráng kẽm dày 0.6mm 500x200</t>
  </si>
  <si>
    <t>Ống tole tráng kẽm dày 0.6mm 550x300</t>
  </si>
  <si>
    <t>Ống tole tráng kẽm dày 0.6mm D150</t>
  </si>
  <si>
    <t>Ống tole tráng kẽm dày 0.6mm D200</t>
  </si>
  <si>
    <t>Phụ kiện ống gió</t>
  </si>
  <si>
    <t>b. Ống tole tráng kẽm dày 0.8mm</t>
  </si>
  <si>
    <t>Ống tole tráng kẽm dày 0.8mm 600x250</t>
  </si>
  <si>
    <t>Ống tole tráng kẽm dày 0.8mm 600x300</t>
  </si>
  <si>
    <t>Ống tole tráng kẽm dày 0.8mm 600x350</t>
  </si>
  <si>
    <t>Ống tole tráng kẽm dày 0.8mm 800x300</t>
  </si>
  <si>
    <t>Ống tole tráng kẽm dày 0.8mm 800x400</t>
  </si>
  <si>
    <t>Ống tole tráng kẽm dày 0.8mm 900x300</t>
  </si>
  <si>
    <t>c. Ống tole tráng kẽm dày 1.0mm</t>
  </si>
  <si>
    <t>Ống tole tráng kẽm dày 1.0mm 1000x350</t>
  </si>
  <si>
    <t>Ống tole tráng kẽm dày 1.0mm 1000x500</t>
  </si>
  <si>
    <t>Ống tole tráng kẽm dày 1.0mm 1200x500</t>
  </si>
  <si>
    <t>Ống tole tráng kẽm dày 1.0mm 1200x650</t>
  </si>
  <si>
    <t>Ống tole tráng kẽm dày 1.0mm 1200x800</t>
  </si>
  <si>
    <t>d. Ống gió mềm</t>
  </si>
  <si>
    <t>Ống gió mềm D150</t>
  </si>
  <si>
    <t>Ống gió mềm D200</t>
  </si>
  <si>
    <t>Ống gió mềm D250</t>
  </si>
  <si>
    <t>Ống gió mềm D350</t>
  </si>
  <si>
    <t>4. Thiết bị</t>
  </si>
  <si>
    <t>a. Quạt</t>
  </si>
  <si>
    <t>QUẠT GẮN TƯỜNG WF-A1-B3.01 60L/s 50Pa</t>
  </si>
  <si>
    <t>QUẠT GẮN TƯỜNG WF-A1-B2.01 100L/s 50Pa</t>
  </si>
  <si>
    <t>QUẠT GẮN TƯỜNG WF-A1-B2.02 970L/s 50Pa</t>
  </si>
  <si>
    <t>QUẠT HƯỚNG TRỤC TEF-A1-B2-01 200L/s 250Pa</t>
  </si>
  <si>
    <t>QUẠT HƯỚNG TRỤC TEF-A1-B1-01 200L/s 250Pa</t>
  </si>
  <si>
    <t>QUẠT HƯỚNG TRỤC EAF-A1-B1.01 9200L/s 350Pa</t>
  </si>
  <si>
    <t>QUẠT HƯỚNG TRỤC EAF-A1-B1.02 4050L/s 350Pa</t>
  </si>
  <si>
    <t>QUẠT HƯỚNG TRỤC EAF-A1-B1.03 1650L/s 350Pa</t>
  </si>
  <si>
    <t>QUẠT HƯỚNG TRỤC EAF-A1-B1.04 1430L/s 350Pa</t>
  </si>
  <si>
    <t>QUẠT HƯỚNG TRỤC EAF-A1-B1.05 100L/s 150Pa</t>
  </si>
  <si>
    <t>QUẠT GẮN TƯỜNG WF-A1-B1-BV 25L/s 50Pa</t>
  </si>
  <si>
    <t>QUẠT HƯỚNG TRỤC TEF-A1-1F.01 450L/s 150Pa</t>
  </si>
  <si>
    <t>QUẠT HƯỚNG TRỤC FAF-A1-1F.LO.01 300L/s 300Pa</t>
  </si>
  <si>
    <t>QUẠT GẮN TRẦN VF-A1-1F.SH.01 100L/s 50Pa</t>
  </si>
  <si>
    <t>QUẠT HƯỚNG TRỤC FAF-A1-1F-TM1 250L/s 300Pa</t>
  </si>
  <si>
    <t>QUẠT HƯỚNG TRỤC EAF-A1-1F-TM1 250L/s 200Pa</t>
  </si>
  <si>
    <t>QUẠT HƯỚNG TRỤC FAF-A1-1F-TM2 1500L/s 400Pa</t>
  </si>
  <si>
    <t>QUẠT HƯỚNG TRỤC EAF-A1-1F-TM2 1500L/s 300Pa</t>
  </si>
  <si>
    <t>QUẠT GẮN TRẦN VF-A1-1F.BQL 25L/s 50Pa</t>
  </si>
  <si>
    <t>QUẠT HƯỚNG TRỤC TEF-A1-1F.KID 300L/s 150Pa</t>
  </si>
  <si>
    <t>QUẠT HƯỚNG TRỤC TEF-A1-2F.01 750L/s 150Pa</t>
  </si>
  <si>
    <t>QUẠT HƯỚNG TRỤC FAF-A1-2F.SH1 215L/s 300Pa</t>
  </si>
  <si>
    <t>QUẠT HƯỚNG TRỤC EAF-A1-2F.SH1 215L/s 200Pa</t>
  </si>
  <si>
    <t>QUẠT GẮN TRẦN VF-A1-2F.SH2 80L/s 50Pa</t>
  </si>
  <si>
    <t>QUẠT GẮN TRẦN VF-A1-2F.SH3 80L/s 50Pa</t>
  </si>
  <si>
    <t>QUẠT GẮN TRẦN VF-A1-2F.SH4 80L/s 50Pa</t>
  </si>
  <si>
    <t>QUẠT HƯỚNG TRỤC FAF-A1-2F.SH5 215L/s 300Pa</t>
  </si>
  <si>
    <t>QUẠT HƯỚNG TRỤC EAF-A1-2F.SH5 215L/s 200Pa</t>
  </si>
  <si>
    <t>QUẠT GẮN TRẦN VF-A1-2F.SH6 80L/s 50Pa</t>
  </si>
  <si>
    <t>QUẠT GẮN TƯỜNG WF-A1-TR.01 850L/s 50Pa</t>
  </si>
  <si>
    <t>QUẠT GẮN TƯỜNG WF-A2-B3.01 60L/s 50Pa</t>
  </si>
  <si>
    <t>QUẠT GẮN TƯỜNG WF-A2-B2.01 100L/s 50Pa</t>
  </si>
  <si>
    <t>QUẠT HƯỚNG TRỤC TEF-A2-B1.01 200L/s 250Pa</t>
  </si>
  <si>
    <t>QUẠT HƯỚNG TRỤC EAF-A2-B1.04 100L/s 150Pa</t>
  </si>
  <si>
    <t>QUẠT HƯỚNG TRỤC EAF-A2-B1.01 7500L/s 350Pa</t>
  </si>
  <si>
    <t>QUẠT HƯỚNG TRỤC EAF-A2-B1.02 3750L/s 350Pa</t>
  </si>
  <si>
    <t>QUẠT HƯỚNG TRỤC EAF-A2-B1.03 1600L/s 350Pa</t>
  </si>
  <si>
    <t>QUẠT HƯỚNG TRỤC TEF-A2-1F.01 400L/s 150Pa</t>
  </si>
  <si>
    <t>QUẠT GẮN TRẦN VF-A2-1F.BQL 30L/s 50Pa</t>
  </si>
  <si>
    <t>QUẠT GẮN TRẦN VF-A2-1F.TB 25L/s 50Pa</t>
  </si>
  <si>
    <t>QUẠT HƯỚNG TRỤC FAF-A2-1F.LO.01 375L/s 300Pa</t>
  </si>
  <si>
    <t>QUẠT HƯỚNG TRỤC VF-A2-1F.TM3 30L/s 50Pa</t>
  </si>
  <si>
    <t>QUẠT HƯỚNG TRỤC VF-A2-1F.TM4 60L/s 50Pa</t>
  </si>
  <si>
    <t>QUẠT HƯỚNG TRỤC FAF-A2-1F.TM5 215L/s 300Pa</t>
  </si>
  <si>
    <t>QUẠT HƯỚNG TRỤC EAF-A2-1F.TM5 215L/s 200Pa</t>
  </si>
  <si>
    <t>QUẠT GẮN TRẦN VF-A2-1F.VP 25L/s 50Pa</t>
  </si>
  <si>
    <t>QUẠT HƯỚNG TRỤC TEF-A2-1F.KID 220L/s 150Pa</t>
  </si>
  <si>
    <t>QUẠT HƯỚNG TRỤC TEF-A2-2F.01 350L/s 150Pa</t>
  </si>
  <si>
    <t>QUẠT HƯỚNG TRỤC FAF-A2-2F.GYM 900L/s 400Pa</t>
  </si>
  <si>
    <t>QUẠT HƯỚNG TRỤC EAF-A2-2F.GYM 900L/s 300Pa</t>
  </si>
  <si>
    <t>QUẠT GẮN TRẦN VF-A2-2F.GT3 70L/s 50Pa</t>
  </si>
  <si>
    <t>QUẠT HƯỚNG TRỤC FAF-A2-2F.SHCD 470L/s 300Pa</t>
  </si>
  <si>
    <t>QUẠT HƯỚNG TRỤC EAF-A2-2F.SHCD 470L/s 200Pa</t>
  </si>
  <si>
    <t>QUẠT HƯỚNG TRỤC TEF-A2-2F.KID 220L/s 150Pa</t>
  </si>
  <si>
    <t>QUẠT GẮN TƯỜNG WF-A2-TR.01 850L/s 50Pa</t>
  </si>
  <si>
    <t>QUẠT GẮN TRẦN TEF-A 70L/s -Pa</t>
  </si>
  <si>
    <t>Cảm biến nhệt độ</t>
  </si>
  <si>
    <t>b. Máy Lạnh trung tâm VRV</t>
  </si>
  <si>
    <t>Dàn nóng trung tâm VRV 162kW</t>
  </si>
  <si>
    <t>Dàn nóng trung tâm VRV 128kW</t>
  </si>
  <si>
    <t>Dàn lạnh âm trần đa hướng thổi 16kW</t>
  </si>
  <si>
    <t>c. Máy Lạnh cục bộ loại gắn tường</t>
  </si>
  <si>
    <t>5.3kW</t>
  </si>
  <si>
    <t>7.1kW</t>
  </si>
  <si>
    <t>c. Máy Lạnh cục bộ loại âm trần 4 hướng thổi</t>
  </si>
  <si>
    <t>5.0kW</t>
  </si>
  <si>
    <t>10.0kW</t>
  </si>
  <si>
    <t>12.5kW</t>
  </si>
  <si>
    <t>14.0kW</t>
  </si>
  <si>
    <t>e. Máy Lạnh cục bộ loại tủ đứng</t>
  </si>
  <si>
    <t>14kW</t>
  </si>
  <si>
    <t>g. Miệng gió</t>
  </si>
  <si>
    <t>Miệng gió EAG 200x200+OBD kèm hộp gió</t>
  </si>
  <si>
    <t>Miệng gió EAG 300x200+OBD kèm hộp gió</t>
  </si>
  <si>
    <t>Miệng gió EAG 700x400+OBD kèm hộp gió</t>
  </si>
  <si>
    <t>Miệng gió EAG 800x500+OBD kèm hộp gió</t>
  </si>
  <si>
    <t>Miệng gió EAG 1000x600+OBD kèm hộp gió</t>
  </si>
  <si>
    <t>Miệng gió EAG 1000x1000+OBD kèm hộp gió</t>
  </si>
  <si>
    <t>Miệng gió FAG 200x200+OBD kèm hộp gió</t>
  </si>
  <si>
    <t>Miệng gió FAG 300x200 kèm hộp gió</t>
  </si>
  <si>
    <t>Miệng gió FAG 400x250 kèm hộp gió</t>
  </si>
  <si>
    <t>Miệng gió FAG 700x400+OBD kèm hộp gió</t>
  </si>
  <si>
    <t xml:space="preserve">g. Cửa gió </t>
  </si>
  <si>
    <t>Cửa gió FAL 200x200 kèm hộp gió</t>
  </si>
  <si>
    <t>Cửa gió FAL 300x200 kèm hộp gió</t>
  </si>
  <si>
    <t>Cửa gió FAL 500x400+LCCT+G4 kèm hộp gió</t>
  </si>
  <si>
    <t>Cửa gió FAL 600x400+LCCT+G4 kèm hộp gió</t>
  </si>
  <si>
    <t>Cửa gió FAL 800x400+LCCT+G4 kèm hộp gió</t>
  </si>
  <si>
    <t>Cửa gió FAL 1700x800+LCCT+G4 kèm hộp gió</t>
  </si>
  <si>
    <t>Cửa gió FAL 1200x600</t>
  </si>
  <si>
    <t>Cửa gió FAL 1500x1000+LCCT</t>
  </si>
  <si>
    <t>Cửa gió FAL 1600x700+LCCT</t>
  </si>
  <si>
    <t>Cửa gió FAL 2000x1200+LCCT</t>
  </si>
  <si>
    <t>Cửa gió FAL 4000x4000+LCCT</t>
  </si>
  <si>
    <t>Cửa gió FAL 1800x450+LCCT +G4 kèm hộp gió</t>
  </si>
  <si>
    <t>Cửa gió EAL 200x100+LCCT kèm hộp gió</t>
  </si>
  <si>
    <t>Cửa gió EAL 500x400+LCCT kèm hộp gió</t>
  </si>
  <si>
    <t>Cửa gió EAL 700x450+LCCT kèm hộp gió</t>
  </si>
  <si>
    <t>Cửa gió EAL 1000x400+LCCT kèm hộp gió</t>
  </si>
  <si>
    <t>Cửa gió EAL 1500x450+LCCT kèm hộp gió</t>
  </si>
  <si>
    <t>Cửa gió EAL 1700x800+LCCT kèm hộp gió</t>
  </si>
  <si>
    <t>Cửa gió EAL 1800x450+LCCT kèm hộp gió</t>
  </si>
  <si>
    <t xml:space="preserve">h. Van gió </t>
  </si>
  <si>
    <t>Van gió MFD 200x200</t>
  </si>
  <si>
    <t>Van gió MFD 300x200</t>
  </si>
  <si>
    <t>Van gió MFD 500x400</t>
  </si>
  <si>
    <t>Van gió MFD 800x300</t>
  </si>
  <si>
    <t>Van gió MFD 900x300</t>
  </si>
  <si>
    <t>Van gió MFD 1500x1000</t>
  </si>
  <si>
    <t>Van gió MFD 2000x1200</t>
  </si>
  <si>
    <t>Van gió FD 300x200</t>
  </si>
  <si>
    <t>Van gió FD 1000x500</t>
  </si>
  <si>
    <t>Van gió FD 1200x800</t>
  </si>
  <si>
    <t>Van gió FD 1600x700</t>
  </si>
  <si>
    <t>Van gió NRD 300x200</t>
  </si>
  <si>
    <t>Van gió NRD 800x300</t>
  </si>
  <si>
    <t>Van gió NRD 900x300</t>
  </si>
  <si>
    <t>Van gió NRD 1000x500</t>
  </si>
  <si>
    <t>Van gió NRD 1200x800</t>
  </si>
  <si>
    <t>B. PHẦN CĂN HỘ</t>
  </si>
  <si>
    <t>a. Ống uPCV</t>
  </si>
  <si>
    <t>Ống uPCV D110</t>
  </si>
  <si>
    <t>Ống uPCV D160</t>
  </si>
  <si>
    <t>b. Ống tole tráng kẽm dày 0.6mm</t>
  </si>
  <si>
    <t>e. Ống gió mềm</t>
  </si>
  <si>
    <t>Ống gió mềm D100</t>
  </si>
  <si>
    <t>Quạt gắn trần TEF-2PN : 25L/s -70Pa</t>
  </si>
  <si>
    <t>f. Máy Lạnh multi</t>
  </si>
  <si>
    <t>Dàn nóng 10kW</t>
  </si>
  <si>
    <t>Dàn lạnh cassette 1 hướng thổi 2.6kW</t>
  </si>
  <si>
    <t>Dàn lạnh âm trần nối ống gió, kèm hộp box : 5.2kW</t>
  </si>
  <si>
    <t>Miệng gió SAG 1000x90+OBD kèm hộp gió cách nhiệt</t>
  </si>
  <si>
    <t>Miệng gió RAG 1000x90+OBD kèm hộp gió cách nhiệt</t>
  </si>
  <si>
    <t>Chụp thông gió</t>
  </si>
  <si>
    <t>Chụp thông gió D110</t>
  </si>
  <si>
    <t>Chụp thông gió D160</t>
  </si>
  <si>
    <t>NỘI DUNG CÔNG VIỆC</t>
  </si>
  <si>
    <t>NHÀ THẦU</t>
  </si>
  <si>
    <t>m</t>
  </si>
  <si>
    <t>Lô</t>
  </si>
  <si>
    <t>Cái</t>
  </si>
  <si>
    <t>lô</t>
  </si>
  <si>
    <t>cái</t>
  </si>
  <si>
    <t>bộ</t>
  </si>
  <si>
    <t/>
  </si>
  <si>
    <t>Đơn vị
tính</t>
  </si>
  <si>
    <t>Khối lượng</t>
  </si>
  <si>
    <t>Nhãn hiệu/Xuất xứ</t>
  </si>
  <si>
    <t>Vật tư</t>
  </si>
  <si>
    <t>Nhân công</t>
  </si>
  <si>
    <t>Đơn giá</t>
  </si>
  <si>
    <t>Thuế Vat
(theo quy định)</t>
  </si>
  <si>
    <t>Thành tiền</t>
  </si>
  <si>
    <t>Ghi Chú</t>
  </si>
  <si>
    <t>Ống nước ngưng uPVC D.27 Class 1</t>
  </si>
  <si>
    <t>Ống nước ngưng uPVC D.34 Class 1</t>
  </si>
  <si>
    <t>Ống nước ngưng uPVC D.42 Class 1</t>
  </si>
  <si>
    <t>Ống nước ngưng uPVC D.60 Class 1</t>
  </si>
  <si>
    <t>Ống nước ngưng uPVC D.75 Class 1</t>
  </si>
  <si>
    <t>Ống nước ngưng uPVC D.90 Class 1</t>
  </si>
  <si>
    <t>Tiền Phong/Việt Nam</t>
  </si>
  <si>
    <t>Ống đồng Ø6.4 dày 0.71 mm</t>
  </si>
  <si>
    <t>Ống đồng  Ø9.5 dày 0.71 mm</t>
  </si>
  <si>
    <t>Ống đồng  Ø12.7 dày 0.71 mm</t>
  </si>
  <si>
    <t>Ống đồng  Ø15.9 dày 0.71 mm</t>
  </si>
  <si>
    <t>Ống đồng  Ø19.1 dày 0.71 mm</t>
  </si>
  <si>
    <t>Ống đồng  Ø22.2 dày 0.81 mm</t>
  </si>
  <si>
    <t>Ống đồng  Ø28.6 dày 1.00 mm</t>
  </si>
  <si>
    <t>Ống đồng  Ø34.9 dày 1.00 mm</t>
  </si>
  <si>
    <t>Ống đồng  Ø41.3 dày 1.20 mm</t>
  </si>
  <si>
    <t>Toàn phát/Việt Nam</t>
  </si>
  <si>
    <t>Daikin/Việt Nam</t>
  </si>
  <si>
    <t>Việt Nam</t>
  </si>
  <si>
    <t>Dàn lạnh âm trần đa hướng thổi 16kW
Model: FXFQ140AVM
(khiển dây gắn tường)</t>
  </si>
  <si>
    <t>Ống uPCV D110 Class 1</t>
  </si>
  <si>
    <t>Ống uPCV D160 Class 1</t>
  </si>
  <si>
    <t>Dàn nóng multi 2 chiều lạnh/sưởi 10kW
Model: Z5UW36GFA0</t>
  </si>
  <si>
    <t>LG/Thái Lan</t>
  </si>
  <si>
    <r>
      <t xml:space="preserve">Dàn lạnh âm trần nối ống gió, </t>
    </r>
    <r>
      <rPr>
        <sz val="12"/>
        <color rgb="FFFF0000"/>
        <rFont val="Times New Roman"/>
        <family val="1"/>
      </rPr>
      <t>kèm hộp box</t>
    </r>
    <r>
      <rPr>
        <sz val="12"/>
        <color theme="1"/>
        <rFont val="Times New Roman"/>
        <family val="1"/>
      </rPr>
      <t xml:space="preserve"> : 5.2kW
Model: AMNW18GL2A2</t>
    </r>
  </si>
  <si>
    <t>Tổng cộng: Hạng mục: HỆ THỐNG ĐIỀU HÒA KHÔNG KHÍ VÀ THÔNG GIÓ - KHỐI A1 + A2</t>
  </si>
  <si>
    <t>Hạng mục: HỆ THỐNG ĐIỀU HÒA KHÔNG KHÍ VÀ THÔNG GIÓ - KHỐI A3</t>
  </si>
  <si>
    <t>Ống nước ngưng uPVC D.49</t>
  </si>
  <si>
    <t>Cách nhiệt ống D.429 dày 10mm</t>
  </si>
  <si>
    <t>Ống tole tráng kẽm dày 0.6mm 400x200</t>
  </si>
  <si>
    <t>Ống tole tráng kẽm dày 0.6mm 550x250</t>
  </si>
  <si>
    <t>Ống tole tráng kẽm dày 0.6mm 500x300</t>
  </si>
  <si>
    <t>Ống tole tráng kẽm dày 0.8mm 650x350</t>
  </si>
  <si>
    <t>Ống tole tráng kẽm dày 0.8mm 650x500</t>
  </si>
  <si>
    <t>Ống tole tráng kẽm dày 0.8mm 900x450</t>
  </si>
  <si>
    <t>Ống tole tráng kẽm dày 1.0mm 1000x300</t>
  </si>
  <si>
    <t>Ống tole tráng kẽm dày 1.0mm 1200x600</t>
  </si>
  <si>
    <t>Quạt gắn tường WF-A3-B3.01 60 L/s 50 Pa</t>
  </si>
  <si>
    <t>Quạt gắn tường WF-A3-B2.01 100 L/s 50 Pa</t>
  </si>
  <si>
    <t>Quạt gắn tường WF-A3-B2.02 1330 L/s 50 Pa</t>
  </si>
  <si>
    <t>Quạt hướng trục TEF-A3-B1-01 150 L/s 250 Pa</t>
  </si>
  <si>
    <t>Quạt hướng trục EAF-A3-B1.01 6800 L/s 350 Pa</t>
  </si>
  <si>
    <t>Quạt hướng trục EAF-A3-B1.02 4500 L/s 350 Pa</t>
  </si>
  <si>
    <t>Quạt hướng trục EAF-A3-B1.03 2700 L/s 350 Pa</t>
  </si>
  <si>
    <t>Quạt hướng trục EAF-A3-B1.04 1030 L/s 350 Pa</t>
  </si>
  <si>
    <t>Quạt hướng trục EAF-A3-B1.05 110 L/s 150 Pa</t>
  </si>
  <si>
    <t>Quạt hướng trục EAF-A3-B1.06 420L/s 350Pa</t>
  </si>
  <si>
    <t>Quạt gắn tường WF-A3-B1-BV 25 L/s 50 Pa</t>
  </si>
  <si>
    <t>Quạt hướng trục TEF-A3-1F.01 350 L/s 150 Pa</t>
  </si>
  <si>
    <t>Quạt hướng trục FAF-A3-1F.LO.01 460 L/s 300 Pa</t>
  </si>
  <si>
    <t>Quạt hướng trục FAF-A3-1F-TM1 280 L/s 300 Pa</t>
  </si>
  <si>
    <t>Quạt hướng trục EAF-A3-1F-TM1 280 L/s 200 Pa</t>
  </si>
  <si>
    <t>Quạt gắn trần VF-A3-1F.TM2 90 L/s 50 Pa</t>
  </si>
  <si>
    <t>Quạt gắn trần VF-A3-1F.TM3 90 L/s 50 Pa</t>
  </si>
  <si>
    <t>Quạt hướng trục FAF-A3-1F-TM4 280 L/s 300 Pa</t>
  </si>
  <si>
    <t>Quạt hướng trục EAF-A3-1F-TM4 280 L/s 200 Pa</t>
  </si>
  <si>
    <t>Quạt gắn trần VF-A3-1F.BQL 25 L/s 50 Pa</t>
  </si>
  <si>
    <t>Quạt gắn trần VF-A3-1F.TB 25 L/s 50 Pa</t>
  </si>
  <si>
    <t>Quạt hướng trục TEF-A3-1F.KID.01 220 L/s 150 Pa</t>
  </si>
  <si>
    <t>Quạt gắn trần VF-A3-1F.SH 60 L/s 50 Pa</t>
  </si>
  <si>
    <t>Quạt hướng trục TEF-A3-2F.01 350 L/s 150 Pa</t>
  </si>
  <si>
    <t>Quạt hướng trục FAF-A3-2F.SH1 368 L/s 300 Pa</t>
  </si>
  <si>
    <t>Quạt hướng trục EAF-A3-2F.SH1 368 L/s 200 Pa</t>
  </si>
  <si>
    <t>Quạt gắn trần VF-A3-2F.SH2 60 L/s 50 Pa</t>
  </si>
  <si>
    <t>Quạt gắn trần VF-A3-2F.SH3 60 L/s 50 Pa</t>
  </si>
  <si>
    <t>Quạt hướng trục FAF-A3-2F.GYM 905 L/s 300 Pa</t>
  </si>
  <si>
    <t>Quạt hướng trục EAF-A3-2F.GYM 905 L/s 200 Pa</t>
  </si>
  <si>
    <t>Quạt hướng trục TEF-A3-2F.KID.01 220 L/s 150 Pa</t>
  </si>
  <si>
    <t>Quạt gắn tường WF-A3-TR.01 850 L/s 50 Pa</t>
  </si>
  <si>
    <t>Quạt hướng trục EAF-A3-LR.01 1650L/s 500Pa</t>
  </si>
  <si>
    <t>Dàn nóng trung tâm VRV 100kW</t>
  </si>
  <si>
    <t>Dàn lạnh âm trần đa hướng thổi 12.5kW</t>
  </si>
  <si>
    <t xml:space="preserve">Miệng gió EAG 500x300 C/W OBD kèm hộp gió </t>
  </si>
  <si>
    <t>Miệng gió EAG 1000x600 C/W OBD kèm hộp gió</t>
  </si>
  <si>
    <t>Miệng gió EAG 1000x800 C/W OBD kèm hộp gió</t>
  </si>
  <si>
    <t>Miệng gió EAG 300x200 C/W OBD kèm hộp gió</t>
  </si>
  <si>
    <t>Miệng gió EAG 200x200 C/W OBD kèm hộp gió</t>
  </si>
  <si>
    <t>Miệng gió EAG 400x200+OBD kèm hộp gió</t>
  </si>
  <si>
    <t>Miệng gió EAG 300x200 kèm hộp gió</t>
  </si>
  <si>
    <t>Miệng gió EAG 750x400 C/W OBD kèm hộp gió</t>
  </si>
  <si>
    <t>Miệng gió EAG 800x500 C/W OBD kèm hộp gió</t>
  </si>
  <si>
    <t>Miệng gió EAG 400x250 C/W OBD kèm hộp gió</t>
  </si>
  <si>
    <t xml:space="preserve">Miệng gió EAG 600x300 C/W OBD kèm hộp gió </t>
  </si>
  <si>
    <t>Miệng gió FAG 300x200 C/W OBD kèm hộp gió</t>
  </si>
  <si>
    <t>Miệng gió FAG 200x200 C/W OBD kèm hộp gió</t>
  </si>
  <si>
    <t>Miệng gió FAG 400x250 C/W OBD kèm hộp gió</t>
  </si>
  <si>
    <t xml:space="preserve">Miệng gió FAG 600x300 C/W OBD kèm hộp gió </t>
  </si>
  <si>
    <t>Cửa gió FAL 1600x600 kèm hộp gió</t>
  </si>
  <si>
    <t>Cửa gió FAL 1200x700+LCCT</t>
  </si>
  <si>
    <t>Cửa gió FAL 500x400+LCCT</t>
  </si>
  <si>
    <t>Cửa gió FAL 3900x4500+LCCT</t>
  </si>
  <si>
    <t>Cửa gió FAL 900x400+LCCT+G4 kèm hộp gió</t>
  </si>
  <si>
    <t>Cửa gió FAL 1600x500+LCCT+G4 kèm hộp gió</t>
  </si>
  <si>
    <t>Cửa gió EAL 1600x500+LCCT kèm hộp gió</t>
  </si>
  <si>
    <t>Cửa gió EAL 800x400+LCCT kèm hộp gió</t>
  </si>
  <si>
    <t>Van gió FD 1200x500</t>
  </si>
  <si>
    <t>Van gió FD 1200x600</t>
  </si>
  <si>
    <t>Van gió FD 600x300</t>
  </si>
  <si>
    <t>Van gió FD 350x250</t>
  </si>
  <si>
    <t>Van gió MFD 1200x500</t>
  </si>
  <si>
    <t>Van gió MFD 1800x750</t>
  </si>
  <si>
    <t>Van gió MFD 3900x4500</t>
  </si>
  <si>
    <t>Van gió MFD 900x450</t>
  </si>
  <si>
    <t>Van gió NRD 350x250</t>
  </si>
  <si>
    <t>Van gió NRD 1200x500</t>
  </si>
  <si>
    <t>Van gió NRD 1200x600</t>
  </si>
  <si>
    <t>Van gió NRD 600x300</t>
  </si>
  <si>
    <t>Van gió NRD 900x450</t>
  </si>
  <si>
    <t>Ống gió mềm D150 kèm cách nhiệt</t>
  </si>
  <si>
    <t>Tổng cộng: Hạng mục: HỆ THỐNG ĐIỀU HÒA KHÔNG KHÍ VÀ THÔNG GIÓ - KHỐI A3</t>
  </si>
  <si>
    <t>Điều hòa treo tường 2 chiều 5.3kW
Model: FTXM50XVMV/RXM50XVMV</t>
  </si>
  <si>
    <t>Điều hòa treo tường 2 chiều 7.1kW
Model: FTXM71XVMV/RXM71XVMV</t>
  </si>
  <si>
    <t>Điều hòa loại tủ đứng 2 chiều 14.0kW
Model: FVA140AMVM/RZA140DV1</t>
  </si>
  <si>
    <t>Điều hòa loại âm trần 4 hướng thổi 2 chiều 5.0kW
Model: FCF50CVM/RZA50DV2V</t>
  </si>
  <si>
    <t>Điều hòa loại âm trần 4 hướng thổi 2 chiều 7.1kW
Model: FCF71CVM/RZA71DV1</t>
  </si>
  <si>
    <t>Điều hòa loại âm trần 4 hướng thổi 2 chiều 10.0kW
Model: FCF100CVM/RZA100DV1</t>
  </si>
  <si>
    <t>Điều hòa loại âm trần 4 hướng thổi 2 chiều 12.5kW
Model: FCF125CVM/RZA125DV1</t>
  </si>
  <si>
    <t>Điều hòa loại âm trần 4 hướng thổi 2 chiều 14.0kW
Model: FCF140CVM/RZA140DV1</t>
  </si>
  <si>
    <t>Dàn lạnh âm trần đa hướng thổi 14.0kW
Model: FXFQ125AVM</t>
  </si>
  <si>
    <t>Cách nhiệt ống Ø9.5 dày 20mm</t>
  </si>
  <si>
    <t>Cách nhiệt ống Ø12.7 dày 20mm</t>
  </si>
  <si>
    <t>Cách nhiệt ống Ø15.9 dày 20mm</t>
  </si>
  <si>
    <t>Cách nhiệt ống Ø19.1 dày 20mm</t>
  </si>
  <si>
    <t>Cách nhiệt ống Ø22.2 dày 20mm</t>
  </si>
  <si>
    <t>Cách nhiệt ống Ø28.6 dày 20mm</t>
  </si>
  <si>
    <t>Cách nhiệt ống Ø34.9 dày 20mm</t>
  </si>
  <si>
    <t>Cách nhiệt ống Ø41.3 dày 20mm</t>
  </si>
  <si>
    <t>Cách nhiệt ống Ø6.35 dày 20mm</t>
  </si>
  <si>
    <t>Cách nhiệt ống D26.7 dày 10mm</t>
  </si>
  <si>
    <t>Cách nhiệt ống D33.4 dày 10mm</t>
  </si>
  <si>
    <t>Cách nhiệt ống D42 dày 10mm</t>
  </si>
  <si>
    <t>Cách nhiệt ống D60 dày 10mm</t>
  </si>
  <si>
    <t>Cách nhiệt ống D34 dày 10mm</t>
  </si>
  <si>
    <t>Cách nhiệt ống D75 dày 10mm</t>
  </si>
  <si>
    <t>Cách nhiệt ống D90 dày 10mm</t>
  </si>
  <si>
    <t>Cách nhiệt ống D114 dày 10mm</t>
  </si>
  <si>
    <t>Cách nhiệt ống D42.2 dày 10mm</t>
  </si>
  <si>
    <t>Cách nhiệt ống D60.3 dày 10mm</t>
  </si>
  <si>
    <t>Cách nhiệt ống D76.2 dày 10mm</t>
  </si>
  <si>
    <t>Cách nhiệt ống D88.9 dày 10mm</t>
  </si>
  <si>
    <t>Cách nhiệt ống D114.3 dày 10mm</t>
  </si>
  <si>
    <t>Đầu vào</t>
  </si>
  <si>
    <t>Lợi nhuận</t>
  </si>
  <si>
    <t>Hao hụt</t>
  </si>
  <si>
    <t>Băng keo</t>
  </si>
  <si>
    <t>Ống nước ngưng uPVC D.110 Class 1</t>
  </si>
  <si>
    <t>Daikin</t>
  </si>
  <si>
    <t>Kg</t>
  </si>
  <si>
    <t>Ga nạp R410/R32 (khối lượng tạm tính)</t>
  </si>
  <si>
    <t>Dàn lạnh cassette 1 hướng thổi 2.6kW
Model: AMNW09GTUA0 + PT-UAHW0</t>
  </si>
  <si>
    <t>THERMOBREAK-Sekisui /Thái Lan</t>
  </si>
  <si>
    <t>Ống nước ngưng uPVC D.48 Class 1</t>
  </si>
  <si>
    <t>Cách nhiệt ống D48 dày 10mm</t>
  </si>
  <si>
    <t>Ống nước ngưng uPVC D 34 Class 1</t>
  </si>
  <si>
    <t>Ống nước ngưng uPVC D 27 Class 1</t>
  </si>
  <si>
    <t>Ống đồng Ø6.35 dày 0.71 mm</t>
  </si>
  <si>
    <t>Vật liệu phụ</t>
  </si>
  <si>
    <t>Dàn nóng trung tâm VRV H, 2 chiều 162kW
Model: RXYQ58BYM là tổ hợp ghép : +01 dàn nóng RXYQ18BYM
+ 02 dàn nóng RXYQ20BYM</t>
  </si>
  <si>
    <t>Daikin/Thái Lan</t>
  </si>
  <si>
    <t>Dàn nóng trung tâm VRV H, 2 chiều 128kW
Model: RXYQ46BYM  là tổ hợp ghép  :
+01 dàn nóng RXYQ22BYM
+01 dàn nóng RXYQ24BYM</t>
  </si>
  <si>
    <t>Khiển dây gắn tường BRC1E63</t>
  </si>
  <si>
    <t>Mặt nạ Cassetet BYCQ12EAF8</t>
  </si>
  <si>
    <t>Daikin/Trung Quốc</t>
  </si>
  <si>
    <t>Daikin/Trung Quốc
/Thái Lan</t>
  </si>
  <si>
    <t>BHFP22R135-8</t>
  </si>
  <si>
    <t>BHFP22R168-8</t>
  </si>
  <si>
    <t>KHRP26A22T8, KHRP26A33T8</t>
  </si>
  <si>
    <t>KHRP26A72T8</t>
  </si>
  <si>
    <t>KHRP26A73T8, KHRP26A73TP8</t>
  </si>
  <si>
    <t>Dàn nóng trung tâm VRV H, 2 chiều lạnh/sưởi 101kW
Model: RXYQ36BYM tổ hợp ghép :
+ 01 dàn nóng RXYQ16BYM
+01 dàn nóng RXYQ20BYM</t>
  </si>
  <si>
    <t>Hạng mục: HỆ THỐNG ĐIỀU ÁP VÀ HÚT KHÓI - KHỐI A1+A2</t>
  </si>
  <si>
    <t>A. HỆ THỐNG TĂNG ÁP THANG BỘ VÀ SẢNH THANG MÁY HẦM</t>
  </si>
  <si>
    <t>Thiết bị</t>
  </si>
  <si>
    <t>Quạt tạo áp, động cơ cấp "H" chịu nhiệt độ tối đa 300°C trong 2h</t>
  </si>
  <si>
    <t>Quạt tạo áp: PAF-B2.01
- Hướng trục, nối ống gió.
- Lưu lượng: 2600L/s@350Pa</t>
  </si>
  <si>
    <t>Quạt tạo áp: PAF-B1.01
- Hướng trục, nối ống gió.
- Lưu lượng: 3400L/s@300Pa</t>
  </si>
  <si>
    <t>Quạt tạo áp: PAF-B1.02
- Hướng trục, nối ống gió.
- Lưu lượng: 4300L/s@300Pa</t>
  </si>
  <si>
    <t>Quạt tạo áp: PAF-B1.03
- Hướng trục, nối ống gió.
- Lưu lượng: 3400L/s@300Pa</t>
  </si>
  <si>
    <t>Quạt tạo áp: PAF-B1.04
- Hướng trục, nối ống gió.
- Lưu lượng: 3400L/s@300Pa</t>
  </si>
  <si>
    <t>Quạt tạo áp: PAF-A1-1F.01
- Hướng trục, nối ống gió.
- Lưu lượng: 3200L/s@300Pa</t>
  </si>
  <si>
    <t>Quạt tạo áp: PAF-A1-1F.02
- Hướng trục, nối ống gió.
- Lưu lượng: 4150L/s@300Pa</t>
  </si>
  <si>
    <t>Quạt tạo áp: PAF-A1-1F.03
- Hướng trục, nối ống gió.
- Lưu lượng: 1050L/s@300Pa</t>
  </si>
  <si>
    <t>Quạt tạo áp: PAF-A2-1F.01
- Hướng trục, nối ống gió.
- Lưu lượng: 4300L/s@300Pa</t>
  </si>
  <si>
    <t>Quạt tạo áp: PAF-A2-1F.02
- Hướng trục, nối ống gió.
- Lưu lượng: 5100L/s@300Pa</t>
  </si>
  <si>
    <t>Quạt tạo áp: PAF-A2-1F.03
- Hướng trục, nối ống gió.
- Lưu lượng: 3400L/s@300Pa</t>
  </si>
  <si>
    <t>Quạt tạo áp: PAF-A2-1F.04
- Hướng trục, nối ống gió.
- Lưu lượng: 1050L/s@300Pa</t>
  </si>
  <si>
    <t>Lò xo chống rung cho quạt</t>
  </si>
  <si>
    <t>Vật tư phụ lắp đặt thiết bị (simili chống cháy, U...)</t>
  </si>
  <si>
    <t>II. Vật tư đường ống</t>
  </si>
  <si>
    <t>Bộ cảm biến khói, loại gắn trên ống gió</t>
  </si>
  <si>
    <t>Van một chiều NRD 500x500</t>
  </si>
  <si>
    <t>Van một chiều NRD 600x500</t>
  </si>
  <si>
    <t>Van một chiều NRD 900x300</t>
  </si>
  <si>
    <t>Van xả áp PRD 1100x400</t>
  </si>
  <si>
    <t>Van chặn lửa MFD, EI60</t>
  </si>
  <si>
    <t>Van chặn lửa MFD, EI60 MFD 400x250</t>
  </si>
  <si>
    <t>Van chặn lửa MFD, EI60 MFD 500x500</t>
  </si>
  <si>
    <t>Van chặn lửa MFD, EI60 MFD 600x500</t>
  </si>
  <si>
    <t>Van chặn lửa MFD, EI60 MFD 900x300</t>
  </si>
  <si>
    <t>Louver lấy gió tươi</t>
  </si>
  <si>
    <t>Louver lấy gió tươi FAL + LCCT 1900x500</t>
  </si>
  <si>
    <t>Miệng gió</t>
  </si>
  <si>
    <t>Miệng gió xả áp PAG 1150x550</t>
  </si>
  <si>
    <t>Miệng gió tạo áp PAG 600x300 + OBD
Kèm box gió</t>
  </si>
  <si>
    <t>Miệng gió tạo áp PAG 800x350 + OBD
Kèm box gió</t>
  </si>
  <si>
    <t>Miệng gió tạo áp SAG 250x250 + OBD
Kèm box gió</t>
  </si>
  <si>
    <t>Miệng gió tạo áp SAG 1000x500 + OBD
Kèm box gió</t>
  </si>
  <si>
    <t>Miệng gió tạo áp SAG 1150x550 + OBD
Kèm box gió</t>
  </si>
  <si>
    <t>Hộp chống cháy EI45 cho quạt</t>
  </si>
  <si>
    <t>Hộp chống cháy EI45 cho quạt DxRxC=1200x1200x1000</t>
  </si>
  <si>
    <t>Ống gió chống cháy EI60</t>
  </si>
  <si>
    <t>Ống gió chống cháy EI60 400x250, tole dày 0.75mm</t>
  </si>
  <si>
    <t>Ống gió chống cháy EI60 500x500, tole dày 0.75mm</t>
  </si>
  <si>
    <t>Ống gió chống cháy EI60 600x300, tole dày 0.75mm</t>
  </si>
  <si>
    <t>Ống gió chống cháy EI60 600x500, tole dày 0.75mm</t>
  </si>
  <si>
    <t>Ống gió chống cháy EI60 900x300, tole dày 0.75mm</t>
  </si>
  <si>
    <t>Ống gió chống cháy EI30</t>
  </si>
  <si>
    <t>Ống gió chống cháy EI30 400x400, tole dày 0.75mm</t>
  </si>
  <si>
    <t>Ống gió chống cháy EI30 500x500, tole dày 0.75mm</t>
  </si>
  <si>
    <t>Ống gió chống cháy EI30 600x500, tole dày 0.75mm</t>
  </si>
  <si>
    <t>Ống gió chống cháy EI30 900x300, tole dày 0.75mm</t>
  </si>
  <si>
    <t>Phụ kiện lắp đặt ống gió (giảm, gót dày, chuyển vuông tròn...)</t>
  </si>
  <si>
    <t>Cáp điện điều khiển thiết bị</t>
  </si>
  <si>
    <t>2Cx1.5mm2 Cu/pvc/Fr (dây chống cháy)</t>
  </si>
  <si>
    <t>Ống PVC DN 25</t>
  </si>
  <si>
    <t>B. HỆ THỐNG THÔNG GIÓ TẦNG HẦM</t>
  </si>
  <si>
    <t>I. Thiết bị</t>
  </si>
  <si>
    <t>Quạt hút khói hầm (loại 2 tốc độ), động cơ cấp "H" chịu nhiệt độ tối đa 300°C trong 2h</t>
  </si>
  <si>
    <t>Quạt hút khói: SEF-B3-Z1.01~02
- Hướng trục, nối ống gió, loại 2 tốc độ. 
- Lưu lượng: 6100/9150L/s@350/788Pa</t>
  </si>
  <si>
    <t>Quạt hút khói: SEF-B3-Z2.01~02
- Hướng trục, nối ống gió, loại 2 tốc độ. 
- Lưu lượng: 4500/6700L/s@350/795Pa</t>
  </si>
  <si>
    <t>Quạt hút khói: SEF-B3-Z3.01~02
- Hướng trục, nối ống gió, loại 2 tốc độ. 
- Lưu lượng: 3850/5800L/s@320/795Pa</t>
  </si>
  <si>
    <t>Quạt hút khói: SEF-B3-Z4.01~02
- Hướng trục, nối ống gió, loại 2 tốc độ. 
- Lưu lượng: 4600/6900L/s@350/789Pa</t>
  </si>
  <si>
    <t>Quạt hút khói: SEF-B3-Z5.01~02
- Hướng trục, nối ống gió, loại 2 tốc độ. 
- Lưu lượng: 6300/9400L/s@350/789Pa</t>
  </si>
  <si>
    <t>Quạt hút khói: SEF-B2-Z1.01~02
- Hướng trục, nối ống gió, loại 2 tốc độ. 
- Lưu lượng: 4900/7300L/s@350/788Pa</t>
  </si>
  <si>
    <t>Quạt hút khói: SEF-B2-Z2.01~02
- Hướng trục, nối ống gió, loại 2 tốc độ. 
- Lưu lượng: 5500/8300L/s@350/795Pa</t>
  </si>
  <si>
    <t>Quạt hút khói: SEF-B2-Z3.01~02
- Hướng trục, nối ống gió, loại 2 tốc độ. 
- Lưu lượng: 7100/10600L/s@350/795Pa</t>
  </si>
  <si>
    <t>Quạt hút khói: SEF-B2-Z4.01~02
- Hướng trục, nối ống gió, loại 2 tốc độ. 
- Lưu lượng: 8000/12000L/s@350/789Pa</t>
  </si>
  <si>
    <t>Quạt hút khói: SEF-B2-Z5.01~02
- Hướng trục, nối ống gió, loại 2 tốc độ. 
- Lưu lượng: 7600/11300L/s@350/777Pa</t>
  </si>
  <si>
    <t>Quạt hút khói: SEF-B1-Z1.01~02
- Hướng trục, nối ống gió, loại 2 tốc độ. 
- Lưu lượng: 5400/8100L/s@350/788Pa</t>
  </si>
  <si>
    <t>Quạt hút khói: SEF-B1-Z2.01~02
- Hướng trục, nối ống gió, loại 2 tốc độ. 
- Lưu lượng: 5000/7500L/s@350/788Pa</t>
  </si>
  <si>
    <t>Quạt hút khói: SEF-B1-Z3.01~02
- Hướng trục, nối ống gió, loại 2 tốc độ. 
- Lưu lượng: 6700/10100L/s@350/795Pa</t>
  </si>
  <si>
    <t>Quạt hút khói: SEF-B1-Z4.01~02
- Hướng trục, nối ống gió, loại 2 tốc độ. 
- Lưu lượng: 6500/9800L/s@350/789Pa</t>
  </si>
  <si>
    <t>Quạt hút khói: SEF-B1-Z5.01~02
- Hướng trục, nối ống gió, loại 2 tốc độ. 
- Lưu lượng: 6000/9000L/s@350/788Pa</t>
  </si>
  <si>
    <t>Quạt bù khí &amp; cấp gió tươi hầm, động cơ cấp "H" chịu nhiệt độ tối đa 300°C trong 2h</t>
  </si>
  <si>
    <t>Quạt cấp gió: SFAF-B3-Z1.01~2
- Hướng trục, nối ống gió
- Lưu lượng: 3900L/s@350Pa</t>
  </si>
  <si>
    <t>Quạt cấp gió: SFAF-B3-Z2.01~2
- Hướng trục, nối ống gió
- Lưu lượng: 4300L/s@350Pa</t>
  </si>
  <si>
    <t>Quạt cấp gió: SFAF-B3-Z3.01~2
- Hướng trục, nối ống gió
- Lưu lượng: 2500L/s@350Pa</t>
  </si>
  <si>
    <t>Quạt cấp gió: SFAF-B3-Z4.01~2
- Hướng trục, nối ống gió
- Lưu lượng: 4400L/s@350Pa</t>
  </si>
  <si>
    <t>Quạt cấp gió: SFAF-B3-Z5.01~2
- Hướng trục, nối ống gió
- Lưu lượng: 4000L/s@350Pa</t>
  </si>
  <si>
    <t>Quạt cấp gió: SFAF-B2-Z1.01~2
- Hướng trục, nối ống gió
- Lưu lượng: 4700L/s@350Pa</t>
  </si>
  <si>
    <t>Quạt cấp gió: SFAF-B2-Z2.01~2
- Hướng trục, nối ống gió
- Lưu lượng: 6300L/s@350Pa</t>
  </si>
  <si>
    <t>Quạt cấp gió: SFAF-B2-Z3.01~2
- Hướng trục, nối ống gió
- Lưu lượng: 4500L/s@350Pa</t>
  </si>
  <si>
    <t>Quạt cấp gió: SFAF-B2-Z4.01~2
- Hướng trục, nối ống gió
- Lưu lượng: 5100L/s@350Pa</t>
  </si>
  <si>
    <t>Quạt cấp gió: SFAF-B2-Z5.01~2
- Hướng trục, nối ống gió
- Lưu lượng: 4800L/s@350Pa</t>
  </si>
  <si>
    <t>Quạt cấp gió: SFAF-B1-Z1.01~2
- Hướng trục, nối ống gió
- Lưu lượng: 5200L/s@350Pa</t>
  </si>
  <si>
    <t>Quạt cấp gió: SFAF-B1-Z2.01~2
- Hướng trục, nối ống gió
- Lưu lượng: 4800L/s@350Pa</t>
  </si>
  <si>
    <t>Quạt cấp gió: SFAF-B1-Z3.01~2
- Hướng trục, nối ống gió
- Lưu lượng: 4300L/s@350Pa</t>
  </si>
  <si>
    <t>Quạt cấp gió: SFAF-B1-Z4.01~2
- Hướng trục, nối ống gió
- Lưu lượng: 4200L/s@350Pa</t>
  </si>
  <si>
    <t>Quạt cấp gió: SFAF-B1-Z5.01~2
- Hướng trục, nối ống gió
- Lưu lượng: 5800L/s@350Pa</t>
  </si>
  <si>
    <t>Quạt cấp gió tươi hầm</t>
  </si>
  <si>
    <t>Quạt cấp gió: SFAF-B3-Z1.03
- Hướng trục, nối ống gió
- Lưu lượng: 3900L/s@350Pa</t>
  </si>
  <si>
    <t>Quạt cấp gió: SFAF-B3-Z2.03
- Hướng trục, nối ống gió
- Lưu lượng: 4300L/s@350Pa</t>
  </si>
  <si>
    <t>Quạt cấp gió: SFAF-B3-Z3.03
- Hướng trục, nối ống gió
- Lưu lượng: 2500L/s@350Pa</t>
  </si>
  <si>
    <t>Quạt cấp gió: SFAF-B3-Z4.03
- Hướng trục, nối ống gió
- Lưu lượng: 4400L/s@350Pa</t>
  </si>
  <si>
    <t>Quạt cấp gió: SFAF-B3-Z5.03
- Hướng trục, nối ống gió
- Lưu lượng: 4000L/s@350Pa</t>
  </si>
  <si>
    <t>Quạt cấp gió: SFAF-B2-Z1.03
- Hướng trục, nối ống gió
- Lưu lượng: 4700L/s@350Pa</t>
  </si>
  <si>
    <t>Quạt cấp gió: SFAF-B2-Z2.03
- Hướng trục, nối ống gió
- Lưu lượng: 6300L/s@350Pa</t>
  </si>
  <si>
    <t>Quạt cấp gió: SFAF-B2-Z3.03
- Hướng trục, nối ống gió
- Lưu lượng: 4500L/s@350Pa</t>
  </si>
  <si>
    <t>Quạt cấp gió: SFAF-B2-Z4.03
- Hướng trục, nối ống gió
- Lưu lượng: 5100L/s@350Pa</t>
  </si>
  <si>
    <t>Quạt cấp gió: SFAF-B2-Z5.03
- Hướng trục, nối ống gió
- Lưu lượng: 4800L/s@350Pa</t>
  </si>
  <si>
    <t>Quạt cấp gió: SFAF-B1-Z1.03
- Hướng trục, nối ống gió
- Lưu lượng: 5200L/s@350Pa</t>
  </si>
  <si>
    <t>Quạt cấp gió: SFAF-B1-Z2.03
- Hướng trục, nối ống gió
- Lưu lượng: 4800L/s@350Pa</t>
  </si>
  <si>
    <t>Quạt cấp gió: SFAF-B1-Z3.03
- Hướng trục, nối ống gió
- Lưu lượng: 4300L/s@350Pa</t>
  </si>
  <si>
    <t>Quạt cấp gió: SFAF-B1-Z4.03
- Hướng trục, nối ống gió
- Lưu lượng: 4200L/s@350Pa</t>
  </si>
  <si>
    <t>Quạt cấp gió: SFAF-B1-Z5.03
- Hướng trục, nối ống gió
- Lưu lượng: 5800L/s@350Pa</t>
  </si>
  <si>
    <t>Vật tư phụ lắp đặt thiết bị</t>
  </si>
  <si>
    <t>Vật tư đường ống hút khói, cấp khí tươi (Tầng Hầm)</t>
  </si>
  <si>
    <t>Miệng gió thải khói tầng hầm</t>
  </si>
  <si>
    <t>Miệng gió thải khói tầng hầm SEG + OBD : 800x400
Kèm box gió</t>
  </si>
  <si>
    <t>Miệng cấp gió tươi &amp; cấp khí bù tầng hầm</t>
  </si>
  <si>
    <t>Miệng gió cấp FAG 800x400 + OBD
Kèm box gió</t>
  </si>
  <si>
    <t>Miệng gió cấp khí bù 1200x1000</t>
  </si>
  <si>
    <t>Miệng gió cấp khí bù 1700x1000</t>
  </si>
  <si>
    <t>Miệng gió cấp khí bù 1750x1200</t>
  </si>
  <si>
    <t>Miệng gió cấp khí bù 1800x1000</t>
  </si>
  <si>
    <t>Miệng gió cấp khí bù 1800x1200</t>
  </si>
  <si>
    <t>Miệng gió cấp khí bù 1900x1000</t>
  </si>
  <si>
    <t>Miệng gió cấp khí bù 2000x1000</t>
  </si>
  <si>
    <t>Miệng gió cấp khí bù 2100x1000</t>
  </si>
  <si>
    <t>Miệng gió cấp khí bù 2200x1000</t>
  </si>
  <si>
    <t>Miệng gió cấp khí bù 2200x1200</t>
  </si>
  <si>
    <t>Louver thải gió</t>
  </si>
  <si>
    <t>Louver thải gió EAL + LCCT 1000x4000</t>
  </si>
  <si>
    <t>Louver thải gió EAL + LCCT 1550x2200</t>
  </si>
  <si>
    <t>Louver thải gió EAL + LCCT 1700x2100</t>
  </si>
  <si>
    <t>Louver thải gió EAL + LCCT 2000x2100</t>
  </si>
  <si>
    <t>Louver thải gió EAL + LCCT 2500x2100</t>
  </si>
  <si>
    <t>Louver thải gió EAL + LCCT 2600x4000</t>
  </si>
  <si>
    <t>Louver thải gió EAL + LCCT 3000x4000</t>
  </si>
  <si>
    <t>Louver thải gió EAL + LCCT 4100x2200</t>
  </si>
  <si>
    <t>Louver lấy gió tươi FAL + LCCT 1100x2800</t>
  </si>
  <si>
    <t>Louver lấy gió tươi FAL + LCCT 1300x2400</t>
  </si>
  <si>
    <t>Louver lấy gió tươi FAL + LCCT 3500x1200</t>
  </si>
  <si>
    <t>Louver lấy gió tươi FAL + LCCT 3500x2800</t>
  </si>
  <si>
    <t>Louver lấy gió tươi FAL + LCCT 3700x2400</t>
  </si>
  <si>
    <t>Louver lấy gió tươi FAL + LCCT 3900x2800</t>
  </si>
  <si>
    <t>Louver lấy gió tươi FAL + LCCT 4800x2400</t>
  </si>
  <si>
    <t>Van gió</t>
  </si>
  <si>
    <t>Van một chiều NRD 1000x350</t>
  </si>
  <si>
    <t>Van một chiều NRD 1050x500</t>
  </si>
  <si>
    <t>Van một chiều NRD 1050x550</t>
  </si>
  <si>
    <t>Van một chiều NRD 1100x450</t>
  </si>
  <si>
    <t>Van một chiều NRD 1100x500</t>
  </si>
  <si>
    <t>Van một chiều NRD 1100x550</t>
  </si>
  <si>
    <t>Van một chiều NRD 1100x600</t>
  </si>
  <si>
    <t>Van một chiều NRD 1200x400</t>
  </si>
  <si>
    <t>Van một chiều NRD 1200x450</t>
  </si>
  <si>
    <t>Van một chiều NRD 1200x500</t>
  </si>
  <si>
    <t>Van một chiều NRD 1200x550</t>
  </si>
  <si>
    <t>Van một chiều NRD 1200x600</t>
  </si>
  <si>
    <t>Van một chiều NRD 1250x500</t>
  </si>
  <si>
    <t>Van một chiều NRD 1300x400</t>
  </si>
  <si>
    <t>Van một chiều NRD 1300x500</t>
  </si>
  <si>
    <t>Van một chiều NRD 1300x600</t>
  </si>
  <si>
    <t>Van một chiều NRD 1300x650</t>
  </si>
  <si>
    <t>Van một chiều NRD 1350x550</t>
  </si>
  <si>
    <t>Van một chiều NRD 1350x600</t>
  </si>
  <si>
    <t>Van chặn lửa MFD, EI30</t>
  </si>
  <si>
    <t>Van chặn lửa MFD, EI30 MFD 4000x1000</t>
  </si>
  <si>
    <t>Van chặn lửa MFD, EI60 MFD 700x300</t>
  </si>
  <si>
    <t>Van chặn lửa MFD, EI60 MFD 800x350</t>
  </si>
  <si>
    <t>Van chặn lửa MFD, EI60 MFD 1000x350</t>
  </si>
  <si>
    <t>Van chặn lửa MFD, EI60 MFD 1050x300</t>
  </si>
  <si>
    <t>Van chặn lửa MFD, EI60 MFD 1050x350</t>
  </si>
  <si>
    <t>Van chặn lửa MFD, EI60 MFD 1050x400</t>
  </si>
  <si>
    <t>Van chặn lửa MFD, EI60 MFD 1050x500</t>
  </si>
  <si>
    <t>Van chặn lửa MFD, EI60 MFD 1050x550</t>
  </si>
  <si>
    <t>Van chặn lửa MFD, EI60 MFD 1100x300</t>
  </si>
  <si>
    <t>Van chặn lửa MFD, EI60 MFD 1100x350</t>
  </si>
  <si>
    <t>Van chặn lửa MFD, EI60 MFD 1100x450</t>
  </si>
  <si>
    <t>Van chặn lửa MFD, EI60 MFD 1100x500</t>
  </si>
  <si>
    <t>Van chặn lửa MFD, EI60 MFD 1100x550</t>
  </si>
  <si>
    <t>Van chặn lửa MFD, EI60 MFD 1100x600</t>
  </si>
  <si>
    <t>Van chặn lửa MFD, EI60 MFD 1200x400</t>
  </si>
  <si>
    <t>Van chặn lửa MFD, EI60 MFD 1200x450</t>
  </si>
  <si>
    <t>Van chặn lửa MFD, EI60 MFD 1200x500</t>
  </si>
  <si>
    <t>Van chặn lửa MFD, EI60 MFD 1200x550</t>
  </si>
  <si>
    <t>Van chặn lửa MFD, EI60 MFD 1200x600</t>
  </si>
  <si>
    <t>Van chặn lửa MFD, EI60 MFD 1250x500</t>
  </si>
  <si>
    <t>Van chặn lửa MFD, EI60 MFD 1300x400</t>
  </si>
  <si>
    <t>Van chặn lửa MFD, EI60 MFD 1300x500</t>
  </si>
  <si>
    <t>Van chặn lửa MFD, EI60 MFD 1300x600</t>
  </si>
  <si>
    <t>Van chặn lửa MFD, EI60 MFD 1300x650</t>
  </si>
  <si>
    <t>Van chặn lửa MFD, EI60 MFD 1350x550</t>
  </si>
  <si>
    <t>Van chặn lửa MFD, EI60 MFD 1350x600</t>
  </si>
  <si>
    <t>Đường ống hút khói &amp; cấp gió tươi hầm</t>
  </si>
  <si>
    <t>Ống gió chống cháy EI60 400x300, tole dày 0.75mm</t>
  </si>
  <si>
    <t>Ống gió chống cháy EI60 500x350, tole dày 0.75mm</t>
  </si>
  <si>
    <t>Ống gió chống cháy EI60 650x300, tole dày 0.75mm</t>
  </si>
  <si>
    <t>Ống gió chống cháy EI60 700x300, tole dày 0.75mm</t>
  </si>
  <si>
    <t>Ống gió chống cháy EI60 700x350, tole dày 0.75mm</t>
  </si>
  <si>
    <t>Ống gió chống cháy EI60 700x450, tole dày 0.75mm</t>
  </si>
  <si>
    <t>Ống gió chống cháy EI60 800x350, tole dày 0.75mm</t>
  </si>
  <si>
    <t>Ống gió chống cháy EI60 800x400, tole dày 0.75mm</t>
  </si>
  <si>
    <t>Ống gió chống cháy EI60 900x350, tole dày 0.75mm</t>
  </si>
  <si>
    <t>Ống gió chống cháy EI60 900x400, tole dày 0.75mm</t>
  </si>
  <si>
    <t>Ống gió chống cháy EI60 900x450, tole dày 0.75mm</t>
  </si>
  <si>
    <t>Ống gió chống cháy EI60 900x500, tole dày 0.75mm</t>
  </si>
  <si>
    <t>Ống gió chống cháy EI60 950x400, tole dày 0.75mm</t>
  </si>
  <si>
    <t>Ống gió chống cháy EI60 950x500, tole dày 0.75mm</t>
  </si>
  <si>
    <t>Ống gió chống cháy EI60 1000x350, tole dày 0.75mm</t>
  </si>
  <si>
    <t>Ống gió chống cháy EI60 1000x400, tole dày 0.75mm</t>
  </si>
  <si>
    <t>Ống gió chống cháy EI60 1000x450, tole dày 0.75mm</t>
  </si>
  <si>
    <t>Ống gió chống cháy EI60 1000x500, tole dày 0.75mm</t>
  </si>
  <si>
    <t>Ống gió chống cháy EI60 1050x300, tole dày 0.75mm</t>
  </si>
  <si>
    <t>Ống gió chống cháy EI60 1050x350, tole dày 0.75mm</t>
  </si>
  <si>
    <t>Ống gió chống cháy EI60 1050x400, tole dày 0.75mm</t>
  </si>
  <si>
    <t>Ống gió chống cháy EI60 1050x500, tole dày 0.75mm</t>
  </si>
  <si>
    <t>Ống gió chống cháy EI60 1050x550, tole dày 0.75mm</t>
  </si>
  <si>
    <t>Ống gió chống cháy EI60 1050x600, tole dày 0.75mm</t>
  </si>
  <si>
    <t>Ống gió chống cháy EI60 1100x300, tole dày 0.75mm</t>
  </si>
  <si>
    <t>Ống gió chống cháy EI60 1100x350, tole dày 0.75mm</t>
  </si>
  <si>
    <t>Ống gió chống cháy EI60 1100x400, tole dày 0.75mm</t>
  </si>
  <si>
    <t>Ống gió chống cháy EI60 1100x450, tole dày 0.75mm</t>
  </si>
  <si>
    <t>Ống gió chống cháy EI60 1100x500, tole dày 0.75mm</t>
  </si>
  <si>
    <t>Ống gió chống cháy EI60 1100x550, tole dày 0.75mm</t>
  </si>
  <si>
    <t>Ống gió chống cháy EI60 1100x600, tole dày 0.75mm</t>
  </si>
  <si>
    <t>Ống gió chống cháy EI60 1150x600, tole dày 0.75mm</t>
  </si>
  <si>
    <t>Ống gió chống cháy EI60 1200x350, tole dày 0.75mm</t>
  </si>
  <si>
    <t>Ống gió chống cháy EI60 1200x400, tole dày 0.75mm</t>
  </si>
  <si>
    <t>Ống gió chống cháy EI60 1200x450, tole dày 0.75mm</t>
  </si>
  <si>
    <t>Ống gió chống cháy EI60 1200x500, tole dày 0.75mm</t>
  </si>
  <si>
    <t>Ống gió chống cháy EI60 1200x550, tole dày 0.75mm</t>
  </si>
  <si>
    <t>Ống gió chống cháy EI60 1200x600, tole dày 0.75mm</t>
  </si>
  <si>
    <t>Ống gió chống cháy EI60 1200x650, tole dày 0.75mm</t>
  </si>
  <si>
    <t>Ống gió chống cháy EI60 1200x800, tole dày 0.75mm</t>
  </si>
  <si>
    <t>Ống gió chống cháy EI60 1250x500, tole dày 0.75mm</t>
  </si>
  <si>
    <t>Ống gió chống cháy EI60 1300x400, tole dày 0.75mm</t>
  </si>
  <si>
    <t>Ống gió chống cháy EI60 1300x500, tole dày 0.75mm</t>
  </si>
  <si>
    <t>Ống gió chống cháy EI60 1300x550, tole dày 0.75mm</t>
  </si>
  <si>
    <t>Ống gió chống cháy EI60 1300x600, tole dày 0.75mm</t>
  </si>
  <si>
    <t>Ống gió chống cháy EI60 1300x650, tole dày 0.75mm</t>
  </si>
  <si>
    <t>Ống gió chống cháy EI60 1350x550, tole dày 0.75mm</t>
  </si>
  <si>
    <t>Ống gió chống cháy EI60 1350x600, tole dày 0.75mm</t>
  </si>
  <si>
    <t>Ống gió chống cháy EI60 1400x800, tole dày 0.75mm</t>
  </si>
  <si>
    <t>Ống gió chống cháy EI60 1500x700, tole dày 0.75mm</t>
  </si>
  <si>
    <t>Ống gió chống cháy EI60 1500x900, tole dày 0.75mm</t>
  </si>
  <si>
    <t>Lắp đặt ống gió tole tráng kẽm, dày 0.57mm</t>
  </si>
  <si>
    <t>Lắp đặt ống gió tole tráng kẽm, dày 0.57mm 400x300</t>
  </si>
  <si>
    <t>Lắp đặt ống gió tole tráng kẽm, dày 0.75mm</t>
  </si>
  <si>
    <t>Lắp đặt ống gió tole tráng kẽm, dày 0.75mm 600x200</t>
  </si>
  <si>
    <t>Lắp đặt ống gió tole tráng kẽm, dày 0.75mm 600x300</t>
  </si>
  <si>
    <t>Lắp đặt ống gió tole tráng kẽm, dày 0.75mm 600x350</t>
  </si>
  <si>
    <t>Lắp đặt ống gió tole tráng kẽm, dày 0.75mm 700x350</t>
  </si>
  <si>
    <t>Lắp đặt ống gió tole tráng kẽm, dày 0.75mm 800x350</t>
  </si>
  <si>
    <t>Lắp đặt ống gió tole tráng kẽm, dày 0.75mm 800x400</t>
  </si>
  <si>
    <t>Lắp đặt ống gió tole tráng kẽm, dày 0.75mm 850x350</t>
  </si>
  <si>
    <t>Lắp đặt ống gió tole tráng kẽm, dày 0.75mm 900x350</t>
  </si>
  <si>
    <t>Lắp đặt ống gió tole tráng kẽm, dày 0.75mm 900x400</t>
  </si>
  <si>
    <t>Lắp đặt ống gió tole tráng kẽm, dày 0.75mm 950x400</t>
  </si>
  <si>
    <t>Lắp đặt ống gió tole tráng kẽm, dày 0.95mm</t>
  </si>
  <si>
    <t>Lắp đặt ống gió tole tráng kẽm, dày 0.95mm 1000x350</t>
  </si>
  <si>
    <t>Lắp đặt ống gió tole tráng kẽm, dày 0.95mm 1000x400</t>
  </si>
  <si>
    <t>Lắp đặt ống gió tole tráng kẽm, dày 0.95mm 1050x400</t>
  </si>
  <si>
    <t>Lắp đặt ống gió tole tráng kẽm, dày 0.95mm 1050x450</t>
  </si>
  <si>
    <t>Lắp đặt ống gió tole tráng kẽm, dày 0.95mm 1050x500</t>
  </si>
  <si>
    <t>Lắp đặt ống gió tole tráng kẽm, dày 0.95mm 1050x550</t>
  </si>
  <si>
    <t>Lắp đặt ống gió tole tráng kẽm, dày 0.95mm 1050x600</t>
  </si>
  <si>
    <t>Lắp đặt ống gió tole tráng kẽm, dày 0.95mm 1100x400</t>
  </si>
  <si>
    <t>Lắp đặt ống gió tole tráng kẽm, dày 0.95mm 1100x450</t>
  </si>
  <si>
    <t>Lắp đặt ống gió tole tráng kẽm, dày 0.95mm 1100x500</t>
  </si>
  <si>
    <t>Lắp đặt ống gió tole tráng kẽm, dày 0.95mm 1100x550</t>
  </si>
  <si>
    <t>Lắp đặt ống gió tole tráng kẽm, dày 0.95mm 1150x400</t>
  </si>
  <si>
    <t>Lắp đặt ống gió tole tráng kẽm, dày 0.95mm 1200x400</t>
  </si>
  <si>
    <t>Lắp đặt ống gió tole tráng kẽm, dày 0.95mm 1200x450</t>
  </si>
  <si>
    <t>Lắp đặt ống gió tole tráng kẽm, dày 0.95mm 1300x400</t>
  </si>
  <si>
    <t>Lắp đặt ống gió tole tráng kẽm, dày 0.95mm 1300x450</t>
  </si>
  <si>
    <t>Lắp đặt ống gió tole tráng kẽm, dày 0.95mm 1300x500</t>
  </si>
  <si>
    <t>C. HT HÚT KHÓI HÀNH LANG CÁC TẦNG</t>
  </si>
  <si>
    <t>Quạt hút khói: SEF-A1-RF.01,02,03
- Ly tâm, nối ống gió.
- Lưu lượng: 3500l/s@550Pa</t>
  </si>
  <si>
    <t>Quạt hút khói: SEF-A1-RF.04,05,06
- Ly tâm, nối ống gió.
- Lưu lượng: 3300l/s@550Pa</t>
  </si>
  <si>
    <t>Quạt hút khói: SEF-A1-RF.07,08,09
- Ly tâm, nối ống gió.
- Lưu lượng: 2800l/s@550Pa</t>
  </si>
  <si>
    <t>Quạt hút khói: SEF-A2-RF.01,02,03
- Ly tâm, nối ống gió.
- Lưu lượng: 3500l/s@550Pa</t>
  </si>
  <si>
    <t>Quạt hút khói: SEF-A2-RF.04,05,06
- Ly tâm, nối ống gió.
- Lưu lượng: 3300l/s@550Pa</t>
  </si>
  <si>
    <t>Quạt hút khói: SEF-A2-RF.07,08,09
- Ly tâm, nối ống gió.
- Lưu lượng: 2800l/s@550Pa</t>
  </si>
  <si>
    <t>Quạt cấp khí bù: SFAF-A2-2F.02
- Hướng trục, nối ống gió.
- Lưu lượng: 1400L/s@250Pa</t>
  </si>
  <si>
    <t>Vật tư đường ống hệ hút khói, cấp khí bù hành lang (Tầng 1 tới Tầng Sân thượng)</t>
  </si>
  <si>
    <t>Miệng gió hút khói, bù gió</t>
  </si>
  <si>
    <t>Miệng gió hút khói: SEG 800x400 + OBD
Kèm box gió</t>
  </si>
  <si>
    <t>Miệng cấp khí bù: FAG 800x400
Kèm box gió</t>
  </si>
  <si>
    <t>Miệng cấp khí bù: FAG 700x500
Kèm box gió</t>
  </si>
  <si>
    <t>Miệng cấp khí bù cơ chế tự nhiên</t>
  </si>
  <si>
    <t>Miệng cấp khí bù cơ chế tự nhiên FAG 1200x300</t>
  </si>
  <si>
    <t>Van chặn lửa điện từ MDF, EI30</t>
  </si>
  <si>
    <t>Van MFD 800x300</t>
  </si>
  <si>
    <t>Van MFD 800x400</t>
  </si>
  <si>
    <t>Louver cấp khí tươi</t>
  </si>
  <si>
    <t>Louver cấp khí tươi FAL + LCCT 1100x300
Kèm box gió</t>
  </si>
  <si>
    <t>Louver cấp khí tươi FAL + LCCT 1200x400
Kèm box gió</t>
  </si>
  <si>
    <t>Lưới chắn côn trùng</t>
  </si>
  <si>
    <t>Lưới chắn côn trùng LCCT 600x600</t>
  </si>
  <si>
    <t>Ống gió chống cháy EI30 500x300, tole dày 0.75mm</t>
  </si>
  <si>
    <t>Ống gió chống cháy EI30 600x250, tole dày 0.75mm</t>
  </si>
  <si>
    <t>Ống gió chống cháy EI30 600x300, tole dày 0.75mm</t>
  </si>
  <si>
    <t>Ống gió chống cháy EI30 800x300, tole dày 0.75mm</t>
  </si>
  <si>
    <t>Ống gió chống cháy EI30 800x400, tole dày 0.75mm</t>
  </si>
  <si>
    <t>Ống gió tráng kẽm dày 0.75mm</t>
  </si>
  <si>
    <t>Ống gió tráng kẽm dày 0.75mm 800x400, dày 0.6mm</t>
  </si>
  <si>
    <t>D. HT HÚT KHÓI GIAN PHÒNG</t>
  </si>
  <si>
    <t>Quạt hút khói: SEF-A1-1F-SH2.01, 02
- Hướng trục, nối ống gió.
- Lưu lượng: 9700L/s@500Pa</t>
  </si>
  <si>
    <t>Quạt cấp khí bù: SFAF-A1-1F-SH2.01
- Hướng trục, nối ống gió.
- Lưu lượng: 8500L/s@250Pa</t>
  </si>
  <si>
    <t>Quạt hút khói: SEF-A1-1F-SH1
- Hướng trục, nối ống gió.
- Lưu lượng: 6650L/s@350Pa</t>
  </si>
  <si>
    <t>Quạt cấp khí bù: SFAF-A1-1F-SH1
- Hướng trục, nối ống gió.
- Lưu lượng: 2900L/s@250Pa</t>
  </si>
  <si>
    <t>Quạt hút khói: SEF-A1-2F-SHCD 1
- Hướng trục, nối ống gió.
- Lưu lượng: 2500L/s@350Pa</t>
  </si>
  <si>
    <t>Quạt cấp khí bù: SFAF-A1-2F-SHCD 1
- Hướng trục, nối ống gió.
- Lưu lượng: 1100L/s@250Pa</t>
  </si>
  <si>
    <t>Quạt hút khói: SEF-A1-2F-SHCD 5
- Hướng trục, nối ống gió.
- Lưu lượng: 2500L/s@350Pa</t>
  </si>
  <si>
    <t>Quạt cấp khí bù: SFAF-A1-2F-SHCD 5
- Hướng trục, nối ống gió.
- Lưu lượng: 1100L/s@250Pa</t>
  </si>
  <si>
    <t>Quạt hút khói: SEF-A2-2F-GYM
- Hướng trục, nối ống gió.
- Lưu lượng: 4200L/s@400Pa</t>
  </si>
  <si>
    <t>Quạt cấp khí bù: SFAF-A2-2F-GYM
- Hướng trục, nối ống gió.
- Lưu lượng: 1900L/s@250Pa</t>
  </si>
  <si>
    <t>Quạt hút khói: SEF-A2-2F-02
- Hướng trục, nối ống gió.
- Lưu lượng: 3100L/s@450Pa</t>
  </si>
  <si>
    <t>Quạt cấp khí bù: SFAF-A2-2F-03
- Hướng trục, nối ống gió.
- Lưu lượng: 1400L/s@250Pa</t>
  </si>
  <si>
    <t>Quạt hút khói: SEF-A2-2F-01
- Hướng trục, nối ống gió.
- Lưu lượng: 2500L/s@350Pa</t>
  </si>
  <si>
    <t>Quạt cấp khí bù: SFAF-A2-2F-01
- Hướng trục, nối ống gió.
- Lưu lượng: 1100L/s@250Pa</t>
  </si>
  <si>
    <t>Vật tư đường ống</t>
  </si>
  <si>
    <t>Miệng gió hút khói</t>
  </si>
  <si>
    <t>Miệng gió hút khói: SEG 1000x500 + OBD
Kèm box gió</t>
  </si>
  <si>
    <t>Miệng gió hút khói: SEG 900x500 + OBD
Kèm box gió</t>
  </si>
  <si>
    <t>Louver thải khói</t>
  </si>
  <si>
    <t>Louver thải khói EAL + LCCT 1000x300</t>
  </si>
  <si>
    <t>Louver thải khói EAL + LCCT 1000x700</t>
  </si>
  <si>
    <t>Louver thải khói EAL + LCCT 1200x350</t>
  </si>
  <si>
    <t>Louver thải khói EAL + LCCT 1200x400</t>
  </si>
  <si>
    <t>Louver thải khói EAL + LCCT 2500x500</t>
  </si>
  <si>
    <t>Louver cấp khí tươi FAL + LCCT 800x300</t>
  </si>
  <si>
    <t>Louver cấp khí tươi FAL + LCCT 1000x400</t>
  </si>
  <si>
    <t>Louver cấp khí tươi FAL + LCCT 1100x300</t>
  </si>
  <si>
    <t>Louver cấp khí tươi FAL + LCCT 3500x500</t>
  </si>
  <si>
    <t>Louver cấp khí tươi FAL + LCCT 3500x700</t>
  </si>
  <si>
    <t>Miệng gió cấp khí bù</t>
  </si>
  <si>
    <t>Miệng gió cấp khí bù FAG 800x300</t>
  </si>
  <si>
    <t>Miệng gió cấp khí bù FAG 800x400</t>
  </si>
  <si>
    <t>Miệng gió cấp khí bù FAG 800x500</t>
  </si>
  <si>
    <t>Miệng gió cấp khí bù FAG 1200x500</t>
  </si>
  <si>
    <t>Miệng gió cấp khí bù FAG 3500x700</t>
  </si>
  <si>
    <t>Ống gió chống cháy EI30 500x200, tole dày 0.75mm</t>
  </si>
  <si>
    <t>Ống gió chống cháy EI30 700x250, tole dày 0.75mm</t>
  </si>
  <si>
    <t>Ống gió chống cháy EI30 750x300, tole dày 0.75mm</t>
  </si>
  <si>
    <t>Ống gió chống cháy EI30 950x400, tole dày 0.75mm</t>
  </si>
  <si>
    <t>Ống gió chống cháy EI30 1100x350, tole dày 0.75mm</t>
  </si>
  <si>
    <t>Ống gió chống cháy EI30 1200x500, tole dày 0.75mm</t>
  </si>
  <si>
    <t>Ống gió chống cháy EI30 1300x400, tole dày 0.75mm</t>
  </si>
  <si>
    <t>Ống gió chống cháy EI30 1300x500, tole dày 0.75mm</t>
  </si>
  <si>
    <t>E. TẠO ÁP PHÒNG ĐỆM THANG BỘ, TMCC, BUỒNG THANG BỘ</t>
  </si>
  <si>
    <t>Quạt tạo áp: PAF-A1-21F.01, 02
- Ly tâm, nối ống gió.
- Lưu lượng: 2400L/s@250Pa</t>
  </si>
  <si>
    <t>Quạt tạo áp: PAF-A1-RF.01
- Ly tâm, nối ống gió.
- Lưu lượng: 5850L/s@950Pa</t>
  </si>
  <si>
    <t>Quạt tạo áp: PAF-A1-RF.02, 03, 04
- Ly tâm, nối ống gió.
- Lưu lượng: 10000L/s@950Pa</t>
  </si>
  <si>
    <t>Quạt tạo áp: PAF-A1-RF.05
- Ly tâm, nối ống gió.
- Lưu lượng: 8450L/s@550Pa</t>
  </si>
  <si>
    <t>Quạt tạo áp: PAF-A1-RF.06, 07, 08
- Ly tâm, nối ống gió.
- Lưu lượng: 23700L/s@550Pa</t>
  </si>
  <si>
    <t>Quạt tạo áp: PAF-A1-RF.09
- Ly tâm, nối ống gió.
- Lưu lượng: 15800L/s@550Pa</t>
  </si>
  <si>
    <t>Quạt tạo áp: PAF-A2-RF.01
- Ly tâm, nối ống gió.
- Lưu lượng: 5850L/s@950Pa</t>
  </si>
  <si>
    <t>Quạt tạo áp: PAF-A2-RF.02, 03, 04
- Ly tâm, nối ống gió.
- Lưu lượng: 10000L/s@950Pa</t>
  </si>
  <si>
    <t>Quạt tạo áp: PAF-A2-RF.05
- Ly tâm, nối ống gió.
- Lưu lượng: 8450L/s@550Pa</t>
  </si>
  <si>
    <t>Quạt tạo áp: PAF-A2-RF.06, 07, 08
- Ly tâm, nối ống gió.
- Lưu lượng: 23700L/s@550Pa</t>
  </si>
  <si>
    <t>Quạt tạo áp: PAF-A2-RF.09
- Ly tâm, nối ống gió.
- Lưu lượng: 15800L/s@550Pa</t>
  </si>
  <si>
    <t>Van xả áp</t>
  </si>
  <si>
    <t>Van xả áp loại dùng đối trọng PRD 1100x400</t>
  </si>
  <si>
    <t>Van xả áp loại dùng đối trọng PRD 900x500</t>
  </si>
  <si>
    <t>Van xả áp loại dùng đối trọng PRD 800x400</t>
  </si>
  <si>
    <t>Van xả áp loại dùng đối trọng PRD 600x300</t>
  </si>
  <si>
    <t>Miệng gió tạo áp PAG 250x250 + OBD
Kèm box gió</t>
  </si>
  <si>
    <t>Miệng gió xả áp PAG 200x200
Kèm box gió</t>
  </si>
  <si>
    <t>Miệng gió xả áp PAG 1100x400
Kèm box gió</t>
  </si>
  <si>
    <t>Miệng gió tạo áp PAG 400x400 + OBD
Kèm box gió</t>
  </si>
  <si>
    <t>Miệng gió xả áp PAG 1000x500
Kèm box gió</t>
  </si>
  <si>
    <t>Louver</t>
  </si>
  <si>
    <t>FAL + LCCT 1300x500</t>
  </si>
  <si>
    <t>LCCT D800</t>
  </si>
  <si>
    <t>LCCT D980</t>
  </si>
  <si>
    <t>Ống gió tráng kẽm</t>
  </si>
  <si>
    <t>Ống gió tráng kẽm 400x400, dày 0.57mm</t>
  </si>
  <si>
    <t>Ống gió tráng kẽm 700x700, dày 0.75mm</t>
  </si>
  <si>
    <t>Ống gió tráng kẽm 800x600, dày 0.75mm</t>
  </si>
  <si>
    <t>Ống gió tráng kẽm 800x700, dày 0.75mm</t>
  </si>
  <si>
    <t>Ống gió tráng kẽm 900x600, dày 0.75mm</t>
  </si>
  <si>
    <t>Ống gió tráng kẽm 1200x600, dày 0.95mm</t>
  </si>
  <si>
    <t>Ống gió tráng kẽm 1000x1000, dày 0.95mm</t>
  </si>
  <si>
    <t>Ống gió tráng kẽm 1200x1200, dày 0.95mm</t>
  </si>
  <si>
    <t>F. HỆ THỐNG CẢNH BÁO KHÍ CO TẦNG HẦM</t>
  </si>
  <si>
    <t>Cảm biến khí CO</t>
  </si>
  <si>
    <t>Dây tín hiệu 2Cx1.5mm2</t>
  </si>
  <si>
    <t>Vật tư phụ hệ điện</t>
  </si>
  <si>
    <t>G. HỆ THỐNG THÔNG GIÓ PHÒNG RÁC TẦNG</t>
  </si>
  <si>
    <t>Quạt thông gió: EAF-A1-RAC-RF.01
- Ly tâm, nối ống gió.
- Lưu lượng: 2200L/s@700Pa</t>
  </si>
  <si>
    <t>Quạt thông gió: EAF-A2-RAC-RF.01
- Ly tâm, nối ống gió.
- Lưu lượng: 2200L/s@700Pa</t>
  </si>
  <si>
    <t>Van chặn lửa, EI30</t>
  </si>
  <si>
    <t>Van chặn lửa, EI30 FD 150x150</t>
  </si>
  <si>
    <t>Van điều chỉnh lưu lượng</t>
  </si>
  <si>
    <t>Van điều chỉnh lưu lượng VCD 150x150</t>
  </si>
  <si>
    <t>Miệng gió tạo áp EAG 150x150 + OBD
Kèm box gió</t>
  </si>
  <si>
    <t>LCCT 700x300</t>
  </si>
  <si>
    <t>Ống gió tráng kẽm 150x150, dày 0.57mm</t>
  </si>
  <si>
    <t>Ống gió tráng kẽm 650x300, dày 0.75mm</t>
  </si>
  <si>
    <t>CHI PHÍ KHÁC</t>
  </si>
  <si>
    <t>Chi phí thí nghiệm thiết bị PCCC</t>
  </si>
  <si>
    <t>Chi phí Fill chống cháy lan: Rock wool, foam, silicon chống cháy…</t>
  </si>
  <si>
    <t>Chi phí T&amp;C hệ thống</t>
  </si>
  <si>
    <t>cửa</t>
  </si>
  <si>
    <t>Bộ</t>
  </si>
  <si>
    <t>Lộ</t>
  </si>
  <si>
    <t>Tổng cộng: Hạng mục: HỆ THỐNG ĐIỀU ÁP VÀ HÚT KHÓI - KHỐI A1+A2</t>
  </si>
  <si>
    <t>Hạng mục: HỆ THỐNG ĐIỀU ÁP VÀ HÚT KHÓI - KHỐI A3</t>
  </si>
  <si>
    <t>A. TẦNG HẦM (TẦNG B1, B2, B3)</t>
  </si>
  <si>
    <t>I. HỆ THỐNG TẠO ÁP</t>
  </si>
  <si>
    <t>a. Thiết bị</t>
  </si>
  <si>
    <t>Quạt tạo áp_Loại hướng trục SPAF-B3-BF-04
16.920m3/h@300Pa</t>
  </si>
  <si>
    <t>Quạt tạo áp_Loại hướng trục SPAF-B3-BF-02
6.000m3/h@200Pa</t>
  </si>
  <si>
    <t>Quạt tạo áp_Loại hướng trục SPAF-B1-BF-01
14.040m3/h@300Pa</t>
  </si>
  <si>
    <t>Quạt tạo áp_Loại hướng trục SPAF-B2-BF-04
18.000m3/h@300Pa</t>
  </si>
  <si>
    <t>Quạt tạo áp_Loại hướng trục SPAF-B2-BF-02
6.000m3/h@200Pa</t>
  </si>
  <si>
    <t>Quạt tạo áp_Loại hướng trục SPAF-B1-BF-02
17.640m3/h@300Pa</t>
  </si>
  <si>
    <t>Quạt tạo áp_Loại hướng trục SPAF-B1-BF-03
16.200m3/h@300Pa</t>
  </si>
  <si>
    <t>Quạt tạo áp_Loại hướng trục SPAF-B1-BF-04
16.920m3/h@300Pa</t>
  </si>
  <si>
    <t xml:space="preserve">Nối mềm chống cháy </t>
  </si>
  <si>
    <t>Ty treo giá đỡ</t>
  </si>
  <si>
    <t xml:space="preserve">b. Ống gió
</t>
  </si>
  <si>
    <t>Ống gió chống cháy EI120</t>
  </si>
  <si>
    <t>Ống gió thẳng</t>
  </si>
  <si>
    <t>Ống gió chống cháy EI120 800x450</t>
  </si>
  <si>
    <t>Ống gió chống cháy EI120 800x400</t>
  </si>
  <si>
    <t>Ống gió chống cháy EI120 600x300</t>
  </si>
  <si>
    <t>Ống gió chống cháy EI120 1000x500</t>
  </si>
  <si>
    <t>Ống gió chống cháy EI120 800x350</t>
  </si>
  <si>
    <t>Ống gió chống cháy EI120 550x550</t>
  </si>
  <si>
    <t>Chân rẽ</t>
  </si>
  <si>
    <t>Chân rẽ 800x450-200H</t>
  </si>
  <si>
    <t>Co ngang ống gió</t>
  </si>
  <si>
    <t>Co ngang ống gió 800x400-600R-45°</t>
  </si>
  <si>
    <t>Co ngang ống gió 800x450-600R-45°</t>
  </si>
  <si>
    <t>Co ngang ống gió 600x300-600R-45°</t>
  </si>
  <si>
    <t>Co ngang ống gió 800x400-400R-90°</t>
  </si>
  <si>
    <t>Co ngang ống gió 600x300-400R-90°</t>
  </si>
  <si>
    <t>Co ngang ống gió 800x450-400R-90°</t>
  </si>
  <si>
    <t>Co ngang ống gió 800x350-400R-90°</t>
  </si>
  <si>
    <t>Miệng gió
Air grill</t>
  </si>
  <si>
    <t>Miệng gió OAG + OBD 500x800</t>
  </si>
  <si>
    <t>Miệng gió OAG + OBD 500x1000</t>
  </si>
  <si>
    <t>Miệng gió MFD 800x400 - GHCL EI60</t>
  </si>
  <si>
    <t>Miệng gió MFD 800x450 - GHCL EI60</t>
  </si>
  <si>
    <t>Miệng gió MFD 800x350 - GHCL EI60</t>
  </si>
  <si>
    <t>Miệng gió MFD 600x300 - GHCL EI60</t>
  </si>
  <si>
    <t>Miệng gió PRD 200x200</t>
  </si>
  <si>
    <t>Miệng gió NRD 800x400</t>
  </si>
  <si>
    <t>Miệng gió NRD 800x450</t>
  </si>
  <si>
    <t>Miệng gió NRD 800x350</t>
  </si>
  <si>
    <t>Miệng gió NRD 600x300</t>
  </si>
  <si>
    <t>Cảm biến khói gắn ống gió</t>
  </si>
  <si>
    <t>II. HỆ THỐNG BÙ GIÓ</t>
  </si>
  <si>
    <t>Quạt bù gió_Loại hướng trục MAF-B3-Z1.01
21.000 m3/h@300Pa
Motor chống cháy 300°C/2h</t>
  </si>
  <si>
    <t>Quạt bù gió_Loại hướng trục MAF-B3-Z1.02
26.800 m3/h@500Pa
Motor chống cháy 300°C/2h</t>
  </si>
  <si>
    <t>Quạt bù gió_Loại hướng trục MAF-B3-Z2.01
21.000 m3/h@300Pa
Motor chống cháy 300°C/2h</t>
  </si>
  <si>
    <t>Quạt bù gió_Loại hướng trục MAF-B3-Z2.02
26.800 m3/h@500Pa
Motor chống cháy 300°C/2h</t>
  </si>
  <si>
    <t>Quạt bù gió_Loại hướng trục MAF-B3-Z3.01
21.000 m3/h@300Pa
Motor chống cháy 300°C/2h</t>
  </si>
  <si>
    <t>Quạt bù gió_Loại hướng trục MAF-B3-Z3.02
26.800 m3/h@500Pa
Motor chống cháy 300°C/2h</t>
  </si>
  <si>
    <t>Quạt bù gió_Loại hướng trục MAF-B2-Z1.01
27.000 m3/h@300Pa
Motor chống cháy 300°C/2h</t>
  </si>
  <si>
    <t>Quạt bù gió_Loại hướng trục MAF-B2-Z1.02
34.425 m3/h@500Pa
Motor chống cháy 300°C/2h</t>
  </si>
  <si>
    <t>Quạt bù gió_Loại hướng trục MAF-B2-Z2.01
27.000 m3/h@300Pa
Motor chống cháy 300°C/2h</t>
  </si>
  <si>
    <t>Quạt bù gió_Loại hướng trục MAF-B2-Z2.02
26.800 m3/h@500Pa
Motor chống cháy 300°C/2h</t>
  </si>
  <si>
    <t>Quạt bù gió_Loại hướng trục MAF-B2-Z3.01
27.000 m3/h@300Pa
Motor chống cháy 300°C/2h</t>
  </si>
  <si>
    <t>Quạt bù gió_Loại hướng trục MAF-B2-Z3.02
34.425 m3/h@500Pa
Motor chống cháy 300°C/2h</t>
  </si>
  <si>
    <t>Quạt bù gió_Loại hướng trục MAF-B1-Z1.01
21.000 m3/h@300Pa
Motor chống cháy 300°C/2h</t>
  </si>
  <si>
    <t>Quạt bù gió_Loại hướng trục MAF-B1-Z1.02
26.800 m3/h@500Pa
Motor chống cháy 300°C/2h</t>
  </si>
  <si>
    <t>Quạt bù gió_Loại hướng trục MAF-B1-Z2.01
21.000 m3/h@300Pa
Motor chống cháy 300°C/2h</t>
  </si>
  <si>
    <t>Quạt bù gió_Loại hướng trục MAF-B1-Z2.02
26.800 m3/h@500Pa
Motor chống cháy 300°C/2h</t>
  </si>
  <si>
    <t>Quạt bù gió_Loại hướng trục MAF-B1-Z3.01
27.000 m3/h@300Pa
Motor chống cháy 300°C/2h</t>
  </si>
  <si>
    <t>Quạt bù gió_Loại hướng trục MAF-B1-Z3.02
34.425 m3/h@500Pa
Motor chống cháy 300°C/2h</t>
  </si>
  <si>
    <t>Ống gió
Air duct</t>
  </si>
  <si>
    <t>Ống gió chống cháy EI120 1400x400</t>
  </si>
  <si>
    <t>Ống gió chống cháy EI120 1200x550</t>
  </si>
  <si>
    <t>Ống gió chống cháy EI120 1200x400</t>
  </si>
  <si>
    <t>Ống gió chống cháy EI120 1100x350</t>
  </si>
  <si>
    <t>Ống gió chống cháy EI120 900x300</t>
  </si>
  <si>
    <t>Ống gió chống cháy EI120 900x350</t>
  </si>
  <si>
    <t>Côn chuyển</t>
  </si>
  <si>
    <t>Côn chuyển 1200x550/ 1100x350-500L</t>
  </si>
  <si>
    <t>Côn chuyển 1200x400/ 1100x350-500L</t>
  </si>
  <si>
    <t>Côn chuyển 1100x350/ 900x300-500L</t>
  </si>
  <si>
    <t>Côn chuyển 1400x400/ 1200x400-500L</t>
  </si>
  <si>
    <t>Côn chuyển 1400x400/ 1100x350-500L</t>
  </si>
  <si>
    <t>Chân rẽ 1100x350-200H</t>
  </si>
  <si>
    <t>Chân rẽ 900x300-200H</t>
  </si>
  <si>
    <t>Chân rẽ 900x350-200H</t>
  </si>
  <si>
    <t>Co ngang ống gió 1200x550-600R-45°</t>
  </si>
  <si>
    <t>Co ngang ống gió 1200x400-600R-45°</t>
  </si>
  <si>
    <t>Co ngang ống gió 1400x400-400R-90°</t>
  </si>
  <si>
    <t>Co ngang ống gió 1200x400-400R-90°</t>
  </si>
  <si>
    <t>Co ngang ống gió 1100x350-400R-90°</t>
  </si>
  <si>
    <t>Co ngang ống gió 900x350-400R-90°</t>
  </si>
  <si>
    <t>Co ngang ống gió 900x300-400R-90°</t>
  </si>
  <si>
    <t xml:space="preserve">Miệng gió
</t>
  </si>
  <si>
    <t>Miệng gió OAG+OBD 900x900</t>
  </si>
  <si>
    <t>Miệng gió MFD 1200x550 - GHCL EI60</t>
  </si>
  <si>
    <t>Miệng gió MFD 1200x400 - GHCL EI60</t>
  </si>
  <si>
    <t>Miệng gió MFD 1400x400</t>
  </si>
  <si>
    <t>Miệng gió NRD 1200x550</t>
  </si>
  <si>
    <t>Miệng gió NRD 1200x400</t>
  </si>
  <si>
    <t>Miệng gió NRD 1400x400</t>
  </si>
  <si>
    <t xml:space="preserve">III. HỆ THỐNG HÚT KHÓI </t>
  </si>
  <si>
    <t>Quạt hút khói_Hướng trục SEAF-B3-Z1.01
21.000m3/h@300Pa
Motor chống cháy 300°C/2h</t>
  </si>
  <si>
    <t>Quạt hút khói_Hướng trục SEAF-B3-Z1.01
31.500m3/h@675Pa
Motor chống cháy 300°C/2h</t>
  </si>
  <si>
    <t>Quạt hút khói_Hướng trục SEAF-B3-Z2.01
21.000m3/h@300Pa
Motor chống cháy 300°C/2h</t>
  </si>
  <si>
    <t>Quạt hút khói_Hướng trục SEAF-B3-Z2.01
31.500m3/h@675Pa
Motor chống cháy 300°C/2h</t>
  </si>
  <si>
    <t>Quạt hút khói_Hướng trục SEAF-B3-Z3.01
21.000m3/h@300Pa
Motor chống cháy 300°C/2h</t>
  </si>
  <si>
    <t>Quạt hút khói_Hướng trục SEAF-B3-Z3.01
31.500m3/h@675Pa
Motor chống cháy 300°C/2h</t>
  </si>
  <si>
    <t>Quạt hút khói_Hướng trục SEAF-B2-Z1.01
27.000m3/h@300Pa
Motor chống cháy 300°C/2h</t>
  </si>
  <si>
    <t>Quạt hút khói_Hướng trục SEAF-B2-Z1.01
40.500m3/h@675Pa
Motor chống cháy 300°C/2h</t>
  </si>
  <si>
    <t>Quạt hút khói_Hướng trục SEAF-B2-Z2.01
27.000m3/h@300Pa
Motor chống cháy 300°C/2h</t>
  </si>
  <si>
    <t>Quạt hút khói_Hướng trục SEAF-B2-Z2.01
40.500m3/h@675Pa
Motor chống cháy 300°C/2h</t>
  </si>
  <si>
    <t>Quạt hút khói_Hướng trục SEAF-B2-Z3.01
27.000m3/h@300Pa
Motor chống cháy 300°C/2h</t>
  </si>
  <si>
    <t>Quạt hút khói_Hướng trục SEAF-B2-Z3.01
40.500m3/h@675Pa
Motor chống cháy 300°C/2h</t>
  </si>
  <si>
    <t>Quạt hút khói_Hướng trục SEAF-B1-Z1.01
21.000m3/h@300Pa
Motor chống cháy 300°C/2h</t>
  </si>
  <si>
    <t>Quạt hút khói_Hướng trục SEAF-B1-Z1.01
31.500m3/h@675Pa
Motor chống cháy 300°C/2h</t>
  </si>
  <si>
    <t>Quạt hút khói_Hướng trục SEAF-B1-Z2.01
21.000m3/h@300Pa
Motor chống cháy 300°C/2h</t>
  </si>
  <si>
    <t>Quạt hút khói_Hướng trục SEAF-B1-Z2.01
31.500m3/h@675Pa
Motor chống cháy 300°C/2h</t>
  </si>
  <si>
    <t>Quạt hút khói_Hướng trục SEAF-B1-Z3.01
27.000m3/h@300Pa
Motor chống cháy 300°C/2h</t>
  </si>
  <si>
    <t>Quạt hút khói_Hướng trục SEAF-B1-Z3.01
40.500m3/h@675Pa
Motor chống cháy 300°C/2h</t>
  </si>
  <si>
    <t>Ống gió chống cháy EI120 1000x350</t>
  </si>
  <si>
    <t>Ống gió chống cháy EI120 950x300</t>
  </si>
  <si>
    <t>Ống gió chống cháy EI120 800x300</t>
  </si>
  <si>
    <t>Ống gió chống cháy EI120 400x400</t>
  </si>
  <si>
    <t>Ống gió chống cháy EI120 300x300</t>
  </si>
  <si>
    <t>Ống gió chống cháy EI120 300x200</t>
  </si>
  <si>
    <t>Ống gió chống cháy EI120 200x200</t>
  </si>
  <si>
    <t>Côn chuyển 1200x400/ 1000x350-500L</t>
  </si>
  <si>
    <t>Côn chuyển 1100x350/ 1000x350-500L</t>
  </si>
  <si>
    <t>Côn chuyển 1000x350/ 950x300-500L</t>
  </si>
  <si>
    <t>Côn chuyển 950x300/ 800x300-500L</t>
  </si>
  <si>
    <t>Côn chuyển 1200x400/ 950x300-500L</t>
  </si>
  <si>
    <t>Côn chuyển 1000x350/ 800x300-500L</t>
  </si>
  <si>
    <t>Côn chuyển 400x400/ 300x200-500L</t>
  </si>
  <si>
    <t>Chân rẽ 1200x400-200H</t>
  </si>
  <si>
    <t>Chân rẽ 1000x350-200H</t>
  </si>
  <si>
    <t>Chân rẽ 950x300-200H</t>
  </si>
  <si>
    <t>Chân rẽ 800x300-200H</t>
  </si>
  <si>
    <t>Chân rẽ 300x300-200H</t>
  </si>
  <si>
    <t>Co ngang ống gió 1000x350-400R-90°</t>
  </si>
  <si>
    <t>Co ngang ống gió 950x300-400R-90°</t>
  </si>
  <si>
    <t>Co ngang ống gió 800x300-400R-90°</t>
  </si>
  <si>
    <t>Miệng gió SEAG+OBD 800x500</t>
  </si>
  <si>
    <t>Miệng gió EAG+OBD 200x200</t>
  </si>
  <si>
    <t>Miệng gió EAG+OBD 400x250</t>
  </si>
  <si>
    <t>Miệng gió MFD 200x200 - GHCL EI60</t>
  </si>
  <si>
    <t>Miệng gió MFD 1400x400 - GHCL EI60</t>
  </si>
  <si>
    <t>B. KHỐI CĂN HỘ (TỪ TẦNG 1 ĐẾN TẦNG MÁI)</t>
  </si>
  <si>
    <t>Quạt tạo áp_Loại hướng trục SPAF-21-01
16.200 m3/h@300Pa</t>
  </si>
  <si>
    <t>Quạt tạo áp_Loại hướng trục SPAF-TF-01~02
12.240 m3/h@350Pa</t>
  </si>
  <si>
    <t>Quạt tạo áp_Loại hướng trục SPAF-RF-01
27.360 m3/h@500Pa</t>
  </si>
  <si>
    <t>Quạt tạo áp_Loại hướng trục SPAF-RF-02
39.250 m3/h@500Pa</t>
  </si>
  <si>
    <t>Quạt tạo áp_Loại hướng trục SPAF-RF-LIFT 01
66.960 m3/h@300Pa</t>
  </si>
  <si>
    <t>Quạt tạo áp_Loại hướng trục SPAF-RF-LIFT 02
44.640 m3/h@300Pa</t>
  </si>
  <si>
    <t>Quạt tạo áp_Loại hướng trục SPAF-RF-LIFT 03
22.320 m3/h@300Pa</t>
  </si>
  <si>
    <t>Quạt tạo áp_Loại hướng trục SPAF-RF-LIFT 04
44.640 m3/h@300Pa</t>
  </si>
  <si>
    <t>Quạt tạo áp_Loại hướng trục SPAF-RF-LIFT 05
66.960 m3/h@300Pa</t>
  </si>
  <si>
    <t>Quạt tạo áp_Loại hướng trục SPAF-RF-FF-LIFT
36.360 m3/h@300Pa</t>
  </si>
  <si>
    <t>Hộp chống cháy loại 1</t>
  </si>
  <si>
    <t>Ống gió không chống cháy</t>
  </si>
  <si>
    <t>Ống gió không chống cháy 300x300</t>
  </si>
  <si>
    <t>Ống gió không chống cháy 200x200</t>
  </si>
  <si>
    <t>Ống gió không chống cháy 800x400</t>
  </si>
  <si>
    <t>Ống gió không chống cháy 600x750</t>
  </si>
  <si>
    <t>Ống gió không chống cháy 500x600</t>
  </si>
  <si>
    <t>Ống gió không chống cháy 1150x650</t>
  </si>
  <si>
    <t>Ống gió không chống cháy 1700x450</t>
  </si>
  <si>
    <t>Ống gió không chống cháy 1700x750</t>
  </si>
  <si>
    <t>Ống gió không chống cháy 1200x550</t>
  </si>
  <si>
    <t>Ống gió không chống cháy 1200x350</t>
  </si>
  <si>
    <t>Ống gió không chống cháy 700x250</t>
  </si>
  <si>
    <t>Ống gió không chống cháy 400x550</t>
  </si>
  <si>
    <t>Ống gió không chống cháy 1000x1000</t>
  </si>
  <si>
    <t>Co ngang ống gió 1700x450-400R-90°</t>
  </si>
  <si>
    <t>Co ngang ống gió 1200x550-400R-90°</t>
  </si>
  <si>
    <t>Co ngang ống gió 500x600-400R-90°</t>
  </si>
  <si>
    <t>Ống gió chống cháy EI30 1500x500</t>
  </si>
  <si>
    <t>Ống gió chống cháy EI30 800x350</t>
  </si>
  <si>
    <t>Chân rẽ 800x350-200H</t>
  </si>
  <si>
    <t>Miệng gió
 OAG + OBD 800x400</t>
  </si>
  <si>
    <t>Miệng gió
 OAG + OBD 300x300</t>
  </si>
  <si>
    <t>Miệng gió
 OAG + OBD 1000x500</t>
  </si>
  <si>
    <t>Van xả áp 700x250
Pressure Relief 700x250</t>
  </si>
  <si>
    <t>Van xả áp 550x400
Pressure Relief 550x400</t>
  </si>
  <si>
    <t>Miệng gió
 PRD 200x200</t>
  </si>
  <si>
    <t>Miệng gió
 PRD 400x200</t>
  </si>
  <si>
    <t>Miệng gió
 PRD 800x350 - EI30</t>
  </si>
  <si>
    <t>Miệng gió
 PRD 1500x300</t>
  </si>
  <si>
    <t>Van gió MD 800x350 - EI30</t>
  </si>
  <si>
    <t>Miệng gió
 OAL+IS 1500x500</t>
  </si>
  <si>
    <t>Miệng gió
 OAL+IS 1500x300</t>
  </si>
  <si>
    <t>Miệng gió
 OAL+IS 550x550</t>
  </si>
  <si>
    <t>Miệng gió
 OAL+IS 700x400</t>
  </si>
  <si>
    <t>Cover che mưa kèm LCCT 800x350</t>
  </si>
  <si>
    <t>Lưới chắn côn trùng 1500x300</t>
  </si>
  <si>
    <t>Lưới chắn côn trùng 500x600</t>
  </si>
  <si>
    <t>Lưới chắn côn trùng 600x750</t>
  </si>
  <si>
    <t>Lưới chắn côn trùng 1000x1000</t>
  </si>
  <si>
    <t>Quạt bù gió_Loại hướng trục MAF-2.01
32.000 m3/h@350Pa
Motor chống cháy 300°C/2h</t>
  </si>
  <si>
    <t>Quạt bù gió_Loại hướng trục MAF-2.02
30.900 m3/h@300Pa
Motor chống cháy 300°C/2h</t>
  </si>
  <si>
    <t>Quạt bù gió_Loại hướng trục MAF-2.03
36.100 m3/h@350Pa
Motor chống cháy 300°C/2h</t>
  </si>
  <si>
    <t>Hộp chống cháy loại 1 cho quạt</t>
  </si>
  <si>
    <t>Ống gió chống cháy EI45</t>
  </si>
  <si>
    <t>Ống gió chống cháy EI45 3000x1500</t>
  </si>
  <si>
    <t>Ống gió chống cháy EI45 1500x600</t>
  </si>
  <si>
    <t>Ống gió chống cháy EI45 1500x400</t>
  </si>
  <si>
    <t>Ống gió chống cháy EI45 1500x500</t>
  </si>
  <si>
    <t>Chân rẽ 1500x400-200H</t>
  </si>
  <si>
    <t>Co ngang ống gió 1500x400-600R-45°</t>
  </si>
  <si>
    <t>Co ngang ống gió 1500x600-400R-90°</t>
  </si>
  <si>
    <t>Co ngang ống gió 1500x400-400R-90°</t>
  </si>
  <si>
    <t>Miệng gió
 OAG+OBD 1500x1000</t>
  </si>
  <si>
    <t>Miệng gió OAL+IS 3000x1500</t>
  </si>
  <si>
    <t>Cửa cấp gió bù 1500x1000</t>
  </si>
  <si>
    <t>Quạt hút khói_Hướng trục SEAF-2.01
37.650m3/h@350Pa
Motor chống cháy 300°C/2h</t>
  </si>
  <si>
    <t>Quạt hút khói_Hướng trục SEAF-2.02
36.350m3/h@350Pa
Motor chống cháy 300°C/2h</t>
  </si>
  <si>
    <t>Quạt hút khói_Hướng trục SEAF-2.03
42.450m3/h@350Pa
Motor chống cháy 300°C/2h</t>
  </si>
  <si>
    <t>Quạt hút khói_Hướng trục SEAF-COR-01~09
22.900m3/h@500Pa
Motor chống cháy 300°C/2h</t>
  </si>
  <si>
    <t>Quạt hút khói_Hướng trục GAF-B1
1550m3/h@300Pa
Motor chống cháy 300°C/2h</t>
  </si>
  <si>
    <t>Quạt hút khói_Hướng trục GEAF-RF-01
2740m3/h@300Pa
Motor chống cháy 300°C/2h</t>
  </si>
  <si>
    <t>Ống gió không chống cháy 600x300</t>
  </si>
  <si>
    <t>Ống gió không chống cháy 800x600</t>
  </si>
  <si>
    <t>Ống gió không chống cháy 1400x400</t>
  </si>
  <si>
    <t>Ống gió không chống cháy 1250x600</t>
  </si>
  <si>
    <t>Co ngang ống gió 1400x400-600R-45°</t>
  </si>
  <si>
    <t>Co ngang ống gió 400x400-400R-90°</t>
  </si>
  <si>
    <t>Co ngang ống gió 800x600-400R-90°</t>
  </si>
  <si>
    <t>Ống gió chống cháy EI45 1500x450</t>
  </si>
  <si>
    <t>Ống gió chống cháy EI45 1000x350</t>
  </si>
  <si>
    <t>Ống gió chống cháy EI45 1000x450</t>
  </si>
  <si>
    <t>Ống gió chống cháy EI45 400x400</t>
  </si>
  <si>
    <t>Côn chuyển 1500x450/ 1000x350-500L</t>
  </si>
  <si>
    <t>Côn chuyển 1500x600/ 1000x450-500L</t>
  </si>
  <si>
    <t>Co ngang ống gió 1500x450-400R-90°</t>
  </si>
  <si>
    <t>Ống gió chống cháy EI30 1000x350</t>
  </si>
  <si>
    <t>Ống gió chống cháy EI30 800x250</t>
  </si>
  <si>
    <t>Côn chuyển 1000x350/ 800x250-500L</t>
  </si>
  <si>
    <t>Miệng gió
 EAG + OBD 200x200</t>
  </si>
  <si>
    <t>Miệng gió
 SEAG + OBD 950x950</t>
  </si>
  <si>
    <t>Miệng gió
 SEAG + OBD 1000x550</t>
  </si>
  <si>
    <t>MFD 200x200</t>
  </si>
  <si>
    <t>MFD 1000x350 - EI30</t>
  </si>
  <si>
    <t>EAL+IS 3000x1500</t>
  </si>
  <si>
    <t>Ty treo giá đỡ
Hanger &amp; Support</t>
  </si>
  <si>
    <t>HỆ THỐNG BÁO KHÍ CO</t>
  </si>
  <si>
    <t>Trung tâm báo khí CO 4 zone</t>
  </si>
  <si>
    <t>Đầu báo khí CO gắn tường, cột</t>
  </si>
  <si>
    <t>Chuông và đèn kết hợp báo nồng độ khí CO</t>
  </si>
  <si>
    <t>Cáp chống cháy chống nhiễu 2Cx1.5mm2</t>
  </si>
  <si>
    <t>Cáp cấp nguồn chống cháy 2Cx2.5mm2</t>
  </si>
  <si>
    <t>Ống điện PVC D20</t>
  </si>
  <si>
    <t>Ống ruột gà D20</t>
  </si>
  <si>
    <t>Box điện 1,2,3,4, box trung gian</t>
  </si>
  <si>
    <t>Dây nguồn quạt, van chặn lữa</t>
  </si>
  <si>
    <t>Dây điện Cu/PVC 1.5mm²</t>
  </si>
  <si>
    <t>Dây điện Cu/PVC 2.5mm²</t>
  </si>
  <si>
    <t>Dây điện Cu/PVC 4.0mm²</t>
  </si>
  <si>
    <t>Dây điện Cu/PVC 6.0mm²</t>
  </si>
  <si>
    <t>Dây điện Cu/PVC 10.0mm²</t>
  </si>
  <si>
    <t>Cáp Cu/XLPE/FR 1Cx1.5mm²</t>
  </si>
  <si>
    <t>Cáp Cu/XLPE/FR 1Cx2.5mm²</t>
  </si>
  <si>
    <t>Cáp Cu/XLPE/FR 1Cx4.0mm²</t>
  </si>
  <si>
    <t>Cáp Cu/XLPE/FR 1Cx6.0mm²</t>
  </si>
  <si>
    <t>Cáp Cu/XLPE/FR 1Cx10.0mm²</t>
  </si>
  <si>
    <t>Ống điên PVC D20</t>
  </si>
  <si>
    <t>Ống điên PVC D32</t>
  </si>
  <si>
    <t>Tủ điện quạt, van chặn lữa</t>
  </si>
  <si>
    <t>Tủ điện  MCC-F-B3.1</t>
  </si>
  <si>
    <t>Tủ điện  MCC-F-B3.2</t>
  </si>
  <si>
    <t>Tủ điện  MCC-F-B3.3</t>
  </si>
  <si>
    <t>Tủ điện  MCC-F-B3.4</t>
  </si>
  <si>
    <t>Tủ điện  MCC-F-B3.5</t>
  </si>
  <si>
    <t>Tủ điện  MCC-F-B3.6</t>
  </si>
  <si>
    <t>Tủ điện  MCC-F-B2.1</t>
  </si>
  <si>
    <t>Tủ điện  MCC-F-B2.2</t>
  </si>
  <si>
    <t>Tủ điện  MCC-F-B2.3</t>
  </si>
  <si>
    <t>Tủ điện  MCC-F-B2.4</t>
  </si>
  <si>
    <t>Tủ điện  MCC-F-B2.5</t>
  </si>
  <si>
    <t>Tủ điện  MCC-F-B2.6</t>
  </si>
  <si>
    <t>Tủ điện  MCC-F-B1.1</t>
  </si>
  <si>
    <t>Tủ điện  MCC-F-B1.2</t>
  </si>
  <si>
    <t>Tủ điện  MCC-F-B1.3</t>
  </si>
  <si>
    <t>Tủ điện  MCC-F-B1.4</t>
  </si>
  <si>
    <t>Tủ điện  MCC-F-B1.5</t>
  </si>
  <si>
    <t>Tủ điện  MCC-F-B1.6</t>
  </si>
  <si>
    <t>Tủ điện  MCC-TF-1</t>
  </si>
  <si>
    <t>MCC-TF-1</t>
  </si>
  <si>
    <t>MCC-TF-2</t>
  </si>
  <si>
    <t>MCC-MFD-4</t>
  </si>
  <si>
    <t>TỦ ĐIỆN MCC-MFD-1-3,5-7</t>
  </si>
  <si>
    <t>Tổng cộng: Hạng mục: HỆ THỐNG ĐIỀU ÁP VÀ HÚT KHÓI - KHỐI A3</t>
  </si>
  <si>
    <t>trọn gói</t>
  </si>
  <si>
    <t>Mét</t>
  </si>
  <si>
    <t>hộp</t>
  </si>
  <si>
    <t>tủ</t>
  </si>
  <si>
    <t>Tủ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</si>
</sst>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2"/>
      <color rgb="FFC0000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8.25"/>
      <color indexed="8"/>
      <name val="Microsoft Sans Serif"/>
      <family val="2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3" fontId="2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3" fontId="1" fillId="2" borderId="0" xfId="0" applyNumberFormat="1" applyFont="1" applyFill="1" applyAlignment="1">
      <alignment vertical="center"/>
    </xf>
    <xf numFmtId="3" fontId="6" fillId="2" borderId="1" xfId="0" applyNumberFormat="1" applyFont="1" applyFill="1" applyBorder="1" applyAlignment="1">
      <alignment vertical="center"/>
    </xf>
    <xf numFmtId="165" fontId="6" fillId="2" borderId="1" xfId="1" applyNumberFormat="1" applyFont="1" applyFill="1" applyBorder="1" applyAlignment="1">
      <alignment vertical="center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72"/>
  <sheetViews>
    <sheetView tabSelected="1" view="pageBreakPreview" topLeftCell="A85" zoomScale="70" zoomScaleNormal="70" zoomScaleSheetLayoutView="70" workbookViewId="0">
      <selection activeCell="B54" sqref="B54"/>
    </sheetView>
  </sheetViews>
  <sheetFormatPr defaultColWidth="8.85546875" defaultRowHeight="15.75" x14ac:dyDescent="0.25"/>
  <cols>
    <col min="1" max="1" width="3.7109375" style="1" customWidth="1"/>
    <col min="2" max="2" width="42.42578125" style="5" customWidth="1"/>
    <col min="3" max="3" width="36.42578125" style="1" customWidth="1"/>
    <col min="4" max="4" width="20.5703125" style="1" bestFit="1" customWidth="1"/>
    <col min="5" max="5" width="8.85546875" style="2"/>
    <col min="6" max="6" width="8.85546875" style="4"/>
    <col min="7" max="7" width="14.7109375" style="1" customWidth="1"/>
    <col min="8" max="9" width="12.28515625" style="1" bestFit="1" customWidth="1"/>
    <col min="10" max="10" width="13.140625" style="1" bestFit="1" customWidth="1"/>
    <col min="11" max="11" width="14.7109375" style="1" bestFit="1" customWidth="1"/>
    <col min="12" max="13" width="12.28515625" style="1" bestFit="1" customWidth="1"/>
    <col min="14" max="14" width="11.28515625" style="1" bestFit="1" customWidth="1"/>
    <col min="15" max="15" width="17" style="1" bestFit="1" customWidth="1"/>
    <col min="16" max="16" width="15.28515625" style="1" bestFit="1" customWidth="1"/>
    <col min="17" max="16384" width="8.85546875" style="1"/>
  </cols>
  <sheetData>
    <row r="2" spans="1:17" s="28" customFormat="1" ht="23.45" customHeight="1" x14ac:dyDescent="0.25">
      <c r="A2" s="29" t="s">
        <v>0</v>
      </c>
      <c r="B2" s="29" t="s">
        <v>223</v>
      </c>
      <c r="C2" s="29"/>
      <c r="D2" s="30" t="s">
        <v>234</v>
      </c>
      <c r="E2" s="30" t="s">
        <v>232</v>
      </c>
      <c r="F2" s="34" t="s">
        <v>233</v>
      </c>
      <c r="G2" s="29" t="s">
        <v>382</v>
      </c>
      <c r="H2" s="29"/>
      <c r="I2" s="29"/>
      <c r="J2" s="29"/>
      <c r="K2" s="29" t="s">
        <v>237</v>
      </c>
      <c r="L2" s="29"/>
      <c r="M2" s="30" t="s">
        <v>238</v>
      </c>
      <c r="N2" s="29"/>
      <c r="O2" s="29" t="s">
        <v>239</v>
      </c>
      <c r="P2" s="29"/>
      <c r="Q2" s="29" t="s">
        <v>240</v>
      </c>
    </row>
    <row r="3" spans="1:17" s="28" customFormat="1" ht="35.450000000000003" customHeight="1" x14ac:dyDescent="0.25">
      <c r="A3" s="29"/>
      <c r="B3" s="27" t="s">
        <v>1</v>
      </c>
      <c r="C3" s="26" t="s">
        <v>224</v>
      </c>
      <c r="D3" s="30"/>
      <c r="E3" s="30"/>
      <c r="F3" s="34"/>
      <c r="G3" s="26" t="s">
        <v>237</v>
      </c>
      <c r="H3" s="26" t="s">
        <v>383</v>
      </c>
      <c r="I3" s="26" t="s">
        <v>384</v>
      </c>
      <c r="J3" s="26" t="s">
        <v>397</v>
      </c>
      <c r="K3" s="26" t="s">
        <v>235</v>
      </c>
      <c r="L3" s="26" t="s">
        <v>236</v>
      </c>
      <c r="M3" s="29"/>
      <c r="N3" s="29"/>
      <c r="O3" s="26" t="s">
        <v>235</v>
      </c>
      <c r="P3" s="26" t="s">
        <v>236</v>
      </c>
      <c r="Q3" s="29"/>
    </row>
    <row r="4" spans="1:17" ht="25.5" x14ac:dyDescent="0.25">
      <c r="A4" s="8"/>
      <c r="B4" s="23" t="s">
        <v>411</v>
      </c>
      <c r="C4" s="8"/>
      <c r="D4" s="8"/>
      <c r="E4" s="10"/>
      <c r="F4" s="11"/>
      <c r="G4" s="18"/>
      <c r="H4" s="18"/>
      <c r="I4" s="18"/>
      <c r="J4" s="18"/>
      <c r="K4" s="11"/>
      <c r="L4" s="11"/>
      <c r="M4" s="11"/>
      <c r="N4" s="11"/>
      <c r="O4" s="11"/>
      <c r="P4" s="11"/>
      <c r="Q4" s="8"/>
    </row>
    <row r="5" spans="1:17" ht="42.75" x14ac:dyDescent="0.25">
      <c r="A5" s="8"/>
      <c r="B5" s="25" t="s">
        <v>412</v>
      </c>
      <c r="C5" s="8"/>
      <c r="D5" s="8"/>
      <c r="E5" s="10"/>
      <c r="F5" s="11"/>
      <c r="G5" s="18"/>
      <c r="H5" s="18"/>
      <c r="I5" s="18"/>
      <c r="J5" s="18"/>
      <c r="K5" s="11"/>
      <c r="L5" s="11"/>
      <c r="M5" s="11"/>
      <c r="N5" s="11"/>
      <c r="O5" s="11"/>
      <c r="P5" s="11"/>
      <c r="Q5" s="8"/>
    </row>
    <row r="6" spans="1:17" x14ac:dyDescent="0.25">
      <c r="A6" s="8"/>
      <c r="B6" s="25" t="s">
        <v>413</v>
      </c>
      <c r="C6" s="8"/>
      <c r="D6" s="8"/>
      <c r="E6" s="10"/>
      <c r="F6" s="11"/>
      <c r="G6" s="18"/>
      <c r="H6" s="18"/>
      <c r="I6" s="18"/>
      <c r="J6" s="18"/>
      <c r="K6" s="11"/>
      <c r="L6" s="11"/>
      <c r="M6" s="11"/>
      <c r="N6" s="11"/>
      <c r="O6" s="11"/>
      <c r="P6" s="11"/>
      <c r="Q6" s="8"/>
    </row>
    <row r="7" spans="1:17" ht="30" x14ac:dyDescent="0.25">
      <c r="A7" s="8"/>
      <c r="B7" s="24" t="s">
        <v>414</v>
      </c>
      <c r="C7" s="8"/>
      <c r="D7" s="8"/>
      <c r="E7" s="10"/>
      <c r="F7" s="11"/>
      <c r="G7" s="18"/>
      <c r="H7" s="18"/>
      <c r="I7" s="18"/>
      <c r="J7" s="18"/>
      <c r="K7" s="11"/>
      <c r="L7" s="11"/>
      <c r="M7" s="11"/>
      <c r="N7" s="11"/>
      <c r="O7" s="11"/>
      <c r="P7" s="11"/>
      <c r="Q7" s="8"/>
    </row>
    <row r="8" spans="1:17" ht="45" x14ac:dyDescent="0.25">
      <c r="A8" s="8"/>
      <c r="B8" s="24" t="s">
        <v>415</v>
      </c>
      <c r="C8" s="8"/>
      <c r="D8" s="8"/>
      <c r="E8" s="10" t="s">
        <v>229</v>
      </c>
      <c r="F8" s="11">
        <v>1</v>
      </c>
      <c r="G8" s="18"/>
      <c r="H8" s="18"/>
      <c r="I8" s="18"/>
      <c r="J8" s="18"/>
      <c r="K8" s="11"/>
      <c r="L8" s="11"/>
      <c r="M8" s="11">
        <f>K8*8%</f>
        <v>0</v>
      </c>
      <c r="N8" s="11">
        <f>L8*8%</f>
        <v>0</v>
      </c>
      <c r="O8" s="11">
        <f t="shared" ref="O8:O50" si="0">(K8+M8)*F8</f>
        <v>0</v>
      </c>
      <c r="P8" s="11">
        <f t="shared" ref="P8:P50" si="1">(L8+N8)*F8</f>
        <v>0</v>
      </c>
      <c r="Q8" s="8"/>
    </row>
    <row r="9" spans="1:17" ht="45" x14ac:dyDescent="0.25">
      <c r="A9" s="8"/>
      <c r="B9" s="24" t="s">
        <v>416</v>
      </c>
      <c r="C9" s="12"/>
      <c r="D9" s="8"/>
      <c r="E9" s="10" t="s">
        <v>229</v>
      </c>
      <c r="F9" s="11">
        <v>1</v>
      </c>
      <c r="G9" s="18"/>
      <c r="H9" s="18"/>
      <c r="I9" s="18"/>
      <c r="J9" s="18"/>
      <c r="K9" s="11"/>
      <c r="L9" s="11"/>
      <c r="M9" s="11">
        <f t="shared" ref="M9:N50" si="2">K9*8%</f>
        <v>0</v>
      </c>
      <c r="N9" s="11">
        <f t="shared" si="2"/>
        <v>0</v>
      </c>
      <c r="O9" s="11">
        <f t="shared" si="0"/>
        <v>0</v>
      </c>
      <c r="P9" s="11">
        <f t="shared" si="1"/>
        <v>0</v>
      </c>
      <c r="Q9" s="8"/>
    </row>
    <row r="10" spans="1:17" ht="45" x14ac:dyDescent="0.25">
      <c r="A10" s="8"/>
      <c r="B10" s="24" t="s">
        <v>417</v>
      </c>
      <c r="C10" s="12"/>
      <c r="D10" s="8"/>
      <c r="E10" s="10" t="s">
        <v>227</v>
      </c>
      <c r="F10" s="11">
        <v>1</v>
      </c>
      <c r="G10" s="18"/>
      <c r="H10" s="18"/>
      <c r="I10" s="18"/>
      <c r="J10" s="18"/>
      <c r="K10" s="11"/>
      <c r="L10" s="11"/>
      <c r="M10" s="11">
        <f t="shared" si="2"/>
        <v>0</v>
      </c>
      <c r="N10" s="11">
        <f t="shared" si="2"/>
        <v>0</v>
      </c>
      <c r="O10" s="11">
        <f t="shared" si="0"/>
        <v>0</v>
      </c>
      <c r="P10" s="11">
        <f t="shared" si="1"/>
        <v>0</v>
      </c>
      <c r="Q10" s="8"/>
    </row>
    <row r="11" spans="1:17" ht="45" x14ac:dyDescent="0.25">
      <c r="A11" s="8"/>
      <c r="B11" s="24" t="s">
        <v>418</v>
      </c>
      <c r="C11" s="12"/>
      <c r="D11" s="8"/>
      <c r="E11" s="10" t="s">
        <v>227</v>
      </c>
      <c r="F11" s="11">
        <v>1</v>
      </c>
      <c r="G11" s="18"/>
      <c r="H11" s="18"/>
      <c r="I11" s="18"/>
      <c r="J11" s="18"/>
      <c r="K11" s="11"/>
      <c r="L11" s="11"/>
      <c r="M11" s="11">
        <f t="shared" si="2"/>
        <v>0</v>
      </c>
      <c r="N11" s="11">
        <f t="shared" si="2"/>
        <v>0</v>
      </c>
      <c r="O11" s="11">
        <f t="shared" si="0"/>
        <v>0</v>
      </c>
      <c r="P11" s="11">
        <f t="shared" si="1"/>
        <v>0</v>
      </c>
      <c r="Q11" s="8"/>
    </row>
    <row r="12" spans="1:17" ht="45" x14ac:dyDescent="0.25">
      <c r="A12" s="8"/>
      <c r="B12" s="24" t="s">
        <v>419</v>
      </c>
      <c r="C12" s="12"/>
      <c r="D12" s="8"/>
      <c r="E12" s="10" t="s">
        <v>227</v>
      </c>
      <c r="F12" s="11">
        <v>1</v>
      </c>
      <c r="G12" s="18"/>
      <c r="H12" s="18"/>
      <c r="I12" s="18"/>
      <c r="J12" s="18"/>
      <c r="K12" s="11"/>
      <c r="L12" s="11"/>
      <c r="M12" s="11">
        <f t="shared" si="2"/>
        <v>0</v>
      </c>
      <c r="N12" s="11">
        <f t="shared" si="2"/>
        <v>0</v>
      </c>
      <c r="O12" s="11">
        <f t="shared" si="0"/>
        <v>0</v>
      </c>
      <c r="P12" s="11">
        <f t="shared" si="1"/>
        <v>0</v>
      </c>
      <c r="Q12" s="8"/>
    </row>
    <row r="13" spans="1:17" ht="45" x14ac:dyDescent="0.25">
      <c r="A13" s="8"/>
      <c r="B13" s="24" t="s">
        <v>420</v>
      </c>
      <c r="C13" s="12"/>
      <c r="D13" s="8"/>
      <c r="E13" s="10" t="s">
        <v>227</v>
      </c>
      <c r="F13" s="11">
        <v>1</v>
      </c>
      <c r="G13" s="18"/>
      <c r="H13" s="18"/>
      <c r="I13" s="18"/>
      <c r="J13" s="18"/>
      <c r="K13" s="11"/>
      <c r="L13" s="11"/>
      <c r="M13" s="11">
        <f t="shared" si="2"/>
        <v>0</v>
      </c>
      <c r="N13" s="11">
        <f t="shared" si="2"/>
        <v>0</v>
      </c>
      <c r="O13" s="11">
        <f t="shared" si="0"/>
        <v>0</v>
      </c>
      <c r="P13" s="11">
        <f t="shared" si="1"/>
        <v>0</v>
      </c>
      <c r="Q13" s="8"/>
    </row>
    <row r="14" spans="1:17" ht="45" x14ac:dyDescent="0.25">
      <c r="A14" s="8"/>
      <c r="B14" s="24" t="s">
        <v>421</v>
      </c>
      <c r="C14" s="12"/>
      <c r="D14" s="8"/>
      <c r="E14" s="10" t="s">
        <v>227</v>
      </c>
      <c r="F14" s="11">
        <v>1</v>
      </c>
      <c r="G14" s="18"/>
      <c r="H14" s="18"/>
      <c r="I14" s="18"/>
      <c r="J14" s="18"/>
      <c r="K14" s="11"/>
      <c r="L14" s="11"/>
      <c r="M14" s="11">
        <f t="shared" si="2"/>
        <v>0</v>
      </c>
      <c r="N14" s="11">
        <f t="shared" si="2"/>
        <v>0</v>
      </c>
      <c r="O14" s="11">
        <f t="shared" si="0"/>
        <v>0</v>
      </c>
      <c r="P14" s="11">
        <f t="shared" si="1"/>
        <v>0</v>
      </c>
      <c r="Q14" s="8"/>
    </row>
    <row r="15" spans="1:17" ht="45" x14ac:dyDescent="0.25">
      <c r="A15" s="8"/>
      <c r="B15" s="24" t="s">
        <v>422</v>
      </c>
      <c r="C15" s="8"/>
      <c r="D15" s="10"/>
      <c r="E15" s="10" t="s">
        <v>227</v>
      </c>
      <c r="F15" s="11">
        <v>1</v>
      </c>
      <c r="G15" s="18"/>
      <c r="H15" s="18"/>
      <c r="I15" s="18"/>
      <c r="J15" s="18"/>
      <c r="K15" s="11"/>
      <c r="L15" s="11"/>
      <c r="M15" s="11">
        <f t="shared" si="2"/>
        <v>0</v>
      </c>
      <c r="N15" s="11">
        <f t="shared" si="2"/>
        <v>0</v>
      </c>
      <c r="O15" s="11">
        <f t="shared" si="0"/>
        <v>0</v>
      </c>
      <c r="P15" s="11">
        <f t="shared" si="1"/>
        <v>0</v>
      </c>
      <c r="Q15" s="8"/>
    </row>
    <row r="16" spans="1:17" ht="45" x14ac:dyDescent="0.25">
      <c r="A16" s="8"/>
      <c r="B16" s="24" t="s">
        <v>423</v>
      </c>
      <c r="C16" s="8"/>
      <c r="D16" s="10"/>
      <c r="E16" s="10" t="s">
        <v>227</v>
      </c>
      <c r="F16" s="11">
        <v>1</v>
      </c>
      <c r="G16" s="18"/>
      <c r="H16" s="18"/>
      <c r="I16" s="18"/>
      <c r="J16" s="18"/>
      <c r="K16" s="11"/>
      <c r="L16" s="11"/>
      <c r="M16" s="11">
        <f t="shared" si="2"/>
        <v>0</v>
      </c>
      <c r="N16" s="11">
        <f t="shared" si="2"/>
        <v>0</v>
      </c>
      <c r="O16" s="11">
        <f t="shared" si="0"/>
        <v>0</v>
      </c>
      <c r="P16" s="11">
        <f t="shared" si="1"/>
        <v>0</v>
      </c>
      <c r="Q16" s="8"/>
    </row>
    <row r="17" spans="1:17" ht="45" x14ac:dyDescent="0.25">
      <c r="A17" s="8"/>
      <c r="B17" s="24" t="s">
        <v>424</v>
      </c>
      <c r="C17" s="8"/>
      <c r="D17" s="8"/>
      <c r="E17" s="10" t="s">
        <v>227</v>
      </c>
      <c r="F17" s="11">
        <v>1</v>
      </c>
      <c r="G17" s="18"/>
      <c r="H17" s="18"/>
      <c r="I17" s="18"/>
      <c r="J17" s="18"/>
      <c r="K17" s="11"/>
      <c r="L17" s="11"/>
      <c r="M17" s="11"/>
      <c r="N17" s="11"/>
      <c r="O17" s="11"/>
      <c r="P17" s="11"/>
      <c r="Q17" s="8"/>
    </row>
    <row r="18" spans="1:17" ht="45" x14ac:dyDescent="0.25">
      <c r="A18" s="8"/>
      <c r="B18" s="24" t="s">
        <v>425</v>
      </c>
      <c r="C18" s="13"/>
      <c r="D18" s="19"/>
      <c r="E18" s="10" t="s">
        <v>227</v>
      </c>
      <c r="F18" s="11">
        <v>1</v>
      </c>
      <c r="G18" s="18"/>
      <c r="H18" s="18"/>
      <c r="I18" s="18"/>
      <c r="J18" s="18"/>
      <c r="K18" s="11"/>
      <c r="L18" s="11"/>
      <c r="M18" s="11">
        <f t="shared" si="2"/>
        <v>0</v>
      </c>
      <c r="N18" s="11">
        <f t="shared" si="2"/>
        <v>0</v>
      </c>
      <c r="O18" s="11">
        <f t="shared" si="0"/>
        <v>0</v>
      </c>
      <c r="P18" s="11">
        <f t="shared" si="1"/>
        <v>0</v>
      </c>
      <c r="Q18" s="8"/>
    </row>
    <row r="19" spans="1:17" ht="45" x14ac:dyDescent="0.25">
      <c r="A19" s="8"/>
      <c r="B19" s="24" t="s">
        <v>426</v>
      </c>
      <c r="C19" s="13"/>
      <c r="D19" s="19"/>
      <c r="E19" s="10" t="s">
        <v>227</v>
      </c>
      <c r="F19" s="11">
        <v>1</v>
      </c>
      <c r="G19" s="18"/>
      <c r="H19" s="18"/>
      <c r="I19" s="18"/>
      <c r="J19" s="18"/>
      <c r="K19" s="11"/>
      <c r="L19" s="11"/>
      <c r="M19" s="11">
        <f t="shared" si="2"/>
        <v>0</v>
      </c>
      <c r="N19" s="11">
        <f t="shared" si="2"/>
        <v>0</v>
      </c>
      <c r="O19" s="11">
        <f t="shared" si="0"/>
        <v>0</v>
      </c>
      <c r="P19" s="11">
        <f t="shared" si="1"/>
        <v>0</v>
      </c>
      <c r="Q19" s="8"/>
    </row>
    <row r="20" spans="1:17" x14ac:dyDescent="0.25">
      <c r="A20" s="8"/>
      <c r="B20" s="24" t="s">
        <v>427</v>
      </c>
      <c r="C20" s="13"/>
      <c r="D20" s="19"/>
      <c r="E20" s="10" t="s">
        <v>227</v>
      </c>
      <c r="F20" s="11">
        <v>48</v>
      </c>
      <c r="G20" s="18"/>
      <c r="H20" s="18"/>
      <c r="I20" s="18"/>
      <c r="J20" s="18"/>
      <c r="K20" s="11"/>
      <c r="L20" s="11"/>
      <c r="M20" s="11">
        <f t="shared" si="2"/>
        <v>0</v>
      </c>
      <c r="N20" s="11">
        <f t="shared" si="2"/>
        <v>0</v>
      </c>
      <c r="O20" s="11">
        <f t="shared" si="0"/>
        <v>0</v>
      </c>
      <c r="P20" s="11">
        <f t="shared" si="1"/>
        <v>0</v>
      </c>
      <c r="Q20" s="8"/>
    </row>
    <row r="21" spans="1:17" ht="30" x14ac:dyDescent="0.25">
      <c r="A21" s="8"/>
      <c r="B21" s="24" t="s">
        <v>428</v>
      </c>
      <c r="C21" s="13"/>
      <c r="D21" s="19"/>
      <c r="E21" s="10" t="s">
        <v>226</v>
      </c>
      <c r="F21" s="11">
        <v>1</v>
      </c>
      <c r="G21" s="18"/>
      <c r="H21" s="18"/>
      <c r="I21" s="18"/>
      <c r="J21" s="18"/>
      <c r="K21" s="11"/>
      <c r="L21" s="11"/>
      <c r="M21" s="11">
        <f t="shared" si="2"/>
        <v>0</v>
      </c>
      <c r="N21" s="11">
        <f t="shared" si="2"/>
        <v>0</v>
      </c>
      <c r="O21" s="11">
        <f t="shared" si="0"/>
        <v>0</v>
      </c>
      <c r="P21" s="11">
        <f t="shared" si="1"/>
        <v>0</v>
      </c>
      <c r="Q21" s="8"/>
    </row>
    <row r="22" spans="1:17" x14ac:dyDescent="0.25">
      <c r="A22" s="8"/>
      <c r="B22" s="24" t="s">
        <v>429</v>
      </c>
      <c r="C22" s="13"/>
      <c r="D22" s="19"/>
      <c r="E22" s="10" t="s">
        <v>231</v>
      </c>
      <c r="F22" s="11"/>
      <c r="G22" s="18"/>
      <c r="H22" s="18"/>
      <c r="I22" s="18"/>
      <c r="J22" s="18"/>
      <c r="K22" s="11"/>
      <c r="L22" s="11"/>
      <c r="M22" s="11">
        <f t="shared" si="2"/>
        <v>0</v>
      </c>
      <c r="N22" s="11">
        <f t="shared" si="2"/>
        <v>0</v>
      </c>
      <c r="O22" s="11">
        <f t="shared" si="0"/>
        <v>0</v>
      </c>
      <c r="P22" s="11">
        <f t="shared" si="1"/>
        <v>0</v>
      </c>
      <c r="Q22" s="8"/>
    </row>
    <row r="23" spans="1:17" x14ac:dyDescent="0.25">
      <c r="A23" s="8"/>
      <c r="B23" s="24" t="s">
        <v>430</v>
      </c>
      <c r="C23" s="13"/>
      <c r="D23" s="19"/>
      <c r="E23" s="10" t="s">
        <v>229</v>
      </c>
      <c r="F23" s="11">
        <v>7</v>
      </c>
      <c r="G23" s="18"/>
      <c r="H23" s="18"/>
      <c r="I23" s="18"/>
      <c r="J23" s="18"/>
      <c r="K23" s="11"/>
      <c r="L23" s="11"/>
      <c r="M23" s="11">
        <f t="shared" si="2"/>
        <v>0</v>
      </c>
      <c r="N23" s="11">
        <f t="shared" si="2"/>
        <v>0</v>
      </c>
      <c r="O23" s="11">
        <f t="shared" si="0"/>
        <v>0</v>
      </c>
      <c r="P23" s="11">
        <f t="shared" si="1"/>
        <v>0</v>
      </c>
      <c r="Q23" s="8"/>
    </row>
    <row r="24" spans="1:17" x14ac:dyDescent="0.25">
      <c r="A24" s="8"/>
      <c r="B24" s="24" t="s">
        <v>431</v>
      </c>
      <c r="C24" s="13"/>
      <c r="D24" s="19"/>
      <c r="E24" s="10" t="s">
        <v>229</v>
      </c>
      <c r="F24" s="11">
        <v>2</v>
      </c>
      <c r="G24" s="18"/>
      <c r="H24" s="18"/>
      <c r="I24" s="18"/>
      <c r="J24" s="18"/>
      <c r="K24" s="11"/>
      <c r="L24" s="11"/>
      <c r="M24" s="11">
        <f t="shared" si="2"/>
        <v>0</v>
      </c>
      <c r="N24" s="11">
        <f t="shared" si="2"/>
        <v>0</v>
      </c>
      <c r="O24" s="11">
        <f t="shared" si="0"/>
        <v>0</v>
      </c>
      <c r="P24" s="11">
        <f t="shared" si="1"/>
        <v>0</v>
      </c>
      <c r="Q24" s="8"/>
    </row>
    <row r="25" spans="1:17" x14ac:dyDescent="0.25">
      <c r="A25" s="8"/>
      <c r="B25" s="24" t="s">
        <v>432</v>
      </c>
      <c r="C25" s="8"/>
      <c r="D25" s="10"/>
      <c r="E25" s="10" t="s">
        <v>229</v>
      </c>
      <c r="F25" s="11">
        <v>1</v>
      </c>
      <c r="G25" s="18"/>
      <c r="H25" s="18"/>
      <c r="I25" s="18"/>
      <c r="J25" s="18"/>
      <c r="K25" s="11"/>
      <c r="L25" s="11"/>
      <c r="M25" s="11"/>
      <c r="N25" s="11"/>
      <c r="O25" s="11"/>
      <c r="P25" s="11"/>
      <c r="Q25" s="8"/>
    </row>
    <row r="26" spans="1:17" x14ac:dyDescent="0.25">
      <c r="A26" s="8"/>
      <c r="B26" s="24" t="s">
        <v>433</v>
      </c>
      <c r="C26" s="8"/>
      <c r="D26" s="10"/>
      <c r="E26" s="10" t="s">
        <v>229</v>
      </c>
      <c r="F26" s="11">
        <v>1</v>
      </c>
      <c r="G26" s="18"/>
      <c r="H26" s="18"/>
      <c r="I26" s="18"/>
      <c r="J26" s="18"/>
      <c r="K26" s="11"/>
      <c r="L26" s="11"/>
      <c r="M26" s="11">
        <f>K26*10%</f>
        <v>0</v>
      </c>
      <c r="N26" s="11">
        <f t="shared" si="2"/>
        <v>0</v>
      </c>
      <c r="O26" s="11">
        <f t="shared" si="0"/>
        <v>0</v>
      </c>
      <c r="P26" s="11">
        <f t="shared" si="1"/>
        <v>0</v>
      </c>
      <c r="Q26" s="8"/>
    </row>
    <row r="27" spans="1:17" x14ac:dyDescent="0.25">
      <c r="A27" s="8"/>
      <c r="B27" s="24" t="s">
        <v>434</v>
      </c>
      <c r="C27" s="13"/>
      <c r="D27" s="10"/>
      <c r="E27" s="10" t="s">
        <v>229</v>
      </c>
      <c r="F27" s="11">
        <v>8</v>
      </c>
      <c r="G27" s="18"/>
      <c r="H27" s="18"/>
      <c r="I27" s="18"/>
      <c r="J27" s="18"/>
      <c r="K27" s="11"/>
      <c r="L27" s="11"/>
      <c r="M27" s="11">
        <f t="shared" ref="M27:M34" si="3">K27*10%</f>
        <v>0</v>
      </c>
      <c r="N27" s="11">
        <f t="shared" si="2"/>
        <v>0</v>
      </c>
      <c r="O27" s="11">
        <f t="shared" si="0"/>
        <v>0</v>
      </c>
      <c r="P27" s="11">
        <f t="shared" si="1"/>
        <v>0</v>
      </c>
      <c r="Q27" s="8"/>
    </row>
    <row r="28" spans="1:17" x14ac:dyDescent="0.25">
      <c r="A28" s="8"/>
      <c r="B28" s="24" t="s">
        <v>435</v>
      </c>
      <c r="C28" s="13"/>
      <c r="D28" s="10"/>
      <c r="E28" s="10"/>
      <c r="F28" s="11"/>
      <c r="G28" s="18"/>
      <c r="H28" s="18"/>
      <c r="I28" s="18"/>
      <c r="J28" s="18"/>
      <c r="K28" s="11"/>
      <c r="L28" s="11"/>
      <c r="M28" s="11">
        <f t="shared" si="3"/>
        <v>0</v>
      </c>
      <c r="N28" s="11">
        <f t="shared" si="2"/>
        <v>0</v>
      </c>
      <c r="O28" s="11">
        <f t="shared" si="0"/>
        <v>0</v>
      </c>
      <c r="P28" s="11">
        <f t="shared" si="1"/>
        <v>0</v>
      </c>
      <c r="Q28" s="8"/>
    </row>
    <row r="29" spans="1:17" ht="30" x14ac:dyDescent="0.25">
      <c r="A29" s="8"/>
      <c r="B29" s="24" t="s">
        <v>436</v>
      </c>
      <c r="C29" s="13"/>
      <c r="D29" s="10"/>
      <c r="E29" s="10" t="s">
        <v>807</v>
      </c>
      <c r="F29" s="11">
        <v>3</v>
      </c>
      <c r="G29" s="18"/>
      <c r="H29" s="18"/>
      <c r="I29" s="18"/>
      <c r="J29" s="18"/>
      <c r="K29" s="11"/>
      <c r="L29" s="11"/>
      <c r="M29" s="11">
        <f t="shared" si="3"/>
        <v>0</v>
      </c>
      <c r="N29" s="11">
        <f t="shared" si="2"/>
        <v>0</v>
      </c>
      <c r="O29" s="11">
        <f t="shared" si="0"/>
        <v>0</v>
      </c>
      <c r="P29" s="11">
        <f t="shared" si="1"/>
        <v>0</v>
      </c>
      <c r="Q29" s="8"/>
    </row>
    <row r="30" spans="1:17" ht="30" x14ac:dyDescent="0.25">
      <c r="A30" s="8"/>
      <c r="B30" s="24" t="s">
        <v>437</v>
      </c>
      <c r="C30" s="13"/>
      <c r="D30" s="10"/>
      <c r="E30" s="10" t="s">
        <v>229</v>
      </c>
      <c r="F30" s="11">
        <v>5</v>
      </c>
      <c r="G30" s="18"/>
      <c r="H30" s="18"/>
      <c r="I30" s="18"/>
      <c r="J30" s="18"/>
      <c r="K30" s="11"/>
      <c r="L30" s="11"/>
      <c r="M30" s="11">
        <f t="shared" si="3"/>
        <v>0</v>
      </c>
      <c r="N30" s="11">
        <f t="shared" si="2"/>
        <v>0</v>
      </c>
      <c r="O30" s="11">
        <f t="shared" si="0"/>
        <v>0</v>
      </c>
      <c r="P30" s="11">
        <f t="shared" si="1"/>
        <v>0</v>
      </c>
      <c r="Q30" s="8"/>
    </row>
    <row r="31" spans="1:17" ht="30" x14ac:dyDescent="0.25">
      <c r="A31" s="8"/>
      <c r="B31" s="24" t="s">
        <v>438</v>
      </c>
      <c r="C31" s="13"/>
      <c r="D31" s="10"/>
      <c r="E31" s="10" t="s">
        <v>229</v>
      </c>
      <c r="F31" s="11">
        <v>2</v>
      </c>
      <c r="G31" s="18"/>
      <c r="H31" s="18"/>
      <c r="I31" s="18"/>
      <c r="J31" s="18"/>
      <c r="K31" s="11"/>
      <c r="L31" s="11"/>
      <c r="M31" s="11">
        <f t="shared" si="3"/>
        <v>0</v>
      </c>
      <c r="N31" s="11">
        <f t="shared" si="2"/>
        <v>0</v>
      </c>
      <c r="O31" s="11">
        <f t="shared" si="0"/>
        <v>0</v>
      </c>
      <c r="P31" s="11">
        <f t="shared" si="1"/>
        <v>0</v>
      </c>
      <c r="Q31" s="8"/>
    </row>
    <row r="32" spans="1:17" ht="30" x14ac:dyDescent="0.25">
      <c r="A32" s="8"/>
      <c r="B32" s="24" t="s">
        <v>439</v>
      </c>
      <c r="C32" s="13"/>
      <c r="D32" s="10"/>
      <c r="E32" s="10" t="s">
        <v>229</v>
      </c>
      <c r="F32" s="11">
        <v>3</v>
      </c>
      <c r="G32" s="18"/>
      <c r="H32" s="18"/>
      <c r="I32" s="18"/>
      <c r="J32" s="18"/>
      <c r="K32" s="11"/>
      <c r="L32" s="11"/>
      <c r="M32" s="11">
        <f t="shared" si="3"/>
        <v>0</v>
      </c>
      <c r="N32" s="11">
        <f t="shared" si="2"/>
        <v>0</v>
      </c>
      <c r="O32" s="11">
        <f t="shared" si="0"/>
        <v>0</v>
      </c>
      <c r="P32" s="11">
        <f t="shared" si="1"/>
        <v>0</v>
      </c>
      <c r="Q32" s="8"/>
    </row>
    <row r="33" spans="1:17" x14ac:dyDescent="0.25">
      <c r="A33" s="8"/>
      <c r="B33" s="24" t="s">
        <v>440</v>
      </c>
      <c r="C33" s="13"/>
      <c r="D33" s="10"/>
      <c r="E33" s="10"/>
      <c r="F33" s="11"/>
      <c r="G33" s="18"/>
      <c r="H33" s="18"/>
      <c r="I33" s="18"/>
      <c r="J33" s="18"/>
      <c r="K33" s="11"/>
      <c r="L33" s="11"/>
      <c r="M33" s="11">
        <f t="shared" si="3"/>
        <v>0</v>
      </c>
      <c r="N33" s="11">
        <f t="shared" si="2"/>
        <v>0</v>
      </c>
      <c r="O33" s="11">
        <f t="shared" si="0"/>
        <v>0</v>
      </c>
      <c r="P33" s="11">
        <f t="shared" si="1"/>
        <v>0</v>
      </c>
      <c r="Q33" s="8"/>
    </row>
    <row r="34" spans="1:17" ht="30" x14ac:dyDescent="0.25">
      <c r="A34" s="8"/>
      <c r="B34" s="24" t="s">
        <v>441</v>
      </c>
      <c r="C34" s="13"/>
      <c r="D34" s="10"/>
      <c r="E34" s="10" t="s">
        <v>229</v>
      </c>
      <c r="F34" s="11">
        <v>4</v>
      </c>
      <c r="G34" s="18"/>
      <c r="H34" s="18"/>
      <c r="I34" s="18"/>
      <c r="J34" s="18"/>
      <c r="K34" s="11"/>
      <c r="L34" s="11"/>
      <c r="M34" s="11">
        <f t="shared" si="3"/>
        <v>0</v>
      </c>
      <c r="N34" s="11">
        <f t="shared" si="2"/>
        <v>0</v>
      </c>
      <c r="O34" s="11">
        <f t="shared" si="0"/>
        <v>0</v>
      </c>
      <c r="P34" s="11">
        <f t="shared" si="1"/>
        <v>0</v>
      </c>
      <c r="Q34" s="8"/>
    </row>
    <row r="35" spans="1:17" x14ac:dyDescent="0.25">
      <c r="A35" s="8"/>
      <c r="B35" s="24" t="s">
        <v>442</v>
      </c>
      <c r="C35" s="8"/>
      <c r="D35" s="10"/>
      <c r="E35" s="10"/>
      <c r="F35" s="11"/>
      <c r="G35" s="21"/>
      <c r="H35" s="18"/>
      <c r="I35" s="18"/>
      <c r="J35" s="18"/>
      <c r="K35" s="11"/>
      <c r="L35" s="11"/>
      <c r="M35" s="11">
        <f>K35*10%</f>
        <v>0</v>
      </c>
      <c r="N35" s="11">
        <f t="shared" si="2"/>
        <v>0</v>
      </c>
      <c r="O35" s="11">
        <f t="shared" si="0"/>
        <v>0</v>
      </c>
      <c r="P35" s="11">
        <f t="shared" si="1"/>
        <v>0</v>
      </c>
      <c r="Q35" s="8"/>
    </row>
    <row r="36" spans="1:17" x14ac:dyDescent="0.25">
      <c r="A36" s="8"/>
      <c r="B36" s="24" t="s">
        <v>443</v>
      </c>
      <c r="C36" s="8"/>
      <c r="D36" s="10"/>
      <c r="E36" s="10" t="s">
        <v>227</v>
      </c>
      <c r="F36" s="11">
        <v>27</v>
      </c>
      <c r="G36" s="21"/>
      <c r="H36" s="18"/>
      <c r="I36" s="18"/>
      <c r="J36" s="18"/>
      <c r="K36" s="11"/>
      <c r="L36" s="11"/>
      <c r="M36" s="11">
        <f>K36*10%</f>
        <v>0</v>
      </c>
      <c r="N36" s="11">
        <f t="shared" si="2"/>
        <v>0</v>
      </c>
      <c r="O36" s="11">
        <f t="shared" si="0"/>
        <v>0</v>
      </c>
      <c r="P36" s="11">
        <f t="shared" si="1"/>
        <v>0</v>
      </c>
      <c r="Q36" s="8"/>
    </row>
    <row r="37" spans="1:17" ht="30" x14ac:dyDescent="0.25">
      <c r="A37" s="8"/>
      <c r="B37" s="24" t="s">
        <v>444</v>
      </c>
      <c r="C37" s="8"/>
      <c r="D37" s="10"/>
      <c r="E37" s="10" t="s">
        <v>229</v>
      </c>
      <c r="F37" s="11">
        <v>6</v>
      </c>
      <c r="G37" s="21"/>
      <c r="H37" s="18"/>
      <c r="I37" s="18"/>
      <c r="J37" s="18"/>
      <c r="K37" s="11"/>
      <c r="L37" s="11"/>
      <c r="M37" s="11">
        <f>K37*10%</f>
        <v>0</v>
      </c>
      <c r="N37" s="11">
        <f t="shared" si="2"/>
        <v>0</v>
      </c>
      <c r="O37" s="11">
        <f t="shared" si="0"/>
        <v>0</v>
      </c>
      <c r="P37" s="11">
        <f t="shared" si="1"/>
        <v>0</v>
      </c>
      <c r="Q37" s="8"/>
    </row>
    <row r="38" spans="1:17" ht="30" x14ac:dyDescent="0.25">
      <c r="A38" s="8"/>
      <c r="B38" s="24" t="s">
        <v>445</v>
      </c>
      <c r="C38" s="8"/>
      <c r="D38" s="10"/>
      <c r="E38" s="10" t="s">
        <v>229</v>
      </c>
      <c r="F38" s="11">
        <v>2</v>
      </c>
      <c r="G38" s="21"/>
      <c r="H38" s="18"/>
      <c r="I38" s="18"/>
      <c r="J38" s="18"/>
      <c r="K38" s="11"/>
      <c r="L38" s="11"/>
      <c r="M38" s="11">
        <f>K38*10%</f>
        <v>0</v>
      </c>
      <c r="N38" s="11">
        <f t="shared" si="2"/>
        <v>0</v>
      </c>
      <c r="O38" s="11">
        <f t="shared" si="0"/>
        <v>0</v>
      </c>
      <c r="P38" s="11">
        <f t="shared" si="1"/>
        <v>0</v>
      </c>
      <c r="Q38" s="8"/>
    </row>
    <row r="39" spans="1:17" ht="30" x14ac:dyDescent="0.25">
      <c r="A39" s="8"/>
      <c r="B39" s="24" t="s">
        <v>446</v>
      </c>
      <c r="C39" s="8"/>
      <c r="D39" s="10"/>
      <c r="E39" s="10" t="s">
        <v>229</v>
      </c>
      <c r="F39" s="11">
        <v>6</v>
      </c>
      <c r="G39" s="21"/>
      <c r="H39" s="18"/>
      <c r="I39" s="18"/>
      <c r="J39" s="18"/>
      <c r="K39" s="11"/>
      <c r="L39" s="11"/>
      <c r="M39" s="11">
        <f>K39*10%</f>
        <v>0</v>
      </c>
      <c r="N39" s="11">
        <f t="shared" si="2"/>
        <v>0</v>
      </c>
      <c r="O39" s="11">
        <f t="shared" si="0"/>
        <v>0</v>
      </c>
      <c r="P39" s="11">
        <f t="shared" si="1"/>
        <v>0</v>
      </c>
      <c r="Q39" s="8"/>
    </row>
    <row r="40" spans="1:17" ht="45" x14ac:dyDescent="0.25">
      <c r="A40" s="8"/>
      <c r="B40" s="24" t="s">
        <v>447</v>
      </c>
      <c r="C40" s="8"/>
      <c r="D40" s="10"/>
      <c r="E40" s="10" t="s">
        <v>229</v>
      </c>
      <c r="F40" s="11">
        <v>18</v>
      </c>
      <c r="G40" s="18"/>
      <c r="H40" s="18"/>
      <c r="I40" s="18"/>
      <c r="J40" s="18"/>
      <c r="K40" s="11"/>
      <c r="L40" s="11"/>
      <c r="M40" s="11">
        <f t="shared" si="2"/>
        <v>0</v>
      </c>
      <c r="N40" s="11">
        <f t="shared" si="2"/>
        <v>0</v>
      </c>
      <c r="O40" s="11">
        <f t="shared" si="0"/>
        <v>0</v>
      </c>
      <c r="P40" s="11">
        <f t="shared" si="1"/>
        <v>0</v>
      </c>
      <c r="Q40" s="8"/>
    </row>
    <row r="41" spans="1:17" ht="45" x14ac:dyDescent="0.25">
      <c r="A41" s="8"/>
      <c r="B41" s="24" t="s">
        <v>448</v>
      </c>
      <c r="C41" s="8"/>
      <c r="D41" s="8"/>
      <c r="E41" s="10" t="s">
        <v>229</v>
      </c>
      <c r="F41" s="11">
        <v>11</v>
      </c>
      <c r="G41" s="18"/>
      <c r="H41" s="18"/>
      <c r="I41" s="18"/>
      <c r="J41" s="18"/>
      <c r="K41" s="11"/>
      <c r="L41" s="11"/>
      <c r="M41" s="11"/>
      <c r="N41" s="11"/>
      <c r="O41" s="11"/>
      <c r="P41" s="11"/>
      <c r="Q41" s="8"/>
    </row>
    <row r="42" spans="1:17" x14ac:dyDescent="0.25">
      <c r="A42" s="8"/>
      <c r="B42" s="24" t="s">
        <v>449</v>
      </c>
      <c r="C42" s="13"/>
      <c r="D42" s="19"/>
      <c r="E42" s="10"/>
      <c r="F42" s="11"/>
      <c r="G42" s="18"/>
      <c r="H42" s="18"/>
      <c r="I42" s="18"/>
      <c r="J42" s="18"/>
      <c r="K42" s="11"/>
      <c r="L42" s="11"/>
      <c r="M42" s="11">
        <f t="shared" si="2"/>
        <v>0</v>
      </c>
      <c r="N42" s="11">
        <f t="shared" si="2"/>
        <v>0</v>
      </c>
      <c r="O42" s="11">
        <f t="shared" si="0"/>
        <v>0</v>
      </c>
      <c r="P42" s="11">
        <f t="shared" si="1"/>
        <v>0</v>
      </c>
      <c r="Q42" s="8"/>
    </row>
    <row r="43" spans="1:17" ht="30" x14ac:dyDescent="0.25">
      <c r="A43" s="8"/>
      <c r="B43" s="24" t="s">
        <v>450</v>
      </c>
      <c r="C43" s="13"/>
      <c r="D43" s="19"/>
      <c r="E43" s="10" t="s">
        <v>229</v>
      </c>
      <c r="F43" s="11">
        <v>7</v>
      </c>
      <c r="G43" s="18"/>
      <c r="H43" s="18"/>
      <c r="I43" s="18"/>
      <c r="J43" s="18"/>
      <c r="K43" s="11"/>
      <c r="L43" s="11"/>
      <c r="M43" s="11">
        <f t="shared" si="2"/>
        <v>0</v>
      </c>
      <c r="N43" s="11">
        <f t="shared" si="2"/>
        <v>0</v>
      </c>
      <c r="O43" s="11">
        <f t="shared" si="0"/>
        <v>0</v>
      </c>
      <c r="P43" s="11">
        <f t="shared" si="1"/>
        <v>0</v>
      </c>
      <c r="Q43" s="8"/>
    </row>
    <row r="44" spans="1:17" x14ac:dyDescent="0.25">
      <c r="A44" s="8"/>
      <c r="B44" s="24" t="s">
        <v>451</v>
      </c>
      <c r="C44" s="13"/>
      <c r="D44" s="19"/>
      <c r="E44" s="10"/>
      <c r="F44" s="11"/>
      <c r="G44" s="18"/>
      <c r="H44" s="18"/>
      <c r="I44" s="18"/>
      <c r="J44" s="18"/>
      <c r="K44" s="11"/>
      <c r="L44" s="11"/>
      <c r="M44" s="11">
        <f t="shared" si="2"/>
        <v>0</v>
      </c>
      <c r="N44" s="11">
        <f t="shared" si="2"/>
        <v>0</v>
      </c>
      <c r="O44" s="11">
        <f t="shared" si="0"/>
        <v>0</v>
      </c>
      <c r="P44" s="11">
        <f t="shared" si="1"/>
        <v>0</v>
      </c>
      <c r="Q44" s="8"/>
    </row>
    <row r="45" spans="1:17" ht="30" x14ac:dyDescent="0.25">
      <c r="A45" s="8"/>
      <c r="B45" s="24" t="s">
        <v>452</v>
      </c>
      <c r="C45" s="13"/>
      <c r="D45" s="19"/>
      <c r="E45" s="10" t="s">
        <v>225</v>
      </c>
      <c r="F45" s="11">
        <v>67</v>
      </c>
      <c r="G45" s="18"/>
      <c r="H45" s="18"/>
      <c r="I45" s="18"/>
      <c r="J45" s="18"/>
      <c r="K45" s="11"/>
      <c r="L45" s="11"/>
      <c r="M45" s="11">
        <f t="shared" si="2"/>
        <v>0</v>
      </c>
      <c r="N45" s="11">
        <f t="shared" si="2"/>
        <v>0</v>
      </c>
      <c r="O45" s="11">
        <f t="shared" si="0"/>
        <v>0</v>
      </c>
      <c r="P45" s="11">
        <f t="shared" si="1"/>
        <v>0</v>
      </c>
      <c r="Q45" s="8"/>
    </row>
    <row r="46" spans="1:17" ht="30" x14ac:dyDescent="0.25">
      <c r="A46" s="8"/>
      <c r="B46" s="24" t="s">
        <v>453</v>
      </c>
      <c r="C46" s="13"/>
      <c r="D46" s="19"/>
      <c r="E46" s="10" t="s">
        <v>225</v>
      </c>
      <c r="F46" s="11">
        <v>33</v>
      </c>
      <c r="G46" s="18"/>
      <c r="H46" s="18"/>
      <c r="I46" s="18"/>
      <c r="J46" s="18"/>
      <c r="K46" s="11"/>
      <c r="L46" s="11"/>
      <c r="M46" s="11">
        <f t="shared" si="2"/>
        <v>0</v>
      </c>
      <c r="N46" s="11">
        <f t="shared" si="2"/>
        <v>0</v>
      </c>
      <c r="O46" s="11">
        <f t="shared" si="0"/>
        <v>0</v>
      </c>
      <c r="P46" s="11">
        <f t="shared" si="1"/>
        <v>0</v>
      </c>
      <c r="Q46" s="8"/>
    </row>
    <row r="47" spans="1:17" ht="30" x14ac:dyDescent="0.25">
      <c r="A47" s="8"/>
      <c r="B47" s="24" t="s">
        <v>454</v>
      </c>
      <c r="C47" s="13"/>
      <c r="D47" s="19"/>
      <c r="E47" s="10" t="s">
        <v>225</v>
      </c>
      <c r="F47" s="11">
        <v>63</v>
      </c>
      <c r="G47" s="18"/>
      <c r="H47" s="18"/>
      <c r="I47" s="18"/>
      <c r="J47" s="18"/>
      <c r="K47" s="11"/>
      <c r="L47" s="11"/>
      <c r="M47" s="11">
        <f t="shared" si="2"/>
        <v>0</v>
      </c>
      <c r="N47" s="11">
        <f t="shared" si="2"/>
        <v>0</v>
      </c>
      <c r="O47" s="11">
        <f t="shared" si="0"/>
        <v>0</v>
      </c>
      <c r="P47" s="11">
        <f t="shared" si="1"/>
        <v>0</v>
      </c>
      <c r="Q47" s="8"/>
    </row>
    <row r="48" spans="1:17" ht="30" x14ac:dyDescent="0.25">
      <c r="A48" s="8"/>
      <c r="B48" s="24" t="s">
        <v>455</v>
      </c>
      <c r="C48" s="13"/>
      <c r="D48" s="19"/>
      <c r="E48" s="10" t="s">
        <v>225</v>
      </c>
      <c r="F48" s="11">
        <v>56</v>
      </c>
      <c r="G48" s="18"/>
      <c r="H48" s="18"/>
      <c r="I48" s="18"/>
      <c r="J48" s="18"/>
      <c r="K48" s="11"/>
      <c r="L48" s="11"/>
      <c r="M48" s="11">
        <f t="shared" si="2"/>
        <v>0</v>
      </c>
      <c r="N48" s="11">
        <f t="shared" si="2"/>
        <v>0</v>
      </c>
      <c r="O48" s="11">
        <f t="shared" si="0"/>
        <v>0</v>
      </c>
      <c r="P48" s="11">
        <f t="shared" si="1"/>
        <v>0</v>
      </c>
      <c r="Q48" s="8"/>
    </row>
    <row r="49" spans="1:17" ht="30" x14ac:dyDescent="0.25">
      <c r="A49" s="8"/>
      <c r="B49" s="24" t="s">
        <v>456</v>
      </c>
      <c r="C49" s="13"/>
      <c r="D49" s="19"/>
      <c r="E49" s="10" t="s">
        <v>225</v>
      </c>
      <c r="F49" s="11">
        <v>39</v>
      </c>
      <c r="G49" s="18"/>
      <c r="H49" s="18"/>
      <c r="I49" s="18"/>
      <c r="J49" s="18"/>
      <c r="K49" s="11"/>
      <c r="L49" s="11"/>
      <c r="M49" s="11">
        <f t="shared" si="2"/>
        <v>0</v>
      </c>
      <c r="N49" s="11">
        <f t="shared" si="2"/>
        <v>0</v>
      </c>
      <c r="O49" s="11">
        <f t="shared" si="0"/>
        <v>0</v>
      </c>
      <c r="P49" s="11">
        <f t="shared" si="1"/>
        <v>0</v>
      </c>
      <c r="Q49" s="8"/>
    </row>
    <row r="50" spans="1:17" x14ac:dyDescent="0.25">
      <c r="A50" s="8"/>
      <c r="B50" s="24" t="s">
        <v>457</v>
      </c>
      <c r="C50" s="13"/>
      <c r="D50" s="19"/>
      <c r="E50" s="10"/>
      <c r="F50" s="11"/>
      <c r="G50" s="18"/>
      <c r="H50" s="18"/>
      <c r="I50" s="18"/>
      <c r="J50" s="18"/>
      <c r="K50" s="11"/>
      <c r="L50" s="11"/>
      <c r="M50" s="11">
        <f t="shared" si="2"/>
        <v>0</v>
      </c>
      <c r="N50" s="11">
        <f t="shared" si="2"/>
        <v>0</v>
      </c>
      <c r="O50" s="11">
        <f t="shared" si="0"/>
        <v>0</v>
      </c>
      <c r="P50" s="11">
        <f t="shared" si="1"/>
        <v>0</v>
      </c>
      <c r="Q50" s="8"/>
    </row>
    <row r="51" spans="1:17" ht="30" x14ac:dyDescent="0.25">
      <c r="A51" s="8"/>
      <c r="B51" s="24" t="s">
        <v>458</v>
      </c>
      <c r="C51" s="8"/>
      <c r="D51" s="8"/>
      <c r="E51" s="10" t="s">
        <v>225</v>
      </c>
      <c r="F51" s="11">
        <v>28.141819420000001</v>
      </c>
      <c r="G51" s="18"/>
      <c r="H51" s="18"/>
      <c r="I51" s="18"/>
      <c r="J51" s="18"/>
      <c r="K51" s="11"/>
      <c r="L51" s="11"/>
      <c r="M51" s="11"/>
      <c r="N51" s="11"/>
      <c r="O51" s="11"/>
      <c r="P51" s="11"/>
      <c r="Q51" s="8"/>
    </row>
    <row r="52" spans="1:17" ht="30" x14ac:dyDescent="0.25">
      <c r="A52" s="8"/>
      <c r="B52" s="24" t="s">
        <v>459</v>
      </c>
      <c r="C52" s="8"/>
      <c r="D52" s="8"/>
      <c r="E52" s="10" t="s">
        <v>225</v>
      </c>
      <c r="F52" s="11">
        <v>23.673338810000001</v>
      </c>
      <c r="G52" s="18"/>
      <c r="H52" s="18"/>
      <c r="I52" s="18"/>
      <c r="J52" s="18"/>
      <c r="K52" s="11"/>
      <c r="L52" s="11"/>
      <c r="M52" s="11"/>
      <c r="N52" s="11">
        <f t="shared" ref="N52:N118" si="4">L52*8%</f>
        <v>0</v>
      </c>
      <c r="O52" s="11">
        <f t="shared" ref="O52:O93" si="5">(G52+M52)*F52</f>
        <v>0</v>
      </c>
      <c r="P52" s="11">
        <f t="shared" ref="P52:P93" si="6">(L52+N52)*F52</f>
        <v>0</v>
      </c>
      <c r="Q52" s="8"/>
    </row>
    <row r="53" spans="1:17" ht="30" x14ac:dyDescent="0.25">
      <c r="A53" s="8"/>
      <c r="B53" s="24" t="s">
        <v>460</v>
      </c>
      <c r="C53" s="8"/>
      <c r="D53" s="8"/>
      <c r="E53" s="10" t="s">
        <v>225</v>
      </c>
      <c r="F53" s="11">
        <v>17.933741319999999</v>
      </c>
      <c r="G53" s="18"/>
      <c r="H53" s="18"/>
      <c r="I53" s="18"/>
      <c r="J53" s="18"/>
      <c r="K53" s="11"/>
      <c r="L53" s="11"/>
      <c r="M53" s="11"/>
      <c r="N53" s="11">
        <f t="shared" si="4"/>
        <v>0</v>
      </c>
      <c r="O53" s="11">
        <f t="shared" si="5"/>
        <v>0</v>
      </c>
      <c r="P53" s="11">
        <f t="shared" si="6"/>
        <v>0</v>
      </c>
      <c r="Q53" s="8"/>
    </row>
    <row r="54" spans="1:17" ht="30" x14ac:dyDescent="0.25">
      <c r="A54" s="8"/>
      <c r="B54" s="24" t="s">
        <v>461</v>
      </c>
      <c r="C54" s="8"/>
      <c r="D54" s="8"/>
      <c r="E54" s="10" t="s">
        <v>225</v>
      </c>
      <c r="F54" s="11">
        <v>21.784852539999999</v>
      </c>
      <c r="G54" s="18"/>
      <c r="H54" s="18"/>
      <c r="I54" s="18"/>
      <c r="J54" s="18"/>
      <c r="K54" s="11"/>
      <c r="L54" s="11"/>
      <c r="M54" s="11"/>
      <c r="N54" s="11">
        <f t="shared" si="4"/>
        <v>0</v>
      </c>
      <c r="O54" s="11">
        <f t="shared" si="5"/>
        <v>0</v>
      </c>
      <c r="P54" s="11">
        <f t="shared" si="6"/>
        <v>0</v>
      </c>
      <c r="Q54" s="8"/>
    </row>
    <row r="55" spans="1:17" ht="30" x14ac:dyDescent="0.25">
      <c r="A55" s="8"/>
      <c r="B55" s="24" t="s">
        <v>462</v>
      </c>
      <c r="C55" s="8"/>
      <c r="D55" s="8"/>
      <c r="E55" s="10" t="s">
        <v>226</v>
      </c>
      <c r="F55" s="11">
        <v>1</v>
      </c>
      <c r="G55" s="18"/>
      <c r="H55" s="18"/>
      <c r="I55" s="18"/>
      <c r="J55" s="18"/>
      <c r="K55" s="11"/>
      <c r="L55" s="11"/>
      <c r="M55" s="11"/>
      <c r="N55" s="11">
        <f t="shared" si="4"/>
        <v>0</v>
      </c>
      <c r="O55" s="11">
        <f t="shared" si="5"/>
        <v>0</v>
      </c>
      <c r="P55" s="11">
        <f t="shared" si="6"/>
        <v>0</v>
      </c>
      <c r="Q55" s="8"/>
    </row>
    <row r="56" spans="1:17" x14ac:dyDescent="0.25">
      <c r="A56" s="8"/>
      <c r="B56" s="24" t="s">
        <v>14</v>
      </c>
      <c r="C56" s="8"/>
      <c r="D56" s="8"/>
      <c r="E56" s="10" t="s">
        <v>226</v>
      </c>
      <c r="F56" s="11">
        <v>1</v>
      </c>
      <c r="G56" s="18"/>
      <c r="H56" s="18"/>
      <c r="I56" s="18"/>
      <c r="J56" s="18"/>
      <c r="K56" s="11"/>
      <c r="L56" s="11"/>
      <c r="M56" s="11"/>
      <c r="N56" s="11">
        <f t="shared" si="4"/>
        <v>0</v>
      </c>
      <c r="O56" s="11">
        <f t="shared" si="5"/>
        <v>0</v>
      </c>
      <c r="P56" s="11">
        <f t="shared" si="6"/>
        <v>0</v>
      </c>
      <c r="Q56" s="8"/>
    </row>
    <row r="57" spans="1:17" x14ac:dyDescent="0.25">
      <c r="A57" s="8"/>
      <c r="B57" s="24" t="s">
        <v>463</v>
      </c>
      <c r="C57" s="8"/>
      <c r="D57" s="8"/>
      <c r="E57" s="10" t="s">
        <v>231</v>
      </c>
      <c r="F57" s="11"/>
      <c r="G57" s="18"/>
      <c r="H57" s="18"/>
      <c r="I57" s="18"/>
      <c r="J57" s="18"/>
      <c r="K57" s="11"/>
      <c r="L57" s="11"/>
      <c r="M57" s="11"/>
      <c r="N57" s="11">
        <f t="shared" si="4"/>
        <v>0</v>
      </c>
      <c r="O57" s="11">
        <f t="shared" si="5"/>
        <v>0</v>
      </c>
      <c r="P57" s="11">
        <f t="shared" si="6"/>
        <v>0</v>
      </c>
      <c r="Q57" s="8"/>
    </row>
    <row r="58" spans="1:17" ht="30" x14ac:dyDescent="0.25">
      <c r="A58" s="8"/>
      <c r="B58" s="24" t="s">
        <v>464</v>
      </c>
      <c r="C58" s="8"/>
      <c r="D58" s="8"/>
      <c r="E58" s="10" t="s">
        <v>225</v>
      </c>
      <c r="F58" s="11">
        <v>2338.6</v>
      </c>
      <c r="G58" s="18"/>
      <c r="H58" s="18"/>
      <c r="I58" s="18"/>
      <c r="J58" s="18"/>
      <c r="K58" s="11"/>
      <c r="L58" s="11"/>
      <c r="M58" s="11"/>
      <c r="N58" s="11">
        <f t="shared" si="4"/>
        <v>0</v>
      </c>
      <c r="O58" s="11">
        <f t="shared" si="5"/>
        <v>0</v>
      </c>
      <c r="P58" s="11">
        <f t="shared" si="6"/>
        <v>0</v>
      </c>
      <c r="Q58" s="8"/>
    </row>
    <row r="59" spans="1:17" x14ac:dyDescent="0.25">
      <c r="A59" s="8"/>
      <c r="B59" s="24" t="s">
        <v>465</v>
      </c>
      <c r="C59" s="8"/>
      <c r="D59" s="8"/>
      <c r="E59" s="10" t="s">
        <v>225</v>
      </c>
      <c r="F59" s="11">
        <v>1169.3</v>
      </c>
      <c r="G59" s="18"/>
      <c r="H59" s="18"/>
      <c r="I59" s="18"/>
      <c r="J59" s="18"/>
      <c r="K59" s="11"/>
      <c r="L59" s="11"/>
      <c r="M59" s="11"/>
      <c r="N59" s="11">
        <f t="shared" si="4"/>
        <v>0</v>
      </c>
      <c r="O59" s="11">
        <f t="shared" si="5"/>
        <v>0</v>
      </c>
      <c r="P59" s="11">
        <f t="shared" si="6"/>
        <v>0</v>
      </c>
      <c r="Q59" s="8"/>
    </row>
    <row r="60" spans="1:17" x14ac:dyDescent="0.25">
      <c r="A60" s="8"/>
      <c r="B60" s="24" t="s">
        <v>14</v>
      </c>
      <c r="C60" s="8"/>
      <c r="D60" s="8"/>
      <c r="E60" s="10" t="s">
        <v>228</v>
      </c>
      <c r="F60" s="11">
        <v>1</v>
      </c>
      <c r="G60" s="18"/>
      <c r="H60" s="18"/>
      <c r="I60" s="18"/>
      <c r="J60" s="18"/>
      <c r="K60" s="11"/>
      <c r="L60" s="11"/>
      <c r="M60" s="11"/>
      <c r="N60" s="11">
        <f t="shared" si="4"/>
        <v>0</v>
      </c>
      <c r="O60" s="11">
        <f t="shared" si="5"/>
        <v>0</v>
      </c>
      <c r="P60" s="11">
        <f t="shared" si="6"/>
        <v>0</v>
      </c>
      <c r="Q60" s="8"/>
    </row>
    <row r="61" spans="1:17" ht="30" x14ac:dyDescent="0.25">
      <c r="A61" s="8"/>
      <c r="B61" s="24" t="s">
        <v>466</v>
      </c>
      <c r="C61" s="8"/>
      <c r="D61" s="8"/>
      <c r="E61" s="10" t="s">
        <v>231</v>
      </c>
      <c r="F61" s="11"/>
      <c r="G61" s="18"/>
      <c r="H61" s="18"/>
      <c r="I61" s="18"/>
      <c r="J61" s="18"/>
      <c r="K61" s="11"/>
      <c r="L61" s="11"/>
      <c r="M61" s="11"/>
      <c r="N61" s="11">
        <f t="shared" si="4"/>
        <v>0</v>
      </c>
      <c r="O61" s="11">
        <f t="shared" si="5"/>
        <v>0</v>
      </c>
      <c r="P61" s="11">
        <f t="shared" si="6"/>
        <v>0</v>
      </c>
      <c r="Q61" s="8"/>
    </row>
    <row r="62" spans="1:17" x14ac:dyDescent="0.25">
      <c r="A62" s="8"/>
      <c r="B62" s="24" t="s">
        <v>467</v>
      </c>
      <c r="C62" s="8"/>
      <c r="D62" s="8"/>
      <c r="E62" s="10" t="s">
        <v>231</v>
      </c>
      <c r="F62" s="11"/>
      <c r="G62" s="18"/>
      <c r="H62" s="18"/>
      <c r="I62" s="18"/>
      <c r="J62" s="18"/>
      <c r="K62" s="11"/>
      <c r="L62" s="11"/>
      <c r="M62" s="11"/>
      <c r="N62" s="11">
        <f t="shared" si="4"/>
        <v>0</v>
      </c>
      <c r="O62" s="11">
        <f t="shared" si="5"/>
        <v>0</v>
      </c>
      <c r="P62" s="11">
        <f t="shared" si="6"/>
        <v>0</v>
      </c>
      <c r="Q62" s="8"/>
    </row>
    <row r="63" spans="1:17" ht="45" x14ac:dyDescent="0.25">
      <c r="A63" s="8"/>
      <c r="B63" s="24" t="s">
        <v>468</v>
      </c>
      <c r="C63" s="8"/>
      <c r="D63" s="8"/>
      <c r="E63" s="10"/>
      <c r="F63" s="11"/>
      <c r="G63" s="18"/>
      <c r="H63" s="18"/>
      <c r="I63" s="18"/>
      <c r="J63" s="18"/>
      <c r="K63" s="11"/>
      <c r="L63" s="11"/>
      <c r="M63" s="11"/>
      <c r="N63" s="11">
        <f t="shared" si="4"/>
        <v>0</v>
      </c>
      <c r="O63" s="11">
        <f t="shared" si="5"/>
        <v>0</v>
      </c>
      <c r="P63" s="11">
        <f t="shared" si="6"/>
        <v>0</v>
      </c>
      <c r="Q63" s="8"/>
    </row>
    <row r="64" spans="1:17" ht="45" x14ac:dyDescent="0.25">
      <c r="A64" s="8"/>
      <c r="B64" s="24" t="s">
        <v>469</v>
      </c>
      <c r="C64" s="8"/>
      <c r="D64" s="8"/>
      <c r="E64" s="10" t="s">
        <v>229</v>
      </c>
      <c r="F64" s="11">
        <v>2</v>
      </c>
      <c r="G64" s="18"/>
      <c r="H64" s="18"/>
      <c r="I64" s="18"/>
      <c r="J64" s="18"/>
      <c r="K64" s="11"/>
      <c r="L64" s="11"/>
      <c r="M64" s="11"/>
      <c r="N64" s="11">
        <f t="shared" si="4"/>
        <v>0</v>
      </c>
      <c r="O64" s="11">
        <f t="shared" si="5"/>
        <v>0</v>
      </c>
      <c r="P64" s="11">
        <f t="shared" si="6"/>
        <v>0</v>
      </c>
      <c r="Q64" s="8"/>
    </row>
    <row r="65" spans="1:17" ht="45" x14ac:dyDescent="0.25">
      <c r="A65" s="8"/>
      <c r="B65" s="24" t="s">
        <v>470</v>
      </c>
      <c r="C65" s="8"/>
      <c r="D65" s="8"/>
      <c r="E65" s="10" t="s">
        <v>227</v>
      </c>
      <c r="F65" s="11">
        <v>2</v>
      </c>
      <c r="G65" s="18"/>
      <c r="H65" s="18"/>
      <c r="I65" s="18"/>
      <c r="J65" s="18"/>
      <c r="K65" s="11"/>
      <c r="L65" s="11"/>
      <c r="M65" s="11"/>
      <c r="N65" s="11">
        <f t="shared" si="4"/>
        <v>0</v>
      </c>
      <c r="O65" s="11">
        <f t="shared" si="5"/>
        <v>0</v>
      </c>
      <c r="P65" s="11">
        <f t="shared" si="6"/>
        <v>0</v>
      </c>
      <c r="Q65" s="8"/>
    </row>
    <row r="66" spans="1:17" ht="45" x14ac:dyDescent="0.25">
      <c r="A66" s="8"/>
      <c r="B66" s="24" t="s">
        <v>471</v>
      </c>
      <c r="C66" s="8"/>
      <c r="D66" s="8"/>
      <c r="E66" s="10" t="s">
        <v>227</v>
      </c>
      <c r="F66" s="11">
        <v>2</v>
      </c>
      <c r="G66" s="18"/>
      <c r="H66" s="18"/>
      <c r="I66" s="18"/>
      <c r="J66" s="18"/>
      <c r="K66" s="11"/>
      <c r="L66" s="11"/>
      <c r="M66" s="11"/>
      <c r="N66" s="11">
        <f t="shared" si="4"/>
        <v>0</v>
      </c>
      <c r="O66" s="11">
        <f t="shared" si="5"/>
        <v>0</v>
      </c>
      <c r="P66" s="11">
        <f t="shared" si="6"/>
        <v>0</v>
      </c>
      <c r="Q66" s="8"/>
    </row>
    <row r="67" spans="1:17" ht="45" x14ac:dyDescent="0.25">
      <c r="A67" s="8"/>
      <c r="B67" s="24" t="s">
        <v>472</v>
      </c>
      <c r="C67" s="8"/>
      <c r="D67" s="8"/>
      <c r="E67" s="10" t="s">
        <v>227</v>
      </c>
      <c r="F67" s="11">
        <v>2</v>
      </c>
      <c r="G67" s="18"/>
      <c r="H67" s="18"/>
      <c r="I67" s="18"/>
      <c r="J67" s="18"/>
      <c r="K67" s="11"/>
      <c r="L67" s="11"/>
      <c r="M67" s="11"/>
      <c r="N67" s="11">
        <f t="shared" si="4"/>
        <v>0</v>
      </c>
      <c r="O67" s="11">
        <f t="shared" si="5"/>
        <v>0</v>
      </c>
      <c r="P67" s="11">
        <f t="shared" si="6"/>
        <v>0</v>
      </c>
      <c r="Q67" s="8"/>
    </row>
    <row r="68" spans="1:17" ht="45" x14ac:dyDescent="0.25">
      <c r="A68" s="8"/>
      <c r="B68" s="24" t="s">
        <v>473</v>
      </c>
      <c r="C68" s="8"/>
      <c r="D68" s="8"/>
      <c r="E68" s="10" t="s">
        <v>227</v>
      </c>
      <c r="F68" s="11">
        <v>2</v>
      </c>
      <c r="G68" s="18"/>
      <c r="H68" s="18"/>
      <c r="I68" s="18"/>
      <c r="J68" s="18"/>
      <c r="K68" s="11"/>
      <c r="L68" s="11"/>
      <c r="M68" s="11"/>
      <c r="N68" s="11">
        <f t="shared" si="4"/>
        <v>0</v>
      </c>
      <c r="O68" s="11">
        <f t="shared" si="5"/>
        <v>0</v>
      </c>
      <c r="P68" s="11">
        <f t="shared" si="6"/>
        <v>0</v>
      </c>
      <c r="Q68" s="8"/>
    </row>
    <row r="69" spans="1:17" ht="45" x14ac:dyDescent="0.25">
      <c r="A69" s="8"/>
      <c r="B69" s="24" t="s">
        <v>474</v>
      </c>
      <c r="C69" s="8"/>
      <c r="D69" s="8"/>
      <c r="E69" s="10" t="s">
        <v>227</v>
      </c>
      <c r="F69" s="11">
        <v>2</v>
      </c>
      <c r="G69" s="18"/>
      <c r="H69" s="18"/>
      <c r="I69" s="18"/>
      <c r="J69" s="18"/>
      <c r="K69" s="11"/>
      <c r="L69" s="11"/>
      <c r="M69" s="11"/>
      <c r="N69" s="11">
        <f t="shared" si="4"/>
        <v>0</v>
      </c>
      <c r="O69" s="11">
        <f t="shared" si="5"/>
        <v>0</v>
      </c>
      <c r="P69" s="11">
        <f t="shared" si="6"/>
        <v>0</v>
      </c>
      <c r="Q69" s="8"/>
    </row>
    <row r="70" spans="1:17" ht="45" x14ac:dyDescent="0.25">
      <c r="A70" s="8"/>
      <c r="B70" s="24" t="s">
        <v>475</v>
      </c>
      <c r="C70" s="8"/>
      <c r="D70" s="8"/>
      <c r="E70" s="10" t="s">
        <v>227</v>
      </c>
      <c r="F70" s="11">
        <v>2</v>
      </c>
      <c r="G70" s="18"/>
      <c r="H70" s="18"/>
      <c r="I70" s="18"/>
      <c r="J70" s="18"/>
      <c r="K70" s="11"/>
      <c r="L70" s="11"/>
      <c r="M70" s="11"/>
      <c r="N70" s="11">
        <f t="shared" si="4"/>
        <v>0</v>
      </c>
      <c r="O70" s="11">
        <f t="shared" si="5"/>
        <v>0</v>
      </c>
      <c r="P70" s="11">
        <f t="shared" si="6"/>
        <v>0</v>
      </c>
      <c r="Q70" s="8"/>
    </row>
    <row r="71" spans="1:17" ht="60" x14ac:dyDescent="0.25">
      <c r="A71" s="8"/>
      <c r="B71" s="24" t="s">
        <v>476</v>
      </c>
      <c r="C71" s="8"/>
      <c r="D71" s="8"/>
      <c r="E71" s="10" t="s">
        <v>227</v>
      </c>
      <c r="F71" s="11">
        <v>2</v>
      </c>
      <c r="G71" s="18"/>
      <c r="H71" s="18"/>
      <c r="I71" s="18"/>
      <c r="J71" s="18"/>
      <c r="K71" s="11"/>
      <c r="L71" s="11"/>
      <c r="M71" s="11"/>
      <c r="N71" s="11">
        <f t="shared" si="4"/>
        <v>0</v>
      </c>
      <c r="O71" s="11">
        <f t="shared" si="5"/>
        <v>0</v>
      </c>
      <c r="P71" s="11">
        <f t="shared" si="6"/>
        <v>0</v>
      </c>
      <c r="Q71" s="8"/>
    </row>
    <row r="72" spans="1:17" ht="60" x14ac:dyDescent="0.25">
      <c r="A72" s="8"/>
      <c r="B72" s="24" t="s">
        <v>477</v>
      </c>
      <c r="C72" s="8"/>
      <c r="D72" s="8"/>
      <c r="E72" s="10" t="s">
        <v>227</v>
      </c>
      <c r="F72" s="11">
        <v>2</v>
      </c>
      <c r="G72" s="18"/>
      <c r="H72" s="18"/>
      <c r="I72" s="18"/>
      <c r="J72" s="18"/>
      <c r="K72" s="11"/>
      <c r="L72" s="11"/>
      <c r="M72" s="11"/>
      <c r="N72" s="11">
        <f t="shared" si="4"/>
        <v>0</v>
      </c>
      <c r="O72" s="11">
        <f t="shared" si="5"/>
        <v>0</v>
      </c>
      <c r="P72" s="11">
        <f t="shared" si="6"/>
        <v>0</v>
      </c>
      <c r="Q72" s="8"/>
    </row>
    <row r="73" spans="1:17" ht="60" x14ac:dyDescent="0.25">
      <c r="A73" s="8"/>
      <c r="B73" s="24" t="s">
        <v>478</v>
      </c>
      <c r="C73" s="8"/>
      <c r="D73" s="8"/>
      <c r="E73" s="10" t="s">
        <v>227</v>
      </c>
      <c r="F73" s="11">
        <v>2</v>
      </c>
      <c r="G73" s="18"/>
      <c r="H73" s="18"/>
      <c r="I73" s="18"/>
      <c r="J73" s="18"/>
      <c r="K73" s="11"/>
      <c r="L73" s="11"/>
      <c r="M73" s="11"/>
      <c r="N73" s="11">
        <f t="shared" si="4"/>
        <v>0</v>
      </c>
      <c r="O73" s="11">
        <f t="shared" si="5"/>
        <v>0</v>
      </c>
      <c r="P73" s="11">
        <f t="shared" si="6"/>
        <v>0</v>
      </c>
      <c r="Q73" s="8"/>
    </row>
    <row r="74" spans="1:17" ht="45" x14ac:dyDescent="0.25">
      <c r="A74" s="8"/>
      <c r="B74" s="24" t="s">
        <v>479</v>
      </c>
      <c r="C74" s="8"/>
      <c r="D74" s="8"/>
      <c r="E74" s="10" t="s">
        <v>227</v>
      </c>
      <c r="F74" s="11">
        <v>2</v>
      </c>
      <c r="G74" s="18"/>
      <c r="H74" s="18"/>
      <c r="I74" s="18"/>
      <c r="J74" s="18"/>
      <c r="K74" s="11"/>
      <c r="L74" s="11"/>
      <c r="M74" s="11"/>
      <c r="N74" s="11">
        <f t="shared" si="4"/>
        <v>0</v>
      </c>
      <c r="O74" s="11">
        <f t="shared" si="5"/>
        <v>0</v>
      </c>
      <c r="P74" s="11">
        <f t="shared" si="6"/>
        <v>0</v>
      </c>
      <c r="Q74" s="8"/>
    </row>
    <row r="75" spans="1:17" ht="45" x14ac:dyDescent="0.25">
      <c r="A75" s="8"/>
      <c r="B75" s="24" t="s">
        <v>480</v>
      </c>
      <c r="C75" s="8"/>
      <c r="D75" s="8"/>
      <c r="E75" s="10" t="s">
        <v>227</v>
      </c>
      <c r="F75" s="11">
        <v>2</v>
      </c>
      <c r="G75" s="18"/>
      <c r="H75" s="18"/>
      <c r="I75" s="18"/>
      <c r="J75" s="18"/>
      <c r="K75" s="11"/>
      <c r="L75" s="11"/>
      <c r="M75" s="11"/>
      <c r="N75" s="11">
        <f t="shared" si="4"/>
        <v>0</v>
      </c>
      <c r="O75" s="11">
        <f t="shared" si="5"/>
        <v>0</v>
      </c>
      <c r="P75" s="11">
        <f t="shared" si="6"/>
        <v>0</v>
      </c>
      <c r="Q75" s="8"/>
    </row>
    <row r="76" spans="1:17" ht="60" x14ac:dyDescent="0.25">
      <c r="A76" s="8"/>
      <c r="B76" s="24" t="s">
        <v>481</v>
      </c>
      <c r="C76" s="8"/>
      <c r="D76" s="8"/>
      <c r="E76" s="10" t="s">
        <v>227</v>
      </c>
      <c r="F76" s="11">
        <v>2</v>
      </c>
      <c r="G76" s="18"/>
      <c r="H76" s="18"/>
      <c r="I76" s="18"/>
      <c r="J76" s="18"/>
      <c r="K76" s="11"/>
      <c r="L76" s="11"/>
      <c r="M76" s="11"/>
      <c r="N76" s="11">
        <f t="shared" si="4"/>
        <v>0</v>
      </c>
      <c r="O76" s="11">
        <f t="shared" si="5"/>
        <v>0</v>
      </c>
      <c r="P76" s="11">
        <f t="shared" si="6"/>
        <v>0</v>
      </c>
      <c r="Q76" s="8"/>
    </row>
    <row r="77" spans="1:17" ht="45" x14ac:dyDescent="0.25">
      <c r="A77" s="8"/>
      <c r="B77" s="24" t="s">
        <v>482</v>
      </c>
      <c r="C77" s="8"/>
      <c r="D77" s="8"/>
      <c r="E77" s="10" t="s">
        <v>227</v>
      </c>
      <c r="F77" s="11">
        <v>2</v>
      </c>
      <c r="G77" s="18"/>
      <c r="H77" s="18"/>
      <c r="I77" s="18"/>
      <c r="J77" s="18"/>
      <c r="K77" s="11"/>
      <c r="L77" s="11"/>
      <c r="M77" s="11"/>
      <c r="N77" s="11">
        <f t="shared" si="4"/>
        <v>0</v>
      </c>
      <c r="O77" s="11">
        <f t="shared" si="5"/>
        <v>0</v>
      </c>
      <c r="P77" s="11">
        <f t="shared" si="6"/>
        <v>0</v>
      </c>
      <c r="Q77" s="8"/>
    </row>
    <row r="78" spans="1:17" ht="45" x14ac:dyDescent="0.25">
      <c r="A78" s="8"/>
      <c r="B78" s="24" t="s">
        <v>483</v>
      </c>
      <c r="C78" s="8"/>
      <c r="D78" s="8"/>
      <c r="E78" s="10" t="s">
        <v>227</v>
      </c>
      <c r="F78" s="11">
        <v>2</v>
      </c>
      <c r="G78" s="18"/>
      <c r="H78" s="18"/>
      <c r="I78" s="18"/>
      <c r="J78" s="18"/>
      <c r="K78" s="11"/>
      <c r="L78" s="11"/>
      <c r="M78" s="11"/>
      <c r="N78" s="11">
        <f t="shared" si="4"/>
        <v>0</v>
      </c>
      <c r="O78" s="11">
        <f t="shared" si="5"/>
        <v>0</v>
      </c>
      <c r="P78" s="11">
        <f t="shared" si="6"/>
        <v>0</v>
      </c>
      <c r="Q78" s="8"/>
    </row>
    <row r="79" spans="1:17" ht="45" x14ac:dyDescent="0.25">
      <c r="A79" s="8"/>
      <c r="B79" s="24" t="s">
        <v>484</v>
      </c>
      <c r="C79" s="8"/>
      <c r="D79" s="8"/>
      <c r="E79" s="10"/>
      <c r="F79" s="11"/>
      <c r="G79" s="18"/>
      <c r="H79" s="18"/>
      <c r="I79" s="18"/>
      <c r="J79" s="18"/>
      <c r="K79" s="11"/>
      <c r="L79" s="11"/>
      <c r="M79" s="11"/>
      <c r="N79" s="11">
        <f t="shared" si="4"/>
        <v>0</v>
      </c>
      <c r="O79" s="11">
        <f t="shared" si="5"/>
        <v>0</v>
      </c>
      <c r="P79" s="11">
        <f t="shared" si="6"/>
        <v>0</v>
      </c>
      <c r="Q79" s="8"/>
    </row>
    <row r="80" spans="1:17" ht="45" x14ac:dyDescent="0.25">
      <c r="A80" s="8"/>
      <c r="B80" s="24" t="s">
        <v>485</v>
      </c>
      <c r="C80" s="8"/>
      <c r="D80" s="8"/>
      <c r="E80" s="10" t="s">
        <v>227</v>
      </c>
      <c r="F80" s="11">
        <v>2</v>
      </c>
      <c r="G80" s="18"/>
      <c r="H80" s="18"/>
      <c r="I80" s="18"/>
      <c r="J80" s="18"/>
      <c r="K80" s="11"/>
      <c r="L80" s="11"/>
      <c r="M80" s="11"/>
      <c r="N80" s="11">
        <f t="shared" si="4"/>
        <v>0</v>
      </c>
      <c r="O80" s="11">
        <f t="shared" si="5"/>
        <v>0</v>
      </c>
      <c r="P80" s="11">
        <f t="shared" si="6"/>
        <v>0</v>
      </c>
      <c r="Q80" s="8"/>
    </row>
    <row r="81" spans="1:17" ht="45" x14ac:dyDescent="0.25">
      <c r="A81" s="8"/>
      <c r="B81" s="24" t="s">
        <v>486</v>
      </c>
      <c r="C81" s="8"/>
      <c r="D81" s="8"/>
      <c r="E81" s="10" t="s">
        <v>227</v>
      </c>
      <c r="F81" s="11">
        <v>2</v>
      </c>
      <c r="G81" s="18"/>
      <c r="H81" s="18"/>
      <c r="I81" s="18"/>
      <c r="J81" s="18"/>
      <c r="K81" s="11"/>
      <c r="L81" s="11"/>
      <c r="M81" s="11"/>
      <c r="N81" s="11">
        <f t="shared" si="4"/>
        <v>0</v>
      </c>
      <c r="O81" s="11">
        <f t="shared" si="5"/>
        <v>0</v>
      </c>
      <c r="P81" s="11">
        <f t="shared" si="6"/>
        <v>0</v>
      </c>
      <c r="Q81" s="8"/>
    </row>
    <row r="82" spans="1:17" ht="45" x14ac:dyDescent="0.25">
      <c r="A82" s="8"/>
      <c r="B82" s="24" t="s">
        <v>487</v>
      </c>
      <c r="C82" s="8"/>
      <c r="D82" s="8"/>
      <c r="E82" s="10" t="s">
        <v>227</v>
      </c>
      <c r="F82" s="11">
        <v>2</v>
      </c>
      <c r="G82" s="18"/>
      <c r="H82" s="18"/>
      <c r="I82" s="18"/>
      <c r="J82" s="18"/>
      <c r="K82" s="11"/>
      <c r="L82" s="11"/>
      <c r="M82" s="11"/>
      <c r="N82" s="11">
        <f t="shared" si="4"/>
        <v>0</v>
      </c>
      <c r="O82" s="11">
        <f t="shared" si="5"/>
        <v>0</v>
      </c>
      <c r="P82" s="11">
        <f t="shared" si="6"/>
        <v>0</v>
      </c>
      <c r="Q82" s="8"/>
    </row>
    <row r="83" spans="1:17" ht="45" x14ac:dyDescent="0.25">
      <c r="A83" s="8"/>
      <c r="B83" s="24" t="s">
        <v>488</v>
      </c>
      <c r="C83" s="8"/>
      <c r="D83" s="8"/>
      <c r="E83" s="10" t="s">
        <v>227</v>
      </c>
      <c r="F83" s="11">
        <v>2</v>
      </c>
      <c r="G83" s="18"/>
      <c r="H83" s="18"/>
      <c r="I83" s="18"/>
      <c r="J83" s="18"/>
      <c r="K83" s="11"/>
      <c r="L83" s="11"/>
      <c r="M83" s="11"/>
      <c r="N83" s="11">
        <f t="shared" si="4"/>
        <v>0</v>
      </c>
      <c r="O83" s="11">
        <f t="shared" si="5"/>
        <v>0</v>
      </c>
      <c r="P83" s="11">
        <f t="shared" si="6"/>
        <v>0</v>
      </c>
      <c r="Q83" s="8"/>
    </row>
    <row r="84" spans="1:17" ht="45" x14ac:dyDescent="0.25">
      <c r="A84" s="8"/>
      <c r="B84" s="24" t="s">
        <v>489</v>
      </c>
      <c r="C84" s="8"/>
      <c r="D84" s="8"/>
      <c r="E84" s="10" t="s">
        <v>227</v>
      </c>
      <c r="F84" s="11">
        <v>2</v>
      </c>
      <c r="G84" s="18"/>
      <c r="H84" s="18"/>
      <c r="I84" s="18"/>
      <c r="J84" s="18"/>
      <c r="K84" s="11"/>
      <c r="L84" s="11"/>
      <c r="M84" s="11"/>
      <c r="N84" s="11">
        <f t="shared" si="4"/>
        <v>0</v>
      </c>
      <c r="O84" s="11">
        <f t="shared" si="5"/>
        <v>0</v>
      </c>
      <c r="P84" s="11">
        <f t="shared" si="6"/>
        <v>0</v>
      </c>
      <c r="Q84" s="8"/>
    </row>
    <row r="85" spans="1:17" ht="45" x14ac:dyDescent="0.25">
      <c r="A85" s="8"/>
      <c r="B85" s="24" t="s">
        <v>490</v>
      </c>
      <c r="C85" s="8"/>
      <c r="D85" s="8"/>
      <c r="E85" s="10" t="s">
        <v>227</v>
      </c>
      <c r="F85" s="11">
        <v>2</v>
      </c>
      <c r="G85" s="18"/>
      <c r="H85" s="18"/>
      <c r="I85" s="18"/>
      <c r="J85" s="18"/>
      <c r="K85" s="11"/>
      <c r="L85" s="11"/>
      <c r="M85" s="11"/>
      <c r="N85" s="11">
        <f t="shared" si="4"/>
        <v>0</v>
      </c>
      <c r="O85" s="11">
        <f t="shared" si="5"/>
        <v>0</v>
      </c>
      <c r="P85" s="11">
        <f t="shared" si="6"/>
        <v>0</v>
      </c>
      <c r="Q85" s="8"/>
    </row>
    <row r="86" spans="1:17" ht="45" x14ac:dyDescent="0.25">
      <c r="A86" s="8"/>
      <c r="B86" s="24" t="s">
        <v>491</v>
      </c>
      <c r="C86" s="8"/>
      <c r="D86" s="8"/>
      <c r="E86" s="10" t="s">
        <v>227</v>
      </c>
      <c r="F86" s="11">
        <v>2</v>
      </c>
      <c r="G86" s="18"/>
      <c r="H86" s="18"/>
      <c r="I86" s="18"/>
      <c r="J86" s="18"/>
      <c r="K86" s="11"/>
      <c r="L86" s="11"/>
      <c r="M86" s="11"/>
      <c r="N86" s="11">
        <f t="shared" si="4"/>
        <v>0</v>
      </c>
      <c r="O86" s="11">
        <f t="shared" si="5"/>
        <v>0</v>
      </c>
      <c r="P86" s="11">
        <f t="shared" si="6"/>
        <v>0</v>
      </c>
      <c r="Q86" s="8"/>
    </row>
    <row r="87" spans="1:17" ht="45" x14ac:dyDescent="0.25">
      <c r="A87" s="8"/>
      <c r="B87" s="24" t="s">
        <v>492</v>
      </c>
      <c r="C87" s="8"/>
      <c r="D87" s="8"/>
      <c r="E87" s="10" t="s">
        <v>227</v>
      </c>
      <c r="F87" s="11">
        <v>2</v>
      </c>
      <c r="G87" s="18"/>
      <c r="H87" s="18"/>
      <c r="I87" s="18"/>
      <c r="J87" s="18"/>
      <c r="K87" s="11"/>
      <c r="L87" s="11"/>
      <c r="M87" s="11"/>
      <c r="N87" s="11">
        <f t="shared" si="4"/>
        <v>0</v>
      </c>
      <c r="O87" s="11">
        <f t="shared" si="5"/>
        <v>0</v>
      </c>
      <c r="P87" s="11">
        <f t="shared" si="6"/>
        <v>0</v>
      </c>
      <c r="Q87" s="8"/>
    </row>
    <row r="88" spans="1:17" ht="45" x14ac:dyDescent="0.25">
      <c r="A88" s="8"/>
      <c r="B88" s="24" t="s">
        <v>493</v>
      </c>
      <c r="C88" s="8"/>
      <c r="D88" s="8"/>
      <c r="E88" s="10" t="s">
        <v>227</v>
      </c>
      <c r="F88" s="11">
        <v>2</v>
      </c>
      <c r="G88" s="18"/>
      <c r="H88" s="18"/>
      <c r="I88" s="18"/>
      <c r="J88" s="18"/>
      <c r="K88" s="11"/>
      <c r="L88" s="11"/>
      <c r="M88" s="11"/>
      <c r="N88" s="11">
        <f t="shared" si="4"/>
        <v>0</v>
      </c>
      <c r="O88" s="11">
        <f t="shared" si="5"/>
        <v>0</v>
      </c>
      <c r="P88" s="11">
        <f t="shared" si="6"/>
        <v>0</v>
      </c>
      <c r="Q88" s="8"/>
    </row>
    <row r="89" spans="1:17" ht="45" x14ac:dyDescent="0.25">
      <c r="A89" s="8"/>
      <c r="B89" s="24" t="s">
        <v>494</v>
      </c>
      <c r="C89" s="8"/>
      <c r="D89" s="8"/>
      <c r="E89" s="10" t="s">
        <v>227</v>
      </c>
      <c r="F89" s="11">
        <v>2</v>
      </c>
      <c r="G89" s="18"/>
      <c r="H89" s="18"/>
      <c r="I89" s="18"/>
      <c r="J89" s="18"/>
      <c r="K89" s="11"/>
      <c r="L89" s="11"/>
      <c r="M89" s="11"/>
      <c r="N89" s="11">
        <f t="shared" si="4"/>
        <v>0</v>
      </c>
      <c r="O89" s="11">
        <f t="shared" si="5"/>
        <v>0</v>
      </c>
      <c r="P89" s="11">
        <f t="shared" si="6"/>
        <v>0</v>
      </c>
      <c r="Q89" s="8"/>
    </row>
    <row r="90" spans="1:17" ht="45" x14ac:dyDescent="0.25">
      <c r="A90" s="8"/>
      <c r="B90" s="24" t="s">
        <v>495</v>
      </c>
      <c r="C90" s="8"/>
      <c r="D90" s="8"/>
      <c r="E90" s="10" t="s">
        <v>227</v>
      </c>
      <c r="F90" s="11">
        <v>2</v>
      </c>
      <c r="G90" s="18"/>
      <c r="H90" s="18"/>
      <c r="I90" s="18"/>
      <c r="J90" s="18"/>
      <c r="K90" s="11"/>
      <c r="L90" s="11"/>
      <c r="M90" s="11"/>
      <c r="N90" s="11">
        <f t="shared" si="4"/>
        <v>0</v>
      </c>
      <c r="O90" s="11">
        <f t="shared" si="5"/>
        <v>0</v>
      </c>
      <c r="P90" s="11">
        <f t="shared" si="6"/>
        <v>0</v>
      </c>
      <c r="Q90" s="8"/>
    </row>
    <row r="91" spans="1:17" ht="45" x14ac:dyDescent="0.25">
      <c r="A91" s="8"/>
      <c r="B91" s="24" t="s">
        <v>496</v>
      </c>
      <c r="C91" s="8"/>
      <c r="D91" s="8"/>
      <c r="E91" s="10" t="s">
        <v>227</v>
      </c>
      <c r="F91" s="11">
        <v>2</v>
      </c>
      <c r="G91" s="18"/>
      <c r="H91" s="18"/>
      <c r="I91" s="18"/>
      <c r="J91" s="18"/>
      <c r="K91" s="11"/>
      <c r="L91" s="11"/>
      <c r="M91" s="11"/>
      <c r="N91" s="11">
        <f t="shared" si="4"/>
        <v>0</v>
      </c>
      <c r="O91" s="11">
        <f t="shared" si="5"/>
        <v>0</v>
      </c>
      <c r="P91" s="11">
        <f t="shared" si="6"/>
        <v>0</v>
      </c>
      <c r="Q91" s="8"/>
    </row>
    <row r="92" spans="1:17" ht="45" x14ac:dyDescent="0.25">
      <c r="A92" s="8"/>
      <c r="B92" s="24" t="s">
        <v>497</v>
      </c>
      <c r="C92" s="8"/>
      <c r="D92" s="8"/>
      <c r="E92" s="10" t="s">
        <v>227</v>
      </c>
      <c r="F92" s="11">
        <v>2</v>
      </c>
      <c r="G92" s="18"/>
      <c r="H92" s="18"/>
      <c r="I92" s="18"/>
      <c r="J92" s="18"/>
      <c r="K92" s="11"/>
      <c r="L92" s="11"/>
      <c r="M92" s="11"/>
      <c r="N92" s="11">
        <f t="shared" si="4"/>
        <v>0</v>
      </c>
      <c r="O92" s="11">
        <f t="shared" si="5"/>
        <v>0</v>
      </c>
      <c r="P92" s="11">
        <f t="shared" si="6"/>
        <v>0</v>
      </c>
      <c r="Q92" s="8"/>
    </row>
    <row r="93" spans="1:17" ht="45" x14ac:dyDescent="0.25">
      <c r="A93" s="8"/>
      <c r="B93" s="24" t="s">
        <v>498</v>
      </c>
      <c r="C93" s="8"/>
      <c r="D93" s="8"/>
      <c r="E93" s="10" t="s">
        <v>227</v>
      </c>
      <c r="F93" s="11">
        <v>2</v>
      </c>
      <c r="G93" s="18"/>
      <c r="H93" s="18"/>
      <c r="I93" s="18"/>
      <c r="J93" s="18"/>
      <c r="K93" s="11"/>
      <c r="L93" s="11"/>
      <c r="M93" s="11"/>
      <c r="N93" s="11">
        <f t="shared" si="4"/>
        <v>0</v>
      </c>
      <c r="O93" s="11">
        <f t="shared" si="5"/>
        <v>0</v>
      </c>
      <c r="P93" s="11">
        <f t="shared" si="6"/>
        <v>0</v>
      </c>
      <c r="Q93" s="8"/>
    </row>
    <row r="94" spans="1:17" ht="45" x14ac:dyDescent="0.25">
      <c r="A94" s="8"/>
      <c r="B94" s="24" t="s">
        <v>499</v>
      </c>
      <c r="C94" s="8"/>
      <c r="D94" s="8"/>
      <c r="E94" s="10" t="s">
        <v>227</v>
      </c>
      <c r="F94" s="11">
        <v>2</v>
      </c>
      <c r="G94" s="18"/>
      <c r="H94" s="18"/>
      <c r="I94" s="18"/>
      <c r="J94" s="18"/>
      <c r="K94" s="11"/>
      <c r="L94" s="11"/>
      <c r="M94" s="11"/>
      <c r="N94" s="11"/>
      <c r="O94" s="11"/>
      <c r="P94" s="11"/>
      <c r="Q94" s="8"/>
    </row>
    <row r="95" spans="1:17" x14ac:dyDescent="0.25">
      <c r="A95" s="8"/>
      <c r="B95" s="24" t="s">
        <v>500</v>
      </c>
      <c r="C95" s="8"/>
      <c r="D95" s="8"/>
      <c r="E95" s="10"/>
      <c r="F95" s="11"/>
      <c r="G95" s="18"/>
      <c r="H95" s="18"/>
      <c r="I95" s="18"/>
      <c r="J95" s="18"/>
      <c r="K95" s="11"/>
      <c r="L95" s="11"/>
      <c r="M95" s="11"/>
      <c r="N95" s="11">
        <f t="shared" si="4"/>
        <v>0</v>
      </c>
      <c r="O95" s="11">
        <f t="shared" ref="O95:O153" si="7">(G95+M95)*F95</f>
        <v>0</v>
      </c>
      <c r="P95" s="11">
        <f t="shared" ref="P95:P153" si="8">(L95+N95)*F95</f>
        <v>0</v>
      </c>
      <c r="Q95" s="8"/>
    </row>
    <row r="96" spans="1:17" ht="45" x14ac:dyDescent="0.25">
      <c r="A96" s="8"/>
      <c r="B96" s="24" t="s">
        <v>501</v>
      </c>
      <c r="C96" s="8"/>
      <c r="D96" s="8"/>
      <c r="E96" s="10" t="s">
        <v>227</v>
      </c>
      <c r="F96" s="11">
        <v>1</v>
      </c>
      <c r="G96" s="18"/>
      <c r="H96" s="18"/>
      <c r="I96" s="18"/>
      <c r="J96" s="18"/>
      <c r="K96" s="11"/>
      <c r="L96" s="11"/>
      <c r="M96" s="11"/>
      <c r="N96" s="11">
        <f t="shared" si="4"/>
        <v>0</v>
      </c>
      <c r="O96" s="11">
        <f t="shared" si="7"/>
        <v>0</v>
      </c>
      <c r="P96" s="11">
        <f t="shared" si="8"/>
        <v>0</v>
      </c>
      <c r="Q96" s="8"/>
    </row>
    <row r="97" spans="1:17" ht="45" x14ac:dyDescent="0.25">
      <c r="A97" s="8"/>
      <c r="B97" s="24" t="s">
        <v>502</v>
      </c>
      <c r="C97" s="8"/>
      <c r="D97" s="8"/>
      <c r="E97" s="10" t="s">
        <v>227</v>
      </c>
      <c r="F97" s="11">
        <v>1</v>
      </c>
      <c r="G97" s="18"/>
      <c r="H97" s="18"/>
      <c r="I97" s="18"/>
      <c r="J97" s="18"/>
      <c r="K97" s="11"/>
      <c r="L97" s="11"/>
      <c r="M97" s="11"/>
      <c r="N97" s="11">
        <f t="shared" si="4"/>
        <v>0</v>
      </c>
      <c r="O97" s="11">
        <f t="shared" si="7"/>
        <v>0</v>
      </c>
      <c r="P97" s="11">
        <f t="shared" si="8"/>
        <v>0</v>
      </c>
      <c r="Q97" s="8"/>
    </row>
    <row r="98" spans="1:17" ht="45" x14ac:dyDescent="0.25">
      <c r="A98" s="8"/>
      <c r="B98" s="24" t="s">
        <v>503</v>
      </c>
      <c r="C98" s="8"/>
      <c r="D98" s="8"/>
      <c r="E98" s="10" t="s">
        <v>227</v>
      </c>
      <c r="F98" s="11">
        <v>1</v>
      </c>
      <c r="G98" s="18"/>
      <c r="H98" s="18"/>
      <c r="I98" s="18"/>
      <c r="J98" s="18"/>
      <c r="K98" s="11"/>
      <c r="L98" s="11"/>
      <c r="M98" s="11"/>
      <c r="N98" s="11">
        <f t="shared" si="4"/>
        <v>0</v>
      </c>
      <c r="O98" s="11">
        <f t="shared" si="7"/>
        <v>0</v>
      </c>
      <c r="P98" s="11">
        <f t="shared" si="8"/>
        <v>0</v>
      </c>
      <c r="Q98" s="8"/>
    </row>
    <row r="99" spans="1:17" ht="45" x14ac:dyDescent="0.25">
      <c r="A99" s="8"/>
      <c r="B99" s="24" t="s">
        <v>504</v>
      </c>
      <c r="C99" s="8"/>
      <c r="D99" s="8"/>
      <c r="E99" s="10" t="s">
        <v>227</v>
      </c>
      <c r="F99" s="11">
        <v>1</v>
      </c>
      <c r="G99" s="18"/>
      <c r="H99" s="18"/>
      <c r="I99" s="18"/>
      <c r="J99" s="18"/>
      <c r="K99" s="11"/>
      <c r="L99" s="11"/>
      <c r="M99" s="11"/>
      <c r="N99" s="11">
        <f t="shared" si="4"/>
        <v>0</v>
      </c>
      <c r="O99" s="11">
        <f t="shared" si="7"/>
        <v>0</v>
      </c>
      <c r="P99" s="11">
        <f t="shared" si="8"/>
        <v>0</v>
      </c>
      <c r="Q99" s="8"/>
    </row>
    <row r="100" spans="1:17" ht="45" x14ac:dyDescent="0.25">
      <c r="A100" s="8"/>
      <c r="B100" s="24" t="s">
        <v>505</v>
      </c>
      <c r="C100" s="8"/>
      <c r="D100" s="8"/>
      <c r="E100" s="10" t="s">
        <v>227</v>
      </c>
      <c r="F100" s="11">
        <v>1</v>
      </c>
      <c r="G100" s="18"/>
      <c r="H100" s="18"/>
      <c r="I100" s="18"/>
      <c r="J100" s="18"/>
      <c r="K100" s="11"/>
      <c r="L100" s="11"/>
      <c r="M100" s="11"/>
      <c r="N100" s="11">
        <f t="shared" si="4"/>
        <v>0</v>
      </c>
      <c r="O100" s="11">
        <f t="shared" si="7"/>
        <v>0</v>
      </c>
      <c r="P100" s="11">
        <f t="shared" si="8"/>
        <v>0</v>
      </c>
      <c r="Q100" s="8"/>
    </row>
    <row r="101" spans="1:17" ht="45" x14ac:dyDescent="0.25">
      <c r="A101" s="8"/>
      <c r="B101" s="24" t="s">
        <v>506</v>
      </c>
      <c r="C101" s="8"/>
      <c r="D101" s="8"/>
      <c r="E101" s="10" t="s">
        <v>227</v>
      </c>
      <c r="F101" s="11">
        <v>1</v>
      </c>
      <c r="G101" s="18"/>
      <c r="H101" s="18"/>
      <c r="I101" s="18"/>
      <c r="J101" s="18"/>
      <c r="K101" s="11"/>
      <c r="L101" s="11"/>
      <c r="M101" s="11"/>
      <c r="N101" s="11">
        <f t="shared" si="4"/>
        <v>0</v>
      </c>
      <c r="O101" s="11">
        <f t="shared" si="7"/>
        <v>0</v>
      </c>
      <c r="P101" s="11">
        <f t="shared" si="8"/>
        <v>0</v>
      </c>
      <c r="Q101" s="8"/>
    </row>
    <row r="102" spans="1:17" ht="45" x14ac:dyDescent="0.25">
      <c r="A102" s="8"/>
      <c r="B102" s="24" t="s">
        <v>507</v>
      </c>
      <c r="C102" s="8"/>
      <c r="D102" s="8"/>
      <c r="E102" s="10" t="s">
        <v>227</v>
      </c>
      <c r="F102" s="11">
        <v>1</v>
      </c>
      <c r="G102" s="18"/>
      <c r="H102" s="18"/>
      <c r="I102" s="18"/>
      <c r="J102" s="18"/>
      <c r="K102" s="11"/>
      <c r="L102" s="11"/>
      <c r="M102" s="11"/>
      <c r="N102" s="11">
        <f t="shared" si="4"/>
        <v>0</v>
      </c>
      <c r="O102" s="11">
        <f t="shared" si="7"/>
        <v>0</v>
      </c>
      <c r="P102" s="11">
        <f t="shared" si="8"/>
        <v>0</v>
      </c>
      <c r="Q102" s="8"/>
    </row>
    <row r="103" spans="1:17" ht="45" x14ac:dyDescent="0.25">
      <c r="A103" s="8"/>
      <c r="B103" s="24" t="s">
        <v>508</v>
      </c>
      <c r="C103" s="8"/>
      <c r="D103" s="8"/>
      <c r="E103" s="10" t="s">
        <v>227</v>
      </c>
      <c r="F103" s="11">
        <v>1</v>
      </c>
      <c r="G103" s="18"/>
      <c r="H103" s="18"/>
      <c r="I103" s="18"/>
      <c r="J103" s="18"/>
      <c r="K103" s="11"/>
      <c r="L103" s="11"/>
      <c r="M103" s="11"/>
      <c r="N103" s="11">
        <f t="shared" si="4"/>
        <v>0</v>
      </c>
      <c r="O103" s="11">
        <f t="shared" si="7"/>
        <v>0</v>
      </c>
      <c r="P103" s="11">
        <f t="shared" si="8"/>
        <v>0</v>
      </c>
      <c r="Q103" s="8"/>
    </row>
    <row r="104" spans="1:17" ht="45" x14ac:dyDescent="0.25">
      <c r="A104" s="8"/>
      <c r="B104" s="24" t="s">
        <v>509</v>
      </c>
      <c r="C104" s="8"/>
      <c r="D104" s="8"/>
      <c r="E104" s="10" t="s">
        <v>227</v>
      </c>
      <c r="F104" s="11">
        <v>1</v>
      </c>
      <c r="G104" s="18"/>
      <c r="H104" s="18"/>
      <c r="I104" s="18"/>
      <c r="J104" s="18"/>
      <c r="K104" s="11"/>
      <c r="L104" s="11"/>
      <c r="M104" s="11"/>
      <c r="N104" s="11">
        <f t="shared" si="4"/>
        <v>0</v>
      </c>
      <c r="O104" s="11">
        <f t="shared" si="7"/>
        <v>0</v>
      </c>
      <c r="P104" s="11">
        <f t="shared" si="8"/>
        <v>0</v>
      </c>
      <c r="Q104" s="8"/>
    </row>
    <row r="105" spans="1:17" ht="45" x14ac:dyDescent="0.25">
      <c r="A105" s="8"/>
      <c r="B105" s="24" t="s">
        <v>510</v>
      </c>
      <c r="C105" s="8"/>
      <c r="D105" s="8"/>
      <c r="E105" s="10" t="s">
        <v>227</v>
      </c>
      <c r="F105" s="11">
        <v>1</v>
      </c>
      <c r="G105" s="18"/>
      <c r="H105" s="18"/>
      <c r="I105" s="18"/>
      <c r="J105" s="18"/>
      <c r="K105" s="11"/>
      <c r="L105" s="11"/>
      <c r="M105" s="11"/>
      <c r="N105" s="11">
        <f t="shared" si="4"/>
        <v>0</v>
      </c>
      <c r="O105" s="11">
        <f t="shared" si="7"/>
        <v>0</v>
      </c>
      <c r="P105" s="11">
        <f t="shared" si="8"/>
        <v>0</v>
      </c>
      <c r="Q105" s="8"/>
    </row>
    <row r="106" spans="1:17" ht="45" x14ac:dyDescent="0.25">
      <c r="A106" s="8"/>
      <c r="B106" s="24" t="s">
        <v>511</v>
      </c>
      <c r="C106" s="8"/>
      <c r="D106" s="8"/>
      <c r="E106" s="10" t="s">
        <v>227</v>
      </c>
      <c r="F106" s="11">
        <v>1</v>
      </c>
      <c r="G106" s="18"/>
      <c r="H106" s="18"/>
      <c r="I106" s="18"/>
      <c r="J106" s="18"/>
      <c r="K106" s="11"/>
      <c r="L106" s="11"/>
      <c r="M106" s="11"/>
      <c r="N106" s="11">
        <f t="shared" si="4"/>
        <v>0</v>
      </c>
      <c r="O106" s="11">
        <f t="shared" si="7"/>
        <v>0</v>
      </c>
      <c r="P106" s="11">
        <f t="shared" si="8"/>
        <v>0</v>
      </c>
      <c r="Q106" s="8"/>
    </row>
    <row r="107" spans="1:17" ht="45" x14ac:dyDescent="0.25">
      <c r="A107" s="8"/>
      <c r="B107" s="24" t="s">
        <v>512</v>
      </c>
      <c r="C107" s="8"/>
      <c r="D107" s="8"/>
      <c r="E107" s="10" t="s">
        <v>227</v>
      </c>
      <c r="F107" s="11">
        <v>1</v>
      </c>
      <c r="G107" s="18"/>
      <c r="H107" s="18"/>
      <c r="I107" s="18"/>
      <c r="J107" s="18"/>
      <c r="K107" s="11"/>
      <c r="L107" s="11"/>
      <c r="M107" s="11"/>
      <c r="N107" s="11">
        <f t="shared" si="4"/>
        <v>0</v>
      </c>
      <c r="O107" s="11">
        <f t="shared" si="7"/>
        <v>0</v>
      </c>
      <c r="P107" s="11">
        <f t="shared" si="8"/>
        <v>0</v>
      </c>
      <c r="Q107" s="8"/>
    </row>
    <row r="108" spans="1:17" ht="45" x14ac:dyDescent="0.25">
      <c r="A108" s="8"/>
      <c r="B108" s="24" t="s">
        <v>513</v>
      </c>
      <c r="C108" s="8"/>
      <c r="D108" s="8"/>
      <c r="E108" s="10" t="s">
        <v>227</v>
      </c>
      <c r="F108" s="11">
        <v>1</v>
      </c>
      <c r="G108" s="18"/>
      <c r="H108" s="18"/>
      <c r="I108" s="18"/>
      <c r="J108" s="18"/>
      <c r="K108" s="11"/>
      <c r="L108" s="11"/>
      <c r="M108" s="11"/>
      <c r="N108" s="11">
        <f t="shared" si="4"/>
        <v>0</v>
      </c>
      <c r="O108" s="11">
        <f t="shared" si="7"/>
        <v>0</v>
      </c>
      <c r="P108" s="11">
        <f t="shared" si="8"/>
        <v>0</v>
      </c>
      <c r="Q108" s="8"/>
    </row>
    <row r="109" spans="1:17" ht="45" x14ac:dyDescent="0.25">
      <c r="A109" s="8"/>
      <c r="B109" s="24" t="s">
        <v>514</v>
      </c>
      <c r="C109" s="8"/>
      <c r="D109" s="8"/>
      <c r="E109" s="10" t="s">
        <v>227</v>
      </c>
      <c r="F109" s="11">
        <v>1</v>
      </c>
      <c r="G109" s="18"/>
      <c r="H109" s="18"/>
      <c r="I109" s="18"/>
      <c r="J109" s="18"/>
      <c r="K109" s="11"/>
      <c r="L109" s="11"/>
      <c r="M109" s="11"/>
      <c r="N109" s="11">
        <f t="shared" si="4"/>
        <v>0</v>
      </c>
      <c r="O109" s="11">
        <f t="shared" si="7"/>
        <v>0</v>
      </c>
      <c r="P109" s="11">
        <f t="shared" si="8"/>
        <v>0</v>
      </c>
      <c r="Q109" s="8"/>
    </row>
    <row r="110" spans="1:17" ht="45" x14ac:dyDescent="0.25">
      <c r="A110" s="8"/>
      <c r="B110" s="24" t="s">
        <v>515</v>
      </c>
      <c r="C110" s="8"/>
      <c r="D110" s="8"/>
      <c r="E110" s="10" t="s">
        <v>227</v>
      </c>
      <c r="F110" s="11">
        <v>1</v>
      </c>
      <c r="G110" s="18"/>
      <c r="H110" s="18"/>
      <c r="I110" s="18"/>
      <c r="J110" s="18"/>
      <c r="K110" s="11"/>
      <c r="L110" s="11"/>
      <c r="M110" s="11"/>
      <c r="N110" s="11">
        <f t="shared" si="4"/>
        <v>0</v>
      </c>
      <c r="O110" s="11">
        <f t="shared" si="7"/>
        <v>0</v>
      </c>
      <c r="P110" s="11">
        <f t="shared" si="8"/>
        <v>0</v>
      </c>
      <c r="Q110" s="8"/>
    </row>
    <row r="111" spans="1:17" x14ac:dyDescent="0.25">
      <c r="A111" s="8"/>
      <c r="B111" s="24" t="s">
        <v>427</v>
      </c>
      <c r="C111" s="8"/>
      <c r="D111" s="8"/>
      <c r="E111" s="10" t="s">
        <v>227</v>
      </c>
      <c r="F111" s="11">
        <v>300</v>
      </c>
      <c r="G111" s="18"/>
      <c r="H111" s="18"/>
      <c r="I111" s="18"/>
      <c r="J111" s="18"/>
      <c r="K111" s="11"/>
      <c r="L111" s="11"/>
      <c r="M111" s="11"/>
      <c r="N111" s="11">
        <f t="shared" si="4"/>
        <v>0</v>
      </c>
      <c r="O111" s="11">
        <f t="shared" si="7"/>
        <v>0</v>
      </c>
      <c r="P111" s="11">
        <f t="shared" si="8"/>
        <v>0</v>
      </c>
      <c r="Q111" s="8"/>
    </row>
    <row r="112" spans="1:17" x14ac:dyDescent="0.25">
      <c r="A112" s="8"/>
      <c r="B112" s="24" t="s">
        <v>516</v>
      </c>
      <c r="C112" s="8"/>
      <c r="D112" s="8"/>
      <c r="E112" s="10" t="s">
        <v>226</v>
      </c>
      <c r="F112" s="11">
        <v>1</v>
      </c>
      <c r="G112" s="18"/>
      <c r="H112" s="18"/>
      <c r="I112" s="18"/>
      <c r="J112" s="18"/>
      <c r="K112" s="11"/>
      <c r="L112" s="11"/>
      <c r="M112" s="11"/>
      <c r="N112" s="11">
        <f t="shared" si="4"/>
        <v>0</v>
      </c>
      <c r="O112" s="11">
        <f t="shared" si="7"/>
        <v>0</v>
      </c>
      <c r="P112" s="11">
        <f t="shared" si="8"/>
        <v>0</v>
      </c>
      <c r="Q112" s="8"/>
    </row>
    <row r="113" spans="1:17" ht="30" x14ac:dyDescent="0.25">
      <c r="A113" s="8"/>
      <c r="B113" s="24" t="s">
        <v>517</v>
      </c>
      <c r="C113" s="8"/>
      <c r="D113" s="8"/>
      <c r="E113" s="10" t="s">
        <v>231</v>
      </c>
      <c r="F113" s="11"/>
      <c r="G113" s="18"/>
      <c r="H113" s="18"/>
      <c r="I113" s="18"/>
      <c r="J113" s="18"/>
      <c r="K113" s="11"/>
      <c r="L113" s="11"/>
      <c r="M113" s="11"/>
      <c r="N113" s="11">
        <f t="shared" si="4"/>
        <v>0</v>
      </c>
      <c r="O113" s="11">
        <f t="shared" si="7"/>
        <v>0</v>
      </c>
      <c r="P113" s="11">
        <f t="shared" si="8"/>
        <v>0</v>
      </c>
      <c r="Q113" s="8"/>
    </row>
    <row r="114" spans="1:17" x14ac:dyDescent="0.25">
      <c r="A114" s="8"/>
      <c r="B114" s="24" t="s">
        <v>518</v>
      </c>
      <c r="C114" s="8"/>
      <c r="D114" s="8"/>
      <c r="E114" s="10"/>
      <c r="F114" s="11"/>
      <c r="G114" s="18"/>
      <c r="H114" s="18"/>
      <c r="I114" s="18"/>
      <c r="J114" s="18"/>
      <c r="K114" s="11"/>
      <c r="L114" s="11"/>
      <c r="M114" s="11"/>
      <c r="N114" s="11">
        <f t="shared" si="4"/>
        <v>0</v>
      </c>
      <c r="O114" s="11">
        <f t="shared" si="7"/>
        <v>0</v>
      </c>
      <c r="P114" s="11">
        <f t="shared" si="8"/>
        <v>0</v>
      </c>
      <c r="Q114" s="8"/>
    </row>
    <row r="115" spans="1:17" ht="45" x14ac:dyDescent="0.25">
      <c r="A115" s="8"/>
      <c r="B115" s="24" t="s">
        <v>519</v>
      </c>
      <c r="C115" s="8"/>
      <c r="D115" s="8"/>
      <c r="E115" s="10" t="s">
        <v>227</v>
      </c>
      <c r="F115" s="11">
        <v>354</v>
      </c>
      <c r="G115" s="18"/>
      <c r="H115" s="18"/>
      <c r="I115" s="18"/>
      <c r="J115" s="18"/>
      <c r="K115" s="11"/>
      <c r="L115" s="11"/>
      <c r="M115" s="11"/>
      <c r="N115" s="11">
        <f t="shared" si="4"/>
        <v>0</v>
      </c>
      <c r="O115" s="11">
        <f t="shared" si="7"/>
        <v>0</v>
      </c>
      <c r="P115" s="11">
        <f t="shared" si="8"/>
        <v>0</v>
      </c>
      <c r="Q115" s="8"/>
    </row>
    <row r="116" spans="1:17" ht="30" x14ac:dyDescent="0.25">
      <c r="A116" s="8"/>
      <c r="B116" s="24" t="s">
        <v>520</v>
      </c>
      <c r="C116" s="8"/>
      <c r="D116" s="8"/>
      <c r="E116" s="10"/>
      <c r="F116" s="11"/>
      <c r="G116" s="18"/>
      <c r="H116" s="18"/>
      <c r="I116" s="18"/>
      <c r="J116" s="18"/>
      <c r="K116" s="11"/>
      <c r="L116" s="11"/>
      <c r="M116" s="11"/>
      <c r="N116" s="11">
        <f t="shared" si="4"/>
        <v>0</v>
      </c>
      <c r="O116" s="11">
        <f t="shared" si="7"/>
        <v>0</v>
      </c>
      <c r="P116" s="11">
        <f t="shared" si="8"/>
        <v>0</v>
      </c>
      <c r="Q116" s="8"/>
    </row>
    <row r="117" spans="1:17" ht="30" x14ac:dyDescent="0.25">
      <c r="A117" s="8"/>
      <c r="B117" s="24" t="s">
        <v>521</v>
      </c>
      <c r="C117" s="8"/>
      <c r="D117" s="8"/>
      <c r="E117" s="10" t="s">
        <v>227</v>
      </c>
      <c r="F117" s="11">
        <v>375</v>
      </c>
      <c r="G117" s="18"/>
      <c r="H117" s="18"/>
      <c r="I117" s="18"/>
      <c r="J117" s="18"/>
      <c r="K117" s="11"/>
      <c r="L117" s="11"/>
      <c r="M117" s="11"/>
      <c r="N117" s="11">
        <f t="shared" si="4"/>
        <v>0</v>
      </c>
      <c r="O117" s="11">
        <f t="shared" si="7"/>
        <v>0</v>
      </c>
      <c r="P117" s="11">
        <f t="shared" si="8"/>
        <v>0</v>
      </c>
      <c r="Q117" s="8"/>
    </row>
    <row r="118" spans="1:17" x14ac:dyDescent="0.25">
      <c r="A118" s="8"/>
      <c r="B118" s="24" t="s">
        <v>522</v>
      </c>
      <c r="C118" s="8"/>
      <c r="D118" s="8"/>
      <c r="E118" s="10" t="s">
        <v>227</v>
      </c>
      <c r="F118" s="11">
        <v>1</v>
      </c>
      <c r="G118" s="18"/>
      <c r="H118" s="18"/>
      <c r="I118" s="18"/>
      <c r="J118" s="18"/>
      <c r="K118" s="11"/>
      <c r="L118" s="11"/>
      <c r="M118" s="11"/>
      <c r="N118" s="11">
        <f t="shared" si="4"/>
        <v>0</v>
      </c>
      <c r="O118" s="11">
        <f t="shared" si="7"/>
        <v>0</v>
      </c>
      <c r="P118" s="11">
        <f t="shared" si="8"/>
        <v>0</v>
      </c>
      <c r="Q118" s="8"/>
    </row>
    <row r="119" spans="1:17" x14ac:dyDescent="0.25">
      <c r="A119" s="8"/>
      <c r="B119" s="24" t="s">
        <v>523</v>
      </c>
      <c r="C119" s="8"/>
      <c r="D119" s="8"/>
      <c r="E119" s="10" t="s">
        <v>227</v>
      </c>
      <c r="F119" s="11">
        <v>1</v>
      </c>
      <c r="G119" s="18"/>
      <c r="H119" s="18"/>
      <c r="I119" s="18"/>
      <c r="J119" s="18"/>
      <c r="K119" s="11"/>
      <c r="L119" s="11"/>
      <c r="M119" s="11"/>
      <c r="N119" s="11">
        <f t="shared" ref="N119:N182" si="9">L119*8%</f>
        <v>0</v>
      </c>
      <c r="O119" s="11">
        <f t="shared" si="7"/>
        <v>0</v>
      </c>
      <c r="P119" s="11">
        <f t="shared" si="8"/>
        <v>0</v>
      </c>
      <c r="Q119" s="8"/>
    </row>
    <row r="120" spans="1:17" x14ac:dyDescent="0.25">
      <c r="A120" s="8"/>
      <c r="B120" s="24" t="s">
        <v>524</v>
      </c>
      <c r="C120" s="8"/>
      <c r="D120" s="8"/>
      <c r="E120" s="10" t="s">
        <v>227</v>
      </c>
      <c r="F120" s="11">
        <v>1</v>
      </c>
      <c r="G120" s="18"/>
      <c r="H120" s="18"/>
      <c r="I120" s="18"/>
      <c r="J120" s="18"/>
      <c r="K120" s="11"/>
      <c r="L120" s="11"/>
      <c r="M120" s="11"/>
      <c r="N120" s="11">
        <f t="shared" si="9"/>
        <v>0</v>
      </c>
      <c r="O120" s="11">
        <f t="shared" si="7"/>
        <v>0</v>
      </c>
      <c r="P120" s="11">
        <f t="shared" si="8"/>
        <v>0</v>
      </c>
      <c r="Q120" s="8"/>
    </row>
    <row r="121" spans="1:17" x14ac:dyDescent="0.25">
      <c r="A121" s="8"/>
      <c r="B121" s="24" t="s">
        <v>525</v>
      </c>
      <c r="C121" s="8"/>
      <c r="D121" s="8"/>
      <c r="E121" s="10" t="s">
        <v>227</v>
      </c>
      <c r="F121" s="11">
        <v>2</v>
      </c>
      <c r="G121" s="18"/>
      <c r="H121" s="18"/>
      <c r="I121" s="18"/>
      <c r="J121" s="18"/>
      <c r="K121" s="11"/>
      <c r="L121" s="11"/>
      <c r="M121" s="11"/>
      <c r="N121" s="11">
        <f t="shared" si="9"/>
        <v>0</v>
      </c>
      <c r="O121" s="11">
        <f t="shared" si="7"/>
        <v>0</v>
      </c>
      <c r="P121" s="11">
        <f t="shared" si="8"/>
        <v>0</v>
      </c>
      <c r="Q121" s="8"/>
    </row>
    <row r="122" spans="1:17" x14ac:dyDescent="0.25">
      <c r="A122" s="8"/>
      <c r="B122" s="24" t="s">
        <v>526</v>
      </c>
      <c r="C122" s="8"/>
      <c r="D122" s="8"/>
      <c r="E122" s="10" t="s">
        <v>227</v>
      </c>
      <c r="F122" s="11">
        <v>2</v>
      </c>
      <c r="G122" s="18"/>
      <c r="H122" s="18"/>
      <c r="I122" s="18"/>
      <c r="J122" s="18"/>
      <c r="K122" s="11"/>
      <c r="L122" s="11"/>
      <c r="M122" s="11"/>
      <c r="N122" s="11">
        <f t="shared" si="9"/>
        <v>0</v>
      </c>
      <c r="O122" s="11">
        <f t="shared" si="7"/>
        <v>0</v>
      </c>
      <c r="P122" s="11">
        <f t="shared" si="8"/>
        <v>0</v>
      </c>
      <c r="Q122" s="8"/>
    </row>
    <row r="123" spans="1:17" x14ac:dyDescent="0.25">
      <c r="A123" s="8"/>
      <c r="B123" s="24" t="s">
        <v>527</v>
      </c>
      <c r="C123" s="8"/>
      <c r="D123" s="8"/>
      <c r="E123" s="10" t="s">
        <v>227</v>
      </c>
      <c r="F123" s="11">
        <v>2</v>
      </c>
      <c r="G123" s="18"/>
      <c r="H123" s="18"/>
      <c r="I123" s="18"/>
      <c r="J123" s="18"/>
      <c r="K123" s="11"/>
      <c r="L123" s="11"/>
      <c r="M123" s="11"/>
      <c r="N123" s="11">
        <f t="shared" si="9"/>
        <v>0</v>
      </c>
      <c r="O123" s="11">
        <f t="shared" si="7"/>
        <v>0</v>
      </c>
      <c r="P123" s="11">
        <f t="shared" si="8"/>
        <v>0</v>
      </c>
      <c r="Q123" s="8"/>
    </row>
    <row r="124" spans="1:17" x14ac:dyDescent="0.25">
      <c r="A124" s="8"/>
      <c r="B124" s="24" t="s">
        <v>528</v>
      </c>
      <c r="C124" s="8"/>
      <c r="D124" s="8"/>
      <c r="E124" s="10" t="s">
        <v>227</v>
      </c>
      <c r="F124" s="11">
        <v>1</v>
      </c>
      <c r="G124" s="18"/>
      <c r="H124" s="18"/>
      <c r="I124" s="18"/>
      <c r="J124" s="18"/>
      <c r="K124" s="11"/>
      <c r="L124" s="11"/>
      <c r="M124" s="11"/>
      <c r="N124" s="11">
        <f t="shared" si="9"/>
        <v>0</v>
      </c>
      <c r="O124" s="11">
        <f t="shared" si="7"/>
        <v>0</v>
      </c>
      <c r="P124" s="11">
        <f t="shared" si="8"/>
        <v>0</v>
      </c>
      <c r="Q124" s="8"/>
    </row>
    <row r="125" spans="1:17" x14ac:dyDescent="0.25">
      <c r="A125" s="8"/>
      <c r="B125" s="24" t="s">
        <v>529</v>
      </c>
      <c r="C125" s="8"/>
      <c r="D125" s="8"/>
      <c r="E125" s="10" t="s">
        <v>227</v>
      </c>
      <c r="F125" s="11">
        <v>2</v>
      </c>
      <c r="G125" s="18"/>
      <c r="H125" s="18"/>
      <c r="I125" s="18"/>
      <c r="J125" s="18"/>
      <c r="K125" s="11"/>
      <c r="L125" s="11"/>
      <c r="M125" s="11"/>
      <c r="N125" s="11">
        <f t="shared" si="9"/>
        <v>0</v>
      </c>
      <c r="O125" s="11">
        <f t="shared" si="7"/>
        <v>0</v>
      </c>
      <c r="P125" s="11">
        <f t="shared" si="8"/>
        <v>0</v>
      </c>
      <c r="Q125" s="8"/>
    </row>
    <row r="126" spans="1:17" x14ac:dyDescent="0.25">
      <c r="A126" s="8"/>
      <c r="B126" s="24" t="s">
        <v>530</v>
      </c>
      <c r="C126" s="8"/>
      <c r="D126" s="8"/>
      <c r="E126" s="10" t="s">
        <v>227</v>
      </c>
      <c r="F126" s="11">
        <v>3</v>
      </c>
      <c r="G126" s="18"/>
      <c r="H126" s="18"/>
      <c r="I126" s="18"/>
      <c r="J126" s="18"/>
      <c r="K126" s="11"/>
      <c r="L126" s="11"/>
      <c r="M126" s="11"/>
      <c r="N126" s="11">
        <f t="shared" si="9"/>
        <v>0</v>
      </c>
      <c r="O126" s="11">
        <f t="shared" si="7"/>
        <v>0</v>
      </c>
      <c r="P126" s="11">
        <f t="shared" si="8"/>
        <v>0</v>
      </c>
      <c r="Q126" s="8"/>
    </row>
    <row r="127" spans="1:17" x14ac:dyDescent="0.25">
      <c r="A127" s="8"/>
      <c r="B127" s="24" t="s">
        <v>531</v>
      </c>
      <c r="C127" s="8"/>
      <c r="D127" s="8"/>
      <c r="E127" s="10" t="s">
        <v>227</v>
      </c>
      <c r="F127" s="11">
        <v>1</v>
      </c>
      <c r="G127" s="18"/>
      <c r="H127" s="18"/>
      <c r="I127" s="18"/>
      <c r="J127" s="18"/>
      <c r="K127" s="11"/>
      <c r="L127" s="11"/>
      <c r="M127" s="11"/>
      <c r="N127" s="11">
        <f t="shared" si="9"/>
        <v>0</v>
      </c>
      <c r="O127" s="11">
        <f t="shared" si="7"/>
        <v>0</v>
      </c>
      <c r="P127" s="11">
        <f t="shared" si="8"/>
        <v>0</v>
      </c>
      <c r="Q127" s="8"/>
    </row>
    <row r="128" spans="1:17" x14ac:dyDescent="0.25">
      <c r="A128" s="8"/>
      <c r="B128" s="24" t="s">
        <v>532</v>
      </c>
      <c r="C128" s="8"/>
      <c r="D128" s="8"/>
      <c r="E128" s="10"/>
      <c r="F128" s="11"/>
      <c r="G128" s="18"/>
      <c r="H128" s="18"/>
      <c r="I128" s="18"/>
      <c r="J128" s="18"/>
      <c r="K128" s="11"/>
      <c r="L128" s="11"/>
      <c r="M128" s="11"/>
      <c r="N128" s="11">
        <f t="shared" si="9"/>
        <v>0</v>
      </c>
      <c r="O128" s="11">
        <f t="shared" si="7"/>
        <v>0</v>
      </c>
      <c r="P128" s="11">
        <f t="shared" si="8"/>
        <v>0</v>
      </c>
      <c r="Q128" s="8"/>
    </row>
    <row r="129" spans="1:17" ht="30" x14ac:dyDescent="0.25">
      <c r="A129" s="8"/>
      <c r="B129" s="24" t="s">
        <v>533</v>
      </c>
      <c r="C129" s="8"/>
      <c r="D129" s="8"/>
      <c r="E129" s="10" t="s">
        <v>227</v>
      </c>
      <c r="F129" s="11">
        <v>1</v>
      </c>
      <c r="G129" s="18"/>
      <c r="H129" s="18"/>
      <c r="I129" s="18"/>
      <c r="J129" s="18"/>
      <c r="K129" s="11"/>
      <c r="L129" s="11"/>
      <c r="M129" s="11"/>
      <c r="N129" s="11">
        <f t="shared" si="9"/>
        <v>0</v>
      </c>
      <c r="O129" s="11">
        <f t="shared" si="7"/>
        <v>0</v>
      </c>
      <c r="P129" s="11">
        <f t="shared" si="8"/>
        <v>0</v>
      </c>
      <c r="Q129" s="8"/>
    </row>
    <row r="130" spans="1:17" ht="30" x14ac:dyDescent="0.25">
      <c r="A130" s="8"/>
      <c r="B130" s="24" t="s">
        <v>534</v>
      </c>
      <c r="C130" s="8"/>
      <c r="D130" s="8"/>
      <c r="E130" s="10" t="s">
        <v>227</v>
      </c>
      <c r="F130" s="11">
        <v>2</v>
      </c>
      <c r="G130" s="18"/>
      <c r="H130" s="18"/>
      <c r="I130" s="18"/>
      <c r="J130" s="18"/>
      <c r="K130" s="11"/>
      <c r="L130" s="11"/>
      <c r="M130" s="11"/>
      <c r="N130" s="11">
        <f t="shared" si="9"/>
        <v>0</v>
      </c>
      <c r="O130" s="11">
        <f t="shared" si="7"/>
        <v>0</v>
      </c>
      <c r="P130" s="11">
        <f t="shared" si="8"/>
        <v>0</v>
      </c>
      <c r="Q130" s="8"/>
    </row>
    <row r="131" spans="1:17" ht="30" x14ac:dyDescent="0.25">
      <c r="A131" s="8"/>
      <c r="B131" s="24" t="s">
        <v>535</v>
      </c>
      <c r="C131" s="8"/>
      <c r="D131" s="8"/>
      <c r="E131" s="10" t="s">
        <v>227</v>
      </c>
      <c r="F131" s="11">
        <v>3</v>
      </c>
      <c r="G131" s="18"/>
      <c r="H131" s="18"/>
      <c r="I131" s="18"/>
      <c r="J131" s="18"/>
      <c r="K131" s="11"/>
      <c r="L131" s="11"/>
      <c r="M131" s="11"/>
      <c r="N131" s="11">
        <f t="shared" si="9"/>
        <v>0</v>
      </c>
      <c r="O131" s="11">
        <f t="shared" si="7"/>
        <v>0</v>
      </c>
      <c r="P131" s="11">
        <f t="shared" si="8"/>
        <v>0</v>
      </c>
      <c r="Q131" s="8"/>
    </row>
    <row r="132" spans="1:17" ht="30" x14ac:dyDescent="0.25">
      <c r="A132" s="8"/>
      <c r="B132" s="24" t="s">
        <v>536</v>
      </c>
      <c r="C132" s="8"/>
      <c r="D132" s="8"/>
      <c r="E132" s="10" t="s">
        <v>227</v>
      </c>
      <c r="F132" s="11">
        <v>2</v>
      </c>
      <c r="G132" s="18"/>
      <c r="H132" s="18"/>
      <c r="I132" s="18"/>
      <c r="J132" s="18"/>
      <c r="K132" s="11"/>
      <c r="L132" s="11"/>
      <c r="M132" s="11"/>
      <c r="N132" s="11">
        <f t="shared" si="9"/>
        <v>0</v>
      </c>
      <c r="O132" s="11">
        <f t="shared" si="7"/>
        <v>0</v>
      </c>
      <c r="P132" s="11">
        <f t="shared" si="8"/>
        <v>0</v>
      </c>
      <c r="Q132" s="8"/>
    </row>
    <row r="133" spans="1:17" ht="30" x14ac:dyDescent="0.25">
      <c r="A133" s="8"/>
      <c r="B133" s="24" t="s">
        <v>537</v>
      </c>
      <c r="C133" s="8"/>
      <c r="D133" s="8"/>
      <c r="E133" s="10" t="s">
        <v>227</v>
      </c>
      <c r="F133" s="11">
        <v>2</v>
      </c>
      <c r="G133" s="18"/>
      <c r="H133" s="18"/>
      <c r="I133" s="18"/>
      <c r="J133" s="18"/>
      <c r="K133" s="11"/>
      <c r="L133" s="11"/>
      <c r="M133" s="11"/>
      <c r="N133" s="11">
        <f t="shared" si="9"/>
        <v>0</v>
      </c>
      <c r="O133" s="11">
        <f t="shared" si="7"/>
        <v>0</v>
      </c>
      <c r="P133" s="11">
        <f t="shared" si="8"/>
        <v>0</v>
      </c>
      <c r="Q133" s="8"/>
    </row>
    <row r="134" spans="1:17" ht="30" x14ac:dyDescent="0.25">
      <c r="A134" s="8"/>
      <c r="B134" s="24" t="s">
        <v>538</v>
      </c>
      <c r="C134" s="8"/>
      <c r="D134" s="8"/>
      <c r="E134" s="10" t="s">
        <v>227</v>
      </c>
      <c r="F134" s="11">
        <v>1</v>
      </c>
      <c r="G134" s="18"/>
      <c r="H134" s="18"/>
      <c r="I134" s="18"/>
      <c r="J134" s="18"/>
      <c r="K134" s="11"/>
      <c r="L134" s="11"/>
      <c r="M134" s="11"/>
      <c r="N134" s="11">
        <f t="shared" si="9"/>
        <v>0</v>
      </c>
      <c r="O134" s="11">
        <f t="shared" si="7"/>
        <v>0</v>
      </c>
      <c r="P134" s="11">
        <f t="shared" si="8"/>
        <v>0</v>
      </c>
      <c r="Q134" s="8"/>
    </row>
    <row r="135" spans="1:17" ht="30" x14ac:dyDescent="0.25">
      <c r="A135" s="8"/>
      <c r="B135" s="24" t="s">
        <v>539</v>
      </c>
      <c r="C135" s="8"/>
      <c r="D135" s="8"/>
      <c r="E135" s="10" t="s">
        <v>227</v>
      </c>
      <c r="F135" s="11">
        <v>1</v>
      </c>
      <c r="G135" s="18"/>
      <c r="H135" s="18"/>
      <c r="I135" s="18"/>
      <c r="J135" s="18"/>
      <c r="K135" s="11"/>
      <c r="L135" s="11"/>
      <c r="M135" s="11"/>
      <c r="N135" s="11">
        <f t="shared" si="9"/>
        <v>0</v>
      </c>
      <c r="O135" s="11">
        <f t="shared" si="7"/>
        <v>0</v>
      </c>
      <c r="P135" s="11">
        <f t="shared" si="8"/>
        <v>0</v>
      </c>
      <c r="Q135" s="8"/>
    </row>
    <row r="136" spans="1:17" ht="30" x14ac:dyDescent="0.25">
      <c r="A136" s="8"/>
      <c r="B136" s="24" t="s">
        <v>540</v>
      </c>
      <c r="C136" s="8"/>
      <c r="D136" s="8"/>
      <c r="E136" s="10" t="s">
        <v>227</v>
      </c>
      <c r="F136" s="11">
        <v>1</v>
      </c>
      <c r="G136" s="18"/>
      <c r="H136" s="18"/>
      <c r="I136" s="18"/>
      <c r="J136" s="18"/>
      <c r="K136" s="11"/>
      <c r="L136" s="11"/>
      <c r="M136" s="11"/>
      <c r="N136" s="11">
        <f t="shared" si="9"/>
        <v>0</v>
      </c>
      <c r="O136" s="11">
        <f t="shared" si="7"/>
        <v>0</v>
      </c>
      <c r="P136" s="11">
        <f t="shared" si="8"/>
        <v>0</v>
      </c>
      <c r="Q136" s="8"/>
    </row>
    <row r="137" spans="1:17" x14ac:dyDescent="0.25">
      <c r="A137" s="8"/>
      <c r="B137" s="24" t="s">
        <v>440</v>
      </c>
      <c r="C137" s="8"/>
      <c r="D137" s="8"/>
      <c r="E137" s="10"/>
      <c r="F137" s="11"/>
      <c r="G137" s="18"/>
      <c r="H137" s="18"/>
      <c r="I137" s="18"/>
      <c r="J137" s="18"/>
      <c r="K137" s="11"/>
      <c r="L137" s="11"/>
      <c r="M137" s="11"/>
      <c r="N137" s="11">
        <f t="shared" si="9"/>
        <v>0</v>
      </c>
      <c r="O137" s="11">
        <f t="shared" si="7"/>
        <v>0</v>
      </c>
      <c r="P137" s="11">
        <f t="shared" si="8"/>
        <v>0</v>
      </c>
      <c r="Q137" s="8"/>
    </row>
    <row r="138" spans="1:17" ht="30" x14ac:dyDescent="0.25">
      <c r="A138" s="8"/>
      <c r="B138" s="24" t="s">
        <v>541</v>
      </c>
      <c r="C138" s="8"/>
      <c r="D138" s="8"/>
      <c r="E138" s="10" t="s">
        <v>227</v>
      </c>
      <c r="F138" s="11">
        <v>1</v>
      </c>
      <c r="G138" s="18"/>
      <c r="H138" s="18"/>
      <c r="I138" s="18"/>
      <c r="J138" s="18"/>
      <c r="K138" s="11"/>
      <c r="L138" s="11"/>
      <c r="M138" s="11"/>
      <c r="N138" s="11">
        <f t="shared" si="9"/>
        <v>0</v>
      </c>
      <c r="O138" s="11">
        <f t="shared" si="7"/>
        <v>0</v>
      </c>
      <c r="P138" s="11">
        <f t="shared" si="8"/>
        <v>0</v>
      </c>
      <c r="Q138" s="8"/>
    </row>
    <row r="139" spans="1:17" ht="30" x14ac:dyDescent="0.25">
      <c r="A139" s="8"/>
      <c r="B139" s="24" t="s">
        <v>542</v>
      </c>
      <c r="C139" s="8"/>
      <c r="D139" s="8"/>
      <c r="E139" s="10" t="s">
        <v>227</v>
      </c>
      <c r="F139" s="11">
        <v>4</v>
      </c>
      <c r="G139" s="18"/>
      <c r="H139" s="18"/>
      <c r="I139" s="18"/>
      <c r="J139" s="18"/>
      <c r="K139" s="11"/>
      <c r="L139" s="11"/>
      <c r="M139" s="11"/>
      <c r="N139" s="11">
        <f t="shared" si="9"/>
        <v>0</v>
      </c>
      <c r="O139" s="11">
        <f t="shared" si="7"/>
        <v>0</v>
      </c>
      <c r="P139" s="11">
        <f t="shared" si="8"/>
        <v>0</v>
      </c>
      <c r="Q139" s="8"/>
    </row>
    <row r="140" spans="1:17" ht="30" x14ac:dyDescent="0.25">
      <c r="A140" s="8"/>
      <c r="B140" s="24" t="s">
        <v>543</v>
      </c>
      <c r="C140" s="8"/>
      <c r="D140" s="8"/>
      <c r="E140" s="10" t="s">
        <v>227</v>
      </c>
      <c r="F140" s="11">
        <v>1</v>
      </c>
      <c r="G140" s="18"/>
      <c r="H140" s="18"/>
      <c r="I140" s="18"/>
      <c r="J140" s="18"/>
      <c r="K140" s="11"/>
      <c r="L140" s="11"/>
      <c r="M140" s="11"/>
      <c r="N140" s="11">
        <f t="shared" si="9"/>
        <v>0</v>
      </c>
      <c r="O140" s="11">
        <f t="shared" si="7"/>
        <v>0</v>
      </c>
      <c r="P140" s="11">
        <f t="shared" si="8"/>
        <v>0</v>
      </c>
      <c r="Q140" s="8"/>
    </row>
    <row r="141" spans="1:17" ht="30" x14ac:dyDescent="0.25">
      <c r="A141" s="8"/>
      <c r="B141" s="24" t="s">
        <v>544</v>
      </c>
      <c r="C141" s="8"/>
      <c r="D141" s="8"/>
      <c r="E141" s="10" t="s">
        <v>227</v>
      </c>
      <c r="F141" s="11">
        <v>1</v>
      </c>
      <c r="G141" s="18"/>
      <c r="H141" s="18"/>
      <c r="I141" s="18"/>
      <c r="J141" s="18"/>
      <c r="K141" s="11"/>
      <c r="L141" s="11"/>
      <c r="M141" s="11"/>
      <c r="N141" s="11">
        <f t="shared" si="9"/>
        <v>0</v>
      </c>
      <c r="O141" s="11">
        <f t="shared" si="7"/>
        <v>0</v>
      </c>
      <c r="P141" s="11">
        <f t="shared" si="8"/>
        <v>0</v>
      </c>
      <c r="Q141" s="8"/>
    </row>
    <row r="142" spans="1:17" ht="30" x14ac:dyDescent="0.25">
      <c r="A142" s="8"/>
      <c r="B142" s="24" t="s">
        <v>545</v>
      </c>
      <c r="C142" s="8"/>
      <c r="D142" s="8"/>
      <c r="E142" s="10" t="s">
        <v>227</v>
      </c>
      <c r="F142" s="11">
        <v>2</v>
      </c>
      <c r="G142" s="18"/>
      <c r="H142" s="18"/>
      <c r="I142" s="18"/>
      <c r="J142" s="18"/>
      <c r="K142" s="11"/>
      <c r="L142" s="11"/>
      <c r="M142" s="11"/>
      <c r="N142" s="11">
        <f t="shared" si="9"/>
        <v>0</v>
      </c>
      <c r="O142" s="11">
        <f t="shared" si="7"/>
        <v>0</v>
      </c>
      <c r="P142" s="11">
        <f t="shared" si="8"/>
        <v>0</v>
      </c>
      <c r="Q142" s="8"/>
    </row>
    <row r="143" spans="1:17" ht="30" x14ac:dyDescent="0.25">
      <c r="A143" s="8"/>
      <c r="B143" s="24" t="s">
        <v>546</v>
      </c>
      <c r="C143" s="8"/>
      <c r="D143" s="8"/>
      <c r="E143" s="10" t="s">
        <v>227</v>
      </c>
      <c r="F143" s="11">
        <v>1</v>
      </c>
      <c r="G143" s="18"/>
      <c r="H143" s="18"/>
      <c r="I143" s="18"/>
      <c r="J143" s="18"/>
      <c r="K143" s="11"/>
      <c r="L143" s="11"/>
      <c r="M143" s="11"/>
      <c r="N143" s="11">
        <f t="shared" si="9"/>
        <v>0</v>
      </c>
      <c r="O143" s="11">
        <f t="shared" si="7"/>
        <v>0</v>
      </c>
      <c r="P143" s="11">
        <f t="shared" si="8"/>
        <v>0</v>
      </c>
      <c r="Q143" s="8"/>
    </row>
    <row r="144" spans="1:17" ht="30" x14ac:dyDescent="0.25">
      <c r="A144" s="8"/>
      <c r="B144" s="24" t="s">
        <v>547</v>
      </c>
      <c r="C144" s="8"/>
      <c r="D144" s="8"/>
      <c r="E144" s="10" t="s">
        <v>227</v>
      </c>
      <c r="F144" s="11">
        <v>1</v>
      </c>
      <c r="G144" s="18"/>
      <c r="H144" s="18"/>
      <c r="I144" s="18"/>
      <c r="J144" s="18"/>
      <c r="K144" s="11"/>
      <c r="L144" s="11"/>
      <c r="M144" s="11"/>
      <c r="N144" s="11">
        <f t="shared" si="9"/>
        <v>0</v>
      </c>
      <c r="O144" s="11">
        <f t="shared" si="7"/>
        <v>0</v>
      </c>
      <c r="P144" s="11">
        <f t="shared" si="8"/>
        <v>0</v>
      </c>
      <c r="Q144" s="8"/>
    </row>
    <row r="145" spans="1:17" x14ac:dyDescent="0.25">
      <c r="A145" s="8"/>
      <c r="B145" s="24" t="s">
        <v>548</v>
      </c>
      <c r="C145" s="8"/>
      <c r="D145" s="8"/>
      <c r="E145" s="10"/>
      <c r="F145" s="11"/>
      <c r="G145" s="18"/>
      <c r="H145" s="18"/>
      <c r="I145" s="18"/>
      <c r="J145" s="18"/>
      <c r="K145" s="11"/>
      <c r="L145" s="11"/>
      <c r="M145" s="11"/>
      <c r="N145" s="11">
        <f t="shared" si="9"/>
        <v>0</v>
      </c>
      <c r="O145" s="11">
        <f t="shared" si="7"/>
        <v>0</v>
      </c>
      <c r="P145" s="11">
        <f t="shared" si="8"/>
        <v>0</v>
      </c>
      <c r="Q145" s="8"/>
    </row>
    <row r="146" spans="1:17" x14ac:dyDescent="0.25">
      <c r="A146" s="8"/>
      <c r="B146" s="24" t="s">
        <v>549</v>
      </c>
      <c r="C146" s="8"/>
      <c r="D146" s="8"/>
      <c r="E146" s="10" t="s">
        <v>227</v>
      </c>
      <c r="F146" s="11">
        <v>3</v>
      </c>
      <c r="G146" s="18"/>
      <c r="H146" s="18"/>
      <c r="I146" s="18"/>
      <c r="J146" s="18"/>
      <c r="K146" s="11"/>
      <c r="L146" s="11"/>
      <c r="M146" s="11"/>
      <c r="N146" s="11">
        <f t="shared" si="9"/>
        <v>0</v>
      </c>
      <c r="O146" s="11">
        <f t="shared" si="7"/>
        <v>0</v>
      </c>
      <c r="P146" s="11">
        <f t="shared" si="8"/>
        <v>0</v>
      </c>
      <c r="Q146" s="8"/>
    </row>
    <row r="147" spans="1:17" x14ac:dyDescent="0.25">
      <c r="A147" s="8"/>
      <c r="B147" s="24" t="s">
        <v>550</v>
      </c>
      <c r="C147" s="8"/>
      <c r="D147" s="8"/>
      <c r="E147" s="10" t="s">
        <v>227</v>
      </c>
      <c r="F147" s="11">
        <v>6</v>
      </c>
      <c r="G147" s="18"/>
      <c r="H147" s="18"/>
      <c r="I147" s="18"/>
      <c r="J147" s="18"/>
      <c r="K147" s="11"/>
      <c r="L147" s="11"/>
      <c r="M147" s="11"/>
      <c r="N147" s="11">
        <f t="shared" si="9"/>
        <v>0</v>
      </c>
      <c r="O147" s="11">
        <f t="shared" si="7"/>
        <v>0</v>
      </c>
      <c r="P147" s="11">
        <f t="shared" si="8"/>
        <v>0</v>
      </c>
      <c r="Q147" s="8"/>
    </row>
    <row r="148" spans="1:17" x14ac:dyDescent="0.25">
      <c r="A148" s="8"/>
      <c r="B148" s="24" t="s">
        <v>551</v>
      </c>
      <c r="C148" s="8"/>
      <c r="D148" s="8"/>
      <c r="E148" s="10" t="s">
        <v>227</v>
      </c>
      <c r="F148" s="11">
        <v>6</v>
      </c>
      <c r="G148" s="18"/>
      <c r="H148" s="18"/>
      <c r="I148" s="18"/>
      <c r="J148" s="18"/>
      <c r="K148" s="11"/>
      <c r="L148" s="11"/>
      <c r="M148" s="11"/>
      <c r="N148" s="11">
        <f t="shared" si="9"/>
        <v>0</v>
      </c>
      <c r="O148" s="11">
        <f t="shared" si="7"/>
        <v>0</v>
      </c>
      <c r="P148" s="11">
        <f t="shared" si="8"/>
        <v>0</v>
      </c>
      <c r="Q148" s="8"/>
    </row>
    <row r="149" spans="1:17" x14ac:dyDescent="0.25">
      <c r="A149" s="8"/>
      <c r="B149" s="24" t="s">
        <v>552</v>
      </c>
      <c r="C149" s="8"/>
      <c r="D149" s="8"/>
      <c r="E149" s="10" t="s">
        <v>227</v>
      </c>
      <c r="F149" s="11">
        <v>3</v>
      </c>
      <c r="G149" s="18"/>
      <c r="H149" s="18"/>
      <c r="I149" s="18"/>
      <c r="J149" s="18"/>
      <c r="K149" s="11"/>
      <c r="L149" s="11"/>
      <c r="M149" s="11"/>
      <c r="N149" s="11">
        <f t="shared" si="9"/>
        <v>0</v>
      </c>
      <c r="O149" s="11">
        <f t="shared" si="7"/>
        <v>0</v>
      </c>
      <c r="P149" s="11">
        <f t="shared" si="8"/>
        <v>0</v>
      </c>
      <c r="Q149" s="8"/>
    </row>
    <row r="150" spans="1:17" x14ac:dyDescent="0.25">
      <c r="A150" s="8"/>
      <c r="B150" s="24" t="s">
        <v>553</v>
      </c>
      <c r="C150" s="8"/>
      <c r="D150" s="8"/>
      <c r="E150" s="10" t="s">
        <v>227</v>
      </c>
      <c r="F150" s="11">
        <v>21</v>
      </c>
      <c r="G150" s="18"/>
      <c r="H150" s="18"/>
      <c r="I150" s="18"/>
      <c r="J150" s="18"/>
      <c r="K150" s="11"/>
      <c r="L150" s="11"/>
      <c r="M150" s="11"/>
      <c r="N150" s="11">
        <f t="shared" si="9"/>
        <v>0</v>
      </c>
      <c r="O150" s="11">
        <f t="shared" si="7"/>
        <v>0</v>
      </c>
      <c r="P150" s="11">
        <f t="shared" si="8"/>
        <v>0</v>
      </c>
      <c r="Q150" s="8"/>
    </row>
    <row r="151" spans="1:17" x14ac:dyDescent="0.25">
      <c r="A151" s="8"/>
      <c r="B151" s="24" t="s">
        <v>554</v>
      </c>
      <c r="C151" s="8"/>
      <c r="D151" s="8"/>
      <c r="E151" s="10" t="s">
        <v>227</v>
      </c>
      <c r="F151" s="11">
        <v>6</v>
      </c>
      <c r="G151" s="18"/>
      <c r="H151" s="18"/>
      <c r="I151" s="18"/>
      <c r="J151" s="18"/>
      <c r="K151" s="11"/>
      <c r="L151" s="11"/>
      <c r="M151" s="11"/>
      <c r="N151" s="11">
        <f t="shared" si="9"/>
        <v>0</v>
      </c>
      <c r="O151" s="11">
        <f t="shared" si="7"/>
        <v>0</v>
      </c>
      <c r="P151" s="11">
        <f t="shared" si="8"/>
        <v>0</v>
      </c>
      <c r="Q151" s="8"/>
    </row>
    <row r="152" spans="1:17" x14ac:dyDescent="0.25">
      <c r="A152" s="8"/>
      <c r="B152" s="24" t="s">
        <v>555</v>
      </c>
      <c r="C152" s="8"/>
      <c r="D152" s="8"/>
      <c r="E152" s="10" t="s">
        <v>227</v>
      </c>
      <c r="F152" s="11">
        <v>3</v>
      </c>
      <c r="G152" s="18"/>
      <c r="H152" s="18"/>
      <c r="I152" s="18"/>
      <c r="J152" s="18"/>
      <c r="K152" s="11"/>
      <c r="L152" s="11"/>
      <c r="M152" s="11"/>
      <c r="N152" s="11">
        <f t="shared" si="9"/>
        <v>0</v>
      </c>
      <c r="O152" s="11">
        <f t="shared" si="7"/>
        <v>0</v>
      </c>
      <c r="P152" s="11">
        <f t="shared" si="8"/>
        <v>0</v>
      </c>
      <c r="Q152" s="8"/>
    </row>
    <row r="153" spans="1:17" x14ac:dyDescent="0.25">
      <c r="A153" s="8"/>
      <c r="B153" s="24" t="s">
        <v>556</v>
      </c>
      <c r="C153" s="8"/>
      <c r="D153" s="8"/>
      <c r="E153" s="10" t="s">
        <v>227</v>
      </c>
      <c r="F153" s="11">
        <v>2</v>
      </c>
      <c r="G153" s="18"/>
      <c r="H153" s="18"/>
      <c r="I153" s="18"/>
      <c r="J153" s="18"/>
      <c r="K153" s="11"/>
      <c r="L153" s="11"/>
      <c r="M153" s="11"/>
      <c r="N153" s="11">
        <f t="shared" si="9"/>
        <v>0</v>
      </c>
      <c r="O153" s="11">
        <f t="shared" si="7"/>
        <v>0</v>
      </c>
      <c r="P153" s="11">
        <f t="shared" si="8"/>
        <v>0</v>
      </c>
      <c r="Q153" s="8"/>
    </row>
    <row r="154" spans="1:17" x14ac:dyDescent="0.25">
      <c r="A154" s="8"/>
      <c r="B154" s="24" t="s">
        <v>557</v>
      </c>
      <c r="C154" s="8"/>
      <c r="D154" s="8"/>
      <c r="E154" s="10" t="s">
        <v>227</v>
      </c>
      <c r="F154" s="11">
        <v>4</v>
      </c>
      <c r="G154" s="18"/>
      <c r="H154" s="18"/>
      <c r="I154" s="18"/>
      <c r="J154" s="18"/>
      <c r="K154" s="11"/>
      <c r="L154" s="11"/>
      <c r="M154" s="11"/>
      <c r="N154" s="11"/>
      <c r="O154" s="11"/>
      <c r="P154" s="11"/>
      <c r="Q154" s="8"/>
    </row>
    <row r="155" spans="1:17" x14ac:dyDescent="0.25">
      <c r="A155" s="8"/>
      <c r="B155" s="24" t="s">
        <v>558</v>
      </c>
      <c r="C155" s="12"/>
      <c r="D155" s="10"/>
      <c r="E155" s="10" t="s">
        <v>227</v>
      </c>
      <c r="F155" s="11">
        <v>3</v>
      </c>
      <c r="G155" s="21"/>
      <c r="H155" s="18"/>
      <c r="I155" s="18"/>
      <c r="J155" s="18"/>
      <c r="K155" s="11"/>
      <c r="L155" s="11"/>
      <c r="M155" s="11">
        <f>K155*8%</f>
        <v>0</v>
      </c>
      <c r="N155" s="11">
        <f t="shared" si="9"/>
        <v>0</v>
      </c>
      <c r="O155" s="11">
        <f t="shared" ref="O155:O218" si="10">(K155+M155)*F155</f>
        <v>0</v>
      </c>
      <c r="P155" s="11">
        <f t="shared" ref="P155:P218" si="11">(L155+N155)*F155</f>
        <v>0</v>
      </c>
      <c r="Q155" s="8"/>
    </row>
    <row r="156" spans="1:17" x14ac:dyDescent="0.25">
      <c r="A156" s="8"/>
      <c r="B156" s="24" t="s">
        <v>559</v>
      </c>
      <c r="C156" s="12"/>
      <c r="D156" s="10"/>
      <c r="E156" s="10" t="s">
        <v>227</v>
      </c>
      <c r="F156" s="11">
        <v>3</v>
      </c>
      <c r="G156" s="21"/>
      <c r="H156" s="18"/>
      <c r="I156" s="18"/>
      <c r="J156" s="18"/>
      <c r="K156" s="11"/>
      <c r="L156" s="11"/>
      <c r="M156" s="11">
        <f t="shared" ref="M156:M161" si="12">K156*8%</f>
        <v>0</v>
      </c>
      <c r="N156" s="11">
        <f t="shared" si="9"/>
        <v>0</v>
      </c>
      <c r="O156" s="11">
        <f t="shared" si="10"/>
        <v>0</v>
      </c>
      <c r="P156" s="11">
        <f t="shared" si="11"/>
        <v>0</v>
      </c>
      <c r="Q156" s="8"/>
    </row>
    <row r="157" spans="1:17" x14ac:dyDescent="0.25">
      <c r="A157" s="8"/>
      <c r="B157" s="24" t="s">
        <v>560</v>
      </c>
      <c r="C157" s="12"/>
      <c r="D157" s="10"/>
      <c r="E157" s="10" t="s">
        <v>227</v>
      </c>
      <c r="F157" s="11">
        <v>4</v>
      </c>
      <c r="G157" s="21"/>
      <c r="H157" s="18"/>
      <c r="I157" s="18"/>
      <c r="J157" s="18"/>
      <c r="K157" s="11"/>
      <c r="L157" s="11"/>
      <c r="M157" s="11">
        <f t="shared" si="12"/>
        <v>0</v>
      </c>
      <c r="N157" s="11">
        <f t="shared" si="9"/>
        <v>0</v>
      </c>
      <c r="O157" s="11">
        <f t="shared" si="10"/>
        <v>0</v>
      </c>
      <c r="P157" s="11">
        <f t="shared" si="11"/>
        <v>0</v>
      </c>
      <c r="Q157" s="8"/>
    </row>
    <row r="158" spans="1:17" x14ac:dyDescent="0.25">
      <c r="A158" s="8"/>
      <c r="B158" s="24" t="s">
        <v>561</v>
      </c>
      <c r="C158" s="12"/>
      <c r="D158" s="10"/>
      <c r="E158" s="10" t="s">
        <v>227</v>
      </c>
      <c r="F158" s="11">
        <v>3</v>
      </c>
      <c r="G158" s="21"/>
      <c r="H158" s="18"/>
      <c r="I158" s="18"/>
      <c r="J158" s="18"/>
      <c r="K158" s="11"/>
      <c r="L158" s="11"/>
      <c r="M158" s="11">
        <f t="shared" si="12"/>
        <v>0</v>
      </c>
      <c r="N158" s="11">
        <f t="shared" si="9"/>
        <v>0</v>
      </c>
      <c r="O158" s="11">
        <f t="shared" si="10"/>
        <v>0</v>
      </c>
      <c r="P158" s="11">
        <f t="shared" si="11"/>
        <v>0</v>
      </c>
      <c r="Q158" s="8"/>
    </row>
    <row r="159" spans="1:17" x14ac:dyDescent="0.25">
      <c r="A159" s="8"/>
      <c r="B159" s="24" t="s">
        <v>562</v>
      </c>
      <c r="C159" s="12"/>
      <c r="D159" s="10"/>
      <c r="E159" s="10" t="s">
        <v>227</v>
      </c>
      <c r="F159" s="11">
        <v>2</v>
      </c>
      <c r="G159" s="21"/>
      <c r="H159" s="18"/>
      <c r="I159" s="18"/>
      <c r="J159" s="18"/>
      <c r="K159" s="11"/>
      <c r="L159" s="11"/>
      <c r="M159" s="11">
        <f t="shared" si="12"/>
        <v>0</v>
      </c>
      <c r="N159" s="11">
        <f t="shared" si="9"/>
        <v>0</v>
      </c>
      <c r="O159" s="11">
        <f t="shared" si="10"/>
        <v>0</v>
      </c>
      <c r="P159" s="11">
        <f t="shared" si="11"/>
        <v>0</v>
      </c>
      <c r="Q159" s="8"/>
    </row>
    <row r="160" spans="1:17" x14ac:dyDescent="0.25">
      <c r="A160" s="8"/>
      <c r="B160" s="24" t="s">
        <v>563</v>
      </c>
      <c r="C160" s="8"/>
      <c r="D160" s="10"/>
      <c r="E160" s="10" t="s">
        <v>227</v>
      </c>
      <c r="F160" s="11">
        <v>3</v>
      </c>
      <c r="G160" s="18"/>
      <c r="H160" s="18"/>
      <c r="I160" s="18"/>
      <c r="J160" s="18"/>
      <c r="K160" s="11"/>
      <c r="L160" s="11"/>
      <c r="M160" s="11">
        <f t="shared" si="12"/>
        <v>0</v>
      </c>
      <c r="N160" s="11">
        <f t="shared" si="9"/>
        <v>0</v>
      </c>
      <c r="O160" s="11">
        <f t="shared" si="10"/>
        <v>0</v>
      </c>
      <c r="P160" s="11">
        <f t="shared" si="11"/>
        <v>0</v>
      </c>
      <c r="Q160" s="8"/>
    </row>
    <row r="161" spans="1:17" x14ac:dyDescent="0.25">
      <c r="A161" s="8"/>
      <c r="B161" s="24" t="s">
        <v>564</v>
      </c>
      <c r="C161" s="8"/>
      <c r="D161" s="10"/>
      <c r="E161" s="10" t="s">
        <v>227</v>
      </c>
      <c r="F161" s="11">
        <v>2</v>
      </c>
      <c r="G161" s="18"/>
      <c r="H161" s="18"/>
      <c r="I161" s="18"/>
      <c r="J161" s="18"/>
      <c r="K161" s="11"/>
      <c r="L161" s="11"/>
      <c r="M161" s="11">
        <f t="shared" si="12"/>
        <v>0</v>
      </c>
      <c r="N161" s="11">
        <f t="shared" si="9"/>
        <v>0</v>
      </c>
      <c r="O161" s="11">
        <f t="shared" si="10"/>
        <v>0</v>
      </c>
      <c r="P161" s="11">
        <f t="shared" si="11"/>
        <v>0</v>
      </c>
      <c r="Q161" s="8"/>
    </row>
    <row r="162" spans="1:17" x14ac:dyDescent="0.25">
      <c r="A162" s="8"/>
      <c r="B162" s="24" t="s">
        <v>565</v>
      </c>
      <c r="C162" s="8"/>
      <c r="D162" s="8"/>
      <c r="E162" s="10" t="s">
        <v>227</v>
      </c>
      <c r="F162" s="11">
        <v>2</v>
      </c>
      <c r="G162" s="18"/>
      <c r="H162" s="18"/>
      <c r="I162" s="18"/>
      <c r="J162" s="18"/>
      <c r="K162" s="11"/>
      <c r="L162" s="11"/>
      <c r="M162" s="11"/>
      <c r="N162" s="11"/>
      <c r="O162" s="11"/>
      <c r="P162" s="11"/>
      <c r="Q162" s="8"/>
    </row>
    <row r="163" spans="1:17" x14ac:dyDescent="0.25">
      <c r="A163" s="8"/>
      <c r="B163" s="24" t="s">
        <v>566</v>
      </c>
      <c r="C163" s="12"/>
      <c r="D163" s="10"/>
      <c r="E163" s="10" t="s">
        <v>227</v>
      </c>
      <c r="F163" s="11">
        <v>2</v>
      </c>
      <c r="G163" s="21"/>
      <c r="H163" s="18"/>
      <c r="I163" s="18"/>
      <c r="J163" s="18"/>
      <c r="K163" s="11"/>
      <c r="L163" s="11"/>
      <c r="M163" s="11">
        <f>K163*8%</f>
        <v>0</v>
      </c>
      <c r="N163" s="11">
        <f t="shared" si="9"/>
        <v>0</v>
      </c>
      <c r="O163" s="11">
        <f t="shared" si="10"/>
        <v>0</v>
      </c>
      <c r="P163" s="11">
        <f t="shared" si="11"/>
        <v>0</v>
      </c>
      <c r="Q163" s="8"/>
    </row>
    <row r="164" spans="1:17" x14ac:dyDescent="0.25">
      <c r="A164" s="8"/>
      <c r="B164" s="24" t="s">
        <v>567</v>
      </c>
      <c r="C164" s="12"/>
      <c r="D164" s="10"/>
      <c r="E164" s="10" t="s">
        <v>227</v>
      </c>
      <c r="F164" s="11">
        <v>4</v>
      </c>
      <c r="G164" s="21"/>
      <c r="H164" s="18"/>
      <c r="I164" s="18"/>
      <c r="J164" s="18"/>
      <c r="K164" s="11"/>
      <c r="L164" s="11"/>
      <c r="M164" s="11">
        <f>K164*10%</f>
        <v>0</v>
      </c>
      <c r="N164" s="11">
        <f t="shared" si="9"/>
        <v>0</v>
      </c>
      <c r="O164" s="11">
        <f t="shared" si="10"/>
        <v>0</v>
      </c>
      <c r="P164" s="11">
        <f t="shared" si="11"/>
        <v>0</v>
      </c>
      <c r="Q164" s="8"/>
    </row>
    <row r="165" spans="1:17" x14ac:dyDescent="0.25">
      <c r="A165" s="8"/>
      <c r="B165" s="24" t="s">
        <v>568</v>
      </c>
      <c r="C165" s="8"/>
      <c r="D165" s="10"/>
      <c r="E165" s="10"/>
      <c r="F165" s="11"/>
      <c r="G165" s="18"/>
      <c r="H165" s="18"/>
      <c r="I165" s="18"/>
      <c r="J165" s="18"/>
      <c r="K165" s="11"/>
      <c r="L165" s="11"/>
      <c r="M165" s="11">
        <f t="shared" ref="M165:M166" si="13">K165*8%</f>
        <v>0</v>
      </c>
      <c r="N165" s="11">
        <f t="shared" si="9"/>
        <v>0</v>
      </c>
      <c r="O165" s="11">
        <f t="shared" si="10"/>
        <v>0</v>
      </c>
      <c r="P165" s="11">
        <f t="shared" si="11"/>
        <v>0</v>
      </c>
      <c r="Q165" s="8"/>
    </row>
    <row r="166" spans="1:17" ht="30" x14ac:dyDescent="0.25">
      <c r="A166" s="8"/>
      <c r="B166" s="24" t="s">
        <v>569</v>
      </c>
      <c r="C166" s="8"/>
      <c r="D166" s="10"/>
      <c r="E166" s="10" t="s">
        <v>227</v>
      </c>
      <c r="F166" s="11">
        <v>1</v>
      </c>
      <c r="G166" s="18"/>
      <c r="H166" s="18"/>
      <c r="I166" s="18"/>
      <c r="J166" s="18"/>
      <c r="K166" s="11"/>
      <c r="L166" s="11"/>
      <c r="M166" s="11">
        <f t="shared" si="13"/>
        <v>0</v>
      </c>
      <c r="N166" s="11">
        <f t="shared" si="9"/>
        <v>0</v>
      </c>
      <c r="O166" s="11">
        <f t="shared" si="10"/>
        <v>0</v>
      </c>
      <c r="P166" s="11">
        <f t="shared" si="11"/>
        <v>0</v>
      </c>
      <c r="Q166" s="8"/>
    </row>
    <row r="167" spans="1:17" x14ac:dyDescent="0.25">
      <c r="A167" s="8"/>
      <c r="B167" s="24" t="s">
        <v>435</v>
      </c>
      <c r="C167" s="8"/>
      <c r="D167" s="8"/>
      <c r="E167" s="10"/>
      <c r="F167" s="11"/>
      <c r="G167" s="18"/>
      <c r="H167" s="18"/>
      <c r="I167" s="18"/>
      <c r="J167" s="18"/>
      <c r="K167" s="11"/>
      <c r="L167" s="11"/>
      <c r="M167" s="11"/>
      <c r="N167" s="11"/>
      <c r="O167" s="11"/>
      <c r="P167" s="11"/>
      <c r="Q167" s="8"/>
    </row>
    <row r="168" spans="1:17" ht="30" x14ac:dyDescent="0.25">
      <c r="A168" s="8"/>
      <c r="B168" s="24" t="s">
        <v>570</v>
      </c>
      <c r="C168" s="12"/>
      <c r="D168" s="10"/>
      <c r="E168" s="10" t="s">
        <v>227</v>
      </c>
      <c r="F168" s="11">
        <v>2</v>
      </c>
      <c r="G168" s="21"/>
      <c r="H168" s="18"/>
      <c r="I168" s="18"/>
      <c r="J168" s="18"/>
      <c r="K168" s="11"/>
      <c r="L168" s="11"/>
      <c r="M168" s="11">
        <f>K168*8%</f>
        <v>0</v>
      </c>
      <c r="N168" s="11">
        <f>L168*8%</f>
        <v>0</v>
      </c>
      <c r="O168" s="11">
        <f t="shared" si="10"/>
        <v>0</v>
      </c>
      <c r="P168" s="11">
        <f t="shared" si="11"/>
        <v>0</v>
      </c>
      <c r="Q168" s="8"/>
    </row>
    <row r="169" spans="1:17" ht="30" x14ac:dyDescent="0.25">
      <c r="A169" s="8"/>
      <c r="B169" s="24" t="s">
        <v>571</v>
      </c>
      <c r="C169" s="12"/>
      <c r="D169" s="10"/>
      <c r="E169" s="10" t="s">
        <v>227</v>
      </c>
      <c r="F169" s="11">
        <v>4</v>
      </c>
      <c r="G169" s="21"/>
      <c r="H169" s="18"/>
      <c r="I169" s="18"/>
      <c r="J169" s="18"/>
      <c r="K169" s="11"/>
      <c r="L169" s="11"/>
      <c r="M169" s="11">
        <f>K169*10%</f>
        <v>0</v>
      </c>
      <c r="N169" s="11">
        <f t="shared" si="9"/>
        <v>0</v>
      </c>
      <c r="O169" s="11">
        <f t="shared" si="10"/>
        <v>0</v>
      </c>
      <c r="P169" s="11">
        <f t="shared" si="11"/>
        <v>0</v>
      </c>
      <c r="Q169" s="8"/>
    </row>
    <row r="170" spans="1:17" ht="30" x14ac:dyDescent="0.25">
      <c r="A170" s="8"/>
      <c r="B170" s="24" t="s">
        <v>572</v>
      </c>
      <c r="C170" s="12"/>
      <c r="D170" s="10"/>
      <c r="E170" s="10" t="s">
        <v>227</v>
      </c>
      <c r="F170" s="11">
        <v>5</v>
      </c>
      <c r="G170" s="21"/>
      <c r="H170" s="18"/>
      <c r="I170" s="18"/>
      <c r="J170" s="18"/>
      <c r="K170" s="11"/>
      <c r="L170" s="11"/>
      <c r="M170" s="11">
        <f t="shared" ref="M170:M172" si="14">K170*10%</f>
        <v>0</v>
      </c>
      <c r="N170" s="11">
        <f t="shared" si="9"/>
        <v>0</v>
      </c>
      <c r="O170" s="11">
        <f t="shared" si="10"/>
        <v>0</v>
      </c>
      <c r="P170" s="11">
        <f t="shared" si="11"/>
        <v>0</v>
      </c>
      <c r="Q170" s="8"/>
    </row>
    <row r="171" spans="1:17" ht="30" x14ac:dyDescent="0.25">
      <c r="A171" s="8"/>
      <c r="B171" s="24" t="s">
        <v>573</v>
      </c>
      <c r="C171" s="12"/>
      <c r="D171" s="10"/>
      <c r="E171" s="10" t="s">
        <v>227</v>
      </c>
      <c r="F171" s="11">
        <v>4</v>
      </c>
      <c r="G171" s="21"/>
      <c r="H171" s="18"/>
      <c r="I171" s="18"/>
      <c r="J171" s="18"/>
      <c r="K171" s="11"/>
      <c r="L171" s="11"/>
      <c r="M171" s="11">
        <f t="shared" si="14"/>
        <v>0</v>
      </c>
      <c r="N171" s="11">
        <f t="shared" si="9"/>
        <v>0</v>
      </c>
      <c r="O171" s="11">
        <f t="shared" si="10"/>
        <v>0</v>
      </c>
      <c r="P171" s="11">
        <f t="shared" si="11"/>
        <v>0</v>
      </c>
      <c r="Q171" s="8"/>
    </row>
    <row r="172" spans="1:17" ht="30" x14ac:dyDescent="0.25">
      <c r="A172" s="8"/>
      <c r="B172" s="24" t="s">
        <v>574</v>
      </c>
      <c r="C172" s="12"/>
      <c r="D172" s="10"/>
      <c r="E172" s="10" t="s">
        <v>227</v>
      </c>
      <c r="F172" s="11">
        <v>2</v>
      </c>
      <c r="G172" s="21"/>
      <c r="H172" s="18"/>
      <c r="I172" s="18"/>
      <c r="J172" s="18"/>
      <c r="K172" s="11"/>
      <c r="L172" s="11"/>
      <c r="M172" s="11">
        <f t="shared" si="14"/>
        <v>0</v>
      </c>
      <c r="N172" s="11">
        <f t="shared" si="9"/>
        <v>0</v>
      </c>
      <c r="O172" s="11">
        <f t="shared" si="10"/>
        <v>0</v>
      </c>
      <c r="P172" s="11">
        <f t="shared" si="11"/>
        <v>0</v>
      </c>
      <c r="Q172" s="8"/>
    </row>
    <row r="173" spans="1:17" ht="30" x14ac:dyDescent="0.25">
      <c r="A173" s="8"/>
      <c r="B173" s="24" t="s">
        <v>575</v>
      </c>
      <c r="C173" s="12"/>
      <c r="D173" s="10"/>
      <c r="E173" s="10" t="s">
        <v>227</v>
      </c>
      <c r="F173" s="11">
        <v>2</v>
      </c>
      <c r="G173" s="21"/>
      <c r="H173" s="18"/>
      <c r="I173" s="18"/>
      <c r="J173" s="18"/>
      <c r="K173" s="11"/>
      <c r="L173" s="11"/>
      <c r="M173" s="11">
        <f>K173*8%</f>
        <v>0</v>
      </c>
      <c r="N173" s="11">
        <f t="shared" si="9"/>
        <v>0</v>
      </c>
      <c r="O173" s="11">
        <f t="shared" si="10"/>
        <v>0</v>
      </c>
      <c r="P173" s="11">
        <f t="shared" si="11"/>
        <v>0</v>
      </c>
      <c r="Q173" s="8"/>
    </row>
    <row r="174" spans="1:17" ht="30" x14ac:dyDescent="0.25">
      <c r="A174" s="8"/>
      <c r="B174" s="24" t="s">
        <v>576</v>
      </c>
      <c r="C174" s="12"/>
      <c r="D174" s="10"/>
      <c r="E174" s="10" t="s">
        <v>227</v>
      </c>
      <c r="F174" s="11">
        <v>10</v>
      </c>
      <c r="G174" s="21"/>
      <c r="H174" s="18"/>
      <c r="I174" s="18"/>
      <c r="J174" s="18"/>
      <c r="K174" s="11"/>
      <c r="L174" s="11"/>
      <c r="M174" s="11">
        <f>K174*8%</f>
        <v>0</v>
      </c>
      <c r="N174" s="11">
        <f t="shared" si="9"/>
        <v>0</v>
      </c>
      <c r="O174" s="11">
        <f t="shared" si="10"/>
        <v>0</v>
      </c>
      <c r="P174" s="11">
        <f t="shared" si="11"/>
        <v>0</v>
      </c>
      <c r="Q174" s="8"/>
    </row>
    <row r="175" spans="1:17" ht="30" x14ac:dyDescent="0.25">
      <c r="A175" s="8"/>
      <c r="B175" s="24" t="s">
        <v>577</v>
      </c>
      <c r="C175" s="8"/>
      <c r="D175" s="10"/>
      <c r="E175" s="10" t="s">
        <v>227</v>
      </c>
      <c r="F175" s="11">
        <v>10</v>
      </c>
      <c r="G175" s="18"/>
      <c r="H175" s="18"/>
      <c r="I175" s="18"/>
      <c r="J175" s="18"/>
      <c r="K175" s="11"/>
      <c r="L175" s="11"/>
      <c r="M175" s="11">
        <f t="shared" ref="M175:M176" si="15">K175*8%</f>
        <v>0</v>
      </c>
      <c r="N175" s="11">
        <f t="shared" si="9"/>
        <v>0</v>
      </c>
      <c r="O175" s="11">
        <f t="shared" si="10"/>
        <v>0</v>
      </c>
      <c r="P175" s="11">
        <f t="shared" si="11"/>
        <v>0</v>
      </c>
      <c r="Q175" s="8"/>
    </row>
    <row r="176" spans="1:17" ht="30" x14ac:dyDescent="0.25">
      <c r="A176" s="8"/>
      <c r="B176" s="24" t="s">
        <v>578</v>
      </c>
      <c r="C176" s="8"/>
      <c r="D176" s="10"/>
      <c r="E176" s="10" t="s">
        <v>227</v>
      </c>
      <c r="F176" s="11">
        <v>10</v>
      </c>
      <c r="G176" s="18"/>
      <c r="H176" s="18"/>
      <c r="I176" s="18"/>
      <c r="J176" s="18"/>
      <c r="K176" s="11"/>
      <c r="L176" s="11"/>
      <c r="M176" s="11">
        <f t="shared" si="15"/>
        <v>0</v>
      </c>
      <c r="N176" s="11">
        <f t="shared" si="9"/>
        <v>0</v>
      </c>
      <c r="O176" s="11">
        <f t="shared" si="10"/>
        <v>0</v>
      </c>
      <c r="P176" s="11">
        <f t="shared" si="11"/>
        <v>0</v>
      </c>
      <c r="Q176" s="8"/>
    </row>
    <row r="177" spans="1:17" ht="30" x14ac:dyDescent="0.25">
      <c r="A177" s="8"/>
      <c r="B177" s="24" t="s">
        <v>579</v>
      </c>
      <c r="C177" s="8"/>
      <c r="D177" s="8"/>
      <c r="E177" s="10" t="s">
        <v>227</v>
      </c>
      <c r="F177" s="11">
        <v>6</v>
      </c>
      <c r="G177" s="18"/>
      <c r="H177" s="18"/>
      <c r="I177" s="18"/>
      <c r="J177" s="18"/>
      <c r="K177" s="11"/>
      <c r="L177" s="11"/>
      <c r="M177" s="11"/>
      <c r="N177" s="11"/>
      <c r="O177" s="11"/>
      <c r="P177" s="11"/>
      <c r="Q177" s="8"/>
    </row>
    <row r="178" spans="1:17" ht="30" x14ac:dyDescent="0.25">
      <c r="A178" s="8"/>
      <c r="B178" s="24" t="s">
        <v>580</v>
      </c>
      <c r="C178" s="12"/>
      <c r="D178" s="19"/>
      <c r="E178" s="10" t="s">
        <v>227</v>
      </c>
      <c r="F178" s="11">
        <v>5</v>
      </c>
      <c r="G178" s="21"/>
      <c r="H178" s="18"/>
      <c r="I178" s="18"/>
      <c r="J178" s="18"/>
      <c r="K178" s="11"/>
      <c r="L178" s="11"/>
      <c r="M178" s="11">
        <f>K178*10%</f>
        <v>0</v>
      </c>
      <c r="N178" s="11">
        <f t="shared" si="9"/>
        <v>0</v>
      </c>
      <c r="O178" s="11">
        <f t="shared" si="10"/>
        <v>0</v>
      </c>
      <c r="P178" s="11">
        <f t="shared" si="11"/>
        <v>0</v>
      </c>
      <c r="Q178" s="8"/>
    </row>
    <row r="179" spans="1:17" ht="30" x14ac:dyDescent="0.25">
      <c r="A179" s="8"/>
      <c r="B179" s="24" t="s">
        <v>581</v>
      </c>
      <c r="C179" s="8"/>
      <c r="D179" s="10"/>
      <c r="E179" s="10" t="s">
        <v>227</v>
      </c>
      <c r="F179" s="11">
        <v>38</v>
      </c>
      <c r="G179" s="18"/>
      <c r="H179" s="18"/>
      <c r="I179" s="18"/>
      <c r="J179" s="18"/>
      <c r="K179" s="11"/>
      <c r="L179" s="11"/>
      <c r="M179" s="11">
        <f t="shared" ref="M179" si="16">K179*8%</f>
        <v>0</v>
      </c>
      <c r="N179" s="11">
        <f t="shared" si="9"/>
        <v>0</v>
      </c>
      <c r="O179" s="11">
        <f t="shared" si="10"/>
        <v>0</v>
      </c>
      <c r="P179" s="11">
        <f t="shared" si="11"/>
        <v>0</v>
      </c>
      <c r="Q179" s="8"/>
    </row>
    <row r="180" spans="1:17" ht="30" x14ac:dyDescent="0.25">
      <c r="A180" s="8"/>
      <c r="B180" s="24" t="s">
        <v>582</v>
      </c>
      <c r="C180" s="8"/>
      <c r="D180" s="8"/>
      <c r="E180" s="10" t="s">
        <v>227</v>
      </c>
      <c r="F180" s="11">
        <v>10</v>
      </c>
      <c r="G180" s="18"/>
      <c r="H180" s="18"/>
      <c r="I180" s="18"/>
      <c r="J180" s="18"/>
      <c r="K180" s="11"/>
      <c r="L180" s="11"/>
      <c r="M180" s="11"/>
      <c r="N180" s="11">
        <f t="shared" si="9"/>
        <v>0</v>
      </c>
      <c r="O180" s="11">
        <f t="shared" si="10"/>
        <v>0</v>
      </c>
      <c r="P180" s="11">
        <f t="shared" si="11"/>
        <v>0</v>
      </c>
      <c r="Q180" s="8"/>
    </row>
    <row r="181" spans="1:17" ht="30" x14ac:dyDescent="0.25">
      <c r="A181" s="8"/>
      <c r="B181" s="24" t="s">
        <v>583</v>
      </c>
      <c r="C181" s="8"/>
      <c r="D181" s="8"/>
      <c r="E181" s="10" t="s">
        <v>227</v>
      </c>
      <c r="F181" s="11">
        <v>6</v>
      </c>
      <c r="G181" s="18"/>
      <c r="H181" s="18"/>
      <c r="I181" s="18"/>
      <c r="J181" s="18"/>
      <c r="K181" s="11"/>
      <c r="L181" s="11"/>
      <c r="M181" s="11"/>
      <c r="N181" s="11">
        <f t="shared" si="9"/>
        <v>0</v>
      </c>
      <c r="O181" s="11">
        <f t="shared" si="10"/>
        <v>0</v>
      </c>
      <c r="P181" s="11">
        <f t="shared" si="11"/>
        <v>0</v>
      </c>
      <c r="Q181" s="8"/>
    </row>
    <row r="182" spans="1:17" ht="30" x14ac:dyDescent="0.25">
      <c r="A182" s="8"/>
      <c r="B182" s="24" t="s">
        <v>584</v>
      </c>
      <c r="C182" s="8"/>
      <c r="D182" s="8"/>
      <c r="E182" s="10" t="s">
        <v>227</v>
      </c>
      <c r="F182" s="11">
        <v>4</v>
      </c>
      <c r="G182" s="18"/>
      <c r="H182" s="18"/>
      <c r="I182" s="18"/>
      <c r="J182" s="18"/>
      <c r="K182" s="11"/>
      <c r="L182" s="11"/>
      <c r="M182" s="11"/>
      <c r="N182" s="11">
        <f t="shared" si="9"/>
        <v>0</v>
      </c>
      <c r="O182" s="11">
        <f t="shared" si="10"/>
        <v>0</v>
      </c>
      <c r="P182" s="11">
        <f t="shared" si="11"/>
        <v>0</v>
      </c>
      <c r="Q182" s="8"/>
    </row>
    <row r="183" spans="1:17" ht="30" x14ac:dyDescent="0.25">
      <c r="A183" s="8"/>
      <c r="B183" s="24" t="s">
        <v>585</v>
      </c>
      <c r="C183" s="8"/>
      <c r="D183" s="8"/>
      <c r="E183" s="10" t="s">
        <v>227</v>
      </c>
      <c r="F183" s="11">
        <v>6</v>
      </c>
      <c r="G183" s="18"/>
      <c r="H183" s="18"/>
      <c r="I183" s="18"/>
      <c r="J183" s="18"/>
      <c r="K183" s="11"/>
      <c r="L183" s="11"/>
      <c r="M183" s="11"/>
      <c r="N183" s="11">
        <f t="shared" ref="N183:N247" si="17">L183*8%</f>
        <v>0</v>
      </c>
      <c r="O183" s="11">
        <f t="shared" si="10"/>
        <v>0</v>
      </c>
      <c r="P183" s="11">
        <f t="shared" si="11"/>
        <v>0</v>
      </c>
      <c r="Q183" s="8"/>
    </row>
    <row r="184" spans="1:17" ht="30" x14ac:dyDescent="0.25">
      <c r="A184" s="8"/>
      <c r="B184" s="24" t="s">
        <v>586</v>
      </c>
      <c r="C184" s="8"/>
      <c r="D184" s="8"/>
      <c r="E184" s="10" t="s">
        <v>227</v>
      </c>
      <c r="F184" s="11">
        <v>6</v>
      </c>
      <c r="G184" s="18"/>
      <c r="H184" s="18"/>
      <c r="I184" s="18"/>
      <c r="J184" s="18"/>
      <c r="K184" s="11"/>
      <c r="L184" s="11"/>
      <c r="M184" s="11"/>
      <c r="N184" s="11">
        <f t="shared" si="17"/>
        <v>0</v>
      </c>
      <c r="O184" s="11">
        <f t="shared" si="10"/>
        <v>0</v>
      </c>
      <c r="P184" s="11">
        <f t="shared" si="11"/>
        <v>0</v>
      </c>
      <c r="Q184" s="8"/>
    </row>
    <row r="185" spans="1:17" ht="30" x14ac:dyDescent="0.25">
      <c r="A185" s="8"/>
      <c r="B185" s="24" t="s">
        <v>587</v>
      </c>
      <c r="C185" s="8"/>
      <c r="D185" s="8"/>
      <c r="E185" s="10" t="s">
        <v>227</v>
      </c>
      <c r="F185" s="11">
        <v>6</v>
      </c>
      <c r="G185" s="18"/>
      <c r="H185" s="18"/>
      <c r="I185" s="18"/>
      <c r="J185" s="18"/>
      <c r="K185" s="11"/>
      <c r="L185" s="11"/>
      <c r="M185" s="11"/>
      <c r="N185" s="11">
        <f t="shared" si="17"/>
        <v>0</v>
      </c>
      <c r="O185" s="11">
        <f t="shared" si="10"/>
        <v>0</v>
      </c>
      <c r="P185" s="11">
        <f t="shared" si="11"/>
        <v>0</v>
      </c>
      <c r="Q185" s="8"/>
    </row>
    <row r="186" spans="1:17" ht="30" x14ac:dyDescent="0.25">
      <c r="A186" s="8"/>
      <c r="B186" s="24" t="s">
        <v>588</v>
      </c>
      <c r="C186" s="8"/>
      <c r="D186" s="8"/>
      <c r="E186" s="10" t="s">
        <v>227</v>
      </c>
      <c r="F186" s="11">
        <v>8</v>
      </c>
      <c r="G186" s="18"/>
      <c r="H186" s="18"/>
      <c r="I186" s="18"/>
      <c r="J186" s="18"/>
      <c r="K186" s="11"/>
      <c r="L186" s="11"/>
      <c r="M186" s="11"/>
      <c r="N186" s="11">
        <f t="shared" si="17"/>
        <v>0</v>
      </c>
      <c r="O186" s="11">
        <f t="shared" si="10"/>
        <v>0</v>
      </c>
      <c r="P186" s="11">
        <f t="shared" si="11"/>
        <v>0</v>
      </c>
      <c r="Q186" s="8"/>
    </row>
    <row r="187" spans="1:17" ht="30" x14ac:dyDescent="0.25">
      <c r="A187" s="8"/>
      <c r="B187" s="24" t="s">
        <v>589</v>
      </c>
      <c r="C187" s="8"/>
      <c r="D187" s="8"/>
      <c r="E187" s="10" t="s">
        <v>227</v>
      </c>
      <c r="F187" s="11">
        <v>6</v>
      </c>
      <c r="G187" s="18"/>
      <c r="H187" s="18"/>
      <c r="I187" s="18"/>
      <c r="J187" s="18"/>
      <c r="K187" s="11"/>
      <c r="L187" s="11"/>
      <c r="M187" s="11"/>
      <c r="N187" s="11">
        <f t="shared" si="17"/>
        <v>0</v>
      </c>
      <c r="O187" s="11">
        <f t="shared" si="10"/>
        <v>0</v>
      </c>
      <c r="P187" s="11">
        <f t="shared" si="11"/>
        <v>0</v>
      </c>
      <c r="Q187" s="8"/>
    </row>
    <row r="188" spans="1:17" ht="30" x14ac:dyDescent="0.25">
      <c r="A188" s="8"/>
      <c r="B188" s="24" t="s">
        <v>590</v>
      </c>
      <c r="C188" s="8"/>
      <c r="D188" s="8"/>
      <c r="E188" s="10" t="s">
        <v>227</v>
      </c>
      <c r="F188" s="11">
        <v>4</v>
      </c>
      <c r="G188" s="18"/>
      <c r="H188" s="18"/>
      <c r="I188" s="18"/>
      <c r="J188" s="18"/>
      <c r="K188" s="11"/>
      <c r="L188" s="11"/>
      <c r="M188" s="11"/>
      <c r="N188" s="11">
        <f t="shared" si="17"/>
        <v>0</v>
      </c>
      <c r="O188" s="11">
        <f t="shared" si="10"/>
        <v>0</v>
      </c>
      <c r="P188" s="11">
        <f t="shared" si="11"/>
        <v>0</v>
      </c>
      <c r="Q188" s="8"/>
    </row>
    <row r="189" spans="1:17" ht="30" x14ac:dyDescent="0.25">
      <c r="A189" s="8"/>
      <c r="B189" s="24" t="s">
        <v>591</v>
      </c>
      <c r="C189" s="8"/>
      <c r="D189" s="8"/>
      <c r="E189" s="10" t="s">
        <v>227</v>
      </c>
      <c r="F189" s="11">
        <v>5</v>
      </c>
      <c r="G189" s="18"/>
      <c r="H189" s="18"/>
      <c r="I189" s="18"/>
      <c r="J189" s="18"/>
      <c r="K189" s="11"/>
      <c r="L189" s="11"/>
      <c r="M189" s="11"/>
      <c r="N189" s="11">
        <f t="shared" si="17"/>
        <v>0</v>
      </c>
      <c r="O189" s="11">
        <f t="shared" si="10"/>
        <v>0</v>
      </c>
      <c r="P189" s="11">
        <f t="shared" si="11"/>
        <v>0</v>
      </c>
      <c r="Q189" s="8"/>
    </row>
    <row r="190" spans="1:17" ht="30" x14ac:dyDescent="0.25">
      <c r="A190" s="8"/>
      <c r="B190" s="24" t="s">
        <v>592</v>
      </c>
      <c r="C190" s="8"/>
      <c r="D190" s="8"/>
      <c r="E190" s="10" t="s">
        <v>227</v>
      </c>
      <c r="F190" s="11">
        <v>4</v>
      </c>
      <c r="G190" s="18"/>
      <c r="H190" s="18"/>
      <c r="I190" s="18"/>
      <c r="J190" s="18"/>
      <c r="K190" s="11"/>
      <c r="L190" s="11"/>
      <c r="M190" s="11"/>
      <c r="N190" s="11">
        <f t="shared" si="17"/>
        <v>0</v>
      </c>
      <c r="O190" s="11">
        <f t="shared" si="10"/>
        <v>0</v>
      </c>
      <c r="P190" s="11">
        <f t="shared" si="11"/>
        <v>0</v>
      </c>
      <c r="Q190" s="8"/>
    </row>
    <row r="191" spans="1:17" ht="30" x14ac:dyDescent="0.25">
      <c r="A191" s="8"/>
      <c r="B191" s="24" t="s">
        <v>593</v>
      </c>
      <c r="C191" s="8"/>
      <c r="D191" s="8"/>
      <c r="E191" s="10" t="s">
        <v>227</v>
      </c>
      <c r="F191" s="11">
        <v>6</v>
      </c>
      <c r="G191" s="18"/>
      <c r="H191" s="18"/>
      <c r="I191" s="18"/>
      <c r="J191" s="18"/>
      <c r="K191" s="11"/>
      <c r="L191" s="11"/>
      <c r="M191" s="11"/>
      <c r="N191" s="11">
        <f t="shared" si="17"/>
        <v>0</v>
      </c>
      <c r="O191" s="11">
        <f t="shared" si="10"/>
        <v>0</v>
      </c>
      <c r="P191" s="11">
        <f t="shared" si="11"/>
        <v>0</v>
      </c>
      <c r="Q191" s="8"/>
    </row>
    <row r="192" spans="1:17" ht="30" x14ac:dyDescent="0.25">
      <c r="A192" s="8"/>
      <c r="B192" s="24" t="s">
        <v>594</v>
      </c>
      <c r="C192" s="8"/>
      <c r="D192" s="8"/>
      <c r="E192" s="10" t="s">
        <v>227</v>
      </c>
      <c r="F192" s="11">
        <v>4</v>
      </c>
      <c r="G192" s="18"/>
      <c r="H192" s="18"/>
      <c r="I192" s="18"/>
      <c r="J192" s="18"/>
      <c r="K192" s="11"/>
      <c r="L192" s="11"/>
      <c r="M192" s="11"/>
      <c r="N192" s="11">
        <f t="shared" si="17"/>
        <v>0</v>
      </c>
      <c r="O192" s="11">
        <f t="shared" si="10"/>
        <v>0</v>
      </c>
      <c r="P192" s="11">
        <f t="shared" si="11"/>
        <v>0</v>
      </c>
      <c r="Q192" s="8"/>
    </row>
    <row r="193" spans="1:17" ht="30" x14ac:dyDescent="0.25">
      <c r="A193" s="8"/>
      <c r="B193" s="24" t="s">
        <v>595</v>
      </c>
      <c r="C193" s="8"/>
      <c r="D193" s="8"/>
      <c r="E193" s="10" t="s">
        <v>227</v>
      </c>
      <c r="F193" s="11">
        <v>8</v>
      </c>
      <c r="G193" s="18"/>
      <c r="H193" s="18"/>
      <c r="I193" s="18"/>
      <c r="J193" s="18"/>
      <c r="K193" s="11"/>
      <c r="L193" s="11"/>
      <c r="M193" s="11"/>
      <c r="N193" s="11">
        <f t="shared" si="17"/>
        <v>0</v>
      </c>
      <c r="O193" s="11">
        <f t="shared" si="10"/>
        <v>0</v>
      </c>
      <c r="P193" s="11">
        <f t="shared" si="11"/>
        <v>0</v>
      </c>
      <c r="Q193" s="8"/>
    </row>
    <row r="194" spans="1:17" x14ac:dyDescent="0.25">
      <c r="A194" s="8"/>
      <c r="B194" s="24" t="s">
        <v>596</v>
      </c>
      <c r="C194" s="8"/>
      <c r="D194" s="8"/>
      <c r="E194" s="10"/>
      <c r="F194" s="11"/>
      <c r="G194" s="18"/>
      <c r="H194" s="18"/>
      <c r="I194" s="18"/>
      <c r="J194" s="18"/>
      <c r="K194" s="11"/>
      <c r="L194" s="11"/>
      <c r="M194" s="11"/>
      <c r="N194" s="11">
        <f t="shared" si="17"/>
        <v>0</v>
      </c>
      <c r="O194" s="11">
        <f t="shared" si="10"/>
        <v>0</v>
      </c>
      <c r="P194" s="11">
        <f t="shared" si="11"/>
        <v>0</v>
      </c>
      <c r="Q194" s="8"/>
    </row>
    <row r="195" spans="1:17" x14ac:dyDescent="0.25">
      <c r="A195" s="8"/>
      <c r="B195" s="24" t="s">
        <v>451</v>
      </c>
      <c r="C195" s="8"/>
      <c r="D195" s="8"/>
      <c r="E195" s="10"/>
      <c r="F195" s="11"/>
      <c r="G195" s="18"/>
      <c r="H195" s="18"/>
      <c r="I195" s="18"/>
      <c r="J195" s="18"/>
      <c r="K195" s="11"/>
      <c r="L195" s="11"/>
      <c r="M195" s="11"/>
      <c r="N195" s="11">
        <f t="shared" si="17"/>
        <v>0</v>
      </c>
      <c r="O195" s="11">
        <f t="shared" si="10"/>
        <v>0</v>
      </c>
      <c r="P195" s="11">
        <f t="shared" si="11"/>
        <v>0</v>
      </c>
      <c r="Q195" s="8"/>
    </row>
    <row r="196" spans="1:17" ht="30" x14ac:dyDescent="0.25">
      <c r="A196" s="8"/>
      <c r="B196" s="24" t="s">
        <v>597</v>
      </c>
      <c r="C196" s="8"/>
      <c r="D196" s="8"/>
      <c r="E196" s="10" t="s">
        <v>225</v>
      </c>
      <c r="F196" s="11">
        <v>564</v>
      </c>
      <c r="G196" s="18"/>
      <c r="H196" s="18"/>
      <c r="I196" s="18"/>
      <c r="J196" s="18"/>
      <c r="K196" s="11"/>
      <c r="L196" s="11"/>
      <c r="M196" s="11"/>
      <c r="N196" s="11">
        <f t="shared" si="17"/>
        <v>0</v>
      </c>
      <c r="O196" s="11">
        <f t="shared" si="10"/>
        <v>0</v>
      </c>
      <c r="P196" s="11">
        <f t="shared" si="11"/>
        <v>0</v>
      </c>
      <c r="Q196" s="8"/>
    </row>
    <row r="197" spans="1:17" ht="30" x14ac:dyDescent="0.25">
      <c r="A197" s="8"/>
      <c r="B197" s="24" t="s">
        <v>598</v>
      </c>
      <c r="C197" s="8"/>
      <c r="D197" s="8"/>
      <c r="E197" s="10" t="s">
        <v>225</v>
      </c>
      <c r="F197" s="11">
        <v>142</v>
      </c>
      <c r="G197" s="18"/>
      <c r="H197" s="18"/>
      <c r="I197" s="18"/>
      <c r="J197" s="18"/>
      <c r="K197" s="11"/>
      <c r="L197" s="11"/>
      <c r="M197" s="11"/>
      <c r="N197" s="11">
        <f t="shared" si="17"/>
        <v>0</v>
      </c>
      <c r="O197" s="11">
        <f t="shared" si="10"/>
        <v>0</v>
      </c>
      <c r="P197" s="11">
        <f t="shared" si="11"/>
        <v>0</v>
      </c>
      <c r="Q197" s="8"/>
    </row>
    <row r="198" spans="1:17" ht="30" x14ac:dyDescent="0.25">
      <c r="A198" s="8"/>
      <c r="B198" s="24" t="s">
        <v>454</v>
      </c>
      <c r="C198" s="8"/>
      <c r="D198" s="8"/>
      <c r="E198" s="10" t="s">
        <v>225</v>
      </c>
      <c r="F198" s="11">
        <v>65</v>
      </c>
      <c r="G198" s="18"/>
      <c r="H198" s="18"/>
      <c r="I198" s="18"/>
      <c r="J198" s="18"/>
      <c r="K198" s="11"/>
      <c r="L198" s="11"/>
      <c r="M198" s="11"/>
      <c r="N198" s="11">
        <f t="shared" si="17"/>
        <v>0</v>
      </c>
      <c r="O198" s="11">
        <f t="shared" si="10"/>
        <v>0</v>
      </c>
      <c r="P198" s="11">
        <f t="shared" si="11"/>
        <v>0</v>
      </c>
      <c r="Q198" s="8"/>
    </row>
    <row r="199" spans="1:17" ht="30" x14ac:dyDescent="0.25">
      <c r="A199" s="8"/>
      <c r="B199" s="24" t="s">
        <v>599</v>
      </c>
      <c r="C199" s="8"/>
      <c r="D199" s="8"/>
      <c r="E199" s="10" t="s">
        <v>225</v>
      </c>
      <c r="F199" s="11">
        <v>402</v>
      </c>
      <c r="G199" s="18"/>
      <c r="H199" s="18"/>
      <c r="I199" s="18"/>
      <c r="J199" s="18"/>
      <c r="K199" s="11"/>
      <c r="L199" s="11"/>
      <c r="M199" s="11"/>
      <c r="N199" s="11">
        <f t="shared" si="17"/>
        <v>0</v>
      </c>
      <c r="O199" s="11">
        <f t="shared" si="10"/>
        <v>0</v>
      </c>
      <c r="P199" s="11">
        <f t="shared" si="11"/>
        <v>0</v>
      </c>
      <c r="Q199" s="8"/>
    </row>
    <row r="200" spans="1:17" ht="30" x14ac:dyDescent="0.25">
      <c r="A200" s="8"/>
      <c r="B200" s="24" t="s">
        <v>600</v>
      </c>
      <c r="C200" s="8"/>
      <c r="D200" s="8"/>
      <c r="E200" s="10" t="s">
        <v>225</v>
      </c>
      <c r="F200" s="11">
        <v>10</v>
      </c>
      <c r="G200" s="18"/>
      <c r="H200" s="18"/>
      <c r="I200" s="18"/>
      <c r="J200" s="18"/>
      <c r="K200" s="11"/>
      <c r="L200" s="11"/>
      <c r="M200" s="11"/>
      <c r="N200" s="11">
        <f t="shared" si="17"/>
        <v>0</v>
      </c>
      <c r="O200" s="11">
        <f t="shared" si="10"/>
        <v>0</v>
      </c>
      <c r="P200" s="11">
        <f t="shared" si="11"/>
        <v>0</v>
      </c>
      <c r="Q200" s="8"/>
    </row>
    <row r="201" spans="1:17" ht="30" x14ac:dyDescent="0.25">
      <c r="A201" s="8"/>
      <c r="B201" s="24" t="s">
        <v>601</v>
      </c>
      <c r="C201" s="8"/>
      <c r="D201" s="8"/>
      <c r="E201" s="10" t="s">
        <v>225</v>
      </c>
      <c r="F201" s="11">
        <v>404</v>
      </c>
      <c r="G201" s="18"/>
      <c r="H201" s="18"/>
      <c r="I201" s="18"/>
      <c r="J201" s="18"/>
      <c r="K201" s="11"/>
      <c r="L201" s="11"/>
      <c r="M201" s="11"/>
      <c r="N201" s="11">
        <f t="shared" si="17"/>
        <v>0</v>
      </c>
      <c r="O201" s="11">
        <f t="shared" si="10"/>
        <v>0</v>
      </c>
      <c r="P201" s="11">
        <f t="shared" si="11"/>
        <v>0</v>
      </c>
      <c r="Q201" s="8"/>
    </row>
    <row r="202" spans="1:17" ht="30" x14ac:dyDescent="0.25">
      <c r="A202" s="8"/>
      <c r="B202" s="24" t="s">
        <v>602</v>
      </c>
      <c r="C202" s="8"/>
      <c r="D202" s="8"/>
      <c r="E202" s="10" t="s">
        <v>225</v>
      </c>
      <c r="F202" s="11">
        <v>7</v>
      </c>
      <c r="G202" s="18"/>
      <c r="H202" s="18"/>
      <c r="I202" s="18"/>
      <c r="J202" s="18"/>
      <c r="K202" s="11"/>
      <c r="L202" s="11"/>
      <c r="M202" s="11"/>
      <c r="N202" s="11">
        <f t="shared" si="17"/>
        <v>0</v>
      </c>
      <c r="O202" s="11">
        <f t="shared" si="10"/>
        <v>0</v>
      </c>
      <c r="P202" s="11">
        <f t="shared" si="11"/>
        <v>0</v>
      </c>
      <c r="Q202" s="8"/>
    </row>
    <row r="203" spans="1:17" ht="30" x14ac:dyDescent="0.25">
      <c r="A203" s="8"/>
      <c r="B203" s="24" t="s">
        <v>603</v>
      </c>
      <c r="C203" s="8"/>
      <c r="D203" s="8"/>
      <c r="E203" s="10" t="s">
        <v>225</v>
      </c>
      <c r="F203" s="11">
        <v>27</v>
      </c>
      <c r="G203" s="18"/>
      <c r="H203" s="18"/>
      <c r="I203" s="18"/>
      <c r="J203" s="18"/>
      <c r="K203" s="11"/>
      <c r="L203" s="11"/>
      <c r="M203" s="11"/>
      <c r="N203" s="11">
        <f t="shared" si="17"/>
        <v>0</v>
      </c>
      <c r="O203" s="11">
        <f t="shared" si="10"/>
        <v>0</v>
      </c>
      <c r="P203" s="11">
        <f t="shared" si="11"/>
        <v>0</v>
      </c>
      <c r="Q203" s="8"/>
    </row>
    <row r="204" spans="1:17" ht="30" x14ac:dyDescent="0.25">
      <c r="A204" s="8"/>
      <c r="B204" s="24" t="s">
        <v>604</v>
      </c>
      <c r="C204" s="8"/>
      <c r="D204" s="8"/>
      <c r="E204" s="10" t="s">
        <v>225</v>
      </c>
      <c r="F204" s="11">
        <v>16</v>
      </c>
      <c r="G204" s="18"/>
      <c r="H204" s="18"/>
      <c r="I204" s="18"/>
      <c r="J204" s="18"/>
      <c r="K204" s="11"/>
      <c r="L204" s="11"/>
      <c r="M204" s="11"/>
      <c r="N204" s="11">
        <f t="shared" si="17"/>
        <v>0</v>
      </c>
      <c r="O204" s="11">
        <f t="shared" si="10"/>
        <v>0</v>
      </c>
      <c r="P204" s="11">
        <f t="shared" si="11"/>
        <v>0</v>
      </c>
      <c r="Q204" s="8"/>
    </row>
    <row r="205" spans="1:17" ht="30" x14ac:dyDescent="0.25">
      <c r="A205" s="8"/>
      <c r="B205" s="24" t="s">
        <v>605</v>
      </c>
      <c r="C205" s="8"/>
      <c r="D205" s="8"/>
      <c r="E205" s="10" t="s">
        <v>225</v>
      </c>
      <c r="F205" s="11">
        <v>293</v>
      </c>
      <c r="G205" s="18"/>
      <c r="H205" s="18"/>
      <c r="I205" s="18"/>
      <c r="J205" s="18"/>
      <c r="K205" s="11"/>
      <c r="L205" s="11"/>
      <c r="M205" s="11"/>
      <c r="N205" s="11">
        <f t="shared" si="17"/>
        <v>0</v>
      </c>
      <c r="O205" s="11">
        <f t="shared" si="10"/>
        <v>0</v>
      </c>
      <c r="P205" s="11">
        <f t="shared" si="11"/>
        <v>0</v>
      </c>
      <c r="Q205" s="8"/>
    </row>
    <row r="206" spans="1:17" ht="30" x14ac:dyDescent="0.25">
      <c r="A206" s="8"/>
      <c r="B206" s="24" t="s">
        <v>606</v>
      </c>
      <c r="C206" s="8"/>
      <c r="D206" s="8"/>
      <c r="E206" s="10" t="s">
        <v>225</v>
      </c>
      <c r="F206" s="11">
        <v>122</v>
      </c>
      <c r="G206" s="18"/>
      <c r="H206" s="18"/>
      <c r="I206" s="18"/>
      <c r="J206" s="18"/>
      <c r="K206" s="11"/>
      <c r="L206" s="11"/>
      <c r="M206" s="11"/>
      <c r="N206" s="11">
        <f t="shared" si="17"/>
        <v>0</v>
      </c>
      <c r="O206" s="11">
        <f t="shared" si="10"/>
        <v>0</v>
      </c>
      <c r="P206" s="11">
        <f t="shared" si="11"/>
        <v>0</v>
      </c>
      <c r="Q206" s="8"/>
    </row>
    <row r="207" spans="1:17" ht="30" x14ac:dyDescent="0.25">
      <c r="A207" s="8"/>
      <c r="B207" s="24" t="s">
        <v>607</v>
      </c>
      <c r="C207" s="8"/>
      <c r="D207" s="8"/>
      <c r="E207" s="10" t="s">
        <v>225</v>
      </c>
      <c r="F207" s="11">
        <v>45</v>
      </c>
      <c r="G207" s="18"/>
      <c r="H207" s="18"/>
      <c r="I207" s="18"/>
      <c r="J207" s="18"/>
      <c r="K207" s="11"/>
      <c r="L207" s="11"/>
      <c r="M207" s="11"/>
      <c r="N207" s="11">
        <f t="shared" si="17"/>
        <v>0</v>
      </c>
      <c r="O207" s="11">
        <f t="shared" si="10"/>
        <v>0</v>
      </c>
      <c r="P207" s="11">
        <f t="shared" si="11"/>
        <v>0</v>
      </c>
      <c r="Q207" s="8"/>
    </row>
    <row r="208" spans="1:17" ht="30" x14ac:dyDescent="0.25">
      <c r="A208" s="8"/>
      <c r="B208" s="24" t="s">
        <v>608</v>
      </c>
      <c r="C208" s="8"/>
      <c r="D208" s="8"/>
      <c r="E208" s="10" t="s">
        <v>225</v>
      </c>
      <c r="F208" s="11">
        <v>43</v>
      </c>
      <c r="G208" s="18"/>
      <c r="H208" s="18"/>
      <c r="I208" s="18"/>
      <c r="J208" s="18"/>
      <c r="K208" s="11"/>
      <c r="L208" s="11"/>
      <c r="M208" s="11"/>
      <c r="N208" s="11">
        <f t="shared" si="17"/>
        <v>0</v>
      </c>
      <c r="O208" s="11">
        <f t="shared" si="10"/>
        <v>0</v>
      </c>
      <c r="P208" s="11">
        <f t="shared" si="11"/>
        <v>0</v>
      </c>
      <c r="Q208" s="8"/>
    </row>
    <row r="209" spans="1:17" ht="30" x14ac:dyDescent="0.25">
      <c r="A209" s="8"/>
      <c r="B209" s="24" t="s">
        <v>609</v>
      </c>
      <c r="C209" s="8"/>
      <c r="D209" s="8"/>
      <c r="E209" s="10" t="s">
        <v>225</v>
      </c>
      <c r="F209" s="11">
        <v>17</v>
      </c>
      <c r="G209" s="18"/>
      <c r="H209" s="18"/>
      <c r="I209" s="18"/>
      <c r="J209" s="18"/>
      <c r="K209" s="11"/>
      <c r="L209" s="11"/>
      <c r="M209" s="11"/>
      <c r="N209" s="11">
        <f t="shared" si="17"/>
        <v>0</v>
      </c>
      <c r="O209" s="11">
        <f t="shared" si="10"/>
        <v>0</v>
      </c>
      <c r="P209" s="11">
        <f t="shared" si="11"/>
        <v>0</v>
      </c>
      <c r="Q209" s="8"/>
    </row>
    <row r="210" spans="1:17" ht="30" x14ac:dyDescent="0.25">
      <c r="A210" s="8"/>
      <c r="B210" s="24" t="s">
        <v>610</v>
      </c>
      <c r="C210" s="8"/>
      <c r="D210" s="8"/>
      <c r="E210" s="10" t="s">
        <v>225</v>
      </c>
      <c r="F210" s="11">
        <v>9</v>
      </c>
      <c r="G210" s="18"/>
      <c r="H210" s="18"/>
      <c r="I210" s="18"/>
      <c r="J210" s="18"/>
      <c r="K210" s="11"/>
      <c r="L210" s="11"/>
      <c r="M210" s="11"/>
      <c r="N210" s="11">
        <f t="shared" si="17"/>
        <v>0</v>
      </c>
      <c r="O210" s="11">
        <f t="shared" si="10"/>
        <v>0</v>
      </c>
      <c r="P210" s="11">
        <f t="shared" si="11"/>
        <v>0</v>
      </c>
      <c r="Q210" s="8"/>
    </row>
    <row r="211" spans="1:17" ht="30" x14ac:dyDescent="0.25">
      <c r="A211" s="8"/>
      <c r="B211" s="24" t="s">
        <v>611</v>
      </c>
      <c r="C211" s="8"/>
      <c r="D211" s="8"/>
      <c r="E211" s="10" t="s">
        <v>225</v>
      </c>
      <c r="F211" s="11">
        <v>58</v>
      </c>
      <c r="G211" s="18"/>
      <c r="H211" s="18"/>
      <c r="I211" s="18"/>
      <c r="J211" s="18"/>
      <c r="K211" s="11"/>
      <c r="L211" s="11"/>
      <c r="M211" s="11"/>
      <c r="N211" s="11">
        <f t="shared" si="17"/>
        <v>0</v>
      </c>
      <c r="O211" s="11">
        <f t="shared" si="10"/>
        <v>0</v>
      </c>
      <c r="P211" s="11">
        <f t="shared" si="11"/>
        <v>0</v>
      </c>
      <c r="Q211" s="8"/>
    </row>
    <row r="212" spans="1:17" ht="30" x14ac:dyDescent="0.25">
      <c r="A212" s="8"/>
      <c r="B212" s="24" t="s">
        <v>612</v>
      </c>
      <c r="C212" s="8"/>
      <c r="D212" s="8"/>
      <c r="E212" s="10" t="s">
        <v>225</v>
      </c>
      <c r="F212" s="11">
        <v>71</v>
      </c>
      <c r="G212" s="18"/>
      <c r="H212" s="18"/>
      <c r="I212" s="18"/>
      <c r="J212" s="18"/>
      <c r="K212" s="11"/>
      <c r="L212" s="11"/>
      <c r="M212" s="11"/>
      <c r="N212" s="11">
        <f t="shared" si="17"/>
        <v>0</v>
      </c>
      <c r="O212" s="11">
        <f t="shared" si="10"/>
        <v>0</v>
      </c>
      <c r="P212" s="11">
        <f t="shared" si="11"/>
        <v>0</v>
      </c>
      <c r="Q212" s="8"/>
    </row>
    <row r="213" spans="1:17" ht="30" x14ac:dyDescent="0.25">
      <c r="A213" s="8"/>
      <c r="B213" s="24" t="s">
        <v>613</v>
      </c>
      <c r="C213" s="8"/>
      <c r="D213" s="8"/>
      <c r="E213" s="10" t="s">
        <v>225</v>
      </c>
      <c r="F213" s="11">
        <v>175</v>
      </c>
      <c r="G213" s="18"/>
      <c r="H213" s="18"/>
      <c r="I213" s="18"/>
      <c r="J213" s="18"/>
      <c r="K213" s="11"/>
      <c r="L213" s="11"/>
      <c r="M213" s="11"/>
      <c r="N213" s="11">
        <f t="shared" si="17"/>
        <v>0</v>
      </c>
      <c r="O213" s="11">
        <f t="shared" si="10"/>
        <v>0</v>
      </c>
      <c r="P213" s="11">
        <f t="shared" si="11"/>
        <v>0</v>
      </c>
      <c r="Q213" s="8"/>
    </row>
    <row r="214" spans="1:17" ht="30" x14ac:dyDescent="0.25">
      <c r="A214" s="8"/>
      <c r="B214" s="24" t="s">
        <v>614</v>
      </c>
      <c r="C214" s="8"/>
      <c r="D214" s="8"/>
      <c r="E214" s="10" t="s">
        <v>225</v>
      </c>
      <c r="F214" s="11">
        <v>79</v>
      </c>
      <c r="G214" s="18"/>
      <c r="H214" s="18"/>
      <c r="I214" s="18"/>
      <c r="J214" s="18"/>
      <c r="K214" s="11"/>
      <c r="L214" s="11"/>
      <c r="M214" s="11"/>
      <c r="N214" s="11">
        <f t="shared" si="17"/>
        <v>0</v>
      </c>
      <c r="O214" s="11">
        <f t="shared" si="10"/>
        <v>0</v>
      </c>
      <c r="P214" s="11">
        <f t="shared" si="11"/>
        <v>0</v>
      </c>
      <c r="Q214" s="8"/>
    </row>
    <row r="215" spans="1:17" ht="30" x14ac:dyDescent="0.25">
      <c r="A215" s="8"/>
      <c r="B215" s="24" t="s">
        <v>615</v>
      </c>
      <c r="C215" s="8"/>
      <c r="D215" s="8"/>
      <c r="E215" s="10" t="s">
        <v>225</v>
      </c>
      <c r="F215" s="11">
        <v>27</v>
      </c>
      <c r="G215" s="18"/>
      <c r="H215" s="18"/>
      <c r="I215" s="18"/>
      <c r="J215" s="18"/>
      <c r="K215" s="11"/>
      <c r="L215" s="11"/>
      <c r="M215" s="11"/>
      <c r="N215" s="11">
        <f t="shared" si="17"/>
        <v>0</v>
      </c>
      <c r="O215" s="11">
        <f t="shared" si="10"/>
        <v>0</v>
      </c>
      <c r="P215" s="11">
        <f t="shared" si="11"/>
        <v>0</v>
      </c>
      <c r="Q215" s="8"/>
    </row>
    <row r="216" spans="1:17" ht="30" x14ac:dyDescent="0.25">
      <c r="A216" s="8"/>
      <c r="B216" s="24" t="s">
        <v>616</v>
      </c>
      <c r="C216" s="8"/>
      <c r="D216" s="8"/>
      <c r="E216" s="10" t="s">
        <v>225</v>
      </c>
      <c r="F216" s="11">
        <v>16</v>
      </c>
      <c r="G216" s="18"/>
      <c r="H216" s="18"/>
      <c r="I216" s="18"/>
      <c r="J216" s="18"/>
      <c r="K216" s="11"/>
      <c r="L216" s="11"/>
      <c r="M216" s="11"/>
      <c r="N216" s="11">
        <f t="shared" si="17"/>
        <v>0</v>
      </c>
      <c r="O216" s="11">
        <f t="shared" si="10"/>
        <v>0</v>
      </c>
      <c r="P216" s="11">
        <f t="shared" si="11"/>
        <v>0</v>
      </c>
      <c r="Q216" s="8"/>
    </row>
    <row r="217" spans="1:17" ht="30" x14ac:dyDescent="0.25">
      <c r="A217" s="8"/>
      <c r="B217" s="24" t="s">
        <v>617</v>
      </c>
      <c r="C217" s="8"/>
      <c r="D217" s="8"/>
      <c r="E217" s="10" t="s">
        <v>225</v>
      </c>
      <c r="F217" s="11">
        <v>16</v>
      </c>
      <c r="G217" s="18"/>
      <c r="H217" s="18"/>
      <c r="I217" s="18"/>
      <c r="J217" s="18"/>
      <c r="K217" s="11"/>
      <c r="L217" s="11"/>
      <c r="M217" s="11"/>
      <c r="N217" s="11">
        <f t="shared" si="17"/>
        <v>0</v>
      </c>
      <c r="O217" s="11">
        <f t="shared" si="10"/>
        <v>0</v>
      </c>
      <c r="P217" s="11">
        <f t="shared" si="11"/>
        <v>0</v>
      </c>
      <c r="Q217" s="8"/>
    </row>
    <row r="218" spans="1:17" ht="30" x14ac:dyDescent="0.25">
      <c r="A218" s="8"/>
      <c r="B218" s="24" t="s">
        <v>618</v>
      </c>
      <c r="C218" s="8"/>
      <c r="D218" s="8"/>
      <c r="E218" s="10" t="s">
        <v>225</v>
      </c>
      <c r="F218" s="11">
        <v>77</v>
      </c>
      <c r="G218" s="18"/>
      <c r="H218" s="18"/>
      <c r="I218" s="18"/>
      <c r="J218" s="18"/>
      <c r="K218" s="11"/>
      <c r="L218" s="11"/>
      <c r="M218" s="11"/>
      <c r="N218" s="11">
        <f t="shared" si="17"/>
        <v>0</v>
      </c>
      <c r="O218" s="11">
        <f t="shared" si="10"/>
        <v>0</v>
      </c>
      <c r="P218" s="11">
        <f t="shared" si="11"/>
        <v>0</v>
      </c>
      <c r="Q218" s="8"/>
    </row>
    <row r="219" spans="1:17" ht="30" x14ac:dyDescent="0.25">
      <c r="A219" s="8"/>
      <c r="B219" s="24" t="s">
        <v>619</v>
      </c>
      <c r="C219" s="8"/>
      <c r="D219" s="8"/>
      <c r="E219" s="10" t="s">
        <v>225</v>
      </c>
      <c r="F219" s="11">
        <v>28</v>
      </c>
      <c r="G219" s="18"/>
      <c r="H219" s="18"/>
      <c r="I219" s="18"/>
      <c r="J219" s="18"/>
      <c r="K219" s="11"/>
      <c r="L219" s="11"/>
      <c r="M219" s="11"/>
      <c r="N219" s="11">
        <f t="shared" si="17"/>
        <v>0</v>
      </c>
      <c r="O219" s="11">
        <f t="shared" ref="O219:O227" si="18">(K219+M219)*F219</f>
        <v>0</v>
      </c>
      <c r="P219" s="11">
        <f t="shared" ref="P219:P228" si="19">(L219+N219)*F219</f>
        <v>0</v>
      </c>
      <c r="Q219" s="8"/>
    </row>
    <row r="220" spans="1:17" ht="30" x14ac:dyDescent="0.25">
      <c r="A220" s="8"/>
      <c r="B220" s="24" t="s">
        <v>620</v>
      </c>
      <c r="C220" s="8"/>
      <c r="D220" s="8"/>
      <c r="E220" s="10" t="s">
        <v>225</v>
      </c>
      <c r="F220" s="11">
        <v>28</v>
      </c>
      <c r="G220" s="18"/>
      <c r="H220" s="18"/>
      <c r="I220" s="18"/>
      <c r="J220" s="18"/>
      <c r="K220" s="11"/>
      <c r="L220" s="11"/>
      <c r="M220" s="11"/>
      <c r="N220" s="11">
        <f t="shared" si="17"/>
        <v>0</v>
      </c>
      <c r="O220" s="11">
        <f t="shared" si="18"/>
        <v>0</v>
      </c>
      <c r="P220" s="11">
        <f t="shared" si="19"/>
        <v>0</v>
      </c>
      <c r="Q220" s="8"/>
    </row>
    <row r="221" spans="1:17" ht="30" x14ac:dyDescent="0.25">
      <c r="A221" s="8"/>
      <c r="B221" s="24" t="s">
        <v>621</v>
      </c>
      <c r="C221" s="8"/>
      <c r="D221" s="8"/>
      <c r="E221" s="10" t="s">
        <v>225</v>
      </c>
      <c r="F221" s="11">
        <v>48</v>
      </c>
      <c r="G221" s="18"/>
      <c r="H221" s="18"/>
      <c r="I221" s="18"/>
      <c r="J221" s="18"/>
      <c r="K221" s="11"/>
      <c r="L221" s="11"/>
      <c r="M221" s="11"/>
      <c r="N221" s="11">
        <f t="shared" si="17"/>
        <v>0</v>
      </c>
      <c r="O221" s="11">
        <f t="shared" si="18"/>
        <v>0</v>
      </c>
      <c r="P221" s="11">
        <f t="shared" si="19"/>
        <v>0</v>
      </c>
      <c r="Q221" s="8"/>
    </row>
    <row r="222" spans="1:17" ht="30" x14ac:dyDescent="0.25">
      <c r="A222" s="8"/>
      <c r="B222" s="24" t="s">
        <v>622</v>
      </c>
      <c r="C222" s="8"/>
      <c r="D222" s="8"/>
      <c r="E222" s="10" t="s">
        <v>225</v>
      </c>
      <c r="F222" s="11">
        <v>37</v>
      </c>
      <c r="G222" s="18"/>
      <c r="H222" s="18"/>
      <c r="I222" s="18"/>
      <c r="J222" s="18"/>
      <c r="K222" s="11"/>
      <c r="L222" s="11"/>
      <c r="M222" s="11"/>
      <c r="N222" s="11">
        <f t="shared" si="17"/>
        <v>0</v>
      </c>
      <c r="O222" s="11">
        <f t="shared" si="18"/>
        <v>0</v>
      </c>
      <c r="P222" s="11">
        <f t="shared" si="19"/>
        <v>0</v>
      </c>
      <c r="Q222" s="8"/>
    </row>
    <row r="223" spans="1:17" ht="30" x14ac:dyDescent="0.25">
      <c r="A223" s="8"/>
      <c r="B223" s="24" t="s">
        <v>623</v>
      </c>
      <c r="C223" s="8"/>
      <c r="D223" s="8"/>
      <c r="E223" s="10" t="s">
        <v>225</v>
      </c>
      <c r="F223" s="11">
        <v>9</v>
      </c>
      <c r="G223" s="18"/>
      <c r="H223" s="18"/>
      <c r="I223" s="18"/>
      <c r="J223" s="18"/>
      <c r="K223" s="11"/>
      <c r="L223" s="11"/>
      <c r="M223" s="11"/>
      <c r="N223" s="11">
        <f t="shared" si="17"/>
        <v>0</v>
      </c>
      <c r="O223" s="11">
        <f t="shared" si="18"/>
        <v>0</v>
      </c>
      <c r="P223" s="11">
        <f t="shared" si="19"/>
        <v>0</v>
      </c>
      <c r="Q223" s="8"/>
    </row>
    <row r="224" spans="1:17" ht="30" x14ac:dyDescent="0.25">
      <c r="A224" s="8"/>
      <c r="B224" s="24" t="s">
        <v>624</v>
      </c>
      <c r="C224" s="8"/>
      <c r="D224" s="8"/>
      <c r="E224" s="10" t="s">
        <v>225</v>
      </c>
      <c r="F224" s="11">
        <v>132</v>
      </c>
      <c r="G224" s="18"/>
      <c r="H224" s="18"/>
      <c r="I224" s="18"/>
      <c r="J224" s="18"/>
      <c r="K224" s="11"/>
      <c r="L224" s="11"/>
      <c r="M224" s="11"/>
      <c r="N224" s="11">
        <f t="shared" si="17"/>
        <v>0</v>
      </c>
      <c r="O224" s="11">
        <f t="shared" si="18"/>
        <v>0</v>
      </c>
      <c r="P224" s="11">
        <f t="shared" si="19"/>
        <v>0</v>
      </c>
      <c r="Q224" s="8"/>
    </row>
    <row r="225" spans="1:17" ht="30" x14ac:dyDescent="0.25">
      <c r="A225" s="8"/>
      <c r="B225" s="24" t="s">
        <v>625</v>
      </c>
      <c r="C225" s="8"/>
      <c r="D225" s="8"/>
      <c r="E225" s="10" t="s">
        <v>225</v>
      </c>
      <c r="F225" s="11">
        <v>511</v>
      </c>
      <c r="G225" s="18"/>
      <c r="H225" s="18"/>
      <c r="I225" s="18"/>
      <c r="J225" s="18"/>
      <c r="K225" s="11"/>
      <c r="L225" s="11"/>
      <c r="M225" s="11"/>
      <c r="N225" s="11">
        <f t="shared" si="17"/>
        <v>0</v>
      </c>
      <c r="O225" s="11">
        <f t="shared" si="18"/>
        <v>0</v>
      </c>
      <c r="P225" s="11">
        <f t="shared" si="19"/>
        <v>0</v>
      </c>
      <c r="Q225" s="8"/>
    </row>
    <row r="226" spans="1:17" ht="30" x14ac:dyDescent="0.25">
      <c r="A226" s="8"/>
      <c r="B226" s="24" t="s">
        <v>626</v>
      </c>
      <c r="C226" s="8"/>
      <c r="D226" s="8"/>
      <c r="E226" s="10" t="s">
        <v>225</v>
      </c>
      <c r="F226" s="11">
        <v>108</v>
      </c>
      <c r="G226" s="18"/>
      <c r="H226" s="18"/>
      <c r="I226" s="18"/>
      <c r="J226" s="18"/>
      <c r="K226" s="11"/>
      <c r="L226" s="11"/>
      <c r="M226" s="11"/>
      <c r="N226" s="11">
        <f t="shared" si="17"/>
        <v>0</v>
      </c>
      <c r="O226" s="11">
        <f t="shared" si="18"/>
        <v>0</v>
      </c>
      <c r="P226" s="11">
        <f t="shared" si="19"/>
        <v>0</v>
      </c>
      <c r="Q226" s="8"/>
    </row>
    <row r="227" spans="1:17" ht="30" x14ac:dyDescent="0.25">
      <c r="A227" s="8"/>
      <c r="B227" s="24" t="s">
        <v>627</v>
      </c>
      <c r="C227" s="8"/>
      <c r="D227" s="10"/>
      <c r="E227" s="10" t="s">
        <v>225</v>
      </c>
      <c r="F227" s="11">
        <v>92</v>
      </c>
      <c r="G227" s="18"/>
      <c r="H227" s="18"/>
      <c r="I227" s="18"/>
      <c r="J227" s="18"/>
      <c r="K227" s="11"/>
      <c r="L227" s="11"/>
      <c r="M227" s="11">
        <f t="shared" ref="M227:M247" si="20">K227*8%</f>
        <v>0</v>
      </c>
      <c r="N227" s="11">
        <f t="shared" si="17"/>
        <v>0</v>
      </c>
      <c r="O227" s="11">
        <f t="shared" si="18"/>
        <v>0</v>
      </c>
      <c r="P227" s="11">
        <f t="shared" si="19"/>
        <v>0</v>
      </c>
      <c r="Q227" s="8"/>
    </row>
    <row r="228" spans="1:17" ht="30" x14ac:dyDescent="0.25">
      <c r="A228" s="8"/>
      <c r="B228" s="24" t="s">
        <v>628</v>
      </c>
      <c r="C228" s="8"/>
      <c r="D228" s="8"/>
      <c r="E228" s="10" t="s">
        <v>225</v>
      </c>
      <c r="F228" s="11">
        <v>18</v>
      </c>
      <c r="G228" s="18"/>
      <c r="H228" s="18"/>
      <c r="I228" s="18"/>
      <c r="J228" s="18"/>
      <c r="K228" s="11"/>
      <c r="L228" s="11"/>
      <c r="M228" s="11">
        <f t="shared" si="20"/>
        <v>0</v>
      </c>
      <c r="N228" s="11">
        <f t="shared" si="17"/>
        <v>0</v>
      </c>
      <c r="O228" s="11">
        <f t="shared" ref="O228" si="21">(G228+M228)*F228</f>
        <v>0</v>
      </c>
      <c r="P228" s="11">
        <f t="shared" si="19"/>
        <v>0</v>
      </c>
      <c r="Q228" s="8"/>
    </row>
    <row r="229" spans="1:17" ht="30" x14ac:dyDescent="0.25">
      <c r="A229" s="8"/>
      <c r="B229" s="24" t="s">
        <v>629</v>
      </c>
      <c r="C229" s="8"/>
      <c r="D229" s="8"/>
      <c r="E229" s="10" t="s">
        <v>225</v>
      </c>
      <c r="F229" s="11">
        <v>8</v>
      </c>
      <c r="G229" s="18"/>
      <c r="H229" s="18"/>
      <c r="I229" s="18"/>
      <c r="J229" s="18"/>
      <c r="K229" s="11"/>
      <c r="L229" s="11"/>
      <c r="M229" s="11"/>
      <c r="N229" s="11"/>
      <c r="O229" s="11"/>
      <c r="P229" s="11"/>
      <c r="Q229" s="8"/>
    </row>
    <row r="230" spans="1:17" ht="30" x14ac:dyDescent="0.25">
      <c r="A230" s="8"/>
      <c r="B230" s="24" t="s">
        <v>630</v>
      </c>
      <c r="C230" s="8"/>
      <c r="D230" s="8"/>
      <c r="E230" s="10" t="s">
        <v>225</v>
      </c>
      <c r="F230" s="11">
        <v>20</v>
      </c>
      <c r="G230" s="18"/>
      <c r="H230" s="18"/>
      <c r="I230" s="18"/>
      <c r="J230" s="18"/>
      <c r="K230" s="11"/>
      <c r="L230" s="11"/>
      <c r="M230" s="11"/>
      <c r="N230" s="11"/>
      <c r="O230" s="11"/>
      <c r="P230" s="11"/>
      <c r="Q230" s="8"/>
    </row>
    <row r="231" spans="1:17" ht="30" x14ac:dyDescent="0.25">
      <c r="A231" s="8"/>
      <c r="B231" s="24" t="s">
        <v>631</v>
      </c>
      <c r="C231" s="8"/>
      <c r="D231" s="8"/>
      <c r="E231" s="10" t="s">
        <v>225</v>
      </c>
      <c r="F231" s="11">
        <v>40</v>
      </c>
      <c r="G231" s="18"/>
      <c r="H231" s="18"/>
      <c r="I231" s="18"/>
      <c r="J231" s="18"/>
      <c r="K231" s="11"/>
      <c r="L231" s="11"/>
      <c r="M231" s="11"/>
      <c r="N231" s="11"/>
      <c r="O231" s="11"/>
      <c r="P231" s="11"/>
      <c r="Q231" s="8"/>
    </row>
    <row r="232" spans="1:17" ht="30" x14ac:dyDescent="0.25">
      <c r="A232" s="8"/>
      <c r="B232" s="24" t="s">
        <v>632</v>
      </c>
      <c r="C232" s="8"/>
      <c r="D232" s="10"/>
      <c r="E232" s="10" t="s">
        <v>225</v>
      </c>
      <c r="F232" s="11">
        <v>100</v>
      </c>
      <c r="G232" s="18"/>
      <c r="H232" s="18"/>
      <c r="I232" s="18"/>
      <c r="J232" s="18"/>
      <c r="K232" s="11"/>
      <c r="L232" s="11"/>
      <c r="M232" s="11">
        <f t="shared" si="20"/>
        <v>0</v>
      </c>
      <c r="N232" s="11">
        <f t="shared" si="17"/>
        <v>0</v>
      </c>
      <c r="O232" s="11">
        <f t="shared" ref="O232:O235" si="22">(K232+M232)*F232</f>
        <v>0</v>
      </c>
      <c r="P232" s="11">
        <f t="shared" ref="P232:P247" si="23">(L232+N232)*F232</f>
        <v>0</v>
      </c>
      <c r="Q232" s="8"/>
    </row>
    <row r="233" spans="1:17" ht="30" x14ac:dyDescent="0.25">
      <c r="A233" s="8"/>
      <c r="B233" s="24" t="s">
        <v>633</v>
      </c>
      <c r="C233" s="12"/>
      <c r="D233" s="10"/>
      <c r="E233" s="10" t="s">
        <v>225</v>
      </c>
      <c r="F233" s="11">
        <v>108</v>
      </c>
      <c r="G233" s="18"/>
      <c r="H233" s="18"/>
      <c r="I233" s="18"/>
      <c r="J233" s="18"/>
      <c r="K233" s="11"/>
      <c r="L233" s="11"/>
      <c r="M233" s="11">
        <f t="shared" si="20"/>
        <v>0</v>
      </c>
      <c r="N233" s="11">
        <f t="shared" si="17"/>
        <v>0</v>
      </c>
      <c r="O233" s="11">
        <f t="shared" si="22"/>
        <v>0</v>
      </c>
      <c r="P233" s="11">
        <f t="shared" si="23"/>
        <v>0</v>
      </c>
      <c r="Q233" s="8"/>
    </row>
    <row r="234" spans="1:17" ht="30" x14ac:dyDescent="0.25">
      <c r="A234" s="8"/>
      <c r="B234" s="24" t="s">
        <v>634</v>
      </c>
      <c r="C234" s="8"/>
      <c r="D234" s="10"/>
      <c r="E234" s="10" t="s">
        <v>225</v>
      </c>
      <c r="F234" s="11">
        <v>123</v>
      </c>
      <c r="G234" s="18"/>
      <c r="H234" s="18"/>
      <c r="I234" s="18"/>
      <c r="J234" s="18"/>
      <c r="K234" s="11"/>
      <c r="L234" s="11"/>
      <c r="M234" s="11">
        <f t="shared" si="20"/>
        <v>0</v>
      </c>
      <c r="N234" s="11">
        <f t="shared" si="17"/>
        <v>0</v>
      </c>
      <c r="O234" s="11">
        <f t="shared" si="22"/>
        <v>0</v>
      </c>
      <c r="P234" s="11">
        <f t="shared" si="23"/>
        <v>0</v>
      </c>
      <c r="Q234" s="8"/>
    </row>
    <row r="235" spans="1:17" ht="30" x14ac:dyDescent="0.25">
      <c r="A235" s="8"/>
      <c r="B235" s="24" t="s">
        <v>635</v>
      </c>
      <c r="C235" s="8"/>
      <c r="D235" s="10"/>
      <c r="E235" s="10" t="s">
        <v>225</v>
      </c>
      <c r="F235" s="11">
        <v>3</v>
      </c>
      <c r="G235" s="18"/>
      <c r="H235" s="18"/>
      <c r="I235" s="18"/>
      <c r="J235" s="18"/>
      <c r="K235" s="11"/>
      <c r="L235" s="11"/>
      <c r="M235" s="11">
        <f t="shared" si="20"/>
        <v>0</v>
      </c>
      <c r="N235" s="11">
        <f t="shared" si="17"/>
        <v>0</v>
      </c>
      <c r="O235" s="11">
        <f t="shared" si="22"/>
        <v>0</v>
      </c>
      <c r="P235" s="11">
        <f t="shared" si="23"/>
        <v>0</v>
      </c>
      <c r="Q235" s="8"/>
    </row>
    <row r="236" spans="1:17" ht="30" x14ac:dyDescent="0.25">
      <c r="A236" s="8"/>
      <c r="B236" s="24" t="s">
        <v>636</v>
      </c>
      <c r="C236" s="8"/>
      <c r="D236" s="8"/>
      <c r="E236" s="10" t="s">
        <v>225</v>
      </c>
      <c r="F236" s="11">
        <v>4</v>
      </c>
      <c r="G236" s="18"/>
      <c r="H236" s="18"/>
      <c r="I236" s="18"/>
      <c r="J236" s="18"/>
      <c r="K236" s="11"/>
      <c r="L236" s="11"/>
      <c r="M236" s="11"/>
      <c r="N236" s="11"/>
      <c r="O236" s="11"/>
      <c r="P236" s="11"/>
      <c r="Q236" s="8"/>
    </row>
    <row r="237" spans="1:17" ht="30" x14ac:dyDescent="0.25">
      <c r="A237" s="8"/>
      <c r="B237" s="24" t="s">
        <v>637</v>
      </c>
      <c r="C237" s="13"/>
      <c r="D237" s="19"/>
      <c r="E237" s="10" t="s">
        <v>225</v>
      </c>
      <c r="F237" s="11">
        <v>53</v>
      </c>
      <c r="G237" s="18"/>
      <c r="H237" s="18"/>
      <c r="I237" s="18"/>
      <c r="J237" s="18"/>
      <c r="K237" s="11"/>
      <c r="L237" s="11"/>
      <c r="M237" s="11">
        <f t="shared" si="20"/>
        <v>0</v>
      </c>
      <c r="N237" s="11">
        <f t="shared" si="17"/>
        <v>0</v>
      </c>
      <c r="O237" s="11">
        <f t="shared" ref="O237:O238" si="24">(K237+M237)*F237</f>
        <v>0</v>
      </c>
      <c r="P237" s="11">
        <f t="shared" si="23"/>
        <v>0</v>
      </c>
      <c r="Q237" s="8"/>
    </row>
    <row r="238" spans="1:17" ht="30" x14ac:dyDescent="0.25">
      <c r="A238" s="8"/>
      <c r="B238" s="24" t="s">
        <v>638</v>
      </c>
      <c r="C238" s="13"/>
      <c r="D238" s="19"/>
      <c r="E238" s="10" t="s">
        <v>225</v>
      </c>
      <c r="F238" s="11">
        <v>34</v>
      </c>
      <c r="G238" s="18"/>
      <c r="H238" s="18"/>
      <c r="I238" s="18"/>
      <c r="J238" s="18"/>
      <c r="K238" s="11"/>
      <c r="L238" s="11"/>
      <c r="M238" s="11">
        <f t="shared" si="20"/>
        <v>0</v>
      </c>
      <c r="N238" s="11">
        <f t="shared" si="17"/>
        <v>0</v>
      </c>
      <c r="O238" s="11">
        <f t="shared" si="24"/>
        <v>0</v>
      </c>
      <c r="P238" s="11">
        <f t="shared" si="23"/>
        <v>0</v>
      </c>
      <c r="Q238" s="8"/>
    </row>
    <row r="239" spans="1:17" ht="30" x14ac:dyDescent="0.25">
      <c r="A239" s="8"/>
      <c r="B239" s="24" t="s">
        <v>639</v>
      </c>
      <c r="C239" s="8"/>
      <c r="D239" s="8"/>
      <c r="E239" s="10" t="s">
        <v>225</v>
      </c>
      <c r="F239" s="11">
        <v>35</v>
      </c>
      <c r="G239" s="18"/>
      <c r="H239" s="18"/>
      <c r="I239" s="18"/>
      <c r="J239" s="18"/>
      <c r="K239" s="11"/>
      <c r="L239" s="11"/>
      <c r="M239" s="11"/>
      <c r="N239" s="11"/>
      <c r="O239" s="11"/>
      <c r="P239" s="11">
        <f t="shared" si="23"/>
        <v>0</v>
      </c>
      <c r="Q239" s="8"/>
    </row>
    <row r="240" spans="1:17" ht="30" x14ac:dyDescent="0.25">
      <c r="A240" s="8"/>
      <c r="B240" s="24" t="s">
        <v>640</v>
      </c>
      <c r="C240" s="8"/>
      <c r="D240" s="10"/>
      <c r="E240" s="10" t="s">
        <v>225</v>
      </c>
      <c r="F240" s="11">
        <v>22</v>
      </c>
      <c r="G240" s="18"/>
      <c r="H240" s="18"/>
      <c r="I240" s="18"/>
      <c r="J240" s="18"/>
      <c r="K240" s="11"/>
      <c r="L240" s="11"/>
      <c r="M240" s="11">
        <f>K240*10%</f>
        <v>0</v>
      </c>
      <c r="N240" s="11">
        <f t="shared" si="17"/>
        <v>0</v>
      </c>
      <c r="O240" s="11">
        <f t="shared" ref="O240:O243" si="25">(K240+M240)*F240</f>
        <v>0</v>
      </c>
      <c r="P240" s="11">
        <f t="shared" si="23"/>
        <v>0</v>
      </c>
      <c r="Q240" s="8"/>
    </row>
    <row r="241" spans="1:17" ht="30" x14ac:dyDescent="0.25">
      <c r="A241" s="8"/>
      <c r="B241" s="24" t="s">
        <v>641</v>
      </c>
      <c r="C241" s="13"/>
      <c r="D241" s="10"/>
      <c r="E241" s="10" t="s">
        <v>225</v>
      </c>
      <c r="F241" s="11">
        <v>56</v>
      </c>
      <c r="G241" s="18"/>
      <c r="H241" s="18"/>
      <c r="I241" s="18"/>
      <c r="J241" s="18"/>
      <c r="K241" s="11"/>
      <c r="L241" s="11"/>
      <c r="M241" s="11">
        <f t="shared" ref="M241:M242" si="26">K241*10%</f>
        <v>0</v>
      </c>
      <c r="N241" s="11">
        <f t="shared" si="17"/>
        <v>0</v>
      </c>
      <c r="O241" s="11">
        <f t="shared" si="25"/>
        <v>0</v>
      </c>
      <c r="P241" s="11">
        <f t="shared" si="23"/>
        <v>0</v>
      </c>
      <c r="Q241" s="8"/>
    </row>
    <row r="242" spans="1:17" ht="30" x14ac:dyDescent="0.25">
      <c r="A242" s="8"/>
      <c r="B242" s="24" t="s">
        <v>642</v>
      </c>
      <c r="C242" s="13"/>
      <c r="D242" s="10"/>
      <c r="E242" s="10" t="s">
        <v>225</v>
      </c>
      <c r="F242" s="11">
        <v>34</v>
      </c>
      <c r="G242" s="18"/>
      <c r="H242" s="18"/>
      <c r="I242" s="18"/>
      <c r="J242" s="18"/>
      <c r="K242" s="11"/>
      <c r="L242" s="11"/>
      <c r="M242" s="11">
        <f t="shared" si="26"/>
        <v>0</v>
      </c>
      <c r="N242" s="11">
        <f t="shared" si="17"/>
        <v>0</v>
      </c>
      <c r="O242" s="11">
        <f t="shared" si="25"/>
        <v>0</v>
      </c>
      <c r="P242" s="11">
        <f t="shared" si="23"/>
        <v>0</v>
      </c>
      <c r="Q242" s="8"/>
    </row>
    <row r="243" spans="1:17" ht="30" x14ac:dyDescent="0.25">
      <c r="A243" s="8"/>
      <c r="B243" s="24" t="s">
        <v>643</v>
      </c>
      <c r="C243" s="8"/>
      <c r="D243" s="10"/>
      <c r="E243" s="10" t="s">
        <v>225</v>
      </c>
      <c r="F243" s="11">
        <v>34</v>
      </c>
      <c r="G243" s="18"/>
      <c r="H243" s="18"/>
      <c r="I243" s="18"/>
      <c r="J243" s="18"/>
      <c r="K243" s="11"/>
      <c r="L243" s="11"/>
      <c r="M243" s="11">
        <f t="shared" si="20"/>
        <v>0</v>
      </c>
      <c r="N243" s="11">
        <f t="shared" si="17"/>
        <v>0</v>
      </c>
      <c r="O243" s="11">
        <f t="shared" si="25"/>
        <v>0</v>
      </c>
      <c r="P243" s="11">
        <f t="shared" si="23"/>
        <v>0</v>
      </c>
      <c r="Q243" s="8"/>
    </row>
    <row r="244" spans="1:17" ht="30" x14ac:dyDescent="0.25">
      <c r="A244" s="8"/>
      <c r="B244" s="24" t="s">
        <v>644</v>
      </c>
      <c r="C244" s="8"/>
      <c r="D244" s="8"/>
      <c r="E244" s="10" t="s">
        <v>225</v>
      </c>
      <c r="F244" s="11">
        <v>50</v>
      </c>
      <c r="G244" s="18"/>
      <c r="H244" s="18"/>
      <c r="I244" s="18"/>
      <c r="J244" s="18"/>
      <c r="K244" s="11"/>
      <c r="L244" s="11"/>
      <c r="M244" s="11"/>
      <c r="N244" s="11"/>
      <c r="O244" s="11"/>
      <c r="P244" s="11"/>
      <c r="Q244" s="8"/>
    </row>
    <row r="245" spans="1:17" ht="30" x14ac:dyDescent="0.25">
      <c r="A245" s="8"/>
      <c r="B245" s="24" t="s">
        <v>645</v>
      </c>
      <c r="C245" s="12"/>
      <c r="D245" s="19"/>
      <c r="E245" s="10" t="s">
        <v>225</v>
      </c>
      <c r="F245" s="11">
        <v>6</v>
      </c>
      <c r="G245" s="18"/>
      <c r="H245" s="18"/>
      <c r="I245" s="18"/>
      <c r="J245" s="18"/>
      <c r="K245" s="11"/>
      <c r="L245" s="11"/>
      <c r="M245" s="11">
        <f t="shared" si="20"/>
        <v>0</v>
      </c>
      <c r="N245" s="11">
        <f t="shared" si="17"/>
        <v>0</v>
      </c>
      <c r="O245" s="11">
        <f t="shared" ref="O245:O247" si="27">(K245+M245)*F245</f>
        <v>0</v>
      </c>
      <c r="P245" s="11">
        <f t="shared" si="23"/>
        <v>0</v>
      </c>
      <c r="Q245" s="8"/>
    </row>
    <row r="246" spans="1:17" ht="30" x14ac:dyDescent="0.25">
      <c r="A246" s="8"/>
      <c r="B246" s="24" t="s">
        <v>646</v>
      </c>
      <c r="C246" s="12"/>
      <c r="D246" s="19"/>
      <c r="E246" s="10" t="s">
        <v>225</v>
      </c>
      <c r="F246" s="11">
        <v>4</v>
      </c>
      <c r="G246" s="18"/>
      <c r="H246" s="18"/>
      <c r="I246" s="18"/>
      <c r="J246" s="18"/>
      <c r="K246" s="11"/>
      <c r="L246" s="11"/>
      <c r="M246" s="11">
        <f t="shared" si="20"/>
        <v>0</v>
      </c>
      <c r="N246" s="11">
        <f t="shared" si="17"/>
        <v>0</v>
      </c>
      <c r="O246" s="11">
        <f t="shared" si="27"/>
        <v>0</v>
      </c>
      <c r="P246" s="11">
        <f t="shared" si="23"/>
        <v>0</v>
      </c>
      <c r="Q246" s="8"/>
    </row>
    <row r="247" spans="1:17" ht="30" x14ac:dyDescent="0.25">
      <c r="A247" s="8"/>
      <c r="B247" s="24" t="s">
        <v>647</v>
      </c>
      <c r="C247" s="12"/>
      <c r="D247" s="19"/>
      <c r="E247" s="10" t="s">
        <v>225</v>
      </c>
      <c r="F247" s="11">
        <v>14</v>
      </c>
      <c r="G247" s="18"/>
      <c r="H247" s="18"/>
      <c r="I247" s="18"/>
      <c r="J247" s="18"/>
      <c r="K247" s="11"/>
      <c r="L247" s="11"/>
      <c r="M247" s="11">
        <f t="shared" si="20"/>
        <v>0</v>
      </c>
      <c r="N247" s="11">
        <f t="shared" si="17"/>
        <v>0</v>
      </c>
      <c r="O247" s="11">
        <f t="shared" si="27"/>
        <v>0</v>
      </c>
      <c r="P247" s="11">
        <f t="shared" si="23"/>
        <v>0</v>
      </c>
      <c r="Q247" s="8"/>
    </row>
    <row r="248" spans="1:17" ht="30" x14ac:dyDescent="0.25">
      <c r="A248" s="8"/>
      <c r="B248" s="24" t="s">
        <v>462</v>
      </c>
      <c r="C248" s="8"/>
      <c r="D248" s="8"/>
      <c r="E248" s="10" t="s">
        <v>226</v>
      </c>
      <c r="F248" s="11">
        <v>1</v>
      </c>
      <c r="G248" s="18"/>
      <c r="H248" s="18"/>
      <c r="I248" s="18"/>
      <c r="J248" s="18"/>
      <c r="K248" s="11"/>
      <c r="L248" s="11"/>
      <c r="M248" s="11"/>
      <c r="N248" s="11"/>
      <c r="O248" s="11"/>
      <c r="P248" s="11"/>
      <c r="Q248" s="8"/>
    </row>
    <row r="249" spans="1:17" ht="30" x14ac:dyDescent="0.25">
      <c r="A249" s="8"/>
      <c r="B249" s="24" t="s">
        <v>648</v>
      </c>
      <c r="C249" s="8"/>
      <c r="D249" s="8"/>
      <c r="E249" s="10"/>
      <c r="F249" s="11"/>
      <c r="G249" s="18"/>
      <c r="H249" s="18"/>
      <c r="I249" s="18"/>
      <c r="J249" s="18"/>
      <c r="K249" s="11"/>
      <c r="L249" s="11"/>
      <c r="M249" s="11"/>
      <c r="N249" s="11"/>
      <c r="O249" s="11"/>
      <c r="P249" s="11"/>
      <c r="Q249" s="8"/>
    </row>
    <row r="250" spans="1:17" ht="30" x14ac:dyDescent="0.25">
      <c r="A250" s="8"/>
      <c r="B250" s="24" t="s">
        <v>649</v>
      </c>
      <c r="C250" s="8"/>
      <c r="D250" s="10"/>
      <c r="E250" s="10" t="s">
        <v>225</v>
      </c>
      <c r="F250" s="11">
        <v>472</v>
      </c>
      <c r="G250" s="18"/>
      <c r="H250" s="18"/>
      <c r="I250" s="18"/>
      <c r="J250" s="18"/>
      <c r="K250" s="11"/>
      <c r="L250" s="11"/>
      <c r="M250" s="11"/>
      <c r="N250" s="11"/>
      <c r="O250" s="11"/>
      <c r="P250" s="11"/>
      <c r="Q250" s="8"/>
    </row>
    <row r="251" spans="1:17" ht="30" x14ac:dyDescent="0.25">
      <c r="A251" s="8"/>
      <c r="B251" s="24" t="s">
        <v>462</v>
      </c>
      <c r="C251" s="8"/>
      <c r="D251" s="10"/>
      <c r="E251" s="10" t="s">
        <v>226</v>
      </c>
      <c r="F251" s="11">
        <v>1</v>
      </c>
      <c r="G251" s="18"/>
      <c r="H251" s="18"/>
      <c r="I251" s="18"/>
      <c r="J251" s="18"/>
      <c r="K251" s="11"/>
      <c r="L251" s="11"/>
      <c r="M251" s="11"/>
      <c r="N251" s="11"/>
      <c r="O251" s="11"/>
      <c r="P251" s="11"/>
      <c r="Q251" s="8"/>
    </row>
    <row r="252" spans="1:17" ht="30" x14ac:dyDescent="0.25">
      <c r="A252" s="8"/>
      <c r="B252" s="24" t="s">
        <v>650</v>
      </c>
      <c r="C252" s="8"/>
      <c r="D252" s="8"/>
      <c r="E252" s="10"/>
      <c r="F252" s="11"/>
      <c r="G252" s="18"/>
      <c r="H252" s="18"/>
      <c r="I252" s="18"/>
      <c r="J252" s="18"/>
      <c r="K252" s="11"/>
      <c r="L252" s="11"/>
      <c r="M252" s="11"/>
      <c r="N252" s="11"/>
      <c r="O252" s="11"/>
      <c r="P252" s="11"/>
      <c r="Q252" s="8"/>
    </row>
    <row r="253" spans="1:17" ht="30" x14ac:dyDescent="0.25">
      <c r="A253" s="8"/>
      <c r="B253" s="24" t="s">
        <v>651</v>
      </c>
      <c r="C253" s="8"/>
      <c r="D253" s="8"/>
      <c r="E253" s="10" t="s">
        <v>225</v>
      </c>
      <c r="F253" s="11">
        <v>123</v>
      </c>
      <c r="G253" s="18"/>
      <c r="H253" s="18"/>
      <c r="I253" s="18"/>
      <c r="J253" s="18"/>
      <c r="K253" s="11"/>
      <c r="L253" s="11"/>
      <c r="M253" s="11"/>
      <c r="N253" s="11"/>
      <c r="O253" s="11"/>
      <c r="P253" s="11"/>
      <c r="Q253" s="8"/>
    </row>
    <row r="254" spans="1:17" ht="30" x14ac:dyDescent="0.25">
      <c r="A254" s="8"/>
      <c r="B254" s="24" t="s">
        <v>652</v>
      </c>
      <c r="C254" s="8"/>
      <c r="D254" s="8"/>
      <c r="E254" s="10" t="s">
        <v>225</v>
      </c>
      <c r="F254" s="11">
        <v>272</v>
      </c>
      <c r="G254" s="18"/>
      <c r="H254" s="18"/>
      <c r="I254" s="18"/>
      <c r="J254" s="18"/>
      <c r="K254" s="11"/>
      <c r="L254" s="11"/>
      <c r="M254" s="11"/>
      <c r="N254" s="11"/>
      <c r="O254" s="11"/>
      <c r="P254" s="11"/>
      <c r="Q254" s="8"/>
    </row>
    <row r="255" spans="1:17" ht="30" x14ac:dyDescent="0.25">
      <c r="A255" s="8"/>
      <c r="B255" s="24" t="s">
        <v>653</v>
      </c>
      <c r="C255" s="8"/>
      <c r="D255" s="8"/>
      <c r="E255" s="10" t="s">
        <v>225</v>
      </c>
      <c r="F255" s="11">
        <v>269</v>
      </c>
      <c r="G255" s="18"/>
      <c r="H255" s="18"/>
      <c r="I255" s="18"/>
      <c r="J255" s="18"/>
      <c r="K255" s="11"/>
      <c r="L255" s="11"/>
      <c r="M255" s="11"/>
      <c r="N255" s="11"/>
      <c r="O255" s="11"/>
      <c r="P255" s="11"/>
      <c r="Q255" s="8"/>
    </row>
    <row r="256" spans="1:17" ht="30" x14ac:dyDescent="0.25">
      <c r="A256" s="8"/>
      <c r="B256" s="24" t="s">
        <v>654</v>
      </c>
      <c r="C256" s="8"/>
      <c r="D256" s="10"/>
      <c r="E256" s="10" t="s">
        <v>225</v>
      </c>
      <c r="F256" s="11">
        <v>354</v>
      </c>
      <c r="G256" s="18"/>
      <c r="H256" s="18"/>
      <c r="I256" s="18"/>
      <c r="J256" s="18"/>
      <c r="K256" s="11"/>
      <c r="L256" s="11"/>
      <c r="M256" s="11"/>
      <c r="N256" s="11"/>
      <c r="O256" s="11"/>
      <c r="P256" s="11"/>
      <c r="Q256" s="8"/>
    </row>
    <row r="257" spans="1:17" ht="30" x14ac:dyDescent="0.25">
      <c r="A257" s="8"/>
      <c r="B257" s="24" t="s">
        <v>655</v>
      </c>
      <c r="C257" s="12"/>
      <c r="D257" s="10"/>
      <c r="E257" s="10" t="s">
        <v>225</v>
      </c>
      <c r="F257" s="11">
        <v>143</v>
      </c>
      <c r="G257" s="18"/>
      <c r="H257" s="18"/>
      <c r="I257" s="18"/>
      <c r="J257" s="18"/>
      <c r="K257" s="11"/>
      <c r="L257" s="11"/>
      <c r="M257" s="11"/>
      <c r="N257" s="11"/>
      <c r="O257" s="11"/>
      <c r="P257" s="11"/>
      <c r="Q257" s="8"/>
    </row>
    <row r="258" spans="1:17" ht="30" x14ac:dyDescent="0.25">
      <c r="A258" s="8"/>
      <c r="B258" s="24" t="s">
        <v>656</v>
      </c>
      <c r="C258" s="8"/>
      <c r="D258" s="8"/>
      <c r="E258" s="10" t="s">
        <v>225</v>
      </c>
      <c r="F258" s="11">
        <v>258</v>
      </c>
      <c r="G258" s="18"/>
      <c r="H258" s="18"/>
      <c r="I258" s="18"/>
      <c r="J258" s="18"/>
      <c r="K258" s="11"/>
      <c r="L258" s="11"/>
      <c r="M258" s="11"/>
      <c r="N258" s="11"/>
      <c r="O258" s="11"/>
      <c r="P258" s="11"/>
      <c r="Q258" s="8"/>
    </row>
    <row r="259" spans="1:17" ht="30" x14ac:dyDescent="0.25">
      <c r="A259" s="8"/>
      <c r="B259" s="24" t="s">
        <v>657</v>
      </c>
      <c r="C259" s="8"/>
      <c r="D259" s="8"/>
      <c r="E259" s="10" t="s">
        <v>225</v>
      </c>
      <c r="F259" s="11">
        <v>25</v>
      </c>
      <c r="G259" s="18"/>
      <c r="H259" s="18"/>
      <c r="I259" s="18"/>
      <c r="J259" s="18"/>
      <c r="K259" s="11"/>
      <c r="L259" s="11"/>
      <c r="M259" s="11"/>
      <c r="N259" s="11"/>
      <c r="O259" s="11"/>
      <c r="P259" s="11"/>
      <c r="Q259" s="8"/>
    </row>
    <row r="260" spans="1:17" ht="30" x14ac:dyDescent="0.25">
      <c r="A260" s="8"/>
      <c r="B260" s="24" t="s">
        <v>658</v>
      </c>
      <c r="C260" s="8"/>
      <c r="D260" s="8"/>
      <c r="E260" s="10" t="s">
        <v>225</v>
      </c>
      <c r="F260" s="11">
        <v>18</v>
      </c>
      <c r="G260" s="18"/>
      <c r="H260" s="18"/>
      <c r="I260" s="18"/>
      <c r="J260" s="18"/>
      <c r="K260" s="11"/>
      <c r="L260" s="11"/>
      <c r="M260" s="11"/>
      <c r="N260" s="11"/>
      <c r="O260" s="11"/>
      <c r="P260" s="11"/>
      <c r="Q260" s="8"/>
    </row>
    <row r="261" spans="1:17" ht="30" x14ac:dyDescent="0.25">
      <c r="A261" s="8"/>
      <c r="B261" s="24" t="s">
        <v>659</v>
      </c>
      <c r="C261" s="8"/>
      <c r="D261" s="8"/>
      <c r="E261" s="10" t="s">
        <v>225</v>
      </c>
      <c r="F261" s="11">
        <v>57</v>
      </c>
      <c r="G261" s="18"/>
      <c r="H261" s="18"/>
      <c r="I261" s="18"/>
      <c r="J261" s="18"/>
      <c r="K261" s="11"/>
      <c r="L261" s="11"/>
      <c r="M261" s="11"/>
      <c r="N261" s="11"/>
      <c r="O261" s="11"/>
      <c r="P261" s="11"/>
      <c r="Q261" s="8"/>
    </row>
    <row r="262" spans="1:17" ht="30" x14ac:dyDescent="0.25">
      <c r="A262" s="8"/>
      <c r="B262" s="24" t="s">
        <v>660</v>
      </c>
      <c r="C262" s="8"/>
      <c r="D262" s="8"/>
      <c r="E262" s="10" t="s">
        <v>225</v>
      </c>
      <c r="F262" s="11">
        <v>198</v>
      </c>
      <c r="G262" s="18"/>
      <c r="H262" s="18"/>
      <c r="I262" s="18"/>
      <c r="J262" s="18"/>
      <c r="K262" s="11"/>
      <c r="L262" s="11"/>
      <c r="M262" s="11"/>
      <c r="N262" s="11"/>
      <c r="O262" s="11"/>
      <c r="P262" s="11"/>
      <c r="Q262" s="8"/>
    </row>
    <row r="263" spans="1:17" ht="30" x14ac:dyDescent="0.25">
      <c r="A263" s="8"/>
      <c r="B263" s="24" t="s">
        <v>462</v>
      </c>
      <c r="C263" s="8"/>
      <c r="D263" s="8"/>
      <c r="E263" s="10" t="s">
        <v>226</v>
      </c>
      <c r="F263" s="11">
        <v>1</v>
      </c>
      <c r="G263" s="18"/>
      <c r="H263" s="18"/>
      <c r="I263" s="18"/>
      <c r="J263" s="18"/>
      <c r="K263" s="11"/>
      <c r="L263" s="11"/>
      <c r="M263" s="11"/>
      <c r="N263" s="11"/>
      <c r="O263" s="11"/>
      <c r="P263" s="11"/>
      <c r="Q263" s="8"/>
    </row>
    <row r="264" spans="1:17" ht="30" x14ac:dyDescent="0.25">
      <c r="A264" s="8"/>
      <c r="B264" s="24" t="s">
        <v>661</v>
      </c>
      <c r="C264" s="12"/>
      <c r="D264" s="10"/>
      <c r="E264" s="10"/>
      <c r="F264" s="11"/>
      <c r="G264" s="21"/>
      <c r="H264" s="18"/>
      <c r="I264" s="18"/>
      <c r="J264" s="18"/>
      <c r="K264" s="11"/>
      <c r="L264" s="11"/>
      <c r="M264" s="11">
        <f>K264*10%</f>
        <v>0</v>
      </c>
      <c r="N264" s="11">
        <f t="shared" ref="N264:N273" si="28">L264*8%</f>
        <v>0</v>
      </c>
      <c r="O264" s="11">
        <f t="shared" ref="O264:O267" si="29">(K264+M264)*F264</f>
        <v>0</v>
      </c>
      <c r="P264" s="11">
        <f t="shared" ref="P264:P273" si="30">(L264+N264)*F264</f>
        <v>0</v>
      </c>
      <c r="Q264" s="8"/>
    </row>
    <row r="265" spans="1:17" ht="30" x14ac:dyDescent="0.25">
      <c r="A265" s="8"/>
      <c r="B265" s="24" t="s">
        <v>662</v>
      </c>
      <c r="C265" s="12"/>
      <c r="D265" s="10"/>
      <c r="E265" s="10" t="s">
        <v>225</v>
      </c>
      <c r="F265" s="11">
        <v>93</v>
      </c>
      <c r="G265" s="21"/>
      <c r="H265" s="18"/>
      <c r="I265" s="18"/>
      <c r="J265" s="18"/>
      <c r="K265" s="11"/>
      <c r="L265" s="11"/>
      <c r="M265" s="11">
        <f t="shared" ref="M265:M267" si="31">K265*10%</f>
        <v>0</v>
      </c>
      <c r="N265" s="11">
        <f t="shared" si="28"/>
        <v>0</v>
      </c>
      <c r="O265" s="11">
        <f t="shared" si="29"/>
        <v>0</v>
      </c>
      <c r="P265" s="11">
        <f t="shared" si="30"/>
        <v>0</v>
      </c>
      <c r="Q265" s="8"/>
    </row>
    <row r="266" spans="1:17" ht="30" x14ac:dyDescent="0.25">
      <c r="A266" s="8"/>
      <c r="B266" s="24" t="s">
        <v>663</v>
      </c>
      <c r="C266" s="12"/>
      <c r="D266" s="10"/>
      <c r="E266" s="10" t="s">
        <v>225</v>
      </c>
      <c r="F266" s="11">
        <v>122</v>
      </c>
      <c r="G266" s="21"/>
      <c r="H266" s="18"/>
      <c r="I266" s="18"/>
      <c r="J266" s="18"/>
      <c r="K266" s="11"/>
      <c r="L266" s="11"/>
      <c r="M266" s="11">
        <f t="shared" si="31"/>
        <v>0</v>
      </c>
      <c r="N266" s="11">
        <f t="shared" si="28"/>
        <v>0</v>
      </c>
      <c r="O266" s="11">
        <f t="shared" si="29"/>
        <v>0</v>
      </c>
      <c r="P266" s="11">
        <f t="shared" si="30"/>
        <v>0</v>
      </c>
      <c r="Q266" s="8"/>
    </row>
    <row r="267" spans="1:17" ht="30" x14ac:dyDescent="0.25">
      <c r="A267" s="8"/>
      <c r="B267" s="24" t="s">
        <v>664</v>
      </c>
      <c r="C267" s="8"/>
      <c r="D267" s="10"/>
      <c r="E267" s="10" t="s">
        <v>225</v>
      </c>
      <c r="F267" s="11">
        <v>184</v>
      </c>
      <c r="G267" s="18"/>
      <c r="H267" s="18"/>
      <c r="I267" s="18"/>
      <c r="J267" s="18"/>
      <c r="K267" s="11"/>
      <c r="L267" s="11"/>
      <c r="M267" s="11">
        <f t="shared" si="31"/>
        <v>0</v>
      </c>
      <c r="N267" s="11">
        <f t="shared" si="28"/>
        <v>0</v>
      </c>
      <c r="O267" s="11">
        <f t="shared" si="29"/>
        <v>0</v>
      </c>
      <c r="P267" s="11">
        <f t="shared" si="30"/>
        <v>0</v>
      </c>
      <c r="Q267" s="8"/>
    </row>
    <row r="268" spans="1:17" ht="30" x14ac:dyDescent="0.25">
      <c r="A268" s="8"/>
      <c r="B268" s="24" t="s">
        <v>665</v>
      </c>
      <c r="C268" s="8"/>
      <c r="D268" s="8"/>
      <c r="E268" s="10" t="s">
        <v>225</v>
      </c>
      <c r="F268" s="11">
        <v>259</v>
      </c>
      <c r="G268" s="18"/>
      <c r="H268" s="18"/>
      <c r="I268" s="18"/>
      <c r="J268" s="18"/>
      <c r="K268" s="11"/>
      <c r="L268" s="11"/>
      <c r="M268" s="11"/>
      <c r="N268" s="11">
        <f t="shared" si="28"/>
        <v>0</v>
      </c>
      <c r="O268" s="11">
        <f t="shared" ref="O268:O273" si="32">(G268+M268)*F268</f>
        <v>0</v>
      </c>
      <c r="P268" s="11">
        <f t="shared" si="30"/>
        <v>0</v>
      </c>
      <c r="Q268" s="8"/>
    </row>
    <row r="269" spans="1:17" ht="30" x14ac:dyDescent="0.25">
      <c r="A269" s="8"/>
      <c r="B269" s="24" t="s">
        <v>666</v>
      </c>
      <c r="C269" s="8"/>
      <c r="D269" s="8"/>
      <c r="E269" s="10" t="s">
        <v>225</v>
      </c>
      <c r="F269" s="11">
        <v>234</v>
      </c>
      <c r="G269" s="18"/>
      <c r="H269" s="18"/>
      <c r="I269" s="18"/>
      <c r="J269" s="18"/>
      <c r="K269" s="11"/>
      <c r="L269" s="11"/>
      <c r="M269" s="11"/>
      <c r="N269" s="11">
        <f t="shared" si="28"/>
        <v>0</v>
      </c>
      <c r="O269" s="11">
        <f t="shared" si="32"/>
        <v>0</v>
      </c>
      <c r="P269" s="11">
        <f t="shared" si="30"/>
        <v>0</v>
      </c>
      <c r="Q269" s="8"/>
    </row>
    <row r="270" spans="1:17" ht="30" x14ac:dyDescent="0.25">
      <c r="A270" s="8"/>
      <c r="B270" s="24" t="s">
        <v>667</v>
      </c>
      <c r="C270" s="8"/>
      <c r="D270" s="8"/>
      <c r="E270" s="10" t="s">
        <v>225</v>
      </c>
      <c r="F270" s="11">
        <v>28</v>
      </c>
      <c r="G270" s="18"/>
      <c r="H270" s="18"/>
      <c r="I270" s="18"/>
      <c r="J270" s="18"/>
      <c r="K270" s="11"/>
      <c r="L270" s="11"/>
      <c r="M270" s="11"/>
      <c r="N270" s="11">
        <f t="shared" si="28"/>
        <v>0</v>
      </c>
      <c r="O270" s="11">
        <f t="shared" si="32"/>
        <v>0</v>
      </c>
      <c r="P270" s="11">
        <f t="shared" si="30"/>
        <v>0</v>
      </c>
      <c r="Q270" s="8"/>
    </row>
    <row r="271" spans="1:17" ht="30" x14ac:dyDescent="0.25">
      <c r="A271" s="8"/>
      <c r="B271" s="24" t="s">
        <v>668</v>
      </c>
      <c r="C271" s="8"/>
      <c r="D271" s="8"/>
      <c r="E271" s="10" t="s">
        <v>225</v>
      </c>
      <c r="F271" s="11">
        <v>31</v>
      </c>
      <c r="G271" s="18"/>
      <c r="H271" s="18"/>
      <c r="I271" s="18"/>
      <c r="J271" s="18"/>
      <c r="K271" s="11"/>
      <c r="L271" s="11"/>
      <c r="M271" s="11"/>
      <c r="N271" s="11">
        <f t="shared" si="28"/>
        <v>0</v>
      </c>
      <c r="O271" s="11">
        <f t="shared" si="32"/>
        <v>0</v>
      </c>
      <c r="P271" s="11">
        <f t="shared" si="30"/>
        <v>0</v>
      </c>
      <c r="Q271" s="8"/>
    </row>
    <row r="272" spans="1:17" ht="30" x14ac:dyDescent="0.25">
      <c r="A272" s="8"/>
      <c r="B272" s="24" t="s">
        <v>669</v>
      </c>
      <c r="C272" s="8"/>
      <c r="D272" s="8"/>
      <c r="E272" s="10" t="s">
        <v>225</v>
      </c>
      <c r="F272" s="11">
        <v>107</v>
      </c>
      <c r="G272" s="18"/>
      <c r="H272" s="18"/>
      <c r="I272" s="18"/>
      <c r="J272" s="18"/>
      <c r="K272" s="11"/>
      <c r="L272" s="11"/>
      <c r="M272" s="11"/>
      <c r="N272" s="11">
        <f t="shared" si="28"/>
        <v>0</v>
      </c>
      <c r="O272" s="11">
        <f t="shared" si="32"/>
        <v>0</v>
      </c>
      <c r="P272" s="11">
        <f t="shared" si="30"/>
        <v>0</v>
      </c>
      <c r="Q272" s="8"/>
    </row>
    <row r="273" spans="1:17" ht="30" x14ac:dyDescent="0.25">
      <c r="A273" s="8"/>
      <c r="B273" s="24" t="s">
        <v>670</v>
      </c>
      <c r="C273" s="8"/>
      <c r="D273" s="8"/>
      <c r="E273" s="10" t="s">
        <v>225</v>
      </c>
      <c r="F273" s="11">
        <v>143</v>
      </c>
      <c r="G273" s="18"/>
      <c r="H273" s="18"/>
      <c r="I273" s="18"/>
      <c r="J273" s="18"/>
      <c r="K273" s="11"/>
      <c r="L273" s="11"/>
      <c r="M273" s="11"/>
      <c r="N273" s="11">
        <f t="shared" si="28"/>
        <v>0</v>
      </c>
      <c r="O273" s="11">
        <f t="shared" si="32"/>
        <v>0</v>
      </c>
      <c r="P273" s="11">
        <f t="shared" si="30"/>
        <v>0</v>
      </c>
      <c r="Q273" s="8"/>
    </row>
    <row r="274" spans="1:17" ht="30" x14ac:dyDescent="0.25">
      <c r="A274" s="8"/>
      <c r="B274" s="24" t="s">
        <v>671</v>
      </c>
      <c r="C274" s="8"/>
      <c r="D274" s="8"/>
      <c r="E274" s="10" t="s">
        <v>225</v>
      </c>
      <c r="F274" s="11">
        <v>241</v>
      </c>
      <c r="G274" s="18"/>
      <c r="H274" s="18"/>
      <c r="I274" s="18"/>
      <c r="J274" s="18"/>
      <c r="K274" s="11"/>
      <c r="L274" s="11"/>
      <c r="M274" s="11"/>
      <c r="N274" s="11"/>
      <c r="O274" s="11"/>
      <c r="P274" s="11"/>
      <c r="Q274" s="8"/>
    </row>
    <row r="275" spans="1:17" ht="30" x14ac:dyDescent="0.25">
      <c r="A275" s="8"/>
      <c r="B275" s="24" t="s">
        <v>672</v>
      </c>
      <c r="C275" s="8"/>
      <c r="D275" s="8"/>
      <c r="E275" s="10" t="s">
        <v>225</v>
      </c>
      <c r="F275" s="11">
        <v>174</v>
      </c>
      <c r="G275" s="18"/>
      <c r="H275" s="18"/>
      <c r="I275" s="18"/>
      <c r="J275" s="18"/>
      <c r="K275" s="11"/>
      <c r="L275" s="11"/>
      <c r="M275" s="11"/>
      <c r="N275" s="11"/>
      <c r="O275" s="11"/>
      <c r="P275" s="11"/>
      <c r="Q275" s="8"/>
    </row>
    <row r="276" spans="1:17" ht="30" x14ac:dyDescent="0.25">
      <c r="A276" s="8"/>
      <c r="B276" s="24" t="s">
        <v>673</v>
      </c>
      <c r="C276" s="8"/>
      <c r="D276" s="8"/>
      <c r="E276" s="10" t="s">
        <v>225</v>
      </c>
      <c r="F276" s="11">
        <v>57</v>
      </c>
      <c r="G276" s="18"/>
      <c r="H276" s="18"/>
      <c r="I276" s="18"/>
      <c r="J276" s="18"/>
      <c r="K276" s="11"/>
      <c r="L276" s="11"/>
      <c r="M276" s="11"/>
      <c r="N276" s="11"/>
      <c r="O276" s="11"/>
      <c r="P276" s="11"/>
      <c r="Q276" s="8"/>
    </row>
    <row r="277" spans="1:17" ht="30" x14ac:dyDescent="0.25">
      <c r="A277" s="8"/>
      <c r="B277" s="24" t="s">
        <v>674</v>
      </c>
      <c r="C277" s="8"/>
      <c r="D277" s="8"/>
      <c r="E277" s="10" t="s">
        <v>225</v>
      </c>
      <c r="F277" s="11">
        <v>20</v>
      </c>
      <c r="G277" s="18"/>
      <c r="H277" s="18"/>
      <c r="I277" s="18"/>
      <c r="J277" s="18"/>
      <c r="K277" s="11"/>
      <c r="L277" s="11"/>
      <c r="M277" s="11"/>
      <c r="N277" s="11"/>
      <c r="O277" s="11"/>
      <c r="P277" s="11"/>
      <c r="Q277" s="8"/>
    </row>
    <row r="278" spans="1:17" ht="30" x14ac:dyDescent="0.25">
      <c r="A278" s="8"/>
      <c r="B278" s="24" t="s">
        <v>675</v>
      </c>
      <c r="C278" s="8"/>
      <c r="D278" s="8"/>
      <c r="E278" s="10" t="s">
        <v>225</v>
      </c>
      <c r="F278" s="11">
        <v>83</v>
      </c>
      <c r="G278" s="18"/>
      <c r="H278" s="18"/>
      <c r="I278" s="18"/>
      <c r="J278" s="18"/>
      <c r="K278" s="11"/>
      <c r="L278" s="11"/>
      <c r="M278" s="11">
        <f>K278*8%</f>
        <v>0</v>
      </c>
      <c r="N278" s="11">
        <f>L278*8%</f>
        <v>0</v>
      </c>
      <c r="O278" s="11">
        <f t="shared" ref="O278:O286" si="33">(K278+M278)*F278</f>
        <v>0</v>
      </c>
      <c r="P278" s="11">
        <f t="shared" ref="P278:P286" si="34">(L278+N278)*F278</f>
        <v>0</v>
      </c>
      <c r="Q278" s="8"/>
    </row>
    <row r="279" spans="1:17" ht="30" x14ac:dyDescent="0.25">
      <c r="A279" s="8"/>
      <c r="B279" s="24" t="s">
        <v>676</v>
      </c>
      <c r="C279" s="12"/>
      <c r="D279" s="8"/>
      <c r="E279" s="10" t="s">
        <v>225</v>
      </c>
      <c r="F279" s="11">
        <v>11</v>
      </c>
      <c r="G279" s="18"/>
      <c r="H279" s="18"/>
      <c r="I279" s="18"/>
      <c r="J279" s="18"/>
      <c r="K279" s="11"/>
      <c r="L279" s="11"/>
      <c r="M279" s="11">
        <f t="shared" ref="M279:N286" si="35">K279*8%</f>
        <v>0</v>
      </c>
      <c r="N279" s="11">
        <f t="shared" si="35"/>
        <v>0</v>
      </c>
      <c r="O279" s="11">
        <f t="shared" si="33"/>
        <v>0</v>
      </c>
      <c r="P279" s="11">
        <f t="shared" si="34"/>
        <v>0</v>
      </c>
      <c r="Q279" s="8"/>
    </row>
    <row r="280" spans="1:17" ht="30" x14ac:dyDescent="0.25">
      <c r="A280" s="8"/>
      <c r="B280" s="24" t="s">
        <v>677</v>
      </c>
      <c r="C280" s="12"/>
      <c r="D280" s="8"/>
      <c r="E280" s="10" t="s">
        <v>225</v>
      </c>
      <c r="F280" s="11">
        <v>11</v>
      </c>
      <c r="G280" s="18"/>
      <c r="H280" s="18"/>
      <c r="I280" s="18"/>
      <c r="J280" s="18"/>
      <c r="K280" s="11"/>
      <c r="L280" s="11"/>
      <c r="M280" s="11">
        <f t="shared" si="35"/>
        <v>0</v>
      </c>
      <c r="N280" s="11">
        <f t="shared" si="35"/>
        <v>0</v>
      </c>
      <c r="O280" s="11">
        <f t="shared" si="33"/>
        <v>0</v>
      </c>
      <c r="P280" s="11">
        <f t="shared" si="34"/>
        <v>0</v>
      </c>
      <c r="Q280" s="8"/>
    </row>
    <row r="281" spans="1:17" ht="30" x14ac:dyDescent="0.25">
      <c r="A281" s="8"/>
      <c r="B281" s="24" t="s">
        <v>678</v>
      </c>
      <c r="C281" s="12"/>
      <c r="D281" s="8"/>
      <c r="E281" s="10" t="s">
        <v>225</v>
      </c>
      <c r="F281" s="11">
        <v>60</v>
      </c>
      <c r="G281" s="18"/>
      <c r="H281" s="18"/>
      <c r="I281" s="18"/>
      <c r="J281" s="18"/>
      <c r="K281" s="11"/>
      <c r="L281" s="11"/>
      <c r="M281" s="11">
        <f t="shared" si="35"/>
        <v>0</v>
      </c>
      <c r="N281" s="11">
        <f t="shared" si="35"/>
        <v>0</v>
      </c>
      <c r="O281" s="11">
        <f t="shared" si="33"/>
        <v>0</v>
      </c>
      <c r="P281" s="11">
        <f t="shared" si="34"/>
        <v>0</v>
      </c>
      <c r="Q281" s="8"/>
    </row>
    <row r="282" spans="1:17" ht="30" x14ac:dyDescent="0.25">
      <c r="A282" s="8"/>
      <c r="B282" s="24" t="s">
        <v>462</v>
      </c>
      <c r="C282" s="12"/>
      <c r="D282" s="8"/>
      <c r="E282" s="10" t="s">
        <v>226</v>
      </c>
      <c r="F282" s="11">
        <v>1</v>
      </c>
      <c r="G282" s="18"/>
      <c r="H282" s="18"/>
      <c r="I282" s="18"/>
      <c r="J282" s="18"/>
      <c r="K282" s="11"/>
      <c r="L282" s="11"/>
      <c r="M282" s="11">
        <f t="shared" si="35"/>
        <v>0</v>
      </c>
      <c r="N282" s="11">
        <f t="shared" si="35"/>
        <v>0</v>
      </c>
      <c r="O282" s="11">
        <f t="shared" si="33"/>
        <v>0</v>
      </c>
      <c r="P282" s="11">
        <f t="shared" si="34"/>
        <v>0</v>
      </c>
      <c r="Q282" s="8"/>
    </row>
    <row r="283" spans="1:17" x14ac:dyDescent="0.25">
      <c r="A283" s="8"/>
      <c r="B283" s="24" t="s">
        <v>14</v>
      </c>
      <c r="C283" s="12"/>
      <c r="D283" s="8"/>
      <c r="E283" s="10" t="s">
        <v>226</v>
      </c>
      <c r="F283" s="11">
        <v>1</v>
      </c>
      <c r="G283" s="18"/>
      <c r="H283" s="18"/>
      <c r="I283" s="18"/>
      <c r="J283" s="18"/>
      <c r="K283" s="11"/>
      <c r="L283" s="11"/>
      <c r="M283" s="11">
        <f t="shared" si="35"/>
        <v>0</v>
      </c>
      <c r="N283" s="11">
        <f t="shared" si="35"/>
        <v>0</v>
      </c>
      <c r="O283" s="11">
        <f t="shared" si="33"/>
        <v>0</v>
      </c>
      <c r="P283" s="11">
        <f t="shared" si="34"/>
        <v>0</v>
      </c>
      <c r="Q283" s="8"/>
    </row>
    <row r="284" spans="1:17" x14ac:dyDescent="0.25">
      <c r="A284" s="8"/>
      <c r="B284" s="24" t="s">
        <v>463</v>
      </c>
      <c r="C284" s="12"/>
      <c r="D284" s="8"/>
      <c r="E284" s="10" t="s">
        <v>231</v>
      </c>
      <c r="F284" s="11"/>
      <c r="G284" s="18"/>
      <c r="H284" s="18"/>
      <c r="I284" s="18"/>
      <c r="J284" s="18"/>
      <c r="K284" s="11"/>
      <c r="L284" s="11"/>
      <c r="M284" s="11">
        <f t="shared" si="35"/>
        <v>0</v>
      </c>
      <c r="N284" s="11">
        <f t="shared" si="35"/>
        <v>0</v>
      </c>
      <c r="O284" s="11">
        <f t="shared" si="33"/>
        <v>0</v>
      </c>
      <c r="P284" s="11">
        <f t="shared" si="34"/>
        <v>0</v>
      </c>
      <c r="Q284" s="8"/>
    </row>
    <row r="285" spans="1:17" ht="30" x14ac:dyDescent="0.25">
      <c r="A285" s="8"/>
      <c r="B285" s="24" t="s">
        <v>464</v>
      </c>
      <c r="C285" s="8"/>
      <c r="D285" s="10"/>
      <c r="E285" s="10" t="s">
        <v>225</v>
      </c>
      <c r="F285" s="11">
        <v>5786</v>
      </c>
      <c r="G285" s="18"/>
      <c r="H285" s="18"/>
      <c r="I285" s="18"/>
      <c r="J285" s="18"/>
      <c r="K285" s="11"/>
      <c r="L285" s="11"/>
      <c r="M285" s="11">
        <f t="shared" si="35"/>
        <v>0</v>
      </c>
      <c r="N285" s="11">
        <f t="shared" si="35"/>
        <v>0</v>
      </c>
      <c r="O285" s="11">
        <f t="shared" si="33"/>
        <v>0</v>
      </c>
      <c r="P285" s="11">
        <f t="shared" si="34"/>
        <v>0</v>
      </c>
      <c r="Q285" s="8"/>
    </row>
    <row r="286" spans="1:17" x14ac:dyDescent="0.25">
      <c r="A286" s="8"/>
      <c r="B286" s="24" t="s">
        <v>465</v>
      </c>
      <c r="C286" s="8"/>
      <c r="D286" s="10"/>
      <c r="E286" s="10" t="s">
        <v>225</v>
      </c>
      <c r="F286" s="11">
        <v>2893</v>
      </c>
      <c r="G286" s="18"/>
      <c r="H286" s="18"/>
      <c r="I286" s="18"/>
      <c r="J286" s="18"/>
      <c r="K286" s="11"/>
      <c r="L286" s="11"/>
      <c r="M286" s="11">
        <f t="shared" si="35"/>
        <v>0</v>
      </c>
      <c r="N286" s="11">
        <f t="shared" si="35"/>
        <v>0</v>
      </c>
      <c r="O286" s="11">
        <f t="shared" si="33"/>
        <v>0</v>
      </c>
      <c r="P286" s="11">
        <f t="shared" si="34"/>
        <v>0</v>
      </c>
      <c r="Q286" s="8"/>
    </row>
    <row r="287" spans="1:17" x14ac:dyDescent="0.25">
      <c r="A287" s="8"/>
      <c r="B287" s="24" t="s">
        <v>14</v>
      </c>
      <c r="C287" s="8"/>
      <c r="D287" s="8"/>
      <c r="E287" s="10" t="s">
        <v>228</v>
      </c>
      <c r="F287" s="11">
        <v>1</v>
      </c>
      <c r="G287" s="18"/>
      <c r="H287" s="18"/>
      <c r="I287" s="18"/>
      <c r="J287" s="18"/>
      <c r="K287" s="11"/>
      <c r="L287" s="11"/>
      <c r="M287" s="11"/>
      <c r="N287" s="11"/>
      <c r="O287" s="11"/>
      <c r="P287" s="11"/>
      <c r="Q287" s="8"/>
    </row>
    <row r="288" spans="1:17" ht="30" x14ac:dyDescent="0.25">
      <c r="A288" s="8"/>
      <c r="B288" s="24" t="s">
        <v>679</v>
      </c>
      <c r="C288" s="13"/>
      <c r="D288" s="19"/>
      <c r="E288" s="10" t="s">
        <v>231</v>
      </c>
      <c r="F288" s="11"/>
      <c r="G288" s="18"/>
      <c r="H288" s="18"/>
      <c r="I288" s="18"/>
      <c r="J288" s="18"/>
      <c r="K288" s="11"/>
      <c r="L288" s="11"/>
      <c r="M288" s="11">
        <f t="shared" ref="M288:N294" si="36">K288*8%</f>
        <v>0</v>
      </c>
      <c r="N288" s="11">
        <f t="shared" si="36"/>
        <v>0</v>
      </c>
      <c r="O288" s="11">
        <f t="shared" ref="O288:O294" si="37">(K288+M288)*F288</f>
        <v>0</v>
      </c>
      <c r="P288" s="11">
        <f t="shared" ref="P288:P294" si="38">(L288+N288)*F288</f>
        <v>0</v>
      </c>
      <c r="Q288" s="8"/>
    </row>
    <row r="289" spans="1:17" x14ac:dyDescent="0.25">
      <c r="A289" s="8"/>
      <c r="B289" s="24" t="s">
        <v>413</v>
      </c>
      <c r="C289" s="13"/>
      <c r="D289" s="19"/>
      <c r="E289" s="10" t="s">
        <v>231</v>
      </c>
      <c r="F289" s="11"/>
      <c r="G289" s="18"/>
      <c r="H289" s="18"/>
      <c r="I289" s="18"/>
      <c r="J289" s="18"/>
      <c r="K289" s="11"/>
      <c r="L289" s="11"/>
      <c r="M289" s="11">
        <f t="shared" si="36"/>
        <v>0</v>
      </c>
      <c r="N289" s="11">
        <f t="shared" si="36"/>
        <v>0</v>
      </c>
      <c r="O289" s="11">
        <f t="shared" si="37"/>
        <v>0</v>
      </c>
      <c r="P289" s="11">
        <f t="shared" si="38"/>
        <v>0</v>
      </c>
      <c r="Q289" s="8"/>
    </row>
    <row r="290" spans="1:17" ht="45" x14ac:dyDescent="0.25">
      <c r="A290" s="8"/>
      <c r="B290" s="24" t="s">
        <v>680</v>
      </c>
      <c r="C290" s="13"/>
      <c r="D290" s="19"/>
      <c r="E290" s="10" t="s">
        <v>227</v>
      </c>
      <c r="F290" s="11">
        <v>3</v>
      </c>
      <c r="G290" s="18"/>
      <c r="H290" s="18"/>
      <c r="I290" s="18"/>
      <c r="J290" s="18"/>
      <c r="K290" s="11"/>
      <c r="L290" s="11"/>
      <c r="M290" s="11">
        <f t="shared" si="36"/>
        <v>0</v>
      </c>
      <c r="N290" s="11">
        <f t="shared" si="36"/>
        <v>0</v>
      </c>
      <c r="O290" s="11">
        <f t="shared" si="37"/>
        <v>0</v>
      </c>
      <c r="P290" s="11">
        <f t="shared" si="38"/>
        <v>0</v>
      </c>
      <c r="Q290" s="8"/>
    </row>
    <row r="291" spans="1:17" ht="45" x14ac:dyDescent="0.25">
      <c r="A291" s="8"/>
      <c r="B291" s="24" t="s">
        <v>681</v>
      </c>
      <c r="C291" s="13"/>
      <c r="D291" s="19"/>
      <c r="E291" s="10" t="s">
        <v>227</v>
      </c>
      <c r="F291" s="11">
        <v>3</v>
      </c>
      <c r="G291" s="18"/>
      <c r="H291" s="18"/>
      <c r="I291" s="18"/>
      <c r="J291" s="18"/>
      <c r="K291" s="11"/>
      <c r="L291" s="11"/>
      <c r="M291" s="11">
        <f t="shared" si="36"/>
        <v>0</v>
      </c>
      <c r="N291" s="11">
        <f t="shared" si="36"/>
        <v>0</v>
      </c>
      <c r="O291" s="11">
        <f t="shared" si="37"/>
        <v>0</v>
      </c>
      <c r="P291" s="11">
        <f t="shared" si="38"/>
        <v>0</v>
      </c>
      <c r="Q291" s="8"/>
    </row>
    <row r="292" spans="1:17" ht="45" x14ac:dyDescent="0.25">
      <c r="A292" s="8"/>
      <c r="B292" s="24" t="s">
        <v>682</v>
      </c>
      <c r="C292" s="13"/>
      <c r="D292" s="19"/>
      <c r="E292" s="10" t="s">
        <v>227</v>
      </c>
      <c r="F292" s="11">
        <v>3</v>
      </c>
      <c r="G292" s="18"/>
      <c r="H292" s="18"/>
      <c r="I292" s="18"/>
      <c r="J292" s="18"/>
      <c r="K292" s="11"/>
      <c r="L292" s="11"/>
      <c r="M292" s="11">
        <f t="shared" si="36"/>
        <v>0</v>
      </c>
      <c r="N292" s="11">
        <f t="shared" si="36"/>
        <v>0</v>
      </c>
      <c r="O292" s="11">
        <f t="shared" si="37"/>
        <v>0</v>
      </c>
      <c r="P292" s="11">
        <f t="shared" si="38"/>
        <v>0</v>
      </c>
      <c r="Q292" s="8"/>
    </row>
    <row r="293" spans="1:17" ht="45" x14ac:dyDescent="0.25">
      <c r="A293" s="8"/>
      <c r="B293" s="24" t="s">
        <v>683</v>
      </c>
      <c r="C293" s="13"/>
      <c r="D293" s="19"/>
      <c r="E293" s="10" t="s">
        <v>227</v>
      </c>
      <c r="F293" s="11">
        <v>3</v>
      </c>
      <c r="G293" s="18"/>
      <c r="H293" s="18"/>
      <c r="I293" s="18"/>
      <c r="J293" s="18"/>
      <c r="K293" s="11"/>
      <c r="L293" s="11"/>
      <c r="M293" s="11">
        <f t="shared" si="36"/>
        <v>0</v>
      </c>
      <c r="N293" s="11">
        <f t="shared" si="36"/>
        <v>0</v>
      </c>
      <c r="O293" s="11">
        <f t="shared" si="37"/>
        <v>0</v>
      </c>
      <c r="P293" s="11">
        <f t="shared" si="38"/>
        <v>0</v>
      </c>
      <c r="Q293" s="8"/>
    </row>
    <row r="294" spans="1:17" ht="45" x14ac:dyDescent="0.25">
      <c r="A294" s="8"/>
      <c r="B294" s="24" t="s">
        <v>684</v>
      </c>
      <c r="C294" s="13"/>
      <c r="D294" s="19"/>
      <c r="E294" s="10" t="s">
        <v>227</v>
      </c>
      <c r="F294" s="11">
        <v>3</v>
      </c>
      <c r="G294" s="18"/>
      <c r="H294" s="18"/>
      <c r="I294" s="18"/>
      <c r="J294" s="18"/>
      <c r="K294" s="11"/>
      <c r="L294" s="11"/>
      <c r="M294" s="11">
        <f t="shared" si="36"/>
        <v>0</v>
      </c>
      <c r="N294" s="11">
        <f t="shared" si="36"/>
        <v>0</v>
      </c>
      <c r="O294" s="11">
        <f t="shared" si="37"/>
        <v>0</v>
      </c>
      <c r="P294" s="11">
        <f t="shared" si="38"/>
        <v>0</v>
      </c>
      <c r="Q294" s="8"/>
    </row>
    <row r="295" spans="1:17" ht="45" x14ac:dyDescent="0.25">
      <c r="A295" s="8"/>
      <c r="B295" s="24" t="s">
        <v>685</v>
      </c>
      <c r="C295" s="8"/>
      <c r="D295" s="10"/>
      <c r="E295" s="10" t="s">
        <v>227</v>
      </c>
      <c r="F295" s="11">
        <v>3</v>
      </c>
      <c r="G295" s="18"/>
      <c r="H295" s="18"/>
      <c r="I295" s="18"/>
      <c r="J295" s="18"/>
      <c r="K295" s="11"/>
      <c r="L295" s="11"/>
      <c r="M295" s="11"/>
      <c r="N295" s="11"/>
      <c r="O295" s="11"/>
      <c r="P295" s="11"/>
      <c r="Q295" s="8"/>
    </row>
    <row r="296" spans="1:17" ht="45" x14ac:dyDescent="0.25">
      <c r="A296" s="8"/>
      <c r="B296" s="24" t="s">
        <v>686</v>
      </c>
      <c r="C296" s="8"/>
      <c r="D296" s="10"/>
      <c r="E296" s="10" t="s">
        <v>227</v>
      </c>
      <c r="F296" s="11">
        <v>1</v>
      </c>
      <c r="G296" s="18"/>
      <c r="H296" s="18"/>
      <c r="I296" s="18"/>
      <c r="J296" s="18"/>
      <c r="K296" s="11"/>
      <c r="L296" s="11"/>
      <c r="M296" s="11">
        <f>K296*10%</f>
        <v>0</v>
      </c>
      <c r="N296" s="11">
        <f t="shared" ref="N296:N310" si="39">L296*8%</f>
        <v>0</v>
      </c>
      <c r="O296" s="11">
        <f t="shared" ref="O296:O310" si="40">(K296+M296)*F296</f>
        <v>0</v>
      </c>
      <c r="P296" s="11">
        <f t="shared" ref="P296:P310" si="41">(L296+N296)*F296</f>
        <v>0</v>
      </c>
      <c r="Q296" s="8"/>
    </row>
    <row r="297" spans="1:17" x14ac:dyDescent="0.25">
      <c r="A297" s="8"/>
      <c r="B297" s="24" t="s">
        <v>427</v>
      </c>
      <c r="C297" s="13"/>
      <c r="D297" s="10"/>
      <c r="E297" s="10" t="s">
        <v>227</v>
      </c>
      <c r="F297" s="11">
        <v>84</v>
      </c>
      <c r="G297" s="18"/>
      <c r="H297" s="18"/>
      <c r="I297" s="18"/>
      <c r="J297" s="18"/>
      <c r="K297" s="11"/>
      <c r="L297" s="11"/>
      <c r="M297" s="11">
        <f t="shared" ref="M297:M304" si="42">K297*10%</f>
        <v>0</v>
      </c>
      <c r="N297" s="11">
        <f t="shared" si="39"/>
        <v>0</v>
      </c>
      <c r="O297" s="11">
        <f t="shared" si="40"/>
        <v>0</v>
      </c>
      <c r="P297" s="11">
        <f t="shared" si="41"/>
        <v>0</v>
      </c>
      <c r="Q297" s="8"/>
    </row>
    <row r="298" spans="1:17" x14ac:dyDescent="0.25">
      <c r="A298" s="8"/>
      <c r="B298" s="24" t="s">
        <v>516</v>
      </c>
      <c r="C298" s="13"/>
      <c r="D298" s="10"/>
      <c r="E298" s="10" t="s">
        <v>226</v>
      </c>
      <c r="F298" s="11">
        <v>1</v>
      </c>
      <c r="G298" s="18"/>
      <c r="H298" s="18"/>
      <c r="I298" s="18"/>
      <c r="J298" s="18"/>
      <c r="K298" s="11"/>
      <c r="L298" s="11"/>
      <c r="M298" s="11">
        <f t="shared" si="42"/>
        <v>0</v>
      </c>
      <c r="N298" s="11">
        <f t="shared" si="39"/>
        <v>0</v>
      </c>
      <c r="O298" s="11">
        <f t="shared" si="40"/>
        <v>0</v>
      </c>
      <c r="P298" s="11">
        <f t="shared" si="41"/>
        <v>0</v>
      </c>
      <c r="Q298" s="8"/>
    </row>
    <row r="299" spans="1:17" ht="45" x14ac:dyDescent="0.25">
      <c r="A299" s="8"/>
      <c r="B299" s="24" t="s">
        <v>687</v>
      </c>
      <c r="C299" s="13"/>
      <c r="D299" s="10"/>
      <c r="E299" s="10" t="s">
        <v>231</v>
      </c>
      <c r="F299" s="11"/>
      <c r="G299" s="18"/>
      <c r="H299" s="18"/>
      <c r="I299" s="18"/>
      <c r="J299" s="18"/>
      <c r="K299" s="11"/>
      <c r="L299" s="11"/>
      <c r="M299" s="11">
        <f t="shared" si="42"/>
        <v>0</v>
      </c>
      <c r="N299" s="11">
        <f t="shared" si="39"/>
        <v>0</v>
      </c>
      <c r="O299" s="11">
        <f t="shared" si="40"/>
        <v>0</v>
      </c>
      <c r="P299" s="11">
        <f t="shared" si="41"/>
        <v>0</v>
      </c>
      <c r="Q299" s="8"/>
    </row>
    <row r="300" spans="1:17" x14ac:dyDescent="0.25">
      <c r="A300" s="8"/>
      <c r="B300" s="24" t="s">
        <v>430</v>
      </c>
      <c r="C300" s="13"/>
      <c r="D300" s="10"/>
      <c r="E300" s="10" t="s">
        <v>227</v>
      </c>
      <c r="F300" s="11">
        <v>3</v>
      </c>
      <c r="G300" s="18"/>
      <c r="H300" s="18"/>
      <c r="I300" s="18"/>
      <c r="J300" s="18"/>
      <c r="K300" s="11"/>
      <c r="L300" s="11"/>
      <c r="M300" s="11">
        <f t="shared" si="42"/>
        <v>0</v>
      </c>
      <c r="N300" s="11">
        <f t="shared" si="39"/>
        <v>0</v>
      </c>
      <c r="O300" s="11">
        <f t="shared" si="40"/>
        <v>0</v>
      </c>
      <c r="P300" s="11">
        <f t="shared" si="41"/>
        <v>0</v>
      </c>
      <c r="Q300" s="8"/>
    </row>
    <row r="301" spans="1:17" x14ac:dyDescent="0.25">
      <c r="A301" s="8"/>
      <c r="B301" s="24" t="s">
        <v>688</v>
      </c>
      <c r="C301" s="13"/>
      <c r="D301" s="10"/>
      <c r="E301" s="10"/>
      <c r="F301" s="11"/>
      <c r="G301" s="18"/>
      <c r="H301" s="18"/>
      <c r="I301" s="18"/>
      <c r="J301" s="18"/>
      <c r="K301" s="11"/>
      <c r="L301" s="11"/>
      <c r="M301" s="11">
        <f t="shared" si="42"/>
        <v>0</v>
      </c>
      <c r="N301" s="11">
        <f t="shared" si="39"/>
        <v>0</v>
      </c>
      <c r="O301" s="11">
        <f t="shared" si="40"/>
        <v>0</v>
      </c>
      <c r="P301" s="11">
        <f t="shared" si="41"/>
        <v>0</v>
      </c>
      <c r="Q301" s="8"/>
    </row>
    <row r="302" spans="1:17" ht="45" x14ac:dyDescent="0.25">
      <c r="A302" s="8"/>
      <c r="B302" s="24" t="s">
        <v>689</v>
      </c>
      <c r="C302" s="13"/>
      <c r="D302" s="10"/>
      <c r="E302" s="10" t="s">
        <v>808</v>
      </c>
      <c r="F302" s="11">
        <v>666</v>
      </c>
      <c r="G302" s="18"/>
      <c r="H302" s="18"/>
      <c r="I302" s="18"/>
      <c r="J302" s="18"/>
      <c r="K302" s="11"/>
      <c r="L302" s="11"/>
      <c r="M302" s="11">
        <f t="shared" si="42"/>
        <v>0</v>
      </c>
      <c r="N302" s="11">
        <f t="shared" si="39"/>
        <v>0</v>
      </c>
      <c r="O302" s="11">
        <f t="shared" si="40"/>
        <v>0</v>
      </c>
      <c r="P302" s="11">
        <f t="shared" si="41"/>
        <v>0</v>
      </c>
      <c r="Q302" s="8"/>
    </row>
    <row r="303" spans="1:17" ht="30" x14ac:dyDescent="0.25">
      <c r="A303" s="8"/>
      <c r="B303" s="24" t="s">
        <v>690</v>
      </c>
      <c r="C303" s="13"/>
      <c r="D303" s="10"/>
      <c r="E303" s="10" t="s">
        <v>808</v>
      </c>
      <c r="F303" s="11">
        <v>2</v>
      </c>
      <c r="G303" s="18"/>
      <c r="H303" s="18"/>
      <c r="I303" s="18"/>
      <c r="J303" s="18"/>
      <c r="K303" s="11"/>
      <c r="L303" s="11"/>
      <c r="M303" s="11">
        <f t="shared" si="42"/>
        <v>0</v>
      </c>
      <c r="N303" s="11">
        <f t="shared" si="39"/>
        <v>0</v>
      </c>
      <c r="O303" s="11">
        <f t="shared" si="40"/>
        <v>0</v>
      </c>
      <c r="P303" s="11">
        <f t="shared" si="41"/>
        <v>0</v>
      </c>
      <c r="Q303" s="8"/>
    </row>
    <row r="304" spans="1:17" ht="30" x14ac:dyDescent="0.25">
      <c r="A304" s="8"/>
      <c r="B304" s="24" t="s">
        <v>691</v>
      </c>
      <c r="C304" s="13"/>
      <c r="D304" s="10"/>
      <c r="E304" s="10" t="s">
        <v>808</v>
      </c>
      <c r="F304" s="11">
        <v>1</v>
      </c>
      <c r="G304" s="18"/>
      <c r="H304" s="18"/>
      <c r="I304" s="18"/>
      <c r="J304" s="18"/>
      <c r="K304" s="11"/>
      <c r="L304" s="11"/>
      <c r="M304" s="11">
        <f t="shared" si="42"/>
        <v>0</v>
      </c>
      <c r="N304" s="11">
        <f t="shared" si="39"/>
        <v>0</v>
      </c>
      <c r="O304" s="11">
        <f t="shared" si="40"/>
        <v>0</v>
      </c>
      <c r="P304" s="11">
        <f t="shared" si="41"/>
        <v>0</v>
      </c>
      <c r="Q304" s="8"/>
    </row>
    <row r="305" spans="1:17" x14ac:dyDescent="0.25">
      <c r="A305" s="8"/>
      <c r="B305" s="24" t="s">
        <v>692</v>
      </c>
      <c r="C305" s="8"/>
      <c r="D305" s="10"/>
      <c r="E305" s="10"/>
      <c r="F305" s="11"/>
      <c r="G305" s="21"/>
      <c r="H305" s="18"/>
      <c r="I305" s="18"/>
      <c r="J305" s="18"/>
      <c r="K305" s="11"/>
      <c r="L305" s="11"/>
      <c r="M305" s="11">
        <f>K305*10%</f>
        <v>0</v>
      </c>
      <c r="N305" s="11">
        <f t="shared" si="39"/>
        <v>0</v>
      </c>
      <c r="O305" s="11">
        <f t="shared" si="40"/>
        <v>0</v>
      </c>
      <c r="P305" s="11">
        <f t="shared" si="41"/>
        <v>0</v>
      </c>
      <c r="Q305" s="8"/>
    </row>
    <row r="306" spans="1:17" ht="30" x14ac:dyDescent="0.25">
      <c r="A306" s="8"/>
      <c r="B306" s="24" t="s">
        <v>693</v>
      </c>
      <c r="C306" s="8"/>
      <c r="D306" s="10"/>
      <c r="E306" s="10" t="s">
        <v>808</v>
      </c>
      <c r="F306" s="11">
        <v>330</v>
      </c>
      <c r="G306" s="21"/>
      <c r="H306" s="18"/>
      <c r="I306" s="18"/>
      <c r="J306" s="18"/>
      <c r="K306" s="11"/>
      <c r="L306" s="11"/>
      <c r="M306" s="11">
        <f>K306*10%</f>
        <v>0</v>
      </c>
      <c r="N306" s="11">
        <f t="shared" si="39"/>
        <v>0</v>
      </c>
      <c r="O306" s="11">
        <f t="shared" si="40"/>
        <v>0</v>
      </c>
      <c r="P306" s="11">
        <f t="shared" si="41"/>
        <v>0</v>
      </c>
      <c r="Q306" s="8"/>
    </row>
    <row r="307" spans="1:17" x14ac:dyDescent="0.25">
      <c r="A307" s="8"/>
      <c r="B307" s="24" t="s">
        <v>694</v>
      </c>
      <c r="C307" s="8"/>
      <c r="D307" s="10"/>
      <c r="E307" s="10"/>
      <c r="F307" s="11"/>
      <c r="G307" s="21"/>
      <c r="H307" s="18"/>
      <c r="I307" s="18"/>
      <c r="J307" s="18"/>
      <c r="K307" s="11"/>
      <c r="L307" s="11"/>
      <c r="M307" s="11">
        <f>K307*10%</f>
        <v>0</v>
      </c>
      <c r="N307" s="11">
        <f t="shared" si="39"/>
        <v>0</v>
      </c>
      <c r="O307" s="11">
        <f t="shared" si="40"/>
        <v>0</v>
      </c>
      <c r="P307" s="11">
        <f t="shared" si="41"/>
        <v>0</v>
      </c>
      <c r="Q307" s="8"/>
    </row>
    <row r="308" spans="1:17" x14ac:dyDescent="0.25">
      <c r="A308" s="8"/>
      <c r="B308" s="24" t="s">
        <v>695</v>
      </c>
      <c r="C308" s="8"/>
      <c r="D308" s="10"/>
      <c r="E308" s="10" t="s">
        <v>808</v>
      </c>
      <c r="F308" s="11">
        <v>396</v>
      </c>
      <c r="G308" s="21"/>
      <c r="H308" s="18"/>
      <c r="I308" s="18"/>
      <c r="J308" s="18"/>
      <c r="K308" s="11"/>
      <c r="L308" s="11"/>
      <c r="M308" s="11">
        <f>K308*10%</f>
        <v>0</v>
      </c>
      <c r="N308" s="11">
        <f t="shared" si="39"/>
        <v>0</v>
      </c>
      <c r="O308" s="11">
        <f t="shared" si="40"/>
        <v>0</v>
      </c>
      <c r="P308" s="11">
        <f t="shared" si="41"/>
        <v>0</v>
      </c>
      <c r="Q308" s="8"/>
    </row>
    <row r="309" spans="1:17" x14ac:dyDescent="0.25">
      <c r="A309" s="8"/>
      <c r="B309" s="24" t="s">
        <v>696</v>
      </c>
      <c r="C309" s="8"/>
      <c r="D309" s="10"/>
      <c r="E309" s="10" t="s">
        <v>808</v>
      </c>
      <c r="F309" s="11">
        <v>135</v>
      </c>
      <c r="G309" s="21"/>
      <c r="H309" s="18"/>
      <c r="I309" s="18"/>
      <c r="J309" s="18"/>
      <c r="K309" s="11"/>
      <c r="L309" s="11"/>
      <c r="M309" s="11">
        <f>K309*10%</f>
        <v>0</v>
      </c>
      <c r="N309" s="11">
        <f t="shared" si="39"/>
        <v>0</v>
      </c>
      <c r="O309" s="11">
        <f t="shared" si="40"/>
        <v>0</v>
      </c>
      <c r="P309" s="11">
        <f t="shared" si="41"/>
        <v>0</v>
      </c>
      <c r="Q309" s="8"/>
    </row>
    <row r="310" spans="1:17" x14ac:dyDescent="0.25">
      <c r="A310" s="8"/>
      <c r="B310" s="24" t="s">
        <v>697</v>
      </c>
      <c r="C310" s="8"/>
      <c r="D310" s="10"/>
      <c r="E310" s="10"/>
      <c r="F310" s="11"/>
      <c r="G310" s="18"/>
      <c r="H310" s="18"/>
      <c r="I310" s="18"/>
      <c r="J310" s="18"/>
      <c r="K310" s="11"/>
      <c r="L310" s="11"/>
      <c r="M310" s="11">
        <f t="shared" ref="M310" si="43">K310*8%</f>
        <v>0</v>
      </c>
      <c r="N310" s="11">
        <f t="shared" si="39"/>
        <v>0</v>
      </c>
      <c r="O310" s="11">
        <f t="shared" si="40"/>
        <v>0</v>
      </c>
      <c r="P310" s="11">
        <f t="shared" si="41"/>
        <v>0</v>
      </c>
      <c r="Q310" s="8"/>
    </row>
    <row r="311" spans="1:17" ht="45" x14ac:dyDescent="0.25">
      <c r="A311" s="8"/>
      <c r="B311" s="24" t="s">
        <v>698</v>
      </c>
      <c r="C311" s="8"/>
      <c r="D311" s="8"/>
      <c r="E311" s="10" t="s">
        <v>808</v>
      </c>
      <c r="F311" s="11">
        <v>2</v>
      </c>
      <c r="G311" s="18"/>
      <c r="H311" s="18"/>
      <c r="I311" s="18"/>
      <c r="J311" s="18"/>
      <c r="K311" s="11"/>
      <c r="L311" s="11"/>
      <c r="M311" s="11"/>
      <c r="N311" s="11"/>
      <c r="O311" s="11"/>
      <c r="P311" s="11"/>
      <c r="Q311" s="8"/>
    </row>
    <row r="312" spans="1:17" ht="45" x14ac:dyDescent="0.25">
      <c r="A312" s="8"/>
      <c r="B312" s="24" t="s">
        <v>699</v>
      </c>
      <c r="C312" s="13"/>
      <c r="D312" s="19"/>
      <c r="E312" s="10" t="s">
        <v>808</v>
      </c>
      <c r="F312" s="11">
        <v>1</v>
      </c>
      <c r="G312" s="18"/>
      <c r="H312" s="18"/>
      <c r="I312" s="18"/>
      <c r="J312" s="18"/>
      <c r="K312" s="11"/>
      <c r="L312" s="11"/>
      <c r="M312" s="11">
        <f t="shared" ref="M312:N320" si="44">K312*8%</f>
        <v>0</v>
      </c>
      <c r="N312" s="11">
        <f t="shared" si="44"/>
        <v>0</v>
      </c>
      <c r="O312" s="11">
        <f t="shared" ref="O312:O320" si="45">(K312+M312)*F312</f>
        <v>0</v>
      </c>
      <c r="P312" s="11">
        <f t="shared" ref="P312:P320" si="46">(L312+N312)*F312</f>
        <v>0</v>
      </c>
      <c r="Q312" s="8"/>
    </row>
    <row r="313" spans="1:17" x14ac:dyDescent="0.25">
      <c r="A313" s="8"/>
      <c r="B313" s="24" t="s">
        <v>700</v>
      </c>
      <c r="C313" s="13"/>
      <c r="D313" s="19"/>
      <c r="E313" s="10"/>
      <c r="F313" s="11"/>
      <c r="G313" s="18"/>
      <c r="H313" s="18"/>
      <c r="I313" s="18"/>
      <c r="J313" s="18"/>
      <c r="K313" s="11"/>
      <c r="L313" s="11"/>
      <c r="M313" s="11">
        <f t="shared" si="44"/>
        <v>0</v>
      </c>
      <c r="N313" s="11">
        <f t="shared" si="44"/>
        <v>0</v>
      </c>
      <c r="O313" s="11">
        <f t="shared" si="45"/>
        <v>0</v>
      </c>
      <c r="P313" s="11">
        <f t="shared" si="46"/>
        <v>0</v>
      </c>
      <c r="Q313" s="8"/>
    </row>
    <row r="314" spans="1:17" x14ac:dyDescent="0.25">
      <c r="A314" s="8"/>
      <c r="B314" s="24" t="s">
        <v>701</v>
      </c>
      <c r="C314" s="13"/>
      <c r="D314" s="19"/>
      <c r="E314" s="10" t="s">
        <v>227</v>
      </c>
      <c r="F314" s="11">
        <v>18</v>
      </c>
      <c r="G314" s="18"/>
      <c r="H314" s="18"/>
      <c r="I314" s="18"/>
      <c r="J314" s="18"/>
      <c r="K314" s="11"/>
      <c r="L314" s="11"/>
      <c r="M314" s="11">
        <f t="shared" si="44"/>
        <v>0</v>
      </c>
      <c r="N314" s="11">
        <f t="shared" si="44"/>
        <v>0</v>
      </c>
      <c r="O314" s="11">
        <f t="shared" si="45"/>
        <v>0</v>
      </c>
      <c r="P314" s="11">
        <f t="shared" si="46"/>
        <v>0</v>
      </c>
      <c r="Q314" s="8"/>
    </row>
    <row r="315" spans="1:17" x14ac:dyDescent="0.25">
      <c r="A315" s="8"/>
      <c r="B315" s="24" t="s">
        <v>457</v>
      </c>
      <c r="C315" s="13"/>
      <c r="D315" s="19"/>
      <c r="E315" s="10"/>
      <c r="F315" s="11"/>
      <c r="G315" s="18"/>
      <c r="H315" s="18"/>
      <c r="I315" s="18"/>
      <c r="J315" s="18"/>
      <c r="K315" s="11"/>
      <c r="L315" s="11"/>
      <c r="M315" s="11">
        <f t="shared" si="44"/>
        <v>0</v>
      </c>
      <c r="N315" s="11">
        <f t="shared" si="44"/>
        <v>0</v>
      </c>
      <c r="O315" s="11">
        <f t="shared" si="45"/>
        <v>0</v>
      </c>
      <c r="P315" s="11">
        <f t="shared" si="46"/>
        <v>0</v>
      </c>
      <c r="Q315" s="8"/>
    </row>
    <row r="316" spans="1:17" ht="30" x14ac:dyDescent="0.25">
      <c r="A316" s="8"/>
      <c r="B316" s="24" t="s">
        <v>702</v>
      </c>
      <c r="C316" s="13"/>
      <c r="D316" s="19"/>
      <c r="E316" s="10" t="s">
        <v>225</v>
      </c>
      <c r="F316" s="11">
        <v>15</v>
      </c>
      <c r="G316" s="18"/>
      <c r="H316" s="18"/>
      <c r="I316" s="18"/>
      <c r="J316" s="18"/>
      <c r="K316" s="11"/>
      <c r="L316" s="11"/>
      <c r="M316" s="11">
        <f t="shared" si="44"/>
        <v>0</v>
      </c>
      <c r="N316" s="11">
        <f t="shared" si="44"/>
        <v>0</v>
      </c>
      <c r="O316" s="11">
        <f t="shared" si="45"/>
        <v>0</v>
      </c>
      <c r="P316" s="11">
        <f t="shared" si="46"/>
        <v>0</v>
      </c>
      <c r="Q316" s="8"/>
    </row>
    <row r="317" spans="1:17" ht="30" x14ac:dyDescent="0.25">
      <c r="A317" s="8"/>
      <c r="B317" s="24" t="s">
        <v>703</v>
      </c>
      <c r="C317" s="13"/>
      <c r="D317" s="19"/>
      <c r="E317" s="10" t="s">
        <v>225</v>
      </c>
      <c r="F317" s="11">
        <v>3686</v>
      </c>
      <c r="G317" s="18"/>
      <c r="H317" s="18"/>
      <c r="I317" s="18"/>
      <c r="J317" s="18"/>
      <c r="K317" s="11"/>
      <c r="L317" s="11"/>
      <c r="M317" s="11">
        <f t="shared" si="44"/>
        <v>0</v>
      </c>
      <c r="N317" s="11">
        <f t="shared" si="44"/>
        <v>0</v>
      </c>
      <c r="O317" s="11">
        <f t="shared" si="45"/>
        <v>0</v>
      </c>
      <c r="P317" s="11">
        <f t="shared" si="46"/>
        <v>0</v>
      </c>
      <c r="Q317" s="8"/>
    </row>
    <row r="318" spans="1:17" ht="30" x14ac:dyDescent="0.25">
      <c r="A318" s="8"/>
      <c r="B318" s="24" t="s">
        <v>704</v>
      </c>
      <c r="C318" s="13"/>
      <c r="D318" s="19"/>
      <c r="E318" s="10" t="s">
        <v>225</v>
      </c>
      <c r="F318" s="11">
        <v>18</v>
      </c>
      <c r="G318" s="18"/>
      <c r="H318" s="18"/>
      <c r="I318" s="18"/>
      <c r="J318" s="18"/>
      <c r="K318" s="11"/>
      <c r="L318" s="11"/>
      <c r="M318" s="11">
        <f t="shared" si="44"/>
        <v>0</v>
      </c>
      <c r="N318" s="11">
        <f t="shared" si="44"/>
        <v>0</v>
      </c>
      <c r="O318" s="11">
        <f t="shared" si="45"/>
        <v>0</v>
      </c>
      <c r="P318" s="11">
        <f t="shared" si="46"/>
        <v>0</v>
      </c>
      <c r="Q318" s="8"/>
    </row>
    <row r="319" spans="1:17" ht="30" x14ac:dyDescent="0.25">
      <c r="A319" s="8"/>
      <c r="B319" s="24" t="s">
        <v>705</v>
      </c>
      <c r="C319" s="13"/>
      <c r="D319" s="19"/>
      <c r="E319" s="10" t="s">
        <v>225</v>
      </c>
      <c r="F319" s="11">
        <v>3803</v>
      </c>
      <c r="G319" s="18"/>
      <c r="H319" s="18"/>
      <c r="I319" s="18"/>
      <c r="J319" s="18"/>
      <c r="K319" s="11"/>
      <c r="L319" s="11"/>
      <c r="M319" s="11">
        <f t="shared" si="44"/>
        <v>0</v>
      </c>
      <c r="N319" s="11">
        <f t="shared" si="44"/>
        <v>0</v>
      </c>
      <c r="O319" s="11">
        <f t="shared" si="45"/>
        <v>0</v>
      </c>
      <c r="P319" s="11">
        <f t="shared" si="46"/>
        <v>0</v>
      </c>
      <c r="Q319" s="8"/>
    </row>
    <row r="320" spans="1:17" ht="30" x14ac:dyDescent="0.25">
      <c r="A320" s="8"/>
      <c r="B320" s="24" t="s">
        <v>706</v>
      </c>
      <c r="C320" s="13"/>
      <c r="D320" s="19"/>
      <c r="E320" s="10" t="s">
        <v>225</v>
      </c>
      <c r="F320" s="11">
        <v>280</v>
      </c>
      <c r="G320" s="18"/>
      <c r="H320" s="18"/>
      <c r="I320" s="18"/>
      <c r="J320" s="18"/>
      <c r="K320" s="11"/>
      <c r="L320" s="11"/>
      <c r="M320" s="11">
        <f t="shared" si="44"/>
        <v>0</v>
      </c>
      <c r="N320" s="11">
        <f t="shared" si="44"/>
        <v>0</v>
      </c>
      <c r="O320" s="11">
        <f t="shared" si="45"/>
        <v>0</v>
      </c>
      <c r="P320" s="11">
        <f t="shared" si="46"/>
        <v>0</v>
      </c>
      <c r="Q320" s="8"/>
    </row>
    <row r="321" spans="1:17" ht="30" x14ac:dyDescent="0.25">
      <c r="A321" s="8"/>
      <c r="B321" s="24" t="s">
        <v>462</v>
      </c>
      <c r="C321" s="8"/>
      <c r="D321" s="8"/>
      <c r="E321" s="10" t="s">
        <v>226</v>
      </c>
      <c r="F321" s="11">
        <v>1</v>
      </c>
      <c r="G321" s="18"/>
      <c r="H321" s="18"/>
      <c r="I321" s="18"/>
      <c r="J321" s="18"/>
      <c r="K321" s="11"/>
      <c r="L321" s="11"/>
      <c r="M321" s="11"/>
      <c r="N321" s="11"/>
      <c r="O321" s="11"/>
      <c r="P321" s="11"/>
      <c r="Q321" s="8"/>
    </row>
    <row r="322" spans="1:17" x14ac:dyDescent="0.25">
      <c r="A322" s="8"/>
      <c r="B322" s="24" t="s">
        <v>707</v>
      </c>
      <c r="C322" s="8"/>
      <c r="D322" s="8"/>
      <c r="E322" s="10"/>
      <c r="F322" s="11"/>
      <c r="G322" s="18"/>
      <c r="H322" s="18"/>
      <c r="I322" s="18"/>
      <c r="J322" s="18"/>
      <c r="K322" s="11"/>
      <c r="L322" s="11"/>
      <c r="M322" s="11"/>
      <c r="N322" s="11">
        <f t="shared" ref="N322:N363" si="47">L322*8%</f>
        <v>0</v>
      </c>
      <c r="O322" s="11">
        <f t="shared" ref="O322:O363" si="48">(G322+M322)*F322</f>
        <v>0</v>
      </c>
      <c r="P322" s="11">
        <f t="shared" ref="P322:P363" si="49">(L322+N322)*F322</f>
        <v>0</v>
      </c>
      <c r="Q322" s="8"/>
    </row>
    <row r="323" spans="1:17" ht="30" x14ac:dyDescent="0.25">
      <c r="A323" s="8"/>
      <c r="B323" s="24" t="s">
        <v>708</v>
      </c>
      <c r="C323" s="8"/>
      <c r="D323" s="8"/>
      <c r="E323" s="10" t="s">
        <v>225</v>
      </c>
      <c r="F323" s="11">
        <v>1265</v>
      </c>
      <c r="G323" s="18"/>
      <c r="H323" s="18"/>
      <c r="I323" s="18"/>
      <c r="J323" s="18"/>
      <c r="K323" s="11"/>
      <c r="L323" s="11"/>
      <c r="M323" s="11"/>
      <c r="N323" s="11">
        <f t="shared" si="47"/>
        <v>0</v>
      </c>
      <c r="O323" s="11">
        <f t="shared" si="48"/>
        <v>0</v>
      </c>
      <c r="P323" s="11">
        <f t="shared" si="49"/>
        <v>0</v>
      </c>
      <c r="Q323" s="8"/>
    </row>
    <row r="324" spans="1:17" ht="30" x14ac:dyDescent="0.25">
      <c r="A324" s="8"/>
      <c r="B324" s="24" t="s">
        <v>462</v>
      </c>
      <c r="C324" s="8"/>
      <c r="D324" s="8"/>
      <c r="E324" s="10" t="s">
        <v>226</v>
      </c>
      <c r="F324" s="11">
        <v>1</v>
      </c>
      <c r="G324" s="18"/>
      <c r="H324" s="18"/>
      <c r="I324" s="18"/>
      <c r="J324" s="18"/>
      <c r="K324" s="11"/>
      <c r="L324" s="11"/>
      <c r="M324" s="11"/>
      <c r="N324" s="11">
        <f t="shared" si="47"/>
        <v>0</v>
      </c>
      <c r="O324" s="11">
        <f t="shared" si="48"/>
        <v>0</v>
      </c>
      <c r="P324" s="11">
        <f t="shared" si="49"/>
        <v>0</v>
      </c>
      <c r="Q324" s="8"/>
    </row>
    <row r="325" spans="1:17" x14ac:dyDescent="0.25">
      <c r="A325" s="8"/>
      <c r="B325" s="24" t="s">
        <v>14</v>
      </c>
      <c r="C325" s="8"/>
      <c r="D325" s="8"/>
      <c r="E325" s="10" t="s">
        <v>809</v>
      </c>
      <c r="F325" s="11">
        <v>1</v>
      </c>
      <c r="G325" s="18"/>
      <c r="H325" s="18"/>
      <c r="I325" s="18"/>
      <c r="J325" s="18"/>
      <c r="K325" s="11"/>
      <c r="L325" s="11"/>
      <c r="M325" s="11"/>
      <c r="N325" s="11">
        <f t="shared" si="47"/>
        <v>0</v>
      </c>
      <c r="O325" s="11">
        <f t="shared" si="48"/>
        <v>0</v>
      </c>
      <c r="P325" s="11">
        <f t="shared" si="49"/>
        <v>0</v>
      </c>
      <c r="Q325" s="8"/>
    </row>
    <row r="326" spans="1:17" x14ac:dyDescent="0.25">
      <c r="A326" s="8"/>
      <c r="B326" s="24" t="s">
        <v>463</v>
      </c>
      <c r="C326" s="8"/>
      <c r="D326" s="8"/>
      <c r="E326" s="10" t="s">
        <v>231</v>
      </c>
      <c r="F326" s="11"/>
      <c r="G326" s="18"/>
      <c r="H326" s="18"/>
      <c r="I326" s="18"/>
      <c r="J326" s="18"/>
      <c r="K326" s="11"/>
      <c r="L326" s="11"/>
      <c r="M326" s="11"/>
      <c r="N326" s="11">
        <f t="shared" si="47"/>
        <v>0</v>
      </c>
      <c r="O326" s="11">
        <f t="shared" si="48"/>
        <v>0</v>
      </c>
      <c r="P326" s="11">
        <f t="shared" si="49"/>
        <v>0</v>
      </c>
      <c r="Q326" s="8"/>
    </row>
    <row r="327" spans="1:17" ht="30" x14ac:dyDescent="0.25">
      <c r="A327" s="8"/>
      <c r="B327" s="24" t="s">
        <v>464</v>
      </c>
      <c r="C327" s="8"/>
      <c r="D327" s="8"/>
      <c r="E327" s="10" t="s">
        <v>225</v>
      </c>
      <c r="F327" s="11">
        <v>3881.9</v>
      </c>
      <c r="G327" s="18"/>
      <c r="H327" s="18"/>
      <c r="I327" s="18"/>
      <c r="J327" s="18"/>
      <c r="K327" s="11"/>
      <c r="L327" s="11"/>
      <c r="M327" s="11"/>
      <c r="N327" s="11">
        <f t="shared" si="47"/>
        <v>0</v>
      </c>
      <c r="O327" s="11">
        <f t="shared" si="48"/>
        <v>0</v>
      </c>
      <c r="P327" s="11">
        <f t="shared" si="49"/>
        <v>0</v>
      </c>
      <c r="Q327" s="8"/>
    </row>
    <row r="328" spans="1:17" x14ac:dyDescent="0.25">
      <c r="A328" s="8"/>
      <c r="B328" s="24" t="s">
        <v>465</v>
      </c>
      <c r="C328" s="8"/>
      <c r="D328" s="8"/>
      <c r="E328" s="10" t="s">
        <v>225</v>
      </c>
      <c r="F328" s="11">
        <v>1940.95</v>
      </c>
      <c r="G328" s="18"/>
      <c r="H328" s="18"/>
      <c r="I328" s="18"/>
      <c r="J328" s="18"/>
      <c r="K328" s="11"/>
      <c r="L328" s="11"/>
      <c r="M328" s="11"/>
      <c r="N328" s="11">
        <f t="shared" si="47"/>
        <v>0</v>
      </c>
      <c r="O328" s="11">
        <f t="shared" si="48"/>
        <v>0</v>
      </c>
      <c r="P328" s="11">
        <f t="shared" si="49"/>
        <v>0</v>
      </c>
      <c r="Q328" s="8"/>
    </row>
    <row r="329" spans="1:17" x14ac:dyDescent="0.25">
      <c r="A329" s="8"/>
      <c r="B329" s="24" t="s">
        <v>14</v>
      </c>
      <c r="C329" s="8"/>
      <c r="D329" s="8"/>
      <c r="E329" s="10" t="s">
        <v>228</v>
      </c>
      <c r="F329" s="11">
        <v>1</v>
      </c>
      <c r="G329" s="18"/>
      <c r="H329" s="18"/>
      <c r="I329" s="18"/>
      <c r="J329" s="18"/>
      <c r="K329" s="11"/>
      <c r="L329" s="11"/>
      <c r="M329" s="11"/>
      <c r="N329" s="11">
        <f t="shared" si="47"/>
        <v>0</v>
      </c>
      <c r="O329" s="11">
        <f t="shared" si="48"/>
        <v>0</v>
      </c>
      <c r="P329" s="11">
        <f t="shared" si="49"/>
        <v>0</v>
      </c>
      <c r="Q329" s="8"/>
    </row>
    <row r="330" spans="1:17" x14ac:dyDescent="0.25">
      <c r="A330" s="8"/>
      <c r="B330" s="24" t="s">
        <v>709</v>
      </c>
      <c r="C330" s="8"/>
      <c r="D330" s="8"/>
      <c r="E330" s="10" t="s">
        <v>231</v>
      </c>
      <c r="F330" s="11"/>
      <c r="G330" s="18"/>
      <c r="H330" s="18"/>
      <c r="I330" s="18"/>
      <c r="J330" s="18"/>
      <c r="K330" s="11"/>
      <c r="L330" s="11"/>
      <c r="M330" s="11"/>
      <c r="N330" s="11">
        <f t="shared" si="47"/>
        <v>0</v>
      </c>
      <c r="O330" s="11">
        <f t="shared" si="48"/>
        <v>0</v>
      </c>
      <c r="P330" s="11">
        <f t="shared" si="49"/>
        <v>0</v>
      </c>
      <c r="Q330" s="8"/>
    </row>
    <row r="331" spans="1:17" x14ac:dyDescent="0.25">
      <c r="A331" s="8"/>
      <c r="B331" s="24" t="s">
        <v>413</v>
      </c>
      <c r="C331" s="8"/>
      <c r="D331" s="8"/>
      <c r="E331" s="10" t="s">
        <v>231</v>
      </c>
      <c r="F331" s="11"/>
      <c r="G331" s="18"/>
      <c r="H331" s="18"/>
      <c r="I331" s="18"/>
      <c r="J331" s="18"/>
      <c r="K331" s="11"/>
      <c r="L331" s="11"/>
      <c r="M331" s="11"/>
      <c r="N331" s="11">
        <f t="shared" si="47"/>
        <v>0</v>
      </c>
      <c r="O331" s="11">
        <f t="shared" si="48"/>
        <v>0</v>
      </c>
      <c r="P331" s="11">
        <f t="shared" si="49"/>
        <v>0</v>
      </c>
      <c r="Q331" s="8"/>
    </row>
    <row r="332" spans="1:17" ht="45" x14ac:dyDescent="0.25">
      <c r="A332" s="8"/>
      <c r="B332" s="24" t="s">
        <v>710</v>
      </c>
      <c r="C332" s="8"/>
      <c r="D332" s="8"/>
      <c r="E332" s="10" t="s">
        <v>227</v>
      </c>
      <c r="F332" s="11">
        <v>2</v>
      </c>
      <c r="G332" s="18"/>
      <c r="H332" s="18"/>
      <c r="I332" s="18"/>
      <c r="J332" s="18"/>
      <c r="K332" s="11"/>
      <c r="L332" s="11"/>
      <c r="M332" s="11"/>
      <c r="N332" s="11">
        <f t="shared" si="47"/>
        <v>0</v>
      </c>
      <c r="O332" s="11">
        <f t="shared" si="48"/>
        <v>0</v>
      </c>
      <c r="P332" s="11">
        <f t="shared" si="49"/>
        <v>0</v>
      </c>
      <c r="Q332" s="8"/>
    </row>
    <row r="333" spans="1:17" ht="45" x14ac:dyDescent="0.25">
      <c r="A333" s="8"/>
      <c r="B333" s="24" t="s">
        <v>711</v>
      </c>
      <c r="C333" s="8"/>
      <c r="D333" s="8"/>
      <c r="E333" s="10" t="s">
        <v>227</v>
      </c>
      <c r="F333" s="11">
        <v>1</v>
      </c>
      <c r="G333" s="18"/>
      <c r="H333" s="18"/>
      <c r="I333" s="18"/>
      <c r="J333" s="18"/>
      <c r="K333" s="11"/>
      <c r="L333" s="11"/>
      <c r="M333" s="11"/>
      <c r="N333" s="11">
        <f t="shared" si="47"/>
        <v>0</v>
      </c>
      <c r="O333" s="11">
        <f t="shared" si="48"/>
        <v>0</v>
      </c>
      <c r="P333" s="11">
        <f t="shared" si="49"/>
        <v>0</v>
      </c>
      <c r="Q333" s="8"/>
    </row>
    <row r="334" spans="1:17" ht="45" x14ac:dyDescent="0.25">
      <c r="A334" s="8"/>
      <c r="B334" s="24" t="s">
        <v>712</v>
      </c>
      <c r="C334" s="8"/>
      <c r="D334" s="8"/>
      <c r="E334" s="10" t="s">
        <v>227</v>
      </c>
      <c r="F334" s="11">
        <v>1</v>
      </c>
      <c r="G334" s="18"/>
      <c r="H334" s="18"/>
      <c r="I334" s="18"/>
      <c r="J334" s="18"/>
      <c r="K334" s="11"/>
      <c r="L334" s="11"/>
      <c r="M334" s="11"/>
      <c r="N334" s="11">
        <f t="shared" si="47"/>
        <v>0</v>
      </c>
      <c r="O334" s="11">
        <f t="shared" si="48"/>
        <v>0</v>
      </c>
      <c r="P334" s="11">
        <f t="shared" si="49"/>
        <v>0</v>
      </c>
      <c r="Q334" s="8"/>
    </row>
    <row r="335" spans="1:17" ht="45" x14ac:dyDescent="0.25">
      <c r="A335" s="8"/>
      <c r="B335" s="24" t="s">
        <v>713</v>
      </c>
      <c r="C335" s="8"/>
      <c r="D335" s="8"/>
      <c r="E335" s="10" t="s">
        <v>227</v>
      </c>
      <c r="F335" s="11">
        <v>1</v>
      </c>
      <c r="G335" s="18"/>
      <c r="H335" s="18"/>
      <c r="I335" s="18"/>
      <c r="J335" s="18"/>
      <c r="K335" s="11"/>
      <c r="L335" s="11"/>
      <c r="M335" s="11"/>
      <c r="N335" s="11">
        <f t="shared" si="47"/>
        <v>0</v>
      </c>
      <c r="O335" s="11">
        <f t="shared" si="48"/>
        <v>0</v>
      </c>
      <c r="P335" s="11">
        <f t="shared" si="49"/>
        <v>0</v>
      </c>
      <c r="Q335" s="8"/>
    </row>
    <row r="336" spans="1:17" ht="45" x14ac:dyDescent="0.25">
      <c r="A336" s="8"/>
      <c r="B336" s="24" t="s">
        <v>714</v>
      </c>
      <c r="C336" s="8"/>
      <c r="D336" s="8"/>
      <c r="E336" s="10" t="s">
        <v>227</v>
      </c>
      <c r="F336" s="11">
        <v>1</v>
      </c>
      <c r="G336" s="18"/>
      <c r="H336" s="18"/>
      <c r="I336" s="18"/>
      <c r="J336" s="18"/>
      <c r="K336" s="11"/>
      <c r="L336" s="11"/>
      <c r="M336" s="11"/>
      <c r="N336" s="11">
        <f t="shared" si="47"/>
        <v>0</v>
      </c>
      <c r="O336" s="11">
        <f t="shared" si="48"/>
        <v>0</v>
      </c>
      <c r="P336" s="11">
        <f t="shared" si="49"/>
        <v>0</v>
      </c>
      <c r="Q336" s="8"/>
    </row>
    <row r="337" spans="1:17" ht="45" x14ac:dyDescent="0.25">
      <c r="A337" s="8"/>
      <c r="B337" s="24" t="s">
        <v>715</v>
      </c>
      <c r="C337" s="8"/>
      <c r="D337" s="8"/>
      <c r="E337" s="10" t="s">
        <v>227</v>
      </c>
      <c r="F337" s="11">
        <v>1</v>
      </c>
      <c r="G337" s="18"/>
      <c r="H337" s="18"/>
      <c r="I337" s="18"/>
      <c r="J337" s="18"/>
      <c r="K337" s="11"/>
      <c r="L337" s="11"/>
      <c r="M337" s="11"/>
      <c r="N337" s="11">
        <f t="shared" si="47"/>
        <v>0</v>
      </c>
      <c r="O337" s="11">
        <f t="shared" si="48"/>
        <v>0</v>
      </c>
      <c r="P337" s="11">
        <f t="shared" si="49"/>
        <v>0</v>
      </c>
      <c r="Q337" s="8"/>
    </row>
    <row r="338" spans="1:17" ht="45" x14ac:dyDescent="0.25">
      <c r="A338" s="8"/>
      <c r="B338" s="24" t="s">
        <v>716</v>
      </c>
      <c r="C338" s="8"/>
      <c r="D338" s="8"/>
      <c r="E338" s="10" t="s">
        <v>227</v>
      </c>
      <c r="F338" s="11">
        <v>1</v>
      </c>
      <c r="G338" s="18"/>
      <c r="H338" s="18"/>
      <c r="I338" s="18"/>
      <c r="J338" s="18"/>
      <c r="K338" s="11"/>
      <c r="L338" s="11"/>
      <c r="M338" s="11"/>
      <c r="N338" s="11">
        <f t="shared" si="47"/>
        <v>0</v>
      </c>
      <c r="O338" s="11">
        <f t="shared" si="48"/>
        <v>0</v>
      </c>
      <c r="P338" s="11">
        <f t="shared" si="49"/>
        <v>0</v>
      </c>
      <c r="Q338" s="8"/>
    </row>
    <row r="339" spans="1:17" ht="45" x14ac:dyDescent="0.25">
      <c r="A339" s="8"/>
      <c r="B339" s="24" t="s">
        <v>717</v>
      </c>
      <c r="C339" s="8"/>
      <c r="D339" s="8"/>
      <c r="E339" s="10" t="s">
        <v>227</v>
      </c>
      <c r="F339" s="11">
        <v>1</v>
      </c>
      <c r="G339" s="18"/>
      <c r="H339" s="18"/>
      <c r="I339" s="18"/>
      <c r="J339" s="18"/>
      <c r="K339" s="11"/>
      <c r="L339" s="11"/>
      <c r="M339" s="11"/>
      <c r="N339" s="11">
        <f t="shared" si="47"/>
        <v>0</v>
      </c>
      <c r="O339" s="11">
        <f t="shared" si="48"/>
        <v>0</v>
      </c>
      <c r="P339" s="11">
        <f t="shared" si="49"/>
        <v>0</v>
      </c>
      <c r="Q339" s="8"/>
    </row>
    <row r="340" spans="1:17" ht="45" x14ac:dyDescent="0.25">
      <c r="A340" s="8"/>
      <c r="B340" s="24" t="s">
        <v>718</v>
      </c>
      <c r="C340" s="8"/>
      <c r="D340" s="8"/>
      <c r="E340" s="10" t="s">
        <v>227</v>
      </c>
      <c r="F340" s="11">
        <v>1</v>
      </c>
      <c r="G340" s="18"/>
      <c r="H340" s="18"/>
      <c r="I340" s="18"/>
      <c r="J340" s="18"/>
      <c r="K340" s="11"/>
      <c r="L340" s="11"/>
      <c r="M340" s="11"/>
      <c r="N340" s="11">
        <f t="shared" si="47"/>
        <v>0</v>
      </c>
      <c r="O340" s="11">
        <f t="shared" si="48"/>
        <v>0</v>
      </c>
      <c r="P340" s="11">
        <f t="shared" si="49"/>
        <v>0</v>
      </c>
      <c r="Q340" s="8"/>
    </row>
    <row r="341" spans="1:17" ht="45" x14ac:dyDescent="0.25">
      <c r="A341" s="8"/>
      <c r="B341" s="24" t="s">
        <v>719</v>
      </c>
      <c r="C341" s="8"/>
      <c r="D341" s="8"/>
      <c r="E341" s="10" t="s">
        <v>227</v>
      </c>
      <c r="F341" s="11">
        <v>1</v>
      </c>
      <c r="G341" s="18"/>
      <c r="H341" s="18"/>
      <c r="I341" s="18"/>
      <c r="J341" s="18"/>
      <c r="K341" s="11"/>
      <c r="L341" s="11"/>
      <c r="M341" s="11"/>
      <c r="N341" s="11">
        <f t="shared" si="47"/>
        <v>0</v>
      </c>
      <c r="O341" s="11">
        <f t="shared" si="48"/>
        <v>0</v>
      </c>
      <c r="P341" s="11">
        <f t="shared" si="49"/>
        <v>0</v>
      </c>
      <c r="Q341" s="8"/>
    </row>
    <row r="342" spans="1:17" ht="45" x14ac:dyDescent="0.25">
      <c r="A342" s="8"/>
      <c r="B342" s="24" t="s">
        <v>720</v>
      </c>
      <c r="C342" s="8"/>
      <c r="D342" s="8"/>
      <c r="E342" s="10" t="s">
        <v>227</v>
      </c>
      <c r="F342" s="11">
        <v>1</v>
      </c>
      <c r="G342" s="18"/>
      <c r="H342" s="18"/>
      <c r="I342" s="18"/>
      <c r="J342" s="18"/>
      <c r="K342" s="11"/>
      <c r="L342" s="11"/>
      <c r="M342" s="11"/>
      <c r="N342" s="11">
        <f t="shared" si="47"/>
        <v>0</v>
      </c>
      <c r="O342" s="11">
        <f t="shared" si="48"/>
        <v>0</v>
      </c>
      <c r="P342" s="11">
        <f t="shared" si="49"/>
        <v>0</v>
      </c>
      <c r="Q342" s="8"/>
    </row>
    <row r="343" spans="1:17" ht="45" x14ac:dyDescent="0.25">
      <c r="A343" s="8"/>
      <c r="B343" s="24" t="s">
        <v>721</v>
      </c>
      <c r="C343" s="8"/>
      <c r="D343" s="8"/>
      <c r="E343" s="10" t="s">
        <v>227</v>
      </c>
      <c r="F343" s="11">
        <v>1</v>
      </c>
      <c r="G343" s="18"/>
      <c r="H343" s="18"/>
      <c r="I343" s="18"/>
      <c r="J343" s="18"/>
      <c r="K343" s="11"/>
      <c r="L343" s="11"/>
      <c r="M343" s="11"/>
      <c r="N343" s="11">
        <f t="shared" si="47"/>
        <v>0</v>
      </c>
      <c r="O343" s="11">
        <f t="shared" si="48"/>
        <v>0</v>
      </c>
      <c r="P343" s="11">
        <f t="shared" si="49"/>
        <v>0</v>
      </c>
      <c r="Q343" s="8"/>
    </row>
    <row r="344" spans="1:17" ht="45" x14ac:dyDescent="0.25">
      <c r="A344" s="8"/>
      <c r="B344" s="24" t="s">
        <v>722</v>
      </c>
      <c r="C344" s="8"/>
      <c r="D344" s="8"/>
      <c r="E344" s="10" t="s">
        <v>227</v>
      </c>
      <c r="F344" s="11">
        <v>1</v>
      </c>
      <c r="G344" s="18"/>
      <c r="H344" s="18"/>
      <c r="I344" s="18"/>
      <c r="J344" s="18"/>
      <c r="K344" s="11"/>
      <c r="L344" s="11"/>
      <c r="M344" s="11"/>
      <c r="N344" s="11">
        <f t="shared" si="47"/>
        <v>0</v>
      </c>
      <c r="O344" s="11">
        <f t="shared" si="48"/>
        <v>0</v>
      </c>
      <c r="P344" s="11">
        <f t="shared" si="49"/>
        <v>0</v>
      </c>
      <c r="Q344" s="8"/>
    </row>
    <row r="345" spans="1:17" ht="45" x14ac:dyDescent="0.25">
      <c r="A345" s="8"/>
      <c r="B345" s="24" t="s">
        <v>723</v>
      </c>
      <c r="C345" s="8"/>
      <c r="D345" s="8"/>
      <c r="E345" s="10" t="s">
        <v>227</v>
      </c>
      <c r="F345" s="11">
        <v>1</v>
      </c>
      <c r="G345" s="18"/>
      <c r="H345" s="18"/>
      <c r="I345" s="18"/>
      <c r="J345" s="18"/>
      <c r="K345" s="11"/>
      <c r="L345" s="11"/>
      <c r="M345" s="11"/>
      <c r="N345" s="11">
        <f t="shared" si="47"/>
        <v>0</v>
      </c>
      <c r="O345" s="11">
        <f t="shared" si="48"/>
        <v>0</v>
      </c>
      <c r="P345" s="11">
        <f t="shared" si="49"/>
        <v>0</v>
      </c>
      <c r="Q345" s="8"/>
    </row>
    <row r="346" spans="1:17" x14ac:dyDescent="0.25">
      <c r="A346" s="8"/>
      <c r="B346" s="24" t="s">
        <v>427</v>
      </c>
      <c r="C346" s="8"/>
      <c r="D346" s="8"/>
      <c r="E346" s="10" t="s">
        <v>227</v>
      </c>
      <c r="F346" s="11">
        <v>60</v>
      </c>
      <c r="G346" s="18"/>
      <c r="H346" s="18"/>
      <c r="I346" s="18"/>
      <c r="J346" s="18"/>
      <c r="K346" s="11"/>
      <c r="L346" s="11"/>
      <c r="M346" s="11"/>
      <c r="N346" s="11">
        <f t="shared" si="47"/>
        <v>0</v>
      </c>
      <c r="O346" s="11">
        <f t="shared" si="48"/>
        <v>0</v>
      </c>
      <c r="P346" s="11">
        <f t="shared" si="49"/>
        <v>0</v>
      </c>
      <c r="Q346" s="8"/>
    </row>
    <row r="347" spans="1:17" x14ac:dyDescent="0.25">
      <c r="A347" s="8"/>
      <c r="B347" s="24" t="s">
        <v>516</v>
      </c>
      <c r="C347" s="8"/>
      <c r="D347" s="8"/>
      <c r="E347" s="10" t="s">
        <v>226</v>
      </c>
      <c r="F347" s="11">
        <v>1</v>
      </c>
      <c r="G347" s="18"/>
      <c r="H347" s="18"/>
      <c r="I347" s="18"/>
      <c r="J347" s="18"/>
      <c r="K347" s="11"/>
      <c r="L347" s="11"/>
      <c r="M347" s="11"/>
      <c r="N347" s="11">
        <f t="shared" si="47"/>
        <v>0</v>
      </c>
      <c r="O347" s="11">
        <f t="shared" si="48"/>
        <v>0</v>
      </c>
      <c r="P347" s="11">
        <f t="shared" si="49"/>
        <v>0</v>
      </c>
      <c r="Q347" s="8"/>
    </row>
    <row r="348" spans="1:17" x14ac:dyDescent="0.25">
      <c r="A348" s="8"/>
      <c r="B348" s="24" t="s">
        <v>724</v>
      </c>
      <c r="C348" s="8"/>
      <c r="D348" s="8"/>
      <c r="E348" s="10" t="s">
        <v>231</v>
      </c>
      <c r="F348" s="11"/>
      <c r="G348" s="18"/>
      <c r="H348" s="18"/>
      <c r="I348" s="18"/>
      <c r="J348" s="18"/>
      <c r="K348" s="11"/>
      <c r="L348" s="11"/>
      <c r="M348" s="11"/>
      <c r="N348" s="11">
        <f t="shared" si="47"/>
        <v>0</v>
      </c>
      <c r="O348" s="11">
        <f t="shared" si="48"/>
        <v>0</v>
      </c>
      <c r="P348" s="11">
        <f t="shared" si="49"/>
        <v>0</v>
      </c>
      <c r="Q348" s="8"/>
    </row>
    <row r="349" spans="1:17" x14ac:dyDescent="0.25">
      <c r="A349" s="8"/>
      <c r="B349" s="24" t="s">
        <v>430</v>
      </c>
      <c r="C349" s="8"/>
      <c r="D349" s="8"/>
      <c r="E349" s="10" t="s">
        <v>230</v>
      </c>
      <c r="F349" s="11">
        <v>7</v>
      </c>
      <c r="G349" s="18"/>
      <c r="H349" s="18"/>
      <c r="I349" s="18"/>
      <c r="J349" s="18"/>
      <c r="K349" s="11"/>
      <c r="L349" s="11"/>
      <c r="M349" s="11"/>
      <c r="N349" s="11">
        <f t="shared" si="47"/>
        <v>0</v>
      </c>
      <c r="O349" s="11">
        <f t="shared" si="48"/>
        <v>0</v>
      </c>
      <c r="P349" s="11">
        <f t="shared" si="49"/>
        <v>0</v>
      </c>
      <c r="Q349" s="8"/>
    </row>
    <row r="350" spans="1:17" x14ac:dyDescent="0.25">
      <c r="A350" s="8"/>
      <c r="B350" s="24" t="s">
        <v>725</v>
      </c>
      <c r="C350" s="8"/>
      <c r="D350" s="8"/>
      <c r="E350" s="10"/>
      <c r="F350" s="11"/>
      <c r="G350" s="18"/>
      <c r="H350" s="18"/>
      <c r="I350" s="18"/>
      <c r="J350" s="18"/>
      <c r="K350" s="11"/>
      <c r="L350" s="11"/>
      <c r="M350" s="11"/>
      <c r="N350" s="11">
        <f t="shared" si="47"/>
        <v>0</v>
      </c>
      <c r="O350" s="11">
        <f t="shared" si="48"/>
        <v>0</v>
      </c>
      <c r="P350" s="11">
        <f t="shared" si="49"/>
        <v>0</v>
      </c>
      <c r="Q350" s="8"/>
    </row>
    <row r="351" spans="1:17" ht="45" x14ac:dyDescent="0.25">
      <c r="A351" s="8"/>
      <c r="B351" s="24" t="s">
        <v>726</v>
      </c>
      <c r="C351" s="8"/>
      <c r="D351" s="8"/>
      <c r="E351" s="10" t="s">
        <v>227</v>
      </c>
      <c r="F351" s="11">
        <v>13</v>
      </c>
      <c r="G351" s="18"/>
      <c r="H351" s="18"/>
      <c r="I351" s="18"/>
      <c r="J351" s="18"/>
      <c r="K351" s="11"/>
      <c r="L351" s="11"/>
      <c r="M351" s="11"/>
      <c r="N351" s="11">
        <f t="shared" si="47"/>
        <v>0</v>
      </c>
      <c r="O351" s="11">
        <f t="shared" si="48"/>
        <v>0</v>
      </c>
      <c r="P351" s="11">
        <f t="shared" si="49"/>
        <v>0</v>
      </c>
      <c r="Q351" s="8"/>
    </row>
    <row r="352" spans="1:17" ht="45" x14ac:dyDescent="0.25">
      <c r="A352" s="8"/>
      <c r="B352" s="24" t="s">
        <v>727</v>
      </c>
      <c r="C352" s="8"/>
      <c r="D352" s="8"/>
      <c r="E352" s="10" t="s">
        <v>227</v>
      </c>
      <c r="F352" s="11">
        <v>6</v>
      </c>
      <c r="G352" s="18"/>
      <c r="H352" s="18"/>
      <c r="I352" s="18"/>
      <c r="J352" s="18"/>
      <c r="K352" s="11"/>
      <c r="L352" s="11"/>
      <c r="M352" s="11"/>
      <c r="N352" s="11">
        <f t="shared" si="47"/>
        <v>0</v>
      </c>
      <c r="O352" s="11">
        <f t="shared" si="48"/>
        <v>0</v>
      </c>
      <c r="P352" s="11">
        <f t="shared" si="49"/>
        <v>0</v>
      </c>
      <c r="Q352" s="8"/>
    </row>
    <row r="353" spans="1:17" ht="45" x14ac:dyDescent="0.25">
      <c r="A353" s="8"/>
      <c r="B353" s="24" t="s">
        <v>689</v>
      </c>
      <c r="C353" s="8"/>
      <c r="D353" s="8"/>
      <c r="E353" s="10" t="s">
        <v>227</v>
      </c>
      <c r="F353" s="11">
        <v>2</v>
      </c>
      <c r="G353" s="18"/>
      <c r="H353" s="18"/>
      <c r="I353" s="18"/>
      <c r="J353" s="18"/>
      <c r="K353" s="11"/>
      <c r="L353" s="11"/>
      <c r="M353" s="11"/>
      <c r="N353" s="11">
        <f t="shared" si="47"/>
        <v>0</v>
      </c>
      <c r="O353" s="11">
        <f t="shared" si="48"/>
        <v>0</v>
      </c>
      <c r="P353" s="11">
        <f t="shared" si="49"/>
        <v>0</v>
      </c>
      <c r="Q353" s="8"/>
    </row>
    <row r="354" spans="1:17" x14ac:dyDescent="0.25">
      <c r="A354" s="8"/>
      <c r="B354" s="24" t="s">
        <v>728</v>
      </c>
      <c r="C354" s="8"/>
      <c r="D354" s="8"/>
      <c r="E354" s="10"/>
      <c r="F354" s="11"/>
      <c r="G354" s="18"/>
      <c r="H354" s="18"/>
      <c r="I354" s="18"/>
      <c r="J354" s="18"/>
      <c r="K354" s="11"/>
      <c r="L354" s="11"/>
      <c r="M354" s="11"/>
      <c r="N354" s="11">
        <f t="shared" si="47"/>
        <v>0</v>
      </c>
      <c r="O354" s="11">
        <f t="shared" si="48"/>
        <v>0</v>
      </c>
      <c r="P354" s="11">
        <f t="shared" si="49"/>
        <v>0</v>
      </c>
      <c r="Q354" s="8"/>
    </row>
    <row r="355" spans="1:17" ht="30" x14ac:dyDescent="0.25">
      <c r="A355" s="8"/>
      <c r="B355" s="24" t="s">
        <v>729</v>
      </c>
      <c r="C355" s="8"/>
      <c r="D355" s="8"/>
      <c r="E355" s="10" t="s">
        <v>227</v>
      </c>
      <c r="F355" s="11">
        <v>3</v>
      </c>
      <c r="G355" s="18"/>
      <c r="H355" s="18"/>
      <c r="I355" s="18"/>
      <c r="J355" s="18"/>
      <c r="K355" s="11"/>
      <c r="L355" s="11"/>
      <c r="M355" s="11"/>
      <c r="N355" s="11">
        <f t="shared" si="47"/>
        <v>0</v>
      </c>
      <c r="O355" s="11">
        <f t="shared" si="48"/>
        <v>0</v>
      </c>
      <c r="P355" s="11">
        <f t="shared" si="49"/>
        <v>0</v>
      </c>
      <c r="Q355" s="8"/>
    </row>
    <row r="356" spans="1:17" ht="30" x14ac:dyDescent="0.25">
      <c r="A356" s="8"/>
      <c r="B356" s="24" t="s">
        <v>730</v>
      </c>
      <c r="C356" s="8"/>
      <c r="D356" s="8"/>
      <c r="E356" s="10" t="s">
        <v>227</v>
      </c>
      <c r="F356" s="11">
        <v>1</v>
      </c>
      <c r="G356" s="18"/>
      <c r="H356" s="18"/>
      <c r="I356" s="18"/>
      <c r="J356" s="18"/>
      <c r="K356" s="11"/>
      <c r="L356" s="11"/>
      <c r="M356" s="11"/>
      <c r="N356" s="11">
        <f t="shared" si="47"/>
        <v>0</v>
      </c>
      <c r="O356" s="11">
        <f t="shared" si="48"/>
        <v>0</v>
      </c>
      <c r="P356" s="11">
        <f t="shared" si="49"/>
        <v>0</v>
      </c>
      <c r="Q356" s="8"/>
    </row>
    <row r="357" spans="1:17" ht="30" x14ac:dyDescent="0.25">
      <c r="A357" s="8"/>
      <c r="B357" s="24" t="s">
        <v>731</v>
      </c>
      <c r="C357" s="8"/>
      <c r="D357" s="8"/>
      <c r="E357" s="10" t="s">
        <v>227</v>
      </c>
      <c r="F357" s="11">
        <v>1</v>
      </c>
      <c r="G357" s="18"/>
      <c r="H357" s="18"/>
      <c r="I357" s="18"/>
      <c r="J357" s="18"/>
      <c r="K357" s="11"/>
      <c r="L357" s="11"/>
      <c r="M357" s="11"/>
      <c r="N357" s="11">
        <f t="shared" si="47"/>
        <v>0</v>
      </c>
      <c r="O357" s="11">
        <f t="shared" si="48"/>
        <v>0</v>
      </c>
      <c r="P357" s="11">
        <f t="shared" si="49"/>
        <v>0</v>
      </c>
      <c r="Q357" s="8"/>
    </row>
    <row r="358" spans="1:17" ht="30" x14ac:dyDescent="0.25">
      <c r="A358" s="8"/>
      <c r="B358" s="24" t="s">
        <v>732</v>
      </c>
      <c r="C358" s="8"/>
      <c r="D358" s="8"/>
      <c r="E358" s="10" t="s">
        <v>227</v>
      </c>
      <c r="F358" s="11">
        <v>1</v>
      </c>
      <c r="G358" s="18"/>
      <c r="H358" s="18"/>
      <c r="I358" s="18"/>
      <c r="J358" s="18"/>
      <c r="K358" s="11"/>
      <c r="L358" s="11"/>
      <c r="M358" s="11"/>
      <c r="N358" s="11">
        <f t="shared" si="47"/>
        <v>0</v>
      </c>
      <c r="O358" s="11">
        <f t="shared" si="48"/>
        <v>0</v>
      </c>
      <c r="P358" s="11">
        <f t="shared" si="49"/>
        <v>0</v>
      </c>
      <c r="Q358" s="8"/>
    </row>
    <row r="359" spans="1:17" ht="30" x14ac:dyDescent="0.25">
      <c r="A359" s="8"/>
      <c r="B359" s="24" t="s">
        <v>733</v>
      </c>
      <c r="C359" s="8"/>
      <c r="D359" s="8"/>
      <c r="E359" s="10" t="s">
        <v>227</v>
      </c>
      <c r="F359" s="11">
        <v>1</v>
      </c>
      <c r="G359" s="18"/>
      <c r="H359" s="18"/>
      <c r="I359" s="18"/>
      <c r="J359" s="18"/>
      <c r="K359" s="11"/>
      <c r="L359" s="11"/>
      <c r="M359" s="11"/>
      <c r="N359" s="11">
        <f t="shared" si="47"/>
        <v>0</v>
      </c>
      <c r="O359" s="11">
        <f t="shared" si="48"/>
        <v>0</v>
      </c>
      <c r="P359" s="11">
        <f t="shared" si="49"/>
        <v>0</v>
      </c>
      <c r="Q359" s="8"/>
    </row>
    <row r="360" spans="1:17" x14ac:dyDescent="0.25">
      <c r="A360" s="8"/>
      <c r="B360" s="24" t="s">
        <v>697</v>
      </c>
      <c r="C360" s="8"/>
      <c r="D360" s="8"/>
      <c r="E360" s="10"/>
      <c r="F360" s="11"/>
      <c r="G360" s="18"/>
      <c r="H360" s="18"/>
      <c r="I360" s="18"/>
      <c r="J360" s="18"/>
      <c r="K360" s="11"/>
      <c r="L360" s="11"/>
      <c r="M360" s="11"/>
      <c r="N360" s="11">
        <f t="shared" si="47"/>
        <v>0</v>
      </c>
      <c r="O360" s="11">
        <f t="shared" si="48"/>
        <v>0</v>
      </c>
      <c r="P360" s="11">
        <f t="shared" si="49"/>
        <v>0</v>
      </c>
      <c r="Q360" s="8"/>
    </row>
    <row r="361" spans="1:17" ht="30" x14ac:dyDescent="0.25">
      <c r="A361" s="8"/>
      <c r="B361" s="24" t="s">
        <v>734</v>
      </c>
      <c r="C361" s="8"/>
      <c r="D361" s="8"/>
      <c r="E361" s="10" t="s">
        <v>227</v>
      </c>
      <c r="F361" s="11">
        <v>3</v>
      </c>
      <c r="G361" s="18"/>
      <c r="H361" s="18"/>
      <c r="I361" s="18"/>
      <c r="J361" s="18"/>
      <c r="K361" s="11"/>
      <c r="L361" s="11"/>
      <c r="M361" s="11"/>
      <c r="N361" s="11">
        <f t="shared" si="47"/>
        <v>0</v>
      </c>
      <c r="O361" s="11">
        <f t="shared" si="48"/>
        <v>0</v>
      </c>
      <c r="P361" s="11">
        <f t="shared" si="49"/>
        <v>0</v>
      </c>
      <c r="Q361" s="8"/>
    </row>
    <row r="362" spans="1:17" ht="30" x14ac:dyDescent="0.25">
      <c r="A362" s="8"/>
      <c r="B362" s="24" t="s">
        <v>735</v>
      </c>
      <c r="C362" s="8"/>
      <c r="D362" s="8"/>
      <c r="E362" s="10" t="s">
        <v>227</v>
      </c>
      <c r="F362" s="11">
        <v>1</v>
      </c>
      <c r="G362" s="18"/>
      <c r="H362" s="18"/>
      <c r="I362" s="18"/>
      <c r="J362" s="18"/>
      <c r="K362" s="11"/>
      <c r="L362" s="11"/>
      <c r="M362" s="11"/>
      <c r="N362" s="11">
        <f t="shared" si="47"/>
        <v>0</v>
      </c>
      <c r="O362" s="11">
        <f t="shared" si="48"/>
        <v>0</v>
      </c>
      <c r="P362" s="11">
        <f t="shared" si="49"/>
        <v>0</v>
      </c>
      <c r="Q362" s="8"/>
    </row>
    <row r="363" spans="1:17" ht="30" x14ac:dyDescent="0.25">
      <c r="A363" s="8"/>
      <c r="B363" s="24" t="s">
        <v>736</v>
      </c>
      <c r="C363" s="8"/>
      <c r="D363" s="8"/>
      <c r="E363" s="10" t="s">
        <v>227</v>
      </c>
      <c r="F363" s="11">
        <v>1</v>
      </c>
      <c r="G363" s="18"/>
      <c r="H363" s="18"/>
      <c r="I363" s="18"/>
      <c r="J363" s="18"/>
      <c r="K363" s="11"/>
      <c r="L363" s="11"/>
      <c r="M363" s="11"/>
      <c r="N363" s="11">
        <f t="shared" si="47"/>
        <v>0</v>
      </c>
      <c r="O363" s="11">
        <f t="shared" si="48"/>
        <v>0</v>
      </c>
      <c r="P363" s="11">
        <f t="shared" si="49"/>
        <v>0</v>
      </c>
      <c r="Q363" s="8"/>
    </row>
    <row r="364" spans="1:17" ht="30" x14ac:dyDescent="0.25">
      <c r="A364" s="8"/>
      <c r="B364" s="24" t="s">
        <v>737</v>
      </c>
      <c r="C364" s="8"/>
      <c r="D364" s="8"/>
      <c r="E364" s="10" t="s">
        <v>227</v>
      </c>
      <c r="F364" s="11">
        <v>1</v>
      </c>
      <c r="G364" s="18"/>
      <c r="H364" s="18"/>
      <c r="I364" s="18"/>
      <c r="J364" s="18"/>
      <c r="K364" s="11"/>
      <c r="L364" s="11"/>
      <c r="M364" s="11"/>
      <c r="N364" s="11"/>
      <c r="O364" s="11"/>
      <c r="P364" s="11"/>
      <c r="Q364" s="8"/>
    </row>
    <row r="365" spans="1:17" ht="30" x14ac:dyDescent="0.25">
      <c r="A365" s="8"/>
      <c r="B365" s="24" t="s">
        <v>738</v>
      </c>
      <c r="C365" s="8"/>
      <c r="D365" s="8"/>
      <c r="E365" s="10" t="s">
        <v>227</v>
      </c>
      <c r="F365" s="11">
        <v>1</v>
      </c>
      <c r="G365" s="18"/>
      <c r="H365" s="18"/>
      <c r="I365" s="18"/>
      <c r="J365" s="18"/>
      <c r="K365" s="11"/>
      <c r="L365" s="11"/>
      <c r="M365" s="11"/>
      <c r="N365" s="11">
        <f t="shared" ref="N365:N423" si="50">L365*8%</f>
        <v>0</v>
      </c>
      <c r="O365" s="11">
        <f t="shared" ref="O365:O423" si="51">(G365+M365)*F365</f>
        <v>0</v>
      </c>
      <c r="P365" s="11">
        <f t="shared" ref="P365:P423" si="52">(L365+N365)*F365</f>
        <v>0</v>
      </c>
      <c r="Q365" s="8"/>
    </row>
    <row r="366" spans="1:17" x14ac:dyDescent="0.25">
      <c r="A366" s="8"/>
      <c r="B366" s="24" t="s">
        <v>739</v>
      </c>
      <c r="C366" s="8"/>
      <c r="D366" s="8"/>
      <c r="E366" s="10"/>
      <c r="F366" s="11"/>
      <c r="G366" s="18"/>
      <c r="H366" s="18"/>
      <c r="I366" s="18"/>
      <c r="J366" s="18"/>
      <c r="K366" s="11"/>
      <c r="L366" s="11"/>
      <c r="M366" s="11"/>
      <c r="N366" s="11">
        <f t="shared" si="50"/>
        <v>0</v>
      </c>
      <c r="O366" s="11">
        <f t="shared" si="51"/>
        <v>0</v>
      </c>
      <c r="P366" s="11">
        <f t="shared" si="52"/>
        <v>0</v>
      </c>
      <c r="Q366" s="8"/>
    </row>
    <row r="367" spans="1:17" x14ac:dyDescent="0.25">
      <c r="A367" s="8"/>
      <c r="B367" s="24" t="s">
        <v>740</v>
      </c>
      <c r="C367" s="8"/>
      <c r="D367" s="8"/>
      <c r="E367" s="10" t="s">
        <v>227</v>
      </c>
      <c r="F367" s="11">
        <v>3</v>
      </c>
      <c r="G367" s="18"/>
      <c r="H367" s="18"/>
      <c r="I367" s="18"/>
      <c r="J367" s="18"/>
      <c r="K367" s="11"/>
      <c r="L367" s="11"/>
      <c r="M367" s="11"/>
      <c r="N367" s="11">
        <f t="shared" si="50"/>
        <v>0</v>
      </c>
      <c r="O367" s="11">
        <f t="shared" si="51"/>
        <v>0</v>
      </c>
      <c r="P367" s="11">
        <f t="shared" si="52"/>
        <v>0</v>
      </c>
      <c r="Q367" s="8"/>
    </row>
    <row r="368" spans="1:17" x14ac:dyDescent="0.25">
      <c r="A368" s="8"/>
      <c r="B368" s="24" t="s">
        <v>741</v>
      </c>
      <c r="C368" s="8"/>
      <c r="D368" s="8"/>
      <c r="E368" s="10" t="s">
        <v>227</v>
      </c>
      <c r="F368" s="11">
        <v>1</v>
      </c>
      <c r="G368" s="18"/>
      <c r="H368" s="18"/>
      <c r="I368" s="18"/>
      <c r="J368" s="18"/>
      <c r="K368" s="11"/>
      <c r="L368" s="11"/>
      <c r="M368" s="11"/>
      <c r="N368" s="11">
        <f t="shared" si="50"/>
        <v>0</v>
      </c>
      <c r="O368" s="11">
        <f t="shared" si="51"/>
        <v>0</v>
      </c>
      <c r="P368" s="11">
        <f t="shared" si="52"/>
        <v>0</v>
      </c>
      <c r="Q368" s="8"/>
    </row>
    <row r="369" spans="1:17" x14ac:dyDescent="0.25">
      <c r="A369" s="8"/>
      <c r="B369" s="24" t="s">
        <v>742</v>
      </c>
      <c r="C369" s="8"/>
      <c r="D369" s="8"/>
      <c r="E369" s="10" t="s">
        <v>227</v>
      </c>
      <c r="F369" s="11">
        <v>1</v>
      </c>
      <c r="G369" s="18"/>
      <c r="H369" s="18"/>
      <c r="I369" s="18"/>
      <c r="J369" s="18"/>
      <c r="K369" s="11"/>
      <c r="L369" s="11"/>
      <c r="M369" s="11"/>
      <c r="N369" s="11">
        <f t="shared" si="50"/>
        <v>0</v>
      </c>
      <c r="O369" s="11">
        <f t="shared" si="51"/>
        <v>0</v>
      </c>
      <c r="P369" s="11">
        <f t="shared" si="52"/>
        <v>0</v>
      </c>
      <c r="Q369" s="8"/>
    </row>
    <row r="370" spans="1:17" x14ac:dyDescent="0.25">
      <c r="A370" s="8"/>
      <c r="B370" s="24" t="s">
        <v>743</v>
      </c>
      <c r="C370" s="8"/>
      <c r="D370" s="8"/>
      <c r="E370" s="10" t="s">
        <v>227</v>
      </c>
      <c r="F370" s="11">
        <v>1</v>
      </c>
      <c r="G370" s="18"/>
      <c r="H370" s="18"/>
      <c r="I370" s="18"/>
      <c r="J370" s="18"/>
      <c r="K370" s="11"/>
      <c r="L370" s="11"/>
      <c r="M370" s="11"/>
      <c r="N370" s="11">
        <f t="shared" si="50"/>
        <v>0</v>
      </c>
      <c r="O370" s="11">
        <f t="shared" si="51"/>
        <v>0</v>
      </c>
      <c r="P370" s="11">
        <f t="shared" si="52"/>
        <v>0</v>
      </c>
      <c r="Q370" s="8"/>
    </row>
    <row r="371" spans="1:17" x14ac:dyDescent="0.25">
      <c r="A371" s="8"/>
      <c r="B371" s="24" t="s">
        <v>744</v>
      </c>
      <c r="C371" s="8"/>
      <c r="D371" s="8"/>
      <c r="E371" s="10" t="s">
        <v>227</v>
      </c>
      <c r="F371" s="11">
        <v>1</v>
      </c>
      <c r="G371" s="18"/>
      <c r="H371" s="18"/>
      <c r="I371" s="18"/>
      <c r="J371" s="18"/>
      <c r="K371" s="11"/>
      <c r="L371" s="11"/>
      <c r="M371" s="11"/>
      <c r="N371" s="11">
        <f t="shared" si="50"/>
        <v>0</v>
      </c>
      <c r="O371" s="11">
        <f t="shared" si="51"/>
        <v>0</v>
      </c>
      <c r="P371" s="11">
        <f t="shared" si="52"/>
        <v>0</v>
      </c>
      <c r="Q371" s="8"/>
    </row>
    <row r="372" spans="1:17" x14ac:dyDescent="0.25">
      <c r="A372" s="8"/>
      <c r="B372" s="24" t="s">
        <v>449</v>
      </c>
      <c r="C372" s="8"/>
      <c r="D372" s="8"/>
      <c r="E372" s="10"/>
      <c r="F372" s="11"/>
      <c r="G372" s="18"/>
      <c r="H372" s="18"/>
      <c r="I372" s="18"/>
      <c r="J372" s="18"/>
      <c r="K372" s="11"/>
      <c r="L372" s="11"/>
      <c r="M372" s="11"/>
      <c r="N372" s="11">
        <f t="shared" si="50"/>
        <v>0</v>
      </c>
      <c r="O372" s="11">
        <f t="shared" si="51"/>
        <v>0</v>
      </c>
      <c r="P372" s="11">
        <f t="shared" si="52"/>
        <v>0</v>
      </c>
      <c r="Q372" s="8"/>
    </row>
    <row r="373" spans="1:17" ht="30" x14ac:dyDescent="0.25">
      <c r="A373" s="8"/>
      <c r="B373" s="24" t="s">
        <v>450</v>
      </c>
      <c r="C373" s="8"/>
      <c r="D373" s="8"/>
      <c r="E373" s="10" t="s">
        <v>227</v>
      </c>
      <c r="F373" s="11">
        <v>15</v>
      </c>
      <c r="G373" s="18"/>
      <c r="H373" s="18"/>
      <c r="I373" s="18"/>
      <c r="J373" s="18"/>
      <c r="K373" s="11"/>
      <c r="L373" s="11"/>
      <c r="M373" s="11"/>
      <c r="N373" s="11">
        <f t="shared" si="50"/>
        <v>0</v>
      </c>
      <c r="O373" s="11">
        <f t="shared" si="51"/>
        <v>0</v>
      </c>
      <c r="P373" s="11">
        <f t="shared" si="52"/>
        <v>0</v>
      </c>
      <c r="Q373" s="8"/>
    </row>
    <row r="374" spans="1:17" x14ac:dyDescent="0.25">
      <c r="A374" s="8"/>
      <c r="B374" s="24" t="s">
        <v>457</v>
      </c>
      <c r="C374" s="8"/>
      <c r="D374" s="8"/>
      <c r="E374" s="10"/>
      <c r="F374" s="11"/>
      <c r="G374" s="18"/>
      <c r="H374" s="18"/>
      <c r="I374" s="18"/>
      <c r="J374" s="18"/>
      <c r="K374" s="11"/>
      <c r="L374" s="11"/>
      <c r="M374" s="11"/>
      <c r="N374" s="11">
        <f t="shared" si="50"/>
        <v>0</v>
      </c>
      <c r="O374" s="11">
        <f t="shared" si="51"/>
        <v>0</v>
      </c>
      <c r="P374" s="11">
        <f t="shared" si="52"/>
        <v>0</v>
      </c>
      <c r="Q374" s="8"/>
    </row>
    <row r="375" spans="1:17" ht="30" x14ac:dyDescent="0.25">
      <c r="A375" s="8"/>
      <c r="B375" s="24" t="s">
        <v>745</v>
      </c>
      <c r="C375" s="8"/>
      <c r="D375" s="8"/>
      <c r="E375" s="10" t="s">
        <v>225</v>
      </c>
      <c r="F375" s="11">
        <v>22</v>
      </c>
      <c r="G375" s="18"/>
      <c r="H375" s="18"/>
      <c r="I375" s="18"/>
      <c r="J375" s="18"/>
      <c r="K375" s="11"/>
      <c r="L375" s="11"/>
      <c r="M375" s="11"/>
      <c r="N375" s="11">
        <f t="shared" si="50"/>
        <v>0</v>
      </c>
      <c r="O375" s="11">
        <f t="shared" si="51"/>
        <v>0</v>
      </c>
      <c r="P375" s="11">
        <f t="shared" si="52"/>
        <v>0</v>
      </c>
      <c r="Q375" s="8"/>
    </row>
    <row r="376" spans="1:17" ht="30" x14ac:dyDescent="0.25">
      <c r="A376" s="8"/>
      <c r="B376" s="24" t="s">
        <v>703</v>
      </c>
      <c r="C376" s="8"/>
      <c r="D376" s="8"/>
      <c r="E376" s="10" t="s">
        <v>225</v>
      </c>
      <c r="F376" s="11">
        <v>33</v>
      </c>
      <c r="G376" s="18"/>
      <c r="H376" s="18"/>
      <c r="I376" s="18"/>
      <c r="J376" s="18"/>
      <c r="K376" s="11"/>
      <c r="L376" s="11"/>
      <c r="M376" s="11"/>
      <c r="N376" s="11">
        <f t="shared" si="50"/>
        <v>0</v>
      </c>
      <c r="O376" s="11">
        <f t="shared" si="51"/>
        <v>0</v>
      </c>
      <c r="P376" s="11">
        <f t="shared" si="52"/>
        <v>0</v>
      </c>
      <c r="Q376" s="8"/>
    </row>
    <row r="377" spans="1:17" ht="30" x14ac:dyDescent="0.25">
      <c r="A377" s="8"/>
      <c r="B377" s="24" t="s">
        <v>704</v>
      </c>
      <c r="C377" s="8"/>
      <c r="D377" s="8"/>
      <c r="E377" s="10" t="s">
        <v>225</v>
      </c>
      <c r="F377" s="11">
        <v>7</v>
      </c>
      <c r="G377" s="18"/>
      <c r="H377" s="18"/>
      <c r="I377" s="18"/>
      <c r="J377" s="18"/>
      <c r="K377" s="11"/>
      <c r="L377" s="11"/>
      <c r="M377" s="11"/>
      <c r="N377" s="11">
        <f t="shared" si="50"/>
        <v>0</v>
      </c>
      <c r="O377" s="11">
        <f t="shared" si="51"/>
        <v>0</v>
      </c>
      <c r="P377" s="11">
        <f t="shared" si="52"/>
        <v>0</v>
      </c>
      <c r="Q377" s="8"/>
    </row>
    <row r="378" spans="1:17" ht="30" x14ac:dyDescent="0.25">
      <c r="A378" s="8"/>
      <c r="B378" s="24" t="s">
        <v>746</v>
      </c>
      <c r="C378" s="8"/>
      <c r="D378" s="8"/>
      <c r="E378" s="10" t="s">
        <v>225</v>
      </c>
      <c r="F378" s="11">
        <v>14</v>
      </c>
      <c r="G378" s="18"/>
      <c r="H378" s="18"/>
      <c r="I378" s="18"/>
      <c r="J378" s="18"/>
      <c r="K378" s="11"/>
      <c r="L378" s="11"/>
      <c r="M378" s="11"/>
      <c r="N378" s="11">
        <f t="shared" si="50"/>
        <v>0</v>
      </c>
      <c r="O378" s="11">
        <f t="shared" si="51"/>
        <v>0</v>
      </c>
      <c r="P378" s="11">
        <f t="shared" si="52"/>
        <v>0</v>
      </c>
      <c r="Q378" s="8"/>
    </row>
    <row r="379" spans="1:17" ht="30" x14ac:dyDescent="0.25">
      <c r="A379" s="8"/>
      <c r="B379" s="24" t="s">
        <v>747</v>
      </c>
      <c r="C379" s="8"/>
      <c r="D379" s="8"/>
      <c r="E379" s="10" t="s">
        <v>225</v>
      </c>
      <c r="F379" s="11">
        <v>93</v>
      </c>
      <c r="G379" s="18"/>
      <c r="H379" s="18"/>
      <c r="I379" s="18"/>
      <c r="J379" s="18"/>
      <c r="K379" s="11"/>
      <c r="L379" s="11"/>
      <c r="M379" s="11"/>
      <c r="N379" s="11">
        <f t="shared" si="50"/>
        <v>0</v>
      </c>
      <c r="O379" s="11">
        <f t="shared" si="51"/>
        <v>0</v>
      </c>
      <c r="P379" s="11">
        <f t="shared" si="52"/>
        <v>0</v>
      </c>
      <c r="Q379" s="8"/>
    </row>
    <row r="380" spans="1:17" ht="30" x14ac:dyDescent="0.25">
      <c r="A380" s="8"/>
      <c r="B380" s="24" t="s">
        <v>461</v>
      </c>
      <c r="C380" s="8"/>
      <c r="D380" s="8"/>
      <c r="E380" s="10" t="s">
        <v>225</v>
      </c>
      <c r="F380" s="11">
        <v>48</v>
      </c>
      <c r="G380" s="18"/>
      <c r="H380" s="18"/>
      <c r="I380" s="18"/>
      <c r="J380" s="18"/>
      <c r="K380" s="11"/>
      <c r="L380" s="11"/>
      <c r="M380" s="11"/>
      <c r="N380" s="11">
        <f t="shared" si="50"/>
        <v>0</v>
      </c>
      <c r="O380" s="11">
        <f t="shared" si="51"/>
        <v>0</v>
      </c>
      <c r="P380" s="11">
        <f t="shared" si="52"/>
        <v>0</v>
      </c>
      <c r="Q380" s="8"/>
    </row>
    <row r="381" spans="1:17" ht="30" x14ac:dyDescent="0.25">
      <c r="A381" s="8"/>
      <c r="B381" s="24" t="s">
        <v>748</v>
      </c>
      <c r="C381" s="8"/>
      <c r="D381" s="8"/>
      <c r="E381" s="10" t="s">
        <v>225</v>
      </c>
      <c r="F381" s="11">
        <v>57</v>
      </c>
      <c r="G381" s="18"/>
      <c r="H381" s="18"/>
      <c r="I381" s="18"/>
      <c r="J381" s="18"/>
      <c r="K381" s="11"/>
      <c r="L381" s="11"/>
      <c r="M381" s="11"/>
      <c r="N381" s="11">
        <f t="shared" si="50"/>
        <v>0</v>
      </c>
      <c r="O381" s="11">
        <f t="shared" si="51"/>
        <v>0</v>
      </c>
      <c r="P381" s="11">
        <f t="shared" si="52"/>
        <v>0</v>
      </c>
      <c r="Q381" s="8"/>
    </row>
    <row r="382" spans="1:17" ht="30" x14ac:dyDescent="0.25">
      <c r="A382" s="8"/>
      <c r="B382" s="24" t="s">
        <v>749</v>
      </c>
      <c r="C382" s="8"/>
      <c r="D382" s="8"/>
      <c r="E382" s="10" t="s">
        <v>225</v>
      </c>
      <c r="F382" s="11">
        <v>14</v>
      </c>
      <c r="G382" s="18"/>
      <c r="H382" s="18"/>
      <c r="I382" s="18"/>
      <c r="J382" s="18"/>
      <c r="K382" s="11"/>
      <c r="L382" s="11"/>
      <c r="M382" s="11"/>
      <c r="N382" s="11">
        <f t="shared" si="50"/>
        <v>0</v>
      </c>
      <c r="O382" s="11">
        <f t="shared" si="51"/>
        <v>0</v>
      </c>
      <c r="P382" s="11">
        <f t="shared" si="52"/>
        <v>0</v>
      </c>
      <c r="Q382" s="8"/>
    </row>
    <row r="383" spans="1:17" ht="30" x14ac:dyDescent="0.25">
      <c r="A383" s="8"/>
      <c r="B383" s="24" t="s">
        <v>750</v>
      </c>
      <c r="C383" s="8"/>
      <c r="D383" s="8"/>
      <c r="E383" s="10" t="s">
        <v>225</v>
      </c>
      <c r="F383" s="11">
        <v>7</v>
      </c>
      <c r="G383" s="18"/>
      <c r="H383" s="18"/>
      <c r="I383" s="18"/>
      <c r="J383" s="18"/>
      <c r="K383" s="11"/>
      <c r="L383" s="11"/>
      <c r="M383" s="11"/>
      <c r="N383" s="11">
        <f t="shared" si="50"/>
        <v>0</v>
      </c>
      <c r="O383" s="11">
        <f t="shared" si="51"/>
        <v>0</v>
      </c>
      <c r="P383" s="11">
        <f t="shared" si="52"/>
        <v>0</v>
      </c>
      <c r="Q383" s="8"/>
    </row>
    <row r="384" spans="1:17" ht="30" x14ac:dyDescent="0.25">
      <c r="A384" s="8"/>
      <c r="B384" s="24" t="s">
        <v>751</v>
      </c>
      <c r="C384" s="8"/>
      <c r="D384" s="8"/>
      <c r="E384" s="10" t="s">
        <v>225</v>
      </c>
      <c r="F384" s="11">
        <v>42</v>
      </c>
      <c r="G384" s="18"/>
      <c r="H384" s="18"/>
      <c r="I384" s="18"/>
      <c r="J384" s="18"/>
      <c r="K384" s="11"/>
      <c r="L384" s="11"/>
      <c r="M384" s="11"/>
      <c r="N384" s="11">
        <f t="shared" si="50"/>
        <v>0</v>
      </c>
      <c r="O384" s="11">
        <f t="shared" si="51"/>
        <v>0</v>
      </c>
      <c r="P384" s="11">
        <f t="shared" si="52"/>
        <v>0</v>
      </c>
      <c r="Q384" s="8"/>
    </row>
    <row r="385" spans="1:17" ht="30" x14ac:dyDescent="0.25">
      <c r="A385" s="8"/>
      <c r="B385" s="24" t="s">
        <v>752</v>
      </c>
      <c r="C385" s="8"/>
      <c r="D385" s="8"/>
      <c r="E385" s="10" t="s">
        <v>225</v>
      </c>
      <c r="F385" s="11">
        <v>42</v>
      </c>
      <c r="G385" s="18"/>
      <c r="H385" s="18"/>
      <c r="I385" s="18"/>
      <c r="J385" s="18"/>
      <c r="K385" s="11"/>
      <c r="L385" s="11"/>
      <c r="M385" s="11"/>
      <c r="N385" s="11">
        <f t="shared" si="50"/>
        <v>0</v>
      </c>
      <c r="O385" s="11">
        <f t="shared" si="51"/>
        <v>0</v>
      </c>
      <c r="P385" s="11">
        <f t="shared" si="52"/>
        <v>0</v>
      </c>
      <c r="Q385" s="8"/>
    </row>
    <row r="386" spans="1:17" ht="30" x14ac:dyDescent="0.25">
      <c r="A386" s="8"/>
      <c r="B386" s="24" t="s">
        <v>462</v>
      </c>
      <c r="C386" s="8"/>
      <c r="D386" s="8"/>
      <c r="E386" s="10" t="s">
        <v>809</v>
      </c>
      <c r="F386" s="11">
        <v>1</v>
      </c>
      <c r="G386" s="18"/>
      <c r="H386" s="18"/>
      <c r="I386" s="18"/>
      <c r="J386" s="18"/>
      <c r="K386" s="11"/>
      <c r="L386" s="11"/>
      <c r="M386" s="11"/>
      <c r="N386" s="11">
        <f t="shared" si="50"/>
        <v>0</v>
      </c>
      <c r="O386" s="11">
        <f t="shared" si="51"/>
        <v>0</v>
      </c>
      <c r="P386" s="11">
        <f t="shared" si="52"/>
        <v>0</v>
      </c>
      <c r="Q386" s="8"/>
    </row>
    <row r="387" spans="1:17" x14ac:dyDescent="0.25">
      <c r="A387" s="8"/>
      <c r="B387" s="24" t="s">
        <v>14</v>
      </c>
      <c r="C387" s="8"/>
      <c r="D387" s="8"/>
      <c r="E387" s="10" t="s">
        <v>809</v>
      </c>
      <c r="F387" s="11">
        <v>1</v>
      </c>
      <c r="G387" s="18"/>
      <c r="H387" s="18"/>
      <c r="I387" s="18"/>
      <c r="J387" s="18"/>
      <c r="K387" s="11"/>
      <c r="L387" s="11"/>
      <c r="M387" s="11"/>
      <c r="N387" s="11">
        <f t="shared" si="50"/>
        <v>0</v>
      </c>
      <c r="O387" s="11">
        <f t="shared" si="51"/>
        <v>0</v>
      </c>
      <c r="P387" s="11">
        <f t="shared" si="52"/>
        <v>0</v>
      </c>
      <c r="Q387" s="8"/>
    </row>
    <row r="388" spans="1:17" x14ac:dyDescent="0.25">
      <c r="A388" s="8"/>
      <c r="B388" s="24" t="s">
        <v>463</v>
      </c>
      <c r="C388" s="8"/>
      <c r="D388" s="8"/>
      <c r="E388" s="10" t="s">
        <v>231</v>
      </c>
      <c r="F388" s="11"/>
      <c r="G388" s="18"/>
      <c r="H388" s="18"/>
      <c r="I388" s="18"/>
      <c r="J388" s="18"/>
      <c r="K388" s="11"/>
      <c r="L388" s="11"/>
      <c r="M388" s="11"/>
      <c r="N388" s="11">
        <f t="shared" si="50"/>
        <v>0</v>
      </c>
      <c r="O388" s="11">
        <f t="shared" si="51"/>
        <v>0</v>
      </c>
      <c r="P388" s="11">
        <f t="shared" si="52"/>
        <v>0</v>
      </c>
      <c r="Q388" s="8"/>
    </row>
    <row r="389" spans="1:17" ht="30" x14ac:dyDescent="0.25">
      <c r="A389" s="8"/>
      <c r="B389" s="24" t="s">
        <v>464</v>
      </c>
      <c r="C389" s="8"/>
      <c r="D389" s="8"/>
      <c r="E389" s="10" t="s">
        <v>225</v>
      </c>
      <c r="F389" s="11">
        <v>1457.5</v>
      </c>
      <c r="G389" s="18"/>
      <c r="H389" s="18"/>
      <c r="I389" s="18"/>
      <c r="J389" s="18"/>
      <c r="K389" s="11"/>
      <c r="L389" s="11"/>
      <c r="M389" s="11"/>
      <c r="N389" s="11">
        <f t="shared" si="50"/>
        <v>0</v>
      </c>
      <c r="O389" s="11">
        <f t="shared" si="51"/>
        <v>0</v>
      </c>
      <c r="P389" s="11">
        <f t="shared" si="52"/>
        <v>0</v>
      </c>
      <c r="Q389" s="8"/>
    </row>
    <row r="390" spans="1:17" x14ac:dyDescent="0.25">
      <c r="A390" s="8"/>
      <c r="B390" s="24" t="s">
        <v>465</v>
      </c>
      <c r="C390" s="8"/>
      <c r="D390" s="8"/>
      <c r="E390" s="10" t="s">
        <v>225</v>
      </c>
      <c r="F390" s="11">
        <v>728.75</v>
      </c>
      <c r="G390" s="18"/>
      <c r="H390" s="18"/>
      <c r="I390" s="18"/>
      <c r="J390" s="18"/>
      <c r="K390" s="11"/>
      <c r="L390" s="11"/>
      <c r="M390" s="11"/>
      <c r="N390" s="11">
        <f t="shared" si="50"/>
        <v>0</v>
      </c>
      <c r="O390" s="11">
        <f t="shared" si="51"/>
        <v>0</v>
      </c>
      <c r="P390" s="11">
        <f t="shared" si="52"/>
        <v>0</v>
      </c>
      <c r="Q390" s="8"/>
    </row>
    <row r="391" spans="1:17" x14ac:dyDescent="0.25">
      <c r="A391" s="8"/>
      <c r="B391" s="24" t="s">
        <v>14</v>
      </c>
      <c r="C391" s="8"/>
      <c r="D391" s="8"/>
      <c r="E391" s="10" t="s">
        <v>228</v>
      </c>
      <c r="F391" s="11">
        <v>1</v>
      </c>
      <c r="G391" s="18"/>
      <c r="H391" s="18"/>
      <c r="I391" s="18"/>
      <c r="J391" s="18"/>
      <c r="K391" s="11"/>
      <c r="L391" s="11"/>
      <c r="M391" s="11"/>
      <c r="N391" s="11">
        <f t="shared" si="50"/>
        <v>0</v>
      </c>
      <c r="O391" s="11">
        <f t="shared" si="51"/>
        <v>0</v>
      </c>
      <c r="P391" s="11">
        <f t="shared" si="52"/>
        <v>0</v>
      </c>
      <c r="Q391" s="8"/>
    </row>
    <row r="392" spans="1:17" ht="30" x14ac:dyDescent="0.25">
      <c r="A392" s="8"/>
      <c r="B392" s="24" t="s">
        <v>753</v>
      </c>
      <c r="C392" s="8"/>
      <c r="D392" s="8"/>
      <c r="E392" s="10" t="s">
        <v>231</v>
      </c>
      <c r="F392" s="11"/>
      <c r="G392" s="18"/>
      <c r="H392" s="18"/>
      <c r="I392" s="18"/>
      <c r="J392" s="18"/>
      <c r="K392" s="11"/>
      <c r="L392" s="11"/>
      <c r="M392" s="11"/>
      <c r="N392" s="11">
        <f t="shared" si="50"/>
        <v>0</v>
      </c>
      <c r="O392" s="11">
        <f t="shared" si="51"/>
        <v>0</v>
      </c>
      <c r="P392" s="11">
        <f t="shared" si="52"/>
        <v>0</v>
      </c>
      <c r="Q392" s="8"/>
    </row>
    <row r="393" spans="1:17" x14ac:dyDescent="0.25">
      <c r="A393" s="8"/>
      <c r="B393" s="24" t="s">
        <v>413</v>
      </c>
      <c r="C393" s="8"/>
      <c r="D393" s="8"/>
      <c r="E393" s="10" t="s">
        <v>231</v>
      </c>
      <c r="F393" s="11"/>
      <c r="G393" s="18"/>
      <c r="H393" s="18"/>
      <c r="I393" s="18"/>
      <c r="J393" s="18"/>
      <c r="K393" s="11"/>
      <c r="L393" s="11"/>
      <c r="M393" s="11"/>
      <c r="N393" s="11">
        <f t="shared" si="50"/>
        <v>0</v>
      </c>
      <c r="O393" s="11">
        <f t="shared" si="51"/>
        <v>0</v>
      </c>
      <c r="P393" s="11">
        <f t="shared" si="52"/>
        <v>0</v>
      </c>
      <c r="Q393" s="8"/>
    </row>
    <row r="394" spans="1:17" ht="45" x14ac:dyDescent="0.25">
      <c r="A394" s="8"/>
      <c r="B394" s="24" t="s">
        <v>754</v>
      </c>
      <c r="C394" s="8"/>
      <c r="D394" s="8"/>
      <c r="E394" s="10" t="s">
        <v>229</v>
      </c>
      <c r="F394" s="11">
        <v>2</v>
      </c>
      <c r="G394" s="18"/>
      <c r="H394" s="18"/>
      <c r="I394" s="18"/>
      <c r="J394" s="18"/>
      <c r="K394" s="11"/>
      <c r="L394" s="11"/>
      <c r="M394" s="11"/>
      <c r="N394" s="11">
        <f t="shared" si="50"/>
        <v>0</v>
      </c>
      <c r="O394" s="11">
        <f t="shared" si="51"/>
        <v>0</v>
      </c>
      <c r="P394" s="11">
        <f t="shared" si="52"/>
        <v>0</v>
      </c>
      <c r="Q394" s="8"/>
    </row>
    <row r="395" spans="1:17" ht="45" x14ac:dyDescent="0.25">
      <c r="A395" s="8"/>
      <c r="B395" s="24" t="s">
        <v>755</v>
      </c>
      <c r="C395" s="8"/>
      <c r="D395" s="8"/>
      <c r="E395" s="10" t="s">
        <v>229</v>
      </c>
      <c r="F395" s="11">
        <v>1</v>
      </c>
      <c r="G395" s="18"/>
      <c r="H395" s="18"/>
      <c r="I395" s="18"/>
      <c r="J395" s="18"/>
      <c r="K395" s="11"/>
      <c r="L395" s="11"/>
      <c r="M395" s="11"/>
      <c r="N395" s="11">
        <f t="shared" si="50"/>
        <v>0</v>
      </c>
      <c r="O395" s="11">
        <f t="shared" si="51"/>
        <v>0</v>
      </c>
      <c r="P395" s="11">
        <f t="shared" si="52"/>
        <v>0</v>
      </c>
      <c r="Q395" s="8"/>
    </row>
    <row r="396" spans="1:17" ht="45" x14ac:dyDescent="0.25">
      <c r="A396" s="8"/>
      <c r="B396" s="24" t="s">
        <v>756</v>
      </c>
      <c r="C396" s="8"/>
      <c r="D396" s="8"/>
      <c r="E396" s="10" t="s">
        <v>227</v>
      </c>
      <c r="F396" s="11">
        <v>3</v>
      </c>
      <c r="G396" s="18"/>
      <c r="H396" s="18"/>
      <c r="I396" s="18"/>
      <c r="J396" s="18"/>
      <c r="K396" s="11"/>
      <c r="L396" s="11"/>
      <c r="M396" s="11"/>
      <c r="N396" s="11">
        <f t="shared" si="50"/>
        <v>0</v>
      </c>
      <c r="O396" s="11">
        <f t="shared" si="51"/>
        <v>0</v>
      </c>
      <c r="P396" s="11">
        <f t="shared" si="52"/>
        <v>0</v>
      </c>
      <c r="Q396" s="8"/>
    </row>
    <row r="397" spans="1:17" ht="45" x14ac:dyDescent="0.25">
      <c r="A397" s="8"/>
      <c r="B397" s="24" t="s">
        <v>757</v>
      </c>
      <c r="C397" s="8"/>
      <c r="D397" s="8"/>
      <c r="E397" s="10" t="s">
        <v>227</v>
      </c>
      <c r="F397" s="11">
        <v>1</v>
      </c>
      <c r="G397" s="18"/>
      <c r="H397" s="18"/>
      <c r="I397" s="18"/>
      <c r="J397" s="18"/>
      <c r="K397" s="11"/>
      <c r="L397" s="11"/>
      <c r="M397" s="11"/>
      <c r="N397" s="11">
        <f t="shared" si="50"/>
        <v>0</v>
      </c>
      <c r="O397" s="11">
        <f t="shared" si="51"/>
        <v>0</v>
      </c>
      <c r="P397" s="11">
        <f t="shared" si="52"/>
        <v>0</v>
      </c>
      <c r="Q397" s="8"/>
    </row>
    <row r="398" spans="1:17" ht="45" x14ac:dyDescent="0.25">
      <c r="A398" s="8"/>
      <c r="B398" s="24" t="s">
        <v>758</v>
      </c>
      <c r="C398" s="8"/>
      <c r="D398" s="8"/>
      <c r="E398" s="10" t="s">
        <v>227</v>
      </c>
      <c r="F398" s="11">
        <v>3</v>
      </c>
      <c r="G398" s="18"/>
      <c r="H398" s="18"/>
      <c r="I398" s="18"/>
      <c r="J398" s="18"/>
      <c r="K398" s="11"/>
      <c r="L398" s="11"/>
      <c r="M398" s="11"/>
      <c r="N398" s="11">
        <f t="shared" si="50"/>
        <v>0</v>
      </c>
      <c r="O398" s="11">
        <f t="shared" si="51"/>
        <v>0</v>
      </c>
      <c r="P398" s="11">
        <f t="shared" si="52"/>
        <v>0</v>
      </c>
      <c r="Q398" s="8"/>
    </row>
    <row r="399" spans="1:17" ht="45" x14ac:dyDescent="0.25">
      <c r="A399" s="8"/>
      <c r="B399" s="24" t="s">
        <v>759</v>
      </c>
      <c r="C399" s="8"/>
      <c r="D399" s="8"/>
      <c r="E399" s="10" t="s">
        <v>227</v>
      </c>
      <c r="F399" s="11">
        <v>1</v>
      </c>
      <c r="G399" s="18"/>
      <c r="H399" s="18"/>
      <c r="I399" s="18"/>
      <c r="J399" s="18"/>
      <c r="K399" s="11"/>
      <c r="L399" s="11"/>
      <c r="M399" s="11"/>
      <c r="N399" s="11">
        <f t="shared" si="50"/>
        <v>0</v>
      </c>
      <c r="O399" s="11">
        <f t="shared" si="51"/>
        <v>0</v>
      </c>
      <c r="P399" s="11">
        <f t="shared" si="52"/>
        <v>0</v>
      </c>
      <c r="Q399" s="8"/>
    </row>
    <row r="400" spans="1:17" ht="45" x14ac:dyDescent="0.25">
      <c r="A400" s="8"/>
      <c r="B400" s="24" t="s">
        <v>760</v>
      </c>
      <c r="C400" s="8"/>
      <c r="D400" s="8"/>
      <c r="E400" s="10" t="s">
        <v>227</v>
      </c>
      <c r="F400" s="11">
        <v>1</v>
      </c>
      <c r="G400" s="18"/>
      <c r="H400" s="18"/>
      <c r="I400" s="18"/>
      <c r="J400" s="18"/>
      <c r="K400" s="11"/>
      <c r="L400" s="11"/>
      <c r="M400" s="11"/>
      <c r="N400" s="11">
        <f t="shared" si="50"/>
        <v>0</v>
      </c>
      <c r="O400" s="11">
        <f t="shared" si="51"/>
        <v>0</v>
      </c>
      <c r="P400" s="11">
        <f t="shared" si="52"/>
        <v>0</v>
      </c>
      <c r="Q400" s="8"/>
    </row>
    <row r="401" spans="1:17" ht="45" x14ac:dyDescent="0.25">
      <c r="A401" s="8"/>
      <c r="B401" s="24" t="s">
        <v>761</v>
      </c>
      <c r="C401" s="8"/>
      <c r="D401" s="8"/>
      <c r="E401" s="10" t="s">
        <v>227</v>
      </c>
      <c r="F401" s="11">
        <v>3</v>
      </c>
      <c r="G401" s="18"/>
      <c r="H401" s="18"/>
      <c r="I401" s="18"/>
      <c r="J401" s="18"/>
      <c r="K401" s="11"/>
      <c r="L401" s="11"/>
      <c r="M401" s="11"/>
      <c r="N401" s="11">
        <f t="shared" si="50"/>
        <v>0</v>
      </c>
      <c r="O401" s="11">
        <f t="shared" si="51"/>
        <v>0</v>
      </c>
      <c r="P401" s="11">
        <f t="shared" si="52"/>
        <v>0</v>
      </c>
      <c r="Q401" s="8"/>
    </row>
    <row r="402" spans="1:17" ht="45" x14ac:dyDescent="0.25">
      <c r="A402" s="8"/>
      <c r="B402" s="24" t="s">
        <v>762</v>
      </c>
      <c r="C402" s="8"/>
      <c r="D402" s="8"/>
      <c r="E402" s="10" t="s">
        <v>227</v>
      </c>
      <c r="F402" s="11">
        <v>1</v>
      </c>
      <c r="G402" s="18"/>
      <c r="H402" s="18"/>
      <c r="I402" s="18"/>
      <c r="J402" s="18"/>
      <c r="K402" s="11"/>
      <c r="L402" s="11"/>
      <c r="M402" s="11"/>
      <c r="N402" s="11">
        <f t="shared" si="50"/>
        <v>0</v>
      </c>
      <c r="O402" s="11">
        <f t="shared" si="51"/>
        <v>0</v>
      </c>
      <c r="P402" s="11">
        <f t="shared" si="52"/>
        <v>0</v>
      </c>
      <c r="Q402" s="8"/>
    </row>
    <row r="403" spans="1:17" ht="45" x14ac:dyDescent="0.25">
      <c r="A403" s="8"/>
      <c r="B403" s="24" t="s">
        <v>763</v>
      </c>
      <c r="C403" s="8"/>
      <c r="D403" s="8"/>
      <c r="E403" s="10" t="s">
        <v>227</v>
      </c>
      <c r="F403" s="11">
        <v>3</v>
      </c>
      <c r="G403" s="18"/>
      <c r="H403" s="18"/>
      <c r="I403" s="18"/>
      <c r="J403" s="18"/>
      <c r="K403" s="11"/>
      <c r="L403" s="11"/>
      <c r="M403" s="11"/>
      <c r="N403" s="11">
        <f t="shared" si="50"/>
        <v>0</v>
      </c>
      <c r="O403" s="11">
        <f t="shared" si="51"/>
        <v>0</v>
      </c>
      <c r="P403" s="11">
        <f t="shared" si="52"/>
        <v>0</v>
      </c>
      <c r="Q403" s="8"/>
    </row>
    <row r="404" spans="1:17" ht="45" x14ac:dyDescent="0.25">
      <c r="A404" s="8"/>
      <c r="B404" s="24" t="s">
        <v>764</v>
      </c>
      <c r="C404" s="8"/>
      <c r="D404" s="8"/>
      <c r="E404" s="10" t="s">
        <v>227</v>
      </c>
      <c r="F404" s="11">
        <v>1</v>
      </c>
      <c r="G404" s="18"/>
      <c r="H404" s="18"/>
      <c r="I404" s="18"/>
      <c r="J404" s="18"/>
      <c r="K404" s="11"/>
      <c r="L404" s="11"/>
      <c r="M404" s="11"/>
      <c r="N404" s="11">
        <f t="shared" si="50"/>
        <v>0</v>
      </c>
      <c r="O404" s="11">
        <f t="shared" si="51"/>
        <v>0</v>
      </c>
      <c r="P404" s="11">
        <f t="shared" si="52"/>
        <v>0</v>
      </c>
      <c r="Q404" s="8"/>
    </row>
    <row r="405" spans="1:17" x14ac:dyDescent="0.25">
      <c r="A405" s="8"/>
      <c r="B405" s="24" t="s">
        <v>427</v>
      </c>
      <c r="C405" s="8"/>
      <c r="D405" s="8"/>
      <c r="E405" s="10" t="s">
        <v>227</v>
      </c>
      <c r="F405" s="11">
        <v>80</v>
      </c>
      <c r="G405" s="18"/>
      <c r="H405" s="18"/>
      <c r="I405" s="18"/>
      <c r="J405" s="18"/>
      <c r="K405" s="11"/>
      <c r="L405" s="11"/>
      <c r="M405" s="11"/>
      <c r="N405" s="11">
        <f t="shared" si="50"/>
        <v>0</v>
      </c>
      <c r="O405" s="11">
        <f t="shared" si="51"/>
        <v>0</v>
      </c>
      <c r="P405" s="11">
        <f t="shared" si="52"/>
        <v>0</v>
      </c>
      <c r="Q405" s="8"/>
    </row>
    <row r="406" spans="1:17" x14ac:dyDescent="0.25">
      <c r="A406" s="8"/>
      <c r="B406" s="24" t="s">
        <v>516</v>
      </c>
      <c r="C406" s="8"/>
      <c r="D406" s="8"/>
      <c r="E406" s="10" t="s">
        <v>226</v>
      </c>
      <c r="F406" s="11">
        <v>1</v>
      </c>
      <c r="G406" s="18"/>
      <c r="H406" s="18"/>
      <c r="I406" s="18"/>
      <c r="J406" s="18"/>
      <c r="K406" s="11"/>
      <c r="L406" s="11"/>
      <c r="M406" s="11"/>
      <c r="N406" s="11">
        <f t="shared" si="50"/>
        <v>0</v>
      </c>
      <c r="O406" s="11">
        <f t="shared" si="51"/>
        <v>0</v>
      </c>
      <c r="P406" s="11">
        <f t="shared" si="52"/>
        <v>0</v>
      </c>
      <c r="Q406" s="8"/>
    </row>
    <row r="407" spans="1:17" x14ac:dyDescent="0.25">
      <c r="A407" s="8"/>
      <c r="B407" s="24" t="s">
        <v>724</v>
      </c>
      <c r="C407" s="8"/>
      <c r="D407" s="8"/>
      <c r="E407" s="10" t="s">
        <v>231</v>
      </c>
      <c r="F407" s="11"/>
      <c r="G407" s="18"/>
      <c r="H407" s="18"/>
      <c r="I407" s="18"/>
      <c r="J407" s="18"/>
      <c r="K407" s="11"/>
      <c r="L407" s="11"/>
      <c r="M407" s="11"/>
      <c r="N407" s="11">
        <f t="shared" si="50"/>
        <v>0</v>
      </c>
      <c r="O407" s="11">
        <f t="shared" si="51"/>
        <v>0</v>
      </c>
      <c r="P407" s="11">
        <f t="shared" si="52"/>
        <v>0</v>
      </c>
      <c r="Q407" s="8"/>
    </row>
    <row r="408" spans="1:17" x14ac:dyDescent="0.25">
      <c r="A408" s="8"/>
      <c r="B408" s="24" t="s">
        <v>430</v>
      </c>
      <c r="C408" s="8"/>
      <c r="D408" s="8"/>
      <c r="E408" s="10" t="s">
        <v>808</v>
      </c>
      <c r="F408" s="11">
        <v>20</v>
      </c>
      <c r="G408" s="18"/>
      <c r="H408" s="18"/>
      <c r="I408" s="18"/>
      <c r="J408" s="18"/>
      <c r="K408" s="11"/>
      <c r="L408" s="11"/>
      <c r="M408" s="11"/>
      <c r="N408" s="11">
        <f t="shared" si="50"/>
        <v>0</v>
      </c>
      <c r="O408" s="11">
        <f t="shared" si="51"/>
        <v>0</v>
      </c>
      <c r="P408" s="11">
        <f t="shared" si="52"/>
        <v>0</v>
      </c>
      <c r="Q408" s="8"/>
    </row>
    <row r="409" spans="1:17" x14ac:dyDescent="0.25">
      <c r="A409" s="8"/>
      <c r="B409" s="24" t="s">
        <v>765</v>
      </c>
      <c r="C409" s="8"/>
      <c r="D409" s="8"/>
      <c r="E409" s="10"/>
      <c r="F409" s="11"/>
      <c r="G409" s="18"/>
      <c r="H409" s="18"/>
      <c r="I409" s="18"/>
      <c r="J409" s="18"/>
      <c r="K409" s="11"/>
      <c r="L409" s="11"/>
      <c r="M409" s="11"/>
      <c r="N409" s="11">
        <f t="shared" si="50"/>
        <v>0</v>
      </c>
      <c r="O409" s="11">
        <f t="shared" si="51"/>
        <v>0</v>
      </c>
      <c r="P409" s="11">
        <f t="shared" si="52"/>
        <v>0</v>
      </c>
      <c r="Q409" s="8"/>
    </row>
    <row r="410" spans="1:17" ht="30" x14ac:dyDescent="0.25">
      <c r="A410" s="8"/>
      <c r="B410" s="24" t="s">
        <v>766</v>
      </c>
      <c r="C410" s="8"/>
      <c r="D410" s="8"/>
      <c r="E410" s="10" t="s">
        <v>229</v>
      </c>
      <c r="F410" s="11">
        <v>12</v>
      </c>
      <c r="G410" s="18"/>
      <c r="H410" s="18"/>
      <c r="I410" s="18"/>
      <c r="J410" s="18"/>
      <c r="K410" s="11"/>
      <c r="L410" s="11"/>
      <c r="M410" s="11"/>
      <c r="N410" s="11">
        <f t="shared" si="50"/>
        <v>0</v>
      </c>
      <c r="O410" s="11">
        <f t="shared" si="51"/>
        <v>0</v>
      </c>
      <c r="P410" s="11">
        <f t="shared" si="52"/>
        <v>0</v>
      </c>
      <c r="Q410" s="8"/>
    </row>
    <row r="411" spans="1:17" ht="30" x14ac:dyDescent="0.25">
      <c r="A411" s="8"/>
      <c r="B411" s="24" t="s">
        <v>767</v>
      </c>
      <c r="C411" s="8"/>
      <c r="D411" s="8"/>
      <c r="E411" s="10" t="s">
        <v>229</v>
      </c>
      <c r="F411" s="11">
        <v>2</v>
      </c>
      <c r="G411" s="18"/>
      <c r="H411" s="18"/>
      <c r="I411" s="18"/>
      <c r="J411" s="18"/>
      <c r="K411" s="11"/>
      <c r="L411" s="11"/>
      <c r="M411" s="11"/>
      <c r="N411" s="11">
        <f t="shared" si="50"/>
        <v>0</v>
      </c>
      <c r="O411" s="11">
        <f t="shared" si="51"/>
        <v>0</v>
      </c>
      <c r="P411" s="11">
        <f t="shared" si="52"/>
        <v>0</v>
      </c>
      <c r="Q411" s="8"/>
    </row>
    <row r="412" spans="1:17" ht="30" x14ac:dyDescent="0.25">
      <c r="A412" s="8"/>
      <c r="B412" s="24" t="s">
        <v>768</v>
      </c>
      <c r="C412" s="8"/>
      <c r="D412" s="8"/>
      <c r="E412" s="10" t="s">
        <v>227</v>
      </c>
      <c r="F412" s="11">
        <v>4</v>
      </c>
      <c r="G412" s="18"/>
      <c r="H412" s="18"/>
      <c r="I412" s="18"/>
      <c r="J412" s="18"/>
      <c r="K412" s="11"/>
      <c r="L412" s="11"/>
      <c r="M412" s="11"/>
      <c r="N412" s="11">
        <f t="shared" si="50"/>
        <v>0</v>
      </c>
      <c r="O412" s="11">
        <f t="shared" si="51"/>
        <v>0</v>
      </c>
      <c r="P412" s="11">
        <f t="shared" si="52"/>
        <v>0</v>
      </c>
      <c r="Q412" s="8"/>
    </row>
    <row r="413" spans="1:17" ht="30" x14ac:dyDescent="0.25">
      <c r="A413" s="8"/>
      <c r="B413" s="24" t="s">
        <v>769</v>
      </c>
      <c r="C413" s="8"/>
      <c r="D413" s="8"/>
      <c r="E413" s="10" t="s">
        <v>227</v>
      </c>
      <c r="F413" s="11">
        <v>2</v>
      </c>
      <c r="G413" s="18"/>
      <c r="H413" s="18"/>
      <c r="I413" s="18"/>
      <c r="J413" s="18"/>
      <c r="K413" s="11"/>
      <c r="L413" s="11"/>
      <c r="M413" s="11"/>
      <c r="N413" s="11">
        <f t="shared" si="50"/>
        <v>0</v>
      </c>
      <c r="O413" s="11">
        <f t="shared" si="51"/>
        <v>0</v>
      </c>
      <c r="P413" s="11">
        <f t="shared" si="52"/>
        <v>0</v>
      </c>
      <c r="Q413" s="8"/>
    </row>
    <row r="414" spans="1:17" x14ac:dyDescent="0.25">
      <c r="A414" s="8"/>
      <c r="B414" s="24" t="s">
        <v>442</v>
      </c>
      <c r="C414" s="8"/>
      <c r="D414" s="8"/>
      <c r="E414" s="10"/>
      <c r="F414" s="11"/>
      <c r="G414" s="18"/>
      <c r="H414" s="18"/>
      <c r="I414" s="18"/>
      <c r="J414" s="18"/>
      <c r="K414" s="11"/>
      <c r="L414" s="11"/>
      <c r="M414" s="11"/>
      <c r="N414" s="11">
        <f t="shared" si="50"/>
        <v>0</v>
      </c>
      <c r="O414" s="11">
        <f t="shared" si="51"/>
        <v>0</v>
      </c>
      <c r="P414" s="11">
        <f t="shared" si="52"/>
        <v>0</v>
      </c>
      <c r="Q414" s="8"/>
    </row>
    <row r="415" spans="1:17" ht="30" x14ac:dyDescent="0.25">
      <c r="A415" s="8"/>
      <c r="B415" s="24" t="s">
        <v>770</v>
      </c>
      <c r="C415" s="8"/>
      <c r="D415" s="8"/>
      <c r="E415" s="10" t="s">
        <v>227</v>
      </c>
      <c r="F415" s="11">
        <v>140</v>
      </c>
      <c r="G415" s="18"/>
      <c r="H415" s="18"/>
      <c r="I415" s="18"/>
      <c r="J415" s="18"/>
      <c r="K415" s="11"/>
      <c r="L415" s="11"/>
      <c r="M415" s="11"/>
      <c r="N415" s="11">
        <f t="shared" si="50"/>
        <v>0</v>
      </c>
      <c r="O415" s="11">
        <f t="shared" si="51"/>
        <v>0</v>
      </c>
      <c r="P415" s="11">
        <f t="shared" si="52"/>
        <v>0</v>
      </c>
      <c r="Q415" s="8"/>
    </row>
    <row r="416" spans="1:17" ht="30" x14ac:dyDescent="0.25">
      <c r="A416" s="8"/>
      <c r="B416" s="24" t="s">
        <v>771</v>
      </c>
      <c r="C416" s="8"/>
      <c r="D416" s="8"/>
      <c r="E416" s="10" t="s">
        <v>227</v>
      </c>
      <c r="F416" s="11">
        <v>72</v>
      </c>
      <c r="G416" s="18"/>
      <c r="H416" s="18"/>
      <c r="I416" s="18"/>
      <c r="J416" s="18"/>
      <c r="K416" s="11"/>
      <c r="L416" s="11"/>
      <c r="M416" s="11"/>
      <c r="N416" s="11">
        <f t="shared" si="50"/>
        <v>0</v>
      </c>
      <c r="O416" s="11">
        <f t="shared" si="51"/>
        <v>0</v>
      </c>
      <c r="P416" s="11">
        <f t="shared" si="52"/>
        <v>0</v>
      </c>
      <c r="Q416" s="8"/>
    </row>
    <row r="417" spans="1:17" ht="30" x14ac:dyDescent="0.25">
      <c r="A417" s="8"/>
      <c r="B417" s="24" t="s">
        <v>772</v>
      </c>
      <c r="C417" s="8"/>
      <c r="D417" s="8"/>
      <c r="E417" s="10" t="s">
        <v>227</v>
      </c>
      <c r="F417" s="11">
        <v>204</v>
      </c>
      <c r="G417" s="18"/>
      <c r="H417" s="18"/>
      <c r="I417" s="18"/>
      <c r="J417" s="18"/>
      <c r="K417" s="11"/>
      <c r="L417" s="11"/>
      <c r="M417" s="11"/>
      <c r="N417" s="11">
        <f t="shared" si="50"/>
        <v>0</v>
      </c>
      <c r="O417" s="11">
        <f t="shared" si="51"/>
        <v>0</v>
      </c>
      <c r="P417" s="11">
        <f t="shared" si="52"/>
        <v>0</v>
      </c>
      <c r="Q417" s="8"/>
    </row>
    <row r="418" spans="1:17" ht="30" x14ac:dyDescent="0.25">
      <c r="A418" s="8"/>
      <c r="B418" s="24" t="s">
        <v>773</v>
      </c>
      <c r="C418" s="8"/>
      <c r="D418" s="8"/>
      <c r="E418" s="10" t="s">
        <v>227</v>
      </c>
      <c r="F418" s="11">
        <v>204</v>
      </c>
      <c r="G418" s="18"/>
      <c r="H418" s="18"/>
      <c r="I418" s="18"/>
      <c r="J418" s="18"/>
      <c r="K418" s="11"/>
      <c r="L418" s="11"/>
      <c r="M418" s="11"/>
      <c r="N418" s="11">
        <f t="shared" si="50"/>
        <v>0</v>
      </c>
      <c r="O418" s="11">
        <f t="shared" si="51"/>
        <v>0</v>
      </c>
      <c r="P418" s="11">
        <f t="shared" si="52"/>
        <v>0</v>
      </c>
      <c r="Q418" s="8"/>
    </row>
    <row r="419" spans="1:17" ht="30" x14ac:dyDescent="0.25">
      <c r="A419" s="8"/>
      <c r="B419" s="24" t="s">
        <v>774</v>
      </c>
      <c r="C419" s="8"/>
      <c r="D419" s="8"/>
      <c r="E419" s="10" t="s">
        <v>229</v>
      </c>
      <c r="F419" s="11">
        <v>2</v>
      </c>
      <c r="G419" s="18"/>
      <c r="H419" s="18"/>
      <c r="I419" s="18"/>
      <c r="J419" s="18"/>
      <c r="K419" s="11"/>
      <c r="L419" s="11"/>
      <c r="M419" s="11"/>
      <c r="N419" s="11">
        <f t="shared" si="50"/>
        <v>0</v>
      </c>
      <c r="O419" s="11">
        <f t="shared" si="51"/>
        <v>0</v>
      </c>
      <c r="P419" s="11">
        <f t="shared" si="52"/>
        <v>0</v>
      </c>
      <c r="Q419" s="8"/>
    </row>
    <row r="420" spans="1:17" x14ac:dyDescent="0.25">
      <c r="A420" s="8"/>
      <c r="B420" s="24" t="s">
        <v>775</v>
      </c>
      <c r="C420" s="8"/>
      <c r="D420" s="8"/>
      <c r="E420" s="10"/>
      <c r="F420" s="11"/>
      <c r="G420" s="18"/>
      <c r="H420" s="18"/>
      <c r="I420" s="18"/>
      <c r="J420" s="18"/>
      <c r="K420" s="11"/>
      <c r="L420" s="11"/>
      <c r="M420" s="11"/>
      <c r="N420" s="11">
        <f t="shared" si="50"/>
        <v>0</v>
      </c>
      <c r="O420" s="11">
        <f t="shared" si="51"/>
        <v>0</v>
      </c>
      <c r="P420" s="11">
        <f t="shared" si="52"/>
        <v>0</v>
      </c>
      <c r="Q420" s="8"/>
    </row>
    <row r="421" spans="1:17" x14ac:dyDescent="0.25">
      <c r="A421" s="8"/>
      <c r="B421" s="24" t="s">
        <v>776</v>
      </c>
      <c r="C421" s="8"/>
      <c r="D421" s="8"/>
      <c r="E421" s="10" t="s">
        <v>807</v>
      </c>
      <c r="F421" s="11">
        <v>2</v>
      </c>
      <c r="G421" s="18"/>
      <c r="H421" s="18"/>
      <c r="I421" s="18"/>
      <c r="J421" s="18"/>
      <c r="K421" s="11"/>
      <c r="L421" s="11"/>
      <c r="M421" s="11"/>
      <c r="N421" s="11">
        <f t="shared" si="50"/>
        <v>0</v>
      </c>
      <c r="O421" s="11">
        <f t="shared" si="51"/>
        <v>0</v>
      </c>
      <c r="P421" s="11">
        <f t="shared" si="52"/>
        <v>0</v>
      </c>
      <c r="Q421" s="8"/>
    </row>
    <row r="422" spans="1:17" x14ac:dyDescent="0.25">
      <c r="A422" s="8"/>
      <c r="B422" s="24" t="s">
        <v>700</v>
      </c>
      <c r="C422" s="8"/>
      <c r="D422" s="8"/>
      <c r="E422" s="10"/>
      <c r="F422" s="11"/>
      <c r="G422" s="18"/>
      <c r="H422" s="18"/>
      <c r="I422" s="18"/>
      <c r="J422" s="18"/>
      <c r="K422" s="11"/>
      <c r="L422" s="11"/>
      <c r="M422" s="11"/>
      <c r="N422" s="11">
        <f t="shared" si="50"/>
        <v>0</v>
      </c>
      <c r="O422" s="11">
        <f t="shared" si="51"/>
        <v>0</v>
      </c>
      <c r="P422" s="11">
        <f t="shared" si="52"/>
        <v>0</v>
      </c>
      <c r="Q422" s="8"/>
    </row>
    <row r="423" spans="1:17" x14ac:dyDescent="0.25">
      <c r="A423" s="8"/>
      <c r="B423" s="24" t="s">
        <v>777</v>
      </c>
      <c r="C423" s="8"/>
      <c r="D423" s="8"/>
      <c r="E423" s="10" t="s">
        <v>227</v>
      </c>
      <c r="F423" s="11">
        <v>2</v>
      </c>
      <c r="G423" s="18"/>
      <c r="H423" s="18"/>
      <c r="I423" s="18"/>
      <c r="J423" s="18"/>
      <c r="K423" s="11"/>
      <c r="L423" s="11"/>
      <c r="M423" s="11"/>
      <c r="N423" s="11">
        <f t="shared" si="50"/>
        <v>0</v>
      </c>
      <c r="O423" s="11">
        <f t="shared" si="51"/>
        <v>0</v>
      </c>
      <c r="P423" s="11">
        <f t="shared" si="52"/>
        <v>0</v>
      </c>
      <c r="Q423" s="8"/>
    </row>
    <row r="424" spans="1:17" x14ac:dyDescent="0.25">
      <c r="A424" s="8"/>
      <c r="B424" s="24" t="s">
        <v>778</v>
      </c>
      <c r="C424" s="8"/>
      <c r="D424" s="8"/>
      <c r="E424" s="10" t="s">
        <v>227</v>
      </c>
      <c r="F424" s="11">
        <v>16</v>
      </c>
      <c r="G424" s="18"/>
      <c r="H424" s="18"/>
      <c r="I424" s="18"/>
      <c r="J424" s="18"/>
      <c r="K424" s="11"/>
      <c r="L424" s="11"/>
      <c r="M424" s="11"/>
      <c r="N424" s="11"/>
      <c r="O424" s="11"/>
      <c r="P424" s="11"/>
      <c r="Q424" s="8"/>
    </row>
    <row r="425" spans="1:17" x14ac:dyDescent="0.25">
      <c r="A425" s="8"/>
      <c r="B425" s="24" t="s">
        <v>457</v>
      </c>
      <c r="C425" s="12"/>
      <c r="D425" s="10"/>
      <c r="E425" s="10"/>
      <c r="F425" s="11"/>
      <c r="G425" s="21"/>
      <c r="H425" s="18"/>
      <c r="I425" s="18"/>
      <c r="J425" s="18"/>
      <c r="K425" s="11"/>
      <c r="L425" s="11"/>
      <c r="M425" s="11">
        <f>K425*8%</f>
        <v>0</v>
      </c>
      <c r="N425" s="11">
        <f t="shared" ref="N425:N431" si="53">L425*8%</f>
        <v>0</v>
      </c>
      <c r="O425" s="11">
        <f t="shared" ref="O425:O431" si="54">(K425+M425)*F425</f>
        <v>0</v>
      </c>
      <c r="P425" s="11">
        <f t="shared" ref="P425:P431" si="55">(L425+N425)*F425</f>
        <v>0</v>
      </c>
      <c r="Q425" s="8"/>
    </row>
    <row r="426" spans="1:17" ht="30" x14ac:dyDescent="0.25">
      <c r="A426" s="8"/>
      <c r="B426" s="24" t="s">
        <v>705</v>
      </c>
      <c r="C426" s="12"/>
      <c r="D426" s="10"/>
      <c r="E426" s="10" t="s">
        <v>225</v>
      </c>
      <c r="F426" s="11">
        <v>26</v>
      </c>
      <c r="G426" s="21"/>
      <c r="H426" s="18"/>
      <c r="I426" s="18"/>
      <c r="J426" s="18"/>
      <c r="K426" s="11"/>
      <c r="L426" s="11"/>
      <c r="M426" s="11">
        <f t="shared" ref="M426:M431" si="56">K426*8%</f>
        <v>0</v>
      </c>
      <c r="N426" s="11">
        <f t="shared" si="53"/>
        <v>0</v>
      </c>
      <c r="O426" s="11">
        <f t="shared" si="54"/>
        <v>0</v>
      </c>
      <c r="P426" s="11">
        <f t="shared" si="55"/>
        <v>0</v>
      </c>
      <c r="Q426" s="8"/>
    </row>
    <row r="427" spans="1:17" x14ac:dyDescent="0.25">
      <c r="A427" s="8"/>
      <c r="B427" s="24" t="s">
        <v>779</v>
      </c>
      <c r="C427" s="12"/>
      <c r="D427" s="10"/>
      <c r="E427" s="10"/>
      <c r="F427" s="11"/>
      <c r="G427" s="21"/>
      <c r="H427" s="18"/>
      <c r="I427" s="18"/>
      <c r="J427" s="18"/>
      <c r="K427" s="11"/>
      <c r="L427" s="11"/>
      <c r="M427" s="11">
        <f t="shared" si="56"/>
        <v>0</v>
      </c>
      <c r="N427" s="11">
        <f t="shared" si="53"/>
        <v>0</v>
      </c>
      <c r="O427" s="11">
        <f t="shared" si="54"/>
        <v>0</v>
      </c>
      <c r="P427" s="11">
        <f t="shared" si="55"/>
        <v>0</v>
      </c>
      <c r="Q427" s="8"/>
    </row>
    <row r="428" spans="1:17" ht="30" x14ac:dyDescent="0.25">
      <c r="A428" s="8"/>
      <c r="B428" s="24" t="s">
        <v>780</v>
      </c>
      <c r="C428" s="12"/>
      <c r="D428" s="10"/>
      <c r="E428" s="10" t="s">
        <v>225</v>
      </c>
      <c r="F428" s="11">
        <v>23</v>
      </c>
      <c r="G428" s="21"/>
      <c r="H428" s="18"/>
      <c r="I428" s="18"/>
      <c r="J428" s="18"/>
      <c r="K428" s="11"/>
      <c r="L428" s="11"/>
      <c r="M428" s="11">
        <f t="shared" si="56"/>
        <v>0</v>
      </c>
      <c r="N428" s="11">
        <f t="shared" si="53"/>
        <v>0</v>
      </c>
      <c r="O428" s="11">
        <f t="shared" si="54"/>
        <v>0</v>
      </c>
      <c r="P428" s="11">
        <f t="shared" si="55"/>
        <v>0</v>
      </c>
      <c r="Q428" s="8"/>
    </row>
    <row r="429" spans="1:17" ht="30" x14ac:dyDescent="0.25">
      <c r="A429" s="8"/>
      <c r="B429" s="24" t="s">
        <v>781</v>
      </c>
      <c r="C429" s="12"/>
      <c r="D429" s="10"/>
      <c r="E429" s="10" t="s">
        <v>225</v>
      </c>
      <c r="F429" s="11">
        <v>87</v>
      </c>
      <c r="G429" s="21"/>
      <c r="H429" s="18"/>
      <c r="I429" s="18"/>
      <c r="J429" s="18"/>
      <c r="K429" s="11"/>
      <c r="L429" s="11"/>
      <c r="M429" s="11">
        <f t="shared" si="56"/>
        <v>0</v>
      </c>
      <c r="N429" s="11">
        <f t="shared" si="53"/>
        <v>0</v>
      </c>
      <c r="O429" s="11">
        <f t="shared" si="54"/>
        <v>0</v>
      </c>
      <c r="P429" s="11">
        <f t="shared" si="55"/>
        <v>0</v>
      </c>
      <c r="Q429" s="8"/>
    </row>
    <row r="430" spans="1:17" ht="30" x14ac:dyDescent="0.25">
      <c r="A430" s="8"/>
      <c r="B430" s="24" t="s">
        <v>782</v>
      </c>
      <c r="C430" s="8"/>
      <c r="D430" s="10"/>
      <c r="E430" s="10" t="s">
        <v>225</v>
      </c>
      <c r="F430" s="11">
        <v>17</v>
      </c>
      <c r="G430" s="18"/>
      <c r="H430" s="18"/>
      <c r="I430" s="18"/>
      <c r="J430" s="18"/>
      <c r="K430" s="11"/>
      <c r="L430" s="11"/>
      <c r="M430" s="11">
        <f t="shared" si="56"/>
        <v>0</v>
      </c>
      <c r="N430" s="11">
        <f t="shared" si="53"/>
        <v>0</v>
      </c>
      <c r="O430" s="11">
        <f t="shared" si="54"/>
        <v>0</v>
      </c>
      <c r="P430" s="11">
        <f t="shared" si="55"/>
        <v>0</v>
      </c>
      <c r="Q430" s="8"/>
    </row>
    <row r="431" spans="1:17" ht="30" x14ac:dyDescent="0.25">
      <c r="A431" s="8"/>
      <c r="B431" s="24" t="s">
        <v>783</v>
      </c>
      <c r="C431" s="8"/>
      <c r="D431" s="10"/>
      <c r="E431" s="10" t="s">
        <v>225</v>
      </c>
      <c r="F431" s="11">
        <v>14</v>
      </c>
      <c r="G431" s="18"/>
      <c r="H431" s="18"/>
      <c r="I431" s="18"/>
      <c r="J431" s="18"/>
      <c r="K431" s="11"/>
      <c r="L431" s="11"/>
      <c r="M431" s="11">
        <f t="shared" si="56"/>
        <v>0</v>
      </c>
      <c r="N431" s="11">
        <f t="shared" si="53"/>
        <v>0</v>
      </c>
      <c r="O431" s="11">
        <f t="shared" si="54"/>
        <v>0</v>
      </c>
      <c r="P431" s="11">
        <f t="shared" si="55"/>
        <v>0</v>
      </c>
      <c r="Q431" s="8"/>
    </row>
    <row r="432" spans="1:17" ht="30" x14ac:dyDescent="0.25">
      <c r="A432" s="8"/>
      <c r="B432" s="24" t="s">
        <v>784</v>
      </c>
      <c r="C432" s="8"/>
      <c r="D432" s="8"/>
      <c r="E432" s="10" t="s">
        <v>225</v>
      </c>
      <c r="F432" s="11">
        <v>12</v>
      </c>
      <c r="G432" s="18"/>
      <c r="H432" s="18"/>
      <c r="I432" s="18"/>
      <c r="J432" s="18"/>
      <c r="K432" s="11"/>
      <c r="L432" s="11"/>
      <c r="M432" s="11"/>
      <c r="N432" s="11"/>
      <c r="O432" s="11"/>
      <c r="P432" s="11"/>
      <c r="Q432" s="8"/>
    </row>
    <row r="433" spans="1:17" ht="30" x14ac:dyDescent="0.25">
      <c r="A433" s="8"/>
      <c r="B433" s="24" t="s">
        <v>785</v>
      </c>
      <c r="C433" s="12"/>
      <c r="D433" s="10"/>
      <c r="E433" s="10" t="s">
        <v>225</v>
      </c>
      <c r="F433" s="11">
        <v>22</v>
      </c>
      <c r="G433" s="21"/>
      <c r="H433" s="18"/>
      <c r="I433" s="18"/>
      <c r="J433" s="18"/>
      <c r="K433" s="11"/>
      <c r="L433" s="11"/>
      <c r="M433" s="11">
        <f>K433*8%</f>
        <v>0</v>
      </c>
      <c r="N433" s="11">
        <f t="shared" ref="N433:N436" si="57">L433*8%</f>
        <v>0</v>
      </c>
      <c r="O433" s="11">
        <f t="shared" ref="O433:O436" si="58">(K433+M433)*F433</f>
        <v>0</v>
      </c>
      <c r="P433" s="11">
        <f t="shared" ref="P433:P436" si="59">(L433+N433)*F433</f>
        <v>0</v>
      </c>
      <c r="Q433" s="8"/>
    </row>
    <row r="434" spans="1:17" ht="30" x14ac:dyDescent="0.25">
      <c r="A434" s="8"/>
      <c r="B434" s="24" t="s">
        <v>786</v>
      </c>
      <c r="C434" s="12"/>
      <c r="D434" s="10"/>
      <c r="E434" s="10" t="s">
        <v>225</v>
      </c>
      <c r="F434" s="11">
        <v>8</v>
      </c>
      <c r="G434" s="21"/>
      <c r="H434" s="18"/>
      <c r="I434" s="18"/>
      <c r="J434" s="18"/>
      <c r="K434" s="11"/>
      <c r="L434" s="11"/>
      <c r="M434" s="11">
        <f>K434*10%</f>
        <v>0</v>
      </c>
      <c r="N434" s="11">
        <f t="shared" si="57"/>
        <v>0</v>
      </c>
      <c r="O434" s="11">
        <f t="shared" si="58"/>
        <v>0</v>
      </c>
      <c r="P434" s="11">
        <f t="shared" si="59"/>
        <v>0</v>
      </c>
      <c r="Q434" s="8"/>
    </row>
    <row r="435" spans="1:17" ht="30" x14ac:dyDescent="0.25">
      <c r="A435" s="8"/>
      <c r="B435" s="24" t="s">
        <v>787</v>
      </c>
      <c r="C435" s="8"/>
      <c r="D435" s="10"/>
      <c r="E435" s="10" t="s">
        <v>225</v>
      </c>
      <c r="F435" s="11">
        <v>33</v>
      </c>
      <c r="G435" s="18"/>
      <c r="H435" s="18"/>
      <c r="I435" s="18"/>
      <c r="J435" s="18"/>
      <c r="K435" s="11"/>
      <c r="L435" s="11"/>
      <c r="M435" s="11">
        <f t="shared" ref="M435:M436" si="60">K435*8%</f>
        <v>0</v>
      </c>
      <c r="N435" s="11">
        <f t="shared" si="57"/>
        <v>0</v>
      </c>
      <c r="O435" s="11">
        <f t="shared" si="58"/>
        <v>0</v>
      </c>
      <c r="P435" s="11">
        <f t="shared" si="59"/>
        <v>0</v>
      </c>
      <c r="Q435" s="8"/>
    </row>
    <row r="436" spans="1:17" ht="30" x14ac:dyDescent="0.25">
      <c r="A436" s="8"/>
      <c r="B436" s="24" t="s">
        <v>462</v>
      </c>
      <c r="C436" s="8"/>
      <c r="D436" s="10"/>
      <c r="E436" s="10" t="s">
        <v>809</v>
      </c>
      <c r="F436" s="11">
        <v>1</v>
      </c>
      <c r="G436" s="18"/>
      <c r="H436" s="18"/>
      <c r="I436" s="18"/>
      <c r="J436" s="18"/>
      <c r="K436" s="11"/>
      <c r="L436" s="11"/>
      <c r="M436" s="11">
        <f t="shared" si="60"/>
        <v>0</v>
      </c>
      <c r="N436" s="11">
        <f t="shared" si="57"/>
        <v>0</v>
      </c>
      <c r="O436" s="11">
        <f t="shared" si="58"/>
        <v>0</v>
      </c>
      <c r="P436" s="11">
        <f t="shared" si="59"/>
        <v>0</v>
      </c>
      <c r="Q436" s="8"/>
    </row>
    <row r="437" spans="1:17" x14ac:dyDescent="0.25">
      <c r="A437" s="8"/>
      <c r="B437" s="24" t="s">
        <v>14</v>
      </c>
      <c r="C437" s="8"/>
      <c r="D437" s="8"/>
      <c r="E437" s="10" t="s">
        <v>809</v>
      </c>
      <c r="F437" s="11">
        <v>1</v>
      </c>
      <c r="G437" s="18"/>
      <c r="H437" s="18"/>
      <c r="I437" s="18"/>
      <c r="J437" s="18"/>
      <c r="K437" s="11"/>
      <c r="L437" s="11"/>
      <c r="M437" s="11"/>
      <c r="N437" s="11"/>
      <c r="O437" s="11"/>
      <c r="P437" s="11"/>
      <c r="Q437" s="8"/>
    </row>
    <row r="438" spans="1:17" x14ac:dyDescent="0.25">
      <c r="A438" s="8"/>
      <c r="B438" s="24" t="s">
        <v>463</v>
      </c>
      <c r="C438" s="12"/>
      <c r="D438" s="10"/>
      <c r="E438" s="10" t="s">
        <v>231</v>
      </c>
      <c r="F438" s="11"/>
      <c r="G438" s="21"/>
      <c r="H438" s="18"/>
      <c r="I438" s="18"/>
      <c r="J438" s="18"/>
      <c r="K438" s="11"/>
      <c r="L438" s="11"/>
      <c r="M438" s="11">
        <f>K438*8%</f>
        <v>0</v>
      </c>
      <c r="N438" s="11">
        <f>L438*8%</f>
        <v>0</v>
      </c>
      <c r="O438" s="11">
        <f t="shared" ref="O438:O446" si="61">(K438+M438)*F438</f>
        <v>0</v>
      </c>
      <c r="P438" s="11">
        <f t="shared" ref="P438:P446" si="62">(L438+N438)*F438</f>
        <v>0</v>
      </c>
      <c r="Q438" s="8"/>
    </row>
    <row r="439" spans="1:17" ht="30" x14ac:dyDescent="0.25">
      <c r="A439" s="8"/>
      <c r="B439" s="24" t="s">
        <v>464</v>
      </c>
      <c r="C439" s="12"/>
      <c r="D439" s="10"/>
      <c r="E439" s="10" t="s">
        <v>225</v>
      </c>
      <c r="F439" s="11">
        <v>6305.2</v>
      </c>
      <c r="G439" s="21"/>
      <c r="H439" s="18"/>
      <c r="I439" s="18"/>
      <c r="J439" s="18"/>
      <c r="K439" s="11"/>
      <c r="L439" s="11"/>
      <c r="M439" s="11">
        <f>K439*10%</f>
        <v>0</v>
      </c>
      <c r="N439" s="11">
        <f t="shared" ref="N439:N446" si="63">L439*8%</f>
        <v>0</v>
      </c>
      <c r="O439" s="11">
        <f t="shared" si="61"/>
        <v>0</v>
      </c>
      <c r="P439" s="11">
        <f t="shared" si="62"/>
        <v>0</v>
      </c>
      <c r="Q439" s="8"/>
    </row>
    <row r="440" spans="1:17" x14ac:dyDescent="0.25">
      <c r="A440" s="8"/>
      <c r="B440" s="24" t="s">
        <v>465</v>
      </c>
      <c r="C440" s="12"/>
      <c r="D440" s="10"/>
      <c r="E440" s="10" t="s">
        <v>225</v>
      </c>
      <c r="F440" s="11">
        <v>3152.6</v>
      </c>
      <c r="G440" s="21"/>
      <c r="H440" s="18"/>
      <c r="I440" s="18"/>
      <c r="J440" s="18"/>
      <c r="K440" s="11"/>
      <c r="L440" s="11"/>
      <c r="M440" s="11">
        <f t="shared" ref="M440:M442" si="64">K440*10%</f>
        <v>0</v>
      </c>
      <c r="N440" s="11">
        <f t="shared" si="63"/>
        <v>0</v>
      </c>
      <c r="O440" s="11">
        <f t="shared" si="61"/>
        <v>0</v>
      </c>
      <c r="P440" s="11">
        <f t="shared" si="62"/>
        <v>0</v>
      </c>
      <c r="Q440" s="8"/>
    </row>
    <row r="441" spans="1:17" x14ac:dyDescent="0.25">
      <c r="A441" s="8"/>
      <c r="B441" s="24" t="s">
        <v>14</v>
      </c>
      <c r="C441" s="12"/>
      <c r="D441" s="10"/>
      <c r="E441" s="10" t="s">
        <v>228</v>
      </c>
      <c r="F441" s="11">
        <v>1</v>
      </c>
      <c r="G441" s="21"/>
      <c r="H441" s="18"/>
      <c r="I441" s="18"/>
      <c r="J441" s="18"/>
      <c r="K441" s="11"/>
      <c r="L441" s="11"/>
      <c r="M441" s="11">
        <f t="shared" si="64"/>
        <v>0</v>
      </c>
      <c r="N441" s="11">
        <f t="shared" si="63"/>
        <v>0</v>
      </c>
      <c r="O441" s="11">
        <f t="shared" si="61"/>
        <v>0</v>
      </c>
      <c r="P441" s="11">
        <f t="shared" si="62"/>
        <v>0</v>
      </c>
      <c r="Q441" s="8"/>
    </row>
    <row r="442" spans="1:17" ht="30" x14ac:dyDescent="0.25">
      <c r="A442" s="8"/>
      <c r="B442" s="24" t="s">
        <v>788</v>
      </c>
      <c r="C442" s="12"/>
      <c r="D442" s="10"/>
      <c r="E442" s="10" t="s">
        <v>231</v>
      </c>
      <c r="F442" s="11"/>
      <c r="G442" s="21"/>
      <c r="H442" s="18"/>
      <c r="I442" s="18"/>
      <c r="J442" s="18"/>
      <c r="K442" s="11"/>
      <c r="L442" s="11"/>
      <c r="M442" s="11">
        <f t="shared" si="64"/>
        <v>0</v>
      </c>
      <c r="N442" s="11">
        <f t="shared" si="63"/>
        <v>0</v>
      </c>
      <c r="O442" s="11">
        <f t="shared" si="61"/>
        <v>0</v>
      </c>
      <c r="P442" s="11">
        <f t="shared" si="62"/>
        <v>0</v>
      </c>
      <c r="Q442" s="8"/>
    </row>
    <row r="443" spans="1:17" x14ac:dyDescent="0.25">
      <c r="A443" s="8"/>
      <c r="B443" s="24" t="s">
        <v>789</v>
      </c>
      <c r="C443" s="12"/>
      <c r="D443" s="10"/>
      <c r="E443" s="10" t="s">
        <v>230</v>
      </c>
      <c r="F443" s="11">
        <v>96</v>
      </c>
      <c r="G443" s="21"/>
      <c r="H443" s="18"/>
      <c r="I443" s="18"/>
      <c r="J443" s="18"/>
      <c r="K443" s="11"/>
      <c r="L443" s="11"/>
      <c r="M443" s="11">
        <f>K443*8%</f>
        <v>0</v>
      </c>
      <c r="N443" s="11">
        <f t="shared" si="63"/>
        <v>0</v>
      </c>
      <c r="O443" s="11">
        <f t="shared" si="61"/>
        <v>0</v>
      </c>
      <c r="P443" s="11">
        <f t="shared" si="62"/>
        <v>0</v>
      </c>
      <c r="Q443" s="8"/>
    </row>
    <row r="444" spans="1:17" x14ac:dyDescent="0.25">
      <c r="A444" s="8"/>
      <c r="B444" s="24" t="s">
        <v>790</v>
      </c>
      <c r="C444" s="12"/>
      <c r="D444" s="10"/>
      <c r="E444" s="10" t="s">
        <v>225</v>
      </c>
      <c r="F444" s="11">
        <v>2887.5</v>
      </c>
      <c r="G444" s="21"/>
      <c r="H444" s="18"/>
      <c r="I444" s="18"/>
      <c r="J444" s="18"/>
      <c r="K444" s="11"/>
      <c r="L444" s="11"/>
      <c r="M444" s="11">
        <f>K444*8%</f>
        <v>0</v>
      </c>
      <c r="N444" s="11">
        <f t="shared" si="63"/>
        <v>0</v>
      </c>
      <c r="O444" s="11">
        <f t="shared" si="61"/>
        <v>0</v>
      </c>
      <c r="P444" s="11">
        <f t="shared" si="62"/>
        <v>0</v>
      </c>
      <c r="Q444" s="8"/>
    </row>
    <row r="445" spans="1:17" x14ac:dyDescent="0.25">
      <c r="A445" s="8"/>
      <c r="B445" s="24" t="s">
        <v>465</v>
      </c>
      <c r="C445" s="8"/>
      <c r="D445" s="10"/>
      <c r="E445" s="10" t="s">
        <v>225</v>
      </c>
      <c r="F445" s="11">
        <v>2887.5</v>
      </c>
      <c r="G445" s="18"/>
      <c r="H445" s="18"/>
      <c r="I445" s="18"/>
      <c r="J445" s="18"/>
      <c r="K445" s="11"/>
      <c r="L445" s="11"/>
      <c r="M445" s="11">
        <f t="shared" ref="M445:M446" si="65">K445*8%</f>
        <v>0</v>
      </c>
      <c r="N445" s="11">
        <f t="shared" si="63"/>
        <v>0</v>
      </c>
      <c r="O445" s="11">
        <f t="shared" si="61"/>
        <v>0</v>
      </c>
      <c r="P445" s="11">
        <f t="shared" si="62"/>
        <v>0</v>
      </c>
      <c r="Q445" s="8"/>
    </row>
    <row r="446" spans="1:17" x14ac:dyDescent="0.25">
      <c r="A446" s="8"/>
      <c r="B446" s="24" t="s">
        <v>791</v>
      </c>
      <c r="C446" s="8"/>
      <c r="D446" s="10"/>
      <c r="E446" s="10" t="s">
        <v>226</v>
      </c>
      <c r="F446" s="11">
        <v>1</v>
      </c>
      <c r="G446" s="18"/>
      <c r="H446" s="18"/>
      <c r="I446" s="18"/>
      <c r="J446" s="18"/>
      <c r="K446" s="11"/>
      <c r="L446" s="11"/>
      <c r="M446" s="11">
        <f t="shared" si="65"/>
        <v>0</v>
      </c>
      <c r="N446" s="11">
        <f t="shared" si="63"/>
        <v>0</v>
      </c>
      <c r="O446" s="11">
        <f t="shared" si="61"/>
        <v>0</v>
      </c>
      <c r="P446" s="11">
        <f t="shared" si="62"/>
        <v>0</v>
      </c>
      <c r="Q446" s="8"/>
    </row>
    <row r="447" spans="1:17" ht="30" x14ac:dyDescent="0.25">
      <c r="A447" s="8"/>
      <c r="B447" s="24" t="s">
        <v>792</v>
      </c>
      <c r="C447" s="8"/>
      <c r="D447" s="8"/>
      <c r="E447" s="10" t="s">
        <v>231</v>
      </c>
      <c r="F447" s="11"/>
      <c r="G447" s="18"/>
      <c r="H447" s="18"/>
      <c r="I447" s="18"/>
      <c r="J447" s="18"/>
      <c r="K447" s="11"/>
      <c r="L447" s="11"/>
      <c r="M447" s="11"/>
      <c r="N447" s="11"/>
      <c r="O447" s="11"/>
      <c r="P447" s="11"/>
      <c r="Q447" s="8"/>
    </row>
    <row r="448" spans="1:17" x14ac:dyDescent="0.25">
      <c r="A448" s="8"/>
      <c r="B448" s="24" t="s">
        <v>413</v>
      </c>
      <c r="C448" s="12"/>
      <c r="D448" s="19"/>
      <c r="E448" s="10" t="s">
        <v>231</v>
      </c>
      <c r="F448" s="11"/>
      <c r="G448" s="21"/>
      <c r="H448" s="18"/>
      <c r="I448" s="18"/>
      <c r="J448" s="18"/>
      <c r="K448" s="11"/>
      <c r="L448" s="11"/>
      <c r="M448" s="11">
        <f>K448*10%</f>
        <v>0</v>
      </c>
      <c r="N448" s="11">
        <f t="shared" ref="N448:N470" si="66">L448*8%</f>
        <v>0</v>
      </c>
      <c r="O448" s="11">
        <f t="shared" ref="O448:O470" si="67">(K448+M448)*F448</f>
        <v>0</v>
      </c>
      <c r="P448" s="11">
        <f t="shared" ref="P448:P470" si="68">(L448+N448)*F448</f>
        <v>0</v>
      </c>
      <c r="Q448" s="8"/>
    </row>
    <row r="449" spans="1:17" ht="45" x14ac:dyDescent="0.25">
      <c r="A449" s="8"/>
      <c r="B449" s="24" t="s">
        <v>793</v>
      </c>
      <c r="C449" s="8"/>
      <c r="D449" s="10"/>
      <c r="E449" s="10" t="s">
        <v>229</v>
      </c>
      <c r="F449" s="11">
        <v>1</v>
      </c>
      <c r="G449" s="18"/>
      <c r="H449" s="18"/>
      <c r="I449" s="18"/>
      <c r="J449" s="18"/>
      <c r="K449" s="11"/>
      <c r="L449" s="11"/>
      <c r="M449" s="11">
        <f t="shared" ref="M449" si="69">K449*8%</f>
        <v>0</v>
      </c>
      <c r="N449" s="11">
        <f t="shared" si="66"/>
        <v>0</v>
      </c>
      <c r="O449" s="11">
        <f t="shared" si="67"/>
        <v>0</v>
      </c>
      <c r="P449" s="11">
        <f t="shared" si="68"/>
        <v>0</v>
      </c>
      <c r="Q449" s="8"/>
    </row>
    <row r="450" spans="1:17" ht="45" x14ac:dyDescent="0.25">
      <c r="A450" s="8"/>
      <c r="B450" s="24" t="s">
        <v>794</v>
      </c>
      <c r="C450" s="8"/>
      <c r="D450" s="8"/>
      <c r="E450" s="10" t="s">
        <v>227</v>
      </c>
      <c r="F450" s="11">
        <v>1</v>
      </c>
      <c r="G450" s="18"/>
      <c r="H450" s="18"/>
      <c r="I450" s="18"/>
      <c r="J450" s="18"/>
      <c r="K450" s="11"/>
      <c r="L450" s="11"/>
      <c r="M450" s="11"/>
      <c r="N450" s="11">
        <f t="shared" si="66"/>
        <v>0</v>
      </c>
      <c r="O450" s="11">
        <f t="shared" si="67"/>
        <v>0</v>
      </c>
      <c r="P450" s="11">
        <f t="shared" si="68"/>
        <v>0</v>
      </c>
      <c r="Q450" s="8"/>
    </row>
    <row r="451" spans="1:17" x14ac:dyDescent="0.25">
      <c r="A451" s="8"/>
      <c r="B451" s="24" t="s">
        <v>427</v>
      </c>
      <c r="C451" s="8"/>
      <c r="D451" s="8"/>
      <c r="E451" s="10" t="s">
        <v>227</v>
      </c>
      <c r="F451" s="11">
        <v>8</v>
      </c>
      <c r="G451" s="18"/>
      <c r="H451" s="18"/>
      <c r="I451" s="18"/>
      <c r="J451" s="18"/>
      <c r="K451" s="11"/>
      <c r="L451" s="11"/>
      <c r="M451" s="11"/>
      <c r="N451" s="11">
        <f t="shared" si="66"/>
        <v>0</v>
      </c>
      <c r="O451" s="11">
        <f t="shared" si="67"/>
        <v>0</v>
      </c>
      <c r="P451" s="11">
        <f t="shared" si="68"/>
        <v>0</v>
      </c>
      <c r="Q451" s="8"/>
    </row>
    <row r="452" spans="1:17" x14ac:dyDescent="0.25">
      <c r="A452" s="8"/>
      <c r="B452" s="24" t="s">
        <v>516</v>
      </c>
      <c r="C452" s="8"/>
      <c r="D452" s="8"/>
      <c r="E452" s="10" t="s">
        <v>226</v>
      </c>
      <c r="F452" s="11">
        <v>1</v>
      </c>
      <c r="G452" s="18"/>
      <c r="H452" s="18"/>
      <c r="I452" s="18"/>
      <c r="J452" s="18"/>
      <c r="K452" s="11"/>
      <c r="L452" s="11"/>
      <c r="M452" s="11"/>
      <c r="N452" s="11">
        <f t="shared" si="66"/>
        <v>0</v>
      </c>
      <c r="O452" s="11">
        <f t="shared" si="67"/>
        <v>0</v>
      </c>
      <c r="P452" s="11">
        <f t="shared" si="68"/>
        <v>0</v>
      </c>
      <c r="Q452" s="8"/>
    </row>
    <row r="453" spans="1:17" x14ac:dyDescent="0.25">
      <c r="A453" s="8"/>
      <c r="B453" s="24" t="s">
        <v>724</v>
      </c>
      <c r="C453" s="8"/>
      <c r="D453" s="8"/>
      <c r="E453" s="10" t="s">
        <v>231</v>
      </c>
      <c r="F453" s="11"/>
      <c r="G453" s="18"/>
      <c r="H453" s="18"/>
      <c r="I453" s="18"/>
      <c r="J453" s="18"/>
      <c r="K453" s="11"/>
      <c r="L453" s="11"/>
      <c r="M453" s="11"/>
      <c r="N453" s="11">
        <f t="shared" si="66"/>
        <v>0</v>
      </c>
      <c r="O453" s="11">
        <f t="shared" si="67"/>
        <v>0</v>
      </c>
      <c r="P453" s="11">
        <f t="shared" si="68"/>
        <v>0</v>
      </c>
      <c r="Q453" s="8"/>
    </row>
    <row r="454" spans="1:17" x14ac:dyDescent="0.25">
      <c r="A454" s="8"/>
      <c r="B454" s="24" t="s">
        <v>795</v>
      </c>
      <c r="C454" s="8"/>
      <c r="D454" s="8"/>
      <c r="E454" s="10"/>
      <c r="F454" s="11"/>
      <c r="G454" s="18"/>
      <c r="H454" s="18"/>
      <c r="I454" s="18"/>
      <c r="J454" s="18"/>
      <c r="K454" s="11"/>
      <c r="L454" s="11"/>
      <c r="M454" s="11"/>
      <c r="N454" s="11">
        <f t="shared" si="66"/>
        <v>0</v>
      </c>
      <c r="O454" s="11">
        <f t="shared" si="67"/>
        <v>0</v>
      </c>
      <c r="P454" s="11">
        <f t="shared" si="68"/>
        <v>0</v>
      </c>
      <c r="Q454" s="8"/>
    </row>
    <row r="455" spans="1:17" x14ac:dyDescent="0.25">
      <c r="A455" s="8"/>
      <c r="B455" s="24" t="s">
        <v>796</v>
      </c>
      <c r="C455" s="8"/>
      <c r="D455" s="8"/>
      <c r="E455" s="10" t="s">
        <v>227</v>
      </c>
      <c r="F455" s="11">
        <v>76</v>
      </c>
      <c r="G455" s="18"/>
      <c r="H455" s="18"/>
      <c r="I455" s="18"/>
      <c r="J455" s="18"/>
      <c r="K455" s="11"/>
      <c r="L455" s="11"/>
      <c r="M455" s="11"/>
      <c r="N455" s="11">
        <f t="shared" si="66"/>
        <v>0</v>
      </c>
      <c r="O455" s="11">
        <f t="shared" si="67"/>
        <v>0</v>
      </c>
      <c r="P455" s="11">
        <f t="shared" si="68"/>
        <v>0</v>
      </c>
      <c r="Q455" s="8"/>
    </row>
    <row r="456" spans="1:17" x14ac:dyDescent="0.25">
      <c r="A456" s="8"/>
      <c r="B456" s="24" t="s">
        <v>797</v>
      </c>
      <c r="C456" s="8"/>
      <c r="D456" s="8"/>
      <c r="E456" s="10"/>
      <c r="F456" s="11"/>
      <c r="G456" s="18"/>
      <c r="H456" s="18"/>
      <c r="I456" s="18"/>
      <c r="J456" s="18"/>
      <c r="K456" s="11"/>
      <c r="L456" s="11"/>
      <c r="M456" s="11"/>
      <c r="N456" s="11">
        <f t="shared" si="66"/>
        <v>0</v>
      </c>
      <c r="O456" s="11">
        <f t="shared" si="67"/>
        <v>0</v>
      </c>
      <c r="P456" s="11">
        <f t="shared" si="68"/>
        <v>0</v>
      </c>
      <c r="Q456" s="8"/>
    </row>
    <row r="457" spans="1:17" ht="30" x14ac:dyDescent="0.25">
      <c r="A457" s="8"/>
      <c r="B457" s="24" t="s">
        <v>798</v>
      </c>
      <c r="C457" s="8"/>
      <c r="D457" s="8"/>
      <c r="E457" s="10" t="s">
        <v>227</v>
      </c>
      <c r="F457" s="11">
        <v>76</v>
      </c>
      <c r="G457" s="18"/>
      <c r="H457" s="18"/>
      <c r="I457" s="18"/>
      <c r="J457" s="18"/>
      <c r="K457" s="11"/>
      <c r="L457" s="11"/>
      <c r="M457" s="11"/>
      <c r="N457" s="11">
        <f t="shared" si="66"/>
        <v>0</v>
      </c>
      <c r="O457" s="11">
        <f t="shared" si="67"/>
        <v>0</v>
      </c>
      <c r="P457" s="11">
        <f t="shared" si="68"/>
        <v>0</v>
      </c>
      <c r="Q457" s="8"/>
    </row>
    <row r="458" spans="1:17" x14ac:dyDescent="0.25">
      <c r="A458" s="8"/>
      <c r="B458" s="24" t="s">
        <v>442</v>
      </c>
      <c r="C458" s="8"/>
      <c r="D458" s="8"/>
      <c r="E458" s="10"/>
      <c r="F458" s="11"/>
      <c r="G458" s="18"/>
      <c r="H458" s="18"/>
      <c r="I458" s="18"/>
      <c r="J458" s="18"/>
      <c r="K458" s="11"/>
      <c r="L458" s="11"/>
      <c r="M458" s="11"/>
      <c r="N458" s="11">
        <f t="shared" si="66"/>
        <v>0</v>
      </c>
      <c r="O458" s="11">
        <f t="shared" si="67"/>
        <v>0</v>
      </c>
      <c r="P458" s="11">
        <f t="shared" si="68"/>
        <v>0</v>
      </c>
      <c r="Q458" s="8"/>
    </row>
    <row r="459" spans="1:17" ht="30" x14ac:dyDescent="0.25">
      <c r="A459" s="8"/>
      <c r="B459" s="24" t="s">
        <v>799</v>
      </c>
      <c r="C459" s="8"/>
      <c r="D459" s="8"/>
      <c r="E459" s="10" t="s">
        <v>227</v>
      </c>
      <c r="F459" s="11">
        <v>152</v>
      </c>
      <c r="G459" s="18"/>
      <c r="H459" s="18"/>
      <c r="I459" s="18"/>
      <c r="J459" s="18"/>
      <c r="K459" s="11"/>
      <c r="L459" s="11"/>
      <c r="M459" s="11"/>
      <c r="N459" s="11">
        <f t="shared" si="66"/>
        <v>0</v>
      </c>
      <c r="O459" s="11">
        <f t="shared" si="67"/>
        <v>0</v>
      </c>
      <c r="P459" s="11">
        <f t="shared" si="68"/>
        <v>0</v>
      </c>
      <c r="Q459" s="8"/>
    </row>
    <row r="460" spans="1:17" x14ac:dyDescent="0.25">
      <c r="A460" s="8"/>
      <c r="B460" s="24" t="s">
        <v>700</v>
      </c>
      <c r="C460" s="8"/>
      <c r="D460" s="8"/>
      <c r="E460" s="10"/>
      <c r="F460" s="11"/>
      <c r="G460" s="18"/>
      <c r="H460" s="18"/>
      <c r="I460" s="18"/>
      <c r="J460" s="18"/>
      <c r="K460" s="11"/>
      <c r="L460" s="11"/>
      <c r="M460" s="11"/>
      <c r="N460" s="11">
        <f t="shared" si="66"/>
        <v>0</v>
      </c>
      <c r="O460" s="11">
        <f t="shared" si="67"/>
        <v>0</v>
      </c>
      <c r="P460" s="11">
        <f t="shared" si="68"/>
        <v>0</v>
      </c>
      <c r="Q460" s="8"/>
    </row>
    <row r="461" spans="1:17" x14ac:dyDescent="0.25">
      <c r="A461" s="8"/>
      <c r="B461" s="24" t="s">
        <v>800</v>
      </c>
      <c r="C461" s="8"/>
      <c r="D461" s="8"/>
      <c r="E461" s="10" t="s">
        <v>227</v>
      </c>
      <c r="F461" s="11">
        <v>2</v>
      </c>
      <c r="G461" s="18"/>
      <c r="H461" s="18"/>
      <c r="I461" s="18"/>
      <c r="J461" s="18"/>
      <c r="K461" s="11"/>
      <c r="L461" s="11"/>
      <c r="M461" s="11"/>
      <c r="N461" s="11">
        <f t="shared" si="66"/>
        <v>0</v>
      </c>
      <c r="O461" s="11">
        <f t="shared" si="67"/>
        <v>0</v>
      </c>
      <c r="P461" s="11">
        <f t="shared" si="68"/>
        <v>0</v>
      </c>
      <c r="Q461" s="8"/>
    </row>
    <row r="462" spans="1:17" x14ac:dyDescent="0.25">
      <c r="A462" s="8"/>
      <c r="B462" s="24" t="s">
        <v>779</v>
      </c>
      <c r="C462" s="8"/>
      <c r="D462" s="8"/>
      <c r="E462" s="10"/>
      <c r="F462" s="11"/>
      <c r="G462" s="18"/>
      <c r="H462" s="18"/>
      <c r="I462" s="18"/>
      <c r="J462" s="18"/>
      <c r="K462" s="11"/>
      <c r="L462" s="11"/>
      <c r="M462" s="11"/>
      <c r="N462" s="11">
        <f t="shared" si="66"/>
        <v>0</v>
      </c>
      <c r="O462" s="11">
        <f t="shared" si="67"/>
        <v>0</v>
      </c>
      <c r="P462" s="11">
        <f t="shared" si="68"/>
        <v>0</v>
      </c>
      <c r="Q462" s="8"/>
    </row>
    <row r="463" spans="1:17" ht="30" x14ac:dyDescent="0.25">
      <c r="A463" s="8"/>
      <c r="B463" s="24" t="s">
        <v>801</v>
      </c>
      <c r="C463" s="8"/>
      <c r="D463" s="8"/>
      <c r="E463" s="10" t="s">
        <v>225</v>
      </c>
      <c r="F463" s="11">
        <v>239</v>
      </c>
      <c r="G463" s="18"/>
      <c r="H463" s="18"/>
      <c r="I463" s="18"/>
      <c r="J463" s="18"/>
      <c r="K463" s="11"/>
      <c r="L463" s="11"/>
      <c r="M463" s="11"/>
      <c r="N463" s="11">
        <f t="shared" si="66"/>
        <v>0</v>
      </c>
      <c r="O463" s="11">
        <f t="shared" si="67"/>
        <v>0</v>
      </c>
      <c r="P463" s="11">
        <f t="shared" si="68"/>
        <v>0</v>
      </c>
      <c r="Q463" s="8"/>
    </row>
    <row r="464" spans="1:17" ht="30" x14ac:dyDescent="0.25">
      <c r="A464" s="8"/>
      <c r="B464" s="24" t="s">
        <v>802</v>
      </c>
      <c r="C464" s="8"/>
      <c r="D464" s="8"/>
      <c r="E464" s="10" t="s">
        <v>225</v>
      </c>
      <c r="F464" s="11">
        <v>320</v>
      </c>
      <c r="G464" s="18"/>
      <c r="H464" s="18"/>
      <c r="I464" s="18"/>
      <c r="J464" s="18"/>
      <c r="K464" s="11"/>
      <c r="L464" s="11"/>
      <c r="M464" s="11"/>
      <c r="N464" s="11">
        <f t="shared" si="66"/>
        <v>0</v>
      </c>
      <c r="O464" s="11">
        <f t="shared" si="67"/>
        <v>0</v>
      </c>
      <c r="P464" s="11">
        <f t="shared" si="68"/>
        <v>0</v>
      </c>
      <c r="Q464" s="8"/>
    </row>
    <row r="465" spans="1:17" ht="30" x14ac:dyDescent="0.25">
      <c r="A465" s="8"/>
      <c r="B465" s="24" t="s">
        <v>462</v>
      </c>
      <c r="C465" s="8"/>
      <c r="D465" s="8"/>
      <c r="E465" s="10" t="s">
        <v>809</v>
      </c>
      <c r="F465" s="11">
        <v>1</v>
      </c>
      <c r="G465" s="18"/>
      <c r="H465" s="18"/>
      <c r="I465" s="18"/>
      <c r="J465" s="18"/>
      <c r="K465" s="11"/>
      <c r="L465" s="11"/>
      <c r="M465" s="11"/>
      <c r="N465" s="11">
        <f t="shared" si="66"/>
        <v>0</v>
      </c>
      <c r="O465" s="11">
        <f t="shared" si="67"/>
        <v>0</v>
      </c>
      <c r="P465" s="11">
        <f t="shared" si="68"/>
        <v>0</v>
      </c>
      <c r="Q465" s="8"/>
    </row>
    <row r="466" spans="1:17" x14ac:dyDescent="0.25">
      <c r="A466" s="8"/>
      <c r="B466" s="24" t="s">
        <v>14</v>
      </c>
      <c r="C466" s="8"/>
      <c r="D466" s="8"/>
      <c r="E466" s="10" t="s">
        <v>809</v>
      </c>
      <c r="F466" s="11">
        <v>1</v>
      </c>
      <c r="G466" s="18"/>
      <c r="H466" s="18"/>
      <c r="I466" s="18"/>
      <c r="J466" s="18"/>
      <c r="K466" s="11"/>
      <c r="L466" s="11"/>
      <c r="M466" s="11"/>
      <c r="N466" s="11">
        <f t="shared" si="66"/>
        <v>0</v>
      </c>
      <c r="O466" s="11">
        <f t="shared" si="67"/>
        <v>0</v>
      </c>
      <c r="P466" s="11">
        <f t="shared" si="68"/>
        <v>0</v>
      </c>
      <c r="Q466" s="8"/>
    </row>
    <row r="467" spans="1:17" x14ac:dyDescent="0.25">
      <c r="A467" s="8"/>
      <c r="B467" s="24" t="s">
        <v>803</v>
      </c>
      <c r="C467" s="8"/>
      <c r="D467" s="8"/>
      <c r="E467" s="10" t="s">
        <v>231</v>
      </c>
      <c r="F467" s="11"/>
      <c r="G467" s="18"/>
      <c r="H467" s="18"/>
      <c r="I467" s="18"/>
      <c r="J467" s="18"/>
      <c r="K467" s="11"/>
      <c r="L467" s="11"/>
      <c r="M467" s="11"/>
      <c r="N467" s="11">
        <f t="shared" si="66"/>
        <v>0</v>
      </c>
      <c r="O467" s="11">
        <f t="shared" si="67"/>
        <v>0</v>
      </c>
      <c r="P467" s="11">
        <f t="shared" si="68"/>
        <v>0</v>
      </c>
      <c r="Q467" s="8"/>
    </row>
    <row r="468" spans="1:17" x14ac:dyDescent="0.25">
      <c r="A468" s="8"/>
      <c r="B468" s="24" t="s">
        <v>804</v>
      </c>
      <c r="C468" s="8"/>
      <c r="D468" s="8"/>
      <c r="E468" s="10" t="s">
        <v>226</v>
      </c>
      <c r="F468" s="11">
        <v>1</v>
      </c>
      <c r="G468" s="18"/>
      <c r="H468" s="18"/>
      <c r="I468" s="18"/>
      <c r="J468" s="18"/>
      <c r="K468" s="11"/>
      <c r="L468" s="11"/>
      <c r="M468" s="11"/>
      <c r="N468" s="11">
        <f t="shared" si="66"/>
        <v>0</v>
      </c>
      <c r="O468" s="11">
        <f t="shared" si="67"/>
        <v>0</v>
      </c>
      <c r="P468" s="11">
        <f t="shared" si="68"/>
        <v>0</v>
      </c>
      <c r="Q468" s="8"/>
    </row>
    <row r="469" spans="1:17" ht="30" x14ac:dyDescent="0.25">
      <c r="A469" s="8"/>
      <c r="B469" s="24" t="s">
        <v>805</v>
      </c>
      <c r="C469" s="8"/>
      <c r="D469" s="8"/>
      <c r="E469" s="10" t="s">
        <v>226</v>
      </c>
      <c r="F469" s="11">
        <v>1</v>
      </c>
      <c r="G469" s="18"/>
      <c r="H469" s="18"/>
      <c r="I469" s="18"/>
      <c r="J469" s="18"/>
      <c r="K469" s="11"/>
      <c r="L469" s="11"/>
      <c r="M469" s="11"/>
      <c r="N469" s="11">
        <f t="shared" si="66"/>
        <v>0</v>
      </c>
      <c r="O469" s="11">
        <f t="shared" si="67"/>
        <v>0</v>
      </c>
      <c r="P469" s="11">
        <f t="shared" si="68"/>
        <v>0</v>
      </c>
      <c r="Q469" s="8"/>
    </row>
    <row r="470" spans="1:17" x14ac:dyDescent="0.25">
      <c r="A470" s="8"/>
      <c r="B470" s="24" t="s">
        <v>806</v>
      </c>
      <c r="C470" s="8"/>
      <c r="D470" s="8"/>
      <c r="E470" s="10" t="s">
        <v>226</v>
      </c>
      <c r="F470" s="11">
        <v>1</v>
      </c>
      <c r="G470" s="18"/>
      <c r="H470" s="18"/>
      <c r="I470" s="18"/>
      <c r="J470" s="18"/>
      <c r="K470" s="11"/>
      <c r="L470" s="11"/>
      <c r="M470" s="11"/>
      <c r="N470" s="11">
        <f t="shared" si="66"/>
        <v>0</v>
      </c>
      <c r="O470" s="11">
        <f t="shared" si="67"/>
        <v>0</v>
      </c>
      <c r="P470" s="11">
        <f t="shared" si="68"/>
        <v>0</v>
      </c>
      <c r="Q470" s="8"/>
    </row>
    <row r="471" spans="1:17" x14ac:dyDescent="0.25">
      <c r="A471" s="31"/>
      <c r="B471" s="32" t="s">
        <v>810</v>
      </c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16">
        <f>SUM(O4:O273)</f>
        <v>0</v>
      </c>
      <c r="P471" s="16">
        <f>SUM(P4:P273)</f>
        <v>0</v>
      </c>
      <c r="Q471" s="8"/>
    </row>
    <row r="472" spans="1:17" x14ac:dyDescent="0.25">
      <c r="A472" s="31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3">
        <f>O471+P471</f>
        <v>0</v>
      </c>
      <c r="P472" s="33"/>
      <c r="Q472" s="8"/>
    </row>
  </sheetData>
  <mergeCells count="13">
    <mergeCell ref="K2:L2"/>
    <mergeCell ref="M2:N3"/>
    <mergeCell ref="O2:P2"/>
    <mergeCell ref="Q2:Q3"/>
    <mergeCell ref="A471:A472"/>
    <mergeCell ref="B471:N472"/>
    <mergeCell ref="O472:P472"/>
    <mergeCell ref="A2:A3"/>
    <mergeCell ref="B2:C2"/>
    <mergeCell ref="D2:D3"/>
    <mergeCell ref="E2:E3"/>
    <mergeCell ref="F2:F3"/>
    <mergeCell ref="G2:J2"/>
  </mergeCells>
  <pageMargins left="0.7" right="0.7" top="0.75" bottom="0.75" header="0.3" footer="0.3"/>
  <pageSetup paperSize="9" scale="3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413"/>
  <sheetViews>
    <sheetView view="pageBreakPreview" topLeftCell="A287" zoomScale="70" zoomScaleNormal="70" zoomScaleSheetLayoutView="70" workbookViewId="0">
      <selection activeCell="B334" sqref="B334"/>
    </sheetView>
  </sheetViews>
  <sheetFormatPr defaultColWidth="8.85546875" defaultRowHeight="15.75" x14ac:dyDescent="0.25"/>
  <cols>
    <col min="1" max="1" width="3.7109375" style="1" customWidth="1"/>
    <col min="2" max="2" width="35.28515625" style="5" customWidth="1"/>
    <col min="3" max="3" width="36.42578125" style="1" customWidth="1"/>
    <col min="4" max="4" width="20.5703125" style="1" bestFit="1" customWidth="1"/>
    <col min="5" max="5" width="8.85546875" style="2"/>
    <col min="6" max="6" width="8.85546875" style="4"/>
    <col min="7" max="7" width="14.7109375" style="1" customWidth="1"/>
    <col min="8" max="9" width="12.28515625" style="1" bestFit="1" customWidth="1"/>
    <col min="10" max="10" width="13.140625" style="1" bestFit="1" customWidth="1"/>
    <col min="11" max="11" width="14.7109375" style="1" bestFit="1" customWidth="1"/>
    <col min="12" max="13" width="12.28515625" style="1" bestFit="1" customWidth="1"/>
    <col min="14" max="14" width="11.28515625" style="1" bestFit="1" customWidth="1"/>
    <col min="15" max="15" width="17" style="1" bestFit="1" customWidth="1"/>
    <col min="16" max="16" width="15.28515625" style="1" bestFit="1" customWidth="1"/>
    <col min="17" max="16384" width="8.85546875" style="1"/>
  </cols>
  <sheetData>
    <row r="2" spans="1:17" s="3" customFormat="1" x14ac:dyDescent="0.25">
      <c r="A2" s="32" t="s">
        <v>0</v>
      </c>
      <c r="B2" s="32" t="s">
        <v>223</v>
      </c>
      <c r="C2" s="32"/>
      <c r="D2" s="35" t="s">
        <v>234</v>
      </c>
      <c r="E2" s="35" t="s">
        <v>232</v>
      </c>
      <c r="F2" s="36" t="s">
        <v>233</v>
      </c>
      <c r="G2" s="37" t="s">
        <v>382</v>
      </c>
      <c r="H2" s="37"/>
      <c r="I2" s="37"/>
      <c r="J2" s="37"/>
      <c r="K2" s="32" t="s">
        <v>237</v>
      </c>
      <c r="L2" s="32"/>
      <c r="M2" s="35" t="s">
        <v>238</v>
      </c>
      <c r="N2" s="32"/>
      <c r="O2" s="32" t="s">
        <v>239</v>
      </c>
      <c r="P2" s="32"/>
      <c r="Q2" s="32" t="s">
        <v>240</v>
      </c>
    </row>
    <row r="3" spans="1:17" s="3" customFormat="1" x14ac:dyDescent="0.25">
      <c r="A3" s="32"/>
      <c r="B3" s="6" t="s">
        <v>1</v>
      </c>
      <c r="C3" s="7" t="s">
        <v>224</v>
      </c>
      <c r="D3" s="35"/>
      <c r="E3" s="35"/>
      <c r="F3" s="36"/>
      <c r="G3" s="17" t="s">
        <v>237</v>
      </c>
      <c r="H3" s="17" t="s">
        <v>383</v>
      </c>
      <c r="I3" s="17" t="s">
        <v>384</v>
      </c>
      <c r="J3" s="17" t="s">
        <v>397</v>
      </c>
      <c r="K3" s="7" t="s">
        <v>235</v>
      </c>
      <c r="L3" s="7" t="s">
        <v>236</v>
      </c>
      <c r="M3" s="32"/>
      <c r="N3" s="32"/>
      <c r="O3" s="7" t="s">
        <v>235</v>
      </c>
      <c r="P3" s="7" t="s">
        <v>236</v>
      </c>
      <c r="Q3" s="32"/>
    </row>
    <row r="4" spans="1:17" ht="25.5" x14ac:dyDescent="0.25">
      <c r="A4" s="8"/>
      <c r="B4" s="23" t="s">
        <v>811</v>
      </c>
      <c r="C4" s="8"/>
      <c r="D4" s="8"/>
      <c r="E4" s="10"/>
      <c r="F4" s="11"/>
      <c r="G4" s="18"/>
      <c r="H4" s="18"/>
      <c r="I4" s="18"/>
      <c r="J4" s="18"/>
      <c r="K4" s="11"/>
      <c r="L4" s="11"/>
      <c r="M4" s="11"/>
      <c r="N4" s="11"/>
      <c r="O4" s="11"/>
      <c r="P4" s="11"/>
      <c r="Q4" s="8"/>
    </row>
    <row r="5" spans="1:17" x14ac:dyDescent="0.25">
      <c r="A5" s="8"/>
      <c r="B5" s="24" t="s">
        <v>812</v>
      </c>
      <c r="C5" s="8"/>
      <c r="D5" s="8"/>
      <c r="E5" s="10"/>
      <c r="F5" s="11"/>
      <c r="G5" s="18"/>
      <c r="H5" s="18"/>
      <c r="I5" s="18"/>
      <c r="J5" s="18"/>
      <c r="K5" s="11"/>
      <c r="L5" s="11"/>
      <c r="M5" s="11"/>
      <c r="N5" s="11"/>
      <c r="O5" s="11"/>
      <c r="P5" s="11"/>
      <c r="Q5" s="8"/>
    </row>
    <row r="6" spans="1:17" x14ac:dyDescent="0.25">
      <c r="A6" s="8"/>
      <c r="B6" s="24" t="s">
        <v>813</v>
      </c>
      <c r="C6" s="8"/>
      <c r="D6" s="8"/>
      <c r="E6" s="10"/>
      <c r="F6" s="11"/>
      <c r="G6" s="18"/>
      <c r="H6" s="18"/>
      <c r="I6" s="18"/>
      <c r="J6" s="18"/>
      <c r="K6" s="11"/>
      <c r="L6" s="11"/>
      <c r="M6" s="11"/>
      <c r="N6" s="11"/>
      <c r="O6" s="11"/>
      <c r="P6" s="11"/>
      <c r="Q6" s="8"/>
    </row>
    <row r="7" spans="1:17" x14ac:dyDescent="0.25">
      <c r="A7" s="8"/>
      <c r="B7" s="24" t="s">
        <v>814</v>
      </c>
      <c r="C7" s="8"/>
      <c r="D7" s="8"/>
      <c r="E7" s="10"/>
      <c r="F7" s="11"/>
      <c r="G7" s="18"/>
      <c r="H7" s="18"/>
      <c r="I7" s="18"/>
      <c r="J7" s="18"/>
      <c r="K7" s="11"/>
      <c r="L7" s="11"/>
      <c r="M7" s="11"/>
      <c r="N7" s="11"/>
      <c r="O7" s="11"/>
      <c r="P7" s="11"/>
      <c r="Q7" s="8"/>
    </row>
    <row r="8" spans="1:17" ht="45" x14ac:dyDescent="0.25">
      <c r="A8" s="8"/>
      <c r="B8" s="24" t="s">
        <v>815</v>
      </c>
      <c r="C8" s="8"/>
      <c r="D8" s="8"/>
      <c r="E8" s="10" t="s">
        <v>229</v>
      </c>
      <c r="F8" s="11">
        <v>1</v>
      </c>
      <c r="G8" s="18"/>
      <c r="H8" s="18"/>
      <c r="I8" s="18"/>
      <c r="J8" s="18"/>
      <c r="K8" s="11"/>
      <c r="L8" s="11"/>
      <c r="M8" s="11">
        <f>K8*8%</f>
        <v>0</v>
      </c>
      <c r="N8" s="11">
        <f>L8*8%</f>
        <v>0</v>
      </c>
      <c r="O8" s="11">
        <f t="shared" ref="O8:O50" si="0">(K8+M8)*F8</f>
        <v>0</v>
      </c>
      <c r="P8" s="11">
        <f t="shared" ref="P8:P50" si="1">(L8+N8)*F8</f>
        <v>0</v>
      </c>
      <c r="Q8" s="8"/>
    </row>
    <row r="9" spans="1:17" ht="45" x14ac:dyDescent="0.25">
      <c r="A9" s="8"/>
      <c r="B9" s="24" t="s">
        <v>816</v>
      </c>
      <c r="C9" s="12"/>
      <c r="D9" s="8"/>
      <c r="E9" s="10" t="s">
        <v>229</v>
      </c>
      <c r="F9" s="11">
        <v>1</v>
      </c>
      <c r="G9" s="18"/>
      <c r="H9" s="18"/>
      <c r="I9" s="18"/>
      <c r="J9" s="18"/>
      <c r="K9" s="11"/>
      <c r="L9" s="11"/>
      <c r="M9" s="11">
        <f t="shared" ref="M9:N50" si="2">K9*8%</f>
        <v>0</v>
      </c>
      <c r="N9" s="11">
        <f t="shared" si="2"/>
        <v>0</v>
      </c>
      <c r="O9" s="11">
        <f t="shared" si="0"/>
        <v>0</v>
      </c>
      <c r="P9" s="11">
        <f t="shared" si="1"/>
        <v>0</v>
      </c>
      <c r="Q9" s="8"/>
    </row>
    <row r="10" spans="1:17" ht="45" x14ac:dyDescent="0.25">
      <c r="A10" s="8"/>
      <c r="B10" s="24" t="s">
        <v>817</v>
      </c>
      <c r="C10" s="12"/>
      <c r="D10" s="8"/>
      <c r="E10" s="10" t="s">
        <v>229</v>
      </c>
      <c r="F10" s="11">
        <v>1</v>
      </c>
      <c r="G10" s="18"/>
      <c r="H10" s="18"/>
      <c r="I10" s="18"/>
      <c r="J10" s="18"/>
      <c r="K10" s="11"/>
      <c r="L10" s="11"/>
      <c r="M10" s="11">
        <f t="shared" si="2"/>
        <v>0</v>
      </c>
      <c r="N10" s="11">
        <f t="shared" si="2"/>
        <v>0</v>
      </c>
      <c r="O10" s="11">
        <f t="shared" si="0"/>
        <v>0</v>
      </c>
      <c r="P10" s="11">
        <f t="shared" si="1"/>
        <v>0</v>
      </c>
      <c r="Q10" s="8"/>
    </row>
    <row r="11" spans="1:17" ht="45" x14ac:dyDescent="0.25">
      <c r="A11" s="8"/>
      <c r="B11" s="24" t="s">
        <v>818</v>
      </c>
      <c r="C11" s="12"/>
      <c r="D11" s="8"/>
      <c r="E11" s="10" t="s">
        <v>229</v>
      </c>
      <c r="F11" s="11">
        <v>1</v>
      </c>
      <c r="G11" s="18"/>
      <c r="H11" s="18"/>
      <c r="I11" s="18"/>
      <c r="J11" s="18"/>
      <c r="K11" s="11"/>
      <c r="L11" s="11"/>
      <c r="M11" s="11">
        <f t="shared" si="2"/>
        <v>0</v>
      </c>
      <c r="N11" s="11">
        <f t="shared" si="2"/>
        <v>0</v>
      </c>
      <c r="O11" s="11">
        <f t="shared" si="0"/>
        <v>0</v>
      </c>
      <c r="P11" s="11">
        <f t="shared" si="1"/>
        <v>0</v>
      </c>
      <c r="Q11" s="8"/>
    </row>
    <row r="12" spans="1:17" ht="45" x14ac:dyDescent="0.25">
      <c r="A12" s="8"/>
      <c r="B12" s="24" t="s">
        <v>819</v>
      </c>
      <c r="C12" s="12"/>
      <c r="D12" s="8"/>
      <c r="E12" s="10" t="s">
        <v>229</v>
      </c>
      <c r="F12" s="11">
        <v>1</v>
      </c>
      <c r="G12" s="18"/>
      <c r="H12" s="18"/>
      <c r="I12" s="18"/>
      <c r="J12" s="18"/>
      <c r="K12" s="11"/>
      <c r="L12" s="11"/>
      <c r="M12" s="11">
        <f t="shared" si="2"/>
        <v>0</v>
      </c>
      <c r="N12" s="11">
        <f t="shared" si="2"/>
        <v>0</v>
      </c>
      <c r="O12" s="11">
        <f t="shared" si="0"/>
        <v>0</v>
      </c>
      <c r="P12" s="11">
        <f t="shared" si="1"/>
        <v>0</v>
      </c>
      <c r="Q12" s="8"/>
    </row>
    <row r="13" spans="1:17" ht="45" x14ac:dyDescent="0.25">
      <c r="A13" s="8"/>
      <c r="B13" s="24" t="s">
        <v>817</v>
      </c>
      <c r="C13" s="12"/>
      <c r="D13" s="8"/>
      <c r="E13" s="10" t="s">
        <v>229</v>
      </c>
      <c r="F13" s="11">
        <v>1</v>
      </c>
      <c r="G13" s="18"/>
      <c r="H13" s="18"/>
      <c r="I13" s="18"/>
      <c r="J13" s="18"/>
      <c r="K13" s="11"/>
      <c r="L13" s="11"/>
      <c r="M13" s="11">
        <f t="shared" si="2"/>
        <v>0</v>
      </c>
      <c r="N13" s="11">
        <f t="shared" si="2"/>
        <v>0</v>
      </c>
      <c r="O13" s="11">
        <f t="shared" si="0"/>
        <v>0</v>
      </c>
      <c r="P13" s="11">
        <f t="shared" si="1"/>
        <v>0</v>
      </c>
      <c r="Q13" s="8"/>
    </row>
    <row r="14" spans="1:17" ht="45" x14ac:dyDescent="0.25">
      <c r="A14" s="8"/>
      <c r="B14" s="24" t="s">
        <v>820</v>
      </c>
      <c r="C14" s="12"/>
      <c r="D14" s="8"/>
      <c r="E14" s="10" t="s">
        <v>229</v>
      </c>
      <c r="F14" s="11">
        <v>1</v>
      </c>
      <c r="G14" s="18"/>
      <c r="H14" s="18"/>
      <c r="I14" s="18"/>
      <c r="J14" s="18"/>
      <c r="K14" s="11"/>
      <c r="L14" s="11"/>
      <c r="M14" s="11">
        <f t="shared" si="2"/>
        <v>0</v>
      </c>
      <c r="N14" s="11">
        <f t="shared" si="2"/>
        <v>0</v>
      </c>
      <c r="O14" s="11">
        <f t="shared" si="0"/>
        <v>0</v>
      </c>
      <c r="P14" s="11">
        <f t="shared" si="1"/>
        <v>0</v>
      </c>
      <c r="Q14" s="8"/>
    </row>
    <row r="15" spans="1:17" ht="45" x14ac:dyDescent="0.25">
      <c r="A15" s="8"/>
      <c r="B15" s="24" t="s">
        <v>821</v>
      </c>
      <c r="C15" s="8"/>
      <c r="D15" s="10"/>
      <c r="E15" s="10" t="s">
        <v>229</v>
      </c>
      <c r="F15" s="11">
        <v>1</v>
      </c>
      <c r="G15" s="18"/>
      <c r="H15" s="18"/>
      <c r="I15" s="18"/>
      <c r="J15" s="18"/>
      <c r="K15" s="11"/>
      <c r="L15" s="11"/>
      <c r="M15" s="11">
        <f t="shared" si="2"/>
        <v>0</v>
      </c>
      <c r="N15" s="11">
        <f t="shared" si="2"/>
        <v>0</v>
      </c>
      <c r="O15" s="11">
        <f t="shared" si="0"/>
        <v>0</v>
      </c>
      <c r="P15" s="11">
        <f t="shared" si="1"/>
        <v>0</v>
      </c>
      <c r="Q15" s="8"/>
    </row>
    <row r="16" spans="1:17" ht="45" x14ac:dyDescent="0.25">
      <c r="A16" s="8"/>
      <c r="B16" s="24" t="s">
        <v>822</v>
      </c>
      <c r="C16" s="8"/>
      <c r="D16" s="10"/>
      <c r="E16" s="10" t="s">
        <v>229</v>
      </c>
      <c r="F16" s="11">
        <v>1</v>
      </c>
      <c r="G16" s="18"/>
      <c r="H16" s="18"/>
      <c r="I16" s="18"/>
      <c r="J16" s="18"/>
      <c r="K16" s="11"/>
      <c r="L16" s="11"/>
      <c r="M16" s="11">
        <f t="shared" si="2"/>
        <v>0</v>
      </c>
      <c r="N16" s="11">
        <f t="shared" si="2"/>
        <v>0</v>
      </c>
      <c r="O16" s="11">
        <f t="shared" si="0"/>
        <v>0</v>
      </c>
      <c r="P16" s="11">
        <f t="shared" si="1"/>
        <v>0</v>
      </c>
      <c r="Q16" s="8"/>
    </row>
    <row r="17" spans="1:17" x14ac:dyDescent="0.25">
      <c r="A17" s="8"/>
      <c r="B17" s="24" t="s">
        <v>823</v>
      </c>
      <c r="C17" s="8"/>
      <c r="D17" s="8"/>
      <c r="E17" s="10" t="s">
        <v>230</v>
      </c>
      <c r="F17" s="11">
        <v>9</v>
      </c>
      <c r="G17" s="18"/>
      <c r="H17" s="18"/>
      <c r="I17" s="18"/>
      <c r="J17" s="18"/>
      <c r="K17" s="11"/>
      <c r="L17" s="11"/>
      <c r="M17" s="11"/>
      <c r="N17" s="11"/>
      <c r="O17" s="11"/>
      <c r="P17" s="11"/>
      <c r="Q17" s="8"/>
    </row>
    <row r="18" spans="1:17" x14ac:dyDescent="0.25">
      <c r="A18" s="8"/>
      <c r="B18" s="24" t="s">
        <v>824</v>
      </c>
      <c r="C18" s="13"/>
      <c r="D18" s="19"/>
      <c r="E18" s="10" t="s">
        <v>1097</v>
      </c>
      <c r="F18" s="11">
        <v>1</v>
      </c>
      <c r="G18" s="18"/>
      <c r="H18" s="18"/>
      <c r="I18" s="18"/>
      <c r="J18" s="18"/>
      <c r="K18" s="11"/>
      <c r="L18" s="11"/>
      <c r="M18" s="11">
        <f t="shared" si="2"/>
        <v>0</v>
      </c>
      <c r="N18" s="11">
        <f t="shared" si="2"/>
        <v>0</v>
      </c>
      <c r="O18" s="11">
        <f t="shared" si="0"/>
        <v>0</v>
      </c>
      <c r="P18" s="11">
        <f t="shared" si="1"/>
        <v>0</v>
      </c>
      <c r="Q18" s="8"/>
    </row>
    <row r="19" spans="1:17" x14ac:dyDescent="0.25">
      <c r="A19" s="8"/>
      <c r="B19" s="24"/>
      <c r="C19" s="13"/>
      <c r="D19" s="19"/>
      <c r="E19" s="10"/>
      <c r="F19" s="11"/>
      <c r="G19" s="18"/>
      <c r="H19" s="18"/>
      <c r="I19" s="18"/>
      <c r="J19" s="18"/>
      <c r="K19" s="11"/>
      <c r="L19" s="11"/>
      <c r="M19" s="11">
        <f t="shared" si="2"/>
        <v>0</v>
      </c>
      <c r="N19" s="11">
        <f t="shared" si="2"/>
        <v>0</v>
      </c>
      <c r="O19" s="11">
        <f t="shared" si="0"/>
        <v>0</v>
      </c>
      <c r="P19" s="11">
        <f t="shared" si="1"/>
        <v>0</v>
      </c>
      <c r="Q19" s="8"/>
    </row>
    <row r="20" spans="1:17" ht="30" x14ac:dyDescent="0.25">
      <c r="A20" s="8"/>
      <c r="B20" s="24" t="s">
        <v>825</v>
      </c>
      <c r="C20" s="13"/>
      <c r="D20" s="19"/>
      <c r="E20" s="10"/>
      <c r="F20" s="11"/>
      <c r="G20" s="18"/>
      <c r="H20" s="18"/>
      <c r="I20" s="18"/>
      <c r="J20" s="18"/>
      <c r="K20" s="11"/>
      <c r="L20" s="11"/>
      <c r="M20" s="11">
        <f t="shared" si="2"/>
        <v>0</v>
      </c>
      <c r="N20" s="11">
        <f t="shared" si="2"/>
        <v>0</v>
      </c>
      <c r="O20" s="11">
        <f t="shared" si="0"/>
        <v>0</v>
      </c>
      <c r="P20" s="11">
        <f t="shared" si="1"/>
        <v>0</v>
      </c>
      <c r="Q20" s="8"/>
    </row>
    <row r="21" spans="1:17" x14ac:dyDescent="0.25">
      <c r="A21" s="8"/>
      <c r="B21" s="24" t="s">
        <v>826</v>
      </c>
      <c r="C21" s="13"/>
      <c r="D21" s="19"/>
      <c r="E21" s="10"/>
      <c r="F21" s="11"/>
      <c r="G21" s="18"/>
      <c r="H21" s="18"/>
      <c r="I21" s="18"/>
      <c r="J21" s="18"/>
      <c r="K21" s="11"/>
      <c r="L21" s="11"/>
      <c r="M21" s="11">
        <f t="shared" si="2"/>
        <v>0</v>
      </c>
      <c r="N21" s="11">
        <f t="shared" si="2"/>
        <v>0</v>
      </c>
      <c r="O21" s="11">
        <f t="shared" si="0"/>
        <v>0</v>
      </c>
      <c r="P21" s="11">
        <f t="shared" si="1"/>
        <v>0</v>
      </c>
      <c r="Q21" s="8"/>
    </row>
    <row r="22" spans="1:17" x14ac:dyDescent="0.25">
      <c r="A22" s="8"/>
      <c r="B22" s="24" t="s">
        <v>827</v>
      </c>
      <c r="C22" s="13"/>
      <c r="D22" s="19"/>
      <c r="E22" s="10"/>
      <c r="F22" s="11"/>
      <c r="G22" s="18"/>
      <c r="H22" s="18"/>
      <c r="I22" s="18"/>
      <c r="J22" s="18"/>
      <c r="K22" s="11"/>
      <c r="L22" s="11"/>
      <c r="M22" s="11">
        <f t="shared" si="2"/>
        <v>0</v>
      </c>
      <c r="N22" s="11">
        <f t="shared" si="2"/>
        <v>0</v>
      </c>
      <c r="O22" s="11">
        <f t="shared" si="0"/>
        <v>0</v>
      </c>
      <c r="P22" s="11">
        <f t="shared" si="1"/>
        <v>0</v>
      </c>
      <c r="Q22" s="8"/>
    </row>
    <row r="23" spans="1:17" x14ac:dyDescent="0.25">
      <c r="A23" s="8"/>
      <c r="B23" s="24" t="s">
        <v>828</v>
      </c>
      <c r="C23" s="13"/>
      <c r="D23" s="19"/>
      <c r="E23" s="10" t="s">
        <v>225</v>
      </c>
      <c r="F23" s="11">
        <v>150</v>
      </c>
      <c r="G23" s="18"/>
      <c r="H23" s="18"/>
      <c r="I23" s="18"/>
      <c r="J23" s="18"/>
      <c r="K23" s="11"/>
      <c r="L23" s="11"/>
      <c r="M23" s="11">
        <f t="shared" si="2"/>
        <v>0</v>
      </c>
      <c r="N23" s="11">
        <f t="shared" si="2"/>
        <v>0</v>
      </c>
      <c r="O23" s="11">
        <f t="shared" si="0"/>
        <v>0</v>
      </c>
      <c r="P23" s="11">
        <f t="shared" si="1"/>
        <v>0</v>
      </c>
      <c r="Q23" s="8"/>
    </row>
    <row r="24" spans="1:17" x14ac:dyDescent="0.25">
      <c r="A24" s="8"/>
      <c r="B24" s="24" t="s">
        <v>829</v>
      </c>
      <c r="C24" s="13"/>
      <c r="D24" s="19"/>
      <c r="E24" s="10" t="s">
        <v>225</v>
      </c>
      <c r="F24" s="11">
        <v>282</v>
      </c>
      <c r="G24" s="18"/>
      <c r="H24" s="18"/>
      <c r="I24" s="18"/>
      <c r="J24" s="18"/>
      <c r="K24" s="11"/>
      <c r="L24" s="11"/>
      <c r="M24" s="11">
        <f t="shared" si="2"/>
        <v>0</v>
      </c>
      <c r="N24" s="11">
        <f t="shared" si="2"/>
        <v>0</v>
      </c>
      <c r="O24" s="11">
        <f t="shared" si="0"/>
        <v>0</v>
      </c>
      <c r="P24" s="11">
        <f t="shared" si="1"/>
        <v>0</v>
      </c>
      <c r="Q24" s="8"/>
    </row>
    <row r="25" spans="1:17" x14ac:dyDescent="0.25">
      <c r="A25" s="8"/>
      <c r="B25" s="24" t="s">
        <v>830</v>
      </c>
      <c r="C25" s="8"/>
      <c r="D25" s="10"/>
      <c r="E25" s="10" t="s">
        <v>225</v>
      </c>
      <c r="F25" s="11">
        <v>63</v>
      </c>
      <c r="G25" s="18"/>
      <c r="H25" s="18"/>
      <c r="I25" s="18"/>
      <c r="J25" s="18"/>
      <c r="K25" s="11"/>
      <c r="L25" s="11"/>
      <c r="M25" s="11"/>
      <c r="N25" s="11"/>
      <c r="O25" s="11"/>
      <c r="P25" s="11"/>
      <c r="Q25" s="8"/>
    </row>
    <row r="26" spans="1:17" x14ac:dyDescent="0.25">
      <c r="A26" s="8"/>
      <c r="B26" s="24" t="s">
        <v>831</v>
      </c>
      <c r="C26" s="8"/>
      <c r="D26" s="10"/>
      <c r="E26" s="10" t="s">
        <v>225</v>
      </c>
      <c r="F26" s="11">
        <v>11</v>
      </c>
      <c r="G26" s="18"/>
      <c r="H26" s="18"/>
      <c r="I26" s="18"/>
      <c r="J26" s="18"/>
      <c r="K26" s="11"/>
      <c r="L26" s="11"/>
      <c r="M26" s="11">
        <f>K26*10%</f>
        <v>0</v>
      </c>
      <c r="N26" s="11">
        <f t="shared" si="2"/>
        <v>0</v>
      </c>
      <c r="O26" s="11">
        <f t="shared" si="0"/>
        <v>0</v>
      </c>
      <c r="P26" s="11">
        <f t="shared" si="1"/>
        <v>0</v>
      </c>
      <c r="Q26" s="8"/>
    </row>
    <row r="27" spans="1:17" x14ac:dyDescent="0.25">
      <c r="A27" s="8"/>
      <c r="B27" s="24" t="s">
        <v>832</v>
      </c>
      <c r="C27" s="13"/>
      <c r="D27" s="10"/>
      <c r="E27" s="10" t="s">
        <v>225</v>
      </c>
      <c r="F27" s="11">
        <v>41</v>
      </c>
      <c r="G27" s="18"/>
      <c r="H27" s="18"/>
      <c r="I27" s="18"/>
      <c r="J27" s="18"/>
      <c r="K27" s="11"/>
      <c r="L27" s="11"/>
      <c r="M27" s="11">
        <f t="shared" ref="M27:M34" si="3">K27*10%</f>
        <v>0</v>
      </c>
      <c r="N27" s="11">
        <f t="shared" si="2"/>
        <v>0</v>
      </c>
      <c r="O27" s="11">
        <f t="shared" si="0"/>
        <v>0</v>
      </c>
      <c r="P27" s="11">
        <f t="shared" si="1"/>
        <v>0</v>
      </c>
      <c r="Q27" s="8"/>
    </row>
    <row r="28" spans="1:17" x14ac:dyDescent="0.25">
      <c r="A28" s="8"/>
      <c r="B28" s="24" t="s">
        <v>833</v>
      </c>
      <c r="C28" s="13"/>
      <c r="D28" s="10"/>
      <c r="E28" s="10" t="s">
        <v>225</v>
      </c>
      <c r="F28" s="11">
        <v>98</v>
      </c>
      <c r="G28" s="18"/>
      <c r="H28" s="18"/>
      <c r="I28" s="18"/>
      <c r="J28" s="18"/>
      <c r="K28" s="11"/>
      <c r="L28" s="11"/>
      <c r="M28" s="11">
        <f t="shared" si="3"/>
        <v>0</v>
      </c>
      <c r="N28" s="11">
        <f t="shared" si="2"/>
        <v>0</v>
      </c>
      <c r="O28" s="11">
        <f t="shared" si="0"/>
        <v>0</v>
      </c>
      <c r="P28" s="11">
        <f t="shared" si="1"/>
        <v>0</v>
      </c>
      <c r="Q28" s="8"/>
    </row>
    <row r="29" spans="1:17" x14ac:dyDescent="0.25">
      <c r="A29" s="8"/>
      <c r="B29" s="24" t="s">
        <v>829</v>
      </c>
      <c r="C29" s="13"/>
      <c r="D29" s="10"/>
      <c r="E29" s="10" t="s">
        <v>225</v>
      </c>
      <c r="F29" s="11">
        <v>13</v>
      </c>
      <c r="G29" s="18"/>
      <c r="H29" s="18"/>
      <c r="I29" s="18"/>
      <c r="J29" s="18"/>
      <c r="K29" s="11"/>
      <c r="L29" s="11"/>
      <c r="M29" s="11">
        <f t="shared" si="3"/>
        <v>0</v>
      </c>
      <c r="N29" s="11">
        <f t="shared" si="2"/>
        <v>0</v>
      </c>
      <c r="O29" s="11">
        <f t="shared" si="0"/>
        <v>0</v>
      </c>
      <c r="P29" s="11">
        <f t="shared" si="1"/>
        <v>0</v>
      </c>
      <c r="Q29" s="8"/>
    </row>
    <row r="30" spans="1:17" x14ac:dyDescent="0.25">
      <c r="A30" s="8"/>
      <c r="B30" s="24" t="s">
        <v>834</v>
      </c>
      <c r="C30" s="13"/>
      <c r="D30" s="10"/>
      <c r="E30" s="10"/>
      <c r="F30" s="11"/>
      <c r="G30" s="18"/>
      <c r="H30" s="18"/>
      <c r="I30" s="18"/>
      <c r="J30" s="18"/>
      <c r="K30" s="11"/>
      <c r="L30" s="11"/>
      <c r="M30" s="11">
        <f t="shared" si="3"/>
        <v>0</v>
      </c>
      <c r="N30" s="11">
        <f t="shared" si="2"/>
        <v>0</v>
      </c>
      <c r="O30" s="11">
        <f t="shared" si="0"/>
        <v>0</v>
      </c>
      <c r="P30" s="11">
        <f t="shared" si="1"/>
        <v>0</v>
      </c>
      <c r="Q30" s="8"/>
    </row>
    <row r="31" spans="1:17" x14ac:dyDescent="0.25">
      <c r="A31" s="8"/>
      <c r="B31" s="24" t="s">
        <v>835</v>
      </c>
      <c r="C31" s="13"/>
      <c r="D31" s="10"/>
      <c r="E31" s="10" t="s">
        <v>229</v>
      </c>
      <c r="F31" s="11">
        <v>1</v>
      </c>
      <c r="G31" s="18"/>
      <c r="H31" s="18"/>
      <c r="I31" s="18"/>
      <c r="J31" s="18"/>
      <c r="K31" s="11"/>
      <c r="L31" s="11"/>
      <c r="M31" s="11">
        <f t="shared" si="3"/>
        <v>0</v>
      </c>
      <c r="N31" s="11">
        <f t="shared" si="2"/>
        <v>0</v>
      </c>
      <c r="O31" s="11">
        <f t="shared" si="0"/>
        <v>0</v>
      </c>
      <c r="P31" s="11">
        <f t="shared" si="1"/>
        <v>0</v>
      </c>
      <c r="Q31" s="8"/>
    </row>
    <row r="32" spans="1:17" x14ac:dyDescent="0.25">
      <c r="A32" s="8"/>
      <c r="B32" s="24" t="s">
        <v>836</v>
      </c>
      <c r="C32" s="13"/>
      <c r="D32" s="10"/>
      <c r="E32" s="10"/>
      <c r="F32" s="11"/>
      <c r="G32" s="18"/>
      <c r="H32" s="18"/>
      <c r="I32" s="18"/>
      <c r="J32" s="18"/>
      <c r="K32" s="11"/>
      <c r="L32" s="11"/>
      <c r="M32" s="11">
        <f t="shared" si="3"/>
        <v>0</v>
      </c>
      <c r="N32" s="11">
        <f t="shared" si="2"/>
        <v>0</v>
      </c>
      <c r="O32" s="11">
        <f t="shared" si="0"/>
        <v>0</v>
      </c>
      <c r="P32" s="11">
        <f t="shared" si="1"/>
        <v>0</v>
      </c>
      <c r="Q32" s="8"/>
    </row>
    <row r="33" spans="1:17" x14ac:dyDescent="0.25">
      <c r="A33" s="8"/>
      <c r="B33" s="24" t="s">
        <v>837</v>
      </c>
      <c r="C33" s="13"/>
      <c r="D33" s="10"/>
      <c r="E33" s="10" t="s">
        <v>229</v>
      </c>
      <c r="F33" s="11">
        <v>4</v>
      </c>
      <c r="G33" s="18"/>
      <c r="H33" s="18"/>
      <c r="I33" s="18"/>
      <c r="J33" s="18"/>
      <c r="K33" s="11"/>
      <c r="L33" s="11"/>
      <c r="M33" s="11">
        <f t="shared" si="3"/>
        <v>0</v>
      </c>
      <c r="N33" s="11">
        <f t="shared" si="2"/>
        <v>0</v>
      </c>
      <c r="O33" s="11">
        <f t="shared" si="0"/>
        <v>0</v>
      </c>
      <c r="P33" s="11">
        <f t="shared" si="1"/>
        <v>0</v>
      </c>
      <c r="Q33" s="8"/>
    </row>
    <row r="34" spans="1:17" x14ac:dyDescent="0.25">
      <c r="A34" s="8"/>
      <c r="B34" s="24" t="s">
        <v>838</v>
      </c>
      <c r="C34" s="13"/>
      <c r="D34" s="10"/>
      <c r="E34" s="10" t="s">
        <v>229</v>
      </c>
      <c r="F34" s="11">
        <v>1</v>
      </c>
      <c r="G34" s="18"/>
      <c r="H34" s="18"/>
      <c r="I34" s="18"/>
      <c r="J34" s="18"/>
      <c r="K34" s="11"/>
      <c r="L34" s="11"/>
      <c r="M34" s="11">
        <f t="shared" si="3"/>
        <v>0</v>
      </c>
      <c r="N34" s="11">
        <f t="shared" si="2"/>
        <v>0</v>
      </c>
      <c r="O34" s="11">
        <f t="shared" si="0"/>
        <v>0</v>
      </c>
      <c r="P34" s="11">
        <f t="shared" si="1"/>
        <v>0</v>
      </c>
      <c r="Q34" s="8"/>
    </row>
    <row r="35" spans="1:17" x14ac:dyDescent="0.25">
      <c r="A35" s="8"/>
      <c r="B35" s="24" t="s">
        <v>839</v>
      </c>
      <c r="C35" s="8"/>
      <c r="D35" s="10"/>
      <c r="E35" s="10" t="s">
        <v>229</v>
      </c>
      <c r="F35" s="11">
        <v>2</v>
      </c>
      <c r="G35" s="21"/>
      <c r="H35" s="18"/>
      <c r="I35" s="18"/>
      <c r="J35" s="18"/>
      <c r="K35" s="11"/>
      <c r="L35" s="11"/>
      <c r="M35" s="11">
        <f>K35*10%</f>
        <v>0</v>
      </c>
      <c r="N35" s="11">
        <f t="shared" si="2"/>
        <v>0</v>
      </c>
      <c r="O35" s="11">
        <f t="shared" si="0"/>
        <v>0</v>
      </c>
      <c r="P35" s="11">
        <f t="shared" si="1"/>
        <v>0</v>
      </c>
      <c r="Q35" s="8"/>
    </row>
    <row r="36" spans="1:17" x14ac:dyDescent="0.25">
      <c r="A36" s="8"/>
      <c r="B36" s="24" t="s">
        <v>840</v>
      </c>
      <c r="C36" s="8"/>
      <c r="D36" s="10"/>
      <c r="E36" s="10" t="s">
        <v>229</v>
      </c>
      <c r="F36" s="11">
        <v>10</v>
      </c>
      <c r="G36" s="21"/>
      <c r="H36" s="18"/>
      <c r="I36" s="18"/>
      <c r="J36" s="18"/>
      <c r="K36" s="11"/>
      <c r="L36" s="11"/>
      <c r="M36" s="11">
        <f>K36*10%</f>
        <v>0</v>
      </c>
      <c r="N36" s="11">
        <f t="shared" si="2"/>
        <v>0</v>
      </c>
      <c r="O36" s="11">
        <f t="shared" si="0"/>
        <v>0</v>
      </c>
      <c r="P36" s="11">
        <f t="shared" si="1"/>
        <v>0</v>
      </c>
      <c r="Q36" s="8"/>
    </row>
    <row r="37" spans="1:17" x14ac:dyDescent="0.25">
      <c r="A37" s="8"/>
      <c r="B37" s="24" t="s">
        <v>841</v>
      </c>
      <c r="C37" s="8"/>
      <c r="D37" s="10"/>
      <c r="E37" s="10" t="s">
        <v>229</v>
      </c>
      <c r="F37" s="11">
        <v>4</v>
      </c>
      <c r="G37" s="21"/>
      <c r="H37" s="18"/>
      <c r="I37" s="18"/>
      <c r="J37" s="18"/>
      <c r="K37" s="11"/>
      <c r="L37" s="11"/>
      <c r="M37" s="11">
        <f>K37*10%</f>
        <v>0</v>
      </c>
      <c r="N37" s="11">
        <f t="shared" si="2"/>
        <v>0</v>
      </c>
      <c r="O37" s="11">
        <f t="shared" si="0"/>
        <v>0</v>
      </c>
      <c r="P37" s="11">
        <f t="shared" si="1"/>
        <v>0</v>
      </c>
      <c r="Q37" s="8"/>
    </row>
    <row r="38" spans="1:17" x14ac:dyDescent="0.25">
      <c r="A38" s="8"/>
      <c r="B38" s="24" t="s">
        <v>842</v>
      </c>
      <c r="C38" s="8"/>
      <c r="D38" s="10"/>
      <c r="E38" s="10" t="s">
        <v>229</v>
      </c>
      <c r="F38" s="11">
        <v>4</v>
      </c>
      <c r="G38" s="21"/>
      <c r="H38" s="18"/>
      <c r="I38" s="18"/>
      <c r="J38" s="18"/>
      <c r="K38" s="11"/>
      <c r="L38" s="11"/>
      <c r="M38" s="11">
        <f>K38*10%</f>
        <v>0</v>
      </c>
      <c r="N38" s="11">
        <f t="shared" si="2"/>
        <v>0</v>
      </c>
      <c r="O38" s="11">
        <f t="shared" si="0"/>
        <v>0</v>
      </c>
      <c r="P38" s="11">
        <f t="shared" si="1"/>
        <v>0</v>
      </c>
      <c r="Q38" s="8"/>
    </row>
    <row r="39" spans="1:17" x14ac:dyDescent="0.25">
      <c r="A39" s="8"/>
      <c r="B39" s="24" t="s">
        <v>843</v>
      </c>
      <c r="C39" s="8"/>
      <c r="D39" s="10"/>
      <c r="E39" s="10" t="s">
        <v>229</v>
      </c>
      <c r="F39" s="11">
        <v>4</v>
      </c>
      <c r="G39" s="21"/>
      <c r="H39" s="18"/>
      <c r="I39" s="18"/>
      <c r="J39" s="18"/>
      <c r="K39" s="11"/>
      <c r="L39" s="11"/>
      <c r="M39" s="11">
        <f>K39*10%</f>
        <v>0</v>
      </c>
      <c r="N39" s="11">
        <f t="shared" si="2"/>
        <v>0</v>
      </c>
      <c r="O39" s="11">
        <f t="shared" si="0"/>
        <v>0</v>
      </c>
      <c r="P39" s="11">
        <f t="shared" si="1"/>
        <v>0</v>
      </c>
      <c r="Q39" s="8"/>
    </row>
    <row r="40" spans="1:17" x14ac:dyDescent="0.25">
      <c r="A40" s="8"/>
      <c r="B40" s="24" t="s">
        <v>824</v>
      </c>
      <c r="C40" s="8"/>
      <c r="D40" s="10"/>
      <c r="E40" s="10" t="s">
        <v>1097</v>
      </c>
      <c r="F40" s="11">
        <v>1</v>
      </c>
      <c r="G40" s="18"/>
      <c r="H40" s="18"/>
      <c r="I40" s="18"/>
      <c r="J40" s="18"/>
      <c r="K40" s="11"/>
      <c r="L40" s="11"/>
      <c r="M40" s="11">
        <f t="shared" si="2"/>
        <v>0</v>
      </c>
      <c r="N40" s="11">
        <f t="shared" si="2"/>
        <v>0</v>
      </c>
      <c r="O40" s="11">
        <f t="shared" si="0"/>
        <v>0</v>
      </c>
      <c r="P40" s="11">
        <f t="shared" si="1"/>
        <v>0</v>
      </c>
      <c r="Q40" s="8"/>
    </row>
    <row r="41" spans="1:17" x14ac:dyDescent="0.25">
      <c r="A41" s="8"/>
      <c r="B41" s="24"/>
      <c r="C41" s="8"/>
      <c r="D41" s="8"/>
      <c r="E41" s="10"/>
      <c r="F41" s="11"/>
      <c r="G41" s="18"/>
      <c r="H41" s="18"/>
      <c r="I41" s="18"/>
      <c r="J41" s="18"/>
      <c r="K41" s="11"/>
      <c r="L41" s="11"/>
      <c r="M41" s="11"/>
      <c r="N41" s="11"/>
      <c r="O41" s="11"/>
      <c r="P41" s="11"/>
      <c r="Q41" s="8"/>
    </row>
    <row r="42" spans="1:17" ht="30" x14ac:dyDescent="0.25">
      <c r="A42" s="8"/>
      <c r="B42" s="24" t="s">
        <v>844</v>
      </c>
      <c r="C42" s="13"/>
      <c r="D42" s="19"/>
      <c r="E42" s="10"/>
      <c r="F42" s="11"/>
      <c r="G42" s="18"/>
      <c r="H42" s="18"/>
      <c r="I42" s="18"/>
      <c r="J42" s="18"/>
      <c r="K42" s="11"/>
      <c r="L42" s="11"/>
      <c r="M42" s="11">
        <f t="shared" si="2"/>
        <v>0</v>
      </c>
      <c r="N42" s="11">
        <f t="shared" si="2"/>
        <v>0</v>
      </c>
      <c r="O42" s="11">
        <f t="shared" si="0"/>
        <v>0</v>
      </c>
      <c r="P42" s="11">
        <f t="shared" si="1"/>
        <v>0</v>
      </c>
      <c r="Q42" s="8"/>
    </row>
    <row r="43" spans="1:17" x14ac:dyDescent="0.25">
      <c r="A43" s="8"/>
      <c r="B43" s="24" t="s">
        <v>845</v>
      </c>
      <c r="C43" s="13"/>
      <c r="D43" s="19"/>
      <c r="E43" s="10" t="s">
        <v>229</v>
      </c>
      <c r="F43" s="11">
        <v>6</v>
      </c>
      <c r="G43" s="18"/>
      <c r="H43" s="18"/>
      <c r="I43" s="18"/>
      <c r="J43" s="18"/>
      <c r="K43" s="11"/>
      <c r="L43" s="11"/>
      <c r="M43" s="11">
        <f t="shared" si="2"/>
        <v>0</v>
      </c>
      <c r="N43" s="11">
        <f t="shared" si="2"/>
        <v>0</v>
      </c>
      <c r="O43" s="11">
        <f t="shared" si="0"/>
        <v>0</v>
      </c>
      <c r="P43" s="11">
        <f t="shared" si="1"/>
        <v>0</v>
      </c>
      <c r="Q43" s="8"/>
    </row>
    <row r="44" spans="1:17" x14ac:dyDescent="0.25">
      <c r="A44" s="8"/>
      <c r="B44" s="24" t="s">
        <v>846</v>
      </c>
      <c r="C44" s="13"/>
      <c r="D44" s="19"/>
      <c r="E44" s="10" t="s">
        <v>229</v>
      </c>
      <c r="F44" s="11">
        <v>20</v>
      </c>
      <c r="G44" s="18"/>
      <c r="H44" s="18"/>
      <c r="I44" s="18"/>
      <c r="J44" s="18"/>
      <c r="K44" s="11"/>
      <c r="L44" s="11"/>
      <c r="M44" s="11">
        <f t="shared" si="2"/>
        <v>0</v>
      </c>
      <c r="N44" s="11">
        <f t="shared" si="2"/>
        <v>0</v>
      </c>
      <c r="O44" s="11">
        <f t="shared" si="0"/>
        <v>0</v>
      </c>
      <c r="P44" s="11">
        <f t="shared" si="1"/>
        <v>0</v>
      </c>
      <c r="Q44" s="8"/>
    </row>
    <row r="45" spans="1:17" x14ac:dyDescent="0.25">
      <c r="A45" s="8"/>
      <c r="B45" s="24" t="s">
        <v>847</v>
      </c>
      <c r="C45" s="13"/>
      <c r="D45" s="19"/>
      <c r="E45" s="10" t="s">
        <v>229</v>
      </c>
      <c r="F45" s="11">
        <v>4</v>
      </c>
      <c r="G45" s="18"/>
      <c r="H45" s="18"/>
      <c r="I45" s="18"/>
      <c r="J45" s="18"/>
      <c r="K45" s="11"/>
      <c r="L45" s="11"/>
      <c r="M45" s="11">
        <f t="shared" si="2"/>
        <v>0</v>
      </c>
      <c r="N45" s="11">
        <f t="shared" si="2"/>
        <v>0</v>
      </c>
      <c r="O45" s="11">
        <f t="shared" si="0"/>
        <v>0</v>
      </c>
      <c r="P45" s="11">
        <f t="shared" si="1"/>
        <v>0</v>
      </c>
      <c r="Q45" s="8"/>
    </row>
    <row r="46" spans="1:17" x14ac:dyDescent="0.25">
      <c r="A46" s="8"/>
      <c r="B46" s="24" t="s">
        <v>848</v>
      </c>
      <c r="C46" s="13"/>
      <c r="D46" s="19"/>
      <c r="E46" s="10" t="s">
        <v>229</v>
      </c>
      <c r="F46" s="11">
        <v>1</v>
      </c>
      <c r="G46" s="18"/>
      <c r="H46" s="18"/>
      <c r="I46" s="18"/>
      <c r="J46" s="18"/>
      <c r="K46" s="11"/>
      <c r="L46" s="11"/>
      <c r="M46" s="11">
        <f t="shared" si="2"/>
        <v>0</v>
      </c>
      <c r="N46" s="11">
        <f t="shared" si="2"/>
        <v>0</v>
      </c>
      <c r="O46" s="11">
        <f t="shared" si="0"/>
        <v>0</v>
      </c>
      <c r="P46" s="11">
        <f t="shared" si="1"/>
        <v>0</v>
      </c>
      <c r="Q46" s="8"/>
    </row>
    <row r="47" spans="1:17" x14ac:dyDescent="0.25">
      <c r="A47" s="8"/>
      <c r="B47" s="24" t="s">
        <v>849</v>
      </c>
      <c r="C47" s="13"/>
      <c r="D47" s="19"/>
      <c r="E47" s="10" t="s">
        <v>229</v>
      </c>
      <c r="F47" s="11">
        <v>2</v>
      </c>
      <c r="G47" s="18"/>
      <c r="H47" s="18"/>
      <c r="I47" s="18"/>
      <c r="J47" s="18"/>
      <c r="K47" s="11"/>
      <c r="L47" s="11"/>
      <c r="M47" s="11">
        <f t="shared" si="2"/>
        <v>0</v>
      </c>
      <c r="N47" s="11">
        <f t="shared" si="2"/>
        <v>0</v>
      </c>
      <c r="O47" s="11">
        <f t="shared" si="0"/>
        <v>0</v>
      </c>
      <c r="P47" s="11">
        <f t="shared" si="1"/>
        <v>0</v>
      </c>
      <c r="Q47" s="8"/>
    </row>
    <row r="48" spans="1:17" x14ac:dyDescent="0.25">
      <c r="A48" s="8"/>
      <c r="B48" s="24" t="s">
        <v>850</v>
      </c>
      <c r="C48" s="13"/>
      <c r="D48" s="19"/>
      <c r="E48" s="10" t="s">
        <v>229</v>
      </c>
      <c r="F48" s="11">
        <v>2</v>
      </c>
      <c r="G48" s="18"/>
      <c r="H48" s="18"/>
      <c r="I48" s="18"/>
      <c r="J48" s="18"/>
      <c r="K48" s="11"/>
      <c r="L48" s="11"/>
      <c r="M48" s="11">
        <f t="shared" si="2"/>
        <v>0</v>
      </c>
      <c r="N48" s="11">
        <f t="shared" si="2"/>
        <v>0</v>
      </c>
      <c r="O48" s="11">
        <f t="shared" si="0"/>
        <v>0</v>
      </c>
      <c r="P48" s="11">
        <f t="shared" si="1"/>
        <v>0</v>
      </c>
      <c r="Q48" s="8"/>
    </row>
    <row r="49" spans="1:17" x14ac:dyDescent="0.25">
      <c r="A49" s="8"/>
      <c r="B49" s="24" t="s">
        <v>851</v>
      </c>
      <c r="C49" s="13"/>
      <c r="D49" s="19"/>
      <c r="E49" s="10" t="s">
        <v>229</v>
      </c>
      <c r="F49" s="11">
        <v>17</v>
      </c>
      <c r="G49" s="18"/>
      <c r="H49" s="18"/>
      <c r="I49" s="18"/>
      <c r="J49" s="18"/>
      <c r="K49" s="11"/>
      <c r="L49" s="11"/>
      <c r="M49" s="11">
        <f t="shared" si="2"/>
        <v>0</v>
      </c>
      <c r="N49" s="11">
        <f t="shared" si="2"/>
        <v>0</v>
      </c>
      <c r="O49" s="11">
        <f t="shared" si="0"/>
        <v>0</v>
      </c>
      <c r="P49" s="11">
        <f t="shared" si="1"/>
        <v>0</v>
      </c>
      <c r="Q49" s="8"/>
    </row>
    <row r="50" spans="1:17" x14ac:dyDescent="0.25">
      <c r="A50" s="8"/>
      <c r="B50" s="24" t="s">
        <v>852</v>
      </c>
      <c r="C50" s="13"/>
      <c r="D50" s="19"/>
      <c r="E50" s="10" t="s">
        <v>229</v>
      </c>
      <c r="F50" s="11">
        <v>4</v>
      </c>
      <c r="G50" s="18"/>
      <c r="H50" s="18"/>
      <c r="I50" s="18"/>
      <c r="J50" s="18"/>
      <c r="K50" s="11"/>
      <c r="L50" s="11"/>
      <c r="M50" s="11">
        <f t="shared" si="2"/>
        <v>0</v>
      </c>
      <c r="N50" s="11">
        <f t="shared" si="2"/>
        <v>0</v>
      </c>
      <c r="O50" s="11">
        <f t="shared" si="0"/>
        <v>0</v>
      </c>
      <c r="P50" s="11">
        <f t="shared" si="1"/>
        <v>0</v>
      </c>
      <c r="Q50" s="8"/>
    </row>
    <row r="51" spans="1:17" x14ac:dyDescent="0.25">
      <c r="A51" s="8"/>
      <c r="B51" s="24" t="s">
        <v>853</v>
      </c>
      <c r="C51" s="8"/>
      <c r="D51" s="8"/>
      <c r="E51" s="10" t="s">
        <v>229</v>
      </c>
      <c r="F51" s="11">
        <v>1</v>
      </c>
      <c r="G51" s="18"/>
      <c r="H51" s="18"/>
      <c r="I51" s="18"/>
      <c r="J51" s="18"/>
      <c r="K51" s="11"/>
      <c r="L51" s="11"/>
      <c r="M51" s="11"/>
      <c r="N51" s="11"/>
      <c r="O51" s="11"/>
      <c r="P51" s="11"/>
      <c r="Q51" s="8"/>
    </row>
    <row r="52" spans="1:17" x14ac:dyDescent="0.25">
      <c r="A52" s="8"/>
      <c r="B52" s="24" t="s">
        <v>854</v>
      </c>
      <c r="C52" s="8"/>
      <c r="D52" s="8"/>
      <c r="E52" s="10" t="s">
        <v>229</v>
      </c>
      <c r="F52" s="11">
        <v>2</v>
      </c>
      <c r="G52" s="18"/>
      <c r="H52" s="18"/>
      <c r="I52" s="18"/>
      <c r="J52" s="18"/>
      <c r="K52" s="11"/>
      <c r="L52" s="11"/>
      <c r="M52" s="11"/>
      <c r="N52" s="11">
        <f t="shared" ref="N52:N118" si="4">L52*8%</f>
        <v>0</v>
      </c>
      <c r="O52" s="11">
        <f t="shared" ref="O52:O93" si="5">(G52+M52)*F52</f>
        <v>0</v>
      </c>
      <c r="P52" s="11">
        <f t="shared" ref="P52:P93" si="6">(L52+N52)*F52</f>
        <v>0</v>
      </c>
      <c r="Q52" s="8"/>
    </row>
    <row r="53" spans="1:17" x14ac:dyDescent="0.25">
      <c r="A53" s="8"/>
      <c r="B53" s="24" t="s">
        <v>855</v>
      </c>
      <c r="C53" s="8"/>
      <c r="D53" s="8"/>
      <c r="E53" s="10" t="s">
        <v>229</v>
      </c>
      <c r="F53" s="11">
        <v>2</v>
      </c>
      <c r="G53" s="18"/>
      <c r="H53" s="18"/>
      <c r="I53" s="18"/>
      <c r="J53" s="18"/>
      <c r="K53" s="11"/>
      <c r="L53" s="11"/>
      <c r="M53" s="11"/>
      <c r="N53" s="11">
        <f t="shared" si="4"/>
        <v>0</v>
      </c>
      <c r="O53" s="11">
        <f t="shared" si="5"/>
        <v>0</v>
      </c>
      <c r="P53" s="11">
        <f t="shared" si="6"/>
        <v>0</v>
      </c>
      <c r="Q53" s="8"/>
    </row>
    <row r="54" spans="1:17" x14ac:dyDescent="0.25">
      <c r="A54" s="8"/>
      <c r="B54" s="24" t="s">
        <v>856</v>
      </c>
      <c r="C54" s="8"/>
      <c r="D54" s="8"/>
      <c r="E54" s="10" t="s">
        <v>229</v>
      </c>
      <c r="F54" s="11">
        <v>3</v>
      </c>
      <c r="G54" s="18"/>
      <c r="H54" s="18"/>
      <c r="I54" s="18"/>
      <c r="J54" s="18"/>
      <c r="K54" s="11"/>
      <c r="L54" s="11"/>
      <c r="M54" s="11"/>
      <c r="N54" s="11">
        <f t="shared" si="4"/>
        <v>0</v>
      </c>
      <c r="O54" s="11">
        <f t="shared" si="5"/>
        <v>0</v>
      </c>
      <c r="P54" s="11">
        <f t="shared" si="6"/>
        <v>0</v>
      </c>
      <c r="Q54" s="8"/>
    </row>
    <row r="55" spans="1:17" x14ac:dyDescent="0.25">
      <c r="A55" s="8"/>
      <c r="B55" s="24" t="s">
        <v>824</v>
      </c>
      <c r="C55" s="8"/>
      <c r="D55" s="8"/>
      <c r="E55" s="10" t="s">
        <v>1097</v>
      </c>
      <c r="F55" s="11">
        <v>1</v>
      </c>
      <c r="G55" s="18"/>
      <c r="H55" s="18"/>
      <c r="I55" s="18"/>
      <c r="J55" s="18"/>
      <c r="K55" s="11"/>
      <c r="L55" s="11"/>
      <c r="M55" s="11"/>
      <c r="N55" s="11">
        <f t="shared" si="4"/>
        <v>0</v>
      </c>
      <c r="O55" s="11">
        <f t="shared" si="5"/>
        <v>0</v>
      </c>
      <c r="P55" s="11">
        <f t="shared" si="6"/>
        <v>0</v>
      </c>
      <c r="Q55" s="8"/>
    </row>
    <row r="56" spans="1:17" x14ac:dyDescent="0.25">
      <c r="A56" s="8"/>
      <c r="B56" s="24"/>
      <c r="C56" s="8"/>
      <c r="D56" s="8"/>
      <c r="E56" s="10"/>
      <c r="F56" s="11"/>
      <c r="G56" s="18"/>
      <c r="H56" s="18"/>
      <c r="I56" s="18"/>
      <c r="J56" s="18"/>
      <c r="K56" s="11"/>
      <c r="L56" s="11"/>
      <c r="M56" s="11"/>
      <c r="N56" s="11">
        <f t="shared" si="4"/>
        <v>0</v>
      </c>
      <c r="O56" s="11">
        <f t="shared" si="5"/>
        <v>0</v>
      </c>
      <c r="P56" s="11">
        <f t="shared" si="6"/>
        <v>0</v>
      </c>
      <c r="Q56" s="8"/>
    </row>
    <row r="57" spans="1:17" x14ac:dyDescent="0.25">
      <c r="A57" s="8"/>
      <c r="B57" s="24" t="s">
        <v>857</v>
      </c>
      <c r="C57" s="8"/>
      <c r="D57" s="8"/>
      <c r="E57" s="10"/>
      <c r="F57" s="11"/>
      <c r="G57" s="18"/>
      <c r="H57" s="18"/>
      <c r="I57" s="18"/>
      <c r="J57" s="18"/>
      <c r="K57" s="11"/>
      <c r="L57" s="11"/>
      <c r="M57" s="11"/>
      <c r="N57" s="11">
        <f t="shared" si="4"/>
        <v>0</v>
      </c>
      <c r="O57" s="11">
        <f t="shared" si="5"/>
        <v>0</v>
      </c>
      <c r="P57" s="11">
        <f t="shared" si="6"/>
        <v>0</v>
      </c>
      <c r="Q57" s="8"/>
    </row>
    <row r="58" spans="1:17" x14ac:dyDescent="0.25">
      <c r="A58" s="8"/>
      <c r="B58" s="24" t="s">
        <v>413</v>
      </c>
      <c r="C58" s="8"/>
      <c r="D58" s="8"/>
      <c r="E58" s="10"/>
      <c r="F58" s="11"/>
      <c r="G58" s="18"/>
      <c r="H58" s="18"/>
      <c r="I58" s="18"/>
      <c r="J58" s="18"/>
      <c r="K58" s="11"/>
      <c r="L58" s="11"/>
      <c r="M58" s="11"/>
      <c r="N58" s="11">
        <f t="shared" si="4"/>
        <v>0</v>
      </c>
      <c r="O58" s="11">
        <f t="shared" si="5"/>
        <v>0</v>
      </c>
      <c r="P58" s="11">
        <f t="shared" si="6"/>
        <v>0</v>
      </c>
      <c r="Q58" s="8"/>
    </row>
    <row r="59" spans="1:17" ht="60" x14ac:dyDescent="0.25">
      <c r="A59" s="8"/>
      <c r="B59" s="24" t="s">
        <v>858</v>
      </c>
      <c r="C59" s="8"/>
      <c r="D59" s="8"/>
      <c r="E59" s="10" t="s">
        <v>229</v>
      </c>
      <c r="F59" s="11">
        <v>1</v>
      </c>
      <c r="G59" s="18"/>
      <c r="H59" s="18"/>
      <c r="I59" s="18"/>
      <c r="J59" s="18"/>
      <c r="K59" s="11"/>
      <c r="L59" s="11"/>
      <c r="M59" s="11"/>
      <c r="N59" s="11">
        <f t="shared" si="4"/>
        <v>0</v>
      </c>
      <c r="O59" s="11">
        <f t="shared" si="5"/>
        <v>0</v>
      </c>
      <c r="P59" s="11">
        <f t="shared" si="6"/>
        <v>0</v>
      </c>
      <c r="Q59" s="8"/>
    </row>
    <row r="60" spans="1:17" ht="60" x14ac:dyDescent="0.25">
      <c r="A60" s="8"/>
      <c r="B60" s="24" t="s">
        <v>859</v>
      </c>
      <c r="C60" s="8"/>
      <c r="D60" s="8"/>
      <c r="E60" s="10" t="s">
        <v>229</v>
      </c>
      <c r="F60" s="11">
        <v>1</v>
      </c>
      <c r="G60" s="18"/>
      <c r="H60" s="18"/>
      <c r="I60" s="18"/>
      <c r="J60" s="18"/>
      <c r="K60" s="11"/>
      <c r="L60" s="11"/>
      <c r="M60" s="11"/>
      <c r="N60" s="11">
        <f t="shared" si="4"/>
        <v>0</v>
      </c>
      <c r="O60" s="11">
        <f t="shared" si="5"/>
        <v>0</v>
      </c>
      <c r="P60" s="11">
        <f t="shared" si="6"/>
        <v>0</v>
      </c>
      <c r="Q60" s="8"/>
    </row>
    <row r="61" spans="1:17" ht="60" x14ac:dyDescent="0.25">
      <c r="A61" s="8"/>
      <c r="B61" s="24" t="s">
        <v>860</v>
      </c>
      <c r="C61" s="8"/>
      <c r="D61" s="8"/>
      <c r="E61" s="10" t="s">
        <v>229</v>
      </c>
      <c r="F61" s="11">
        <v>1</v>
      </c>
      <c r="G61" s="18"/>
      <c r="H61" s="18"/>
      <c r="I61" s="18"/>
      <c r="J61" s="18"/>
      <c r="K61" s="11"/>
      <c r="L61" s="11"/>
      <c r="M61" s="11"/>
      <c r="N61" s="11">
        <f t="shared" si="4"/>
        <v>0</v>
      </c>
      <c r="O61" s="11">
        <f t="shared" si="5"/>
        <v>0</v>
      </c>
      <c r="P61" s="11">
        <f t="shared" si="6"/>
        <v>0</v>
      </c>
      <c r="Q61" s="8"/>
    </row>
    <row r="62" spans="1:17" ht="60" x14ac:dyDescent="0.25">
      <c r="A62" s="8"/>
      <c r="B62" s="24" t="s">
        <v>861</v>
      </c>
      <c r="C62" s="8"/>
      <c r="D62" s="8"/>
      <c r="E62" s="10" t="s">
        <v>229</v>
      </c>
      <c r="F62" s="11">
        <v>1</v>
      </c>
      <c r="G62" s="18"/>
      <c r="H62" s="18"/>
      <c r="I62" s="18"/>
      <c r="J62" s="18"/>
      <c r="K62" s="11"/>
      <c r="L62" s="11"/>
      <c r="M62" s="11"/>
      <c r="N62" s="11">
        <f t="shared" si="4"/>
        <v>0</v>
      </c>
      <c r="O62" s="11">
        <f t="shared" si="5"/>
        <v>0</v>
      </c>
      <c r="P62" s="11">
        <f t="shared" si="6"/>
        <v>0</v>
      </c>
      <c r="Q62" s="8"/>
    </row>
    <row r="63" spans="1:17" ht="60" x14ac:dyDescent="0.25">
      <c r="A63" s="8"/>
      <c r="B63" s="24" t="s">
        <v>862</v>
      </c>
      <c r="C63" s="8"/>
      <c r="D63" s="8"/>
      <c r="E63" s="10" t="s">
        <v>229</v>
      </c>
      <c r="F63" s="11">
        <v>1</v>
      </c>
      <c r="G63" s="18"/>
      <c r="H63" s="18"/>
      <c r="I63" s="18"/>
      <c r="J63" s="18"/>
      <c r="K63" s="11"/>
      <c r="L63" s="11"/>
      <c r="M63" s="11"/>
      <c r="N63" s="11">
        <f t="shared" si="4"/>
        <v>0</v>
      </c>
      <c r="O63" s="11">
        <f t="shared" si="5"/>
        <v>0</v>
      </c>
      <c r="P63" s="11">
        <f t="shared" si="6"/>
        <v>0</v>
      </c>
      <c r="Q63" s="8"/>
    </row>
    <row r="64" spans="1:17" ht="60" x14ac:dyDescent="0.25">
      <c r="A64" s="8"/>
      <c r="B64" s="24" t="s">
        <v>863</v>
      </c>
      <c r="C64" s="8"/>
      <c r="D64" s="8"/>
      <c r="E64" s="10" t="s">
        <v>229</v>
      </c>
      <c r="F64" s="11">
        <v>1</v>
      </c>
      <c r="G64" s="18"/>
      <c r="H64" s="18"/>
      <c r="I64" s="18"/>
      <c r="J64" s="18"/>
      <c r="K64" s="11"/>
      <c r="L64" s="11"/>
      <c r="M64" s="11"/>
      <c r="N64" s="11">
        <f t="shared" si="4"/>
        <v>0</v>
      </c>
      <c r="O64" s="11">
        <f t="shared" si="5"/>
        <v>0</v>
      </c>
      <c r="P64" s="11">
        <f t="shared" si="6"/>
        <v>0</v>
      </c>
      <c r="Q64" s="8"/>
    </row>
    <row r="65" spans="1:17" ht="60" x14ac:dyDescent="0.25">
      <c r="A65" s="8"/>
      <c r="B65" s="24" t="s">
        <v>864</v>
      </c>
      <c r="C65" s="8"/>
      <c r="D65" s="8"/>
      <c r="E65" s="10" t="s">
        <v>229</v>
      </c>
      <c r="F65" s="11">
        <v>1</v>
      </c>
      <c r="G65" s="18"/>
      <c r="H65" s="18"/>
      <c r="I65" s="18"/>
      <c r="J65" s="18"/>
      <c r="K65" s="11"/>
      <c r="L65" s="11"/>
      <c r="M65" s="11"/>
      <c r="N65" s="11">
        <f t="shared" si="4"/>
        <v>0</v>
      </c>
      <c r="O65" s="11">
        <f t="shared" si="5"/>
        <v>0</v>
      </c>
      <c r="P65" s="11">
        <f t="shared" si="6"/>
        <v>0</v>
      </c>
      <c r="Q65" s="8"/>
    </row>
    <row r="66" spans="1:17" ht="60" x14ac:dyDescent="0.25">
      <c r="A66" s="8"/>
      <c r="B66" s="24" t="s">
        <v>865</v>
      </c>
      <c r="C66" s="8"/>
      <c r="D66" s="8"/>
      <c r="E66" s="10" t="s">
        <v>229</v>
      </c>
      <c r="F66" s="11">
        <v>1</v>
      </c>
      <c r="G66" s="18"/>
      <c r="H66" s="18"/>
      <c r="I66" s="18"/>
      <c r="J66" s="18"/>
      <c r="K66" s="11"/>
      <c r="L66" s="11"/>
      <c r="M66" s="11"/>
      <c r="N66" s="11">
        <f t="shared" si="4"/>
        <v>0</v>
      </c>
      <c r="O66" s="11">
        <f t="shared" si="5"/>
        <v>0</v>
      </c>
      <c r="P66" s="11">
        <f t="shared" si="6"/>
        <v>0</v>
      </c>
      <c r="Q66" s="8"/>
    </row>
    <row r="67" spans="1:17" ht="60" x14ac:dyDescent="0.25">
      <c r="A67" s="8"/>
      <c r="B67" s="24" t="s">
        <v>866</v>
      </c>
      <c r="C67" s="8"/>
      <c r="D67" s="8"/>
      <c r="E67" s="10" t="s">
        <v>229</v>
      </c>
      <c r="F67" s="11">
        <v>1</v>
      </c>
      <c r="G67" s="18"/>
      <c r="H67" s="18"/>
      <c r="I67" s="18"/>
      <c r="J67" s="18"/>
      <c r="K67" s="11"/>
      <c r="L67" s="11"/>
      <c r="M67" s="11"/>
      <c r="N67" s="11">
        <f t="shared" si="4"/>
        <v>0</v>
      </c>
      <c r="O67" s="11">
        <f t="shared" si="5"/>
        <v>0</v>
      </c>
      <c r="P67" s="11">
        <f t="shared" si="6"/>
        <v>0</v>
      </c>
      <c r="Q67" s="8"/>
    </row>
    <row r="68" spans="1:17" ht="60" x14ac:dyDescent="0.25">
      <c r="A68" s="8"/>
      <c r="B68" s="24" t="s">
        <v>867</v>
      </c>
      <c r="C68" s="8"/>
      <c r="D68" s="8"/>
      <c r="E68" s="10" t="s">
        <v>229</v>
      </c>
      <c r="F68" s="11">
        <v>1</v>
      </c>
      <c r="G68" s="18"/>
      <c r="H68" s="18"/>
      <c r="I68" s="18"/>
      <c r="J68" s="18"/>
      <c r="K68" s="11"/>
      <c r="L68" s="11"/>
      <c r="M68" s="11"/>
      <c r="N68" s="11">
        <f t="shared" si="4"/>
        <v>0</v>
      </c>
      <c r="O68" s="11">
        <f t="shared" si="5"/>
        <v>0</v>
      </c>
      <c r="P68" s="11">
        <f t="shared" si="6"/>
        <v>0</v>
      </c>
      <c r="Q68" s="8"/>
    </row>
    <row r="69" spans="1:17" ht="60" x14ac:dyDescent="0.25">
      <c r="A69" s="8"/>
      <c r="B69" s="24" t="s">
        <v>868</v>
      </c>
      <c r="C69" s="8"/>
      <c r="D69" s="8"/>
      <c r="E69" s="10" t="s">
        <v>229</v>
      </c>
      <c r="F69" s="11">
        <v>1</v>
      </c>
      <c r="G69" s="18"/>
      <c r="H69" s="18"/>
      <c r="I69" s="18"/>
      <c r="J69" s="18"/>
      <c r="K69" s="11"/>
      <c r="L69" s="11"/>
      <c r="M69" s="11"/>
      <c r="N69" s="11">
        <f t="shared" si="4"/>
        <v>0</v>
      </c>
      <c r="O69" s="11">
        <f t="shared" si="5"/>
        <v>0</v>
      </c>
      <c r="P69" s="11">
        <f t="shared" si="6"/>
        <v>0</v>
      </c>
      <c r="Q69" s="8"/>
    </row>
    <row r="70" spans="1:17" ht="60" x14ac:dyDescent="0.25">
      <c r="A70" s="8"/>
      <c r="B70" s="24" t="s">
        <v>869</v>
      </c>
      <c r="C70" s="8"/>
      <c r="D70" s="8"/>
      <c r="E70" s="10" t="s">
        <v>229</v>
      </c>
      <c r="F70" s="11">
        <v>1</v>
      </c>
      <c r="G70" s="18"/>
      <c r="H70" s="18"/>
      <c r="I70" s="18"/>
      <c r="J70" s="18"/>
      <c r="K70" s="11"/>
      <c r="L70" s="11"/>
      <c r="M70" s="11"/>
      <c r="N70" s="11">
        <f t="shared" si="4"/>
        <v>0</v>
      </c>
      <c r="O70" s="11">
        <f t="shared" si="5"/>
        <v>0</v>
      </c>
      <c r="P70" s="11">
        <f t="shared" si="6"/>
        <v>0</v>
      </c>
      <c r="Q70" s="8"/>
    </row>
    <row r="71" spans="1:17" ht="60" x14ac:dyDescent="0.25">
      <c r="A71" s="8"/>
      <c r="B71" s="24" t="s">
        <v>870</v>
      </c>
      <c r="C71" s="8"/>
      <c r="D71" s="8"/>
      <c r="E71" s="10" t="s">
        <v>229</v>
      </c>
      <c r="F71" s="11">
        <v>1</v>
      </c>
      <c r="G71" s="18"/>
      <c r="H71" s="18"/>
      <c r="I71" s="18"/>
      <c r="J71" s="18"/>
      <c r="K71" s="11"/>
      <c r="L71" s="11"/>
      <c r="M71" s="11"/>
      <c r="N71" s="11">
        <f t="shared" si="4"/>
        <v>0</v>
      </c>
      <c r="O71" s="11">
        <f t="shared" si="5"/>
        <v>0</v>
      </c>
      <c r="P71" s="11">
        <f t="shared" si="6"/>
        <v>0</v>
      </c>
      <c r="Q71" s="8"/>
    </row>
    <row r="72" spans="1:17" ht="60" x14ac:dyDescent="0.25">
      <c r="A72" s="8"/>
      <c r="B72" s="24" t="s">
        <v>871</v>
      </c>
      <c r="C72" s="8"/>
      <c r="D72" s="8"/>
      <c r="E72" s="10" t="s">
        <v>229</v>
      </c>
      <c r="F72" s="11">
        <v>1</v>
      </c>
      <c r="G72" s="18"/>
      <c r="H72" s="18"/>
      <c r="I72" s="18"/>
      <c r="J72" s="18"/>
      <c r="K72" s="11"/>
      <c r="L72" s="11"/>
      <c r="M72" s="11"/>
      <c r="N72" s="11">
        <f t="shared" si="4"/>
        <v>0</v>
      </c>
      <c r="O72" s="11">
        <f t="shared" si="5"/>
        <v>0</v>
      </c>
      <c r="P72" s="11">
        <f t="shared" si="6"/>
        <v>0</v>
      </c>
      <c r="Q72" s="8"/>
    </row>
    <row r="73" spans="1:17" ht="60" x14ac:dyDescent="0.25">
      <c r="A73" s="8"/>
      <c r="B73" s="24" t="s">
        <v>872</v>
      </c>
      <c r="C73" s="8"/>
      <c r="D73" s="8"/>
      <c r="E73" s="10" t="s">
        <v>229</v>
      </c>
      <c r="F73" s="11">
        <v>1</v>
      </c>
      <c r="G73" s="18"/>
      <c r="H73" s="18"/>
      <c r="I73" s="18"/>
      <c r="J73" s="18"/>
      <c r="K73" s="11"/>
      <c r="L73" s="11"/>
      <c r="M73" s="11"/>
      <c r="N73" s="11">
        <f t="shared" si="4"/>
        <v>0</v>
      </c>
      <c r="O73" s="11">
        <f t="shared" si="5"/>
        <v>0</v>
      </c>
      <c r="P73" s="11">
        <f t="shared" si="6"/>
        <v>0</v>
      </c>
      <c r="Q73" s="8"/>
    </row>
    <row r="74" spans="1:17" ht="60" x14ac:dyDescent="0.25">
      <c r="A74" s="8"/>
      <c r="B74" s="24" t="s">
        <v>873</v>
      </c>
      <c r="C74" s="8"/>
      <c r="D74" s="8"/>
      <c r="E74" s="10" t="s">
        <v>229</v>
      </c>
      <c r="F74" s="11">
        <v>1</v>
      </c>
      <c r="G74" s="18"/>
      <c r="H74" s="18"/>
      <c r="I74" s="18"/>
      <c r="J74" s="18"/>
      <c r="K74" s="11"/>
      <c r="L74" s="11"/>
      <c r="M74" s="11"/>
      <c r="N74" s="11">
        <f t="shared" si="4"/>
        <v>0</v>
      </c>
      <c r="O74" s="11">
        <f t="shared" si="5"/>
        <v>0</v>
      </c>
      <c r="P74" s="11">
        <f t="shared" si="6"/>
        <v>0</v>
      </c>
      <c r="Q74" s="8"/>
    </row>
    <row r="75" spans="1:17" ht="60" x14ac:dyDescent="0.25">
      <c r="A75" s="8"/>
      <c r="B75" s="24" t="s">
        <v>874</v>
      </c>
      <c r="C75" s="8"/>
      <c r="D75" s="8"/>
      <c r="E75" s="10" t="s">
        <v>229</v>
      </c>
      <c r="F75" s="11">
        <v>1</v>
      </c>
      <c r="G75" s="18"/>
      <c r="H75" s="18"/>
      <c r="I75" s="18"/>
      <c r="J75" s="18"/>
      <c r="K75" s="11"/>
      <c r="L75" s="11"/>
      <c r="M75" s="11"/>
      <c r="N75" s="11">
        <f t="shared" si="4"/>
        <v>0</v>
      </c>
      <c r="O75" s="11">
        <f t="shared" si="5"/>
        <v>0</v>
      </c>
      <c r="P75" s="11">
        <f t="shared" si="6"/>
        <v>0</v>
      </c>
      <c r="Q75" s="8"/>
    </row>
    <row r="76" spans="1:17" ht="60" x14ac:dyDescent="0.25">
      <c r="A76" s="8"/>
      <c r="B76" s="24" t="s">
        <v>875</v>
      </c>
      <c r="C76" s="8"/>
      <c r="D76" s="8"/>
      <c r="E76" s="10" t="s">
        <v>229</v>
      </c>
      <c r="F76" s="11">
        <v>1</v>
      </c>
      <c r="G76" s="18"/>
      <c r="H76" s="18"/>
      <c r="I76" s="18"/>
      <c r="J76" s="18"/>
      <c r="K76" s="11"/>
      <c r="L76" s="11"/>
      <c r="M76" s="11"/>
      <c r="N76" s="11">
        <f t="shared" si="4"/>
        <v>0</v>
      </c>
      <c r="O76" s="11">
        <f t="shared" si="5"/>
        <v>0</v>
      </c>
      <c r="P76" s="11">
        <f t="shared" si="6"/>
        <v>0</v>
      </c>
      <c r="Q76" s="8"/>
    </row>
    <row r="77" spans="1:17" x14ac:dyDescent="0.25">
      <c r="A77" s="8"/>
      <c r="B77" s="24" t="s">
        <v>823</v>
      </c>
      <c r="C77" s="8"/>
      <c r="D77" s="8"/>
      <c r="E77" s="10" t="s">
        <v>230</v>
      </c>
      <c r="F77" s="11">
        <v>18</v>
      </c>
      <c r="G77" s="18"/>
      <c r="H77" s="18"/>
      <c r="I77" s="18"/>
      <c r="J77" s="18"/>
      <c r="K77" s="11"/>
      <c r="L77" s="11"/>
      <c r="M77" s="11"/>
      <c r="N77" s="11">
        <f t="shared" si="4"/>
        <v>0</v>
      </c>
      <c r="O77" s="11">
        <f t="shared" si="5"/>
        <v>0</v>
      </c>
      <c r="P77" s="11">
        <f t="shared" si="6"/>
        <v>0</v>
      </c>
      <c r="Q77" s="8"/>
    </row>
    <row r="78" spans="1:17" x14ac:dyDescent="0.25">
      <c r="A78" s="8"/>
      <c r="B78" s="24" t="s">
        <v>824</v>
      </c>
      <c r="C78" s="8"/>
      <c r="D78" s="8"/>
      <c r="E78" s="10" t="s">
        <v>1097</v>
      </c>
      <c r="F78" s="11">
        <v>1</v>
      </c>
      <c r="G78" s="18"/>
      <c r="H78" s="18"/>
      <c r="I78" s="18"/>
      <c r="J78" s="18"/>
      <c r="K78" s="11"/>
      <c r="L78" s="11"/>
      <c r="M78" s="11"/>
      <c r="N78" s="11">
        <f t="shared" si="4"/>
        <v>0</v>
      </c>
      <c r="O78" s="11">
        <f t="shared" si="5"/>
        <v>0</v>
      </c>
      <c r="P78" s="11">
        <f t="shared" si="6"/>
        <v>0</v>
      </c>
      <c r="Q78" s="8"/>
    </row>
    <row r="79" spans="1:17" x14ac:dyDescent="0.25">
      <c r="A79" s="8"/>
      <c r="B79" s="24"/>
      <c r="C79" s="8"/>
      <c r="D79" s="8"/>
      <c r="E79" s="10"/>
      <c r="F79" s="11"/>
      <c r="G79" s="18"/>
      <c r="H79" s="18"/>
      <c r="I79" s="18"/>
      <c r="J79" s="18"/>
      <c r="K79" s="11"/>
      <c r="L79" s="11"/>
      <c r="M79" s="11"/>
      <c r="N79" s="11">
        <f t="shared" si="4"/>
        <v>0</v>
      </c>
      <c r="O79" s="11">
        <f t="shared" si="5"/>
        <v>0</v>
      </c>
      <c r="P79" s="11">
        <f t="shared" si="6"/>
        <v>0</v>
      </c>
      <c r="Q79" s="8"/>
    </row>
    <row r="80" spans="1:17" ht="30" x14ac:dyDescent="0.25">
      <c r="A80" s="8"/>
      <c r="B80" s="24" t="s">
        <v>876</v>
      </c>
      <c r="C80" s="8"/>
      <c r="D80" s="8"/>
      <c r="E80" s="10"/>
      <c r="F80" s="11"/>
      <c r="G80" s="18"/>
      <c r="H80" s="18"/>
      <c r="I80" s="18"/>
      <c r="J80" s="18"/>
      <c r="K80" s="11"/>
      <c r="L80" s="11"/>
      <c r="M80" s="11"/>
      <c r="N80" s="11">
        <f t="shared" si="4"/>
        <v>0</v>
      </c>
      <c r="O80" s="11">
        <f t="shared" si="5"/>
        <v>0</v>
      </c>
      <c r="P80" s="11">
        <f t="shared" si="6"/>
        <v>0</v>
      </c>
      <c r="Q80" s="8"/>
    </row>
    <row r="81" spans="1:17" x14ac:dyDescent="0.25">
      <c r="A81" s="8"/>
      <c r="B81" s="24" t="s">
        <v>826</v>
      </c>
      <c r="C81" s="8"/>
      <c r="D81" s="8"/>
      <c r="E81" s="10"/>
      <c r="F81" s="11"/>
      <c r="G81" s="18"/>
      <c r="H81" s="18"/>
      <c r="I81" s="18"/>
      <c r="J81" s="18"/>
      <c r="K81" s="11"/>
      <c r="L81" s="11"/>
      <c r="M81" s="11"/>
      <c r="N81" s="11">
        <f t="shared" si="4"/>
        <v>0</v>
      </c>
      <c r="O81" s="11">
        <f t="shared" si="5"/>
        <v>0</v>
      </c>
      <c r="P81" s="11">
        <f t="shared" si="6"/>
        <v>0</v>
      </c>
      <c r="Q81" s="8"/>
    </row>
    <row r="82" spans="1:17" x14ac:dyDescent="0.25">
      <c r="A82" s="8"/>
      <c r="B82" s="24" t="s">
        <v>827</v>
      </c>
      <c r="C82" s="8"/>
      <c r="D82" s="8"/>
      <c r="E82" s="10"/>
      <c r="F82" s="11"/>
      <c r="G82" s="18"/>
      <c r="H82" s="18"/>
      <c r="I82" s="18"/>
      <c r="J82" s="18"/>
      <c r="K82" s="11"/>
      <c r="L82" s="11"/>
      <c r="M82" s="11"/>
      <c r="N82" s="11">
        <f t="shared" si="4"/>
        <v>0</v>
      </c>
      <c r="O82" s="11">
        <f t="shared" si="5"/>
        <v>0</v>
      </c>
      <c r="P82" s="11">
        <f t="shared" si="6"/>
        <v>0</v>
      </c>
      <c r="Q82" s="8"/>
    </row>
    <row r="83" spans="1:17" x14ac:dyDescent="0.25">
      <c r="A83" s="8"/>
      <c r="B83" s="24" t="s">
        <v>877</v>
      </c>
      <c r="C83" s="8"/>
      <c r="D83" s="8"/>
      <c r="E83" s="10" t="s">
        <v>225</v>
      </c>
      <c r="F83" s="11">
        <v>180</v>
      </c>
      <c r="G83" s="18"/>
      <c r="H83" s="18"/>
      <c r="I83" s="18"/>
      <c r="J83" s="18"/>
      <c r="K83" s="11"/>
      <c r="L83" s="11"/>
      <c r="M83" s="11"/>
      <c r="N83" s="11">
        <f t="shared" si="4"/>
        <v>0</v>
      </c>
      <c r="O83" s="11">
        <f t="shared" si="5"/>
        <v>0</v>
      </c>
      <c r="P83" s="11">
        <f t="shared" si="6"/>
        <v>0</v>
      </c>
      <c r="Q83" s="8"/>
    </row>
    <row r="84" spans="1:17" x14ac:dyDescent="0.25">
      <c r="A84" s="8"/>
      <c r="B84" s="24" t="s">
        <v>878</v>
      </c>
      <c r="C84" s="8"/>
      <c r="D84" s="8"/>
      <c r="E84" s="10" t="s">
        <v>225</v>
      </c>
      <c r="F84" s="11">
        <v>120</v>
      </c>
      <c r="G84" s="18"/>
      <c r="H84" s="18"/>
      <c r="I84" s="18"/>
      <c r="J84" s="18"/>
      <c r="K84" s="11"/>
      <c r="L84" s="11"/>
      <c r="M84" s="11"/>
      <c r="N84" s="11">
        <f t="shared" si="4"/>
        <v>0</v>
      </c>
      <c r="O84" s="11">
        <f t="shared" si="5"/>
        <v>0</v>
      </c>
      <c r="P84" s="11">
        <f t="shared" si="6"/>
        <v>0</v>
      </c>
      <c r="Q84" s="8"/>
    </row>
    <row r="85" spans="1:17" x14ac:dyDescent="0.25">
      <c r="A85" s="8"/>
      <c r="B85" s="24" t="s">
        <v>879</v>
      </c>
      <c r="C85" s="8"/>
      <c r="D85" s="8"/>
      <c r="E85" s="10" t="s">
        <v>225</v>
      </c>
      <c r="F85" s="11">
        <v>225</v>
      </c>
      <c r="G85" s="18"/>
      <c r="H85" s="18"/>
      <c r="I85" s="18"/>
      <c r="J85" s="18"/>
      <c r="K85" s="11"/>
      <c r="L85" s="11"/>
      <c r="M85" s="11"/>
      <c r="N85" s="11">
        <f t="shared" si="4"/>
        <v>0</v>
      </c>
      <c r="O85" s="11">
        <f t="shared" si="5"/>
        <v>0</v>
      </c>
      <c r="P85" s="11">
        <f t="shared" si="6"/>
        <v>0</v>
      </c>
      <c r="Q85" s="8"/>
    </row>
    <row r="86" spans="1:17" x14ac:dyDescent="0.25">
      <c r="A86" s="8"/>
      <c r="B86" s="24" t="s">
        <v>880</v>
      </c>
      <c r="C86" s="8"/>
      <c r="D86" s="8"/>
      <c r="E86" s="10" t="s">
        <v>225</v>
      </c>
      <c r="F86" s="11">
        <v>555</v>
      </c>
      <c r="G86" s="18"/>
      <c r="H86" s="18"/>
      <c r="I86" s="18"/>
      <c r="J86" s="18"/>
      <c r="K86" s="11"/>
      <c r="L86" s="11"/>
      <c r="M86" s="11"/>
      <c r="N86" s="11">
        <f t="shared" si="4"/>
        <v>0</v>
      </c>
      <c r="O86" s="11">
        <f t="shared" si="5"/>
        <v>0</v>
      </c>
      <c r="P86" s="11">
        <f t="shared" si="6"/>
        <v>0</v>
      </c>
      <c r="Q86" s="8"/>
    </row>
    <row r="87" spans="1:17" x14ac:dyDescent="0.25">
      <c r="A87" s="8"/>
      <c r="B87" s="24" t="s">
        <v>881</v>
      </c>
      <c r="C87" s="8"/>
      <c r="D87" s="8"/>
      <c r="E87" s="10" t="s">
        <v>225</v>
      </c>
      <c r="F87" s="11">
        <v>534</v>
      </c>
      <c r="G87" s="18"/>
      <c r="H87" s="18"/>
      <c r="I87" s="18"/>
      <c r="J87" s="18"/>
      <c r="K87" s="11"/>
      <c r="L87" s="11"/>
      <c r="M87" s="11"/>
      <c r="N87" s="11">
        <f t="shared" si="4"/>
        <v>0</v>
      </c>
      <c r="O87" s="11">
        <f t="shared" si="5"/>
        <v>0</v>
      </c>
      <c r="P87" s="11">
        <f t="shared" si="6"/>
        <v>0</v>
      </c>
      <c r="Q87" s="8"/>
    </row>
    <row r="88" spans="1:17" x14ac:dyDescent="0.25">
      <c r="A88" s="8"/>
      <c r="B88" s="24" t="s">
        <v>882</v>
      </c>
      <c r="C88" s="8"/>
      <c r="D88" s="8"/>
      <c r="E88" s="10" t="s">
        <v>225</v>
      </c>
      <c r="F88" s="11">
        <v>30</v>
      </c>
      <c r="G88" s="18"/>
      <c r="H88" s="18"/>
      <c r="I88" s="18"/>
      <c r="J88" s="18"/>
      <c r="K88" s="11"/>
      <c r="L88" s="11"/>
      <c r="M88" s="11"/>
      <c r="N88" s="11">
        <f t="shared" si="4"/>
        <v>0</v>
      </c>
      <c r="O88" s="11">
        <f t="shared" si="5"/>
        <v>0</v>
      </c>
      <c r="P88" s="11">
        <f t="shared" si="6"/>
        <v>0</v>
      </c>
      <c r="Q88" s="8"/>
    </row>
    <row r="89" spans="1:17" x14ac:dyDescent="0.25">
      <c r="A89" s="8"/>
      <c r="B89" s="24" t="s">
        <v>881</v>
      </c>
      <c r="C89" s="8"/>
      <c r="D89" s="8"/>
      <c r="E89" s="10" t="s">
        <v>225</v>
      </c>
      <c r="F89" s="11">
        <v>209</v>
      </c>
      <c r="G89" s="18"/>
      <c r="H89" s="18"/>
      <c r="I89" s="18"/>
      <c r="J89" s="18"/>
      <c r="K89" s="11"/>
      <c r="L89" s="11"/>
      <c r="M89" s="11"/>
      <c r="N89" s="11">
        <f t="shared" si="4"/>
        <v>0</v>
      </c>
      <c r="O89" s="11">
        <f t="shared" si="5"/>
        <v>0</v>
      </c>
      <c r="P89" s="11">
        <f t="shared" si="6"/>
        <v>0</v>
      </c>
      <c r="Q89" s="8"/>
    </row>
    <row r="90" spans="1:17" x14ac:dyDescent="0.25">
      <c r="A90" s="8"/>
      <c r="B90" s="24" t="s">
        <v>883</v>
      </c>
      <c r="C90" s="8"/>
      <c r="D90" s="8"/>
      <c r="E90" s="10"/>
      <c r="F90" s="11"/>
      <c r="G90" s="18"/>
      <c r="H90" s="18"/>
      <c r="I90" s="18"/>
      <c r="J90" s="18"/>
      <c r="K90" s="11"/>
      <c r="L90" s="11"/>
      <c r="M90" s="11"/>
      <c r="N90" s="11">
        <f t="shared" si="4"/>
        <v>0</v>
      </c>
      <c r="O90" s="11">
        <f t="shared" si="5"/>
        <v>0</v>
      </c>
      <c r="P90" s="11">
        <f t="shared" si="6"/>
        <v>0</v>
      </c>
      <c r="Q90" s="8"/>
    </row>
    <row r="91" spans="1:17" x14ac:dyDescent="0.25">
      <c r="A91" s="8"/>
      <c r="B91" s="24" t="s">
        <v>884</v>
      </c>
      <c r="C91" s="8"/>
      <c r="D91" s="8"/>
      <c r="E91" s="10" t="s">
        <v>229</v>
      </c>
      <c r="F91" s="11">
        <v>4</v>
      </c>
      <c r="G91" s="18"/>
      <c r="H91" s="18"/>
      <c r="I91" s="18"/>
      <c r="J91" s="18"/>
      <c r="K91" s="11"/>
      <c r="L91" s="11"/>
      <c r="M91" s="11"/>
      <c r="N91" s="11">
        <f t="shared" si="4"/>
        <v>0</v>
      </c>
      <c r="O91" s="11">
        <f t="shared" si="5"/>
        <v>0</v>
      </c>
      <c r="P91" s="11">
        <f t="shared" si="6"/>
        <v>0</v>
      </c>
      <c r="Q91" s="8"/>
    </row>
    <row r="92" spans="1:17" x14ac:dyDescent="0.25">
      <c r="A92" s="8"/>
      <c r="B92" s="24" t="s">
        <v>885</v>
      </c>
      <c r="C92" s="8"/>
      <c r="D92" s="8"/>
      <c r="E92" s="10" t="s">
        <v>229</v>
      </c>
      <c r="F92" s="11">
        <v>8</v>
      </c>
      <c r="G92" s="18"/>
      <c r="H92" s="18"/>
      <c r="I92" s="18"/>
      <c r="J92" s="18"/>
      <c r="K92" s="11"/>
      <c r="L92" s="11"/>
      <c r="M92" s="11"/>
      <c r="N92" s="11">
        <f t="shared" si="4"/>
        <v>0</v>
      </c>
      <c r="O92" s="11">
        <f t="shared" si="5"/>
        <v>0</v>
      </c>
      <c r="P92" s="11">
        <f t="shared" si="6"/>
        <v>0</v>
      </c>
      <c r="Q92" s="8"/>
    </row>
    <row r="93" spans="1:17" x14ac:dyDescent="0.25">
      <c r="A93" s="8"/>
      <c r="B93" s="24" t="s">
        <v>886</v>
      </c>
      <c r="C93" s="8"/>
      <c r="D93" s="8"/>
      <c r="E93" s="10" t="s">
        <v>229</v>
      </c>
      <c r="F93" s="11">
        <v>17</v>
      </c>
      <c r="G93" s="18"/>
      <c r="H93" s="18"/>
      <c r="I93" s="18"/>
      <c r="J93" s="18"/>
      <c r="K93" s="11"/>
      <c r="L93" s="11"/>
      <c r="M93" s="11"/>
      <c r="N93" s="11">
        <f t="shared" si="4"/>
        <v>0</v>
      </c>
      <c r="O93" s="11">
        <f t="shared" si="5"/>
        <v>0</v>
      </c>
      <c r="P93" s="11">
        <f t="shared" si="6"/>
        <v>0</v>
      </c>
      <c r="Q93" s="8"/>
    </row>
    <row r="94" spans="1:17" x14ac:dyDescent="0.25">
      <c r="A94" s="8"/>
      <c r="B94" s="24" t="s">
        <v>887</v>
      </c>
      <c r="C94" s="8"/>
      <c r="D94" s="8"/>
      <c r="E94" s="10" t="s">
        <v>229</v>
      </c>
      <c r="F94" s="11">
        <v>3</v>
      </c>
      <c r="G94" s="18"/>
      <c r="H94" s="18"/>
      <c r="I94" s="18"/>
      <c r="J94" s="18"/>
      <c r="K94" s="11"/>
      <c r="L94" s="11"/>
      <c r="M94" s="11"/>
      <c r="N94" s="11"/>
      <c r="O94" s="11"/>
      <c r="P94" s="11"/>
      <c r="Q94" s="8"/>
    </row>
    <row r="95" spans="1:17" x14ac:dyDescent="0.25">
      <c r="A95" s="8"/>
      <c r="B95" s="24" t="s">
        <v>888</v>
      </c>
      <c r="C95" s="8"/>
      <c r="D95" s="8"/>
      <c r="E95" s="10" t="s">
        <v>229</v>
      </c>
      <c r="F95" s="11">
        <v>2</v>
      </c>
      <c r="G95" s="18"/>
      <c r="H95" s="18"/>
      <c r="I95" s="18"/>
      <c r="J95" s="18"/>
      <c r="K95" s="11"/>
      <c r="L95" s="11"/>
      <c r="M95" s="11"/>
      <c r="N95" s="11">
        <f t="shared" si="4"/>
        <v>0</v>
      </c>
      <c r="O95" s="11">
        <f t="shared" ref="O95:O153" si="7">(G95+M95)*F95</f>
        <v>0</v>
      </c>
      <c r="P95" s="11">
        <f t="shared" ref="P95:P153" si="8">(L95+N95)*F95</f>
        <v>0</v>
      </c>
      <c r="Q95" s="8"/>
    </row>
    <row r="96" spans="1:17" x14ac:dyDescent="0.25">
      <c r="A96" s="8"/>
      <c r="B96" s="24" t="s">
        <v>834</v>
      </c>
      <c r="C96" s="8"/>
      <c r="D96" s="8"/>
      <c r="E96" s="10"/>
      <c r="F96" s="11"/>
      <c r="G96" s="18"/>
      <c r="H96" s="18"/>
      <c r="I96" s="18"/>
      <c r="J96" s="18"/>
      <c r="K96" s="11"/>
      <c r="L96" s="11"/>
      <c r="M96" s="11"/>
      <c r="N96" s="11">
        <f t="shared" si="4"/>
        <v>0</v>
      </c>
      <c r="O96" s="11">
        <f t="shared" si="7"/>
        <v>0</v>
      </c>
      <c r="P96" s="11">
        <f t="shared" si="8"/>
        <v>0</v>
      </c>
      <c r="Q96" s="8"/>
    </row>
    <row r="97" spans="1:17" x14ac:dyDescent="0.25">
      <c r="A97" s="8"/>
      <c r="B97" s="24" t="s">
        <v>889</v>
      </c>
      <c r="C97" s="8"/>
      <c r="D97" s="8"/>
      <c r="E97" s="10" t="s">
        <v>229</v>
      </c>
      <c r="F97" s="11">
        <v>11</v>
      </c>
      <c r="G97" s="18"/>
      <c r="H97" s="18"/>
      <c r="I97" s="18"/>
      <c r="J97" s="18"/>
      <c r="K97" s="11"/>
      <c r="L97" s="11"/>
      <c r="M97" s="11"/>
      <c r="N97" s="11">
        <f t="shared" si="4"/>
        <v>0</v>
      </c>
      <c r="O97" s="11">
        <f t="shared" si="7"/>
        <v>0</v>
      </c>
      <c r="P97" s="11">
        <f t="shared" si="8"/>
        <v>0</v>
      </c>
      <c r="Q97" s="8"/>
    </row>
    <row r="98" spans="1:17" x14ac:dyDescent="0.25">
      <c r="A98" s="8"/>
      <c r="B98" s="24" t="s">
        <v>890</v>
      </c>
      <c r="C98" s="8"/>
      <c r="D98" s="8"/>
      <c r="E98" s="10" t="s">
        <v>229</v>
      </c>
      <c r="F98" s="11">
        <v>44</v>
      </c>
      <c r="G98" s="18"/>
      <c r="H98" s="18"/>
      <c r="I98" s="18"/>
      <c r="J98" s="18"/>
      <c r="K98" s="11"/>
      <c r="L98" s="11"/>
      <c r="M98" s="11"/>
      <c r="N98" s="11">
        <f t="shared" si="4"/>
        <v>0</v>
      </c>
      <c r="O98" s="11">
        <f t="shared" si="7"/>
        <v>0</v>
      </c>
      <c r="P98" s="11">
        <f t="shared" si="8"/>
        <v>0</v>
      </c>
      <c r="Q98" s="8"/>
    </row>
    <row r="99" spans="1:17" x14ac:dyDescent="0.25">
      <c r="A99" s="8"/>
      <c r="B99" s="24" t="s">
        <v>891</v>
      </c>
      <c r="C99" s="8"/>
      <c r="D99" s="8"/>
      <c r="E99" s="10" t="s">
        <v>229</v>
      </c>
      <c r="F99" s="11">
        <v>1</v>
      </c>
      <c r="G99" s="18"/>
      <c r="H99" s="18"/>
      <c r="I99" s="18"/>
      <c r="J99" s="18"/>
      <c r="K99" s="11"/>
      <c r="L99" s="11"/>
      <c r="M99" s="11"/>
      <c r="N99" s="11">
        <f t="shared" si="4"/>
        <v>0</v>
      </c>
      <c r="O99" s="11">
        <f t="shared" si="7"/>
        <v>0</v>
      </c>
      <c r="P99" s="11">
        <f t="shared" si="8"/>
        <v>0</v>
      </c>
      <c r="Q99" s="8"/>
    </row>
    <row r="100" spans="1:17" x14ac:dyDescent="0.25">
      <c r="A100" s="8"/>
      <c r="B100" s="24" t="s">
        <v>836</v>
      </c>
      <c r="C100" s="8"/>
      <c r="D100" s="8"/>
      <c r="E100" s="10"/>
      <c r="F100" s="11"/>
      <c r="G100" s="18"/>
      <c r="H100" s="18"/>
      <c r="I100" s="18"/>
      <c r="J100" s="18"/>
      <c r="K100" s="11"/>
      <c r="L100" s="11"/>
      <c r="M100" s="11"/>
      <c r="N100" s="11">
        <f t="shared" si="4"/>
        <v>0</v>
      </c>
      <c r="O100" s="11">
        <f t="shared" si="7"/>
        <v>0</v>
      </c>
      <c r="P100" s="11">
        <f t="shared" si="8"/>
        <v>0</v>
      </c>
      <c r="Q100" s="8"/>
    </row>
    <row r="101" spans="1:17" x14ac:dyDescent="0.25">
      <c r="A101" s="8"/>
      <c r="B101" s="24" t="s">
        <v>892</v>
      </c>
      <c r="C101" s="8"/>
      <c r="D101" s="8"/>
      <c r="E101" s="10" t="s">
        <v>229</v>
      </c>
      <c r="F101" s="11">
        <v>4</v>
      </c>
      <c r="G101" s="18"/>
      <c r="H101" s="18"/>
      <c r="I101" s="18"/>
      <c r="J101" s="18"/>
      <c r="K101" s="11"/>
      <c r="L101" s="11"/>
      <c r="M101" s="11"/>
      <c r="N101" s="11">
        <f t="shared" si="4"/>
        <v>0</v>
      </c>
      <c r="O101" s="11">
        <f t="shared" si="7"/>
        <v>0</v>
      </c>
      <c r="P101" s="11">
        <f t="shared" si="8"/>
        <v>0</v>
      </c>
      <c r="Q101" s="8"/>
    </row>
    <row r="102" spans="1:17" x14ac:dyDescent="0.25">
      <c r="A102" s="8"/>
      <c r="B102" s="24" t="s">
        <v>893</v>
      </c>
      <c r="C102" s="8"/>
      <c r="D102" s="8"/>
      <c r="E102" s="10" t="s">
        <v>229</v>
      </c>
      <c r="F102" s="11">
        <v>2</v>
      </c>
      <c r="G102" s="18"/>
      <c r="H102" s="18"/>
      <c r="I102" s="18"/>
      <c r="J102" s="18"/>
      <c r="K102" s="11"/>
      <c r="L102" s="11"/>
      <c r="M102" s="11"/>
      <c r="N102" s="11">
        <f t="shared" si="4"/>
        <v>0</v>
      </c>
      <c r="O102" s="11">
        <f t="shared" si="7"/>
        <v>0</v>
      </c>
      <c r="P102" s="11">
        <f t="shared" si="8"/>
        <v>0</v>
      </c>
      <c r="Q102" s="8"/>
    </row>
    <row r="103" spans="1:17" x14ac:dyDescent="0.25">
      <c r="A103" s="8"/>
      <c r="B103" s="24" t="s">
        <v>894</v>
      </c>
      <c r="C103" s="8"/>
      <c r="D103" s="8"/>
      <c r="E103" s="10" t="s">
        <v>229</v>
      </c>
      <c r="F103" s="11">
        <v>9</v>
      </c>
      <c r="G103" s="18"/>
      <c r="H103" s="18"/>
      <c r="I103" s="18"/>
      <c r="J103" s="18"/>
      <c r="K103" s="11"/>
      <c r="L103" s="11"/>
      <c r="M103" s="11"/>
      <c r="N103" s="11">
        <f t="shared" si="4"/>
        <v>0</v>
      </c>
      <c r="O103" s="11">
        <f t="shared" si="7"/>
        <v>0</v>
      </c>
      <c r="P103" s="11">
        <f t="shared" si="8"/>
        <v>0</v>
      </c>
      <c r="Q103" s="8"/>
    </row>
    <row r="104" spans="1:17" x14ac:dyDescent="0.25">
      <c r="A104" s="8"/>
      <c r="B104" s="24" t="s">
        <v>895</v>
      </c>
      <c r="C104" s="8"/>
      <c r="D104" s="8"/>
      <c r="E104" s="10" t="s">
        <v>229</v>
      </c>
      <c r="F104" s="11">
        <v>5</v>
      </c>
      <c r="G104" s="18"/>
      <c r="H104" s="18"/>
      <c r="I104" s="18"/>
      <c r="J104" s="18"/>
      <c r="K104" s="11"/>
      <c r="L104" s="11"/>
      <c r="M104" s="11"/>
      <c r="N104" s="11">
        <f t="shared" si="4"/>
        <v>0</v>
      </c>
      <c r="O104" s="11">
        <f t="shared" si="7"/>
        <v>0</v>
      </c>
      <c r="P104" s="11">
        <f t="shared" si="8"/>
        <v>0</v>
      </c>
      <c r="Q104" s="8"/>
    </row>
    <row r="105" spans="1:17" x14ac:dyDescent="0.25">
      <c r="A105" s="8"/>
      <c r="B105" s="24" t="s">
        <v>896</v>
      </c>
      <c r="C105" s="8"/>
      <c r="D105" s="8"/>
      <c r="E105" s="10" t="s">
        <v>229</v>
      </c>
      <c r="F105" s="11">
        <v>5</v>
      </c>
      <c r="G105" s="18"/>
      <c r="H105" s="18"/>
      <c r="I105" s="18"/>
      <c r="J105" s="18"/>
      <c r="K105" s="11"/>
      <c r="L105" s="11"/>
      <c r="M105" s="11"/>
      <c r="N105" s="11">
        <f t="shared" si="4"/>
        <v>0</v>
      </c>
      <c r="O105" s="11">
        <f t="shared" si="7"/>
        <v>0</v>
      </c>
      <c r="P105" s="11">
        <f t="shared" si="8"/>
        <v>0</v>
      </c>
      <c r="Q105" s="8"/>
    </row>
    <row r="106" spans="1:17" x14ac:dyDescent="0.25">
      <c r="A106" s="8"/>
      <c r="B106" s="24" t="s">
        <v>897</v>
      </c>
      <c r="C106" s="8"/>
      <c r="D106" s="8"/>
      <c r="E106" s="10" t="s">
        <v>229</v>
      </c>
      <c r="F106" s="11">
        <v>2</v>
      </c>
      <c r="G106" s="18"/>
      <c r="H106" s="18"/>
      <c r="I106" s="18"/>
      <c r="J106" s="18"/>
      <c r="K106" s="11"/>
      <c r="L106" s="11"/>
      <c r="M106" s="11"/>
      <c r="N106" s="11">
        <f t="shared" si="4"/>
        <v>0</v>
      </c>
      <c r="O106" s="11">
        <f t="shared" si="7"/>
        <v>0</v>
      </c>
      <c r="P106" s="11">
        <f t="shared" si="8"/>
        <v>0</v>
      </c>
      <c r="Q106" s="8"/>
    </row>
    <row r="107" spans="1:17" x14ac:dyDescent="0.25">
      <c r="A107" s="8"/>
      <c r="B107" s="24" t="s">
        <v>898</v>
      </c>
      <c r="C107" s="8"/>
      <c r="D107" s="8"/>
      <c r="E107" s="10" t="s">
        <v>229</v>
      </c>
      <c r="F107" s="11">
        <v>28</v>
      </c>
      <c r="G107" s="18"/>
      <c r="H107" s="18"/>
      <c r="I107" s="18"/>
      <c r="J107" s="18"/>
      <c r="K107" s="11"/>
      <c r="L107" s="11"/>
      <c r="M107" s="11"/>
      <c r="N107" s="11">
        <f t="shared" si="4"/>
        <v>0</v>
      </c>
      <c r="O107" s="11">
        <f t="shared" si="7"/>
        <v>0</v>
      </c>
      <c r="P107" s="11">
        <f t="shared" si="8"/>
        <v>0</v>
      </c>
      <c r="Q107" s="8"/>
    </row>
    <row r="108" spans="1:17" x14ac:dyDescent="0.25">
      <c r="A108" s="8"/>
      <c r="B108" s="24" t="s">
        <v>824</v>
      </c>
      <c r="C108" s="8"/>
      <c r="D108" s="8"/>
      <c r="E108" s="10" t="s">
        <v>1097</v>
      </c>
      <c r="F108" s="11">
        <v>1</v>
      </c>
      <c r="G108" s="18"/>
      <c r="H108" s="18"/>
      <c r="I108" s="18"/>
      <c r="J108" s="18"/>
      <c r="K108" s="11"/>
      <c r="L108" s="11"/>
      <c r="M108" s="11"/>
      <c r="N108" s="11">
        <f t="shared" si="4"/>
        <v>0</v>
      </c>
      <c r="O108" s="11">
        <f t="shared" si="7"/>
        <v>0</v>
      </c>
      <c r="P108" s="11">
        <f t="shared" si="8"/>
        <v>0</v>
      </c>
      <c r="Q108" s="8"/>
    </row>
    <row r="109" spans="1:17" x14ac:dyDescent="0.25">
      <c r="A109" s="8"/>
      <c r="B109" s="24"/>
      <c r="C109" s="8"/>
      <c r="D109" s="8"/>
      <c r="E109" s="10"/>
      <c r="F109" s="11"/>
      <c r="G109" s="18"/>
      <c r="H109" s="18"/>
      <c r="I109" s="18"/>
      <c r="J109" s="18"/>
      <c r="K109" s="11"/>
      <c r="L109" s="11"/>
      <c r="M109" s="11"/>
      <c r="N109" s="11">
        <f t="shared" si="4"/>
        <v>0</v>
      </c>
      <c r="O109" s="11">
        <f t="shared" si="7"/>
        <v>0</v>
      </c>
      <c r="P109" s="11">
        <f t="shared" si="8"/>
        <v>0</v>
      </c>
      <c r="Q109" s="8"/>
    </row>
    <row r="110" spans="1:17" ht="30" x14ac:dyDescent="0.25">
      <c r="A110" s="8"/>
      <c r="B110" s="24" t="s">
        <v>899</v>
      </c>
      <c r="C110" s="8"/>
      <c r="D110" s="8"/>
      <c r="E110" s="10"/>
      <c r="F110" s="11"/>
      <c r="G110" s="18"/>
      <c r="H110" s="18"/>
      <c r="I110" s="18"/>
      <c r="J110" s="18"/>
      <c r="K110" s="11"/>
      <c r="L110" s="11"/>
      <c r="M110" s="11"/>
      <c r="N110" s="11">
        <f t="shared" si="4"/>
        <v>0</v>
      </c>
      <c r="O110" s="11">
        <f t="shared" si="7"/>
        <v>0</v>
      </c>
      <c r="P110" s="11">
        <f t="shared" si="8"/>
        <v>0</v>
      </c>
      <c r="Q110" s="8"/>
    </row>
    <row r="111" spans="1:17" x14ac:dyDescent="0.25">
      <c r="A111" s="8"/>
      <c r="B111" s="24" t="s">
        <v>900</v>
      </c>
      <c r="C111" s="8"/>
      <c r="D111" s="8"/>
      <c r="E111" s="10" t="s">
        <v>229</v>
      </c>
      <c r="F111" s="11">
        <v>64</v>
      </c>
      <c r="G111" s="18"/>
      <c r="H111" s="18"/>
      <c r="I111" s="18"/>
      <c r="J111" s="18"/>
      <c r="K111" s="11"/>
      <c r="L111" s="11"/>
      <c r="M111" s="11"/>
      <c r="N111" s="11">
        <f t="shared" si="4"/>
        <v>0</v>
      </c>
      <c r="O111" s="11">
        <f t="shared" si="7"/>
        <v>0</v>
      </c>
      <c r="P111" s="11">
        <f t="shared" si="8"/>
        <v>0</v>
      </c>
      <c r="Q111" s="8"/>
    </row>
    <row r="112" spans="1:17" ht="30" x14ac:dyDescent="0.25">
      <c r="A112" s="8"/>
      <c r="B112" s="24" t="s">
        <v>901</v>
      </c>
      <c r="C112" s="8"/>
      <c r="D112" s="8"/>
      <c r="E112" s="10" t="s">
        <v>229</v>
      </c>
      <c r="F112" s="11">
        <v>4</v>
      </c>
      <c r="G112" s="18"/>
      <c r="H112" s="18"/>
      <c r="I112" s="18"/>
      <c r="J112" s="18"/>
      <c r="K112" s="11"/>
      <c r="L112" s="11"/>
      <c r="M112" s="11"/>
      <c r="N112" s="11">
        <f t="shared" si="4"/>
        <v>0</v>
      </c>
      <c r="O112" s="11">
        <f t="shared" si="7"/>
        <v>0</v>
      </c>
      <c r="P112" s="11">
        <f t="shared" si="8"/>
        <v>0</v>
      </c>
      <c r="Q112" s="8"/>
    </row>
    <row r="113" spans="1:17" ht="30" x14ac:dyDescent="0.25">
      <c r="A113" s="8"/>
      <c r="B113" s="24" t="s">
        <v>902</v>
      </c>
      <c r="C113" s="8"/>
      <c r="D113" s="8"/>
      <c r="E113" s="10" t="s">
        <v>229</v>
      </c>
      <c r="F113" s="11">
        <v>12</v>
      </c>
      <c r="G113" s="18"/>
      <c r="H113" s="18"/>
      <c r="I113" s="18"/>
      <c r="J113" s="18"/>
      <c r="K113" s="11"/>
      <c r="L113" s="11"/>
      <c r="M113" s="11"/>
      <c r="N113" s="11">
        <f t="shared" si="4"/>
        <v>0</v>
      </c>
      <c r="O113" s="11">
        <f t="shared" si="7"/>
        <v>0</v>
      </c>
      <c r="P113" s="11">
        <f t="shared" si="8"/>
        <v>0</v>
      </c>
      <c r="Q113" s="8"/>
    </row>
    <row r="114" spans="1:17" x14ac:dyDescent="0.25">
      <c r="A114" s="8"/>
      <c r="B114" s="24" t="s">
        <v>903</v>
      </c>
      <c r="C114" s="8"/>
      <c r="D114" s="8"/>
      <c r="E114" s="10" t="s">
        <v>229</v>
      </c>
      <c r="F114" s="11">
        <v>2</v>
      </c>
      <c r="G114" s="18"/>
      <c r="H114" s="18"/>
      <c r="I114" s="18"/>
      <c r="J114" s="18"/>
      <c r="K114" s="11"/>
      <c r="L114" s="11"/>
      <c r="M114" s="11"/>
      <c r="N114" s="11">
        <f t="shared" si="4"/>
        <v>0</v>
      </c>
      <c r="O114" s="11">
        <f t="shared" si="7"/>
        <v>0</v>
      </c>
      <c r="P114" s="11">
        <f t="shared" si="8"/>
        <v>0</v>
      </c>
      <c r="Q114" s="8"/>
    </row>
    <row r="115" spans="1:17" x14ac:dyDescent="0.25">
      <c r="A115" s="8"/>
      <c r="B115" s="24" t="s">
        <v>904</v>
      </c>
      <c r="C115" s="8"/>
      <c r="D115" s="8"/>
      <c r="E115" s="10" t="s">
        <v>229</v>
      </c>
      <c r="F115" s="11">
        <v>4</v>
      </c>
      <c r="G115" s="18"/>
      <c r="H115" s="18"/>
      <c r="I115" s="18"/>
      <c r="J115" s="18"/>
      <c r="K115" s="11"/>
      <c r="L115" s="11"/>
      <c r="M115" s="11"/>
      <c r="N115" s="11">
        <f t="shared" si="4"/>
        <v>0</v>
      </c>
      <c r="O115" s="11">
        <f t="shared" si="7"/>
        <v>0</v>
      </c>
      <c r="P115" s="11">
        <f t="shared" si="8"/>
        <v>0</v>
      </c>
      <c r="Q115" s="8"/>
    </row>
    <row r="116" spans="1:17" x14ac:dyDescent="0.25">
      <c r="A116" s="8"/>
      <c r="B116" s="24" t="s">
        <v>905</v>
      </c>
      <c r="C116" s="8"/>
      <c r="D116" s="8"/>
      <c r="E116" s="10" t="s">
        <v>229</v>
      </c>
      <c r="F116" s="11">
        <v>12</v>
      </c>
      <c r="G116" s="18"/>
      <c r="H116" s="18"/>
      <c r="I116" s="18"/>
      <c r="J116" s="18"/>
      <c r="K116" s="11"/>
      <c r="L116" s="11"/>
      <c r="M116" s="11"/>
      <c r="N116" s="11">
        <f t="shared" si="4"/>
        <v>0</v>
      </c>
      <c r="O116" s="11">
        <f t="shared" si="7"/>
        <v>0</v>
      </c>
      <c r="P116" s="11">
        <f t="shared" si="8"/>
        <v>0</v>
      </c>
      <c r="Q116" s="8"/>
    </row>
    <row r="117" spans="1:17" x14ac:dyDescent="0.25">
      <c r="A117" s="8"/>
      <c r="B117" s="24" t="s">
        <v>906</v>
      </c>
      <c r="C117" s="8"/>
      <c r="D117" s="8"/>
      <c r="E117" s="10" t="s">
        <v>229</v>
      </c>
      <c r="F117" s="11">
        <v>2</v>
      </c>
      <c r="G117" s="18"/>
      <c r="H117" s="18"/>
      <c r="I117" s="18"/>
      <c r="J117" s="18"/>
      <c r="K117" s="11"/>
      <c r="L117" s="11"/>
      <c r="M117" s="11"/>
      <c r="N117" s="11">
        <f t="shared" si="4"/>
        <v>0</v>
      </c>
      <c r="O117" s="11">
        <f t="shared" si="7"/>
        <v>0</v>
      </c>
      <c r="P117" s="11">
        <f t="shared" si="8"/>
        <v>0</v>
      </c>
      <c r="Q117" s="8"/>
    </row>
    <row r="118" spans="1:17" x14ac:dyDescent="0.25">
      <c r="A118" s="8"/>
      <c r="B118" s="24" t="s">
        <v>856</v>
      </c>
      <c r="C118" s="8"/>
      <c r="D118" s="8"/>
      <c r="E118" s="10" t="s">
        <v>229</v>
      </c>
      <c r="F118" s="11">
        <v>3</v>
      </c>
      <c r="G118" s="18"/>
      <c r="H118" s="18"/>
      <c r="I118" s="18"/>
      <c r="J118" s="18"/>
      <c r="K118" s="11"/>
      <c r="L118" s="11"/>
      <c r="M118" s="11"/>
      <c r="N118" s="11">
        <f t="shared" si="4"/>
        <v>0</v>
      </c>
      <c r="O118" s="11">
        <f t="shared" si="7"/>
        <v>0</v>
      </c>
      <c r="P118" s="11">
        <f t="shared" si="8"/>
        <v>0</v>
      </c>
      <c r="Q118" s="8"/>
    </row>
    <row r="119" spans="1:17" x14ac:dyDescent="0.25">
      <c r="A119" s="8"/>
      <c r="B119" s="24" t="s">
        <v>824</v>
      </c>
      <c r="C119" s="8"/>
      <c r="D119" s="8"/>
      <c r="E119" s="10" t="s">
        <v>1097</v>
      </c>
      <c r="F119" s="11">
        <v>1</v>
      </c>
      <c r="G119" s="18"/>
      <c r="H119" s="18"/>
      <c r="I119" s="18"/>
      <c r="J119" s="18"/>
      <c r="K119" s="11"/>
      <c r="L119" s="11"/>
      <c r="M119" s="11"/>
      <c r="N119" s="11">
        <f t="shared" ref="N119:N182" si="9">L119*8%</f>
        <v>0</v>
      </c>
      <c r="O119" s="11">
        <f t="shared" si="7"/>
        <v>0</v>
      </c>
      <c r="P119" s="11">
        <f t="shared" si="8"/>
        <v>0</v>
      </c>
      <c r="Q119" s="8"/>
    </row>
    <row r="120" spans="1:17" x14ac:dyDescent="0.25">
      <c r="A120" s="8"/>
      <c r="B120" s="24"/>
      <c r="C120" s="8"/>
      <c r="D120" s="8"/>
      <c r="E120" s="10"/>
      <c r="F120" s="11"/>
      <c r="G120" s="18"/>
      <c r="H120" s="18"/>
      <c r="I120" s="18"/>
      <c r="J120" s="18"/>
      <c r="K120" s="11"/>
      <c r="L120" s="11"/>
      <c r="M120" s="11"/>
      <c r="N120" s="11">
        <f t="shared" si="9"/>
        <v>0</v>
      </c>
      <c r="O120" s="11">
        <f t="shared" si="7"/>
        <v>0</v>
      </c>
      <c r="P120" s="11">
        <f t="shared" si="8"/>
        <v>0</v>
      </c>
      <c r="Q120" s="8"/>
    </row>
    <row r="121" spans="1:17" x14ac:dyDescent="0.25">
      <c r="A121" s="8"/>
      <c r="B121" s="24" t="s">
        <v>907</v>
      </c>
      <c r="C121" s="8"/>
      <c r="D121" s="8"/>
      <c r="E121" s="10"/>
      <c r="F121" s="11"/>
      <c r="G121" s="18"/>
      <c r="H121" s="18"/>
      <c r="I121" s="18"/>
      <c r="J121" s="18"/>
      <c r="K121" s="11"/>
      <c r="L121" s="11"/>
      <c r="M121" s="11"/>
      <c r="N121" s="11">
        <f t="shared" si="9"/>
        <v>0</v>
      </c>
      <c r="O121" s="11">
        <f t="shared" si="7"/>
        <v>0</v>
      </c>
      <c r="P121" s="11">
        <f t="shared" si="8"/>
        <v>0</v>
      </c>
      <c r="Q121" s="8"/>
    </row>
    <row r="122" spans="1:17" x14ac:dyDescent="0.25">
      <c r="A122" s="8"/>
      <c r="B122" s="24" t="s">
        <v>413</v>
      </c>
      <c r="C122" s="8"/>
      <c r="D122" s="8"/>
      <c r="E122" s="10"/>
      <c r="F122" s="11"/>
      <c r="G122" s="18"/>
      <c r="H122" s="18"/>
      <c r="I122" s="18"/>
      <c r="J122" s="18"/>
      <c r="K122" s="11"/>
      <c r="L122" s="11"/>
      <c r="M122" s="11"/>
      <c r="N122" s="11">
        <f t="shared" si="9"/>
        <v>0</v>
      </c>
      <c r="O122" s="11">
        <f t="shared" si="7"/>
        <v>0</v>
      </c>
      <c r="P122" s="11">
        <f t="shared" si="8"/>
        <v>0</v>
      </c>
      <c r="Q122" s="8"/>
    </row>
    <row r="123" spans="1:17" ht="60" x14ac:dyDescent="0.25">
      <c r="A123" s="8"/>
      <c r="B123" s="24" t="s">
        <v>908</v>
      </c>
      <c r="C123" s="8"/>
      <c r="D123" s="8"/>
      <c r="E123" s="10" t="s">
        <v>229</v>
      </c>
      <c r="F123" s="11">
        <v>1</v>
      </c>
      <c r="G123" s="18"/>
      <c r="H123" s="18"/>
      <c r="I123" s="18"/>
      <c r="J123" s="18"/>
      <c r="K123" s="11"/>
      <c r="L123" s="11"/>
      <c r="M123" s="11"/>
      <c r="N123" s="11">
        <f t="shared" si="9"/>
        <v>0</v>
      </c>
      <c r="O123" s="11">
        <f t="shared" si="7"/>
        <v>0</v>
      </c>
      <c r="P123" s="11">
        <f t="shared" si="8"/>
        <v>0</v>
      </c>
      <c r="Q123" s="8"/>
    </row>
    <row r="124" spans="1:17" ht="60" x14ac:dyDescent="0.25">
      <c r="A124" s="8"/>
      <c r="B124" s="24" t="s">
        <v>909</v>
      </c>
      <c r="C124" s="8"/>
      <c r="D124" s="8"/>
      <c r="E124" s="10" t="s">
        <v>229</v>
      </c>
      <c r="F124" s="11">
        <v>1</v>
      </c>
      <c r="G124" s="18"/>
      <c r="H124" s="18"/>
      <c r="I124" s="18"/>
      <c r="J124" s="18"/>
      <c r="K124" s="11"/>
      <c r="L124" s="11"/>
      <c r="M124" s="11"/>
      <c r="N124" s="11">
        <f t="shared" si="9"/>
        <v>0</v>
      </c>
      <c r="O124" s="11">
        <f t="shared" si="7"/>
        <v>0</v>
      </c>
      <c r="P124" s="11">
        <f t="shared" si="8"/>
        <v>0</v>
      </c>
      <c r="Q124" s="8"/>
    </row>
    <row r="125" spans="1:17" ht="60" x14ac:dyDescent="0.25">
      <c r="A125" s="8"/>
      <c r="B125" s="24" t="s">
        <v>910</v>
      </c>
      <c r="C125" s="8"/>
      <c r="D125" s="8"/>
      <c r="E125" s="10" t="s">
        <v>229</v>
      </c>
      <c r="F125" s="11">
        <v>1</v>
      </c>
      <c r="G125" s="18"/>
      <c r="H125" s="18"/>
      <c r="I125" s="18"/>
      <c r="J125" s="18"/>
      <c r="K125" s="11"/>
      <c r="L125" s="11"/>
      <c r="M125" s="11"/>
      <c r="N125" s="11">
        <f t="shared" si="9"/>
        <v>0</v>
      </c>
      <c r="O125" s="11">
        <f t="shared" si="7"/>
        <v>0</v>
      </c>
      <c r="P125" s="11">
        <f t="shared" si="8"/>
        <v>0</v>
      </c>
      <c r="Q125" s="8"/>
    </row>
    <row r="126" spans="1:17" ht="60" x14ac:dyDescent="0.25">
      <c r="A126" s="8"/>
      <c r="B126" s="24" t="s">
        <v>911</v>
      </c>
      <c r="C126" s="8"/>
      <c r="D126" s="8"/>
      <c r="E126" s="10" t="s">
        <v>229</v>
      </c>
      <c r="F126" s="11">
        <v>1</v>
      </c>
      <c r="G126" s="18"/>
      <c r="H126" s="18"/>
      <c r="I126" s="18"/>
      <c r="J126" s="18"/>
      <c r="K126" s="11"/>
      <c r="L126" s="11"/>
      <c r="M126" s="11"/>
      <c r="N126" s="11">
        <f t="shared" si="9"/>
        <v>0</v>
      </c>
      <c r="O126" s="11">
        <f t="shared" si="7"/>
        <v>0</v>
      </c>
      <c r="P126" s="11">
        <f t="shared" si="8"/>
        <v>0</v>
      </c>
      <c r="Q126" s="8"/>
    </row>
    <row r="127" spans="1:17" ht="60" x14ac:dyDescent="0.25">
      <c r="A127" s="8"/>
      <c r="B127" s="24" t="s">
        <v>912</v>
      </c>
      <c r="C127" s="8"/>
      <c r="D127" s="8"/>
      <c r="E127" s="10" t="s">
        <v>229</v>
      </c>
      <c r="F127" s="11">
        <v>1</v>
      </c>
      <c r="G127" s="18"/>
      <c r="H127" s="18"/>
      <c r="I127" s="18"/>
      <c r="J127" s="18"/>
      <c r="K127" s="11"/>
      <c r="L127" s="11"/>
      <c r="M127" s="11"/>
      <c r="N127" s="11">
        <f t="shared" si="9"/>
        <v>0</v>
      </c>
      <c r="O127" s="11">
        <f t="shared" si="7"/>
        <v>0</v>
      </c>
      <c r="P127" s="11">
        <f t="shared" si="8"/>
        <v>0</v>
      </c>
      <c r="Q127" s="8"/>
    </row>
    <row r="128" spans="1:17" ht="60" x14ac:dyDescent="0.25">
      <c r="A128" s="8"/>
      <c r="B128" s="24" t="s">
        <v>913</v>
      </c>
      <c r="C128" s="8"/>
      <c r="D128" s="8"/>
      <c r="E128" s="10" t="s">
        <v>229</v>
      </c>
      <c r="F128" s="11">
        <v>1</v>
      </c>
      <c r="G128" s="18"/>
      <c r="H128" s="18"/>
      <c r="I128" s="18"/>
      <c r="J128" s="18"/>
      <c r="K128" s="11"/>
      <c r="L128" s="11"/>
      <c r="M128" s="11"/>
      <c r="N128" s="11">
        <f t="shared" si="9"/>
        <v>0</v>
      </c>
      <c r="O128" s="11">
        <f t="shared" si="7"/>
        <v>0</v>
      </c>
      <c r="P128" s="11">
        <f t="shared" si="8"/>
        <v>0</v>
      </c>
      <c r="Q128" s="8"/>
    </row>
    <row r="129" spans="1:17" ht="60" x14ac:dyDescent="0.25">
      <c r="A129" s="8"/>
      <c r="B129" s="24" t="s">
        <v>914</v>
      </c>
      <c r="C129" s="8"/>
      <c r="D129" s="8"/>
      <c r="E129" s="10" t="s">
        <v>229</v>
      </c>
      <c r="F129" s="11">
        <v>1</v>
      </c>
      <c r="G129" s="18"/>
      <c r="H129" s="18"/>
      <c r="I129" s="18"/>
      <c r="J129" s="18"/>
      <c r="K129" s="11"/>
      <c r="L129" s="11"/>
      <c r="M129" s="11"/>
      <c r="N129" s="11">
        <f t="shared" si="9"/>
        <v>0</v>
      </c>
      <c r="O129" s="11">
        <f t="shared" si="7"/>
        <v>0</v>
      </c>
      <c r="P129" s="11">
        <f t="shared" si="8"/>
        <v>0</v>
      </c>
      <c r="Q129" s="8"/>
    </row>
    <row r="130" spans="1:17" ht="60" x14ac:dyDescent="0.25">
      <c r="A130" s="8"/>
      <c r="B130" s="24" t="s">
        <v>915</v>
      </c>
      <c r="C130" s="8"/>
      <c r="D130" s="8"/>
      <c r="E130" s="10" t="s">
        <v>229</v>
      </c>
      <c r="F130" s="11">
        <v>1</v>
      </c>
      <c r="G130" s="18"/>
      <c r="H130" s="18"/>
      <c r="I130" s="18"/>
      <c r="J130" s="18"/>
      <c r="K130" s="11"/>
      <c r="L130" s="11"/>
      <c r="M130" s="11"/>
      <c r="N130" s="11">
        <f t="shared" si="9"/>
        <v>0</v>
      </c>
      <c r="O130" s="11">
        <f t="shared" si="7"/>
        <v>0</v>
      </c>
      <c r="P130" s="11">
        <f t="shared" si="8"/>
        <v>0</v>
      </c>
      <c r="Q130" s="8"/>
    </row>
    <row r="131" spans="1:17" ht="60" x14ac:dyDescent="0.25">
      <c r="A131" s="8"/>
      <c r="B131" s="24" t="s">
        <v>916</v>
      </c>
      <c r="C131" s="8"/>
      <c r="D131" s="8"/>
      <c r="E131" s="10" t="s">
        <v>229</v>
      </c>
      <c r="F131" s="11">
        <v>1</v>
      </c>
      <c r="G131" s="18"/>
      <c r="H131" s="18"/>
      <c r="I131" s="18"/>
      <c r="J131" s="18"/>
      <c r="K131" s="11"/>
      <c r="L131" s="11"/>
      <c r="M131" s="11"/>
      <c r="N131" s="11">
        <f t="shared" si="9"/>
        <v>0</v>
      </c>
      <c r="O131" s="11">
        <f t="shared" si="7"/>
        <v>0</v>
      </c>
      <c r="P131" s="11">
        <f t="shared" si="8"/>
        <v>0</v>
      </c>
      <c r="Q131" s="8"/>
    </row>
    <row r="132" spans="1:17" ht="60" x14ac:dyDescent="0.25">
      <c r="A132" s="8"/>
      <c r="B132" s="24" t="s">
        <v>917</v>
      </c>
      <c r="C132" s="8"/>
      <c r="D132" s="8"/>
      <c r="E132" s="10" t="s">
        <v>229</v>
      </c>
      <c r="F132" s="11">
        <v>1</v>
      </c>
      <c r="G132" s="18"/>
      <c r="H132" s="18"/>
      <c r="I132" s="18"/>
      <c r="J132" s="18"/>
      <c r="K132" s="11"/>
      <c r="L132" s="11"/>
      <c r="M132" s="11"/>
      <c r="N132" s="11">
        <f t="shared" si="9"/>
        <v>0</v>
      </c>
      <c r="O132" s="11">
        <f t="shared" si="7"/>
        <v>0</v>
      </c>
      <c r="P132" s="11">
        <f t="shared" si="8"/>
        <v>0</v>
      </c>
      <c r="Q132" s="8"/>
    </row>
    <row r="133" spans="1:17" ht="60" x14ac:dyDescent="0.25">
      <c r="A133" s="8"/>
      <c r="B133" s="24" t="s">
        <v>918</v>
      </c>
      <c r="C133" s="8"/>
      <c r="D133" s="8"/>
      <c r="E133" s="10" t="s">
        <v>229</v>
      </c>
      <c r="F133" s="11">
        <v>1</v>
      </c>
      <c r="G133" s="18"/>
      <c r="H133" s="18"/>
      <c r="I133" s="18"/>
      <c r="J133" s="18"/>
      <c r="K133" s="11"/>
      <c r="L133" s="11"/>
      <c r="M133" s="11"/>
      <c r="N133" s="11">
        <f t="shared" si="9"/>
        <v>0</v>
      </c>
      <c r="O133" s="11">
        <f t="shared" si="7"/>
        <v>0</v>
      </c>
      <c r="P133" s="11">
        <f t="shared" si="8"/>
        <v>0</v>
      </c>
      <c r="Q133" s="8"/>
    </row>
    <row r="134" spans="1:17" ht="60" x14ac:dyDescent="0.25">
      <c r="A134" s="8"/>
      <c r="B134" s="24" t="s">
        <v>919</v>
      </c>
      <c r="C134" s="8"/>
      <c r="D134" s="8"/>
      <c r="E134" s="10" t="s">
        <v>229</v>
      </c>
      <c r="F134" s="11">
        <v>1</v>
      </c>
      <c r="G134" s="18"/>
      <c r="H134" s="18"/>
      <c r="I134" s="18"/>
      <c r="J134" s="18"/>
      <c r="K134" s="11"/>
      <c r="L134" s="11"/>
      <c r="M134" s="11"/>
      <c r="N134" s="11">
        <f t="shared" si="9"/>
        <v>0</v>
      </c>
      <c r="O134" s="11">
        <f t="shared" si="7"/>
        <v>0</v>
      </c>
      <c r="P134" s="11">
        <f t="shared" si="8"/>
        <v>0</v>
      </c>
      <c r="Q134" s="8"/>
    </row>
    <row r="135" spans="1:17" ht="60" x14ac:dyDescent="0.25">
      <c r="A135" s="8"/>
      <c r="B135" s="24" t="s">
        <v>920</v>
      </c>
      <c r="C135" s="8"/>
      <c r="D135" s="8"/>
      <c r="E135" s="10" t="s">
        <v>229</v>
      </c>
      <c r="F135" s="11">
        <v>1</v>
      </c>
      <c r="G135" s="18"/>
      <c r="H135" s="18"/>
      <c r="I135" s="18"/>
      <c r="J135" s="18"/>
      <c r="K135" s="11"/>
      <c r="L135" s="11"/>
      <c r="M135" s="11"/>
      <c r="N135" s="11">
        <f t="shared" si="9"/>
        <v>0</v>
      </c>
      <c r="O135" s="11">
        <f t="shared" si="7"/>
        <v>0</v>
      </c>
      <c r="P135" s="11">
        <f t="shared" si="8"/>
        <v>0</v>
      </c>
      <c r="Q135" s="8"/>
    </row>
    <row r="136" spans="1:17" ht="60" x14ac:dyDescent="0.25">
      <c r="A136" s="8"/>
      <c r="B136" s="24" t="s">
        <v>921</v>
      </c>
      <c r="C136" s="8"/>
      <c r="D136" s="8"/>
      <c r="E136" s="10" t="s">
        <v>229</v>
      </c>
      <c r="F136" s="11">
        <v>1</v>
      </c>
      <c r="G136" s="18"/>
      <c r="H136" s="18"/>
      <c r="I136" s="18"/>
      <c r="J136" s="18"/>
      <c r="K136" s="11"/>
      <c r="L136" s="11"/>
      <c r="M136" s="11"/>
      <c r="N136" s="11">
        <f t="shared" si="9"/>
        <v>0</v>
      </c>
      <c r="O136" s="11">
        <f t="shared" si="7"/>
        <v>0</v>
      </c>
      <c r="P136" s="11">
        <f t="shared" si="8"/>
        <v>0</v>
      </c>
      <c r="Q136" s="8"/>
    </row>
    <row r="137" spans="1:17" ht="60" x14ac:dyDescent="0.25">
      <c r="A137" s="8"/>
      <c r="B137" s="24" t="s">
        <v>922</v>
      </c>
      <c r="C137" s="8"/>
      <c r="D137" s="8"/>
      <c r="E137" s="10" t="s">
        <v>229</v>
      </c>
      <c r="F137" s="11">
        <v>1</v>
      </c>
      <c r="G137" s="18"/>
      <c r="H137" s="18"/>
      <c r="I137" s="18"/>
      <c r="J137" s="18"/>
      <c r="K137" s="11"/>
      <c r="L137" s="11"/>
      <c r="M137" s="11"/>
      <c r="N137" s="11">
        <f t="shared" si="9"/>
        <v>0</v>
      </c>
      <c r="O137" s="11">
        <f t="shared" si="7"/>
        <v>0</v>
      </c>
      <c r="P137" s="11">
        <f t="shared" si="8"/>
        <v>0</v>
      </c>
      <c r="Q137" s="8"/>
    </row>
    <row r="138" spans="1:17" ht="60" x14ac:dyDescent="0.25">
      <c r="A138" s="8"/>
      <c r="B138" s="24" t="s">
        <v>923</v>
      </c>
      <c r="C138" s="8"/>
      <c r="D138" s="8"/>
      <c r="E138" s="10" t="s">
        <v>229</v>
      </c>
      <c r="F138" s="11">
        <v>1</v>
      </c>
      <c r="G138" s="18"/>
      <c r="H138" s="18"/>
      <c r="I138" s="18"/>
      <c r="J138" s="18"/>
      <c r="K138" s="11"/>
      <c r="L138" s="11"/>
      <c r="M138" s="11"/>
      <c r="N138" s="11">
        <f t="shared" si="9"/>
        <v>0</v>
      </c>
      <c r="O138" s="11">
        <f t="shared" si="7"/>
        <v>0</v>
      </c>
      <c r="P138" s="11">
        <f t="shared" si="8"/>
        <v>0</v>
      </c>
      <c r="Q138" s="8"/>
    </row>
    <row r="139" spans="1:17" ht="60" x14ac:dyDescent="0.25">
      <c r="A139" s="8"/>
      <c r="B139" s="24" t="s">
        <v>924</v>
      </c>
      <c r="C139" s="8"/>
      <c r="D139" s="8"/>
      <c r="E139" s="10" t="s">
        <v>229</v>
      </c>
      <c r="F139" s="11">
        <v>1</v>
      </c>
      <c r="G139" s="18"/>
      <c r="H139" s="18"/>
      <c r="I139" s="18"/>
      <c r="J139" s="18"/>
      <c r="K139" s="11"/>
      <c r="L139" s="11"/>
      <c r="M139" s="11"/>
      <c r="N139" s="11">
        <f t="shared" si="9"/>
        <v>0</v>
      </c>
      <c r="O139" s="11">
        <f t="shared" si="7"/>
        <v>0</v>
      </c>
      <c r="P139" s="11">
        <f t="shared" si="8"/>
        <v>0</v>
      </c>
      <c r="Q139" s="8"/>
    </row>
    <row r="140" spans="1:17" ht="60" x14ac:dyDescent="0.25">
      <c r="A140" s="8"/>
      <c r="B140" s="24" t="s">
        <v>925</v>
      </c>
      <c r="C140" s="8"/>
      <c r="D140" s="8"/>
      <c r="E140" s="10" t="s">
        <v>229</v>
      </c>
      <c r="F140" s="11">
        <v>1</v>
      </c>
      <c r="G140" s="18"/>
      <c r="H140" s="18"/>
      <c r="I140" s="18"/>
      <c r="J140" s="18"/>
      <c r="K140" s="11"/>
      <c r="L140" s="11"/>
      <c r="M140" s="11"/>
      <c r="N140" s="11">
        <f t="shared" si="9"/>
        <v>0</v>
      </c>
      <c r="O140" s="11">
        <f t="shared" si="7"/>
        <v>0</v>
      </c>
      <c r="P140" s="11">
        <f t="shared" si="8"/>
        <v>0</v>
      </c>
      <c r="Q140" s="8"/>
    </row>
    <row r="141" spans="1:17" x14ac:dyDescent="0.25">
      <c r="A141" s="8"/>
      <c r="B141" s="24" t="s">
        <v>823</v>
      </c>
      <c r="C141" s="8"/>
      <c r="D141" s="8"/>
      <c r="E141" s="10" t="s">
        <v>230</v>
      </c>
      <c r="F141" s="11">
        <v>18</v>
      </c>
      <c r="G141" s="18"/>
      <c r="H141" s="18"/>
      <c r="I141" s="18"/>
      <c r="J141" s="18"/>
      <c r="K141" s="11"/>
      <c r="L141" s="11"/>
      <c r="M141" s="11"/>
      <c r="N141" s="11">
        <f t="shared" si="9"/>
        <v>0</v>
      </c>
      <c r="O141" s="11">
        <f t="shared" si="7"/>
        <v>0</v>
      </c>
      <c r="P141" s="11">
        <f t="shared" si="8"/>
        <v>0</v>
      </c>
      <c r="Q141" s="8"/>
    </row>
    <row r="142" spans="1:17" x14ac:dyDescent="0.25">
      <c r="A142" s="8"/>
      <c r="B142" s="24" t="s">
        <v>824</v>
      </c>
      <c r="C142" s="8"/>
      <c r="D142" s="8"/>
      <c r="E142" s="10" t="s">
        <v>1097</v>
      </c>
      <c r="F142" s="11">
        <v>1</v>
      </c>
      <c r="G142" s="18"/>
      <c r="H142" s="18"/>
      <c r="I142" s="18"/>
      <c r="J142" s="18"/>
      <c r="K142" s="11"/>
      <c r="L142" s="11"/>
      <c r="M142" s="11"/>
      <c r="N142" s="11">
        <f t="shared" si="9"/>
        <v>0</v>
      </c>
      <c r="O142" s="11">
        <f t="shared" si="7"/>
        <v>0</v>
      </c>
      <c r="P142" s="11">
        <f t="shared" si="8"/>
        <v>0</v>
      </c>
      <c r="Q142" s="8"/>
    </row>
    <row r="143" spans="1:17" x14ac:dyDescent="0.25">
      <c r="A143" s="8"/>
      <c r="B143" s="24"/>
      <c r="C143" s="8"/>
      <c r="D143" s="8"/>
      <c r="E143" s="10"/>
      <c r="F143" s="11"/>
      <c r="G143" s="18"/>
      <c r="H143" s="18"/>
      <c r="I143" s="18"/>
      <c r="J143" s="18"/>
      <c r="K143" s="11"/>
      <c r="L143" s="11"/>
      <c r="M143" s="11"/>
      <c r="N143" s="11">
        <f t="shared" si="9"/>
        <v>0</v>
      </c>
      <c r="O143" s="11">
        <f t="shared" si="7"/>
        <v>0</v>
      </c>
      <c r="P143" s="11">
        <f t="shared" si="8"/>
        <v>0</v>
      </c>
      <c r="Q143" s="8"/>
    </row>
    <row r="144" spans="1:17" ht="30" x14ac:dyDescent="0.25">
      <c r="A144" s="8"/>
      <c r="B144" s="24" t="s">
        <v>876</v>
      </c>
      <c r="C144" s="8"/>
      <c r="D144" s="8"/>
      <c r="E144" s="10"/>
      <c r="F144" s="11"/>
      <c r="G144" s="18"/>
      <c r="H144" s="18"/>
      <c r="I144" s="18"/>
      <c r="J144" s="18"/>
      <c r="K144" s="11"/>
      <c r="L144" s="11"/>
      <c r="M144" s="11"/>
      <c r="N144" s="11">
        <f t="shared" si="9"/>
        <v>0</v>
      </c>
      <c r="O144" s="11">
        <f t="shared" si="7"/>
        <v>0</v>
      </c>
      <c r="P144" s="11">
        <f t="shared" si="8"/>
        <v>0</v>
      </c>
      <c r="Q144" s="8"/>
    </row>
    <row r="145" spans="1:17" x14ac:dyDescent="0.25">
      <c r="A145" s="8"/>
      <c r="B145" s="24" t="s">
        <v>826</v>
      </c>
      <c r="C145" s="8"/>
      <c r="D145" s="8"/>
      <c r="E145" s="10"/>
      <c r="F145" s="11"/>
      <c r="G145" s="18"/>
      <c r="H145" s="18"/>
      <c r="I145" s="18"/>
      <c r="J145" s="18"/>
      <c r="K145" s="11"/>
      <c r="L145" s="11"/>
      <c r="M145" s="11"/>
      <c r="N145" s="11">
        <f t="shared" si="9"/>
        <v>0</v>
      </c>
      <c r="O145" s="11">
        <f t="shared" si="7"/>
        <v>0</v>
      </c>
      <c r="P145" s="11">
        <f t="shared" si="8"/>
        <v>0</v>
      </c>
      <c r="Q145" s="8"/>
    </row>
    <row r="146" spans="1:17" x14ac:dyDescent="0.25">
      <c r="A146" s="8"/>
      <c r="B146" s="24" t="s">
        <v>827</v>
      </c>
      <c r="C146" s="8"/>
      <c r="D146" s="8"/>
      <c r="E146" s="10"/>
      <c r="F146" s="11"/>
      <c r="G146" s="18"/>
      <c r="H146" s="18"/>
      <c r="I146" s="18"/>
      <c r="J146" s="18"/>
      <c r="K146" s="11"/>
      <c r="L146" s="11"/>
      <c r="M146" s="11"/>
      <c r="N146" s="11">
        <f t="shared" si="9"/>
        <v>0</v>
      </c>
      <c r="O146" s="11">
        <f t="shared" si="7"/>
        <v>0</v>
      </c>
      <c r="P146" s="11">
        <f t="shared" si="8"/>
        <v>0</v>
      </c>
      <c r="Q146" s="8"/>
    </row>
    <row r="147" spans="1:17" x14ac:dyDescent="0.25">
      <c r="A147" s="8"/>
      <c r="B147" s="24" t="s">
        <v>877</v>
      </c>
      <c r="C147" s="8"/>
      <c r="D147" s="8"/>
      <c r="E147" s="10" t="s">
        <v>225</v>
      </c>
      <c r="F147" s="11">
        <v>430</v>
      </c>
      <c r="G147" s="18"/>
      <c r="H147" s="18"/>
      <c r="I147" s="18"/>
      <c r="J147" s="18"/>
      <c r="K147" s="11"/>
      <c r="L147" s="11"/>
      <c r="M147" s="11"/>
      <c r="N147" s="11">
        <f t="shared" si="9"/>
        <v>0</v>
      </c>
      <c r="O147" s="11">
        <f t="shared" si="7"/>
        <v>0</v>
      </c>
      <c r="P147" s="11">
        <f t="shared" si="8"/>
        <v>0</v>
      </c>
      <c r="Q147" s="8"/>
    </row>
    <row r="148" spans="1:17" x14ac:dyDescent="0.25">
      <c r="A148" s="8"/>
      <c r="B148" s="24" t="s">
        <v>879</v>
      </c>
      <c r="C148" s="8"/>
      <c r="D148" s="8"/>
      <c r="E148" s="10" t="s">
        <v>225</v>
      </c>
      <c r="F148" s="11">
        <v>341</v>
      </c>
      <c r="G148" s="18"/>
      <c r="H148" s="18"/>
      <c r="I148" s="18"/>
      <c r="J148" s="18"/>
      <c r="K148" s="11"/>
      <c r="L148" s="11"/>
      <c r="M148" s="11"/>
      <c r="N148" s="11">
        <f t="shared" si="9"/>
        <v>0</v>
      </c>
      <c r="O148" s="11">
        <f t="shared" si="7"/>
        <v>0</v>
      </c>
      <c r="P148" s="11">
        <f t="shared" si="8"/>
        <v>0</v>
      </c>
      <c r="Q148" s="8"/>
    </row>
    <row r="149" spans="1:17" x14ac:dyDescent="0.25">
      <c r="A149" s="8"/>
      <c r="B149" s="24" t="s">
        <v>880</v>
      </c>
      <c r="C149" s="8"/>
      <c r="D149" s="8"/>
      <c r="E149" s="10" t="s">
        <v>225</v>
      </c>
      <c r="F149" s="11">
        <v>69</v>
      </c>
      <c r="G149" s="18"/>
      <c r="H149" s="18"/>
      <c r="I149" s="18"/>
      <c r="J149" s="18"/>
      <c r="K149" s="11"/>
      <c r="L149" s="11"/>
      <c r="M149" s="11"/>
      <c r="N149" s="11">
        <f t="shared" si="9"/>
        <v>0</v>
      </c>
      <c r="O149" s="11">
        <f t="shared" si="7"/>
        <v>0</v>
      </c>
      <c r="P149" s="11">
        <f t="shared" si="8"/>
        <v>0</v>
      </c>
      <c r="Q149" s="8"/>
    </row>
    <row r="150" spans="1:17" x14ac:dyDescent="0.25">
      <c r="A150" s="8"/>
      <c r="B150" s="24" t="s">
        <v>926</v>
      </c>
      <c r="C150" s="8"/>
      <c r="D150" s="8"/>
      <c r="E150" s="10" t="s">
        <v>225</v>
      </c>
      <c r="F150" s="11">
        <v>147</v>
      </c>
      <c r="G150" s="18"/>
      <c r="H150" s="18"/>
      <c r="I150" s="18"/>
      <c r="J150" s="18"/>
      <c r="K150" s="11"/>
      <c r="L150" s="11"/>
      <c r="M150" s="11"/>
      <c r="N150" s="11">
        <f t="shared" si="9"/>
        <v>0</v>
      </c>
      <c r="O150" s="11">
        <f t="shared" si="7"/>
        <v>0</v>
      </c>
      <c r="P150" s="11">
        <f t="shared" si="8"/>
        <v>0</v>
      </c>
      <c r="Q150" s="8"/>
    </row>
    <row r="151" spans="1:17" x14ac:dyDescent="0.25">
      <c r="A151" s="8"/>
      <c r="B151" s="24" t="s">
        <v>927</v>
      </c>
      <c r="C151" s="8"/>
      <c r="D151" s="8"/>
      <c r="E151" s="10" t="s">
        <v>225</v>
      </c>
      <c r="F151" s="11">
        <v>294</v>
      </c>
      <c r="G151" s="18"/>
      <c r="H151" s="18"/>
      <c r="I151" s="18"/>
      <c r="J151" s="18"/>
      <c r="K151" s="11"/>
      <c r="L151" s="11"/>
      <c r="M151" s="11"/>
      <c r="N151" s="11">
        <f t="shared" si="9"/>
        <v>0</v>
      </c>
      <c r="O151" s="11">
        <f t="shared" si="7"/>
        <v>0</v>
      </c>
      <c r="P151" s="11">
        <f t="shared" si="8"/>
        <v>0</v>
      </c>
      <c r="Q151" s="8"/>
    </row>
    <row r="152" spans="1:17" x14ac:dyDescent="0.25">
      <c r="A152" s="8"/>
      <c r="B152" s="24" t="s">
        <v>928</v>
      </c>
      <c r="C152" s="8"/>
      <c r="D152" s="8"/>
      <c r="E152" s="10" t="s">
        <v>225</v>
      </c>
      <c r="F152" s="11">
        <v>607</v>
      </c>
      <c r="G152" s="18"/>
      <c r="H152" s="18"/>
      <c r="I152" s="18"/>
      <c r="J152" s="18"/>
      <c r="K152" s="11"/>
      <c r="L152" s="11"/>
      <c r="M152" s="11"/>
      <c r="N152" s="11">
        <f t="shared" si="9"/>
        <v>0</v>
      </c>
      <c r="O152" s="11">
        <f t="shared" si="7"/>
        <v>0</v>
      </c>
      <c r="P152" s="11">
        <f t="shared" si="8"/>
        <v>0</v>
      </c>
      <c r="Q152" s="8"/>
    </row>
    <row r="153" spans="1:17" x14ac:dyDescent="0.25">
      <c r="A153" s="8"/>
      <c r="B153" s="24" t="s">
        <v>929</v>
      </c>
      <c r="C153" s="8"/>
      <c r="D153" s="8"/>
      <c r="E153" s="10" t="s">
        <v>225</v>
      </c>
      <c r="F153" s="11">
        <v>2</v>
      </c>
      <c r="G153" s="18"/>
      <c r="H153" s="18"/>
      <c r="I153" s="18"/>
      <c r="J153" s="18"/>
      <c r="K153" s="11"/>
      <c r="L153" s="11"/>
      <c r="M153" s="11"/>
      <c r="N153" s="11">
        <f t="shared" si="9"/>
        <v>0</v>
      </c>
      <c r="O153" s="11">
        <f t="shared" si="7"/>
        <v>0</v>
      </c>
      <c r="P153" s="11">
        <f t="shared" si="8"/>
        <v>0</v>
      </c>
      <c r="Q153" s="8"/>
    </row>
    <row r="154" spans="1:17" x14ac:dyDescent="0.25">
      <c r="A154" s="8"/>
      <c r="B154" s="24" t="s">
        <v>930</v>
      </c>
      <c r="C154" s="8"/>
      <c r="D154" s="8"/>
      <c r="E154" s="10" t="s">
        <v>225</v>
      </c>
      <c r="F154" s="11">
        <v>6</v>
      </c>
      <c r="G154" s="18"/>
      <c r="H154" s="18"/>
      <c r="I154" s="18"/>
      <c r="J154" s="18"/>
      <c r="K154" s="11"/>
      <c r="L154" s="11"/>
      <c r="M154" s="11"/>
      <c r="N154" s="11"/>
      <c r="O154" s="11"/>
      <c r="P154" s="11"/>
      <c r="Q154" s="8"/>
    </row>
    <row r="155" spans="1:17" x14ac:dyDescent="0.25">
      <c r="A155" s="8"/>
      <c r="B155" s="24" t="s">
        <v>931</v>
      </c>
      <c r="C155" s="12"/>
      <c r="D155" s="10"/>
      <c r="E155" s="10" t="s">
        <v>225</v>
      </c>
      <c r="F155" s="11">
        <v>5</v>
      </c>
      <c r="G155" s="21"/>
      <c r="H155" s="18"/>
      <c r="I155" s="18"/>
      <c r="J155" s="18"/>
      <c r="K155" s="11"/>
      <c r="L155" s="11"/>
      <c r="M155" s="11">
        <f>K155*8%</f>
        <v>0</v>
      </c>
      <c r="N155" s="11">
        <f t="shared" si="9"/>
        <v>0</v>
      </c>
      <c r="O155" s="11">
        <f t="shared" ref="O155:O218" si="10">(K155+M155)*F155</f>
        <v>0</v>
      </c>
      <c r="P155" s="11">
        <f t="shared" ref="P155:P218" si="11">(L155+N155)*F155</f>
        <v>0</v>
      </c>
      <c r="Q155" s="8"/>
    </row>
    <row r="156" spans="1:17" x14ac:dyDescent="0.25">
      <c r="A156" s="8"/>
      <c r="B156" s="24" t="s">
        <v>932</v>
      </c>
      <c r="C156" s="12"/>
      <c r="D156" s="10"/>
      <c r="E156" s="10" t="s">
        <v>225</v>
      </c>
      <c r="F156" s="11">
        <v>2</v>
      </c>
      <c r="G156" s="21"/>
      <c r="H156" s="18"/>
      <c r="I156" s="18"/>
      <c r="J156" s="18"/>
      <c r="K156" s="11"/>
      <c r="L156" s="11"/>
      <c r="M156" s="11">
        <f t="shared" ref="M156:M161" si="12">K156*8%</f>
        <v>0</v>
      </c>
      <c r="N156" s="11">
        <f t="shared" si="9"/>
        <v>0</v>
      </c>
      <c r="O156" s="11">
        <f t="shared" si="10"/>
        <v>0</v>
      </c>
      <c r="P156" s="11">
        <f t="shared" si="11"/>
        <v>0</v>
      </c>
      <c r="Q156" s="8"/>
    </row>
    <row r="157" spans="1:17" x14ac:dyDescent="0.25">
      <c r="A157" s="8"/>
      <c r="B157" s="24" t="s">
        <v>883</v>
      </c>
      <c r="C157" s="12"/>
      <c r="D157" s="10"/>
      <c r="E157" s="10"/>
      <c r="F157" s="11"/>
      <c r="G157" s="21"/>
      <c r="H157" s="18"/>
      <c r="I157" s="18"/>
      <c r="J157" s="18"/>
      <c r="K157" s="11"/>
      <c r="L157" s="11"/>
      <c r="M157" s="11">
        <f t="shared" si="12"/>
        <v>0</v>
      </c>
      <c r="N157" s="11">
        <f t="shared" si="9"/>
        <v>0</v>
      </c>
      <c r="O157" s="11">
        <f t="shared" si="10"/>
        <v>0</v>
      </c>
      <c r="P157" s="11">
        <f t="shared" si="11"/>
        <v>0</v>
      </c>
      <c r="Q157" s="8"/>
    </row>
    <row r="158" spans="1:17" x14ac:dyDescent="0.25">
      <c r="A158" s="8"/>
      <c r="B158" s="24" t="s">
        <v>887</v>
      </c>
      <c r="C158" s="12"/>
      <c r="D158" s="10"/>
      <c r="E158" s="10" t="s">
        <v>229</v>
      </c>
      <c r="F158" s="11">
        <v>9</v>
      </c>
      <c r="G158" s="21"/>
      <c r="H158" s="18"/>
      <c r="I158" s="18"/>
      <c r="J158" s="18"/>
      <c r="K158" s="11"/>
      <c r="L158" s="11"/>
      <c r="M158" s="11">
        <f t="shared" si="12"/>
        <v>0</v>
      </c>
      <c r="N158" s="11">
        <f t="shared" si="9"/>
        <v>0</v>
      </c>
      <c r="O158" s="11">
        <f t="shared" si="10"/>
        <v>0</v>
      </c>
      <c r="P158" s="11">
        <f t="shared" si="11"/>
        <v>0</v>
      </c>
      <c r="Q158" s="8"/>
    </row>
    <row r="159" spans="1:17" x14ac:dyDescent="0.25">
      <c r="A159" s="8"/>
      <c r="B159" s="24" t="s">
        <v>885</v>
      </c>
      <c r="C159" s="12"/>
      <c r="D159" s="10"/>
      <c r="E159" s="10" t="s">
        <v>229</v>
      </c>
      <c r="F159" s="11">
        <v>7</v>
      </c>
      <c r="G159" s="21"/>
      <c r="H159" s="18"/>
      <c r="I159" s="18"/>
      <c r="J159" s="18"/>
      <c r="K159" s="11"/>
      <c r="L159" s="11"/>
      <c r="M159" s="11">
        <f t="shared" si="12"/>
        <v>0</v>
      </c>
      <c r="N159" s="11">
        <f t="shared" si="9"/>
        <v>0</v>
      </c>
      <c r="O159" s="11">
        <f t="shared" si="10"/>
        <v>0</v>
      </c>
      <c r="P159" s="11">
        <f t="shared" si="11"/>
        <v>0</v>
      </c>
      <c r="Q159" s="8"/>
    </row>
    <row r="160" spans="1:17" x14ac:dyDescent="0.25">
      <c r="A160" s="8"/>
      <c r="B160" s="24" t="s">
        <v>933</v>
      </c>
      <c r="C160" s="8"/>
      <c r="D160" s="10"/>
      <c r="E160" s="10" t="s">
        <v>229</v>
      </c>
      <c r="F160" s="11">
        <v>7</v>
      </c>
      <c r="G160" s="18"/>
      <c r="H160" s="18"/>
      <c r="I160" s="18"/>
      <c r="J160" s="18"/>
      <c r="K160" s="11"/>
      <c r="L160" s="11"/>
      <c r="M160" s="11">
        <f t="shared" si="12"/>
        <v>0</v>
      </c>
      <c r="N160" s="11">
        <f t="shared" si="9"/>
        <v>0</v>
      </c>
      <c r="O160" s="11">
        <f t="shared" si="10"/>
        <v>0</v>
      </c>
      <c r="P160" s="11">
        <f t="shared" si="11"/>
        <v>0</v>
      </c>
      <c r="Q160" s="8"/>
    </row>
    <row r="161" spans="1:17" x14ac:dyDescent="0.25">
      <c r="A161" s="8"/>
      <c r="B161" s="24" t="s">
        <v>934</v>
      </c>
      <c r="C161" s="8"/>
      <c r="D161" s="10"/>
      <c r="E161" s="10" t="s">
        <v>229</v>
      </c>
      <c r="F161" s="11">
        <v>7</v>
      </c>
      <c r="G161" s="18"/>
      <c r="H161" s="18"/>
      <c r="I161" s="18"/>
      <c r="J161" s="18"/>
      <c r="K161" s="11"/>
      <c r="L161" s="11"/>
      <c r="M161" s="11">
        <f t="shared" si="12"/>
        <v>0</v>
      </c>
      <c r="N161" s="11">
        <f t="shared" si="9"/>
        <v>0</v>
      </c>
      <c r="O161" s="11">
        <f t="shared" si="10"/>
        <v>0</v>
      </c>
      <c r="P161" s="11">
        <f t="shared" si="11"/>
        <v>0</v>
      </c>
      <c r="Q161" s="8"/>
    </row>
    <row r="162" spans="1:17" x14ac:dyDescent="0.25">
      <c r="A162" s="8"/>
      <c r="B162" s="24" t="s">
        <v>935</v>
      </c>
      <c r="C162" s="8"/>
      <c r="D162" s="8"/>
      <c r="E162" s="10" t="s">
        <v>229</v>
      </c>
      <c r="F162" s="11">
        <v>14</v>
      </c>
      <c r="G162" s="18"/>
      <c r="H162" s="18"/>
      <c r="I162" s="18"/>
      <c r="J162" s="18"/>
      <c r="K162" s="11"/>
      <c r="L162" s="11"/>
      <c r="M162" s="11"/>
      <c r="N162" s="11"/>
      <c r="O162" s="11"/>
      <c r="P162" s="11"/>
      <c r="Q162" s="8"/>
    </row>
    <row r="163" spans="1:17" x14ac:dyDescent="0.25">
      <c r="A163" s="8"/>
      <c r="B163" s="24" t="s">
        <v>936</v>
      </c>
      <c r="C163" s="12"/>
      <c r="D163" s="10"/>
      <c r="E163" s="10" t="s">
        <v>229</v>
      </c>
      <c r="F163" s="11">
        <v>24</v>
      </c>
      <c r="G163" s="21"/>
      <c r="H163" s="18"/>
      <c r="I163" s="18"/>
      <c r="J163" s="18"/>
      <c r="K163" s="11"/>
      <c r="L163" s="11"/>
      <c r="M163" s="11">
        <f>K163*8%</f>
        <v>0</v>
      </c>
      <c r="N163" s="11">
        <f t="shared" si="9"/>
        <v>0</v>
      </c>
      <c r="O163" s="11">
        <f t="shared" si="10"/>
        <v>0</v>
      </c>
      <c r="P163" s="11">
        <f t="shared" si="11"/>
        <v>0</v>
      </c>
      <c r="Q163" s="8"/>
    </row>
    <row r="164" spans="1:17" x14ac:dyDescent="0.25">
      <c r="A164" s="8"/>
      <c r="B164" s="24" t="s">
        <v>937</v>
      </c>
      <c r="C164" s="12"/>
      <c r="D164" s="10"/>
      <c r="E164" s="10" t="s">
        <v>229</v>
      </c>
      <c r="F164" s="11">
        <v>3</v>
      </c>
      <c r="G164" s="21"/>
      <c r="H164" s="18"/>
      <c r="I164" s="18"/>
      <c r="J164" s="18"/>
      <c r="K164" s="11"/>
      <c r="L164" s="11"/>
      <c r="M164" s="11">
        <f>K164*10%</f>
        <v>0</v>
      </c>
      <c r="N164" s="11">
        <f t="shared" si="9"/>
        <v>0</v>
      </c>
      <c r="O164" s="11">
        <f t="shared" si="10"/>
        <v>0</v>
      </c>
      <c r="P164" s="11">
        <f t="shared" si="11"/>
        <v>0</v>
      </c>
      <c r="Q164" s="8"/>
    </row>
    <row r="165" spans="1:17" x14ac:dyDescent="0.25">
      <c r="A165" s="8"/>
      <c r="B165" s="24" t="s">
        <v>938</v>
      </c>
      <c r="C165" s="8"/>
      <c r="D165" s="10"/>
      <c r="E165" s="10" t="s">
        <v>229</v>
      </c>
      <c r="F165" s="11">
        <v>1</v>
      </c>
      <c r="G165" s="18"/>
      <c r="H165" s="18"/>
      <c r="I165" s="18"/>
      <c r="J165" s="18"/>
      <c r="K165" s="11"/>
      <c r="L165" s="11"/>
      <c r="M165" s="11">
        <f t="shared" ref="M165:M166" si="13">K165*8%</f>
        <v>0</v>
      </c>
      <c r="N165" s="11">
        <f t="shared" si="9"/>
        <v>0</v>
      </c>
      <c r="O165" s="11">
        <f t="shared" si="10"/>
        <v>0</v>
      </c>
      <c r="P165" s="11">
        <f t="shared" si="11"/>
        <v>0</v>
      </c>
      <c r="Q165" s="8"/>
    </row>
    <row r="166" spans="1:17" x14ac:dyDescent="0.25">
      <c r="A166" s="8"/>
      <c r="B166" s="24" t="s">
        <v>939</v>
      </c>
      <c r="C166" s="8"/>
      <c r="D166" s="10"/>
      <c r="E166" s="10" t="s">
        <v>229</v>
      </c>
      <c r="F166" s="11">
        <v>1</v>
      </c>
      <c r="G166" s="18"/>
      <c r="H166" s="18"/>
      <c r="I166" s="18"/>
      <c r="J166" s="18"/>
      <c r="K166" s="11"/>
      <c r="L166" s="11"/>
      <c r="M166" s="11">
        <f t="shared" si="13"/>
        <v>0</v>
      </c>
      <c r="N166" s="11">
        <f t="shared" si="9"/>
        <v>0</v>
      </c>
      <c r="O166" s="11">
        <f t="shared" si="10"/>
        <v>0</v>
      </c>
      <c r="P166" s="11">
        <f t="shared" si="11"/>
        <v>0</v>
      </c>
      <c r="Q166" s="8"/>
    </row>
    <row r="167" spans="1:17" x14ac:dyDescent="0.25">
      <c r="A167" s="8"/>
      <c r="B167" s="24" t="s">
        <v>834</v>
      </c>
      <c r="C167" s="8"/>
      <c r="D167" s="8"/>
      <c r="E167" s="10"/>
      <c r="F167" s="11"/>
      <c r="G167" s="18"/>
      <c r="H167" s="18"/>
      <c r="I167" s="18"/>
      <c r="J167" s="18"/>
      <c r="K167" s="11"/>
      <c r="L167" s="11"/>
      <c r="M167" s="11"/>
      <c r="N167" s="11"/>
      <c r="O167" s="11"/>
      <c r="P167" s="11"/>
      <c r="Q167" s="8"/>
    </row>
    <row r="168" spans="1:17" x14ac:dyDescent="0.25">
      <c r="A168" s="8"/>
      <c r="B168" s="24" t="s">
        <v>940</v>
      </c>
      <c r="C168" s="12"/>
      <c r="D168" s="10"/>
      <c r="E168" s="10" t="s">
        <v>229</v>
      </c>
      <c r="F168" s="11">
        <v>3</v>
      </c>
      <c r="G168" s="21"/>
      <c r="H168" s="18"/>
      <c r="I168" s="18"/>
      <c r="J168" s="18"/>
      <c r="K168" s="11"/>
      <c r="L168" s="11"/>
      <c r="M168" s="11">
        <f>K168*8%</f>
        <v>0</v>
      </c>
      <c r="N168" s="11">
        <f>L168*8%</f>
        <v>0</v>
      </c>
      <c r="O168" s="11">
        <f t="shared" si="10"/>
        <v>0</v>
      </c>
      <c r="P168" s="11">
        <f t="shared" si="11"/>
        <v>0</v>
      </c>
      <c r="Q168" s="8"/>
    </row>
    <row r="169" spans="1:17" x14ac:dyDescent="0.25">
      <c r="A169" s="8"/>
      <c r="B169" s="24" t="s">
        <v>941</v>
      </c>
      <c r="C169" s="12"/>
      <c r="D169" s="10"/>
      <c r="E169" s="10" t="s">
        <v>229</v>
      </c>
      <c r="F169" s="11">
        <v>1</v>
      </c>
      <c r="G169" s="21"/>
      <c r="H169" s="18"/>
      <c r="I169" s="18"/>
      <c r="J169" s="18"/>
      <c r="K169" s="11"/>
      <c r="L169" s="11"/>
      <c r="M169" s="11">
        <f>K169*10%</f>
        <v>0</v>
      </c>
      <c r="N169" s="11">
        <f t="shared" si="9"/>
        <v>0</v>
      </c>
      <c r="O169" s="11">
        <f t="shared" si="10"/>
        <v>0</v>
      </c>
      <c r="P169" s="11">
        <f t="shared" si="11"/>
        <v>0</v>
      </c>
      <c r="Q169" s="8"/>
    </row>
    <row r="170" spans="1:17" x14ac:dyDescent="0.25">
      <c r="A170" s="8"/>
      <c r="B170" s="24" t="s">
        <v>942</v>
      </c>
      <c r="C170" s="12"/>
      <c r="D170" s="10"/>
      <c r="E170" s="10" t="s">
        <v>229</v>
      </c>
      <c r="F170" s="11">
        <v>8</v>
      </c>
      <c r="G170" s="21"/>
      <c r="H170" s="18"/>
      <c r="I170" s="18"/>
      <c r="J170" s="18"/>
      <c r="K170" s="11"/>
      <c r="L170" s="11"/>
      <c r="M170" s="11">
        <f t="shared" ref="M170:M172" si="14">K170*10%</f>
        <v>0</v>
      </c>
      <c r="N170" s="11">
        <f t="shared" si="9"/>
        <v>0</v>
      </c>
      <c r="O170" s="11">
        <f t="shared" si="10"/>
        <v>0</v>
      </c>
      <c r="P170" s="11">
        <f t="shared" si="11"/>
        <v>0</v>
      </c>
      <c r="Q170" s="8"/>
    </row>
    <row r="171" spans="1:17" x14ac:dyDescent="0.25">
      <c r="A171" s="8"/>
      <c r="B171" s="24" t="s">
        <v>943</v>
      </c>
      <c r="C171" s="12"/>
      <c r="D171" s="10"/>
      <c r="E171" s="10" t="s">
        <v>229</v>
      </c>
      <c r="F171" s="11">
        <v>5</v>
      </c>
      <c r="G171" s="21"/>
      <c r="H171" s="18"/>
      <c r="I171" s="18"/>
      <c r="J171" s="18"/>
      <c r="K171" s="11"/>
      <c r="L171" s="11"/>
      <c r="M171" s="11">
        <f t="shared" si="14"/>
        <v>0</v>
      </c>
      <c r="N171" s="11">
        <f t="shared" si="9"/>
        <v>0</v>
      </c>
      <c r="O171" s="11">
        <f t="shared" si="10"/>
        <v>0</v>
      </c>
      <c r="P171" s="11">
        <f t="shared" si="11"/>
        <v>0</v>
      </c>
      <c r="Q171" s="8"/>
    </row>
    <row r="172" spans="1:17" x14ac:dyDescent="0.25">
      <c r="A172" s="8"/>
      <c r="B172" s="24" t="s">
        <v>944</v>
      </c>
      <c r="C172" s="12"/>
      <c r="D172" s="10"/>
      <c r="E172" s="10" t="s">
        <v>229</v>
      </c>
      <c r="F172" s="11">
        <v>1</v>
      </c>
      <c r="G172" s="21"/>
      <c r="H172" s="18"/>
      <c r="I172" s="18"/>
      <c r="J172" s="18"/>
      <c r="K172" s="11"/>
      <c r="L172" s="11"/>
      <c r="M172" s="11">
        <f t="shared" si="14"/>
        <v>0</v>
      </c>
      <c r="N172" s="11">
        <f t="shared" si="9"/>
        <v>0</v>
      </c>
      <c r="O172" s="11">
        <f t="shared" si="10"/>
        <v>0</v>
      </c>
      <c r="P172" s="11">
        <f t="shared" si="11"/>
        <v>0</v>
      </c>
      <c r="Q172" s="8"/>
    </row>
    <row r="173" spans="1:17" x14ac:dyDescent="0.25">
      <c r="A173" s="8"/>
      <c r="B173" s="24" t="s">
        <v>836</v>
      </c>
      <c r="C173" s="12"/>
      <c r="D173" s="10"/>
      <c r="E173" s="10"/>
      <c r="F173" s="11"/>
      <c r="G173" s="21"/>
      <c r="H173" s="18"/>
      <c r="I173" s="18"/>
      <c r="J173" s="18"/>
      <c r="K173" s="11"/>
      <c r="L173" s="11"/>
      <c r="M173" s="11">
        <f>K173*8%</f>
        <v>0</v>
      </c>
      <c r="N173" s="11">
        <f t="shared" si="9"/>
        <v>0</v>
      </c>
      <c r="O173" s="11">
        <f t="shared" si="10"/>
        <v>0</v>
      </c>
      <c r="P173" s="11">
        <f t="shared" si="11"/>
        <v>0</v>
      </c>
      <c r="Q173" s="8"/>
    </row>
    <row r="174" spans="1:17" x14ac:dyDescent="0.25">
      <c r="A174" s="8"/>
      <c r="B174" s="24" t="s">
        <v>894</v>
      </c>
      <c r="C174" s="12"/>
      <c r="D174" s="10"/>
      <c r="E174" s="10" t="s">
        <v>229</v>
      </c>
      <c r="F174" s="11">
        <v>12</v>
      </c>
      <c r="G174" s="21"/>
      <c r="H174" s="18"/>
      <c r="I174" s="18"/>
      <c r="J174" s="18"/>
      <c r="K174" s="11"/>
      <c r="L174" s="11"/>
      <c r="M174" s="11">
        <f>K174*8%</f>
        <v>0</v>
      </c>
      <c r="N174" s="11">
        <f t="shared" si="9"/>
        <v>0</v>
      </c>
      <c r="O174" s="11">
        <f t="shared" si="10"/>
        <v>0</v>
      </c>
      <c r="P174" s="11">
        <f t="shared" si="11"/>
        <v>0</v>
      </c>
      <c r="Q174" s="8"/>
    </row>
    <row r="175" spans="1:17" x14ac:dyDescent="0.25">
      <c r="A175" s="8"/>
      <c r="B175" s="24" t="s">
        <v>895</v>
      </c>
      <c r="C175" s="8"/>
      <c r="D175" s="10"/>
      <c r="E175" s="10" t="s">
        <v>229</v>
      </c>
      <c r="F175" s="11">
        <v>12</v>
      </c>
      <c r="G175" s="18"/>
      <c r="H175" s="18"/>
      <c r="I175" s="18"/>
      <c r="J175" s="18"/>
      <c r="K175" s="11"/>
      <c r="L175" s="11"/>
      <c r="M175" s="11">
        <f t="shared" ref="M175:M176" si="15">K175*8%</f>
        <v>0</v>
      </c>
      <c r="N175" s="11">
        <f t="shared" si="9"/>
        <v>0</v>
      </c>
      <c r="O175" s="11">
        <f t="shared" si="10"/>
        <v>0</v>
      </c>
      <c r="P175" s="11">
        <f t="shared" si="11"/>
        <v>0</v>
      </c>
      <c r="Q175" s="8"/>
    </row>
    <row r="176" spans="1:17" x14ac:dyDescent="0.25">
      <c r="A176" s="8"/>
      <c r="B176" s="24" t="s">
        <v>945</v>
      </c>
      <c r="C176" s="8"/>
      <c r="D176" s="10"/>
      <c r="E176" s="10" t="s">
        <v>229</v>
      </c>
      <c r="F176" s="11">
        <v>5</v>
      </c>
      <c r="G176" s="18"/>
      <c r="H176" s="18"/>
      <c r="I176" s="18"/>
      <c r="J176" s="18"/>
      <c r="K176" s="11"/>
      <c r="L176" s="11"/>
      <c r="M176" s="11">
        <f t="shared" si="15"/>
        <v>0</v>
      </c>
      <c r="N176" s="11">
        <f t="shared" si="9"/>
        <v>0</v>
      </c>
      <c r="O176" s="11">
        <f t="shared" si="10"/>
        <v>0</v>
      </c>
      <c r="P176" s="11">
        <f t="shared" si="11"/>
        <v>0</v>
      </c>
      <c r="Q176" s="8"/>
    </row>
    <row r="177" spans="1:17" x14ac:dyDescent="0.25">
      <c r="A177" s="8"/>
      <c r="B177" s="24" t="s">
        <v>946</v>
      </c>
      <c r="C177" s="8"/>
      <c r="D177" s="8"/>
      <c r="E177" s="10" t="s">
        <v>229</v>
      </c>
      <c r="F177" s="11">
        <v>4</v>
      </c>
      <c r="G177" s="18"/>
      <c r="H177" s="18"/>
      <c r="I177" s="18"/>
      <c r="J177" s="18"/>
      <c r="K177" s="11"/>
      <c r="L177" s="11"/>
      <c r="M177" s="11"/>
      <c r="N177" s="11"/>
      <c r="O177" s="11"/>
      <c r="P177" s="11"/>
      <c r="Q177" s="8"/>
    </row>
    <row r="178" spans="1:17" x14ac:dyDescent="0.25">
      <c r="A178" s="8"/>
      <c r="B178" s="24" t="s">
        <v>947</v>
      </c>
      <c r="C178" s="12"/>
      <c r="D178" s="19"/>
      <c r="E178" s="10" t="s">
        <v>229</v>
      </c>
      <c r="F178" s="11">
        <v>13</v>
      </c>
      <c r="G178" s="21"/>
      <c r="H178" s="18"/>
      <c r="I178" s="18"/>
      <c r="J178" s="18"/>
      <c r="K178" s="11"/>
      <c r="L178" s="11"/>
      <c r="M178" s="11">
        <f>K178*10%</f>
        <v>0</v>
      </c>
      <c r="N178" s="11">
        <f t="shared" si="9"/>
        <v>0</v>
      </c>
      <c r="O178" s="11">
        <f t="shared" si="10"/>
        <v>0</v>
      </c>
      <c r="P178" s="11">
        <f t="shared" si="11"/>
        <v>0</v>
      </c>
      <c r="Q178" s="8"/>
    </row>
    <row r="179" spans="1:17" x14ac:dyDescent="0.25">
      <c r="A179" s="8"/>
      <c r="B179" s="24" t="s">
        <v>896</v>
      </c>
      <c r="C179" s="8"/>
      <c r="D179" s="10"/>
      <c r="E179" s="10" t="s">
        <v>229</v>
      </c>
      <c r="F179" s="11">
        <v>1</v>
      </c>
      <c r="G179" s="18"/>
      <c r="H179" s="18"/>
      <c r="I179" s="18"/>
      <c r="J179" s="18"/>
      <c r="K179" s="11"/>
      <c r="L179" s="11"/>
      <c r="M179" s="11">
        <f t="shared" ref="M179" si="16">K179*8%</f>
        <v>0</v>
      </c>
      <c r="N179" s="11">
        <f t="shared" si="9"/>
        <v>0</v>
      </c>
      <c r="O179" s="11">
        <f t="shared" si="10"/>
        <v>0</v>
      </c>
      <c r="P179" s="11">
        <f t="shared" si="11"/>
        <v>0</v>
      </c>
      <c r="Q179" s="8"/>
    </row>
    <row r="180" spans="1:17" x14ac:dyDescent="0.25">
      <c r="A180" s="8"/>
      <c r="B180" s="24" t="s">
        <v>824</v>
      </c>
      <c r="C180" s="8"/>
      <c r="D180" s="8"/>
      <c r="E180" s="10" t="s">
        <v>1097</v>
      </c>
      <c r="F180" s="11">
        <v>1</v>
      </c>
      <c r="G180" s="18"/>
      <c r="H180" s="18"/>
      <c r="I180" s="18"/>
      <c r="J180" s="18"/>
      <c r="K180" s="11"/>
      <c r="L180" s="11"/>
      <c r="M180" s="11"/>
      <c r="N180" s="11">
        <f t="shared" si="9"/>
        <v>0</v>
      </c>
      <c r="O180" s="11">
        <f t="shared" si="10"/>
        <v>0</v>
      </c>
      <c r="P180" s="11">
        <f t="shared" si="11"/>
        <v>0</v>
      </c>
      <c r="Q180" s="8"/>
    </row>
    <row r="181" spans="1:17" x14ac:dyDescent="0.25">
      <c r="A181" s="8"/>
      <c r="B181" s="24"/>
      <c r="C181" s="8"/>
      <c r="D181" s="8"/>
      <c r="E181" s="10"/>
      <c r="F181" s="11"/>
      <c r="G181" s="18"/>
      <c r="H181" s="18"/>
      <c r="I181" s="18"/>
      <c r="J181" s="18"/>
      <c r="K181" s="11"/>
      <c r="L181" s="11"/>
      <c r="M181" s="11"/>
      <c r="N181" s="11">
        <f t="shared" si="9"/>
        <v>0</v>
      </c>
      <c r="O181" s="11">
        <f t="shared" si="10"/>
        <v>0</v>
      </c>
      <c r="P181" s="11">
        <f t="shared" si="11"/>
        <v>0</v>
      </c>
      <c r="Q181" s="8"/>
    </row>
    <row r="182" spans="1:17" ht="30" x14ac:dyDescent="0.25">
      <c r="A182" s="8"/>
      <c r="B182" s="24" t="s">
        <v>899</v>
      </c>
      <c r="C182" s="8"/>
      <c r="D182" s="8"/>
      <c r="E182" s="10"/>
      <c r="F182" s="11"/>
      <c r="G182" s="18"/>
      <c r="H182" s="18"/>
      <c r="I182" s="18"/>
      <c r="J182" s="18"/>
      <c r="K182" s="11"/>
      <c r="L182" s="11"/>
      <c r="M182" s="11"/>
      <c r="N182" s="11">
        <f t="shared" si="9"/>
        <v>0</v>
      </c>
      <c r="O182" s="11">
        <f t="shared" si="10"/>
        <v>0</v>
      </c>
      <c r="P182" s="11">
        <f t="shared" si="11"/>
        <v>0</v>
      </c>
      <c r="Q182" s="8"/>
    </row>
    <row r="183" spans="1:17" x14ac:dyDescent="0.25">
      <c r="A183" s="8"/>
      <c r="B183" s="24" t="s">
        <v>948</v>
      </c>
      <c r="C183" s="8"/>
      <c r="D183" s="8"/>
      <c r="E183" s="10" t="s">
        <v>229</v>
      </c>
      <c r="F183" s="11">
        <v>152</v>
      </c>
      <c r="G183" s="18"/>
      <c r="H183" s="18"/>
      <c r="I183" s="18"/>
      <c r="J183" s="18"/>
      <c r="K183" s="11"/>
      <c r="L183" s="11"/>
      <c r="M183" s="11"/>
      <c r="N183" s="11">
        <f t="shared" ref="N183:N247" si="17">L183*8%</f>
        <v>0</v>
      </c>
      <c r="O183" s="11">
        <f t="shared" si="10"/>
        <v>0</v>
      </c>
      <c r="P183" s="11">
        <f t="shared" si="11"/>
        <v>0</v>
      </c>
      <c r="Q183" s="8"/>
    </row>
    <row r="184" spans="1:17" x14ac:dyDescent="0.25">
      <c r="A184" s="8"/>
      <c r="B184" s="24" t="s">
        <v>949</v>
      </c>
      <c r="C184" s="8"/>
      <c r="D184" s="8"/>
      <c r="E184" s="10" t="s">
        <v>229</v>
      </c>
      <c r="F184" s="11">
        <v>3</v>
      </c>
      <c r="G184" s="18"/>
      <c r="H184" s="18"/>
      <c r="I184" s="18"/>
      <c r="J184" s="18"/>
      <c r="K184" s="11"/>
      <c r="L184" s="11"/>
      <c r="M184" s="11"/>
      <c r="N184" s="11">
        <f t="shared" si="17"/>
        <v>0</v>
      </c>
      <c r="O184" s="11">
        <f t="shared" si="10"/>
        <v>0</v>
      </c>
      <c r="P184" s="11">
        <f t="shared" si="11"/>
        <v>0</v>
      </c>
      <c r="Q184" s="8"/>
    </row>
    <row r="185" spans="1:17" x14ac:dyDescent="0.25">
      <c r="A185" s="8"/>
      <c r="B185" s="24" t="s">
        <v>950</v>
      </c>
      <c r="C185" s="8"/>
      <c r="D185" s="8"/>
      <c r="E185" s="10" t="s">
        <v>229</v>
      </c>
      <c r="F185" s="11">
        <v>3</v>
      </c>
      <c r="G185" s="18"/>
      <c r="H185" s="18"/>
      <c r="I185" s="18"/>
      <c r="J185" s="18"/>
      <c r="K185" s="11"/>
      <c r="L185" s="11"/>
      <c r="M185" s="11"/>
      <c r="N185" s="11">
        <f t="shared" si="17"/>
        <v>0</v>
      </c>
      <c r="O185" s="11">
        <f t="shared" si="10"/>
        <v>0</v>
      </c>
      <c r="P185" s="11">
        <f t="shared" si="11"/>
        <v>0</v>
      </c>
      <c r="Q185" s="8"/>
    </row>
    <row r="186" spans="1:17" x14ac:dyDescent="0.25">
      <c r="A186" s="8"/>
      <c r="B186" s="24" t="s">
        <v>951</v>
      </c>
      <c r="C186" s="8"/>
      <c r="D186" s="8"/>
      <c r="E186" s="10" t="s">
        <v>229</v>
      </c>
      <c r="F186" s="11">
        <v>3</v>
      </c>
      <c r="G186" s="18"/>
      <c r="H186" s="18"/>
      <c r="I186" s="18"/>
      <c r="J186" s="18"/>
      <c r="K186" s="11"/>
      <c r="L186" s="11"/>
      <c r="M186" s="11"/>
      <c r="N186" s="11">
        <f t="shared" si="17"/>
        <v>0</v>
      </c>
      <c r="O186" s="11">
        <f t="shared" si="10"/>
        <v>0</v>
      </c>
      <c r="P186" s="11">
        <f t="shared" si="11"/>
        <v>0</v>
      </c>
      <c r="Q186" s="8"/>
    </row>
    <row r="187" spans="1:17" ht="30" x14ac:dyDescent="0.25">
      <c r="A187" s="8"/>
      <c r="B187" s="24" t="s">
        <v>902</v>
      </c>
      <c r="C187" s="8"/>
      <c r="D187" s="8"/>
      <c r="E187" s="10" t="s">
        <v>229</v>
      </c>
      <c r="F187" s="11">
        <v>6</v>
      </c>
      <c r="G187" s="18"/>
      <c r="H187" s="18"/>
      <c r="I187" s="18"/>
      <c r="J187" s="18"/>
      <c r="K187" s="11"/>
      <c r="L187" s="11"/>
      <c r="M187" s="11"/>
      <c r="N187" s="11">
        <f t="shared" si="17"/>
        <v>0</v>
      </c>
      <c r="O187" s="11">
        <f t="shared" si="10"/>
        <v>0</v>
      </c>
      <c r="P187" s="11">
        <f t="shared" si="11"/>
        <v>0</v>
      </c>
      <c r="Q187" s="8"/>
    </row>
    <row r="188" spans="1:17" ht="30" x14ac:dyDescent="0.25">
      <c r="A188" s="8"/>
      <c r="B188" s="24" t="s">
        <v>952</v>
      </c>
      <c r="C188" s="8"/>
      <c r="D188" s="8"/>
      <c r="E188" s="10" t="s">
        <v>229</v>
      </c>
      <c r="F188" s="11">
        <v>12</v>
      </c>
      <c r="G188" s="18"/>
      <c r="H188" s="18"/>
      <c r="I188" s="18"/>
      <c r="J188" s="18"/>
      <c r="K188" s="11"/>
      <c r="L188" s="11"/>
      <c r="M188" s="11"/>
      <c r="N188" s="11">
        <f t="shared" si="17"/>
        <v>0</v>
      </c>
      <c r="O188" s="11">
        <f t="shared" si="10"/>
        <v>0</v>
      </c>
      <c r="P188" s="11">
        <f t="shared" si="11"/>
        <v>0</v>
      </c>
      <c r="Q188" s="8"/>
    </row>
    <row r="189" spans="1:17" x14ac:dyDescent="0.25">
      <c r="A189" s="8"/>
      <c r="B189" s="24" t="s">
        <v>905</v>
      </c>
      <c r="C189" s="8"/>
      <c r="D189" s="8"/>
      <c r="E189" s="10" t="s">
        <v>229</v>
      </c>
      <c r="F189" s="11">
        <v>6</v>
      </c>
      <c r="G189" s="18"/>
      <c r="H189" s="18"/>
      <c r="I189" s="18"/>
      <c r="J189" s="18"/>
      <c r="K189" s="11"/>
      <c r="L189" s="11"/>
      <c r="M189" s="11"/>
      <c r="N189" s="11">
        <f t="shared" si="17"/>
        <v>0</v>
      </c>
      <c r="O189" s="11">
        <f t="shared" si="10"/>
        <v>0</v>
      </c>
      <c r="P189" s="11">
        <f t="shared" si="11"/>
        <v>0</v>
      </c>
      <c r="Q189" s="8"/>
    </row>
    <row r="190" spans="1:17" x14ac:dyDescent="0.25">
      <c r="A190" s="8"/>
      <c r="B190" s="24" t="s">
        <v>906</v>
      </c>
      <c r="C190" s="8"/>
      <c r="D190" s="8"/>
      <c r="E190" s="10" t="s">
        <v>229</v>
      </c>
      <c r="F190" s="11">
        <v>12</v>
      </c>
      <c r="G190" s="18"/>
      <c r="H190" s="18"/>
      <c r="I190" s="18"/>
      <c r="J190" s="18"/>
      <c r="K190" s="11"/>
      <c r="L190" s="11"/>
      <c r="M190" s="11"/>
      <c r="N190" s="11">
        <f t="shared" si="17"/>
        <v>0</v>
      </c>
      <c r="O190" s="11">
        <f t="shared" si="10"/>
        <v>0</v>
      </c>
      <c r="P190" s="11">
        <f t="shared" si="11"/>
        <v>0</v>
      </c>
      <c r="Q190" s="8"/>
    </row>
    <row r="191" spans="1:17" x14ac:dyDescent="0.25">
      <c r="A191" s="8"/>
      <c r="B191" s="24" t="s">
        <v>824</v>
      </c>
      <c r="C191" s="8"/>
      <c r="D191" s="8"/>
      <c r="E191" s="10" t="s">
        <v>1097</v>
      </c>
      <c r="F191" s="11">
        <v>1</v>
      </c>
      <c r="G191" s="18"/>
      <c r="H191" s="18"/>
      <c r="I191" s="18"/>
      <c r="J191" s="18"/>
      <c r="K191" s="11"/>
      <c r="L191" s="11"/>
      <c r="M191" s="11"/>
      <c r="N191" s="11">
        <f t="shared" si="17"/>
        <v>0</v>
      </c>
      <c r="O191" s="11">
        <f t="shared" si="10"/>
        <v>0</v>
      </c>
      <c r="P191" s="11">
        <f t="shared" si="11"/>
        <v>0</v>
      </c>
      <c r="Q191" s="8"/>
    </row>
    <row r="192" spans="1:17" x14ac:dyDescent="0.25">
      <c r="A192" s="8"/>
      <c r="B192" s="24"/>
      <c r="C192" s="8"/>
      <c r="D192" s="8"/>
      <c r="E192" s="10"/>
      <c r="F192" s="11"/>
      <c r="G192" s="18"/>
      <c r="H192" s="18"/>
      <c r="I192" s="18"/>
      <c r="J192" s="18"/>
      <c r="K192" s="11"/>
      <c r="L192" s="11"/>
      <c r="M192" s="11"/>
      <c r="N192" s="11">
        <f t="shared" si="17"/>
        <v>0</v>
      </c>
      <c r="O192" s="11">
        <f t="shared" si="10"/>
        <v>0</v>
      </c>
      <c r="P192" s="11">
        <f t="shared" si="11"/>
        <v>0</v>
      </c>
      <c r="Q192" s="8"/>
    </row>
    <row r="193" spans="1:17" ht="30" x14ac:dyDescent="0.25">
      <c r="A193" s="8"/>
      <c r="B193" s="24" t="s">
        <v>953</v>
      </c>
      <c r="C193" s="8"/>
      <c r="D193" s="8"/>
      <c r="E193" s="10"/>
      <c r="F193" s="11"/>
      <c r="G193" s="18"/>
      <c r="H193" s="18"/>
      <c r="I193" s="18"/>
      <c r="J193" s="18"/>
      <c r="K193" s="11"/>
      <c r="L193" s="11"/>
      <c r="M193" s="11"/>
      <c r="N193" s="11">
        <f t="shared" si="17"/>
        <v>0</v>
      </c>
      <c r="O193" s="11">
        <f t="shared" si="10"/>
        <v>0</v>
      </c>
      <c r="P193" s="11">
        <f t="shared" si="11"/>
        <v>0</v>
      </c>
      <c r="Q193" s="8"/>
    </row>
    <row r="194" spans="1:17" x14ac:dyDescent="0.25">
      <c r="A194" s="8"/>
      <c r="B194" s="24" t="s">
        <v>813</v>
      </c>
      <c r="C194" s="8"/>
      <c r="D194" s="8"/>
      <c r="E194" s="10"/>
      <c r="F194" s="11"/>
      <c r="G194" s="18"/>
      <c r="H194" s="18"/>
      <c r="I194" s="18"/>
      <c r="J194" s="18"/>
      <c r="K194" s="11"/>
      <c r="L194" s="11"/>
      <c r="M194" s="11"/>
      <c r="N194" s="11">
        <f t="shared" si="17"/>
        <v>0</v>
      </c>
      <c r="O194" s="11">
        <f t="shared" si="10"/>
        <v>0</v>
      </c>
      <c r="P194" s="11">
        <f t="shared" si="11"/>
        <v>0</v>
      </c>
      <c r="Q194" s="8"/>
    </row>
    <row r="195" spans="1:17" x14ac:dyDescent="0.25">
      <c r="A195" s="8"/>
      <c r="B195" s="24" t="s">
        <v>814</v>
      </c>
      <c r="C195" s="8"/>
      <c r="D195" s="8"/>
      <c r="E195" s="10"/>
      <c r="F195" s="11"/>
      <c r="G195" s="18"/>
      <c r="H195" s="18"/>
      <c r="I195" s="18"/>
      <c r="J195" s="18"/>
      <c r="K195" s="11"/>
      <c r="L195" s="11"/>
      <c r="M195" s="11"/>
      <c r="N195" s="11">
        <f t="shared" si="17"/>
        <v>0</v>
      </c>
      <c r="O195" s="11">
        <f t="shared" si="10"/>
        <v>0</v>
      </c>
      <c r="P195" s="11">
        <f t="shared" si="11"/>
        <v>0</v>
      </c>
      <c r="Q195" s="8"/>
    </row>
    <row r="196" spans="1:17" ht="45" x14ac:dyDescent="0.25">
      <c r="A196" s="8"/>
      <c r="B196" s="24" t="s">
        <v>954</v>
      </c>
      <c r="C196" s="8"/>
      <c r="D196" s="8"/>
      <c r="E196" s="10" t="s">
        <v>229</v>
      </c>
      <c r="F196" s="11">
        <v>1</v>
      </c>
      <c r="G196" s="18"/>
      <c r="H196" s="18"/>
      <c r="I196" s="18"/>
      <c r="J196" s="18"/>
      <c r="K196" s="11"/>
      <c r="L196" s="11"/>
      <c r="M196" s="11"/>
      <c r="N196" s="11">
        <f t="shared" si="17"/>
        <v>0</v>
      </c>
      <c r="O196" s="11">
        <f t="shared" si="10"/>
        <v>0</v>
      </c>
      <c r="P196" s="11">
        <f t="shared" si="11"/>
        <v>0</v>
      </c>
      <c r="Q196" s="8"/>
    </row>
    <row r="197" spans="1:17" ht="45" x14ac:dyDescent="0.25">
      <c r="A197" s="8"/>
      <c r="B197" s="24" t="s">
        <v>955</v>
      </c>
      <c r="C197" s="8"/>
      <c r="D197" s="8"/>
      <c r="E197" s="10" t="s">
        <v>229</v>
      </c>
      <c r="F197" s="11">
        <v>2</v>
      </c>
      <c r="G197" s="18"/>
      <c r="H197" s="18"/>
      <c r="I197" s="18"/>
      <c r="J197" s="18"/>
      <c r="K197" s="11"/>
      <c r="L197" s="11"/>
      <c r="M197" s="11"/>
      <c r="N197" s="11">
        <f t="shared" si="17"/>
        <v>0</v>
      </c>
      <c r="O197" s="11">
        <f t="shared" si="10"/>
        <v>0</v>
      </c>
      <c r="P197" s="11">
        <f t="shared" si="11"/>
        <v>0</v>
      </c>
      <c r="Q197" s="8"/>
    </row>
    <row r="198" spans="1:17" ht="45" x14ac:dyDescent="0.25">
      <c r="A198" s="8"/>
      <c r="B198" s="24" t="s">
        <v>956</v>
      </c>
      <c r="C198" s="8"/>
      <c r="D198" s="8"/>
      <c r="E198" s="10" t="s">
        <v>229</v>
      </c>
      <c r="F198" s="11">
        <v>1</v>
      </c>
      <c r="G198" s="18"/>
      <c r="H198" s="18"/>
      <c r="I198" s="18"/>
      <c r="J198" s="18"/>
      <c r="K198" s="11"/>
      <c r="L198" s="11"/>
      <c r="M198" s="11"/>
      <c r="N198" s="11">
        <f t="shared" si="17"/>
        <v>0</v>
      </c>
      <c r="O198" s="11">
        <f t="shared" si="10"/>
        <v>0</v>
      </c>
      <c r="P198" s="11">
        <f t="shared" si="11"/>
        <v>0</v>
      </c>
      <c r="Q198" s="8"/>
    </row>
    <row r="199" spans="1:17" ht="45" x14ac:dyDescent="0.25">
      <c r="A199" s="8"/>
      <c r="B199" s="24" t="s">
        <v>957</v>
      </c>
      <c r="C199" s="8"/>
      <c r="D199" s="8"/>
      <c r="E199" s="10" t="s">
        <v>229</v>
      </c>
      <c r="F199" s="11">
        <v>2</v>
      </c>
      <c r="G199" s="18"/>
      <c r="H199" s="18"/>
      <c r="I199" s="18"/>
      <c r="J199" s="18"/>
      <c r="K199" s="11"/>
      <c r="L199" s="11"/>
      <c r="M199" s="11"/>
      <c r="N199" s="11">
        <f t="shared" si="17"/>
        <v>0</v>
      </c>
      <c r="O199" s="11">
        <f t="shared" si="10"/>
        <v>0</v>
      </c>
      <c r="P199" s="11">
        <f t="shared" si="11"/>
        <v>0</v>
      </c>
      <c r="Q199" s="8"/>
    </row>
    <row r="200" spans="1:17" ht="45" x14ac:dyDescent="0.25">
      <c r="A200" s="8"/>
      <c r="B200" s="24" t="s">
        <v>958</v>
      </c>
      <c r="C200" s="8"/>
      <c r="D200" s="8"/>
      <c r="E200" s="10" t="s">
        <v>229</v>
      </c>
      <c r="F200" s="11">
        <v>1</v>
      </c>
      <c r="G200" s="18"/>
      <c r="H200" s="18"/>
      <c r="I200" s="18"/>
      <c r="J200" s="18"/>
      <c r="K200" s="11"/>
      <c r="L200" s="11"/>
      <c r="M200" s="11"/>
      <c r="N200" s="11">
        <f t="shared" si="17"/>
        <v>0</v>
      </c>
      <c r="O200" s="11">
        <f t="shared" si="10"/>
        <v>0</v>
      </c>
      <c r="P200" s="11">
        <f t="shared" si="11"/>
        <v>0</v>
      </c>
      <c r="Q200" s="8"/>
    </row>
    <row r="201" spans="1:17" ht="45" x14ac:dyDescent="0.25">
      <c r="A201" s="8"/>
      <c r="B201" s="24" t="s">
        <v>959</v>
      </c>
      <c r="C201" s="8"/>
      <c r="D201" s="8"/>
      <c r="E201" s="10" t="s">
        <v>229</v>
      </c>
      <c r="F201" s="11">
        <v>1</v>
      </c>
      <c r="G201" s="18"/>
      <c r="H201" s="18"/>
      <c r="I201" s="18"/>
      <c r="J201" s="18"/>
      <c r="K201" s="11"/>
      <c r="L201" s="11"/>
      <c r="M201" s="11"/>
      <c r="N201" s="11">
        <f t="shared" si="17"/>
        <v>0</v>
      </c>
      <c r="O201" s="11">
        <f t="shared" si="10"/>
        <v>0</v>
      </c>
      <c r="P201" s="11">
        <f t="shared" si="11"/>
        <v>0</v>
      </c>
      <c r="Q201" s="8"/>
    </row>
    <row r="202" spans="1:17" ht="45" x14ac:dyDescent="0.25">
      <c r="A202" s="8"/>
      <c r="B202" s="24" t="s">
        <v>960</v>
      </c>
      <c r="C202" s="8"/>
      <c r="D202" s="8"/>
      <c r="E202" s="10" t="s">
        <v>229</v>
      </c>
      <c r="F202" s="11">
        <v>1</v>
      </c>
      <c r="G202" s="18"/>
      <c r="H202" s="18"/>
      <c r="I202" s="18"/>
      <c r="J202" s="18"/>
      <c r="K202" s="11"/>
      <c r="L202" s="11"/>
      <c r="M202" s="11"/>
      <c r="N202" s="11">
        <f t="shared" si="17"/>
        <v>0</v>
      </c>
      <c r="O202" s="11">
        <f t="shared" si="10"/>
        <v>0</v>
      </c>
      <c r="P202" s="11">
        <f t="shared" si="11"/>
        <v>0</v>
      </c>
      <c r="Q202" s="8"/>
    </row>
    <row r="203" spans="1:17" ht="45" x14ac:dyDescent="0.25">
      <c r="A203" s="8"/>
      <c r="B203" s="24" t="s">
        <v>961</v>
      </c>
      <c r="C203" s="8"/>
      <c r="D203" s="8"/>
      <c r="E203" s="10" t="s">
        <v>229</v>
      </c>
      <c r="F203" s="11">
        <v>1</v>
      </c>
      <c r="G203" s="18"/>
      <c r="H203" s="18"/>
      <c r="I203" s="18"/>
      <c r="J203" s="18"/>
      <c r="K203" s="11"/>
      <c r="L203" s="11"/>
      <c r="M203" s="11"/>
      <c r="N203" s="11">
        <f t="shared" si="17"/>
        <v>0</v>
      </c>
      <c r="O203" s="11">
        <f t="shared" si="10"/>
        <v>0</v>
      </c>
      <c r="P203" s="11">
        <f t="shared" si="11"/>
        <v>0</v>
      </c>
      <c r="Q203" s="8"/>
    </row>
    <row r="204" spans="1:17" ht="45" x14ac:dyDescent="0.25">
      <c r="A204" s="8"/>
      <c r="B204" s="24" t="s">
        <v>962</v>
      </c>
      <c r="C204" s="8"/>
      <c r="D204" s="8"/>
      <c r="E204" s="10" t="s">
        <v>229</v>
      </c>
      <c r="F204" s="11">
        <v>1</v>
      </c>
      <c r="G204" s="18"/>
      <c r="H204" s="18"/>
      <c r="I204" s="18"/>
      <c r="J204" s="18"/>
      <c r="K204" s="11"/>
      <c r="L204" s="11"/>
      <c r="M204" s="11"/>
      <c r="N204" s="11">
        <f t="shared" si="17"/>
        <v>0</v>
      </c>
      <c r="O204" s="11">
        <f t="shared" si="10"/>
        <v>0</v>
      </c>
      <c r="P204" s="11">
        <f t="shared" si="11"/>
        <v>0</v>
      </c>
      <c r="Q204" s="8"/>
    </row>
    <row r="205" spans="1:17" ht="45" x14ac:dyDescent="0.25">
      <c r="A205" s="8"/>
      <c r="B205" s="24" t="s">
        <v>963</v>
      </c>
      <c r="C205" s="8"/>
      <c r="D205" s="8"/>
      <c r="E205" s="10" t="s">
        <v>229</v>
      </c>
      <c r="F205" s="11">
        <v>1</v>
      </c>
      <c r="G205" s="18"/>
      <c r="H205" s="18"/>
      <c r="I205" s="18"/>
      <c r="J205" s="18"/>
      <c r="K205" s="11"/>
      <c r="L205" s="11"/>
      <c r="M205" s="11"/>
      <c r="N205" s="11">
        <f t="shared" si="17"/>
        <v>0</v>
      </c>
      <c r="O205" s="11">
        <f t="shared" si="10"/>
        <v>0</v>
      </c>
      <c r="P205" s="11">
        <f t="shared" si="11"/>
        <v>0</v>
      </c>
      <c r="Q205" s="8"/>
    </row>
    <row r="206" spans="1:17" x14ac:dyDescent="0.25">
      <c r="A206" s="8"/>
      <c r="B206" s="24" t="s">
        <v>823</v>
      </c>
      <c r="C206" s="8"/>
      <c r="D206" s="8"/>
      <c r="E206" s="10" t="s">
        <v>230</v>
      </c>
      <c r="F206" s="11">
        <v>12</v>
      </c>
      <c r="G206" s="18"/>
      <c r="H206" s="18"/>
      <c r="I206" s="18"/>
      <c r="J206" s="18"/>
      <c r="K206" s="11"/>
      <c r="L206" s="11"/>
      <c r="M206" s="11"/>
      <c r="N206" s="11">
        <f t="shared" si="17"/>
        <v>0</v>
      </c>
      <c r="O206" s="11">
        <f t="shared" si="10"/>
        <v>0</v>
      </c>
      <c r="P206" s="11">
        <f t="shared" si="11"/>
        <v>0</v>
      </c>
      <c r="Q206" s="8"/>
    </row>
    <row r="207" spans="1:17" x14ac:dyDescent="0.25">
      <c r="A207" s="8"/>
      <c r="B207" s="24" t="s">
        <v>964</v>
      </c>
      <c r="C207" s="8"/>
      <c r="D207" s="8"/>
      <c r="E207" s="10" t="s">
        <v>230</v>
      </c>
      <c r="F207" s="11">
        <v>1</v>
      </c>
      <c r="G207" s="18"/>
      <c r="H207" s="18"/>
      <c r="I207" s="18"/>
      <c r="J207" s="18"/>
      <c r="K207" s="11"/>
      <c r="L207" s="11"/>
      <c r="M207" s="11"/>
      <c r="N207" s="11">
        <f t="shared" si="17"/>
        <v>0</v>
      </c>
      <c r="O207" s="11">
        <f t="shared" si="10"/>
        <v>0</v>
      </c>
      <c r="P207" s="11">
        <f t="shared" si="11"/>
        <v>0</v>
      </c>
      <c r="Q207" s="8"/>
    </row>
    <row r="208" spans="1:17" x14ac:dyDescent="0.25">
      <c r="A208" s="8"/>
      <c r="B208" s="24" t="s">
        <v>824</v>
      </c>
      <c r="C208" s="8"/>
      <c r="D208" s="8"/>
      <c r="E208" s="10" t="s">
        <v>1097</v>
      </c>
      <c r="F208" s="11">
        <v>1</v>
      </c>
      <c r="G208" s="18"/>
      <c r="H208" s="18"/>
      <c r="I208" s="18"/>
      <c r="J208" s="18"/>
      <c r="K208" s="11"/>
      <c r="L208" s="11"/>
      <c r="M208" s="11"/>
      <c r="N208" s="11">
        <f t="shared" si="17"/>
        <v>0</v>
      </c>
      <c r="O208" s="11">
        <f t="shared" si="10"/>
        <v>0</v>
      </c>
      <c r="P208" s="11">
        <f t="shared" si="11"/>
        <v>0</v>
      </c>
      <c r="Q208" s="8"/>
    </row>
    <row r="209" spans="1:17" x14ac:dyDescent="0.25">
      <c r="A209" s="8"/>
      <c r="B209" s="24"/>
      <c r="C209" s="8"/>
      <c r="D209" s="8"/>
      <c r="E209" s="10"/>
      <c r="F209" s="11"/>
      <c r="G209" s="18"/>
      <c r="H209" s="18"/>
      <c r="I209" s="18"/>
      <c r="J209" s="18"/>
      <c r="K209" s="11"/>
      <c r="L209" s="11"/>
      <c r="M209" s="11"/>
      <c r="N209" s="11">
        <f t="shared" si="17"/>
        <v>0</v>
      </c>
      <c r="O209" s="11">
        <f t="shared" si="10"/>
        <v>0</v>
      </c>
      <c r="P209" s="11">
        <f t="shared" si="11"/>
        <v>0</v>
      </c>
      <c r="Q209" s="8"/>
    </row>
    <row r="210" spans="1:17" ht="30" x14ac:dyDescent="0.25">
      <c r="A210" s="8"/>
      <c r="B210" s="24" t="s">
        <v>876</v>
      </c>
      <c r="C210" s="8"/>
      <c r="D210" s="8"/>
      <c r="E210" s="10"/>
      <c r="F210" s="11"/>
      <c r="G210" s="18"/>
      <c r="H210" s="18"/>
      <c r="I210" s="18"/>
      <c r="J210" s="18"/>
      <c r="K210" s="11"/>
      <c r="L210" s="11"/>
      <c r="M210" s="11"/>
      <c r="N210" s="11">
        <f t="shared" si="17"/>
        <v>0</v>
      </c>
      <c r="O210" s="11">
        <f t="shared" si="10"/>
        <v>0</v>
      </c>
      <c r="P210" s="11">
        <f t="shared" si="11"/>
        <v>0</v>
      </c>
      <c r="Q210" s="8"/>
    </row>
    <row r="211" spans="1:17" x14ac:dyDescent="0.25">
      <c r="A211" s="8"/>
      <c r="B211" s="24" t="s">
        <v>965</v>
      </c>
      <c r="C211" s="8"/>
      <c r="D211" s="8"/>
      <c r="E211" s="10"/>
      <c r="F211" s="11"/>
      <c r="G211" s="18"/>
      <c r="H211" s="18"/>
      <c r="I211" s="18"/>
      <c r="J211" s="18"/>
      <c r="K211" s="11"/>
      <c r="L211" s="11"/>
      <c r="M211" s="11"/>
      <c r="N211" s="11">
        <f t="shared" si="17"/>
        <v>0</v>
      </c>
      <c r="O211" s="11">
        <f t="shared" si="10"/>
        <v>0</v>
      </c>
      <c r="P211" s="11">
        <f t="shared" si="11"/>
        <v>0</v>
      </c>
      <c r="Q211" s="8"/>
    </row>
    <row r="212" spans="1:17" x14ac:dyDescent="0.25">
      <c r="A212" s="8"/>
      <c r="B212" s="24" t="s">
        <v>827</v>
      </c>
      <c r="C212" s="8"/>
      <c r="D212" s="8"/>
      <c r="E212" s="10"/>
      <c r="F212" s="11"/>
      <c r="G212" s="18"/>
      <c r="H212" s="18"/>
      <c r="I212" s="18"/>
      <c r="J212" s="18"/>
      <c r="K212" s="11"/>
      <c r="L212" s="11"/>
      <c r="M212" s="11"/>
      <c r="N212" s="11">
        <f t="shared" si="17"/>
        <v>0</v>
      </c>
      <c r="O212" s="11">
        <f t="shared" si="10"/>
        <v>0</v>
      </c>
      <c r="P212" s="11">
        <f t="shared" si="11"/>
        <v>0</v>
      </c>
      <c r="Q212" s="8"/>
    </row>
    <row r="213" spans="1:17" x14ac:dyDescent="0.25">
      <c r="A213" s="8"/>
      <c r="B213" s="24" t="s">
        <v>966</v>
      </c>
      <c r="C213" s="8"/>
      <c r="D213" s="8"/>
      <c r="E213" s="10" t="s">
        <v>225</v>
      </c>
      <c r="F213" s="11">
        <v>55</v>
      </c>
      <c r="G213" s="18"/>
      <c r="H213" s="18"/>
      <c r="I213" s="18"/>
      <c r="J213" s="18"/>
      <c r="K213" s="11"/>
      <c r="L213" s="11"/>
      <c r="M213" s="11"/>
      <c r="N213" s="11">
        <f t="shared" si="17"/>
        <v>0</v>
      </c>
      <c r="O213" s="11">
        <f t="shared" si="10"/>
        <v>0</v>
      </c>
      <c r="P213" s="11">
        <f t="shared" si="11"/>
        <v>0</v>
      </c>
      <c r="Q213" s="8"/>
    </row>
    <row r="214" spans="1:17" x14ac:dyDescent="0.25">
      <c r="A214" s="8"/>
      <c r="B214" s="24" t="s">
        <v>967</v>
      </c>
      <c r="C214" s="8"/>
      <c r="D214" s="8"/>
      <c r="E214" s="10" t="s">
        <v>225</v>
      </c>
      <c r="F214" s="11">
        <v>1</v>
      </c>
      <c r="G214" s="18"/>
      <c r="H214" s="18"/>
      <c r="I214" s="18"/>
      <c r="J214" s="18"/>
      <c r="K214" s="11"/>
      <c r="L214" s="11"/>
      <c r="M214" s="11"/>
      <c r="N214" s="11">
        <f t="shared" si="17"/>
        <v>0</v>
      </c>
      <c r="O214" s="11">
        <f t="shared" si="10"/>
        <v>0</v>
      </c>
      <c r="P214" s="11">
        <f t="shared" si="11"/>
        <v>0</v>
      </c>
      <c r="Q214" s="8"/>
    </row>
    <row r="215" spans="1:17" x14ac:dyDescent="0.25">
      <c r="A215" s="8"/>
      <c r="B215" s="24" t="s">
        <v>968</v>
      </c>
      <c r="C215" s="8"/>
      <c r="D215" s="8"/>
      <c r="E215" s="10" t="s">
        <v>225</v>
      </c>
      <c r="F215" s="11">
        <v>36</v>
      </c>
      <c r="G215" s="18"/>
      <c r="H215" s="18"/>
      <c r="I215" s="18"/>
      <c r="J215" s="18"/>
      <c r="K215" s="11"/>
      <c r="L215" s="11"/>
      <c r="M215" s="11"/>
      <c r="N215" s="11">
        <f t="shared" si="17"/>
        <v>0</v>
      </c>
      <c r="O215" s="11">
        <f t="shared" si="10"/>
        <v>0</v>
      </c>
      <c r="P215" s="11">
        <f t="shared" si="11"/>
        <v>0</v>
      </c>
      <c r="Q215" s="8"/>
    </row>
    <row r="216" spans="1:17" x14ac:dyDescent="0.25">
      <c r="A216" s="8"/>
      <c r="B216" s="24" t="s">
        <v>969</v>
      </c>
      <c r="C216" s="8"/>
      <c r="D216" s="8"/>
      <c r="E216" s="10" t="s">
        <v>225</v>
      </c>
      <c r="F216" s="11">
        <v>135</v>
      </c>
      <c r="G216" s="18"/>
      <c r="H216" s="18"/>
      <c r="I216" s="18"/>
      <c r="J216" s="18"/>
      <c r="K216" s="11"/>
      <c r="L216" s="11"/>
      <c r="M216" s="11"/>
      <c r="N216" s="11">
        <f t="shared" si="17"/>
        <v>0</v>
      </c>
      <c r="O216" s="11">
        <f t="shared" si="10"/>
        <v>0</v>
      </c>
      <c r="P216" s="11">
        <f t="shared" si="11"/>
        <v>0</v>
      </c>
      <c r="Q216" s="8"/>
    </row>
    <row r="217" spans="1:17" x14ac:dyDescent="0.25">
      <c r="A217" s="8"/>
      <c r="B217" s="24" t="s">
        <v>970</v>
      </c>
      <c r="C217" s="8"/>
      <c r="D217" s="8"/>
      <c r="E217" s="10" t="s">
        <v>225</v>
      </c>
      <c r="F217" s="11">
        <v>138</v>
      </c>
      <c r="G217" s="18"/>
      <c r="H217" s="18"/>
      <c r="I217" s="18"/>
      <c r="J217" s="18"/>
      <c r="K217" s="11"/>
      <c r="L217" s="11"/>
      <c r="M217" s="11"/>
      <c r="N217" s="11">
        <f t="shared" si="17"/>
        <v>0</v>
      </c>
      <c r="O217" s="11">
        <f t="shared" si="10"/>
        <v>0</v>
      </c>
      <c r="P217" s="11">
        <f t="shared" si="11"/>
        <v>0</v>
      </c>
      <c r="Q217" s="8"/>
    </row>
    <row r="218" spans="1:17" x14ac:dyDescent="0.25">
      <c r="A218" s="8"/>
      <c r="B218" s="24" t="s">
        <v>971</v>
      </c>
      <c r="C218" s="8"/>
      <c r="D218" s="8"/>
      <c r="E218" s="10" t="s">
        <v>225</v>
      </c>
      <c r="F218" s="11">
        <v>138</v>
      </c>
      <c r="G218" s="18"/>
      <c r="H218" s="18"/>
      <c r="I218" s="18"/>
      <c r="J218" s="18"/>
      <c r="K218" s="11"/>
      <c r="L218" s="11"/>
      <c r="M218" s="11"/>
      <c r="N218" s="11">
        <f t="shared" si="17"/>
        <v>0</v>
      </c>
      <c r="O218" s="11">
        <f t="shared" si="10"/>
        <v>0</v>
      </c>
      <c r="P218" s="11">
        <f t="shared" si="11"/>
        <v>0</v>
      </c>
      <c r="Q218" s="8"/>
    </row>
    <row r="219" spans="1:17" x14ac:dyDescent="0.25">
      <c r="A219" s="8"/>
      <c r="B219" s="24" t="s">
        <v>972</v>
      </c>
      <c r="C219" s="8"/>
      <c r="D219" s="8"/>
      <c r="E219" s="10" t="s">
        <v>225</v>
      </c>
      <c r="F219" s="11">
        <v>278</v>
      </c>
      <c r="G219" s="18"/>
      <c r="H219" s="18"/>
      <c r="I219" s="18"/>
      <c r="J219" s="18"/>
      <c r="K219" s="11"/>
      <c r="L219" s="11"/>
      <c r="M219" s="11"/>
      <c r="N219" s="11">
        <f t="shared" si="17"/>
        <v>0</v>
      </c>
      <c r="O219" s="11">
        <f t="shared" ref="O219:O227" si="18">(K219+M219)*F219</f>
        <v>0</v>
      </c>
      <c r="P219" s="11">
        <f t="shared" ref="P219:P228" si="19">(L219+N219)*F219</f>
        <v>0</v>
      </c>
      <c r="Q219" s="8"/>
    </row>
    <row r="220" spans="1:17" x14ac:dyDescent="0.25">
      <c r="A220" s="8"/>
      <c r="B220" s="24" t="s">
        <v>973</v>
      </c>
      <c r="C220" s="8"/>
      <c r="D220" s="8"/>
      <c r="E220" s="10" t="s">
        <v>225</v>
      </c>
      <c r="F220" s="11">
        <v>19</v>
      </c>
      <c r="G220" s="18"/>
      <c r="H220" s="18"/>
      <c r="I220" s="18"/>
      <c r="J220" s="18"/>
      <c r="K220" s="11"/>
      <c r="L220" s="11"/>
      <c r="M220" s="11"/>
      <c r="N220" s="11">
        <f t="shared" si="17"/>
        <v>0</v>
      </c>
      <c r="O220" s="11">
        <f t="shared" si="18"/>
        <v>0</v>
      </c>
      <c r="P220" s="11">
        <f t="shared" si="19"/>
        <v>0</v>
      </c>
      <c r="Q220" s="8"/>
    </row>
    <row r="221" spans="1:17" x14ac:dyDescent="0.25">
      <c r="A221" s="8"/>
      <c r="B221" s="24" t="s">
        <v>974</v>
      </c>
      <c r="C221" s="8"/>
      <c r="D221" s="8"/>
      <c r="E221" s="10" t="s">
        <v>225</v>
      </c>
      <c r="F221" s="11">
        <v>25</v>
      </c>
      <c r="G221" s="18"/>
      <c r="H221" s="18"/>
      <c r="I221" s="18"/>
      <c r="J221" s="18"/>
      <c r="K221" s="11"/>
      <c r="L221" s="11"/>
      <c r="M221" s="11"/>
      <c r="N221" s="11">
        <f t="shared" si="17"/>
        <v>0</v>
      </c>
      <c r="O221" s="11">
        <f t="shared" si="18"/>
        <v>0</v>
      </c>
      <c r="P221" s="11">
        <f t="shared" si="19"/>
        <v>0</v>
      </c>
      <c r="Q221" s="8"/>
    </row>
    <row r="222" spans="1:17" x14ac:dyDescent="0.25">
      <c r="A222" s="8"/>
      <c r="B222" s="24" t="s">
        <v>975</v>
      </c>
      <c r="C222" s="8"/>
      <c r="D222" s="8"/>
      <c r="E222" s="10" t="s">
        <v>225</v>
      </c>
      <c r="F222" s="11">
        <v>7</v>
      </c>
      <c r="G222" s="18"/>
      <c r="H222" s="18"/>
      <c r="I222" s="18"/>
      <c r="J222" s="18"/>
      <c r="K222" s="11"/>
      <c r="L222" s="11"/>
      <c r="M222" s="11"/>
      <c r="N222" s="11">
        <f t="shared" si="17"/>
        <v>0</v>
      </c>
      <c r="O222" s="11">
        <f t="shared" si="18"/>
        <v>0</v>
      </c>
      <c r="P222" s="11">
        <f t="shared" si="19"/>
        <v>0</v>
      </c>
      <c r="Q222" s="8"/>
    </row>
    <row r="223" spans="1:17" x14ac:dyDescent="0.25">
      <c r="A223" s="8"/>
      <c r="B223" s="24" t="s">
        <v>976</v>
      </c>
      <c r="C223" s="8"/>
      <c r="D223" s="8"/>
      <c r="E223" s="10" t="s">
        <v>225</v>
      </c>
      <c r="F223" s="11">
        <v>138</v>
      </c>
      <c r="G223" s="18"/>
      <c r="H223" s="18"/>
      <c r="I223" s="18"/>
      <c r="J223" s="18"/>
      <c r="K223" s="11"/>
      <c r="L223" s="11"/>
      <c r="M223" s="11"/>
      <c r="N223" s="11">
        <f t="shared" si="17"/>
        <v>0</v>
      </c>
      <c r="O223" s="11">
        <f t="shared" si="18"/>
        <v>0</v>
      </c>
      <c r="P223" s="11">
        <f t="shared" si="19"/>
        <v>0</v>
      </c>
      <c r="Q223" s="8"/>
    </row>
    <row r="224" spans="1:17" x14ac:dyDescent="0.25">
      <c r="A224" s="8"/>
      <c r="B224" s="24" t="s">
        <v>977</v>
      </c>
      <c r="C224" s="8"/>
      <c r="D224" s="8"/>
      <c r="E224" s="10" t="s">
        <v>225</v>
      </c>
      <c r="F224" s="11">
        <v>138</v>
      </c>
      <c r="G224" s="18"/>
      <c r="H224" s="18"/>
      <c r="I224" s="18"/>
      <c r="J224" s="18"/>
      <c r="K224" s="11"/>
      <c r="L224" s="11"/>
      <c r="M224" s="11"/>
      <c r="N224" s="11">
        <f t="shared" si="17"/>
        <v>0</v>
      </c>
      <c r="O224" s="11">
        <f t="shared" si="18"/>
        <v>0</v>
      </c>
      <c r="P224" s="11">
        <f t="shared" si="19"/>
        <v>0</v>
      </c>
      <c r="Q224" s="8"/>
    </row>
    <row r="225" spans="1:17" x14ac:dyDescent="0.25">
      <c r="A225" s="8"/>
      <c r="B225" s="24" t="s">
        <v>978</v>
      </c>
      <c r="C225" s="8"/>
      <c r="D225" s="8"/>
      <c r="E225" s="10" t="s">
        <v>225</v>
      </c>
      <c r="F225" s="11">
        <v>12</v>
      </c>
      <c r="G225" s="18"/>
      <c r="H225" s="18"/>
      <c r="I225" s="18"/>
      <c r="J225" s="18"/>
      <c r="K225" s="11"/>
      <c r="L225" s="11"/>
      <c r="M225" s="11"/>
      <c r="N225" s="11">
        <f t="shared" si="17"/>
        <v>0</v>
      </c>
      <c r="O225" s="11">
        <f t="shared" si="18"/>
        <v>0</v>
      </c>
      <c r="P225" s="11">
        <f t="shared" si="19"/>
        <v>0</v>
      </c>
      <c r="Q225" s="8"/>
    </row>
    <row r="226" spans="1:17" x14ac:dyDescent="0.25">
      <c r="A226" s="8"/>
      <c r="B226" s="24" t="s">
        <v>836</v>
      </c>
      <c r="C226" s="8"/>
      <c r="D226" s="8"/>
      <c r="E226" s="10"/>
      <c r="F226" s="11"/>
      <c r="G226" s="18"/>
      <c r="H226" s="18"/>
      <c r="I226" s="18"/>
      <c r="J226" s="18"/>
      <c r="K226" s="11"/>
      <c r="L226" s="11"/>
      <c r="M226" s="11"/>
      <c r="N226" s="11">
        <f t="shared" si="17"/>
        <v>0</v>
      </c>
      <c r="O226" s="11">
        <f t="shared" si="18"/>
        <v>0</v>
      </c>
      <c r="P226" s="11">
        <f t="shared" si="19"/>
        <v>0</v>
      </c>
      <c r="Q226" s="8"/>
    </row>
    <row r="227" spans="1:17" x14ac:dyDescent="0.25">
      <c r="A227" s="8"/>
      <c r="B227" s="24" t="s">
        <v>979</v>
      </c>
      <c r="C227" s="8"/>
      <c r="D227" s="10"/>
      <c r="E227" s="10" t="s">
        <v>229</v>
      </c>
      <c r="F227" s="11">
        <v>3</v>
      </c>
      <c r="G227" s="18"/>
      <c r="H227" s="18"/>
      <c r="I227" s="18"/>
      <c r="J227" s="18"/>
      <c r="K227" s="11"/>
      <c r="L227" s="11"/>
      <c r="M227" s="11">
        <f t="shared" ref="M227:M247" si="20">K227*8%</f>
        <v>0</v>
      </c>
      <c r="N227" s="11">
        <f t="shared" si="17"/>
        <v>0</v>
      </c>
      <c r="O227" s="11">
        <f t="shared" si="18"/>
        <v>0</v>
      </c>
      <c r="P227" s="11">
        <f t="shared" si="19"/>
        <v>0</v>
      </c>
      <c r="Q227" s="8"/>
    </row>
    <row r="228" spans="1:17" x14ac:dyDescent="0.25">
      <c r="A228" s="8"/>
      <c r="B228" s="24" t="s">
        <v>980</v>
      </c>
      <c r="C228" s="8"/>
      <c r="D228" s="8"/>
      <c r="E228" s="10" t="s">
        <v>229</v>
      </c>
      <c r="F228" s="11">
        <v>2</v>
      </c>
      <c r="G228" s="18"/>
      <c r="H228" s="18"/>
      <c r="I228" s="18"/>
      <c r="J228" s="18"/>
      <c r="K228" s="11"/>
      <c r="L228" s="11"/>
      <c r="M228" s="11">
        <f t="shared" si="20"/>
        <v>0</v>
      </c>
      <c r="N228" s="11">
        <f t="shared" si="17"/>
        <v>0</v>
      </c>
      <c r="O228" s="11">
        <f t="shared" ref="O228" si="21">(G228+M228)*F228</f>
        <v>0</v>
      </c>
      <c r="P228" s="11">
        <f t="shared" si="19"/>
        <v>0</v>
      </c>
      <c r="Q228" s="8"/>
    </row>
    <row r="229" spans="1:17" x14ac:dyDescent="0.25">
      <c r="A229" s="8"/>
      <c r="B229" s="24" t="s">
        <v>981</v>
      </c>
      <c r="C229" s="8"/>
      <c r="D229" s="8"/>
      <c r="E229" s="10" t="s">
        <v>229</v>
      </c>
      <c r="F229" s="11">
        <v>2</v>
      </c>
      <c r="G229" s="18"/>
      <c r="H229" s="18"/>
      <c r="I229" s="18"/>
      <c r="J229" s="18"/>
      <c r="K229" s="11"/>
      <c r="L229" s="11"/>
      <c r="M229" s="11"/>
      <c r="N229" s="11"/>
      <c r="O229" s="11"/>
      <c r="P229" s="11"/>
      <c r="Q229" s="8"/>
    </row>
    <row r="230" spans="1:17" x14ac:dyDescent="0.25">
      <c r="A230" s="8"/>
      <c r="B230" s="24" t="s">
        <v>824</v>
      </c>
      <c r="C230" s="8"/>
      <c r="D230" s="8"/>
      <c r="E230" s="10" t="s">
        <v>1097</v>
      </c>
      <c r="F230" s="11">
        <v>1</v>
      </c>
      <c r="G230" s="18"/>
      <c r="H230" s="18"/>
      <c r="I230" s="18"/>
      <c r="J230" s="18"/>
      <c r="K230" s="11"/>
      <c r="L230" s="11"/>
      <c r="M230" s="11"/>
      <c r="N230" s="11"/>
      <c r="O230" s="11"/>
      <c r="P230" s="11"/>
      <c r="Q230" s="8"/>
    </row>
    <row r="231" spans="1:17" x14ac:dyDescent="0.25">
      <c r="A231" s="8"/>
      <c r="B231" s="24" t="s">
        <v>457</v>
      </c>
      <c r="C231" s="8"/>
      <c r="D231" s="8"/>
      <c r="E231" s="10"/>
      <c r="F231" s="11"/>
      <c r="G231" s="18"/>
      <c r="H231" s="18"/>
      <c r="I231" s="18"/>
      <c r="J231" s="18"/>
      <c r="K231" s="11"/>
      <c r="L231" s="11"/>
      <c r="M231" s="11"/>
      <c r="N231" s="11"/>
      <c r="O231" s="11"/>
      <c r="P231" s="11"/>
      <c r="Q231" s="8"/>
    </row>
    <row r="232" spans="1:17" x14ac:dyDescent="0.25">
      <c r="A232" s="8"/>
      <c r="B232" s="24" t="s">
        <v>827</v>
      </c>
      <c r="C232" s="8"/>
      <c r="D232" s="10"/>
      <c r="E232" s="10"/>
      <c r="F232" s="11"/>
      <c r="G232" s="18"/>
      <c r="H232" s="18"/>
      <c r="I232" s="18"/>
      <c r="J232" s="18"/>
      <c r="K232" s="11"/>
      <c r="L232" s="11"/>
      <c r="M232" s="11">
        <f t="shared" si="20"/>
        <v>0</v>
      </c>
      <c r="N232" s="11">
        <f t="shared" si="17"/>
        <v>0</v>
      </c>
      <c r="O232" s="11">
        <f t="shared" ref="O232:O235" si="22">(K232+M232)*F232</f>
        <v>0</v>
      </c>
      <c r="P232" s="11">
        <f t="shared" ref="P232:P247" si="23">(L232+N232)*F232</f>
        <v>0</v>
      </c>
      <c r="Q232" s="8"/>
    </row>
    <row r="233" spans="1:17" x14ac:dyDescent="0.25">
      <c r="A233" s="8"/>
      <c r="B233" s="24" t="s">
        <v>982</v>
      </c>
      <c r="C233" s="12"/>
      <c r="D233" s="10"/>
      <c r="E233" s="10" t="s">
        <v>225</v>
      </c>
      <c r="F233" s="11">
        <v>2</v>
      </c>
      <c r="G233" s="18"/>
      <c r="H233" s="18"/>
      <c r="I233" s="18"/>
      <c r="J233" s="18"/>
      <c r="K233" s="11"/>
      <c r="L233" s="11"/>
      <c r="M233" s="11">
        <f t="shared" si="20"/>
        <v>0</v>
      </c>
      <c r="N233" s="11">
        <f t="shared" si="17"/>
        <v>0</v>
      </c>
      <c r="O233" s="11">
        <f t="shared" si="22"/>
        <v>0</v>
      </c>
      <c r="P233" s="11">
        <f t="shared" si="23"/>
        <v>0</v>
      </c>
      <c r="Q233" s="8"/>
    </row>
    <row r="234" spans="1:17" x14ac:dyDescent="0.25">
      <c r="A234" s="8"/>
      <c r="B234" s="24" t="s">
        <v>983</v>
      </c>
      <c r="C234" s="8"/>
      <c r="D234" s="10"/>
      <c r="E234" s="10" t="s">
        <v>225</v>
      </c>
      <c r="F234" s="11">
        <v>21</v>
      </c>
      <c r="G234" s="18"/>
      <c r="H234" s="18"/>
      <c r="I234" s="18"/>
      <c r="J234" s="18"/>
      <c r="K234" s="11"/>
      <c r="L234" s="11"/>
      <c r="M234" s="11">
        <f t="shared" si="20"/>
        <v>0</v>
      </c>
      <c r="N234" s="11">
        <f t="shared" si="17"/>
        <v>0</v>
      </c>
      <c r="O234" s="11">
        <f t="shared" si="22"/>
        <v>0</v>
      </c>
      <c r="P234" s="11">
        <f t="shared" si="23"/>
        <v>0</v>
      </c>
      <c r="Q234" s="8"/>
    </row>
    <row r="235" spans="1:17" x14ac:dyDescent="0.25">
      <c r="A235" s="8"/>
      <c r="B235" s="24" t="s">
        <v>834</v>
      </c>
      <c r="C235" s="8"/>
      <c r="D235" s="10"/>
      <c r="E235" s="10"/>
      <c r="F235" s="11"/>
      <c r="G235" s="18"/>
      <c r="H235" s="18"/>
      <c r="I235" s="18"/>
      <c r="J235" s="18"/>
      <c r="K235" s="11"/>
      <c r="L235" s="11"/>
      <c r="M235" s="11">
        <f t="shared" si="20"/>
        <v>0</v>
      </c>
      <c r="N235" s="11">
        <f t="shared" si="17"/>
        <v>0</v>
      </c>
      <c r="O235" s="11">
        <f t="shared" si="22"/>
        <v>0</v>
      </c>
      <c r="P235" s="11">
        <f t="shared" si="23"/>
        <v>0</v>
      </c>
      <c r="Q235" s="8"/>
    </row>
    <row r="236" spans="1:17" x14ac:dyDescent="0.25">
      <c r="A236" s="8"/>
      <c r="B236" s="24" t="s">
        <v>984</v>
      </c>
      <c r="C236" s="8"/>
      <c r="D236" s="8"/>
      <c r="E236" s="10" t="s">
        <v>229</v>
      </c>
      <c r="F236" s="11">
        <v>1</v>
      </c>
      <c r="G236" s="18"/>
      <c r="H236" s="18"/>
      <c r="I236" s="18"/>
      <c r="J236" s="18"/>
      <c r="K236" s="11"/>
      <c r="L236" s="11"/>
      <c r="M236" s="11"/>
      <c r="N236" s="11"/>
      <c r="O236" s="11"/>
      <c r="P236" s="11"/>
      <c r="Q236" s="8"/>
    </row>
    <row r="237" spans="1:17" x14ac:dyDescent="0.25">
      <c r="A237" s="8"/>
      <c r="B237" s="24" t="s">
        <v>836</v>
      </c>
      <c r="C237" s="13"/>
      <c r="D237" s="19"/>
      <c r="E237" s="10"/>
      <c r="F237" s="11"/>
      <c r="G237" s="18"/>
      <c r="H237" s="18"/>
      <c r="I237" s="18"/>
      <c r="J237" s="18"/>
      <c r="K237" s="11"/>
      <c r="L237" s="11"/>
      <c r="M237" s="11">
        <f t="shared" si="20"/>
        <v>0</v>
      </c>
      <c r="N237" s="11">
        <f t="shared" si="17"/>
        <v>0</v>
      </c>
      <c r="O237" s="11">
        <f t="shared" ref="O237:O238" si="24">(K237+M237)*F237</f>
        <v>0</v>
      </c>
      <c r="P237" s="11">
        <f t="shared" si="23"/>
        <v>0</v>
      </c>
      <c r="Q237" s="8"/>
    </row>
    <row r="238" spans="1:17" x14ac:dyDescent="0.25">
      <c r="A238" s="8"/>
      <c r="B238" s="24" t="s">
        <v>843</v>
      </c>
      <c r="C238" s="13"/>
      <c r="D238" s="19"/>
      <c r="E238" s="10" t="s">
        <v>229</v>
      </c>
      <c r="F238" s="11">
        <v>2</v>
      </c>
      <c r="G238" s="18"/>
      <c r="H238" s="18"/>
      <c r="I238" s="18"/>
      <c r="J238" s="18"/>
      <c r="K238" s="11"/>
      <c r="L238" s="11"/>
      <c r="M238" s="11">
        <f t="shared" si="20"/>
        <v>0</v>
      </c>
      <c r="N238" s="11">
        <f t="shared" si="17"/>
        <v>0</v>
      </c>
      <c r="O238" s="11">
        <f t="shared" si="24"/>
        <v>0</v>
      </c>
      <c r="P238" s="11">
        <f t="shared" si="23"/>
        <v>0</v>
      </c>
      <c r="Q238" s="8"/>
    </row>
    <row r="239" spans="1:17" x14ac:dyDescent="0.25">
      <c r="A239" s="8"/>
      <c r="B239" s="24" t="s">
        <v>824</v>
      </c>
      <c r="C239" s="8"/>
      <c r="D239" s="8"/>
      <c r="E239" s="10" t="s">
        <v>1097</v>
      </c>
      <c r="F239" s="11">
        <v>1</v>
      </c>
      <c r="G239" s="18"/>
      <c r="H239" s="18"/>
      <c r="I239" s="18"/>
      <c r="J239" s="18"/>
      <c r="K239" s="11"/>
      <c r="L239" s="11"/>
      <c r="M239" s="11"/>
      <c r="N239" s="11"/>
      <c r="O239" s="11"/>
      <c r="P239" s="11">
        <f t="shared" si="23"/>
        <v>0</v>
      </c>
      <c r="Q239" s="8"/>
    </row>
    <row r="240" spans="1:17" x14ac:dyDescent="0.25">
      <c r="A240" s="8"/>
      <c r="B240" s="24"/>
      <c r="C240" s="8"/>
      <c r="D240" s="10"/>
      <c r="E240" s="10"/>
      <c r="F240" s="11"/>
      <c r="G240" s="18"/>
      <c r="H240" s="18"/>
      <c r="I240" s="18"/>
      <c r="J240" s="18"/>
      <c r="K240" s="11"/>
      <c r="L240" s="11"/>
      <c r="M240" s="11">
        <f>K240*10%</f>
        <v>0</v>
      </c>
      <c r="N240" s="11">
        <f t="shared" si="17"/>
        <v>0</v>
      </c>
      <c r="O240" s="11">
        <f t="shared" ref="O240:O243" si="25">(K240+M240)*F240</f>
        <v>0</v>
      </c>
      <c r="P240" s="11">
        <f t="shared" si="23"/>
        <v>0</v>
      </c>
      <c r="Q240" s="8"/>
    </row>
    <row r="241" spans="1:17" ht="30" x14ac:dyDescent="0.25">
      <c r="A241" s="8"/>
      <c r="B241" s="24" t="s">
        <v>899</v>
      </c>
      <c r="C241" s="13"/>
      <c r="D241" s="10"/>
      <c r="E241" s="10"/>
      <c r="F241" s="11"/>
      <c r="G241" s="18"/>
      <c r="H241" s="18"/>
      <c r="I241" s="18"/>
      <c r="J241" s="18"/>
      <c r="K241" s="11"/>
      <c r="L241" s="11"/>
      <c r="M241" s="11">
        <f t="shared" ref="M241:M242" si="26">K241*10%</f>
        <v>0</v>
      </c>
      <c r="N241" s="11">
        <f t="shared" si="17"/>
        <v>0</v>
      </c>
      <c r="O241" s="11">
        <f t="shared" si="25"/>
        <v>0</v>
      </c>
      <c r="P241" s="11">
        <f t="shared" si="23"/>
        <v>0</v>
      </c>
      <c r="Q241" s="8"/>
    </row>
    <row r="242" spans="1:17" ht="30" x14ac:dyDescent="0.25">
      <c r="A242" s="8"/>
      <c r="B242" s="24" t="s">
        <v>985</v>
      </c>
      <c r="C242" s="13"/>
      <c r="D242" s="10"/>
      <c r="E242" s="10" t="s">
        <v>229</v>
      </c>
      <c r="F242" s="11">
        <v>68</v>
      </c>
      <c r="G242" s="18"/>
      <c r="H242" s="18"/>
      <c r="I242" s="18"/>
      <c r="J242" s="18"/>
      <c r="K242" s="11"/>
      <c r="L242" s="11"/>
      <c r="M242" s="11">
        <f t="shared" si="26"/>
        <v>0</v>
      </c>
      <c r="N242" s="11">
        <f t="shared" si="17"/>
        <v>0</v>
      </c>
      <c r="O242" s="11">
        <f t="shared" si="25"/>
        <v>0</v>
      </c>
      <c r="P242" s="11">
        <f t="shared" si="23"/>
        <v>0</v>
      </c>
      <c r="Q242" s="8"/>
    </row>
    <row r="243" spans="1:17" ht="30" x14ac:dyDescent="0.25">
      <c r="A243" s="8"/>
      <c r="B243" s="24" t="s">
        <v>986</v>
      </c>
      <c r="C243" s="8"/>
      <c r="D243" s="10"/>
      <c r="E243" s="10" t="s">
        <v>229</v>
      </c>
      <c r="F243" s="11">
        <v>105</v>
      </c>
      <c r="G243" s="18"/>
      <c r="H243" s="18"/>
      <c r="I243" s="18"/>
      <c r="J243" s="18"/>
      <c r="K243" s="11"/>
      <c r="L243" s="11"/>
      <c r="M243" s="11">
        <f t="shared" si="20"/>
        <v>0</v>
      </c>
      <c r="N243" s="11">
        <f t="shared" si="17"/>
        <v>0</v>
      </c>
      <c r="O243" s="11">
        <f t="shared" si="25"/>
        <v>0</v>
      </c>
      <c r="P243" s="11">
        <f t="shared" si="23"/>
        <v>0</v>
      </c>
      <c r="Q243" s="8"/>
    </row>
    <row r="244" spans="1:17" ht="30" x14ac:dyDescent="0.25">
      <c r="A244" s="8"/>
      <c r="B244" s="24" t="s">
        <v>987</v>
      </c>
      <c r="C244" s="8"/>
      <c r="D244" s="8"/>
      <c r="E244" s="10" t="s">
        <v>229</v>
      </c>
      <c r="F244" s="11">
        <v>1</v>
      </c>
      <c r="G244" s="18"/>
      <c r="H244" s="18"/>
      <c r="I244" s="18"/>
      <c r="J244" s="18"/>
      <c r="K244" s="11"/>
      <c r="L244" s="11"/>
      <c r="M244" s="11"/>
      <c r="N244" s="11"/>
      <c r="O244" s="11"/>
      <c r="P244" s="11"/>
      <c r="Q244" s="8"/>
    </row>
    <row r="245" spans="1:17" ht="30" x14ac:dyDescent="0.25">
      <c r="A245" s="8"/>
      <c r="B245" s="24" t="s">
        <v>988</v>
      </c>
      <c r="C245" s="12"/>
      <c r="D245" s="19"/>
      <c r="E245" s="10" t="s">
        <v>229</v>
      </c>
      <c r="F245" s="11">
        <v>37</v>
      </c>
      <c r="G245" s="18"/>
      <c r="H245" s="18"/>
      <c r="I245" s="18"/>
      <c r="J245" s="18"/>
      <c r="K245" s="11"/>
      <c r="L245" s="11"/>
      <c r="M245" s="11">
        <f t="shared" si="20"/>
        <v>0</v>
      </c>
      <c r="N245" s="11">
        <f t="shared" si="17"/>
        <v>0</v>
      </c>
      <c r="O245" s="11">
        <f t="shared" ref="O245:O247" si="27">(K245+M245)*F245</f>
        <v>0</v>
      </c>
      <c r="P245" s="11">
        <f t="shared" si="23"/>
        <v>0</v>
      </c>
      <c r="Q245" s="8"/>
    </row>
    <row r="246" spans="1:17" ht="30" x14ac:dyDescent="0.25">
      <c r="A246" s="8"/>
      <c r="B246" s="24" t="s">
        <v>989</v>
      </c>
      <c r="C246" s="12"/>
      <c r="D246" s="19"/>
      <c r="E246" s="10" t="s">
        <v>229</v>
      </c>
      <c r="F246" s="11">
        <v>36</v>
      </c>
      <c r="G246" s="18"/>
      <c r="H246" s="18"/>
      <c r="I246" s="18"/>
      <c r="J246" s="18"/>
      <c r="K246" s="11"/>
      <c r="L246" s="11"/>
      <c r="M246" s="11">
        <f t="shared" si="20"/>
        <v>0</v>
      </c>
      <c r="N246" s="11">
        <f t="shared" si="17"/>
        <v>0</v>
      </c>
      <c r="O246" s="11">
        <f t="shared" si="27"/>
        <v>0</v>
      </c>
      <c r="P246" s="11">
        <f t="shared" si="23"/>
        <v>0</v>
      </c>
      <c r="Q246" s="8"/>
    </row>
    <row r="247" spans="1:17" ht="30" x14ac:dyDescent="0.25">
      <c r="A247" s="8"/>
      <c r="B247" s="24" t="s">
        <v>990</v>
      </c>
      <c r="C247" s="12"/>
      <c r="D247" s="19"/>
      <c r="E247" s="10" t="s">
        <v>229</v>
      </c>
      <c r="F247" s="11">
        <v>70</v>
      </c>
      <c r="G247" s="18"/>
      <c r="H247" s="18"/>
      <c r="I247" s="18"/>
      <c r="J247" s="18"/>
      <c r="K247" s="11"/>
      <c r="L247" s="11"/>
      <c r="M247" s="11">
        <f t="shared" si="20"/>
        <v>0</v>
      </c>
      <c r="N247" s="11">
        <f t="shared" si="17"/>
        <v>0</v>
      </c>
      <c r="O247" s="11">
        <f t="shared" si="27"/>
        <v>0</v>
      </c>
      <c r="P247" s="11">
        <f t="shared" si="23"/>
        <v>0</v>
      </c>
      <c r="Q247" s="8"/>
    </row>
    <row r="248" spans="1:17" ht="30" x14ac:dyDescent="0.25">
      <c r="A248" s="8"/>
      <c r="B248" s="24" t="s">
        <v>991</v>
      </c>
      <c r="C248" s="8"/>
      <c r="D248" s="8"/>
      <c r="E248" s="10" t="s">
        <v>229</v>
      </c>
      <c r="F248" s="11">
        <v>68</v>
      </c>
      <c r="G248" s="18"/>
      <c r="H248" s="18"/>
      <c r="I248" s="18"/>
      <c r="J248" s="18"/>
      <c r="K248" s="11"/>
      <c r="L248" s="11"/>
      <c r="M248" s="11"/>
      <c r="N248" s="11"/>
      <c r="O248" s="11"/>
      <c r="P248" s="11"/>
      <c r="Q248" s="8"/>
    </row>
    <row r="249" spans="1:17" ht="30" x14ac:dyDescent="0.25">
      <c r="A249" s="8"/>
      <c r="B249" s="24" t="s">
        <v>992</v>
      </c>
      <c r="C249" s="8"/>
      <c r="D249" s="8"/>
      <c r="E249" s="10" t="s">
        <v>229</v>
      </c>
      <c r="F249" s="11">
        <v>1</v>
      </c>
      <c r="G249" s="18"/>
      <c r="H249" s="18"/>
      <c r="I249" s="18"/>
      <c r="J249" s="18"/>
      <c r="K249" s="11"/>
      <c r="L249" s="11"/>
      <c r="M249" s="11"/>
      <c r="N249" s="11"/>
      <c r="O249" s="11"/>
      <c r="P249" s="11"/>
      <c r="Q249" s="8"/>
    </row>
    <row r="250" spans="1:17" ht="30" x14ac:dyDescent="0.25">
      <c r="A250" s="8"/>
      <c r="B250" s="24" t="s">
        <v>993</v>
      </c>
      <c r="C250" s="8"/>
      <c r="D250" s="10"/>
      <c r="E250" s="10" t="s">
        <v>229</v>
      </c>
      <c r="F250" s="11">
        <v>1</v>
      </c>
      <c r="G250" s="18"/>
      <c r="H250" s="18"/>
      <c r="I250" s="18"/>
      <c r="J250" s="18"/>
      <c r="K250" s="11"/>
      <c r="L250" s="11"/>
      <c r="M250" s="11"/>
      <c r="N250" s="11"/>
      <c r="O250" s="11"/>
      <c r="P250" s="11"/>
      <c r="Q250" s="8"/>
    </row>
    <row r="251" spans="1:17" x14ac:dyDescent="0.25">
      <c r="A251" s="8"/>
      <c r="B251" s="24" t="s">
        <v>994</v>
      </c>
      <c r="C251" s="8"/>
      <c r="D251" s="10"/>
      <c r="E251" s="10" t="s">
        <v>229</v>
      </c>
      <c r="F251" s="11">
        <v>1</v>
      </c>
      <c r="G251" s="18"/>
      <c r="H251" s="18"/>
      <c r="I251" s="18"/>
      <c r="J251" s="18"/>
      <c r="K251" s="11"/>
      <c r="L251" s="11"/>
      <c r="M251" s="11"/>
      <c r="N251" s="11"/>
      <c r="O251" s="11"/>
      <c r="P251" s="11"/>
      <c r="Q251" s="8"/>
    </row>
    <row r="252" spans="1:17" ht="30" x14ac:dyDescent="0.25">
      <c r="A252" s="8"/>
      <c r="B252" s="24" t="s">
        <v>995</v>
      </c>
      <c r="C252" s="8"/>
      <c r="D252" s="8"/>
      <c r="E252" s="10" t="s">
        <v>229</v>
      </c>
      <c r="F252" s="11">
        <v>1</v>
      </c>
      <c r="G252" s="18"/>
      <c r="H252" s="18"/>
      <c r="I252" s="18"/>
      <c r="J252" s="18"/>
      <c r="K252" s="11"/>
      <c r="L252" s="11"/>
      <c r="M252" s="11"/>
      <c r="N252" s="11"/>
      <c r="O252" s="11"/>
      <c r="P252" s="11"/>
      <c r="Q252" s="8"/>
    </row>
    <row r="253" spans="1:17" ht="30" x14ac:dyDescent="0.25">
      <c r="A253" s="8"/>
      <c r="B253" s="24" t="s">
        <v>996</v>
      </c>
      <c r="C253" s="8"/>
      <c r="D253" s="8"/>
      <c r="E253" s="10" t="s">
        <v>229</v>
      </c>
      <c r="F253" s="11">
        <v>2</v>
      </c>
      <c r="G253" s="18"/>
      <c r="H253" s="18"/>
      <c r="I253" s="18"/>
      <c r="J253" s="18"/>
      <c r="K253" s="11"/>
      <c r="L253" s="11"/>
      <c r="M253" s="11"/>
      <c r="N253" s="11"/>
      <c r="O253" s="11"/>
      <c r="P253" s="11"/>
      <c r="Q253" s="8"/>
    </row>
    <row r="254" spans="1:17" ht="30" x14ac:dyDescent="0.25">
      <c r="A254" s="8"/>
      <c r="B254" s="24" t="s">
        <v>997</v>
      </c>
      <c r="C254" s="8"/>
      <c r="D254" s="8"/>
      <c r="E254" s="10" t="s">
        <v>229</v>
      </c>
      <c r="F254" s="11">
        <v>1</v>
      </c>
      <c r="G254" s="18"/>
      <c r="H254" s="18"/>
      <c r="I254" s="18"/>
      <c r="J254" s="18"/>
      <c r="K254" s="11"/>
      <c r="L254" s="11"/>
      <c r="M254" s="11"/>
      <c r="N254" s="11"/>
      <c r="O254" s="11"/>
      <c r="P254" s="11"/>
      <c r="Q254" s="8"/>
    </row>
    <row r="255" spans="1:17" ht="30" x14ac:dyDescent="0.25">
      <c r="A255" s="8"/>
      <c r="B255" s="24" t="s">
        <v>998</v>
      </c>
      <c r="C255" s="8"/>
      <c r="D255" s="8"/>
      <c r="E255" s="10" t="s">
        <v>229</v>
      </c>
      <c r="F255" s="11">
        <v>1</v>
      </c>
      <c r="G255" s="18"/>
      <c r="H255" s="18"/>
      <c r="I255" s="18"/>
      <c r="J255" s="18"/>
      <c r="K255" s="11"/>
      <c r="L255" s="11"/>
      <c r="M255" s="11"/>
      <c r="N255" s="11"/>
      <c r="O255" s="11"/>
      <c r="P255" s="11"/>
      <c r="Q255" s="8"/>
    </row>
    <row r="256" spans="1:17" x14ac:dyDescent="0.25">
      <c r="A256" s="8"/>
      <c r="B256" s="24" t="s">
        <v>999</v>
      </c>
      <c r="C256" s="8"/>
      <c r="D256" s="10"/>
      <c r="E256" s="10" t="s">
        <v>229</v>
      </c>
      <c r="F256" s="11">
        <v>1</v>
      </c>
      <c r="G256" s="18"/>
      <c r="H256" s="18"/>
      <c r="I256" s="18"/>
      <c r="J256" s="18"/>
      <c r="K256" s="11"/>
      <c r="L256" s="11"/>
      <c r="M256" s="11"/>
      <c r="N256" s="11"/>
      <c r="O256" s="11"/>
      <c r="P256" s="11"/>
      <c r="Q256" s="8"/>
    </row>
    <row r="257" spans="1:17" x14ac:dyDescent="0.25">
      <c r="A257" s="8"/>
      <c r="B257" s="24" t="s">
        <v>1000</v>
      </c>
      <c r="C257" s="12"/>
      <c r="D257" s="10"/>
      <c r="E257" s="10" t="s">
        <v>229</v>
      </c>
      <c r="F257" s="11">
        <v>1</v>
      </c>
      <c r="G257" s="18"/>
      <c r="H257" s="18"/>
      <c r="I257" s="18"/>
      <c r="J257" s="18"/>
      <c r="K257" s="11"/>
      <c r="L257" s="11"/>
      <c r="M257" s="11"/>
      <c r="N257" s="11"/>
      <c r="O257" s="11"/>
      <c r="P257" s="11"/>
      <c r="Q257" s="8"/>
    </row>
    <row r="258" spans="1:17" x14ac:dyDescent="0.25">
      <c r="A258" s="8"/>
      <c r="B258" s="24" t="s">
        <v>1001</v>
      </c>
      <c r="C258" s="8"/>
      <c r="D258" s="8"/>
      <c r="E258" s="10" t="s">
        <v>229</v>
      </c>
      <c r="F258" s="11">
        <v>1</v>
      </c>
      <c r="G258" s="18"/>
      <c r="H258" s="18"/>
      <c r="I258" s="18"/>
      <c r="J258" s="18"/>
      <c r="K258" s="11"/>
      <c r="L258" s="11"/>
      <c r="M258" s="11"/>
      <c r="N258" s="11"/>
      <c r="O258" s="11"/>
      <c r="P258" s="11"/>
      <c r="Q258" s="8"/>
    </row>
    <row r="259" spans="1:17" x14ac:dyDescent="0.25">
      <c r="A259" s="8"/>
      <c r="B259" s="24" t="s">
        <v>1002</v>
      </c>
      <c r="C259" s="8"/>
      <c r="D259" s="8"/>
      <c r="E259" s="10" t="s">
        <v>229</v>
      </c>
      <c r="F259" s="11">
        <v>1</v>
      </c>
      <c r="G259" s="18"/>
      <c r="H259" s="18"/>
      <c r="I259" s="18"/>
      <c r="J259" s="18"/>
      <c r="K259" s="11"/>
      <c r="L259" s="11"/>
      <c r="M259" s="11"/>
      <c r="N259" s="11"/>
      <c r="O259" s="11"/>
      <c r="P259" s="11"/>
      <c r="Q259" s="8"/>
    </row>
    <row r="260" spans="1:17" x14ac:dyDescent="0.25">
      <c r="A260" s="8"/>
      <c r="B260" s="24" t="s">
        <v>1003</v>
      </c>
      <c r="C260" s="8"/>
      <c r="D260" s="8"/>
      <c r="E260" s="10" t="s">
        <v>229</v>
      </c>
      <c r="F260" s="11">
        <v>9</v>
      </c>
      <c r="G260" s="18"/>
      <c r="H260" s="18"/>
      <c r="I260" s="18"/>
      <c r="J260" s="18"/>
      <c r="K260" s="11"/>
      <c r="L260" s="11"/>
      <c r="M260" s="11"/>
      <c r="N260" s="11"/>
      <c r="O260" s="11"/>
      <c r="P260" s="11"/>
      <c r="Q260" s="8"/>
    </row>
    <row r="261" spans="1:17" x14ac:dyDescent="0.25">
      <c r="A261" s="8"/>
      <c r="B261" s="24" t="s">
        <v>856</v>
      </c>
      <c r="C261" s="8"/>
      <c r="D261" s="8"/>
      <c r="E261" s="10" t="s">
        <v>229</v>
      </c>
      <c r="F261" s="11">
        <v>12</v>
      </c>
      <c r="G261" s="18"/>
      <c r="H261" s="18"/>
      <c r="I261" s="18"/>
      <c r="J261" s="18"/>
      <c r="K261" s="11"/>
      <c r="L261" s="11"/>
      <c r="M261" s="11"/>
      <c r="N261" s="11"/>
      <c r="O261" s="11"/>
      <c r="P261" s="11"/>
      <c r="Q261" s="8"/>
    </row>
    <row r="262" spans="1:17" x14ac:dyDescent="0.25">
      <c r="A262" s="8"/>
      <c r="B262" s="24" t="s">
        <v>824</v>
      </c>
      <c r="C262" s="8"/>
      <c r="D262" s="8"/>
      <c r="E262" s="10" t="s">
        <v>1097</v>
      </c>
      <c r="F262" s="11">
        <v>1</v>
      </c>
      <c r="G262" s="18"/>
      <c r="H262" s="18"/>
      <c r="I262" s="18"/>
      <c r="J262" s="18"/>
      <c r="K262" s="11"/>
      <c r="L262" s="11"/>
      <c r="M262" s="11"/>
      <c r="N262" s="11"/>
      <c r="O262" s="11"/>
      <c r="P262" s="11"/>
      <c r="Q262" s="8"/>
    </row>
    <row r="263" spans="1:17" x14ac:dyDescent="0.25">
      <c r="A263" s="8"/>
      <c r="B263" s="24"/>
      <c r="C263" s="8"/>
      <c r="D263" s="8"/>
      <c r="E263" s="10"/>
      <c r="F263" s="11"/>
      <c r="G263" s="18"/>
      <c r="H263" s="18"/>
      <c r="I263" s="18"/>
      <c r="J263" s="18"/>
      <c r="K263" s="11"/>
      <c r="L263" s="11"/>
      <c r="M263" s="11"/>
      <c r="N263" s="11"/>
      <c r="O263" s="11"/>
      <c r="P263" s="11"/>
      <c r="Q263" s="8"/>
    </row>
    <row r="264" spans="1:17" x14ac:dyDescent="0.25">
      <c r="A264" s="8"/>
      <c r="B264" s="24" t="s">
        <v>857</v>
      </c>
      <c r="C264" s="12"/>
      <c r="D264" s="10"/>
      <c r="E264" s="10"/>
      <c r="F264" s="11"/>
      <c r="G264" s="21"/>
      <c r="H264" s="18"/>
      <c r="I264" s="18"/>
      <c r="J264" s="18"/>
      <c r="K264" s="11"/>
      <c r="L264" s="11"/>
      <c r="M264" s="11">
        <f>K264*10%</f>
        <v>0</v>
      </c>
      <c r="N264" s="11">
        <f t="shared" ref="N264:N273" si="28">L264*8%</f>
        <v>0</v>
      </c>
      <c r="O264" s="11">
        <f t="shared" ref="O264:O267" si="29">(K264+M264)*F264</f>
        <v>0</v>
      </c>
      <c r="P264" s="11">
        <f t="shared" ref="P264:P273" si="30">(L264+N264)*F264</f>
        <v>0</v>
      </c>
      <c r="Q264" s="8"/>
    </row>
    <row r="265" spans="1:17" x14ac:dyDescent="0.25">
      <c r="A265" s="8"/>
      <c r="B265" s="24" t="s">
        <v>413</v>
      </c>
      <c r="C265" s="12"/>
      <c r="D265" s="10"/>
      <c r="E265" s="10"/>
      <c r="F265" s="11"/>
      <c r="G265" s="21"/>
      <c r="H265" s="18"/>
      <c r="I265" s="18"/>
      <c r="J265" s="18"/>
      <c r="K265" s="11"/>
      <c r="L265" s="11"/>
      <c r="M265" s="11">
        <f t="shared" ref="M265:M267" si="31">K265*10%</f>
        <v>0</v>
      </c>
      <c r="N265" s="11">
        <f t="shared" si="28"/>
        <v>0</v>
      </c>
      <c r="O265" s="11">
        <f t="shared" si="29"/>
        <v>0</v>
      </c>
      <c r="P265" s="11">
        <f t="shared" si="30"/>
        <v>0</v>
      </c>
      <c r="Q265" s="8"/>
    </row>
    <row r="266" spans="1:17" ht="60" x14ac:dyDescent="0.25">
      <c r="A266" s="8"/>
      <c r="B266" s="24" t="s">
        <v>1004</v>
      </c>
      <c r="C266" s="12"/>
      <c r="D266" s="10"/>
      <c r="E266" s="10" t="s">
        <v>229</v>
      </c>
      <c r="F266" s="11">
        <v>1</v>
      </c>
      <c r="G266" s="21"/>
      <c r="H266" s="18"/>
      <c r="I266" s="18"/>
      <c r="J266" s="18"/>
      <c r="K266" s="11"/>
      <c r="L266" s="11"/>
      <c r="M266" s="11">
        <f t="shared" si="31"/>
        <v>0</v>
      </c>
      <c r="N266" s="11">
        <f t="shared" si="28"/>
        <v>0</v>
      </c>
      <c r="O266" s="11">
        <f t="shared" si="29"/>
        <v>0</v>
      </c>
      <c r="P266" s="11">
        <f t="shared" si="30"/>
        <v>0</v>
      </c>
      <c r="Q266" s="8"/>
    </row>
    <row r="267" spans="1:17" ht="60" x14ac:dyDescent="0.25">
      <c r="A267" s="8"/>
      <c r="B267" s="24" t="s">
        <v>1005</v>
      </c>
      <c r="C267" s="8"/>
      <c r="D267" s="10"/>
      <c r="E267" s="10" t="s">
        <v>229</v>
      </c>
      <c r="F267" s="11">
        <v>1</v>
      </c>
      <c r="G267" s="18"/>
      <c r="H267" s="18"/>
      <c r="I267" s="18"/>
      <c r="J267" s="18"/>
      <c r="K267" s="11"/>
      <c r="L267" s="11"/>
      <c r="M267" s="11">
        <f t="shared" si="31"/>
        <v>0</v>
      </c>
      <c r="N267" s="11">
        <f t="shared" si="28"/>
        <v>0</v>
      </c>
      <c r="O267" s="11">
        <f t="shared" si="29"/>
        <v>0</v>
      </c>
      <c r="P267" s="11">
        <f t="shared" si="30"/>
        <v>0</v>
      </c>
      <c r="Q267" s="8"/>
    </row>
    <row r="268" spans="1:17" ht="60" x14ac:dyDescent="0.25">
      <c r="A268" s="8"/>
      <c r="B268" s="24" t="s">
        <v>1006</v>
      </c>
      <c r="C268" s="8"/>
      <c r="D268" s="8"/>
      <c r="E268" s="10" t="s">
        <v>229</v>
      </c>
      <c r="F268" s="11">
        <v>1</v>
      </c>
      <c r="G268" s="18"/>
      <c r="H268" s="18"/>
      <c r="I268" s="18"/>
      <c r="J268" s="18"/>
      <c r="K268" s="11"/>
      <c r="L268" s="11"/>
      <c r="M268" s="11"/>
      <c r="N268" s="11">
        <f t="shared" si="28"/>
        <v>0</v>
      </c>
      <c r="O268" s="11">
        <f t="shared" ref="O268:O273" si="32">(G268+M268)*F268</f>
        <v>0</v>
      </c>
      <c r="P268" s="11">
        <f t="shared" si="30"/>
        <v>0</v>
      </c>
      <c r="Q268" s="8"/>
    </row>
    <row r="269" spans="1:17" x14ac:dyDescent="0.25">
      <c r="A269" s="8"/>
      <c r="B269" s="24" t="s">
        <v>823</v>
      </c>
      <c r="C269" s="8"/>
      <c r="D269" s="8"/>
      <c r="E269" s="10" t="s">
        <v>230</v>
      </c>
      <c r="F269" s="11">
        <v>3</v>
      </c>
      <c r="G269" s="18"/>
      <c r="H269" s="18"/>
      <c r="I269" s="18"/>
      <c r="J269" s="18"/>
      <c r="K269" s="11"/>
      <c r="L269" s="11"/>
      <c r="M269" s="11"/>
      <c r="N269" s="11">
        <f t="shared" si="28"/>
        <v>0</v>
      </c>
      <c r="O269" s="11">
        <f t="shared" si="32"/>
        <v>0</v>
      </c>
      <c r="P269" s="11">
        <f t="shared" si="30"/>
        <v>0</v>
      </c>
      <c r="Q269" s="8"/>
    </row>
    <row r="270" spans="1:17" x14ac:dyDescent="0.25">
      <c r="A270" s="8"/>
      <c r="B270" s="24" t="s">
        <v>1007</v>
      </c>
      <c r="C270" s="8"/>
      <c r="D270" s="8"/>
      <c r="E270" s="10" t="s">
        <v>230</v>
      </c>
      <c r="F270" s="11">
        <v>3</v>
      </c>
      <c r="G270" s="18"/>
      <c r="H270" s="18"/>
      <c r="I270" s="18"/>
      <c r="J270" s="18"/>
      <c r="K270" s="11"/>
      <c r="L270" s="11"/>
      <c r="M270" s="11"/>
      <c r="N270" s="11">
        <f t="shared" si="28"/>
        <v>0</v>
      </c>
      <c r="O270" s="11">
        <f t="shared" si="32"/>
        <v>0</v>
      </c>
      <c r="P270" s="11">
        <f t="shared" si="30"/>
        <v>0</v>
      </c>
      <c r="Q270" s="8"/>
    </row>
    <row r="271" spans="1:17" x14ac:dyDescent="0.25">
      <c r="A271" s="8"/>
      <c r="B271" s="24" t="s">
        <v>824</v>
      </c>
      <c r="C271" s="8"/>
      <c r="D271" s="8"/>
      <c r="E271" s="10" t="s">
        <v>1097</v>
      </c>
      <c r="F271" s="11">
        <v>1</v>
      </c>
      <c r="G271" s="18"/>
      <c r="H271" s="18"/>
      <c r="I271" s="18"/>
      <c r="J271" s="18"/>
      <c r="K271" s="11"/>
      <c r="L271" s="11"/>
      <c r="M271" s="11"/>
      <c r="N271" s="11">
        <f t="shared" si="28"/>
        <v>0</v>
      </c>
      <c r="O271" s="11">
        <f t="shared" si="32"/>
        <v>0</v>
      </c>
      <c r="P271" s="11">
        <f t="shared" si="30"/>
        <v>0</v>
      </c>
      <c r="Q271" s="8"/>
    </row>
    <row r="272" spans="1:17" x14ac:dyDescent="0.25">
      <c r="A272" s="8"/>
      <c r="B272" s="24"/>
      <c r="C272" s="8"/>
      <c r="D272" s="8"/>
      <c r="E272" s="10"/>
      <c r="F272" s="11"/>
      <c r="G272" s="18"/>
      <c r="H272" s="18"/>
      <c r="I272" s="18"/>
      <c r="J272" s="18"/>
      <c r="K272" s="11"/>
      <c r="L272" s="11"/>
      <c r="M272" s="11"/>
      <c r="N272" s="11">
        <f t="shared" si="28"/>
        <v>0</v>
      </c>
      <c r="O272" s="11">
        <f t="shared" si="32"/>
        <v>0</v>
      </c>
      <c r="P272" s="11">
        <f t="shared" si="30"/>
        <v>0</v>
      </c>
      <c r="Q272" s="8"/>
    </row>
    <row r="273" spans="1:17" ht="30" x14ac:dyDescent="0.25">
      <c r="A273" s="8"/>
      <c r="B273" s="24" t="s">
        <v>876</v>
      </c>
      <c r="C273" s="8"/>
      <c r="D273" s="8"/>
      <c r="E273" s="10"/>
      <c r="F273" s="11"/>
      <c r="G273" s="18"/>
      <c r="H273" s="18"/>
      <c r="I273" s="18"/>
      <c r="J273" s="18"/>
      <c r="K273" s="11"/>
      <c r="L273" s="11"/>
      <c r="M273" s="11"/>
      <c r="N273" s="11">
        <f t="shared" si="28"/>
        <v>0</v>
      </c>
      <c r="O273" s="11">
        <f t="shared" si="32"/>
        <v>0</v>
      </c>
      <c r="P273" s="11">
        <f t="shared" si="30"/>
        <v>0</v>
      </c>
      <c r="Q273" s="8"/>
    </row>
    <row r="274" spans="1:17" x14ac:dyDescent="0.25">
      <c r="A274" s="8"/>
      <c r="B274" s="24" t="s">
        <v>1008</v>
      </c>
      <c r="C274" s="8"/>
      <c r="D274" s="8"/>
      <c r="E274" s="10"/>
      <c r="F274" s="11"/>
      <c r="G274" s="18"/>
      <c r="H274" s="18"/>
      <c r="I274" s="18"/>
      <c r="J274" s="18"/>
      <c r="K274" s="11"/>
      <c r="L274" s="11"/>
      <c r="M274" s="11"/>
      <c r="N274" s="11"/>
      <c r="O274" s="11"/>
      <c r="P274" s="11"/>
      <c r="Q274" s="8"/>
    </row>
    <row r="275" spans="1:17" x14ac:dyDescent="0.25">
      <c r="A275" s="8"/>
      <c r="B275" s="24" t="s">
        <v>827</v>
      </c>
      <c r="C275" s="8"/>
      <c r="D275" s="8"/>
      <c r="E275" s="10"/>
      <c r="F275" s="11"/>
      <c r="G275" s="18"/>
      <c r="H275" s="18"/>
      <c r="I275" s="18"/>
      <c r="J275" s="18"/>
      <c r="K275" s="11"/>
      <c r="L275" s="11"/>
      <c r="M275" s="11"/>
      <c r="N275" s="11"/>
      <c r="O275" s="11"/>
      <c r="P275" s="11"/>
      <c r="Q275" s="8"/>
    </row>
    <row r="276" spans="1:17" x14ac:dyDescent="0.25">
      <c r="A276" s="8"/>
      <c r="B276" s="24" t="s">
        <v>1009</v>
      </c>
      <c r="C276" s="8"/>
      <c r="D276" s="8"/>
      <c r="E276" s="10" t="s">
        <v>225</v>
      </c>
      <c r="F276" s="11">
        <v>4</v>
      </c>
      <c r="G276" s="18"/>
      <c r="H276" s="18"/>
      <c r="I276" s="18"/>
      <c r="J276" s="18"/>
      <c r="K276" s="11"/>
      <c r="L276" s="11"/>
      <c r="M276" s="11"/>
      <c r="N276" s="11"/>
      <c r="O276" s="11"/>
      <c r="P276" s="11"/>
      <c r="Q276" s="8"/>
    </row>
    <row r="277" spans="1:17" x14ac:dyDescent="0.25">
      <c r="A277" s="8"/>
      <c r="B277" s="24" t="s">
        <v>1010</v>
      </c>
      <c r="C277" s="8"/>
      <c r="D277" s="8"/>
      <c r="E277" s="10" t="s">
        <v>225</v>
      </c>
      <c r="F277" s="11">
        <v>23</v>
      </c>
      <c r="G277" s="18"/>
      <c r="H277" s="18"/>
      <c r="I277" s="18"/>
      <c r="J277" s="18"/>
      <c r="K277" s="11"/>
      <c r="L277" s="11"/>
      <c r="M277" s="11"/>
      <c r="N277" s="11"/>
      <c r="O277" s="11"/>
      <c r="P277" s="11"/>
      <c r="Q277" s="8"/>
    </row>
    <row r="278" spans="1:17" x14ac:dyDescent="0.25">
      <c r="A278" s="8"/>
      <c r="B278" s="24" t="s">
        <v>1011</v>
      </c>
      <c r="C278" s="8"/>
      <c r="D278" s="8"/>
      <c r="E278" s="10" t="s">
        <v>225</v>
      </c>
      <c r="F278" s="11">
        <v>29</v>
      </c>
      <c r="G278" s="18"/>
      <c r="H278" s="18"/>
      <c r="I278" s="18"/>
      <c r="J278" s="18"/>
      <c r="K278" s="11"/>
      <c r="L278" s="11"/>
      <c r="M278" s="11">
        <f>K278*8%</f>
        <v>0</v>
      </c>
      <c r="N278" s="11">
        <f>L278*8%</f>
        <v>0</v>
      </c>
      <c r="O278" s="11">
        <f t="shared" ref="O278:O286" si="33">(K278+M278)*F278</f>
        <v>0</v>
      </c>
      <c r="P278" s="11">
        <f t="shared" ref="P278:P286" si="34">(L278+N278)*F278</f>
        <v>0</v>
      </c>
      <c r="Q278" s="8"/>
    </row>
    <row r="279" spans="1:17" x14ac:dyDescent="0.25">
      <c r="A279" s="8"/>
      <c r="B279" s="24" t="s">
        <v>1012</v>
      </c>
      <c r="C279" s="12"/>
      <c r="D279" s="8"/>
      <c r="E279" s="10" t="s">
        <v>225</v>
      </c>
      <c r="F279" s="11">
        <v>19</v>
      </c>
      <c r="G279" s="18"/>
      <c r="H279" s="18"/>
      <c r="I279" s="18"/>
      <c r="J279" s="18"/>
      <c r="K279" s="11"/>
      <c r="L279" s="11"/>
      <c r="M279" s="11">
        <f t="shared" ref="M279:M286" si="35">K279*8%</f>
        <v>0</v>
      </c>
      <c r="N279" s="11">
        <f t="shared" ref="N279:N286" si="36">L279*8%</f>
        <v>0</v>
      </c>
      <c r="O279" s="11">
        <f t="shared" si="33"/>
        <v>0</v>
      </c>
      <c r="P279" s="11">
        <f t="shared" si="34"/>
        <v>0</v>
      </c>
      <c r="Q279" s="8"/>
    </row>
    <row r="280" spans="1:17" x14ac:dyDescent="0.25">
      <c r="A280" s="8"/>
      <c r="B280" s="24" t="s">
        <v>834</v>
      </c>
      <c r="C280" s="12"/>
      <c r="D280" s="8"/>
      <c r="E280" s="10"/>
      <c r="F280" s="11"/>
      <c r="G280" s="18"/>
      <c r="H280" s="18"/>
      <c r="I280" s="18"/>
      <c r="J280" s="18"/>
      <c r="K280" s="11"/>
      <c r="L280" s="11"/>
      <c r="M280" s="11">
        <f t="shared" si="35"/>
        <v>0</v>
      </c>
      <c r="N280" s="11">
        <f t="shared" si="36"/>
        <v>0</v>
      </c>
      <c r="O280" s="11">
        <f t="shared" si="33"/>
        <v>0</v>
      </c>
      <c r="P280" s="11">
        <f t="shared" si="34"/>
        <v>0</v>
      </c>
      <c r="Q280" s="8"/>
    </row>
    <row r="281" spans="1:17" x14ac:dyDescent="0.25">
      <c r="A281" s="8"/>
      <c r="B281" s="24" t="s">
        <v>1013</v>
      </c>
      <c r="C281" s="12"/>
      <c r="D281" s="8"/>
      <c r="E281" s="10" t="s">
        <v>229</v>
      </c>
      <c r="F281" s="11">
        <v>1</v>
      </c>
      <c r="G281" s="18"/>
      <c r="H281" s="18"/>
      <c r="I281" s="18"/>
      <c r="J281" s="18"/>
      <c r="K281" s="11"/>
      <c r="L281" s="11"/>
      <c r="M281" s="11">
        <f t="shared" si="35"/>
        <v>0</v>
      </c>
      <c r="N281" s="11">
        <f t="shared" si="36"/>
        <v>0</v>
      </c>
      <c r="O281" s="11">
        <f t="shared" si="33"/>
        <v>0</v>
      </c>
      <c r="P281" s="11">
        <f t="shared" si="34"/>
        <v>0</v>
      </c>
      <c r="Q281" s="8"/>
    </row>
    <row r="282" spans="1:17" x14ac:dyDescent="0.25">
      <c r="A282" s="8"/>
      <c r="B282" s="24" t="s">
        <v>836</v>
      </c>
      <c r="C282" s="12"/>
      <c r="D282" s="8"/>
      <c r="E282" s="10"/>
      <c r="F282" s="11"/>
      <c r="G282" s="18"/>
      <c r="H282" s="18"/>
      <c r="I282" s="18"/>
      <c r="J282" s="18"/>
      <c r="K282" s="11"/>
      <c r="L282" s="11"/>
      <c r="M282" s="11">
        <f t="shared" si="35"/>
        <v>0</v>
      </c>
      <c r="N282" s="11">
        <f t="shared" si="36"/>
        <v>0</v>
      </c>
      <c r="O282" s="11">
        <f t="shared" si="33"/>
        <v>0</v>
      </c>
      <c r="P282" s="11">
        <f t="shared" si="34"/>
        <v>0</v>
      </c>
      <c r="Q282" s="8"/>
    </row>
    <row r="283" spans="1:17" x14ac:dyDescent="0.25">
      <c r="A283" s="8"/>
      <c r="B283" s="24" t="s">
        <v>1014</v>
      </c>
      <c r="C283" s="12"/>
      <c r="D283" s="8"/>
      <c r="E283" s="10" t="s">
        <v>229</v>
      </c>
      <c r="F283" s="11">
        <v>2</v>
      </c>
      <c r="G283" s="18"/>
      <c r="H283" s="18"/>
      <c r="I283" s="18"/>
      <c r="J283" s="18"/>
      <c r="K283" s="11"/>
      <c r="L283" s="11"/>
      <c r="M283" s="11">
        <f t="shared" si="35"/>
        <v>0</v>
      </c>
      <c r="N283" s="11">
        <f t="shared" si="36"/>
        <v>0</v>
      </c>
      <c r="O283" s="11">
        <f t="shared" si="33"/>
        <v>0</v>
      </c>
      <c r="P283" s="11">
        <f t="shared" si="34"/>
        <v>0</v>
      </c>
      <c r="Q283" s="8"/>
    </row>
    <row r="284" spans="1:17" x14ac:dyDescent="0.25">
      <c r="A284" s="8"/>
      <c r="B284" s="24" t="s">
        <v>1015</v>
      </c>
      <c r="C284" s="12"/>
      <c r="D284" s="8"/>
      <c r="E284" s="10" t="s">
        <v>229</v>
      </c>
      <c r="F284" s="11">
        <v>1</v>
      </c>
      <c r="G284" s="18"/>
      <c r="H284" s="18"/>
      <c r="I284" s="18"/>
      <c r="J284" s="18"/>
      <c r="K284" s="11"/>
      <c r="L284" s="11"/>
      <c r="M284" s="11">
        <f t="shared" si="35"/>
        <v>0</v>
      </c>
      <c r="N284" s="11">
        <f t="shared" si="36"/>
        <v>0</v>
      </c>
      <c r="O284" s="11">
        <f t="shared" si="33"/>
        <v>0</v>
      </c>
      <c r="P284" s="11">
        <f t="shared" si="34"/>
        <v>0</v>
      </c>
      <c r="Q284" s="8"/>
    </row>
    <row r="285" spans="1:17" x14ac:dyDescent="0.25">
      <c r="A285" s="8"/>
      <c r="B285" s="24" t="s">
        <v>1016</v>
      </c>
      <c r="C285" s="8"/>
      <c r="D285" s="10"/>
      <c r="E285" s="10" t="s">
        <v>229</v>
      </c>
      <c r="F285" s="11">
        <v>1</v>
      </c>
      <c r="G285" s="18"/>
      <c r="H285" s="18"/>
      <c r="I285" s="18"/>
      <c r="J285" s="18"/>
      <c r="K285" s="11"/>
      <c r="L285" s="11"/>
      <c r="M285" s="11">
        <f t="shared" si="35"/>
        <v>0</v>
      </c>
      <c r="N285" s="11">
        <f t="shared" si="36"/>
        <v>0</v>
      </c>
      <c r="O285" s="11">
        <f t="shared" si="33"/>
        <v>0</v>
      </c>
      <c r="P285" s="11">
        <f t="shared" si="34"/>
        <v>0</v>
      </c>
      <c r="Q285" s="8"/>
    </row>
    <row r="286" spans="1:17" x14ac:dyDescent="0.25">
      <c r="A286" s="8"/>
      <c r="B286" s="24" t="s">
        <v>824</v>
      </c>
      <c r="C286" s="8"/>
      <c r="D286" s="10"/>
      <c r="E286" s="10" t="s">
        <v>1097</v>
      </c>
      <c r="F286" s="11">
        <v>1</v>
      </c>
      <c r="G286" s="18"/>
      <c r="H286" s="18"/>
      <c r="I286" s="18"/>
      <c r="J286" s="18"/>
      <c r="K286" s="11"/>
      <c r="L286" s="11"/>
      <c r="M286" s="11">
        <f t="shared" si="35"/>
        <v>0</v>
      </c>
      <c r="N286" s="11">
        <f t="shared" si="36"/>
        <v>0</v>
      </c>
      <c r="O286" s="11">
        <f t="shared" si="33"/>
        <v>0</v>
      </c>
      <c r="P286" s="11">
        <f t="shared" si="34"/>
        <v>0</v>
      </c>
      <c r="Q286" s="8"/>
    </row>
    <row r="287" spans="1:17" x14ac:dyDescent="0.25">
      <c r="A287" s="8"/>
      <c r="B287" s="24"/>
      <c r="C287" s="8"/>
      <c r="D287" s="8"/>
      <c r="E287" s="10"/>
      <c r="F287" s="11"/>
      <c r="G287" s="18"/>
      <c r="H287" s="18"/>
      <c r="I287" s="18"/>
      <c r="J287" s="18"/>
      <c r="K287" s="11"/>
      <c r="L287" s="11"/>
      <c r="M287" s="11"/>
      <c r="N287" s="11"/>
      <c r="O287" s="11"/>
      <c r="P287" s="11"/>
      <c r="Q287" s="8"/>
    </row>
    <row r="288" spans="1:17" x14ac:dyDescent="0.25">
      <c r="A288" s="8"/>
      <c r="B288" s="24" t="s">
        <v>442</v>
      </c>
      <c r="C288" s="13"/>
      <c r="D288" s="19"/>
      <c r="E288" s="10"/>
      <c r="F288" s="11"/>
      <c r="G288" s="18"/>
      <c r="H288" s="18"/>
      <c r="I288" s="18"/>
      <c r="J288" s="18"/>
      <c r="K288" s="11"/>
      <c r="L288" s="11"/>
      <c r="M288" s="11">
        <f t="shared" ref="M288:M294" si="37">K288*8%</f>
        <v>0</v>
      </c>
      <c r="N288" s="11">
        <f t="shared" ref="N288:N294" si="38">L288*8%</f>
        <v>0</v>
      </c>
      <c r="O288" s="11">
        <f t="shared" ref="O288:O294" si="39">(K288+M288)*F288</f>
        <v>0</v>
      </c>
      <c r="P288" s="11">
        <f t="shared" ref="P288:P294" si="40">(L288+N288)*F288</f>
        <v>0</v>
      </c>
      <c r="Q288" s="8"/>
    </row>
    <row r="289" spans="1:17" ht="30" x14ac:dyDescent="0.25">
      <c r="A289" s="8"/>
      <c r="B289" s="24" t="s">
        <v>1017</v>
      </c>
      <c r="C289" s="13"/>
      <c r="D289" s="19"/>
      <c r="E289" s="10" t="s">
        <v>229</v>
      </c>
      <c r="F289" s="11">
        <v>4</v>
      </c>
      <c r="G289" s="18"/>
      <c r="H289" s="18"/>
      <c r="I289" s="18"/>
      <c r="J289" s="18"/>
      <c r="K289" s="11"/>
      <c r="L289" s="11"/>
      <c r="M289" s="11">
        <f t="shared" si="37"/>
        <v>0</v>
      </c>
      <c r="N289" s="11">
        <f t="shared" si="38"/>
        <v>0</v>
      </c>
      <c r="O289" s="11">
        <f t="shared" si="39"/>
        <v>0</v>
      </c>
      <c r="P289" s="11">
        <f t="shared" si="40"/>
        <v>0</v>
      </c>
      <c r="Q289" s="8"/>
    </row>
    <row r="290" spans="1:17" x14ac:dyDescent="0.25">
      <c r="A290" s="8"/>
      <c r="B290" s="24" t="s">
        <v>1018</v>
      </c>
      <c r="C290" s="13"/>
      <c r="D290" s="19"/>
      <c r="E290" s="10" t="s">
        <v>229</v>
      </c>
      <c r="F290" s="11">
        <v>3</v>
      </c>
      <c r="G290" s="18"/>
      <c r="H290" s="18"/>
      <c r="I290" s="18"/>
      <c r="J290" s="18"/>
      <c r="K290" s="11"/>
      <c r="L290" s="11"/>
      <c r="M290" s="11">
        <f t="shared" si="37"/>
        <v>0</v>
      </c>
      <c r="N290" s="11">
        <f t="shared" si="38"/>
        <v>0</v>
      </c>
      <c r="O290" s="11">
        <f t="shared" si="39"/>
        <v>0</v>
      </c>
      <c r="P290" s="11">
        <f t="shared" si="40"/>
        <v>0</v>
      </c>
      <c r="Q290" s="8"/>
    </row>
    <row r="291" spans="1:17" x14ac:dyDescent="0.25">
      <c r="A291" s="8"/>
      <c r="B291" s="24" t="s">
        <v>1019</v>
      </c>
      <c r="C291" s="13"/>
      <c r="D291" s="19"/>
      <c r="E291" s="10" t="s">
        <v>229</v>
      </c>
      <c r="F291" s="11">
        <v>99</v>
      </c>
      <c r="G291" s="18"/>
      <c r="H291" s="18"/>
      <c r="I291" s="18"/>
      <c r="J291" s="18"/>
      <c r="K291" s="11"/>
      <c r="L291" s="11"/>
      <c r="M291" s="11">
        <f t="shared" si="37"/>
        <v>0</v>
      </c>
      <c r="N291" s="11">
        <f t="shared" si="38"/>
        <v>0</v>
      </c>
      <c r="O291" s="11">
        <f t="shared" si="39"/>
        <v>0</v>
      </c>
      <c r="P291" s="11">
        <f t="shared" si="40"/>
        <v>0</v>
      </c>
      <c r="Q291" s="8"/>
    </row>
    <row r="292" spans="1:17" x14ac:dyDescent="0.25">
      <c r="A292" s="8"/>
      <c r="B292" s="24" t="s">
        <v>856</v>
      </c>
      <c r="C292" s="13"/>
      <c r="D292" s="19"/>
      <c r="E292" s="10" t="s">
        <v>229</v>
      </c>
      <c r="F292" s="11">
        <v>3</v>
      </c>
      <c r="G292" s="18"/>
      <c r="H292" s="18"/>
      <c r="I292" s="18"/>
      <c r="J292" s="18"/>
      <c r="K292" s="11"/>
      <c r="L292" s="11"/>
      <c r="M292" s="11">
        <f t="shared" si="37"/>
        <v>0</v>
      </c>
      <c r="N292" s="11">
        <f t="shared" si="38"/>
        <v>0</v>
      </c>
      <c r="O292" s="11">
        <f t="shared" si="39"/>
        <v>0</v>
      </c>
      <c r="P292" s="11">
        <f t="shared" si="40"/>
        <v>0</v>
      </c>
      <c r="Q292" s="8"/>
    </row>
    <row r="293" spans="1:17" x14ac:dyDescent="0.25">
      <c r="A293" s="8"/>
      <c r="B293" s="24" t="s">
        <v>824</v>
      </c>
      <c r="C293" s="13"/>
      <c r="D293" s="19"/>
      <c r="E293" s="10" t="s">
        <v>1097</v>
      </c>
      <c r="F293" s="11">
        <v>1</v>
      </c>
      <c r="G293" s="18"/>
      <c r="H293" s="18"/>
      <c r="I293" s="18"/>
      <c r="J293" s="18"/>
      <c r="K293" s="11"/>
      <c r="L293" s="11"/>
      <c r="M293" s="11">
        <f t="shared" si="37"/>
        <v>0</v>
      </c>
      <c r="N293" s="11">
        <f t="shared" si="38"/>
        <v>0</v>
      </c>
      <c r="O293" s="11">
        <f t="shared" si="39"/>
        <v>0</v>
      </c>
      <c r="P293" s="11">
        <f t="shared" si="40"/>
        <v>0</v>
      </c>
      <c r="Q293" s="8"/>
    </row>
    <row r="294" spans="1:17" x14ac:dyDescent="0.25">
      <c r="A294" s="8"/>
      <c r="B294" s="24"/>
      <c r="C294" s="13"/>
      <c r="D294" s="19"/>
      <c r="E294" s="10"/>
      <c r="F294" s="11"/>
      <c r="G294" s="18"/>
      <c r="H294" s="18"/>
      <c r="I294" s="18"/>
      <c r="J294" s="18"/>
      <c r="K294" s="11"/>
      <c r="L294" s="11"/>
      <c r="M294" s="11">
        <f t="shared" si="37"/>
        <v>0</v>
      </c>
      <c r="N294" s="11">
        <f t="shared" si="38"/>
        <v>0</v>
      </c>
      <c r="O294" s="11">
        <f t="shared" si="39"/>
        <v>0</v>
      </c>
      <c r="P294" s="11">
        <f t="shared" si="40"/>
        <v>0</v>
      </c>
      <c r="Q294" s="8"/>
    </row>
    <row r="295" spans="1:17" x14ac:dyDescent="0.25">
      <c r="A295" s="8"/>
      <c r="B295" s="24" t="s">
        <v>907</v>
      </c>
      <c r="C295" s="8"/>
      <c r="D295" s="10"/>
      <c r="E295" s="10"/>
      <c r="F295" s="11"/>
      <c r="G295" s="18"/>
      <c r="H295" s="18"/>
      <c r="I295" s="18"/>
      <c r="J295" s="18"/>
      <c r="K295" s="11"/>
      <c r="L295" s="11"/>
      <c r="M295" s="11"/>
      <c r="N295" s="11"/>
      <c r="O295" s="11"/>
      <c r="P295" s="11"/>
      <c r="Q295" s="8"/>
    </row>
    <row r="296" spans="1:17" x14ac:dyDescent="0.25">
      <c r="A296" s="8"/>
      <c r="B296" s="24" t="s">
        <v>413</v>
      </c>
      <c r="C296" s="8"/>
      <c r="D296" s="10"/>
      <c r="E296" s="10"/>
      <c r="F296" s="11"/>
      <c r="G296" s="18"/>
      <c r="H296" s="18"/>
      <c r="I296" s="18"/>
      <c r="J296" s="18"/>
      <c r="K296" s="11"/>
      <c r="L296" s="11"/>
      <c r="M296" s="11">
        <f>K296*10%</f>
        <v>0</v>
      </c>
      <c r="N296" s="11">
        <f t="shared" ref="N296:N310" si="41">L296*8%</f>
        <v>0</v>
      </c>
      <c r="O296" s="11">
        <f t="shared" ref="O296:O310" si="42">(K296+M296)*F296</f>
        <v>0</v>
      </c>
      <c r="P296" s="11">
        <f t="shared" ref="P296:P310" si="43">(L296+N296)*F296</f>
        <v>0</v>
      </c>
      <c r="Q296" s="8"/>
    </row>
    <row r="297" spans="1:17" ht="45" x14ac:dyDescent="0.25">
      <c r="A297" s="8"/>
      <c r="B297" s="24" t="s">
        <v>1020</v>
      </c>
      <c r="C297" s="13"/>
      <c r="D297" s="10"/>
      <c r="E297" s="10" t="s">
        <v>229</v>
      </c>
      <c r="F297" s="11">
        <v>1</v>
      </c>
      <c r="G297" s="18"/>
      <c r="H297" s="18"/>
      <c r="I297" s="18"/>
      <c r="J297" s="18"/>
      <c r="K297" s="11"/>
      <c r="L297" s="11"/>
      <c r="M297" s="11">
        <f t="shared" ref="M297:M304" si="44">K297*10%</f>
        <v>0</v>
      </c>
      <c r="N297" s="11">
        <f t="shared" si="41"/>
        <v>0</v>
      </c>
      <c r="O297" s="11">
        <f t="shared" si="42"/>
        <v>0</v>
      </c>
      <c r="P297" s="11">
        <f t="shared" si="43"/>
        <v>0</v>
      </c>
      <c r="Q297" s="8"/>
    </row>
    <row r="298" spans="1:17" ht="45" x14ac:dyDescent="0.25">
      <c r="A298" s="8"/>
      <c r="B298" s="24" t="s">
        <v>1021</v>
      </c>
      <c r="C298" s="13"/>
      <c r="D298" s="10"/>
      <c r="E298" s="10" t="s">
        <v>229</v>
      </c>
      <c r="F298" s="11">
        <v>1</v>
      </c>
      <c r="G298" s="18"/>
      <c r="H298" s="18"/>
      <c r="I298" s="18"/>
      <c r="J298" s="18"/>
      <c r="K298" s="11"/>
      <c r="L298" s="11"/>
      <c r="M298" s="11">
        <f t="shared" si="44"/>
        <v>0</v>
      </c>
      <c r="N298" s="11">
        <f t="shared" si="41"/>
        <v>0</v>
      </c>
      <c r="O298" s="11">
        <f t="shared" si="42"/>
        <v>0</v>
      </c>
      <c r="P298" s="11">
        <f t="shared" si="43"/>
        <v>0</v>
      </c>
      <c r="Q298" s="8"/>
    </row>
    <row r="299" spans="1:17" ht="45" x14ac:dyDescent="0.25">
      <c r="A299" s="8"/>
      <c r="B299" s="24" t="s">
        <v>1022</v>
      </c>
      <c r="C299" s="13"/>
      <c r="D299" s="10"/>
      <c r="E299" s="10" t="s">
        <v>229</v>
      </c>
      <c r="F299" s="11">
        <v>1</v>
      </c>
      <c r="G299" s="18"/>
      <c r="H299" s="18"/>
      <c r="I299" s="18"/>
      <c r="J299" s="18"/>
      <c r="K299" s="11"/>
      <c r="L299" s="11"/>
      <c r="M299" s="11">
        <f t="shared" si="44"/>
        <v>0</v>
      </c>
      <c r="N299" s="11">
        <f t="shared" si="41"/>
        <v>0</v>
      </c>
      <c r="O299" s="11">
        <f t="shared" si="42"/>
        <v>0</v>
      </c>
      <c r="P299" s="11">
        <f t="shared" si="43"/>
        <v>0</v>
      </c>
      <c r="Q299" s="8"/>
    </row>
    <row r="300" spans="1:17" ht="60" x14ac:dyDescent="0.25">
      <c r="A300" s="8"/>
      <c r="B300" s="24" t="s">
        <v>1023</v>
      </c>
      <c r="C300" s="13"/>
      <c r="D300" s="10"/>
      <c r="E300" s="10" t="s">
        <v>229</v>
      </c>
      <c r="F300" s="11">
        <v>9</v>
      </c>
      <c r="G300" s="18"/>
      <c r="H300" s="18"/>
      <c r="I300" s="18"/>
      <c r="J300" s="18"/>
      <c r="K300" s="11"/>
      <c r="L300" s="11"/>
      <c r="M300" s="11">
        <f t="shared" si="44"/>
        <v>0</v>
      </c>
      <c r="N300" s="11">
        <f t="shared" si="41"/>
        <v>0</v>
      </c>
      <c r="O300" s="11">
        <f t="shared" si="42"/>
        <v>0</v>
      </c>
      <c r="P300" s="11">
        <f t="shared" si="43"/>
        <v>0</v>
      </c>
      <c r="Q300" s="8"/>
    </row>
    <row r="301" spans="1:17" ht="45" x14ac:dyDescent="0.25">
      <c r="A301" s="8"/>
      <c r="B301" s="24" t="s">
        <v>1024</v>
      </c>
      <c r="C301" s="13"/>
      <c r="D301" s="10"/>
      <c r="E301" s="10" t="s">
        <v>229</v>
      </c>
      <c r="F301" s="11">
        <v>1</v>
      </c>
      <c r="G301" s="18"/>
      <c r="H301" s="18"/>
      <c r="I301" s="18"/>
      <c r="J301" s="18"/>
      <c r="K301" s="11"/>
      <c r="L301" s="11"/>
      <c r="M301" s="11">
        <f t="shared" si="44"/>
        <v>0</v>
      </c>
      <c r="N301" s="11">
        <f t="shared" si="41"/>
        <v>0</v>
      </c>
      <c r="O301" s="11">
        <f t="shared" si="42"/>
        <v>0</v>
      </c>
      <c r="P301" s="11">
        <f t="shared" si="43"/>
        <v>0</v>
      </c>
      <c r="Q301" s="8"/>
    </row>
    <row r="302" spans="1:17" ht="60" x14ac:dyDescent="0.25">
      <c r="A302" s="8"/>
      <c r="B302" s="24" t="s">
        <v>1025</v>
      </c>
      <c r="C302" s="13"/>
      <c r="D302" s="10"/>
      <c r="E302" s="10" t="s">
        <v>229</v>
      </c>
      <c r="F302" s="11">
        <v>1</v>
      </c>
      <c r="G302" s="18"/>
      <c r="H302" s="18"/>
      <c r="I302" s="18"/>
      <c r="J302" s="18"/>
      <c r="K302" s="11"/>
      <c r="L302" s="11"/>
      <c r="M302" s="11">
        <f t="shared" si="44"/>
        <v>0</v>
      </c>
      <c r="N302" s="11">
        <f t="shared" si="41"/>
        <v>0</v>
      </c>
      <c r="O302" s="11">
        <f t="shared" si="42"/>
        <v>0</v>
      </c>
      <c r="P302" s="11">
        <f t="shared" si="43"/>
        <v>0</v>
      </c>
      <c r="Q302" s="8"/>
    </row>
    <row r="303" spans="1:17" x14ac:dyDescent="0.25">
      <c r="A303" s="8"/>
      <c r="B303" s="24" t="s">
        <v>823</v>
      </c>
      <c r="C303" s="13"/>
      <c r="D303" s="10"/>
      <c r="E303" s="10" t="s">
        <v>230</v>
      </c>
      <c r="F303" s="11">
        <v>14</v>
      </c>
      <c r="G303" s="18"/>
      <c r="H303" s="18"/>
      <c r="I303" s="18"/>
      <c r="J303" s="18"/>
      <c r="K303" s="11"/>
      <c r="L303" s="11"/>
      <c r="M303" s="11">
        <f t="shared" si="44"/>
        <v>0</v>
      </c>
      <c r="N303" s="11">
        <f t="shared" si="41"/>
        <v>0</v>
      </c>
      <c r="O303" s="11">
        <f t="shared" si="42"/>
        <v>0</v>
      </c>
      <c r="P303" s="11">
        <f t="shared" si="43"/>
        <v>0</v>
      </c>
      <c r="Q303" s="8"/>
    </row>
    <row r="304" spans="1:17" x14ac:dyDescent="0.25">
      <c r="A304" s="8"/>
      <c r="B304" s="24" t="s">
        <v>1007</v>
      </c>
      <c r="C304" s="13"/>
      <c r="D304" s="10"/>
      <c r="E304" s="10" t="s">
        <v>230</v>
      </c>
      <c r="F304" s="11">
        <v>3</v>
      </c>
      <c r="G304" s="18"/>
      <c r="H304" s="18"/>
      <c r="I304" s="18"/>
      <c r="J304" s="18"/>
      <c r="K304" s="11"/>
      <c r="L304" s="11"/>
      <c r="M304" s="11">
        <f t="shared" si="44"/>
        <v>0</v>
      </c>
      <c r="N304" s="11">
        <f t="shared" si="41"/>
        <v>0</v>
      </c>
      <c r="O304" s="11">
        <f t="shared" si="42"/>
        <v>0</v>
      </c>
      <c r="P304" s="11">
        <f t="shared" si="43"/>
        <v>0</v>
      </c>
      <c r="Q304" s="8"/>
    </row>
    <row r="305" spans="1:17" x14ac:dyDescent="0.25">
      <c r="A305" s="8"/>
      <c r="B305" s="24" t="s">
        <v>824</v>
      </c>
      <c r="C305" s="8"/>
      <c r="D305" s="10"/>
      <c r="E305" s="10" t="s">
        <v>1097</v>
      </c>
      <c r="F305" s="11">
        <v>1</v>
      </c>
      <c r="G305" s="21"/>
      <c r="H305" s="18"/>
      <c r="I305" s="18"/>
      <c r="J305" s="18"/>
      <c r="K305" s="11"/>
      <c r="L305" s="11"/>
      <c r="M305" s="11">
        <f>K305*10%</f>
        <v>0</v>
      </c>
      <c r="N305" s="11">
        <f t="shared" si="41"/>
        <v>0</v>
      </c>
      <c r="O305" s="11">
        <f t="shared" si="42"/>
        <v>0</v>
      </c>
      <c r="P305" s="11">
        <f t="shared" si="43"/>
        <v>0</v>
      </c>
      <c r="Q305" s="8"/>
    </row>
    <row r="306" spans="1:17" x14ac:dyDescent="0.25">
      <c r="A306" s="8"/>
      <c r="B306" s="24"/>
      <c r="C306" s="8"/>
      <c r="D306" s="10"/>
      <c r="E306" s="10"/>
      <c r="F306" s="11"/>
      <c r="G306" s="21"/>
      <c r="H306" s="18"/>
      <c r="I306" s="18"/>
      <c r="J306" s="18"/>
      <c r="K306" s="11"/>
      <c r="L306" s="11"/>
      <c r="M306" s="11">
        <f>K306*10%</f>
        <v>0</v>
      </c>
      <c r="N306" s="11">
        <f t="shared" si="41"/>
        <v>0</v>
      </c>
      <c r="O306" s="11">
        <f t="shared" si="42"/>
        <v>0</v>
      </c>
      <c r="P306" s="11">
        <f t="shared" si="43"/>
        <v>0</v>
      </c>
      <c r="Q306" s="8"/>
    </row>
    <row r="307" spans="1:17" ht="30" x14ac:dyDescent="0.25">
      <c r="A307" s="8"/>
      <c r="B307" s="24" t="s">
        <v>876</v>
      </c>
      <c r="C307" s="8"/>
      <c r="D307" s="10"/>
      <c r="E307" s="10"/>
      <c r="F307" s="11"/>
      <c r="G307" s="21"/>
      <c r="H307" s="18"/>
      <c r="I307" s="18"/>
      <c r="J307" s="18"/>
      <c r="K307" s="11"/>
      <c r="L307" s="11"/>
      <c r="M307" s="11">
        <f>K307*10%</f>
        <v>0</v>
      </c>
      <c r="N307" s="11">
        <f t="shared" si="41"/>
        <v>0</v>
      </c>
      <c r="O307" s="11">
        <f t="shared" si="42"/>
        <v>0</v>
      </c>
      <c r="P307" s="11">
        <f t="shared" si="43"/>
        <v>0</v>
      </c>
      <c r="Q307" s="8"/>
    </row>
    <row r="308" spans="1:17" x14ac:dyDescent="0.25">
      <c r="A308" s="8"/>
      <c r="B308" s="24" t="s">
        <v>965</v>
      </c>
      <c r="C308" s="8"/>
      <c r="D308" s="10"/>
      <c r="E308" s="10"/>
      <c r="F308" s="11"/>
      <c r="G308" s="21"/>
      <c r="H308" s="18"/>
      <c r="I308" s="18"/>
      <c r="J308" s="18"/>
      <c r="K308" s="11"/>
      <c r="L308" s="11"/>
      <c r="M308" s="11">
        <f>K308*10%</f>
        <v>0</v>
      </c>
      <c r="N308" s="11">
        <f t="shared" si="41"/>
        <v>0</v>
      </c>
      <c r="O308" s="11">
        <f t="shared" si="42"/>
        <v>0</v>
      </c>
      <c r="P308" s="11">
        <f t="shared" si="43"/>
        <v>0</v>
      </c>
      <c r="Q308" s="8"/>
    </row>
    <row r="309" spans="1:17" x14ac:dyDescent="0.25">
      <c r="A309" s="8"/>
      <c r="B309" s="24" t="s">
        <v>827</v>
      </c>
      <c r="C309" s="8"/>
      <c r="D309" s="10"/>
      <c r="E309" s="10"/>
      <c r="F309" s="11"/>
      <c r="G309" s="21"/>
      <c r="H309" s="18"/>
      <c r="I309" s="18"/>
      <c r="J309" s="18"/>
      <c r="K309" s="11"/>
      <c r="L309" s="11"/>
      <c r="M309" s="11">
        <f>K309*10%</f>
        <v>0</v>
      </c>
      <c r="N309" s="11">
        <f t="shared" si="41"/>
        <v>0</v>
      </c>
      <c r="O309" s="11">
        <f t="shared" si="42"/>
        <v>0</v>
      </c>
      <c r="P309" s="11">
        <f t="shared" si="43"/>
        <v>0</v>
      </c>
      <c r="Q309" s="8"/>
    </row>
    <row r="310" spans="1:17" x14ac:dyDescent="0.25">
      <c r="A310" s="8"/>
      <c r="B310" s="24" t="s">
        <v>967</v>
      </c>
      <c r="C310" s="8"/>
      <c r="D310" s="10"/>
      <c r="E310" s="10" t="s">
        <v>225</v>
      </c>
      <c r="F310" s="11">
        <v>19</v>
      </c>
      <c r="G310" s="18"/>
      <c r="H310" s="18"/>
      <c r="I310" s="18"/>
      <c r="J310" s="18"/>
      <c r="K310" s="11"/>
      <c r="L310" s="11"/>
      <c r="M310" s="11">
        <f t="shared" ref="M310" si="45">K310*8%</f>
        <v>0</v>
      </c>
      <c r="N310" s="11">
        <f t="shared" si="41"/>
        <v>0</v>
      </c>
      <c r="O310" s="11">
        <f t="shared" si="42"/>
        <v>0</v>
      </c>
      <c r="P310" s="11">
        <f t="shared" si="43"/>
        <v>0</v>
      </c>
      <c r="Q310" s="8"/>
    </row>
    <row r="311" spans="1:17" x14ac:dyDescent="0.25">
      <c r="A311" s="8"/>
      <c r="B311" s="24" t="s">
        <v>1026</v>
      </c>
      <c r="C311" s="8"/>
      <c r="D311" s="8"/>
      <c r="E311" s="10" t="s">
        <v>225</v>
      </c>
      <c r="F311" s="11">
        <v>162</v>
      </c>
      <c r="G311" s="18"/>
      <c r="H311" s="18"/>
      <c r="I311" s="18"/>
      <c r="J311" s="18"/>
      <c r="K311" s="11"/>
      <c r="L311" s="11"/>
      <c r="M311" s="11"/>
      <c r="N311" s="11"/>
      <c r="O311" s="11"/>
      <c r="P311" s="11"/>
      <c r="Q311" s="8"/>
    </row>
    <row r="312" spans="1:17" x14ac:dyDescent="0.25">
      <c r="A312" s="8"/>
      <c r="B312" s="24" t="s">
        <v>1027</v>
      </c>
      <c r="C312" s="13"/>
      <c r="D312" s="19"/>
      <c r="E312" s="10" t="s">
        <v>225</v>
      </c>
      <c r="F312" s="11">
        <v>63</v>
      </c>
      <c r="G312" s="18"/>
      <c r="H312" s="18"/>
      <c r="I312" s="18"/>
      <c r="J312" s="18"/>
      <c r="K312" s="11"/>
      <c r="L312" s="11"/>
      <c r="M312" s="11">
        <f t="shared" ref="M312:M320" si="46">K312*8%</f>
        <v>0</v>
      </c>
      <c r="N312" s="11">
        <f t="shared" ref="N312:N320" si="47">L312*8%</f>
        <v>0</v>
      </c>
      <c r="O312" s="11">
        <f t="shared" ref="O312:O320" si="48">(K312+M312)*F312</f>
        <v>0</v>
      </c>
      <c r="P312" s="11">
        <f t="shared" ref="P312:P320" si="49">(L312+N312)*F312</f>
        <v>0</v>
      </c>
      <c r="Q312" s="8"/>
    </row>
    <row r="313" spans="1:17" x14ac:dyDescent="0.25">
      <c r="A313" s="8"/>
      <c r="B313" s="24" t="s">
        <v>1028</v>
      </c>
      <c r="C313" s="13"/>
      <c r="D313" s="19"/>
      <c r="E313" s="10" t="s">
        <v>225</v>
      </c>
      <c r="F313" s="11">
        <v>272</v>
      </c>
      <c r="G313" s="18"/>
      <c r="H313" s="18"/>
      <c r="I313" s="18"/>
      <c r="J313" s="18"/>
      <c r="K313" s="11"/>
      <c r="L313" s="11"/>
      <c r="M313" s="11">
        <f t="shared" si="46"/>
        <v>0</v>
      </c>
      <c r="N313" s="11">
        <f t="shared" si="47"/>
        <v>0</v>
      </c>
      <c r="O313" s="11">
        <f t="shared" si="48"/>
        <v>0</v>
      </c>
      <c r="P313" s="11">
        <f t="shared" si="49"/>
        <v>0</v>
      </c>
      <c r="Q313" s="8"/>
    </row>
    <row r="314" spans="1:17" x14ac:dyDescent="0.25">
      <c r="A314" s="8"/>
      <c r="B314" s="24" t="s">
        <v>1029</v>
      </c>
      <c r="C314" s="13"/>
      <c r="D314" s="19"/>
      <c r="E314" s="10" t="s">
        <v>225</v>
      </c>
      <c r="F314" s="11">
        <v>291</v>
      </c>
      <c r="G314" s="18"/>
      <c r="H314" s="18"/>
      <c r="I314" s="18"/>
      <c r="J314" s="18"/>
      <c r="K314" s="11"/>
      <c r="L314" s="11"/>
      <c r="M314" s="11">
        <f t="shared" si="46"/>
        <v>0</v>
      </c>
      <c r="N314" s="11">
        <f t="shared" si="47"/>
        <v>0</v>
      </c>
      <c r="O314" s="11">
        <f t="shared" si="48"/>
        <v>0</v>
      </c>
      <c r="P314" s="11">
        <f t="shared" si="49"/>
        <v>0</v>
      </c>
      <c r="Q314" s="8"/>
    </row>
    <row r="315" spans="1:17" x14ac:dyDescent="0.25">
      <c r="A315" s="8"/>
      <c r="B315" s="24" t="s">
        <v>978</v>
      </c>
      <c r="C315" s="13"/>
      <c r="D315" s="19"/>
      <c r="E315" s="10" t="s">
        <v>225</v>
      </c>
      <c r="F315" s="11">
        <v>12</v>
      </c>
      <c r="G315" s="18"/>
      <c r="H315" s="18"/>
      <c r="I315" s="18"/>
      <c r="J315" s="18"/>
      <c r="K315" s="11"/>
      <c r="L315" s="11"/>
      <c r="M315" s="11">
        <f t="shared" si="46"/>
        <v>0</v>
      </c>
      <c r="N315" s="11">
        <f t="shared" si="47"/>
        <v>0</v>
      </c>
      <c r="O315" s="11">
        <f t="shared" si="48"/>
        <v>0</v>
      </c>
      <c r="P315" s="11">
        <f t="shared" si="49"/>
        <v>0</v>
      </c>
      <c r="Q315" s="8"/>
    </row>
    <row r="316" spans="1:17" x14ac:dyDescent="0.25">
      <c r="A316" s="8"/>
      <c r="B316" s="24" t="s">
        <v>836</v>
      </c>
      <c r="C316" s="13"/>
      <c r="D316" s="19"/>
      <c r="E316" s="10"/>
      <c r="F316" s="11"/>
      <c r="G316" s="18"/>
      <c r="H316" s="18"/>
      <c r="I316" s="18"/>
      <c r="J316" s="18"/>
      <c r="K316" s="11"/>
      <c r="L316" s="11"/>
      <c r="M316" s="11">
        <f t="shared" si="46"/>
        <v>0</v>
      </c>
      <c r="N316" s="11">
        <f t="shared" si="47"/>
        <v>0</v>
      </c>
      <c r="O316" s="11">
        <f t="shared" si="48"/>
        <v>0</v>
      </c>
      <c r="P316" s="11">
        <f t="shared" si="49"/>
        <v>0</v>
      </c>
      <c r="Q316" s="8"/>
    </row>
    <row r="317" spans="1:17" x14ac:dyDescent="0.25">
      <c r="A317" s="8"/>
      <c r="B317" s="24" t="s">
        <v>1030</v>
      </c>
      <c r="C317" s="13"/>
      <c r="D317" s="19"/>
      <c r="E317" s="10" t="s">
        <v>229</v>
      </c>
      <c r="F317" s="11">
        <v>2</v>
      </c>
      <c r="G317" s="18"/>
      <c r="H317" s="18"/>
      <c r="I317" s="18"/>
      <c r="J317" s="18"/>
      <c r="K317" s="11"/>
      <c r="L317" s="11"/>
      <c r="M317" s="11">
        <f t="shared" si="46"/>
        <v>0</v>
      </c>
      <c r="N317" s="11">
        <f t="shared" si="47"/>
        <v>0</v>
      </c>
      <c r="O317" s="11">
        <f t="shared" si="48"/>
        <v>0</v>
      </c>
      <c r="P317" s="11">
        <f t="shared" si="49"/>
        <v>0</v>
      </c>
      <c r="Q317" s="8"/>
    </row>
    <row r="318" spans="1:17" x14ac:dyDescent="0.25">
      <c r="A318" s="8"/>
      <c r="B318" s="24" t="s">
        <v>1031</v>
      </c>
      <c r="C318" s="13"/>
      <c r="D318" s="19"/>
      <c r="E318" s="10" t="s">
        <v>229</v>
      </c>
      <c r="F318" s="11">
        <v>1</v>
      </c>
      <c r="G318" s="18"/>
      <c r="H318" s="18"/>
      <c r="I318" s="18"/>
      <c r="J318" s="18"/>
      <c r="K318" s="11"/>
      <c r="L318" s="11"/>
      <c r="M318" s="11">
        <f t="shared" si="46"/>
        <v>0</v>
      </c>
      <c r="N318" s="11">
        <f t="shared" si="47"/>
        <v>0</v>
      </c>
      <c r="O318" s="11">
        <f t="shared" si="48"/>
        <v>0</v>
      </c>
      <c r="P318" s="11">
        <f t="shared" si="49"/>
        <v>0</v>
      </c>
      <c r="Q318" s="8"/>
    </row>
    <row r="319" spans="1:17" x14ac:dyDescent="0.25">
      <c r="A319" s="8"/>
      <c r="B319" s="24" t="s">
        <v>841</v>
      </c>
      <c r="C319" s="13"/>
      <c r="D319" s="19"/>
      <c r="E319" s="10" t="s">
        <v>229</v>
      </c>
      <c r="F319" s="11">
        <v>1</v>
      </c>
      <c r="G319" s="18"/>
      <c r="H319" s="18"/>
      <c r="I319" s="18"/>
      <c r="J319" s="18"/>
      <c r="K319" s="11"/>
      <c r="L319" s="11"/>
      <c r="M319" s="11">
        <f t="shared" si="46"/>
        <v>0</v>
      </c>
      <c r="N319" s="11">
        <f t="shared" si="47"/>
        <v>0</v>
      </c>
      <c r="O319" s="11">
        <f t="shared" si="48"/>
        <v>0</v>
      </c>
      <c r="P319" s="11">
        <f t="shared" si="49"/>
        <v>0</v>
      </c>
      <c r="Q319" s="8"/>
    </row>
    <row r="320" spans="1:17" x14ac:dyDescent="0.25">
      <c r="A320" s="8"/>
      <c r="B320" s="24" t="s">
        <v>1032</v>
      </c>
      <c r="C320" s="13"/>
      <c r="D320" s="19"/>
      <c r="E320" s="10" t="s">
        <v>229</v>
      </c>
      <c r="F320" s="11">
        <v>5</v>
      </c>
      <c r="G320" s="18"/>
      <c r="H320" s="18"/>
      <c r="I320" s="18"/>
      <c r="J320" s="18"/>
      <c r="K320" s="11"/>
      <c r="L320" s="11"/>
      <c r="M320" s="11">
        <f t="shared" si="46"/>
        <v>0</v>
      </c>
      <c r="N320" s="11">
        <f t="shared" si="47"/>
        <v>0</v>
      </c>
      <c r="O320" s="11">
        <f t="shared" si="48"/>
        <v>0</v>
      </c>
      <c r="P320" s="11">
        <f t="shared" si="49"/>
        <v>0</v>
      </c>
      <c r="Q320" s="8"/>
    </row>
    <row r="321" spans="1:17" x14ac:dyDescent="0.25">
      <c r="A321" s="8"/>
      <c r="B321" s="24" t="s">
        <v>824</v>
      </c>
      <c r="C321" s="8"/>
      <c r="D321" s="8"/>
      <c r="E321" s="10" t="s">
        <v>1097</v>
      </c>
      <c r="F321" s="11">
        <v>1</v>
      </c>
      <c r="G321" s="18"/>
      <c r="H321" s="18"/>
      <c r="I321" s="18"/>
      <c r="J321" s="18"/>
      <c r="K321" s="11"/>
      <c r="L321" s="11"/>
      <c r="M321" s="11"/>
      <c r="N321" s="11"/>
      <c r="O321" s="11"/>
      <c r="P321" s="11"/>
      <c r="Q321" s="8"/>
    </row>
    <row r="322" spans="1:17" x14ac:dyDescent="0.25">
      <c r="A322" s="8"/>
      <c r="B322" s="24"/>
      <c r="C322" s="8"/>
      <c r="D322" s="8"/>
      <c r="E322" s="10"/>
      <c r="F322" s="11"/>
      <c r="G322" s="18"/>
      <c r="H322" s="18"/>
      <c r="I322" s="18"/>
      <c r="J322" s="18"/>
      <c r="K322" s="11"/>
      <c r="L322" s="11"/>
      <c r="M322" s="11"/>
      <c r="N322" s="11">
        <f t="shared" ref="N322:N363" si="50">L322*8%</f>
        <v>0</v>
      </c>
      <c r="O322" s="11">
        <f t="shared" ref="O322:O363" si="51">(G322+M322)*F322</f>
        <v>0</v>
      </c>
      <c r="P322" s="11">
        <f t="shared" ref="P322:P363" si="52">(L322+N322)*F322</f>
        <v>0</v>
      </c>
      <c r="Q322" s="8"/>
    </row>
    <row r="323" spans="1:17" x14ac:dyDescent="0.25">
      <c r="A323" s="8"/>
      <c r="B323" s="24" t="s">
        <v>1008</v>
      </c>
      <c r="C323" s="8"/>
      <c r="D323" s="8"/>
      <c r="E323" s="10"/>
      <c r="F323" s="11"/>
      <c r="G323" s="18"/>
      <c r="H323" s="18"/>
      <c r="I323" s="18"/>
      <c r="J323" s="18"/>
      <c r="K323" s="11"/>
      <c r="L323" s="11"/>
      <c r="M323" s="11"/>
      <c r="N323" s="11">
        <f t="shared" si="50"/>
        <v>0</v>
      </c>
      <c r="O323" s="11">
        <f t="shared" si="51"/>
        <v>0</v>
      </c>
      <c r="P323" s="11">
        <f t="shared" si="52"/>
        <v>0</v>
      </c>
      <c r="Q323" s="8"/>
    </row>
    <row r="324" spans="1:17" x14ac:dyDescent="0.25">
      <c r="A324" s="8"/>
      <c r="B324" s="24" t="s">
        <v>827</v>
      </c>
      <c r="C324" s="8"/>
      <c r="D324" s="8"/>
      <c r="E324" s="10"/>
      <c r="F324" s="11"/>
      <c r="G324" s="18"/>
      <c r="H324" s="18"/>
      <c r="I324" s="18"/>
      <c r="J324" s="18"/>
      <c r="K324" s="11"/>
      <c r="L324" s="11"/>
      <c r="M324" s="11"/>
      <c r="N324" s="11">
        <f t="shared" si="50"/>
        <v>0</v>
      </c>
      <c r="O324" s="11">
        <f t="shared" si="51"/>
        <v>0</v>
      </c>
      <c r="P324" s="11">
        <f t="shared" si="52"/>
        <v>0</v>
      </c>
      <c r="Q324" s="8"/>
    </row>
    <row r="325" spans="1:17" x14ac:dyDescent="0.25">
      <c r="A325" s="8"/>
      <c r="B325" s="24" t="s">
        <v>1009</v>
      </c>
      <c r="C325" s="8"/>
      <c r="D325" s="8"/>
      <c r="E325" s="10" t="s">
        <v>225</v>
      </c>
      <c r="F325" s="11">
        <v>4</v>
      </c>
      <c r="G325" s="18"/>
      <c r="H325" s="18"/>
      <c r="I325" s="18"/>
      <c r="J325" s="18"/>
      <c r="K325" s="11"/>
      <c r="L325" s="11"/>
      <c r="M325" s="11"/>
      <c r="N325" s="11">
        <f t="shared" si="50"/>
        <v>0</v>
      </c>
      <c r="O325" s="11">
        <f t="shared" si="51"/>
        <v>0</v>
      </c>
      <c r="P325" s="11">
        <f t="shared" si="52"/>
        <v>0</v>
      </c>
      <c r="Q325" s="8"/>
    </row>
    <row r="326" spans="1:17" x14ac:dyDescent="0.25">
      <c r="A326" s="8"/>
      <c r="B326" s="24" t="s">
        <v>1010</v>
      </c>
      <c r="C326" s="8"/>
      <c r="D326" s="8"/>
      <c r="E326" s="10" t="s">
        <v>225</v>
      </c>
      <c r="F326" s="11">
        <v>36</v>
      </c>
      <c r="G326" s="18"/>
      <c r="H326" s="18"/>
      <c r="I326" s="18"/>
      <c r="J326" s="18"/>
      <c r="K326" s="11"/>
      <c r="L326" s="11"/>
      <c r="M326" s="11"/>
      <c r="N326" s="11">
        <f t="shared" si="50"/>
        <v>0</v>
      </c>
      <c r="O326" s="11">
        <f t="shared" si="51"/>
        <v>0</v>
      </c>
      <c r="P326" s="11">
        <f t="shared" si="52"/>
        <v>0</v>
      </c>
      <c r="Q326" s="8"/>
    </row>
    <row r="327" spans="1:17" x14ac:dyDescent="0.25">
      <c r="A327" s="8"/>
      <c r="B327" s="24" t="s">
        <v>1033</v>
      </c>
      <c r="C327" s="8"/>
      <c r="D327" s="8"/>
      <c r="E327" s="10" t="s">
        <v>225</v>
      </c>
      <c r="F327" s="11">
        <v>11</v>
      </c>
      <c r="G327" s="18"/>
      <c r="H327" s="18"/>
      <c r="I327" s="18"/>
      <c r="J327" s="18"/>
      <c r="K327" s="11"/>
      <c r="L327" s="11"/>
      <c r="M327" s="11"/>
      <c r="N327" s="11">
        <f t="shared" si="50"/>
        <v>0</v>
      </c>
      <c r="O327" s="11">
        <f t="shared" si="51"/>
        <v>0</v>
      </c>
      <c r="P327" s="11">
        <f t="shared" si="52"/>
        <v>0</v>
      </c>
      <c r="Q327" s="8"/>
    </row>
    <row r="328" spans="1:17" x14ac:dyDescent="0.25">
      <c r="A328" s="8"/>
      <c r="B328" s="24" t="s">
        <v>1034</v>
      </c>
      <c r="C328" s="8"/>
      <c r="D328" s="8"/>
      <c r="E328" s="10" t="s">
        <v>225</v>
      </c>
      <c r="F328" s="11">
        <v>5</v>
      </c>
      <c r="G328" s="18"/>
      <c r="H328" s="18"/>
      <c r="I328" s="18"/>
      <c r="J328" s="18"/>
      <c r="K328" s="11"/>
      <c r="L328" s="11"/>
      <c r="M328" s="11"/>
      <c r="N328" s="11">
        <f t="shared" si="50"/>
        <v>0</v>
      </c>
      <c r="O328" s="11">
        <f t="shared" si="51"/>
        <v>0</v>
      </c>
      <c r="P328" s="11">
        <f t="shared" si="52"/>
        <v>0</v>
      </c>
      <c r="Q328" s="8"/>
    </row>
    <row r="329" spans="1:17" x14ac:dyDescent="0.25">
      <c r="A329" s="8"/>
      <c r="B329" s="24" t="s">
        <v>1035</v>
      </c>
      <c r="C329" s="8"/>
      <c r="D329" s="8"/>
      <c r="E329" s="10" t="s">
        <v>225</v>
      </c>
      <c r="F329" s="11">
        <v>20</v>
      </c>
      <c r="G329" s="18"/>
      <c r="H329" s="18"/>
      <c r="I329" s="18"/>
      <c r="J329" s="18"/>
      <c r="K329" s="11"/>
      <c r="L329" s="11"/>
      <c r="M329" s="11"/>
      <c r="N329" s="11">
        <f t="shared" si="50"/>
        <v>0</v>
      </c>
      <c r="O329" s="11">
        <f t="shared" si="51"/>
        <v>0</v>
      </c>
      <c r="P329" s="11">
        <f t="shared" si="52"/>
        <v>0</v>
      </c>
      <c r="Q329" s="8"/>
    </row>
    <row r="330" spans="1:17" x14ac:dyDescent="0.25">
      <c r="A330" s="8"/>
      <c r="B330" s="24" t="s">
        <v>1036</v>
      </c>
      <c r="C330" s="8"/>
      <c r="D330" s="8"/>
      <c r="E330" s="10" t="s">
        <v>225</v>
      </c>
      <c r="F330" s="11">
        <v>147</v>
      </c>
      <c r="G330" s="18"/>
      <c r="H330" s="18"/>
      <c r="I330" s="18"/>
      <c r="J330" s="18"/>
      <c r="K330" s="11"/>
      <c r="L330" s="11"/>
      <c r="M330" s="11"/>
      <c r="N330" s="11">
        <f t="shared" si="50"/>
        <v>0</v>
      </c>
      <c r="O330" s="11">
        <f t="shared" si="51"/>
        <v>0</v>
      </c>
      <c r="P330" s="11">
        <f t="shared" si="52"/>
        <v>0</v>
      </c>
      <c r="Q330" s="8"/>
    </row>
    <row r="331" spans="1:17" x14ac:dyDescent="0.25">
      <c r="A331" s="8"/>
      <c r="B331" s="24" t="s">
        <v>883</v>
      </c>
      <c r="C331" s="8"/>
      <c r="D331" s="8"/>
      <c r="E331" s="10"/>
      <c r="F331" s="11"/>
      <c r="G331" s="18"/>
      <c r="H331" s="18"/>
      <c r="I331" s="18"/>
      <c r="J331" s="18"/>
      <c r="K331" s="11"/>
      <c r="L331" s="11"/>
      <c r="M331" s="11"/>
      <c r="N331" s="11">
        <f t="shared" si="50"/>
        <v>0</v>
      </c>
      <c r="O331" s="11">
        <f t="shared" si="51"/>
        <v>0</v>
      </c>
      <c r="P331" s="11">
        <f t="shared" si="52"/>
        <v>0</v>
      </c>
      <c r="Q331" s="8"/>
    </row>
    <row r="332" spans="1:17" x14ac:dyDescent="0.25">
      <c r="A332" s="8"/>
      <c r="B332" s="24" t="s">
        <v>1037</v>
      </c>
      <c r="C332" s="8"/>
      <c r="D332" s="8"/>
      <c r="E332" s="10" t="s">
        <v>229</v>
      </c>
      <c r="F332" s="11">
        <v>1</v>
      </c>
      <c r="G332" s="18"/>
      <c r="H332" s="18"/>
      <c r="I332" s="18"/>
      <c r="J332" s="18"/>
      <c r="K332" s="11"/>
      <c r="L332" s="11"/>
      <c r="M332" s="11"/>
      <c r="N332" s="11">
        <f t="shared" si="50"/>
        <v>0</v>
      </c>
      <c r="O332" s="11">
        <f t="shared" si="51"/>
        <v>0</v>
      </c>
      <c r="P332" s="11">
        <f t="shared" si="52"/>
        <v>0</v>
      </c>
      <c r="Q332" s="8"/>
    </row>
    <row r="333" spans="1:17" x14ac:dyDescent="0.25">
      <c r="A333" s="8"/>
      <c r="B333" s="24" t="s">
        <v>1038</v>
      </c>
      <c r="C333" s="8"/>
      <c r="D333" s="8"/>
      <c r="E333" s="10" t="s">
        <v>229</v>
      </c>
      <c r="F333" s="11">
        <v>2</v>
      </c>
      <c r="G333" s="18"/>
      <c r="H333" s="18"/>
      <c r="I333" s="18"/>
      <c r="J333" s="18"/>
      <c r="K333" s="11"/>
      <c r="L333" s="11"/>
      <c r="M333" s="11"/>
      <c r="N333" s="11">
        <f t="shared" si="50"/>
        <v>0</v>
      </c>
      <c r="O333" s="11">
        <f t="shared" si="51"/>
        <v>0</v>
      </c>
      <c r="P333" s="11">
        <f t="shared" si="52"/>
        <v>0</v>
      </c>
      <c r="Q333" s="8"/>
    </row>
    <row r="334" spans="1:17" x14ac:dyDescent="0.25">
      <c r="A334" s="8"/>
      <c r="B334" s="24" t="s">
        <v>836</v>
      </c>
      <c r="C334" s="8"/>
      <c r="D334" s="8"/>
      <c r="E334" s="10"/>
      <c r="F334" s="11"/>
      <c r="G334" s="18"/>
      <c r="H334" s="18"/>
      <c r="I334" s="18"/>
      <c r="J334" s="18"/>
      <c r="K334" s="11"/>
      <c r="L334" s="11"/>
      <c r="M334" s="11"/>
      <c r="N334" s="11">
        <f t="shared" si="50"/>
        <v>0</v>
      </c>
      <c r="O334" s="11">
        <f t="shared" si="51"/>
        <v>0</v>
      </c>
      <c r="P334" s="11">
        <f t="shared" si="52"/>
        <v>0</v>
      </c>
      <c r="Q334" s="8"/>
    </row>
    <row r="335" spans="1:17" x14ac:dyDescent="0.25">
      <c r="A335" s="8"/>
      <c r="B335" s="24" t="s">
        <v>1039</v>
      </c>
      <c r="C335" s="8"/>
      <c r="D335" s="8"/>
      <c r="E335" s="10" t="s">
        <v>229</v>
      </c>
      <c r="F335" s="11">
        <v>1</v>
      </c>
      <c r="G335" s="18"/>
      <c r="H335" s="18"/>
      <c r="I335" s="18"/>
      <c r="J335" s="18"/>
      <c r="K335" s="11"/>
      <c r="L335" s="11"/>
      <c r="M335" s="11"/>
      <c r="N335" s="11">
        <f t="shared" si="50"/>
        <v>0</v>
      </c>
      <c r="O335" s="11">
        <f t="shared" si="51"/>
        <v>0</v>
      </c>
      <c r="P335" s="11">
        <f t="shared" si="52"/>
        <v>0</v>
      </c>
      <c r="Q335" s="8"/>
    </row>
    <row r="336" spans="1:17" x14ac:dyDescent="0.25">
      <c r="A336" s="8"/>
      <c r="B336" s="24" t="s">
        <v>1015</v>
      </c>
      <c r="C336" s="8"/>
      <c r="D336" s="8"/>
      <c r="E336" s="10" t="s">
        <v>229</v>
      </c>
      <c r="F336" s="11">
        <v>3</v>
      </c>
      <c r="G336" s="18"/>
      <c r="H336" s="18"/>
      <c r="I336" s="18"/>
      <c r="J336" s="18"/>
      <c r="K336" s="11"/>
      <c r="L336" s="11"/>
      <c r="M336" s="11"/>
      <c r="N336" s="11">
        <f t="shared" si="50"/>
        <v>0</v>
      </c>
      <c r="O336" s="11">
        <f t="shared" si="51"/>
        <v>0</v>
      </c>
      <c r="P336" s="11">
        <f t="shared" si="52"/>
        <v>0</v>
      </c>
      <c r="Q336" s="8"/>
    </row>
    <row r="337" spans="1:17" x14ac:dyDescent="0.25">
      <c r="A337" s="8"/>
      <c r="B337" s="24" t="s">
        <v>824</v>
      </c>
      <c r="C337" s="8"/>
      <c r="D337" s="8"/>
      <c r="E337" s="10" t="s">
        <v>1097</v>
      </c>
      <c r="F337" s="11">
        <v>1</v>
      </c>
      <c r="G337" s="18"/>
      <c r="H337" s="18"/>
      <c r="I337" s="18"/>
      <c r="J337" s="18"/>
      <c r="K337" s="11"/>
      <c r="L337" s="11"/>
      <c r="M337" s="11"/>
      <c r="N337" s="11">
        <f t="shared" si="50"/>
        <v>0</v>
      </c>
      <c r="O337" s="11">
        <f t="shared" si="51"/>
        <v>0</v>
      </c>
      <c r="P337" s="11">
        <f t="shared" si="52"/>
        <v>0</v>
      </c>
      <c r="Q337" s="8"/>
    </row>
    <row r="338" spans="1:17" x14ac:dyDescent="0.25">
      <c r="A338" s="8"/>
      <c r="B338" s="24"/>
      <c r="C338" s="8"/>
      <c r="D338" s="8"/>
      <c r="E338" s="10"/>
      <c r="F338" s="11"/>
      <c r="G338" s="18"/>
      <c r="H338" s="18"/>
      <c r="I338" s="18"/>
      <c r="J338" s="18"/>
      <c r="K338" s="11"/>
      <c r="L338" s="11"/>
      <c r="M338" s="11"/>
      <c r="N338" s="11">
        <f t="shared" si="50"/>
        <v>0</v>
      </c>
      <c r="O338" s="11">
        <f t="shared" si="51"/>
        <v>0</v>
      </c>
      <c r="P338" s="11">
        <f t="shared" si="52"/>
        <v>0</v>
      </c>
      <c r="Q338" s="8"/>
    </row>
    <row r="339" spans="1:17" x14ac:dyDescent="0.25">
      <c r="A339" s="8"/>
      <c r="B339" s="24" t="s">
        <v>457</v>
      </c>
      <c r="C339" s="8"/>
      <c r="D339" s="8"/>
      <c r="E339" s="10"/>
      <c r="F339" s="11"/>
      <c r="G339" s="18"/>
      <c r="H339" s="18"/>
      <c r="I339" s="18"/>
      <c r="J339" s="18"/>
      <c r="K339" s="11"/>
      <c r="L339" s="11"/>
      <c r="M339" s="11"/>
      <c r="N339" s="11">
        <f t="shared" si="50"/>
        <v>0</v>
      </c>
      <c r="O339" s="11">
        <f t="shared" si="51"/>
        <v>0</v>
      </c>
      <c r="P339" s="11">
        <f t="shared" si="52"/>
        <v>0</v>
      </c>
      <c r="Q339" s="8"/>
    </row>
    <row r="340" spans="1:17" x14ac:dyDescent="0.25">
      <c r="A340" s="8"/>
      <c r="B340" s="24" t="s">
        <v>827</v>
      </c>
      <c r="C340" s="8"/>
      <c r="D340" s="8"/>
      <c r="E340" s="10"/>
      <c r="F340" s="11"/>
      <c r="G340" s="18"/>
      <c r="H340" s="18"/>
      <c r="I340" s="18"/>
      <c r="J340" s="18"/>
      <c r="K340" s="11"/>
      <c r="L340" s="11"/>
      <c r="M340" s="11"/>
      <c r="N340" s="11">
        <f t="shared" si="50"/>
        <v>0</v>
      </c>
      <c r="O340" s="11">
        <f t="shared" si="51"/>
        <v>0</v>
      </c>
      <c r="P340" s="11">
        <f t="shared" si="52"/>
        <v>0</v>
      </c>
      <c r="Q340" s="8"/>
    </row>
    <row r="341" spans="1:17" x14ac:dyDescent="0.25">
      <c r="A341" s="8"/>
      <c r="B341" s="24" t="s">
        <v>1040</v>
      </c>
      <c r="C341" s="8"/>
      <c r="D341" s="8"/>
      <c r="E341" s="10" t="s">
        <v>225</v>
      </c>
      <c r="F341" s="11">
        <v>1205</v>
      </c>
      <c r="G341" s="18"/>
      <c r="H341" s="18"/>
      <c r="I341" s="18"/>
      <c r="J341" s="18"/>
      <c r="K341" s="11"/>
      <c r="L341" s="11"/>
      <c r="M341" s="11"/>
      <c r="N341" s="11">
        <f t="shared" si="50"/>
        <v>0</v>
      </c>
      <c r="O341" s="11">
        <f t="shared" si="51"/>
        <v>0</v>
      </c>
      <c r="P341" s="11">
        <f t="shared" si="52"/>
        <v>0</v>
      </c>
      <c r="Q341" s="8"/>
    </row>
    <row r="342" spans="1:17" x14ac:dyDescent="0.25">
      <c r="A342" s="8"/>
      <c r="B342" s="24" t="s">
        <v>1041</v>
      </c>
      <c r="C342" s="8"/>
      <c r="D342" s="8"/>
      <c r="E342" s="10" t="s">
        <v>225</v>
      </c>
      <c r="F342" s="11">
        <v>1428</v>
      </c>
      <c r="G342" s="18"/>
      <c r="H342" s="18"/>
      <c r="I342" s="18"/>
      <c r="J342" s="18"/>
      <c r="K342" s="11"/>
      <c r="L342" s="11"/>
      <c r="M342" s="11"/>
      <c r="N342" s="11">
        <f t="shared" si="50"/>
        <v>0</v>
      </c>
      <c r="O342" s="11">
        <f t="shared" si="51"/>
        <v>0</v>
      </c>
      <c r="P342" s="11">
        <f t="shared" si="52"/>
        <v>0</v>
      </c>
      <c r="Q342" s="8"/>
    </row>
    <row r="343" spans="1:17" x14ac:dyDescent="0.25">
      <c r="A343" s="8"/>
      <c r="B343" s="24" t="s">
        <v>883</v>
      </c>
      <c r="C343" s="8"/>
      <c r="D343" s="8"/>
      <c r="E343" s="10"/>
      <c r="F343" s="11"/>
      <c r="G343" s="18"/>
      <c r="H343" s="18"/>
      <c r="I343" s="18"/>
      <c r="J343" s="18"/>
      <c r="K343" s="11"/>
      <c r="L343" s="11"/>
      <c r="M343" s="11"/>
      <c r="N343" s="11">
        <f t="shared" si="50"/>
        <v>0</v>
      </c>
      <c r="O343" s="11">
        <f t="shared" si="51"/>
        <v>0</v>
      </c>
      <c r="P343" s="11">
        <f t="shared" si="52"/>
        <v>0</v>
      </c>
      <c r="Q343" s="8"/>
    </row>
    <row r="344" spans="1:17" x14ac:dyDescent="0.25">
      <c r="A344" s="8"/>
      <c r="B344" s="24" t="s">
        <v>1042</v>
      </c>
      <c r="C344" s="8"/>
      <c r="D344" s="8"/>
      <c r="E344" s="10" t="s">
        <v>229</v>
      </c>
      <c r="F344" s="11">
        <v>99</v>
      </c>
      <c r="G344" s="18"/>
      <c r="H344" s="18"/>
      <c r="I344" s="18"/>
      <c r="J344" s="18"/>
      <c r="K344" s="11"/>
      <c r="L344" s="11"/>
      <c r="M344" s="11"/>
      <c r="N344" s="11">
        <f t="shared" si="50"/>
        <v>0</v>
      </c>
      <c r="O344" s="11">
        <f t="shared" si="51"/>
        <v>0</v>
      </c>
      <c r="P344" s="11">
        <f t="shared" si="52"/>
        <v>0</v>
      </c>
      <c r="Q344" s="8"/>
    </row>
    <row r="345" spans="1:17" x14ac:dyDescent="0.25">
      <c r="A345" s="8"/>
      <c r="B345" s="24" t="s">
        <v>836</v>
      </c>
      <c r="C345" s="8"/>
      <c r="D345" s="8"/>
      <c r="E345" s="10"/>
      <c r="F345" s="11"/>
      <c r="G345" s="18"/>
      <c r="H345" s="18"/>
      <c r="I345" s="18"/>
      <c r="J345" s="18"/>
      <c r="K345" s="11"/>
      <c r="L345" s="11"/>
      <c r="M345" s="11"/>
      <c r="N345" s="11">
        <f t="shared" si="50"/>
        <v>0</v>
      </c>
      <c r="O345" s="11">
        <f t="shared" si="51"/>
        <v>0</v>
      </c>
      <c r="P345" s="11">
        <f t="shared" si="52"/>
        <v>0</v>
      </c>
      <c r="Q345" s="8"/>
    </row>
    <row r="346" spans="1:17" x14ac:dyDescent="0.25">
      <c r="A346" s="8"/>
      <c r="B346" s="24" t="s">
        <v>945</v>
      </c>
      <c r="C346" s="8"/>
      <c r="D346" s="8"/>
      <c r="E346" s="10" t="s">
        <v>229</v>
      </c>
      <c r="F346" s="11">
        <v>99</v>
      </c>
      <c r="G346" s="18"/>
      <c r="H346" s="18"/>
      <c r="I346" s="18"/>
      <c r="J346" s="18"/>
      <c r="K346" s="11"/>
      <c r="L346" s="11"/>
      <c r="M346" s="11"/>
      <c r="N346" s="11">
        <f t="shared" si="50"/>
        <v>0</v>
      </c>
      <c r="O346" s="11">
        <f t="shared" si="51"/>
        <v>0</v>
      </c>
      <c r="P346" s="11">
        <f t="shared" si="52"/>
        <v>0</v>
      </c>
      <c r="Q346" s="8"/>
    </row>
    <row r="347" spans="1:17" x14ac:dyDescent="0.25">
      <c r="A347" s="8"/>
      <c r="B347" s="24" t="s">
        <v>824</v>
      </c>
      <c r="C347" s="8"/>
      <c r="D347" s="8"/>
      <c r="E347" s="10" t="s">
        <v>1097</v>
      </c>
      <c r="F347" s="11">
        <v>1</v>
      </c>
      <c r="G347" s="18"/>
      <c r="H347" s="18"/>
      <c r="I347" s="18"/>
      <c r="J347" s="18"/>
      <c r="K347" s="11"/>
      <c r="L347" s="11"/>
      <c r="M347" s="11"/>
      <c r="N347" s="11">
        <f t="shared" si="50"/>
        <v>0</v>
      </c>
      <c r="O347" s="11">
        <f t="shared" si="51"/>
        <v>0</v>
      </c>
      <c r="P347" s="11">
        <f t="shared" si="52"/>
        <v>0</v>
      </c>
      <c r="Q347" s="8"/>
    </row>
    <row r="348" spans="1:17" x14ac:dyDescent="0.25">
      <c r="A348" s="8"/>
      <c r="B348" s="24"/>
      <c r="C348" s="8"/>
      <c r="D348" s="8"/>
      <c r="E348" s="10"/>
      <c r="F348" s="11"/>
      <c r="G348" s="18"/>
      <c r="H348" s="18"/>
      <c r="I348" s="18"/>
      <c r="J348" s="18"/>
      <c r="K348" s="11"/>
      <c r="L348" s="11"/>
      <c r="M348" s="11"/>
      <c r="N348" s="11">
        <f t="shared" si="50"/>
        <v>0</v>
      </c>
      <c r="O348" s="11">
        <f t="shared" si="51"/>
        <v>0</v>
      </c>
      <c r="P348" s="11">
        <f t="shared" si="52"/>
        <v>0</v>
      </c>
      <c r="Q348" s="8"/>
    </row>
    <row r="349" spans="1:17" ht="30" x14ac:dyDescent="0.25">
      <c r="A349" s="8"/>
      <c r="B349" s="24" t="s">
        <v>899</v>
      </c>
      <c r="C349" s="8"/>
      <c r="D349" s="8"/>
      <c r="E349" s="10"/>
      <c r="F349" s="11"/>
      <c r="G349" s="18"/>
      <c r="H349" s="18"/>
      <c r="I349" s="18"/>
      <c r="J349" s="18"/>
      <c r="K349" s="11"/>
      <c r="L349" s="11"/>
      <c r="M349" s="11"/>
      <c r="N349" s="11">
        <f t="shared" si="50"/>
        <v>0</v>
      </c>
      <c r="O349" s="11">
        <f t="shared" si="51"/>
        <v>0</v>
      </c>
      <c r="P349" s="11">
        <f t="shared" si="52"/>
        <v>0</v>
      </c>
      <c r="Q349" s="8"/>
    </row>
    <row r="350" spans="1:17" ht="30" x14ac:dyDescent="0.25">
      <c r="A350" s="8"/>
      <c r="B350" s="24" t="s">
        <v>1043</v>
      </c>
      <c r="C350" s="8"/>
      <c r="D350" s="8"/>
      <c r="E350" s="10" t="s">
        <v>229</v>
      </c>
      <c r="F350" s="11">
        <v>35</v>
      </c>
      <c r="G350" s="18"/>
      <c r="H350" s="18"/>
      <c r="I350" s="18"/>
      <c r="J350" s="18"/>
      <c r="K350" s="11"/>
      <c r="L350" s="11"/>
      <c r="M350" s="11"/>
      <c r="N350" s="11">
        <f t="shared" si="50"/>
        <v>0</v>
      </c>
      <c r="O350" s="11">
        <f t="shared" si="51"/>
        <v>0</v>
      </c>
      <c r="P350" s="11">
        <f t="shared" si="52"/>
        <v>0</v>
      </c>
      <c r="Q350" s="8"/>
    </row>
    <row r="351" spans="1:17" ht="30" x14ac:dyDescent="0.25">
      <c r="A351" s="8"/>
      <c r="B351" s="24" t="s">
        <v>1044</v>
      </c>
      <c r="C351" s="8"/>
      <c r="D351" s="8"/>
      <c r="E351" s="10" t="s">
        <v>229</v>
      </c>
      <c r="F351" s="11">
        <v>12</v>
      </c>
      <c r="G351" s="18"/>
      <c r="H351" s="18"/>
      <c r="I351" s="18"/>
      <c r="J351" s="18"/>
      <c r="K351" s="11"/>
      <c r="L351" s="11"/>
      <c r="M351" s="11"/>
      <c r="N351" s="11">
        <f t="shared" si="50"/>
        <v>0</v>
      </c>
      <c r="O351" s="11">
        <f t="shared" si="51"/>
        <v>0</v>
      </c>
      <c r="P351" s="11">
        <f t="shared" si="52"/>
        <v>0</v>
      </c>
      <c r="Q351" s="8"/>
    </row>
    <row r="352" spans="1:17" ht="30" x14ac:dyDescent="0.25">
      <c r="A352" s="8"/>
      <c r="B352" s="24" t="s">
        <v>1045</v>
      </c>
      <c r="C352" s="8"/>
      <c r="D352" s="8"/>
      <c r="E352" s="10" t="s">
        <v>229</v>
      </c>
      <c r="F352" s="11">
        <v>198</v>
      </c>
      <c r="G352" s="18"/>
      <c r="H352" s="18"/>
      <c r="I352" s="18"/>
      <c r="J352" s="18"/>
      <c r="K352" s="11"/>
      <c r="L352" s="11"/>
      <c r="M352" s="11"/>
      <c r="N352" s="11">
        <f t="shared" si="50"/>
        <v>0</v>
      </c>
      <c r="O352" s="11">
        <f t="shared" si="51"/>
        <v>0</v>
      </c>
      <c r="P352" s="11">
        <f t="shared" si="52"/>
        <v>0</v>
      </c>
      <c r="Q352" s="8"/>
    </row>
    <row r="353" spans="1:17" x14ac:dyDescent="0.25">
      <c r="A353" s="8"/>
      <c r="B353" s="24" t="s">
        <v>1046</v>
      </c>
      <c r="C353" s="8"/>
      <c r="D353" s="8"/>
      <c r="E353" s="10" t="s">
        <v>229</v>
      </c>
      <c r="F353" s="11">
        <v>35</v>
      </c>
      <c r="G353" s="18"/>
      <c r="H353" s="18"/>
      <c r="I353" s="18"/>
      <c r="J353" s="18"/>
      <c r="K353" s="11"/>
      <c r="L353" s="11"/>
      <c r="M353" s="11"/>
      <c r="N353" s="11">
        <f t="shared" si="50"/>
        <v>0</v>
      </c>
      <c r="O353" s="11">
        <f t="shared" si="51"/>
        <v>0</v>
      </c>
      <c r="P353" s="11">
        <f t="shared" si="52"/>
        <v>0</v>
      </c>
      <c r="Q353" s="8"/>
    </row>
    <row r="354" spans="1:17" x14ac:dyDescent="0.25">
      <c r="A354" s="8"/>
      <c r="B354" s="24" t="s">
        <v>1047</v>
      </c>
      <c r="C354" s="8"/>
      <c r="D354" s="8"/>
      <c r="E354" s="10" t="s">
        <v>229</v>
      </c>
      <c r="F354" s="11">
        <v>99</v>
      </c>
      <c r="G354" s="18"/>
      <c r="H354" s="18"/>
      <c r="I354" s="18"/>
      <c r="J354" s="18"/>
      <c r="K354" s="11"/>
      <c r="L354" s="11"/>
      <c r="M354" s="11"/>
      <c r="N354" s="11">
        <f t="shared" si="50"/>
        <v>0</v>
      </c>
      <c r="O354" s="11">
        <f t="shared" si="51"/>
        <v>0</v>
      </c>
      <c r="P354" s="11">
        <f t="shared" si="52"/>
        <v>0</v>
      </c>
      <c r="Q354" s="8"/>
    </row>
    <row r="355" spans="1:17" x14ac:dyDescent="0.25">
      <c r="A355" s="8"/>
      <c r="B355" s="24" t="s">
        <v>1048</v>
      </c>
      <c r="C355" s="8"/>
      <c r="D355" s="8"/>
      <c r="E355" s="10" t="s">
        <v>229</v>
      </c>
      <c r="F355" s="11">
        <v>3</v>
      </c>
      <c r="G355" s="18"/>
      <c r="H355" s="18"/>
      <c r="I355" s="18"/>
      <c r="J355" s="18"/>
      <c r="K355" s="11"/>
      <c r="L355" s="11"/>
      <c r="M355" s="11"/>
      <c r="N355" s="11">
        <f t="shared" si="50"/>
        <v>0</v>
      </c>
      <c r="O355" s="11">
        <f t="shared" si="51"/>
        <v>0</v>
      </c>
      <c r="P355" s="11">
        <f t="shared" si="52"/>
        <v>0</v>
      </c>
      <c r="Q355" s="8"/>
    </row>
    <row r="356" spans="1:17" x14ac:dyDescent="0.25">
      <c r="A356" s="8"/>
      <c r="B356" s="24" t="s">
        <v>1003</v>
      </c>
      <c r="C356" s="8"/>
      <c r="D356" s="8"/>
      <c r="E356" s="10" t="s">
        <v>229</v>
      </c>
      <c r="F356" s="11">
        <v>11</v>
      </c>
      <c r="G356" s="18"/>
      <c r="H356" s="18"/>
      <c r="I356" s="18"/>
      <c r="J356" s="18"/>
      <c r="K356" s="11"/>
      <c r="L356" s="11"/>
      <c r="M356" s="11"/>
      <c r="N356" s="11">
        <f t="shared" si="50"/>
        <v>0</v>
      </c>
      <c r="O356" s="11">
        <f t="shared" si="51"/>
        <v>0</v>
      </c>
      <c r="P356" s="11">
        <f t="shared" si="52"/>
        <v>0</v>
      </c>
      <c r="Q356" s="8"/>
    </row>
    <row r="357" spans="1:17" ht="30" x14ac:dyDescent="0.25">
      <c r="A357" s="8"/>
      <c r="B357" s="24" t="s">
        <v>1049</v>
      </c>
      <c r="C357" s="8"/>
      <c r="D357" s="8"/>
      <c r="E357" s="10" t="s">
        <v>1097</v>
      </c>
      <c r="F357" s="11">
        <v>1</v>
      </c>
      <c r="G357" s="18"/>
      <c r="H357" s="18"/>
      <c r="I357" s="18"/>
      <c r="J357" s="18"/>
      <c r="K357" s="11"/>
      <c r="L357" s="11"/>
      <c r="M357" s="11"/>
      <c r="N357" s="11">
        <f t="shared" si="50"/>
        <v>0</v>
      </c>
      <c r="O357" s="11">
        <f t="shared" si="51"/>
        <v>0</v>
      </c>
      <c r="P357" s="11">
        <f t="shared" si="52"/>
        <v>0</v>
      </c>
      <c r="Q357" s="8"/>
    </row>
    <row r="358" spans="1:17" x14ac:dyDescent="0.25">
      <c r="A358" s="8"/>
      <c r="B358" s="24"/>
      <c r="C358" s="8"/>
      <c r="D358" s="8"/>
      <c r="E358" s="10"/>
      <c r="F358" s="11"/>
      <c r="G358" s="18"/>
      <c r="H358" s="18"/>
      <c r="I358" s="18"/>
      <c r="J358" s="18"/>
      <c r="K358" s="11"/>
      <c r="L358" s="11"/>
      <c r="M358" s="11"/>
      <c r="N358" s="11">
        <f t="shared" si="50"/>
        <v>0</v>
      </c>
      <c r="O358" s="11">
        <f t="shared" si="51"/>
        <v>0</v>
      </c>
      <c r="P358" s="11">
        <f t="shared" si="52"/>
        <v>0</v>
      </c>
      <c r="Q358" s="8"/>
    </row>
    <row r="359" spans="1:17" x14ac:dyDescent="0.25">
      <c r="A359" s="8"/>
      <c r="B359" s="24" t="s">
        <v>1050</v>
      </c>
      <c r="C359" s="8"/>
      <c r="D359" s="8"/>
      <c r="E359" s="10"/>
      <c r="F359" s="11"/>
      <c r="G359" s="18"/>
      <c r="H359" s="18"/>
      <c r="I359" s="18"/>
      <c r="J359" s="18"/>
      <c r="K359" s="11"/>
      <c r="L359" s="11"/>
      <c r="M359" s="11"/>
      <c r="N359" s="11">
        <f t="shared" si="50"/>
        <v>0</v>
      </c>
      <c r="O359" s="11">
        <f t="shared" si="51"/>
        <v>0</v>
      </c>
      <c r="P359" s="11">
        <f t="shared" si="52"/>
        <v>0</v>
      </c>
      <c r="Q359" s="8"/>
    </row>
    <row r="360" spans="1:17" x14ac:dyDescent="0.25">
      <c r="A360" s="8"/>
      <c r="B360" s="24" t="s">
        <v>1051</v>
      </c>
      <c r="C360" s="8"/>
      <c r="D360" s="8"/>
      <c r="E360" s="10" t="s">
        <v>230</v>
      </c>
      <c r="F360" s="11">
        <v>1</v>
      </c>
      <c r="G360" s="18"/>
      <c r="H360" s="18"/>
      <c r="I360" s="18"/>
      <c r="J360" s="18"/>
      <c r="K360" s="11"/>
      <c r="L360" s="11"/>
      <c r="M360" s="11"/>
      <c r="N360" s="11">
        <f t="shared" si="50"/>
        <v>0</v>
      </c>
      <c r="O360" s="11">
        <f t="shared" si="51"/>
        <v>0</v>
      </c>
      <c r="P360" s="11">
        <f t="shared" si="52"/>
        <v>0</v>
      </c>
      <c r="Q360" s="8"/>
    </row>
    <row r="361" spans="1:17" x14ac:dyDescent="0.25">
      <c r="A361" s="8"/>
      <c r="B361" s="24" t="s">
        <v>1052</v>
      </c>
      <c r="C361" s="8"/>
      <c r="D361" s="8"/>
      <c r="E361" s="10" t="s">
        <v>230</v>
      </c>
      <c r="F361" s="11">
        <v>43</v>
      </c>
      <c r="G361" s="18"/>
      <c r="H361" s="18"/>
      <c r="I361" s="18"/>
      <c r="J361" s="18"/>
      <c r="K361" s="11"/>
      <c r="L361" s="11"/>
      <c r="M361" s="11"/>
      <c r="N361" s="11">
        <f t="shared" si="50"/>
        <v>0</v>
      </c>
      <c r="O361" s="11">
        <f t="shared" si="51"/>
        <v>0</v>
      </c>
      <c r="P361" s="11">
        <f t="shared" si="52"/>
        <v>0</v>
      </c>
      <c r="Q361" s="8"/>
    </row>
    <row r="362" spans="1:17" ht="30" x14ac:dyDescent="0.25">
      <c r="A362" s="8"/>
      <c r="B362" s="24" t="s">
        <v>1053</v>
      </c>
      <c r="C362" s="8"/>
      <c r="D362" s="8"/>
      <c r="E362" s="10" t="s">
        <v>230</v>
      </c>
      <c r="F362" s="11">
        <v>43</v>
      </c>
      <c r="G362" s="18"/>
      <c r="H362" s="18"/>
      <c r="I362" s="18"/>
      <c r="J362" s="18"/>
      <c r="K362" s="11"/>
      <c r="L362" s="11"/>
      <c r="M362" s="11"/>
      <c r="N362" s="11">
        <f t="shared" si="50"/>
        <v>0</v>
      </c>
      <c r="O362" s="11">
        <f t="shared" si="51"/>
        <v>0</v>
      </c>
      <c r="P362" s="11">
        <f t="shared" si="52"/>
        <v>0</v>
      </c>
      <c r="Q362" s="8"/>
    </row>
    <row r="363" spans="1:17" ht="30" x14ac:dyDescent="0.25">
      <c r="A363" s="8"/>
      <c r="B363" s="24" t="s">
        <v>1054</v>
      </c>
      <c r="C363" s="8"/>
      <c r="D363" s="8"/>
      <c r="E363" s="10" t="s">
        <v>225</v>
      </c>
      <c r="F363" s="11">
        <v>3864</v>
      </c>
      <c r="G363" s="18"/>
      <c r="H363" s="18"/>
      <c r="I363" s="18"/>
      <c r="J363" s="18"/>
      <c r="K363" s="11"/>
      <c r="L363" s="11"/>
      <c r="M363" s="11"/>
      <c r="N363" s="11">
        <f t="shared" si="50"/>
        <v>0</v>
      </c>
      <c r="O363" s="11">
        <f t="shared" si="51"/>
        <v>0</v>
      </c>
      <c r="P363" s="11">
        <f t="shared" si="52"/>
        <v>0</v>
      </c>
      <c r="Q363" s="8"/>
    </row>
    <row r="364" spans="1:17" x14ac:dyDescent="0.25">
      <c r="A364" s="8"/>
      <c r="B364" s="24" t="s">
        <v>1055</v>
      </c>
      <c r="C364" s="8"/>
      <c r="D364" s="8"/>
      <c r="E364" s="10" t="s">
        <v>225</v>
      </c>
      <c r="F364" s="11">
        <v>1626</v>
      </c>
      <c r="G364" s="18"/>
      <c r="H364" s="18"/>
      <c r="I364" s="18"/>
      <c r="J364" s="18"/>
      <c r="K364" s="11"/>
      <c r="L364" s="11"/>
      <c r="M364" s="11"/>
      <c r="N364" s="11"/>
      <c r="O364" s="11"/>
      <c r="P364" s="11"/>
      <c r="Q364" s="8"/>
    </row>
    <row r="365" spans="1:17" x14ac:dyDescent="0.25">
      <c r="A365" s="8"/>
      <c r="B365" s="24" t="s">
        <v>1056</v>
      </c>
      <c r="C365" s="8"/>
      <c r="D365" s="8"/>
      <c r="E365" s="10" t="s">
        <v>1098</v>
      </c>
      <c r="F365" s="11">
        <v>5099</v>
      </c>
      <c r="G365" s="18"/>
      <c r="H365" s="18"/>
      <c r="I365" s="18"/>
      <c r="J365" s="18"/>
      <c r="K365" s="11"/>
      <c r="L365" s="11"/>
      <c r="M365" s="11"/>
      <c r="N365" s="11">
        <f t="shared" ref="N365:N411" si="53">L365*8%</f>
        <v>0</v>
      </c>
      <c r="O365" s="11">
        <f t="shared" ref="O365:O411" si="54">(G365+M365)*F365</f>
        <v>0</v>
      </c>
      <c r="P365" s="11">
        <f t="shared" ref="P365:P411" si="55">(L365+N365)*F365</f>
        <v>0</v>
      </c>
      <c r="Q365" s="8"/>
    </row>
    <row r="366" spans="1:17" x14ac:dyDescent="0.25">
      <c r="A366" s="8"/>
      <c r="B366" s="24" t="s">
        <v>1057</v>
      </c>
      <c r="C366" s="8"/>
      <c r="D366" s="8"/>
      <c r="E366" s="10" t="s">
        <v>1098</v>
      </c>
      <c r="F366" s="11">
        <v>103</v>
      </c>
      <c r="G366" s="18"/>
      <c r="H366" s="18"/>
      <c r="I366" s="18"/>
      <c r="J366" s="18"/>
      <c r="K366" s="11"/>
      <c r="L366" s="11"/>
      <c r="M366" s="11"/>
      <c r="N366" s="11">
        <f t="shared" si="53"/>
        <v>0</v>
      </c>
      <c r="O366" s="11">
        <f t="shared" si="54"/>
        <v>0</v>
      </c>
      <c r="P366" s="11">
        <f t="shared" si="55"/>
        <v>0</v>
      </c>
      <c r="Q366" s="8"/>
    </row>
    <row r="367" spans="1:17" x14ac:dyDescent="0.25">
      <c r="A367" s="8"/>
      <c r="B367" s="24" t="s">
        <v>1058</v>
      </c>
      <c r="C367" s="8"/>
      <c r="D367" s="8"/>
      <c r="E367" s="10" t="s">
        <v>1099</v>
      </c>
      <c r="F367" s="11">
        <v>86</v>
      </c>
      <c r="G367" s="18"/>
      <c r="H367" s="18"/>
      <c r="I367" s="18"/>
      <c r="J367" s="18"/>
      <c r="K367" s="11"/>
      <c r="L367" s="11"/>
      <c r="M367" s="11"/>
      <c r="N367" s="11">
        <f t="shared" si="53"/>
        <v>0</v>
      </c>
      <c r="O367" s="11">
        <f t="shared" si="54"/>
        <v>0</v>
      </c>
      <c r="P367" s="11">
        <f t="shared" si="55"/>
        <v>0</v>
      </c>
      <c r="Q367" s="8"/>
    </row>
    <row r="368" spans="1:17" x14ac:dyDescent="0.25">
      <c r="A368" s="8"/>
      <c r="B368" s="24"/>
      <c r="C368" s="8"/>
      <c r="D368" s="8"/>
      <c r="E368" s="10"/>
      <c r="F368" s="11"/>
      <c r="G368" s="18"/>
      <c r="H368" s="18"/>
      <c r="I368" s="18"/>
      <c r="J368" s="18"/>
      <c r="K368" s="11"/>
      <c r="L368" s="11"/>
      <c r="M368" s="11"/>
      <c r="N368" s="11">
        <f t="shared" si="53"/>
        <v>0</v>
      </c>
      <c r="O368" s="11">
        <f t="shared" si="54"/>
        <v>0</v>
      </c>
      <c r="P368" s="11">
        <f t="shared" si="55"/>
        <v>0</v>
      </c>
      <c r="Q368" s="8"/>
    </row>
    <row r="369" spans="1:17" x14ac:dyDescent="0.25">
      <c r="A369" s="8"/>
      <c r="B369" s="24" t="s">
        <v>1059</v>
      </c>
      <c r="C369" s="8"/>
      <c r="D369" s="8"/>
      <c r="E369" s="10"/>
      <c r="F369" s="11"/>
      <c r="G369" s="18"/>
      <c r="H369" s="18"/>
      <c r="I369" s="18"/>
      <c r="J369" s="18"/>
      <c r="K369" s="11"/>
      <c r="L369" s="11"/>
      <c r="M369" s="11"/>
      <c r="N369" s="11">
        <f t="shared" si="53"/>
        <v>0</v>
      </c>
      <c r="O369" s="11">
        <f t="shared" si="54"/>
        <v>0</v>
      </c>
      <c r="P369" s="11">
        <f t="shared" si="55"/>
        <v>0</v>
      </c>
      <c r="Q369" s="8"/>
    </row>
    <row r="370" spans="1:17" x14ac:dyDescent="0.25">
      <c r="A370" s="8"/>
      <c r="B370" s="24" t="s">
        <v>1060</v>
      </c>
      <c r="C370" s="8"/>
      <c r="D370" s="8"/>
      <c r="E370" s="10" t="s">
        <v>225</v>
      </c>
      <c r="F370" s="11">
        <v>2134</v>
      </c>
      <c r="G370" s="18"/>
      <c r="H370" s="18"/>
      <c r="I370" s="18"/>
      <c r="J370" s="18"/>
      <c r="K370" s="11"/>
      <c r="L370" s="11"/>
      <c r="M370" s="11"/>
      <c r="N370" s="11">
        <f t="shared" si="53"/>
        <v>0</v>
      </c>
      <c r="O370" s="11">
        <f t="shared" si="54"/>
        <v>0</v>
      </c>
      <c r="P370" s="11">
        <f t="shared" si="55"/>
        <v>0</v>
      </c>
      <c r="Q370" s="8"/>
    </row>
    <row r="371" spans="1:17" x14ac:dyDescent="0.25">
      <c r="A371" s="8"/>
      <c r="B371" s="24" t="s">
        <v>1061</v>
      </c>
      <c r="C371" s="8"/>
      <c r="D371" s="8"/>
      <c r="E371" s="10" t="s">
        <v>225</v>
      </c>
      <c r="F371" s="11">
        <v>89</v>
      </c>
      <c r="G371" s="18"/>
      <c r="H371" s="18"/>
      <c r="I371" s="18"/>
      <c r="J371" s="18"/>
      <c r="K371" s="11"/>
      <c r="L371" s="11"/>
      <c r="M371" s="11"/>
      <c r="N371" s="11">
        <f t="shared" si="53"/>
        <v>0</v>
      </c>
      <c r="O371" s="11">
        <f t="shared" si="54"/>
        <v>0</v>
      </c>
      <c r="P371" s="11">
        <f t="shared" si="55"/>
        <v>0</v>
      </c>
      <c r="Q371" s="8"/>
    </row>
    <row r="372" spans="1:17" x14ac:dyDescent="0.25">
      <c r="A372" s="8"/>
      <c r="B372" s="24" t="s">
        <v>1062</v>
      </c>
      <c r="C372" s="8"/>
      <c r="D372" s="8"/>
      <c r="E372" s="10" t="s">
        <v>225</v>
      </c>
      <c r="F372" s="11">
        <v>264</v>
      </c>
      <c r="G372" s="18"/>
      <c r="H372" s="18"/>
      <c r="I372" s="18"/>
      <c r="J372" s="18"/>
      <c r="K372" s="11"/>
      <c r="L372" s="11"/>
      <c r="M372" s="11"/>
      <c r="N372" s="11">
        <f t="shared" si="53"/>
        <v>0</v>
      </c>
      <c r="O372" s="11">
        <f t="shared" si="54"/>
        <v>0</v>
      </c>
      <c r="P372" s="11">
        <f t="shared" si="55"/>
        <v>0</v>
      </c>
      <c r="Q372" s="8"/>
    </row>
    <row r="373" spans="1:17" x14ac:dyDescent="0.25">
      <c r="A373" s="8"/>
      <c r="B373" s="24" t="s">
        <v>1063</v>
      </c>
      <c r="C373" s="8"/>
      <c r="D373" s="8"/>
      <c r="E373" s="10" t="s">
        <v>225</v>
      </c>
      <c r="F373" s="11">
        <v>1195</v>
      </c>
      <c r="G373" s="18"/>
      <c r="H373" s="18"/>
      <c r="I373" s="18"/>
      <c r="J373" s="18"/>
      <c r="K373" s="11"/>
      <c r="L373" s="11"/>
      <c r="M373" s="11"/>
      <c r="N373" s="11">
        <f t="shared" si="53"/>
        <v>0</v>
      </c>
      <c r="O373" s="11">
        <f t="shared" si="54"/>
        <v>0</v>
      </c>
      <c r="P373" s="11">
        <f t="shared" si="55"/>
        <v>0</v>
      </c>
      <c r="Q373" s="8"/>
    </row>
    <row r="374" spans="1:17" x14ac:dyDescent="0.25">
      <c r="A374" s="8"/>
      <c r="B374" s="24" t="s">
        <v>1064</v>
      </c>
      <c r="C374" s="8"/>
      <c r="D374" s="8"/>
      <c r="E374" s="10" t="s">
        <v>225</v>
      </c>
      <c r="F374" s="11">
        <v>78</v>
      </c>
      <c r="G374" s="18"/>
      <c r="H374" s="18"/>
      <c r="I374" s="18"/>
      <c r="J374" s="18"/>
      <c r="K374" s="11"/>
      <c r="L374" s="11"/>
      <c r="M374" s="11"/>
      <c r="N374" s="11">
        <f t="shared" si="53"/>
        <v>0</v>
      </c>
      <c r="O374" s="11">
        <f t="shared" si="54"/>
        <v>0</v>
      </c>
      <c r="P374" s="11">
        <f t="shared" si="55"/>
        <v>0</v>
      </c>
      <c r="Q374" s="8"/>
    </row>
    <row r="375" spans="1:17" x14ac:dyDescent="0.25">
      <c r="A375" s="8"/>
      <c r="B375" s="24" t="s">
        <v>1065</v>
      </c>
      <c r="C375" s="8"/>
      <c r="D375" s="8"/>
      <c r="E375" s="10" t="s">
        <v>225</v>
      </c>
      <c r="F375" s="11">
        <v>4267</v>
      </c>
      <c r="G375" s="18"/>
      <c r="H375" s="18"/>
      <c r="I375" s="18"/>
      <c r="J375" s="18"/>
      <c r="K375" s="11"/>
      <c r="L375" s="11"/>
      <c r="M375" s="11"/>
      <c r="N375" s="11">
        <f t="shared" si="53"/>
        <v>0</v>
      </c>
      <c r="O375" s="11">
        <f t="shared" si="54"/>
        <v>0</v>
      </c>
      <c r="P375" s="11">
        <f t="shared" si="55"/>
        <v>0</v>
      </c>
      <c r="Q375" s="8"/>
    </row>
    <row r="376" spans="1:17" x14ac:dyDescent="0.25">
      <c r="A376" s="8"/>
      <c r="B376" s="24" t="s">
        <v>1066</v>
      </c>
      <c r="C376" s="8"/>
      <c r="D376" s="8"/>
      <c r="E376" s="10" t="s">
        <v>225</v>
      </c>
      <c r="F376" s="11">
        <v>266</v>
      </c>
      <c r="G376" s="18"/>
      <c r="H376" s="18"/>
      <c r="I376" s="18"/>
      <c r="J376" s="18"/>
      <c r="K376" s="11"/>
      <c r="L376" s="11"/>
      <c r="M376" s="11"/>
      <c r="N376" s="11">
        <f t="shared" si="53"/>
        <v>0</v>
      </c>
      <c r="O376" s="11">
        <f t="shared" si="54"/>
        <v>0</v>
      </c>
      <c r="P376" s="11">
        <f t="shared" si="55"/>
        <v>0</v>
      </c>
      <c r="Q376" s="8"/>
    </row>
    <row r="377" spans="1:17" x14ac:dyDescent="0.25">
      <c r="A377" s="8"/>
      <c r="B377" s="24" t="s">
        <v>1067</v>
      </c>
      <c r="C377" s="8"/>
      <c r="D377" s="8"/>
      <c r="E377" s="10" t="s">
        <v>225</v>
      </c>
      <c r="F377" s="11">
        <v>1080</v>
      </c>
      <c r="G377" s="18"/>
      <c r="H377" s="18"/>
      <c r="I377" s="18"/>
      <c r="J377" s="18"/>
      <c r="K377" s="11"/>
      <c r="L377" s="11"/>
      <c r="M377" s="11"/>
      <c r="N377" s="11">
        <f t="shared" si="53"/>
        <v>0</v>
      </c>
      <c r="O377" s="11">
        <f t="shared" si="54"/>
        <v>0</v>
      </c>
      <c r="P377" s="11">
        <f t="shared" si="55"/>
        <v>0</v>
      </c>
      <c r="Q377" s="8"/>
    </row>
    <row r="378" spans="1:17" x14ac:dyDescent="0.25">
      <c r="A378" s="8"/>
      <c r="B378" s="24" t="s">
        <v>1068</v>
      </c>
      <c r="C378" s="8"/>
      <c r="D378" s="8"/>
      <c r="E378" s="10" t="s">
        <v>225</v>
      </c>
      <c r="F378" s="11">
        <v>7171</v>
      </c>
      <c r="G378" s="18"/>
      <c r="H378" s="18"/>
      <c r="I378" s="18"/>
      <c r="J378" s="18"/>
      <c r="K378" s="11"/>
      <c r="L378" s="11"/>
      <c r="M378" s="11"/>
      <c r="N378" s="11">
        <f t="shared" si="53"/>
        <v>0</v>
      </c>
      <c r="O378" s="11">
        <f t="shared" si="54"/>
        <v>0</v>
      </c>
      <c r="P378" s="11">
        <f t="shared" si="55"/>
        <v>0</v>
      </c>
      <c r="Q378" s="8"/>
    </row>
    <row r="379" spans="1:17" x14ac:dyDescent="0.25">
      <c r="A379" s="8"/>
      <c r="B379" s="24" t="s">
        <v>1069</v>
      </c>
      <c r="C379" s="8"/>
      <c r="D379" s="8"/>
      <c r="E379" s="10" t="s">
        <v>225</v>
      </c>
      <c r="F379" s="11">
        <v>468</v>
      </c>
      <c r="G379" s="18"/>
      <c r="H379" s="18"/>
      <c r="I379" s="18"/>
      <c r="J379" s="18"/>
      <c r="K379" s="11"/>
      <c r="L379" s="11"/>
      <c r="M379" s="11"/>
      <c r="N379" s="11">
        <f t="shared" si="53"/>
        <v>0</v>
      </c>
      <c r="O379" s="11">
        <f t="shared" si="54"/>
        <v>0</v>
      </c>
      <c r="P379" s="11">
        <f t="shared" si="55"/>
        <v>0</v>
      </c>
      <c r="Q379" s="8"/>
    </row>
    <row r="380" spans="1:17" x14ac:dyDescent="0.25">
      <c r="A380" s="8"/>
      <c r="B380" s="24" t="s">
        <v>1070</v>
      </c>
      <c r="C380" s="8"/>
      <c r="D380" s="8"/>
      <c r="E380" s="10" t="s">
        <v>225</v>
      </c>
      <c r="F380" s="11">
        <v>1666</v>
      </c>
      <c r="G380" s="18"/>
      <c r="H380" s="18"/>
      <c r="I380" s="18"/>
      <c r="J380" s="18"/>
      <c r="K380" s="11"/>
      <c r="L380" s="11"/>
      <c r="M380" s="11"/>
      <c r="N380" s="11">
        <f t="shared" si="53"/>
        <v>0</v>
      </c>
      <c r="O380" s="11">
        <f t="shared" si="54"/>
        <v>0</v>
      </c>
      <c r="P380" s="11">
        <f t="shared" si="55"/>
        <v>0</v>
      </c>
      <c r="Q380" s="8"/>
    </row>
    <row r="381" spans="1:17" x14ac:dyDescent="0.25">
      <c r="A381" s="8"/>
      <c r="B381" s="24" t="s">
        <v>1071</v>
      </c>
      <c r="C381" s="8"/>
      <c r="D381" s="8"/>
      <c r="E381" s="10" t="s">
        <v>225</v>
      </c>
      <c r="F381" s="11">
        <v>2627</v>
      </c>
      <c r="G381" s="18"/>
      <c r="H381" s="18"/>
      <c r="I381" s="18"/>
      <c r="J381" s="18"/>
      <c r="K381" s="11"/>
      <c r="L381" s="11"/>
      <c r="M381" s="11"/>
      <c r="N381" s="11">
        <f t="shared" si="53"/>
        <v>0</v>
      </c>
      <c r="O381" s="11">
        <f t="shared" si="54"/>
        <v>0</v>
      </c>
      <c r="P381" s="11">
        <f t="shared" si="55"/>
        <v>0</v>
      </c>
      <c r="Q381" s="8"/>
    </row>
    <row r="382" spans="1:17" x14ac:dyDescent="0.25">
      <c r="A382" s="8"/>
      <c r="B382" s="24"/>
      <c r="C382" s="8"/>
      <c r="D382" s="8"/>
      <c r="E382" s="10"/>
      <c r="F382" s="11"/>
      <c r="G382" s="18"/>
      <c r="H382" s="18"/>
      <c r="I382" s="18"/>
      <c r="J382" s="18"/>
      <c r="K382" s="11"/>
      <c r="L382" s="11"/>
      <c r="M382" s="11"/>
      <c r="N382" s="11">
        <f t="shared" si="53"/>
        <v>0</v>
      </c>
      <c r="O382" s="11">
        <f t="shared" si="54"/>
        <v>0</v>
      </c>
      <c r="P382" s="11">
        <f t="shared" si="55"/>
        <v>0</v>
      </c>
      <c r="Q382" s="8"/>
    </row>
    <row r="383" spans="1:17" x14ac:dyDescent="0.25">
      <c r="A383" s="8"/>
      <c r="B383" s="24" t="s">
        <v>1072</v>
      </c>
      <c r="C383" s="8"/>
      <c r="D383" s="8"/>
      <c r="E383" s="10"/>
      <c r="F383" s="11"/>
      <c r="G383" s="18"/>
      <c r="H383" s="18"/>
      <c r="I383" s="18"/>
      <c r="J383" s="18"/>
      <c r="K383" s="11"/>
      <c r="L383" s="11"/>
      <c r="M383" s="11"/>
      <c r="N383" s="11">
        <f t="shared" si="53"/>
        <v>0</v>
      </c>
      <c r="O383" s="11">
        <f t="shared" si="54"/>
        <v>0</v>
      </c>
      <c r="P383" s="11">
        <f t="shared" si="55"/>
        <v>0</v>
      </c>
      <c r="Q383" s="8"/>
    </row>
    <row r="384" spans="1:17" x14ac:dyDescent="0.25">
      <c r="A384" s="8"/>
      <c r="B384" s="24" t="s">
        <v>1073</v>
      </c>
      <c r="C384" s="8"/>
      <c r="D384" s="8"/>
      <c r="E384" s="10" t="s">
        <v>1100</v>
      </c>
      <c r="F384" s="11">
        <v>1</v>
      </c>
      <c r="G384" s="18"/>
      <c r="H384" s="18"/>
      <c r="I384" s="18"/>
      <c r="J384" s="18"/>
      <c r="K384" s="11"/>
      <c r="L384" s="11"/>
      <c r="M384" s="11"/>
      <c r="N384" s="11">
        <f t="shared" si="53"/>
        <v>0</v>
      </c>
      <c r="O384" s="11">
        <f t="shared" si="54"/>
        <v>0</v>
      </c>
      <c r="P384" s="11">
        <f t="shared" si="55"/>
        <v>0</v>
      </c>
      <c r="Q384" s="8"/>
    </row>
    <row r="385" spans="1:17" x14ac:dyDescent="0.25">
      <c r="A385" s="8"/>
      <c r="B385" s="24" t="s">
        <v>1074</v>
      </c>
      <c r="C385" s="8"/>
      <c r="D385" s="8"/>
      <c r="E385" s="10" t="s">
        <v>1101</v>
      </c>
      <c r="F385" s="11">
        <v>1</v>
      </c>
      <c r="G385" s="18"/>
      <c r="H385" s="18"/>
      <c r="I385" s="18"/>
      <c r="J385" s="18"/>
      <c r="K385" s="11"/>
      <c r="L385" s="11"/>
      <c r="M385" s="11"/>
      <c r="N385" s="11">
        <f t="shared" si="53"/>
        <v>0</v>
      </c>
      <c r="O385" s="11">
        <f t="shared" si="54"/>
        <v>0</v>
      </c>
      <c r="P385" s="11">
        <f t="shared" si="55"/>
        <v>0</v>
      </c>
      <c r="Q385" s="8"/>
    </row>
    <row r="386" spans="1:17" x14ac:dyDescent="0.25">
      <c r="A386" s="8"/>
      <c r="B386" s="24" t="s">
        <v>1075</v>
      </c>
      <c r="C386" s="8"/>
      <c r="D386" s="8"/>
      <c r="E386" s="10" t="s">
        <v>1101</v>
      </c>
      <c r="F386" s="11">
        <v>1</v>
      </c>
      <c r="G386" s="18"/>
      <c r="H386" s="18"/>
      <c r="I386" s="18"/>
      <c r="J386" s="18"/>
      <c r="K386" s="11"/>
      <c r="L386" s="11"/>
      <c r="M386" s="11"/>
      <c r="N386" s="11">
        <f t="shared" si="53"/>
        <v>0</v>
      </c>
      <c r="O386" s="11">
        <f t="shared" si="54"/>
        <v>0</v>
      </c>
      <c r="P386" s="11">
        <f t="shared" si="55"/>
        <v>0</v>
      </c>
      <c r="Q386" s="8"/>
    </row>
    <row r="387" spans="1:17" x14ac:dyDescent="0.25">
      <c r="A387" s="8"/>
      <c r="B387" s="24" t="s">
        <v>1076</v>
      </c>
      <c r="C387" s="8"/>
      <c r="D387" s="8"/>
      <c r="E387" s="10" t="s">
        <v>1101</v>
      </c>
      <c r="F387" s="11">
        <v>1</v>
      </c>
      <c r="G387" s="18"/>
      <c r="H387" s="18"/>
      <c r="I387" s="18"/>
      <c r="J387" s="18"/>
      <c r="K387" s="11"/>
      <c r="L387" s="11"/>
      <c r="M387" s="11"/>
      <c r="N387" s="11">
        <f t="shared" si="53"/>
        <v>0</v>
      </c>
      <c r="O387" s="11">
        <f t="shared" si="54"/>
        <v>0</v>
      </c>
      <c r="P387" s="11">
        <f t="shared" si="55"/>
        <v>0</v>
      </c>
      <c r="Q387" s="8"/>
    </row>
    <row r="388" spans="1:17" x14ac:dyDescent="0.25">
      <c r="A388" s="8"/>
      <c r="B388" s="24" t="s">
        <v>1077</v>
      </c>
      <c r="C388" s="8"/>
      <c r="D388" s="8"/>
      <c r="E388" s="10" t="s">
        <v>1101</v>
      </c>
      <c r="F388" s="11">
        <v>1</v>
      </c>
      <c r="G388" s="18"/>
      <c r="H388" s="18"/>
      <c r="I388" s="18"/>
      <c r="J388" s="18"/>
      <c r="K388" s="11"/>
      <c r="L388" s="11"/>
      <c r="M388" s="11"/>
      <c r="N388" s="11">
        <f t="shared" si="53"/>
        <v>0</v>
      </c>
      <c r="O388" s="11">
        <f t="shared" si="54"/>
        <v>0</v>
      </c>
      <c r="P388" s="11">
        <f t="shared" si="55"/>
        <v>0</v>
      </c>
      <c r="Q388" s="8"/>
    </row>
    <row r="389" spans="1:17" x14ac:dyDescent="0.25">
      <c r="A389" s="8"/>
      <c r="B389" s="24" t="s">
        <v>1078</v>
      </c>
      <c r="C389" s="8"/>
      <c r="D389" s="8"/>
      <c r="E389" s="10" t="s">
        <v>1101</v>
      </c>
      <c r="F389" s="11">
        <v>1</v>
      </c>
      <c r="G389" s="18"/>
      <c r="H389" s="18"/>
      <c r="I389" s="18"/>
      <c r="J389" s="18"/>
      <c r="K389" s="11"/>
      <c r="L389" s="11"/>
      <c r="M389" s="11"/>
      <c r="N389" s="11">
        <f t="shared" si="53"/>
        <v>0</v>
      </c>
      <c r="O389" s="11">
        <f t="shared" si="54"/>
        <v>0</v>
      </c>
      <c r="P389" s="11">
        <f t="shared" si="55"/>
        <v>0</v>
      </c>
      <c r="Q389" s="8"/>
    </row>
    <row r="390" spans="1:17" x14ac:dyDescent="0.25">
      <c r="A390" s="8"/>
      <c r="B390" s="24" t="s">
        <v>1079</v>
      </c>
      <c r="C390" s="8"/>
      <c r="D390" s="8"/>
      <c r="E390" s="10" t="s">
        <v>1101</v>
      </c>
      <c r="F390" s="11">
        <v>1</v>
      </c>
      <c r="G390" s="18"/>
      <c r="H390" s="18"/>
      <c r="I390" s="18"/>
      <c r="J390" s="18"/>
      <c r="K390" s="11"/>
      <c r="L390" s="11"/>
      <c r="M390" s="11"/>
      <c r="N390" s="11">
        <f t="shared" si="53"/>
        <v>0</v>
      </c>
      <c r="O390" s="11">
        <f t="shared" si="54"/>
        <v>0</v>
      </c>
      <c r="P390" s="11">
        <f t="shared" si="55"/>
        <v>0</v>
      </c>
      <c r="Q390" s="8"/>
    </row>
    <row r="391" spans="1:17" x14ac:dyDescent="0.25">
      <c r="A391" s="8"/>
      <c r="B391" s="24" t="s">
        <v>1080</v>
      </c>
      <c r="C391" s="8"/>
      <c r="D391" s="8"/>
      <c r="E391" s="10" t="s">
        <v>1101</v>
      </c>
      <c r="F391" s="11">
        <v>1</v>
      </c>
      <c r="G391" s="18"/>
      <c r="H391" s="18"/>
      <c r="I391" s="18"/>
      <c r="J391" s="18"/>
      <c r="K391" s="11"/>
      <c r="L391" s="11"/>
      <c r="M391" s="11"/>
      <c r="N391" s="11">
        <f t="shared" si="53"/>
        <v>0</v>
      </c>
      <c r="O391" s="11">
        <f t="shared" si="54"/>
        <v>0</v>
      </c>
      <c r="P391" s="11">
        <f t="shared" si="55"/>
        <v>0</v>
      </c>
      <c r="Q391" s="8"/>
    </row>
    <row r="392" spans="1:17" x14ac:dyDescent="0.25">
      <c r="A392" s="8"/>
      <c r="B392" s="24" t="s">
        <v>1081</v>
      </c>
      <c r="C392" s="8"/>
      <c r="D392" s="8"/>
      <c r="E392" s="10" t="s">
        <v>1101</v>
      </c>
      <c r="F392" s="11">
        <v>1</v>
      </c>
      <c r="G392" s="18"/>
      <c r="H392" s="18"/>
      <c r="I392" s="18"/>
      <c r="J392" s="18"/>
      <c r="K392" s="11"/>
      <c r="L392" s="11"/>
      <c r="M392" s="11"/>
      <c r="N392" s="11">
        <f t="shared" si="53"/>
        <v>0</v>
      </c>
      <c r="O392" s="11">
        <f t="shared" si="54"/>
        <v>0</v>
      </c>
      <c r="P392" s="11">
        <f t="shared" si="55"/>
        <v>0</v>
      </c>
      <c r="Q392" s="8"/>
    </row>
    <row r="393" spans="1:17" x14ac:dyDescent="0.25">
      <c r="A393" s="8"/>
      <c r="B393" s="24" t="s">
        <v>1082</v>
      </c>
      <c r="C393" s="8"/>
      <c r="D393" s="8"/>
      <c r="E393" s="10" t="s">
        <v>1101</v>
      </c>
      <c r="F393" s="11">
        <v>1</v>
      </c>
      <c r="G393" s="18"/>
      <c r="H393" s="18"/>
      <c r="I393" s="18"/>
      <c r="J393" s="18"/>
      <c r="K393" s="11"/>
      <c r="L393" s="11"/>
      <c r="M393" s="11"/>
      <c r="N393" s="11">
        <f t="shared" si="53"/>
        <v>0</v>
      </c>
      <c r="O393" s="11">
        <f t="shared" si="54"/>
        <v>0</v>
      </c>
      <c r="P393" s="11">
        <f t="shared" si="55"/>
        <v>0</v>
      </c>
      <c r="Q393" s="8"/>
    </row>
    <row r="394" spans="1:17" x14ac:dyDescent="0.25">
      <c r="A394" s="8"/>
      <c r="B394" s="24" t="s">
        <v>1083</v>
      </c>
      <c r="C394" s="8"/>
      <c r="D394" s="8"/>
      <c r="E394" s="10" t="s">
        <v>1101</v>
      </c>
      <c r="F394" s="11">
        <v>1</v>
      </c>
      <c r="G394" s="18"/>
      <c r="H394" s="18"/>
      <c r="I394" s="18"/>
      <c r="J394" s="18"/>
      <c r="K394" s="11"/>
      <c r="L394" s="11"/>
      <c r="M394" s="11"/>
      <c r="N394" s="11">
        <f t="shared" si="53"/>
        <v>0</v>
      </c>
      <c r="O394" s="11">
        <f t="shared" si="54"/>
        <v>0</v>
      </c>
      <c r="P394" s="11">
        <f t="shared" si="55"/>
        <v>0</v>
      </c>
      <c r="Q394" s="8"/>
    </row>
    <row r="395" spans="1:17" x14ac:dyDescent="0.25">
      <c r="A395" s="8"/>
      <c r="B395" s="24" t="s">
        <v>1084</v>
      </c>
      <c r="C395" s="8"/>
      <c r="D395" s="8"/>
      <c r="E395" s="10" t="s">
        <v>1101</v>
      </c>
      <c r="F395" s="11">
        <v>1</v>
      </c>
      <c r="G395" s="18"/>
      <c r="H395" s="18"/>
      <c r="I395" s="18"/>
      <c r="J395" s="18"/>
      <c r="K395" s="11"/>
      <c r="L395" s="11"/>
      <c r="M395" s="11"/>
      <c r="N395" s="11">
        <f t="shared" si="53"/>
        <v>0</v>
      </c>
      <c r="O395" s="11">
        <f t="shared" si="54"/>
        <v>0</v>
      </c>
      <c r="P395" s="11">
        <f t="shared" si="55"/>
        <v>0</v>
      </c>
      <c r="Q395" s="8"/>
    </row>
    <row r="396" spans="1:17" x14ac:dyDescent="0.25">
      <c r="A396" s="8"/>
      <c r="B396" s="24" t="s">
        <v>1085</v>
      </c>
      <c r="C396" s="8"/>
      <c r="D396" s="8"/>
      <c r="E396" s="10" t="s">
        <v>1101</v>
      </c>
      <c r="F396" s="11">
        <v>1</v>
      </c>
      <c r="G396" s="18"/>
      <c r="H396" s="18"/>
      <c r="I396" s="18"/>
      <c r="J396" s="18"/>
      <c r="K396" s="11"/>
      <c r="L396" s="11"/>
      <c r="M396" s="11"/>
      <c r="N396" s="11">
        <f t="shared" si="53"/>
        <v>0</v>
      </c>
      <c r="O396" s="11">
        <f t="shared" si="54"/>
        <v>0</v>
      </c>
      <c r="P396" s="11">
        <f t="shared" si="55"/>
        <v>0</v>
      </c>
      <c r="Q396" s="8"/>
    </row>
    <row r="397" spans="1:17" x14ac:dyDescent="0.25">
      <c r="A397" s="8"/>
      <c r="B397" s="24" t="s">
        <v>1086</v>
      </c>
      <c r="C397" s="8"/>
      <c r="D397" s="8"/>
      <c r="E397" s="10" t="s">
        <v>1101</v>
      </c>
      <c r="F397" s="11">
        <v>1</v>
      </c>
      <c r="G397" s="18"/>
      <c r="H397" s="18"/>
      <c r="I397" s="18"/>
      <c r="J397" s="18"/>
      <c r="K397" s="11"/>
      <c r="L397" s="11"/>
      <c r="M397" s="11"/>
      <c r="N397" s="11">
        <f t="shared" si="53"/>
        <v>0</v>
      </c>
      <c r="O397" s="11">
        <f t="shared" si="54"/>
        <v>0</v>
      </c>
      <c r="P397" s="11">
        <f t="shared" si="55"/>
        <v>0</v>
      </c>
      <c r="Q397" s="8"/>
    </row>
    <row r="398" spans="1:17" x14ac:dyDescent="0.25">
      <c r="A398" s="8"/>
      <c r="B398" s="24" t="s">
        <v>1087</v>
      </c>
      <c r="C398" s="8"/>
      <c r="D398" s="8"/>
      <c r="E398" s="10" t="s">
        <v>1101</v>
      </c>
      <c r="F398" s="11">
        <v>1</v>
      </c>
      <c r="G398" s="18"/>
      <c r="H398" s="18"/>
      <c r="I398" s="18"/>
      <c r="J398" s="18"/>
      <c r="K398" s="11"/>
      <c r="L398" s="11"/>
      <c r="M398" s="11"/>
      <c r="N398" s="11">
        <f t="shared" si="53"/>
        <v>0</v>
      </c>
      <c r="O398" s="11">
        <f t="shared" si="54"/>
        <v>0</v>
      </c>
      <c r="P398" s="11">
        <f t="shared" si="55"/>
        <v>0</v>
      </c>
      <c r="Q398" s="8"/>
    </row>
    <row r="399" spans="1:17" x14ac:dyDescent="0.25">
      <c r="A399" s="8"/>
      <c r="B399" s="24" t="s">
        <v>1088</v>
      </c>
      <c r="C399" s="8"/>
      <c r="D399" s="8"/>
      <c r="E399" s="10" t="s">
        <v>1101</v>
      </c>
      <c r="F399" s="11">
        <v>1</v>
      </c>
      <c r="G399" s="18"/>
      <c r="H399" s="18"/>
      <c r="I399" s="18"/>
      <c r="J399" s="18"/>
      <c r="K399" s="11"/>
      <c r="L399" s="11"/>
      <c r="M399" s="11"/>
      <c r="N399" s="11">
        <f t="shared" si="53"/>
        <v>0</v>
      </c>
      <c r="O399" s="11">
        <f t="shared" si="54"/>
        <v>0</v>
      </c>
      <c r="P399" s="11">
        <f t="shared" si="55"/>
        <v>0</v>
      </c>
      <c r="Q399" s="8"/>
    </row>
    <row r="400" spans="1:17" x14ac:dyDescent="0.25">
      <c r="A400" s="8"/>
      <c r="B400" s="24" t="s">
        <v>1089</v>
      </c>
      <c r="C400" s="8"/>
      <c r="D400" s="8"/>
      <c r="E400" s="10" t="s">
        <v>1101</v>
      </c>
      <c r="F400" s="11">
        <v>1</v>
      </c>
      <c r="G400" s="18"/>
      <c r="H400" s="18"/>
      <c r="I400" s="18"/>
      <c r="J400" s="18"/>
      <c r="K400" s="11"/>
      <c r="L400" s="11"/>
      <c r="M400" s="11"/>
      <c r="N400" s="11">
        <f t="shared" si="53"/>
        <v>0</v>
      </c>
      <c r="O400" s="11">
        <f t="shared" si="54"/>
        <v>0</v>
      </c>
      <c r="P400" s="11">
        <f t="shared" si="55"/>
        <v>0</v>
      </c>
      <c r="Q400" s="8"/>
    </row>
    <row r="401" spans="1:17" x14ac:dyDescent="0.25">
      <c r="A401" s="8"/>
      <c r="B401" s="24" t="s">
        <v>1090</v>
      </c>
      <c r="C401" s="8"/>
      <c r="D401" s="8"/>
      <c r="E401" s="10" t="s">
        <v>1101</v>
      </c>
      <c r="F401" s="11">
        <v>1</v>
      </c>
      <c r="G401" s="18"/>
      <c r="H401" s="18"/>
      <c r="I401" s="18"/>
      <c r="J401" s="18"/>
      <c r="K401" s="11"/>
      <c r="L401" s="11"/>
      <c r="M401" s="11"/>
      <c r="N401" s="11">
        <f t="shared" si="53"/>
        <v>0</v>
      </c>
      <c r="O401" s="11">
        <f t="shared" si="54"/>
        <v>0</v>
      </c>
      <c r="P401" s="11">
        <f t="shared" si="55"/>
        <v>0</v>
      </c>
      <c r="Q401" s="8"/>
    </row>
    <row r="402" spans="1:17" x14ac:dyDescent="0.25">
      <c r="A402" s="8"/>
      <c r="B402" s="24" t="s">
        <v>1091</v>
      </c>
      <c r="C402" s="8"/>
      <c r="D402" s="8"/>
      <c r="E402" s="10" t="s">
        <v>1101</v>
      </c>
      <c r="F402" s="11">
        <v>1</v>
      </c>
      <c r="G402" s="18"/>
      <c r="H402" s="18"/>
      <c r="I402" s="18"/>
      <c r="J402" s="18"/>
      <c r="K402" s="11"/>
      <c r="L402" s="11"/>
      <c r="M402" s="11"/>
      <c r="N402" s="11">
        <f t="shared" si="53"/>
        <v>0</v>
      </c>
      <c r="O402" s="11">
        <f t="shared" si="54"/>
        <v>0</v>
      </c>
      <c r="P402" s="11">
        <f t="shared" si="55"/>
        <v>0</v>
      </c>
      <c r="Q402" s="8"/>
    </row>
    <row r="403" spans="1:17" x14ac:dyDescent="0.25">
      <c r="A403" s="8"/>
      <c r="B403" s="24" t="s">
        <v>1092</v>
      </c>
      <c r="C403" s="8"/>
      <c r="D403" s="8"/>
      <c r="E403" s="10" t="s">
        <v>1101</v>
      </c>
      <c r="F403" s="11">
        <v>1</v>
      </c>
      <c r="G403" s="18"/>
      <c r="H403" s="18"/>
      <c r="I403" s="18"/>
      <c r="J403" s="18"/>
      <c r="K403" s="11"/>
      <c r="L403" s="11"/>
      <c r="M403" s="11"/>
      <c r="N403" s="11">
        <f t="shared" si="53"/>
        <v>0</v>
      </c>
      <c r="O403" s="11">
        <f t="shared" si="54"/>
        <v>0</v>
      </c>
      <c r="P403" s="11">
        <f t="shared" si="55"/>
        <v>0</v>
      </c>
      <c r="Q403" s="8"/>
    </row>
    <row r="404" spans="1:17" x14ac:dyDescent="0.25">
      <c r="A404" s="8"/>
      <c r="B404" s="24" t="s">
        <v>1093</v>
      </c>
      <c r="C404" s="8"/>
      <c r="D404" s="8"/>
      <c r="E404" s="10" t="s">
        <v>1101</v>
      </c>
      <c r="F404" s="11">
        <v>1</v>
      </c>
      <c r="G404" s="18"/>
      <c r="H404" s="18"/>
      <c r="I404" s="18"/>
      <c r="J404" s="18"/>
      <c r="K404" s="11"/>
      <c r="L404" s="11"/>
      <c r="M404" s="11"/>
      <c r="N404" s="11">
        <f t="shared" si="53"/>
        <v>0</v>
      </c>
      <c r="O404" s="11">
        <f t="shared" si="54"/>
        <v>0</v>
      </c>
      <c r="P404" s="11">
        <f t="shared" si="55"/>
        <v>0</v>
      </c>
      <c r="Q404" s="8"/>
    </row>
    <row r="405" spans="1:17" x14ac:dyDescent="0.25">
      <c r="A405" s="8"/>
      <c r="B405" s="24" t="s">
        <v>1094</v>
      </c>
      <c r="C405" s="8"/>
      <c r="D405" s="8"/>
      <c r="E405" s="10" t="s">
        <v>1101</v>
      </c>
      <c r="F405" s="11">
        <v>1</v>
      </c>
      <c r="G405" s="18"/>
      <c r="H405" s="18"/>
      <c r="I405" s="18"/>
      <c r="J405" s="18"/>
      <c r="K405" s="11"/>
      <c r="L405" s="11"/>
      <c r="M405" s="11"/>
      <c r="N405" s="11">
        <f t="shared" si="53"/>
        <v>0</v>
      </c>
      <c r="O405" s="11">
        <f t="shared" si="54"/>
        <v>0</v>
      </c>
      <c r="P405" s="11">
        <f t="shared" si="55"/>
        <v>0</v>
      </c>
      <c r="Q405" s="8"/>
    </row>
    <row r="406" spans="1:17" x14ac:dyDescent="0.25">
      <c r="A406" s="8"/>
      <c r="B406" s="24" t="s">
        <v>1095</v>
      </c>
      <c r="C406" s="8"/>
      <c r="D406" s="8"/>
      <c r="E406" s="10" t="s">
        <v>808</v>
      </c>
      <c r="F406" s="11">
        <v>6</v>
      </c>
      <c r="G406" s="18"/>
      <c r="H406" s="18"/>
      <c r="I406" s="18"/>
      <c r="J406" s="18"/>
      <c r="K406" s="11"/>
      <c r="L406" s="11"/>
      <c r="M406" s="11"/>
      <c r="N406" s="11">
        <f t="shared" si="53"/>
        <v>0</v>
      </c>
      <c r="O406" s="11">
        <f t="shared" si="54"/>
        <v>0</v>
      </c>
      <c r="P406" s="11">
        <f t="shared" si="55"/>
        <v>0</v>
      </c>
      <c r="Q406" s="8"/>
    </row>
    <row r="407" spans="1:17" x14ac:dyDescent="0.25">
      <c r="A407" s="8"/>
      <c r="B407" s="24"/>
      <c r="C407" s="8"/>
      <c r="D407" s="8"/>
      <c r="E407" s="10"/>
      <c r="F407" s="11"/>
      <c r="G407" s="18"/>
      <c r="H407" s="18"/>
      <c r="I407" s="18"/>
      <c r="J407" s="18"/>
      <c r="K407" s="11"/>
      <c r="L407" s="11"/>
      <c r="M407" s="11"/>
      <c r="N407" s="11">
        <f t="shared" si="53"/>
        <v>0</v>
      </c>
      <c r="O407" s="11">
        <f t="shared" si="54"/>
        <v>0</v>
      </c>
      <c r="P407" s="11">
        <f t="shared" si="55"/>
        <v>0</v>
      </c>
      <c r="Q407" s="8"/>
    </row>
    <row r="408" spans="1:17" x14ac:dyDescent="0.25">
      <c r="A408" s="8"/>
      <c r="B408" s="24" t="s">
        <v>803</v>
      </c>
      <c r="C408" s="8"/>
      <c r="D408" s="8"/>
      <c r="E408" s="10" t="s">
        <v>231</v>
      </c>
      <c r="F408" s="11"/>
      <c r="G408" s="18"/>
      <c r="H408" s="18"/>
      <c r="I408" s="18"/>
      <c r="J408" s="18"/>
      <c r="K408" s="11"/>
      <c r="L408" s="11"/>
      <c r="M408" s="11"/>
      <c r="N408" s="11">
        <f t="shared" si="53"/>
        <v>0</v>
      </c>
      <c r="O408" s="11">
        <f t="shared" si="54"/>
        <v>0</v>
      </c>
      <c r="P408" s="11">
        <f t="shared" si="55"/>
        <v>0</v>
      </c>
      <c r="Q408" s="8"/>
    </row>
    <row r="409" spans="1:17" x14ac:dyDescent="0.25">
      <c r="A409" s="8"/>
      <c r="B409" s="24" t="s">
        <v>804</v>
      </c>
      <c r="C409" s="8"/>
      <c r="D409" s="8"/>
      <c r="E409" s="10" t="s">
        <v>226</v>
      </c>
      <c r="F409" s="11">
        <v>1</v>
      </c>
      <c r="G409" s="18"/>
      <c r="H409" s="18"/>
      <c r="I409" s="18"/>
      <c r="J409" s="18"/>
      <c r="K409" s="11"/>
      <c r="L409" s="11"/>
      <c r="M409" s="11"/>
      <c r="N409" s="11">
        <f t="shared" si="53"/>
        <v>0</v>
      </c>
      <c r="O409" s="11">
        <f t="shared" si="54"/>
        <v>0</v>
      </c>
      <c r="P409" s="11">
        <f t="shared" si="55"/>
        <v>0</v>
      </c>
      <c r="Q409" s="8"/>
    </row>
    <row r="410" spans="1:17" ht="30" x14ac:dyDescent="0.25">
      <c r="A410" s="8"/>
      <c r="B410" s="24" t="s">
        <v>805</v>
      </c>
      <c r="C410" s="8"/>
      <c r="D410" s="8"/>
      <c r="E410" s="10" t="s">
        <v>226</v>
      </c>
      <c r="F410" s="11">
        <v>1</v>
      </c>
      <c r="G410" s="18"/>
      <c r="H410" s="18"/>
      <c r="I410" s="18"/>
      <c r="J410" s="18"/>
      <c r="K410" s="11"/>
      <c r="L410" s="11"/>
      <c r="M410" s="11"/>
      <c r="N410" s="11">
        <f t="shared" si="53"/>
        <v>0</v>
      </c>
      <c r="O410" s="11">
        <f t="shared" si="54"/>
        <v>0</v>
      </c>
      <c r="P410" s="11">
        <f t="shared" si="55"/>
        <v>0</v>
      </c>
      <c r="Q410" s="8"/>
    </row>
    <row r="411" spans="1:17" x14ac:dyDescent="0.25">
      <c r="A411" s="8"/>
      <c r="B411" s="24" t="s">
        <v>806</v>
      </c>
      <c r="C411" s="8"/>
      <c r="D411" s="8"/>
      <c r="E411" s="10" t="s">
        <v>226</v>
      </c>
      <c r="F411" s="11">
        <v>1</v>
      </c>
      <c r="G411" s="18"/>
      <c r="H411" s="18"/>
      <c r="I411" s="18"/>
      <c r="J411" s="18"/>
      <c r="K411" s="11"/>
      <c r="L411" s="11"/>
      <c r="M411" s="11"/>
      <c r="N411" s="11">
        <f t="shared" si="53"/>
        <v>0</v>
      </c>
      <c r="O411" s="11">
        <f t="shared" si="54"/>
        <v>0</v>
      </c>
      <c r="P411" s="11">
        <f t="shared" si="55"/>
        <v>0</v>
      </c>
      <c r="Q411" s="8"/>
    </row>
    <row r="412" spans="1:17" x14ac:dyDescent="0.25">
      <c r="A412" s="31"/>
      <c r="B412" s="32" t="s">
        <v>1096</v>
      </c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16">
        <f>SUM(O4:O273)</f>
        <v>0</v>
      </c>
      <c r="P412" s="16">
        <f>SUM(P4:P273)</f>
        <v>0</v>
      </c>
      <c r="Q412" s="8"/>
    </row>
    <row r="413" spans="1:17" x14ac:dyDescent="0.25">
      <c r="A413" s="31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3">
        <f>O412+P412</f>
        <v>0</v>
      </c>
      <c r="P413" s="33"/>
      <c r="Q413" s="8"/>
    </row>
  </sheetData>
  <mergeCells count="13">
    <mergeCell ref="Q2:Q3"/>
    <mergeCell ref="A2:A3"/>
    <mergeCell ref="B2:C2"/>
    <mergeCell ref="D2:D3"/>
    <mergeCell ref="E2:E3"/>
    <mergeCell ref="F2:F3"/>
    <mergeCell ref="G2:J2"/>
    <mergeCell ref="A412:A413"/>
    <mergeCell ref="B412:N413"/>
    <mergeCell ref="O413:P413"/>
    <mergeCell ref="K2:L2"/>
    <mergeCell ref="M2:N3"/>
    <mergeCell ref="O2:P2"/>
  </mergeCells>
  <pageMargins left="0.7" right="0.7" top="0.75" bottom="0.75" header="0.3" footer="0.3"/>
  <pageSetup paperSize="9" scale="33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275"/>
  <sheetViews>
    <sheetView view="pageBreakPreview" zoomScale="70" zoomScaleNormal="100" zoomScaleSheetLayoutView="70" workbookViewId="0">
      <selection activeCell="J21" sqref="J21"/>
    </sheetView>
  </sheetViews>
  <sheetFormatPr defaultColWidth="8.85546875" defaultRowHeight="15.75" x14ac:dyDescent="0.25"/>
  <cols>
    <col min="1" max="1" width="3.7109375" style="1" customWidth="1"/>
    <col min="2" max="2" width="35.28515625" style="5" customWidth="1"/>
    <col min="3" max="3" width="36.42578125" style="1" customWidth="1"/>
    <col min="4" max="4" width="20.5703125" style="1" bestFit="1" customWidth="1"/>
    <col min="5" max="5" width="8.85546875" style="2"/>
    <col min="6" max="6" width="8.85546875" style="4"/>
    <col min="7" max="7" width="14.7109375" style="1" customWidth="1"/>
    <col min="8" max="9" width="12.28515625" style="1" bestFit="1" customWidth="1"/>
    <col min="10" max="10" width="13.140625" style="1" bestFit="1" customWidth="1"/>
    <col min="11" max="11" width="14.7109375" style="1" bestFit="1" customWidth="1"/>
    <col min="12" max="13" width="12.28515625" style="1" bestFit="1" customWidth="1"/>
    <col min="14" max="14" width="11.28515625" style="1" bestFit="1" customWidth="1"/>
    <col min="15" max="15" width="17" style="1" bestFit="1" customWidth="1"/>
    <col min="16" max="16" width="15.28515625" style="1" bestFit="1" customWidth="1"/>
    <col min="17" max="16384" width="8.85546875" style="1"/>
  </cols>
  <sheetData>
    <row r="2" spans="1:17" s="3" customFormat="1" x14ac:dyDescent="0.25">
      <c r="A2" s="32" t="s">
        <v>0</v>
      </c>
      <c r="B2" s="32" t="s">
        <v>223</v>
      </c>
      <c r="C2" s="32"/>
      <c r="D2" s="35" t="s">
        <v>234</v>
      </c>
      <c r="E2" s="35" t="s">
        <v>232</v>
      </c>
      <c r="F2" s="36" t="s">
        <v>233</v>
      </c>
      <c r="G2" s="45" t="s">
        <v>382</v>
      </c>
      <c r="H2" s="46"/>
      <c r="I2" s="46"/>
      <c r="J2" s="47"/>
      <c r="K2" s="43" t="s">
        <v>237</v>
      </c>
      <c r="L2" s="44"/>
      <c r="M2" s="35" t="s">
        <v>238</v>
      </c>
      <c r="N2" s="32"/>
      <c r="O2" s="32" t="s">
        <v>239</v>
      </c>
      <c r="P2" s="32"/>
      <c r="Q2" s="32" t="s">
        <v>240</v>
      </c>
    </row>
    <row r="3" spans="1:17" s="3" customFormat="1" x14ac:dyDescent="0.25">
      <c r="A3" s="32"/>
      <c r="B3" s="6" t="s">
        <v>1</v>
      </c>
      <c r="C3" s="7" t="s">
        <v>224</v>
      </c>
      <c r="D3" s="35"/>
      <c r="E3" s="35"/>
      <c r="F3" s="36"/>
      <c r="G3" s="17" t="s">
        <v>237</v>
      </c>
      <c r="H3" s="17" t="s">
        <v>383</v>
      </c>
      <c r="I3" s="17" t="s">
        <v>384</v>
      </c>
      <c r="J3" s="17" t="s">
        <v>397</v>
      </c>
      <c r="K3" s="7" t="s">
        <v>235</v>
      </c>
      <c r="L3" s="7" t="s">
        <v>236</v>
      </c>
      <c r="M3" s="32"/>
      <c r="N3" s="32"/>
      <c r="O3" s="7" t="s">
        <v>235</v>
      </c>
      <c r="P3" s="7" t="s">
        <v>236</v>
      </c>
      <c r="Q3" s="32"/>
    </row>
    <row r="4" spans="1:17" ht="47.25" x14ac:dyDescent="0.25">
      <c r="A4" s="8"/>
      <c r="B4" s="9" t="s">
        <v>2</v>
      </c>
      <c r="C4" s="8"/>
      <c r="D4" s="8"/>
      <c r="E4" s="10"/>
      <c r="F4" s="11"/>
      <c r="G4" s="18"/>
      <c r="H4" s="18"/>
      <c r="I4" s="18"/>
      <c r="J4" s="18"/>
      <c r="K4" s="11"/>
      <c r="L4" s="11"/>
      <c r="M4" s="11"/>
      <c r="N4" s="11"/>
      <c r="O4" s="11"/>
      <c r="P4" s="11"/>
      <c r="Q4" s="8"/>
    </row>
    <row r="5" spans="1:17" x14ac:dyDescent="0.25">
      <c r="A5" s="8"/>
      <c r="B5" s="9" t="s">
        <v>3</v>
      </c>
      <c r="C5" s="8"/>
      <c r="D5" s="8"/>
      <c r="E5" s="10"/>
      <c r="F5" s="11"/>
      <c r="G5" s="18"/>
      <c r="H5" s="18"/>
      <c r="I5" s="18"/>
      <c r="J5" s="18"/>
      <c r="K5" s="11"/>
      <c r="L5" s="11"/>
      <c r="M5" s="11"/>
      <c r="N5" s="11"/>
      <c r="O5" s="11"/>
      <c r="P5" s="11"/>
      <c r="Q5" s="8"/>
    </row>
    <row r="6" spans="1:17" x14ac:dyDescent="0.25">
      <c r="A6" s="8"/>
      <c r="B6" s="9" t="s">
        <v>4</v>
      </c>
      <c r="C6" s="8"/>
      <c r="D6" s="8"/>
      <c r="E6" s="10"/>
      <c r="F6" s="11"/>
      <c r="G6" s="18"/>
      <c r="H6" s="18"/>
      <c r="I6" s="18"/>
      <c r="J6" s="18"/>
      <c r="K6" s="11"/>
      <c r="L6" s="11"/>
      <c r="M6" s="11"/>
      <c r="N6" s="11"/>
      <c r="O6" s="11"/>
      <c r="P6" s="11"/>
      <c r="Q6" s="8"/>
    </row>
    <row r="7" spans="1:17" x14ac:dyDescent="0.25">
      <c r="A7" s="8"/>
      <c r="B7" s="14" t="s">
        <v>5</v>
      </c>
      <c r="C7" s="8"/>
      <c r="D7" s="8"/>
      <c r="E7" s="10"/>
      <c r="F7" s="11"/>
      <c r="G7" s="18"/>
      <c r="H7" s="18"/>
      <c r="I7" s="18"/>
      <c r="J7" s="18"/>
      <c r="K7" s="11"/>
      <c r="L7" s="11"/>
      <c r="M7" s="11"/>
      <c r="N7" s="11"/>
      <c r="O7" s="11"/>
      <c r="P7" s="11"/>
      <c r="Q7" s="8"/>
    </row>
    <row r="8" spans="1:17" x14ac:dyDescent="0.25">
      <c r="A8" s="8"/>
      <c r="B8" s="12" t="s">
        <v>6</v>
      </c>
      <c r="C8" s="8" t="s">
        <v>241</v>
      </c>
      <c r="D8" s="8" t="s">
        <v>247</v>
      </c>
      <c r="E8" s="10" t="s">
        <v>225</v>
      </c>
      <c r="F8" s="11">
        <v>452</v>
      </c>
      <c r="G8" s="18">
        <v>14404</v>
      </c>
      <c r="H8" s="18">
        <f t="shared" ref="H8:H16" si="0">G8*5%</f>
        <v>720.2</v>
      </c>
      <c r="I8" s="18">
        <f t="shared" ref="I8:I14" si="1">(G8+H8)*10%</f>
        <v>1512.42</v>
      </c>
      <c r="J8" s="18">
        <f t="shared" ref="J8:J14" si="2">(G8+H8+I8)*17%</f>
        <v>2828.2254000000007</v>
      </c>
      <c r="K8" s="11">
        <f t="shared" ref="K8:K14" si="3">G8+H8+I8+J8</f>
        <v>19464.845400000002</v>
      </c>
      <c r="L8" s="11">
        <f t="shared" ref="L8:L16" si="4">K8*25%</f>
        <v>4866.2113500000005</v>
      </c>
      <c r="M8" s="11">
        <f>K8*8%</f>
        <v>1557.1876320000001</v>
      </c>
      <c r="N8" s="11">
        <f>L8*8%</f>
        <v>389.29690800000003</v>
      </c>
      <c r="O8" s="11">
        <f t="shared" ref="O8:O50" si="5">(K8+M8)*F8</f>
        <v>9501958.9304640014</v>
      </c>
      <c r="P8" s="11">
        <f t="shared" ref="P8:P50" si="6">(L8+N8)*F8</f>
        <v>2375489.7326160003</v>
      </c>
      <c r="Q8" s="8"/>
    </row>
    <row r="9" spans="1:17" x14ac:dyDescent="0.25">
      <c r="A9" s="8"/>
      <c r="B9" s="12" t="s">
        <v>7</v>
      </c>
      <c r="C9" s="12" t="s">
        <v>242</v>
      </c>
      <c r="D9" s="8" t="s">
        <v>247</v>
      </c>
      <c r="E9" s="10" t="s">
        <v>225</v>
      </c>
      <c r="F9" s="11">
        <v>225</v>
      </c>
      <c r="G9" s="18">
        <v>17604</v>
      </c>
      <c r="H9" s="18">
        <f t="shared" si="0"/>
        <v>880.2</v>
      </c>
      <c r="I9" s="18">
        <f t="shared" si="1"/>
        <v>1848.42</v>
      </c>
      <c r="J9" s="18">
        <f t="shared" si="2"/>
        <v>3456.5454000000009</v>
      </c>
      <c r="K9" s="11">
        <f t="shared" si="3"/>
        <v>23789.165400000005</v>
      </c>
      <c r="L9" s="11">
        <f t="shared" si="4"/>
        <v>5947.2913500000013</v>
      </c>
      <c r="M9" s="11">
        <f t="shared" ref="M9:M50" si="7">K9*8%</f>
        <v>1903.1332320000004</v>
      </c>
      <c r="N9" s="11">
        <f t="shared" ref="N9:N75" si="8">L9*8%</f>
        <v>475.78330800000009</v>
      </c>
      <c r="O9" s="11">
        <f t="shared" si="5"/>
        <v>5780767.1922000013</v>
      </c>
      <c r="P9" s="11">
        <f t="shared" si="6"/>
        <v>1445191.7980500003</v>
      </c>
      <c r="Q9" s="8"/>
    </row>
    <row r="10" spans="1:17" x14ac:dyDescent="0.25">
      <c r="A10" s="8"/>
      <c r="B10" s="12" t="s">
        <v>8</v>
      </c>
      <c r="C10" s="12" t="s">
        <v>243</v>
      </c>
      <c r="D10" s="8" t="s">
        <v>247</v>
      </c>
      <c r="E10" s="10" t="s">
        <v>225</v>
      </c>
      <c r="F10" s="11">
        <v>178</v>
      </c>
      <c r="G10" s="18">
        <v>24192</v>
      </c>
      <c r="H10" s="18">
        <f t="shared" si="0"/>
        <v>1209.6000000000001</v>
      </c>
      <c r="I10" s="18">
        <f t="shared" si="1"/>
        <v>2540.16</v>
      </c>
      <c r="J10" s="18">
        <f t="shared" si="2"/>
        <v>4750.0991999999997</v>
      </c>
      <c r="K10" s="11">
        <f t="shared" si="3"/>
        <v>32691.859199999999</v>
      </c>
      <c r="L10" s="11">
        <f t="shared" si="4"/>
        <v>8172.9647999999997</v>
      </c>
      <c r="M10" s="11">
        <f t="shared" si="7"/>
        <v>2615.3487359999999</v>
      </c>
      <c r="N10" s="11">
        <f t="shared" si="8"/>
        <v>653.83718399999998</v>
      </c>
      <c r="O10" s="11">
        <f t="shared" si="5"/>
        <v>6284683.0126080001</v>
      </c>
      <c r="P10" s="11">
        <f t="shared" si="6"/>
        <v>1571170.753152</v>
      </c>
      <c r="Q10" s="8"/>
    </row>
    <row r="11" spans="1:17" x14ac:dyDescent="0.25">
      <c r="A11" s="8"/>
      <c r="B11" s="12" t="s">
        <v>9</v>
      </c>
      <c r="C11" s="12" t="s">
        <v>244</v>
      </c>
      <c r="D11" s="8" t="s">
        <v>247</v>
      </c>
      <c r="E11" s="10" t="s">
        <v>225</v>
      </c>
      <c r="F11" s="11">
        <v>4885</v>
      </c>
      <c r="G11" s="18">
        <v>40716</v>
      </c>
      <c r="H11" s="18">
        <f t="shared" si="0"/>
        <v>2035.8000000000002</v>
      </c>
      <c r="I11" s="18">
        <f t="shared" si="1"/>
        <v>4275.18</v>
      </c>
      <c r="J11" s="18">
        <f t="shared" si="2"/>
        <v>7994.5866000000015</v>
      </c>
      <c r="K11" s="11">
        <f t="shared" si="3"/>
        <v>55021.566600000006</v>
      </c>
      <c r="L11" s="11">
        <f t="shared" si="4"/>
        <v>13755.391650000001</v>
      </c>
      <c r="M11" s="11">
        <f t="shared" si="7"/>
        <v>4401.7253280000004</v>
      </c>
      <c r="N11" s="11">
        <f t="shared" si="8"/>
        <v>1100.4313320000001</v>
      </c>
      <c r="O11" s="11">
        <f t="shared" si="5"/>
        <v>290282781.06828004</v>
      </c>
      <c r="P11" s="11">
        <f t="shared" si="6"/>
        <v>72570695.26707001</v>
      </c>
      <c r="Q11" s="8"/>
    </row>
    <row r="12" spans="1:17" x14ac:dyDescent="0.25">
      <c r="A12" s="8"/>
      <c r="B12" s="12" t="s">
        <v>10</v>
      </c>
      <c r="C12" s="12" t="s">
        <v>245</v>
      </c>
      <c r="D12" s="8" t="s">
        <v>247</v>
      </c>
      <c r="E12" s="10" t="s">
        <v>225</v>
      </c>
      <c r="F12" s="11">
        <v>104</v>
      </c>
      <c r="G12" s="18">
        <v>51840</v>
      </c>
      <c r="H12" s="18">
        <f t="shared" si="0"/>
        <v>2592</v>
      </c>
      <c r="I12" s="18">
        <f t="shared" si="1"/>
        <v>5443.2000000000007</v>
      </c>
      <c r="J12" s="18">
        <f t="shared" si="2"/>
        <v>10178.784</v>
      </c>
      <c r="K12" s="11">
        <f t="shared" si="3"/>
        <v>70053.983999999997</v>
      </c>
      <c r="L12" s="11">
        <f t="shared" si="4"/>
        <v>17513.495999999999</v>
      </c>
      <c r="M12" s="11">
        <f t="shared" si="7"/>
        <v>5604.3187200000002</v>
      </c>
      <c r="N12" s="11">
        <f t="shared" si="8"/>
        <v>1401.0796800000001</v>
      </c>
      <c r="O12" s="11">
        <f t="shared" si="5"/>
        <v>7868463.4828799991</v>
      </c>
      <c r="P12" s="11">
        <f t="shared" si="6"/>
        <v>1967115.8707199998</v>
      </c>
      <c r="Q12" s="8"/>
    </row>
    <row r="13" spans="1:17" x14ac:dyDescent="0.25">
      <c r="A13" s="8"/>
      <c r="B13" s="12" t="s">
        <v>11</v>
      </c>
      <c r="C13" s="12" t="s">
        <v>246</v>
      </c>
      <c r="D13" s="8" t="s">
        <v>247</v>
      </c>
      <c r="E13" s="10" t="s">
        <v>225</v>
      </c>
      <c r="F13" s="11">
        <v>56</v>
      </c>
      <c r="G13" s="18">
        <v>63936</v>
      </c>
      <c r="H13" s="18">
        <f t="shared" si="0"/>
        <v>3196.8</v>
      </c>
      <c r="I13" s="18">
        <f t="shared" si="1"/>
        <v>6713.2800000000007</v>
      </c>
      <c r="J13" s="18">
        <f t="shared" si="2"/>
        <v>12553.833600000002</v>
      </c>
      <c r="K13" s="11">
        <f t="shared" si="3"/>
        <v>86399.9136</v>
      </c>
      <c r="L13" s="11">
        <f t="shared" si="4"/>
        <v>21599.9784</v>
      </c>
      <c r="M13" s="11">
        <f t="shared" si="7"/>
        <v>6911.9930880000002</v>
      </c>
      <c r="N13" s="11">
        <f t="shared" si="8"/>
        <v>1727.998272</v>
      </c>
      <c r="O13" s="11">
        <f t="shared" si="5"/>
        <v>5225466.7745280005</v>
      </c>
      <c r="P13" s="11">
        <f t="shared" si="6"/>
        <v>1306366.6936320001</v>
      </c>
      <c r="Q13" s="8"/>
    </row>
    <row r="14" spans="1:17" x14ac:dyDescent="0.25">
      <c r="A14" s="8"/>
      <c r="B14" s="12" t="s">
        <v>12</v>
      </c>
      <c r="C14" s="12" t="s">
        <v>386</v>
      </c>
      <c r="D14" s="8" t="s">
        <v>247</v>
      </c>
      <c r="E14" s="10" t="s">
        <v>225</v>
      </c>
      <c r="F14" s="11">
        <v>236</v>
      </c>
      <c r="G14" s="18">
        <v>95148</v>
      </c>
      <c r="H14" s="18">
        <f t="shared" si="0"/>
        <v>4757.4000000000005</v>
      </c>
      <c r="I14" s="18">
        <f t="shared" si="1"/>
        <v>9990.5400000000009</v>
      </c>
      <c r="J14" s="18">
        <f t="shared" si="2"/>
        <v>18682.309800000003</v>
      </c>
      <c r="K14" s="11">
        <f t="shared" si="3"/>
        <v>128578.24980000001</v>
      </c>
      <c r="L14" s="11">
        <f t="shared" si="4"/>
        <v>32144.562450000001</v>
      </c>
      <c r="M14" s="11">
        <f t="shared" si="7"/>
        <v>10286.259984</v>
      </c>
      <c r="N14" s="11">
        <f t="shared" si="8"/>
        <v>2571.5649960000001</v>
      </c>
      <c r="O14" s="11">
        <f t="shared" si="5"/>
        <v>32772024.309023999</v>
      </c>
      <c r="P14" s="11">
        <f t="shared" si="6"/>
        <v>8193006.0772559997</v>
      </c>
      <c r="Q14" s="8"/>
    </row>
    <row r="15" spans="1:17" x14ac:dyDescent="0.25">
      <c r="A15" s="8"/>
      <c r="B15" s="12" t="s">
        <v>13</v>
      </c>
      <c r="C15" s="8"/>
      <c r="D15" s="10" t="s">
        <v>259</v>
      </c>
      <c r="E15" s="10" t="s">
        <v>226</v>
      </c>
      <c r="F15" s="11">
        <v>1</v>
      </c>
      <c r="G15" s="18">
        <f>SUM(O8:O14)*17%</f>
        <v>60811744.610897295</v>
      </c>
      <c r="H15" s="18">
        <f t="shared" si="0"/>
        <v>3040587.2305448651</v>
      </c>
      <c r="I15" s="18">
        <f t="shared" ref="I15:I16" si="9">(G15+H15)*10%</f>
        <v>6385233.1841442166</v>
      </c>
      <c r="J15" s="18">
        <f t="shared" ref="J15:J16" si="10">(G15+H15+I15)*17%</f>
        <v>11940386.054349685</v>
      </c>
      <c r="K15" s="11">
        <f t="shared" ref="K15:K16" si="11">G15+H15+I15+J15</f>
        <v>82177951.079936072</v>
      </c>
      <c r="L15" s="11">
        <f t="shared" si="4"/>
        <v>20544487.769984018</v>
      </c>
      <c r="M15" s="11">
        <f t="shared" si="7"/>
        <v>6574236.0863948856</v>
      </c>
      <c r="N15" s="11">
        <f t="shared" si="8"/>
        <v>1643559.0215987214</v>
      </c>
      <c r="O15" s="11">
        <f t="shared" si="5"/>
        <v>88752187.166330963</v>
      </c>
      <c r="P15" s="11">
        <f t="shared" si="6"/>
        <v>22188046.791582741</v>
      </c>
      <c r="Q15" s="8"/>
    </row>
    <row r="16" spans="1:17" x14ac:dyDescent="0.25">
      <c r="A16" s="8"/>
      <c r="B16" s="12" t="s">
        <v>14</v>
      </c>
      <c r="C16" s="8"/>
      <c r="D16" s="10" t="s">
        <v>259</v>
      </c>
      <c r="E16" s="10" t="s">
        <v>226</v>
      </c>
      <c r="F16" s="11">
        <v>1</v>
      </c>
      <c r="G16" s="18">
        <f>SUM(O8:O14)*15%</f>
        <v>53657421.715497606</v>
      </c>
      <c r="H16" s="18">
        <f t="shared" si="0"/>
        <v>2682871.0857748804</v>
      </c>
      <c r="I16" s="18">
        <f t="shared" si="9"/>
        <v>5634029.2801272497</v>
      </c>
      <c r="J16" s="18">
        <f t="shared" si="10"/>
        <v>10535634.753837956</v>
      </c>
      <c r="K16" s="11">
        <f t="shared" si="11"/>
        <v>72509956.835237697</v>
      </c>
      <c r="L16" s="11">
        <f t="shared" si="4"/>
        <v>18127489.208809424</v>
      </c>
      <c r="M16" s="11">
        <f t="shared" si="7"/>
        <v>5800796.5468190154</v>
      </c>
      <c r="N16" s="11">
        <f t="shared" si="8"/>
        <v>1450199.1367047539</v>
      </c>
      <c r="O16" s="11">
        <f t="shared" si="5"/>
        <v>78310753.382056713</v>
      </c>
      <c r="P16" s="11">
        <f t="shared" si="6"/>
        <v>19577688.345514178</v>
      </c>
      <c r="Q16" s="8"/>
    </row>
    <row r="17" spans="1:17" ht="31.5" x14ac:dyDescent="0.25">
      <c r="A17" s="8"/>
      <c r="B17" s="15" t="s">
        <v>15</v>
      </c>
      <c r="C17" s="8"/>
      <c r="D17" s="8"/>
      <c r="E17" s="10"/>
      <c r="F17" s="11"/>
      <c r="G17" s="18"/>
      <c r="H17" s="18"/>
      <c r="I17" s="18"/>
      <c r="J17" s="18"/>
      <c r="K17" s="11"/>
      <c r="L17" s="11"/>
      <c r="M17" s="11"/>
      <c r="N17" s="11"/>
      <c r="O17" s="11"/>
      <c r="P17" s="11"/>
      <c r="Q17" s="8"/>
    </row>
    <row r="18" spans="1:17" ht="31.5" x14ac:dyDescent="0.25">
      <c r="A18" s="8"/>
      <c r="B18" s="13" t="s">
        <v>16</v>
      </c>
      <c r="C18" s="13" t="s">
        <v>369</v>
      </c>
      <c r="D18" s="19" t="s">
        <v>391</v>
      </c>
      <c r="E18" s="10" t="s">
        <v>225</v>
      </c>
      <c r="F18" s="11">
        <v>452</v>
      </c>
      <c r="G18" s="18">
        <f>69613/2</f>
        <v>34806.5</v>
      </c>
      <c r="H18" s="18">
        <f>G18*5%</f>
        <v>1740.325</v>
      </c>
      <c r="I18" s="18">
        <f>(G18+H18)*10%</f>
        <v>3654.6824999999999</v>
      </c>
      <c r="J18" s="18">
        <f>(G18+H18+I18)*17%</f>
        <v>6834.2562750000006</v>
      </c>
      <c r="K18" s="11">
        <f>G18+H18+I18+J18</f>
        <v>47035.763774999999</v>
      </c>
      <c r="L18" s="11">
        <f>K18*25%</f>
        <v>11758.94094375</v>
      </c>
      <c r="M18" s="11">
        <f t="shared" si="7"/>
        <v>3762.8611019999998</v>
      </c>
      <c r="N18" s="11">
        <f t="shared" si="8"/>
        <v>940.71527549999996</v>
      </c>
      <c r="O18" s="11">
        <f t="shared" si="5"/>
        <v>22960978.444404002</v>
      </c>
      <c r="P18" s="11">
        <f t="shared" si="6"/>
        <v>5740244.6111010006</v>
      </c>
      <c r="Q18" s="8"/>
    </row>
    <row r="19" spans="1:17" ht="31.5" x14ac:dyDescent="0.25">
      <c r="A19" s="8"/>
      <c r="B19" s="13" t="s">
        <v>373</v>
      </c>
      <c r="C19" s="13" t="s">
        <v>370</v>
      </c>
      <c r="D19" s="19" t="s">
        <v>391</v>
      </c>
      <c r="E19" s="10" t="s">
        <v>225</v>
      </c>
      <c r="F19" s="11">
        <v>225</v>
      </c>
      <c r="G19" s="18">
        <f>78147/2</f>
        <v>39073.5</v>
      </c>
      <c r="H19" s="18">
        <f t="shared" ref="H19:H24" si="12">G19*5%</f>
        <v>1953.6750000000002</v>
      </c>
      <c r="I19" s="18">
        <f t="shared" ref="I19:I24" si="13">(G19+H19)*10%</f>
        <v>4102.7175000000007</v>
      </c>
      <c r="J19" s="18">
        <f t="shared" ref="J19:J24" si="14">(G19+H19+I19)*17%</f>
        <v>7672.0817250000009</v>
      </c>
      <c r="K19" s="11">
        <f t="shared" ref="K19:K24" si="15">G19+H19+I19+J19</f>
        <v>52801.974225000005</v>
      </c>
      <c r="L19" s="11">
        <f t="shared" ref="L19:L24" si="16">K19*25%</f>
        <v>13200.493556250001</v>
      </c>
      <c r="M19" s="11">
        <f t="shared" si="7"/>
        <v>4224.1579380000003</v>
      </c>
      <c r="N19" s="11">
        <f t="shared" si="8"/>
        <v>1056.0394845000001</v>
      </c>
      <c r="O19" s="11">
        <f t="shared" si="5"/>
        <v>12830879.736675</v>
      </c>
      <c r="P19" s="11">
        <f t="shared" si="6"/>
        <v>3207719.93416875</v>
      </c>
      <c r="Q19" s="8"/>
    </row>
    <row r="20" spans="1:17" ht="31.5" x14ac:dyDescent="0.25">
      <c r="A20" s="8"/>
      <c r="B20" s="13" t="s">
        <v>371</v>
      </c>
      <c r="C20" s="13" t="s">
        <v>377</v>
      </c>
      <c r="D20" s="19" t="s">
        <v>391</v>
      </c>
      <c r="E20" s="10" t="s">
        <v>225</v>
      </c>
      <c r="F20" s="11">
        <v>178</v>
      </c>
      <c r="G20" s="18">
        <f>97075/2</f>
        <v>48537.5</v>
      </c>
      <c r="H20" s="18">
        <f t="shared" si="12"/>
        <v>2426.875</v>
      </c>
      <c r="I20" s="18">
        <f t="shared" si="13"/>
        <v>5096.4375</v>
      </c>
      <c r="J20" s="18">
        <f t="shared" si="14"/>
        <v>9530.3381250000002</v>
      </c>
      <c r="K20" s="11">
        <f t="shared" si="15"/>
        <v>65591.150624999995</v>
      </c>
      <c r="L20" s="11">
        <f t="shared" si="16"/>
        <v>16397.787656249999</v>
      </c>
      <c r="M20" s="11">
        <f t="shared" si="7"/>
        <v>5247.29205</v>
      </c>
      <c r="N20" s="11">
        <f t="shared" si="8"/>
        <v>1311.8230125</v>
      </c>
      <c r="O20" s="11">
        <f t="shared" si="5"/>
        <v>12609242.796149999</v>
      </c>
      <c r="P20" s="11">
        <f t="shared" si="6"/>
        <v>3152310.6990374997</v>
      </c>
      <c r="Q20" s="8"/>
    </row>
    <row r="21" spans="1:17" ht="31.5" x14ac:dyDescent="0.25">
      <c r="A21" s="8"/>
      <c r="B21" s="13" t="s">
        <v>372</v>
      </c>
      <c r="C21" s="13" t="s">
        <v>378</v>
      </c>
      <c r="D21" s="19" t="s">
        <v>391</v>
      </c>
      <c r="E21" s="10" t="s">
        <v>225</v>
      </c>
      <c r="F21" s="11">
        <v>4885</v>
      </c>
      <c r="G21" s="18">
        <f>126999/2</f>
        <v>63499.5</v>
      </c>
      <c r="H21" s="18">
        <f t="shared" si="12"/>
        <v>3174.9750000000004</v>
      </c>
      <c r="I21" s="18">
        <f t="shared" si="13"/>
        <v>6667.4475000000011</v>
      </c>
      <c r="J21" s="18">
        <f t="shared" si="14"/>
        <v>12468.126825000001</v>
      </c>
      <c r="K21" s="11">
        <f t="shared" si="15"/>
        <v>85810.049325</v>
      </c>
      <c r="L21" s="11">
        <f t="shared" si="16"/>
        <v>21452.51233125</v>
      </c>
      <c r="M21" s="11">
        <f t="shared" si="7"/>
        <v>6864.803946</v>
      </c>
      <c r="N21" s="11">
        <f t="shared" si="8"/>
        <v>1716.2009865</v>
      </c>
      <c r="O21" s="11">
        <f t="shared" si="5"/>
        <v>452716658.22883499</v>
      </c>
      <c r="P21" s="11">
        <f t="shared" si="6"/>
        <v>113179164.55720875</v>
      </c>
      <c r="Q21" s="8"/>
    </row>
    <row r="22" spans="1:17" ht="31.5" x14ac:dyDescent="0.25">
      <c r="A22" s="8"/>
      <c r="B22" s="13" t="s">
        <v>374</v>
      </c>
      <c r="C22" s="13" t="s">
        <v>379</v>
      </c>
      <c r="D22" s="19" t="s">
        <v>391</v>
      </c>
      <c r="E22" s="10" t="s">
        <v>225</v>
      </c>
      <c r="F22" s="11">
        <v>104</v>
      </c>
      <c r="G22" s="18">
        <f>158729/2</f>
        <v>79364.5</v>
      </c>
      <c r="H22" s="18">
        <f t="shared" si="12"/>
        <v>3968.2250000000004</v>
      </c>
      <c r="I22" s="18">
        <f t="shared" si="13"/>
        <v>8333.2725000000009</v>
      </c>
      <c r="J22" s="18">
        <f t="shared" si="14"/>
        <v>15583.219575000003</v>
      </c>
      <c r="K22" s="11">
        <f t="shared" si="15"/>
        <v>107249.21707500002</v>
      </c>
      <c r="L22" s="11">
        <f t="shared" si="16"/>
        <v>26812.304268750006</v>
      </c>
      <c r="M22" s="11">
        <f t="shared" si="7"/>
        <v>8579.9373660000019</v>
      </c>
      <c r="N22" s="11">
        <f t="shared" si="8"/>
        <v>2144.9843415000005</v>
      </c>
      <c r="O22" s="11">
        <f t="shared" si="5"/>
        <v>12046232.061864002</v>
      </c>
      <c r="P22" s="11">
        <f t="shared" si="6"/>
        <v>3011558.0154660004</v>
      </c>
      <c r="Q22" s="8"/>
    </row>
    <row r="23" spans="1:17" ht="31.5" x14ac:dyDescent="0.25">
      <c r="A23" s="8"/>
      <c r="B23" s="13" t="s">
        <v>375</v>
      </c>
      <c r="C23" s="13" t="s">
        <v>380</v>
      </c>
      <c r="D23" s="19" t="s">
        <v>391</v>
      </c>
      <c r="E23" s="10" t="s">
        <v>225</v>
      </c>
      <c r="F23" s="11">
        <v>56</v>
      </c>
      <c r="G23" s="18">
        <f>167892/2</f>
        <v>83946</v>
      </c>
      <c r="H23" s="18">
        <f t="shared" si="12"/>
        <v>4197.3</v>
      </c>
      <c r="I23" s="18">
        <f t="shared" si="13"/>
        <v>8814.33</v>
      </c>
      <c r="J23" s="18">
        <f t="shared" si="14"/>
        <v>16482.797100000003</v>
      </c>
      <c r="K23" s="11">
        <f t="shared" si="15"/>
        <v>113440.4271</v>
      </c>
      <c r="L23" s="11">
        <f t="shared" si="16"/>
        <v>28360.106775</v>
      </c>
      <c r="M23" s="11">
        <f t="shared" si="7"/>
        <v>9075.2341680000009</v>
      </c>
      <c r="N23" s="11">
        <f t="shared" si="8"/>
        <v>2268.8085420000002</v>
      </c>
      <c r="O23" s="11">
        <f t="shared" si="5"/>
        <v>6860877.0310079996</v>
      </c>
      <c r="P23" s="11">
        <f t="shared" si="6"/>
        <v>1715219.2577519999</v>
      </c>
      <c r="Q23" s="8"/>
    </row>
    <row r="24" spans="1:17" ht="31.5" x14ac:dyDescent="0.25">
      <c r="A24" s="8"/>
      <c r="B24" s="13" t="s">
        <v>376</v>
      </c>
      <c r="C24" s="13" t="s">
        <v>381</v>
      </c>
      <c r="D24" s="19" t="s">
        <v>391</v>
      </c>
      <c r="E24" s="10" t="s">
        <v>225</v>
      </c>
      <c r="F24" s="11">
        <v>236</v>
      </c>
      <c r="G24" s="18">
        <f>225881/2</f>
        <v>112940.5</v>
      </c>
      <c r="H24" s="18">
        <f t="shared" si="12"/>
        <v>5647.0250000000005</v>
      </c>
      <c r="I24" s="18">
        <f t="shared" si="13"/>
        <v>11858.752500000001</v>
      </c>
      <c r="J24" s="18">
        <f t="shared" si="14"/>
        <v>22175.867174999999</v>
      </c>
      <c r="K24" s="11">
        <f t="shared" si="15"/>
        <v>152622.14467499999</v>
      </c>
      <c r="L24" s="11">
        <f t="shared" si="16"/>
        <v>38155.536168749997</v>
      </c>
      <c r="M24" s="11">
        <f t="shared" si="7"/>
        <v>12209.771573999999</v>
      </c>
      <c r="N24" s="11">
        <f t="shared" si="8"/>
        <v>3052.4428934999996</v>
      </c>
      <c r="O24" s="11">
        <f t="shared" si="5"/>
        <v>38900332.234764002</v>
      </c>
      <c r="P24" s="11">
        <f t="shared" si="6"/>
        <v>9725083.0586910006</v>
      </c>
      <c r="Q24" s="8"/>
    </row>
    <row r="25" spans="1:17" x14ac:dyDescent="0.25">
      <c r="A25" s="8"/>
      <c r="B25" s="15" t="s">
        <v>23</v>
      </c>
      <c r="C25" s="8"/>
      <c r="D25" s="10"/>
      <c r="E25" s="10"/>
      <c r="F25" s="11"/>
      <c r="G25" s="18"/>
      <c r="H25" s="18"/>
      <c r="I25" s="18"/>
      <c r="J25" s="18"/>
      <c r="K25" s="11"/>
      <c r="L25" s="11"/>
      <c r="M25" s="11"/>
      <c r="N25" s="11"/>
      <c r="O25" s="11"/>
      <c r="P25" s="11"/>
      <c r="Q25" s="8"/>
    </row>
    <row r="26" spans="1:17" x14ac:dyDescent="0.25">
      <c r="A26" s="8"/>
      <c r="B26" s="13" t="s">
        <v>24</v>
      </c>
      <c r="C26" s="8" t="s">
        <v>396</v>
      </c>
      <c r="D26" s="10" t="s">
        <v>257</v>
      </c>
      <c r="E26" s="10" t="s">
        <v>225</v>
      </c>
      <c r="F26" s="11">
        <v>75</v>
      </c>
      <c r="G26" s="18">
        <v>44300</v>
      </c>
      <c r="H26" s="18">
        <f>G26*25%</f>
        <v>11075</v>
      </c>
      <c r="I26" s="18">
        <f t="shared" ref="I26:I40" si="17">(G26+H26)*10%</f>
        <v>5537.5</v>
      </c>
      <c r="J26" s="18">
        <f t="shared" ref="J26:J40" si="18">(G26+H26+I26)*17%</f>
        <v>10355.125</v>
      </c>
      <c r="K26" s="11">
        <f t="shared" ref="K26:K40" si="19">G26+H26+I26+J26</f>
        <v>71267.625</v>
      </c>
      <c r="L26" s="11">
        <f t="shared" ref="L26:L40" si="20">K26*25%</f>
        <v>17816.90625</v>
      </c>
      <c r="M26" s="11">
        <f>K26*10%</f>
        <v>7126.7625000000007</v>
      </c>
      <c r="N26" s="11">
        <f t="shared" si="8"/>
        <v>1425.3525</v>
      </c>
      <c r="O26" s="11">
        <f t="shared" si="5"/>
        <v>5879579.0625</v>
      </c>
      <c r="P26" s="11">
        <f t="shared" si="6"/>
        <v>1443169.40625</v>
      </c>
      <c r="Q26" s="8"/>
    </row>
    <row r="27" spans="1:17" x14ac:dyDescent="0.25">
      <c r="A27" s="8"/>
      <c r="B27" s="13" t="s">
        <v>25</v>
      </c>
      <c r="C27" s="13" t="s">
        <v>249</v>
      </c>
      <c r="D27" s="10" t="s">
        <v>257</v>
      </c>
      <c r="E27" s="10" t="s">
        <v>225</v>
      </c>
      <c r="F27" s="11">
        <v>1117</v>
      </c>
      <c r="G27" s="18">
        <v>69300</v>
      </c>
      <c r="H27" s="18">
        <f t="shared" ref="H27:H33" si="21">G27*25%</f>
        <v>17325</v>
      </c>
      <c r="I27" s="18">
        <f t="shared" si="17"/>
        <v>8662.5</v>
      </c>
      <c r="J27" s="18">
        <f t="shared" si="18"/>
        <v>16198.875000000002</v>
      </c>
      <c r="K27" s="11">
        <f t="shared" si="19"/>
        <v>111486.375</v>
      </c>
      <c r="L27" s="11">
        <f t="shared" si="20"/>
        <v>27871.59375</v>
      </c>
      <c r="M27" s="11">
        <f t="shared" ref="M27:M34" si="22">K27*10%</f>
        <v>11148.637500000001</v>
      </c>
      <c r="N27" s="11">
        <f t="shared" si="8"/>
        <v>2229.7275</v>
      </c>
      <c r="O27" s="11">
        <f t="shared" si="5"/>
        <v>136983308.96250001</v>
      </c>
      <c r="P27" s="11">
        <f t="shared" si="6"/>
        <v>33623175.83625</v>
      </c>
      <c r="Q27" s="8"/>
    </row>
    <row r="28" spans="1:17" x14ac:dyDescent="0.25">
      <c r="A28" s="8"/>
      <c r="B28" s="13" t="s">
        <v>26</v>
      </c>
      <c r="C28" s="13" t="s">
        <v>250</v>
      </c>
      <c r="D28" s="10" t="s">
        <v>257</v>
      </c>
      <c r="E28" s="10" t="s">
        <v>225</v>
      </c>
      <c r="F28" s="11">
        <v>75</v>
      </c>
      <c r="G28" s="18">
        <v>94400</v>
      </c>
      <c r="H28" s="18">
        <f t="shared" si="21"/>
        <v>23600</v>
      </c>
      <c r="I28" s="18">
        <f t="shared" si="17"/>
        <v>11800</v>
      </c>
      <c r="J28" s="18">
        <f t="shared" si="18"/>
        <v>22066</v>
      </c>
      <c r="K28" s="11">
        <f t="shared" si="19"/>
        <v>151866</v>
      </c>
      <c r="L28" s="11">
        <f t="shared" si="20"/>
        <v>37966.5</v>
      </c>
      <c r="M28" s="11">
        <f t="shared" si="22"/>
        <v>15186.6</v>
      </c>
      <c r="N28" s="11">
        <f t="shared" si="8"/>
        <v>3037.32</v>
      </c>
      <c r="O28" s="11">
        <f t="shared" si="5"/>
        <v>12528945</v>
      </c>
      <c r="P28" s="11">
        <f t="shared" si="6"/>
        <v>3075286.5</v>
      </c>
      <c r="Q28" s="8"/>
    </row>
    <row r="29" spans="1:17" x14ac:dyDescent="0.25">
      <c r="A29" s="8"/>
      <c r="B29" s="13" t="s">
        <v>27</v>
      </c>
      <c r="C29" s="13" t="s">
        <v>251</v>
      </c>
      <c r="D29" s="10" t="s">
        <v>257</v>
      </c>
      <c r="E29" s="10" t="s">
        <v>225</v>
      </c>
      <c r="F29" s="11">
        <v>1083</v>
      </c>
      <c r="G29" s="18">
        <v>119100</v>
      </c>
      <c r="H29" s="18">
        <f t="shared" si="21"/>
        <v>29775</v>
      </c>
      <c r="I29" s="18">
        <f t="shared" si="17"/>
        <v>14887.5</v>
      </c>
      <c r="J29" s="18">
        <f t="shared" si="18"/>
        <v>27839.625000000004</v>
      </c>
      <c r="K29" s="11">
        <f t="shared" si="19"/>
        <v>191602.125</v>
      </c>
      <c r="L29" s="11">
        <f t="shared" si="20"/>
        <v>47900.53125</v>
      </c>
      <c r="M29" s="11">
        <f t="shared" si="22"/>
        <v>19160.212500000001</v>
      </c>
      <c r="N29" s="11">
        <f t="shared" si="8"/>
        <v>3832.0425</v>
      </c>
      <c r="O29" s="11">
        <f t="shared" si="5"/>
        <v>228255611.51249999</v>
      </c>
      <c r="P29" s="11">
        <f t="shared" si="6"/>
        <v>56026377.371250004</v>
      </c>
      <c r="Q29" s="8"/>
    </row>
    <row r="30" spans="1:17" x14ac:dyDescent="0.25">
      <c r="A30" s="8"/>
      <c r="B30" s="13" t="s">
        <v>28</v>
      </c>
      <c r="C30" s="13" t="s">
        <v>252</v>
      </c>
      <c r="D30" s="10" t="s">
        <v>257</v>
      </c>
      <c r="E30" s="10" t="s">
        <v>225</v>
      </c>
      <c r="F30" s="11">
        <v>115</v>
      </c>
      <c r="G30" s="18">
        <v>2162000</v>
      </c>
      <c r="H30" s="18">
        <f t="shared" si="21"/>
        <v>540500</v>
      </c>
      <c r="I30" s="18">
        <f t="shared" si="17"/>
        <v>270250</v>
      </c>
      <c r="J30" s="18">
        <f t="shared" si="18"/>
        <v>505367.50000000006</v>
      </c>
      <c r="K30" s="11">
        <f t="shared" si="19"/>
        <v>3478117.5</v>
      </c>
      <c r="L30" s="11">
        <f t="shared" si="20"/>
        <v>869529.375</v>
      </c>
      <c r="M30" s="11">
        <f t="shared" si="22"/>
        <v>347811.75</v>
      </c>
      <c r="N30" s="11">
        <f t="shared" si="8"/>
        <v>69562.350000000006</v>
      </c>
      <c r="O30" s="11">
        <f t="shared" si="5"/>
        <v>439981863.75</v>
      </c>
      <c r="P30" s="11">
        <f t="shared" si="6"/>
        <v>107995548.375</v>
      </c>
      <c r="Q30" s="8"/>
    </row>
    <row r="31" spans="1:17" x14ac:dyDescent="0.25">
      <c r="A31" s="8"/>
      <c r="B31" s="13" t="s">
        <v>29</v>
      </c>
      <c r="C31" s="13" t="s">
        <v>253</v>
      </c>
      <c r="D31" s="10" t="s">
        <v>257</v>
      </c>
      <c r="E31" s="10" t="s">
        <v>225</v>
      </c>
      <c r="F31" s="11">
        <v>81</v>
      </c>
      <c r="G31" s="18">
        <v>688000</v>
      </c>
      <c r="H31" s="18">
        <f t="shared" si="21"/>
        <v>172000</v>
      </c>
      <c r="I31" s="18">
        <f t="shared" si="17"/>
        <v>86000</v>
      </c>
      <c r="J31" s="18">
        <f t="shared" si="18"/>
        <v>160820</v>
      </c>
      <c r="K31" s="11">
        <f t="shared" si="19"/>
        <v>1106820</v>
      </c>
      <c r="L31" s="11">
        <f t="shared" si="20"/>
        <v>276705</v>
      </c>
      <c r="M31" s="11">
        <f t="shared" si="22"/>
        <v>110682</v>
      </c>
      <c r="N31" s="11">
        <f t="shared" si="8"/>
        <v>22136.400000000001</v>
      </c>
      <c r="O31" s="11">
        <f t="shared" si="5"/>
        <v>98617662</v>
      </c>
      <c r="P31" s="11">
        <f t="shared" si="6"/>
        <v>24206153.400000002</v>
      </c>
      <c r="Q31" s="8"/>
    </row>
    <row r="32" spans="1:17" x14ac:dyDescent="0.25">
      <c r="A32" s="8"/>
      <c r="B32" s="13" t="s">
        <v>30</v>
      </c>
      <c r="C32" s="13" t="s">
        <v>254</v>
      </c>
      <c r="D32" s="10" t="s">
        <v>257</v>
      </c>
      <c r="E32" s="10" t="s">
        <v>225</v>
      </c>
      <c r="F32" s="11">
        <v>47</v>
      </c>
      <c r="G32" s="18">
        <v>894000</v>
      </c>
      <c r="H32" s="18">
        <f t="shared" si="21"/>
        <v>223500</v>
      </c>
      <c r="I32" s="18">
        <f t="shared" si="17"/>
        <v>111750</v>
      </c>
      <c r="J32" s="18">
        <f t="shared" si="18"/>
        <v>208972.50000000003</v>
      </c>
      <c r="K32" s="11">
        <f t="shared" si="19"/>
        <v>1438222.5</v>
      </c>
      <c r="L32" s="11">
        <f t="shared" si="20"/>
        <v>359555.625</v>
      </c>
      <c r="M32" s="11">
        <f t="shared" si="22"/>
        <v>143822.25</v>
      </c>
      <c r="N32" s="11">
        <f t="shared" si="8"/>
        <v>28764.45</v>
      </c>
      <c r="O32" s="11">
        <f t="shared" si="5"/>
        <v>74356103.25</v>
      </c>
      <c r="P32" s="11">
        <f t="shared" si="6"/>
        <v>18251043.525000002</v>
      </c>
      <c r="Q32" s="8"/>
    </row>
    <row r="33" spans="1:17" x14ac:dyDescent="0.25">
      <c r="A33" s="8"/>
      <c r="B33" s="13" t="s">
        <v>31</v>
      </c>
      <c r="C33" s="13" t="s">
        <v>255</v>
      </c>
      <c r="D33" s="10" t="s">
        <v>257</v>
      </c>
      <c r="E33" s="10" t="s">
        <v>225</v>
      </c>
      <c r="F33" s="11">
        <v>42</v>
      </c>
      <c r="G33" s="18">
        <v>1312000</v>
      </c>
      <c r="H33" s="18">
        <f t="shared" si="21"/>
        <v>328000</v>
      </c>
      <c r="I33" s="18">
        <f t="shared" si="17"/>
        <v>164000</v>
      </c>
      <c r="J33" s="18">
        <f t="shared" si="18"/>
        <v>306680</v>
      </c>
      <c r="K33" s="11">
        <f t="shared" si="19"/>
        <v>2110680</v>
      </c>
      <c r="L33" s="11">
        <f t="shared" si="20"/>
        <v>527670</v>
      </c>
      <c r="M33" s="11">
        <f t="shared" si="22"/>
        <v>211068</v>
      </c>
      <c r="N33" s="11">
        <f t="shared" si="8"/>
        <v>42213.599999999999</v>
      </c>
      <c r="O33" s="11">
        <f t="shared" si="5"/>
        <v>97513416</v>
      </c>
      <c r="P33" s="11">
        <f t="shared" si="6"/>
        <v>23935111.199999999</v>
      </c>
      <c r="Q33" s="8"/>
    </row>
    <row r="34" spans="1:17" x14ac:dyDescent="0.25">
      <c r="A34" s="8"/>
      <c r="B34" s="13" t="s">
        <v>32</v>
      </c>
      <c r="C34" s="13" t="s">
        <v>256</v>
      </c>
      <c r="D34" s="10" t="s">
        <v>257</v>
      </c>
      <c r="E34" s="10" t="s">
        <v>225</v>
      </c>
      <c r="F34" s="11">
        <v>100</v>
      </c>
      <c r="G34" s="18">
        <v>1559000</v>
      </c>
      <c r="H34" s="18">
        <f>G34*25%</f>
        <v>389750</v>
      </c>
      <c r="I34" s="18">
        <f t="shared" si="17"/>
        <v>194875</v>
      </c>
      <c r="J34" s="18">
        <f t="shared" si="18"/>
        <v>364416.25</v>
      </c>
      <c r="K34" s="11">
        <f t="shared" si="19"/>
        <v>2508041.25</v>
      </c>
      <c r="L34" s="11">
        <f t="shared" si="20"/>
        <v>627010.3125</v>
      </c>
      <c r="M34" s="11">
        <f t="shared" si="22"/>
        <v>250804.125</v>
      </c>
      <c r="N34" s="11">
        <f t="shared" si="8"/>
        <v>50160.825000000004</v>
      </c>
      <c r="O34" s="11">
        <f t="shared" si="5"/>
        <v>275884537.5</v>
      </c>
      <c r="P34" s="11">
        <f t="shared" si="6"/>
        <v>67717113.75</v>
      </c>
      <c r="Q34" s="8"/>
    </row>
    <row r="35" spans="1:17" x14ac:dyDescent="0.25">
      <c r="A35" s="8"/>
      <c r="B35" s="40" t="s">
        <v>33</v>
      </c>
      <c r="C35" s="8" t="s">
        <v>407</v>
      </c>
      <c r="D35" s="10" t="s">
        <v>258</v>
      </c>
      <c r="E35" s="10" t="s">
        <v>227</v>
      </c>
      <c r="F35" s="11">
        <v>34</v>
      </c>
      <c r="G35" s="21">
        <v>1255000</v>
      </c>
      <c r="H35" s="18"/>
      <c r="I35" s="18"/>
      <c r="J35" s="18"/>
      <c r="K35" s="11">
        <f t="shared" si="19"/>
        <v>1255000</v>
      </c>
      <c r="L35" s="11">
        <v>200000</v>
      </c>
      <c r="M35" s="11">
        <f>K35*10%</f>
        <v>125500</v>
      </c>
      <c r="N35" s="11">
        <f t="shared" si="8"/>
        <v>16000</v>
      </c>
      <c r="O35" s="11">
        <f t="shared" si="5"/>
        <v>46937000</v>
      </c>
      <c r="P35" s="11">
        <f t="shared" si="6"/>
        <v>7344000</v>
      </c>
      <c r="Q35" s="8"/>
    </row>
    <row r="36" spans="1:17" x14ac:dyDescent="0.25">
      <c r="A36" s="8"/>
      <c r="B36" s="42"/>
      <c r="C36" s="8" t="s">
        <v>408</v>
      </c>
      <c r="D36" s="10" t="s">
        <v>258</v>
      </c>
      <c r="E36" s="10" t="s">
        <v>227</v>
      </c>
      <c r="F36" s="11"/>
      <c r="G36" s="21">
        <v>1637000</v>
      </c>
      <c r="H36" s="18"/>
      <c r="I36" s="18"/>
      <c r="J36" s="18"/>
      <c r="K36" s="11">
        <f t="shared" si="19"/>
        <v>1637000</v>
      </c>
      <c r="L36" s="11">
        <v>200000</v>
      </c>
      <c r="M36" s="11">
        <f>K36*10%</f>
        <v>163700</v>
      </c>
      <c r="N36" s="11">
        <f t="shared" si="8"/>
        <v>16000</v>
      </c>
      <c r="O36" s="11">
        <f t="shared" si="5"/>
        <v>0</v>
      </c>
      <c r="P36" s="11">
        <f t="shared" si="6"/>
        <v>0</v>
      </c>
      <c r="Q36" s="8"/>
    </row>
    <row r="37" spans="1:17" x14ac:dyDescent="0.25">
      <c r="A37" s="8"/>
      <c r="B37" s="41"/>
      <c r="C37" s="8" t="s">
        <v>409</v>
      </c>
      <c r="D37" s="10" t="s">
        <v>258</v>
      </c>
      <c r="E37" s="10" t="s">
        <v>227</v>
      </c>
      <c r="F37" s="11"/>
      <c r="G37" s="21">
        <v>2700000</v>
      </c>
      <c r="H37" s="18"/>
      <c r="I37" s="18"/>
      <c r="J37" s="18"/>
      <c r="K37" s="11">
        <f t="shared" si="19"/>
        <v>2700000</v>
      </c>
      <c r="L37" s="11">
        <v>200000</v>
      </c>
      <c r="M37" s="11">
        <f>K37*10%</f>
        <v>270000</v>
      </c>
      <c r="N37" s="11">
        <f t="shared" si="8"/>
        <v>16000</v>
      </c>
      <c r="O37" s="11">
        <f t="shared" si="5"/>
        <v>0</v>
      </c>
      <c r="P37" s="11">
        <f t="shared" si="6"/>
        <v>0</v>
      </c>
      <c r="Q37" s="8"/>
    </row>
    <row r="38" spans="1:17" x14ac:dyDescent="0.25">
      <c r="A38" s="8"/>
      <c r="B38" s="40" t="s">
        <v>34</v>
      </c>
      <c r="C38" s="8" t="s">
        <v>406</v>
      </c>
      <c r="D38" s="10" t="s">
        <v>258</v>
      </c>
      <c r="E38" s="10" t="s">
        <v>227</v>
      </c>
      <c r="F38" s="11">
        <v>8</v>
      </c>
      <c r="G38" s="21">
        <v>1746000</v>
      </c>
      <c r="H38" s="18"/>
      <c r="I38" s="18"/>
      <c r="J38" s="18"/>
      <c r="K38" s="11">
        <f t="shared" si="19"/>
        <v>1746000</v>
      </c>
      <c r="L38" s="11">
        <v>500000</v>
      </c>
      <c r="M38" s="11">
        <f>K38*10%</f>
        <v>174600</v>
      </c>
      <c r="N38" s="11">
        <f t="shared" si="8"/>
        <v>40000</v>
      </c>
      <c r="O38" s="11">
        <f t="shared" si="5"/>
        <v>15364800</v>
      </c>
      <c r="P38" s="11">
        <f t="shared" si="6"/>
        <v>4320000</v>
      </c>
      <c r="Q38" s="8"/>
    </row>
    <row r="39" spans="1:17" x14ac:dyDescent="0.25">
      <c r="A39" s="8"/>
      <c r="B39" s="41"/>
      <c r="C39" s="8" t="s">
        <v>405</v>
      </c>
      <c r="D39" s="10" t="s">
        <v>258</v>
      </c>
      <c r="E39" s="10" t="s">
        <v>227</v>
      </c>
      <c r="F39" s="11"/>
      <c r="G39" s="21">
        <v>3383000</v>
      </c>
      <c r="H39" s="18"/>
      <c r="I39" s="18"/>
      <c r="J39" s="18"/>
      <c r="K39" s="11">
        <f t="shared" si="19"/>
        <v>3383000</v>
      </c>
      <c r="L39" s="11">
        <v>500000</v>
      </c>
      <c r="M39" s="11">
        <f>K39*10%</f>
        <v>338300</v>
      </c>
      <c r="N39" s="11">
        <f t="shared" si="8"/>
        <v>40000</v>
      </c>
      <c r="O39" s="11">
        <f t="shared" si="5"/>
        <v>0</v>
      </c>
      <c r="P39" s="11">
        <f t="shared" si="6"/>
        <v>0</v>
      </c>
      <c r="Q39" s="8"/>
    </row>
    <row r="40" spans="1:17" x14ac:dyDescent="0.25">
      <c r="A40" s="8"/>
      <c r="B40" s="13" t="s">
        <v>14</v>
      </c>
      <c r="C40" s="8"/>
      <c r="D40" s="10" t="s">
        <v>259</v>
      </c>
      <c r="E40" s="10" t="s">
        <v>226</v>
      </c>
      <c r="F40" s="11">
        <v>1</v>
      </c>
      <c r="G40" s="18">
        <f>SUM(O26:O34)*20%</f>
        <v>274000205.40749997</v>
      </c>
      <c r="H40" s="18">
        <f t="shared" ref="H40" si="23">G40*5%</f>
        <v>13700010.270374998</v>
      </c>
      <c r="I40" s="18">
        <f t="shared" si="17"/>
        <v>28770021.567787498</v>
      </c>
      <c r="J40" s="18">
        <f t="shared" si="18"/>
        <v>53799940.331762619</v>
      </c>
      <c r="K40" s="11">
        <f t="shared" si="19"/>
        <v>370270177.57742506</v>
      </c>
      <c r="L40" s="11">
        <f t="shared" si="20"/>
        <v>92567544.394356266</v>
      </c>
      <c r="M40" s="11">
        <f t="shared" si="7"/>
        <v>29621614.206194006</v>
      </c>
      <c r="N40" s="11">
        <f t="shared" si="8"/>
        <v>7405403.5515485015</v>
      </c>
      <c r="O40" s="11">
        <f t="shared" si="5"/>
        <v>399891791.78361905</v>
      </c>
      <c r="P40" s="11">
        <f t="shared" si="6"/>
        <v>99972947.945904762</v>
      </c>
      <c r="Q40" s="8"/>
    </row>
    <row r="41" spans="1:17" ht="31.5" x14ac:dyDescent="0.25">
      <c r="A41" s="8"/>
      <c r="B41" s="15" t="s">
        <v>35</v>
      </c>
      <c r="C41" s="8"/>
      <c r="D41" s="8"/>
      <c r="E41" s="10"/>
      <c r="F41" s="11"/>
      <c r="G41" s="18"/>
      <c r="H41" s="18"/>
      <c r="I41" s="18"/>
      <c r="J41" s="18"/>
      <c r="K41" s="11"/>
      <c r="L41" s="11"/>
      <c r="M41" s="11"/>
      <c r="N41" s="11"/>
      <c r="O41" s="11"/>
      <c r="P41" s="11"/>
      <c r="Q41" s="8"/>
    </row>
    <row r="42" spans="1:17" ht="31.5" x14ac:dyDescent="0.25">
      <c r="A42" s="8"/>
      <c r="B42" s="13" t="s">
        <v>36</v>
      </c>
      <c r="C42" s="13" t="s">
        <v>368</v>
      </c>
      <c r="D42" s="19" t="s">
        <v>391</v>
      </c>
      <c r="E42" s="10" t="s">
        <v>225</v>
      </c>
      <c r="F42" s="11">
        <v>75</v>
      </c>
      <c r="G42" s="18">
        <v>39100</v>
      </c>
      <c r="H42" s="18">
        <f>G42*20%</f>
        <v>7820</v>
      </c>
      <c r="I42" s="18">
        <f>(G42+H42)*30%</f>
        <v>14076</v>
      </c>
      <c r="J42" s="18">
        <f>(G42+H42+I42)*15%</f>
        <v>9149.4</v>
      </c>
      <c r="K42" s="11">
        <f>G42+H42+I42+J42</f>
        <v>70145.399999999994</v>
      </c>
      <c r="L42" s="11">
        <f>K42*25%</f>
        <v>17536.349999999999</v>
      </c>
      <c r="M42" s="11">
        <f t="shared" si="7"/>
        <v>5611.6319999999996</v>
      </c>
      <c r="N42" s="11">
        <f t="shared" si="8"/>
        <v>1402.9079999999999</v>
      </c>
      <c r="O42" s="11">
        <f t="shared" si="5"/>
        <v>5681777.3999999994</v>
      </c>
      <c r="P42" s="11">
        <f t="shared" si="6"/>
        <v>1420444.3499999999</v>
      </c>
      <c r="Q42" s="8"/>
    </row>
    <row r="43" spans="1:17" ht="31.5" x14ac:dyDescent="0.25">
      <c r="A43" s="8"/>
      <c r="B43" s="13" t="s">
        <v>37</v>
      </c>
      <c r="C43" s="13" t="s">
        <v>360</v>
      </c>
      <c r="D43" s="19" t="s">
        <v>391</v>
      </c>
      <c r="E43" s="10" t="s">
        <v>225</v>
      </c>
      <c r="F43" s="11">
        <v>1117</v>
      </c>
      <c r="G43" s="18">
        <v>44300</v>
      </c>
      <c r="H43" s="18">
        <f t="shared" ref="H43:H50" si="24">G43*20%</f>
        <v>8860</v>
      </c>
      <c r="I43" s="18">
        <f t="shared" ref="I43:I50" si="25">(G43+H43)*30%</f>
        <v>15948</v>
      </c>
      <c r="J43" s="18">
        <f t="shared" ref="J43:J50" si="26">(G43+H43+I43)*15%</f>
        <v>10366.199999999999</v>
      </c>
      <c r="K43" s="11">
        <f t="shared" ref="K43:K50" si="27">G43+H43+I43+J43</f>
        <v>79474.2</v>
      </c>
      <c r="L43" s="11">
        <f t="shared" ref="L43:L50" si="28">K43*25%</f>
        <v>19868.55</v>
      </c>
      <c r="M43" s="11">
        <f t="shared" si="7"/>
        <v>6357.9359999999997</v>
      </c>
      <c r="N43" s="11">
        <f t="shared" si="8"/>
        <v>1589.4839999999999</v>
      </c>
      <c r="O43" s="11">
        <f t="shared" si="5"/>
        <v>95874495.912</v>
      </c>
      <c r="P43" s="11">
        <f t="shared" si="6"/>
        <v>23968623.978</v>
      </c>
      <c r="Q43" s="8"/>
    </row>
    <row r="44" spans="1:17" ht="31.5" x14ac:dyDescent="0.25">
      <c r="A44" s="8"/>
      <c r="B44" s="13" t="s">
        <v>38</v>
      </c>
      <c r="C44" s="13" t="s">
        <v>361</v>
      </c>
      <c r="D44" s="19" t="s">
        <v>391</v>
      </c>
      <c r="E44" s="10" t="s">
        <v>225</v>
      </c>
      <c r="F44" s="11">
        <v>75</v>
      </c>
      <c r="G44" s="18">
        <v>48900</v>
      </c>
      <c r="H44" s="18">
        <f t="shared" si="24"/>
        <v>9780</v>
      </c>
      <c r="I44" s="18">
        <f t="shared" si="25"/>
        <v>17604</v>
      </c>
      <c r="J44" s="18">
        <f t="shared" si="26"/>
        <v>11442.6</v>
      </c>
      <c r="K44" s="11">
        <f t="shared" si="27"/>
        <v>87726.6</v>
      </c>
      <c r="L44" s="11">
        <f t="shared" si="28"/>
        <v>21931.65</v>
      </c>
      <c r="M44" s="11">
        <f t="shared" si="7"/>
        <v>7018.1280000000006</v>
      </c>
      <c r="N44" s="11">
        <f t="shared" si="8"/>
        <v>1754.5320000000002</v>
      </c>
      <c r="O44" s="11">
        <f t="shared" si="5"/>
        <v>7105854.6000000006</v>
      </c>
      <c r="P44" s="11">
        <f t="shared" si="6"/>
        <v>1776463.6500000001</v>
      </c>
      <c r="Q44" s="8"/>
    </row>
    <row r="45" spans="1:17" ht="31.5" x14ac:dyDescent="0.25">
      <c r="A45" s="8"/>
      <c r="B45" s="13" t="s">
        <v>39</v>
      </c>
      <c r="C45" s="13" t="s">
        <v>362</v>
      </c>
      <c r="D45" s="19" t="s">
        <v>391</v>
      </c>
      <c r="E45" s="10" t="s">
        <v>225</v>
      </c>
      <c r="F45" s="11">
        <v>1083</v>
      </c>
      <c r="G45" s="18">
        <v>51300</v>
      </c>
      <c r="H45" s="18">
        <f t="shared" si="24"/>
        <v>10260</v>
      </c>
      <c r="I45" s="18">
        <f t="shared" si="25"/>
        <v>18468</v>
      </c>
      <c r="J45" s="18">
        <f t="shared" si="26"/>
        <v>12004.199999999999</v>
      </c>
      <c r="K45" s="11">
        <f t="shared" si="27"/>
        <v>92032.2</v>
      </c>
      <c r="L45" s="11">
        <f t="shared" si="28"/>
        <v>23008.05</v>
      </c>
      <c r="M45" s="11">
        <f t="shared" si="7"/>
        <v>7362.576</v>
      </c>
      <c r="N45" s="11">
        <f t="shared" si="8"/>
        <v>1840.644</v>
      </c>
      <c r="O45" s="11">
        <f t="shared" si="5"/>
        <v>107644542.40799999</v>
      </c>
      <c r="P45" s="11">
        <f t="shared" si="6"/>
        <v>26911135.601999998</v>
      </c>
      <c r="Q45" s="8"/>
    </row>
    <row r="46" spans="1:17" ht="31.5" x14ac:dyDescent="0.25">
      <c r="A46" s="8"/>
      <c r="B46" s="13" t="s">
        <v>40</v>
      </c>
      <c r="C46" s="13" t="s">
        <v>363</v>
      </c>
      <c r="D46" s="19" t="s">
        <v>391</v>
      </c>
      <c r="E46" s="10" t="s">
        <v>225</v>
      </c>
      <c r="F46" s="11">
        <v>115</v>
      </c>
      <c r="G46" s="18">
        <v>59520</v>
      </c>
      <c r="H46" s="18">
        <f t="shared" si="24"/>
        <v>11904</v>
      </c>
      <c r="I46" s="18">
        <f t="shared" si="25"/>
        <v>21427.200000000001</v>
      </c>
      <c r="J46" s="18">
        <f t="shared" si="26"/>
        <v>13927.679999999998</v>
      </c>
      <c r="K46" s="11">
        <f t="shared" si="27"/>
        <v>106778.87999999999</v>
      </c>
      <c r="L46" s="11">
        <f t="shared" si="28"/>
        <v>26694.719999999998</v>
      </c>
      <c r="M46" s="11">
        <f t="shared" si="7"/>
        <v>8542.3103999999985</v>
      </c>
      <c r="N46" s="11">
        <f t="shared" si="8"/>
        <v>2135.5775999999996</v>
      </c>
      <c r="O46" s="11">
        <f t="shared" si="5"/>
        <v>13261936.896</v>
      </c>
      <c r="P46" s="11">
        <f t="shared" si="6"/>
        <v>3315484.2239999999</v>
      </c>
      <c r="Q46" s="8"/>
    </row>
    <row r="47" spans="1:17" ht="31.5" x14ac:dyDescent="0.25">
      <c r="A47" s="8"/>
      <c r="B47" s="13" t="s">
        <v>41</v>
      </c>
      <c r="C47" s="13" t="s">
        <v>364</v>
      </c>
      <c r="D47" s="19" t="s">
        <v>391</v>
      </c>
      <c r="E47" s="10" t="s">
        <v>225</v>
      </c>
      <c r="F47" s="11">
        <v>81</v>
      </c>
      <c r="G47" s="18">
        <v>66000</v>
      </c>
      <c r="H47" s="18">
        <f t="shared" si="24"/>
        <v>13200</v>
      </c>
      <c r="I47" s="18">
        <f t="shared" si="25"/>
        <v>23760</v>
      </c>
      <c r="J47" s="18">
        <f t="shared" si="26"/>
        <v>15444</v>
      </c>
      <c r="K47" s="11">
        <f t="shared" si="27"/>
        <v>118404</v>
      </c>
      <c r="L47" s="11">
        <f t="shared" si="28"/>
        <v>29601</v>
      </c>
      <c r="M47" s="11">
        <f t="shared" si="7"/>
        <v>9472.32</v>
      </c>
      <c r="N47" s="11">
        <f t="shared" si="8"/>
        <v>2368.08</v>
      </c>
      <c r="O47" s="11">
        <f t="shared" si="5"/>
        <v>10357981.92</v>
      </c>
      <c r="P47" s="11">
        <f t="shared" si="6"/>
        <v>2589495.48</v>
      </c>
      <c r="Q47" s="8"/>
    </row>
    <row r="48" spans="1:17" ht="31.5" x14ac:dyDescent="0.25">
      <c r="A48" s="8"/>
      <c r="B48" s="13" t="s">
        <v>42</v>
      </c>
      <c r="C48" s="13" t="s">
        <v>365</v>
      </c>
      <c r="D48" s="19" t="s">
        <v>391</v>
      </c>
      <c r="E48" s="10" t="s">
        <v>225</v>
      </c>
      <c r="F48" s="11">
        <v>47</v>
      </c>
      <c r="G48" s="18">
        <v>70520</v>
      </c>
      <c r="H48" s="18">
        <f t="shared" si="24"/>
        <v>14104</v>
      </c>
      <c r="I48" s="18">
        <f t="shared" si="25"/>
        <v>25387.200000000001</v>
      </c>
      <c r="J48" s="18">
        <f t="shared" si="26"/>
        <v>16501.68</v>
      </c>
      <c r="K48" s="11">
        <f t="shared" si="27"/>
        <v>126512.88</v>
      </c>
      <c r="L48" s="11">
        <f t="shared" si="28"/>
        <v>31628.22</v>
      </c>
      <c r="M48" s="11">
        <f t="shared" si="7"/>
        <v>10121.030400000001</v>
      </c>
      <c r="N48" s="11">
        <f t="shared" si="8"/>
        <v>2530.2576000000004</v>
      </c>
      <c r="O48" s="11">
        <f t="shared" si="5"/>
        <v>6421793.7887999993</v>
      </c>
      <c r="P48" s="11">
        <f t="shared" si="6"/>
        <v>1605448.4471999998</v>
      </c>
      <c r="Q48" s="8"/>
    </row>
    <row r="49" spans="1:17" ht="31.5" x14ac:dyDescent="0.25">
      <c r="A49" s="8"/>
      <c r="B49" s="13" t="s">
        <v>43</v>
      </c>
      <c r="C49" s="13" t="s">
        <v>366</v>
      </c>
      <c r="D49" s="19" t="s">
        <v>391</v>
      </c>
      <c r="E49" s="10" t="s">
        <v>225</v>
      </c>
      <c r="F49" s="11">
        <v>42</v>
      </c>
      <c r="G49" s="18">
        <v>76320</v>
      </c>
      <c r="H49" s="18">
        <f t="shared" si="24"/>
        <v>15264</v>
      </c>
      <c r="I49" s="18">
        <f t="shared" si="25"/>
        <v>27475.200000000001</v>
      </c>
      <c r="J49" s="18">
        <f t="shared" si="26"/>
        <v>17858.879999999997</v>
      </c>
      <c r="K49" s="11">
        <f t="shared" si="27"/>
        <v>136918.07999999999</v>
      </c>
      <c r="L49" s="11">
        <f t="shared" si="28"/>
        <v>34229.519999999997</v>
      </c>
      <c r="M49" s="11">
        <f t="shared" si="7"/>
        <v>10953.446399999999</v>
      </c>
      <c r="N49" s="11">
        <f t="shared" si="8"/>
        <v>2738.3615999999997</v>
      </c>
      <c r="O49" s="11">
        <f t="shared" si="5"/>
        <v>6210604.1087999986</v>
      </c>
      <c r="P49" s="11">
        <f t="shared" si="6"/>
        <v>1552651.0271999997</v>
      </c>
      <c r="Q49" s="8"/>
    </row>
    <row r="50" spans="1:17" ht="31.5" x14ac:dyDescent="0.25">
      <c r="A50" s="8"/>
      <c r="B50" s="13" t="s">
        <v>44</v>
      </c>
      <c r="C50" s="13" t="s">
        <v>367</v>
      </c>
      <c r="D50" s="19" t="s">
        <v>391</v>
      </c>
      <c r="E50" s="10" t="s">
        <v>225</v>
      </c>
      <c r="F50" s="11">
        <v>100</v>
      </c>
      <c r="G50" s="18">
        <v>86700</v>
      </c>
      <c r="H50" s="18">
        <f t="shared" si="24"/>
        <v>17340</v>
      </c>
      <c r="I50" s="18">
        <f t="shared" si="25"/>
        <v>31212</v>
      </c>
      <c r="J50" s="18">
        <f t="shared" si="26"/>
        <v>20287.8</v>
      </c>
      <c r="K50" s="11">
        <f t="shared" si="27"/>
        <v>155539.79999999999</v>
      </c>
      <c r="L50" s="11">
        <f t="shared" si="28"/>
        <v>38884.949999999997</v>
      </c>
      <c r="M50" s="11">
        <f t="shared" si="7"/>
        <v>12443.183999999999</v>
      </c>
      <c r="N50" s="11">
        <f t="shared" si="8"/>
        <v>3110.7959999999998</v>
      </c>
      <c r="O50" s="11">
        <f t="shared" si="5"/>
        <v>16798298.399999999</v>
      </c>
      <c r="P50" s="11">
        <f t="shared" si="6"/>
        <v>4199574.5999999996</v>
      </c>
      <c r="Q50" s="8"/>
    </row>
    <row r="51" spans="1:17" x14ac:dyDescent="0.25">
      <c r="A51" s="8"/>
      <c r="B51" s="9" t="s">
        <v>45</v>
      </c>
      <c r="C51" s="8"/>
      <c r="D51" s="8"/>
      <c r="E51" s="10"/>
      <c r="F51" s="11"/>
      <c r="G51" s="18"/>
      <c r="H51" s="18"/>
      <c r="I51" s="18"/>
      <c r="J51" s="18"/>
      <c r="K51" s="11"/>
      <c r="L51" s="11"/>
      <c r="M51" s="11"/>
      <c r="N51" s="11"/>
      <c r="O51" s="11"/>
      <c r="P51" s="11"/>
      <c r="Q51" s="8"/>
    </row>
    <row r="52" spans="1:17" x14ac:dyDescent="0.25">
      <c r="A52" s="8"/>
      <c r="B52" s="14" t="s">
        <v>46</v>
      </c>
      <c r="C52" s="8"/>
      <c r="D52" s="8"/>
      <c r="E52" s="10"/>
      <c r="F52" s="11"/>
      <c r="G52" s="18"/>
      <c r="H52" s="18"/>
      <c r="I52" s="18"/>
      <c r="J52" s="18"/>
      <c r="K52" s="11"/>
      <c r="L52" s="11"/>
      <c r="M52" s="11"/>
      <c r="N52" s="11">
        <f t="shared" si="8"/>
        <v>0</v>
      </c>
      <c r="O52" s="11">
        <f t="shared" ref="O52:O93" si="29">(G52+M52)*F52</f>
        <v>0</v>
      </c>
      <c r="P52" s="11">
        <f t="shared" ref="P52:P93" si="30">(L52+N52)*F52</f>
        <v>0</v>
      </c>
      <c r="Q52" s="8"/>
    </row>
    <row r="53" spans="1:17" ht="31.5" x14ac:dyDescent="0.25">
      <c r="A53" s="8"/>
      <c r="B53" s="14" t="s">
        <v>47</v>
      </c>
      <c r="C53" s="8"/>
      <c r="D53" s="8"/>
      <c r="E53" s="10" t="s">
        <v>225</v>
      </c>
      <c r="F53" s="11">
        <v>3</v>
      </c>
      <c r="G53" s="18"/>
      <c r="H53" s="18"/>
      <c r="I53" s="18"/>
      <c r="J53" s="18"/>
      <c r="K53" s="11"/>
      <c r="L53" s="11"/>
      <c r="M53" s="11"/>
      <c r="N53" s="11">
        <f t="shared" si="8"/>
        <v>0</v>
      </c>
      <c r="O53" s="11">
        <f t="shared" si="29"/>
        <v>0</v>
      </c>
      <c r="P53" s="11">
        <f t="shared" si="30"/>
        <v>0</v>
      </c>
      <c r="Q53" s="8"/>
    </row>
    <row r="54" spans="1:17" ht="31.5" x14ac:dyDescent="0.25">
      <c r="A54" s="8"/>
      <c r="B54" s="14" t="s">
        <v>48</v>
      </c>
      <c r="C54" s="8"/>
      <c r="D54" s="8"/>
      <c r="E54" s="10" t="s">
        <v>225</v>
      </c>
      <c r="F54" s="11">
        <v>8</v>
      </c>
      <c r="G54" s="18"/>
      <c r="H54" s="18"/>
      <c r="I54" s="18"/>
      <c r="J54" s="18"/>
      <c r="K54" s="11"/>
      <c r="L54" s="11"/>
      <c r="M54" s="11"/>
      <c r="N54" s="11">
        <f t="shared" si="8"/>
        <v>0</v>
      </c>
      <c r="O54" s="11">
        <f t="shared" si="29"/>
        <v>0</v>
      </c>
      <c r="P54" s="11">
        <f t="shared" si="30"/>
        <v>0</v>
      </c>
      <c r="Q54" s="8"/>
    </row>
    <row r="55" spans="1:17" ht="31.5" x14ac:dyDescent="0.25">
      <c r="A55" s="8"/>
      <c r="B55" s="14" t="s">
        <v>49</v>
      </c>
      <c r="C55" s="8"/>
      <c r="D55" s="8"/>
      <c r="E55" s="10" t="s">
        <v>225</v>
      </c>
      <c r="F55" s="11">
        <v>25</v>
      </c>
      <c r="G55" s="18"/>
      <c r="H55" s="18"/>
      <c r="I55" s="18"/>
      <c r="J55" s="18"/>
      <c r="K55" s="11"/>
      <c r="L55" s="11"/>
      <c r="M55" s="11"/>
      <c r="N55" s="11">
        <f t="shared" si="8"/>
        <v>0</v>
      </c>
      <c r="O55" s="11">
        <f t="shared" si="29"/>
        <v>0</v>
      </c>
      <c r="P55" s="11">
        <f t="shared" si="30"/>
        <v>0</v>
      </c>
      <c r="Q55" s="8"/>
    </row>
    <row r="56" spans="1:17" ht="31.5" x14ac:dyDescent="0.25">
      <c r="A56" s="8"/>
      <c r="B56" s="14" t="s">
        <v>50</v>
      </c>
      <c r="C56" s="8"/>
      <c r="D56" s="8"/>
      <c r="E56" s="10" t="s">
        <v>225</v>
      </c>
      <c r="F56" s="11">
        <v>53</v>
      </c>
      <c r="G56" s="18"/>
      <c r="H56" s="18"/>
      <c r="I56" s="18"/>
      <c r="J56" s="18"/>
      <c r="K56" s="11"/>
      <c r="L56" s="11"/>
      <c r="M56" s="11"/>
      <c r="N56" s="11">
        <f t="shared" si="8"/>
        <v>0</v>
      </c>
      <c r="O56" s="11">
        <f t="shared" si="29"/>
        <v>0</v>
      </c>
      <c r="P56" s="11">
        <f t="shared" si="30"/>
        <v>0</v>
      </c>
      <c r="Q56" s="8"/>
    </row>
    <row r="57" spans="1:17" ht="31.5" x14ac:dyDescent="0.25">
      <c r="A57" s="8"/>
      <c r="B57" s="14" t="s">
        <v>51</v>
      </c>
      <c r="C57" s="8"/>
      <c r="D57" s="8"/>
      <c r="E57" s="10" t="s">
        <v>225</v>
      </c>
      <c r="F57" s="11">
        <v>5</v>
      </c>
      <c r="G57" s="18"/>
      <c r="H57" s="18"/>
      <c r="I57" s="18"/>
      <c r="J57" s="18"/>
      <c r="K57" s="11"/>
      <c r="L57" s="11"/>
      <c r="M57" s="11"/>
      <c r="N57" s="11">
        <f t="shared" si="8"/>
        <v>0</v>
      </c>
      <c r="O57" s="11">
        <f t="shared" si="29"/>
        <v>0</v>
      </c>
      <c r="P57" s="11">
        <f t="shared" si="30"/>
        <v>0</v>
      </c>
      <c r="Q57" s="8"/>
    </row>
    <row r="58" spans="1:17" ht="31.5" x14ac:dyDescent="0.25">
      <c r="A58" s="8"/>
      <c r="B58" s="14" t="s">
        <v>52</v>
      </c>
      <c r="C58" s="8"/>
      <c r="D58" s="8"/>
      <c r="E58" s="10" t="s">
        <v>225</v>
      </c>
      <c r="F58" s="11">
        <v>36</v>
      </c>
      <c r="G58" s="18"/>
      <c r="H58" s="18"/>
      <c r="I58" s="18"/>
      <c r="J58" s="18"/>
      <c r="K58" s="11"/>
      <c r="L58" s="11"/>
      <c r="M58" s="11"/>
      <c r="N58" s="11">
        <f t="shared" si="8"/>
        <v>0</v>
      </c>
      <c r="O58" s="11">
        <f t="shared" si="29"/>
        <v>0</v>
      </c>
      <c r="P58" s="11">
        <f t="shared" si="30"/>
        <v>0</v>
      </c>
      <c r="Q58" s="8"/>
    </row>
    <row r="59" spans="1:17" ht="31.5" x14ac:dyDescent="0.25">
      <c r="A59" s="8"/>
      <c r="B59" s="14" t="s">
        <v>53</v>
      </c>
      <c r="C59" s="8"/>
      <c r="D59" s="8"/>
      <c r="E59" s="10" t="s">
        <v>225</v>
      </c>
      <c r="F59" s="11">
        <v>39</v>
      </c>
      <c r="G59" s="18"/>
      <c r="H59" s="18"/>
      <c r="I59" s="18"/>
      <c r="J59" s="18"/>
      <c r="K59" s="11"/>
      <c r="L59" s="11"/>
      <c r="M59" s="11"/>
      <c r="N59" s="11">
        <f t="shared" si="8"/>
        <v>0</v>
      </c>
      <c r="O59" s="11">
        <f t="shared" si="29"/>
        <v>0</v>
      </c>
      <c r="P59" s="11">
        <f t="shared" si="30"/>
        <v>0</v>
      </c>
      <c r="Q59" s="8"/>
    </row>
    <row r="60" spans="1:17" ht="31.5" x14ac:dyDescent="0.25">
      <c r="A60" s="8"/>
      <c r="B60" s="14" t="s">
        <v>54</v>
      </c>
      <c r="C60" s="8"/>
      <c r="D60" s="8"/>
      <c r="E60" s="10" t="s">
        <v>225</v>
      </c>
      <c r="F60" s="11">
        <v>224</v>
      </c>
      <c r="G60" s="18"/>
      <c r="H60" s="18"/>
      <c r="I60" s="18"/>
      <c r="J60" s="18"/>
      <c r="K60" s="11"/>
      <c r="L60" s="11"/>
      <c r="M60" s="11"/>
      <c r="N60" s="11">
        <f t="shared" si="8"/>
        <v>0</v>
      </c>
      <c r="O60" s="11">
        <f t="shared" si="29"/>
        <v>0</v>
      </c>
      <c r="P60" s="11">
        <f t="shared" si="30"/>
        <v>0</v>
      </c>
      <c r="Q60" s="8"/>
    </row>
    <row r="61" spans="1:17" ht="31.5" x14ac:dyDescent="0.25">
      <c r="A61" s="8"/>
      <c r="B61" s="14" t="s">
        <v>55</v>
      </c>
      <c r="C61" s="8"/>
      <c r="D61" s="8"/>
      <c r="E61" s="10" t="s">
        <v>225</v>
      </c>
      <c r="F61" s="11">
        <v>44</v>
      </c>
      <c r="G61" s="18"/>
      <c r="H61" s="18"/>
      <c r="I61" s="18"/>
      <c r="J61" s="18"/>
      <c r="K61" s="11"/>
      <c r="L61" s="11"/>
      <c r="M61" s="11"/>
      <c r="N61" s="11">
        <f t="shared" si="8"/>
        <v>0</v>
      </c>
      <c r="O61" s="11">
        <f t="shared" si="29"/>
        <v>0</v>
      </c>
      <c r="P61" s="11">
        <f t="shared" si="30"/>
        <v>0</v>
      </c>
      <c r="Q61" s="8"/>
    </row>
    <row r="62" spans="1:17" ht="31.5" x14ac:dyDescent="0.25">
      <c r="A62" s="8"/>
      <c r="B62" s="14" t="s">
        <v>56</v>
      </c>
      <c r="C62" s="8"/>
      <c r="D62" s="8"/>
      <c r="E62" s="10" t="s">
        <v>225</v>
      </c>
      <c r="F62" s="11">
        <v>29</v>
      </c>
      <c r="G62" s="18"/>
      <c r="H62" s="18"/>
      <c r="I62" s="18"/>
      <c r="J62" s="18"/>
      <c r="K62" s="11"/>
      <c r="L62" s="11"/>
      <c r="M62" s="11"/>
      <c r="N62" s="11">
        <f t="shared" si="8"/>
        <v>0</v>
      </c>
      <c r="O62" s="11">
        <f t="shared" si="29"/>
        <v>0</v>
      </c>
      <c r="P62" s="11">
        <f t="shared" si="30"/>
        <v>0</v>
      </c>
      <c r="Q62" s="8"/>
    </row>
    <row r="63" spans="1:17" ht="31.5" x14ac:dyDescent="0.25">
      <c r="A63" s="8"/>
      <c r="B63" s="14" t="s">
        <v>57</v>
      </c>
      <c r="C63" s="8"/>
      <c r="D63" s="8"/>
      <c r="E63" s="10" t="s">
        <v>225</v>
      </c>
      <c r="F63" s="11">
        <v>47</v>
      </c>
      <c r="G63" s="18"/>
      <c r="H63" s="18"/>
      <c r="I63" s="18"/>
      <c r="J63" s="18"/>
      <c r="K63" s="11"/>
      <c r="L63" s="11"/>
      <c r="M63" s="11"/>
      <c r="N63" s="11">
        <f t="shared" si="8"/>
        <v>0</v>
      </c>
      <c r="O63" s="11">
        <f t="shared" si="29"/>
        <v>0</v>
      </c>
      <c r="P63" s="11">
        <f t="shared" si="30"/>
        <v>0</v>
      </c>
      <c r="Q63" s="8"/>
    </row>
    <row r="64" spans="1:17" ht="31.5" x14ac:dyDescent="0.25">
      <c r="A64" s="8"/>
      <c r="B64" s="14" t="s">
        <v>58</v>
      </c>
      <c r="C64" s="8"/>
      <c r="D64" s="8"/>
      <c r="E64" s="10" t="s">
        <v>225</v>
      </c>
      <c r="F64" s="11">
        <v>88</v>
      </c>
      <c r="G64" s="18"/>
      <c r="H64" s="18"/>
      <c r="I64" s="18"/>
      <c r="J64" s="18"/>
      <c r="K64" s="11"/>
      <c r="L64" s="11"/>
      <c r="M64" s="11"/>
      <c r="N64" s="11">
        <f t="shared" si="8"/>
        <v>0</v>
      </c>
      <c r="O64" s="11">
        <f t="shared" si="29"/>
        <v>0</v>
      </c>
      <c r="P64" s="11">
        <f t="shared" si="30"/>
        <v>0</v>
      </c>
      <c r="Q64" s="8"/>
    </row>
    <row r="65" spans="1:17" ht="31.5" x14ac:dyDescent="0.25">
      <c r="A65" s="8"/>
      <c r="B65" s="14" t="s">
        <v>59</v>
      </c>
      <c r="C65" s="8"/>
      <c r="D65" s="8"/>
      <c r="E65" s="10" t="s">
        <v>225</v>
      </c>
      <c r="F65" s="11">
        <v>9</v>
      </c>
      <c r="G65" s="18"/>
      <c r="H65" s="18"/>
      <c r="I65" s="18"/>
      <c r="J65" s="18"/>
      <c r="K65" s="11"/>
      <c r="L65" s="11"/>
      <c r="M65" s="11"/>
      <c r="N65" s="11">
        <f t="shared" si="8"/>
        <v>0</v>
      </c>
      <c r="O65" s="11">
        <f t="shared" si="29"/>
        <v>0</v>
      </c>
      <c r="P65" s="11">
        <f t="shared" si="30"/>
        <v>0</v>
      </c>
      <c r="Q65" s="8"/>
    </row>
    <row r="66" spans="1:17" ht="31.5" x14ac:dyDescent="0.25">
      <c r="A66" s="8"/>
      <c r="B66" s="14" t="s">
        <v>60</v>
      </c>
      <c r="C66" s="8"/>
      <c r="D66" s="8"/>
      <c r="E66" s="10" t="s">
        <v>225</v>
      </c>
      <c r="F66" s="11">
        <v>9</v>
      </c>
      <c r="G66" s="18"/>
      <c r="H66" s="18"/>
      <c r="I66" s="18"/>
      <c r="J66" s="18"/>
      <c r="K66" s="11"/>
      <c r="L66" s="11"/>
      <c r="M66" s="11"/>
      <c r="N66" s="11">
        <f t="shared" si="8"/>
        <v>0</v>
      </c>
      <c r="O66" s="11">
        <f t="shared" si="29"/>
        <v>0</v>
      </c>
      <c r="P66" s="11">
        <f t="shared" si="30"/>
        <v>0</v>
      </c>
      <c r="Q66" s="8"/>
    </row>
    <row r="67" spans="1:17" ht="31.5" x14ac:dyDescent="0.25">
      <c r="A67" s="8"/>
      <c r="B67" s="14" t="s">
        <v>61</v>
      </c>
      <c r="C67" s="8"/>
      <c r="D67" s="8"/>
      <c r="E67" s="10" t="s">
        <v>225</v>
      </c>
      <c r="F67" s="11">
        <v>7</v>
      </c>
      <c r="G67" s="18"/>
      <c r="H67" s="18"/>
      <c r="I67" s="18"/>
      <c r="J67" s="18"/>
      <c r="K67" s="11"/>
      <c r="L67" s="11"/>
      <c r="M67" s="11"/>
      <c r="N67" s="11">
        <f t="shared" si="8"/>
        <v>0</v>
      </c>
      <c r="O67" s="11">
        <f t="shared" si="29"/>
        <v>0</v>
      </c>
      <c r="P67" s="11">
        <f t="shared" si="30"/>
        <v>0</v>
      </c>
      <c r="Q67" s="8"/>
    </row>
    <row r="68" spans="1:17" ht="31.5" x14ac:dyDescent="0.25">
      <c r="A68" s="8"/>
      <c r="B68" s="14" t="s">
        <v>62</v>
      </c>
      <c r="C68" s="8"/>
      <c r="D68" s="8"/>
      <c r="E68" s="10" t="s">
        <v>225</v>
      </c>
      <c r="F68" s="11">
        <v>8</v>
      </c>
      <c r="G68" s="18"/>
      <c r="H68" s="18"/>
      <c r="I68" s="18"/>
      <c r="J68" s="18"/>
      <c r="K68" s="11"/>
      <c r="L68" s="11"/>
      <c r="M68" s="11"/>
      <c r="N68" s="11">
        <f t="shared" si="8"/>
        <v>0</v>
      </c>
      <c r="O68" s="11">
        <f t="shared" si="29"/>
        <v>0</v>
      </c>
      <c r="P68" s="11">
        <f t="shared" si="30"/>
        <v>0</v>
      </c>
      <c r="Q68" s="8"/>
    </row>
    <row r="69" spans="1:17" ht="31.5" x14ac:dyDescent="0.25">
      <c r="A69" s="8"/>
      <c r="B69" s="14" t="s">
        <v>63</v>
      </c>
      <c r="C69" s="8"/>
      <c r="D69" s="8"/>
      <c r="E69" s="10" t="s">
        <v>225</v>
      </c>
      <c r="F69" s="11">
        <v>17</v>
      </c>
      <c r="G69" s="18"/>
      <c r="H69" s="18"/>
      <c r="I69" s="18"/>
      <c r="J69" s="18"/>
      <c r="K69" s="11"/>
      <c r="L69" s="11"/>
      <c r="M69" s="11"/>
      <c r="N69" s="11">
        <f t="shared" si="8"/>
        <v>0</v>
      </c>
      <c r="O69" s="11">
        <f t="shared" si="29"/>
        <v>0</v>
      </c>
      <c r="P69" s="11">
        <f t="shared" si="30"/>
        <v>0</v>
      </c>
      <c r="Q69" s="8"/>
    </row>
    <row r="70" spans="1:17" x14ac:dyDescent="0.25">
      <c r="A70" s="8"/>
      <c r="B70" s="14" t="s">
        <v>64</v>
      </c>
      <c r="C70" s="8"/>
      <c r="D70" s="8"/>
      <c r="E70" s="10" t="s">
        <v>225</v>
      </c>
      <c r="F70" s="11">
        <v>28</v>
      </c>
      <c r="G70" s="18"/>
      <c r="H70" s="18"/>
      <c r="I70" s="18"/>
      <c r="J70" s="18"/>
      <c r="K70" s="11"/>
      <c r="L70" s="11"/>
      <c r="M70" s="11"/>
      <c r="N70" s="11">
        <f t="shared" si="8"/>
        <v>0</v>
      </c>
      <c r="O70" s="11">
        <f t="shared" si="29"/>
        <v>0</v>
      </c>
      <c r="P70" s="11">
        <f t="shared" si="30"/>
        <v>0</v>
      </c>
      <c r="Q70" s="8"/>
    </row>
    <row r="71" spans="1:17" x14ac:dyDescent="0.25">
      <c r="A71" s="8"/>
      <c r="B71" s="14" t="s">
        <v>65</v>
      </c>
      <c r="C71" s="8"/>
      <c r="D71" s="8"/>
      <c r="E71" s="10" t="s">
        <v>225</v>
      </c>
      <c r="F71" s="11">
        <v>28</v>
      </c>
      <c r="G71" s="18"/>
      <c r="H71" s="18"/>
      <c r="I71" s="18"/>
      <c r="J71" s="18"/>
      <c r="K71" s="11"/>
      <c r="L71" s="11"/>
      <c r="M71" s="11"/>
      <c r="N71" s="11">
        <f t="shared" si="8"/>
        <v>0</v>
      </c>
      <c r="O71" s="11">
        <f t="shared" si="29"/>
        <v>0</v>
      </c>
      <c r="P71" s="11">
        <f t="shared" si="30"/>
        <v>0</v>
      </c>
      <c r="Q71" s="8"/>
    </row>
    <row r="72" spans="1:17" x14ac:dyDescent="0.25">
      <c r="A72" s="8"/>
      <c r="B72" s="14" t="s">
        <v>66</v>
      </c>
      <c r="C72" s="8"/>
      <c r="D72" s="8"/>
      <c r="E72" s="10" t="s">
        <v>228</v>
      </c>
      <c r="F72" s="11">
        <v>1</v>
      </c>
      <c r="G72" s="18"/>
      <c r="H72" s="18"/>
      <c r="I72" s="18"/>
      <c r="J72" s="18"/>
      <c r="K72" s="11"/>
      <c r="L72" s="11"/>
      <c r="M72" s="11"/>
      <c r="N72" s="11">
        <f t="shared" si="8"/>
        <v>0</v>
      </c>
      <c r="O72" s="11">
        <f t="shared" si="29"/>
        <v>0</v>
      </c>
      <c r="P72" s="11">
        <f t="shared" si="30"/>
        <v>0</v>
      </c>
      <c r="Q72" s="8"/>
    </row>
    <row r="73" spans="1:17" x14ac:dyDescent="0.25">
      <c r="A73" s="8"/>
      <c r="B73" s="14" t="s">
        <v>67</v>
      </c>
      <c r="C73" s="8"/>
      <c r="D73" s="8"/>
      <c r="E73" s="10"/>
      <c r="F73" s="11"/>
      <c r="G73" s="18"/>
      <c r="H73" s="18"/>
      <c r="I73" s="18"/>
      <c r="J73" s="18"/>
      <c r="K73" s="11"/>
      <c r="L73" s="11"/>
      <c r="M73" s="11"/>
      <c r="N73" s="11">
        <f t="shared" si="8"/>
        <v>0</v>
      </c>
      <c r="O73" s="11">
        <f t="shared" si="29"/>
        <v>0</v>
      </c>
      <c r="P73" s="11">
        <f t="shared" si="30"/>
        <v>0</v>
      </c>
      <c r="Q73" s="8"/>
    </row>
    <row r="74" spans="1:17" ht="31.5" x14ac:dyDescent="0.25">
      <c r="A74" s="8"/>
      <c r="B74" s="14" t="s">
        <v>68</v>
      </c>
      <c r="C74" s="8"/>
      <c r="D74" s="8"/>
      <c r="E74" s="10" t="s">
        <v>225</v>
      </c>
      <c r="F74" s="11">
        <v>8</v>
      </c>
      <c r="G74" s="18"/>
      <c r="H74" s="18"/>
      <c r="I74" s="18"/>
      <c r="J74" s="18"/>
      <c r="K74" s="11"/>
      <c r="L74" s="11"/>
      <c r="M74" s="11"/>
      <c r="N74" s="11">
        <f t="shared" si="8"/>
        <v>0</v>
      </c>
      <c r="O74" s="11">
        <f t="shared" si="29"/>
        <v>0</v>
      </c>
      <c r="P74" s="11">
        <f t="shared" si="30"/>
        <v>0</v>
      </c>
      <c r="Q74" s="8"/>
    </row>
    <row r="75" spans="1:17" ht="31.5" x14ac:dyDescent="0.25">
      <c r="A75" s="8"/>
      <c r="B75" s="14" t="s">
        <v>69</v>
      </c>
      <c r="C75" s="8"/>
      <c r="D75" s="8"/>
      <c r="E75" s="10" t="s">
        <v>225</v>
      </c>
      <c r="F75" s="11">
        <v>42</v>
      </c>
      <c r="G75" s="18"/>
      <c r="H75" s="18"/>
      <c r="I75" s="18"/>
      <c r="J75" s="18"/>
      <c r="K75" s="11"/>
      <c r="L75" s="11"/>
      <c r="M75" s="11"/>
      <c r="N75" s="11">
        <f t="shared" si="8"/>
        <v>0</v>
      </c>
      <c r="O75" s="11">
        <f t="shared" si="29"/>
        <v>0</v>
      </c>
      <c r="P75" s="11">
        <f t="shared" si="30"/>
        <v>0</v>
      </c>
      <c r="Q75" s="8"/>
    </row>
    <row r="76" spans="1:17" ht="31.5" x14ac:dyDescent="0.25">
      <c r="A76" s="8"/>
      <c r="B76" s="14" t="s">
        <v>70</v>
      </c>
      <c r="C76" s="8"/>
      <c r="D76" s="8"/>
      <c r="E76" s="10" t="s">
        <v>225</v>
      </c>
      <c r="F76" s="11">
        <v>280</v>
      </c>
      <c r="G76" s="18"/>
      <c r="H76" s="18"/>
      <c r="I76" s="18"/>
      <c r="J76" s="18"/>
      <c r="K76" s="11"/>
      <c r="L76" s="11"/>
      <c r="M76" s="11"/>
      <c r="N76" s="11">
        <f t="shared" ref="N76:N139" si="31">L76*8%</f>
        <v>0</v>
      </c>
      <c r="O76" s="11">
        <f t="shared" si="29"/>
        <v>0</v>
      </c>
      <c r="P76" s="11">
        <f t="shared" si="30"/>
        <v>0</v>
      </c>
      <c r="Q76" s="8"/>
    </row>
    <row r="77" spans="1:17" ht="31.5" x14ac:dyDescent="0.25">
      <c r="A77" s="8"/>
      <c r="B77" s="14" t="s">
        <v>71</v>
      </c>
      <c r="C77" s="8"/>
      <c r="D77" s="8"/>
      <c r="E77" s="10" t="s">
        <v>225</v>
      </c>
      <c r="F77" s="11">
        <v>65</v>
      </c>
      <c r="G77" s="18"/>
      <c r="H77" s="18"/>
      <c r="I77" s="18"/>
      <c r="J77" s="18"/>
      <c r="K77" s="11"/>
      <c r="L77" s="11"/>
      <c r="M77" s="11"/>
      <c r="N77" s="11">
        <f t="shared" si="31"/>
        <v>0</v>
      </c>
      <c r="O77" s="11">
        <f t="shared" si="29"/>
        <v>0</v>
      </c>
      <c r="P77" s="11">
        <f t="shared" si="30"/>
        <v>0</v>
      </c>
      <c r="Q77" s="8"/>
    </row>
    <row r="78" spans="1:17" ht="31.5" x14ac:dyDescent="0.25">
      <c r="A78" s="8"/>
      <c r="B78" s="14" t="s">
        <v>72</v>
      </c>
      <c r="C78" s="8"/>
      <c r="D78" s="8"/>
      <c r="E78" s="10" t="s">
        <v>225</v>
      </c>
      <c r="F78" s="11">
        <v>17</v>
      </c>
      <c r="G78" s="18"/>
      <c r="H78" s="18"/>
      <c r="I78" s="18"/>
      <c r="J78" s="18"/>
      <c r="K78" s="11"/>
      <c r="L78" s="11"/>
      <c r="M78" s="11"/>
      <c r="N78" s="11">
        <f t="shared" si="31"/>
        <v>0</v>
      </c>
      <c r="O78" s="11">
        <f t="shared" si="29"/>
        <v>0</v>
      </c>
      <c r="P78" s="11">
        <f t="shared" si="30"/>
        <v>0</v>
      </c>
      <c r="Q78" s="8"/>
    </row>
    <row r="79" spans="1:17" ht="31.5" x14ac:dyDescent="0.25">
      <c r="A79" s="8"/>
      <c r="B79" s="14" t="s">
        <v>73</v>
      </c>
      <c r="C79" s="8"/>
      <c r="D79" s="8"/>
      <c r="E79" s="10" t="s">
        <v>225</v>
      </c>
      <c r="F79" s="11">
        <v>27</v>
      </c>
      <c r="G79" s="18"/>
      <c r="H79" s="18"/>
      <c r="I79" s="18"/>
      <c r="J79" s="18"/>
      <c r="K79" s="11"/>
      <c r="L79" s="11"/>
      <c r="M79" s="11"/>
      <c r="N79" s="11">
        <f t="shared" si="31"/>
        <v>0</v>
      </c>
      <c r="O79" s="11">
        <f t="shared" si="29"/>
        <v>0</v>
      </c>
      <c r="P79" s="11">
        <f t="shared" si="30"/>
        <v>0</v>
      </c>
      <c r="Q79" s="8"/>
    </row>
    <row r="80" spans="1:17" x14ac:dyDescent="0.25">
      <c r="A80" s="8"/>
      <c r="B80" s="14" t="s">
        <v>66</v>
      </c>
      <c r="C80" s="8"/>
      <c r="D80" s="8"/>
      <c r="E80" s="10" t="s">
        <v>228</v>
      </c>
      <c r="F80" s="11">
        <v>1</v>
      </c>
      <c r="G80" s="18"/>
      <c r="H80" s="18"/>
      <c r="I80" s="18"/>
      <c r="J80" s="18"/>
      <c r="K80" s="11"/>
      <c r="L80" s="11"/>
      <c r="M80" s="11"/>
      <c r="N80" s="11">
        <f t="shared" si="31"/>
        <v>0</v>
      </c>
      <c r="O80" s="11">
        <f t="shared" si="29"/>
        <v>0</v>
      </c>
      <c r="P80" s="11">
        <f t="shared" si="30"/>
        <v>0</v>
      </c>
      <c r="Q80" s="8"/>
    </row>
    <row r="81" spans="1:17" x14ac:dyDescent="0.25">
      <c r="A81" s="8"/>
      <c r="B81" s="14" t="s">
        <v>74</v>
      </c>
      <c r="C81" s="8"/>
      <c r="D81" s="8"/>
      <c r="E81" s="10"/>
      <c r="F81" s="11"/>
      <c r="G81" s="18"/>
      <c r="H81" s="18"/>
      <c r="I81" s="18"/>
      <c r="J81" s="18"/>
      <c r="K81" s="11"/>
      <c r="L81" s="11"/>
      <c r="M81" s="11"/>
      <c r="N81" s="11">
        <f t="shared" si="31"/>
        <v>0</v>
      </c>
      <c r="O81" s="11">
        <f t="shared" si="29"/>
        <v>0</v>
      </c>
      <c r="P81" s="11">
        <f t="shared" si="30"/>
        <v>0</v>
      </c>
      <c r="Q81" s="8"/>
    </row>
    <row r="82" spans="1:17" ht="31.5" x14ac:dyDescent="0.25">
      <c r="A82" s="8"/>
      <c r="B82" s="14" t="s">
        <v>75</v>
      </c>
      <c r="C82" s="8"/>
      <c r="D82" s="8"/>
      <c r="E82" s="10" t="s">
        <v>225</v>
      </c>
      <c r="F82" s="11">
        <v>10</v>
      </c>
      <c r="G82" s="18"/>
      <c r="H82" s="18"/>
      <c r="I82" s="18"/>
      <c r="J82" s="18"/>
      <c r="K82" s="11"/>
      <c r="L82" s="11"/>
      <c r="M82" s="11"/>
      <c r="N82" s="11">
        <f t="shared" si="31"/>
        <v>0</v>
      </c>
      <c r="O82" s="11">
        <f t="shared" si="29"/>
        <v>0</v>
      </c>
      <c r="P82" s="11">
        <f t="shared" si="30"/>
        <v>0</v>
      </c>
      <c r="Q82" s="8"/>
    </row>
    <row r="83" spans="1:17" ht="31.5" x14ac:dyDescent="0.25">
      <c r="A83" s="8"/>
      <c r="B83" s="14" t="s">
        <v>76</v>
      </c>
      <c r="C83" s="8"/>
      <c r="D83" s="8"/>
      <c r="E83" s="10" t="s">
        <v>225</v>
      </c>
      <c r="F83" s="11">
        <v>124</v>
      </c>
      <c r="G83" s="18"/>
      <c r="H83" s="18"/>
      <c r="I83" s="18"/>
      <c r="J83" s="18"/>
      <c r="K83" s="11"/>
      <c r="L83" s="11"/>
      <c r="M83" s="11"/>
      <c r="N83" s="11">
        <f t="shared" si="31"/>
        <v>0</v>
      </c>
      <c r="O83" s="11">
        <f t="shared" si="29"/>
        <v>0</v>
      </c>
      <c r="P83" s="11">
        <f t="shared" si="30"/>
        <v>0</v>
      </c>
      <c r="Q83" s="8"/>
    </row>
    <row r="84" spans="1:17" ht="31.5" x14ac:dyDescent="0.25">
      <c r="A84" s="8"/>
      <c r="B84" s="14" t="s">
        <v>77</v>
      </c>
      <c r="C84" s="8"/>
      <c r="D84" s="8"/>
      <c r="E84" s="10" t="s">
        <v>225</v>
      </c>
      <c r="F84" s="11">
        <v>20</v>
      </c>
      <c r="G84" s="18"/>
      <c r="H84" s="18"/>
      <c r="I84" s="18"/>
      <c r="J84" s="18"/>
      <c r="K84" s="11"/>
      <c r="L84" s="11"/>
      <c r="M84" s="11"/>
      <c r="N84" s="11">
        <f t="shared" si="31"/>
        <v>0</v>
      </c>
      <c r="O84" s="11">
        <f t="shared" si="29"/>
        <v>0</v>
      </c>
      <c r="P84" s="11">
        <f t="shared" si="30"/>
        <v>0</v>
      </c>
      <c r="Q84" s="8"/>
    </row>
    <row r="85" spans="1:17" ht="31.5" x14ac:dyDescent="0.25">
      <c r="A85" s="8"/>
      <c r="B85" s="14" t="s">
        <v>78</v>
      </c>
      <c r="C85" s="8"/>
      <c r="D85" s="8"/>
      <c r="E85" s="10" t="s">
        <v>225</v>
      </c>
      <c r="F85" s="11">
        <v>6</v>
      </c>
      <c r="G85" s="18"/>
      <c r="H85" s="18"/>
      <c r="I85" s="18"/>
      <c r="J85" s="18"/>
      <c r="K85" s="11"/>
      <c r="L85" s="11"/>
      <c r="M85" s="11"/>
      <c r="N85" s="11">
        <f t="shared" si="31"/>
        <v>0</v>
      </c>
      <c r="O85" s="11">
        <f t="shared" si="29"/>
        <v>0</v>
      </c>
      <c r="P85" s="11">
        <f t="shared" si="30"/>
        <v>0</v>
      </c>
      <c r="Q85" s="8"/>
    </row>
    <row r="86" spans="1:17" ht="31.5" x14ac:dyDescent="0.25">
      <c r="A86" s="8"/>
      <c r="B86" s="14" t="s">
        <v>79</v>
      </c>
      <c r="C86" s="8"/>
      <c r="D86" s="8"/>
      <c r="E86" s="10" t="s">
        <v>225</v>
      </c>
      <c r="F86" s="11">
        <v>110</v>
      </c>
      <c r="G86" s="18"/>
      <c r="H86" s="18"/>
      <c r="I86" s="18"/>
      <c r="J86" s="18"/>
      <c r="K86" s="11"/>
      <c r="L86" s="11"/>
      <c r="M86" s="11"/>
      <c r="N86" s="11">
        <f t="shared" si="31"/>
        <v>0</v>
      </c>
      <c r="O86" s="11">
        <f t="shared" si="29"/>
        <v>0</v>
      </c>
      <c r="P86" s="11">
        <f t="shared" si="30"/>
        <v>0</v>
      </c>
      <c r="Q86" s="8"/>
    </row>
    <row r="87" spans="1:17" x14ac:dyDescent="0.25">
      <c r="A87" s="8"/>
      <c r="B87" s="14" t="s">
        <v>66</v>
      </c>
      <c r="C87" s="8"/>
      <c r="D87" s="8"/>
      <c r="E87" s="10" t="s">
        <v>228</v>
      </c>
      <c r="F87" s="11">
        <v>1</v>
      </c>
      <c r="G87" s="18"/>
      <c r="H87" s="18"/>
      <c r="I87" s="18"/>
      <c r="J87" s="18"/>
      <c r="K87" s="11"/>
      <c r="L87" s="11"/>
      <c r="M87" s="11"/>
      <c r="N87" s="11">
        <f t="shared" si="31"/>
        <v>0</v>
      </c>
      <c r="O87" s="11">
        <f t="shared" si="29"/>
        <v>0</v>
      </c>
      <c r="P87" s="11">
        <f t="shared" si="30"/>
        <v>0</v>
      </c>
      <c r="Q87" s="8"/>
    </row>
    <row r="88" spans="1:17" x14ac:dyDescent="0.25">
      <c r="A88" s="8"/>
      <c r="B88" s="14" t="s">
        <v>80</v>
      </c>
      <c r="C88" s="8"/>
      <c r="D88" s="8"/>
      <c r="E88" s="10"/>
      <c r="F88" s="11"/>
      <c r="G88" s="18"/>
      <c r="H88" s="18"/>
      <c r="I88" s="18"/>
      <c r="J88" s="18"/>
      <c r="K88" s="11"/>
      <c r="L88" s="11"/>
      <c r="M88" s="11"/>
      <c r="N88" s="11">
        <f t="shared" si="31"/>
        <v>0</v>
      </c>
      <c r="O88" s="11">
        <f t="shared" si="29"/>
        <v>0</v>
      </c>
      <c r="P88" s="11">
        <f t="shared" si="30"/>
        <v>0</v>
      </c>
      <c r="Q88" s="8"/>
    </row>
    <row r="89" spans="1:17" x14ac:dyDescent="0.25">
      <c r="A89" s="8"/>
      <c r="B89" s="12" t="s">
        <v>81</v>
      </c>
      <c r="C89" s="8"/>
      <c r="D89" s="8"/>
      <c r="E89" s="10" t="s">
        <v>225</v>
      </c>
      <c r="F89" s="11">
        <v>123</v>
      </c>
      <c r="G89" s="18"/>
      <c r="H89" s="18"/>
      <c r="I89" s="18"/>
      <c r="J89" s="18"/>
      <c r="K89" s="11"/>
      <c r="L89" s="11"/>
      <c r="M89" s="11"/>
      <c r="N89" s="11">
        <f t="shared" si="31"/>
        <v>0</v>
      </c>
      <c r="O89" s="11">
        <f t="shared" si="29"/>
        <v>0</v>
      </c>
      <c r="P89" s="11">
        <f t="shared" si="30"/>
        <v>0</v>
      </c>
      <c r="Q89" s="8"/>
    </row>
    <row r="90" spans="1:17" x14ac:dyDescent="0.25">
      <c r="A90" s="8"/>
      <c r="B90" s="12" t="s">
        <v>82</v>
      </c>
      <c r="C90" s="8"/>
      <c r="D90" s="8"/>
      <c r="E90" s="10" t="s">
        <v>225</v>
      </c>
      <c r="F90" s="11">
        <v>10</v>
      </c>
      <c r="G90" s="18"/>
      <c r="H90" s="18"/>
      <c r="I90" s="18"/>
      <c r="J90" s="18"/>
      <c r="K90" s="11"/>
      <c r="L90" s="11"/>
      <c r="M90" s="11"/>
      <c r="N90" s="11">
        <f t="shared" si="31"/>
        <v>0</v>
      </c>
      <c r="O90" s="11">
        <f t="shared" si="29"/>
        <v>0</v>
      </c>
      <c r="P90" s="11">
        <f t="shared" si="30"/>
        <v>0</v>
      </c>
      <c r="Q90" s="8"/>
    </row>
    <row r="91" spans="1:17" x14ac:dyDescent="0.25">
      <c r="A91" s="8"/>
      <c r="B91" s="12" t="s">
        <v>83</v>
      </c>
      <c r="C91" s="8"/>
      <c r="D91" s="8"/>
      <c r="E91" s="10" t="s">
        <v>225</v>
      </c>
      <c r="F91" s="11">
        <v>5</v>
      </c>
      <c r="G91" s="18"/>
      <c r="H91" s="18"/>
      <c r="I91" s="18"/>
      <c r="J91" s="18"/>
      <c r="K91" s="11"/>
      <c r="L91" s="11"/>
      <c r="M91" s="11"/>
      <c r="N91" s="11">
        <f t="shared" si="31"/>
        <v>0</v>
      </c>
      <c r="O91" s="11">
        <f t="shared" si="29"/>
        <v>0</v>
      </c>
      <c r="P91" s="11">
        <f t="shared" si="30"/>
        <v>0</v>
      </c>
      <c r="Q91" s="8"/>
    </row>
    <row r="92" spans="1:17" x14ac:dyDescent="0.25">
      <c r="A92" s="8"/>
      <c r="B92" s="12" t="s">
        <v>84</v>
      </c>
      <c r="C92" s="8"/>
      <c r="D92" s="8"/>
      <c r="E92" s="10" t="s">
        <v>225</v>
      </c>
      <c r="F92" s="11">
        <v>12</v>
      </c>
      <c r="G92" s="18"/>
      <c r="H92" s="18"/>
      <c r="I92" s="18"/>
      <c r="J92" s="18"/>
      <c r="K92" s="11"/>
      <c r="L92" s="11"/>
      <c r="M92" s="11"/>
      <c r="N92" s="11">
        <f t="shared" si="31"/>
        <v>0</v>
      </c>
      <c r="O92" s="11">
        <f t="shared" si="29"/>
        <v>0</v>
      </c>
      <c r="P92" s="11">
        <f t="shared" si="30"/>
        <v>0</v>
      </c>
      <c r="Q92" s="8"/>
    </row>
    <row r="93" spans="1:17" x14ac:dyDescent="0.25">
      <c r="A93" s="8"/>
      <c r="B93" s="12" t="s">
        <v>66</v>
      </c>
      <c r="C93" s="8"/>
      <c r="D93" s="8"/>
      <c r="E93" s="10" t="s">
        <v>226</v>
      </c>
      <c r="F93" s="11">
        <v>1</v>
      </c>
      <c r="G93" s="18"/>
      <c r="H93" s="18"/>
      <c r="I93" s="18"/>
      <c r="J93" s="18"/>
      <c r="K93" s="11"/>
      <c r="L93" s="11"/>
      <c r="M93" s="11"/>
      <c r="N93" s="11">
        <f t="shared" si="31"/>
        <v>0</v>
      </c>
      <c r="O93" s="11">
        <f t="shared" si="29"/>
        <v>0</v>
      </c>
      <c r="P93" s="11">
        <f t="shared" si="30"/>
        <v>0</v>
      </c>
      <c r="Q93" s="8"/>
    </row>
    <row r="94" spans="1:17" x14ac:dyDescent="0.25">
      <c r="A94" s="8"/>
      <c r="B94" s="9" t="s">
        <v>85</v>
      </c>
      <c r="C94" s="8"/>
      <c r="D94" s="8"/>
      <c r="E94" s="10"/>
      <c r="F94" s="11"/>
      <c r="G94" s="18"/>
      <c r="H94" s="18"/>
      <c r="I94" s="18"/>
      <c r="J94" s="18"/>
      <c r="K94" s="11"/>
      <c r="L94" s="11"/>
      <c r="M94" s="11"/>
      <c r="N94" s="11"/>
      <c r="O94" s="11"/>
      <c r="P94" s="11"/>
      <c r="Q94" s="8"/>
    </row>
    <row r="95" spans="1:17" x14ac:dyDescent="0.25">
      <c r="A95" s="8"/>
      <c r="B95" s="14" t="s">
        <v>86</v>
      </c>
      <c r="C95" s="8"/>
      <c r="D95" s="8"/>
      <c r="E95" s="10"/>
      <c r="F95" s="11"/>
      <c r="G95" s="18"/>
      <c r="H95" s="18"/>
      <c r="I95" s="18"/>
      <c r="J95" s="18"/>
      <c r="K95" s="11"/>
      <c r="L95" s="11"/>
      <c r="M95" s="11"/>
      <c r="N95" s="11">
        <f t="shared" si="31"/>
        <v>0</v>
      </c>
      <c r="O95" s="11">
        <f t="shared" ref="O95:O126" si="32">(G95+M95)*F95</f>
        <v>0</v>
      </c>
      <c r="P95" s="11">
        <f t="shared" ref="P95:P126" si="33">(L95+N95)*F95</f>
        <v>0</v>
      </c>
      <c r="Q95" s="8"/>
    </row>
    <row r="96" spans="1:17" ht="31.5" x14ac:dyDescent="0.25">
      <c r="A96" s="8"/>
      <c r="B96" s="9" t="s">
        <v>87</v>
      </c>
      <c r="C96" s="8"/>
      <c r="D96" s="8"/>
      <c r="E96" s="10" t="s">
        <v>229</v>
      </c>
      <c r="F96" s="11">
        <v>1</v>
      </c>
      <c r="G96" s="18"/>
      <c r="H96" s="18"/>
      <c r="I96" s="18"/>
      <c r="J96" s="18"/>
      <c r="K96" s="11"/>
      <c r="L96" s="11"/>
      <c r="M96" s="11"/>
      <c r="N96" s="11">
        <f t="shared" si="31"/>
        <v>0</v>
      </c>
      <c r="O96" s="11">
        <f t="shared" si="32"/>
        <v>0</v>
      </c>
      <c r="P96" s="11">
        <f t="shared" si="33"/>
        <v>0</v>
      </c>
      <c r="Q96" s="8"/>
    </row>
    <row r="97" spans="1:17" ht="31.5" x14ac:dyDescent="0.25">
      <c r="A97" s="8"/>
      <c r="B97" s="9" t="s">
        <v>88</v>
      </c>
      <c r="C97" s="8"/>
      <c r="D97" s="8"/>
      <c r="E97" s="10" t="s">
        <v>229</v>
      </c>
      <c r="F97" s="11">
        <v>1</v>
      </c>
      <c r="G97" s="18"/>
      <c r="H97" s="18"/>
      <c r="I97" s="18"/>
      <c r="J97" s="18"/>
      <c r="K97" s="11"/>
      <c r="L97" s="11"/>
      <c r="M97" s="11"/>
      <c r="N97" s="11">
        <f t="shared" si="31"/>
        <v>0</v>
      </c>
      <c r="O97" s="11">
        <f t="shared" si="32"/>
        <v>0</v>
      </c>
      <c r="P97" s="11">
        <f t="shared" si="33"/>
        <v>0</v>
      </c>
      <c r="Q97" s="8"/>
    </row>
    <row r="98" spans="1:17" ht="31.5" x14ac:dyDescent="0.25">
      <c r="A98" s="8"/>
      <c r="B98" s="9" t="s">
        <v>89</v>
      </c>
      <c r="C98" s="8"/>
      <c r="D98" s="8"/>
      <c r="E98" s="10" t="s">
        <v>229</v>
      </c>
      <c r="F98" s="11">
        <v>1</v>
      </c>
      <c r="G98" s="18"/>
      <c r="H98" s="18"/>
      <c r="I98" s="18"/>
      <c r="J98" s="18"/>
      <c r="K98" s="11"/>
      <c r="L98" s="11"/>
      <c r="M98" s="11"/>
      <c r="N98" s="11">
        <f t="shared" si="31"/>
        <v>0</v>
      </c>
      <c r="O98" s="11">
        <f t="shared" si="32"/>
        <v>0</v>
      </c>
      <c r="P98" s="11">
        <f t="shared" si="33"/>
        <v>0</v>
      </c>
      <c r="Q98" s="8"/>
    </row>
    <row r="99" spans="1:17" ht="31.5" x14ac:dyDescent="0.25">
      <c r="A99" s="8"/>
      <c r="B99" s="9" t="s">
        <v>90</v>
      </c>
      <c r="C99" s="8"/>
      <c r="D99" s="8"/>
      <c r="E99" s="10" t="s">
        <v>229</v>
      </c>
      <c r="F99" s="11">
        <v>1</v>
      </c>
      <c r="G99" s="18"/>
      <c r="H99" s="18"/>
      <c r="I99" s="18"/>
      <c r="J99" s="18"/>
      <c r="K99" s="11"/>
      <c r="L99" s="11"/>
      <c r="M99" s="11"/>
      <c r="N99" s="11">
        <f t="shared" si="31"/>
        <v>0</v>
      </c>
      <c r="O99" s="11">
        <f t="shared" si="32"/>
        <v>0</v>
      </c>
      <c r="P99" s="11">
        <f t="shared" si="33"/>
        <v>0</v>
      </c>
      <c r="Q99" s="8"/>
    </row>
    <row r="100" spans="1:17" ht="31.5" x14ac:dyDescent="0.25">
      <c r="A100" s="8"/>
      <c r="B100" s="9" t="s">
        <v>91</v>
      </c>
      <c r="C100" s="8"/>
      <c r="D100" s="8"/>
      <c r="E100" s="10" t="s">
        <v>229</v>
      </c>
      <c r="F100" s="11">
        <v>1</v>
      </c>
      <c r="G100" s="18"/>
      <c r="H100" s="18"/>
      <c r="I100" s="18"/>
      <c r="J100" s="18"/>
      <c r="K100" s="11"/>
      <c r="L100" s="11"/>
      <c r="M100" s="11"/>
      <c r="N100" s="11">
        <f t="shared" si="31"/>
        <v>0</v>
      </c>
      <c r="O100" s="11">
        <f t="shared" si="32"/>
        <v>0</v>
      </c>
      <c r="P100" s="11">
        <f t="shared" si="33"/>
        <v>0</v>
      </c>
      <c r="Q100" s="8"/>
    </row>
    <row r="101" spans="1:17" ht="31.5" x14ac:dyDescent="0.25">
      <c r="A101" s="8"/>
      <c r="B101" s="9" t="s">
        <v>92</v>
      </c>
      <c r="C101" s="8"/>
      <c r="D101" s="8"/>
      <c r="E101" s="10" t="s">
        <v>229</v>
      </c>
      <c r="F101" s="11">
        <v>1</v>
      </c>
      <c r="G101" s="18"/>
      <c r="H101" s="18"/>
      <c r="I101" s="18"/>
      <c r="J101" s="18"/>
      <c r="K101" s="11"/>
      <c r="L101" s="11"/>
      <c r="M101" s="11"/>
      <c r="N101" s="11">
        <f t="shared" si="31"/>
        <v>0</v>
      </c>
      <c r="O101" s="11">
        <f t="shared" si="32"/>
        <v>0</v>
      </c>
      <c r="P101" s="11">
        <f t="shared" si="33"/>
        <v>0</v>
      </c>
      <c r="Q101" s="8"/>
    </row>
    <row r="102" spans="1:17" ht="31.5" x14ac:dyDescent="0.25">
      <c r="A102" s="8"/>
      <c r="B102" s="9" t="s">
        <v>93</v>
      </c>
      <c r="C102" s="8"/>
      <c r="D102" s="8"/>
      <c r="E102" s="10" t="s">
        <v>229</v>
      </c>
      <c r="F102" s="11">
        <v>1</v>
      </c>
      <c r="G102" s="18"/>
      <c r="H102" s="18"/>
      <c r="I102" s="18"/>
      <c r="J102" s="18"/>
      <c r="K102" s="11"/>
      <c r="L102" s="11"/>
      <c r="M102" s="11"/>
      <c r="N102" s="11">
        <f t="shared" si="31"/>
        <v>0</v>
      </c>
      <c r="O102" s="11">
        <f t="shared" si="32"/>
        <v>0</v>
      </c>
      <c r="P102" s="11">
        <f t="shared" si="33"/>
        <v>0</v>
      </c>
      <c r="Q102" s="8"/>
    </row>
    <row r="103" spans="1:17" ht="31.5" x14ac:dyDescent="0.25">
      <c r="A103" s="8"/>
      <c r="B103" s="9" t="s">
        <v>94</v>
      </c>
      <c r="C103" s="8"/>
      <c r="D103" s="8"/>
      <c r="E103" s="10" t="s">
        <v>229</v>
      </c>
      <c r="F103" s="11">
        <v>1</v>
      </c>
      <c r="G103" s="18"/>
      <c r="H103" s="18"/>
      <c r="I103" s="18"/>
      <c r="J103" s="18"/>
      <c r="K103" s="11"/>
      <c r="L103" s="11"/>
      <c r="M103" s="11"/>
      <c r="N103" s="11">
        <f t="shared" si="31"/>
        <v>0</v>
      </c>
      <c r="O103" s="11">
        <f t="shared" si="32"/>
        <v>0</v>
      </c>
      <c r="P103" s="11">
        <f t="shared" si="33"/>
        <v>0</v>
      </c>
      <c r="Q103" s="8"/>
    </row>
    <row r="104" spans="1:17" ht="31.5" x14ac:dyDescent="0.25">
      <c r="A104" s="8"/>
      <c r="B104" s="9" t="s">
        <v>95</v>
      </c>
      <c r="C104" s="8"/>
      <c r="D104" s="8"/>
      <c r="E104" s="10" t="s">
        <v>229</v>
      </c>
      <c r="F104" s="11">
        <v>1</v>
      </c>
      <c r="G104" s="18"/>
      <c r="H104" s="18"/>
      <c r="I104" s="18"/>
      <c r="J104" s="18"/>
      <c r="K104" s="11"/>
      <c r="L104" s="11"/>
      <c r="M104" s="11"/>
      <c r="N104" s="11">
        <f t="shared" si="31"/>
        <v>0</v>
      </c>
      <c r="O104" s="11">
        <f t="shared" si="32"/>
        <v>0</v>
      </c>
      <c r="P104" s="11">
        <f t="shared" si="33"/>
        <v>0</v>
      </c>
      <c r="Q104" s="8"/>
    </row>
    <row r="105" spans="1:17" ht="31.5" x14ac:dyDescent="0.25">
      <c r="A105" s="8"/>
      <c r="B105" s="9" t="s">
        <v>96</v>
      </c>
      <c r="C105" s="8"/>
      <c r="D105" s="8"/>
      <c r="E105" s="10" t="s">
        <v>229</v>
      </c>
      <c r="F105" s="11">
        <v>1</v>
      </c>
      <c r="G105" s="18"/>
      <c r="H105" s="18"/>
      <c r="I105" s="18"/>
      <c r="J105" s="18"/>
      <c r="K105" s="11"/>
      <c r="L105" s="11"/>
      <c r="M105" s="11"/>
      <c r="N105" s="11">
        <f t="shared" si="31"/>
        <v>0</v>
      </c>
      <c r="O105" s="11">
        <f t="shared" si="32"/>
        <v>0</v>
      </c>
      <c r="P105" s="11">
        <f t="shared" si="33"/>
        <v>0</v>
      </c>
      <c r="Q105" s="8"/>
    </row>
    <row r="106" spans="1:17" ht="31.5" x14ac:dyDescent="0.25">
      <c r="A106" s="8"/>
      <c r="B106" s="9" t="s">
        <v>97</v>
      </c>
      <c r="C106" s="8"/>
      <c r="D106" s="8"/>
      <c r="E106" s="10" t="s">
        <v>229</v>
      </c>
      <c r="F106" s="11">
        <v>1</v>
      </c>
      <c r="G106" s="18"/>
      <c r="H106" s="18"/>
      <c r="I106" s="18"/>
      <c r="J106" s="18"/>
      <c r="K106" s="11"/>
      <c r="L106" s="11"/>
      <c r="M106" s="11"/>
      <c r="N106" s="11">
        <f t="shared" si="31"/>
        <v>0</v>
      </c>
      <c r="O106" s="11">
        <f t="shared" si="32"/>
        <v>0</v>
      </c>
      <c r="P106" s="11">
        <f t="shared" si="33"/>
        <v>0</v>
      </c>
      <c r="Q106" s="8"/>
    </row>
    <row r="107" spans="1:17" ht="31.5" x14ac:dyDescent="0.25">
      <c r="A107" s="8"/>
      <c r="B107" s="9" t="s">
        <v>98</v>
      </c>
      <c r="C107" s="8"/>
      <c r="D107" s="8"/>
      <c r="E107" s="10" t="s">
        <v>229</v>
      </c>
      <c r="F107" s="11">
        <v>1</v>
      </c>
      <c r="G107" s="18"/>
      <c r="H107" s="18"/>
      <c r="I107" s="18"/>
      <c r="J107" s="18"/>
      <c r="K107" s="11"/>
      <c r="L107" s="11"/>
      <c r="M107" s="11"/>
      <c r="N107" s="11">
        <f t="shared" si="31"/>
        <v>0</v>
      </c>
      <c r="O107" s="11">
        <f t="shared" si="32"/>
        <v>0</v>
      </c>
      <c r="P107" s="11">
        <f t="shared" si="33"/>
        <v>0</v>
      </c>
      <c r="Q107" s="8"/>
    </row>
    <row r="108" spans="1:17" ht="31.5" x14ac:dyDescent="0.25">
      <c r="A108" s="8"/>
      <c r="B108" s="9" t="s">
        <v>99</v>
      </c>
      <c r="C108" s="8"/>
      <c r="D108" s="8"/>
      <c r="E108" s="10" t="s">
        <v>229</v>
      </c>
      <c r="F108" s="11">
        <v>1</v>
      </c>
      <c r="G108" s="18"/>
      <c r="H108" s="18"/>
      <c r="I108" s="18"/>
      <c r="J108" s="18"/>
      <c r="K108" s="11"/>
      <c r="L108" s="11"/>
      <c r="M108" s="11"/>
      <c r="N108" s="11">
        <f t="shared" si="31"/>
        <v>0</v>
      </c>
      <c r="O108" s="11">
        <f t="shared" si="32"/>
        <v>0</v>
      </c>
      <c r="P108" s="11">
        <f t="shared" si="33"/>
        <v>0</v>
      </c>
      <c r="Q108" s="8"/>
    </row>
    <row r="109" spans="1:17" ht="31.5" x14ac:dyDescent="0.25">
      <c r="A109" s="8"/>
      <c r="B109" s="9" t="s">
        <v>100</v>
      </c>
      <c r="C109" s="8"/>
      <c r="D109" s="8"/>
      <c r="E109" s="10" t="s">
        <v>229</v>
      </c>
      <c r="F109" s="11">
        <v>1</v>
      </c>
      <c r="G109" s="18"/>
      <c r="H109" s="18"/>
      <c r="I109" s="18"/>
      <c r="J109" s="18"/>
      <c r="K109" s="11"/>
      <c r="L109" s="11"/>
      <c r="M109" s="11"/>
      <c r="N109" s="11">
        <f t="shared" si="31"/>
        <v>0</v>
      </c>
      <c r="O109" s="11">
        <f t="shared" si="32"/>
        <v>0</v>
      </c>
      <c r="P109" s="11">
        <f t="shared" si="33"/>
        <v>0</v>
      </c>
      <c r="Q109" s="8"/>
    </row>
    <row r="110" spans="1:17" ht="31.5" x14ac:dyDescent="0.25">
      <c r="A110" s="8"/>
      <c r="B110" s="9" t="s">
        <v>101</v>
      </c>
      <c r="C110" s="8"/>
      <c r="D110" s="8"/>
      <c r="E110" s="10" t="s">
        <v>229</v>
      </c>
      <c r="F110" s="11">
        <v>1</v>
      </c>
      <c r="G110" s="18"/>
      <c r="H110" s="18"/>
      <c r="I110" s="18"/>
      <c r="J110" s="18"/>
      <c r="K110" s="11"/>
      <c r="L110" s="11"/>
      <c r="M110" s="11"/>
      <c r="N110" s="11">
        <f t="shared" si="31"/>
        <v>0</v>
      </c>
      <c r="O110" s="11">
        <f t="shared" si="32"/>
        <v>0</v>
      </c>
      <c r="P110" s="11">
        <f t="shared" si="33"/>
        <v>0</v>
      </c>
      <c r="Q110" s="8"/>
    </row>
    <row r="111" spans="1:17" ht="31.5" x14ac:dyDescent="0.25">
      <c r="A111" s="8"/>
      <c r="B111" s="9" t="s">
        <v>102</v>
      </c>
      <c r="C111" s="8"/>
      <c r="D111" s="8"/>
      <c r="E111" s="10" t="s">
        <v>229</v>
      </c>
      <c r="F111" s="11">
        <v>1</v>
      </c>
      <c r="G111" s="18"/>
      <c r="H111" s="18"/>
      <c r="I111" s="18"/>
      <c r="J111" s="18"/>
      <c r="K111" s="11"/>
      <c r="L111" s="11"/>
      <c r="M111" s="11"/>
      <c r="N111" s="11">
        <f t="shared" si="31"/>
        <v>0</v>
      </c>
      <c r="O111" s="11">
        <f t="shared" si="32"/>
        <v>0</v>
      </c>
      <c r="P111" s="11">
        <f t="shared" si="33"/>
        <v>0</v>
      </c>
      <c r="Q111" s="8"/>
    </row>
    <row r="112" spans="1:17" ht="31.5" x14ac:dyDescent="0.25">
      <c r="A112" s="8"/>
      <c r="B112" s="9" t="s">
        <v>103</v>
      </c>
      <c r="C112" s="8"/>
      <c r="D112" s="8"/>
      <c r="E112" s="10" t="s">
        <v>229</v>
      </c>
      <c r="F112" s="11">
        <v>1</v>
      </c>
      <c r="G112" s="18"/>
      <c r="H112" s="18"/>
      <c r="I112" s="18"/>
      <c r="J112" s="18"/>
      <c r="K112" s="11"/>
      <c r="L112" s="11"/>
      <c r="M112" s="11"/>
      <c r="N112" s="11">
        <f t="shared" si="31"/>
        <v>0</v>
      </c>
      <c r="O112" s="11">
        <f t="shared" si="32"/>
        <v>0</v>
      </c>
      <c r="P112" s="11">
        <f t="shared" si="33"/>
        <v>0</v>
      </c>
      <c r="Q112" s="8"/>
    </row>
    <row r="113" spans="1:17" ht="31.5" x14ac:dyDescent="0.25">
      <c r="A113" s="8"/>
      <c r="B113" s="9" t="s">
        <v>104</v>
      </c>
      <c r="C113" s="8"/>
      <c r="D113" s="8"/>
      <c r="E113" s="10" t="s">
        <v>229</v>
      </c>
      <c r="F113" s="11">
        <v>1</v>
      </c>
      <c r="G113" s="18"/>
      <c r="H113" s="18"/>
      <c r="I113" s="18"/>
      <c r="J113" s="18"/>
      <c r="K113" s="11"/>
      <c r="L113" s="11"/>
      <c r="M113" s="11"/>
      <c r="N113" s="11">
        <f t="shared" si="31"/>
        <v>0</v>
      </c>
      <c r="O113" s="11">
        <f t="shared" si="32"/>
        <v>0</v>
      </c>
      <c r="P113" s="11">
        <f t="shared" si="33"/>
        <v>0</v>
      </c>
      <c r="Q113" s="8"/>
    </row>
    <row r="114" spans="1:17" ht="31.5" x14ac:dyDescent="0.25">
      <c r="A114" s="8"/>
      <c r="B114" s="9" t="s">
        <v>105</v>
      </c>
      <c r="C114" s="8"/>
      <c r="D114" s="8"/>
      <c r="E114" s="10" t="s">
        <v>229</v>
      </c>
      <c r="F114" s="11">
        <v>1</v>
      </c>
      <c r="G114" s="18"/>
      <c r="H114" s="18"/>
      <c r="I114" s="18"/>
      <c r="J114" s="18"/>
      <c r="K114" s="11"/>
      <c r="L114" s="11"/>
      <c r="M114" s="11"/>
      <c r="N114" s="11">
        <f t="shared" si="31"/>
        <v>0</v>
      </c>
      <c r="O114" s="11">
        <f t="shared" si="32"/>
        <v>0</v>
      </c>
      <c r="P114" s="11">
        <f t="shared" si="33"/>
        <v>0</v>
      </c>
      <c r="Q114" s="8"/>
    </row>
    <row r="115" spans="1:17" ht="31.5" x14ac:dyDescent="0.25">
      <c r="A115" s="8"/>
      <c r="B115" s="9" t="s">
        <v>106</v>
      </c>
      <c r="C115" s="8"/>
      <c r="D115" s="8"/>
      <c r="E115" s="10" t="s">
        <v>229</v>
      </c>
      <c r="F115" s="11">
        <v>1</v>
      </c>
      <c r="G115" s="18"/>
      <c r="H115" s="18"/>
      <c r="I115" s="18"/>
      <c r="J115" s="18"/>
      <c r="K115" s="11"/>
      <c r="L115" s="11"/>
      <c r="M115" s="11"/>
      <c r="N115" s="11">
        <f t="shared" si="31"/>
        <v>0</v>
      </c>
      <c r="O115" s="11">
        <f t="shared" si="32"/>
        <v>0</v>
      </c>
      <c r="P115" s="11">
        <f t="shared" si="33"/>
        <v>0</v>
      </c>
      <c r="Q115" s="8"/>
    </row>
    <row r="116" spans="1:17" ht="31.5" x14ac:dyDescent="0.25">
      <c r="A116" s="8"/>
      <c r="B116" s="9" t="s">
        <v>107</v>
      </c>
      <c r="C116" s="8"/>
      <c r="D116" s="8"/>
      <c r="E116" s="10" t="s">
        <v>229</v>
      </c>
      <c r="F116" s="11">
        <v>1</v>
      </c>
      <c r="G116" s="18"/>
      <c r="H116" s="18"/>
      <c r="I116" s="18"/>
      <c r="J116" s="18"/>
      <c r="K116" s="11"/>
      <c r="L116" s="11"/>
      <c r="M116" s="11"/>
      <c r="N116" s="11">
        <f t="shared" si="31"/>
        <v>0</v>
      </c>
      <c r="O116" s="11">
        <f t="shared" si="32"/>
        <v>0</v>
      </c>
      <c r="P116" s="11">
        <f t="shared" si="33"/>
        <v>0</v>
      </c>
      <c r="Q116" s="8"/>
    </row>
    <row r="117" spans="1:17" ht="31.5" x14ac:dyDescent="0.25">
      <c r="A117" s="8"/>
      <c r="B117" s="9" t="s">
        <v>108</v>
      </c>
      <c r="C117" s="8"/>
      <c r="D117" s="8"/>
      <c r="E117" s="10" t="s">
        <v>229</v>
      </c>
      <c r="F117" s="11">
        <v>1</v>
      </c>
      <c r="G117" s="18"/>
      <c r="H117" s="18"/>
      <c r="I117" s="18"/>
      <c r="J117" s="18"/>
      <c r="K117" s="11"/>
      <c r="L117" s="11"/>
      <c r="M117" s="11"/>
      <c r="N117" s="11">
        <f t="shared" si="31"/>
        <v>0</v>
      </c>
      <c r="O117" s="11">
        <f t="shared" si="32"/>
        <v>0</v>
      </c>
      <c r="P117" s="11">
        <f t="shared" si="33"/>
        <v>0</v>
      </c>
      <c r="Q117" s="8"/>
    </row>
    <row r="118" spans="1:17" ht="31.5" x14ac:dyDescent="0.25">
      <c r="A118" s="8"/>
      <c r="B118" s="9" t="s">
        <v>109</v>
      </c>
      <c r="C118" s="8"/>
      <c r="D118" s="8"/>
      <c r="E118" s="10" t="s">
        <v>229</v>
      </c>
      <c r="F118" s="11">
        <v>1</v>
      </c>
      <c r="G118" s="18"/>
      <c r="H118" s="18"/>
      <c r="I118" s="18"/>
      <c r="J118" s="18"/>
      <c r="K118" s="11"/>
      <c r="L118" s="11"/>
      <c r="M118" s="11"/>
      <c r="N118" s="11">
        <f t="shared" si="31"/>
        <v>0</v>
      </c>
      <c r="O118" s="11">
        <f t="shared" si="32"/>
        <v>0</v>
      </c>
      <c r="P118" s="11">
        <f t="shared" si="33"/>
        <v>0</v>
      </c>
      <c r="Q118" s="8"/>
    </row>
    <row r="119" spans="1:17" ht="31.5" x14ac:dyDescent="0.25">
      <c r="A119" s="8"/>
      <c r="B119" s="9" t="s">
        <v>110</v>
      </c>
      <c r="C119" s="8"/>
      <c r="D119" s="8"/>
      <c r="E119" s="10" t="s">
        <v>229</v>
      </c>
      <c r="F119" s="11">
        <v>1</v>
      </c>
      <c r="G119" s="18"/>
      <c r="H119" s="18"/>
      <c r="I119" s="18"/>
      <c r="J119" s="18"/>
      <c r="K119" s="11"/>
      <c r="L119" s="11"/>
      <c r="M119" s="11"/>
      <c r="N119" s="11">
        <f t="shared" si="31"/>
        <v>0</v>
      </c>
      <c r="O119" s="11">
        <f t="shared" si="32"/>
        <v>0</v>
      </c>
      <c r="P119" s="11">
        <f t="shared" si="33"/>
        <v>0</v>
      </c>
      <c r="Q119" s="8"/>
    </row>
    <row r="120" spans="1:17" ht="31.5" x14ac:dyDescent="0.25">
      <c r="A120" s="8"/>
      <c r="B120" s="9" t="s">
        <v>111</v>
      </c>
      <c r="C120" s="8"/>
      <c r="D120" s="8"/>
      <c r="E120" s="10" t="s">
        <v>229</v>
      </c>
      <c r="F120" s="11">
        <v>1</v>
      </c>
      <c r="G120" s="18"/>
      <c r="H120" s="18"/>
      <c r="I120" s="18"/>
      <c r="J120" s="18"/>
      <c r="K120" s="11"/>
      <c r="L120" s="11"/>
      <c r="M120" s="11"/>
      <c r="N120" s="11">
        <f t="shared" si="31"/>
        <v>0</v>
      </c>
      <c r="O120" s="11">
        <f t="shared" si="32"/>
        <v>0</v>
      </c>
      <c r="P120" s="11">
        <f t="shared" si="33"/>
        <v>0</v>
      </c>
      <c r="Q120" s="8"/>
    </row>
    <row r="121" spans="1:17" ht="31.5" x14ac:dyDescent="0.25">
      <c r="A121" s="8"/>
      <c r="B121" s="9" t="s">
        <v>112</v>
      </c>
      <c r="C121" s="8"/>
      <c r="D121" s="8"/>
      <c r="E121" s="10" t="s">
        <v>229</v>
      </c>
      <c r="F121" s="11">
        <v>1</v>
      </c>
      <c r="G121" s="18"/>
      <c r="H121" s="18"/>
      <c r="I121" s="18"/>
      <c r="J121" s="18"/>
      <c r="K121" s="11"/>
      <c r="L121" s="11"/>
      <c r="M121" s="11"/>
      <c r="N121" s="11">
        <f t="shared" si="31"/>
        <v>0</v>
      </c>
      <c r="O121" s="11">
        <f t="shared" si="32"/>
        <v>0</v>
      </c>
      <c r="P121" s="11">
        <f t="shared" si="33"/>
        <v>0</v>
      </c>
      <c r="Q121" s="8"/>
    </row>
    <row r="122" spans="1:17" ht="31.5" x14ac:dyDescent="0.25">
      <c r="A122" s="8"/>
      <c r="B122" s="9" t="s">
        <v>113</v>
      </c>
      <c r="C122" s="8"/>
      <c r="D122" s="8"/>
      <c r="E122" s="10" t="s">
        <v>229</v>
      </c>
      <c r="F122" s="11">
        <v>1</v>
      </c>
      <c r="G122" s="18"/>
      <c r="H122" s="18"/>
      <c r="I122" s="18"/>
      <c r="J122" s="18"/>
      <c r="K122" s="11"/>
      <c r="L122" s="11"/>
      <c r="M122" s="11"/>
      <c r="N122" s="11">
        <f t="shared" si="31"/>
        <v>0</v>
      </c>
      <c r="O122" s="11">
        <f t="shared" si="32"/>
        <v>0</v>
      </c>
      <c r="P122" s="11">
        <f t="shared" si="33"/>
        <v>0</v>
      </c>
      <c r="Q122" s="8"/>
    </row>
    <row r="123" spans="1:17" ht="31.5" x14ac:dyDescent="0.25">
      <c r="A123" s="8"/>
      <c r="B123" s="9" t="s">
        <v>114</v>
      </c>
      <c r="C123" s="8"/>
      <c r="D123" s="8"/>
      <c r="E123" s="10" t="s">
        <v>229</v>
      </c>
      <c r="F123" s="11">
        <v>1</v>
      </c>
      <c r="G123" s="18"/>
      <c r="H123" s="18"/>
      <c r="I123" s="18"/>
      <c r="J123" s="18"/>
      <c r="K123" s="11"/>
      <c r="L123" s="11"/>
      <c r="M123" s="11"/>
      <c r="N123" s="11">
        <f t="shared" si="31"/>
        <v>0</v>
      </c>
      <c r="O123" s="11">
        <f t="shared" si="32"/>
        <v>0</v>
      </c>
      <c r="P123" s="11">
        <f t="shared" si="33"/>
        <v>0</v>
      </c>
      <c r="Q123" s="8"/>
    </row>
    <row r="124" spans="1:17" ht="31.5" x14ac:dyDescent="0.25">
      <c r="A124" s="8"/>
      <c r="B124" s="9" t="s">
        <v>115</v>
      </c>
      <c r="C124" s="8"/>
      <c r="D124" s="8"/>
      <c r="E124" s="10" t="s">
        <v>229</v>
      </c>
      <c r="F124" s="11">
        <v>1</v>
      </c>
      <c r="G124" s="18"/>
      <c r="H124" s="18"/>
      <c r="I124" s="18"/>
      <c r="J124" s="18"/>
      <c r="K124" s="11"/>
      <c r="L124" s="11"/>
      <c r="M124" s="11"/>
      <c r="N124" s="11">
        <f t="shared" si="31"/>
        <v>0</v>
      </c>
      <c r="O124" s="11">
        <f t="shared" si="32"/>
        <v>0</v>
      </c>
      <c r="P124" s="11">
        <f t="shared" si="33"/>
        <v>0</v>
      </c>
      <c r="Q124" s="8"/>
    </row>
    <row r="125" spans="1:17" ht="31.5" x14ac:dyDescent="0.25">
      <c r="A125" s="8"/>
      <c r="B125" s="9" t="s">
        <v>116</v>
      </c>
      <c r="C125" s="8"/>
      <c r="D125" s="8"/>
      <c r="E125" s="10" t="s">
        <v>229</v>
      </c>
      <c r="F125" s="11">
        <v>1</v>
      </c>
      <c r="G125" s="18"/>
      <c r="H125" s="18"/>
      <c r="I125" s="18"/>
      <c r="J125" s="18"/>
      <c r="K125" s="11"/>
      <c r="L125" s="11"/>
      <c r="M125" s="11"/>
      <c r="N125" s="11">
        <f t="shared" si="31"/>
        <v>0</v>
      </c>
      <c r="O125" s="11">
        <f t="shared" si="32"/>
        <v>0</v>
      </c>
      <c r="P125" s="11">
        <f t="shared" si="33"/>
        <v>0</v>
      </c>
      <c r="Q125" s="8"/>
    </row>
    <row r="126" spans="1:17" ht="31.5" x14ac:dyDescent="0.25">
      <c r="A126" s="8"/>
      <c r="B126" s="9" t="s">
        <v>117</v>
      </c>
      <c r="C126" s="8"/>
      <c r="D126" s="8"/>
      <c r="E126" s="10" t="s">
        <v>229</v>
      </c>
      <c r="F126" s="11">
        <v>1</v>
      </c>
      <c r="G126" s="18"/>
      <c r="H126" s="18"/>
      <c r="I126" s="18"/>
      <c r="J126" s="18"/>
      <c r="K126" s="11"/>
      <c r="L126" s="11"/>
      <c r="M126" s="11"/>
      <c r="N126" s="11">
        <f t="shared" si="31"/>
        <v>0</v>
      </c>
      <c r="O126" s="11">
        <f t="shared" si="32"/>
        <v>0</v>
      </c>
      <c r="P126" s="11">
        <f t="shared" si="33"/>
        <v>0</v>
      </c>
      <c r="Q126" s="8"/>
    </row>
    <row r="127" spans="1:17" ht="31.5" x14ac:dyDescent="0.25">
      <c r="A127" s="8"/>
      <c r="B127" s="9" t="s">
        <v>118</v>
      </c>
      <c r="C127" s="8"/>
      <c r="D127" s="8"/>
      <c r="E127" s="10" t="s">
        <v>229</v>
      </c>
      <c r="F127" s="11">
        <v>1</v>
      </c>
      <c r="G127" s="18"/>
      <c r="H127" s="18"/>
      <c r="I127" s="18"/>
      <c r="J127" s="18"/>
      <c r="K127" s="11"/>
      <c r="L127" s="11"/>
      <c r="M127" s="11"/>
      <c r="N127" s="11">
        <f t="shared" si="31"/>
        <v>0</v>
      </c>
      <c r="O127" s="11">
        <f t="shared" ref="O127:O153" si="34">(G127+M127)*F127</f>
        <v>0</v>
      </c>
      <c r="P127" s="11">
        <f t="shared" ref="P127:P153" si="35">(L127+N127)*F127</f>
        <v>0</v>
      </c>
      <c r="Q127" s="8"/>
    </row>
    <row r="128" spans="1:17" ht="31.5" x14ac:dyDescent="0.25">
      <c r="A128" s="8"/>
      <c r="B128" s="9" t="s">
        <v>119</v>
      </c>
      <c r="C128" s="8"/>
      <c r="D128" s="8"/>
      <c r="E128" s="10" t="s">
        <v>229</v>
      </c>
      <c r="F128" s="11">
        <v>1</v>
      </c>
      <c r="G128" s="18"/>
      <c r="H128" s="18"/>
      <c r="I128" s="18"/>
      <c r="J128" s="18"/>
      <c r="K128" s="11"/>
      <c r="L128" s="11"/>
      <c r="M128" s="11"/>
      <c r="N128" s="11">
        <f t="shared" si="31"/>
        <v>0</v>
      </c>
      <c r="O128" s="11">
        <f t="shared" si="34"/>
        <v>0</v>
      </c>
      <c r="P128" s="11">
        <f t="shared" si="35"/>
        <v>0</v>
      </c>
      <c r="Q128" s="8"/>
    </row>
    <row r="129" spans="1:17" ht="31.5" x14ac:dyDescent="0.25">
      <c r="A129" s="8"/>
      <c r="B129" s="9" t="s">
        <v>120</v>
      </c>
      <c r="C129" s="8"/>
      <c r="D129" s="8"/>
      <c r="E129" s="10" t="s">
        <v>229</v>
      </c>
      <c r="F129" s="11">
        <v>1</v>
      </c>
      <c r="G129" s="18"/>
      <c r="H129" s="18"/>
      <c r="I129" s="18"/>
      <c r="J129" s="18"/>
      <c r="K129" s="11"/>
      <c r="L129" s="11"/>
      <c r="M129" s="11"/>
      <c r="N129" s="11">
        <f t="shared" si="31"/>
        <v>0</v>
      </c>
      <c r="O129" s="11">
        <f t="shared" si="34"/>
        <v>0</v>
      </c>
      <c r="P129" s="11">
        <f t="shared" si="35"/>
        <v>0</v>
      </c>
      <c r="Q129" s="8"/>
    </row>
    <row r="130" spans="1:17" ht="31.5" x14ac:dyDescent="0.25">
      <c r="A130" s="8"/>
      <c r="B130" s="9" t="s">
        <v>121</v>
      </c>
      <c r="C130" s="8"/>
      <c r="D130" s="8"/>
      <c r="E130" s="10" t="s">
        <v>229</v>
      </c>
      <c r="F130" s="11">
        <v>1</v>
      </c>
      <c r="G130" s="18"/>
      <c r="H130" s="18"/>
      <c r="I130" s="18"/>
      <c r="J130" s="18"/>
      <c r="K130" s="11"/>
      <c r="L130" s="11"/>
      <c r="M130" s="11"/>
      <c r="N130" s="11">
        <f t="shared" si="31"/>
        <v>0</v>
      </c>
      <c r="O130" s="11">
        <f t="shared" si="34"/>
        <v>0</v>
      </c>
      <c r="P130" s="11">
        <f t="shared" si="35"/>
        <v>0</v>
      </c>
      <c r="Q130" s="8"/>
    </row>
    <row r="131" spans="1:17" ht="31.5" x14ac:dyDescent="0.25">
      <c r="A131" s="8"/>
      <c r="B131" s="9" t="s">
        <v>122</v>
      </c>
      <c r="C131" s="8"/>
      <c r="D131" s="8"/>
      <c r="E131" s="10" t="s">
        <v>229</v>
      </c>
      <c r="F131" s="11">
        <v>1</v>
      </c>
      <c r="G131" s="18"/>
      <c r="H131" s="18"/>
      <c r="I131" s="18"/>
      <c r="J131" s="18"/>
      <c r="K131" s="11"/>
      <c r="L131" s="11"/>
      <c r="M131" s="11"/>
      <c r="N131" s="11">
        <f t="shared" si="31"/>
        <v>0</v>
      </c>
      <c r="O131" s="11">
        <f t="shared" si="34"/>
        <v>0</v>
      </c>
      <c r="P131" s="11">
        <f t="shared" si="35"/>
        <v>0</v>
      </c>
      <c r="Q131" s="8"/>
    </row>
    <row r="132" spans="1:17" ht="31.5" x14ac:dyDescent="0.25">
      <c r="A132" s="8"/>
      <c r="B132" s="9" t="s">
        <v>123</v>
      </c>
      <c r="C132" s="8"/>
      <c r="D132" s="8"/>
      <c r="E132" s="10" t="s">
        <v>229</v>
      </c>
      <c r="F132" s="11">
        <v>1</v>
      </c>
      <c r="G132" s="18"/>
      <c r="H132" s="18"/>
      <c r="I132" s="18"/>
      <c r="J132" s="18"/>
      <c r="K132" s="11"/>
      <c r="L132" s="11"/>
      <c r="M132" s="11"/>
      <c r="N132" s="11">
        <f t="shared" si="31"/>
        <v>0</v>
      </c>
      <c r="O132" s="11">
        <f t="shared" si="34"/>
        <v>0</v>
      </c>
      <c r="P132" s="11">
        <f t="shared" si="35"/>
        <v>0</v>
      </c>
      <c r="Q132" s="8"/>
    </row>
    <row r="133" spans="1:17" ht="31.5" x14ac:dyDescent="0.25">
      <c r="A133" s="8"/>
      <c r="B133" s="9" t="s">
        <v>124</v>
      </c>
      <c r="C133" s="8"/>
      <c r="D133" s="8"/>
      <c r="E133" s="10" t="s">
        <v>229</v>
      </c>
      <c r="F133" s="11">
        <v>1</v>
      </c>
      <c r="G133" s="18"/>
      <c r="H133" s="18"/>
      <c r="I133" s="18"/>
      <c r="J133" s="18"/>
      <c r="K133" s="11"/>
      <c r="L133" s="11"/>
      <c r="M133" s="11"/>
      <c r="N133" s="11">
        <f t="shared" si="31"/>
        <v>0</v>
      </c>
      <c r="O133" s="11">
        <f t="shared" si="34"/>
        <v>0</v>
      </c>
      <c r="P133" s="11">
        <f t="shared" si="35"/>
        <v>0</v>
      </c>
      <c r="Q133" s="8"/>
    </row>
    <row r="134" spans="1:17" ht="31.5" x14ac:dyDescent="0.25">
      <c r="A134" s="8"/>
      <c r="B134" s="9" t="s">
        <v>125</v>
      </c>
      <c r="C134" s="8"/>
      <c r="D134" s="8"/>
      <c r="E134" s="10" t="s">
        <v>229</v>
      </c>
      <c r="F134" s="11">
        <v>1</v>
      </c>
      <c r="G134" s="18"/>
      <c r="H134" s="18"/>
      <c r="I134" s="18"/>
      <c r="J134" s="18"/>
      <c r="K134" s="11"/>
      <c r="L134" s="11"/>
      <c r="M134" s="11"/>
      <c r="N134" s="11">
        <f t="shared" si="31"/>
        <v>0</v>
      </c>
      <c r="O134" s="11">
        <f t="shared" si="34"/>
        <v>0</v>
      </c>
      <c r="P134" s="11">
        <f t="shared" si="35"/>
        <v>0</v>
      </c>
      <c r="Q134" s="8"/>
    </row>
    <row r="135" spans="1:17" ht="31.5" x14ac:dyDescent="0.25">
      <c r="A135" s="8"/>
      <c r="B135" s="9" t="s">
        <v>126</v>
      </c>
      <c r="C135" s="8"/>
      <c r="D135" s="8"/>
      <c r="E135" s="10" t="s">
        <v>229</v>
      </c>
      <c r="F135" s="11">
        <v>1</v>
      </c>
      <c r="G135" s="18"/>
      <c r="H135" s="18"/>
      <c r="I135" s="18"/>
      <c r="J135" s="18"/>
      <c r="K135" s="11"/>
      <c r="L135" s="11"/>
      <c r="M135" s="11"/>
      <c r="N135" s="11">
        <f t="shared" si="31"/>
        <v>0</v>
      </c>
      <c r="O135" s="11">
        <f t="shared" si="34"/>
        <v>0</v>
      </c>
      <c r="P135" s="11">
        <f t="shared" si="35"/>
        <v>0</v>
      </c>
      <c r="Q135" s="8"/>
    </row>
    <row r="136" spans="1:17" ht="31.5" x14ac:dyDescent="0.25">
      <c r="A136" s="8"/>
      <c r="B136" s="9" t="s">
        <v>127</v>
      </c>
      <c r="C136" s="8"/>
      <c r="D136" s="8"/>
      <c r="E136" s="10" t="s">
        <v>229</v>
      </c>
      <c r="F136" s="11">
        <v>1</v>
      </c>
      <c r="G136" s="18"/>
      <c r="H136" s="18"/>
      <c r="I136" s="18"/>
      <c r="J136" s="18"/>
      <c r="K136" s="11"/>
      <c r="L136" s="11"/>
      <c r="M136" s="11"/>
      <c r="N136" s="11">
        <f t="shared" si="31"/>
        <v>0</v>
      </c>
      <c r="O136" s="11">
        <f t="shared" si="34"/>
        <v>0</v>
      </c>
      <c r="P136" s="11">
        <f t="shared" si="35"/>
        <v>0</v>
      </c>
      <c r="Q136" s="8"/>
    </row>
    <row r="137" spans="1:17" ht="31.5" x14ac:dyDescent="0.25">
      <c r="A137" s="8"/>
      <c r="B137" s="9" t="s">
        <v>128</v>
      </c>
      <c r="C137" s="8"/>
      <c r="D137" s="8"/>
      <c r="E137" s="10" t="s">
        <v>229</v>
      </c>
      <c r="F137" s="11">
        <v>1</v>
      </c>
      <c r="G137" s="18"/>
      <c r="H137" s="18"/>
      <c r="I137" s="18"/>
      <c r="J137" s="18"/>
      <c r="K137" s="11"/>
      <c r="L137" s="11"/>
      <c r="M137" s="11"/>
      <c r="N137" s="11">
        <f t="shared" si="31"/>
        <v>0</v>
      </c>
      <c r="O137" s="11">
        <f t="shared" si="34"/>
        <v>0</v>
      </c>
      <c r="P137" s="11">
        <f t="shared" si="35"/>
        <v>0</v>
      </c>
      <c r="Q137" s="8"/>
    </row>
    <row r="138" spans="1:17" ht="31.5" x14ac:dyDescent="0.25">
      <c r="A138" s="8"/>
      <c r="B138" s="9" t="s">
        <v>129</v>
      </c>
      <c r="C138" s="8"/>
      <c r="D138" s="8"/>
      <c r="E138" s="10" t="s">
        <v>229</v>
      </c>
      <c r="F138" s="11">
        <v>1</v>
      </c>
      <c r="G138" s="18"/>
      <c r="H138" s="18"/>
      <c r="I138" s="18"/>
      <c r="J138" s="18"/>
      <c r="K138" s="11"/>
      <c r="L138" s="11"/>
      <c r="M138" s="11"/>
      <c r="N138" s="11">
        <f t="shared" si="31"/>
        <v>0</v>
      </c>
      <c r="O138" s="11">
        <f t="shared" si="34"/>
        <v>0</v>
      </c>
      <c r="P138" s="11">
        <f t="shared" si="35"/>
        <v>0</v>
      </c>
      <c r="Q138" s="8"/>
    </row>
    <row r="139" spans="1:17" ht="31.5" x14ac:dyDescent="0.25">
      <c r="A139" s="8"/>
      <c r="B139" s="9" t="s">
        <v>130</v>
      </c>
      <c r="C139" s="8"/>
      <c r="D139" s="8"/>
      <c r="E139" s="10" t="s">
        <v>229</v>
      </c>
      <c r="F139" s="11">
        <v>1</v>
      </c>
      <c r="G139" s="18"/>
      <c r="H139" s="18"/>
      <c r="I139" s="18"/>
      <c r="J139" s="18"/>
      <c r="K139" s="11"/>
      <c r="L139" s="11"/>
      <c r="M139" s="11"/>
      <c r="N139" s="11">
        <f t="shared" si="31"/>
        <v>0</v>
      </c>
      <c r="O139" s="11">
        <f t="shared" si="34"/>
        <v>0</v>
      </c>
      <c r="P139" s="11">
        <f t="shared" si="35"/>
        <v>0</v>
      </c>
      <c r="Q139" s="8"/>
    </row>
    <row r="140" spans="1:17" ht="31.5" x14ac:dyDescent="0.25">
      <c r="A140" s="8"/>
      <c r="B140" s="9" t="s">
        <v>131</v>
      </c>
      <c r="C140" s="8"/>
      <c r="D140" s="8"/>
      <c r="E140" s="10" t="s">
        <v>229</v>
      </c>
      <c r="F140" s="11">
        <v>1</v>
      </c>
      <c r="G140" s="18"/>
      <c r="H140" s="18"/>
      <c r="I140" s="18"/>
      <c r="J140" s="18"/>
      <c r="K140" s="11"/>
      <c r="L140" s="11"/>
      <c r="M140" s="11"/>
      <c r="N140" s="11">
        <f t="shared" ref="N140:N209" si="36">L140*8%</f>
        <v>0</v>
      </c>
      <c r="O140" s="11">
        <f t="shared" si="34"/>
        <v>0</v>
      </c>
      <c r="P140" s="11">
        <f t="shared" si="35"/>
        <v>0</v>
      </c>
      <c r="Q140" s="8"/>
    </row>
    <row r="141" spans="1:17" ht="31.5" x14ac:dyDescent="0.25">
      <c r="A141" s="8"/>
      <c r="B141" s="9" t="s">
        <v>132</v>
      </c>
      <c r="C141" s="8"/>
      <c r="D141" s="8"/>
      <c r="E141" s="10" t="s">
        <v>229</v>
      </c>
      <c r="F141" s="11">
        <v>1</v>
      </c>
      <c r="G141" s="18"/>
      <c r="H141" s="18"/>
      <c r="I141" s="18"/>
      <c r="J141" s="18"/>
      <c r="K141" s="11"/>
      <c r="L141" s="11"/>
      <c r="M141" s="11"/>
      <c r="N141" s="11">
        <f t="shared" si="36"/>
        <v>0</v>
      </c>
      <c r="O141" s="11">
        <f t="shared" si="34"/>
        <v>0</v>
      </c>
      <c r="P141" s="11">
        <f t="shared" si="35"/>
        <v>0</v>
      </c>
      <c r="Q141" s="8"/>
    </row>
    <row r="142" spans="1:17" ht="31.5" x14ac:dyDescent="0.25">
      <c r="A142" s="8"/>
      <c r="B142" s="9" t="s">
        <v>133</v>
      </c>
      <c r="C142" s="8"/>
      <c r="D142" s="8"/>
      <c r="E142" s="10" t="s">
        <v>229</v>
      </c>
      <c r="F142" s="11">
        <v>1</v>
      </c>
      <c r="G142" s="18"/>
      <c r="H142" s="18"/>
      <c r="I142" s="18"/>
      <c r="J142" s="18"/>
      <c r="K142" s="11"/>
      <c r="L142" s="11"/>
      <c r="M142" s="11"/>
      <c r="N142" s="11">
        <f t="shared" si="36"/>
        <v>0</v>
      </c>
      <c r="O142" s="11">
        <f t="shared" si="34"/>
        <v>0</v>
      </c>
      <c r="P142" s="11">
        <f t="shared" si="35"/>
        <v>0</v>
      </c>
      <c r="Q142" s="8"/>
    </row>
    <row r="143" spans="1:17" ht="31.5" x14ac:dyDescent="0.25">
      <c r="A143" s="8"/>
      <c r="B143" s="9" t="s">
        <v>134</v>
      </c>
      <c r="C143" s="8"/>
      <c r="D143" s="8"/>
      <c r="E143" s="10" t="s">
        <v>229</v>
      </c>
      <c r="F143" s="11">
        <v>1</v>
      </c>
      <c r="G143" s="18"/>
      <c r="H143" s="18"/>
      <c r="I143" s="18"/>
      <c r="J143" s="18"/>
      <c r="K143" s="11"/>
      <c r="L143" s="11"/>
      <c r="M143" s="11"/>
      <c r="N143" s="11">
        <f t="shared" si="36"/>
        <v>0</v>
      </c>
      <c r="O143" s="11">
        <f t="shared" si="34"/>
        <v>0</v>
      </c>
      <c r="P143" s="11">
        <f t="shared" si="35"/>
        <v>0</v>
      </c>
      <c r="Q143" s="8"/>
    </row>
    <row r="144" spans="1:17" ht="31.5" x14ac:dyDescent="0.25">
      <c r="A144" s="8"/>
      <c r="B144" s="9" t="s">
        <v>135</v>
      </c>
      <c r="C144" s="8"/>
      <c r="D144" s="8"/>
      <c r="E144" s="10" t="s">
        <v>229</v>
      </c>
      <c r="F144" s="11">
        <v>1</v>
      </c>
      <c r="G144" s="18"/>
      <c r="H144" s="18"/>
      <c r="I144" s="18"/>
      <c r="J144" s="18"/>
      <c r="K144" s="11"/>
      <c r="L144" s="11"/>
      <c r="M144" s="11"/>
      <c r="N144" s="11">
        <f t="shared" si="36"/>
        <v>0</v>
      </c>
      <c r="O144" s="11">
        <f t="shared" si="34"/>
        <v>0</v>
      </c>
      <c r="P144" s="11">
        <f t="shared" si="35"/>
        <v>0</v>
      </c>
      <c r="Q144" s="8"/>
    </row>
    <row r="145" spans="1:17" ht="31.5" x14ac:dyDescent="0.25">
      <c r="A145" s="8"/>
      <c r="B145" s="9" t="s">
        <v>136</v>
      </c>
      <c r="C145" s="8"/>
      <c r="D145" s="8"/>
      <c r="E145" s="10" t="s">
        <v>229</v>
      </c>
      <c r="F145" s="11">
        <v>1</v>
      </c>
      <c r="G145" s="18"/>
      <c r="H145" s="18"/>
      <c r="I145" s="18"/>
      <c r="J145" s="18"/>
      <c r="K145" s="11"/>
      <c r="L145" s="11"/>
      <c r="M145" s="11"/>
      <c r="N145" s="11">
        <f t="shared" si="36"/>
        <v>0</v>
      </c>
      <c r="O145" s="11">
        <f t="shared" si="34"/>
        <v>0</v>
      </c>
      <c r="P145" s="11">
        <f t="shared" si="35"/>
        <v>0</v>
      </c>
      <c r="Q145" s="8"/>
    </row>
    <row r="146" spans="1:17" ht="31.5" x14ac:dyDescent="0.25">
      <c r="A146" s="8"/>
      <c r="B146" s="9" t="s">
        <v>137</v>
      </c>
      <c r="C146" s="8"/>
      <c r="D146" s="8"/>
      <c r="E146" s="10" t="s">
        <v>229</v>
      </c>
      <c r="F146" s="11">
        <v>1</v>
      </c>
      <c r="G146" s="18"/>
      <c r="H146" s="18"/>
      <c r="I146" s="18"/>
      <c r="J146" s="18"/>
      <c r="K146" s="11"/>
      <c r="L146" s="11"/>
      <c r="M146" s="11"/>
      <c r="N146" s="11">
        <f t="shared" si="36"/>
        <v>0</v>
      </c>
      <c r="O146" s="11">
        <f t="shared" si="34"/>
        <v>0</v>
      </c>
      <c r="P146" s="11">
        <f t="shared" si="35"/>
        <v>0</v>
      </c>
      <c r="Q146" s="8"/>
    </row>
    <row r="147" spans="1:17" ht="31.5" x14ac:dyDescent="0.25">
      <c r="A147" s="8"/>
      <c r="B147" s="9" t="s">
        <v>138</v>
      </c>
      <c r="C147" s="8"/>
      <c r="D147" s="8"/>
      <c r="E147" s="10" t="s">
        <v>229</v>
      </c>
      <c r="F147" s="11">
        <v>1</v>
      </c>
      <c r="G147" s="18"/>
      <c r="H147" s="18"/>
      <c r="I147" s="18"/>
      <c r="J147" s="18"/>
      <c r="K147" s="11"/>
      <c r="L147" s="11"/>
      <c r="M147" s="11"/>
      <c r="N147" s="11">
        <f t="shared" si="36"/>
        <v>0</v>
      </c>
      <c r="O147" s="11">
        <f t="shared" si="34"/>
        <v>0</v>
      </c>
      <c r="P147" s="11">
        <f t="shared" si="35"/>
        <v>0</v>
      </c>
      <c r="Q147" s="8"/>
    </row>
    <row r="148" spans="1:17" ht="31.5" x14ac:dyDescent="0.25">
      <c r="A148" s="8"/>
      <c r="B148" s="9" t="s">
        <v>139</v>
      </c>
      <c r="C148" s="8"/>
      <c r="D148" s="8"/>
      <c r="E148" s="10" t="s">
        <v>229</v>
      </c>
      <c r="F148" s="11">
        <v>1</v>
      </c>
      <c r="G148" s="18"/>
      <c r="H148" s="18"/>
      <c r="I148" s="18"/>
      <c r="J148" s="18"/>
      <c r="K148" s="11"/>
      <c r="L148" s="11"/>
      <c r="M148" s="11"/>
      <c r="N148" s="11">
        <f t="shared" si="36"/>
        <v>0</v>
      </c>
      <c r="O148" s="11">
        <f t="shared" si="34"/>
        <v>0</v>
      </c>
      <c r="P148" s="11">
        <f t="shared" si="35"/>
        <v>0</v>
      </c>
      <c r="Q148" s="8"/>
    </row>
    <row r="149" spans="1:17" ht="31.5" x14ac:dyDescent="0.25">
      <c r="A149" s="8"/>
      <c r="B149" s="9" t="s">
        <v>140</v>
      </c>
      <c r="C149" s="8"/>
      <c r="D149" s="8"/>
      <c r="E149" s="10" t="s">
        <v>229</v>
      </c>
      <c r="F149" s="11">
        <v>1</v>
      </c>
      <c r="G149" s="18"/>
      <c r="H149" s="18"/>
      <c r="I149" s="18"/>
      <c r="J149" s="18"/>
      <c r="K149" s="11"/>
      <c r="L149" s="11"/>
      <c r="M149" s="11"/>
      <c r="N149" s="11">
        <f t="shared" si="36"/>
        <v>0</v>
      </c>
      <c r="O149" s="11">
        <f t="shared" si="34"/>
        <v>0</v>
      </c>
      <c r="P149" s="11">
        <f t="shared" si="35"/>
        <v>0</v>
      </c>
      <c r="Q149" s="8"/>
    </row>
    <row r="150" spans="1:17" ht="31.5" x14ac:dyDescent="0.25">
      <c r="A150" s="8"/>
      <c r="B150" s="9" t="s">
        <v>141</v>
      </c>
      <c r="C150" s="8"/>
      <c r="D150" s="8"/>
      <c r="E150" s="10" t="s">
        <v>229</v>
      </c>
      <c r="F150" s="11">
        <v>1</v>
      </c>
      <c r="G150" s="18"/>
      <c r="H150" s="18"/>
      <c r="I150" s="18"/>
      <c r="J150" s="18"/>
      <c r="K150" s="11"/>
      <c r="L150" s="11"/>
      <c r="M150" s="11"/>
      <c r="N150" s="11">
        <f t="shared" si="36"/>
        <v>0</v>
      </c>
      <c r="O150" s="11">
        <f t="shared" si="34"/>
        <v>0</v>
      </c>
      <c r="P150" s="11">
        <f t="shared" si="35"/>
        <v>0</v>
      </c>
      <c r="Q150" s="8"/>
    </row>
    <row r="151" spans="1:17" ht="31.5" x14ac:dyDescent="0.25">
      <c r="A151" s="8"/>
      <c r="B151" s="9" t="s">
        <v>142</v>
      </c>
      <c r="C151" s="8"/>
      <c r="D151" s="8"/>
      <c r="E151" s="10" t="s">
        <v>229</v>
      </c>
      <c r="F151" s="11">
        <v>6</v>
      </c>
      <c r="G151" s="18"/>
      <c r="H151" s="18"/>
      <c r="I151" s="18"/>
      <c r="J151" s="18"/>
      <c r="K151" s="11"/>
      <c r="L151" s="11"/>
      <c r="M151" s="11"/>
      <c r="N151" s="11">
        <f t="shared" si="36"/>
        <v>0</v>
      </c>
      <c r="O151" s="11">
        <f t="shared" si="34"/>
        <v>0</v>
      </c>
      <c r="P151" s="11">
        <f t="shared" si="35"/>
        <v>0</v>
      </c>
      <c r="Q151" s="8"/>
    </row>
    <row r="152" spans="1:17" x14ac:dyDescent="0.25">
      <c r="A152" s="8"/>
      <c r="B152" s="9" t="s">
        <v>143</v>
      </c>
      <c r="C152" s="8"/>
      <c r="D152" s="8"/>
      <c r="E152" s="10" t="s">
        <v>229</v>
      </c>
      <c r="F152" s="11">
        <v>4</v>
      </c>
      <c r="G152" s="18"/>
      <c r="H152" s="18"/>
      <c r="I152" s="18"/>
      <c r="J152" s="18"/>
      <c r="K152" s="11"/>
      <c r="L152" s="11"/>
      <c r="M152" s="11"/>
      <c r="N152" s="11">
        <f t="shared" si="36"/>
        <v>0</v>
      </c>
      <c r="O152" s="11">
        <f t="shared" si="34"/>
        <v>0</v>
      </c>
      <c r="P152" s="11">
        <f t="shared" si="35"/>
        <v>0</v>
      </c>
      <c r="Q152" s="8"/>
    </row>
    <row r="153" spans="1:17" x14ac:dyDescent="0.25">
      <c r="A153" s="8"/>
      <c r="B153" s="9" t="s">
        <v>14</v>
      </c>
      <c r="C153" s="8"/>
      <c r="D153" s="8"/>
      <c r="E153" s="10" t="s">
        <v>226</v>
      </c>
      <c r="F153" s="11">
        <v>1</v>
      </c>
      <c r="G153" s="18"/>
      <c r="H153" s="18"/>
      <c r="I153" s="18"/>
      <c r="J153" s="18"/>
      <c r="K153" s="11"/>
      <c r="L153" s="11"/>
      <c r="M153" s="11"/>
      <c r="N153" s="11">
        <f t="shared" si="36"/>
        <v>0</v>
      </c>
      <c r="O153" s="11">
        <f t="shared" si="34"/>
        <v>0</v>
      </c>
      <c r="P153" s="11">
        <f t="shared" si="35"/>
        <v>0</v>
      </c>
      <c r="Q153" s="8"/>
    </row>
    <row r="154" spans="1:17" x14ac:dyDescent="0.25">
      <c r="A154" s="8"/>
      <c r="B154" s="14" t="s">
        <v>144</v>
      </c>
      <c r="C154" s="8"/>
      <c r="D154" s="8"/>
      <c r="E154" s="10"/>
      <c r="F154" s="11"/>
      <c r="G154" s="18"/>
      <c r="H154" s="18"/>
      <c r="I154" s="18"/>
      <c r="J154" s="18"/>
      <c r="K154" s="11"/>
      <c r="L154" s="11"/>
      <c r="M154" s="11"/>
      <c r="N154" s="11"/>
      <c r="O154" s="11"/>
      <c r="P154" s="11"/>
      <c r="Q154" s="8"/>
    </row>
    <row r="155" spans="1:17" ht="78.75" x14ac:dyDescent="0.25">
      <c r="A155" s="8"/>
      <c r="B155" s="12" t="s">
        <v>145</v>
      </c>
      <c r="C155" s="12" t="s">
        <v>398</v>
      </c>
      <c r="D155" s="10" t="s">
        <v>399</v>
      </c>
      <c r="E155" s="10" t="s">
        <v>230</v>
      </c>
      <c r="F155" s="11">
        <v>3</v>
      </c>
      <c r="G155" s="21">
        <v>432571000</v>
      </c>
      <c r="H155" s="18"/>
      <c r="I155" s="18"/>
      <c r="J155" s="18"/>
      <c r="K155" s="11">
        <f t="shared" ref="K155:K159" si="37">G155+H155+I155+J155</f>
        <v>432571000</v>
      </c>
      <c r="L155" s="11">
        <v>5500000</v>
      </c>
      <c r="M155" s="11">
        <f>K155*8%</f>
        <v>34605680</v>
      </c>
      <c r="N155" s="11">
        <f t="shared" si="36"/>
        <v>440000</v>
      </c>
      <c r="O155" s="11">
        <f t="shared" ref="O155:O218" si="38">(K155+M155)*F155</f>
        <v>1401530040</v>
      </c>
      <c r="P155" s="11">
        <f t="shared" ref="P155:P218" si="39">(L155+N155)*F155</f>
        <v>17820000</v>
      </c>
      <c r="Q155" s="8"/>
    </row>
    <row r="156" spans="1:17" ht="94.5" x14ac:dyDescent="0.25">
      <c r="A156" s="8"/>
      <c r="B156" s="12" t="s">
        <v>146</v>
      </c>
      <c r="C156" s="12" t="s">
        <v>400</v>
      </c>
      <c r="D156" s="10" t="s">
        <v>399</v>
      </c>
      <c r="E156" s="10" t="s">
        <v>230</v>
      </c>
      <c r="F156" s="11">
        <v>1</v>
      </c>
      <c r="G156" s="21">
        <v>326939000</v>
      </c>
      <c r="H156" s="18"/>
      <c r="I156" s="18"/>
      <c r="J156" s="18"/>
      <c r="K156" s="11">
        <f t="shared" si="37"/>
        <v>326939000</v>
      </c>
      <c r="L156" s="11">
        <v>5500000</v>
      </c>
      <c r="M156" s="11">
        <f t="shared" ref="M156:M159" si="40">K156*8%</f>
        <v>26155120</v>
      </c>
      <c r="N156" s="11">
        <f t="shared" si="36"/>
        <v>440000</v>
      </c>
      <c r="O156" s="11">
        <f t="shared" si="38"/>
        <v>353094120</v>
      </c>
      <c r="P156" s="11">
        <f t="shared" si="39"/>
        <v>5940000</v>
      </c>
      <c r="Q156" s="8"/>
    </row>
    <row r="157" spans="1:17" ht="47.25" x14ac:dyDescent="0.25">
      <c r="A157" s="8"/>
      <c r="B157" s="12" t="s">
        <v>147</v>
      </c>
      <c r="C157" s="12" t="s">
        <v>260</v>
      </c>
      <c r="D157" s="10" t="s">
        <v>399</v>
      </c>
      <c r="E157" s="10" t="s">
        <v>230</v>
      </c>
      <c r="F157" s="11">
        <v>38</v>
      </c>
      <c r="G157" s="21">
        <v>19650000</v>
      </c>
      <c r="H157" s="18"/>
      <c r="I157" s="18"/>
      <c r="J157" s="18"/>
      <c r="K157" s="11">
        <f t="shared" si="37"/>
        <v>19650000</v>
      </c>
      <c r="L157" s="11">
        <v>1300000</v>
      </c>
      <c r="M157" s="11">
        <f t="shared" si="40"/>
        <v>1572000</v>
      </c>
      <c r="N157" s="11">
        <f t="shared" si="36"/>
        <v>104000</v>
      </c>
      <c r="O157" s="11">
        <f t="shared" si="38"/>
        <v>806436000</v>
      </c>
      <c r="P157" s="11">
        <f t="shared" si="39"/>
        <v>53352000</v>
      </c>
      <c r="Q157" s="8"/>
    </row>
    <row r="158" spans="1:17" x14ac:dyDescent="0.25">
      <c r="A158" s="8"/>
      <c r="B158" s="12"/>
      <c r="C158" s="12" t="s">
        <v>401</v>
      </c>
      <c r="D158" s="10" t="s">
        <v>403</v>
      </c>
      <c r="E158" s="10" t="s">
        <v>227</v>
      </c>
      <c r="F158" s="11">
        <f>F157</f>
        <v>38</v>
      </c>
      <c r="G158" s="21">
        <v>745000</v>
      </c>
      <c r="H158" s="18"/>
      <c r="I158" s="18"/>
      <c r="J158" s="18"/>
      <c r="K158" s="11">
        <f t="shared" si="37"/>
        <v>745000</v>
      </c>
      <c r="L158" s="11">
        <v>150000</v>
      </c>
      <c r="M158" s="11">
        <f t="shared" si="40"/>
        <v>59600</v>
      </c>
      <c r="N158" s="11">
        <f t="shared" si="36"/>
        <v>12000</v>
      </c>
      <c r="O158" s="11">
        <f t="shared" si="38"/>
        <v>30574800</v>
      </c>
      <c r="P158" s="11">
        <f t="shared" si="39"/>
        <v>6156000</v>
      </c>
      <c r="Q158" s="8"/>
    </row>
    <row r="159" spans="1:17" x14ac:dyDescent="0.25">
      <c r="A159" s="8"/>
      <c r="B159" s="12"/>
      <c r="C159" s="12" t="s">
        <v>402</v>
      </c>
      <c r="D159" s="10" t="s">
        <v>258</v>
      </c>
      <c r="E159" s="10" t="s">
        <v>227</v>
      </c>
      <c r="F159" s="11">
        <f>F158</f>
        <v>38</v>
      </c>
      <c r="G159" s="21">
        <v>2133000</v>
      </c>
      <c r="H159" s="18"/>
      <c r="I159" s="18"/>
      <c r="J159" s="18"/>
      <c r="K159" s="11">
        <f t="shared" si="37"/>
        <v>2133000</v>
      </c>
      <c r="L159" s="11">
        <v>150000</v>
      </c>
      <c r="M159" s="11">
        <f t="shared" si="40"/>
        <v>170640</v>
      </c>
      <c r="N159" s="11">
        <f t="shared" si="36"/>
        <v>12000</v>
      </c>
      <c r="O159" s="11">
        <f t="shared" si="38"/>
        <v>87538320</v>
      </c>
      <c r="P159" s="11">
        <f t="shared" si="39"/>
        <v>6156000</v>
      </c>
      <c r="Q159" s="8"/>
    </row>
    <row r="160" spans="1:17" x14ac:dyDescent="0.25">
      <c r="A160" s="8"/>
      <c r="B160" s="12" t="s">
        <v>14</v>
      </c>
      <c r="C160" s="8"/>
      <c r="D160" s="10" t="s">
        <v>259</v>
      </c>
      <c r="E160" s="10" t="s">
        <v>226</v>
      </c>
      <c r="F160" s="11">
        <v>1</v>
      </c>
      <c r="G160" s="18">
        <f>F158*1500000</f>
        <v>57000000</v>
      </c>
      <c r="H160" s="18">
        <f t="shared" ref="H160:H161" si="41">G160*5%</f>
        <v>2850000</v>
      </c>
      <c r="I160" s="18">
        <f t="shared" ref="I160" si="42">(G160+H160)*10%</f>
        <v>5985000</v>
      </c>
      <c r="J160" s="18">
        <f t="shared" ref="J160" si="43">(G160+H160+I160)*17%</f>
        <v>11191950</v>
      </c>
      <c r="K160" s="11">
        <f t="shared" ref="K160" si="44">G160+H160+I160+J160</f>
        <v>77026950</v>
      </c>
      <c r="L160" s="11">
        <f t="shared" ref="L160:L161" si="45">K160*25%</f>
        <v>19256737.5</v>
      </c>
      <c r="M160" s="11">
        <f t="shared" ref="M160" si="46">K160*8%</f>
        <v>6162156</v>
      </c>
      <c r="N160" s="11">
        <f t="shared" si="36"/>
        <v>1540539</v>
      </c>
      <c r="O160" s="11">
        <f t="shared" si="38"/>
        <v>83189106</v>
      </c>
      <c r="P160" s="11">
        <f t="shared" si="39"/>
        <v>20797276.5</v>
      </c>
      <c r="Q160" s="8"/>
    </row>
    <row r="161" spans="1:17" x14ac:dyDescent="0.25">
      <c r="A161" s="8"/>
      <c r="B161" s="12"/>
      <c r="C161" s="8" t="s">
        <v>389</v>
      </c>
      <c r="D161" s="10" t="s">
        <v>387</v>
      </c>
      <c r="E161" s="10" t="s">
        <v>388</v>
      </c>
      <c r="F161" s="11">
        <v>300</v>
      </c>
      <c r="G161" s="18">
        <v>300000</v>
      </c>
      <c r="H161" s="18">
        <f t="shared" si="41"/>
        <v>15000</v>
      </c>
      <c r="I161" s="18">
        <f t="shared" ref="I161" si="47">(G161+H161)*10%</f>
        <v>31500</v>
      </c>
      <c r="J161" s="18">
        <f t="shared" ref="J161" si="48">(G161+H161+I161)*17%</f>
        <v>58905.000000000007</v>
      </c>
      <c r="K161" s="11">
        <f t="shared" ref="K161" si="49">G161+H161+I161+J161</f>
        <v>405405</v>
      </c>
      <c r="L161" s="11">
        <f t="shared" si="45"/>
        <v>101351.25</v>
      </c>
      <c r="M161" s="11">
        <f t="shared" ref="M161" si="50">K161*8%</f>
        <v>32432.400000000001</v>
      </c>
      <c r="N161" s="11">
        <f t="shared" ref="N161" si="51">L161*8%</f>
        <v>8108.1</v>
      </c>
      <c r="O161" s="11">
        <f t="shared" si="38"/>
        <v>131351220</v>
      </c>
      <c r="P161" s="11">
        <f t="shared" si="39"/>
        <v>32837805</v>
      </c>
      <c r="Q161" s="8"/>
    </row>
    <row r="162" spans="1:17" x14ac:dyDescent="0.25">
      <c r="A162" s="8"/>
      <c r="B162" s="14" t="s">
        <v>148</v>
      </c>
      <c r="C162" s="8"/>
      <c r="D162" s="8"/>
      <c r="E162" s="10"/>
      <c r="F162" s="11"/>
      <c r="G162" s="18"/>
      <c r="H162" s="18"/>
      <c r="I162" s="18"/>
      <c r="J162" s="18"/>
      <c r="K162" s="11"/>
      <c r="L162" s="11"/>
      <c r="M162" s="11"/>
      <c r="N162" s="11"/>
      <c r="O162" s="11"/>
      <c r="P162" s="11"/>
      <c r="Q162" s="8"/>
    </row>
    <row r="163" spans="1:17" ht="47.25" x14ac:dyDescent="0.25">
      <c r="A163" s="8"/>
      <c r="B163" s="12" t="s">
        <v>149</v>
      </c>
      <c r="C163" s="12" t="s">
        <v>351</v>
      </c>
      <c r="D163" s="10" t="s">
        <v>399</v>
      </c>
      <c r="E163" s="10" t="s">
        <v>230</v>
      </c>
      <c r="F163" s="11">
        <v>6</v>
      </c>
      <c r="G163" s="21">
        <v>21666667</v>
      </c>
      <c r="H163" s="18"/>
      <c r="I163" s="18"/>
      <c r="J163" s="18"/>
      <c r="K163" s="11">
        <f t="shared" ref="K163:K165" si="52">G163+H163+I163+J163</f>
        <v>21666667</v>
      </c>
      <c r="L163" s="11">
        <v>600000</v>
      </c>
      <c r="M163" s="11">
        <f>K163*8%</f>
        <v>1733333.36</v>
      </c>
      <c r="N163" s="11">
        <f t="shared" si="36"/>
        <v>48000</v>
      </c>
      <c r="O163" s="11">
        <f t="shared" si="38"/>
        <v>140400002.16</v>
      </c>
      <c r="P163" s="11">
        <f t="shared" si="39"/>
        <v>3888000</v>
      </c>
      <c r="Q163" s="8"/>
    </row>
    <row r="164" spans="1:17" ht="47.25" x14ac:dyDescent="0.25">
      <c r="A164" s="8"/>
      <c r="B164" s="12" t="s">
        <v>150</v>
      </c>
      <c r="C164" s="12" t="s">
        <v>352</v>
      </c>
      <c r="D164" s="10" t="s">
        <v>399</v>
      </c>
      <c r="E164" s="10" t="s">
        <v>230</v>
      </c>
      <c r="F164" s="11">
        <v>4</v>
      </c>
      <c r="G164" s="21">
        <v>32818182</v>
      </c>
      <c r="H164" s="18"/>
      <c r="I164" s="18"/>
      <c r="J164" s="18"/>
      <c r="K164" s="11">
        <f t="shared" si="52"/>
        <v>32818182</v>
      </c>
      <c r="L164" s="11">
        <v>600000</v>
      </c>
      <c r="M164" s="11">
        <f>K164*10%</f>
        <v>3281818.2</v>
      </c>
      <c r="N164" s="11">
        <f t="shared" si="36"/>
        <v>48000</v>
      </c>
      <c r="O164" s="11">
        <f t="shared" si="38"/>
        <v>144400000.80000001</v>
      </c>
      <c r="P164" s="11">
        <f t="shared" si="39"/>
        <v>2592000</v>
      </c>
      <c r="Q164" s="8"/>
    </row>
    <row r="165" spans="1:17" x14ac:dyDescent="0.25">
      <c r="A165" s="8"/>
      <c r="B165" s="12" t="s">
        <v>14</v>
      </c>
      <c r="C165" s="8"/>
      <c r="D165" s="10" t="s">
        <v>259</v>
      </c>
      <c r="E165" s="10" t="s">
        <v>226</v>
      </c>
      <c r="F165" s="11">
        <v>1</v>
      </c>
      <c r="G165" s="18">
        <f>600000*(F163+F164)</f>
        <v>6000000</v>
      </c>
      <c r="H165" s="18">
        <f t="shared" ref="H165" si="53">G165*5%</f>
        <v>300000</v>
      </c>
      <c r="I165" s="18">
        <f t="shared" ref="I165" si="54">(G165+H165)*10%</f>
        <v>630000</v>
      </c>
      <c r="J165" s="18">
        <f t="shared" ref="J165" si="55">(G165+H165+I165)*17%</f>
        <v>1178100</v>
      </c>
      <c r="K165" s="11">
        <f t="shared" si="52"/>
        <v>8108100</v>
      </c>
      <c r="L165" s="11">
        <f t="shared" ref="L165" si="56">K165*25%</f>
        <v>2027025</v>
      </c>
      <c r="M165" s="11">
        <f t="shared" ref="M165" si="57">K165*8%</f>
        <v>648648</v>
      </c>
      <c r="N165" s="11">
        <f t="shared" ref="N165" si="58">L165*8%</f>
        <v>162162</v>
      </c>
      <c r="O165" s="11">
        <f t="shared" si="38"/>
        <v>8756748</v>
      </c>
      <c r="P165" s="11">
        <f t="shared" si="39"/>
        <v>2189187</v>
      </c>
      <c r="Q165" s="8"/>
    </row>
    <row r="166" spans="1:17" x14ac:dyDescent="0.25">
      <c r="A166" s="8"/>
      <c r="B166" s="12"/>
      <c r="C166" s="8" t="s">
        <v>389</v>
      </c>
      <c r="D166" s="10" t="s">
        <v>387</v>
      </c>
      <c r="E166" s="10" t="s">
        <v>388</v>
      </c>
      <c r="F166" s="11">
        <f>SUM(F163:F165)*80%</f>
        <v>8.8000000000000007</v>
      </c>
      <c r="G166" s="18">
        <v>260000</v>
      </c>
      <c r="H166" s="18">
        <f t="shared" ref="H166" si="59">G166*5%</f>
        <v>13000</v>
      </c>
      <c r="I166" s="18">
        <f t="shared" ref="I166" si="60">(G166+H166)*10%</f>
        <v>27300</v>
      </c>
      <c r="J166" s="18">
        <f t="shared" ref="J166" si="61">(G166+H166+I166)*17%</f>
        <v>51051.000000000007</v>
      </c>
      <c r="K166" s="11">
        <f t="shared" ref="K166" si="62">G166+H166+I166+J166</f>
        <v>351351</v>
      </c>
      <c r="L166" s="11">
        <f t="shared" ref="L166" si="63">K166*25%</f>
        <v>87837.75</v>
      </c>
      <c r="M166" s="11">
        <f t="shared" ref="M166" si="64">K166*8%</f>
        <v>28108.080000000002</v>
      </c>
      <c r="N166" s="11">
        <f t="shared" si="36"/>
        <v>7027.02</v>
      </c>
      <c r="O166" s="11">
        <f t="shared" si="38"/>
        <v>3339239.9040000006</v>
      </c>
      <c r="P166" s="11">
        <f t="shared" si="39"/>
        <v>834809.97600000014</v>
      </c>
      <c r="Q166" s="8"/>
    </row>
    <row r="167" spans="1:17" ht="31.5" x14ac:dyDescent="0.25">
      <c r="A167" s="8"/>
      <c r="B167" s="14" t="s">
        <v>151</v>
      </c>
      <c r="C167" s="8"/>
      <c r="D167" s="8"/>
      <c r="E167" s="10"/>
      <c r="F167" s="11"/>
      <c r="G167" s="18"/>
      <c r="H167" s="18"/>
      <c r="I167" s="18"/>
      <c r="J167" s="18"/>
      <c r="K167" s="11"/>
      <c r="L167" s="11"/>
      <c r="M167" s="11"/>
      <c r="N167" s="11"/>
      <c r="O167" s="11"/>
      <c r="P167" s="11"/>
      <c r="Q167" s="8"/>
    </row>
    <row r="168" spans="1:17" ht="47.25" x14ac:dyDescent="0.25">
      <c r="A168" s="8"/>
      <c r="B168" s="12" t="s">
        <v>152</v>
      </c>
      <c r="C168" s="12" t="s">
        <v>354</v>
      </c>
      <c r="D168" s="10" t="s">
        <v>399</v>
      </c>
      <c r="E168" s="10" t="s">
        <v>230</v>
      </c>
      <c r="F168" s="11">
        <v>2</v>
      </c>
      <c r="G168" s="21">
        <v>23650000</v>
      </c>
      <c r="H168" s="18"/>
      <c r="I168" s="18"/>
      <c r="J168" s="18"/>
      <c r="K168" s="11">
        <f t="shared" ref="K168:K174" si="65">G168+H168+I168+J168</f>
        <v>23650000</v>
      </c>
      <c r="L168" s="11">
        <v>1500000</v>
      </c>
      <c r="M168" s="11">
        <f>K168*8%</f>
        <v>1892000</v>
      </c>
      <c r="N168" s="11">
        <f>L168*8%</f>
        <v>120000</v>
      </c>
      <c r="O168" s="11">
        <f t="shared" si="38"/>
        <v>51084000</v>
      </c>
      <c r="P168" s="11">
        <f t="shared" si="39"/>
        <v>3240000</v>
      </c>
      <c r="Q168" s="8"/>
    </row>
    <row r="169" spans="1:17" ht="47.25" x14ac:dyDescent="0.25">
      <c r="A169" s="8"/>
      <c r="B169" s="12" t="s">
        <v>150</v>
      </c>
      <c r="C169" s="12" t="s">
        <v>355</v>
      </c>
      <c r="D169" s="10" t="s">
        <v>399</v>
      </c>
      <c r="E169" s="10" t="s">
        <v>230</v>
      </c>
      <c r="F169" s="11">
        <v>2</v>
      </c>
      <c r="G169" s="21">
        <v>30250000</v>
      </c>
      <c r="H169" s="18"/>
      <c r="I169" s="18"/>
      <c r="J169" s="18"/>
      <c r="K169" s="11">
        <f t="shared" si="65"/>
        <v>30250000</v>
      </c>
      <c r="L169" s="11">
        <v>1500000</v>
      </c>
      <c r="M169" s="11">
        <f>K169*10%</f>
        <v>3025000</v>
      </c>
      <c r="N169" s="11">
        <f t="shared" si="36"/>
        <v>120000</v>
      </c>
      <c r="O169" s="11">
        <f t="shared" si="38"/>
        <v>66550000</v>
      </c>
      <c r="P169" s="11">
        <f t="shared" si="39"/>
        <v>3240000</v>
      </c>
      <c r="Q169" s="8"/>
    </row>
    <row r="170" spans="1:17" ht="47.25" x14ac:dyDescent="0.25">
      <c r="A170" s="8"/>
      <c r="B170" s="12" t="s">
        <v>153</v>
      </c>
      <c r="C170" s="12" t="s">
        <v>356</v>
      </c>
      <c r="D170" s="10" t="s">
        <v>399</v>
      </c>
      <c r="E170" s="10" t="s">
        <v>230</v>
      </c>
      <c r="F170" s="11">
        <v>2</v>
      </c>
      <c r="G170" s="21">
        <v>36850000</v>
      </c>
      <c r="H170" s="18"/>
      <c r="I170" s="18"/>
      <c r="J170" s="18"/>
      <c r="K170" s="11">
        <f t="shared" si="65"/>
        <v>36850000</v>
      </c>
      <c r="L170" s="11">
        <v>1500000</v>
      </c>
      <c r="M170" s="11">
        <f t="shared" ref="M170:M172" si="66">K170*10%</f>
        <v>3685000</v>
      </c>
      <c r="N170" s="11">
        <f t="shared" si="36"/>
        <v>120000</v>
      </c>
      <c r="O170" s="11">
        <f t="shared" si="38"/>
        <v>81070000</v>
      </c>
      <c r="P170" s="11">
        <f t="shared" si="39"/>
        <v>3240000</v>
      </c>
      <c r="Q170" s="8"/>
    </row>
    <row r="171" spans="1:17" ht="47.25" x14ac:dyDescent="0.25">
      <c r="A171" s="8"/>
      <c r="B171" s="12" t="s">
        <v>154</v>
      </c>
      <c r="C171" s="12" t="s">
        <v>357</v>
      </c>
      <c r="D171" s="10" t="s">
        <v>399</v>
      </c>
      <c r="E171" s="10" t="s">
        <v>230</v>
      </c>
      <c r="F171" s="11">
        <v>10</v>
      </c>
      <c r="G171" s="21">
        <v>40600000</v>
      </c>
      <c r="H171" s="18"/>
      <c r="I171" s="18"/>
      <c r="J171" s="18"/>
      <c r="K171" s="11">
        <f t="shared" si="65"/>
        <v>40600000</v>
      </c>
      <c r="L171" s="11">
        <v>1500000</v>
      </c>
      <c r="M171" s="11">
        <f t="shared" si="66"/>
        <v>4060000</v>
      </c>
      <c r="N171" s="11">
        <f t="shared" si="36"/>
        <v>120000</v>
      </c>
      <c r="O171" s="11">
        <f t="shared" si="38"/>
        <v>446600000</v>
      </c>
      <c r="P171" s="11">
        <f t="shared" si="39"/>
        <v>16200000</v>
      </c>
      <c r="Q171" s="8"/>
    </row>
    <row r="172" spans="1:17" ht="47.25" x14ac:dyDescent="0.25">
      <c r="A172" s="8"/>
      <c r="B172" s="12" t="s">
        <v>155</v>
      </c>
      <c r="C172" s="12" t="s">
        <v>358</v>
      </c>
      <c r="D172" s="10" t="s">
        <v>399</v>
      </c>
      <c r="E172" s="10" t="s">
        <v>230</v>
      </c>
      <c r="F172" s="11">
        <v>33</v>
      </c>
      <c r="G172" s="21">
        <v>44500000</v>
      </c>
      <c r="H172" s="18"/>
      <c r="I172" s="18"/>
      <c r="J172" s="18"/>
      <c r="K172" s="11">
        <f t="shared" si="65"/>
        <v>44500000</v>
      </c>
      <c r="L172" s="11">
        <v>1500000</v>
      </c>
      <c r="M172" s="11">
        <f t="shared" si="66"/>
        <v>4450000</v>
      </c>
      <c r="N172" s="11">
        <f t="shared" si="36"/>
        <v>120000</v>
      </c>
      <c r="O172" s="11">
        <f t="shared" si="38"/>
        <v>1615350000</v>
      </c>
      <c r="P172" s="11">
        <f t="shared" si="39"/>
        <v>53460000</v>
      </c>
      <c r="Q172" s="8"/>
    </row>
    <row r="173" spans="1:17" x14ac:dyDescent="0.25">
      <c r="A173" s="8"/>
      <c r="B173" s="12"/>
      <c r="C173" s="12" t="s">
        <v>401</v>
      </c>
      <c r="D173" s="10" t="s">
        <v>403</v>
      </c>
      <c r="E173" s="10" t="s">
        <v>227</v>
      </c>
      <c r="F173" s="11">
        <f>SUM(F168:F172)</f>
        <v>49</v>
      </c>
      <c r="G173" s="21">
        <v>1168000</v>
      </c>
      <c r="H173" s="18"/>
      <c r="I173" s="18"/>
      <c r="J173" s="18"/>
      <c r="K173" s="11">
        <f t="shared" si="65"/>
        <v>1168000</v>
      </c>
      <c r="L173" s="11">
        <v>150000</v>
      </c>
      <c r="M173" s="11">
        <f>K173*8%</f>
        <v>93440</v>
      </c>
      <c r="N173" s="11">
        <f t="shared" ref="N173:N174" si="67">L173*8%</f>
        <v>12000</v>
      </c>
      <c r="O173" s="11">
        <f t="shared" si="38"/>
        <v>61810560</v>
      </c>
      <c r="P173" s="11">
        <f t="shared" si="39"/>
        <v>7938000</v>
      </c>
      <c r="Q173" s="8"/>
    </row>
    <row r="174" spans="1:17" x14ac:dyDescent="0.25">
      <c r="A174" s="8"/>
      <c r="B174" s="12"/>
      <c r="C174" s="12" t="s">
        <v>402</v>
      </c>
      <c r="D174" s="10" t="s">
        <v>258</v>
      </c>
      <c r="E174" s="10" t="s">
        <v>227</v>
      </c>
      <c r="F174" s="11">
        <f>F173</f>
        <v>49</v>
      </c>
      <c r="G174" s="21">
        <v>3344000</v>
      </c>
      <c r="H174" s="18"/>
      <c r="I174" s="18"/>
      <c r="J174" s="18"/>
      <c r="K174" s="11">
        <f t="shared" si="65"/>
        <v>3344000</v>
      </c>
      <c r="L174" s="11">
        <v>150000</v>
      </c>
      <c r="M174" s="11">
        <f>K174*8%</f>
        <v>267520</v>
      </c>
      <c r="N174" s="11">
        <f t="shared" si="67"/>
        <v>12000</v>
      </c>
      <c r="O174" s="11">
        <f t="shared" si="38"/>
        <v>176964480</v>
      </c>
      <c r="P174" s="11">
        <f t="shared" si="39"/>
        <v>7938000</v>
      </c>
      <c r="Q174" s="8"/>
    </row>
    <row r="175" spans="1:17" x14ac:dyDescent="0.25">
      <c r="A175" s="8"/>
      <c r="B175" s="12" t="s">
        <v>14</v>
      </c>
      <c r="C175" s="8"/>
      <c r="D175" s="10" t="s">
        <v>259</v>
      </c>
      <c r="E175" s="10" t="s">
        <v>226</v>
      </c>
      <c r="F175" s="11">
        <v>1</v>
      </c>
      <c r="G175" s="18">
        <f>1000000*F173</f>
        <v>49000000</v>
      </c>
      <c r="H175" s="18">
        <f t="shared" ref="H175:H176" si="68">G175*5%</f>
        <v>2450000</v>
      </c>
      <c r="I175" s="18">
        <f t="shared" ref="I175:I176" si="69">(G175+H175)*10%</f>
        <v>5145000</v>
      </c>
      <c r="J175" s="18">
        <f t="shared" ref="J175:J176" si="70">(G175+H175+I175)*17%</f>
        <v>9621150</v>
      </c>
      <c r="K175" s="11">
        <f t="shared" ref="K175:K235" si="71">G175+H175+I175+J175</f>
        <v>66216150</v>
      </c>
      <c r="L175" s="11">
        <f t="shared" ref="L175:L176" si="72">K175*25%</f>
        <v>16554037.5</v>
      </c>
      <c r="M175" s="11">
        <f t="shared" ref="M175:M176" si="73">K175*8%</f>
        <v>5297292</v>
      </c>
      <c r="N175" s="11">
        <f t="shared" si="36"/>
        <v>1324323</v>
      </c>
      <c r="O175" s="11">
        <f t="shared" si="38"/>
        <v>71513442</v>
      </c>
      <c r="P175" s="11">
        <f t="shared" si="39"/>
        <v>17878360.5</v>
      </c>
      <c r="Q175" s="8"/>
    </row>
    <row r="176" spans="1:17" x14ac:dyDescent="0.25">
      <c r="A176" s="8"/>
      <c r="B176" s="12"/>
      <c r="C176" s="8" t="s">
        <v>389</v>
      </c>
      <c r="D176" s="10" t="s">
        <v>387</v>
      </c>
      <c r="E176" s="10" t="s">
        <v>388</v>
      </c>
      <c r="F176" s="11">
        <v>40</v>
      </c>
      <c r="G176" s="18">
        <v>260000</v>
      </c>
      <c r="H176" s="18">
        <f t="shared" si="68"/>
        <v>13000</v>
      </c>
      <c r="I176" s="18">
        <f t="shared" si="69"/>
        <v>27300</v>
      </c>
      <c r="J176" s="18">
        <f t="shared" si="70"/>
        <v>51051.000000000007</v>
      </c>
      <c r="K176" s="11">
        <f t="shared" si="71"/>
        <v>351351</v>
      </c>
      <c r="L176" s="11">
        <f t="shared" si="72"/>
        <v>87837.75</v>
      </c>
      <c r="M176" s="11">
        <f t="shared" si="73"/>
        <v>28108.080000000002</v>
      </c>
      <c r="N176" s="11">
        <f t="shared" ref="N176" si="74">L176*8%</f>
        <v>7027.02</v>
      </c>
      <c r="O176" s="11">
        <f t="shared" si="38"/>
        <v>15178363.200000001</v>
      </c>
      <c r="P176" s="11">
        <f t="shared" si="39"/>
        <v>3794590.8000000003</v>
      </c>
      <c r="Q176" s="8"/>
    </row>
    <row r="177" spans="1:17" x14ac:dyDescent="0.25">
      <c r="A177" s="8"/>
      <c r="B177" s="14" t="s">
        <v>156</v>
      </c>
      <c r="C177" s="8"/>
      <c r="D177" s="8"/>
      <c r="E177" s="10"/>
      <c r="F177" s="11"/>
      <c r="G177" s="18"/>
      <c r="H177" s="18"/>
      <c r="I177" s="18"/>
      <c r="J177" s="18"/>
      <c r="K177" s="11"/>
      <c r="L177" s="11"/>
      <c r="M177" s="11"/>
      <c r="N177" s="11"/>
      <c r="O177" s="11"/>
      <c r="P177" s="11"/>
      <c r="Q177" s="8"/>
    </row>
    <row r="178" spans="1:17" ht="31.5" x14ac:dyDescent="0.25">
      <c r="A178" s="8"/>
      <c r="B178" s="12" t="s">
        <v>157</v>
      </c>
      <c r="C178" s="12" t="s">
        <v>353</v>
      </c>
      <c r="D178" s="19" t="s">
        <v>404</v>
      </c>
      <c r="E178" s="10" t="s">
        <v>230</v>
      </c>
      <c r="F178" s="11">
        <v>6</v>
      </c>
      <c r="G178" s="21">
        <v>57150000</v>
      </c>
      <c r="H178" s="18"/>
      <c r="I178" s="18"/>
      <c r="J178" s="18"/>
      <c r="K178" s="11">
        <f t="shared" si="71"/>
        <v>57150000</v>
      </c>
      <c r="L178" s="11">
        <v>2000000</v>
      </c>
      <c r="M178" s="11">
        <f>K178*10%</f>
        <v>5715000</v>
      </c>
      <c r="N178" s="11">
        <f t="shared" si="36"/>
        <v>160000</v>
      </c>
      <c r="O178" s="11">
        <f t="shared" si="38"/>
        <v>377190000</v>
      </c>
      <c r="P178" s="11">
        <f t="shared" si="39"/>
        <v>12960000</v>
      </c>
      <c r="Q178" s="8"/>
    </row>
    <row r="179" spans="1:17" x14ac:dyDescent="0.25">
      <c r="A179" s="8"/>
      <c r="B179" s="12" t="s">
        <v>14</v>
      </c>
      <c r="C179" s="8"/>
      <c r="D179" s="10" t="s">
        <v>259</v>
      </c>
      <c r="E179" s="10" t="s">
        <v>226</v>
      </c>
      <c r="F179" s="11">
        <v>1</v>
      </c>
      <c r="G179" s="18">
        <f>620000*F178</f>
        <v>3720000</v>
      </c>
      <c r="H179" s="18">
        <f t="shared" ref="H179" si="75">G179*5%</f>
        <v>186000</v>
      </c>
      <c r="I179" s="18">
        <f t="shared" ref="I179" si="76">(G179+H179)*10%</f>
        <v>390600</v>
      </c>
      <c r="J179" s="18">
        <f t="shared" ref="J179" si="77">(G179+H179+I179)*17%</f>
        <v>730422</v>
      </c>
      <c r="K179" s="11">
        <f t="shared" si="71"/>
        <v>5027022</v>
      </c>
      <c r="L179" s="11">
        <f t="shared" ref="L179" si="78">K179*25%</f>
        <v>1256755.5</v>
      </c>
      <c r="M179" s="11">
        <f t="shared" ref="M179" si="79">K179*8%</f>
        <v>402161.76</v>
      </c>
      <c r="N179" s="11">
        <f t="shared" si="36"/>
        <v>100540.44</v>
      </c>
      <c r="O179" s="11">
        <f t="shared" si="38"/>
        <v>5429183.7599999998</v>
      </c>
      <c r="P179" s="11">
        <f t="shared" si="39"/>
        <v>1357295.94</v>
      </c>
      <c r="Q179" s="8"/>
    </row>
    <row r="180" spans="1:17" x14ac:dyDescent="0.25">
      <c r="A180" s="8"/>
      <c r="B180" s="12" t="s">
        <v>158</v>
      </c>
      <c r="C180" s="8"/>
      <c r="D180" s="8"/>
      <c r="E180" s="10"/>
      <c r="F180" s="11"/>
      <c r="G180" s="18"/>
      <c r="H180" s="18"/>
      <c r="I180" s="18"/>
      <c r="J180" s="18"/>
      <c r="K180" s="11">
        <f t="shared" si="71"/>
        <v>0</v>
      </c>
      <c r="L180" s="11"/>
      <c r="M180" s="11"/>
      <c r="N180" s="11">
        <f t="shared" si="36"/>
        <v>0</v>
      </c>
      <c r="O180" s="11">
        <f t="shared" si="38"/>
        <v>0</v>
      </c>
      <c r="P180" s="11">
        <f t="shared" si="39"/>
        <v>0</v>
      </c>
      <c r="Q180" s="8"/>
    </row>
    <row r="181" spans="1:17" ht="31.5" x14ac:dyDescent="0.25">
      <c r="A181" s="8"/>
      <c r="B181" s="12" t="s">
        <v>159</v>
      </c>
      <c r="C181" s="8"/>
      <c r="D181" s="8"/>
      <c r="E181" s="10" t="s">
        <v>229</v>
      </c>
      <c r="F181" s="11">
        <v>62</v>
      </c>
      <c r="G181" s="18"/>
      <c r="H181" s="18"/>
      <c r="I181" s="18"/>
      <c r="J181" s="18"/>
      <c r="K181" s="11">
        <f t="shared" si="71"/>
        <v>0</v>
      </c>
      <c r="L181" s="11"/>
      <c r="M181" s="11"/>
      <c r="N181" s="11">
        <f t="shared" si="36"/>
        <v>0</v>
      </c>
      <c r="O181" s="11">
        <f t="shared" si="38"/>
        <v>0</v>
      </c>
      <c r="P181" s="11">
        <f t="shared" si="39"/>
        <v>0</v>
      </c>
      <c r="Q181" s="8"/>
    </row>
    <row r="182" spans="1:17" ht="31.5" x14ac:dyDescent="0.25">
      <c r="A182" s="8"/>
      <c r="B182" s="12" t="s">
        <v>160</v>
      </c>
      <c r="C182" s="8"/>
      <c r="D182" s="8"/>
      <c r="E182" s="10" t="s">
        <v>229</v>
      </c>
      <c r="F182" s="11">
        <v>6</v>
      </c>
      <c r="G182" s="18"/>
      <c r="H182" s="18"/>
      <c r="I182" s="18"/>
      <c r="J182" s="18"/>
      <c r="K182" s="11">
        <f t="shared" si="71"/>
        <v>0</v>
      </c>
      <c r="L182" s="11"/>
      <c r="M182" s="11"/>
      <c r="N182" s="11">
        <f t="shared" si="36"/>
        <v>0</v>
      </c>
      <c r="O182" s="11">
        <f t="shared" si="38"/>
        <v>0</v>
      </c>
      <c r="P182" s="11">
        <f t="shared" si="39"/>
        <v>0</v>
      </c>
      <c r="Q182" s="8"/>
    </row>
    <row r="183" spans="1:17" ht="31.5" x14ac:dyDescent="0.25">
      <c r="A183" s="8"/>
      <c r="B183" s="12" t="s">
        <v>161</v>
      </c>
      <c r="C183" s="8"/>
      <c r="D183" s="8"/>
      <c r="E183" s="10" t="s">
        <v>229</v>
      </c>
      <c r="F183" s="11">
        <v>5</v>
      </c>
      <c r="G183" s="18"/>
      <c r="H183" s="18"/>
      <c r="I183" s="18"/>
      <c r="J183" s="18"/>
      <c r="K183" s="11">
        <f t="shared" si="71"/>
        <v>0</v>
      </c>
      <c r="L183" s="11"/>
      <c r="M183" s="11"/>
      <c r="N183" s="11">
        <f t="shared" si="36"/>
        <v>0</v>
      </c>
      <c r="O183" s="11">
        <f t="shared" si="38"/>
        <v>0</v>
      </c>
      <c r="P183" s="11">
        <f t="shared" si="39"/>
        <v>0</v>
      </c>
      <c r="Q183" s="8"/>
    </row>
    <row r="184" spans="1:17" ht="31.5" x14ac:dyDescent="0.25">
      <c r="A184" s="8"/>
      <c r="B184" s="12" t="s">
        <v>162</v>
      </c>
      <c r="C184" s="8"/>
      <c r="D184" s="8"/>
      <c r="E184" s="10" t="s">
        <v>229</v>
      </c>
      <c r="F184" s="11">
        <v>6</v>
      </c>
      <c r="G184" s="18"/>
      <c r="H184" s="18"/>
      <c r="I184" s="18"/>
      <c r="J184" s="18"/>
      <c r="K184" s="11">
        <f t="shared" si="71"/>
        <v>0</v>
      </c>
      <c r="L184" s="11"/>
      <c r="M184" s="11"/>
      <c r="N184" s="11">
        <f t="shared" si="36"/>
        <v>0</v>
      </c>
      <c r="O184" s="11">
        <f t="shared" si="38"/>
        <v>0</v>
      </c>
      <c r="P184" s="11">
        <f t="shared" si="39"/>
        <v>0</v>
      </c>
      <c r="Q184" s="8"/>
    </row>
    <row r="185" spans="1:17" ht="31.5" x14ac:dyDescent="0.25">
      <c r="A185" s="8"/>
      <c r="B185" s="12" t="s">
        <v>163</v>
      </c>
      <c r="C185" s="8"/>
      <c r="D185" s="8"/>
      <c r="E185" s="10" t="s">
        <v>229</v>
      </c>
      <c r="F185" s="11">
        <v>8</v>
      </c>
      <c r="G185" s="18"/>
      <c r="H185" s="18"/>
      <c r="I185" s="18"/>
      <c r="J185" s="18"/>
      <c r="K185" s="11">
        <f t="shared" si="71"/>
        <v>0</v>
      </c>
      <c r="L185" s="11"/>
      <c r="M185" s="11"/>
      <c r="N185" s="11">
        <f t="shared" si="36"/>
        <v>0</v>
      </c>
      <c r="O185" s="11">
        <f t="shared" si="38"/>
        <v>0</v>
      </c>
      <c r="P185" s="11">
        <f t="shared" si="39"/>
        <v>0</v>
      </c>
      <c r="Q185" s="8"/>
    </row>
    <row r="186" spans="1:17" ht="31.5" x14ac:dyDescent="0.25">
      <c r="A186" s="8"/>
      <c r="B186" s="12" t="s">
        <v>164</v>
      </c>
      <c r="C186" s="8"/>
      <c r="D186" s="8"/>
      <c r="E186" s="10" t="s">
        <v>229</v>
      </c>
      <c r="F186" s="11">
        <v>8</v>
      </c>
      <c r="G186" s="18"/>
      <c r="H186" s="18"/>
      <c r="I186" s="18"/>
      <c r="J186" s="18"/>
      <c r="K186" s="11">
        <f t="shared" si="71"/>
        <v>0</v>
      </c>
      <c r="L186" s="11"/>
      <c r="M186" s="11"/>
      <c r="N186" s="11">
        <f t="shared" si="36"/>
        <v>0</v>
      </c>
      <c r="O186" s="11">
        <f t="shared" si="38"/>
        <v>0</v>
      </c>
      <c r="P186" s="11">
        <f t="shared" si="39"/>
        <v>0</v>
      </c>
      <c r="Q186" s="8"/>
    </row>
    <row r="187" spans="1:17" ht="31.5" x14ac:dyDescent="0.25">
      <c r="A187" s="8"/>
      <c r="B187" s="12" t="s">
        <v>165</v>
      </c>
      <c r="C187" s="8"/>
      <c r="D187" s="8"/>
      <c r="E187" s="10" t="s">
        <v>229</v>
      </c>
      <c r="F187" s="11">
        <v>2</v>
      </c>
      <c r="G187" s="18"/>
      <c r="H187" s="18"/>
      <c r="I187" s="18"/>
      <c r="J187" s="18"/>
      <c r="K187" s="11">
        <f t="shared" si="71"/>
        <v>0</v>
      </c>
      <c r="L187" s="11"/>
      <c r="M187" s="11"/>
      <c r="N187" s="11">
        <f t="shared" si="36"/>
        <v>0</v>
      </c>
      <c r="O187" s="11">
        <f t="shared" si="38"/>
        <v>0</v>
      </c>
      <c r="P187" s="11">
        <f t="shared" si="39"/>
        <v>0</v>
      </c>
      <c r="Q187" s="8"/>
    </row>
    <row r="188" spans="1:17" x14ac:dyDescent="0.25">
      <c r="A188" s="8"/>
      <c r="B188" s="12" t="s">
        <v>166</v>
      </c>
      <c r="C188" s="8"/>
      <c r="D188" s="8"/>
      <c r="E188" s="10" t="s">
        <v>229</v>
      </c>
      <c r="F188" s="11">
        <v>5</v>
      </c>
      <c r="G188" s="18"/>
      <c r="H188" s="18"/>
      <c r="I188" s="18"/>
      <c r="J188" s="18"/>
      <c r="K188" s="11">
        <f t="shared" si="71"/>
        <v>0</v>
      </c>
      <c r="L188" s="11"/>
      <c r="M188" s="11"/>
      <c r="N188" s="11">
        <f t="shared" si="36"/>
        <v>0</v>
      </c>
      <c r="O188" s="11">
        <f t="shared" si="38"/>
        <v>0</v>
      </c>
      <c r="P188" s="11">
        <f t="shared" si="39"/>
        <v>0</v>
      </c>
      <c r="Q188" s="8"/>
    </row>
    <row r="189" spans="1:17" x14ac:dyDescent="0.25">
      <c r="A189" s="8"/>
      <c r="B189" s="12" t="s">
        <v>167</v>
      </c>
      <c r="C189" s="8"/>
      <c r="D189" s="8"/>
      <c r="E189" s="10" t="s">
        <v>229</v>
      </c>
      <c r="F189" s="11">
        <v>2</v>
      </c>
      <c r="G189" s="18"/>
      <c r="H189" s="18"/>
      <c r="I189" s="18"/>
      <c r="J189" s="18"/>
      <c r="K189" s="11">
        <f t="shared" si="71"/>
        <v>0</v>
      </c>
      <c r="L189" s="11"/>
      <c r="M189" s="11"/>
      <c r="N189" s="11">
        <f t="shared" si="36"/>
        <v>0</v>
      </c>
      <c r="O189" s="11">
        <f t="shared" si="38"/>
        <v>0</v>
      </c>
      <c r="P189" s="11">
        <f t="shared" si="39"/>
        <v>0</v>
      </c>
      <c r="Q189" s="8"/>
    </row>
    <row r="190" spans="1:17" ht="31.5" x14ac:dyDescent="0.25">
      <c r="A190" s="8"/>
      <c r="B190" s="12" t="s">
        <v>168</v>
      </c>
      <c r="C190" s="8"/>
      <c r="D190" s="8"/>
      <c r="E190" s="10" t="s">
        <v>229</v>
      </c>
      <c r="F190" s="11">
        <v>5</v>
      </c>
      <c r="G190" s="18"/>
      <c r="H190" s="18"/>
      <c r="I190" s="18"/>
      <c r="J190" s="18"/>
      <c r="K190" s="11">
        <f t="shared" si="71"/>
        <v>0</v>
      </c>
      <c r="L190" s="11"/>
      <c r="M190" s="11"/>
      <c r="N190" s="11">
        <f t="shared" si="36"/>
        <v>0</v>
      </c>
      <c r="O190" s="11">
        <f t="shared" si="38"/>
        <v>0</v>
      </c>
      <c r="P190" s="11">
        <f t="shared" si="39"/>
        <v>0</v>
      </c>
      <c r="Q190" s="8"/>
    </row>
    <row r="191" spans="1:17" x14ac:dyDescent="0.25">
      <c r="A191" s="8"/>
      <c r="B191" s="12" t="s">
        <v>169</v>
      </c>
      <c r="C191" s="8"/>
      <c r="D191" s="8"/>
      <c r="E191" s="10"/>
      <c r="F191" s="11"/>
      <c r="G191" s="18"/>
      <c r="H191" s="18"/>
      <c r="I191" s="18"/>
      <c r="J191" s="18"/>
      <c r="K191" s="11">
        <f t="shared" si="71"/>
        <v>0</v>
      </c>
      <c r="L191" s="11"/>
      <c r="M191" s="11"/>
      <c r="N191" s="11">
        <f t="shared" si="36"/>
        <v>0</v>
      </c>
      <c r="O191" s="11">
        <f t="shared" si="38"/>
        <v>0</v>
      </c>
      <c r="P191" s="11">
        <f t="shared" si="39"/>
        <v>0</v>
      </c>
      <c r="Q191" s="8"/>
    </row>
    <row r="192" spans="1:17" x14ac:dyDescent="0.25">
      <c r="A192" s="8"/>
      <c r="B192" s="12" t="s">
        <v>170</v>
      </c>
      <c r="C192" s="8"/>
      <c r="D192" s="8"/>
      <c r="E192" s="10" t="s">
        <v>229</v>
      </c>
      <c r="F192" s="11">
        <v>2</v>
      </c>
      <c r="G192" s="18"/>
      <c r="H192" s="18"/>
      <c r="I192" s="18"/>
      <c r="J192" s="18"/>
      <c r="K192" s="11">
        <f t="shared" si="71"/>
        <v>0</v>
      </c>
      <c r="L192" s="11"/>
      <c r="M192" s="11"/>
      <c r="N192" s="11">
        <f t="shared" si="36"/>
        <v>0</v>
      </c>
      <c r="O192" s="11">
        <f t="shared" si="38"/>
        <v>0</v>
      </c>
      <c r="P192" s="11">
        <f t="shared" si="39"/>
        <v>0</v>
      </c>
      <c r="Q192" s="8"/>
    </row>
    <row r="193" spans="1:17" x14ac:dyDescent="0.25">
      <c r="A193" s="8"/>
      <c r="B193" s="12" t="s">
        <v>171</v>
      </c>
      <c r="C193" s="8"/>
      <c r="D193" s="8"/>
      <c r="E193" s="10" t="s">
        <v>229</v>
      </c>
      <c r="F193" s="11">
        <v>4</v>
      </c>
      <c r="G193" s="18"/>
      <c r="H193" s="18"/>
      <c r="I193" s="18"/>
      <c r="J193" s="18"/>
      <c r="K193" s="11">
        <f t="shared" si="71"/>
        <v>0</v>
      </c>
      <c r="L193" s="11"/>
      <c r="M193" s="11"/>
      <c r="N193" s="11">
        <f t="shared" si="36"/>
        <v>0</v>
      </c>
      <c r="O193" s="11">
        <f t="shared" si="38"/>
        <v>0</v>
      </c>
      <c r="P193" s="11">
        <f t="shared" si="39"/>
        <v>0</v>
      </c>
      <c r="Q193" s="8"/>
    </row>
    <row r="194" spans="1:17" ht="31.5" x14ac:dyDescent="0.25">
      <c r="A194" s="8"/>
      <c r="B194" s="12" t="s">
        <v>172</v>
      </c>
      <c r="C194" s="8"/>
      <c r="D194" s="8"/>
      <c r="E194" s="10" t="s">
        <v>229</v>
      </c>
      <c r="F194" s="11">
        <v>5</v>
      </c>
      <c r="G194" s="18"/>
      <c r="H194" s="18"/>
      <c r="I194" s="18"/>
      <c r="J194" s="18"/>
      <c r="K194" s="11">
        <f t="shared" si="71"/>
        <v>0</v>
      </c>
      <c r="L194" s="11"/>
      <c r="M194" s="11"/>
      <c r="N194" s="11">
        <f t="shared" si="36"/>
        <v>0</v>
      </c>
      <c r="O194" s="11">
        <f t="shared" si="38"/>
        <v>0</v>
      </c>
      <c r="P194" s="11">
        <f t="shared" si="39"/>
        <v>0</v>
      </c>
      <c r="Q194" s="8"/>
    </row>
    <row r="195" spans="1:17" ht="31.5" x14ac:dyDescent="0.25">
      <c r="A195" s="8"/>
      <c r="B195" s="12" t="s">
        <v>173</v>
      </c>
      <c r="C195" s="8"/>
      <c r="D195" s="8"/>
      <c r="E195" s="10" t="s">
        <v>229</v>
      </c>
      <c r="F195" s="11">
        <v>1</v>
      </c>
      <c r="G195" s="18"/>
      <c r="H195" s="18"/>
      <c r="I195" s="18"/>
      <c r="J195" s="18"/>
      <c r="K195" s="11">
        <f t="shared" si="71"/>
        <v>0</v>
      </c>
      <c r="L195" s="11"/>
      <c r="M195" s="11"/>
      <c r="N195" s="11">
        <f t="shared" si="36"/>
        <v>0</v>
      </c>
      <c r="O195" s="11">
        <f t="shared" si="38"/>
        <v>0</v>
      </c>
      <c r="P195" s="11">
        <f t="shared" si="39"/>
        <v>0</v>
      </c>
      <c r="Q195" s="8"/>
    </row>
    <row r="196" spans="1:17" ht="31.5" x14ac:dyDescent="0.25">
      <c r="A196" s="8"/>
      <c r="B196" s="12" t="s">
        <v>174</v>
      </c>
      <c r="C196" s="8"/>
      <c r="D196" s="8"/>
      <c r="E196" s="10" t="s">
        <v>229</v>
      </c>
      <c r="F196" s="11">
        <v>1</v>
      </c>
      <c r="G196" s="18"/>
      <c r="H196" s="18"/>
      <c r="I196" s="18"/>
      <c r="J196" s="18"/>
      <c r="K196" s="11">
        <f t="shared" si="71"/>
        <v>0</v>
      </c>
      <c r="L196" s="11"/>
      <c r="M196" s="11"/>
      <c r="N196" s="11">
        <f t="shared" si="36"/>
        <v>0</v>
      </c>
      <c r="O196" s="11">
        <f t="shared" si="38"/>
        <v>0</v>
      </c>
      <c r="P196" s="11">
        <f t="shared" si="39"/>
        <v>0</v>
      </c>
      <c r="Q196" s="8"/>
    </row>
    <row r="197" spans="1:17" ht="31.5" x14ac:dyDescent="0.25">
      <c r="A197" s="8"/>
      <c r="B197" s="12" t="s">
        <v>175</v>
      </c>
      <c r="C197" s="8"/>
      <c r="D197" s="8"/>
      <c r="E197" s="10" t="s">
        <v>229</v>
      </c>
      <c r="F197" s="11">
        <v>1</v>
      </c>
      <c r="G197" s="18"/>
      <c r="H197" s="18"/>
      <c r="I197" s="18"/>
      <c r="J197" s="18"/>
      <c r="K197" s="11">
        <f t="shared" si="71"/>
        <v>0</v>
      </c>
      <c r="L197" s="11"/>
      <c r="M197" s="11"/>
      <c r="N197" s="11">
        <f t="shared" si="36"/>
        <v>0</v>
      </c>
      <c r="O197" s="11">
        <f t="shared" si="38"/>
        <v>0</v>
      </c>
      <c r="P197" s="11">
        <f t="shared" si="39"/>
        <v>0</v>
      </c>
      <c r="Q197" s="8"/>
    </row>
    <row r="198" spans="1:17" x14ac:dyDescent="0.25">
      <c r="A198" s="8"/>
      <c r="B198" s="12" t="s">
        <v>176</v>
      </c>
      <c r="C198" s="8"/>
      <c r="D198" s="8"/>
      <c r="E198" s="10" t="s">
        <v>229</v>
      </c>
      <c r="F198" s="11">
        <v>1</v>
      </c>
      <c r="G198" s="18"/>
      <c r="H198" s="18"/>
      <c r="I198" s="18"/>
      <c r="J198" s="18"/>
      <c r="K198" s="11">
        <f t="shared" si="71"/>
        <v>0</v>
      </c>
      <c r="L198" s="11"/>
      <c r="M198" s="11"/>
      <c r="N198" s="11">
        <f t="shared" si="36"/>
        <v>0</v>
      </c>
      <c r="O198" s="11">
        <f t="shared" si="38"/>
        <v>0</v>
      </c>
      <c r="P198" s="11">
        <f t="shared" si="39"/>
        <v>0</v>
      </c>
      <c r="Q198" s="8"/>
    </row>
    <row r="199" spans="1:17" x14ac:dyDescent="0.25">
      <c r="A199" s="8"/>
      <c r="B199" s="12" t="s">
        <v>177</v>
      </c>
      <c r="C199" s="8"/>
      <c r="D199" s="8"/>
      <c r="E199" s="10" t="s">
        <v>229</v>
      </c>
      <c r="F199" s="11">
        <v>4</v>
      </c>
      <c r="G199" s="18"/>
      <c r="H199" s="18"/>
      <c r="I199" s="18"/>
      <c r="J199" s="18"/>
      <c r="K199" s="11">
        <f t="shared" si="71"/>
        <v>0</v>
      </c>
      <c r="L199" s="11"/>
      <c r="M199" s="11"/>
      <c r="N199" s="11">
        <f t="shared" si="36"/>
        <v>0</v>
      </c>
      <c r="O199" s="11">
        <f t="shared" si="38"/>
        <v>0</v>
      </c>
      <c r="P199" s="11">
        <f t="shared" si="39"/>
        <v>0</v>
      </c>
      <c r="Q199" s="8"/>
    </row>
    <row r="200" spans="1:17" x14ac:dyDescent="0.25">
      <c r="A200" s="8"/>
      <c r="B200" s="12" t="s">
        <v>178</v>
      </c>
      <c r="C200" s="8"/>
      <c r="D200" s="8"/>
      <c r="E200" s="10" t="s">
        <v>229</v>
      </c>
      <c r="F200" s="11">
        <v>1</v>
      </c>
      <c r="G200" s="18"/>
      <c r="H200" s="18"/>
      <c r="I200" s="18"/>
      <c r="J200" s="18"/>
      <c r="K200" s="11">
        <f t="shared" si="71"/>
        <v>0</v>
      </c>
      <c r="L200" s="11"/>
      <c r="M200" s="11"/>
      <c r="N200" s="11">
        <f t="shared" si="36"/>
        <v>0</v>
      </c>
      <c r="O200" s="11">
        <f t="shared" si="38"/>
        <v>0</v>
      </c>
      <c r="P200" s="11">
        <f t="shared" si="39"/>
        <v>0</v>
      </c>
      <c r="Q200" s="8"/>
    </row>
    <row r="201" spans="1:17" x14ac:dyDescent="0.25">
      <c r="A201" s="8"/>
      <c r="B201" s="12" t="s">
        <v>179</v>
      </c>
      <c r="C201" s="8"/>
      <c r="D201" s="8"/>
      <c r="E201" s="10" t="s">
        <v>229</v>
      </c>
      <c r="F201" s="11">
        <v>6</v>
      </c>
      <c r="G201" s="18"/>
      <c r="H201" s="18"/>
      <c r="I201" s="18"/>
      <c r="J201" s="18"/>
      <c r="K201" s="11">
        <f t="shared" si="71"/>
        <v>0</v>
      </c>
      <c r="L201" s="11"/>
      <c r="M201" s="11"/>
      <c r="N201" s="11">
        <f t="shared" si="36"/>
        <v>0</v>
      </c>
      <c r="O201" s="11">
        <f t="shared" si="38"/>
        <v>0</v>
      </c>
      <c r="P201" s="11">
        <f t="shared" si="39"/>
        <v>0</v>
      </c>
      <c r="Q201" s="8"/>
    </row>
    <row r="202" spans="1:17" x14ac:dyDescent="0.25">
      <c r="A202" s="8"/>
      <c r="B202" s="12" t="s">
        <v>180</v>
      </c>
      <c r="C202" s="8"/>
      <c r="D202" s="8"/>
      <c r="E202" s="10" t="s">
        <v>229</v>
      </c>
      <c r="F202" s="11"/>
      <c r="G202" s="18"/>
      <c r="H202" s="18"/>
      <c r="I202" s="18"/>
      <c r="J202" s="18"/>
      <c r="K202" s="11">
        <f t="shared" si="71"/>
        <v>0</v>
      </c>
      <c r="L202" s="11"/>
      <c r="M202" s="11"/>
      <c r="N202" s="11">
        <f t="shared" si="36"/>
        <v>0</v>
      </c>
      <c r="O202" s="11">
        <f t="shared" si="38"/>
        <v>0</v>
      </c>
      <c r="P202" s="11">
        <f t="shared" si="39"/>
        <v>0</v>
      </c>
      <c r="Q202" s="8"/>
    </row>
    <row r="203" spans="1:17" ht="31.5" x14ac:dyDescent="0.25">
      <c r="A203" s="8"/>
      <c r="B203" s="12" t="s">
        <v>181</v>
      </c>
      <c r="C203" s="8"/>
      <c r="D203" s="8"/>
      <c r="E203" s="10" t="s">
        <v>229</v>
      </c>
      <c r="F203" s="11">
        <v>3</v>
      </c>
      <c r="G203" s="18"/>
      <c r="H203" s="18"/>
      <c r="I203" s="18"/>
      <c r="J203" s="18"/>
      <c r="K203" s="11">
        <f t="shared" si="71"/>
        <v>0</v>
      </c>
      <c r="L203" s="11"/>
      <c r="M203" s="11"/>
      <c r="N203" s="11">
        <f t="shared" si="36"/>
        <v>0</v>
      </c>
      <c r="O203" s="11">
        <f t="shared" si="38"/>
        <v>0</v>
      </c>
      <c r="P203" s="11">
        <f t="shared" si="39"/>
        <v>0</v>
      </c>
      <c r="Q203" s="8"/>
    </row>
    <row r="204" spans="1:17" ht="31.5" x14ac:dyDescent="0.25">
      <c r="A204" s="8"/>
      <c r="B204" s="12" t="s">
        <v>182</v>
      </c>
      <c r="C204" s="8"/>
      <c r="D204" s="8"/>
      <c r="E204" s="10" t="s">
        <v>229</v>
      </c>
      <c r="F204" s="11">
        <v>2</v>
      </c>
      <c r="G204" s="18"/>
      <c r="H204" s="18"/>
      <c r="I204" s="18"/>
      <c r="J204" s="18"/>
      <c r="K204" s="11">
        <f t="shared" si="71"/>
        <v>0</v>
      </c>
      <c r="L204" s="11"/>
      <c r="M204" s="11"/>
      <c r="N204" s="11">
        <f t="shared" si="36"/>
        <v>0</v>
      </c>
      <c r="O204" s="11">
        <f t="shared" si="38"/>
        <v>0</v>
      </c>
      <c r="P204" s="11">
        <f t="shared" si="39"/>
        <v>0</v>
      </c>
      <c r="Q204" s="8"/>
    </row>
    <row r="205" spans="1:17" ht="31.5" x14ac:dyDescent="0.25">
      <c r="A205" s="8"/>
      <c r="B205" s="12" t="s">
        <v>183</v>
      </c>
      <c r="C205" s="8"/>
      <c r="D205" s="8"/>
      <c r="E205" s="10" t="s">
        <v>229</v>
      </c>
      <c r="F205" s="11">
        <v>2</v>
      </c>
      <c r="G205" s="18"/>
      <c r="H205" s="18"/>
      <c r="I205" s="18"/>
      <c r="J205" s="18"/>
      <c r="K205" s="11">
        <f t="shared" si="71"/>
        <v>0</v>
      </c>
      <c r="L205" s="11"/>
      <c r="M205" s="11"/>
      <c r="N205" s="11">
        <f t="shared" si="36"/>
        <v>0</v>
      </c>
      <c r="O205" s="11">
        <f t="shared" si="38"/>
        <v>0</v>
      </c>
      <c r="P205" s="11">
        <f t="shared" si="39"/>
        <v>0</v>
      </c>
      <c r="Q205" s="8"/>
    </row>
    <row r="206" spans="1:17" ht="31.5" x14ac:dyDescent="0.25">
      <c r="A206" s="8"/>
      <c r="B206" s="12" t="s">
        <v>184</v>
      </c>
      <c r="C206" s="8"/>
      <c r="D206" s="8"/>
      <c r="E206" s="10" t="s">
        <v>229</v>
      </c>
      <c r="F206" s="11">
        <v>1</v>
      </c>
      <c r="G206" s="18"/>
      <c r="H206" s="18"/>
      <c r="I206" s="18"/>
      <c r="J206" s="18"/>
      <c r="K206" s="11">
        <f t="shared" si="71"/>
        <v>0</v>
      </c>
      <c r="L206" s="11"/>
      <c r="M206" s="11"/>
      <c r="N206" s="11">
        <f t="shared" si="36"/>
        <v>0</v>
      </c>
      <c r="O206" s="11">
        <f t="shared" si="38"/>
        <v>0</v>
      </c>
      <c r="P206" s="11">
        <f t="shared" si="39"/>
        <v>0</v>
      </c>
      <c r="Q206" s="8"/>
    </row>
    <row r="207" spans="1:17" ht="31.5" x14ac:dyDescent="0.25">
      <c r="A207" s="8"/>
      <c r="B207" s="12" t="s">
        <v>185</v>
      </c>
      <c r="C207" s="8"/>
      <c r="D207" s="8"/>
      <c r="E207" s="10" t="s">
        <v>229</v>
      </c>
      <c r="F207" s="11">
        <v>1</v>
      </c>
      <c r="G207" s="18"/>
      <c r="H207" s="18"/>
      <c r="I207" s="18"/>
      <c r="J207" s="18"/>
      <c r="K207" s="11">
        <f t="shared" si="71"/>
        <v>0</v>
      </c>
      <c r="L207" s="11"/>
      <c r="M207" s="11"/>
      <c r="N207" s="11">
        <f t="shared" si="36"/>
        <v>0</v>
      </c>
      <c r="O207" s="11">
        <f t="shared" si="38"/>
        <v>0</v>
      </c>
      <c r="P207" s="11">
        <f t="shared" si="39"/>
        <v>0</v>
      </c>
      <c r="Q207" s="8"/>
    </row>
    <row r="208" spans="1:17" ht="31.5" x14ac:dyDescent="0.25">
      <c r="A208" s="8"/>
      <c r="B208" s="12" t="s">
        <v>186</v>
      </c>
      <c r="C208" s="8"/>
      <c r="D208" s="8"/>
      <c r="E208" s="10" t="s">
        <v>229</v>
      </c>
      <c r="F208" s="11">
        <v>1</v>
      </c>
      <c r="G208" s="18"/>
      <c r="H208" s="18"/>
      <c r="I208" s="18"/>
      <c r="J208" s="18"/>
      <c r="K208" s="11">
        <f t="shared" si="71"/>
        <v>0</v>
      </c>
      <c r="L208" s="11"/>
      <c r="M208" s="11"/>
      <c r="N208" s="11">
        <f t="shared" si="36"/>
        <v>0</v>
      </c>
      <c r="O208" s="11">
        <f t="shared" si="38"/>
        <v>0</v>
      </c>
      <c r="P208" s="11">
        <f t="shared" si="39"/>
        <v>0</v>
      </c>
      <c r="Q208" s="8"/>
    </row>
    <row r="209" spans="1:17" ht="31.5" x14ac:dyDescent="0.25">
      <c r="A209" s="8"/>
      <c r="B209" s="12" t="s">
        <v>187</v>
      </c>
      <c r="C209" s="8"/>
      <c r="D209" s="8"/>
      <c r="E209" s="10" t="s">
        <v>229</v>
      </c>
      <c r="F209" s="11">
        <v>1</v>
      </c>
      <c r="G209" s="18"/>
      <c r="H209" s="18"/>
      <c r="I209" s="18"/>
      <c r="J209" s="18"/>
      <c r="K209" s="11">
        <f t="shared" si="71"/>
        <v>0</v>
      </c>
      <c r="L209" s="11"/>
      <c r="M209" s="11"/>
      <c r="N209" s="11">
        <f t="shared" si="36"/>
        <v>0</v>
      </c>
      <c r="O209" s="11">
        <f t="shared" si="38"/>
        <v>0</v>
      </c>
      <c r="P209" s="11">
        <f t="shared" si="39"/>
        <v>0</v>
      </c>
      <c r="Q209" s="8"/>
    </row>
    <row r="210" spans="1:17" ht="31.5" x14ac:dyDescent="0.25">
      <c r="A210" s="8"/>
      <c r="B210" s="12" t="s">
        <v>188</v>
      </c>
      <c r="C210" s="8"/>
      <c r="D210" s="8"/>
      <c r="E210" s="10" t="s">
        <v>229</v>
      </c>
      <c r="F210" s="11">
        <v>1</v>
      </c>
      <c r="G210" s="18"/>
      <c r="H210" s="18"/>
      <c r="I210" s="18"/>
      <c r="J210" s="18"/>
      <c r="K210" s="11">
        <f t="shared" si="71"/>
        <v>0</v>
      </c>
      <c r="L210" s="11"/>
      <c r="M210" s="11"/>
      <c r="N210" s="11">
        <f t="shared" ref="N210:N273" si="80">L210*8%</f>
        <v>0</v>
      </c>
      <c r="O210" s="11">
        <f t="shared" si="38"/>
        <v>0</v>
      </c>
      <c r="P210" s="11">
        <f t="shared" si="39"/>
        <v>0</v>
      </c>
      <c r="Q210" s="8"/>
    </row>
    <row r="211" spans="1:17" x14ac:dyDescent="0.25">
      <c r="A211" s="8"/>
      <c r="B211" s="12" t="s">
        <v>189</v>
      </c>
      <c r="C211" s="8"/>
      <c r="D211" s="8"/>
      <c r="E211" s="10"/>
      <c r="F211" s="11"/>
      <c r="G211" s="18"/>
      <c r="H211" s="18"/>
      <c r="I211" s="18"/>
      <c r="J211" s="18"/>
      <c r="K211" s="11">
        <f t="shared" si="71"/>
        <v>0</v>
      </c>
      <c r="L211" s="11"/>
      <c r="M211" s="11"/>
      <c r="N211" s="11">
        <f t="shared" si="80"/>
        <v>0</v>
      </c>
      <c r="O211" s="11">
        <f t="shared" si="38"/>
        <v>0</v>
      </c>
      <c r="P211" s="11">
        <f t="shared" si="39"/>
        <v>0</v>
      </c>
      <c r="Q211" s="8"/>
    </row>
    <row r="212" spans="1:17" x14ac:dyDescent="0.25">
      <c r="A212" s="8"/>
      <c r="B212" s="12" t="s">
        <v>190</v>
      </c>
      <c r="C212" s="8"/>
      <c r="D212" s="8"/>
      <c r="E212" s="10" t="s">
        <v>229</v>
      </c>
      <c r="F212" s="11">
        <v>4</v>
      </c>
      <c r="G212" s="18"/>
      <c r="H212" s="18"/>
      <c r="I212" s="18"/>
      <c r="J212" s="18"/>
      <c r="K212" s="11">
        <f t="shared" si="71"/>
        <v>0</v>
      </c>
      <c r="L212" s="11"/>
      <c r="M212" s="11"/>
      <c r="N212" s="11">
        <f t="shared" si="80"/>
        <v>0</v>
      </c>
      <c r="O212" s="11">
        <f t="shared" si="38"/>
        <v>0</v>
      </c>
      <c r="P212" s="11">
        <f t="shared" si="39"/>
        <v>0</v>
      </c>
      <c r="Q212" s="8"/>
    </row>
    <row r="213" spans="1:17" x14ac:dyDescent="0.25">
      <c r="A213" s="8"/>
      <c r="B213" s="12" t="s">
        <v>191</v>
      </c>
      <c r="C213" s="8"/>
      <c r="D213" s="8"/>
      <c r="E213" s="10" t="s">
        <v>229</v>
      </c>
      <c r="F213" s="11">
        <v>4</v>
      </c>
      <c r="G213" s="18"/>
      <c r="H213" s="18"/>
      <c r="I213" s="18"/>
      <c r="J213" s="18"/>
      <c r="K213" s="11">
        <f t="shared" si="71"/>
        <v>0</v>
      </c>
      <c r="L213" s="11"/>
      <c r="M213" s="11"/>
      <c r="N213" s="11">
        <f t="shared" si="80"/>
        <v>0</v>
      </c>
      <c r="O213" s="11">
        <f t="shared" si="38"/>
        <v>0</v>
      </c>
      <c r="P213" s="11">
        <f t="shared" si="39"/>
        <v>0</v>
      </c>
      <c r="Q213" s="8"/>
    </row>
    <row r="214" spans="1:17" x14ac:dyDescent="0.25">
      <c r="A214" s="8"/>
      <c r="B214" s="12" t="s">
        <v>192</v>
      </c>
      <c r="C214" s="8"/>
      <c r="D214" s="8"/>
      <c r="E214" s="10" t="s">
        <v>229</v>
      </c>
      <c r="F214" s="11">
        <v>1</v>
      </c>
      <c r="G214" s="18"/>
      <c r="H214" s="18"/>
      <c r="I214" s="18"/>
      <c r="J214" s="18"/>
      <c r="K214" s="11">
        <f t="shared" si="71"/>
        <v>0</v>
      </c>
      <c r="L214" s="11"/>
      <c r="M214" s="11"/>
      <c r="N214" s="11">
        <f t="shared" si="80"/>
        <v>0</v>
      </c>
      <c r="O214" s="11">
        <f t="shared" si="38"/>
        <v>0</v>
      </c>
      <c r="P214" s="11">
        <f t="shared" si="39"/>
        <v>0</v>
      </c>
      <c r="Q214" s="8"/>
    </row>
    <row r="215" spans="1:17" x14ac:dyDescent="0.25">
      <c r="A215" s="8"/>
      <c r="B215" s="12" t="s">
        <v>193</v>
      </c>
      <c r="C215" s="8"/>
      <c r="D215" s="8"/>
      <c r="E215" s="10" t="s">
        <v>229</v>
      </c>
      <c r="F215" s="11">
        <v>1</v>
      </c>
      <c r="G215" s="18"/>
      <c r="H215" s="18"/>
      <c r="I215" s="18"/>
      <c r="J215" s="18"/>
      <c r="K215" s="11">
        <f t="shared" si="71"/>
        <v>0</v>
      </c>
      <c r="L215" s="11"/>
      <c r="M215" s="11"/>
      <c r="N215" s="11">
        <f t="shared" si="80"/>
        <v>0</v>
      </c>
      <c r="O215" s="11">
        <f t="shared" si="38"/>
        <v>0</v>
      </c>
      <c r="P215" s="11">
        <f t="shared" si="39"/>
        <v>0</v>
      </c>
      <c r="Q215" s="8"/>
    </row>
    <row r="216" spans="1:17" x14ac:dyDescent="0.25">
      <c r="A216" s="8"/>
      <c r="B216" s="12" t="s">
        <v>194</v>
      </c>
      <c r="C216" s="8"/>
      <c r="D216" s="8"/>
      <c r="E216" s="10" t="s">
        <v>229</v>
      </c>
      <c r="F216" s="11">
        <v>2</v>
      </c>
      <c r="G216" s="18"/>
      <c r="H216" s="18"/>
      <c r="I216" s="18"/>
      <c r="J216" s="18"/>
      <c r="K216" s="11">
        <f t="shared" si="71"/>
        <v>0</v>
      </c>
      <c r="L216" s="11"/>
      <c r="M216" s="11"/>
      <c r="N216" s="11">
        <f t="shared" si="80"/>
        <v>0</v>
      </c>
      <c r="O216" s="11">
        <f t="shared" si="38"/>
        <v>0</v>
      </c>
      <c r="P216" s="11">
        <f t="shared" si="39"/>
        <v>0</v>
      </c>
      <c r="Q216" s="8"/>
    </row>
    <row r="217" spans="1:17" x14ac:dyDescent="0.25">
      <c r="A217" s="8"/>
      <c r="B217" s="12" t="s">
        <v>195</v>
      </c>
      <c r="C217" s="8"/>
      <c r="D217" s="8"/>
      <c r="E217" s="10" t="s">
        <v>229</v>
      </c>
      <c r="F217" s="11">
        <v>4</v>
      </c>
      <c r="G217" s="18"/>
      <c r="H217" s="18"/>
      <c r="I217" s="18"/>
      <c r="J217" s="18"/>
      <c r="K217" s="11">
        <f t="shared" si="71"/>
        <v>0</v>
      </c>
      <c r="L217" s="11"/>
      <c r="M217" s="11"/>
      <c r="N217" s="11">
        <f t="shared" si="80"/>
        <v>0</v>
      </c>
      <c r="O217" s="11">
        <f t="shared" si="38"/>
        <v>0</v>
      </c>
      <c r="P217" s="11">
        <f t="shared" si="39"/>
        <v>0</v>
      </c>
      <c r="Q217" s="8"/>
    </row>
    <row r="218" spans="1:17" x14ac:dyDescent="0.25">
      <c r="A218" s="8"/>
      <c r="B218" s="12" t="s">
        <v>196</v>
      </c>
      <c r="C218" s="8"/>
      <c r="D218" s="8"/>
      <c r="E218" s="10" t="s">
        <v>229</v>
      </c>
      <c r="F218" s="11">
        <v>6</v>
      </c>
      <c r="G218" s="18"/>
      <c r="H218" s="18"/>
      <c r="I218" s="18"/>
      <c r="J218" s="18"/>
      <c r="K218" s="11">
        <f t="shared" si="71"/>
        <v>0</v>
      </c>
      <c r="L218" s="11"/>
      <c r="M218" s="11"/>
      <c r="N218" s="11">
        <f t="shared" si="80"/>
        <v>0</v>
      </c>
      <c r="O218" s="11">
        <f t="shared" si="38"/>
        <v>0</v>
      </c>
      <c r="P218" s="11">
        <f t="shared" si="39"/>
        <v>0</v>
      </c>
      <c r="Q218" s="8"/>
    </row>
    <row r="219" spans="1:17" x14ac:dyDescent="0.25">
      <c r="A219" s="8"/>
      <c r="B219" s="12" t="s">
        <v>197</v>
      </c>
      <c r="C219" s="8"/>
      <c r="D219" s="8"/>
      <c r="E219" s="10" t="s">
        <v>229</v>
      </c>
      <c r="F219" s="11">
        <v>3</v>
      </c>
      <c r="G219" s="18"/>
      <c r="H219" s="18"/>
      <c r="I219" s="18"/>
      <c r="J219" s="18"/>
      <c r="K219" s="11">
        <f t="shared" si="71"/>
        <v>0</v>
      </c>
      <c r="L219" s="11"/>
      <c r="M219" s="11"/>
      <c r="N219" s="11">
        <f t="shared" si="80"/>
        <v>0</v>
      </c>
      <c r="O219" s="11">
        <f t="shared" ref="O219:O227" si="81">(K219+M219)*F219</f>
        <v>0</v>
      </c>
      <c r="P219" s="11">
        <f t="shared" ref="P219:P227" si="82">(L219+N219)*F219</f>
        <v>0</v>
      </c>
      <c r="Q219" s="8"/>
    </row>
    <row r="220" spans="1:17" x14ac:dyDescent="0.25">
      <c r="A220" s="8"/>
      <c r="B220" s="12" t="s">
        <v>198</v>
      </c>
      <c r="C220" s="8"/>
      <c r="D220" s="8"/>
      <c r="E220" s="10" t="s">
        <v>229</v>
      </c>
      <c r="F220" s="11">
        <v>2</v>
      </c>
      <c r="G220" s="18"/>
      <c r="H220" s="18"/>
      <c r="I220" s="18"/>
      <c r="J220" s="18"/>
      <c r="K220" s="11">
        <f t="shared" si="71"/>
        <v>0</v>
      </c>
      <c r="L220" s="11"/>
      <c r="M220" s="11"/>
      <c r="N220" s="11">
        <f t="shared" si="80"/>
        <v>0</v>
      </c>
      <c r="O220" s="11">
        <f t="shared" si="81"/>
        <v>0</v>
      </c>
      <c r="P220" s="11">
        <f t="shared" si="82"/>
        <v>0</v>
      </c>
      <c r="Q220" s="8"/>
    </row>
    <row r="221" spans="1:17" x14ac:dyDescent="0.25">
      <c r="A221" s="8"/>
      <c r="B221" s="12" t="s">
        <v>199</v>
      </c>
      <c r="C221" s="8"/>
      <c r="D221" s="8"/>
      <c r="E221" s="10" t="s">
        <v>229</v>
      </c>
      <c r="F221" s="11">
        <v>2</v>
      </c>
      <c r="G221" s="18"/>
      <c r="H221" s="18"/>
      <c r="I221" s="18"/>
      <c r="J221" s="18"/>
      <c r="K221" s="11">
        <f t="shared" si="71"/>
        <v>0</v>
      </c>
      <c r="L221" s="11"/>
      <c r="M221" s="11"/>
      <c r="N221" s="11">
        <f t="shared" si="80"/>
        <v>0</v>
      </c>
      <c r="O221" s="11">
        <f t="shared" si="81"/>
        <v>0</v>
      </c>
      <c r="P221" s="11">
        <f t="shared" si="82"/>
        <v>0</v>
      </c>
      <c r="Q221" s="8"/>
    </row>
    <row r="222" spans="1:17" x14ac:dyDescent="0.25">
      <c r="A222" s="8"/>
      <c r="B222" s="12" t="s">
        <v>200</v>
      </c>
      <c r="C222" s="8"/>
      <c r="D222" s="8"/>
      <c r="E222" s="10" t="s">
        <v>229</v>
      </c>
      <c r="F222" s="11">
        <v>1</v>
      </c>
      <c r="G222" s="18"/>
      <c r="H222" s="18"/>
      <c r="I222" s="18"/>
      <c r="J222" s="18"/>
      <c r="K222" s="11">
        <f t="shared" si="71"/>
        <v>0</v>
      </c>
      <c r="L222" s="11"/>
      <c r="M222" s="11"/>
      <c r="N222" s="11">
        <f t="shared" si="80"/>
        <v>0</v>
      </c>
      <c r="O222" s="11">
        <f t="shared" si="81"/>
        <v>0</v>
      </c>
      <c r="P222" s="11">
        <f t="shared" si="82"/>
        <v>0</v>
      </c>
      <c r="Q222" s="8"/>
    </row>
    <row r="223" spans="1:17" x14ac:dyDescent="0.25">
      <c r="A223" s="8"/>
      <c r="B223" s="12" t="s">
        <v>201</v>
      </c>
      <c r="C223" s="8"/>
      <c r="D223" s="8"/>
      <c r="E223" s="10" t="s">
        <v>229</v>
      </c>
      <c r="F223" s="11">
        <v>3</v>
      </c>
      <c r="G223" s="18"/>
      <c r="H223" s="18"/>
      <c r="I223" s="18"/>
      <c r="J223" s="18"/>
      <c r="K223" s="11">
        <f t="shared" si="71"/>
        <v>0</v>
      </c>
      <c r="L223" s="11"/>
      <c r="M223" s="11"/>
      <c r="N223" s="11">
        <f t="shared" si="80"/>
        <v>0</v>
      </c>
      <c r="O223" s="11">
        <f t="shared" si="81"/>
        <v>0</v>
      </c>
      <c r="P223" s="11">
        <f t="shared" si="82"/>
        <v>0</v>
      </c>
      <c r="Q223" s="8"/>
    </row>
    <row r="224" spans="1:17" x14ac:dyDescent="0.25">
      <c r="A224" s="8"/>
      <c r="B224" s="12" t="s">
        <v>202</v>
      </c>
      <c r="C224" s="8"/>
      <c r="D224" s="8"/>
      <c r="E224" s="10" t="s">
        <v>229</v>
      </c>
      <c r="F224" s="11">
        <v>1</v>
      </c>
      <c r="G224" s="18"/>
      <c r="H224" s="18"/>
      <c r="I224" s="18"/>
      <c r="J224" s="18"/>
      <c r="K224" s="11">
        <f t="shared" si="71"/>
        <v>0</v>
      </c>
      <c r="L224" s="11"/>
      <c r="M224" s="11"/>
      <c r="N224" s="11">
        <f t="shared" si="80"/>
        <v>0</v>
      </c>
      <c r="O224" s="11">
        <f t="shared" si="81"/>
        <v>0</v>
      </c>
      <c r="P224" s="11">
        <f t="shared" si="82"/>
        <v>0</v>
      </c>
      <c r="Q224" s="8"/>
    </row>
    <row r="225" spans="1:17" x14ac:dyDescent="0.25">
      <c r="A225" s="8"/>
      <c r="B225" s="12" t="s">
        <v>203</v>
      </c>
      <c r="C225" s="8"/>
      <c r="D225" s="8"/>
      <c r="E225" s="10" t="s">
        <v>229</v>
      </c>
      <c r="F225" s="11">
        <v>2</v>
      </c>
      <c r="G225" s="18"/>
      <c r="H225" s="18"/>
      <c r="I225" s="18"/>
      <c r="J225" s="18"/>
      <c r="K225" s="11">
        <f t="shared" si="71"/>
        <v>0</v>
      </c>
      <c r="L225" s="11"/>
      <c r="M225" s="11"/>
      <c r="N225" s="11">
        <f t="shared" si="80"/>
        <v>0</v>
      </c>
      <c r="O225" s="11">
        <f t="shared" si="81"/>
        <v>0</v>
      </c>
      <c r="P225" s="11">
        <f t="shared" si="82"/>
        <v>0</v>
      </c>
      <c r="Q225" s="8"/>
    </row>
    <row r="226" spans="1:17" x14ac:dyDescent="0.25">
      <c r="A226" s="8"/>
      <c r="B226" s="12" t="s">
        <v>204</v>
      </c>
      <c r="C226" s="8"/>
      <c r="D226" s="8"/>
      <c r="E226" s="10" t="s">
        <v>229</v>
      </c>
      <c r="F226" s="11">
        <v>2</v>
      </c>
      <c r="G226" s="18"/>
      <c r="H226" s="18"/>
      <c r="I226" s="18"/>
      <c r="J226" s="18"/>
      <c r="K226" s="11">
        <f t="shared" si="71"/>
        <v>0</v>
      </c>
      <c r="L226" s="11"/>
      <c r="M226" s="11"/>
      <c r="N226" s="11">
        <f t="shared" si="80"/>
        <v>0</v>
      </c>
      <c r="O226" s="11">
        <f t="shared" si="81"/>
        <v>0</v>
      </c>
      <c r="P226" s="11">
        <f t="shared" si="82"/>
        <v>0</v>
      </c>
      <c r="Q226" s="8"/>
    </row>
    <row r="227" spans="1:17" x14ac:dyDescent="0.25">
      <c r="A227" s="8"/>
      <c r="B227" s="12"/>
      <c r="C227" s="8" t="s">
        <v>389</v>
      </c>
      <c r="D227" s="10" t="s">
        <v>387</v>
      </c>
      <c r="E227" s="10" t="s">
        <v>388</v>
      </c>
      <c r="F227" s="11">
        <v>13</v>
      </c>
      <c r="G227" s="18">
        <v>260000</v>
      </c>
      <c r="H227" s="18">
        <f t="shared" ref="H227" si="83">G227*5%</f>
        <v>13000</v>
      </c>
      <c r="I227" s="18">
        <f t="shared" ref="I227" si="84">(G227+H227)*10%</f>
        <v>27300</v>
      </c>
      <c r="J227" s="18">
        <f t="shared" ref="J227" si="85">(G227+H227+I227)*17%</f>
        <v>51051.000000000007</v>
      </c>
      <c r="K227" s="11">
        <f t="shared" si="71"/>
        <v>351351</v>
      </c>
      <c r="L227" s="11">
        <f t="shared" ref="L227" si="86">K227*25%</f>
        <v>87837.75</v>
      </c>
      <c r="M227" s="11">
        <f t="shared" ref="M227:M247" si="87">K227*8%</f>
        <v>28108.080000000002</v>
      </c>
      <c r="N227" s="11">
        <f t="shared" si="80"/>
        <v>7027.02</v>
      </c>
      <c r="O227" s="11">
        <f t="shared" si="81"/>
        <v>4932968.04</v>
      </c>
      <c r="P227" s="11">
        <f t="shared" si="82"/>
        <v>1233242.01</v>
      </c>
      <c r="Q227" s="8"/>
    </row>
    <row r="228" spans="1:17" x14ac:dyDescent="0.25">
      <c r="A228" s="8"/>
      <c r="B228" s="12" t="s">
        <v>205</v>
      </c>
      <c r="C228" s="8"/>
      <c r="D228" s="8"/>
      <c r="E228" s="10" t="s">
        <v>229</v>
      </c>
      <c r="F228" s="11">
        <v>2</v>
      </c>
      <c r="G228" s="18"/>
      <c r="H228" s="18"/>
      <c r="I228" s="18"/>
      <c r="J228" s="18"/>
      <c r="K228" s="11">
        <f t="shared" si="71"/>
        <v>0</v>
      </c>
      <c r="L228" s="11"/>
      <c r="M228" s="11">
        <f t="shared" si="87"/>
        <v>0</v>
      </c>
      <c r="N228" s="11">
        <f t="shared" si="80"/>
        <v>0</v>
      </c>
      <c r="O228" s="11">
        <f t="shared" ref="O228" si="88">(G228+M228)*F228</f>
        <v>0</v>
      </c>
      <c r="P228" s="11">
        <f t="shared" ref="P228" si="89">(L228+N228)*F228</f>
        <v>0</v>
      </c>
      <c r="Q228" s="8"/>
    </row>
    <row r="229" spans="1:17" x14ac:dyDescent="0.25">
      <c r="A229" s="8"/>
      <c r="B229" s="9" t="s">
        <v>206</v>
      </c>
      <c r="C229" s="8"/>
      <c r="D229" s="8"/>
      <c r="E229" s="10"/>
      <c r="F229" s="11"/>
      <c r="G229" s="18"/>
      <c r="H229" s="18"/>
      <c r="I229" s="18"/>
      <c r="J229" s="18"/>
      <c r="K229" s="11"/>
      <c r="L229" s="11"/>
      <c r="M229" s="11"/>
      <c r="N229" s="11"/>
      <c r="O229" s="11"/>
      <c r="P229" s="11"/>
      <c r="Q229" s="8"/>
    </row>
    <row r="230" spans="1:17" x14ac:dyDescent="0.25">
      <c r="A230" s="8"/>
      <c r="B230" s="9" t="s">
        <v>4</v>
      </c>
      <c r="C230" s="8"/>
      <c r="D230" s="8"/>
      <c r="E230" s="10"/>
      <c r="F230" s="11"/>
      <c r="G230" s="18"/>
      <c r="H230" s="18"/>
      <c r="I230" s="18"/>
      <c r="J230" s="18"/>
      <c r="K230" s="11"/>
      <c r="L230" s="11"/>
      <c r="M230" s="11"/>
      <c r="N230" s="11"/>
      <c r="O230" s="11"/>
      <c r="P230" s="11"/>
      <c r="Q230" s="8"/>
    </row>
    <row r="231" spans="1:17" x14ac:dyDescent="0.25">
      <c r="A231" s="8"/>
      <c r="B231" s="14" t="s">
        <v>5</v>
      </c>
      <c r="C231" s="8"/>
      <c r="D231" s="8"/>
      <c r="E231" s="10"/>
      <c r="F231" s="11"/>
      <c r="G231" s="18"/>
      <c r="H231" s="18"/>
      <c r="I231" s="18"/>
      <c r="J231" s="18"/>
      <c r="K231" s="11"/>
      <c r="L231" s="11"/>
      <c r="M231" s="11"/>
      <c r="N231" s="11"/>
      <c r="O231" s="11"/>
      <c r="P231" s="11"/>
      <c r="Q231" s="8"/>
    </row>
    <row r="232" spans="1:17" x14ac:dyDescent="0.25">
      <c r="A232" s="8"/>
      <c r="B232" s="12" t="s">
        <v>6</v>
      </c>
      <c r="C232" s="8" t="s">
        <v>241</v>
      </c>
      <c r="D232" s="10" t="s">
        <v>247</v>
      </c>
      <c r="E232" s="10" t="s">
        <v>225</v>
      </c>
      <c r="F232" s="11">
        <v>7872</v>
      </c>
      <c r="G232" s="18">
        <v>14404</v>
      </c>
      <c r="H232" s="18">
        <v>720.2</v>
      </c>
      <c r="I232" s="18">
        <v>1512.42</v>
      </c>
      <c r="J232" s="18">
        <v>2828.2254000000007</v>
      </c>
      <c r="K232" s="11">
        <f t="shared" ref="K232:K234" si="90">G232+H232+I232+J232</f>
        <v>19464.845400000002</v>
      </c>
      <c r="L232" s="11">
        <f t="shared" ref="L232:L235" si="91">K232*25%</f>
        <v>4866.2113500000005</v>
      </c>
      <c r="M232" s="11">
        <f t="shared" si="87"/>
        <v>1557.1876320000001</v>
      </c>
      <c r="N232" s="11">
        <f t="shared" si="80"/>
        <v>389.29690800000003</v>
      </c>
      <c r="O232" s="11">
        <f t="shared" ref="O232:O235" si="92">(K232+M232)*F232</f>
        <v>165485444.02790403</v>
      </c>
      <c r="P232" s="11">
        <f t="shared" ref="P232:P247" si="93">(L232+N232)*F232</f>
        <v>41371361.006976008</v>
      </c>
      <c r="Q232" s="8"/>
    </row>
    <row r="233" spans="1:17" x14ac:dyDescent="0.25">
      <c r="A233" s="8"/>
      <c r="B233" s="12" t="s">
        <v>7</v>
      </c>
      <c r="C233" s="12" t="s">
        <v>242</v>
      </c>
      <c r="D233" s="10" t="s">
        <v>247</v>
      </c>
      <c r="E233" s="10" t="s">
        <v>225</v>
      </c>
      <c r="F233" s="11">
        <v>9184</v>
      </c>
      <c r="G233" s="18">
        <v>17604</v>
      </c>
      <c r="H233" s="18">
        <v>880.2</v>
      </c>
      <c r="I233" s="18">
        <v>1848.42</v>
      </c>
      <c r="J233" s="18">
        <v>3456.5454000000009</v>
      </c>
      <c r="K233" s="11">
        <f t="shared" si="90"/>
        <v>23789.165400000005</v>
      </c>
      <c r="L233" s="11">
        <f t="shared" si="91"/>
        <v>5947.2913500000013</v>
      </c>
      <c r="M233" s="11">
        <f t="shared" si="87"/>
        <v>1903.1332320000004</v>
      </c>
      <c r="N233" s="11">
        <f t="shared" si="80"/>
        <v>475.78330800000009</v>
      </c>
      <c r="O233" s="11">
        <f t="shared" si="92"/>
        <v>235958070.63628805</v>
      </c>
      <c r="P233" s="11">
        <f t="shared" si="93"/>
        <v>58989517.659072012</v>
      </c>
      <c r="Q233" s="8"/>
    </row>
    <row r="234" spans="1:17" x14ac:dyDescent="0.25">
      <c r="A234" s="8"/>
      <c r="B234" s="12" t="s">
        <v>13</v>
      </c>
      <c r="C234" s="8"/>
      <c r="D234" s="10" t="s">
        <v>259</v>
      </c>
      <c r="E234" s="10" t="s">
        <v>226</v>
      </c>
      <c r="F234" s="11">
        <v>1</v>
      </c>
      <c r="G234" s="18">
        <f>SUM(O232:O233)*17%</f>
        <v>68245397.492912665</v>
      </c>
      <c r="H234" s="18">
        <v>880.2</v>
      </c>
      <c r="I234" s="18">
        <v>1848.42</v>
      </c>
      <c r="J234" s="18">
        <v>3456.5454000000009</v>
      </c>
      <c r="K234" s="11">
        <f t="shared" si="90"/>
        <v>68251582.658312663</v>
      </c>
      <c r="L234" s="11">
        <f t="shared" si="91"/>
        <v>17062895.664578166</v>
      </c>
      <c r="M234" s="11">
        <f t="shared" si="87"/>
        <v>5460126.6126650134</v>
      </c>
      <c r="N234" s="11">
        <f t="shared" si="80"/>
        <v>1365031.6531662534</v>
      </c>
      <c r="O234" s="11">
        <f t="shared" si="92"/>
        <v>73711709.270977676</v>
      </c>
      <c r="P234" s="11">
        <f t="shared" si="93"/>
        <v>18427927.317744419</v>
      </c>
      <c r="Q234" s="8"/>
    </row>
    <row r="235" spans="1:17" x14ac:dyDescent="0.25">
      <c r="A235" s="8"/>
      <c r="B235" s="12" t="s">
        <v>14</v>
      </c>
      <c r="C235" s="8"/>
      <c r="D235" s="10" t="s">
        <v>259</v>
      </c>
      <c r="E235" s="10" t="s">
        <v>226</v>
      </c>
      <c r="F235" s="11">
        <v>1</v>
      </c>
      <c r="G235" s="18">
        <f>SUM(O232:O233)*15%</f>
        <v>60216527.199628808</v>
      </c>
      <c r="H235" s="18">
        <v>880.2</v>
      </c>
      <c r="I235" s="18">
        <v>1848.42</v>
      </c>
      <c r="J235" s="18">
        <v>3456.5454000000009</v>
      </c>
      <c r="K235" s="11">
        <f t="shared" si="71"/>
        <v>60222712.365028813</v>
      </c>
      <c r="L235" s="11">
        <f t="shared" si="91"/>
        <v>15055678.091257203</v>
      </c>
      <c r="M235" s="11">
        <f t="shared" ref="M235" si="94">K235*8%</f>
        <v>4817816.9892023047</v>
      </c>
      <c r="N235" s="11">
        <f t="shared" ref="N235" si="95">L235*8%</f>
        <v>1204454.2473005762</v>
      </c>
      <c r="O235" s="11">
        <f t="shared" si="92"/>
        <v>65040529.354231119</v>
      </c>
      <c r="P235" s="11">
        <f t="shared" si="93"/>
        <v>16260132.33855778</v>
      </c>
      <c r="Q235" s="8"/>
    </row>
    <row r="236" spans="1:17" ht="31.5" x14ac:dyDescent="0.25">
      <c r="A236" s="8"/>
      <c r="B236" s="14" t="s">
        <v>15</v>
      </c>
      <c r="C236" s="8"/>
      <c r="D236" s="8"/>
      <c r="E236" s="10"/>
      <c r="F236" s="11"/>
      <c r="G236" s="18"/>
      <c r="H236" s="18"/>
      <c r="I236" s="18"/>
      <c r="J236" s="18"/>
      <c r="K236" s="11"/>
      <c r="L236" s="11"/>
      <c r="M236" s="11"/>
      <c r="N236" s="11"/>
      <c r="O236" s="11"/>
      <c r="P236" s="11"/>
      <c r="Q236" s="8"/>
    </row>
    <row r="237" spans="1:17" ht="31.5" x14ac:dyDescent="0.25">
      <c r="A237" s="8"/>
      <c r="B237" s="12" t="s">
        <v>16</v>
      </c>
      <c r="C237" s="13" t="s">
        <v>369</v>
      </c>
      <c r="D237" s="19" t="s">
        <v>391</v>
      </c>
      <c r="E237" s="10" t="s">
        <v>225</v>
      </c>
      <c r="F237" s="11">
        <v>7872</v>
      </c>
      <c r="G237" s="18">
        <f>69613/2</f>
        <v>34806.5</v>
      </c>
      <c r="H237" s="18">
        <f t="shared" ref="H237:H238" si="96">G237*5%</f>
        <v>1740.325</v>
      </c>
      <c r="I237" s="18">
        <f t="shared" ref="I237:I238" si="97">(G237+H237)*10%</f>
        <v>3654.6824999999999</v>
      </c>
      <c r="J237" s="18">
        <f t="shared" ref="J237:J238" si="98">(G237+H237+I237)*17%</f>
        <v>6834.2562750000006</v>
      </c>
      <c r="K237" s="11">
        <f t="shared" ref="K237:K238" si="99">G237+H237+I237+J237</f>
        <v>47035.763774999999</v>
      </c>
      <c r="L237" s="11">
        <f>K237*25%</f>
        <v>11758.94094375</v>
      </c>
      <c r="M237" s="11">
        <f t="shared" si="87"/>
        <v>3762.8611019999998</v>
      </c>
      <c r="N237" s="11">
        <f t="shared" si="80"/>
        <v>940.71527549999996</v>
      </c>
      <c r="O237" s="11">
        <f t="shared" ref="O237:O238" si="100">(K237+M237)*F237</f>
        <v>399886775.031744</v>
      </c>
      <c r="P237" s="11">
        <f t="shared" si="93"/>
        <v>99971693.757936001</v>
      </c>
      <c r="Q237" s="8"/>
    </row>
    <row r="238" spans="1:17" ht="31.5" x14ac:dyDescent="0.25">
      <c r="A238" s="8"/>
      <c r="B238" s="12" t="s">
        <v>17</v>
      </c>
      <c r="C238" s="13" t="s">
        <v>370</v>
      </c>
      <c r="D238" s="19" t="s">
        <v>391</v>
      </c>
      <c r="E238" s="10" t="s">
        <v>225</v>
      </c>
      <c r="F238" s="11">
        <v>9184</v>
      </c>
      <c r="G238" s="18">
        <f>78147/2</f>
        <v>39073.5</v>
      </c>
      <c r="H238" s="18">
        <f t="shared" si="96"/>
        <v>1953.6750000000002</v>
      </c>
      <c r="I238" s="18">
        <f t="shared" si="97"/>
        <v>4102.7175000000007</v>
      </c>
      <c r="J238" s="18">
        <f t="shared" si="98"/>
        <v>7672.0817250000009</v>
      </c>
      <c r="K238" s="11">
        <f t="shared" si="99"/>
        <v>52801.974225000005</v>
      </c>
      <c r="L238" s="11">
        <f t="shared" ref="L238" si="101">K238*25%</f>
        <v>13200.493556250001</v>
      </c>
      <c r="M238" s="11">
        <f t="shared" si="87"/>
        <v>4224.1579380000003</v>
      </c>
      <c r="N238" s="11">
        <f t="shared" si="80"/>
        <v>1056.0394845000001</v>
      </c>
      <c r="O238" s="11">
        <f t="shared" si="100"/>
        <v>523727997.78499204</v>
      </c>
      <c r="P238" s="11">
        <f t="shared" si="93"/>
        <v>130931999.44624801</v>
      </c>
      <c r="Q238" s="8"/>
    </row>
    <row r="239" spans="1:17" x14ac:dyDescent="0.25">
      <c r="A239" s="8"/>
      <c r="B239" s="14" t="s">
        <v>23</v>
      </c>
      <c r="C239" s="8"/>
      <c r="D239" s="8"/>
      <c r="E239" s="10" t="s">
        <v>231</v>
      </c>
      <c r="F239" s="11"/>
      <c r="G239" s="18"/>
      <c r="H239" s="18"/>
      <c r="I239" s="18"/>
      <c r="J239" s="18"/>
      <c r="K239" s="11"/>
      <c r="L239" s="11"/>
      <c r="M239" s="11"/>
      <c r="N239" s="11"/>
      <c r="O239" s="11"/>
      <c r="P239" s="11">
        <f t="shared" si="93"/>
        <v>0</v>
      </c>
      <c r="Q239" s="8"/>
    </row>
    <row r="240" spans="1:17" x14ac:dyDescent="0.25">
      <c r="A240" s="8"/>
      <c r="B240" s="12" t="s">
        <v>24</v>
      </c>
      <c r="C240" s="8" t="s">
        <v>248</v>
      </c>
      <c r="D240" s="10" t="s">
        <v>257</v>
      </c>
      <c r="E240" s="10" t="s">
        <v>225</v>
      </c>
      <c r="F240" s="11">
        <v>52480</v>
      </c>
      <c r="G240" s="18"/>
      <c r="H240" s="18"/>
      <c r="I240" s="18"/>
      <c r="J240" s="18"/>
      <c r="K240" s="11">
        <f>K26</f>
        <v>71267.625</v>
      </c>
      <c r="L240" s="11">
        <f>K240*25%</f>
        <v>17816.90625</v>
      </c>
      <c r="M240" s="11">
        <f>K240*10%</f>
        <v>7126.7625000000007</v>
      </c>
      <c r="N240" s="11">
        <f t="shared" si="80"/>
        <v>1425.3525</v>
      </c>
      <c r="O240" s="11">
        <f t="shared" ref="O240:O243" si="102">(K240+M240)*F240</f>
        <v>4114137456</v>
      </c>
      <c r="P240" s="11">
        <f t="shared" si="93"/>
        <v>1009833739.2</v>
      </c>
      <c r="Q240" s="8"/>
    </row>
    <row r="241" spans="1:17" x14ac:dyDescent="0.25">
      <c r="A241" s="8"/>
      <c r="B241" s="12" t="s">
        <v>25</v>
      </c>
      <c r="C241" s="13" t="s">
        <v>249</v>
      </c>
      <c r="D241" s="10" t="s">
        <v>257</v>
      </c>
      <c r="E241" s="10" t="s">
        <v>225</v>
      </c>
      <c r="F241" s="11">
        <v>39360</v>
      </c>
      <c r="G241" s="18"/>
      <c r="H241" s="18"/>
      <c r="I241" s="18"/>
      <c r="J241" s="18"/>
      <c r="K241" s="11">
        <f>K27</f>
        <v>111486.375</v>
      </c>
      <c r="L241" s="11">
        <f t="shared" ref="L241:L242" si="103">K241*25%</f>
        <v>27871.59375</v>
      </c>
      <c r="M241" s="11">
        <f t="shared" ref="M241:M242" si="104">K241*10%</f>
        <v>11148.637500000001</v>
      </c>
      <c r="N241" s="11">
        <f t="shared" si="80"/>
        <v>2229.7275</v>
      </c>
      <c r="O241" s="11">
        <f t="shared" si="102"/>
        <v>4826914092</v>
      </c>
      <c r="P241" s="11">
        <f t="shared" si="93"/>
        <v>1184788004.4000001</v>
      </c>
      <c r="Q241" s="8"/>
    </row>
    <row r="242" spans="1:17" x14ac:dyDescent="0.25">
      <c r="A242" s="8"/>
      <c r="B242" s="12" t="s">
        <v>26</v>
      </c>
      <c r="C242" s="13" t="s">
        <v>250</v>
      </c>
      <c r="D242" s="10" t="s">
        <v>257</v>
      </c>
      <c r="E242" s="10" t="s">
        <v>225</v>
      </c>
      <c r="F242" s="11">
        <v>19680</v>
      </c>
      <c r="G242" s="18"/>
      <c r="H242" s="18"/>
      <c r="I242" s="18"/>
      <c r="J242" s="18"/>
      <c r="K242" s="11">
        <f>K28</f>
        <v>151866</v>
      </c>
      <c r="L242" s="11">
        <f t="shared" si="103"/>
        <v>37966.5</v>
      </c>
      <c r="M242" s="11">
        <f t="shared" si="104"/>
        <v>15186.6</v>
      </c>
      <c r="N242" s="11">
        <f t="shared" si="80"/>
        <v>3037.32</v>
      </c>
      <c r="O242" s="11">
        <f t="shared" si="102"/>
        <v>3287595168</v>
      </c>
      <c r="P242" s="11">
        <f t="shared" si="93"/>
        <v>806955177.60000002</v>
      </c>
      <c r="Q242" s="8"/>
    </row>
    <row r="243" spans="1:17" x14ac:dyDescent="0.25">
      <c r="A243" s="8"/>
      <c r="B243" s="12" t="s">
        <v>14</v>
      </c>
      <c r="C243" s="8"/>
      <c r="D243" s="10" t="s">
        <v>259</v>
      </c>
      <c r="E243" s="10" t="s">
        <v>226</v>
      </c>
      <c r="F243" s="11">
        <v>1</v>
      </c>
      <c r="G243" s="18">
        <f>SUM(O240:O242)*20%</f>
        <v>2445729343.2000003</v>
      </c>
      <c r="H243" s="18">
        <f t="shared" ref="H243" si="105">G243*5%</f>
        <v>122286467.16000003</v>
      </c>
      <c r="I243" s="18">
        <f t="shared" ref="I243" si="106">(G243+H243)*10%</f>
        <v>256801581.03600001</v>
      </c>
      <c r="J243" s="18">
        <f t="shared" ref="J243" si="107">(G243+H243+I243)*17%</f>
        <v>480218956.53732002</v>
      </c>
      <c r="K243" s="11">
        <f t="shared" ref="K243" si="108">G243+H243+I243+J243</f>
        <v>3305036347.93332</v>
      </c>
      <c r="L243" s="11">
        <f>K243*25%</f>
        <v>826259086.98333001</v>
      </c>
      <c r="M243" s="11">
        <f t="shared" si="87"/>
        <v>264402907.8346656</v>
      </c>
      <c r="N243" s="11">
        <f t="shared" si="80"/>
        <v>66100726.958666399</v>
      </c>
      <c r="O243" s="11">
        <f t="shared" si="102"/>
        <v>3569439255.7679858</v>
      </c>
      <c r="P243" s="11">
        <f t="shared" si="93"/>
        <v>892359813.94199646</v>
      </c>
      <c r="Q243" s="8"/>
    </row>
    <row r="244" spans="1:17" ht="31.5" x14ac:dyDescent="0.25">
      <c r="A244" s="8"/>
      <c r="B244" s="14" t="s">
        <v>35</v>
      </c>
      <c r="C244" s="8"/>
      <c r="D244" s="8"/>
      <c r="E244" s="10"/>
      <c r="F244" s="11"/>
      <c r="G244" s="18"/>
      <c r="H244" s="18"/>
      <c r="I244" s="18"/>
      <c r="J244" s="18"/>
      <c r="K244" s="11"/>
      <c r="L244" s="11"/>
      <c r="M244" s="11"/>
      <c r="N244" s="11"/>
      <c r="O244" s="11"/>
      <c r="P244" s="11"/>
      <c r="Q244" s="8"/>
    </row>
    <row r="245" spans="1:17" ht="31.5" x14ac:dyDescent="0.25">
      <c r="A245" s="8"/>
      <c r="B245" s="12" t="s">
        <v>36</v>
      </c>
      <c r="C245" s="12" t="s">
        <v>368</v>
      </c>
      <c r="D245" s="19" t="s">
        <v>391</v>
      </c>
      <c r="E245" s="10" t="s">
        <v>225</v>
      </c>
      <c r="F245" s="11">
        <v>52480</v>
      </c>
      <c r="G245" s="18">
        <f>G42</f>
        <v>39100</v>
      </c>
      <c r="H245" s="18">
        <f t="shared" ref="H245:J245" si="109">H42</f>
        <v>7820</v>
      </c>
      <c r="I245" s="18">
        <f t="shared" si="109"/>
        <v>14076</v>
      </c>
      <c r="J245" s="18">
        <f t="shared" si="109"/>
        <v>9149.4</v>
      </c>
      <c r="K245" s="11">
        <f>G245+H245+I245+J245</f>
        <v>70145.399999999994</v>
      </c>
      <c r="L245" s="11">
        <v>13209.446250000001</v>
      </c>
      <c r="M245" s="11">
        <f t="shared" si="87"/>
        <v>5611.6319999999996</v>
      </c>
      <c r="N245" s="11">
        <f t="shared" si="80"/>
        <v>1056.7557000000002</v>
      </c>
      <c r="O245" s="11">
        <f t="shared" ref="O245:O247" si="110">(K245+M245)*F245</f>
        <v>3975729039.3599997</v>
      </c>
      <c r="P245" s="11">
        <f t="shared" si="93"/>
        <v>748690278.33600008</v>
      </c>
      <c r="Q245" s="8"/>
    </row>
    <row r="246" spans="1:17" ht="31.5" x14ac:dyDescent="0.25">
      <c r="A246" s="8"/>
      <c r="B246" s="12" t="s">
        <v>37</v>
      </c>
      <c r="C246" s="12" t="s">
        <v>360</v>
      </c>
      <c r="D246" s="19" t="s">
        <v>391</v>
      </c>
      <c r="E246" s="10" t="s">
        <v>225</v>
      </c>
      <c r="F246" s="11">
        <v>39360</v>
      </c>
      <c r="G246" s="18">
        <f>G43</f>
        <v>44300</v>
      </c>
      <c r="H246" s="18">
        <f t="shared" ref="H246:J246" si="111">H43</f>
        <v>8860</v>
      </c>
      <c r="I246" s="18">
        <f t="shared" si="111"/>
        <v>15948</v>
      </c>
      <c r="J246" s="18">
        <f t="shared" si="111"/>
        <v>10366.199999999999</v>
      </c>
      <c r="K246" s="11">
        <f>G246+H246+I246+J246</f>
        <v>79474.2</v>
      </c>
      <c r="L246" s="11">
        <v>14966.20125</v>
      </c>
      <c r="M246" s="11">
        <f t="shared" si="87"/>
        <v>6357.9359999999997</v>
      </c>
      <c r="N246" s="11">
        <f t="shared" si="80"/>
        <v>1197.2961</v>
      </c>
      <c r="O246" s="11">
        <f t="shared" si="110"/>
        <v>3378352872.96</v>
      </c>
      <c r="P246" s="11">
        <f t="shared" si="93"/>
        <v>636195255.69599998</v>
      </c>
      <c r="Q246" s="8"/>
    </row>
    <row r="247" spans="1:17" ht="31.5" x14ac:dyDescent="0.25">
      <c r="A247" s="8"/>
      <c r="B247" s="12" t="s">
        <v>38</v>
      </c>
      <c r="C247" s="12" t="s">
        <v>361</v>
      </c>
      <c r="D247" s="19" t="s">
        <v>391</v>
      </c>
      <c r="E247" s="10" t="s">
        <v>225</v>
      </c>
      <c r="F247" s="11">
        <v>19680</v>
      </c>
      <c r="G247" s="18">
        <f>G44</f>
        <v>48900</v>
      </c>
      <c r="H247" s="18">
        <f t="shared" ref="H247:J247" si="112">H44</f>
        <v>9780</v>
      </c>
      <c r="I247" s="18">
        <f t="shared" si="112"/>
        <v>17604</v>
      </c>
      <c r="J247" s="18">
        <f t="shared" si="112"/>
        <v>11442.6</v>
      </c>
      <c r="K247" s="11">
        <f>G247+H247+I247+J247</f>
        <v>87726.6</v>
      </c>
      <c r="L247" s="11">
        <v>16520.25375</v>
      </c>
      <c r="M247" s="11">
        <f t="shared" si="87"/>
        <v>7018.1280000000006</v>
      </c>
      <c r="N247" s="11">
        <f t="shared" si="80"/>
        <v>1321.6203</v>
      </c>
      <c r="O247" s="11">
        <f t="shared" si="110"/>
        <v>1864576247.04</v>
      </c>
      <c r="P247" s="11">
        <f t="shared" si="93"/>
        <v>351128081.30399996</v>
      </c>
      <c r="Q247" s="8"/>
    </row>
    <row r="248" spans="1:17" x14ac:dyDescent="0.25">
      <c r="A248" s="8"/>
      <c r="B248" s="9" t="s">
        <v>45</v>
      </c>
      <c r="C248" s="8"/>
      <c r="D248" s="8"/>
      <c r="E248" s="10"/>
      <c r="F248" s="11"/>
      <c r="G248" s="18"/>
      <c r="H248" s="18"/>
      <c r="I248" s="18"/>
      <c r="J248" s="18"/>
      <c r="K248" s="11"/>
      <c r="L248" s="11"/>
      <c r="M248" s="11"/>
      <c r="N248" s="11"/>
      <c r="O248" s="11"/>
      <c r="P248" s="11"/>
      <c r="Q248" s="8"/>
    </row>
    <row r="249" spans="1:17" x14ac:dyDescent="0.25">
      <c r="A249" s="8"/>
      <c r="B249" s="14" t="s">
        <v>207</v>
      </c>
      <c r="C249" s="8"/>
      <c r="D249" s="8"/>
      <c r="E249" s="10"/>
      <c r="F249" s="11"/>
      <c r="G249" s="18"/>
      <c r="H249" s="18"/>
      <c r="I249" s="18"/>
      <c r="J249" s="18"/>
      <c r="K249" s="11"/>
      <c r="L249" s="11"/>
      <c r="M249" s="11"/>
      <c r="N249" s="11"/>
      <c r="O249" s="11"/>
      <c r="P249" s="11"/>
      <c r="Q249" s="8"/>
    </row>
    <row r="250" spans="1:17" x14ac:dyDescent="0.25">
      <c r="A250" s="8"/>
      <c r="B250" s="12" t="s">
        <v>208</v>
      </c>
      <c r="C250" s="8" t="s">
        <v>261</v>
      </c>
      <c r="D250" s="10"/>
      <c r="E250" s="10"/>
      <c r="F250" s="11"/>
      <c r="G250" s="18"/>
      <c r="H250" s="18"/>
      <c r="I250" s="18"/>
      <c r="J250" s="18"/>
      <c r="K250" s="11"/>
      <c r="L250" s="11"/>
      <c r="M250" s="11"/>
      <c r="N250" s="11"/>
      <c r="O250" s="11"/>
      <c r="P250" s="11"/>
      <c r="Q250" s="8"/>
    </row>
    <row r="251" spans="1:17" x14ac:dyDescent="0.25">
      <c r="A251" s="8"/>
      <c r="B251" s="12" t="s">
        <v>209</v>
      </c>
      <c r="C251" s="8" t="s">
        <v>262</v>
      </c>
      <c r="D251" s="10"/>
      <c r="E251" s="10"/>
      <c r="F251" s="11"/>
      <c r="G251" s="18"/>
      <c r="H251" s="18"/>
      <c r="I251" s="18"/>
      <c r="J251" s="18"/>
      <c r="K251" s="11"/>
      <c r="L251" s="11"/>
      <c r="M251" s="11"/>
      <c r="N251" s="11"/>
      <c r="O251" s="11"/>
      <c r="P251" s="11"/>
      <c r="Q251" s="8"/>
    </row>
    <row r="252" spans="1:17" x14ac:dyDescent="0.25">
      <c r="A252" s="8"/>
      <c r="B252" s="14" t="s">
        <v>210</v>
      </c>
      <c r="C252" s="8"/>
      <c r="D252" s="8"/>
      <c r="E252" s="10"/>
      <c r="F252" s="11"/>
      <c r="G252" s="18"/>
      <c r="H252" s="18"/>
      <c r="I252" s="18"/>
      <c r="J252" s="18"/>
      <c r="K252" s="11"/>
      <c r="L252" s="11"/>
      <c r="M252" s="11"/>
      <c r="N252" s="11"/>
      <c r="O252" s="11"/>
      <c r="P252" s="11"/>
      <c r="Q252" s="8"/>
    </row>
    <row r="253" spans="1:17" x14ac:dyDescent="0.25">
      <c r="A253" s="8"/>
      <c r="B253" s="14" t="s">
        <v>64</v>
      </c>
      <c r="C253" s="8"/>
      <c r="D253" s="8"/>
      <c r="E253" s="10"/>
      <c r="F253" s="11"/>
      <c r="G253" s="18"/>
      <c r="H253" s="18"/>
      <c r="I253" s="18"/>
      <c r="J253" s="18"/>
      <c r="K253" s="11"/>
      <c r="L253" s="11"/>
      <c r="M253" s="11"/>
      <c r="N253" s="11"/>
      <c r="O253" s="11"/>
      <c r="P253" s="11"/>
      <c r="Q253" s="8"/>
    </row>
    <row r="254" spans="1:17" x14ac:dyDescent="0.25">
      <c r="A254" s="8"/>
      <c r="B254" s="14" t="s">
        <v>66</v>
      </c>
      <c r="C254" s="8"/>
      <c r="D254" s="8"/>
      <c r="E254" s="10"/>
      <c r="F254" s="11"/>
      <c r="G254" s="18"/>
      <c r="H254" s="18"/>
      <c r="I254" s="18"/>
      <c r="J254" s="18"/>
      <c r="K254" s="11"/>
      <c r="L254" s="11"/>
      <c r="M254" s="11"/>
      <c r="N254" s="11"/>
      <c r="O254" s="11"/>
      <c r="P254" s="11"/>
      <c r="Q254" s="8"/>
    </row>
    <row r="255" spans="1:17" x14ac:dyDescent="0.25">
      <c r="A255" s="8"/>
      <c r="B255" s="14" t="s">
        <v>211</v>
      </c>
      <c r="C255" s="8"/>
      <c r="D255" s="8"/>
      <c r="E255" s="10"/>
      <c r="F255" s="11"/>
      <c r="G255" s="18"/>
      <c r="H255" s="18"/>
      <c r="I255" s="18"/>
      <c r="J255" s="18"/>
      <c r="K255" s="11"/>
      <c r="L255" s="11"/>
      <c r="M255" s="11"/>
      <c r="N255" s="11"/>
      <c r="O255" s="11"/>
      <c r="P255" s="11"/>
      <c r="Q255" s="8"/>
    </row>
    <row r="256" spans="1:17" x14ac:dyDescent="0.25">
      <c r="A256" s="8"/>
      <c r="B256" s="12" t="s">
        <v>81</v>
      </c>
      <c r="C256" s="8"/>
      <c r="D256" s="10"/>
      <c r="E256" s="10"/>
      <c r="F256" s="11"/>
      <c r="G256" s="18"/>
      <c r="H256" s="18"/>
      <c r="I256" s="18"/>
      <c r="J256" s="18"/>
      <c r="K256" s="11"/>
      <c r="L256" s="11"/>
      <c r="M256" s="11"/>
      <c r="N256" s="11"/>
      <c r="O256" s="11"/>
      <c r="P256" s="11"/>
      <c r="Q256" s="8"/>
    </row>
    <row r="257" spans="1:17" x14ac:dyDescent="0.25">
      <c r="A257" s="8"/>
      <c r="B257" s="12" t="s">
        <v>212</v>
      </c>
      <c r="C257" s="12"/>
      <c r="D257" s="10"/>
      <c r="E257" s="10"/>
      <c r="F257" s="11"/>
      <c r="G257" s="18"/>
      <c r="H257" s="18"/>
      <c r="I257" s="18"/>
      <c r="J257" s="18"/>
      <c r="K257" s="11"/>
      <c r="L257" s="11"/>
      <c r="M257" s="11"/>
      <c r="N257" s="11"/>
      <c r="O257" s="11"/>
      <c r="P257" s="11"/>
      <c r="Q257" s="8"/>
    </row>
    <row r="258" spans="1:17" x14ac:dyDescent="0.25">
      <c r="A258" s="8"/>
      <c r="B258" s="12" t="s">
        <v>66</v>
      </c>
      <c r="C258" s="8"/>
      <c r="D258" s="8"/>
      <c r="E258" s="10"/>
      <c r="F258" s="11"/>
      <c r="G258" s="18"/>
      <c r="H258" s="18"/>
      <c r="I258" s="18"/>
      <c r="J258" s="18"/>
      <c r="K258" s="11"/>
      <c r="L258" s="11"/>
      <c r="M258" s="11"/>
      <c r="N258" s="11"/>
      <c r="O258" s="11"/>
      <c r="P258" s="11"/>
      <c r="Q258" s="8"/>
    </row>
    <row r="259" spans="1:17" x14ac:dyDescent="0.25">
      <c r="A259" s="8"/>
      <c r="B259" s="9" t="s">
        <v>85</v>
      </c>
      <c r="C259" s="8"/>
      <c r="D259" s="8"/>
      <c r="E259" s="10"/>
      <c r="F259" s="11"/>
      <c r="G259" s="18"/>
      <c r="H259" s="18"/>
      <c r="I259" s="18"/>
      <c r="J259" s="18"/>
      <c r="K259" s="11"/>
      <c r="L259" s="11"/>
      <c r="M259" s="11"/>
      <c r="N259" s="11"/>
      <c r="O259" s="11"/>
      <c r="P259" s="11"/>
      <c r="Q259" s="8"/>
    </row>
    <row r="260" spans="1:17" x14ac:dyDescent="0.25">
      <c r="A260" s="8"/>
      <c r="B260" s="14" t="s">
        <v>86</v>
      </c>
      <c r="C260" s="8"/>
      <c r="D260" s="8"/>
      <c r="E260" s="10"/>
      <c r="F260" s="11"/>
      <c r="G260" s="18"/>
      <c r="H260" s="18"/>
      <c r="I260" s="18"/>
      <c r="J260" s="18"/>
      <c r="K260" s="11"/>
      <c r="L260" s="11"/>
      <c r="M260" s="11"/>
      <c r="N260" s="11"/>
      <c r="O260" s="11"/>
      <c r="P260" s="11"/>
      <c r="Q260" s="8"/>
    </row>
    <row r="261" spans="1:17" ht="31.5" x14ac:dyDescent="0.25">
      <c r="A261" s="8"/>
      <c r="B261" s="14" t="s">
        <v>213</v>
      </c>
      <c r="C261" s="8"/>
      <c r="D261" s="8"/>
      <c r="E261" s="10"/>
      <c r="F261" s="11"/>
      <c r="G261" s="18"/>
      <c r="H261" s="18"/>
      <c r="I261" s="18"/>
      <c r="J261" s="18"/>
      <c r="K261" s="11"/>
      <c r="L261" s="11"/>
      <c r="M261" s="11"/>
      <c r="N261" s="11"/>
      <c r="O261" s="11"/>
      <c r="P261" s="11"/>
      <c r="Q261" s="8"/>
    </row>
    <row r="262" spans="1:17" x14ac:dyDescent="0.25">
      <c r="A262" s="8"/>
      <c r="B262" s="14" t="s">
        <v>14</v>
      </c>
      <c r="C262" s="8"/>
      <c r="D262" s="8"/>
      <c r="E262" s="10"/>
      <c r="F262" s="11"/>
      <c r="G262" s="18"/>
      <c r="H262" s="18"/>
      <c r="I262" s="18"/>
      <c r="J262" s="18"/>
      <c r="K262" s="11"/>
      <c r="L262" s="11"/>
      <c r="M262" s="11"/>
      <c r="N262" s="11"/>
      <c r="O262" s="11"/>
      <c r="P262" s="11"/>
      <c r="Q262" s="8"/>
    </row>
    <row r="263" spans="1:17" x14ac:dyDescent="0.25">
      <c r="A263" s="8"/>
      <c r="B263" s="14" t="s">
        <v>214</v>
      </c>
      <c r="C263" s="8"/>
      <c r="D263" s="8"/>
      <c r="E263" s="10"/>
      <c r="F263" s="11"/>
      <c r="G263" s="18"/>
      <c r="H263" s="18"/>
      <c r="I263" s="18"/>
      <c r="J263" s="18"/>
      <c r="K263" s="11"/>
      <c r="L263" s="11"/>
      <c r="M263" s="11"/>
      <c r="N263" s="11"/>
      <c r="O263" s="11"/>
      <c r="P263" s="11"/>
      <c r="Q263" s="8"/>
    </row>
    <row r="264" spans="1:17" ht="31.5" x14ac:dyDescent="0.25">
      <c r="A264" s="8"/>
      <c r="B264" s="12" t="s">
        <v>215</v>
      </c>
      <c r="C264" s="12" t="s">
        <v>263</v>
      </c>
      <c r="D264" s="10" t="s">
        <v>264</v>
      </c>
      <c r="E264" s="10" t="s">
        <v>230</v>
      </c>
      <c r="F264" s="11">
        <v>1312</v>
      </c>
      <c r="G264" s="21">
        <f>37130000/1.1</f>
        <v>33754545.454545453</v>
      </c>
      <c r="H264" s="18">
        <v>1740.325</v>
      </c>
      <c r="I264" s="18">
        <v>3654.6824999999999</v>
      </c>
      <c r="J264" s="18">
        <v>6834.2562750000006</v>
      </c>
      <c r="K264" s="11">
        <f>G264+H264+I264+J264</f>
        <v>33766774.718320452</v>
      </c>
      <c r="L264" s="11">
        <v>1200000</v>
      </c>
      <c r="M264" s="11">
        <f>K264*10%</f>
        <v>3376677.4718320454</v>
      </c>
      <c r="N264" s="11">
        <f t="shared" si="80"/>
        <v>96000</v>
      </c>
      <c r="O264" s="11">
        <f t="shared" ref="O264:O267" si="113">(K264+M264)*F264</f>
        <v>48732209273.480072</v>
      </c>
      <c r="P264" s="11">
        <f t="shared" ref="P264:P267" si="114">(L264+N264)*F264</f>
        <v>1700352000</v>
      </c>
      <c r="Q264" s="8"/>
    </row>
    <row r="265" spans="1:17" ht="47.25" x14ac:dyDescent="0.25">
      <c r="A265" s="8"/>
      <c r="B265" s="12" t="s">
        <v>216</v>
      </c>
      <c r="C265" s="12" t="s">
        <v>390</v>
      </c>
      <c r="D265" s="10" t="s">
        <v>264</v>
      </c>
      <c r="E265" s="10" t="s">
        <v>230</v>
      </c>
      <c r="F265" s="11">
        <v>2624</v>
      </c>
      <c r="G265" s="21">
        <f>10080000/1.1</f>
        <v>9163636.3636363633</v>
      </c>
      <c r="H265" s="18">
        <v>1740.325</v>
      </c>
      <c r="I265" s="18">
        <v>3654.6824999999999</v>
      </c>
      <c r="J265" s="18">
        <v>6834.2562750000006</v>
      </c>
      <c r="K265" s="11">
        <f>G265+H265+I265+J265</f>
        <v>9175865.6274113618</v>
      </c>
      <c r="L265" s="11">
        <v>600000</v>
      </c>
      <c r="M265" s="11">
        <f t="shared" ref="M265:M266" si="115">K265*10%</f>
        <v>917586.56274113618</v>
      </c>
      <c r="N265" s="11">
        <f t="shared" si="80"/>
        <v>48000</v>
      </c>
      <c r="O265" s="11">
        <f t="shared" si="113"/>
        <v>26485218546.960155</v>
      </c>
      <c r="P265" s="11">
        <f t="shared" si="114"/>
        <v>1700352000</v>
      </c>
      <c r="Q265" s="8"/>
    </row>
    <row r="266" spans="1:17" ht="47.25" x14ac:dyDescent="0.25">
      <c r="A266" s="8"/>
      <c r="B266" s="12" t="s">
        <v>217</v>
      </c>
      <c r="C266" s="12" t="s">
        <v>265</v>
      </c>
      <c r="D266" s="10" t="s">
        <v>264</v>
      </c>
      <c r="E266" s="10" t="s">
        <v>230</v>
      </c>
      <c r="F266" s="11">
        <v>1312</v>
      </c>
      <c r="G266" s="21">
        <f>14980000/1.1</f>
        <v>13618181.818181816</v>
      </c>
      <c r="H266" s="18">
        <v>1740.325</v>
      </c>
      <c r="I266" s="18">
        <v>3654.6824999999999</v>
      </c>
      <c r="J266" s="18">
        <v>6834.2562750000006</v>
      </c>
      <c r="K266" s="11">
        <f>G266+H266+I266+J266</f>
        <v>13630411.081956815</v>
      </c>
      <c r="L266" s="11">
        <v>1000000</v>
      </c>
      <c r="M266" s="11">
        <f t="shared" si="115"/>
        <v>1363041.1081956816</v>
      </c>
      <c r="N266" s="11">
        <f t="shared" si="80"/>
        <v>80000</v>
      </c>
      <c r="O266" s="11">
        <f t="shared" si="113"/>
        <v>19671409273.480076</v>
      </c>
      <c r="P266" s="11">
        <f t="shared" si="114"/>
        <v>1416960000</v>
      </c>
      <c r="Q266" s="8"/>
    </row>
    <row r="267" spans="1:17" x14ac:dyDescent="0.25">
      <c r="A267" s="8"/>
      <c r="B267" s="12" t="s">
        <v>14</v>
      </c>
      <c r="C267" s="8"/>
      <c r="D267" s="10" t="s">
        <v>259</v>
      </c>
      <c r="E267" s="10" t="s">
        <v>226</v>
      </c>
      <c r="F267" s="11">
        <v>1</v>
      </c>
      <c r="G267" s="18">
        <f>F264*700000</f>
        <v>918400000</v>
      </c>
      <c r="H267" s="18">
        <v>1740.325</v>
      </c>
      <c r="I267" s="18">
        <v>3654.6824999999999</v>
      </c>
      <c r="J267" s="18">
        <v>6834.2562750000006</v>
      </c>
      <c r="K267" s="11">
        <f>G267+H267+I267+J267</f>
        <v>918412229.26377511</v>
      </c>
      <c r="L267" s="11">
        <v>1000000</v>
      </c>
      <c r="M267" s="11">
        <f t="shared" ref="M267" si="116">K267*10%</f>
        <v>91841222.92637752</v>
      </c>
      <c r="N267" s="11">
        <f t="shared" ref="N267" si="117">L267*8%</f>
        <v>80000</v>
      </c>
      <c r="O267" s="11">
        <f t="shared" si="113"/>
        <v>1010253452.1901526</v>
      </c>
      <c r="P267" s="11">
        <f t="shared" si="114"/>
        <v>1080000</v>
      </c>
      <c r="Q267" s="8"/>
    </row>
    <row r="268" spans="1:17" x14ac:dyDescent="0.25">
      <c r="A268" s="8"/>
      <c r="B268" s="14" t="s">
        <v>158</v>
      </c>
      <c r="C268" s="8"/>
      <c r="D268" s="8"/>
      <c r="E268" s="10" t="s">
        <v>231</v>
      </c>
      <c r="F268" s="11"/>
      <c r="G268" s="18"/>
      <c r="H268" s="18"/>
      <c r="I268" s="18"/>
      <c r="J268" s="18"/>
      <c r="K268" s="11"/>
      <c r="L268" s="11"/>
      <c r="M268" s="11"/>
      <c r="N268" s="11">
        <f t="shared" si="80"/>
        <v>0</v>
      </c>
      <c r="O268" s="11">
        <f t="shared" ref="O268:O273" si="118">(G268+M268)*F268</f>
        <v>0</v>
      </c>
      <c r="P268" s="11">
        <f t="shared" ref="P268:P273" si="119">(L268+N268)*F268</f>
        <v>0</v>
      </c>
      <c r="Q268" s="8"/>
    </row>
    <row r="269" spans="1:17" ht="31.5" x14ac:dyDescent="0.25">
      <c r="A269" s="8"/>
      <c r="B269" s="12" t="s">
        <v>218</v>
      </c>
      <c r="C269" s="8"/>
      <c r="D269" s="8"/>
      <c r="E269" s="10" t="s">
        <v>229</v>
      </c>
      <c r="F269" s="11">
        <v>2624</v>
      </c>
      <c r="G269" s="18"/>
      <c r="H269" s="18"/>
      <c r="I269" s="18"/>
      <c r="J269" s="18"/>
      <c r="K269" s="11"/>
      <c r="L269" s="11"/>
      <c r="M269" s="11"/>
      <c r="N269" s="11">
        <f t="shared" si="80"/>
        <v>0</v>
      </c>
      <c r="O269" s="11">
        <f t="shared" si="118"/>
        <v>0</v>
      </c>
      <c r="P269" s="11">
        <f t="shared" si="119"/>
        <v>0</v>
      </c>
      <c r="Q269" s="8"/>
    </row>
    <row r="270" spans="1:17" ht="31.5" x14ac:dyDescent="0.25">
      <c r="A270" s="8"/>
      <c r="B270" s="12" t="s">
        <v>219</v>
      </c>
      <c r="C270" s="8"/>
      <c r="D270" s="8"/>
      <c r="E270" s="10" t="s">
        <v>229</v>
      </c>
      <c r="F270" s="11">
        <v>2624</v>
      </c>
      <c r="G270" s="18"/>
      <c r="H270" s="18"/>
      <c r="I270" s="18"/>
      <c r="J270" s="18"/>
      <c r="K270" s="11"/>
      <c r="L270" s="11"/>
      <c r="M270" s="11"/>
      <c r="N270" s="11">
        <f t="shared" si="80"/>
        <v>0</v>
      </c>
      <c r="O270" s="11">
        <f t="shared" si="118"/>
        <v>0</v>
      </c>
      <c r="P270" s="11">
        <f t="shared" si="119"/>
        <v>0</v>
      </c>
      <c r="Q270" s="8"/>
    </row>
    <row r="271" spans="1:17" x14ac:dyDescent="0.25">
      <c r="A271" s="8"/>
      <c r="B271" s="12" t="s">
        <v>220</v>
      </c>
      <c r="C271" s="8"/>
      <c r="D271" s="8"/>
      <c r="E271" s="10" t="s">
        <v>231</v>
      </c>
      <c r="F271" s="11"/>
      <c r="G271" s="18"/>
      <c r="H271" s="18"/>
      <c r="I271" s="18"/>
      <c r="J271" s="18"/>
      <c r="K271" s="11"/>
      <c r="L271" s="11"/>
      <c r="M271" s="11"/>
      <c r="N271" s="11">
        <f t="shared" si="80"/>
        <v>0</v>
      </c>
      <c r="O271" s="11">
        <f t="shared" si="118"/>
        <v>0</v>
      </c>
      <c r="P271" s="11">
        <f t="shared" si="119"/>
        <v>0</v>
      </c>
      <c r="Q271" s="8"/>
    </row>
    <row r="272" spans="1:17" x14ac:dyDescent="0.25">
      <c r="A272" s="8"/>
      <c r="B272" s="12" t="s">
        <v>221</v>
      </c>
      <c r="C272" s="8"/>
      <c r="D272" s="8"/>
      <c r="E272" s="10" t="s">
        <v>229</v>
      </c>
      <c r="F272" s="11">
        <v>2624</v>
      </c>
      <c r="G272" s="18"/>
      <c r="H272" s="18"/>
      <c r="I272" s="18"/>
      <c r="J272" s="18"/>
      <c r="K272" s="11"/>
      <c r="L272" s="11"/>
      <c r="M272" s="11"/>
      <c r="N272" s="11">
        <f t="shared" si="80"/>
        <v>0</v>
      </c>
      <c r="O272" s="11">
        <f t="shared" si="118"/>
        <v>0</v>
      </c>
      <c r="P272" s="11">
        <f t="shared" si="119"/>
        <v>0</v>
      </c>
      <c r="Q272" s="8"/>
    </row>
    <row r="273" spans="1:17" x14ac:dyDescent="0.25">
      <c r="A273" s="8"/>
      <c r="B273" s="12" t="s">
        <v>222</v>
      </c>
      <c r="C273" s="8"/>
      <c r="D273" s="8"/>
      <c r="E273" s="10" t="s">
        <v>229</v>
      </c>
      <c r="F273" s="11">
        <v>1312</v>
      </c>
      <c r="G273" s="18"/>
      <c r="H273" s="18"/>
      <c r="I273" s="18"/>
      <c r="J273" s="18"/>
      <c r="K273" s="11"/>
      <c r="L273" s="11"/>
      <c r="M273" s="11"/>
      <c r="N273" s="11">
        <f t="shared" si="80"/>
        <v>0</v>
      </c>
      <c r="O273" s="11">
        <f t="shared" si="118"/>
        <v>0</v>
      </c>
      <c r="P273" s="11">
        <f t="shared" si="119"/>
        <v>0</v>
      </c>
      <c r="Q273" s="8"/>
    </row>
    <row r="274" spans="1:17" x14ac:dyDescent="0.25">
      <c r="A274" s="38"/>
      <c r="B274" s="32" t="s">
        <v>266</v>
      </c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16">
        <f>SUM(O4:O273)</f>
        <v>131729183987.31537</v>
      </c>
      <c r="P274" s="16">
        <f>SUM(P4:P273)</f>
        <v>11885864869.861603</v>
      </c>
      <c r="Q274" s="8"/>
    </row>
    <row r="275" spans="1:17" x14ac:dyDescent="0.25">
      <c r="A275" s="39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3">
        <f>O274+P274</f>
        <v>143615048857.17697</v>
      </c>
      <c r="P275" s="33"/>
      <c r="Q275" s="8"/>
    </row>
  </sheetData>
  <mergeCells count="15">
    <mergeCell ref="Q2:Q3"/>
    <mergeCell ref="F2:F3"/>
    <mergeCell ref="E2:E3"/>
    <mergeCell ref="D2:D3"/>
    <mergeCell ref="K2:L2"/>
    <mergeCell ref="G2:J2"/>
    <mergeCell ref="A2:A3"/>
    <mergeCell ref="O275:P275"/>
    <mergeCell ref="B274:N275"/>
    <mergeCell ref="A274:A275"/>
    <mergeCell ref="B2:C2"/>
    <mergeCell ref="M2:N3"/>
    <mergeCell ref="O2:P2"/>
    <mergeCell ref="B38:B39"/>
    <mergeCell ref="B35:B37"/>
  </mergeCells>
  <pageMargins left="0.7" right="0.7" top="0.75" bottom="0.75" header="0.3" footer="0.3"/>
  <pageSetup paperSize="9" scale="3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243"/>
  <sheetViews>
    <sheetView view="pageBreakPreview" topLeftCell="A112" zoomScale="70" zoomScaleNormal="100" zoomScaleSheetLayoutView="70" workbookViewId="0">
      <selection activeCell="H104" sqref="H104"/>
    </sheetView>
  </sheetViews>
  <sheetFormatPr defaultColWidth="8.85546875" defaultRowHeight="15.75" x14ac:dyDescent="0.25"/>
  <cols>
    <col min="1" max="1" width="3.7109375" style="1" customWidth="1"/>
    <col min="2" max="2" width="35.28515625" style="5" customWidth="1"/>
    <col min="3" max="3" width="41" style="1" bestFit="1" customWidth="1"/>
    <col min="4" max="4" width="20.5703125" style="1" bestFit="1" customWidth="1"/>
    <col min="5" max="5" width="8.85546875" style="2"/>
    <col min="6" max="6" width="8.85546875" style="4"/>
    <col min="7" max="7" width="14.7109375" style="20" bestFit="1" customWidth="1"/>
    <col min="8" max="8" width="11.28515625" style="20" bestFit="1" customWidth="1"/>
    <col min="9" max="10" width="12.28515625" style="20" bestFit="1" customWidth="1"/>
    <col min="11" max="11" width="14.140625" style="1" bestFit="1" customWidth="1"/>
    <col min="12" max="13" width="12.28515625" style="1" bestFit="1" customWidth="1"/>
    <col min="14" max="14" width="11.28515625" style="1" bestFit="1" customWidth="1"/>
    <col min="15" max="15" width="15.28515625" style="1" bestFit="1" customWidth="1"/>
    <col min="16" max="16" width="15.7109375" style="1" bestFit="1" customWidth="1"/>
    <col min="17" max="16384" width="8.85546875" style="1"/>
  </cols>
  <sheetData>
    <row r="2" spans="1:17" s="3" customFormat="1" x14ac:dyDescent="0.25">
      <c r="A2" s="32" t="s">
        <v>0</v>
      </c>
      <c r="B2" s="32" t="s">
        <v>223</v>
      </c>
      <c r="C2" s="32"/>
      <c r="D2" s="35" t="s">
        <v>234</v>
      </c>
      <c r="E2" s="35" t="s">
        <v>232</v>
      </c>
      <c r="F2" s="36" t="s">
        <v>233</v>
      </c>
      <c r="G2" s="45" t="s">
        <v>382</v>
      </c>
      <c r="H2" s="46"/>
      <c r="I2" s="46"/>
      <c r="J2" s="47"/>
      <c r="K2" s="32" t="s">
        <v>237</v>
      </c>
      <c r="L2" s="32"/>
      <c r="M2" s="35" t="s">
        <v>238</v>
      </c>
      <c r="N2" s="32"/>
      <c r="O2" s="32" t="s">
        <v>239</v>
      </c>
      <c r="P2" s="32"/>
      <c r="Q2" s="32" t="s">
        <v>240</v>
      </c>
    </row>
    <row r="3" spans="1:17" s="3" customFormat="1" x14ac:dyDescent="0.25">
      <c r="A3" s="32"/>
      <c r="B3" s="6" t="s">
        <v>1</v>
      </c>
      <c r="C3" s="7" t="s">
        <v>224</v>
      </c>
      <c r="D3" s="35"/>
      <c r="E3" s="35"/>
      <c r="F3" s="36"/>
      <c r="G3" s="17" t="s">
        <v>237</v>
      </c>
      <c r="H3" s="17" t="s">
        <v>383</v>
      </c>
      <c r="I3" s="17" t="s">
        <v>384</v>
      </c>
      <c r="J3" s="17" t="s">
        <v>385</v>
      </c>
      <c r="K3" s="7" t="s">
        <v>235</v>
      </c>
      <c r="L3" s="7" t="s">
        <v>236</v>
      </c>
      <c r="M3" s="32"/>
      <c r="N3" s="32"/>
      <c r="O3" s="7" t="s">
        <v>235</v>
      </c>
      <c r="P3" s="7" t="s">
        <v>236</v>
      </c>
      <c r="Q3" s="32"/>
    </row>
    <row r="4" spans="1:17" ht="47.25" x14ac:dyDescent="0.25">
      <c r="A4" s="8"/>
      <c r="B4" s="9" t="s">
        <v>267</v>
      </c>
      <c r="C4" s="8"/>
      <c r="D4" s="8"/>
      <c r="E4" s="10"/>
      <c r="F4" s="11"/>
      <c r="G4" s="18"/>
      <c r="H4" s="18"/>
      <c r="I4" s="18"/>
      <c r="J4" s="18"/>
      <c r="K4" s="11"/>
      <c r="L4" s="11"/>
      <c r="M4" s="11"/>
      <c r="N4" s="11"/>
      <c r="O4" s="11"/>
      <c r="P4" s="11"/>
      <c r="Q4" s="8"/>
    </row>
    <row r="5" spans="1:17" x14ac:dyDescent="0.25">
      <c r="A5" s="8"/>
      <c r="B5" s="9" t="s">
        <v>3</v>
      </c>
      <c r="C5" s="8"/>
      <c r="D5" s="8"/>
      <c r="E5" s="10" t="s">
        <v>231</v>
      </c>
      <c r="F5" s="11"/>
      <c r="G5" s="18"/>
      <c r="H5" s="18"/>
      <c r="I5" s="18"/>
      <c r="J5" s="18"/>
      <c r="K5" s="11"/>
      <c r="L5" s="11"/>
      <c r="M5" s="11"/>
      <c r="N5" s="11"/>
      <c r="O5" s="11"/>
      <c r="P5" s="11"/>
      <c r="Q5" s="8"/>
    </row>
    <row r="6" spans="1:17" x14ac:dyDescent="0.25">
      <c r="A6" s="8"/>
      <c r="B6" s="14" t="s">
        <v>4</v>
      </c>
      <c r="C6" s="8"/>
      <c r="D6" s="8"/>
      <c r="E6" s="10" t="s">
        <v>231</v>
      </c>
      <c r="F6" s="11"/>
      <c r="G6" s="18"/>
      <c r="H6" s="18"/>
      <c r="I6" s="18"/>
      <c r="J6" s="18"/>
      <c r="K6" s="11"/>
      <c r="L6" s="11"/>
      <c r="M6" s="11"/>
      <c r="N6" s="11"/>
      <c r="O6" s="11"/>
      <c r="P6" s="11"/>
      <c r="Q6" s="8"/>
    </row>
    <row r="7" spans="1:17" x14ac:dyDescent="0.25">
      <c r="A7" s="8"/>
      <c r="B7" s="14" t="s">
        <v>5</v>
      </c>
      <c r="C7" s="8"/>
      <c r="D7" s="8"/>
      <c r="E7" s="10" t="s">
        <v>231</v>
      </c>
      <c r="F7" s="11"/>
      <c r="G7" s="18"/>
      <c r="H7" s="18"/>
      <c r="I7" s="18"/>
      <c r="J7" s="18"/>
      <c r="K7" s="11"/>
      <c r="L7" s="11"/>
      <c r="M7" s="11"/>
      <c r="N7" s="11"/>
      <c r="O7" s="11"/>
      <c r="P7" s="11"/>
      <c r="Q7" s="8"/>
    </row>
    <row r="8" spans="1:17" x14ac:dyDescent="0.25">
      <c r="A8" s="8"/>
      <c r="B8" s="12" t="s">
        <v>6</v>
      </c>
      <c r="C8" s="8" t="str">
        <f>'DHKK A3'!C8</f>
        <v>Ống nước ngưng uPVC D.27 Class 1</v>
      </c>
      <c r="D8" s="8" t="s">
        <v>247</v>
      </c>
      <c r="E8" s="10" t="s">
        <v>225</v>
      </c>
      <c r="F8" s="11">
        <v>50</v>
      </c>
      <c r="G8" s="18"/>
      <c r="H8" s="18"/>
      <c r="I8" s="18"/>
      <c r="J8" s="18"/>
      <c r="K8" s="11">
        <f>'DHKK A3'!K8</f>
        <v>19464.845400000002</v>
      </c>
      <c r="L8" s="11">
        <f>K8*25%</f>
        <v>4866.2113500000005</v>
      </c>
      <c r="M8" s="11">
        <f>K8*8%</f>
        <v>1557.1876320000001</v>
      </c>
      <c r="N8" s="11">
        <f>L8*8%</f>
        <v>389.29690800000003</v>
      </c>
      <c r="O8" s="11">
        <f t="shared" ref="O8:O17" si="0">(K8+M8)*F8</f>
        <v>1051101.6516000002</v>
      </c>
      <c r="P8" s="11">
        <f>(L8+N8)*F8</f>
        <v>262775.41290000005</v>
      </c>
      <c r="Q8" s="8"/>
    </row>
    <row r="9" spans="1:17" x14ac:dyDescent="0.25">
      <c r="A9" s="8"/>
      <c r="B9" s="12" t="s">
        <v>7</v>
      </c>
      <c r="C9" s="8" t="str">
        <f>'DHKK A3'!C9</f>
        <v>Ống nước ngưng uPVC D.34 Class 1</v>
      </c>
      <c r="D9" s="8" t="s">
        <v>247</v>
      </c>
      <c r="E9" s="10" t="s">
        <v>225</v>
      </c>
      <c r="F9" s="11">
        <v>276</v>
      </c>
      <c r="G9" s="18"/>
      <c r="H9" s="18"/>
      <c r="I9" s="18"/>
      <c r="J9" s="18"/>
      <c r="K9" s="11">
        <f>'DHKK A3'!K9</f>
        <v>23789.165400000005</v>
      </c>
      <c r="L9" s="11">
        <f t="shared" ref="L9:L17" si="1">K9*25%</f>
        <v>5947.2913500000013</v>
      </c>
      <c r="M9" s="11">
        <f t="shared" ref="M9:N9" si="2">K9*8%</f>
        <v>1903.1332320000004</v>
      </c>
      <c r="N9" s="11">
        <f t="shared" si="2"/>
        <v>475.78330800000009</v>
      </c>
      <c r="O9" s="11">
        <f t="shared" si="0"/>
        <v>7091074.4224320017</v>
      </c>
      <c r="P9" s="11">
        <f t="shared" ref="P9:P50" si="3">(L9+N9)*F9</f>
        <v>1772768.6056080004</v>
      </c>
      <c r="Q9" s="8"/>
    </row>
    <row r="10" spans="1:17" x14ac:dyDescent="0.25">
      <c r="A10" s="8"/>
      <c r="B10" s="12" t="s">
        <v>8</v>
      </c>
      <c r="C10" s="8" t="str">
        <f>'DHKK A3'!C10</f>
        <v>Ống nước ngưng uPVC D.42 Class 1</v>
      </c>
      <c r="D10" s="8" t="s">
        <v>247</v>
      </c>
      <c r="E10" s="10" t="s">
        <v>225</v>
      </c>
      <c r="F10" s="11">
        <v>99</v>
      </c>
      <c r="G10" s="18"/>
      <c r="H10" s="18"/>
      <c r="I10" s="18"/>
      <c r="J10" s="18"/>
      <c r="K10" s="11">
        <f>'DHKK A3'!K10</f>
        <v>32691.859199999999</v>
      </c>
      <c r="L10" s="11">
        <f t="shared" si="1"/>
        <v>8172.9647999999997</v>
      </c>
      <c r="M10" s="11">
        <f t="shared" ref="M10" si="4">K10*8%</f>
        <v>2615.3487359999999</v>
      </c>
      <c r="N10" s="11">
        <f t="shared" ref="N10" si="5">L10*8%</f>
        <v>653.83718399999998</v>
      </c>
      <c r="O10" s="11">
        <f t="shared" si="0"/>
        <v>3495413.5856639999</v>
      </c>
      <c r="P10" s="11">
        <f t="shared" si="3"/>
        <v>873853.39641599997</v>
      </c>
      <c r="Q10" s="8"/>
    </row>
    <row r="11" spans="1:17" x14ac:dyDescent="0.25">
      <c r="A11" s="8"/>
      <c r="B11" s="12" t="s">
        <v>268</v>
      </c>
      <c r="C11" s="12" t="s">
        <v>392</v>
      </c>
      <c r="D11" s="8" t="s">
        <v>247</v>
      </c>
      <c r="E11" s="10" t="s">
        <v>225</v>
      </c>
      <c r="F11" s="11">
        <v>110</v>
      </c>
      <c r="G11" s="18">
        <v>28728</v>
      </c>
      <c r="H11" s="18">
        <f t="shared" ref="H11" si="6">G11*5%</f>
        <v>1436.4</v>
      </c>
      <c r="I11" s="18">
        <f t="shared" ref="I11" si="7">(G11+H11)*10%</f>
        <v>3016.4400000000005</v>
      </c>
      <c r="J11" s="18">
        <f t="shared" ref="J11" si="8">(G11+H11+I11)*17%</f>
        <v>5640.7428000000009</v>
      </c>
      <c r="K11" s="4">
        <f>G11+H11+I11+J11</f>
        <v>38821.582800000004</v>
      </c>
      <c r="L11" s="11">
        <f t="shared" si="1"/>
        <v>9705.3957000000009</v>
      </c>
      <c r="M11" s="11">
        <f t="shared" ref="M11" si="9">K11*8%</f>
        <v>3105.7266240000004</v>
      </c>
      <c r="N11" s="11">
        <f t="shared" ref="N11" si="10">L11*8%</f>
        <v>776.43165600000009</v>
      </c>
      <c r="O11" s="11">
        <f t="shared" si="0"/>
        <v>4612004.0366400005</v>
      </c>
      <c r="P11" s="11">
        <f t="shared" si="3"/>
        <v>1153001.0091600001</v>
      </c>
      <c r="Q11" s="8"/>
    </row>
    <row r="12" spans="1:17" x14ac:dyDescent="0.25">
      <c r="A12" s="8"/>
      <c r="B12" s="12" t="s">
        <v>9</v>
      </c>
      <c r="C12" s="12" t="str">
        <f>'DHKK A3'!C11</f>
        <v>Ống nước ngưng uPVC D.60 Class 1</v>
      </c>
      <c r="D12" s="8" t="s">
        <v>247</v>
      </c>
      <c r="E12" s="10" t="s">
        <v>225</v>
      </c>
      <c r="F12" s="11">
        <v>2640</v>
      </c>
      <c r="G12" s="18"/>
      <c r="H12" s="18"/>
      <c r="I12" s="18"/>
      <c r="J12" s="18"/>
      <c r="K12" s="11">
        <f>'DHKK A3'!K11</f>
        <v>55021.566600000006</v>
      </c>
      <c r="L12" s="11">
        <f t="shared" si="1"/>
        <v>13755.391650000001</v>
      </c>
      <c r="M12" s="11">
        <f>'DHKK A3'!M11</f>
        <v>4401.7253280000004</v>
      </c>
      <c r="N12" s="11">
        <f>'DHKK A3'!N11</f>
        <v>1100.4313320000001</v>
      </c>
      <c r="O12" s="11">
        <f t="shared" si="0"/>
        <v>156877490.68992001</v>
      </c>
      <c r="P12" s="11">
        <f t="shared" si="3"/>
        <v>39219372.672480002</v>
      </c>
      <c r="Q12" s="8"/>
    </row>
    <row r="13" spans="1:17" x14ac:dyDescent="0.25">
      <c r="A13" s="8"/>
      <c r="B13" s="12" t="s">
        <v>10</v>
      </c>
      <c r="C13" s="12" t="str">
        <f>'DHKK A3'!C12</f>
        <v>Ống nước ngưng uPVC D.75 Class 1</v>
      </c>
      <c r="D13" s="8" t="s">
        <v>247</v>
      </c>
      <c r="E13" s="10" t="s">
        <v>225</v>
      </c>
      <c r="F13" s="11">
        <v>40</v>
      </c>
      <c r="G13" s="18"/>
      <c r="H13" s="18"/>
      <c r="I13" s="18"/>
      <c r="J13" s="18"/>
      <c r="K13" s="11">
        <f>'DHKK A3'!K12</f>
        <v>70053.983999999997</v>
      </c>
      <c r="L13" s="11">
        <f t="shared" si="1"/>
        <v>17513.495999999999</v>
      </c>
      <c r="M13" s="11">
        <f>'DHKK A3'!M12</f>
        <v>5604.3187200000002</v>
      </c>
      <c r="N13" s="11">
        <f>'DHKK A3'!N12</f>
        <v>1401.0796800000001</v>
      </c>
      <c r="O13" s="11">
        <f t="shared" si="0"/>
        <v>3026332.1087999996</v>
      </c>
      <c r="P13" s="11">
        <f t="shared" si="3"/>
        <v>756583.02719999989</v>
      </c>
      <c r="Q13" s="8"/>
    </row>
    <row r="14" spans="1:17" x14ac:dyDescent="0.25">
      <c r="A14" s="8"/>
      <c r="B14" s="12" t="s">
        <v>11</v>
      </c>
      <c r="C14" s="12" t="str">
        <f>'DHKK A3'!C13</f>
        <v>Ống nước ngưng uPVC D.90 Class 1</v>
      </c>
      <c r="D14" s="8" t="s">
        <v>247</v>
      </c>
      <c r="E14" s="10" t="s">
        <v>225</v>
      </c>
      <c r="F14" s="11">
        <v>40</v>
      </c>
      <c r="G14" s="18"/>
      <c r="H14" s="18"/>
      <c r="I14" s="18"/>
      <c r="J14" s="18"/>
      <c r="K14" s="11">
        <f>'DHKK A3'!K13</f>
        <v>86399.9136</v>
      </c>
      <c r="L14" s="11">
        <f t="shared" si="1"/>
        <v>21599.9784</v>
      </c>
      <c r="M14" s="11">
        <f>'DHKK A3'!M13</f>
        <v>6911.9930880000002</v>
      </c>
      <c r="N14" s="11">
        <f>'DHKK A3'!N13</f>
        <v>1727.998272</v>
      </c>
      <c r="O14" s="11">
        <f t="shared" si="0"/>
        <v>3732476.2675200002</v>
      </c>
      <c r="P14" s="11">
        <f t="shared" si="3"/>
        <v>933119.06688000006</v>
      </c>
      <c r="Q14" s="8"/>
    </row>
    <row r="15" spans="1:17" x14ac:dyDescent="0.25">
      <c r="A15" s="8"/>
      <c r="B15" s="12" t="s">
        <v>12</v>
      </c>
      <c r="C15" s="12" t="str">
        <f>'DHKK A3'!C14</f>
        <v>Ống nước ngưng uPVC D.110 Class 1</v>
      </c>
      <c r="D15" s="8" t="s">
        <v>247</v>
      </c>
      <c r="E15" s="10" t="s">
        <v>225</v>
      </c>
      <c r="F15" s="11">
        <v>123</v>
      </c>
      <c r="G15" s="18"/>
      <c r="H15" s="18"/>
      <c r="I15" s="18"/>
      <c r="J15" s="18"/>
      <c r="K15" s="11">
        <f>'DHKK A3'!K14</f>
        <v>128578.24980000001</v>
      </c>
      <c r="L15" s="11">
        <f t="shared" si="1"/>
        <v>32144.562450000001</v>
      </c>
      <c r="M15" s="11">
        <f>'DHKK A3'!M14</f>
        <v>10286.259984</v>
      </c>
      <c r="N15" s="11">
        <f>'DHKK A3'!N14</f>
        <v>2571.5649960000001</v>
      </c>
      <c r="O15" s="11">
        <f t="shared" si="0"/>
        <v>17080334.703432001</v>
      </c>
      <c r="P15" s="11">
        <f t="shared" si="3"/>
        <v>4270083.6758580003</v>
      </c>
      <c r="Q15" s="8"/>
    </row>
    <row r="16" spans="1:17" x14ac:dyDescent="0.25">
      <c r="A16" s="8"/>
      <c r="B16" s="12" t="s">
        <v>13</v>
      </c>
      <c r="C16" s="8"/>
      <c r="D16" s="10" t="s">
        <v>259</v>
      </c>
      <c r="E16" s="10" t="s">
        <v>226</v>
      </c>
      <c r="F16" s="11">
        <v>1</v>
      </c>
      <c r="G16" s="18"/>
      <c r="H16" s="18"/>
      <c r="I16" s="18"/>
      <c r="J16" s="18"/>
      <c r="K16" s="11">
        <f>SUM(O8:O15)*17%</f>
        <v>33484258.669221364</v>
      </c>
      <c r="L16" s="11">
        <f t="shared" si="1"/>
        <v>8371064.667305341</v>
      </c>
      <c r="M16" s="11">
        <f>'DHKK A3'!M15</f>
        <v>6574236.0863948856</v>
      </c>
      <c r="N16" s="11">
        <f>'DHKK A3'!N15</f>
        <v>1643559.0215987214</v>
      </c>
      <c r="O16" s="11">
        <f t="shared" si="0"/>
        <v>40058494.755616248</v>
      </c>
      <c r="P16" s="11">
        <f t="shared" si="3"/>
        <v>10014623.688904062</v>
      </c>
      <c r="Q16" s="8"/>
    </row>
    <row r="17" spans="1:17" x14ac:dyDescent="0.25">
      <c r="A17" s="8"/>
      <c r="B17" s="13" t="s">
        <v>14</v>
      </c>
      <c r="C17" s="8"/>
      <c r="D17" s="10" t="s">
        <v>259</v>
      </c>
      <c r="E17" s="10" t="s">
        <v>226</v>
      </c>
      <c r="F17" s="11">
        <v>1</v>
      </c>
      <c r="G17" s="18"/>
      <c r="H17" s="18"/>
      <c r="I17" s="18"/>
      <c r="J17" s="18"/>
      <c r="K17" s="11">
        <f>SUM(O8:O15)*15%</f>
        <v>29544934.119901199</v>
      </c>
      <c r="L17" s="11">
        <f t="shared" si="1"/>
        <v>7386233.5299752997</v>
      </c>
      <c r="M17" s="11">
        <f>'DHKK A3'!M16</f>
        <v>5800796.5468190154</v>
      </c>
      <c r="N17" s="11">
        <f>'DHKK A3'!N16</f>
        <v>1450199.1367047539</v>
      </c>
      <c r="O17" s="11">
        <f t="shared" si="0"/>
        <v>35345730.666720212</v>
      </c>
      <c r="P17" s="11">
        <f t="shared" si="3"/>
        <v>8836432.6666800529</v>
      </c>
      <c r="Q17" s="8"/>
    </row>
    <row r="18" spans="1:17" ht="31.5" x14ac:dyDescent="0.25">
      <c r="A18" s="8"/>
      <c r="B18" s="15" t="s">
        <v>15</v>
      </c>
      <c r="C18" s="13"/>
      <c r="D18" s="10"/>
      <c r="E18" s="10" t="s">
        <v>231</v>
      </c>
      <c r="F18" s="11"/>
      <c r="G18" s="18"/>
      <c r="H18" s="18"/>
      <c r="I18" s="18"/>
      <c r="J18" s="18"/>
      <c r="K18" s="11"/>
      <c r="L18" s="11"/>
      <c r="M18" s="11"/>
      <c r="N18" s="11"/>
      <c r="O18" s="11"/>
      <c r="P18" s="11"/>
      <c r="Q18" s="8"/>
    </row>
    <row r="19" spans="1:17" ht="31.5" x14ac:dyDescent="0.25">
      <c r="A19" s="8"/>
      <c r="B19" s="13" t="s">
        <v>16</v>
      </c>
      <c r="C19" s="13" t="s">
        <v>369</v>
      </c>
      <c r="D19" s="19" t="s">
        <v>391</v>
      </c>
      <c r="E19" s="10" t="s">
        <v>225</v>
      </c>
      <c r="F19" s="11">
        <v>50</v>
      </c>
      <c r="G19" s="18"/>
      <c r="H19" s="18"/>
      <c r="I19" s="18"/>
      <c r="J19" s="18"/>
      <c r="K19" s="11">
        <f>'DHKK A3'!K18</f>
        <v>47035.763774999999</v>
      </c>
      <c r="L19" s="11">
        <f>K19*25%</f>
        <v>11758.94094375</v>
      </c>
      <c r="M19" s="11">
        <f t="shared" ref="M19:M26" si="11">K19*8%</f>
        <v>3762.8611019999998</v>
      </c>
      <c r="N19" s="11">
        <f t="shared" ref="N19:N26" si="12">L19*8%</f>
        <v>940.71527549999996</v>
      </c>
      <c r="O19" s="11">
        <f t="shared" ref="O19:O50" si="13">(K19+M19)*F19</f>
        <v>2539931.2438500002</v>
      </c>
      <c r="P19" s="11">
        <f t="shared" si="3"/>
        <v>634982.81096250005</v>
      </c>
      <c r="Q19" s="8"/>
    </row>
    <row r="20" spans="1:17" ht="31.5" x14ac:dyDescent="0.25">
      <c r="A20" s="8"/>
      <c r="B20" s="13" t="s">
        <v>17</v>
      </c>
      <c r="C20" s="13" t="s">
        <v>370</v>
      </c>
      <c r="D20" s="19" t="s">
        <v>391</v>
      </c>
      <c r="E20" s="10" t="s">
        <v>225</v>
      </c>
      <c r="F20" s="11">
        <v>276</v>
      </c>
      <c r="G20" s="18"/>
      <c r="H20" s="18"/>
      <c r="I20" s="18"/>
      <c r="J20" s="18"/>
      <c r="K20" s="11">
        <f>'DHKK A3'!K19</f>
        <v>52801.974225000005</v>
      </c>
      <c r="L20" s="11">
        <f t="shared" ref="L20:L26" si="14">K20*25%</f>
        <v>13200.493556250001</v>
      </c>
      <c r="M20" s="11">
        <f t="shared" si="11"/>
        <v>4224.1579380000003</v>
      </c>
      <c r="N20" s="11">
        <f t="shared" si="12"/>
        <v>1056.0394845000001</v>
      </c>
      <c r="O20" s="11">
        <f t="shared" si="13"/>
        <v>15739212.476988001</v>
      </c>
      <c r="P20" s="11">
        <f t="shared" si="3"/>
        <v>3934803.1192470002</v>
      </c>
      <c r="Q20" s="8"/>
    </row>
    <row r="21" spans="1:17" ht="31.5" x14ac:dyDescent="0.25">
      <c r="A21" s="8"/>
      <c r="B21" s="13" t="s">
        <v>18</v>
      </c>
      <c r="C21" s="13" t="s">
        <v>377</v>
      </c>
      <c r="D21" s="19" t="s">
        <v>391</v>
      </c>
      <c r="E21" s="10" t="s">
        <v>225</v>
      </c>
      <c r="F21" s="11">
        <v>99</v>
      </c>
      <c r="G21" s="18"/>
      <c r="H21" s="18"/>
      <c r="I21" s="18"/>
      <c r="J21" s="18"/>
      <c r="K21" s="11">
        <f>'DHKK A3'!K20</f>
        <v>65591.150624999995</v>
      </c>
      <c r="L21" s="11">
        <f t="shared" si="14"/>
        <v>16397.787656249999</v>
      </c>
      <c r="M21" s="11">
        <f t="shared" si="11"/>
        <v>5247.29205</v>
      </c>
      <c r="N21" s="11">
        <f t="shared" si="12"/>
        <v>1311.8230125</v>
      </c>
      <c r="O21" s="11">
        <f t="shared" si="13"/>
        <v>7013005.824825</v>
      </c>
      <c r="P21" s="11">
        <f t="shared" si="3"/>
        <v>1753251.45620625</v>
      </c>
      <c r="Q21" s="8"/>
    </row>
    <row r="22" spans="1:17" ht="31.5" x14ac:dyDescent="0.25">
      <c r="A22" s="8"/>
      <c r="B22" s="13" t="s">
        <v>269</v>
      </c>
      <c r="C22" s="13" t="s">
        <v>393</v>
      </c>
      <c r="D22" s="19" t="s">
        <v>391</v>
      </c>
      <c r="E22" s="10" t="s">
        <v>225</v>
      </c>
      <c r="F22" s="11">
        <v>110</v>
      </c>
      <c r="G22" s="18">
        <v>58150</v>
      </c>
      <c r="H22" s="18">
        <f t="shared" ref="H22" si="15">G22*5%</f>
        <v>2907.5</v>
      </c>
      <c r="I22" s="18">
        <f t="shared" ref="I22" si="16">(G22+H22)*10%</f>
        <v>6105.75</v>
      </c>
      <c r="J22" s="18">
        <f t="shared" ref="J22" si="17">(G22+H22+I22)*17%</f>
        <v>11417.752500000001</v>
      </c>
      <c r="K22" s="11">
        <f t="shared" ref="K22" si="18">G22+H22+I22+J22</f>
        <v>78581.002500000002</v>
      </c>
      <c r="L22" s="11">
        <f t="shared" si="14"/>
        <v>19645.250625000001</v>
      </c>
      <c r="M22" s="11">
        <f t="shared" si="11"/>
        <v>6286.4802</v>
      </c>
      <c r="N22" s="11">
        <f t="shared" si="12"/>
        <v>1571.62005</v>
      </c>
      <c r="O22" s="11">
        <f t="shared" si="13"/>
        <v>9335423.097000001</v>
      </c>
      <c r="P22" s="11">
        <f t="shared" si="3"/>
        <v>2333855.7742500002</v>
      </c>
      <c r="Q22" s="8"/>
    </row>
    <row r="23" spans="1:17" ht="31.5" x14ac:dyDescent="0.25">
      <c r="A23" s="8"/>
      <c r="B23" s="13" t="s">
        <v>19</v>
      </c>
      <c r="C23" s="13" t="str">
        <f>'DHKK A3'!C21</f>
        <v>Cách nhiệt ống D60.3 dày 10mm</v>
      </c>
      <c r="D23" s="19" t="s">
        <v>391</v>
      </c>
      <c r="E23" s="10" t="s">
        <v>225</v>
      </c>
      <c r="F23" s="11">
        <v>2640</v>
      </c>
      <c r="G23" s="18"/>
      <c r="H23" s="18"/>
      <c r="I23" s="18"/>
      <c r="J23" s="18"/>
      <c r="K23" s="11">
        <f>'DHKK A3'!K21</f>
        <v>85810.049325</v>
      </c>
      <c r="L23" s="11">
        <f t="shared" si="14"/>
        <v>21452.51233125</v>
      </c>
      <c r="M23" s="11">
        <f t="shared" si="11"/>
        <v>6864.803946</v>
      </c>
      <c r="N23" s="11">
        <f t="shared" si="12"/>
        <v>1716.2009865</v>
      </c>
      <c r="O23" s="11">
        <f t="shared" si="13"/>
        <v>244661612.63543999</v>
      </c>
      <c r="P23" s="11">
        <f t="shared" si="3"/>
        <v>61165403.158859998</v>
      </c>
      <c r="Q23" s="8"/>
    </row>
    <row r="24" spans="1:17" ht="31.5" x14ac:dyDescent="0.25">
      <c r="A24" s="8"/>
      <c r="B24" s="13" t="s">
        <v>20</v>
      </c>
      <c r="C24" s="13" t="str">
        <f>'DHKK A3'!C22</f>
        <v>Cách nhiệt ống D76.2 dày 10mm</v>
      </c>
      <c r="D24" s="19" t="s">
        <v>391</v>
      </c>
      <c r="E24" s="10" t="s">
        <v>225</v>
      </c>
      <c r="F24" s="11">
        <v>40</v>
      </c>
      <c r="G24" s="18"/>
      <c r="H24" s="18"/>
      <c r="I24" s="18"/>
      <c r="J24" s="18"/>
      <c r="K24" s="11">
        <f>'DHKK A3'!K22</f>
        <v>107249.21707500002</v>
      </c>
      <c r="L24" s="11">
        <f t="shared" si="14"/>
        <v>26812.304268750006</v>
      </c>
      <c r="M24" s="11">
        <f t="shared" si="11"/>
        <v>8579.9373660000019</v>
      </c>
      <c r="N24" s="11">
        <f t="shared" si="12"/>
        <v>2144.9843415000005</v>
      </c>
      <c r="O24" s="11">
        <f t="shared" si="13"/>
        <v>4633166.1776400004</v>
      </c>
      <c r="P24" s="11">
        <f t="shared" si="3"/>
        <v>1158291.5444100001</v>
      </c>
      <c r="Q24" s="8"/>
    </row>
    <row r="25" spans="1:17" ht="31.5" x14ac:dyDescent="0.25">
      <c r="A25" s="8"/>
      <c r="B25" s="13" t="s">
        <v>21</v>
      </c>
      <c r="C25" s="13" t="str">
        <f>'DHKK A3'!C23</f>
        <v>Cách nhiệt ống D88.9 dày 10mm</v>
      </c>
      <c r="D25" s="19" t="s">
        <v>391</v>
      </c>
      <c r="E25" s="10" t="s">
        <v>225</v>
      </c>
      <c r="F25" s="11">
        <v>40</v>
      </c>
      <c r="G25" s="18"/>
      <c r="H25" s="18"/>
      <c r="I25" s="18"/>
      <c r="J25" s="18"/>
      <c r="K25" s="11">
        <f>'DHKK A3'!K23</f>
        <v>113440.4271</v>
      </c>
      <c r="L25" s="11">
        <f t="shared" si="14"/>
        <v>28360.106775</v>
      </c>
      <c r="M25" s="11">
        <f t="shared" si="11"/>
        <v>9075.2341680000009</v>
      </c>
      <c r="N25" s="11">
        <f t="shared" si="12"/>
        <v>2268.8085420000002</v>
      </c>
      <c r="O25" s="11">
        <f t="shared" si="13"/>
        <v>4900626.4507200001</v>
      </c>
      <c r="P25" s="11">
        <f t="shared" si="3"/>
        <v>1225156.61268</v>
      </c>
      <c r="Q25" s="8"/>
    </row>
    <row r="26" spans="1:17" ht="31.5" x14ac:dyDescent="0.25">
      <c r="A26" s="8"/>
      <c r="B26" s="13" t="s">
        <v>22</v>
      </c>
      <c r="C26" s="13" t="str">
        <f>'DHKK A3'!C24</f>
        <v>Cách nhiệt ống D114.3 dày 10mm</v>
      </c>
      <c r="D26" s="19" t="s">
        <v>391</v>
      </c>
      <c r="E26" s="10" t="s">
        <v>225</v>
      </c>
      <c r="F26" s="11">
        <v>123</v>
      </c>
      <c r="G26" s="18"/>
      <c r="H26" s="18"/>
      <c r="I26" s="18"/>
      <c r="J26" s="18"/>
      <c r="K26" s="11">
        <f>'DHKK A3'!K24</f>
        <v>152622.14467499999</v>
      </c>
      <c r="L26" s="11">
        <f t="shared" si="14"/>
        <v>38155.536168749997</v>
      </c>
      <c r="M26" s="11">
        <f t="shared" si="11"/>
        <v>12209.771573999999</v>
      </c>
      <c r="N26" s="11">
        <f t="shared" si="12"/>
        <v>3052.4428934999996</v>
      </c>
      <c r="O26" s="11">
        <f t="shared" si="13"/>
        <v>20274325.698626999</v>
      </c>
      <c r="P26" s="11">
        <f t="shared" si="3"/>
        <v>5068581.4246567497</v>
      </c>
      <c r="Q26" s="8"/>
    </row>
    <row r="27" spans="1:17" x14ac:dyDescent="0.25">
      <c r="A27" s="8"/>
      <c r="B27" s="15" t="s">
        <v>23</v>
      </c>
      <c r="C27" s="13"/>
      <c r="D27" s="10"/>
      <c r="E27" s="10" t="s">
        <v>231</v>
      </c>
      <c r="F27" s="11"/>
      <c r="G27" s="18"/>
      <c r="H27" s="18"/>
      <c r="I27" s="18"/>
      <c r="J27" s="18"/>
      <c r="K27" s="11"/>
      <c r="L27" s="11"/>
      <c r="M27" s="11"/>
      <c r="N27" s="11"/>
      <c r="O27" s="11"/>
      <c r="P27" s="11"/>
      <c r="Q27" s="8"/>
    </row>
    <row r="28" spans="1:17" x14ac:dyDescent="0.25">
      <c r="A28" s="8"/>
      <c r="B28" s="13" t="s">
        <v>24</v>
      </c>
      <c r="C28" s="8" t="s">
        <v>248</v>
      </c>
      <c r="D28" s="10" t="s">
        <v>257</v>
      </c>
      <c r="E28" s="10" t="s">
        <v>225</v>
      </c>
      <c r="F28" s="11">
        <v>25</v>
      </c>
      <c r="G28" s="18"/>
      <c r="H28" s="18"/>
      <c r="I28" s="18"/>
      <c r="J28" s="18"/>
      <c r="K28" s="11">
        <f>'DHKK A3'!K26</f>
        <v>71267.625</v>
      </c>
      <c r="L28" s="11">
        <f>K28*25%</f>
        <v>17816.90625</v>
      </c>
      <c r="M28" s="11">
        <f>K28*10%</f>
        <v>7126.7625000000007</v>
      </c>
      <c r="N28" s="11">
        <f t="shared" ref="N28" si="19">L28*8%</f>
        <v>1425.3525</v>
      </c>
      <c r="O28" s="11">
        <f t="shared" si="13"/>
        <v>1959859.6875</v>
      </c>
      <c r="P28" s="11">
        <f t="shared" si="3"/>
        <v>481056.46875</v>
      </c>
      <c r="Q28" s="8"/>
    </row>
    <row r="29" spans="1:17" x14ac:dyDescent="0.25">
      <c r="A29" s="8"/>
      <c r="B29" s="13" t="s">
        <v>25</v>
      </c>
      <c r="C29" s="13" t="s">
        <v>249</v>
      </c>
      <c r="D29" s="10" t="s">
        <v>257</v>
      </c>
      <c r="E29" s="10" t="s">
        <v>225</v>
      </c>
      <c r="F29" s="11">
        <v>527</v>
      </c>
      <c r="G29" s="18"/>
      <c r="H29" s="18"/>
      <c r="I29" s="18"/>
      <c r="J29" s="18"/>
      <c r="K29" s="11">
        <f>'DHKK A3'!K27</f>
        <v>111486.375</v>
      </c>
      <c r="L29" s="11">
        <f t="shared" ref="L29:L35" si="20">K29*25%</f>
        <v>27871.59375</v>
      </c>
      <c r="M29" s="11">
        <f t="shared" ref="M29:M35" si="21">K29*10%</f>
        <v>11148.637500000001</v>
      </c>
      <c r="N29" s="11">
        <f t="shared" ref="N29:N40" si="22">L29*8%</f>
        <v>2229.7275</v>
      </c>
      <c r="O29" s="11">
        <f t="shared" si="13"/>
        <v>64628651.587499999</v>
      </c>
      <c r="P29" s="11">
        <f t="shared" si="3"/>
        <v>15863396.29875</v>
      </c>
      <c r="Q29" s="8"/>
    </row>
    <row r="30" spans="1:17" x14ac:dyDescent="0.25">
      <c r="A30" s="8"/>
      <c r="B30" s="13" t="s">
        <v>26</v>
      </c>
      <c r="C30" s="13" t="s">
        <v>250</v>
      </c>
      <c r="D30" s="10" t="s">
        <v>257</v>
      </c>
      <c r="E30" s="10" t="s">
        <v>225</v>
      </c>
      <c r="F30" s="11">
        <v>33</v>
      </c>
      <c r="G30" s="18"/>
      <c r="H30" s="18"/>
      <c r="I30" s="18"/>
      <c r="J30" s="18"/>
      <c r="K30" s="11">
        <f>'DHKK A3'!K28</f>
        <v>151866</v>
      </c>
      <c r="L30" s="11">
        <f t="shared" si="20"/>
        <v>37966.5</v>
      </c>
      <c r="M30" s="11">
        <f t="shared" si="21"/>
        <v>15186.6</v>
      </c>
      <c r="N30" s="11">
        <f t="shared" si="22"/>
        <v>3037.32</v>
      </c>
      <c r="O30" s="11">
        <f t="shared" si="13"/>
        <v>5512735.7999999998</v>
      </c>
      <c r="P30" s="11">
        <f t="shared" si="3"/>
        <v>1353126.06</v>
      </c>
      <c r="Q30" s="8"/>
    </row>
    <row r="31" spans="1:17" x14ac:dyDescent="0.25">
      <c r="A31" s="8"/>
      <c r="B31" s="13" t="s">
        <v>27</v>
      </c>
      <c r="C31" s="13" t="s">
        <v>251</v>
      </c>
      <c r="D31" s="10" t="s">
        <v>257</v>
      </c>
      <c r="E31" s="10" t="s">
        <v>225</v>
      </c>
      <c r="F31" s="11">
        <v>527</v>
      </c>
      <c r="G31" s="18"/>
      <c r="H31" s="18"/>
      <c r="I31" s="18"/>
      <c r="J31" s="18"/>
      <c r="K31" s="11">
        <f>'DHKK A3'!K29</f>
        <v>191602.125</v>
      </c>
      <c r="L31" s="11">
        <f t="shared" si="20"/>
        <v>47900.53125</v>
      </c>
      <c r="M31" s="11">
        <f t="shared" si="21"/>
        <v>19160.212500000001</v>
      </c>
      <c r="N31" s="11">
        <f t="shared" si="22"/>
        <v>3832.0425</v>
      </c>
      <c r="O31" s="11">
        <f t="shared" si="13"/>
        <v>111071751.8625</v>
      </c>
      <c r="P31" s="11">
        <f t="shared" si="3"/>
        <v>27263066.366250001</v>
      </c>
      <c r="Q31" s="8"/>
    </row>
    <row r="32" spans="1:17" x14ac:dyDescent="0.25">
      <c r="A32" s="8"/>
      <c r="B32" s="13" t="s">
        <v>28</v>
      </c>
      <c r="C32" s="13" t="s">
        <v>252</v>
      </c>
      <c r="D32" s="10" t="s">
        <v>257</v>
      </c>
      <c r="E32" s="10" t="s">
        <v>225</v>
      </c>
      <c r="F32" s="11">
        <v>28</v>
      </c>
      <c r="G32" s="18"/>
      <c r="H32" s="18"/>
      <c r="I32" s="18"/>
      <c r="J32" s="18"/>
      <c r="K32" s="11">
        <f>'DHKK A3'!K30</f>
        <v>3478117.5</v>
      </c>
      <c r="L32" s="11">
        <f t="shared" si="20"/>
        <v>869529.375</v>
      </c>
      <c r="M32" s="11">
        <f t="shared" si="21"/>
        <v>347811.75</v>
      </c>
      <c r="N32" s="11">
        <f t="shared" si="22"/>
        <v>69562.350000000006</v>
      </c>
      <c r="O32" s="11">
        <f t="shared" si="13"/>
        <v>107126019</v>
      </c>
      <c r="P32" s="11">
        <f t="shared" si="3"/>
        <v>26294568.300000001</v>
      </c>
      <c r="Q32" s="8"/>
    </row>
    <row r="33" spans="1:17" x14ac:dyDescent="0.25">
      <c r="A33" s="8"/>
      <c r="B33" s="13" t="s">
        <v>29</v>
      </c>
      <c r="C33" s="13" t="s">
        <v>253</v>
      </c>
      <c r="D33" s="10" t="s">
        <v>257</v>
      </c>
      <c r="E33" s="10" t="s">
        <v>225</v>
      </c>
      <c r="F33" s="11">
        <v>8</v>
      </c>
      <c r="G33" s="18"/>
      <c r="H33" s="18"/>
      <c r="I33" s="18"/>
      <c r="J33" s="18"/>
      <c r="K33" s="11">
        <f>'DHKK A3'!K31</f>
        <v>1106820</v>
      </c>
      <c r="L33" s="11">
        <f t="shared" si="20"/>
        <v>276705</v>
      </c>
      <c r="M33" s="11">
        <f t="shared" si="21"/>
        <v>110682</v>
      </c>
      <c r="N33" s="11">
        <f t="shared" si="22"/>
        <v>22136.400000000001</v>
      </c>
      <c r="O33" s="11">
        <f t="shared" si="13"/>
        <v>9740016</v>
      </c>
      <c r="P33" s="11">
        <f t="shared" si="3"/>
        <v>2390731.2000000002</v>
      </c>
      <c r="Q33" s="8"/>
    </row>
    <row r="34" spans="1:17" x14ac:dyDescent="0.25">
      <c r="A34" s="8"/>
      <c r="B34" s="13" t="s">
        <v>30</v>
      </c>
      <c r="C34" s="13" t="s">
        <v>254</v>
      </c>
      <c r="D34" s="10" t="s">
        <v>257</v>
      </c>
      <c r="E34" s="10" t="s">
        <v>225</v>
      </c>
      <c r="F34" s="11">
        <v>18</v>
      </c>
      <c r="G34" s="18"/>
      <c r="H34" s="18"/>
      <c r="I34" s="18"/>
      <c r="J34" s="18"/>
      <c r="K34" s="11">
        <f>'DHKK A3'!K32</f>
        <v>1438222.5</v>
      </c>
      <c r="L34" s="11">
        <f t="shared" si="20"/>
        <v>359555.625</v>
      </c>
      <c r="M34" s="11">
        <f t="shared" si="21"/>
        <v>143822.25</v>
      </c>
      <c r="N34" s="11">
        <f t="shared" si="22"/>
        <v>28764.45</v>
      </c>
      <c r="O34" s="11">
        <f t="shared" si="13"/>
        <v>28476805.5</v>
      </c>
      <c r="P34" s="11">
        <f t="shared" si="3"/>
        <v>6989761.3500000006</v>
      </c>
      <c r="Q34" s="8"/>
    </row>
    <row r="35" spans="1:17" x14ac:dyDescent="0.25">
      <c r="A35" s="8"/>
      <c r="B35" s="13" t="s">
        <v>31</v>
      </c>
      <c r="C35" s="13" t="s">
        <v>255</v>
      </c>
      <c r="D35" s="10" t="s">
        <v>257</v>
      </c>
      <c r="E35" s="10" t="s">
        <v>225</v>
      </c>
      <c r="F35" s="11">
        <v>28</v>
      </c>
      <c r="G35" s="18"/>
      <c r="H35" s="18"/>
      <c r="I35" s="18"/>
      <c r="J35" s="18"/>
      <c r="K35" s="11">
        <f>'DHKK A3'!K33</f>
        <v>2110680</v>
      </c>
      <c r="L35" s="11">
        <f t="shared" si="20"/>
        <v>527670</v>
      </c>
      <c r="M35" s="11">
        <f t="shared" si="21"/>
        <v>211068</v>
      </c>
      <c r="N35" s="11">
        <f t="shared" si="22"/>
        <v>42213.599999999999</v>
      </c>
      <c r="O35" s="11">
        <f t="shared" si="13"/>
        <v>65008944</v>
      </c>
      <c r="P35" s="11">
        <f t="shared" si="3"/>
        <v>15956740.799999999</v>
      </c>
      <c r="Q35" s="8"/>
    </row>
    <row r="36" spans="1:17" x14ac:dyDescent="0.25">
      <c r="A36" s="8"/>
      <c r="B36" s="40" t="s">
        <v>33</v>
      </c>
      <c r="C36" s="8" t="s">
        <v>407</v>
      </c>
      <c r="D36" s="10" t="s">
        <v>258</v>
      </c>
      <c r="E36" s="10" t="s">
        <v>227</v>
      </c>
      <c r="F36" s="11">
        <v>8</v>
      </c>
      <c r="G36" s="18">
        <f>'DHKK A3'!G35</f>
        <v>1255000</v>
      </c>
      <c r="H36" s="18"/>
      <c r="I36" s="18"/>
      <c r="J36" s="18"/>
      <c r="K36" s="11">
        <f t="shared" ref="K36:K40" si="23">G36+H36+I36+J36</f>
        <v>1255000</v>
      </c>
      <c r="L36" s="11">
        <f>'DHKK A3'!L35</f>
        <v>200000</v>
      </c>
      <c r="M36" s="11">
        <f>K36*10%</f>
        <v>125500</v>
      </c>
      <c r="N36" s="11">
        <f t="shared" si="22"/>
        <v>16000</v>
      </c>
      <c r="O36" s="11">
        <f t="shared" si="13"/>
        <v>11044000</v>
      </c>
      <c r="P36" s="11">
        <f t="shared" si="3"/>
        <v>1728000</v>
      </c>
      <c r="Q36" s="8"/>
    </row>
    <row r="37" spans="1:17" x14ac:dyDescent="0.25">
      <c r="A37" s="8"/>
      <c r="B37" s="42"/>
      <c r="C37" s="8" t="s">
        <v>408</v>
      </c>
      <c r="D37" s="10" t="s">
        <v>258</v>
      </c>
      <c r="E37" s="10" t="s">
        <v>227</v>
      </c>
      <c r="F37" s="11"/>
      <c r="G37" s="18">
        <f>'DHKK A3'!G36</f>
        <v>1637000</v>
      </c>
      <c r="H37" s="18"/>
      <c r="I37" s="18"/>
      <c r="J37" s="18"/>
      <c r="K37" s="11">
        <f t="shared" si="23"/>
        <v>1637000</v>
      </c>
      <c r="L37" s="11">
        <f>'DHKK A3'!L36</f>
        <v>200000</v>
      </c>
      <c r="M37" s="11">
        <f t="shared" ref="M37:M40" si="24">K37*10%</f>
        <v>163700</v>
      </c>
      <c r="N37" s="11">
        <f t="shared" si="22"/>
        <v>16000</v>
      </c>
      <c r="O37" s="11">
        <f t="shared" si="13"/>
        <v>0</v>
      </c>
      <c r="P37" s="11">
        <f t="shared" si="3"/>
        <v>0</v>
      </c>
      <c r="Q37" s="8"/>
    </row>
    <row r="38" spans="1:17" x14ac:dyDescent="0.25">
      <c r="A38" s="8"/>
      <c r="B38" s="41"/>
      <c r="C38" s="8" t="s">
        <v>409</v>
      </c>
      <c r="D38" s="10" t="s">
        <v>258</v>
      </c>
      <c r="E38" s="10" t="s">
        <v>227</v>
      </c>
      <c r="F38" s="11"/>
      <c r="G38" s="18">
        <f>'DHKK A3'!G37</f>
        <v>2700000</v>
      </c>
      <c r="H38" s="18"/>
      <c r="I38" s="18"/>
      <c r="J38" s="18"/>
      <c r="K38" s="11">
        <f t="shared" si="23"/>
        <v>2700000</v>
      </c>
      <c r="L38" s="11">
        <f>'DHKK A3'!L37</f>
        <v>200000</v>
      </c>
      <c r="M38" s="11">
        <f t="shared" si="24"/>
        <v>270000</v>
      </c>
      <c r="N38" s="11">
        <f t="shared" si="22"/>
        <v>16000</v>
      </c>
      <c r="O38" s="11">
        <f t="shared" si="13"/>
        <v>0</v>
      </c>
      <c r="P38" s="11">
        <f t="shared" si="3"/>
        <v>0</v>
      </c>
      <c r="Q38" s="8"/>
    </row>
    <row r="39" spans="1:17" x14ac:dyDescent="0.25">
      <c r="A39" s="8"/>
      <c r="B39" s="40" t="s">
        <v>34</v>
      </c>
      <c r="C39" s="8" t="s">
        <v>406</v>
      </c>
      <c r="D39" s="10" t="s">
        <v>258</v>
      </c>
      <c r="E39" s="10" t="s">
        <v>227</v>
      </c>
      <c r="F39" s="11">
        <v>1</v>
      </c>
      <c r="G39" s="18">
        <f>'DHKK A3'!G38</f>
        <v>1746000</v>
      </c>
      <c r="H39" s="18"/>
      <c r="I39" s="18"/>
      <c r="J39" s="18"/>
      <c r="K39" s="11">
        <f t="shared" si="23"/>
        <v>1746000</v>
      </c>
      <c r="L39" s="11">
        <f>'DHKK A3'!L38</f>
        <v>500000</v>
      </c>
      <c r="M39" s="11">
        <f t="shared" si="24"/>
        <v>174600</v>
      </c>
      <c r="N39" s="11">
        <f t="shared" si="22"/>
        <v>40000</v>
      </c>
      <c r="O39" s="11">
        <f t="shared" si="13"/>
        <v>1920600</v>
      </c>
      <c r="P39" s="11">
        <f t="shared" si="3"/>
        <v>540000</v>
      </c>
      <c r="Q39" s="8"/>
    </row>
    <row r="40" spans="1:17" x14ac:dyDescent="0.25">
      <c r="A40" s="8"/>
      <c r="B40" s="41"/>
      <c r="C40" s="8" t="s">
        <v>405</v>
      </c>
      <c r="D40" s="10" t="s">
        <v>258</v>
      </c>
      <c r="E40" s="10" t="s">
        <v>227</v>
      </c>
      <c r="F40" s="11"/>
      <c r="G40" s="18">
        <f>'DHKK A3'!G39</f>
        <v>3383000</v>
      </c>
      <c r="H40" s="18"/>
      <c r="I40" s="18"/>
      <c r="J40" s="18"/>
      <c r="K40" s="11">
        <f t="shared" si="23"/>
        <v>3383000</v>
      </c>
      <c r="L40" s="11">
        <f>'DHKK A3'!L39</f>
        <v>500000</v>
      </c>
      <c r="M40" s="11">
        <f t="shared" si="24"/>
        <v>338300</v>
      </c>
      <c r="N40" s="11">
        <f t="shared" si="22"/>
        <v>40000</v>
      </c>
      <c r="O40" s="11">
        <f t="shared" si="13"/>
        <v>0</v>
      </c>
      <c r="P40" s="11">
        <f t="shared" si="3"/>
        <v>0</v>
      </c>
      <c r="Q40" s="8"/>
    </row>
    <row r="41" spans="1:17" x14ac:dyDescent="0.25">
      <c r="A41" s="8"/>
      <c r="B41" s="13" t="s">
        <v>14</v>
      </c>
      <c r="C41" s="8"/>
      <c r="D41" s="10" t="s">
        <v>259</v>
      </c>
      <c r="E41" s="10" t="s">
        <v>226</v>
      </c>
      <c r="F41" s="11">
        <v>1</v>
      </c>
      <c r="G41" s="18"/>
      <c r="H41" s="18"/>
      <c r="I41" s="18"/>
      <c r="J41" s="18"/>
      <c r="K41" s="11">
        <f>SUM(O28:O35)*20%</f>
        <v>78704956.6875</v>
      </c>
      <c r="L41" s="11">
        <f t="shared" ref="L41" si="25">K41*25%</f>
        <v>19676239.171875</v>
      </c>
      <c r="M41" s="11">
        <f t="shared" ref="M41" si="26">K41*10%</f>
        <v>7870495.6687500002</v>
      </c>
      <c r="N41" s="11">
        <f t="shared" ref="N41" si="27">L41*8%</f>
        <v>1574099.13375</v>
      </c>
      <c r="O41" s="11">
        <f t="shared" si="13"/>
        <v>86575452.356250003</v>
      </c>
      <c r="P41" s="11">
        <f t="shared" si="3"/>
        <v>21250338.305624999</v>
      </c>
      <c r="Q41" s="8"/>
    </row>
    <row r="42" spans="1:17" ht="31.5" x14ac:dyDescent="0.25">
      <c r="A42" s="8"/>
      <c r="B42" s="15" t="s">
        <v>35</v>
      </c>
      <c r="C42" s="8"/>
      <c r="D42" s="10"/>
      <c r="E42" s="10" t="s">
        <v>231</v>
      </c>
      <c r="F42" s="11"/>
      <c r="G42" s="18"/>
      <c r="H42" s="18"/>
      <c r="I42" s="18"/>
      <c r="J42" s="18"/>
      <c r="K42" s="11"/>
      <c r="L42" s="11"/>
      <c r="M42" s="11"/>
      <c r="N42" s="11"/>
      <c r="O42" s="11"/>
      <c r="P42" s="11"/>
      <c r="Q42" s="8"/>
    </row>
    <row r="43" spans="1:17" ht="31.5" x14ac:dyDescent="0.25">
      <c r="A43" s="8"/>
      <c r="B43" s="13" t="s">
        <v>36</v>
      </c>
      <c r="C43" s="8" t="str">
        <f>'DHKK A3'!C42</f>
        <v>Cách nhiệt ống Ø6.35 dày 20mm</v>
      </c>
      <c r="D43" s="19" t="s">
        <v>391</v>
      </c>
      <c r="E43" s="10" t="s">
        <v>225</v>
      </c>
      <c r="F43" s="11">
        <v>25</v>
      </c>
      <c r="G43" s="18"/>
      <c r="H43" s="18"/>
      <c r="I43" s="18"/>
      <c r="J43" s="18"/>
      <c r="K43" s="11">
        <f>'DHKK A3'!K42</f>
        <v>70145.399999999994</v>
      </c>
      <c r="L43" s="11">
        <f>K43*25%</f>
        <v>17536.349999999999</v>
      </c>
      <c r="M43" s="11">
        <f t="shared" ref="M43:N50" si="28">K43*8%</f>
        <v>5611.6319999999996</v>
      </c>
      <c r="N43" s="11">
        <f t="shared" si="28"/>
        <v>1402.9079999999999</v>
      </c>
      <c r="O43" s="11">
        <f t="shared" si="13"/>
        <v>1893925.7999999998</v>
      </c>
      <c r="P43" s="11">
        <f t="shared" si="3"/>
        <v>473481.44999999995</v>
      </c>
      <c r="Q43" s="8"/>
    </row>
    <row r="44" spans="1:17" ht="31.5" x14ac:dyDescent="0.25">
      <c r="A44" s="8"/>
      <c r="B44" s="13" t="s">
        <v>37</v>
      </c>
      <c r="C44" s="8" t="str">
        <f>'DHKK A3'!C43</f>
        <v>Cách nhiệt ống Ø9.5 dày 20mm</v>
      </c>
      <c r="D44" s="19" t="s">
        <v>391</v>
      </c>
      <c r="E44" s="10" t="s">
        <v>225</v>
      </c>
      <c r="F44" s="11">
        <v>527</v>
      </c>
      <c r="G44" s="18"/>
      <c r="H44" s="18"/>
      <c r="I44" s="18"/>
      <c r="J44" s="18"/>
      <c r="K44" s="11">
        <f>'DHKK A3'!K43</f>
        <v>79474.2</v>
      </c>
      <c r="L44" s="11">
        <f t="shared" ref="L44:L50" si="29">K44*25%</f>
        <v>19868.55</v>
      </c>
      <c r="M44" s="11">
        <f t="shared" si="28"/>
        <v>6357.9359999999997</v>
      </c>
      <c r="N44" s="11">
        <f t="shared" si="28"/>
        <v>1589.4839999999999</v>
      </c>
      <c r="O44" s="11">
        <f t="shared" si="13"/>
        <v>45233535.671999998</v>
      </c>
      <c r="P44" s="11">
        <f t="shared" si="3"/>
        <v>11308383.918</v>
      </c>
      <c r="Q44" s="8"/>
    </row>
    <row r="45" spans="1:17" ht="31.5" x14ac:dyDescent="0.25">
      <c r="A45" s="8"/>
      <c r="B45" s="13" t="s">
        <v>38</v>
      </c>
      <c r="C45" s="8" t="str">
        <f>'DHKK A3'!C44</f>
        <v>Cách nhiệt ống Ø12.7 dày 20mm</v>
      </c>
      <c r="D45" s="19" t="s">
        <v>391</v>
      </c>
      <c r="E45" s="10" t="s">
        <v>225</v>
      </c>
      <c r="F45" s="11">
        <v>33</v>
      </c>
      <c r="G45" s="18"/>
      <c r="H45" s="18"/>
      <c r="I45" s="18"/>
      <c r="J45" s="18"/>
      <c r="K45" s="11">
        <f>'DHKK A3'!K44</f>
        <v>87726.6</v>
      </c>
      <c r="L45" s="11">
        <f t="shared" si="29"/>
        <v>21931.65</v>
      </c>
      <c r="M45" s="11">
        <f t="shared" si="28"/>
        <v>7018.1280000000006</v>
      </c>
      <c r="N45" s="11">
        <f t="shared" si="28"/>
        <v>1754.5320000000002</v>
      </c>
      <c r="O45" s="11">
        <f t="shared" si="13"/>
        <v>3126576.0240000002</v>
      </c>
      <c r="P45" s="11">
        <f t="shared" si="3"/>
        <v>781644.00600000005</v>
      </c>
      <c r="Q45" s="8"/>
    </row>
    <row r="46" spans="1:17" ht="31.5" x14ac:dyDescent="0.25">
      <c r="A46" s="8"/>
      <c r="B46" s="13" t="s">
        <v>39</v>
      </c>
      <c r="C46" s="8" t="str">
        <f>'DHKK A3'!C45</f>
        <v>Cách nhiệt ống Ø15.9 dày 20mm</v>
      </c>
      <c r="D46" s="19" t="s">
        <v>391</v>
      </c>
      <c r="E46" s="10" t="s">
        <v>225</v>
      </c>
      <c r="F46" s="11">
        <v>527</v>
      </c>
      <c r="G46" s="18"/>
      <c r="H46" s="18"/>
      <c r="I46" s="18"/>
      <c r="J46" s="18"/>
      <c r="K46" s="11">
        <f>'DHKK A3'!K45</f>
        <v>92032.2</v>
      </c>
      <c r="L46" s="11">
        <f t="shared" si="29"/>
        <v>23008.05</v>
      </c>
      <c r="M46" s="11">
        <f t="shared" si="28"/>
        <v>7362.576</v>
      </c>
      <c r="N46" s="11">
        <f t="shared" si="28"/>
        <v>1840.644</v>
      </c>
      <c r="O46" s="11">
        <f t="shared" si="13"/>
        <v>52381046.952</v>
      </c>
      <c r="P46" s="11">
        <f t="shared" si="3"/>
        <v>13095261.738</v>
      </c>
      <c r="Q46" s="8"/>
    </row>
    <row r="47" spans="1:17" ht="31.5" x14ac:dyDescent="0.25">
      <c r="A47" s="8"/>
      <c r="B47" s="13" t="s">
        <v>40</v>
      </c>
      <c r="C47" s="8" t="str">
        <f>'DHKK A3'!C46</f>
        <v>Cách nhiệt ống Ø19.1 dày 20mm</v>
      </c>
      <c r="D47" s="19" t="s">
        <v>391</v>
      </c>
      <c r="E47" s="10" t="s">
        <v>225</v>
      </c>
      <c r="F47" s="11">
        <v>28</v>
      </c>
      <c r="G47" s="18"/>
      <c r="H47" s="18"/>
      <c r="I47" s="18"/>
      <c r="J47" s="18"/>
      <c r="K47" s="11">
        <f>'DHKK A3'!K46</f>
        <v>106778.87999999999</v>
      </c>
      <c r="L47" s="11">
        <f t="shared" si="29"/>
        <v>26694.719999999998</v>
      </c>
      <c r="M47" s="11">
        <f t="shared" si="28"/>
        <v>8542.3103999999985</v>
      </c>
      <c r="N47" s="11">
        <f t="shared" si="28"/>
        <v>2135.5775999999996</v>
      </c>
      <c r="O47" s="11">
        <f t="shared" si="13"/>
        <v>3228993.3311999999</v>
      </c>
      <c r="P47" s="11">
        <f t="shared" si="3"/>
        <v>807248.33279999997</v>
      </c>
      <c r="Q47" s="8"/>
    </row>
    <row r="48" spans="1:17" ht="31.5" x14ac:dyDescent="0.25">
      <c r="A48" s="8"/>
      <c r="B48" s="13" t="s">
        <v>41</v>
      </c>
      <c r="C48" s="8" t="str">
        <f>'DHKK A3'!C47</f>
        <v>Cách nhiệt ống Ø22.2 dày 20mm</v>
      </c>
      <c r="D48" s="19" t="s">
        <v>391</v>
      </c>
      <c r="E48" s="10" t="s">
        <v>225</v>
      </c>
      <c r="F48" s="11">
        <v>8</v>
      </c>
      <c r="G48" s="18"/>
      <c r="H48" s="18"/>
      <c r="I48" s="18"/>
      <c r="J48" s="18"/>
      <c r="K48" s="11">
        <f>'DHKK A3'!K47</f>
        <v>118404</v>
      </c>
      <c r="L48" s="11">
        <f t="shared" si="29"/>
        <v>29601</v>
      </c>
      <c r="M48" s="11">
        <f t="shared" si="28"/>
        <v>9472.32</v>
      </c>
      <c r="N48" s="11">
        <f t="shared" si="28"/>
        <v>2368.08</v>
      </c>
      <c r="O48" s="11">
        <f t="shared" si="13"/>
        <v>1023010.56</v>
      </c>
      <c r="P48" s="11">
        <f t="shared" si="3"/>
        <v>255752.64</v>
      </c>
      <c r="Q48" s="8"/>
    </row>
    <row r="49" spans="1:17" ht="31.5" x14ac:dyDescent="0.25">
      <c r="A49" s="8"/>
      <c r="B49" s="13" t="s">
        <v>42</v>
      </c>
      <c r="C49" s="8" t="str">
        <f>'DHKK A3'!C48</f>
        <v>Cách nhiệt ống Ø28.6 dày 20mm</v>
      </c>
      <c r="D49" s="19" t="s">
        <v>391</v>
      </c>
      <c r="E49" s="10" t="s">
        <v>225</v>
      </c>
      <c r="F49" s="11">
        <v>18</v>
      </c>
      <c r="G49" s="18"/>
      <c r="H49" s="18"/>
      <c r="I49" s="18"/>
      <c r="J49" s="18"/>
      <c r="K49" s="11">
        <f>'DHKK A3'!K48</f>
        <v>126512.88</v>
      </c>
      <c r="L49" s="11">
        <f t="shared" si="29"/>
        <v>31628.22</v>
      </c>
      <c r="M49" s="11">
        <f t="shared" si="28"/>
        <v>10121.030400000001</v>
      </c>
      <c r="N49" s="11">
        <f t="shared" si="28"/>
        <v>2530.2576000000004</v>
      </c>
      <c r="O49" s="11">
        <f t="shared" si="13"/>
        <v>2459410.3871999998</v>
      </c>
      <c r="P49" s="11">
        <f t="shared" si="3"/>
        <v>614852.59679999994</v>
      </c>
      <c r="Q49" s="8"/>
    </row>
    <row r="50" spans="1:17" ht="31.5" x14ac:dyDescent="0.25">
      <c r="A50" s="8"/>
      <c r="B50" s="13" t="s">
        <v>43</v>
      </c>
      <c r="C50" s="8" t="str">
        <f>'DHKK A3'!C49</f>
        <v>Cách nhiệt ống Ø34.9 dày 20mm</v>
      </c>
      <c r="D50" s="19" t="s">
        <v>391</v>
      </c>
      <c r="E50" s="10" t="s">
        <v>225</v>
      </c>
      <c r="F50" s="11">
        <v>28</v>
      </c>
      <c r="G50" s="18"/>
      <c r="H50" s="18"/>
      <c r="I50" s="18"/>
      <c r="J50" s="18"/>
      <c r="K50" s="11">
        <f>'DHKK A3'!K49</f>
        <v>136918.07999999999</v>
      </c>
      <c r="L50" s="11">
        <f t="shared" si="29"/>
        <v>34229.519999999997</v>
      </c>
      <c r="M50" s="11">
        <f t="shared" si="28"/>
        <v>10953.446399999999</v>
      </c>
      <c r="N50" s="11">
        <f t="shared" si="28"/>
        <v>2738.3615999999997</v>
      </c>
      <c r="O50" s="11">
        <f t="shared" si="13"/>
        <v>4140402.7391999993</v>
      </c>
      <c r="P50" s="11">
        <f t="shared" si="3"/>
        <v>1035100.6847999998</v>
      </c>
      <c r="Q50" s="8"/>
    </row>
    <row r="51" spans="1:17" x14ac:dyDescent="0.25">
      <c r="A51" s="8"/>
      <c r="B51" s="9" t="s">
        <v>45</v>
      </c>
      <c r="C51" s="8"/>
      <c r="D51" s="8"/>
      <c r="E51" s="10" t="s">
        <v>231</v>
      </c>
      <c r="F51" s="11"/>
      <c r="G51" s="18"/>
      <c r="H51" s="18"/>
      <c r="I51" s="18"/>
      <c r="J51" s="18"/>
      <c r="K51" s="11"/>
      <c r="L51" s="11"/>
      <c r="M51" s="11"/>
      <c r="N51" s="11"/>
      <c r="O51" s="11"/>
      <c r="P51" s="11"/>
      <c r="Q51" s="8"/>
    </row>
    <row r="52" spans="1:17" x14ac:dyDescent="0.25">
      <c r="A52" s="8"/>
      <c r="B52" s="14" t="s">
        <v>46</v>
      </c>
      <c r="C52" s="8"/>
      <c r="D52" s="8"/>
      <c r="E52" s="10" t="s">
        <v>231</v>
      </c>
      <c r="F52" s="11"/>
      <c r="G52" s="18"/>
      <c r="H52" s="18"/>
      <c r="I52" s="18"/>
      <c r="J52" s="18"/>
      <c r="K52" s="11"/>
      <c r="L52" s="11"/>
      <c r="M52" s="11"/>
      <c r="N52" s="11"/>
      <c r="O52" s="11"/>
      <c r="P52" s="11"/>
      <c r="Q52" s="8"/>
    </row>
    <row r="53" spans="1:17" ht="31.5" x14ac:dyDescent="0.25">
      <c r="A53" s="8"/>
      <c r="B53" s="14" t="s">
        <v>48</v>
      </c>
      <c r="C53" s="8"/>
      <c r="D53" s="8"/>
      <c r="E53" s="10" t="s">
        <v>225</v>
      </c>
      <c r="F53" s="11">
        <v>5</v>
      </c>
      <c r="G53" s="18"/>
      <c r="H53" s="18"/>
      <c r="I53" s="18"/>
      <c r="J53" s="18"/>
      <c r="K53" s="11"/>
      <c r="L53" s="11"/>
      <c r="M53" s="11"/>
      <c r="N53" s="11"/>
      <c r="O53" s="11"/>
      <c r="P53" s="11"/>
      <c r="Q53" s="8"/>
    </row>
    <row r="54" spans="1:17" ht="31.5" x14ac:dyDescent="0.25">
      <c r="A54" s="8"/>
      <c r="B54" s="14" t="s">
        <v>49</v>
      </c>
      <c r="C54" s="8"/>
      <c r="D54" s="8"/>
      <c r="E54" s="10" t="s">
        <v>225</v>
      </c>
      <c r="F54" s="11">
        <v>14</v>
      </c>
      <c r="G54" s="18"/>
      <c r="H54" s="18"/>
      <c r="I54" s="18"/>
      <c r="J54" s="18"/>
      <c r="K54" s="11"/>
      <c r="L54" s="11"/>
      <c r="M54" s="11"/>
      <c r="N54" s="11"/>
      <c r="O54" s="11"/>
      <c r="P54" s="11"/>
      <c r="Q54" s="8"/>
    </row>
    <row r="55" spans="1:17" ht="31.5" x14ac:dyDescent="0.25">
      <c r="A55" s="8"/>
      <c r="B55" s="14" t="s">
        <v>50</v>
      </c>
      <c r="C55" s="8"/>
      <c r="D55" s="8"/>
      <c r="E55" s="10" t="s">
        <v>225</v>
      </c>
      <c r="F55" s="11">
        <v>32</v>
      </c>
      <c r="G55" s="18"/>
      <c r="H55" s="18"/>
      <c r="I55" s="18"/>
      <c r="J55" s="18"/>
      <c r="K55" s="11"/>
      <c r="L55" s="11"/>
      <c r="M55" s="11"/>
      <c r="N55" s="11"/>
      <c r="O55" s="11"/>
      <c r="P55" s="11"/>
      <c r="Q55" s="8"/>
    </row>
    <row r="56" spans="1:17" ht="31.5" x14ac:dyDescent="0.25">
      <c r="A56" s="8"/>
      <c r="B56" s="14" t="s">
        <v>52</v>
      </c>
      <c r="C56" s="8"/>
      <c r="D56" s="8"/>
      <c r="E56" s="10" t="s">
        <v>225</v>
      </c>
      <c r="F56" s="11">
        <v>5</v>
      </c>
      <c r="G56" s="18"/>
      <c r="H56" s="18"/>
      <c r="I56" s="18"/>
      <c r="J56" s="18"/>
      <c r="K56" s="11"/>
      <c r="L56" s="11"/>
      <c r="M56" s="11"/>
      <c r="N56" s="11"/>
      <c r="O56" s="11"/>
      <c r="P56" s="11"/>
      <c r="Q56" s="8"/>
    </row>
    <row r="57" spans="1:17" ht="31.5" x14ac:dyDescent="0.25">
      <c r="A57" s="8"/>
      <c r="B57" s="14" t="s">
        <v>53</v>
      </c>
      <c r="C57" s="8"/>
      <c r="D57" s="8"/>
      <c r="E57" s="10" t="s">
        <v>225</v>
      </c>
      <c r="F57" s="11">
        <v>21</v>
      </c>
      <c r="G57" s="18"/>
      <c r="H57" s="18"/>
      <c r="I57" s="18"/>
      <c r="J57" s="18"/>
      <c r="K57" s="11"/>
      <c r="L57" s="11"/>
      <c r="M57" s="11"/>
      <c r="N57" s="11"/>
      <c r="O57" s="11"/>
      <c r="P57" s="11"/>
      <c r="Q57" s="8"/>
    </row>
    <row r="58" spans="1:17" ht="31.5" x14ac:dyDescent="0.25">
      <c r="A58" s="8"/>
      <c r="B58" s="14" t="s">
        <v>54</v>
      </c>
      <c r="C58" s="8"/>
      <c r="D58" s="8"/>
      <c r="E58" s="10" t="s">
        <v>225</v>
      </c>
      <c r="F58" s="11">
        <v>80</v>
      </c>
      <c r="G58" s="18"/>
      <c r="H58" s="18"/>
      <c r="I58" s="18"/>
      <c r="J58" s="18"/>
      <c r="K58" s="11"/>
      <c r="L58" s="11"/>
      <c r="M58" s="11"/>
      <c r="N58" s="11"/>
      <c r="O58" s="11"/>
      <c r="P58" s="11"/>
      <c r="Q58" s="8"/>
    </row>
    <row r="59" spans="1:17" ht="31.5" x14ac:dyDescent="0.25">
      <c r="A59" s="8"/>
      <c r="B59" s="14" t="s">
        <v>56</v>
      </c>
      <c r="C59" s="8"/>
      <c r="D59" s="8"/>
      <c r="E59" s="10" t="s">
        <v>225</v>
      </c>
      <c r="F59" s="11">
        <v>17</v>
      </c>
      <c r="G59" s="18"/>
      <c r="H59" s="18"/>
      <c r="I59" s="18"/>
      <c r="J59" s="18"/>
      <c r="K59" s="11"/>
      <c r="L59" s="11"/>
      <c r="M59" s="11"/>
      <c r="N59" s="11"/>
      <c r="O59" s="11"/>
      <c r="P59" s="11"/>
      <c r="Q59" s="8"/>
    </row>
    <row r="60" spans="1:17" ht="31.5" x14ac:dyDescent="0.25">
      <c r="A60" s="8"/>
      <c r="B60" s="14" t="s">
        <v>57</v>
      </c>
      <c r="C60" s="8"/>
      <c r="D60" s="8"/>
      <c r="E60" s="10" t="s">
        <v>225</v>
      </c>
      <c r="F60" s="11">
        <v>54</v>
      </c>
      <c r="G60" s="18"/>
      <c r="H60" s="18"/>
      <c r="I60" s="18"/>
      <c r="J60" s="18"/>
      <c r="K60" s="11"/>
      <c r="L60" s="11"/>
      <c r="M60" s="11"/>
      <c r="N60" s="11"/>
      <c r="O60" s="11"/>
      <c r="P60" s="11"/>
      <c r="Q60" s="8"/>
    </row>
    <row r="61" spans="1:17" ht="31.5" x14ac:dyDescent="0.25">
      <c r="A61" s="8"/>
      <c r="B61" s="14" t="s">
        <v>270</v>
      </c>
      <c r="C61" s="8"/>
      <c r="D61" s="8"/>
      <c r="E61" s="10" t="s">
        <v>225</v>
      </c>
      <c r="F61" s="11">
        <v>25</v>
      </c>
      <c r="G61" s="18"/>
      <c r="H61" s="18"/>
      <c r="I61" s="18"/>
      <c r="J61" s="18"/>
      <c r="K61" s="11"/>
      <c r="L61" s="11"/>
      <c r="M61" s="11"/>
      <c r="N61" s="11"/>
      <c r="O61" s="11"/>
      <c r="P61" s="11"/>
      <c r="Q61" s="8"/>
    </row>
    <row r="62" spans="1:17" ht="31.5" x14ac:dyDescent="0.25">
      <c r="A62" s="8"/>
      <c r="B62" s="14" t="s">
        <v>271</v>
      </c>
      <c r="C62" s="8"/>
      <c r="D62" s="8"/>
      <c r="E62" s="10" t="s">
        <v>225</v>
      </c>
      <c r="F62" s="11">
        <v>20</v>
      </c>
      <c r="G62" s="18"/>
      <c r="H62" s="18"/>
      <c r="I62" s="18"/>
      <c r="J62" s="18"/>
      <c r="K62" s="11"/>
      <c r="L62" s="11"/>
      <c r="M62" s="11"/>
      <c r="N62" s="11"/>
      <c r="O62" s="11"/>
      <c r="P62" s="11"/>
      <c r="Q62" s="8"/>
    </row>
    <row r="63" spans="1:17" ht="31.5" x14ac:dyDescent="0.25">
      <c r="A63" s="8"/>
      <c r="B63" s="14" t="s">
        <v>272</v>
      </c>
      <c r="C63" s="8"/>
      <c r="D63" s="8"/>
      <c r="E63" s="10" t="s">
        <v>225</v>
      </c>
      <c r="F63" s="11">
        <v>13</v>
      </c>
      <c r="G63" s="18"/>
      <c r="H63" s="18"/>
      <c r="I63" s="18"/>
      <c r="J63" s="18"/>
      <c r="K63" s="11"/>
      <c r="L63" s="11"/>
      <c r="M63" s="11"/>
      <c r="N63" s="11"/>
      <c r="O63" s="11"/>
      <c r="P63" s="11"/>
      <c r="Q63" s="8"/>
    </row>
    <row r="64" spans="1:17" x14ac:dyDescent="0.25">
      <c r="A64" s="8"/>
      <c r="B64" s="14" t="s">
        <v>64</v>
      </c>
      <c r="C64" s="8"/>
      <c r="D64" s="8"/>
      <c r="E64" s="10" t="s">
        <v>225</v>
      </c>
      <c r="F64" s="11">
        <v>20</v>
      </c>
      <c r="G64" s="18"/>
      <c r="H64" s="18"/>
      <c r="I64" s="18"/>
      <c r="J64" s="18"/>
      <c r="K64" s="11"/>
      <c r="L64" s="11"/>
      <c r="M64" s="11"/>
      <c r="N64" s="11"/>
      <c r="O64" s="11"/>
      <c r="P64" s="11"/>
      <c r="Q64" s="8"/>
    </row>
    <row r="65" spans="1:17" x14ac:dyDescent="0.25">
      <c r="A65" s="8"/>
      <c r="B65" s="14" t="s">
        <v>65</v>
      </c>
      <c r="C65" s="8"/>
      <c r="D65" s="8"/>
      <c r="E65" s="10" t="s">
        <v>225</v>
      </c>
      <c r="F65" s="11">
        <v>38</v>
      </c>
      <c r="G65" s="18"/>
      <c r="H65" s="18"/>
      <c r="I65" s="18"/>
      <c r="J65" s="18"/>
      <c r="K65" s="11"/>
      <c r="L65" s="11"/>
      <c r="M65" s="11"/>
      <c r="N65" s="11"/>
      <c r="O65" s="11"/>
      <c r="P65" s="11"/>
      <c r="Q65" s="8"/>
    </row>
    <row r="66" spans="1:17" x14ac:dyDescent="0.25">
      <c r="A66" s="8"/>
      <c r="B66" s="14" t="s">
        <v>66</v>
      </c>
      <c r="C66" s="8"/>
      <c r="D66" s="8"/>
      <c r="E66" s="10" t="s">
        <v>228</v>
      </c>
      <c r="F66" s="11">
        <v>1</v>
      </c>
      <c r="G66" s="18"/>
      <c r="H66" s="18"/>
      <c r="I66" s="18"/>
      <c r="J66" s="18"/>
      <c r="K66" s="11"/>
      <c r="L66" s="11"/>
      <c r="M66" s="11"/>
      <c r="N66" s="11"/>
      <c r="O66" s="11"/>
      <c r="P66" s="11"/>
      <c r="Q66" s="8"/>
    </row>
    <row r="67" spans="1:17" x14ac:dyDescent="0.25">
      <c r="A67" s="8"/>
      <c r="B67" s="14" t="s">
        <v>67</v>
      </c>
      <c r="C67" s="8"/>
      <c r="D67" s="8"/>
      <c r="E67" s="10" t="s">
        <v>231</v>
      </c>
      <c r="F67" s="11"/>
      <c r="G67" s="18"/>
      <c r="H67" s="18"/>
      <c r="I67" s="18"/>
      <c r="J67" s="18"/>
      <c r="K67" s="11"/>
      <c r="L67" s="11"/>
      <c r="M67" s="11"/>
      <c r="N67" s="11"/>
      <c r="O67" s="11"/>
      <c r="P67" s="11"/>
      <c r="Q67" s="8"/>
    </row>
    <row r="68" spans="1:17" ht="31.5" x14ac:dyDescent="0.25">
      <c r="A68" s="8"/>
      <c r="B68" s="12" t="s">
        <v>69</v>
      </c>
      <c r="C68" s="8"/>
      <c r="D68" s="8"/>
      <c r="E68" s="10" t="s">
        <v>225</v>
      </c>
      <c r="F68" s="11">
        <v>55</v>
      </c>
      <c r="G68" s="18"/>
      <c r="H68" s="18"/>
      <c r="I68" s="18"/>
      <c r="J68" s="18"/>
      <c r="K68" s="11"/>
      <c r="L68" s="11"/>
      <c r="M68" s="11"/>
      <c r="N68" s="11"/>
      <c r="O68" s="11"/>
      <c r="P68" s="11"/>
      <c r="Q68" s="8"/>
    </row>
    <row r="69" spans="1:17" ht="31.5" x14ac:dyDescent="0.25">
      <c r="A69" s="8"/>
      <c r="B69" s="12" t="s">
        <v>273</v>
      </c>
      <c r="C69" s="8"/>
      <c r="D69" s="8"/>
      <c r="E69" s="10" t="s">
        <v>225</v>
      </c>
      <c r="F69" s="11">
        <v>140</v>
      </c>
      <c r="G69" s="18"/>
      <c r="H69" s="18"/>
      <c r="I69" s="18"/>
      <c r="J69" s="18"/>
      <c r="K69" s="11"/>
      <c r="L69" s="11"/>
      <c r="M69" s="11"/>
      <c r="N69" s="11"/>
      <c r="O69" s="11"/>
      <c r="P69" s="11"/>
      <c r="Q69" s="8"/>
    </row>
    <row r="70" spans="1:17" ht="31.5" x14ac:dyDescent="0.25">
      <c r="A70" s="8"/>
      <c r="B70" s="12" t="s">
        <v>274</v>
      </c>
      <c r="C70" s="8"/>
      <c r="D70" s="8"/>
      <c r="E70" s="10" t="s">
        <v>225</v>
      </c>
      <c r="F70" s="11">
        <v>15</v>
      </c>
      <c r="G70" s="18"/>
      <c r="H70" s="18"/>
      <c r="I70" s="18"/>
      <c r="J70" s="18"/>
      <c r="K70" s="11"/>
      <c r="L70" s="11"/>
      <c r="M70" s="11"/>
      <c r="N70" s="11"/>
      <c r="O70" s="11"/>
      <c r="P70" s="11"/>
      <c r="Q70" s="8"/>
    </row>
    <row r="71" spans="1:17" ht="31.5" x14ac:dyDescent="0.25">
      <c r="A71" s="8"/>
      <c r="B71" s="12" t="s">
        <v>275</v>
      </c>
      <c r="C71" s="8"/>
      <c r="D71" s="8"/>
      <c r="E71" s="10" t="s">
        <v>225</v>
      </c>
      <c r="F71" s="11">
        <v>10</v>
      </c>
      <c r="G71" s="18"/>
      <c r="H71" s="18"/>
      <c r="I71" s="18"/>
      <c r="J71" s="18"/>
      <c r="K71" s="11"/>
      <c r="L71" s="11"/>
      <c r="M71" s="11"/>
      <c r="N71" s="11"/>
      <c r="O71" s="11"/>
      <c r="P71" s="11"/>
      <c r="Q71" s="8"/>
    </row>
    <row r="72" spans="1:17" x14ac:dyDescent="0.25">
      <c r="A72" s="8"/>
      <c r="B72" s="12" t="s">
        <v>66</v>
      </c>
      <c r="C72" s="8"/>
      <c r="D72" s="8"/>
      <c r="E72" s="10" t="s">
        <v>228</v>
      </c>
      <c r="F72" s="11">
        <v>1</v>
      </c>
      <c r="G72" s="18"/>
      <c r="H72" s="18"/>
      <c r="I72" s="18"/>
      <c r="J72" s="18"/>
      <c r="K72" s="11"/>
      <c r="L72" s="11"/>
      <c r="M72" s="11"/>
      <c r="N72" s="11"/>
      <c r="O72" s="11"/>
      <c r="P72" s="11"/>
      <c r="Q72" s="8"/>
    </row>
    <row r="73" spans="1:17" x14ac:dyDescent="0.25">
      <c r="A73" s="8"/>
      <c r="B73" s="14" t="s">
        <v>74</v>
      </c>
      <c r="C73" s="8"/>
      <c r="D73" s="8"/>
      <c r="E73" s="10" t="s">
        <v>231</v>
      </c>
      <c r="F73" s="11"/>
      <c r="G73" s="18"/>
      <c r="H73" s="18"/>
      <c r="I73" s="18"/>
      <c r="J73" s="18"/>
      <c r="K73" s="11"/>
      <c r="L73" s="11"/>
      <c r="M73" s="11"/>
      <c r="N73" s="11"/>
      <c r="O73" s="11"/>
      <c r="P73" s="11"/>
      <c r="Q73" s="8"/>
    </row>
    <row r="74" spans="1:17" ht="31.5" x14ac:dyDescent="0.25">
      <c r="A74" s="8"/>
      <c r="B74" s="12" t="s">
        <v>276</v>
      </c>
      <c r="C74" s="8"/>
      <c r="D74" s="8"/>
      <c r="E74" s="10" t="s">
        <v>225</v>
      </c>
      <c r="F74" s="11">
        <v>10</v>
      </c>
      <c r="G74" s="18"/>
      <c r="H74" s="18"/>
      <c r="I74" s="18"/>
      <c r="J74" s="18"/>
      <c r="K74" s="11"/>
      <c r="L74" s="11"/>
      <c r="M74" s="11"/>
      <c r="N74" s="11"/>
      <c r="O74" s="11"/>
      <c r="P74" s="11"/>
      <c r="Q74" s="8"/>
    </row>
    <row r="75" spans="1:17" ht="31.5" x14ac:dyDescent="0.25">
      <c r="A75" s="8"/>
      <c r="B75" s="12" t="s">
        <v>77</v>
      </c>
      <c r="C75" s="8"/>
      <c r="D75" s="8"/>
      <c r="E75" s="10" t="s">
        <v>225</v>
      </c>
      <c r="F75" s="11">
        <v>82</v>
      </c>
      <c r="G75" s="18"/>
      <c r="H75" s="18"/>
      <c r="I75" s="18"/>
      <c r="J75" s="18"/>
      <c r="K75" s="11"/>
      <c r="L75" s="11"/>
      <c r="M75" s="11"/>
      <c r="N75" s="11"/>
      <c r="O75" s="11"/>
      <c r="P75" s="11"/>
      <c r="Q75" s="8"/>
    </row>
    <row r="76" spans="1:17" ht="31.5" x14ac:dyDescent="0.25">
      <c r="A76" s="8"/>
      <c r="B76" s="12" t="s">
        <v>277</v>
      </c>
      <c r="C76" s="8"/>
      <c r="D76" s="8"/>
      <c r="E76" s="10" t="s">
        <v>225</v>
      </c>
      <c r="F76" s="11">
        <v>100</v>
      </c>
      <c r="G76" s="18"/>
      <c r="H76" s="18"/>
      <c r="I76" s="18"/>
      <c r="J76" s="18"/>
      <c r="K76" s="11"/>
      <c r="L76" s="11"/>
      <c r="M76" s="11"/>
      <c r="N76" s="11"/>
      <c r="O76" s="11"/>
      <c r="P76" s="11"/>
      <c r="Q76" s="8"/>
    </row>
    <row r="77" spans="1:17" x14ac:dyDescent="0.25">
      <c r="A77" s="8"/>
      <c r="B77" s="12" t="s">
        <v>66</v>
      </c>
      <c r="C77" s="8"/>
      <c r="D77" s="8"/>
      <c r="E77" s="10" t="s">
        <v>228</v>
      </c>
      <c r="F77" s="11">
        <v>1</v>
      </c>
      <c r="G77" s="18"/>
      <c r="H77" s="18"/>
      <c r="I77" s="18"/>
      <c r="J77" s="18"/>
      <c r="K77" s="11"/>
      <c r="L77" s="11"/>
      <c r="M77" s="11"/>
      <c r="N77" s="11"/>
      <c r="O77" s="11"/>
      <c r="P77" s="11"/>
      <c r="Q77" s="8"/>
    </row>
    <row r="78" spans="1:17" x14ac:dyDescent="0.25">
      <c r="A78" s="8"/>
      <c r="B78" s="14" t="s">
        <v>80</v>
      </c>
      <c r="C78" s="8"/>
      <c r="D78" s="8"/>
      <c r="E78" s="10" t="s">
        <v>231</v>
      </c>
      <c r="F78" s="11"/>
      <c r="G78" s="18"/>
      <c r="H78" s="18"/>
      <c r="I78" s="18"/>
      <c r="J78" s="18"/>
      <c r="K78" s="11"/>
      <c r="L78" s="11"/>
      <c r="M78" s="11"/>
      <c r="N78" s="11"/>
      <c r="O78" s="11"/>
      <c r="P78" s="11"/>
      <c r="Q78" s="8"/>
    </row>
    <row r="79" spans="1:17" x14ac:dyDescent="0.25">
      <c r="A79" s="8"/>
      <c r="B79" s="12" t="s">
        <v>212</v>
      </c>
      <c r="C79" s="8"/>
      <c r="D79" s="8"/>
      <c r="E79" s="10" t="s">
        <v>225</v>
      </c>
      <c r="F79" s="11">
        <v>50</v>
      </c>
      <c r="G79" s="18"/>
      <c r="H79" s="18"/>
      <c r="I79" s="18"/>
      <c r="J79" s="18"/>
      <c r="K79" s="11"/>
      <c r="L79" s="11"/>
      <c r="M79" s="11"/>
      <c r="N79" s="11"/>
      <c r="O79" s="11"/>
      <c r="P79" s="11"/>
      <c r="Q79" s="8"/>
    </row>
    <row r="80" spans="1:17" x14ac:dyDescent="0.25">
      <c r="A80" s="8"/>
      <c r="B80" s="12" t="s">
        <v>81</v>
      </c>
      <c r="C80" s="8"/>
      <c r="D80" s="8"/>
      <c r="E80" s="10" t="s">
        <v>225</v>
      </c>
      <c r="F80" s="11">
        <v>50</v>
      </c>
      <c r="G80" s="18"/>
      <c r="H80" s="18"/>
      <c r="I80" s="18"/>
      <c r="J80" s="18"/>
      <c r="K80" s="11"/>
      <c r="L80" s="11"/>
      <c r="M80" s="11"/>
      <c r="N80" s="11"/>
      <c r="O80" s="11"/>
      <c r="P80" s="11"/>
      <c r="Q80" s="8"/>
    </row>
    <row r="81" spans="1:17" x14ac:dyDescent="0.25">
      <c r="A81" s="8"/>
      <c r="B81" s="12" t="s">
        <v>82</v>
      </c>
      <c r="C81" s="8"/>
      <c r="D81" s="8"/>
      <c r="E81" s="10" t="s">
        <v>225</v>
      </c>
      <c r="F81" s="11">
        <v>16</v>
      </c>
      <c r="G81" s="18"/>
      <c r="H81" s="18"/>
      <c r="I81" s="18"/>
      <c r="J81" s="18"/>
      <c r="K81" s="11"/>
      <c r="L81" s="11"/>
      <c r="M81" s="11"/>
      <c r="N81" s="11"/>
      <c r="O81" s="11"/>
      <c r="P81" s="11"/>
      <c r="Q81" s="8"/>
    </row>
    <row r="82" spans="1:17" x14ac:dyDescent="0.25">
      <c r="A82" s="8"/>
      <c r="B82" s="12" t="s">
        <v>83</v>
      </c>
      <c r="C82" s="8"/>
      <c r="D82" s="8"/>
      <c r="E82" s="10" t="s">
        <v>225</v>
      </c>
      <c r="F82" s="11">
        <v>10</v>
      </c>
      <c r="G82" s="18"/>
      <c r="H82" s="18"/>
      <c r="I82" s="18"/>
      <c r="J82" s="18"/>
      <c r="K82" s="11"/>
      <c r="L82" s="11"/>
      <c r="M82" s="11"/>
      <c r="N82" s="11"/>
      <c r="O82" s="11"/>
      <c r="P82" s="11"/>
      <c r="Q82" s="8"/>
    </row>
    <row r="83" spans="1:17" x14ac:dyDescent="0.25">
      <c r="A83" s="8"/>
      <c r="B83" s="12" t="s">
        <v>66</v>
      </c>
      <c r="C83" s="8"/>
      <c r="D83" s="8"/>
      <c r="E83" s="10" t="s">
        <v>226</v>
      </c>
      <c r="F83" s="11">
        <v>1</v>
      </c>
      <c r="G83" s="18"/>
      <c r="H83" s="18"/>
      <c r="I83" s="18"/>
      <c r="J83" s="18"/>
      <c r="K83" s="11"/>
      <c r="L83" s="11"/>
      <c r="M83" s="11"/>
      <c r="N83" s="11"/>
      <c r="O83" s="11"/>
      <c r="P83" s="11"/>
      <c r="Q83" s="8"/>
    </row>
    <row r="84" spans="1:17" x14ac:dyDescent="0.25">
      <c r="A84" s="8"/>
      <c r="B84" s="9" t="s">
        <v>85</v>
      </c>
      <c r="C84" s="8"/>
      <c r="D84" s="8"/>
      <c r="E84" s="10" t="s">
        <v>231</v>
      </c>
      <c r="F84" s="11"/>
      <c r="G84" s="18"/>
      <c r="H84" s="18"/>
      <c r="I84" s="18"/>
      <c r="J84" s="18"/>
      <c r="K84" s="11"/>
      <c r="L84" s="11"/>
      <c r="M84" s="11"/>
      <c r="N84" s="11"/>
      <c r="O84" s="11"/>
      <c r="P84" s="11"/>
      <c r="Q84" s="8"/>
    </row>
    <row r="85" spans="1:17" x14ac:dyDescent="0.25">
      <c r="A85" s="8"/>
      <c r="B85" s="14" t="s">
        <v>86</v>
      </c>
      <c r="C85" s="8"/>
      <c r="D85" s="8"/>
      <c r="E85" s="10" t="s">
        <v>231</v>
      </c>
      <c r="F85" s="11"/>
      <c r="G85" s="18"/>
      <c r="H85" s="18"/>
      <c r="I85" s="18"/>
      <c r="J85" s="18"/>
      <c r="K85" s="11"/>
      <c r="L85" s="11"/>
      <c r="M85" s="11"/>
      <c r="N85" s="11"/>
      <c r="O85" s="11"/>
      <c r="P85" s="11"/>
      <c r="Q85" s="8"/>
    </row>
    <row r="86" spans="1:17" ht="31.5" x14ac:dyDescent="0.25">
      <c r="A86" s="8"/>
      <c r="B86" s="12" t="s">
        <v>278</v>
      </c>
      <c r="C86" s="8"/>
      <c r="D86" s="8"/>
      <c r="E86" s="10" t="s">
        <v>229</v>
      </c>
      <c r="F86" s="11">
        <v>1</v>
      </c>
      <c r="G86" s="18"/>
      <c r="H86" s="18"/>
      <c r="I86" s="18"/>
      <c r="J86" s="18"/>
      <c r="K86" s="11"/>
      <c r="L86" s="11"/>
      <c r="M86" s="11"/>
      <c r="N86" s="11"/>
      <c r="O86" s="11"/>
      <c r="P86" s="11"/>
      <c r="Q86" s="8"/>
    </row>
    <row r="87" spans="1:17" ht="31.5" x14ac:dyDescent="0.25">
      <c r="A87" s="8"/>
      <c r="B87" s="12" t="s">
        <v>279</v>
      </c>
      <c r="C87" s="8"/>
      <c r="D87" s="8"/>
      <c r="E87" s="10" t="s">
        <v>229</v>
      </c>
      <c r="F87" s="11">
        <v>1</v>
      </c>
      <c r="G87" s="18"/>
      <c r="H87" s="18"/>
      <c r="I87" s="18"/>
      <c r="J87" s="18"/>
      <c r="K87" s="11"/>
      <c r="L87" s="11"/>
      <c r="M87" s="11"/>
      <c r="N87" s="11"/>
      <c r="O87" s="11"/>
      <c r="P87" s="11"/>
      <c r="Q87" s="8"/>
    </row>
    <row r="88" spans="1:17" ht="31.5" x14ac:dyDescent="0.25">
      <c r="A88" s="8"/>
      <c r="B88" s="12" t="s">
        <v>280</v>
      </c>
      <c r="C88" s="8"/>
      <c r="D88" s="8"/>
      <c r="E88" s="10" t="s">
        <v>229</v>
      </c>
      <c r="F88" s="11">
        <v>1</v>
      </c>
      <c r="G88" s="18"/>
      <c r="H88" s="18"/>
      <c r="I88" s="18"/>
      <c r="J88" s="18"/>
      <c r="K88" s="11"/>
      <c r="L88" s="11"/>
      <c r="M88" s="11"/>
      <c r="N88" s="11"/>
      <c r="O88" s="11"/>
      <c r="P88" s="11"/>
      <c r="Q88" s="8"/>
    </row>
    <row r="89" spans="1:17" ht="31.5" x14ac:dyDescent="0.25">
      <c r="A89" s="8"/>
      <c r="B89" s="12" t="s">
        <v>281</v>
      </c>
      <c r="C89" s="8"/>
      <c r="D89" s="8"/>
      <c r="E89" s="10" t="s">
        <v>229</v>
      </c>
      <c r="F89" s="11">
        <v>1</v>
      </c>
      <c r="G89" s="18"/>
      <c r="H89" s="18"/>
      <c r="I89" s="18"/>
      <c r="J89" s="18"/>
      <c r="K89" s="11"/>
      <c r="L89" s="11"/>
      <c r="M89" s="11"/>
      <c r="N89" s="11"/>
      <c r="O89" s="11"/>
      <c r="P89" s="11"/>
      <c r="Q89" s="8"/>
    </row>
    <row r="90" spans="1:17" ht="31.5" x14ac:dyDescent="0.25">
      <c r="A90" s="8"/>
      <c r="B90" s="12" t="s">
        <v>282</v>
      </c>
      <c r="C90" s="8"/>
      <c r="D90" s="8"/>
      <c r="E90" s="10" t="s">
        <v>229</v>
      </c>
      <c r="F90" s="11">
        <v>1</v>
      </c>
      <c r="G90" s="18"/>
      <c r="H90" s="18"/>
      <c r="I90" s="18"/>
      <c r="J90" s="18"/>
      <c r="K90" s="11"/>
      <c r="L90" s="11"/>
      <c r="M90" s="11"/>
      <c r="N90" s="11"/>
      <c r="O90" s="11"/>
      <c r="P90" s="11"/>
      <c r="Q90" s="8"/>
    </row>
    <row r="91" spans="1:17" ht="31.5" x14ac:dyDescent="0.25">
      <c r="A91" s="8"/>
      <c r="B91" s="12" t="s">
        <v>283</v>
      </c>
      <c r="C91" s="8"/>
      <c r="D91" s="8"/>
      <c r="E91" s="10" t="s">
        <v>229</v>
      </c>
      <c r="F91" s="11">
        <v>1</v>
      </c>
      <c r="G91" s="18"/>
      <c r="H91" s="18"/>
      <c r="I91" s="18"/>
      <c r="J91" s="18"/>
      <c r="K91" s="11"/>
      <c r="L91" s="11"/>
      <c r="M91" s="11"/>
      <c r="N91" s="11"/>
      <c r="O91" s="11"/>
      <c r="P91" s="11"/>
      <c r="Q91" s="8"/>
    </row>
    <row r="92" spans="1:17" ht="31.5" x14ac:dyDescent="0.25">
      <c r="A92" s="8"/>
      <c r="B92" s="12" t="s">
        <v>284</v>
      </c>
      <c r="C92" s="8"/>
      <c r="D92" s="8"/>
      <c r="E92" s="10" t="s">
        <v>229</v>
      </c>
      <c r="F92" s="11">
        <v>1</v>
      </c>
      <c r="G92" s="18"/>
      <c r="H92" s="18"/>
      <c r="I92" s="18"/>
      <c r="J92" s="18"/>
      <c r="K92" s="11"/>
      <c r="L92" s="11"/>
      <c r="M92" s="11"/>
      <c r="N92" s="11"/>
      <c r="O92" s="11"/>
      <c r="P92" s="11"/>
      <c r="Q92" s="8"/>
    </row>
    <row r="93" spans="1:17" ht="31.5" x14ac:dyDescent="0.25">
      <c r="A93" s="8"/>
      <c r="B93" s="12" t="s">
        <v>285</v>
      </c>
      <c r="C93" s="8"/>
      <c r="D93" s="8"/>
      <c r="E93" s="10" t="s">
        <v>229</v>
      </c>
      <c r="F93" s="11">
        <v>1</v>
      </c>
      <c r="G93" s="18"/>
      <c r="H93" s="18"/>
      <c r="I93" s="18"/>
      <c r="J93" s="18"/>
      <c r="K93" s="11"/>
      <c r="L93" s="11"/>
      <c r="M93" s="11"/>
      <c r="N93" s="11"/>
      <c r="O93" s="11"/>
      <c r="P93" s="11"/>
      <c r="Q93" s="8"/>
    </row>
    <row r="94" spans="1:17" ht="31.5" x14ac:dyDescent="0.25">
      <c r="A94" s="8"/>
      <c r="B94" s="12" t="s">
        <v>286</v>
      </c>
      <c r="C94" s="8"/>
      <c r="D94" s="8"/>
      <c r="E94" s="10" t="s">
        <v>229</v>
      </c>
      <c r="F94" s="11">
        <v>1</v>
      </c>
      <c r="G94" s="18"/>
      <c r="H94" s="18"/>
      <c r="I94" s="18"/>
      <c r="J94" s="18"/>
      <c r="K94" s="11"/>
      <c r="L94" s="11"/>
      <c r="M94" s="11"/>
      <c r="N94" s="11"/>
      <c r="O94" s="11"/>
      <c r="P94" s="11"/>
      <c r="Q94" s="8"/>
    </row>
    <row r="95" spans="1:17" ht="31.5" x14ac:dyDescent="0.25">
      <c r="A95" s="8"/>
      <c r="B95" s="12" t="s">
        <v>287</v>
      </c>
      <c r="C95" s="8"/>
      <c r="D95" s="8"/>
      <c r="E95" s="10" t="s">
        <v>229</v>
      </c>
      <c r="F95" s="11">
        <v>1</v>
      </c>
      <c r="G95" s="18"/>
      <c r="H95" s="18"/>
      <c r="I95" s="18"/>
      <c r="J95" s="18"/>
      <c r="K95" s="11"/>
      <c r="L95" s="11"/>
      <c r="M95" s="11"/>
      <c r="N95" s="11"/>
      <c r="O95" s="11"/>
      <c r="P95" s="11"/>
      <c r="Q95" s="8"/>
    </row>
    <row r="96" spans="1:17" ht="31.5" x14ac:dyDescent="0.25">
      <c r="A96" s="8"/>
      <c r="B96" s="12" t="s">
        <v>288</v>
      </c>
      <c r="C96" s="8"/>
      <c r="D96" s="8"/>
      <c r="E96" s="10" t="s">
        <v>229</v>
      </c>
      <c r="F96" s="11">
        <v>1</v>
      </c>
      <c r="G96" s="18"/>
      <c r="H96" s="18"/>
      <c r="I96" s="18"/>
      <c r="J96" s="18"/>
      <c r="K96" s="11"/>
      <c r="L96" s="11"/>
      <c r="M96" s="11"/>
      <c r="N96" s="11"/>
      <c r="O96" s="11"/>
      <c r="P96" s="11"/>
      <c r="Q96" s="8"/>
    </row>
    <row r="97" spans="1:17" ht="31.5" x14ac:dyDescent="0.25">
      <c r="A97" s="8"/>
      <c r="B97" s="12" t="s">
        <v>289</v>
      </c>
      <c r="C97" s="8"/>
      <c r="D97" s="8"/>
      <c r="E97" s="10" t="s">
        <v>229</v>
      </c>
      <c r="F97" s="11">
        <v>1</v>
      </c>
      <c r="G97" s="18"/>
      <c r="H97" s="18"/>
      <c r="I97" s="18"/>
      <c r="J97" s="18"/>
      <c r="K97" s="11"/>
      <c r="L97" s="11"/>
      <c r="M97" s="11"/>
      <c r="N97" s="11"/>
      <c r="O97" s="11"/>
      <c r="P97" s="11"/>
      <c r="Q97" s="8"/>
    </row>
    <row r="98" spans="1:17" ht="31.5" x14ac:dyDescent="0.25">
      <c r="A98" s="8"/>
      <c r="B98" s="12" t="s">
        <v>290</v>
      </c>
      <c r="C98" s="8"/>
      <c r="D98" s="8"/>
      <c r="E98" s="10" t="s">
        <v>229</v>
      </c>
      <c r="F98" s="11">
        <v>1</v>
      </c>
      <c r="G98" s="18"/>
      <c r="H98" s="18"/>
      <c r="I98" s="18"/>
      <c r="J98" s="18"/>
      <c r="K98" s="11"/>
      <c r="L98" s="11"/>
      <c r="M98" s="11"/>
      <c r="N98" s="11"/>
      <c r="O98" s="11"/>
      <c r="P98" s="11"/>
      <c r="Q98" s="8"/>
    </row>
    <row r="99" spans="1:17" ht="31.5" x14ac:dyDescent="0.25">
      <c r="A99" s="8"/>
      <c r="B99" s="12" t="s">
        <v>291</v>
      </c>
      <c r="C99" s="8"/>
      <c r="D99" s="8"/>
      <c r="E99" s="10" t="s">
        <v>229</v>
      </c>
      <c r="F99" s="11">
        <v>1</v>
      </c>
      <c r="G99" s="18"/>
      <c r="H99" s="18"/>
      <c r="I99" s="18"/>
      <c r="J99" s="18"/>
      <c r="K99" s="11"/>
      <c r="L99" s="11"/>
      <c r="M99" s="11"/>
      <c r="N99" s="11"/>
      <c r="O99" s="11"/>
      <c r="P99" s="11"/>
      <c r="Q99" s="8"/>
    </row>
    <row r="100" spans="1:17" ht="31.5" x14ac:dyDescent="0.25">
      <c r="A100" s="8"/>
      <c r="B100" s="12" t="s">
        <v>292</v>
      </c>
      <c r="C100" s="8"/>
      <c r="D100" s="8"/>
      <c r="E100" s="10" t="s">
        <v>229</v>
      </c>
      <c r="F100" s="11">
        <v>1</v>
      </c>
      <c r="G100" s="18"/>
      <c r="H100" s="18"/>
      <c r="I100" s="18"/>
      <c r="J100" s="18"/>
      <c r="K100" s="11"/>
      <c r="L100" s="11"/>
      <c r="M100" s="11"/>
      <c r="N100" s="11"/>
      <c r="O100" s="11"/>
      <c r="P100" s="11"/>
      <c r="Q100" s="8"/>
    </row>
    <row r="101" spans="1:17" ht="31.5" x14ac:dyDescent="0.25">
      <c r="A101" s="8"/>
      <c r="B101" s="12" t="s">
        <v>293</v>
      </c>
      <c r="C101" s="8"/>
      <c r="D101" s="8"/>
      <c r="E101" s="10" t="s">
        <v>229</v>
      </c>
      <c r="F101" s="11">
        <v>1</v>
      </c>
      <c r="G101" s="18"/>
      <c r="H101" s="18"/>
      <c r="I101" s="18"/>
      <c r="J101" s="18"/>
      <c r="K101" s="11"/>
      <c r="L101" s="11"/>
      <c r="M101" s="11"/>
      <c r="N101" s="11"/>
      <c r="O101" s="11"/>
      <c r="P101" s="11"/>
      <c r="Q101" s="8"/>
    </row>
    <row r="102" spans="1:17" ht="31.5" x14ac:dyDescent="0.25">
      <c r="A102" s="8"/>
      <c r="B102" s="12" t="s">
        <v>294</v>
      </c>
      <c r="C102" s="8"/>
      <c r="D102" s="8"/>
      <c r="E102" s="10" t="s">
        <v>229</v>
      </c>
      <c r="F102" s="11">
        <v>1</v>
      </c>
      <c r="G102" s="18"/>
      <c r="H102" s="18"/>
      <c r="I102" s="18"/>
      <c r="J102" s="18"/>
      <c r="K102" s="11"/>
      <c r="L102" s="11"/>
      <c r="M102" s="11"/>
      <c r="N102" s="11"/>
      <c r="O102" s="11"/>
      <c r="P102" s="11"/>
      <c r="Q102" s="8"/>
    </row>
    <row r="103" spans="1:17" ht="31.5" x14ac:dyDescent="0.25">
      <c r="A103" s="8"/>
      <c r="B103" s="12" t="s">
        <v>295</v>
      </c>
      <c r="C103" s="8"/>
      <c r="D103" s="8"/>
      <c r="E103" s="10" t="s">
        <v>229</v>
      </c>
      <c r="F103" s="11">
        <v>1</v>
      </c>
      <c r="G103" s="18"/>
      <c r="H103" s="18"/>
      <c r="I103" s="18"/>
      <c r="J103" s="18"/>
      <c r="K103" s="11"/>
      <c r="L103" s="11"/>
      <c r="M103" s="11"/>
      <c r="N103" s="11"/>
      <c r="O103" s="11"/>
      <c r="P103" s="11"/>
      <c r="Q103" s="8"/>
    </row>
    <row r="104" spans="1:17" ht="31.5" x14ac:dyDescent="0.25">
      <c r="A104" s="8"/>
      <c r="B104" s="12" t="s">
        <v>296</v>
      </c>
      <c r="C104" s="8"/>
      <c r="D104" s="8"/>
      <c r="E104" s="10" t="s">
        <v>229</v>
      </c>
      <c r="F104" s="11">
        <v>1</v>
      </c>
      <c r="G104" s="18"/>
      <c r="H104" s="18"/>
      <c r="I104" s="18"/>
      <c r="J104" s="18"/>
      <c r="K104" s="11"/>
      <c r="L104" s="11"/>
      <c r="M104" s="11"/>
      <c r="N104" s="11"/>
      <c r="O104" s="11"/>
      <c r="P104" s="11"/>
      <c r="Q104" s="8"/>
    </row>
    <row r="105" spans="1:17" ht="31.5" x14ac:dyDescent="0.25">
      <c r="A105" s="8"/>
      <c r="B105" s="12" t="s">
        <v>297</v>
      </c>
      <c r="C105" s="8"/>
      <c r="D105" s="8"/>
      <c r="E105" s="10" t="s">
        <v>229</v>
      </c>
      <c r="F105" s="11">
        <v>1</v>
      </c>
      <c r="G105" s="18"/>
      <c r="H105" s="18"/>
      <c r="I105" s="18"/>
      <c r="J105" s="18"/>
      <c r="K105" s="11"/>
      <c r="L105" s="11"/>
      <c r="M105" s="11"/>
      <c r="N105" s="11"/>
      <c r="O105" s="11"/>
      <c r="P105" s="11"/>
      <c r="Q105" s="8"/>
    </row>
    <row r="106" spans="1:17" ht="31.5" x14ac:dyDescent="0.25">
      <c r="A106" s="8"/>
      <c r="B106" s="12" t="s">
        <v>298</v>
      </c>
      <c r="C106" s="8"/>
      <c r="D106" s="8"/>
      <c r="E106" s="10" t="s">
        <v>229</v>
      </c>
      <c r="F106" s="11">
        <v>1</v>
      </c>
      <c r="G106" s="18"/>
      <c r="H106" s="18"/>
      <c r="I106" s="18"/>
      <c r="J106" s="18"/>
      <c r="K106" s="11"/>
      <c r="L106" s="11"/>
      <c r="M106" s="11"/>
      <c r="N106" s="11"/>
      <c r="O106" s="11"/>
      <c r="P106" s="11"/>
      <c r="Q106" s="8"/>
    </row>
    <row r="107" spans="1:17" ht="31.5" x14ac:dyDescent="0.25">
      <c r="A107" s="8"/>
      <c r="B107" s="12" t="s">
        <v>299</v>
      </c>
      <c r="C107" s="8"/>
      <c r="D107" s="8"/>
      <c r="E107" s="10" t="s">
        <v>229</v>
      </c>
      <c r="F107" s="11">
        <v>1</v>
      </c>
      <c r="G107" s="18"/>
      <c r="H107" s="18"/>
      <c r="I107" s="18"/>
      <c r="J107" s="18"/>
      <c r="K107" s="11"/>
      <c r="L107" s="11"/>
      <c r="M107" s="11"/>
      <c r="N107" s="11"/>
      <c r="O107" s="11"/>
      <c r="P107" s="11"/>
      <c r="Q107" s="8"/>
    </row>
    <row r="108" spans="1:17" ht="31.5" x14ac:dyDescent="0.25">
      <c r="A108" s="8"/>
      <c r="B108" s="12" t="s">
        <v>300</v>
      </c>
      <c r="C108" s="8"/>
      <c r="D108" s="8"/>
      <c r="E108" s="10" t="s">
        <v>229</v>
      </c>
      <c r="F108" s="11">
        <v>1</v>
      </c>
      <c r="G108" s="18"/>
      <c r="H108" s="18"/>
      <c r="I108" s="18"/>
      <c r="J108" s="18"/>
      <c r="K108" s="11"/>
      <c r="L108" s="11"/>
      <c r="M108" s="11"/>
      <c r="N108" s="11"/>
      <c r="O108" s="11"/>
      <c r="P108" s="11"/>
      <c r="Q108" s="8"/>
    </row>
    <row r="109" spans="1:17" ht="31.5" x14ac:dyDescent="0.25">
      <c r="A109" s="8"/>
      <c r="B109" s="12" t="s">
        <v>301</v>
      </c>
      <c r="C109" s="8"/>
      <c r="D109" s="8"/>
      <c r="E109" s="10" t="s">
        <v>229</v>
      </c>
      <c r="F109" s="11">
        <v>1</v>
      </c>
      <c r="G109" s="18"/>
      <c r="H109" s="18"/>
      <c r="I109" s="18"/>
      <c r="J109" s="18"/>
      <c r="K109" s="11"/>
      <c r="L109" s="11"/>
      <c r="M109" s="11"/>
      <c r="N109" s="11"/>
      <c r="O109" s="11"/>
      <c r="P109" s="11"/>
      <c r="Q109" s="8"/>
    </row>
    <row r="110" spans="1:17" ht="31.5" x14ac:dyDescent="0.25">
      <c r="A110" s="8"/>
      <c r="B110" s="12" t="s">
        <v>302</v>
      </c>
      <c r="C110" s="8"/>
      <c r="D110" s="8"/>
      <c r="E110" s="10" t="s">
        <v>229</v>
      </c>
      <c r="F110" s="11">
        <v>1</v>
      </c>
      <c r="G110" s="18"/>
      <c r="H110" s="18"/>
      <c r="I110" s="18"/>
      <c r="J110" s="18"/>
      <c r="K110" s="11"/>
      <c r="L110" s="11"/>
      <c r="M110" s="11"/>
      <c r="N110" s="11"/>
      <c r="O110" s="11"/>
      <c r="P110" s="11"/>
      <c r="Q110" s="8"/>
    </row>
    <row r="111" spans="1:17" ht="31.5" x14ac:dyDescent="0.25">
      <c r="A111" s="8"/>
      <c r="B111" s="12" t="s">
        <v>303</v>
      </c>
      <c r="C111" s="8"/>
      <c r="D111" s="8"/>
      <c r="E111" s="10" t="s">
        <v>229</v>
      </c>
      <c r="F111" s="11">
        <v>1</v>
      </c>
      <c r="G111" s="18"/>
      <c r="H111" s="18"/>
      <c r="I111" s="18"/>
      <c r="J111" s="18"/>
      <c r="K111" s="11"/>
      <c r="L111" s="11"/>
      <c r="M111" s="11"/>
      <c r="N111" s="11"/>
      <c r="O111" s="11"/>
      <c r="P111" s="11"/>
      <c r="Q111" s="8"/>
    </row>
    <row r="112" spans="1:17" ht="31.5" x14ac:dyDescent="0.25">
      <c r="A112" s="8"/>
      <c r="B112" s="12" t="s">
        <v>304</v>
      </c>
      <c r="C112" s="8"/>
      <c r="D112" s="8"/>
      <c r="E112" s="10" t="s">
        <v>229</v>
      </c>
      <c r="F112" s="11">
        <v>1</v>
      </c>
      <c r="G112" s="18"/>
      <c r="H112" s="18"/>
      <c r="I112" s="18"/>
      <c r="J112" s="18"/>
      <c r="K112" s="11"/>
      <c r="L112" s="11"/>
      <c r="M112" s="11"/>
      <c r="N112" s="11"/>
      <c r="O112" s="11"/>
      <c r="P112" s="11"/>
      <c r="Q112" s="8"/>
    </row>
    <row r="113" spans="1:17" ht="31.5" x14ac:dyDescent="0.25">
      <c r="A113" s="8"/>
      <c r="B113" s="12" t="s">
        <v>305</v>
      </c>
      <c r="C113" s="8"/>
      <c r="D113" s="8"/>
      <c r="E113" s="10" t="s">
        <v>229</v>
      </c>
      <c r="F113" s="11">
        <v>1</v>
      </c>
      <c r="G113" s="18"/>
      <c r="H113" s="18"/>
      <c r="I113" s="18"/>
      <c r="J113" s="18"/>
      <c r="K113" s="11"/>
      <c r="L113" s="11"/>
      <c r="M113" s="11"/>
      <c r="N113" s="11"/>
      <c r="O113" s="11"/>
      <c r="P113" s="11"/>
      <c r="Q113" s="8"/>
    </row>
    <row r="114" spans="1:17" ht="31.5" x14ac:dyDescent="0.25">
      <c r="A114" s="8"/>
      <c r="B114" s="12" t="s">
        <v>306</v>
      </c>
      <c r="C114" s="8"/>
      <c r="D114" s="8"/>
      <c r="E114" s="10" t="s">
        <v>229</v>
      </c>
      <c r="F114" s="11">
        <v>1</v>
      </c>
      <c r="G114" s="18"/>
      <c r="H114" s="18"/>
      <c r="I114" s="18"/>
      <c r="J114" s="18"/>
      <c r="K114" s="11"/>
      <c r="L114" s="11"/>
      <c r="M114" s="11"/>
      <c r="N114" s="11"/>
      <c r="O114" s="11"/>
      <c r="P114" s="11"/>
      <c r="Q114" s="8"/>
    </row>
    <row r="115" spans="1:17" ht="31.5" x14ac:dyDescent="0.25">
      <c r="A115" s="8"/>
      <c r="B115" s="12" t="s">
        <v>307</v>
      </c>
      <c r="C115" s="8"/>
      <c r="D115" s="8"/>
      <c r="E115" s="10" t="s">
        <v>229</v>
      </c>
      <c r="F115" s="11">
        <v>1</v>
      </c>
      <c r="G115" s="18"/>
      <c r="H115" s="18"/>
      <c r="I115" s="18"/>
      <c r="J115" s="18"/>
      <c r="K115" s="11"/>
      <c r="L115" s="11"/>
      <c r="M115" s="11"/>
      <c r="N115" s="11"/>
      <c r="O115" s="11"/>
      <c r="P115" s="11"/>
      <c r="Q115" s="8"/>
    </row>
    <row r="116" spans="1:17" ht="31.5" x14ac:dyDescent="0.25">
      <c r="A116" s="8"/>
      <c r="B116" s="12" t="s">
        <v>308</v>
      </c>
      <c r="C116" s="8"/>
      <c r="D116" s="8"/>
      <c r="E116" s="10" t="s">
        <v>229</v>
      </c>
      <c r="F116" s="11">
        <v>1</v>
      </c>
      <c r="G116" s="18"/>
      <c r="H116" s="18"/>
      <c r="I116" s="18"/>
      <c r="J116" s="18"/>
      <c r="K116" s="11"/>
      <c r="L116" s="11"/>
      <c r="M116" s="11"/>
      <c r="N116" s="11"/>
      <c r="O116" s="11"/>
      <c r="P116" s="11"/>
      <c r="Q116" s="8"/>
    </row>
    <row r="117" spans="1:17" ht="31.5" x14ac:dyDescent="0.25">
      <c r="A117" s="8"/>
      <c r="B117" s="12" t="s">
        <v>309</v>
      </c>
      <c r="C117" s="8"/>
      <c r="D117" s="8"/>
      <c r="E117" s="10" t="s">
        <v>229</v>
      </c>
      <c r="F117" s="11">
        <v>1</v>
      </c>
      <c r="G117" s="18"/>
      <c r="H117" s="18"/>
      <c r="I117" s="18"/>
      <c r="J117" s="18"/>
      <c r="K117" s="11"/>
      <c r="L117" s="11"/>
      <c r="M117" s="11"/>
      <c r="N117" s="11"/>
      <c r="O117" s="11"/>
      <c r="P117" s="11"/>
      <c r="Q117" s="8"/>
    </row>
    <row r="118" spans="1:17" ht="31.5" x14ac:dyDescent="0.25">
      <c r="A118" s="8"/>
      <c r="B118" s="12" t="s">
        <v>310</v>
      </c>
      <c r="C118" s="8"/>
      <c r="D118" s="8"/>
      <c r="E118" s="10" t="s">
        <v>229</v>
      </c>
      <c r="F118" s="11">
        <v>1</v>
      </c>
      <c r="G118" s="18"/>
      <c r="H118" s="18"/>
      <c r="I118" s="18"/>
      <c r="J118" s="18"/>
      <c r="K118" s="11"/>
      <c r="L118" s="11"/>
      <c r="M118" s="11"/>
      <c r="N118" s="11"/>
      <c r="O118" s="11"/>
      <c r="P118" s="11"/>
      <c r="Q118" s="8"/>
    </row>
    <row r="119" spans="1:17" x14ac:dyDescent="0.25">
      <c r="A119" s="8"/>
      <c r="B119" s="12" t="s">
        <v>143</v>
      </c>
      <c r="C119" s="8"/>
      <c r="D119" s="8"/>
      <c r="E119" s="10" t="s">
        <v>229</v>
      </c>
      <c r="F119" s="11">
        <v>7</v>
      </c>
      <c r="G119" s="18"/>
      <c r="H119" s="18"/>
      <c r="I119" s="18"/>
      <c r="J119" s="18"/>
      <c r="K119" s="11"/>
      <c r="L119" s="11"/>
      <c r="M119" s="11"/>
      <c r="N119" s="11"/>
      <c r="O119" s="11"/>
      <c r="P119" s="11"/>
      <c r="Q119" s="8"/>
    </row>
    <row r="120" spans="1:17" x14ac:dyDescent="0.25">
      <c r="A120" s="8"/>
      <c r="B120" s="12" t="s">
        <v>14</v>
      </c>
      <c r="C120" s="8"/>
      <c r="D120" s="8"/>
      <c r="E120" s="10" t="s">
        <v>226</v>
      </c>
      <c r="F120" s="11">
        <v>1</v>
      </c>
      <c r="G120" s="18"/>
      <c r="H120" s="18"/>
      <c r="I120" s="18"/>
      <c r="J120" s="18"/>
      <c r="K120" s="11"/>
      <c r="L120" s="11"/>
      <c r="M120" s="11"/>
      <c r="N120" s="11"/>
      <c r="O120" s="11"/>
      <c r="P120" s="11"/>
      <c r="Q120" s="8"/>
    </row>
    <row r="121" spans="1:17" x14ac:dyDescent="0.25">
      <c r="A121" s="8"/>
      <c r="B121" s="14" t="s">
        <v>144</v>
      </c>
      <c r="C121" s="8"/>
      <c r="D121" s="8"/>
      <c r="E121" s="10" t="s">
        <v>231</v>
      </c>
      <c r="F121" s="11"/>
      <c r="G121" s="18"/>
      <c r="H121" s="18"/>
      <c r="I121" s="18"/>
      <c r="J121" s="18"/>
      <c r="K121" s="11"/>
      <c r="L121" s="11"/>
      <c r="M121" s="11"/>
      <c r="N121" s="11"/>
      <c r="O121" s="11"/>
      <c r="P121" s="11"/>
      <c r="Q121" s="8"/>
    </row>
    <row r="122" spans="1:17" ht="78.75" x14ac:dyDescent="0.25">
      <c r="A122" s="8"/>
      <c r="B122" s="12" t="s">
        <v>311</v>
      </c>
      <c r="C122" s="12" t="s">
        <v>410</v>
      </c>
      <c r="D122" s="10" t="s">
        <v>399</v>
      </c>
      <c r="E122" s="10" t="s">
        <v>230</v>
      </c>
      <c r="F122" s="11">
        <v>1</v>
      </c>
      <c r="G122" s="22">
        <v>275720000</v>
      </c>
      <c r="H122" s="18"/>
      <c r="I122" s="18"/>
      <c r="J122" s="18"/>
      <c r="K122" s="11">
        <f t="shared" ref="K122:K125" si="30">G122+H122+I122+J122</f>
        <v>275720000</v>
      </c>
      <c r="L122" s="11">
        <f>'DHKK A3'!L156</f>
        <v>5500000</v>
      </c>
      <c r="M122" s="11">
        <f t="shared" ref="M122:M127" si="31">K122*8%</f>
        <v>22057600</v>
      </c>
      <c r="N122" s="11">
        <f t="shared" ref="N122:N127" si="32">L122*8%</f>
        <v>440000</v>
      </c>
      <c r="O122" s="11">
        <f t="shared" ref="O122:O142" si="33">(K122+M122)*F122</f>
        <v>297777600</v>
      </c>
      <c r="P122" s="11">
        <f t="shared" ref="P122:P142" si="34">(L122+N122)*F122</f>
        <v>5940000</v>
      </c>
      <c r="Q122" s="8"/>
    </row>
    <row r="123" spans="1:17" ht="31.5" x14ac:dyDescent="0.25">
      <c r="A123" s="8"/>
      <c r="B123" s="12" t="s">
        <v>312</v>
      </c>
      <c r="C123" s="12" t="s">
        <v>359</v>
      </c>
      <c r="D123" s="10" t="s">
        <v>399</v>
      </c>
      <c r="E123" s="10" t="s">
        <v>230</v>
      </c>
      <c r="F123" s="11">
        <v>9</v>
      </c>
      <c r="G123" s="22">
        <v>17517000</v>
      </c>
      <c r="H123" s="18"/>
      <c r="I123" s="18"/>
      <c r="J123" s="18"/>
      <c r="K123" s="11">
        <f t="shared" si="30"/>
        <v>17517000</v>
      </c>
      <c r="L123" s="11">
        <f>'DHKK A3'!L157</f>
        <v>1300000</v>
      </c>
      <c r="M123" s="11">
        <f t="shared" si="31"/>
        <v>1401360</v>
      </c>
      <c r="N123" s="11">
        <f t="shared" si="32"/>
        <v>104000</v>
      </c>
      <c r="O123" s="11">
        <f t="shared" si="33"/>
        <v>170265240</v>
      </c>
      <c r="P123" s="11">
        <f t="shared" si="34"/>
        <v>12636000</v>
      </c>
      <c r="Q123" s="8"/>
    </row>
    <row r="124" spans="1:17" x14ac:dyDescent="0.25">
      <c r="A124" s="8"/>
      <c r="B124" s="12"/>
      <c r="C124" s="12" t="s">
        <v>401</v>
      </c>
      <c r="D124" s="10" t="s">
        <v>403</v>
      </c>
      <c r="E124" s="10" t="s">
        <v>227</v>
      </c>
      <c r="F124" s="11">
        <f>F123</f>
        <v>9</v>
      </c>
      <c r="G124" s="22">
        <v>745000</v>
      </c>
      <c r="H124" s="18"/>
      <c r="I124" s="18"/>
      <c r="J124" s="18"/>
      <c r="K124" s="11">
        <f t="shared" si="30"/>
        <v>745000</v>
      </c>
      <c r="L124" s="11">
        <f>'DHKK A3'!L158</f>
        <v>150000</v>
      </c>
      <c r="M124" s="11">
        <f t="shared" si="31"/>
        <v>59600</v>
      </c>
      <c r="N124" s="11">
        <f t="shared" si="32"/>
        <v>12000</v>
      </c>
      <c r="O124" s="11">
        <f t="shared" si="33"/>
        <v>7241400</v>
      </c>
      <c r="P124" s="11">
        <f t="shared" si="34"/>
        <v>1458000</v>
      </c>
      <c r="Q124" s="8"/>
    </row>
    <row r="125" spans="1:17" x14ac:dyDescent="0.25">
      <c r="A125" s="8"/>
      <c r="B125" s="12"/>
      <c r="C125" s="12" t="s">
        <v>402</v>
      </c>
      <c r="D125" s="10" t="s">
        <v>258</v>
      </c>
      <c r="E125" s="10" t="str">
        <f>E124</f>
        <v>Cái</v>
      </c>
      <c r="F125" s="11">
        <f>F124</f>
        <v>9</v>
      </c>
      <c r="G125" s="22">
        <v>2133000</v>
      </c>
      <c r="H125" s="18"/>
      <c r="I125" s="18"/>
      <c r="J125" s="18"/>
      <c r="K125" s="11">
        <f t="shared" si="30"/>
        <v>2133000</v>
      </c>
      <c r="L125" s="11">
        <f>'DHKK A3'!L159</f>
        <v>150000</v>
      </c>
      <c r="M125" s="11">
        <f t="shared" si="31"/>
        <v>170640</v>
      </c>
      <c r="N125" s="11">
        <f t="shared" si="32"/>
        <v>12000</v>
      </c>
      <c r="O125" s="11">
        <f t="shared" si="33"/>
        <v>20732760</v>
      </c>
      <c r="P125" s="11">
        <f t="shared" si="34"/>
        <v>1458000</v>
      </c>
      <c r="Q125" s="8"/>
    </row>
    <row r="126" spans="1:17" x14ac:dyDescent="0.25">
      <c r="A126" s="8"/>
      <c r="B126" s="12" t="s">
        <v>14</v>
      </c>
      <c r="C126" s="8"/>
      <c r="D126" s="10" t="s">
        <v>259</v>
      </c>
      <c r="E126" s="10" t="s">
        <v>226</v>
      </c>
      <c r="F126" s="11">
        <v>1</v>
      </c>
      <c r="G126" s="18">
        <f>F124*1500000</f>
        <v>13500000</v>
      </c>
      <c r="H126" s="18">
        <f t="shared" ref="H126" si="35">G126*5%</f>
        <v>675000</v>
      </c>
      <c r="I126" s="18">
        <f t="shared" ref="I126" si="36">(G126+H126)*10%</f>
        <v>1417500</v>
      </c>
      <c r="J126" s="18">
        <f t="shared" ref="J126" si="37">(G126+H126+I126)*17%</f>
        <v>2650725</v>
      </c>
      <c r="K126" s="11">
        <f t="shared" ref="K126" si="38">G126+H126+I126+J126</f>
        <v>18243225</v>
      </c>
      <c r="L126" s="11">
        <f t="shared" ref="L126" si="39">K126*25%</f>
        <v>4560806.25</v>
      </c>
      <c r="M126" s="11">
        <f t="shared" si="31"/>
        <v>1459458</v>
      </c>
      <c r="N126" s="11">
        <f t="shared" si="32"/>
        <v>364864.5</v>
      </c>
      <c r="O126" s="11">
        <f t="shared" si="33"/>
        <v>19702683</v>
      </c>
      <c r="P126" s="11">
        <f t="shared" si="34"/>
        <v>4925670.75</v>
      </c>
      <c r="Q126" s="8"/>
    </row>
    <row r="127" spans="1:17" x14ac:dyDescent="0.25">
      <c r="A127" s="8"/>
      <c r="B127" s="12"/>
      <c r="C127" s="8" t="s">
        <v>389</v>
      </c>
      <c r="D127" s="10" t="s">
        <v>387</v>
      </c>
      <c r="E127" s="10" t="s">
        <v>388</v>
      </c>
      <c r="F127" s="11">
        <v>50</v>
      </c>
      <c r="G127" s="18"/>
      <c r="H127" s="18"/>
      <c r="I127" s="18"/>
      <c r="J127" s="18"/>
      <c r="K127" s="11">
        <f>'DHKK A3'!K161</f>
        <v>405405</v>
      </c>
      <c r="L127" s="11">
        <f>K127*25%</f>
        <v>101351.25</v>
      </c>
      <c r="M127" s="11">
        <f t="shared" si="31"/>
        <v>32432.400000000001</v>
      </c>
      <c r="N127" s="11">
        <f t="shared" si="32"/>
        <v>8108.1</v>
      </c>
      <c r="O127" s="11">
        <f t="shared" si="33"/>
        <v>21891870</v>
      </c>
      <c r="P127" s="11">
        <f t="shared" si="34"/>
        <v>5472967.5</v>
      </c>
      <c r="Q127" s="8"/>
    </row>
    <row r="128" spans="1:17" x14ac:dyDescent="0.25">
      <c r="A128" s="8"/>
      <c r="B128" s="14" t="s">
        <v>148</v>
      </c>
      <c r="C128" s="8"/>
      <c r="D128" s="8"/>
      <c r="E128" s="10" t="s">
        <v>231</v>
      </c>
      <c r="F128" s="11"/>
      <c r="G128" s="18"/>
      <c r="H128" s="18"/>
      <c r="I128" s="18"/>
      <c r="J128" s="18"/>
      <c r="K128" s="11"/>
      <c r="L128" s="11"/>
      <c r="M128" s="11"/>
      <c r="N128" s="11"/>
      <c r="O128" s="11"/>
      <c r="P128" s="11"/>
      <c r="Q128" s="8"/>
    </row>
    <row r="129" spans="1:17" ht="31.5" x14ac:dyDescent="0.25">
      <c r="A129" s="8"/>
      <c r="B129" s="12" t="s">
        <v>149</v>
      </c>
      <c r="C129" s="12" t="s">
        <v>351</v>
      </c>
      <c r="D129" s="10" t="s">
        <v>399</v>
      </c>
      <c r="E129" s="10" t="s">
        <v>230</v>
      </c>
      <c r="F129" s="11">
        <v>4</v>
      </c>
      <c r="G129" s="21">
        <f>'DHKK A3'!G163</f>
        <v>21666667</v>
      </c>
      <c r="H129" s="18"/>
      <c r="I129" s="18"/>
      <c r="J129" s="18"/>
      <c r="K129" s="11">
        <f t="shared" ref="K129:K130" si="40">G129+H129+I129+J129</f>
        <v>21666667</v>
      </c>
      <c r="L129" s="11">
        <v>600000</v>
      </c>
      <c r="M129" s="11">
        <f>K129*8%</f>
        <v>1733333.36</v>
      </c>
      <c r="N129" s="11">
        <f t="shared" ref="N129:N131" si="41">L129*8%</f>
        <v>48000</v>
      </c>
      <c r="O129" s="11">
        <f t="shared" si="33"/>
        <v>93600001.439999998</v>
      </c>
      <c r="P129" s="11">
        <f t="shared" si="34"/>
        <v>2592000</v>
      </c>
      <c r="Q129" s="8"/>
    </row>
    <row r="130" spans="1:17" ht="31.5" x14ac:dyDescent="0.25">
      <c r="A130" s="8"/>
      <c r="B130" s="12" t="s">
        <v>150</v>
      </c>
      <c r="C130" s="12" t="s">
        <v>352</v>
      </c>
      <c r="D130" s="10" t="s">
        <v>399</v>
      </c>
      <c r="E130" s="10" t="s">
        <v>230</v>
      </c>
      <c r="F130" s="11">
        <v>2</v>
      </c>
      <c r="G130" s="21">
        <f>'DHKK A3'!G164</f>
        <v>32818182</v>
      </c>
      <c r="H130" s="18"/>
      <c r="I130" s="18"/>
      <c r="J130" s="18"/>
      <c r="K130" s="11">
        <f t="shared" si="40"/>
        <v>32818182</v>
      </c>
      <c r="L130" s="11">
        <v>600000</v>
      </c>
      <c r="M130" s="11">
        <f>K130*10%</f>
        <v>3281818.2</v>
      </c>
      <c r="N130" s="11">
        <f t="shared" si="41"/>
        <v>48000</v>
      </c>
      <c r="O130" s="11">
        <f t="shared" si="33"/>
        <v>72200000.400000006</v>
      </c>
      <c r="P130" s="11">
        <f t="shared" si="34"/>
        <v>1296000</v>
      </c>
      <c r="Q130" s="8"/>
    </row>
    <row r="131" spans="1:17" x14ac:dyDescent="0.25">
      <c r="A131" s="8"/>
      <c r="B131" s="12" t="s">
        <v>14</v>
      </c>
      <c r="C131" s="8"/>
      <c r="D131" s="10" t="s">
        <v>259</v>
      </c>
      <c r="E131" s="10" t="s">
        <v>226</v>
      </c>
      <c r="F131" s="11">
        <v>1</v>
      </c>
      <c r="G131" s="18">
        <f>600000*(F129+F130)</f>
        <v>3600000</v>
      </c>
      <c r="H131" s="18">
        <f t="shared" ref="H131" si="42">G131*5%</f>
        <v>180000</v>
      </c>
      <c r="I131" s="18">
        <f t="shared" ref="I131" si="43">(G131+H131)*10%</f>
        <v>378000</v>
      </c>
      <c r="J131" s="18">
        <f t="shared" ref="J131" si="44">(G131+H131+I131)*17%</f>
        <v>706860</v>
      </c>
      <c r="K131" s="11">
        <f t="shared" ref="K131" si="45">G131+H131+I131+J131</f>
        <v>4864860</v>
      </c>
      <c r="L131" s="11">
        <f t="shared" ref="L131" si="46">K131*25%</f>
        <v>1216215</v>
      </c>
      <c r="M131" s="11">
        <f t="shared" ref="M131" si="47">K131*8%</f>
        <v>389188.8</v>
      </c>
      <c r="N131" s="11">
        <f t="shared" si="41"/>
        <v>97297.2</v>
      </c>
      <c r="O131" s="11">
        <f t="shared" si="33"/>
        <v>5254048.8</v>
      </c>
      <c r="P131" s="11">
        <f t="shared" si="34"/>
        <v>1313512.2</v>
      </c>
      <c r="Q131" s="8"/>
    </row>
    <row r="132" spans="1:17" x14ac:dyDescent="0.25">
      <c r="A132" s="8"/>
      <c r="B132" s="12"/>
      <c r="C132" s="8" t="s">
        <v>389</v>
      </c>
      <c r="D132" s="10" t="s">
        <v>387</v>
      </c>
      <c r="E132" s="10" t="s">
        <v>388</v>
      </c>
      <c r="F132" s="11">
        <v>2</v>
      </c>
      <c r="G132" s="18"/>
      <c r="H132" s="18"/>
      <c r="I132" s="18"/>
      <c r="J132" s="18"/>
      <c r="K132" s="11">
        <f>K127</f>
        <v>405405</v>
      </c>
      <c r="L132" s="11">
        <f>K132*25%</f>
        <v>101351.25</v>
      </c>
      <c r="M132" s="11">
        <f t="shared" ref="M132" si="48">K132*8%</f>
        <v>32432.400000000001</v>
      </c>
      <c r="N132" s="11">
        <f t="shared" ref="N132" si="49">L132*8%</f>
        <v>8108.1</v>
      </c>
      <c r="O132" s="11">
        <f t="shared" si="33"/>
        <v>875674.8</v>
      </c>
      <c r="P132" s="11">
        <f t="shared" si="34"/>
        <v>218918.7</v>
      </c>
      <c r="Q132" s="8"/>
    </row>
    <row r="133" spans="1:17" ht="31.5" x14ac:dyDescent="0.25">
      <c r="A133" s="8"/>
      <c r="B133" s="14" t="s">
        <v>151</v>
      </c>
      <c r="C133" s="8"/>
      <c r="D133" s="8"/>
      <c r="E133" s="10" t="s">
        <v>231</v>
      </c>
      <c r="F133" s="11"/>
      <c r="G133" s="18"/>
      <c r="H133" s="18"/>
      <c r="I133" s="18"/>
      <c r="J133" s="18"/>
      <c r="K133" s="11"/>
      <c r="L133" s="11"/>
      <c r="M133" s="11"/>
      <c r="N133" s="11"/>
      <c r="O133" s="11"/>
      <c r="P133" s="11"/>
      <c r="Q133" s="8"/>
    </row>
    <row r="134" spans="1:17" ht="47.25" x14ac:dyDescent="0.25">
      <c r="A134" s="8"/>
      <c r="B134" s="12" t="s">
        <v>154</v>
      </c>
      <c r="C134" s="12" t="s">
        <v>357</v>
      </c>
      <c r="D134" s="10" t="s">
        <v>399</v>
      </c>
      <c r="E134" s="10" t="s">
        <v>230</v>
      </c>
      <c r="F134" s="11">
        <v>7</v>
      </c>
      <c r="G134" s="21">
        <f>'DHKK A3'!G171</f>
        <v>40600000</v>
      </c>
      <c r="H134" s="18"/>
      <c r="I134" s="18"/>
      <c r="J134" s="18"/>
      <c r="K134" s="11">
        <f t="shared" ref="K134:K136" si="50">G134+H134+I134+J134</f>
        <v>40600000</v>
      </c>
      <c r="L134" s="11">
        <v>1500000</v>
      </c>
      <c r="M134" s="11">
        <f>K134*10%</f>
        <v>4060000</v>
      </c>
      <c r="N134" s="11">
        <f t="shared" ref="N134:N137" si="51">L134*8%</f>
        <v>120000</v>
      </c>
      <c r="O134" s="11">
        <f t="shared" si="33"/>
        <v>312620000</v>
      </c>
      <c r="P134" s="11">
        <f t="shared" si="34"/>
        <v>11340000</v>
      </c>
      <c r="Q134" s="8"/>
    </row>
    <row r="135" spans="1:17" x14ac:dyDescent="0.25">
      <c r="A135" s="8"/>
      <c r="B135" s="12"/>
      <c r="C135" s="12" t="s">
        <v>401</v>
      </c>
      <c r="D135" s="10" t="s">
        <v>403</v>
      </c>
      <c r="E135" s="10" t="s">
        <v>227</v>
      </c>
      <c r="F135" s="11">
        <f>F134</f>
        <v>7</v>
      </c>
      <c r="G135" s="21">
        <f>'DHKK A3'!G173</f>
        <v>1168000</v>
      </c>
      <c r="H135" s="18"/>
      <c r="I135" s="18"/>
      <c r="J135" s="18"/>
      <c r="K135" s="11">
        <f t="shared" si="50"/>
        <v>1168000</v>
      </c>
      <c r="L135" s="11">
        <v>150000</v>
      </c>
      <c r="M135" s="11">
        <f>K135*8%</f>
        <v>93440</v>
      </c>
      <c r="N135" s="11">
        <f t="shared" si="51"/>
        <v>12000</v>
      </c>
      <c r="O135" s="11">
        <f t="shared" si="33"/>
        <v>8830080</v>
      </c>
      <c r="P135" s="11">
        <f t="shared" si="34"/>
        <v>1134000</v>
      </c>
      <c r="Q135" s="8"/>
    </row>
    <row r="136" spans="1:17" x14ac:dyDescent="0.25">
      <c r="A136" s="8"/>
      <c r="B136" s="12"/>
      <c r="C136" s="12" t="s">
        <v>402</v>
      </c>
      <c r="D136" s="10" t="s">
        <v>258</v>
      </c>
      <c r="E136" s="10" t="s">
        <v>227</v>
      </c>
      <c r="F136" s="11">
        <f>F134</f>
        <v>7</v>
      </c>
      <c r="G136" s="21">
        <f>'DHKK A3'!G174</f>
        <v>3344000</v>
      </c>
      <c r="H136" s="18"/>
      <c r="I136" s="18"/>
      <c r="J136" s="18"/>
      <c r="K136" s="11">
        <f t="shared" si="50"/>
        <v>3344000</v>
      </c>
      <c r="L136" s="11">
        <v>150000</v>
      </c>
      <c r="M136" s="11">
        <f>K136*8%</f>
        <v>267520</v>
      </c>
      <c r="N136" s="11">
        <f t="shared" si="51"/>
        <v>12000</v>
      </c>
      <c r="O136" s="11">
        <f t="shared" si="33"/>
        <v>25280640</v>
      </c>
      <c r="P136" s="11">
        <f t="shared" si="34"/>
        <v>1134000</v>
      </c>
      <c r="Q136" s="8"/>
    </row>
    <row r="137" spans="1:17" x14ac:dyDescent="0.25">
      <c r="A137" s="8"/>
      <c r="B137" s="12" t="s">
        <v>14</v>
      </c>
      <c r="C137" s="8"/>
      <c r="D137" s="8"/>
      <c r="E137" s="10" t="s">
        <v>226</v>
      </c>
      <c r="F137" s="11">
        <v>1</v>
      </c>
      <c r="G137" s="18">
        <f>1000000*F134</f>
        <v>7000000</v>
      </c>
      <c r="H137" s="18">
        <f t="shared" ref="H137" si="52">G137*5%</f>
        <v>350000</v>
      </c>
      <c r="I137" s="18">
        <f t="shared" ref="I137" si="53">(G137+H137)*10%</f>
        <v>735000</v>
      </c>
      <c r="J137" s="18">
        <f t="shared" ref="J137" si="54">(G137+H137+I137)*17%</f>
        <v>1374450</v>
      </c>
      <c r="K137" s="11">
        <f t="shared" ref="K137" si="55">G137+H137+I137+J137</f>
        <v>9459450</v>
      </c>
      <c r="L137" s="11">
        <f t="shared" ref="L137" si="56">K137*25%</f>
        <v>2364862.5</v>
      </c>
      <c r="M137" s="11">
        <f t="shared" ref="M137" si="57">K137*8%</f>
        <v>756756</v>
      </c>
      <c r="N137" s="11">
        <f t="shared" si="51"/>
        <v>189189</v>
      </c>
      <c r="O137" s="11">
        <f t="shared" si="33"/>
        <v>10216206</v>
      </c>
      <c r="P137" s="11">
        <f t="shared" si="34"/>
        <v>2554051.5</v>
      </c>
      <c r="Q137" s="8"/>
    </row>
    <row r="138" spans="1:17" x14ac:dyDescent="0.25">
      <c r="A138" s="8"/>
      <c r="B138" s="12"/>
      <c r="C138" s="8" t="s">
        <v>389</v>
      </c>
      <c r="D138" s="10" t="s">
        <v>387</v>
      </c>
      <c r="E138" s="10" t="s">
        <v>388</v>
      </c>
      <c r="F138" s="11">
        <v>2</v>
      </c>
      <c r="G138" s="18"/>
      <c r="H138" s="18"/>
      <c r="I138" s="18"/>
      <c r="J138" s="18"/>
      <c r="K138" s="11">
        <f>K132</f>
        <v>405405</v>
      </c>
      <c r="L138" s="11">
        <f>K138*25%</f>
        <v>101351.25</v>
      </c>
      <c r="M138" s="11">
        <f t="shared" ref="M138" si="58">K138*8%</f>
        <v>32432.400000000001</v>
      </c>
      <c r="N138" s="11">
        <f t="shared" ref="N138" si="59">L138*8%</f>
        <v>8108.1</v>
      </c>
      <c r="O138" s="11">
        <f t="shared" si="33"/>
        <v>875674.8</v>
      </c>
      <c r="P138" s="11">
        <f t="shared" si="34"/>
        <v>218918.7</v>
      </c>
      <c r="Q138" s="8"/>
    </row>
    <row r="139" spans="1:17" x14ac:dyDescent="0.25">
      <c r="A139" s="8"/>
      <c r="B139" s="14" t="s">
        <v>156</v>
      </c>
      <c r="C139" s="8"/>
      <c r="D139" s="8"/>
      <c r="E139" s="10" t="s">
        <v>231</v>
      </c>
      <c r="F139" s="11"/>
      <c r="G139" s="18"/>
      <c r="H139" s="18"/>
      <c r="I139" s="18"/>
      <c r="J139" s="18"/>
      <c r="K139" s="11"/>
      <c r="L139" s="11"/>
      <c r="M139" s="11"/>
      <c r="N139" s="11"/>
      <c r="O139" s="11"/>
      <c r="P139" s="11"/>
      <c r="Q139" s="8"/>
    </row>
    <row r="140" spans="1:17" ht="31.5" x14ac:dyDescent="0.25">
      <c r="A140" s="8"/>
      <c r="B140" s="12" t="s">
        <v>157</v>
      </c>
      <c r="C140" s="12" t="s">
        <v>353</v>
      </c>
      <c r="D140" s="19" t="s">
        <v>404</v>
      </c>
      <c r="E140" s="10" t="s">
        <v>230</v>
      </c>
      <c r="F140" s="11">
        <v>3</v>
      </c>
      <c r="G140" s="18">
        <f>'DHKK A3'!G178</f>
        <v>57150000</v>
      </c>
      <c r="H140" s="18"/>
      <c r="I140" s="18"/>
      <c r="J140" s="18"/>
      <c r="K140" s="11">
        <f t="shared" ref="K140" si="60">G140+H140+I140+J140</f>
        <v>57150000</v>
      </c>
      <c r="L140" s="11">
        <v>2000000</v>
      </c>
      <c r="M140" s="11">
        <f>K140*10%</f>
        <v>5715000</v>
      </c>
      <c r="N140" s="11">
        <f t="shared" ref="N140" si="61">L140*8%</f>
        <v>160000</v>
      </c>
      <c r="O140" s="11">
        <f t="shared" si="33"/>
        <v>188595000</v>
      </c>
      <c r="P140" s="11">
        <f t="shared" si="34"/>
        <v>6480000</v>
      </c>
      <c r="Q140" s="8"/>
    </row>
    <row r="141" spans="1:17" x14ac:dyDescent="0.25">
      <c r="A141" s="8"/>
      <c r="B141" s="12" t="s">
        <v>14</v>
      </c>
      <c r="C141" s="8"/>
      <c r="D141" s="10" t="s">
        <v>259</v>
      </c>
      <c r="E141" s="10" t="s">
        <v>226</v>
      </c>
      <c r="F141" s="11">
        <v>1</v>
      </c>
      <c r="G141" s="18">
        <f>620000*F140</f>
        <v>1860000</v>
      </c>
      <c r="H141" s="18">
        <f t="shared" ref="H141" si="62">G141*5%</f>
        <v>93000</v>
      </c>
      <c r="I141" s="18">
        <f t="shared" ref="I141" si="63">(G141+H141)*10%</f>
        <v>195300</v>
      </c>
      <c r="J141" s="18">
        <f t="shared" ref="J141" si="64">(G141+H141+I141)*17%</f>
        <v>365211</v>
      </c>
      <c r="K141" s="11">
        <f t="shared" ref="K141" si="65">G141+H141+I141+J141</f>
        <v>2513511</v>
      </c>
      <c r="L141" s="11">
        <f t="shared" ref="L141" si="66">K141*25%</f>
        <v>628377.75</v>
      </c>
      <c r="M141" s="11">
        <f t="shared" ref="M141" si="67">K141*8%</f>
        <v>201080.88</v>
      </c>
      <c r="N141" s="11">
        <f t="shared" ref="N141" si="68">L141*8%</f>
        <v>50270.22</v>
      </c>
      <c r="O141" s="11">
        <f t="shared" si="33"/>
        <v>2714591.88</v>
      </c>
      <c r="P141" s="11">
        <f t="shared" si="34"/>
        <v>678647.97</v>
      </c>
      <c r="Q141" s="8"/>
    </row>
    <row r="142" spans="1:17" x14ac:dyDescent="0.25">
      <c r="A142" s="8"/>
      <c r="B142" s="12"/>
      <c r="C142" s="8" t="s">
        <v>389</v>
      </c>
      <c r="D142" s="10" t="s">
        <v>387</v>
      </c>
      <c r="E142" s="10" t="s">
        <v>388</v>
      </c>
      <c r="F142" s="11">
        <v>2</v>
      </c>
      <c r="G142" s="18"/>
      <c r="H142" s="18"/>
      <c r="I142" s="18"/>
      <c r="J142" s="18"/>
      <c r="K142" s="11">
        <f>K138</f>
        <v>405405</v>
      </c>
      <c r="L142" s="11">
        <f>K142*25%</f>
        <v>101351.25</v>
      </c>
      <c r="M142" s="11">
        <f t="shared" ref="M142" si="69">K142*8%</f>
        <v>32432.400000000001</v>
      </c>
      <c r="N142" s="11">
        <f t="shared" ref="N142" si="70">L142*8%</f>
        <v>8108.1</v>
      </c>
      <c r="O142" s="11">
        <f t="shared" si="33"/>
        <v>875674.8</v>
      </c>
      <c r="P142" s="11">
        <f t="shared" si="34"/>
        <v>218918.7</v>
      </c>
      <c r="Q142" s="8"/>
    </row>
    <row r="143" spans="1:17" x14ac:dyDescent="0.25">
      <c r="A143" s="8"/>
      <c r="B143" s="14" t="s">
        <v>158</v>
      </c>
      <c r="C143" s="8"/>
      <c r="D143" s="8"/>
      <c r="E143" s="10" t="s">
        <v>231</v>
      </c>
      <c r="F143" s="11"/>
      <c r="G143" s="18"/>
      <c r="H143" s="18"/>
      <c r="I143" s="18"/>
      <c r="J143" s="18"/>
      <c r="K143" s="11"/>
      <c r="L143" s="11"/>
      <c r="M143" s="11"/>
      <c r="N143" s="11"/>
      <c r="O143" s="11"/>
      <c r="P143" s="11"/>
      <c r="Q143" s="8"/>
    </row>
    <row r="144" spans="1:17" ht="31.5" x14ac:dyDescent="0.25">
      <c r="A144" s="8"/>
      <c r="B144" s="12" t="s">
        <v>313</v>
      </c>
      <c r="C144" s="8"/>
      <c r="D144" s="8"/>
      <c r="E144" s="10" t="s">
        <v>229</v>
      </c>
      <c r="F144" s="11">
        <v>1</v>
      </c>
      <c r="G144" s="18"/>
      <c r="H144" s="18"/>
      <c r="I144" s="18"/>
      <c r="J144" s="18"/>
      <c r="K144" s="11"/>
      <c r="L144" s="11"/>
      <c r="M144" s="11"/>
      <c r="N144" s="11"/>
      <c r="O144" s="11"/>
      <c r="P144" s="11"/>
      <c r="Q144" s="8"/>
    </row>
    <row r="145" spans="1:17" ht="31.5" x14ac:dyDescent="0.25">
      <c r="A145" s="8"/>
      <c r="B145" s="12" t="s">
        <v>314</v>
      </c>
      <c r="C145" s="8"/>
      <c r="D145" s="8"/>
      <c r="E145" s="10" t="s">
        <v>229</v>
      </c>
      <c r="F145" s="11">
        <v>4</v>
      </c>
      <c r="G145" s="18"/>
      <c r="H145" s="18"/>
      <c r="I145" s="18"/>
      <c r="J145" s="18"/>
      <c r="K145" s="11"/>
      <c r="L145" s="11"/>
      <c r="M145" s="11"/>
      <c r="N145" s="11"/>
      <c r="O145" s="11"/>
      <c r="P145" s="11"/>
      <c r="Q145" s="8"/>
    </row>
    <row r="146" spans="1:17" ht="31.5" x14ac:dyDescent="0.25">
      <c r="A146" s="8"/>
      <c r="B146" s="12" t="s">
        <v>315</v>
      </c>
      <c r="C146" s="8"/>
      <c r="D146" s="8"/>
      <c r="E146" s="10" t="s">
        <v>229</v>
      </c>
      <c r="F146" s="11">
        <v>4</v>
      </c>
      <c r="G146" s="18"/>
      <c r="H146" s="18"/>
      <c r="I146" s="18"/>
      <c r="J146" s="18"/>
      <c r="K146" s="11"/>
      <c r="L146" s="11"/>
      <c r="M146" s="11"/>
      <c r="N146" s="11"/>
      <c r="O146" s="11"/>
      <c r="P146" s="11"/>
      <c r="Q146" s="8"/>
    </row>
    <row r="147" spans="1:17" ht="31.5" x14ac:dyDescent="0.25">
      <c r="A147" s="8"/>
      <c r="B147" s="12" t="s">
        <v>316</v>
      </c>
      <c r="C147" s="8"/>
      <c r="D147" s="8"/>
      <c r="E147" s="10" t="s">
        <v>229</v>
      </c>
      <c r="F147" s="11">
        <v>8</v>
      </c>
      <c r="G147" s="18"/>
      <c r="H147" s="18"/>
      <c r="I147" s="18"/>
      <c r="J147" s="18"/>
      <c r="K147" s="11"/>
      <c r="L147" s="11"/>
      <c r="M147" s="11"/>
      <c r="N147" s="11"/>
      <c r="O147" s="11"/>
      <c r="P147" s="11"/>
      <c r="Q147" s="8"/>
    </row>
    <row r="148" spans="1:17" ht="31.5" x14ac:dyDescent="0.25">
      <c r="A148" s="8"/>
      <c r="B148" s="12" t="s">
        <v>317</v>
      </c>
      <c r="C148" s="8"/>
      <c r="D148" s="8"/>
      <c r="E148" s="10" t="s">
        <v>229</v>
      </c>
      <c r="F148" s="11">
        <v>60</v>
      </c>
      <c r="G148" s="18"/>
      <c r="H148" s="18"/>
      <c r="I148" s="18"/>
      <c r="J148" s="18"/>
      <c r="K148" s="11"/>
      <c r="L148" s="11"/>
      <c r="M148" s="11"/>
      <c r="N148" s="11"/>
      <c r="O148" s="11"/>
      <c r="P148" s="11"/>
      <c r="Q148" s="8"/>
    </row>
    <row r="149" spans="1:17" ht="31.5" x14ac:dyDescent="0.25">
      <c r="A149" s="8"/>
      <c r="B149" s="12" t="s">
        <v>160</v>
      </c>
      <c r="C149" s="8"/>
      <c r="D149" s="8"/>
      <c r="E149" s="10" t="s">
        <v>229</v>
      </c>
      <c r="F149" s="11">
        <v>2</v>
      </c>
      <c r="G149" s="18"/>
      <c r="H149" s="18"/>
      <c r="I149" s="18"/>
      <c r="J149" s="18"/>
      <c r="K149" s="11"/>
      <c r="L149" s="11"/>
      <c r="M149" s="11"/>
      <c r="N149" s="11"/>
      <c r="O149" s="11"/>
      <c r="P149" s="11"/>
      <c r="Q149" s="8"/>
    </row>
    <row r="150" spans="1:17" ht="31.5" x14ac:dyDescent="0.25">
      <c r="A150" s="8"/>
      <c r="B150" s="12" t="s">
        <v>318</v>
      </c>
      <c r="C150" s="8"/>
      <c r="D150" s="8"/>
      <c r="E150" s="10" t="s">
        <v>229</v>
      </c>
      <c r="F150" s="11">
        <v>2</v>
      </c>
      <c r="G150" s="18"/>
      <c r="H150" s="18"/>
      <c r="I150" s="18"/>
      <c r="J150" s="18"/>
      <c r="K150" s="11"/>
      <c r="L150" s="11"/>
      <c r="M150" s="11"/>
      <c r="N150" s="11"/>
      <c r="O150" s="11"/>
      <c r="P150" s="11"/>
      <c r="Q150" s="8"/>
    </row>
    <row r="151" spans="1:17" x14ac:dyDescent="0.25">
      <c r="A151" s="8"/>
      <c r="B151" s="12" t="s">
        <v>319</v>
      </c>
      <c r="C151" s="8"/>
      <c r="D151" s="8"/>
      <c r="E151" s="10" t="s">
        <v>229</v>
      </c>
      <c r="F151" s="11">
        <v>1</v>
      </c>
      <c r="G151" s="18"/>
      <c r="H151" s="18"/>
      <c r="I151" s="18"/>
      <c r="J151" s="18"/>
      <c r="K151" s="11"/>
      <c r="L151" s="11"/>
      <c r="M151" s="11"/>
      <c r="N151" s="11"/>
      <c r="O151" s="11"/>
      <c r="P151" s="11"/>
      <c r="Q151" s="8"/>
    </row>
    <row r="152" spans="1:17" ht="31.5" x14ac:dyDescent="0.25">
      <c r="A152" s="8"/>
      <c r="B152" s="12" t="s">
        <v>320</v>
      </c>
      <c r="C152" s="8"/>
      <c r="D152" s="8"/>
      <c r="E152" s="10" t="s">
        <v>229</v>
      </c>
      <c r="F152" s="11">
        <v>2</v>
      </c>
      <c r="G152" s="18"/>
      <c r="H152" s="18"/>
      <c r="I152" s="18"/>
      <c r="J152" s="18"/>
      <c r="K152" s="11"/>
      <c r="L152" s="11"/>
      <c r="M152" s="11"/>
      <c r="N152" s="11"/>
      <c r="O152" s="11"/>
      <c r="P152" s="11"/>
      <c r="Q152" s="8"/>
    </row>
    <row r="153" spans="1:17" ht="31.5" x14ac:dyDescent="0.25">
      <c r="A153" s="8"/>
      <c r="B153" s="12" t="s">
        <v>321</v>
      </c>
      <c r="C153" s="8"/>
      <c r="D153" s="8"/>
      <c r="E153" s="10" t="s">
        <v>229</v>
      </c>
      <c r="F153" s="11">
        <v>3</v>
      </c>
      <c r="G153" s="18"/>
      <c r="H153" s="18"/>
      <c r="I153" s="18"/>
      <c r="J153" s="18"/>
      <c r="K153" s="11"/>
      <c r="L153" s="11"/>
      <c r="M153" s="11"/>
      <c r="N153" s="11"/>
      <c r="O153" s="11"/>
      <c r="P153" s="11"/>
      <c r="Q153" s="8"/>
    </row>
    <row r="154" spans="1:17" ht="31.5" x14ac:dyDescent="0.25">
      <c r="A154" s="8"/>
      <c r="B154" s="12" t="s">
        <v>322</v>
      </c>
      <c r="C154" s="8"/>
      <c r="D154" s="8"/>
      <c r="E154" s="10" t="s">
        <v>229</v>
      </c>
      <c r="F154" s="11">
        <v>2</v>
      </c>
      <c r="G154" s="18"/>
      <c r="H154" s="18"/>
      <c r="I154" s="18"/>
      <c r="J154" s="18"/>
      <c r="K154" s="11"/>
      <c r="L154" s="11"/>
      <c r="M154" s="11"/>
      <c r="N154" s="11"/>
      <c r="O154" s="11"/>
      <c r="P154" s="11"/>
      <c r="Q154" s="8"/>
    </row>
    <row r="155" spans="1:17" ht="31.5" x14ac:dyDescent="0.25">
      <c r="A155" s="8"/>
      <c r="B155" s="12" t="s">
        <v>323</v>
      </c>
      <c r="C155" s="8"/>
      <c r="D155" s="8"/>
      <c r="E155" s="10" t="s">
        <v>229</v>
      </c>
      <c r="F155" s="11">
        <v>3</v>
      </c>
      <c r="G155" s="18"/>
      <c r="H155" s="18"/>
      <c r="I155" s="18"/>
      <c r="J155" s="18"/>
      <c r="K155" s="11"/>
      <c r="L155" s="11"/>
      <c r="M155" s="11"/>
      <c r="N155" s="11"/>
      <c r="O155" s="11"/>
      <c r="P155" s="11"/>
      <c r="Q155" s="8"/>
    </row>
    <row r="156" spans="1:17" ht="31.5" x14ac:dyDescent="0.25">
      <c r="A156" s="8"/>
      <c r="B156" s="12" t="s">
        <v>324</v>
      </c>
      <c r="C156" s="8"/>
      <c r="D156" s="8"/>
      <c r="E156" s="10" t="s">
        <v>229</v>
      </c>
      <c r="F156" s="11">
        <v>4</v>
      </c>
      <c r="G156" s="18"/>
      <c r="H156" s="18"/>
      <c r="I156" s="18"/>
      <c r="J156" s="18"/>
      <c r="K156" s="11"/>
      <c r="L156" s="11"/>
      <c r="M156" s="11"/>
      <c r="N156" s="11"/>
      <c r="O156" s="11"/>
      <c r="P156" s="11"/>
      <c r="Q156" s="8"/>
    </row>
    <row r="157" spans="1:17" ht="31.5" x14ac:dyDescent="0.25">
      <c r="A157" s="8"/>
      <c r="B157" s="12" t="s">
        <v>325</v>
      </c>
      <c r="C157" s="8"/>
      <c r="D157" s="8"/>
      <c r="E157" s="10" t="s">
        <v>229</v>
      </c>
      <c r="F157" s="11">
        <v>1</v>
      </c>
      <c r="G157" s="18"/>
      <c r="H157" s="18"/>
      <c r="I157" s="18"/>
      <c r="J157" s="18"/>
      <c r="K157" s="11"/>
      <c r="L157" s="11"/>
      <c r="M157" s="11"/>
      <c r="N157" s="11"/>
      <c r="O157" s="11"/>
      <c r="P157" s="11"/>
      <c r="Q157" s="8"/>
    </row>
    <row r="158" spans="1:17" ht="31.5" x14ac:dyDescent="0.25">
      <c r="A158" s="8"/>
      <c r="B158" s="12" t="s">
        <v>326</v>
      </c>
      <c r="C158" s="8"/>
      <c r="D158" s="8"/>
      <c r="E158" s="10" t="s">
        <v>229</v>
      </c>
      <c r="F158" s="11">
        <v>4</v>
      </c>
      <c r="G158" s="18"/>
      <c r="H158" s="18"/>
      <c r="I158" s="18"/>
      <c r="J158" s="18"/>
      <c r="K158" s="11"/>
      <c r="L158" s="11"/>
      <c r="M158" s="11"/>
      <c r="N158" s="11"/>
      <c r="O158" s="11"/>
      <c r="P158" s="11"/>
      <c r="Q158" s="8"/>
    </row>
    <row r="159" spans="1:17" ht="31.5" x14ac:dyDescent="0.25">
      <c r="A159" s="8"/>
      <c r="B159" s="12" t="s">
        <v>327</v>
      </c>
      <c r="C159" s="8"/>
      <c r="D159" s="8"/>
      <c r="E159" s="10" t="s">
        <v>229</v>
      </c>
      <c r="F159" s="11">
        <v>3</v>
      </c>
      <c r="G159" s="18"/>
      <c r="H159" s="18"/>
      <c r="I159" s="18"/>
      <c r="J159" s="18"/>
      <c r="K159" s="11"/>
      <c r="L159" s="11"/>
      <c r="M159" s="11"/>
      <c r="N159" s="11"/>
      <c r="O159" s="11"/>
      <c r="P159" s="11"/>
      <c r="Q159" s="8"/>
    </row>
    <row r="160" spans="1:17" x14ac:dyDescent="0.25">
      <c r="A160" s="8"/>
      <c r="B160" s="14" t="s">
        <v>169</v>
      </c>
      <c r="C160" s="8"/>
      <c r="D160" s="8"/>
      <c r="E160" s="10" t="s">
        <v>231</v>
      </c>
      <c r="F160" s="11"/>
      <c r="G160" s="18"/>
      <c r="H160" s="18"/>
      <c r="I160" s="18"/>
      <c r="J160" s="18"/>
      <c r="K160" s="11"/>
      <c r="L160" s="11"/>
      <c r="M160" s="11"/>
      <c r="N160" s="11"/>
      <c r="O160" s="11"/>
      <c r="P160" s="11"/>
      <c r="Q160" s="8"/>
    </row>
    <row r="161" spans="1:17" x14ac:dyDescent="0.25">
      <c r="A161" s="8"/>
      <c r="B161" s="12" t="s">
        <v>170</v>
      </c>
      <c r="C161" s="8"/>
      <c r="D161" s="8"/>
      <c r="E161" s="10" t="s">
        <v>229</v>
      </c>
      <c r="F161" s="11">
        <v>1</v>
      </c>
      <c r="G161" s="18"/>
      <c r="H161" s="18"/>
      <c r="I161" s="18"/>
      <c r="J161" s="18"/>
      <c r="K161" s="11"/>
      <c r="L161" s="11"/>
      <c r="M161" s="11"/>
      <c r="N161" s="11"/>
      <c r="O161" s="11"/>
      <c r="P161" s="11"/>
      <c r="Q161" s="8"/>
    </row>
    <row r="162" spans="1:17" x14ac:dyDescent="0.25">
      <c r="A162" s="8"/>
      <c r="B162" s="12" t="s">
        <v>171</v>
      </c>
      <c r="C162" s="12"/>
      <c r="D162" s="10"/>
      <c r="E162" s="10" t="s">
        <v>229</v>
      </c>
      <c r="F162" s="11">
        <v>2</v>
      </c>
      <c r="G162" s="18"/>
      <c r="H162" s="18"/>
      <c r="I162" s="18"/>
      <c r="J162" s="18"/>
      <c r="K162" s="11"/>
      <c r="L162" s="11"/>
      <c r="M162" s="11"/>
      <c r="N162" s="11"/>
      <c r="O162" s="11"/>
      <c r="P162" s="11"/>
      <c r="Q162" s="8"/>
    </row>
    <row r="163" spans="1:17" x14ac:dyDescent="0.25">
      <c r="A163" s="8"/>
      <c r="B163" s="12" t="s">
        <v>328</v>
      </c>
      <c r="C163" s="12"/>
      <c r="D163" s="10"/>
      <c r="E163" s="10" t="s">
        <v>229</v>
      </c>
      <c r="F163" s="11">
        <v>1</v>
      </c>
      <c r="G163" s="18"/>
      <c r="H163" s="18"/>
      <c r="I163" s="18"/>
      <c r="J163" s="18"/>
      <c r="K163" s="11"/>
      <c r="L163" s="11"/>
      <c r="M163" s="11"/>
      <c r="N163" s="11"/>
      <c r="O163" s="11"/>
      <c r="P163" s="11"/>
      <c r="Q163" s="8"/>
    </row>
    <row r="164" spans="1:17" x14ac:dyDescent="0.25">
      <c r="A164" s="8"/>
      <c r="B164" s="12" t="s">
        <v>329</v>
      </c>
      <c r="C164" s="12"/>
      <c r="D164" s="10"/>
      <c r="E164" s="10" t="s">
        <v>229</v>
      </c>
      <c r="F164" s="11">
        <v>1</v>
      </c>
      <c r="G164" s="18"/>
      <c r="H164" s="18"/>
      <c r="I164" s="18"/>
      <c r="J164" s="18"/>
      <c r="K164" s="11"/>
      <c r="L164" s="11"/>
      <c r="M164" s="11"/>
      <c r="N164" s="11"/>
      <c r="O164" s="11"/>
      <c r="P164" s="11"/>
      <c r="Q164" s="8"/>
    </row>
    <row r="165" spans="1:17" x14ac:dyDescent="0.25">
      <c r="A165" s="8"/>
      <c r="B165" s="12" t="s">
        <v>179</v>
      </c>
      <c r="C165" s="8"/>
      <c r="D165" s="8"/>
      <c r="E165" s="10" t="s">
        <v>229</v>
      </c>
      <c r="F165" s="11">
        <v>1</v>
      </c>
      <c r="G165" s="18"/>
      <c r="H165" s="18"/>
      <c r="I165" s="18"/>
      <c r="J165" s="18"/>
      <c r="K165" s="11"/>
      <c r="L165" s="11"/>
      <c r="M165" s="11"/>
      <c r="N165" s="11"/>
      <c r="O165" s="11"/>
      <c r="P165" s="11"/>
      <c r="Q165" s="8"/>
    </row>
    <row r="166" spans="1:17" x14ac:dyDescent="0.25">
      <c r="A166" s="8"/>
      <c r="B166" s="12" t="s">
        <v>330</v>
      </c>
      <c r="C166" s="8"/>
      <c r="D166" s="8"/>
      <c r="E166" s="10" t="s">
        <v>229</v>
      </c>
      <c r="F166" s="11">
        <v>1</v>
      </c>
      <c r="G166" s="18"/>
      <c r="H166" s="18"/>
      <c r="I166" s="18"/>
      <c r="J166" s="18"/>
      <c r="K166" s="11"/>
      <c r="L166" s="11"/>
      <c r="M166" s="11"/>
      <c r="N166" s="11"/>
      <c r="O166" s="11"/>
      <c r="P166" s="11"/>
      <c r="Q166" s="8"/>
    </row>
    <row r="167" spans="1:17" x14ac:dyDescent="0.25">
      <c r="A167" s="8"/>
      <c r="B167" s="12" t="s">
        <v>179</v>
      </c>
      <c r="C167" s="12"/>
      <c r="D167" s="10"/>
      <c r="E167" s="10" t="s">
        <v>229</v>
      </c>
      <c r="F167" s="11">
        <v>1</v>
      </c>
      <c r="G167" s="18"/>
      <c r="H167" s="18"/>
      <c r="I167" s="18"/>
      <c r="J167" s="18"/>
      <c r="K167" s="11"/>
      <c r="L167" s="11"/>
      <c r="M167" s="11"/>
      <c r="N167" s="11"/>
      <c r="O167" s="11"/>
      <c r="P167" s="11"/>
      <c r="Q167" s="8"/>
    </row>
    <row r="168" spans="1:17" x14ac:dyDescent="0.25">
      <c r="A168" s="8"/>
      <c r="B168" s="12" t="s">
        <v>331</v>
      </c>
      <c r="C168" s="12"/>
      <c r="D168" s="10"/>
      <c r="E168" s="10" t="s">
        <v>229</v>
      </c>
      <c r="F168" s="11">
        <v>1</v>
      </c>
      <c r="G168" s="18"/>
      <c r="H168" s="18"/>
      <c r="I168" s="18"/>
      <c r="J168" s="18"/>
      <c r="K168" s="11"/>
      <c r="L168" s="11"/>
      <c r="M168" s="11"/>
      <c r="N168" s="11"/>
      <c r="O168" s="11"/>
      <c r="P168" s="11"/>
      <c r="Q168" s="8"/>
    </row>
    <row r="169" spans="1:17" ht="31.5" x14ac:dyDescent="0.25">
      <c r="A169" s="8"/>
      <c r="B169" s="12" t="s">
        <v>172</v>
      </c>
      <c r="C169" s="8"/>
      <c r="D169" s="8"/>
      <c r="E169" s="10" t="s">
        <v>229</v>
      </c>
      <c r="F169" s="11">
        <v>2</v>
      </c>
      <c r="G169" s="18"/>
      <c r="H169" s="18"/>
      <c r="I169" s="18"/>
      <c r="J169" s="18"/>
      <c r="K169" s="11"/>
      <c r="L169" s="11"/>
      <c r="M169" s="11"/>
      <c r="N169" s="11"/>
      <c r="O169" s="11"/>
      <c r="P169" s="11"/>
      <c r="Q169" s="8"/>
    </row>
    <row r="170" spans="1:17" ht="31.5" x14ac:dyDescent="0.25">
      <c r="A170" s="8"/>
      <c r="B170" s="12" t="s">
        <v>332</v>
      </c>
      <c r="C170" s="8"/>
      <c r="D170" s="8"/>
      <c r="E170" s="10" t="s">
        <v>229</v>
      </c>
      <c r="F170" s="11">
        <v>1</v>
      </c>
      <c r="G170" s="18"/>
      <c r="H170" s="18"/>
      <c r="I170" s="18"/>
      <c r="J170" s="18"/>
      <c r="K170" s="11"/>
      <c r="L170" s="11"/>
      <c r="M170" s="11"/>
      <c r="N170" s="11"/>
      <c r="O170" s="11"/>
      <c r="P170" s="11"/>
      <c r="Q170" s="8"/>
    </row>
    <row r="171" spans="1:17" ht="31.5" x14ac:dyDescent="0.25">
      <c r="A171" s="8"/>
      <c r="B171" s="12" t="s">
        <v>174</v>
      </c>
      <c r="C171" s="12"/>
      <c r="D171" s="10"/>
      <c r="E171" s="10" t="s">
        <v>229</v>
      </c>
      <c r="F171" s="11">
        <v>1</v>
      </c>
      <c r="G171" s="18"/>
      <c r="H171" s="18"/>
      <c r="I171" s="18"/>
      <c r="J171" s="18"/>
      <c r="K171" s="11"/>
      <c r="L171" s="11"/>
      <c r="M171" s="11"/>
      <c r="N171" s="11"/>
      <c r="O171" s="11"/>
      <c r="P171" s="11"/>
      <c r="Q171" s="8"/>
    </row>
    <row r="172" spans="1:17" ht="31.5" x14ac:dyDescent="0.25">
      <c r="A172" s="8"/>
      <c r="B172" s="12" t="s">
        <v>333</v>
      </c>
      <c r="C172" s="12"/>
      <c r="D172" s="10"/>
      <c r="E172" s="10" t="s">
        <v>229</v>
      </c>
      <c r="F172" s="11">
        <v>1</v>
      </c>
      <c r="G172" s="18"/>
      <c r="H172" s="18"/>
      <c r="I172" s="18"/>
      <c r="J172" s="18"/>
      <c r="K172" s="11"/>
      <c r="L172" s="11"/>
      <c r="M172" s="11"/>
      <c r="N172" s="11"/>
      <c r="O172" s="11"/>
      <c r="P172" s="11"/>
      <c r="Q172" s="8"/>
    </row>
    <row r="173" spans="1:17" ht="31.5" x14ac:dyDescent="0.25">
      <c r="A173" s="8"/>
      <c r="B173" s="12" t="s">
        <v>183</v>
      </c>
      <c r="C173" s="12"/>
      <c r="D173" s="10"/>
      <c r="E173" s="10" t="s">
        <v>229</v>
      </c>
      <c r="F173" s="11">
        <v>2</v>
      </c>
      <c r="G173" s="18"/>
      <c r="H173" s="18"/>
      <c r="I173" s="18"/>
      <c r="J173" s="18"/>
      <c r="K173" s="11"/>
      <c r="L173" s="11"/>
      <c r="M173" s="11"/>
      <c r="N173" s="11"/>
      <c r="O173" s="11"/>
      <c r="P173" s="11"/>
      <c r="Q173" s="8"/>
    </row>
    <row r="174" spans="1:17" ht="31.5" x14ac:dyDescent="0.25">
      <c r="A174" s="8"/>
      <c r="B174" s="12" t="s">
        <v>334</v>
      </c>
      <c r="C174" s="12"/>
      <c r="D174" s="10"/>
      <c r="E174" s="10" t="s">
        <v>229</v>
      </c>
      <c r="F174" s="11">
        <v>1</v>
      </c>
      <c r="G174" s="18"/>
      <c r="H174" s="18"/>
      <c r="I174" s="18"/>
      <c r="J174" s="18"/>
      <c r="K174" s="11"/>
      <c r="L174" s="11"/>
      <c r="M174" s="11"/>
      <c r="N174" s="11"/>
      <c r="O174" s="11"/>
      <c r="P174" s="11"/>
      <c r="Q174" s="8"/>
    </row>
    <row r="175" spans="1:17" ht="31.5" x14ac:dyDescent="0.25">
      <c r="A175" s="8"/>
      <c r="B175" s="12" t="s">
        <v>335</v>
      </c>
      <c r="C175" s="12"/>
      <c r="D175" s="10"/>
      <c r="E175" s="10" t="s">
        <v>229</v>
      </c>
      <c r="F175" s="11">
        <v>1</v>
      </c>
      <c r="G175" s="18"/>
      <c r="H175" s="18"/>
      <c r="I175" s="18"/>
      <c r="J175" s="18"/>
      <c r="K175" s="11"/>
      <c r="L175" s="11"/>
      <c r="M175" s="11"/>
      <c r="N175" s="11"/>
      <c r="O175" s="11"/>
      <c r="P175" s="11"/>
      <c r="Q175" s="8"/>
    </row>
    <row r="176" spans="1:17" ht="31.5" x14ac:dyDescent="0.25">
      <c r="A176" s="8"/>
      <c r="B176" s="12" t="s">
        <v>188</v>
      </c>
      <c r="C176" s="8"/>
      <c r="D176" s="10"/>
      <c r="E176" s="10" t="s">
        <v>229</v>
      </c>
      <c r="F176" s="11">
        <v>1</v>
      </c>
      <c r="G176" s="18"/>
      <c r="H176" s="18"/>
      <c r="I176" s="18"/>
      <c r="J176" s="18"/>
      <c r="K176" s="11"/>
      <c r="L176" s="11"/>
      <c r="M176" s="11"/>
      <c r="N176" s="11"/>
      <c r="O176" s="11"/>
      <c r="P176" s="11"/>
      <c r="Q176" s="8"/>
    </row>
    <row r="177" spans="1:17" x14ac:dyDescent="0.25">
      <c r="A177" s="8"/>
      <c r="B177" s="14" t="s">
        <v>189</v>
      </c>
      <c r="C177" s="12"/>
      <c r="D177" s="10"/>
      <c r="E177" s="10" t="s">
        <v>231</v>
      </c>
      <c r="F177" s="11"/>
      <c r="G177" s="18"/>
      <c r="H177" s="18"/>
      <c r="I177" s="18"/>
      <c r="J177" s="18"/>
      <c r="K177" s="11"/>
      <c r="L177" s="11"/>
      <c r="M177" s="11"/>
      <c r="N177" s="11"/>
      <c r="O177" s="11"/>
      <c r="P177" s="11"/>
      <c r="Q177" s="8"/>
    </row>
    <row r="178" spans="1:17" x14ac:dyDescent="0.25">
      <c r="A178" s="8"/>
      <c r="B178" s="12" t="s">
        <v>190</v>
      </c>
      <c r="C178" s="8"/>
      <c r="D178" s="10"/>
      <c r="E178" s="10" t="s">
        <v>229</v>
      </c>
      <c r="F178" s="11">
        <v>35</v>
      </c>
      <c r="G178" s="18"/>
      <c r="H178" s="18"/>
      <c r="I178" s="18"/>
      <c r="J178" s="18"/>
      <c r="K178" s="11"/>
      <c r="L178" s="11"/>
      <c r="M178" s="11"/>
      <c r="N178" s="11"/>
      <c r="O178" s="11"/>
      <c r="P178" s="11"/>
      <c r="Q178" s="8"/>
    </row>
    <row r="179" spans="1:17" x14ac:dyDescent="0.25">
      <c r="A179" s="8"/>
      <c r="B179" s="12" t="s">
        <v>191</v>
      </c>
      <c r="C179" s="8"/>
      <c r="D179" s="8"/>
      <c r="E179" s="10" t="s">
        <v>229</v>
      </c>
      <c r="F179" s="11">
        <v>3</v>
      </c>
      <c r="G179" s="18"/>
      <c r="H179" s="18"/>
      <c r="I179" s="18"/>
      <c r="J179" s="18"/>
      <c r="K179" s="11"/>
      <c r="L179" s="11"/>
      <c r="M179" s="11"/>
      <c r="N179" s="11"/>
      <c r="O179" s="11"/>
      <c r="P179" s="11"/>
      <c r="Q179" s="8"/>
    </row>
    <row r="180" spans="1:17" x14ac:dyDescent="0.25">
      <c r="A180" s="8"/>
      <c r="B180" s="12" t="s">
        <v>336</v>
      </c>
      <c r="C180" s="8"/>
      <c r="D180" s="8"/>
      <c r="E180" s="10" t="s">
        <v>229</v>
      </c>
      <c r="F180" s="11">
        <v>1</v>
      </c>
      <c r="G180" s="18"/>
      <c r="H180" s="18"/>
      <c r="I180" s="18"/>
      <c r="J180" s="18"/>
      <c r="K180" s="11"/>
      <c r="L180" s="11"/>
      <c r="M180" s="11"/>
      <c r="N180" s="11"/>
      <c r="O180" s="11"/>
      <c r="P180" s="11"/>
      <c r="Q180" s="8"/>
    </row>
    <row r="181" spans="1:17" x14ac:dyDescent="0.25">
      <c r="A181" s="8"/>
      <c r="B181" s="12" t="s">
        <v>337</v>
      </c>
      <c r="C181" s="8"/>
      <c r="D181" s="8"/>
      <c r="E181" s="10" t="s">
        <v>229</v>
      </c>
      <c r="F181" s="11">
        <v>1</v>
      </c>
      <c r="G181" s="18"/>
      <c r="H181" s="18"/>
      <c r="I181" s="18"/>
      <c r="J181" s="18"/>
      <c r="K181" s="11"/>
      <c r="L181" s="11"/>
      <c r="M181" s="11"/>
      <c r="N181" s="11"/>
      <c r="O181" s="11"/>
      <c r="P181" s="11"/>
      <c r="Q181" s="8"/>
    </row>
    <row r="182" spans="1:17" x14ac:dyDescent="0.25">
      <c r="A182" s="8"/>
      <c r="B182" s="12" t="s">
        <v>338</v>
      </c>
      <c r="C182" s="8"/>
      <c r="D182" s="8"/>
      <c r="E182" s="10" t="s">
        <v>229</v>
      </c>
      <c r="F182" s="11">
        <v>2</v>
      </c>
      <c r="G182" s="18"/>
      <c r="H182" s="18"/>
      <c r="I182" s="18"/>
      <c r="J182" s="18"/>
      <c r="K182" s="11"/>
      <c r="L182" s="11"/>
      <c r="M182" s="11"/>
      <c r="N182" s="11"/>
      <c r="O182" s="11"/>
      <c r="P182" s="11"/>
      <c r="Q182" s="8"/>
    </row>
    <row r="183" spans="1:17" x14ac:dyDescent="0.25">
      <c r="A183" s="8"/>
      <c r="B183" s="12" t="s">
        <v>339</v>
      </c>
      <c r="C183" s="8"/>
      <c r="D183" s="8"/>
      <c r="E183" s="10" t="s">
        <v>229</v>
      </c>
      <c r="F183" s="11">
        <v>2</v>
      </c>
      <c r="G183" s="18"/>
      <c r="H183" s="18"/>
      <c r="I183" s="18"/>
      <c r="J183" s="18"/>
      <c r="K183" s="11"/>
      <c r="L183" s="11"/>
      <c r="M183" s="11"/>
      <c r="N183" s="11"/>
      <c r="O183" s="11"/>
      <c r="P183" s="11"/>
      <c r="Q183" s="8"/>
    </row>
    <row r="184" spans="1:17" x14ac:dyDescent="0.25">
      <c r="A184" s="8"/>
      <c r="B184" s="12" t="s">
        <v>340</v>
      </c>
      <c r="C184" s="8"/>
      <c r="D184" s="8"/>
      <c r="E184" s="10" t="s">
        <v>229</v>
      </c>
      <c r="F184" s="11">
        <v>1</v>
      </c>
      <c r="G184" s="18"/>
      <c r="H184" s="18"/>
      <c r="I184" s="18"/>
      <c r="J184" s="18"/>
      <c r="K184" s="11"/>
      <c r="L184" s="11"/>
      <c r="M184" s="11"/>
      <c r="N184" s="11"/>
      <c r="O184" s="11"/>
      <c r="P184" s="11"/>
      <c r="Q184" s="8"/>
    </row>
    <row r="185" spans="1:17" x14ac:dyDescent="0.25">
      <c r="A185" s="8"/>
      <c r="B185" s="12" t="s">
        <v>341</v>
      </c>
      <c r="C185" s="8"/>
      <c r="D185" s="8"/>
      <c r="E185" s="10" t="s">
        <v>229</v>
      </c>
      <c r="F185" s="11">
        <v>1</v>
      </c>
      <c r="G185" s="18"/>
      <c r="H185" s="18"/>
      <c r="I185" s="18"/>
      <c r="J185" s="18"/>
      <c r="K185" s="11"/>
      <c r="L185" s="11"/>
      <c r="M185" s="11"/>
      <c r="N185" s="11"/>
      <c r="O185" s="11"/>
      <c r="P185" s="11"/>
      <c r="Q185" s="8"/>
    </row>
    <row r="186" spans="1:17" x14ac:dyDescent="0.25">
      <c r="A186" s="8"/>
      <c r="B186" s="12" t="s">
        <v>196</v>
      </c>
      <c r="C186" s="8"/>
      <c r="D186" s="8"/>
      <c r="E186" s="10" t="s">
        <v>229</v>
      </c>
      <c r="F186" s="11">
        <v>2</v>
      </c>
      <c r="G186" s="18"/>
      <c r="H186" s="18"/>
      <c r="I186" s="18"/>
      <c r="J186" s="18"/>
      <c r="K186" s="11"/>
      <c r="L186" s="11"/>
      <c r="M186" s="11"/>
      <c r="N186" s="11"/>
      <c r="O186" s="11"/>
      <c r="P186" s="11"/>
      <c r="Q186" s="8"/>
    </row>
    <row r="187" spans="1:17" x14ac:dyDescent="0.25">
      <c r="A187" s="8"/>
      <c r="B187" s="12" t="s">
        <v>190</v>
      </c>
      <c r="C187" s="8"/>
      <c r="D187" s="8"/>
      <c r="E187" s="10" t="s">
        <v>229</v>
      </c>
      <c r="F187" s="11">
        <v>1</v>
      </c>
      <c r="G187" s="18"/>
      <c r="H187" s="18"/>
      <c r="I187" s="18"/>
      <c r="J187" s="18"/>
      <c r="K187" s="11"/>
      <c r="L187" s="11"/>
      <c r="M187" s="11"/>
      <c r="N187" s="11"/>
      <c r="O187" s="11"/>
      <c r="P187" s="11"/>
      <c r="Q187" s="8"/>
    </row>
    <row r="188" spans="1:17" x14ac:dyDescent="0.25">
      <c r="A188" s="8"/>
      <c r="B188" s="12" t="s">
        <v>191</v>
      </c>
      <c r="C188" s="8"/>
      <c r="D188" s="8"/>
      <c r="E188" s="10" t="s">
        <v>229</v>
      </c>
      <c r="F188" s="11">
        <v>1</v>
      </c>
      <c r="G188" s="18"/>
      <c r="H188" s="18"/>
      <c r="I188" s="18"/>
      <c r="J188" s="18"/>
      <c r="K188" s="11"/>
      <c r="L188" s="11"/>
      <c r="M188" s="11"/>
      <c r="N188" s="11"/>
      <c r="O188" s="11"/>
      <c r="P188" s="11"/>
      <c r="Q188" s="8"/>
    </row>
    <row r="189" spans="1:17" x14ac:dyDescent="0.25">
      <c r="A189" s="8"/>
      <c r="B189" s="12" t="s">
        <v>342</v>
      </c>
      <c r="C189" s="8"/>
      <c r="D189" s="8"/>
      <c r="E189" s="10" t="s">
        <v>229</v>
      </c>
      <c r="F189" s="11">
        <v>1</v>
      </c>
      <c r="G189" s="18"/>
      <c r="H189" s="18"/>
      <c r="I189" s="18"/>
      <c r="J189" s="18"/>
      <c r="K189" s="11"/>
      <c r="L189" s="11"/>
      <c r="M189" s="11"/>
      <c r="N189" s="11"/>
      <c r="O189" s="11"/>
      <c r="P189" s="11"/>
      <c r="Q189" s="8"/>
    </row>
    <row r="190" spans="1:17" x14ac:dyDescent="0.25">
      <c r="A190" s="8"/>
      <c r="B190" s="12" t="s">
        <v>192</v>
      </c>
      <c r="C190" s="8"/>
      <c r="D190" s="8"/>
      <c r="E190" s="10" t="s">
        <v>229</v>
      </c>
      <c r="F190" s="11">
        <v>1</v>
      </c>
      <c r="G190" s="18"/>
      <c r="H190" s="18"/>
      <c r="I190" s="18"/>
      <c r="J190" s="18"/>
      <c r="K190" s="11"/>
      <c r="L190" s="11"/>
      <c r="M190" s="11"/>
      <c r="N190" s="11"/>
      <c r="O190" s="11"/>
      <c r="P190" s="11"/>
      <c r="Q190" s="8"/>
    </row>
    <row r="191" spans="1:17" x14ac:dyDescent="0.25">
      <c r="A191" s="8"/>
      <c r="B191" s="12" t="s">
        <v>343</v>
      </c>
      <c r="C191" s="8"/>
      <c r="D191" s="8"/>
      <c r="E191" s="10" t="s">
        <v>229</v>
      </c>
      <c r="F191" s="11">
        <v>1</v>
      </c>
      <c r="G191" s="18"/>
      <c r="H191" s="18"/>
      <c r="I191" s="18"/>
      <c r="J191" s="18"/>
      <c r="K191" s="11"/>
      <c r="L191" s="11"/>
      <c r="M191" s="11"/>
      <c r="N191" s="11"/>
      <c r="O191" s="11"/>
      <c r="P191" s="11"/>
      <c r="Q191" s="8"/>
    </row>
    <row r="192" spans="1:17" x14ac:dyDescent="0.25">
      <c r="A192" s="8"/>
      <c r="B192" s="12" t="s">
        <v>344</v>
      </c>
      <c r="C192" s="8"/>
      <c r="D192" s="8"/>
      <c r="E192" s="10" t="s">
        <v>229</v>
      </c>
      <c r="F192" s="11">
        <v>1</v>
      </c>
      <c r="G192" s="18"/>
      <c r="H192" s="18"/>
      <c r="I192" s="18"/>
      <c r="J192" s="18"/>
      <c r="K192" s="11"/>
      <c r="L192" s="11"/>
      <c r="M192" s="11"/>
      <c r="N192" s="11"/>
      <c r="O192" s="11"/>
      <c r="P192" s="11"/>
      <c r="Q192" s="8"/>
    </row>
    <row r="193" spans="1:17" x14ac:dyDescent="0.25">
      <c r="A193" s="8"/>
      <c r="B193" s="12" t="s">
        <v>345</v>
      </c>
      <c r="C193" s="8"/>
      <c r="D193" s="8"/>
      <c r="E193" s="10" t="s">
        <v>229</v>
      </c>
      <c r="F193" s="11">
        <v>1</v>
      </c>
      <c r="G193" s="18"/>
      <c r="H193" s="18"/>
      <c r="I193" s="18"/>
      <c r="J193" s="18"/>
      <c r="K193" s="11"/>
      <c r="L193" s="11"/>
      <c r="M193" s="11"/>
      <c r="N193" s="11"/>
      <c r="O193" s="11"/>
      <c r="P193" s="11"/>
      <c r="Q193" s="8"/>
    </row>
    <row r="194" spans="1:17" x14ac:dyDescent="0.25">
      <c r="A194" s="8"/>
      <c r="B194" s="12" t="s">
        <v>346</v>
      </c>
      <c r="C194" s="8"/>
      <c r="D194" s="8"/>
      <c r="E194" s="10" t="s">
        <v>229</v>
      </c>
      <c r="F194" s="11">
        <v>1</v>
      </c>
      <c r="G194" s="18"/>
      <c r="H194" s="18"/>
      <c r="I194" s="18"/>
      <c r="J194" s="18"/>
      <c r="K194" s="11"/>
      <c r="L194" s="11"/>
      <c r="M194" s="11"/>
      <c r="N194" s="11"/>
      <c r="O194" s="11"/>
      <c r="P194" s="11"/>
      <c r="Q194" s="8"/>
    </row>
    <row r="195" spans="1:17" x14ac:dyDescent="0.25">
      <c r="A195" s="8"/>
      <c r="B195" s="12" t="s">
        <v>347</v>
      </c>
      <c r="C195" s="8"/>
      <c r="D195" s="8"/>
      <c r="E195" s="10" t="s">
        <v>229</v>
      </c>
      <c r="F195" s="11">
        <v>1</v>
      </c>
      <c r="G195" s="18"/>
      <c r="H195" s="18"/>
      <c r="I195" s="18"/>
      <c r="J195" s="18"/>
      <c r="K195" s="11"/>
      <c r="L195" s="11"/>
      <c r="M195" s="11"/>
      <c r="N195" s="11"/>
      <c r="O195" s="11"/>
      <c r="P195" s="11"/>
      <c r="Q195" s="8"/>
    </row>
    <row r="196" spans="1:17" x14ac:dyDescent="0.25">
      <c r="A196" s="8"/>
      <c r="B196" s="12" t="s">
        <v>348</v>
      </c>
      <c r="C196" s="8"/>
      <c r="D196" s="8"/>
      <c r="E196" s="10" t="s">
        <v>229</v>
      </c>
      <c r="F196" s="11">
        <v>1</v>
      </c>
      <c r="G196" s="18"/>
      <c r="H196" s="18"/>
      <c r="I196" s="18"/>
      <c r="J196" s="18"/>
      <c r="K196" s="11"/>
      <c r="L196" s="11"/>
      <c r="M196" s="11"/>
      <c r="N196" s="11"/>
      <c r="O196" s="11"/>
      <c r="P196" s="11"/>
      <c r="Q196" s="8"/>
    </row>
    <row r="197" spans="1:17" x14ac:dyDescent="0.25">
      <c r="A197" s="8"/>
      <c r="B197" s="9" t="s">
        <v>206</v>
      </c>
      <c r="C197" s="8"/>
      <c r="D197" s="8"/>
      <c r="E197" s="10" t="s">
        <v>231</v>
      </c>
      <c r="F197" s="11"/>
      <c r="G197" s="18"/>
      <c r="H197" s="18"/>
      <c r="I197" s="18"/>
      <c r="J197" s="18"/>
      <c r="K197" s="11"/>
      <c r="L197" s="11"/>
      <c r="M197" s="11"/>
      <c r="N197" s="11"/>
      <c r="O197" s="11"/>
      <c r="P197" s="11"/>
      <c r="Q197" s="8"/>
    </row>
    <row r="198" spans="1:17" x14ac:dyDescent="0.25">
      <c r="A198" s="8"/>
      <c r="B198" s="14" t="s">
        <v>4</v>
      </c>
      <c r="C198" s="8"/>
      <c r="D198" s="8"/>
      <c r="E198" s="10" t="s">
        <v>231</v>
      </c>
      <c r="F198" s="11"/>
      <c r="G198" s="18"/>
      <c r="H198" s="18"/>
      <c r="I198" s="18"/>
      <c r="J198" s="18"/>
      <c r="K198" s="11"/>
      <c r="L198" s="11"/>
      <c r="M198" s="11"/>
      <c r="N198" s="11"/>
      <c r="O198" s="11"/>
      <c r="P198" s="11"/>
      <c r="Q198" s="8"/>
    </row>
    <row r="199" spans="1:17" x14ac:dyDescent="0.25">
      <c r="A199" s="8"/>
      <c r="B199" s="14" t="s">
        <v>5</v>
      </c>
      <c r="C199" s="8"/>
      <c r="D199" s="8"/>
      <c r="E199" s="10" t="s">
        <v>231</v>
      </c>
      <c r="F199" s="11"/>
      <c r="G199" s="18"/>
      <c r="H199" s="18"/>
      <c r="I199" s="18"/>
      <c r="J199" s="18"/>
      <c r="K199" s="11"/>
      <c r="L199" s="11"/>
      <c r="M199" s="11"/>
      <c r="N199" s="11"/>
      <c r="O199" s="11"/>
      <c r="P199" s="11"/>
      <c r="Q199" s="8"/>
    </row>
    <row r="200" spans="1:17" x14ac:dyDescent="0.25">
      <c r="A200" s="8"/>
      <c r="B200" s="12" t="s">
        <v>6</v>
      </c>
      <c r="C200" s="8" t="s">
        <v>395</v>
      </c>
      <c r="D200" s="8" t="s">
        <v>247</v>
      </c>
      <c r="E200" s="10" t="s">
        <v>225</v>
      </c>
      <c r="F200" s="11">
        <v>3936</v>
      </c>
      <c r="G200" s="18"/>
      <c r="H200" s="18"/>
      <c r="I200" s="18"/>
      <c r="J200" s="18"/>
      <c r="K200" s="11">
        <f>K8</f>
        <v>19464.845400000002</v>
      </c>
      <c r="L200" s="11">
        <f>K200*25%</f>
        <v>4866.2113500000005</v>
      </c>
      <c r="M200" s="11">
        <f t="shared" ref="M200:M202" si="71">K200*8%</f>
        <v>1557.1876320000001</v>
      </c>
      <c r="N200" s="11">
        <f t="shared" ref="N200:N202" si="72">L200*8%</f>
        <v>389.29690800000003</v>
      </c>
      <c r="O200" s="11">
        <f t="shared" ref="O200:O215" si="73">(K200+M200)*F200</f>
        <v>82742722.013952017</v>
      </c>
      <c r="P200" s="11">
        <f t="shared" ref="P200:P215" si="74">(L200+N200)*F200</f>
        <v>20685680.503488004</v>
      </c>
      <c r="Q200" s="8"/>
    </row>
    <row r="201" spans="1:17" x14ac:dyDescent="0.25">
      <c r="A201" s="8"/>
      <c r="B201" s="12" t="s">
        <v>7</v>
      </c>
      <c r="C201" s="12" t="s">
        <v>394</v>
      </c>
      <c r="D201" s="8" t="s">
        <v>247</v>
      </c>
      <c r="E201" s="10" t="s">
        <v>225</v>
      </c>
      <c r="F201" s="11">
        <v>4592</v>
      </c>
      <c r="G201" s="18"/>
      <c r="H201" s="18"/>
      <c r="I201" s="18"/>
      <c r="J201" s="18"/>
      <c r="K201" s="11">
        <f>K9</f>
        <v>23789.165400000005</v>
      </c>
      <c r="L201" s="11">
        <f>K201*25%</f>
        <v>5947.2913500000013</v>
      </c>
      <c r="M201" s="11">
        <f t="shared" si="71"/>
        <v>1903.1332320000004</v>
      </c>
      <c r="N201" s="11">
        <f t="shared" si="72"/>
        <v>475.78330800000009</v>
      </c>
      <c r="O201" s="11">
        <f t="shared" si="73"/>
        <v>117979035.31814402</v>
      </c>
      <c r="P201" s="11">
        <f t="shared" si="74"/>
        <v>29494758.829536006</v>
      </c>
      <c r="Q201" s="8"/>
    </row>
    <row r="202" spans="1:17" x14ac:dyDescent="0.25">
      <c r="A202" s="8"/>
      <c r="B202" s="12" t="s">
        <v>13</v>
      </c>
      <c r="C202" s="8"/>
      <c r="D202" s="10" t="s">
        <v>259</v>
      </c>
      <c r="E202" s="10" t="s">
        <v>226</v>
      </c>
      <c r="F202" s="11">
        <v>1</v>
      </c>
      <c r="G202" s="18">
        <f>SUM(O199:O200)*17%</f>
        <v>14066262.742371844</v>
      </c>
      <c r="H202" s="18">
        <f t="shared" ref="H202:H203" si="75">G202*5%</f>
        <v>703313.13711859228</v>
      </c>
      <c r="I202" s="18">
        <f t="shared" ref="I202" si="76">(G202+H202)*10%</f>
        <v>1476957.5879490438</v>
      </c>
      <c r="J202" s="18">
        <f t="shared" ref="J202" si="77">(G202+H202+I202)*17%</f>
        <v>2761910.689464712</v>
      </c>
      <c r="K202" s="11">
        <f t="shared" ref="K202" si="78">G202+H202+I202+J202</f>
        <v>19008444.156904191</v>
      </c>
      <c r="L202" s="11">
        <f>K202*25%</f>
        <v>4752111.0392260477</v>
      </c>
      <c r="M202" s="11">
        <f t="shared" si="71"/>
        <v>1520675.5325523352</v>
      </c>
      <c r="N202" s="11">
        <f t="shared" si="72"/>
        <v>380168.88313808379</v>
      </c>
      <c r="O202" s="11">
        <f t="shared" si="73"/>
        <v>20529119.689456526</v>
      </c>
      <c r="P202" s="11">
        <f t="shared" si="74"/>
        <v>5132279.9223641315</v>
      </c>
      <c r="Q202" s="8"/>
    </row>
    <row r="203" spans="1:17" x14ac:dyDescent="0.25">
      <c r="A203" s="8"/>
      <c r="B203" s="12" t="s">
        <v>14</v>
      </c>
      <c r="C203" s="8"/>
      <c r="D203" s="10" t="s">
        <v>259</v>
      </c>
      <c r="E203" s="10" t="s">
        <v>226</v>
      </c>
      <c r="F203" s="11">
        <v>1</v>
      </c>
      <c r="G203" s="18">
        <f>SUM(O200:O201)*15%</f>
        <v>30108263.599814404</v>
      </c>
      <c r="H203" s="18">
        <f t="shared" si="75"/>
        <v>1505413.1799907202</v>
      </c>
      <c r="I203" s="18">
        <f t="shared" ref="I203" si="79">(G203+H203)*10%</f>
        <v>3161367.6779805124</v>
      </c>
      <c r="J203" s="18">
        <f t="shared" ref="J203" si="80">(G203+H203+I203)*17%</f>
        <v>5911757.5578235583</v>
      </c>
      <c r="K203" s="11">
        <f t="shared" ref="K203" si="81">G203+H203+I203+J203</f>
        <v>40686802.015609197</v>
      </c>
      <c r="L203" s="11">
        <f>K203*25%</f>
        <v>10171700.503902299</v>
      </c>
      <c r="M203" s="11">
        <f t="shared" ref="M203" si="82">K203*8%</f>
        <v>3254944.1612487361</v>
      </c>
      <c r="N203" s="11">
        <f t="shared" ref="N203" si="83">L203*8%</f>
        <v>813736.04031218402</v>
      </c>
      <c r="O203" s="11">
        <f t="shared" si="73"/>
        <v>43941746.176857933</v>
      </c>
      <c r="P203" s="11">
        <f t="shared" si="74"/>
        <v>10985436.544214483</v>
      </c>
      <c r="Q203" s="8"/>
    </row>
    <row r="204" spans="1:17" ht="31.5" x14ac:dyDescent="0.25">
      <c r="A204" s="8"/>
      <c r="B204" s="14" t="s">
        <v>15</v>
      </c>
      <c r="C204" s="8"/>
      <c r="D204" s="8"/>
      <c r="E204" s="10" t="s">
        <v>231</v>
      </c>
      <c r="F204" s="11"/>
      <c r="G204" s="18"/>
      <c r="H204" s="18"/>
      <c r="I204" s="18"/>
      <c r="J204" s="18"/>
      <c r="K204" s="11"/>
      <c r="L204" s="11"/>
      <c r="M204" s="11"/>
      <c r="N204" s="11"/>
      <c r="O204" s="11"/>
      <c r="P204" s="11"/>
      <c r="Q204" s="8"/>
    </row>
    <row r="205" spans="1:17" ht="31.5" x14ac:dyDescent="0.25">
      <c r="A205" s="8"/>
      <c r="B205" s="12" t="s">
        <v>16</v>
      </c>
      <c r="C205" s="13" t="s">
        <v>369</v>
      </c>
      <c r="D205" s="19" t="s">
        <v>391</v>
      </c>
      <c r="E205" s="10" t="s">
        <v>225</v>
      </c>
      <c r="F205" s="11">
        <v>3936</v>
      </c>
      <c r="G205" s="18"/>
      <c r="H205" s="18"/>
      <c r="I205" s="18"/>
      <c r="J205" s="18"/>
      <c r="K205" s="11">
        <f>K19</f>
        <v>47035.763774999999</v>
      </c>
      <c r="L205" s="11">
        <f>K205*25%</f>
        <v>11758.94094375</v>
      </c>
      <c r="M205" s="11">
        <f t="shared" ref="M205:M206" si="84">K205*8%</f>
        <v>3762.8611019999998</v>
      </c>
      <c r="N205" s="11">
        <f t="shared" ref="N205:N206" si="85">L205*8%</f>
        <v>940.71527549999996</v>
      </c>
      <c r="O205" s="11">
        <f t="shared" si="73"/>
        <v>199943387.515872</v>
      </c>
      <c r="P205" s="11">
        <f t="shared" si="74"/>
        <v>49985846.878968</v>
      </c>
      <c r="Q205" s="8"/>
    </row>
    <row r="206" spans="1:17" ht="31.5" x14ac:dyDescent="0.25">
      <c r="A206" s="8"/>
      <c r="B206" s="12" t="s">
        <v>17</v>
      </c>
      <c r="C206" s="13" t="s">
        <v>370</v>
      </c>
      <c r="D206" s="19" t="s">
        <v>391</v>
      </c>
      <c r="E206" s="10" t="s">
        <v>225</v>
      </c>
      <c r="F206" s="11">
        <v>4592</v>
      </c>
      <c r="G206" s="18"/>
      <c r="H206" s="18"/>
      <c r="I206" s="18"/>
      <c r="J206" s="18"/>
      <c r="K206" s="11">
        <f>K20</f>
        <v>52801.974225000005</v>
      </c>
      <c r="L206" s="11">
        <f>K206*25%</f>
        <v>13200.493556250001</v>
      </c>
      <c r="M206" s="11">
        <f t="shared" si="84"/>
        <v>4224.1579380000003</v>
      </c>
      <c r="N206" s="11">
        <f t="shared" si="85"/>
        <v>1056.0394845000001</v>
      </c>
      <c r="O206" s="11">
        <f t="shared" si="73"/>
        <v>261863998.89249602</v>
      </c>
      <c r="P206" s="11">
        <f t="shared" si="74"/>
        <v>65465999.723124005</v>
      </c>
      <c r="Q206" s="8"/>
    </row>
    <row r="207" spans="1:17" x14ac:dyDescent="0.25">
      <c r="A207" s="8"/>
      <c r="B207" s="14" t="s">
        <v>23</v>
      </c>
      <c r="C207" s="8"/>
      <c r="D207" s="8"/>
      <c r="E207" s="10" t="s">
        <v>231</v>
      </c>
      <c r="F207" s="11"/>
      <c r="G207" s="18"/>
      <c r="H207" s="18"/>
      <c r="I207" s="18"/>
      <c r="J207" s="18"/>
      <c r="K207" s="11"/>
      <c r="L207" s="11"/>
      <c r="M207" s="11"/>
      <c r="N207" s="11"/>
      <c r="O207" s="11"/>
      <c r="P207" s="11"/>
      <c r="Q207" s="8"/>
    </row>
    <row r="208" spans="1:17" x14ac:dyDescent="0.25">
      <c r="A208" s="8"/>
      <c r="B208" s="12" t="s">
        <v>24</v>
      </c>
      <c r="C208" s="8" t="s">
        <v>248</v>
      </c>
      <c r="D208" s="10" t="s">
        <v>257</v>
      </c>
      <c r="E208" s="10" t="s">
        <v>225</v>
      </c>
      <c r="F208" s="11">
        <v>26240</v>
      </c>
      <c r="G208" s="18"/>
      <c r="H208" s="18"/>
      <c r="I208" s="18"/>
      <c r="J208" s="18"/>
      <c r="K208" s="11">
        <f>K28</f>
        <v>71267.625</v>
      </c>
      <c r="L208" s="11">
        <f>K208*25%</f>
        <v>17816.90625</v>
      </c>
      <c r="M208" s="11">
        <f t="shared" ref="M208:M210" si="86">K208*10%</f>
        <v>7126.7625000000007</v>
      </c>
      <c r="N208" s="11">
        <f t="shared" ref="N208:N210" si="87">L208*8%</f>
        <v>1425.3525</v>
      </c>
      <c r="O208" s="11">
        <f t="shared" si="73"/>
        <v>2057068728</v>
      </c>
      <c r="P208" s="11">
        <f t="shared" si="74"/>
        <v>504916869.60000002</v>
      </c>
      <c r="Q208" s="8"/>
    </row>
    <row r="209" spans="1:17" x14ac:dyDescent="0.25">
      <c r="A209" s="8"/>
      <c r="B209" s="12" t="s">
        <v>25</v>
      </c>
      <c r="C209" s="13" t="s">
        <v>249</v>
      </c>
      <c r="D209" s="10" t="s">
        <v>257</v>
      </c>
      <c r="E209" s="10" t="s">
        <v>225</v>
      </c>
      <c r="F209" s="11">
        <v>19680</v>
      </c>
      <c r="G209" s="18"/>
      <c r="H209" s="18"/>
      <c r="I209" s="18"/>
      <c r="J209" s="18"/>
      <c r="K209" s="11">
        <f>K29</f>
        <v>111486.375</v>
      </c>
      <c r="L209" s="11">
        <f t="shared" ref="L209:L210" si="88">K209*25%</f>
        <v>27871.59375</v>
      </c>
      <c r="M209" s="11">
        <f t="shared" si="86"/>
        <v>11148.637500000001</v>
      </c>
      <c r="N209" s="11">
        <f t="shared" si="87"/>
        <v>2229.7275</v>
      </c>
      <c r="O209" s="11">
        <f t="shared" si="73"/>
        <v>2413457046</v>
      </c>
      <c r="P209" s="11">
        <f t="shared" si="74"/>
        <v>592394002.20000005</v>
      </c>
      <c r="Q209" s="8"/>
    </row>
    <row r="210" spans="1:17" x14ac:dyDescent="0.25">
      <c r="A210" s="8"/>
      <c r="B210" s="12" t="s">
        <v>26</v>
      </c>
      <c r="C210" s="13" t="s">
        <v>250</v>
      </c>
      <c r="D210" s="10" t="s">
        <v>257</v>
      </c>
      <c r="E210" s="10" t="s">
        <v>225</v>
      </c>
      <c r="F210" s="11">
        <v>9840</v>
      </c>
      <c r="G210" s="18"/>
      <c r="H210" s="18"/>
      <c r="I210" s="18"/>
      <c r="J210" s="18"/>
      <c r="K210" s="11">
        <f>K30</f>
        <v>151866</v>
      </c>
      <c r="L210" s="11">
        <f t="shared" si="88"/>
        <v>37966.5</v>
      </c>
      <c r="M210" s="11">
        <f t="shared" si="86"/>
        <v>15186.6</v>
      </c>
      <c r="N210" s="11">
        <f t="shared" si="87"/>
        <v>3037.32</v>
      </c>
      <c r="O210" s="11">
        <f t="shared" si="73"/>
        <v>1643797584</v>
      </c>
      <c r="P210" s="11">
        <f t="shared" si="74"/>
        <v>403477588.80000001</v>
      </c>
      <c r="Q210" s="8"/>
    </row>
    <row r="211" spans="1:17" x14ac:dyDescent="0.25">
      <c r="A211" s="8"/>
      <c r="B211" s="12" t="s">
        <v>14</v>
      </c>
      <c r="C211" s="8"/>
      <c r="D211" s="8"/>
      <c r="E211" s="10" t="s">
        <v>226</v>
      </c>
      <c r="F211" s="11">
        <v>1</v>
      </c>
      <c r="G211" s="18">
        <f>SUM(O208:O210)*20%</f>
        <v>1222864671.6000001</v>
      </c>
      <c r="H211" s="18">
        <f t="shared" ref="H211" si="89">G211*5%</f>
        <v>61143233.580000013</v>
      </c>
      <c r="I211" s="18">
        <f t="shared" ref="I211" si="90">(G211+H211)*10%</f>
        <v>128400790.51800001</v>
      </c>
      <c r="J211" s="18">
        <f t="shared" ref="J211" si="91">(G211+H211+I211)*17%</f>
        <v>240109478.26866001</v>
      </c>
      <c r="K211" s="11">
        <f t="shared" ref="K211" si="92">G211+H211+I211+J211</f>
        <v>1652518173.96666</v>
      </c>
      <c r="L211" s="11">
        <f>K211*25%</f>
        <v>413129543.49166501</v>
      </c>
      <c r="M211" s="11">
        <f t="shared" ref="M211:N211" si="93">K211*8%</f>
        <v>132201453.9173328</v>
      </c>
      <c r="N211" s="11">
        <f t="shared" si="93"/>
        <v>33050363.4793332</v>
      </c>
      <c r="O211" s="11">
        <f t="shared" si="73"/>
        <v>1784719627.8839929</v>
      </c>
      <c r="P211" s="11">
        <f t="shared" si="74"/>
        <v>446179906.97099823</v>
      </c>
      <c r="Q211" s="8"/>
    </row>
    <row r="212" spans="1:17" ht="31.5" x14ac:dyDescent="0.25">
      <c r="A212" s="8"/>
      <c r="B212" s="14" t="s">
        <v>35</v>
      </c>
      <c r="C212" s="8"/>
      <c r="D212" s="8"/>
      <c r="E212" s="10" t="s">
        <v>231</v>
      </c>
      <c r="F212" s="11"/>
      <c r="G212" s="18"/>
      <c r="H212" s="18"/>
      <c r="I212" s="18"/>
      <c r="J212" s="18"/>
      <c r="K212" s="11"/>
      <c r="L212" s="11"/>
      <c r="M212" s="11"/>
      <c r="N212" s="11"/>
      <c r="O212" s="11"/>
      <c r="P212" s="11"/>
      <c r="Q212" s="8"/>
    </row>
    <row r="213" spans="1:17" ht="31.5" x14ac:dyDescent="0.25">
      <c r="A213" s="8"/>
      <c r="B213" s="12" t="s">
        <v>36</v>
      </c>
      <c r="C213" s="8" t="str">
        <f t="shared" ref="C213:D215" si="94">C43</f>
        <v>Cách nhiệt ống Ø6.35 dày 20mm</v>
      </c>
      <c r="D213" s="19" t="str">
        <f t="shared" si="94"/>
        <v>THERMOBREAK-Sekisui /Thái Lan</v>
      </c>
      <c r="E213" s="10" t="s">
        <v>225</v>
      </c>
      <c r="F213" s="11">
        <v>26240</v>
      </c>
      <c r="G213" s="18"/>
      <c r="H213" s="18"/>
      <c r="I213" s="18"/>
      <c r="J213" s="18"/>
      <c r="K213" s="11">
        <f>K43</f>
        <v>70145.399999999994</v>
      </c>
      <c r="L213" s="11">
        <f>K213*25%</f>
        <v>17536.349999999999</v>
      </c>
      <c r="M213" s="11">
        <f t="shared" ref="M213:M215" si="95">K213*8%</f>
        <v>5611.6319999999996</v>
      </c>
      <c r="N213" s="11">
        <f t="shared" ref="N213:N215" si="96">L213*8%</f>
        <v>1402.9079999999999</v>
      </c>
      <c r="O213" s="11">
        <f t="shared" si="73"/>
        <v>1987864519.6799998</v>
      </c>
      <c r="P213" s="11">
        <f t="shared" si="74"/>
        <v>496966129.91999996</v>
      </c>
      <c r="Q213" s="8"/>
    </row>
    <row r="214" spans="1:17" ht="31.5" x14ac:dyDescent="0.25">
      <c r="A214" s="8"/>
      <c r="B214" s="12" t="s">
        <v>37</v>
      </c>
      <c r="C214" s="8" t="str">
        <f t="shared" si="94"/>
        <v>Cách nhiệt ống Ø9.5 dày 20mm</v>
      </c>
      <c r="D214" s="19" t="str">
        <f t="shared" si="94"/>
        <v>THERMOBREAK-Sekisui /Thái Lan</v>
      </c>
      <c r="E214" s="10" t="s">
        <v>225</v>
      </c>
      <c r="F214" s="11">
        <v>19680</v>
      </c>
      <c r="G214" s="18"/>
      <c r="H214" s="18"/>
      <c r="I214" s="18"/>
      <c r="J214" s="18"/>
      <c r="K214" s="11">
        <f>K44</f>
        <v>79474.2</v>
      </c>
      <c r="L214" s="11">
        <f t="shared" ref="L214:L215" si="97">K214*25%</f>
        <v>19868.55</v>
      </c>
      <c r="M214" s="11">
        <f t="shared" si="95"/>
        <v>6357.9359999999997</v>
      </c>
      <c r="N214" s="11">
        <f t="shared" si="96"/>
        <v>1589.4839999999999</v>
      </c>
      <c r="O214" s="11">
        <f t="shared" si="73"/>
        <v>1689176436.48</v>
      </c>
      <c r="P214" s="11">
        <f t="shared" si="74"/>
        <v>422294109.12</v>
      </c>
      <c r="Q214" s="8"/>
    </row>
    <row r="215" spans="1:17" ht="31.5" x14ac:dyDescent="0.25">
      <c r="A215" s="8"/>
      <c r="B215" s="12" t="s">
        <v>38</v>
      </c>
      <c r="C215" s="8" t="str">
        <f t="shared" si="94"/>
        <v>Cách nhiệt ống Ø12.7 dày 20mm</v>
      </c>
      <c r="D215" s="19" t="str">
        <f t="shared" si="94"/>
        <v>THERMOBREAK-Sekisui /Thái Lan</v>
      </c>
      <c r="E215" s="10" t="s">
        <v>225</v>
      </c>
      <c r="F215" s="11">
        <v>9840</v>
      </c>
      <c r="G215" s="18"/>
      <c r="H215" s="18"/>
      <c r="I215" s="18"/>
      <c r="J215" s="18"/>
      <c r="K215" s="11">
        <f>K45</f>
        <v>87726.6</v>
      </c>
      <c r="L215" s="11">
        <f t="shared" si="97"/>
        <v>21931.65</v>
      </c>
      <c r="M215" s="11">
        <f t="shared" si="95"/>
        <v>7018.1280000000006</v>
      </c>
      <c r="N215" s="11">
        <f t="shared" si="96"/>
        <v>1754.5320000000002</v>
      </c>
      <c r="O215" s="11">
        <f t="shared" si="73"/>
        <v>932288123.51999998</v>
      </c>
      <c r="P215" s="11">
        <f t="shared" si="74"/>
        <v>233072030.88</v>
      </c>
      <c r="Q215" s="8"/>
    </row>
    <row r="216" spans="1:17" x14ac:dyDescent="0.25">
      <c r="A216" s="8"/>
      <c r="B216" s="14" t="s">
        <v>45</v>
      </c>
      <c r="C216" s="8"/>
      <c r="D216" s="8"/>
      <c r="E216" s="10" t="s">
        <v>231</v>
      </c>
      <c r="F216" s="11"/>
      <c r="G216" s="18"/>
      <c r="H216" s="18"/>
      <c r="I216" s="18"/>
      <c r="J216" s="18"/>
      <c r="K216" s="11"/>
      <c r="L216" s="11"/>
      <c r="M216" s="11"/>
      <c r="N216" s="11"/>
      <c r="O216" s="11"/>
      <c r="P216" s="11"/>
      <c r="Q216" s="8"/>
    </row>
    <row r="217" spans="1:17" x14ac:dyDescent="0.25">
      <c r="A217" s="8"/>
      <c r="B217" s="14" t="s">
        <v>207</v>
      </c>
      <c r="C217" s="8"/>
      <c r="D217" s="8"/>
      <c r="E217" s="10" t="s">
        <v>231</v>
      </c>
      <c r="F217" s="11"/>
      <c r="G217" s="18"/>
      <c r="H217" s="18"/>
      <c r="I217" s="18"/>
      <c r="J217" s="18"/>
      <c r="K217" s="11"/>
      <c r="L217" s="11"/>
      <c r="M217" s="11"/>
      <c r="N217" s="11"/>
      <c r="O217" s="11"/>
      <c r="P217" s="11"/>
      <c r="Q217" s="8"/>
    </row>
    <row r="218" spans="1:17" x14ac:dyDescent="0.25">
      <c r="A218" s="8"/>
      <c r="B218" s="12" t="s">
        <v>208</v>
      </c>
      <c r="C218" s="8"/>
      <c r="D218" s="8"/>
      <c r="E218" s="10" t="s">
        <v>225</v>
      </c>
      <c r="F218" s="11">
        <v>16400</v>
      </c>
      <c r="G218" s="18"/>
      <c r="H218" s="18"/>
      <c r="I218" s="18"/>
      <c r="J218" s="18"/>
      <c r="K218" s="11"/>
      <c r="L218" s="11"/>
      <c r="M218" s="11"/>
      <c r="N218" s="11"/>
      <c r="O218" s="11"/>
      <c r="P218" s="11"/>
      <c r="Q218" s="8"/>
    </row>
    <row r="219" spans="1:17" x14ac:dyDescent="0.25">
      <c r="A219" s="8"/>
      <c r="B219" s="12" t="s">
        <v>209</v>
      </c>
      <c r="C219" s="8"/>
      <c r="D219" s="8"/>
      <c r="E219" s="10" t="s">
        <v>225</v>
      </c>
      <c r="F219" s="11">
        <v>2624</v>
      </c>
      <c r="G219" s="18"/>
      <c r="H219" s="18"/>
      <c r="I219" s="18"/>
      <c r="J219" s="18"/>
      <c r="K219" s="11"/>
      <c r="L219" s="11"/>
      <c r="M219" s="11"/>
      <c r="N219" s="11"/>
      <c r="O219" s="11"/>
      <c r="P219" s="11"/>
      <c r="Q219" s="8"/>
    </row>
    <row r="220" spans="1:17" x14ac:dyDescent="0.25">
      <c r="A220" s="8"/>
      <c r="B220" s="14" t="s">
        <v>210</v>
      </c>
      <c r="C220" s="8"/>
      <c r="D220" s="8"/>
      <c r="E220" s="10" t="s">
        <v>231</v>
      </c>
      <c r="F220" s="11"/>
      <c r="G220" s="18"/>
      <c r="H220" s="18"/>
      <c r="I220" s="18"/>
      <c r="J220" s="18"/>
      <c r="K220" s="11"/>
      <c r="L220" s="11"/>
      <c r="M220" s="11"/>
      <c r="N220" s="11"/>
      <c r="O220" s="11"/>
      <c r="P220" s="11"/>
      <c r="Q220" s="8"/>
    </row>
    <row r="221" spans="1:17" x14ac:dyDescent="0.25">
      <c r="A221" s="8"/>
      <c r="B221" s="12" t="s">
        <v>64</v>
      </c>
      <c r="C221" s="8"/>
      <c r="D221" s="8"/>
      <c r="E221" s="10" t="s">
        <v>225</v>
      </c>
      <c r="F221" s="11">
        <v>2624</v>
      </c>
      <c r="G221" s="18"/>
      <c r="H221" s="18"/>
      <c r="I221" s="18"/>
      <c r="J221" s="18"/>
      <c r="K221" s="11"/>
      <c r="L221" s="11"/>
      <c r="M221" s="11"/>
      <c r="N221" s="11"/>
      <c r="O221" s="11"/>
      <c r="P221" s="11"/>
      <c r="Q221" s="8"/>
    </row>
    <row r="222" spans="1:17" x14ac:dyDescent="0.25">
      <c r="A222" s="8"/>
      <c r="B222" s="12" t="s">
        <v>66</v>
      </c>
      <c r="C222" s="8"/>
      <c r="D222" s="8"/>
      <c r="E222" s="10" t="s">
        <v>228</v>
      </c>
      <c r="F222" s="11">
        <v>1</v>
      </c>
      <c r="G222" s="18"/>
      <c r="H222" s="18"/>
      <c r="I222" s="18"/>
      <c r="J222" s="18"/>
      <c r="K222" s="11"/>
      <c r="L222" s="11"/>
      <c r="M222" s="11"/>
      <c r="N222" s="11"/>
      <c r="O222" s="11"/>
      <c r="P222" s="11"/>
      <c r="Q222" s="8"/>
    </row>
    <row r="223" spans="1:17" x14ac:dyDescent="0.25">
      <c r="A223" s="8"/>
      <c r="B223" s="14" t="s">
        <v>211</v>
      </c>
      <c r="C223" s="8"/>
      <c r="D223" s="8"/>
      <c r="E223" s="10" t="s">
        <v>231</v>
      </c>
      <c r="F223" s="11"/>
      <c r="G223" s="18"/>
      <c r="H223" s="18"/>
      <c r="I223" s="18"/>
      <c r="J223" s="18"/>
      <c r="K223" s="11"/>
      <c r="L223" s="11"/>
      <c r="M223" s="11"/>
      <c r="N223" s="11"/>
      <c r="O223" s="11"/>
      <c r="P223" s="11"/>
      <c r="Q223" s="8"/>
    </row>
    <row r="224" spans="1:17" x14ac:dyDescent="0.25">
      <c r="A224" s="8"/>
      <c r="B224" s="12" t="s">
        <v>349</v>
      </c>
      <c r="C224" s="8"/>
      <c r="D224" s="8"/>
      <c r="E224" s="10" t="s">
        <v>225</v>
      </c>
      <c r="F224" s="11">
        <v>7872</v>
      </c>
      <c r="G224" s="18"/>
      <c r="H224" s="18"/>
      <c r="I224" s="18"/>
      <c r="J224" s="18"/>
      <c r="K224" s="11"/>
      <c r="L224" s="11"/>
      <c r="M224" s="11"/>
      <c r="N224" s="11"/>
      <c r="O224" s="11"/>
      <c r="P224" s="11"/>
      <c r="Q224" s="8"/>
    </row>
    <row r="225" spans="1:17" x14ac:dyDescent="0.25">
      <c r="A225" s="8"/>
      <c r="B225" s="12" t="s">
        <v>212</v>
      </c>
      <c r="C225" s="8"/>
      <c r="D225" s="8"/>
      <c r="E225" s="10" t="s">
        <v>225</v>
      </c>
      <c r="F225" s="11">
        <v>3936</v>
      </c>
      <c r="G225" s="18"/>
      <c r="H225" s="18"/>
      <c r="I225" s="18"/>
      <c r="J225" s="18"/>
      <c r="K225" s="11"/>
      <c r="L225" s="11"/>
      <c r="M225" s="11"/>
      <c r="N225" s="11"/>
      <c r="O225" s="11"/>
      <c r="P225" s="11"/>
      <c r="Q225" s="8"/>
    </row>
    <row r="226" spans="1:17" x14ac:dyDescent="0.25">
      <c r="A226" s="8"/>
      <c r="B226" s="12" t="s">
        <v>66</v>
      </c>
      <c r="C226" s="8"/>
      <c r="D226" s="8"/>
      <c r="E226" s="10" t="s">
        <v>226</v>
      </c>
      <c r="F226" s="11">
        <v>1</v>
      </c>
      <c r="G226" s="18"/>
      <c r="H226" s="18"/>
      <c r="I226" s="18"/>
      <c r="J226" s="18"/>
      <c r="K226" s="11"/>
      <c r="L226" s="11"/>
      <c r="M226" s="11"/>
      <c r="N226" s="11"/>
      <c r="O226" s="11"/>
      <c r="P226" s="11"/>
      <c r="Q226" s="8"/>
    </row>
    <row r="227" spans="1:17" x14ac:dyDescent="0.25">
      <c r="A227" s="8"/>
      <c r="B227" s="9" t="s">
        <v>85</v>
      </c>
      <c r="C227" s="8"/>
      <c r="D227" s="8"/>
      <c r="E227" s="10" t="s">
        <v>231</v>
      </c>
      <c r="F227" s="11"/>
      <c r="G227" s="18"/>
      <c r="H227" s="18"/>
      <c r="I227" s="18"/>
      <c r="J227" s="18"/>
      <c r="K227" s="11"/>
      <c r="L227" s="11"/>
      <c r="M227" s="11"/>
      <c r="N227" s="11"/>
      <c r="O227" s="11"/>
      <c r="P227" s="11"/>
      <c r="Q227" s="8"/>
    </row>
    <row r="228" spans="1:17" x14ac:dyDescent="0.25">
      <c r="A228" s="8"/>
      <c r="B228" s="14" t="s">
        <v>86</v>
      </c>
      <c r="C228" s="8"/>
      <c r="D228" s="8"/>
      <c r="E228" s="10" t="s">
        <v>231</v>
      </c>
      <c r="F228" s="11"/>
      <c r="G228" s="18"/>
      <c r="H228" s="18"/>
      <c r="I228" s="18"/>
      <c r="J228" s="18"/>
      <c r="K228" s="11"/>
      <c r="L228" s="11"/>
      <c r="M228" s="11"/>
      <c r="N228" s="11"/>
      <c r="O228" s="11"/>
      <c r="P228" s="11"/>
      <c r="Q228" s="8"/>
    </row>
    <row r="229" spans="1:17" ht="31.5" x14ac:dyDescent="0.25">
      <c r="A229" s="8"/>
      <c r="B229" s="12" t="s">
        <v>213</v>
      </c>
      <c r="C229" s="8"/>
      <c r="D229" s="10"/>
      <c r="E229" s="10" t="s">
        <v>229</v>
      </c>
      <c r="F229" s="11">
        <v>1312</v>
      </c>
      <c r="G229" s="18"/>
      <c r="H229" s="18"/>
      <c r="I229" s="18"/>
      <c r="J229" s="18"/>
      <c r="K229" s="11"/>
      <c r="L229" s="11"/>
      <c r="M229" s="11"/>
      <c r="N229" s="11"/>
      <c r="O229" s="11"/>
      <c r="P229" s="11"/>
      <c r="Q229" s="8"/>
    </row>
    <row r="230" spans="1:17" x14ac:dyDescent="0.25">
      <c r="A230" s="8"/>
      <c r="B230" s="12" t="s">
        <v>14</v>
      </c>
      <c r="C230" s="12"/>
      <c r="D230" s="10"/>
      <c r="E230" s="10" t="s">
        <v>226</v>
      </c>
      <c r="F230" s="11">
        <v>1</v>
      </c>
      <c r="G230" s="18"/>
      <c r="H230" s="18"/>
      <c r="I230" s="18"/>
      <c r="J230" s="18"/>
      <c r="K230" s="11"/>
      <c r="L230" s="11"/>
      <c r="M230" s="11"/>
      <c r="N230" s="11"/>
      <c r="O230" s="11"/>
      <c r="P230" s="11"/>
      <c r="Q230" s="8"/>
    </row>
    <row r="231" spans="1:17" x14ac:dyDescent="0.25">
      <c r="A231" s="8"/>
      <c r="B231" s="14" t="s">
        <v>214</v>
      </c>
      <c r="C231" s="8"/>
      <c r="D231" s="10"/>
      <c r="E231" s="10" t="s">
        <v>231</v>
      </c>
      <c r="F231" s="11"/>
      <c r="G231" s="18"/>
      <c r="H231" s="18"/>
      <c r="I231" s="18"/>
      <c r="J231" s="18"/>
      <c r="K231" s="11"/>
      <c r="L231" s="11"/>
      <c r="M231" s="11"/>
      <c r="N231" s="11"/>
      <c r="O231" s="11"/>
      <c r="P231" s="11"/>
      <c r="Q231" s="8"/>
    </row>
    <row r="232" spans="1:17" ht="31.5" x14ac:dyDescent="0.25">
      <c r="A232" s="8"/>
      <c r="B232" s="12" t="s">
        <v>215</v>
      </c>
      <c r="C232" s="12" t="str">
        <f>'DHKK A3'!C264</f>
        <v>Dàn nóng multi 2 chiều lạnh/sưởi 10kW
Model: Z5UW36GFA0</v>
      </c>
      <c r="D232" s="10" t="s">
        <v>264</v>
      </c>
      <c r="E232" s="10" t="s">
        <v>230</v>
      </c>
      <c r="F232" s="11">
        <v>656</v>
      </c>
      <c r="G232" s="21">
        <v>33754545.454545453</v>
      </c>
      <c r="H232" s="18"/>
      <c r="I232" s="18"/>
      <c r="J232" s="18"/>
      <c r="K232" s="11">
        <f t="shared" ref="K232:K235" si="98">G232+H232+I232+J232</f>
        <v>33754545.454545453</v>
      </c>
      <c r="L232" s="11">
        <f>K232*25%</f>
        <v>8438636.3636363633</v>
      </c>
      <c r="M232" s="11">
        <f>K232*10%</f>
        <v>3375454.5454545454</v>
      </c>
      <c r="N232" s="11">
        <f t="shared" ref="N232:N235" si="99">L232*8%</f>
        <v>675090.90909090906</v>
      </c>
      <c r="O232" s="11">
        <f t="shared" ref="O232:O235" si="100">(K232+M232)*F232</f>
        <v>24357280000</v>
      </c>
      <c r="P232" s="11">
        <f t="shared" ref="P232:P235" si="101">(L232+N232)*F232</f>
        <v>5978605090.90909</v>
      </c>
      <c r="Q232" s="8"/>
    </row>
    <row r="233" spans="1:17" ht="31.5" x14ac:dyDescent="0.25">
      <c r="A233" s="8"/>
      <c r="B233" s="12" t="s">
        <v>216</v>
      </c>
      <c r="C233" s="12" t="str">
        <f>'DHKK A3'!C265</f>
        <v>Dàn lạnh cassette 1 hướng thổi 2.6kW
Model: AMNW09GTUA0 + PT-UAHW0</v>
      </c>
      <c r="D233" s="10" t="s">
        <v>264</v>
      </c>
      <c r="E233" s="10" t="s">
        <v>230</v>
      </c>
      <c r="F233" s="11">
        <v>1312</v>
      </c>
      <c r="G233" s="21">
        <v>9163636.3636363633</v>
      </c>
      <c r="H233" s="18"/>
      <c r="I233" s="18"/>
      <c r="J233" s="18"/>
      <c r="K233" s="11">
        <f t="shared" si="98"/>
        <v>9163636.3636363633</v>
      </c>
      <c r="L233" s="11">
        <f t="shared" ref="L233:L235" si="102">K233*25%</f>
        <v>2290909.0909090908</v>
      </c>
      <c r="M233" s="11">
        <f>K233*10%</f>
        <v>916363.63636363635</v>
      </c>
      <c r="N233" s="11">
        <f t="shared" si="99"/>
        <v>183272.72727272726</v>
      </c>
      <c r="O233" s="11">
        <f t="shared" si="100"/>
        <v>13224960000</v>
      </c>
      <c r="P233" s="11">
        <f t="shared" si="101"/>
        <v>3246126545.454545</v>
      </c>
      <c r="Q233" s="8"/>
    </row>
    <row r="234" spans="1:17" ht="47.25" x14ac:dyDescent="0.25">
      <c r="A234" s="8"/>
      <c r="B234" s="12" t="s">
        <v>217</v>
      </c>
      <c r="C234" s="12" t="str">
        <f>'DHKK A3'!C266</f>
        <v>Dàn lạnh âm trần nối ống gió, kèm hộp box : 5.2kW
Model: AMNW18GL2A2</v>
      </c>
      <c r="D234" s="10" t="s">
        <v>264</v>
      </c>
      <c r="E234" s="10" t="s">
        <v>230</v>
      </c>
      <c r="F234" s="11">
        <v>656</v>
      </c>
      <c r="G234" s="21">
        <v>13618181.818181816</v>
      </c>
      <c r="H234" s="18"/>
      <c r="I234" s="18"/>
      <c r="J234" s="18"/>
      <c r="K234" s="11">
        <f t="shared" si="98"/>
        <v>13618181.818181816</v>
      </c>
      <c r="L234" s="11">
        <f t="shared" si="102"/>
        <v>3404545.4545454541</v>
      </c>
      <c r="M234" s="11">
        <f>K234*10%</f>
        <v>1361818.1818181816</v>
      </c>
      <c r="N234" s="11">
        <f t="shared" si="99"/>
        <v>272363.63636363635</v>
      </c>
      <c r="O234" s="11">
        <f t="shared" si="100"/>
        <v>9826879999.9999981</v>
      </c>
      <c r="P234" s="11">
        <f t="shared" si="101"/>
        <v>2412052363.6363635</v>
      </c>
      <c r="Q234" s="8"/>
    </row>
    <row r="235" spans="1:17" x14ac:dyDescent="0.25">
      <c r="A235" s="8"/>
      <c r="B235" s="12" t="s">
        <v>14</v>
      </c>
      <c r="C235" s="8"/>
      <c r="D235" s="10"/>
      <c r="E235" s="10" t="s">
        <v>226</v>
      </c>
      <c r="F235" s="11">
        <v>1</v>
      </c>
      <c r="G235" s="18">
        <f>F232*700000</f>
        <v>459200000</v>
      </c>
      <c r="H235" s="18">
        <f t="shared" ref="H235" si="103">G235*5%</f>
        <v>22960000</v>
      </c>
      <c r="I235" s="18">
        <f t="shared" ref="I235" si="104">(G235+H235)*10%</f>
        <v>48216000</v>
      </c>
      <c r="J235" s="18">
        <f t="shared" ref="J235" si="105">(G235+H235+I235)*17%</f>
        <v>90163920</v>
      </c>
      <c r="K235" s="11">
        <f t="shared" si="98"/>
        <v>620539920</v>
      </c>
      <c r="L235" s="11">
        <f t="shared" si="102"/>
        <v>155134980</v>
      </c>
      <c r="M235" s="11">
        <f t="shared" ref="M235" si="106">K235*8%</f>
        <v>49643193.600000001</v>
      </c>
      <c r="N235" s="11">
        <f t="shared" si="99"/>
        <v>12410798.4</v>
      </c>
      <c r="O235" s="11">
        <f t="shared" si="100"/>
        <v>670183113.60000002</v>
      </c>
      <c r="P235" s="11">
        <f t="shared" si="101"/>
        <v>167545778.40000001</v>
      </c>
      <c r="Q235" s="8"/>
    </row>
    <row r="236" spans="1:17" x14ac:dyDescent="0.25">
      <c r="A236" s="8"/>
      <c r="B236" s="14" t="s">
        <v>158</v>
      </c>
      <c r="C236" s="8"/>
      <c r="D236" s="8"/>
      <c r="E236" s="10" t="s">
        <v>231</v>
      </c>
      <c r="F236" s="11"/>
      <c r="G236" s="18"/>
      <c r="H236" s="18"/>
      <c r="I236" s="18"/>
      <c r="J236" s="18"/>
      <c r="K236" s="11"/>
      <c r="L236" s="11"/>
      <c r="M236" s="11"/>
      <c r="N236" s="11"/>
      <c r="O236" s="11"/>
      <c r="P236" s="11"/>
      <c r="Q236" s="8"/>
    </row>
    <row r="237" spans="1:17" ht="31.5" x14ac:dyDescent="0.25">
      <c r="A237" s="8"/>
      <c r="B237" s="12" t="s">
        <v>218</v>
      </c>
      <c r="C237" s="8"/>
      <c r="D237" s="10"/>
      <c r="E237" s="10" t="s">
        <v>229</v>
      </c>
      <c r="F237" s="11">
        <v>1312</v>
      </c>
      <c r="G237" s="18"/>
      <c r="H237" s="18"/>
      <c r="I237" s="18"/>
      <c r="J237" s="18"/>
      <c r="K237" s="11"/>
      <c r="L237" s="11"/>
      <c r="M237" s="11"/>
      <c r="N237" s="11"/>
      <c r="O237" s="11"/>
      <c r="P237" s="11"/>
      <c r="Q237" s="8"/>
    </row>
    <row r="238" spans="1:17" ht="31.5" x14ac:dyDescent="0.25">
      <c r="A238" s="8"/>
      <c r="B238" s="12" t="s">
        <v>219</v>
      </c>
      <c r="C238" s="13"/>
      <c r="D238" s="10"/>
      <c r="E238" s="10" t="s">
        <v>229</v>
      </c>
      <c r="F238" s="11">
        <v>1312</v>
      </c>
      <c r="G238" s="18"/>
      <c r="H238" s="18"/>
      <c r="I238" s="18"/>
      <c r="J238" s="18"/>
      <c r="K238" s="11"/>
      <c r="L238" s="11"/>
      <c r="M238" s="11"/>
      <c r="N238" s="11"/>
      <c r="O238" s="11"/>
      <c r="P238" s="11"/>
      <c r="Q238" s="8"/>
    </row>
    <row r="239" spans="1:17" x14ac:dyDescent="0.25">
      <c r="A239" s="8"/>
      <c r="B239" s="12" t="s">
        <v>220</v>
      </c>
      <c r="C239" s="13"/>
      <c r="D239" s="10"/>
      <c r="E239" s="10" t="s">
        <v>231</v>
      </c>
      <c r="F239" s="11"/>
      <c r="G239" s="18"/>
      <c r="H239" s="18"/>
      <c r="I239" s="18"/>
      <c r="J239" s="18"/>
      <c r="K239" s="11"/>
      <c r="L239" s="11"/>
      <c r="M239" s="11"/>
      <c r="N239" s="11"/>
      <c r="O239" s="11"/>
      <c r="P239" s="11"/>
      <c r="Q239" s="8"/>
    </row>
    <row r="240" spans="1:17" x14ac:dyDescent="0.25">
      <c r="A240" s="8"/>
      <c r="B240" s="12" t="s">
        <v>221</v>
      </c>
      <c r="C240" s="8"/>
      <c r="D240" s="10"/>
      <c r="E240" s="10" t="s">
        <v>229</v>
      </c>
      <c r="F240" s="11">
        <v>1312</v>
      </c>
      <c r="G240" s="18"/>
      <c r="H240" s="18"/>
      <c r="I240" s="18"/>
      <c r="J240" s="18"/>
      <c r="K240" s="11"/>
      <c r="L240" s="11"/>
      <c r="M240" s="11"/>
      <c r="N240" s="11"/>
      <c r="O240" s="11"/>
      <c r="P240" s="11"/>
      <c r="Q240" s="8"/>
    </row>
    <row r="241" spans="1:17" x14ac:dyDescent="0.25">
      <c r="A241" s="8"/>
      <c r="B241" s="12" t="s">
        <v>222</v>
      </c>
      <c r="C241" s="8"/>
      <c r="D241" s="8"/>
      <c r="E241" s="10" t="s">
        <v>229</v>
      </c>
      <c r="F241" s="11">
        <v>656</v>
      </c>
      <c r="G241" s="18"/>
      <c r="H241" s="18"/>
      <c r="I241" s="18"/>
      <c r="J241" s="18"/>
      <c r="K241" s="11"/>
      <c r="L241" s="11"/>
      <c r="M241" s="11"/>
      <c r="N241" s="11"/>
      <c r="O241" s="11"/>
      <c r="P241" s="11"/>
      <c r="Q241" s="8"/>
    </row>
    <row r="242" spans="1:17" x14ac:dyDescent="0.25">
      <c r="A242" s="38"/>
      <c r="B242" s="32" t="s">
        <v>350</v>
      </c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16">
        <f>SUM(O4:O241)</f>
        <v>63762243828.443558</v>
      </c>
      <c r="P242" s="16">
        <f>SUM(P4:P241)</f>
        <v>15440299473.951826</v>
      </c>
      <c r="Q242" s="8"/>
    </row>
    <row r="243" spans="1:17" x14ac:dyDescent="0.25">
      <c r="A243" s="39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3">
        <f>O242+P242</f>
        <v>79202543302.395386</v>
      </c>
      <c r="P243" s="33"/>
      <c r="Q243" s="8"/>
    </row>
  </sheetData>
  <mergeCells count="15">
    <mergeCell ref="M2:N3"/>
    <mergeCell ref="O2:P2"/>
    <mergeCell ref="Q2:Q3"/>
    <mergeCell ref="A242:A243"/>
    <mergeCell ref="B242:N243"/>
    <mergeCell ref="O243:P243"/>
    <mergeCell ref="A2:A3"/>
    <mergeCell ref="B2:C2"/>
    <mergeCell ref="D2:D3"/>
    <mergeCell ref="E2:E3"/>
    <mergeCell ref="F2:F3"/>
    <mergeCell ref="K2:L2"/>
    <mergeCell ref="G2:J2"/>
    <mergeCell ref="B36:B38"/>
    <mergeCell ref="B39:B40"/>
  </mergeCells>
  <pageMargins left="0.7" right="0.7" top="0.75" bottom="0.75" header="0.3" footer="0.3"/>
  <pageSetup paperSize="9" scale="3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Tăng áp HK A1,2</vt:lpstr>
      <vt:lpstr>Tang áp HK A3</vt:lpstr>
      <vt:lpstr>DHKK A3</vt:lpstr>
      <vt:lpstr> DHKK tgio A3</vt:lpstr>
      <vt:lpstr>' DHKK tgio A3'!Print_Area</vt:lpstr>
      <vt:lpstr>'DHKK A3'!Print_Area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2026-10-15T02:44:06Z</dcterms:modified>
</cp:coreProperties>
</file>
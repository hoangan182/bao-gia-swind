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TONG_HOP_BAO_GIA" sheetId="1" state="visible" r:id="rId1"/>
    <sheet name="01_BOC_TACH_ONG" sheetId="2" state="visible" r:id="rId2"/>
    <sheet name="02_BOC_TACH_CUA" sheetId="3" state="visible" r:id="rId3"/>
    <sheet name="03_BOC_TACH_VAN" sheetId="4" state="visible" r:id="rId4"/>
    <sheet name="05_DANH_MUC_KY_THUAT_GOC" sheetId="5" state="visible" r:id="rId5"/>
    <sheet name="06_BANG_GIA_VAT_TU_AP_DU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8" customHeight="1">
      <c r="A1" s="1" t="inlineStr">
        <is>
          <t>STT</t>
        </is>
      </c>
      <c r="B1" s="1" t="inlineStr">
        <is>
          <t>ITEM_ID</t>
        </is>
      </c>
      <c r="C1" s="1" t="inlineStr">
        <is>
          <t>PHÂN NHÓM</t>
        </is>
      </c>
      <c r="D1" s="1" t="inlineStr">
        <is>
          <t>TÊN SẢN PHẨM</t>
        </is>
      </c>
      <c r="E1" s="1" t="inlineStr">
        <is>
          <t>QUY CÁCH (WxH)</t>
        </is>
      </c>
      <c r="F1" s="1" t="inlineStr">
        <is>
          <t>ĐVT</t>
        </is>
      </c>
      <c r="G1" s="1" t="inlineStr">
        <is>
          <t>SỐ LƯỢNG</t>
        </is>
      </c>
      <c r="H1" s="1" t="inlineStr">
        <is>
          <t>CP VẬT TƯ ỐNG</t>
        </is>
      </c>
      <c r="I1" s="1" t="inlineStr">
        <is>
          <t>CP VẬT TƯ CỬA</t>
        </is>
      </c>
      <c r="J1" s="1" t="inlineStr">
        <is>
          <t>CP VẬT TƯ VAN</t>
        </is>
      </c>
      <c r="K1" s="1" t="inlineStr">
        <is>
          <t>TỔNG CP VẬT TƯ</t>
        </is>
      </c>
      <c r="L1" s="1" t="inlineStr">
        <is>
          <t>NHÂN CÔNG (25%)</t>
        </is>
      </c>
      <c r="M1" s="1" t="inlineStr">
        <is>
          <t>CP XƯỞNG (10%)</t>
        </is>
      </c>
      <c r="N1" s="1" t="inlineStr">
        <is>
          <t>TỔNG GIÁ VỐN</t>
        </is>
      </c>
      <c r="O1" s="1" t="inlineStr">
        <is>
          <t>GIÁ VỐN / ĐVT</t>
        </is>
      </c>
      <c r="P1" s="1" t="inlineStr">
        <is>
          <t>MARGIN (%)</t>
        </is>
      </c>
      <c r="Q1" s="1" t="inlineStr">
        <is>
          <t>ĐƠN GIÁ BÁN</t>
        </is>
      </c>
      <c r="R1" s="1" t="inlineStr">
        <is>
          <t>THÀNH TIỀN (VNĐ)</t>
        </is>
      </c>
    </row>
    <row r="2">
      <c r="A2" t="n">
        <v>1</v>
      </c>
      <c r="B2" t="inlineStr">
        <is>
          <t>SW-DAMPER-001</t>
        </is>
      </c>
      <c r="C2" t="inlineStr">
        <is>
          <t>VAN GIÓ</t>
        </is>
      </c>
      <c r="D2" t="inlineStr">
        <is>
          <t>Van dập lửa FD tôn dày 1.2mm đạt EI60 gắn động cơ Belimo</t>
        </is>
      </c>
      <c r="E2" t="inlineStr">
        <is>
          <t>1200x500</t>
        </is>
      </c>
      <c r="F2" t="inlineStr">
        <is>
          <t>Bộ</t>
        </is>
      </c>
      <c r="G2" s="2" t="n">
        <v>10</v>
      </c>
      <c r="H2" s="2">
        <f>SUMIF('01_BOC_TACH_ONG'!B:B, B2, '01_BOC_TACH_ONG'!K:K)</f>
        <v/>
      </c>
      <c r="I2" s="2">
        <f>SUMIF('02_BOC_TACH_CUA'!B:B, B2, '02_BOC_TACH_CUA'!K:K)</f>
        <v/>
      </c>
      <c r="J2" s="2">
        <f>SUMIF('03_BOC_TACH_VAN'!B:B, B2, '03_BOC_TACH_VAN'!K:K)</f>
        <v/>
      </c>
      <c r="K2" s="2">
        <f>SUM(H2:J2)</f>
        <v/>
      </c>
      <c r="L2" s="2">
        <f>K2*0.25</f>
        <v/>
      </c>
      <c r="M2" s="2">
        <f>K2*0.10</f>
        <v/>
      </c>
      <c r="N2" s="2">
        <f>K2+L2+M2</f>
        <v/>
      </c>
      <c r="O2" s="2">
        <f>IF(G2&gt;0, N2/G2, 0)</f>
        <v/>
      </c>
      <c r="P2" s="3" t="n">
        <v>0.18</v>
      </c>
      <c r="Q2" s="2">
        <f>O2*(1+P2)</f>
        <v/>
      </c>
      <c r="R2" s="2">
        <f>G2*Q2</f>
        <v/>
      </c>
    </row>
    <row r="3">
      <c r="A3" t="n">
        <v>2</v>
      </c>
      <c r="B3" t="inlineStr">
        <is>
          <t>SW-DIFF-002</t>
        </is>
      </c>
      <c r="C3" t="inlineStr">
        <is>
          <t>CỬA GIÓ</t>
        </is>
      </c>
      <c r="D3" t="inlineStr">
        <is>
          <t>Cửa gió nan T sơn tĩnh điện kèm phin lọc bụi G4</t>
        </is>
      </c>
      <c r="E3" t="inlineStr">
        <is>
          <t>800x200</t>
        </is>
      </c>
      <c r="F3" t="inlineStr">
        <is>
          <t>Bộ</t>
        </is>
      </c>
      <c r="G3" s="2" t="n">
        <v>25</v>
      </c>
      <c r="H3" s="2">
        <f>SUMIF('01_BOC_TACH_ONG'!B:B, B3, '01_BOC_TACH_ONG'!K:K)</f>
        <v/>
      </c>
      <c r="I3" s="2">
        <f>SUMIF('02_BOC_TACH_CUA'!B:B, B3, '02_BOC_TACH_CUA'!K:K)</f>
        <v/>
      </c>
      <c r="J3" s="2">
        <f>SUMIF('03_BOC_TACH_VAN'!B:B, B3, '03_BOC_TACH_VAN'!K:K)</f>
        <v/>
      </c>
      <c r="K3" s="2">
        <f>SUM(H3:J3)</f>
        <v/>
      </c>
      <c r="L3" s="2">
        <f>K3*0.25</f>
        <v/>
      </c>
      <c r="M3" s="2">
        <f>K3*0.10</f>
        <v/>
      </c>
      <c r="N3" s="2">
        <f>K3+L3+M3</f>
        <v/>
      </c>
      <c r="O3" s="2">
        <f>IF(G3&gt;0, N3/G3, 0)</f>
        <v/>
      </c>
      <c r="P3" s="3" t="n">
        <v>0.18</v>
      </c>
      <c r="Q3" s="2">
        <f>O3*(1+P3)</f>
        <v/>
      </c>
      <c r="R3" s="2">
        <f>G3*Q3</f>
        <v/>
      </c>
    </row>
    <row r="4">
      <c r="A4" t="n">
        <v>3</v>
      </c>
      <c r="B4" t="inlineStr">
        <is>
          <t>SW-DIFF-003</t>
        </is>
      </c>
      <c r="C4" t="inlineStr">
        <is>
          <t>CỬA GIÓ</t>
        </is>
      </c>
      <c r="D4" t="inlineStr">
        <is>
          <t>Cửa louver chắn mưa kèm lưới côn trùng inox</t>
        </is>
      </c>
      <c r="E4" t="inlineStr">
        <is>
          <t>2000x1500</t>
        </is>
      </c>
      <c r="F4" t="inlineStr">
        <is>
          <t>m2</t>
        </is>
      </c>
      <c r="G4" s="2" t="n">
        <v>15</v>
      </c>
      <c r="H4" s="2">
        <f>SUMIF('01_BOC_TACH_ONG'!B:B, B4, '01_BOC_TACH_ONG'!K:K)</f>
        <v/>
      </c>
      <c r="I4" s="2">
        <f>SUMIF('02_BOC_TACH_CUA'!B:B, B4, '02_BOC_TACH_CUA'!K:K)</f>
        <v/>
      </c>
      <c r="J4" s="2">
        <f>SUMIF('03_BOC_TACH_VAN'!B:B, B4, '03_BOC_TACH_VAN'!K:K)</f>
        <v/>
      </c>
      <c r="K4" s="2">
        <f>SUM(H4:J4)</f>
        <v/>
      </c>
      <c r="L4" s="2">
        <f>K4*0.25</f>
        <v/>
      </c>
      <c r="M4" s="2">
        <f>K4*0.10</f>
        <v/>
      </c>
      <c r="N4" s="2">
        <f>K4+L4+M4</f>
        <v/>
      </c>
      <c r="O4" s="2">
        <f>IF(G4&gt;0, N4/G4, 0)</f>
        <v/>
      </c>
      <c r="P4" s="3" t="n">
        <v>0.18</v>
      </c>
      <c r="Q4" s="2">
        <f>O4*(1+P4)</f>
        <v/>
      </c>
      <c r="R4" s="2">
        <f>G4*Q4</f>
        <v/>
      </c>
    </row>
    <row r="5">
      <c r="A5" t="n">
        <v>4</v>
      </c>
      <c r="B5" t="inlineStr">
        <is>
          <t>SW-DAMPER-004</t>
        </is>
      </c>
      <c r="C5" t="inlineStr">
        <is>
          <t>VAN GIÓ</t>
        </is>
      </c>
      <c r="D5" t="inlineStr">
        <is>
          <t>Van lưu lượng VCD tôn mạ kẽm</t>
        </is>
      </c>
      <c r="E5" t="inlineStr">
        <is>
          <t>800x400</t>
        </is>
      </c>
      <c r="F5" t="inlineStr">
        <is>
          <t>Bộ</t>
        </is>
      </c>
      <c r="G5" s="2" t="n">
        <v>12</v>
      </c>
      <c r="H5" s="2">
        <f>SUMIF('01_BOC_TACH_ONG'!B:B, B5, '01_BOC_TACH_ONG'!K:K)</f>
        <v/>
      </c>
      <c r="I5" s="2">
        <f>SUMIF('02_BOC_TACH_CUA'!B:B, B5, '02_BOC_TACH_CUA'!K:K)</f>
        <v/>
      </c>
      <c r="J5" s="2">
        <f>SUMIF('03_BOC_TACH_VAN'!B:B, B5, '03_BOC_TACH_VAN'!K:K)</f>
        <v/>
      </c>
      <c r="K5" s="2">
        <f>SUM(H5:J5)</f>
        <v/>
      </c>
      <c r="L5" s="2">
        <f>K5*0.25</f>
        <v/>
      </c>
      <c r="M5" s="2">
        <f>K5*0.10</f>
        <v/>
      </c>
      <c r="N5" s="2">
        <f>K5+L5+M5</f>
        <v/>
      </c>
      <c r="O5" s="2">
        <f>IF(G5&gt;0, N5/G5, 0)</f>
        <v/>
      </c>
      <c r="P5" s="3" t="n">
        <v>0.18</v>
      </c>
      <c r="Q5" s="2">
        <f>O5*(1+P5)</f>
        <v/>
      </c>
      <c r="R5" s="2">
        <f>G5*Q5</f>
        <v/>
      </c>
    </row>
    <row r="6">
      <c r="A6" t="n">
        <v>5</v>
      </c>
      <c r="B6" t="inlineStr">
        <is>
          <t>SW-DIFF-005</t>
        </is>
      </c>
      <c r="C6" t="inlineStr">
        <is>
          <t>CỬA GIÓ</t>
        </is>
      </c>
      <c r="D6" t="inlineStr">
        <is>
          <t>Cửa nan bầu dục (mã mới lạ chưa có trong DB)</t>
        </is>
      </c>
      <c r="E6" t="inlineStr">
        <is>
          <t>1000x150</t>
        </is>
      </c>
      <c r="F6" t="inlineStr">
        <is>
          <t>Bộ</t>
        </is>
      </c>
      <c r="G6" s="2" t="n">
        <v>18</v>
      </c>
      <c r="H6" s="2">
        <f>SUMIF('01_BOC_TACH_ONG'!B:B, B6, '01_BOC_TACH_ONG'!K:K)</f>
        <v/>
      </c>
      <c r="I6" s="2">
        <f>SUMIF('02_BOC_TACH_CUA'!B:B, B6, '02_BOC_TACH_CUA'!K:K)</f>
        <v/>
      </c>
      <c r="J6" s="2">
        <f>SUMIF('03_BOC_TACH_VAN'!B:B, B6, '03_BOC_TACH_VAN'!K:K)</f>
        <v/>
      </c>
      <c r="K6" s="2">
        <f>SUM(H6:J6)</f>
        <v/>
      </c>
      <c r="L6" s="2">
        <f>K6*0.25</f>
        <v/>
      </c>
      <c r="M6" s="2">
        <f>K6*0.10</f>
        <v/>
      </c>
      <c r="N6" s="2">
        <f>K6+L6+M6</f>
        <v/>
      </c>
      <c r="O6" s="2">
        <f>IF(G6&gt;0, N6/G6, 0)</f>
        <v/>
      </c>
      <c r="P6" s="3" t="n">
        <v>0.18</v>
      </c>
      <c r="Q6" s="2">
        <f>O6*(1+P6)</f>
        <v/>
      </c>
      <c r="R6" s="2">
        <f>G6*Q6</f>
        <v/>
      </c>
    </row>
    <row r="7">
      <c r="A7" t="n">
        <v>6</v>
      </c>
      <c r="B7" t="inlineStr">
        <is>
          <t>SW-DAMPER-006</t>
        </is>
      </c>
      <c r="C7" t="inlineStr">
        <is>
          <t>VAN GIÓ</t>
        </is>
      </c>
      <c r="D7" t="inlineStr">
        <is>
          <t>Van chặn lửa cầu chì</t>
        </is>
      </c>
      <c r="E7" t="inlineStr">
        <is>
          <t>250x250</t>
        </is>
      </c>
      <c r="F7" t="inlineStr">
        <is>
          <t>Cái</t>
        </is>
      </c>
      <c r="G7" s="2" t="n">
        <v>1</v>
      </c>
      <c r="H7" s="2">
        <f>SUMIF('01_BOC_TACH_ONG'!B:B, B7, '01_BOC_TACH_ONG'!K:K)</f>
        <v/>
      </c>
      <c r="I7" s="2">
        <f>SUMIF('02_BOC_TACH_CUA'!B:B, B7, '02_BOC_TACH_CUA'!K:K)</f>
        <v/>
      </c>
      <c r="J7" s="2">
        <f>SUMIF('03_BOC_TACH_VAN'!B:B, B7, '03_BOC_TACH_VAN'!K:K)</f>
        <v/>
      </c>
      <c r="K7" s="2">
        <f>SUM(H7:J7)</f>
        <v/>
      </c>
      <c r="L7" s="2">
        <f>K7*0.25</f>
        <v/>
      </c>
      <c r="M7" s="2">
        <f>K7*0.10</f>
        <v/>
      </c>
      <c r="N7" s="2">
        <f>K7+L7+M7</f>
        <v/>
      </c>
      <c r="O7" s="2">
        <f>IF(G7&gt;0, N7/G7, 0)</f>
        <v/>
      </c>
      <c r="P7" s="3" t="n">
        <v>0.18</v>
      </c>
      <c r="Q7" s="2">
        <f>O7*(1+P7)</f>
        <v/>
      </c>
      <c r="R7" s="2">
        <f>G7*Q7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SUB_KEY</t>
        </is>
      </c>
      <c r="B1" s="1" t="inlineStr">
        <is>
          <t>PARENT_ITEM_ID</t>
        </is>
      </c>
      <c r="C1" s="1" t="inlineStr">
        <is>
          <t>TÊN CẤU KIỆN</t>
        </is>
      </c>
      <c r="D1" s="1" t="inlineStr">
        <is>
          <t>PHÂN LOẠI</t>
        </is>
      </c>
      <c r="E1" s="1" t="inlineStr">
        <is>
          <t>MÃ VẬT TƯ (MAT_ID)</t>
        </is>
      </c>
      <c r="F1" s="1" t="inlineStr">
        <is>
          <t>ĐVT</t>
        </is>
      </c>
      <c r="G1" s="1" t="inlineStr">
        <is>
          <t>ĐỊNH MỨC / 1 SP</t>
        </is>
      </c>
      <c r="H1" s="1" t="inlineStr">
        <is>
          <t>SL DỰ ÁN</t>
        </is>
      </c>
      <c r="I1" s="1" t="inlineStr">
        <is>
          <t>TỔNG NHU CẦU</t>
        </is>
      </c>
      <c r="J1" s="1" t="inlineStr">
        <is>
          <t>ĐƠN GIÁ GỐC</t>
        </is>
      </c>
      <c r="K1" s="1" t="inlineStr">
        <is>
          <t>THÀNH TIỀN (VNĐ)</t>
        </is>
      </c>
      <c r="L1" s="1" t="inlineStr">
        <is>
          <t>GHI CHÚ KỸ THUẬT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SUB_KEY</t>
        </is>
      </c>
      <c r="B1" s="1" t="inlineStr">
        <is>
          <t>PARENT_ITEM_ID</t>
        </is>
      </c>
      <c r="C1" s="1" t="inlineStr">
        <is>
          <t>TÊN CẤU KIỆN</t>
        </is>
      </c>
      <c r="D1" s="1" t="inlineStr">
        <is>
          <t>PHÂN LOẠI</t>
        </is>
      </c>
      <c r="E1" s="1" t="inlineStr">
        <is>
          <t>MÃ VẬT TƯ (MAT_ID)</t>
        </is>
      </c>
      <c r="F1" s="1" t="inlineStr">
        <is>
          <t>ĐVT</t>
        </is>
      </c>
      <c r="G1" s="1" t="inlineStr">
        <is>
          <t>ĐỊNH MỨC / 1 SP</t>
        </is>
      </c>
      <c r="H1" s="1" t="inlineStr">
        <is>
          <t>SL DỰ ÁN</t>
        </is>
      </c>
      <c r="I1" s="1" t="inlineStr">
        <is>
          <t>TỔNG NHU CẦU</t>
        </is>
      </c>
      <c r="J1" s="1" t="inlineStr">
        <is>
          <t>ĐƠN GIÁ GỐC</t>
        </is>
      </c>
      <c r="K1" s="1" t="inlineStr">
        <is>
          <t>THÀNH TIỀN (VNĐ)</t>
        </is>
      </c>
      <c r="L1" s="1" t="inlineStr">
        <is>
          <t>GHI CHÚ KỸ THUẬT</t>
        </is>
      </c>
    </row>
    <row r="2">
      <c r="A2" t="inlineStr">
        <is>
          <t>SW-DIFF-002-FRAME</t>
        </is>
      </c>
      <c r="B2" t="inlineStr">
        <is>
          <t>SW-DIFF-002</t>
        </is>
      </c>
      <c r="C2" t="inlineStr">
        <is>
          <t>Khung nhôm định hình (T)</t>
        </is>
      </c>
      <c r="D2" t="inlineStr">
        <is>
          <t>NHÔM_ĐỊNH_HÌNH</t>
        </is>
      </c>
      <c r="E2" t="inlineStr">
        <is>
          <t>MAT-ALU-KHUNG-BD</t>
        </is>
      </c>
      <c r="F2" t="inlineStr">
        <is>
          <t>kg</t>
        </is>
      </c>
      <c r="G2" s="4" t="n">
        <v>0.42</v>
      </c>
      <c r="H2" s="2">
        <f>XLOOKUP(B2, '00_TONG_HOP_BAO_GIA'!B:B, '00_TONG_HOP_BAO_GIA'!G:G, 1)</f>
        <v/>
      </c>
      <c r="I2" s="5">
        <f>G2*H2</f>
        <v/>
      </c>
      <c r="J2" s="2">
        <f>XLOOKUP(E2, '06_BANG_GIA_VAT_TU_AP_DUNG'!B:B, '06_BANG_GIA_VAT_TU_AP_DUNG'!C:C, "LỖI_MÃ_VT")</f>
        <v/>
      </c>
      <c r="K2" s="2">
        <f>I2*J2</f>
        <v/>
      </c>
      <c r="L2" t="inlineStr">
        <is>
          <t>Dài cắt 2.10m @ 0.2kg/m</t>
        </is>
      </c>
    </row>
    <row r="3">
      <c r="A3" t="inlineStr">
        <is>
          <t>SW-DIFF-002-BLADE</t>
        </is>
      </c>
      <c r="B3" t="inlineStr">
        <is>
          <t>SW-DIFF-002</t>
        </is>
      </c>
      <c r="C3" t="inlineStr">
        <is>
          <t>Nan nhôm định hình (T)</t>
        </is>
      </c>
      <c r="D3" t="inlineStr">
        <is>
          <t>NHÔM_ĐỊNH_HÌNH</t>
        </is>
      </c>
      <c r="E3" t="inlineStr">
        <is>
          <t>MAT-ALU-NAN-T</t>
        </is>
      </c>
      <c r="F3" t="inlineStr">
        <is>
          <t>kg</t>
        </is>
      </c>
      <c r="G3" s="4" t="n">
        <v>0.64701</v>
      </c>
      <c r="H3" s="2">
        <f>XLOOKUP(B3, '00_TONG_HOP_BAO_GIA'!B:B, '00_TONG_HOP_BAO_GIA'!G:G, 1)</f>
        <v/>
      </c>
      <c r="I3" s="5">
        <f>G3*H3</f>
        <v/>
      </c>
      <c r="J3" s="2">
        <f>XLOOKUP(E3, '06_BANG_GIA_VAT_TU_AP_DUNG'!B:B, '06_BANG_GIA_VAT_TU_AP_DUNG'!C:C, "LỖI_MÃ_VT")</f>
        <v/>
      </c>
      <c r="K3" s="2">
        <f>I3*J3</f>
        <v/>
      </c>
      <c r="L3" t="inlineStr">
        <is>
          <t>10 nan dài 8.29m @ 0.078kg/m</t>
        </is>
      </c>
    </row>
    <row r="4">
      <c r="A4" t="inlineStr">
        <is>
          <t>SW-DIFF-002-ACCESSORY</t>
        </is>
      </c>
      <c r="B4" t="inlineStr">
        <is>
          <t>SW-DIFF-002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4" t="n">
        <v>1</v>
      </c>
      <c r="H4" s="2">
        <f>XLOOKUP(B4, '00_TONG_HOP_BAO_GIA'!B:B, '00_TONG_HOP_BAO_GIA'!G:G, 1)</f>
        <v/>
      </c>
      <c r="I4" s="5">
        <f>G4*H4</f>
        <v/>
      </c>
      <c r="J4" s="2">
        <f>XLOOKUP(E4, '06_BANG_GIA_VAT_TU_AP_DUNG'!B:B, '06_BANG_GIA_VAT_TU_AP_DUNG'!C:C, "LỖI_MÃ_VT")</f>
        <v/>
      </c>
      <c r="K4" s="2">
        <f>I4*J4</f>
        <v/>
      </c>
      <c r="L4" t="inlineStr">
        <is>
          <t>4 ke góc chìm và vít ghép khung</t>
        </is>
      </c>
    </row>
    <row r="5">
      <c r="A5" t="inlineStr">
        <is>
          <t>SW-DIFF-002-PAINT</t>
        </is>
      </c>
      <c r="B5" t="inlineStr">
        <is>
          <t>SW-DIFF-002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4" t="n">
        <v>0.24</v>
      </c>
      <c r="H5" s="2">
        <f>XLOOKUP(B5, '00_TONG_HOP_BAO_GIA'!B:B, '00_TONG_HOP_BAO_GIA'!G:G, 1)</f>
        <v/>
      </c>
      <c r="I5" s="5">
        <f>G5*H5</f>
        <v/>
      </c>
      <c r="J5" s="2">
        <f>XLOOKUP(E5, '06_BANG_GIA_VAT_TU_AP_DUNG'!B:B, '06_BANG_GIA_VAT_TU_AP_DUNG'!C:C, "LỖI_MÃ_VT")</f>
        <v/>
      </c>
      <c r="K5" s="2">
        <f>I5*J5</f>
        <v/>
      </c>
      <c r="L5" t="inlineStr">
        <is>
          <t>Diện tích phủ sơn 0.240m2</t>
        </is>
      </c>
    </row>
    <row r="6">
      <c r="A6" t="inlineStr">
        <is>
          <t>SW-DIFF-003-FRAME</t>
        </is>
      </c>
      <c r="B6" t="inlineStr">
        <is>
          <t>SW-DIFF-003</t>
        </is>
      </c>
      <c r="C6" t="inlineStr">
        <is>
          <t>Khung nhôm định hình (Z)</t>
        </is>
      </c>
      <c r="D6" t="inlineStr">
        <is>
          <t>NHÔM_ĐỊNH_HÌNH</t>
        </is>
      </c>
      <c r="E6" t="inlineStr">
        <is>
          <t>MAT-ALU-KHUNG-Z-2-LOP</t>
        </is>
      </c>
      <c r="F6" t="inlineStr">
        <is>
          <t>kg</t>
        </is>
      </c>
      <c r="G6" s="4" t="n">
        <v>1.66845</v>
      </c>
      <c r="H6" s="2">
        <f>XLOOKUP(B6, '00_TONG_HOP_BAO_GIA'!B:B, '00_TONG_HOP_BAO_GIA'!G:G, 1)</f>
        <v/>
      </c>
      <c r="I6" s="5">
        <f>G6*H6</f>
        <v/>
      </c>
      <c r="J6" s="2">
        <f>XLOOKUP(E6, '06_BANG_GIA_VAT_TU_AP_DUNG'!B:B, '06_BANG_GIA_VAT_TU_AP_DUNG'!C:C, "LỖI_MÃ_VT")</f>
        <v/>
      </c>
      <c r="K6" s="2">
        <f>I6*J6</f>
        <v/>
      </c>
      <c r="L6" t="inlineStr">
        <is>
          <t>Dài cắt 7.35m @ 0.227kg/m</t>
        </is>
      </c>
    </row>
    <row r="7">
      <c r="A7" t="inlineStr">
        <is>
          <t>SW-DIFF-003-BLADE</t>
        </is>
      </c>
      <c r="B7" t="inlineStr">
        <is>
          <t>SW-DIFF-003</t>
        </is>
      </c>
      <c r="C7" t="inlineStr">
        <is>
          <t>Nan nhôm định hình (Z)</t>
        </is>
      </c>
      <c r="D7" t="inlineStr">
        <is>
          <t>NHÔM_ĐỊNH_HÌNH</t>
        </is>
      </c>
      <c r="E7" t="inlineStr">
        <is>
          <t>MAT-ALU-NAN-Z-DAY</t>
        </is>
      </c>
      <c r="F7" t="inlineStr">
        <is>
          <t>kg</t>
        </is>
      </c>
      <c r="G7" s="4" t="n">
        <v>17.230017</v>
      </c>
      <c r="H7" s="2">
        <f>XLOOKUP(B7, '00_TONG_HOP_BAO_GIA'!B:B, '00_TONG_HOP_BAO_GIA'!G:G, 1)</f>
        <v/>
      </c>
      <c r="I7" s="5">
        <f>G7*H7</f>
        <v/>
      </c>
      <c r="J7" s="2">
        <f>XLOOKUP(E7, '06_BANG_GIA_VAT_TU_AP_DUNG'!B:B, '06_BANG_GIA_VAT_TU_AP_DUNG'!C:C, "LỖI_MÃ_VT")</f>
        <v/>
      </c>
      <c r="K7" s="2">
        <f>I7*J7</f>
        <v/>
      </c>
      <c r="L7" t="inlineStr">
        <is>
          <t>38 nan dài 79.40m @ 0.217kg/m</t>
        </is>
      </c>
    </row>
    <row r="8">
      <c r="A8" t="inlineStr">
        <is>
          <t>SW-DIFF-003-ACCESSORY</t>
        </is>
      </c>
      <c r="B8" t="inlineStr">
        <is>
          <t>SW-DIFF-003</t>
        </is>
      </c>
      <c r="C8" t="inlineStr">
        <is>
          <t>Phụ kiện lắp ghép / Ke góc cửa gió</t>
        </is>
      </c>
      <c r="D8" t="inlineStr">
        <is>
          <t>PHỤ_KIỆN_CỬA</t>
        </is>
      </c>
      <c r="E8" t="inlineStr">
        <is>
          <t>MAT-DOOR-ACCESSORY</t>
        </is>
      </c>
      <c r="F8" t="inlineStr">
        <is>
          <t>Bộ</t>
        </is>
      </c>
      <c r="G8" s="4" t="n">
        <v>1</v>
      </c>
      <c r="H8" s="2">
        <f>XLOOKUP(B8, '00_TONG_HOP_BAO_GIA'!B:B, '00_TONG_HOP_BAO_GIA'!G:G, 1)</f>
        <v/>
      </c>
      <c r="I8" s="5">
        <f>G8*H8</f>
        <v/>
      </c>
      <c r="J8" s="2">
        <f>XLOOKUP(E8, '06_BANG_GIA_VAT_TU_AP_DUNG'!B:B, '06_BANG_GIA_VAT_TU_AP_DUNG'!C:C, "LỖI_MÃ_VT")</f>
        <v/>
      </c>
      <c r="K8" s="2">
        <f>I8*J8</f>
        <v/>
      </c>
      <c r="L8" t="inlineStr">
        <is>
          <t>4 ke góc chìm và vít ghép khung</t>
        </is>
      </c>
    </row>
    <row r="9">
      <c r="A9" t="inlineStr">
        <is>
          <t>SW-DIFF-003-PAINT</t>
        </is>
      </c>
      <c r="B9" t="inlineStr">
        <is>
          <t>SW-DIFF-003</t>
        </is>
      </c>
      <c r="C9" t="inlineStr">
        <is>
          <t>Sơn tĩnh điện tiêu chuẩn Polyester</t>
        </is>
      </c>
      <c r="D9" t="inlineStr">
        <is>
          <t>SƠN_TĨNH_ĐIỆN</t>
        </is>
      </c>
      <c r="E9" t="inlineStr">
        <is>
          <t>MAT-PAINT-POWDER</t>
        </is>
      </c>
      <c r="F9" t="inlineStr">
        <is>
          <t>m2</t>
        </is>
      </c>
      <c r="G9" s="4" t="n">
        <v>4.5</v>
      </c>
      <c r="H9" s="2">
        <f>XLOOKUP(B9, '00_TONG_HOP_BAO_GIA'!B:B, '00_TONG_HOP_BAO_GIA'!G:G, 1)</f>
        <v/>
      </c>
      <c r="I9" s="5">
        <f>G9*H9</f>
        <v/>
      </c>
      <c r="J9" s="2">
        <f>XLOOKUP(E9, '06_BANG_GIA_VAT_TU_AP_DUNG'!B:B, '06_BANG_GIA_VAT_TU_AP_DUNG'!C:C, "LỖI_MÃ_VT")</f>
        <v/>
      </c>
      <c r="K9" s="2">
        <f>I9*J9</f>
        <v/>
      </c>
      <c r="L9" t="inlineStr">
        <is>
          <t>Diện tích phủ sơn 4.500m2</t>
        </is>
      </c>
    </row>
    <row r="10">
      <c r="A10" t="inlineStr">
        <is>
          <t>SW-DIFF-005-FRAME</t>
        </is>
      </c>
      <c r="B10" t="inlineStr">
        <is>
          <t>SW-DIFF-005</t>
        </is>
      </c>
      <c r="C10" t="inlineStr">
        <is>
          <t>Khung nhôm định hình (BD)</t>
        </is>
      </c>
      <c r="D10" t="inlineStr">
        <is>
          <t>NHÔM_ĐỊNH_HÌNH</t>
        </is>
      </c>
      <c r="E10" t="inlineStr">
        <is>
          <t>MAT-ALU-KHUNG-BD</t>
        </is>
      </c>
      <c r="F10" t="inlineStr">
        <is>
          <t>kg</t>
        </is>
      </c>
      <c r="G10" s="4" t="n">
        <v>0.483</v>
      </c>
      <c r="H10" s="2">
        <f>XLOOKUP(B10, '00_TONG_HOP_BAO_GIA'!B:B, '00_TONG_HOP_BAO_GIA'!G:G, 1)</f>
        <v/>
      </c>
      <c r="I10" s="5">
        <f>G10*H10</f>
        <v/>
      </c>
      <c r="J10" s="2">
        <f>XLOOKUP(E10, '06_BANG_GIA_VAT_TU_AP_DUNG'!B:B, '06_BANG_GIA_VAT_TU_AP_DUNG'!C:C, "LỖI_MÃ_VT")</f>
        <v/>
      </c>
      <c r="K10" s="2">
        <f>I10*J10</f>
        <v/>
      </c>
      <c r="L10" t="inlineStr">
        <is>
          <t>Dài cắt 2.42m @ 0.2kg/m</t>
        </is>
      </c>
    </row>
    <row r="11">
      <c r="A11" t="inlineStr">
        <is>
          <t>SW-DIFF-005-BLADE</t>
        </is>
      </c>
      <c r="B11" t="inlineStr">
        <is>
          <t>SW-DIFF-005</t>
        </is>
      </c>
      <c r="C11" t="inlineStr">
        <is>
          <t>Nan nhôm định hình (BD)</t>
        </is>
      </c>
      <c r="D11" t="inlineStr">
        <is>
          <t>NHÔM_ĐỊNH_HÌNH</t>
        </is>
      </c>
      <c r="E11" t="inlineStr">
        <is>
          <t>MAT-ALU-NAN-BD</t>
        </is>
      </c>
      <c r="F11" t="inlineStr">
        <is>
          <t>kg</t>
        </is>
      </c>
      <c r="G11" s="4" t="n">
        <v>0.361746</v>
      </c>
      <c r="H11" s="2">
        <f>XLOOKUP(B11, '00_TONG_HOP_BAO_GIA'!B:B, '00_TONG_HOP_BAO_GIA'!G:G, 1)</f>
        <v/>
      </c>
      <c r="I11" s="5">
        <f>G11*H11</f>
        <v/>
      </c>
      <c r="J11" s="2">
        <f>XLOOKUP(E11, '06_BANG_GIA_VAT_TU_AP_DUNG'!B:B, '06_BANG_GIA_VAT_TU_AP_DUNG'!C:C, "LỖI_MÃ_VT")</f>
        <v/>
      </c>
      <c r="K11" s="2">
        <f>I11*J11</f>
        <v/>
      </c>
      <c r="L11" t="inlineStr">
        <is>
          <t>6 nan dài 6.24m @ 0.058kg/m</t>
        </is>
      </c>
    </row>
    <row r="12">
      <c r="A12" t="inlineStr">
        <is>
          <t>SW-DIFF-005-ACCESSORY</t>
        </is>
      </c>
      <c r="B12" t="inlineStr">
        <is>
          <t>SW-DIFF-005</t>
        </is>
      </c>
      <c r="C12" t="inlineStr">
        <is>
          <t>Phụ kiện lắp ghép / Ke góc cửa gió</t>
        </is>
      </c>
      <c r="D12" t="inlineStr">
        <is>
          <t>PHỤ_KIỆN_CỬA</t>
        </is>
      </c>
      <c r="E12" t="inlineStr">
        <is>
          <t>MAT-DOOR-ACCESSORY</t>
        </is>
      </c>
      <c r="F12" t="inlineStr">
        <is>
          <t>Bộ</t>
        </is>
      </c>
      <c r="G12" s="4" t="n">
        <v>1</v>
      </c>
      <c r="H12" s="2">
        <f>XLOOKUP(B12, '00_TONG_HOP_BAO_GIA'!B:B, '00_TONG_HOP_BAO_GIA'!G:G, 1)</f>
        <v/>
      </c>
      <c r="I12" s="5">
        <f>G12*H12</f>
        <v/>
      </c>
      <c r="J12" s="2">
        <f>XLOOKUP(E12, '06_BANG_GIA_VAT_TU_AP_DUNG'!B:B, '06_BANG_GIA_VAT_TU_AP_DUNG'!C:C, "LỖI_MÃ_VT")</f>
        <v/>
      </c>
      <c r="K12" s="2">
        <f>I12*J12</f>
        <v/>
      </c>
      <c r="L12" t="inlineStr">
        <is>
          <t>4 ke góc chìm và vít ghép khung</t>
        </is>
      </c>
    </row>
    <row r="13">
      <c r="A13" t="inlineStr">
        <is>
          <t>SW-DIFF-005-PAINT</t>
        </is>
      </c>
      <c r="B13" t="inlineStr">
        <is>
          <t>SW-DIFF-005</t>
        </is>
      </c>
      <c r="C13" t="inlineStr">
        <is>
          <t>Sơn tĩnh điện tiêu chuẩn Polyester</t>
        </is>
      </c>
      <c r="D13" t="inlineStr">
        <is>
          <t>SƠN_TĨNH_ĐIỆN</t>
        </is>
      </c>
      <c r="E13" t="inlineStr">
        <is>
          <t>MAT-PAINT-POWDER</t>
        </is>
      </c>
      <c r="F13" t="inlineStr">
        <is>
          <t>m2</t>
        </is>
      </c>
      <c r="G13" s="4" t="n">
        <v>0.225</v>
      </c>
      <c r="H13" s="2">
        <f>XLOOKUP(B13, '00_TONG_HOP_BAO_GIA'!B:B, '00_TONG_HOP_BAO_GIA'!G:G, 1)</f>
        <v/>
      </c>
      <c r="I13" s="5">
        <f>G13*H13</f>
        <v/>
      </c>
      <c r="J13" s="2">
        <f>XLOOKUP(E13, '06_BANG_GIA_VAT_TU_AP_DUNG'!B:B, '06_BANG_GIA_VAT_TU_AP_DUNG'!C:C, "LỖI_MÃ_VT")</f>
        <v/>
      </c>
      <c r="K13" s="2">
        <f>I13*J13</f>
        <v/>
      </c>
      <c r="L13" t="inlineStr">
        <is>
          <t>Diện tích phủ sơn 0.225m2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SUB_KEY</t>
        </is>
      </c>
      <c r="B1" s="1" t="inlineStr">
        <is>
          <t>PARENT_ITEM_ID</t>
        </is>
      </c>
      <c r="C1" s="1" t="inlineStr">
        <is>
          <t>TÊN CẤU KIỆN</t>
        </is>
      </c>
      <c r="D1" s="1" t="inlineStr">
        <is>
          <t>PHÂN LOẠI</t>
        </is>
      </c>
      <c r="E1" s="1" t="inlineStr">
        <is>
          <t>MÃ VẬT TƯ (MAT_ID)</t>
        </is>
      </c>
      <c r="F1" s="1" t="inlineStr">
        <is>
          <t>ĐVT</t>
        </is>
      </c>
      <c r="G1" s="1" t="inlineStr">
        <is>
          <t>ĐỊNH MỨC / 1 SP</t>
        </is>
      </c>
      <c r="H1" s="1" t="inlineStr">
        <is>
          <t>SL DỰ ÁN</t>
        </is>
      </c>
      <c r="I1" s="1" t="inlineStr">
        <is>
          <t>TỔNG NHU CẦU</t>
        </is>
      </c>
      <c r="J1" s="1" t="inlineStr">
        <is>
          <t>ĐƠN GIÁ GỐC</t>
        </is>
      </c>
      <c r="K1" s="1" t="inlineStr">
        <is>
          <t>THÀNH TIỀN (VNĐ)</t>
        </is>
      </c>
      <c r="L1" s="1" t="inlineStr">
        <is>
          <t>GHI CHÚ KỸ THUẬT</t>
        </is>
      </c>
    </row>
    <row r="2">
      <c r="A2" t="inlineStr">
        <is>
          <t>SW-DAMPER-001-BODY</t>
        </is>
      </c>
      <c r="B2" t="inlineStr">
        <is>
          <t>SW-DAMPER-001</t>
        </is>
      </c>
      <c r="C2" t="inlineStr">
        <is>
          <t>Thân vỏ van FD bích TDF (0.95mm)</t>
        </is>
      </c>
      <c r="D2" t="inlineStr">
        <is>
          <t>TÔN_CUỘN_MẠ_KẼM</t>
        </is>
      </c>
      <c r="E2" t="inlineStr">
        <is>
          <t>MAT-STEEL-PN-0.95</t>
        </is>
      </c>
      <c r="F2" t="inlineStr">
        <is>
          <t>kg</t>
        </is>
      </c>
      <c r="G2" s="4" t="n">
        <v>8.619676799999999</v>
      </c>
      <c r="H2" s="2">
        <f>XLOOKUP(B2, '00_TONG_HOP_BAO_GIA'!B:B, '00_TONG_HOP_BAO_GIA'!G:G, 1)</f>
        <v/>
      </c>
      <c r="I2" s="5">
        <f>G2*H2</f>
        <v/>
      </c>
      <c r="J2" s="2">
        <f>XLOOKUP(E2, '06_BANG_GIA_VAT_TU_AP_DUNG'!B:B, '06_BANG_GIA_VAT_TU_AP_DUNG'!C:C, "LỖI_MÃ_VT")</f>
        <v/>
      </c>
      <c r="K2" s="2">
        <f>I2*J2</f>
        <v/>
      </c>
      <c r="L2" t="inlineStr">
        <is>
          <t>Kích thước vỏ 1200x500x250mm</t>
        </is>
      </c>
    </row>
    <row r="3">
      <c r="A3" t="inlineStr">
        <is>
          <t>SW-DAMPER-001-BLADE</t>
        </is>
      </c>
      <c r="B3" t="inlineStr">
        <is>
          <t>SW-DAMPER-001</t>
        </is>
      </c>
      <c r="C3" t="inlineStr">
        <is>
          <t>Lá cánh van (3 cánh overlap)</t>
        </is>
      </c>
      <c r="D3" t="inlineStr">
        <is>
          <t>TÔN_CUỘN_MẠ_KẼM</t>
        </is>
      </c>
      <c r="E3" t="inlineStr">
        <is>
          <t>MAT-STEEL-PN-0.75</t>
        </is>
      </c>
      <c r="F3" t="inlineStr">
        <is>
          <t>kg</t>
        </is>
      </c>
      <c r="G3" s="4" t="n">
        <v>4.272911999999999</v>
      </c>
      <c r="H3" s="2">
        <f>XLOOKUP(B3, '00_TONG_HOP_BAO_GIA'!B:B, '00_TONG_HOP_BAO_GIA'!G:G, 1)</f>
        <v/>
      </c>
      <c r="I3" s="5">
        <f>G3*H3</f>
        <v/>
      </c>
      <c r="J3" s="2">
        <f>XLOOKUP(E3, '06_BANG_GIA_VAT_TU_AP_DUNG'!B:B, '06_BANG_GIA_VAT_TU_AP_DUNG'!C:C, "LỖI_MÃ_VT")</f>
        <v/>
      </c>
      <c r="K3" s="2">
        <f>I3*J3</f>
        <v/>
      </c>
      <c r="L3" t="inlineStr">
        <is>
          <t>3 cánh cao 187mm</t>
        </is>
      </c>
    </row>
    <row r="4">
      <c r="A4" t="inlineStr">
        <is>
          <t>SW-DAMPER-001-AXLE</t>
        </is>
      </c>
      <c r="B4" t="inlineStr">
        <is>
          <t>SW-DAMPER-001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4" t="n">
        <v>3.78</v>
      </c>
      <c r="H4" s="2">
        <f>XLOOKUP(B4, '00_TONG_HOP_BAO_GIA'!B:B, '00_TONG_HOP_BAO_GIA'!G:G, 1)</f>
        <v/>
      </c>
      <c r="I4" s="5">
        <f>G4*H4</f>
        <v/>
      </c>
      <c r="J4" s="2">
        <f>XLOOKUP(E4, '06_BANG_GIA_VAT_TU_AP_DUNG'!B:B, '06_BANG_GIA_VAT_TU_AP_DUNG'!C:C, "LỖI_MÃ_VT")</f>
        <v/>
      </c>
      <c r="K4" s="2">
        <f>I4*J4</f>
        <v/>
      </c>
      <c r="L4" t="inlineStr">
        <is>
          <t>3 trục dài 1260mm</t>
        </is>
      </c>
    </row>
    <row r="5">
      <c r="A5" t="inlineStr">
        <is>
          <t>SW-DAMPER-001-BEARING</t>
        </is>
      </c>
      <c r="B5" t="inlineStr">
        <is>
          <t>SW-DAMPER-001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4" t="n">
        <v>3</v>
      </c>
      <c r="H5" s="2">
        <f>XLOOKUP(B5, '00_TONG_HOP_BAO_GIA'!B:B, '00_TONG_HOP_BAO_GIA'!G:G, 1)</f>
        <v/>
      </c>
      <c r="I5" s="5">
        <f>G5*H5</f>
        <v/>
      </c>
      <c r="J5" s="2">
        <f>XLOOKUP(E5, '06_BANG_GIA_VAT_TU_AP_DUNG'!B:B, '06_BANG_GIA_VAT_TU_AP_DUNG'!C:C, "LỖI_MÃ_VT")</f>
        <v/>
      </c>
      <c r="K5" s="2">
        <f>I5*J5</f>
        <v/>
      </c>
      <c r="L5" t="inlineStr">
        <is>
          <t>3 đôi bạc đỡ 2 bên thân</t>
        </is>
      </c>
    </row>
    <row r="6">
      <c r="A6" t="inlineStr">
        <is>
          <t>SW-DAMPER-001-GEAR</t>
        </is>
      </c>
      <c r="B6" t="inlineStr">
        <is>
          <t>SW-DAMPER-001</t>
        </is>
      </c>
      <c r="C6" t="inlineStr">
        <is>
          <t>Bánh răng van nhôm</t>
        </is>
      </c>
      <c r="D6" t="inlineStr">
        <is>
          <t>PHỤ_KIỆN_VAN</t>
        </is>
      </c>
      <c r="E6" t="inlineStr">
        <is>
          <t>MAT-DAMPER-BANH-RANG-VAN-NHOM</t>
        </is>
      </c>
      <c r="F6" t="inlineStr">
        <is>
          <t>Bộ</t>
        </is>
      </c>
      <c r="G6" s="4" t="n">
        <v>1</v>
      </c>
      <c r="H6" s="2">
        <f>XLOOKUP(B6, '00_TONG_HOP_BAO_GIA'!B:B, '00_TONG_HOP_BAO_GIA'!G:G, 1)</f>
        <v/>
      </c>
      <c r="I6" s="5">
        <f>G6*H6</f>
        <v/>
      </c>
      <c r="J6" s="2">
        <f>XLOOKUP(E6, '06_BANG_GIA_VAT_TU_AP_DUNG'!B:B, '06_BANG_GIA_VAT_TU_AP_DUNG'!C:C, "LỖI_MÃ_VT")</f>
        <v/>
      </c>
      <c r="K6" s="2">
        <f>I6*J6</f>
        <v/>
      </c>
      <c r="L6" t="inlineStr">
        <is>
          <t>Cơ cấu liên động bánh răng van</t>
        </is>
      </c>
    </row>
    <row r="7">
      <c r="A7" t="inlineStr">
        <is>
          <t>SW-DAMPER-001-FUSE</t>
        </is>
      </c>
      <c r="B7" t="inlineStr">
        <is>
          <t>SW-DAMPER-001</t>
        </is>
      </c>
      <c r="C7" t="inlineStr">
        <is>
          <t>Cầu chì nhiệt nóng chảy 70°C (Elsie/USA)</t>
        </is>
      </c>
      <c r="D7" t="inlineStr">
        <is>
          <t>PHỤ_KIỆN_VAN</t>
        </is>
      </c>
      <c r="E7" t="inlineStr">
        <is>
          <t>MAT-DAMPER-CAU-CHI-USA-2-400X400</t>
        </is>
      </c>
      <c r="F7" t="inlineStr">
        <is>
          <t>Cái</t>
        </is>
      </c>
      <c r="G7" s="4" t="n">
        <v>1</v>
      </c>
      <c r="H7" s="2">
        <f>XLOOKUP(B7, '00_TONG_HOP_BAO_GIA'!B:B, '00_TONG_HOP_BAO_GIA'!G:G, 1)</f>
        <v/>
      </c>
      <c r="I7" s="5">
        <f>G7*H7</f>
        <v/>
      </c>
      <c r="J7" s="2">
        <f>XLOOKUP(E7, '06_BANG_GIA_VAT_TU_AP_DUNG'!B:B, '06_BANG_GIA_VAT_TU_AP_DUNG'!C:C, "LỖI_MÃ_VT")</f>
        <v/>
      </c>
      <c r="K7" s="2">
        <f>I7*J7</f>
        <v/>
      </c>
      <c r="L7" t="inlineStr">
        <is>
          <t>Cầu chì kiểm định PCCC</t>
        </is>
      </c>
    </row>
    <row r="8">
      <c r="A8" t="inlineStr">
        <is>
          <t>SW-DAMPER-004-BODY</t>
        </is>
      </c>
      <c r="B8" t="inlineStr">
        <is>
          <t>SW-DAMPER-004</t>
        </is>
      </c>
      <c r="C8" t="inlineStr">
        <is>
          <t>Thân vỏ van VCD bích TDF (0.75mm)</t>
        </is>
      </c>
      <c r="D8" t="inlineStr">
        <is>
          <t>TÔN_CUỘN_MẠ_KẼM</t>
        </is>
      </c>
      <c r="E8" t="inlineStr">
        <is>
          <t>MAT-STEEL-PN-0.75</t>
        </is>
      </c>
      <c r="F8" t="inlineStr">
        <is>
          <t>kg</t>
        </is>
      </c>
      <c r="G8" s="4" t="n">
        <v>4.223457</v>
      </c>
      <c r="H8" s="2">
        <f>XLOOKUP(B8, '00_TONG_HOP_BAO_GIA'!B:B, '00_TONG_HOP_BAO_GIA'!G:G, 1)</f>
        <v/>
      </c>
      <c r="I8" s="5">
        <f>G8*H8</f>
        <v/>
      </c>
      <c r="J8" s="2">
        <f>XLOOKUP(E8, '06_BANG_GIA_VAT_TU_AP_DUNG'!B:B, '06_BANG_GIA_VAT_TU_AP_DUNG'!C:C, "LỖI_MÃ_VT")</f>
        <v/>
      </c>
      <c r="K8" s="2">
        <f>I8*J8</f>
        <v/>
      </c>
      <c r="L8" t="inlineStr">
        <is>
          <t>Kích thước vỏ 800x400x210mm</t>
        </is>
      </c>
    </row>
    <row r="9">
      <c r="A9" t="inlineStr">
        <is>
          <t>SW-DAMPER-004-BLADE</t>
        </is>
      </c>
      <c r="B9" t="inlineStr">
        <is>
          <t>SW-DAMPER-004</t>
        </is>
      </c>
      <c r="C9" t="inlineStr">
        <is>
          <t>Lá cánh van (3 cánh overlap)</t>
        </is>
      </c>
      <c r="D9" t="inlineStr">
        <is>
          <t>TÔN_CUỘN_MẠ_KẼM</t>
        </is>
      </c>
      <c r="E9" t="inlineStr">
        <is>
          <t>MAT-STEEL-PN-0.75</t>
        </is>
      </c>
      <c r="F9" t="inlineStr">
        <is>
          <t>kg</t>
        </is>
      </c>
      <c r="G9" s="4" t="n">
        <v>2.339928</v>
      </c>
      <c r="H9" s="2">
        <f>XLOOKUP(B9, '00_TONG_HOP_BAO_GIA'!B:B, '00_TONG_HOP_BAO_GIA'!G:G, 1)</f>
        <v/>
      </c>
      <c r="I9" s="5">
        <f>G9*H9</f>
        <v/>
      </c>
      <c r="J9" s="2">
        <f>XLOOKUP(E9, '06_BANG_GIA_VAT_TU_AP_DUNG'!B:B, '06_BANG_GIA_VAT_TU_AP_DUNG'!C:C, "LỖI_MÃ_VT")</f>
        <v/>
      </c>
      <c r="K9" s="2">
        <f>I9*J9</f>
        <v/>
      </c>
      <c r="L9" t="inlineStr">
        <is>
          <t>3 cánh cao 153mm</t>
        </is>
      </c>
    </row>
    <row r="10">
      <c r="A10" t="inlineStr">
        <is>
          <t>SW-DAMPER-004-AXLE</t>
        </is>
      </c>
      <c r="B10" t="inlineStr">
        <is>
          <t>SW-DAMPER-004</t>
        </is>
      </c>
      <c r="C10" t="inlineStr">
        <is>
          <t>Trục Sus 201 D10</t>
        </is>
      </c>
      <c r="D10" t="inlineStr">
        <is>
          <t>PHỤ_KIỆN_VAN</t>
        </is>
      </c>
      <c r="E10" t="inlineStr">
        <is>
          <t>MAT-DAMPER-TRUC-SUS-201-D10</t>
        </is>
      </c>
      <c r="F10" t="inlineStr">
        <is>
          <t>m</t>
        </is>
      </c>
      <c r="G10" s="4" t="n">
        <v>2.58</v>
      </c>
      <c r="H10" s="2">
        <f>XLOOKUP(B10, '00_TONG_HOP_BAO_GIA'!B:B, '00_TONG_HOP_BAO_GIA'!G:G, 1)</f>
        <v/>
      </c>
      <c r="I10" s="5">
        <f>G10*H10</f>
        <v/>
      </c>
      <c r="J10" s="2">
        <f>XLOOKUP(E10, '06_BANG_GIA_VAT_TU_AP_DUNG'!B:B, '06_BANG_GIA_VAT_TU_AP_DUNG'!C:C, "LỖI_MÃ_VT")</f>
        <v/>
      </c>
      <c r="K10" s="2">
        <f>I10*J10</f>
        <v/>
      </c>
      <c r="L10" t="inlineStr">
        <is>
          <t>3 trục dài 860mm</t>
        </is>
      </c>
    </row>
    <row r="11">
      <c r="A11" t="inlineStr">
        <is>
          <t>SW-DAMPER-004-BEARING</t>
        </is>
      </c>
      <c r="B11" t="inlineStr">
        <is>
          <t>SW-DAMPER-004</t>
        </is>
      </c>
      <c r="C11" t="inlineStr">
        <is>
          <t>Bạc đồng D10</t>
        </is>
      </c>
      <c r="D11" t="inlineStr">
        <is>
          <t>PHỤ_KIỆN_VAN</t>
        </is>
      </c>
      <c r="E11" t="inlineStr">
        <is>
          <t>MAT-DAMPER-BAC-DONG-D10</t>
        </is>
      </c>
      <c r="F11" t="inlineStr">
        <is>
          <t>Đôi</t>
        </is>
      </c>
      <c r="G11" s="4" t="n">
        <v>3</v>
      </c>
      <c r="H11" s="2">
        <f>XLOOKUP(B11, '00_TONG_HOP_BAO_GIA'!B:B, '00_TONG_HOP_BAO_GIA'!G:G, 1)</f>
        <v/>
      </c>
      <c r="I11" s="5">
        <f>G11*H11</f>
        <v/>
      </c>
      <c r="J11" s="2">
        <f>XLOOKUP(E11, '06_BANG_GIA_VAT_TU_AP_DUNG'!B:B, '06_BANG_GIA_VAT_TU_AP_DUNG'!C:C, "LỖI_MÃ_VT")</f>
        <v/>
      </c>
      <c r="K11" s="2">
        <f>I11*J11</f>
        <v/>
      </c>
      <c r="L11" t="inlineStr">
        <is>
          <t>3 đôi bạc đỡ 2 bên thân</t>
        </is>
      </c>
    </row>
    <row r="12">
      <c r="A12" t="inlineStr">
        <is>
          <t>SW-DAMPER-004-GEAR</t>
        </is>
      </c>
      <c r="B12" t="inlineStr">
        <is>
          <t>SW-DAMPER-004</t>
        </is>
      </c>
      <c r="C12" t="inlineStr">
        <is>
          <t>Bánh răng van nhôm</t>
        </is>
      </c>
      <c r="D12" t="inlineStr">
        <is>
          <t>PHỤ_KIỆN_VAN</t>
        </is>
      </c>
      <c r="E12" t="inlineStr">
        <is>
          <t>MAT-DAMPER-BANH-RANG-VAN-NHOM</t>
        </is>
      </c>
      <c r="F12" t="inlineStr">
        <is>
          <t>Bộ</t>
        </is>
      </c>
      <c r="G12" s="4" t="n">
        <v>1</v>
      </c>
      <c r="H12" s="2">
        <f>XLOOKUP(B12, '00_TONG_HOP_BAO_GIA'!B:B, '00_TONG_HOP_BAO_GIA'!G:G, 1)</f>
        <v/>
      </c>
      <c r="I12" s="5">
        <f>G12*H12</f>
        <v/>
      </c>
      <c r="J12" s="2">
        <f>XLOOKUP(E12, '06_BANG_GIA_VAT_TU_AP_DUNG'!B:B, '06_BANG_GIA_VAT_TU_AP_DUNG'!C:C, "LỖI_MÃ_VT")</f>
        <v/>
      </c>
      <c r="K12" s="2">
        <f>I12*J12</f>
        <v/>
      </c>
      <c r="L12" t="inlineStr">
        <is>
          <t>Cơ cấu liên động bánh răng van</t>
        </is>
      </c>
    </row>
    <row r="13">
      <c r="A13" t="inlineStr">
        <is>
          <t>SW-DAMPER-004-HANDLE</t>
        </is>
      </c>
      <c r="B13" t="inlineStr">
        <is>
          <t>SW-DAMPER-004</t>
        </is>
      </c>
      <c r="C13" t="inlineStr">
        <is>
          <t>Tay gạt nhỏ</t>
        </is>
      </c>
      <c r="D13" t="inlineStr">
        <is>
          <t>PHỤ_KIỆN_VAN</t>
        </is>
      </c>
      <c r="E13" t="inlineStr">
        <is>
          <t>MAT-DAMPER-TAY-GAT-NHO</t>
        </is>
      </c>
      <c r="F13" t="inlineStr">
        <is>
          <t>Bộ</t>
        </is>
      </c>
      <c r="G13" s="4" t="n">
        <v>1</v>
      </c>
      <c r="H13" s="2">
        <f>XLOOKUP(B13, '00_TONG_HOP_BAO_GIA'!B:B, '00_TONG_HOP_BAO_GIA'!G:G, 1)</f>
        <v/>
      </c>
      <c r="I13" s="5">
        <f>G13*H13</f>
        <v/>
      </c>
      <c r="J13" s="2">
        <f>XLOOKUP(E13, '06_BANG_GIA_VAT_TU_AP_DUNG'!B:B, '06_BANG_GIA_VAT_TU_AP_DUNG'!C:C, "LỖI_MÃ_VT")</f>
        <v/>
      </c>
      <c r="K13" s="2">
        <f>I13*J13</f>
        <v/>
      </c>
      <c r="L13" t="inlineStr">
        <is>
          <t>Tay gạt khóa vị trí nan (S=0.32m2)</t>
        </is>
      </c>
    </row>
    <row r="14">
      <c r="A14" t="inlineStr">
        <is>
          <t>SW-DAMPER-006-BODY</t>
        </is>
      </c>
      <c r="B14" t="inlineStr">
        <is>
          <t>SW-DAMPER-006</t>
        </is>
      </c>
      <c r="C14" t="inlineStr">
        <is>
          <t>Thân vỏ van FD bích TDF (0.75mm)</t>
        </is>
      </c>
      <c r="D14" t="inlineStr">
        <is>
          <t>TÔN_CUỘN_MẠ_KẼM</t>
        </is>
      </c>
      <c r="E14" t="inlineStr">
        <is>
          <t>MAT-STEEL-PN-0.75</t>
        </is>
      </c>
      <c r="F14" t="inlineStr">
        <is>
          <t>kg</t>
        </is>
      </c>
      <c r="G14" s="4" t="n">
        <v>2.057328</v>
      </c>
      <c r="H14" s="2">
        <f>XLOOKUP(B14, '00_TONG_HOP_BAO_GIA'!B:B, '00_TONG_HOP_BAO_GIA'!G:G, 1)</f>
        <v/>
      </c>
      <c r="I14" s="5">
        <f>G14*H14</f>
        <v/>
      </c>
      <c r="J14" s="2">
        <f>XLOOKUP(E14, '06_BANG_GIA_VAT_TU_AP_DUNG'!B:B, '06_BANG_GIA_VAT_TU_AP_DUNG'!C:C, "LỖI_MÃ_VT")</f>
        <v/>
      </c>
      <c r="K14" s="2">
        <f>I14*J14</f>
        <v/>
      </c>
      <c r="L14" t="inlineStr">
        <is>
          <t>Kích thước vỏ 250x250x250mm</t>
        </is>
      </c>
    </row>
    <row r="15">
      <c r="A15" t="inlineStr">
        <is>
          <t>SW-DAMPER-006-BLADE</t>
        </is>
      </c>
      <c r="B15" t="inlineStr">
        <is>
          <t>SW-DAMPER-006</t>
        </is>
      </c>
      <c r="C15" t="inlineStr">
        <is>
          <t>Lá cánh van (2 cánh overlap)</t>
        </is>
      </c>
      <c r="D15" t="inlineStr">
        <is>
          <t>TÔN_CUỘN_MẠ_KẼM</t>
        </is>
      </c>
      <c r="E15" t="inlineStr">
        <is>
          <t>MAT-STEEL-PN-0.75</t>
        </is>
      </c>
      <c r="F15" t="inlineStr">
        <is>
          <t>kg</t>
        </is>
      </c>
      <c r="G15" s="4" t="n">
        <v>0.4609912499999999</v>
      </c>
      <c r="H15" s="2">
        <f>XLOOKUP(B15, '00_TONG_HOP_BAO_GIA'!B:B, '00_TONG_HOP_BAO_GIA'!G:G, 1)</f>
        <v/>
      </c>
      <c r="I15" s="5">
        <f>G15*H15</f>
        <v/>
      </c>
      <c r="J15" s="2">
        <f>XLOOKUP(E15, '06_BANG_GIA_VAT_TU_AP_DUNG'!B:B, '06_BANG_GIA_VAT_TU_AP_DUNG'!C:C, "LỖI_MÃ_VT")</f>
        <v/>
      </c>
      <c r="K15" s="2">
        <f>I15*J15</f>
        <v/>
      </c>
      <c r="L15" t="inlineStr">
        <is>
          <t>2 cánh cao 145mm</t>
        </is>
      </c>
    </row>
    <row r="16">
      <c r="A16" t="inlineStr">
        <is>
          <t>SW-DAMPER-006-AXLE</t>
        </is>
      </c>
      <c r="B16" t="inlineStr">
        <is>
          <t>SW-DAMPER-006</t>
        </is>
      </c>
      <c r="C16" t="inlineStr">
        <is>
          <t>Trục Sus 201 D10</t>
        </is>
      </c>
      <c r="D16" t="inlineStr">
        <is>
          <t>PHỤ_KIỆN_VAN</t>
        </is>
      </c>
      <c r="E16" t="inlineStr">
        <is>
          <t>MAT-DAMPER-TRUC-SUS-201-D10</t>
        </is>
      </c>
      <c r="F16" t="inlineStr">
        <is>
          <t>m</t>
        </is>
      </c>
      <c r="G16" s="4" t="n">
        <v>0.62</v>
      </c>
      <c r="H16" s="2">
        <f>XLOOKUP(B16, '00_TONG_HOP_BAO_GIA'!B:B, '00_TONG_HOP_BAO_GIA'!G:G, 1)</f>
        <v/>
      </c>
      <c r="I16" s="5">
        <f>G16*H16</f>
        <v/>
      </c>
      <c r="J16" s="2">
        <f>XLOOKUP(E16, '06_BANG_GIA_VAT_TU_AP_DUNG'!B:B, '06_BANG_GIA_VAT_TU_AP_DUNG'!C:C, "LỖI_MÃ_VT")</f>
        <v/>
      </c>
      <c r="K16" s="2">
        <f>I16*J16</f>
        <v/>
      </c>
      <c r="L16" t="inlineStr">
        <is>
          <t>2 trục dài 310mm</t>
        </is>
      </c>
    </row>
    <row r="17">
      <c r="A17" t="inlineStr">
        <is>
          <t>SW-DAMPER-006-BEARING</t>
        </is>
      </c>
      <c r="B17" t="inlineStr">
        <is>
          <t>SW-DAMPER-006</t>
        </is>
      </c>
      <c r="C17" t="inlineStr">
        <is>
          <t>Bạc đồng D10</t>
        </is>
      </c>
      <c r="D17" t="inlineStr">
        <is>
          <t>PHỤ_KIỆN_VAN</t>
        </is>
      </c>
      <c r="E17" t="inlineStr">
        <is>
          <t>MAT-DAMPER-BAC-DONG-D10</t>
        </is>
      </c>
      <c r="F17" t="inlineStr">
        <is>
          <t>Đôi</t>
        </is>
      </c>
      <c r="G17" s="4" t="n">
        <v>2</v>
      </c>
      <c r="H17" s="2">
        <f>XLOOKUP(B17, '00_TONG_HOP_BAO_GIA'!B:B, '00_TONG_HOP_BAO_GIA'!G:G, 1)</f>
        <v/>
      </c>
      <c r="I17" s="5">
        <f>G17*H17</f>
        <v/>
      </c>
      <c r="J17" s="2">
        <f>XLOOKUP(E17, '06_BANG_GIA_VAT_TU_AP_DUNG'!B:B, '06_BANG_GIA_VAT_TU_AP_DUNG'!C:C, "LỖI_MÃ_VT")</f>
        <v/>
      </c>
      <c r="K17" s="2">
        <f>I17*J17</f>
        <v/>
      </c>
      <c r="L17" t="inlineStr">
        <is>
          <t>2 đôi bạc đỡ 2 bên thân</t>
        </is>
      </c>
    </row>
    <row r="18">
      <c r="A18" t="inlineStr">
        <is>
          <t>SW-DAMPER-006-GEAR</t>
        </is>
      </c>
      <c r="B18" t="inlineStr">
        <is>
          <t>SW-DAMPER-006</t>
        </is>
      </c>
      <c r="C18" t="inlineStr">
        <is>
          <t>Bánh răng van nhôm</t>
        </is>
      </c>
      <c r="D18" t="inlineStr">
        <is>
          <t>PHỤ_KIỆN_VAN</t>
        </is>
      </c>
      <c r="E18" t="inlineStr">
        <is>
          <t>MAT-DAMPER-BANH-RANG-VAN-NHOM</t>
        </is>
      </c>
      <c r="F18" t="inlineStr">
        <is>
          <t>Bộ</t>
        </is>
      </c>
      <c r="G18" s="4" t="n">
        <v>1</v>
      </c>
      <c r="H18" s="2">
        <f>XLOOKUP(B18, '00_TONG_HOP_BAO_GIA'!B:B, '00_TONG_HOP_BAO_GIA'!G:G, 1)</f>
        <v/>
      </c>
      <c r="I18" s="5">
        <f>G18*H18</f>
        <v/>
      </c>
      <c r="J18" s="2">
        <f>XLOOKUP(E18, '06_BANG_GIA_VAT_TU_AP_DUNG'!B:B, '06_BANG_GIA_VAT_TU_AP_DUNG'!C:C, "LỖI_MÃ_VT")</f>
        <v/>
      </c>
      <c r="K18" s="2">
        <f>I18*J18</f>
        <v/>
      </c>
      <c r="L18" t="inlineStr">
        <is>
          <t>Cơ cấu liên động bánh răng van</t>
        </is>
      </c>
    </row>
    <row r="19">
      <c r="A19" t="inlineStr">
        <is>
          <t>SW-DAMPER-006-FUSE</t>
        </is>
      </c>
      <c r="B19" t="inlineStr">
        <is>
          <t>SW-DAMPER-006</t>
        </is>
      </c>
      <c r="C19" t="inlineStr">
        <is>
          <t>Cầu chì nhiệt nóng chảy 70°C (Elsie/USA)</t>
        </is>
      </c>
      <c r="D19" t="inlineStr">
        <is>
          <t>PHỤ_KIỆN_VAN</t>
        </is>
      </c>
      <c r="E19" t="inlineStr">
        <is>
          <t>MAT-DAMPER-CAU-CHI-USA-1-400X400</t>
        </is>
      </c>
      <c r="F19" t="inlineStr">
        <is>
          <t>Cái</t>
        </is>
      </c>
      <c r="G19" s="4" t="n">
        <v>1</v>
      </c>
      <c r="H19" s="2">
        <f>XLOOKUP(B19, '00_TONG_HOP_BAO_GIA'!B:B, '00_TONG_HOP_BAO_GIA'!G:G, 1)</f>
        <v/>
      </c>
      <c r="I19" s="5">
        <f>G19*H19</f>
        <v/>
      </c>
      <c r="J19" s="2">
        <f>XLOOKUP(E19, '06_BANG_GIA_VAT_TU_AP_DUNG'!B:B, '06_BANG_GIA_VAT_TU_AP_DUNG'!C:C, "LỖI_MÃ_VT")</f>
        <v/>
      </c>
      <c r="K19" s="2">
        <f>I19*J19</f>
        <v/>
      </c>
      <c r="L19" t="inlineStr">
        <is>
          <t>Cầu chì kiểm định PCCC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STT</t>
        </is>
      </c>
      <c r="B1" s="1" t="inlineStr">
        <is>
          <t>MAT_ID</t>
        </is>
      </c>
      <c r="C1" s="1" t="inlineStr">
        <is>
          <t>PHÂN LOẠI</t>
        </is>
      </c>
      <c r="D1" s="1" t="inlineStr">
        <is>
          <t>TÊN VẬT TƯ</t>
        </is>
      </c>
      <c r="E1" s="1" t="inlineStr">
        <is>
          <t>ĐVT</t>
        </is>
      </c>
      <c r="F1" s="1" t="inlineStr">
        <is>
          <t>BAREM KỸ THUẬT</t>
        </is>
      </c>
      <c r="G1" s="1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MAT-STEEL-PN-1.38</t>
        </is>
      </c>
      <c r="C28" t="inlineStr">
        <is>
          <t>TÔN_CUỘN_MẠ_KẼM</t>
        </is>
      </c>
      <c r="D28" t="inlineStr">
        <is>
          <t>TÔN PHƯƠNG NAM 1.38mm</t>
        </is>
      </c>
      <c r="E28" t="inlineStr">
        <is>
          <t>kg</t>
        </is>
      </c>
      <c r="F28" t="inlineStr">
        <is>
          <t>10.833 kg/m2</t>
        </is>
      </c>
      <c r="G28" t="inlineStr">
        <is>
          <t>Vat tu tôn!R10C14</t>
        </is>
      </c>
    </row>
    <row r="29">
      <c r="A29" t="n">
        <v>28</v>
      </c>
      <c r="B29" t="inlineStr">
        <is>
          <t>MAT-STEEL-PN-1.48</t>
        </is>
      </c>
      <c r="C29" t="inlineStr">
        <is>
          <t>TÔN_CUỘN_MẠ_KẼM</t>
        </is>
      </c>
      <c r="D29" t="inlineStr">
        <is>
          <t>TÔN PHƯƠNG NAM 1.48mm</t>
        </is>
      </c>
      <c r="E29" t="inlineStr">
        <is>
          <t>kg</t>
        </is>
      </c>
      <c r="F29" t="inlineStr">
        <is>
          <t>11.618 kg/m2</t>
        </is>
      </c>
      <c r="G29" t="inlineStr">
        <is>
          <t>Vat tu tôn!R11C14</t>
        </is>
      </c>
    </row>
    <row r="30">
      <c r="A30" t="n">
        <v>29</v>
      </c>
      <c r="B30" t="inlineStr">
        <is>
          <t>MAT-STEEL-HOASEN-0.48</t>
        </is>
      </c>
      <c r="C30" t="inlineStr">
        <is>
          <t>TÔN_CUỘN_MẠ_KẼM</t>
        </is>
      </c>
      <c r="D30" t="inlineStr">
        <is>
          <t>TÔN HOA SEN 0.48mm</t>
        </is>
      </c>
      <c r="E30" t="inlineStr">
        <is>
          <t>kg</t>
        </is>
      </c>
      <c r="F30" t="inlineStr">
        <is>
          <t>3.768 kg/m2</t>
        </is>
      </c>
      <c r="G30" t="inlineStr">
        <is>
          <t>Vat tu tôn!R5C19</t>
        </is>
      </c>
    </row>
    <row r="31">
      <c r="A31" t="n">
        <v>30</v>
      </c>
      <c r="B31" t="inlineStr">
        <is>
          <t>MAT-STEEL-HOASEN-0.58</t>
        </is>
      </c>
      <c r="C31" t="inlineStr">
        <is>
          <t>TÔN_CUỘN_MẠ_KẼM</t>
        </is>
      </c>
      <c r="D31" t="inlineStr">
        <is>
          <t>TÔN HOA SEN 0.58mm</t>
        </is>
      </c>
      <c r="E31" t="inlineStr">
        <is>
          <t>kg</t>
        </is>
      </c>
      <c r="F31" t="inlineStr">
        <is>
          <t>4.553 kg/m2</t>
        </is>
      </c>
      <c r="G31" t="inlineStr">
        <is>
          <t>Vat tu tôn!R6C19</t>
        </is>
      </c>
    </row>
    <row r="32">
      <c r="A32" t="n">
        <v>31</v>
      </c>
      <c r="B32" t="inlineStr">
        <is>
          <t>MAT-STEEL-HOASEN-0.75</t>
        </is>
      </c>
      <c r="C32" t="inlineStr">
        <is>
          <t>TÔN_CUỘN_MẠ_KẼM</t>
        </is>
      </c>
      <c r="D32" t="inlineStr">
        <is>
          <t>TÔN HOA SEN 0.75mm</t>
        </is>
      </c>
      <c r="E32" t="inlineStr">
        <is>
          <t>kg</t>
        </is>
      </c>
      <c r="F32" t="inlineStr">
        <is>
          <t>5.887 kg/m2</t>
        </is>
      </c>
      <c r="G32" t="inlineStr">
        <is>
          <t>Vat tu tôn!R7C19</t>
        </is>
      </c>
    </row>
    <row r="33">
      <c r="A33" t="n">
        <v>32</v>
      </c>
      <c r="B33" t="inlineStr">
        <is>
          <t>MAT-STEEL-HOASEN-0.95</t>
        </is>
      </c>
      <c r="C33" t="inlineStr">
        <is>
          <t>TÔN_CUỘN_MẠ_KẼM</t>
        </is>
      </c>
      <c r="D33" t="inlineStr">
        <is>
          <t>TÔN HOA SEN 0.95mm</t>
        </is>
      </c>
      <c r="E33" t="inlineStr">
        <is>
          <t>kg</t>
        </is>
      </c>
      <c r="F33" t="inlineStr">
        <is>
          <t>7.457 kg/m2</t>
        </is>
      </c>
      <c r="G33" t="inlineStr">
        <is>
          <t>Vat tu tôn!R8C19</t>
        </is>
      </c>
    </row>
    <row r="34">
      <c r="A34" t="n">
        <v>33</v>
      </c>
      <c r="B34" t="inlineStr">
        <is>
          <t>MAT-STEEL-HOASEN-1.15</t>
        </is>
      </c>
      <c r="C34" t="inlineStr">
        <is>
          <t>TÔN_CUỘN_MẠ_KẼM</t>
        </is>
      </c>
      <c r="D34" t="inlineStr">
        <is>
          <t>TÔN HOA SEN 1.15mm</t>
        </is>
      </c>
      <c r="E34" t="inlineStr">
        <is>
          <t>kg</t>
        </is>
      </c>
      <c r="F34" t="inlineStr">
        <is>
          <t>9.027 kg/m2</t>
        </is>
      </c>
      <c r="G34" t="inlineStr">
        <is>
          <t>Vat tu tôn!R9C19</t>
        </is>
      </c>
    </row>
    <row r="35">
      <c r="A35" t="n">
        <v>34</v>
      </c>
      <c r="B35" t="inlineStr">
        <is>
          <t>MAT-STEEL-HOASEN-1.50</t>
        </is>
      </c>
      <c r="C35" t="inlineStr">
        <is>
          <t>TÔN_CUỘN_MẠ_KẼM</t>
        </is>
      </c>
      <c r="D35" t="inlineStr">
        <is>
          <t>TÔN HOA SEN 1.50mm</t>
        </is>
      </c>
      <c r="E35" t="inlineStr">
        <is>
          <t>kg</t>
        </is>
      </c>
      <c r="F35" t="inlineStr">
        <is>
          <t>11.775 kg/m2</t>
        </is>
      </c>
      <c r="G35" t="inlineStr">
        <is>
          <t>Vat tu tôn!R10C19</t>
        </is>
      </c>
    </row>
    <row r="36">
      <c r="A36" t="n">
        <v>35</v>
      </c>
      <c r="B36" t="inlineStr">
        <is>
          <t>MAT-STEEL-HOASEN-0.58</t>
        </is>
      </c>
      <c r="C36" t="inlineStr">
        <is>
          <t>TÔN_CUỘN_MẠ_KẼM</t>
        </is>
      </c>
      <c r="D36" t="inlineStr">
        <is>
          <t>TÔN HOA SEN 0.58mm</t>
        </is>
      </c>
      <c r="E36" t="inlineStr">
        <is>
          <t>kg</t>
        </is>
      </c>
      <c r="F36" t="inlineStr">
        <is>
          <t>4.553 kg/m2</t>
        </is>
      </c>
      <c r="G36" t="inlineStr">
        <is>
          <t>Vat tu tôn!R15C19</t>
        </is>
      </c>
    </row>
    <row r="37">
      <c r="A37" t="n">
        <v>36</v>
      </c>
      <c r="B37" t="inlineStr">
        <is>
          <t>MAT-STEEL-HOASEN-0.75</t>
        </is>
      </c>
      <c r="C37" t="inlineStr">
        <is>
          <t>TÔN_CUỘN_MẠ_KẼM</t>
        </is>
      </c>
      <c r="D37" t="inlineStr">
        <is>
          <t>TÔN HOA SEN 0.75mm</t>
        </is>
      </c>
      <c r="E37" t="inlineStr">
        <is>
          <t>kg</t>
        </is>
      </c>
      <c r="F37" t="inlineStr">
        <is>
          <t>5.887 kg/m2</t>
        </is>
      </c>
      <c r="G37" t="inlineStr">
        <is>
          <t>Vat tu tôn!R16C19</t>
        </is>
      </c>
    </row>
    <row r="38">
      <c r="A38" t="n">
        <v>37</v>
      </c>
      <c r="B38" t="inlineStr">
        <is>
          <t>MAT-STEEL-HOASEN-0.95</t>
        </is>
      </c>
      <c r="C38" t="inlineStr">
        <is>
          <t>TÔN_CUỘN_MẠ_KẼM</t>
        </is>
      </c>
      <c r="D38" t="inlineStr">
        <is>
          <t>TÔN HOA SEN 0.95mm</t>
        </is>
      </c>
      <c r="E38" t="inlineStr">
        <is>
          <t>kg</t>
        </is>
      </c>
      <c r="F38" t="inlineStr">
        <is>
          <t>7.457 kg/m2</t>
        </is>
      </c>
      <c r="G38" t="inlineStr">
        <is>
          <t>Vat tu tôn!R17C19</t>
        </is>
      </c>
    </row>
    <row r="39">
      <c r="A39" t="n">
        <v>38</v>
      </c>
      <c r="B39" t="inlineStr">
        <is>
          <t>MAT-STEEL-HOASEN-1.15</t>
        </is>
      </c>
      <c r="C39" t="inlineStr">
        <is>
          <t>TÔN_CUỘN_MẠ_KẼM</t>
        </is>
      </c>
      <c r="D39" t="inlineStr">
        <is>
          <t>TÔN HOA SEN 1.15mm</t>
        </is>
      </c>
      <c r="E39" t="inlineStr">
        <is>
          <t>kg</t>
        </is>
      </c>
      <c r="F39" t="inlineStr">
        <is>
          <t>9.027 kg/m2</t>
        </is>
      </c>
      <c r="G39" t="inlineStr">
        <is>
          <t>Vat tu tôn!R18C19</t>
        </is>
      </c>
    </row>
    <row r="40">
      <c r="A40" t="n">
        <v>39</v>
      </c>
      <c r="B40" t="inlineStr">
        <is>
          <t>MAT-STEEL-BLUESCOPE-0.47</t>
        </is>
      </c>
      <c r="C40" t="inlineStr">
        <is>
          <t>TÔN_CUỘN_MẠ_KẼM</t>
        </is>
      </c>
      <c r="D40" t="inlineStr">
        <is>
          <t>TÔN BLUESCOPE 0.47mm</t>
        </is>
      </c>
      <c r="E40" t="inlineStr">
        <is>
          <t>kg</t>
        </is>
      </c>
      <c r="F40" t="inlineStr">
        <is>
          <t>3.689 kg/m2</t>
        </is>
      </c>
      <c r="G40" t="inlineStr">
        <is>
          <t>Vat tu tôn!R5C24</t>
        </is>
      </c>
    </row>
    <row r="41">
      <c r="A41" t="n">
        <v>40</v>
      </c>
      <c r="B41" t="inlineStr">
        <is>
          <t>MAT-STEEL-BLUESCOPE-0.57</t>
        </is>
      </c>
      <c r="C41" t="inlineStr">
        <is>
          <t>TÔN_CUỘN_MẠ_KẼM</t>
        </is>
      </c>
      <c r="D41" t="inlineStr">
        <is>
          <t>TÔN BLUESCOPE 0.57mm</t>
        </is>
      </c>
      <c r="E41" t="inlineStr">
        <is>
          <t>kg</t>
        </is>
      </c>
      <c r="F41" t="inlineStr">
        <is>
          <t>4.474 kg/m2</t>
        </is>
      </c>
      <c r="G41" t="inlineStr">
        <is>
          <t>Vat tu tôn!R6C24</t>
        </is>
      </c>
    </row>
    <row r="42">
      <c r="A42" t="n">
        <v>41</v>
      </c>
      <c r="B42" t="inlineStr">
        <is>
          <t>MAT-STEEL-BLUESCOPE-0.77</t>
        </is>
      </c>
      <c r="C42" t="inlineStr">
        <is>
          <t>TÔN_CUỘN_MẠ_KẼM</t>
        </is>
      </c>
      <c r="D42" t="inlineStr">
        <is>
          <t>TÔN BLUESCOPE 0.77mm</t>
        </is>
      </c>
      <c r="E42" t="inlineStr">
        <is>
          <t>kg</t>
        </is>
      </c>
      <c r="F42" t="inlineStr">
        <is>
          <t>6.045 kg/m2</t>
        </is>
      </c>
      <c r="G42" t="inlineStr">
        <is>
          <t>Vat tu tôn!R7C24</t>
        </is>
      </c>
    </row>
    <row r="43">
      <c r="A43" t="n">
        <v>42</v>
      </c>
      <c r="B43" t="inlineStr">
        <is>
          <t>MAT-STEEL-BLUESCOPE-0.95</t>
        </is>
      </c>
      <c r="C43" t="inlineStr">
        <is>
          <t>TÔN_CUỘN_MẠ_KẼM</t>
        </is>
      </c>
      <c r="D43" t="inlineStr">
        <is>
          <t>TÔN BLUESCOPE 0.95mm</t>
        </is>
      </c>
      <c r="E43" t="inlineStr">
        <is>
          <t>kg</t>
        </is>
      </c>
      <c r="F43" t="inlineStr">
        <is>
          <t>7.457 kg/m2</t>
        </is>
      </c>
      <c r="G43" t="inlineStr">
        <is>
          <t>Vat tu tôn!R8C24</t>
        </is>
      </c>
    </row>
    <row r="44">
      <c r="A44" t="n">
        <v>43</v>
      </c>
      <c r="B44" t="inlineStr">
        <is>
          <t>MAT-STEEL-BLUESCOPE-1.15</t>
        </is>
      </c>
      <c r="C44" t="inlineStr">
        <is>
          <t>TÔN_CUỘN_MẠ_KẼM</t>
        </is>
      </c>
      <c r="D44" t="inlineStr">
        <is>
          <t>TÔN BLUESCOPE 1.15mm</t>
        </is>
      </c>
      <c r="E44" t="inlineStr">
        <is>
          <t>kg</t>
        </is>
      </c>
      <c r="F44" t="inlineStr">
        <is>
          <t>9.027 kg/m2</t>
        </is>
      </c>
      <c r="G44" t="inlineStr">
        <is>
          <t>Vat tu tôn!R9C24</t>
        </is>
      </c>
    </row>
    <row r="45">
      <c r="A45" t="n">
        <v>44</v>
      </c>
      <c r="B45" t="inlineStr">
        <is>
          <t>MAT-INOX-SUS304-0-5</t>
        </is>
      </c>
      <c r="C45" t="inlineStr">
        <is>
          <t>INOX</t>
        </is>
      </c>
      <c r="D45" t="inlineStr">
        <is>
          <t>Inox Sus304-0.5</t>
        </is>
      </c>
      <c r="E45" t="inlineStr">
        <is>
          <t>kg</t>
        </is>
      </c>
      <c r="F45" t="inlineStr"/>
      <c r="G45" t="inlineStr">
        <is>
          <t>Vat tu tôn!R5C29</t>
        </is>
      </c>
    </row>
    <row r="46">
      <c r="A46" t="n">
        <v>45</v>
      </c>
      <c r="B46" t="inlineStr">
        <is>
          <t>MAT-INOX-SUS304-0-6</t>
        </is>
      </c>
      <c r="C46" t="inlineStr">
        <is>
          <t>INOX</t>
        </is>
      </c>
      <c r="D46" t="inlineStr">
        <is>
          <t>Inox Sus304-0.6</t>
        </is>
      </c>
      <c r="E46" t="inlineStr">
        <is>
          <t>kg</t>
        </is>
      </c>
      <c r="F46" t="inlineStr"/>
      <c r="G46" t="inlineStr">
        <is>
          <t>Vat tu tôn!R6C29</t>
        </is>
      </c>
    </row>
    <row r="47">
      <c r="A47" t="n">
        <v>46</v>
      </c>
      <c r="B47" t="inlineStr">
        <is>
          <t>MAT-INOX-SUS304-0-7</t>
        </is>
      </c>
      <c r="C47" t="inlineStr">
        <is>
          <t>INOX</t>
        </is>
      </c>
      <c r="D47" t="inlineStr">
        <is>
          <t>Inox Sus304-0.7</t>
        </is>
      </c>
      <c r="E47" t="inlineStr">
        <is>
          <t>kg</t>
        </is>
      </c>
      <c r="F47" t="inlineStr"/>
      <c r="G47" t="inlineStr">
        <is>
          <t>Vat tu tôn!R7C29</t>
        </is>
      </c>
    </row>
    <row r="48">
      <c r="A48" t="n">
        <v>47</v>
      </c>
      <c r="B48" t="inlineStr">
        <is>
          <t>MAT-INOX-SUS304-0-8</t>
        </is>
      </c>
      <c r="C48" t="inlineStr">
        <is>
          <t>INOX</t>
        </is>
      </c>
      <c r="D48" t="inlineStr">
        <is>
          <t>Inox Sus304-0.8</t>
        </is>
      </c>
      <c r="E48" t="inlineStr">
        <is>
          <t>kg</t>
        </is>
      </c>
      <c r="F48" t="inlineStr"/>
      <c r="G48" t="inlineStr">
        <is>
          <t>Vat tu tôn!R8C29</t>
        </is>
      </c>
    </row>
    <row r="49">
      <c r="A49" t="n">
        <v>48</v>
      </c>
      <c r="B49" t="inlineStr">
        <is>
          <t>MAT-INOX-SUS304-0-9</t>
        </is>
      </c>
      <c r="C49" t="inlineStr">
        <is>
          <t>INOX</t>
        </is>
      </c>
      <c r="D49" t="inlineStr">
        <is>
          <t>Inox Sus304-0.9</t>
        </is>
      </c>
      <c r="E49" t="inlineStr">
        <is>
          <t>kg</t>
        </is>
      </c>
      <c r="F49" t="inlineStr"/>
      <c r="G49" t="inlineStr">
        <is>
          <t>Vat tu tôn!R9C29</t>
        </is>
      </c>
    </row>
    <row r="50">
      <c r="A50" t="n">
        <v>49</v>
      </c>
      <c r="B50" t="inlineStr">
        <is>
          <t>MAT-INOX-SUS304-1-0</t>
        </is>
      </c>
      <c r="C50" t="inlineStr">
        <is>
          <t>INOX</t>
        </is>
      </c>
      <c r="D50" t="inlineStr">
        <is>
          <t>Inox Sus304-1,0</t>
        </is>
      </c>
      <c r="E50" t="inlineStr">
        <is>
          <t>kg</t>
        </is>
      </c>
      <c r="F50" t="inlineStr"/>
      <c r="G50" t="inlineStr">
        <is>
          <t>Vat tu tôn!R10C29</t>
        </is>
      </c>
    </row>
    <row r="51">
      <c r="A51" t="n">
        <v>50</v>
      </c>
      <c r="B51" t="inlineStr">
        <is>
          <t>MAT-INOX-SUS304-1-2</t>
        </is>
      </c>
      <c r="C51" t="inlineStr">
        <is>
          <t>INOX</t>
        </is>
      </c>
      <c r="D51" t="inlineStr">
        <is>
          <t>Inox Sus304-1,2</t>
        </is>
      </c>
      <c r="E51" t="inlineStr">
        <is>
          <t>kg</t>
        </is>
      </c>
      <c r="F51" t="inlineStr"/>
      <c r="G51" t="inlineStr">
        <is>
          <t>Vat tu tôn!R11C29</t>
        </is>
      </c>
    </row>
    <row r="52">
      <c r="A52" t="n">
        <v>51</v>
      </c>
      <c r="B52" t="inlineStr">
        <is>
          <t>MAT-INOX-SUS430-0-5</t>
        </is>
      </c>
      <c r="C52" t="inlineStr">
        <is>
          <t>INOX</t>
        </is>
      </c>
      <c r="D52" t="inlineStr">
        <is>
          <t>Inox Sus430-0.5</t>
        </is>
      </c>
      <c r="E52" t="inlineStr">
        <is>
          <t>kg</t>
        </is>
      </c>
      <c r="F52" t="inlineStr"/>
      <c r="G52" t="inlineStr">
        <is>
          <t>Vat tu tôn!R12C29</t>
        </is>
      </c>
    </row>
    <row r="53">
      <c r="A53" t="n">
        <v>52</v>
      </c>
      <c r="B53" t="inlineStr">
        <is>
          <t>MAT-INOX-SUS430-0-6</t>
        </is>
      </c>
      <c r="C53" t="inlineStr">
        <is>
          <t>INOX</t>
        </is>
      </c>
      <c r="D53" t="inlineStr">
        <is>
          <t>Inox Sus430-0.6</t>
        </is>
      </c>
      <c r="E53" t="inlineStr">
        <is>
          <t>kg</t>
        </is>
      </c>
      <c r="F53" t="inlineStr"/>
      <c r="G53" t="inlineStr">
        <is>
          <t>Vat tu tôn!R13C29</t>
        </is>
      </c>
    </row>
    <row r="54">
      <c r="A54" t="n">
        <v>53</v>
      </c>
      <c r="B54" t="inlineStr">
        <is>
          <t>MAT-INOX-SUS430-0-7</t>
        </is>
      </c>
      <c r="C54" t="inlineStr">
        <is>
          <t>INOX</t>
        </is>
      </c>
      <c r="D54" t="inlineStr">
        <is>
          <t>Inox Sus430-0.7</t>
        </is>
      </c>
      <c r="E54" t="inlineStr">
        <is>
          <t>kg</t>
        </is>
      </c>
      <c r="F54" t="inlineStr"/>
      <c r="G54" t="inlineStr">
        <is>
          <t>Vat tu tôn!R14C29</t>
        </is>
      </c>
    </row>
    <row r="55">
      <c r="A55" t="n">
        <v>54</v>
      </c>
      <c r="B55" t="inlineStr">
        <is>
          <t>MAT-INOX-SUS430-0-8</t>
        </is>
      </c>
      <c r="C55" t="inlineStr">
        <is>
          <t>INOX</t>
        </is>
      </c>
      <c r="D55" t="inlineStr">
        <is>
          <t>Inox Sus430-0.8</t>
        </is>
      </c>
      <c r="E55" t="inlineStr">
        <is>
          <t>kg</t>
        </is>
      </c>
      <c r="F55" t="inlineStr"/>
      <c r="G55" t="inlineStr">
        <is>
          <t>Vat tu tôn!R15C29</t>
        </is>
      </c>
    </row>
    <row r="56">
      <c r="A56" t="n">
        <v>55</v>
      </c>
      <c r="B56" t="inlineStr">
        <is>
          <t>MAT-INOX-SUS430-0-9</t>
        </is>
      </c>
      <c r="C56" t="inlineStr">
        <is>
          <t>INOX</t>
        </is>
      </c>
      <c r="D56" t="inlineStr">
        <is>
          <t>Inox Sus430-0.9</t>
        </is>
      </c>
      <c r="E56" t="inlineStr">
        <is>
          <t>kg</t>
        </is>
      </c>
      <c r="F56" t="inlineStr"/>
      <c r="G56" t="inlineStr">
        <is>
          <t>Vat tu tôn!R16C29</t>
        </is>
      </c>
    </row>
    <row r="57">
      <c r="A57" t="n">
        <v>56</v>
      </c>
      <c r="B57" t="inlineStr">
        <is>
          <t>MAT-INOX-SUS430-1-0</t>
        </is>
      </c>
      <c r="C57" t="inlineStr">
        <is>
          <t>INOX</t>
        </is>
      </c>
      <c r="D57" t="inlineStr">
        <is>
          <t>Inox Sus430-1,0</t>
        </is>
      </c>
      <c r="E57" t="inlineStr">
        <is>
          <t>kg</t>
        </is>
      </c>
      <c r="F57" t="inlineStr"/>
      <c r="G57" t="inlineStr">
        <is>
          <t>Vat tu tôn!R17C29</t>
        </is>
      </c>
    </row>
    <row r="58">
      <c r="A58" t="n">
        <v>57</v>
      </c>
      <c r="B58" t="inlineStr">
        <is>
          <t>MAT-INOX-SUS430-1-1</t>
        </is>
      </c>
      <c r="C58" t="inlineStr">
        <is>
          <t>INOX</t>
        </is>
      </c>
      <c r="D58" t="inlineStr">
        <is>
          <t>Inox Sus430-1,1</t>
        </is>
      </c>
      <c r="E58" t="inlineStr">
        <is>
          <t>kg</t>
        </is>
      </c>
      <c r="F58" t="inlineStr"/>
      <c r="G58" t="inlineStr">
        <is>
          <t>Vat tu tôn!R18C29</t>
        </is>
      </c>
    </row>
    <row r="59">
      <c r="A59" t="n">
        <v>58</v>
      </c>
      <c r="B59" t="inlineStr">
        <is>
          <t>MAT-INOX-SUS430-1-2</t>
        </is>
      </c>
      <c r="C59" t="inlineStr">
        <is>
          <t>INOX</t>
        </is>
      </c>
      <c r="D59" t="inlineStr">
        <is>
          <t>Inox Sus430-1,2</t>
        </is>
      </c>
      <c r="E59" t="inlineStr">
        <is>
          <t>kg</t>
        </is>
      </c>
      <c r="F59" t="inlineStr"/>
      <c r="G59" t="inlineStr">
        <is>
          <t>Vat tu tôn!R19C29</t>
        </is>
      </c>
    </row>
    <row r="60">
      <c r="A60" t="n">
        <v>59</v>
      </c>
      <c r="B60" t="inlineStr">
        <is>
          <t>MAT-INOX-SUS201-0-4</t>
        </is>
      </c>
      <c r="C60" t="inlineStr">
        <is>
          <t>INOX</t>
        </is>
      </c>
      <c r="D60" t="inlineStr">
        <is>
          <t>Inox Sus201-0.4</t>
        </is>
      </c>
      <c r="E60" t="inlineStr">
        <is>
          <t>kg</t>
        </is>
      </c>
      <c r="F60" t="inlineStr"/>
      <c r="G60" t="inlineStr">
        <is>
          <t>Vat tu tôn!R20C29</t>
        </is>
      </c>
    </row>
    <row r="61">
      <c r="A61" t="n">
        <v>60</v>
      </c>
      <c r="B61" t="inlineStr">
        <is>
          <t>MAT-INOX-SUS201-0-5</t>
        </is>
      </c>
      <c r="C61" t="inlineStr">
        <is>
          <t>INOX</t>
        </is>
      </c>
      <c r="D61" t="inlineStr">
        <is>
          <t>Inox Sus201-0.5</t>
        </is>
      </c>
      <c r="E61" t="inlineStr">
        <is>
          <t>kg</t>
        </is>
      </c>
      <c r="F61" t="inlineStr"/>
      <c r="G61" t="inlineStr">
        <is>
          <t>Vat tu tôn!R21C29</t>
        </is>
      </c>
    </row>
    <row r="62">
      <c r="A62" t="n">
        <v>61</v>
      </c>
      <c r="B62" t="inlineStr">
        <is>
          <t>MAT-INOX-SUS201-0-6</t>
        </is>
      </c>
      <c r="C62" t="inlineStr">
        <is>
          <t>INOX</t>
        </is>
      </c>
      <c r="D62" t="inlineStr">
        <is>
          <t>Inox Sus201-0.6</t>
        </is>
      </c>
      <c r="E62" t="inlineStr">
        <is>
          <t>kg</t>
        </is>
      </c>
      <c r="F62" t="inlineStr"/>
      <c r="G62" t="inlineStr">
        <is>
          <t>Vat tu tôn!R22C29</t>
        </is>
      </c>
    </row>
    <row r="63">
      <c r="A63" t="n">
        <v>62</v>
      </c>
      <c r="B63" t="inlineStr">
        <is>
          <t>MAT-INOX-SUS201-0-7</t>
        </is>
      </c>
      <c r="C63" t="inlineStr">
        <is>
          <t>INOX</t>
        </is>
      </c>
      <c r="D63" t="inlineStr">
        <is>
          <t>Inox Sus201-0.7</t>
        </is>
      </c>
      <c r="E63" t="inlineStr">
        <is>
          <t>kg</t>
        </is>
      </c>
      <c r="F63" t="inlineStr"/>
      <c r="G63" t="inlineStr">
        <is>
          <t>Vat tu tôn!R23C29</t>
        </is>
      </c>
    </row>
    <row r="64">
      <c r="A64" t="n">
        <v>63</v>
      </c>
      <c r="B64" t="inlineStr">
        <is>
          <t>MAT-INOX-SUS201-0-8</t>
        </is>
      </c>
      <c r="C64" t="inlineStr">
        <is>
          <t>INOX</t>
        </is>
      </c>
      <c r="D64" t="inlineStr">
        <is>
          <t>Inox Sus201-0.8</t>
        </is>
      </c>
      <c r="E64" t="inlineStr">
        <is>
          <t>kg</t>
        </is>
      </c>
      <c r="F64" t="inlineStr"/>
      <c r="G64" t="inlineStr">
        <is>
          <t>Vat tu tôn!R24C29</t>
        </is>
      </c>
    </row>
    <row r="65">
      <c r="A65" t="n">
        <v>64</v>
      </c>
      <c r="B65" t="inlineStr">
        <is>
          <t>MAT-DAMPER-TRUC-SUS-201-D10</t>
        </is>
      </c>
      <c r="C65" t="inlineStr">
        <is>
          <t>PHỤ_KIỆN_VAN</t>
        </is>
      </c>
      <c r="D65" t="inlineStr">
        <is>
          <t>Trục Sus 201 D10</t>
        </is>
      </c>
      <c r="E65" t="inlineStr">
        <is>
          <t>m</t>
        </is>
      </c>
      <c r="F65" t="inlineStr"/>
      <c r="G65" t="inlineStr">
        <is>
          <t>Vat tu tôn!R5C33</t>
        </is>
      </c>
    </row>
    <row r="66">
      <c r="A66" t="n">
        <v>65</v>
      </c>
      <c r="B66" t="inlineStr">
        <is>
          <t>MAT-DAMPER-TRUC-SUS-201-D12</t>
        </is>
      </c>
      <c r="C66" t="inlineStr">
        <is>
          <t>PHỤ_KIỆN_VAN</t>
        </is>
      </c>
      <c r="D66" t="inlineStr">
        <is>
          <t>Trục Sus 201 D12</t>
        </is>
      </c>
      <c r="E66" t="inlineStr">
        <is>
          <t>m</t>
        </is>
      </c>
      <c r="F66" t="inlineStr"/>
      <c r="G66" t="inlineStr">
        <is>
          <t>Vat tu tôn!R6C33</t>
        </is>
      </c>
    </row>
    <row r="67">
      <c r="A67" t="n">
        <v>66</v>
      </c>
      <c r="B67" t="inlineStr">
        <is>
          <t>MAT-DAMPER-TRUC-SUS-201-D14</t>
        </is>
      </c>
      <c r="C67" t="inlineStr">
        <is>
          <t>PHỤ_KIỆN_VAN</t>
        </is>
      </c>
      <c r="D67" t="inlineStr">
        <is>
          <t>Trục Sus 201 D14</t>
        </is>
      </c>
      <c r="E67" t="inlineStr">
        <is>
          <t>m</t>
        </is>
      </c>
      <c r="F67" t="inlineStr"/>
      <c r="G67" t="inlineStr">
        <is>
          <t>Vat tu tôn!R7C33</t>
        </is>
      </c>
    </row>
    <row r="68">
      <c r="A68" t="n">
        <v>67</v>
      </c>
      <c r="B68" t="inlineStr">
        <is>
          <t>MAT-DAMPER-BAC-DONG-D10</t>
        </is>
      </c>
      <c r="C68" t="inlineStr">
        <is>
          <t>PHỤ_KIỆN_VAN</t>
        </is>
      </c>
      <c r="D68" t="inlineStr">
        <is>
          <t>Bạc đồng D10</t>
        </is>
      </c>
      <c r="E68" t="inlineStr">
        <is>
          <t>Đôi</t>
        </is>
      </c>
      <c r="F68" t="inlineStr"/>
      <c r="G68" t="inlineStr">
        <is>
          <t>Vat tu tôn!R8C33</t>
        </is>
      </c>
    </row>
    <row r="69">
      <c r="A69" t="n">
        <v>68</v>
      </c>
      <c r="B69" t="inlineStr">
        <is>
          <t>MAT-DAMPER-BAC-DONG-D12</t>
        </is>
      </c>
      <c r="C69" t="inlineStr">
        <is>
          <t>PHỤ_KIỆN_VAN</t>
        </is>
      </c>
      <c r="D69" t="inlineStr">
        <is>
          <t>Bạc đồng D12</t>
        </is>
      </c>
      <c r="E69" t="inlineStr">
        <is>
          <t>Đôi</t>
        </is>
      </c>
      <c r="F69" t="inlineStr"/>
      <c r="G69" t="inlineStr">
        <is>
          <t>Vat tu tôn!R9C33</t>
        </is>
      </c>
    </row>
    <row r="70">
      <c r="A70" t="n">
        <v>69</v>
      </c>
      <c r="B70" t="inlineStr">
        <is>
          <t>MAT-DAMPER-BAC-DONG-D14</t>
        </is>
      </c>
      <c r="C70" t="inlineStr">
        <is>
          <t>PHỤ_KIỆN_VAN</t>
        </is>
      </c>
      <c r="D70" t="inlineStr">
        <is>
          <t>Bạc đồng D14</t>
        </is>
      </c>
      <c r="E70" t="inlineStr">
        <is>
          <t>Đôi</t>
        </is>
      </c>
      <c r="F70" t="inlineStr"/>
      <c r="G70" t="inlineStr">
        <is>
          <t>Vat tu tôn!R10C33</t>
        </is>
      </c>
    </row>
    <row r="71">
      <c r="A71" t="n">
        <v>70</v>
      </c>
      <c r="B71" t="inlineStr">
        <is>
          <t>MAT-DAMPER-TAY-GAT-1-1M2</t>
        </is>
      </c>
      <c r="C71" t="inlineStr">
        <is>
          <t>PHỤ_KIỆN_VAN</t>
        </is>
      </c>
      <c r="D71" t="inlineStr">
        <is>
          <t>Tay gạt 1 &gt;1m2</t>
        </is>
      </c>
      <c r="E71" t="inlineStr">
        <is>
          <t>Cái</t>
        </is>
      </c>
      <c r="F71" t="inlineStr"/>
      <c r="G71" t="inlineStr">
        <is>
          <t>Vat tu tôn!R11C33</t>
        </is>
      </c>
    </row>
    <row r="72">
      <c r="A72" t="n">
        <v>71</v>
      </c>
      <c r="B72" t="inlineStr">
        <is>
          <t>MAT-DAMPER-GIANG-TAY-GAT-1</t>
        </is>
      </c>
      <c r="C72" t="inlineStr">
        <is>
          <t>PHỤ_KIỆN_VAN</t>
        </is>
      </c>
      <c r="D72" t="inlineStr">
        <is>
          <t>Giằng tay gạt 1</t>
        </is>
      </c>
      <c r="E72" t="inlineStr">
        <is>
          <t>Cái</t>
        </is>
      </c>
      <c r="F72" t="inlineStr"/>
      <c r="G72" t="inlineStr">
        <is>
          <t>Vat tu tôn!R12C33</t>
        </is>
      </c>
    </row>
    <row r="73">
      <c r="A73" t="n">
        <v>72</v>
      </c>
      <c r="B73" t="inlineStr">
        <is>
          <t>MAT-DAMPER-GIANG-TAY-GAT-2</t>
        </is>
      </c>
      <c r="C73" t="inlineStr">
        <is>
          <t>PHỤ_KIỆN_VAN</t>
        </is>
      </c>
      <c r="D73" t="inlineStr">
        <is>
          <t>Giằng tay gạt 2</t>
        </is>
      </c>
      <c r="E73" t="inlineStr">
        <is>
          <t>Cái</t>
        </is>
      </c>
      <c r="F73" t="inlineStr"/>
      <c r="G73" t="inlineStr">
        <is>
          <t>Vat tu tôn!R13C33</t>
        </is>
      </c>
    </row>
    <row r="74">
      <c r="A74" t="n">
        <v>73</v>
      </c>
      <c r="B74" t="inlineStr">
        <is>
          <t>MAT-DAMPER-CAU-CHI-1-400X400</t>
        </is>
      </c>
      <c r="C74" t="inlineStr">
        <is>
          <t>PHỤ_KIỆN_VAN</t>
        </is>
      </c>
      <c r="D74" t="inlineStr">
        <is>
          <t>Cầu chì 1 &lt;400x400</t>
        </is>
      </c>
      <c r="E74" t="inlineStr">
        <is>
          <t>Cái</t>
        </is>
      </c>
      <c r="F74" t="inlineStr"/>
      <c r="G74" t="inlineStr">
        <is>
          <t>Vat tu tôn!R14C33</t>
        </is>
      </c>
    </row>
    <row r="75">
      <c r="A75" t="n">
        <v>74</v>
      </c>
      <c r="B75" t="inlineStr">
        <is>
          <t>MAT-DAMPER-CAU-CHI-2-400X400</t>
        </is>
      </c>
      <c r="C75" t="inlineStr">
        <is>
          <t>PHỤ_KIỆN_VAN</t>
        </is>
      </c>
      <c r="D75" t="inlineStr">
        <is>
          <t>Cầu chì 2&gt;400x400</t>
        </is>
      </c>
      <c r="E75" t="inlineStr">
        <is>
          <t>Cái</t>
        </is>
      </c>
      <c r="F75" t="inlineStr"/>
      <c r="G75" t="inlineStr">
        <is>
          <t>Vat tu tôn!R15C33</t>
        </is>
      </c>
    </row>
    <row r="76">
      <c r="A76" t="n">
        <v>75</v>
      </c>
      <c r="B76" t="inlineStr">
        <is>
          <t>MAT-DAMPER-TRUC-VIT-1</t>
        </is>
      </c>
      <c r="C76" t="inlineStr">
        <is>
          <t>PHỤ_KIỆN_VAN</t>
        </is>
      </c>
      <c r="D76" t="inlineStr">
        <is>
          <t>Trục vít 1</t>
        </is>
      </c>
      <c r="E76" t="inlineStr">
        <is>
          <t>Cái</t>
        </is>
      </c>
      <c r="F76" t="inlineStr"/>
      <c r="G76" t="inlineStr">
        <is>
          <t>Vat tu tôn!R16C33</t>
        </is>
      </c>
    </row>
    <row r="77">
      <c r="A77" t="n">
        <v>76</v>
      </c>
      <c r="B77" t="inlineStr">
        <is>
          <t>MAT-DAMPER-BAC-DONG-8</t>
        </is>
      </c>
      <c r="C77" t="inlineStr">
        <is>
          <t>PHỤ_KIỆN_VAN</t>
        </is>
      </c>
      <c r="D77" t="inlineStr">
        <is>
          <t>Bạc đồng 8</t>
        </is>
      </c>
      <c r="E77" t="inlineStr">
        <is>
          <t>cặp</t>
        </is>
      </c>
      <c r="F77" t="inlineStr"/>
      <c r="G77" t="inlineStr">
        <is>
          <t>Vat tu tôn!R18C33</t>
        </is>
      </c>
    </row>
    <row r="78">
      <c r="A78" t="n">
        <v>77</v>
      </c>
      <c r="B78" t="inlineStr">
        <is>
          <t>MAT-DAMPER-BANH-RANG-VAN-NHOM</t>
        </is>
      </c>
      <c r="C78" t="inlineStr">
        <is>
          <t>PHỤ_KIỆN_VAN</t>
        </is>
      </c>
      <c r="D78" t="inlineStr">
        <is>
          <t>Bánh răng van nhôm</t>
        </is>
      </c>
      <c r="E78" t="inlineStr">
        <is>
          <t>Bộ</t>
        </is>
      </c>
      <c r="F78" t="inlineStr"/>
      <c r="G78" t="inlineStr">
        <is>
          <t>Vat tu tôn!R19C33</t>
        </is>
      </c>
    </row>
    <row r="79">
      <c r="A79" t="n">
        <v>78</v>
      </c>
      <c r="B79" t="inlineStr">
        <is>
          <t>MAT-DAMPER-TAY-VAN-NHUA-1M2</t>
        </is>
      </c>
      <c r="C79" t="inlineStr">
        <is>
          <t>PHỤ_KIỆN_VAN</t>
        </is>
      </c>
      <c r="D79" t="inlineStr">
        <is>
          <t>Tay van nhựa &gt;1m2</t>
        </is>
      </c>
      <c r="E79" t="inlineStr">
        <is>
          <t>Bộ</t>
        </is>
      </c>
      <c r="F79" t="inlineStr"/>
      <c r="G79" t="inlineStr">
        <is>
          <t>Vat tu tôn!R20C33</t>
        </is>
      </c>
    </row>
    <row r="80">
      <c r="A80" t="n">
        <v>79</v>
      </c>
      <c r="B80" t="inlineStr">
        <is>
          <t>MAT-DAMPER-TAY-VAN-INOX-1M2</t>
        </is>
      </c>
      <c r="C80" t="inlineStr">
        <is>
          <t>PHỤ_KIỆN_VAN</t>
        </is>
      </c>
      <c r="D80" t="inlineStr">
        <is>
          <t>Tay van Inox &gt;1m2</t>
        </is>
      </c>
      <c r="E80" t="inlineStr">
        <is>
          <t>Bộ</t>
        </is>
      </c>
      <c r="F80" t="inlineStr"/>
      <c r="G80" t="inlineStr">
        <is>
          <t>Vat tu tôn!R21C33</t>
        </is>
      </c>
    </row>
    <row r="81">
      <c r="A81" t="n">
        <v>80</v>
      </c>
      <c r="B81" t="inlineStr">
        <is>
          <t>MAT-DAMPER-TAY-VAN-NHOM</t>
        </is>
      </c>
      <c r="C81" t="inlineStr">
        <is>
          <t>PHỤ_KIỆN_VAN</t>
        </is>
      </c>
      <c r="D81" t="inlineStr">
        <is>
          <t>Tay van nhôm</t>
        </is>
      </c>
      <c r="E81" t="inlineStr">
        <is>
          <t>Bộ</t>
        </is>
      </c>
      <c r="F81" t="inlineStr"/>
      <c r="G81" t="inlineStr">
        <is>
          <t>Vat tu tôn!R22C33</t>
        </is>
      </c>
    </row>
    <row r="82">
      <c r="A82" t="n">
        <v>81</v>
      </c>
      <c r="B82" t="inlineStr">
        <is>
          <t>MAT-DAMPER-GIOANG-CAO-SU-VAN-NHOM</t>
        </is>
      </c>
      <c r="C82" t="inlineStr">
        <is>
          <t>PHỤ_KIỆN_VAN</t>
        </is>
      </c>
      <c r="D82" t="inlineStr">
        <is>
          <t>Gioăng cao su van nhôm</t>
        </is>
      </c>
      <c r="E82" t="inlineStr">
        <is>
          <t>M</t>
        </is>
      </c>
      <c r="F82" t="inlineStr"/>
      <c r="G82" t="inlineStr">
        <is>
          <t>Vat tu tôn!R23C33</t>
        </is>
      </c>
    </row>
    <row r="83">
      <c r="A83" t="n">
        <v>82</v>
      </c>
      <c r="B83" t="inlineStr">
        <is>
          <t>MAT-DAMPER-TAY-GAT-NHO</t>
        </is>
      </c>
      <c r="C83" t="inlineStr">
        <is>
          <t>PHỤ_KIỆN_VAN</t>
        </is>
      </c>
      <c r="D83" t="inlineStr">
        <is>
          <t>Tay gạt nhỏ</t>
        </is>
      </c>
      <c r="E83" t="inlineStr">
        <is>
          <t>Bộ</t>
        </is>
      </c>
      <c r="F83" t="inlineStr"/>
      <c r="G83" t="inlineStr">
        <is>
          <t>Vat tu tôn!R24C33</t>
        </is>
      </c>
    </row>
    <row r="84">
      <c r="A84" t="n">
        <v>83</v>
      </c>
      <c r="B84" t="inlineStr">
        <is>
          <t>MAT-DAMPER-TAY-GAT-TRUNG-BINH</t>
        </is>
      </c>
      <c r="C84" t="inlineStr">
        <is>
          <t>PHỤ_KIỆN_VAN</t>
        </is>
      </c>
      <c r="D84" t="inlineStr">
        <is>
          <t>Tay gạt trung bình</t>
        </is>
      </c>
      <c r="E84" t="inlineStr">
        <is>
          <t>Bộ</t>
        </is>
      </c>
      <c r="F84" t="inlineStr"/>
      <c r="G84" t="inlineStr">
        <is>
          <t>Vat tu tôn!R25C33</t>
        </is>
      </c>
    </row>
    <row r="85">
      <c r="A85" t="n">
        <v>84</v>
      </c>
      <c r="B85" t="inlineStr">
        <is>
          <t>MAT-DAMPER-MOTOR-NENUTEC-THUY-SY-300X300</t>
        </is>
      </c>
      <c r="C85" t="inlineStr">
        <is>
          <t>PHỤ_KIỆN_VAN</t>
        </is>
      </c>
      <c r="D85" t="inlineStr">
        <is>
          <t>Motor NENUTEC - THỤY SỸ &lt;300x300</t>
        </is>
      </c>
      <c r="E85" t="inlineStr">
        <is>
          <t>cái</t>
        </is>
      </c>
      <c r="F85" t="inlineStr"/>
      <c r="G85" t="inlineStr">
        <is>
          <t>Vat tu tôn!R26C33</t>
        </is>
      </c>
    </row>
    <row r="86">
      <c r="A86" t="n">
        <v>85</v>
      </c>
      <c r="B86" t="inlineStr">
        <is>
          <t>MAT-DAMPER-MOTOR-NENUTEC-THUY-SY-300X300</t>
        </is>
      </c>
      <c r="C86" t="inlineStr">
        <is>
          <t>PHỤ_KIỆN_VAN</t>
        </is>
      </c>
      <c r="D86" t="inlineStr">
        <is>
          <t>Motor NENUTEC - THỤY SỸ &gt;300x300</t>
        </is>
      </c>
      <c r="E86" t="inlineStr">
        <is>
          <t>cái</t>
        </is>
      </c>
      <c r="F86" t="inlineStr"/>
      <c r="G86" t="inlineStr">
        <is>
          <t>Vat tu tôn!R27C33</t>
        </is>
      </c>
    </row>
    <row r="87">
      <c r="A87" t="n">
        <v>86</v>
      </c>
      <c r="B87" t="inlineStr">
        <is>
          <t>MAT-DAMPER-MOTOR-NENUTEC-THUY-SY-1M2</t>
        </is>
      </c>
      <c r="C87" t="inlineStr">
        <is>
          <t>PHỤ_KIỆN_VAN</t>
        </is>
      </c>
      <c r="D87" t="inlineStr">
        <is>
          <t>Motor NENUTEC - THỤY SỸ &gt;1m2</t>
        </is>
      </c>
      <c r="E87" t="inlineStr">
        <is>
          <t>cái</t>
        </is>
      </c>
      <c r="F87" t="inlineStr"/>
      <c r="G87" t="inlineStr">
        <is>
          <t>Vat tu tôn!R28C33</t>
        </is>
      </c>
    </row>
    <row r="88">
      <c r="A88" t="n">
        <v>87</v>
      </c>
      <c r="B88" t="inlineStr">
        <is>
          <t>MAT-DAMPER-MOTOR-VAN-DAP-LUA-CAM-BIEN</t>
        </is>
      </c>
      <c r="C88" t="inlineStr">
        <is>
          <t>PHỤ_KIỆN_VAN</t>
        </is>
      </c>
      <c r="D88" t="inlineStr">
        <is>
          <t>Motor van dập lửa + cảm biến</t>
        </is>
      </c>
      <c r="E88" t="inlineStr">
        <is>
          <t>Cái</t>
        </is>
      </c>
      <c r="F88" t="inlineStr"/>
      <c r="G88" t="inlineStr">
        <is>
          <t>Vat tu tôn!R29C33</t>
        </is>
      </c>
    </row>
    <row r="89">
      <c r="A89" t="n">
        <v>88</v>
      </c>
      <c r="B89" t="inlineStr">
        <is>
          <t>MAT-DAMPER-MOTOR-VAN-AP-SUAT</t>
        </is>
      </c>
      <c r="C89" t="inlineStr">
        <is>
          <t>PHỤ_KIỆN_VAN</t>
        </is>
      </c>
      <c r="D89" t="inlineStr">
        <is>
          <t>Motor van áp suất</t>
        </is>
      </c>
      <c r="E89" t="inlineStr">
        <is>
          <t>Cái</t>
        </is>
      </c>
      <c r="F89" t="inlineStr"/>
      <c r="G89" t="inlineStr">
        <is>
          <t>Vat tu tôn!R30C33</t>
        </is>
      </c>
    </row>
    <row r="90">
      <c r="A90" t="n">
        <v>89</v>
      </c>
      <c r="B90" t="inlineStr">
        <is>
          <t>MAT-DAMPER-CAU-CHI-TRUNG-QUOC</t>
        </is>
      </c>
      <c r="C90" t="inlineStr">
        <is>
          <t>PHỤ_KIỆN_VAN</t>
        </is>
      </c>
      <c r="D90" t="inlineStr">
        <is>
          <t>Cầu chì Trung Quốc</t>
        </is>
      </c>
      <c r="E90" t="inlineStr">
        <is>
          <t>Cái</t>
        </is>
      </c>
      <c r="F90" t="inlineStr"/>
      <c r="G90" t="inlineStr">
        <is>
          <t>Vat tu tôn!R31C33</t>
        </is>
      </c>
    </row>
    <row r="91">
      <c r="A91" t="n">
        <v>90</v>
      </c>
      <c r="B91" t="inlineStr">
        <is>
          <t>MAT-DAMPER-CAU-CHI-USA-1-400X400</t>
        </is>
      </c>
      <c r="C91" t="inlineStr">
        <is>
          <t>PHỤ_KIỆN_VAN</t>
        </is>
      </c>
      <c r="D91" t="inlineStr">
        <is>
          <t>Cầu chì USA -1 (&lt;400x400)</t>
        </is>
      </c>
      <c r="E91" t="inlineStr">
        <is>
          <t>Cái</t>
        </is>
      </c>
      <c r="F91" t="inlineStr"/>
      <c r="G91" t="inlineStr">
        <is>
          <t>Vat tu tôn!R32C33</t>
        </is>
      </c>
    </row>
    <row r="92">
      <c r="A92" t="n">
        <v>91</v>
      </c>
      <c r="B92" t="inlineStr">
        <is>
          <t>MAT-DAMPER-CAU-CHI-USA-2-400X400</t>
        </is>
      </c>
      <c r="C92" t="inlineStr">
        <is>
          <t>PHỤ_KIỆN_VAN</t>
        </is>
      </c>
      <c r="D92" t="inlineStr">
        <is>
          <t>Cầu chì USA-2 (&gt;400x400)</t>
        </is>
      </c>
      <c r="E92" t="inlineStr">
        <is>
          <t>Cái</t>
        </is>
      </c>
      <c r="F92" t="inlineStr"/>
      <c r="G92" t="inlineStr">
        <is>
          <t>Vat tu tôn!R33C33</t>
        </is>
      </c>
    </row>
    <row r="93">
      <c r="A93" t="n">
        <v>92</v>
      </c>
      <c r="B93" t="inlineStr">
        <is>
          <t>MAT-FLANGE-L-30X30X2-CT38-L-6-M</t>
        </is>
      </c>
      <c r="C93" t="inlineStr">
        <is>
          <t>THÉP_BÍCH_GÓC</t>
        </is>
      </c>
      <c r="D93" t="inlineStr">
        <is>
          <t>L 30x30x2 CT38 L = 6 m</t>
        </is>
      </c>
      <c r="E93" t="inlineStr">
        <is>
          <t>m</t>
        </is>
      </c>
      <c r="F93" t="inlineStr"/>
      <c r="G93" t="inlineStr">
        <is>
          <t>Vat tu tôn!R13C37</t>
        </is>
      </c>
    </row>
    <row r="94">
      <c r="A94" t="n">
        <v>93</v>
      </c>
      <c r="B94" t="inlineStr">
        <is>
          <t>MAT-FLANGE-L-30X30X3-CT38-L-6-M</t>
        </is>
      </c>
      <c r="C94" t="inlineStr">
        <is>
          <t>THÉP_BÍCH_GÓC</t>
        </is>
      </c>
      <c r="D94" t="inlineStr">
        <is>
          <t>L 30x30x3 CT38 L = 6 m</t>
        </is>
      </c>
      <c r="E94" t="inlineStr">
        <is>
          <t>m</t>
        </is>
      </c>
      <c r="F94" t="inlineStr"/>
      <c r="G94" t="inlineStr">
        <is>
          <t>Vat tu tôn!R14C37</t>
        </is>
      </c>
    </row>
    <row r="95">
      <c r="A95" t="n">
        <v>94</v>
      </c>
      <c r="B95" t="inlineStr">
        <is>
          <t>MAT-FLANGE-L-40X40X4-CT39-L-6-M</t>
        </is>
      </c>
      <c r="C95" t="inlineStr">
        <is>
          <t>THÉP_BÍCH_GÓC</t>
        </is>
      </c>
      <c r="D95" t="inlineStr">
        <is>
          <t>L 40x40x4 CT39 L = 6 m</t>
        </is>
      </c>
      <c r="E95" t="inlineStr">
        <is>
          <t>m</t>
        </is>
      </c>
      <c r="F95" t="inlineStr"/>
      <c r="G95" t="inlineStr">
        <is>
          <t>Vat tu tôn!R15C37</t>
        </is>
      </c>
    </row>
    <row r="96">
      <c r="A96" t="n">
        <v>95</v>
      </c>
      <c r="B96" t="inlineStr">
        <is>
          <t>MAT-FLANGE-L-50X50X4-CT40-L-6-M</t>
        </is>
      </c>
      <c r="C96" t="inlineStr">
        <is>
          <t>THÉP_BÍCH_GÓC</t>
        </is>
      </c>
      <c r="D96" t="inlineStr">
        <is>
          <t>L 50x50x4 CT40 L = 6 m</t>
        </is>
      </c>
      <c r="E96" t="inlineStr">
        <is>
          <t>m</t>
        </is>
      </c>
      <c r="F96" t="inlineStr"/>
      <c r="G96" t="inlineStr">
        <is>
          <t>Vat tu tôn!R16C37</t>
        </is>
      </c>
    </row>
    <row r="97">
      <c r="A97" t="n">
        <v>96</v>
      </c>
      <c r="B97" t="inlineStr">
        <is>
          <t>MAT-INSUL-LUOI-NHUA</t>
        </is>
      </c>
      <c r="C97" t="inlineStr">
        <is>
          <t>VẬT_LIỆU_TIÊU_ÂM</t>
        </is>
      </c>
      <c r="D97" t="inlineStr">
        <is>
          <t>Lưới nhựa</t>
        </is>
      </c>
      <c r="E97" t="inlineStr">
        <is>
          <t>m2</t>
        </is>
      </c>
      <c r="F97" t="inlineStr"/>
      <c r="G97" t="inlineStr">
        <is>
          <t>Vat tu tôn!R5C41</t>
        </is>
      </c>
    </row>
    <row r="98">
      <c r="A98" t="n">
        <v>97</v>
      </c>
      <c r="B98" t="inlineStr">
        <is>
          <t>MAT-INSUL-MOTOR-NENUTEC-THUY-SY-300X300</t>
        </is>
      </c>
      <c r="C98" t="inlineStr">
        <is>
          <t>VẬT_LIỆU_TIÊU_ÂM</t>
        </is>
      </c>
      <c r="D98" t="inlineStr">
        <is>
          <t>Motor NENUTEC - THỤY SỸ &lt;300x300</t>
        </is>
      </c>
      <c r="E98" t="inlineStr">
        <is>
          <t>cái</t>
        </is>
      </c>
      <c r="F98" t="inlineStr"/>
      <c r="G98" t="inlineStr">
        <is>
          <t>Vat tu tôn!R6C41</t>
        </is>
      </c>
    </row>
    <row r="99">
      <c r="A99" t="n">
        <v>98</v>
      </c>
      <c r="B99" t="inlineStr">
        <is>
          <t>MAT-INSUL-MOTOR-NENUTEC-THUY-SY-300X300</t>
        </is>
      </c>
      <c r="C99" t="inlineStr">
        <is>
          <t>VẬT_LIỆU_TIÊU_ÂM</t>
        </is>
      </c>
      <c r="D99" t="inlineStr">
        <is>
          <t>Motor NENUTEC - THỤY SỸ &gt;300x300</t>
        </is>
      </c>
      <c r="E99" t="inlineStr">
        <is>
          <t>cái</t>
        </is>
      </c>
      <c r="F99" t="inlineStr"/>
      <c r="G99" t="inlineStr">
        <is>
          <t>Vat tu tôn!R7C41</t>
        </is>
      </c>
    </row>
    <row r="100">
      <c r="A100" t="n">
        <v>99</v>
      </c>
      <c r="B100" t="inlineStr">
        <is>
          <t>MAT-INSUL-MOTOR-NENUTEC-THUY-SY-1M2</t>
        </is>
      </c>
      <c r="C100" t="inlineStr">
        <is>
          <t>VẬT_LIỆU_TIÊU_ÂM</t>
        </is>
      </c>
      <c r="D100" t="inlineStr">
        <is>
          <t>Motor NENUTEC - THỤY SỸ &gt;1m2</t>
        </is>
      </c>
      <c r="E100" t="inlineStr">
        <is>
          <t>cái</t>
        </is>
      </c>
      <c r="F100" t="inlineStr"/>
      <c r="G100" t="inlineStr">
        <is>
          <t>Vat tu tôn!R8C41</t>
        </is>
      </c>
    </row>
    <row r="101">
      <c r="A101" t="n">
        <v>100</v>
      </c>
      <c r="B101" t="inlineStr">
        <is>
          <t>MAT-INSUL-MOTOR-VAN-DAP-LUA-CAM-BIEN</t>
        </is>
      </c>
      <c r="C101" t="inlineStr">
        <is>
          <t>VẬT_LIỆU_TIÊU_ÂM</t>
        </is>
      </c>
      <c r="D101" t="inlineStr">
        <is>
          <t>Motor van dập lửa + cảm biến</t>
        </is>
      </c>
      <c r="E101" t="inlineStr">
        <is>
          <t>m2</t>
        </is>
      </c>
      <c r="F101" t="inlineStr"/>
      <c r="G101" t="inlineStr">
        <is>
          <t>Vat tu tôn!R9C41</t>
        </is>
      </c>
    </row>
    <row r="102">
      <c r="A102" t="n">
        <v>101</v>
      </c>
      <c r="B102" t="inlineStr">
        <is>
          <t>MAT-INSUL-MOTOR-VAN-AP-SUAT</t>
        </is>
      </c>
      <c r="C102" t="inlineStr">
        <is>
          <t>VẬT_LIỆU_TIÊU_ÂM</t>
        </is>
      </c>
      <c r="D102" t="inlineStr">
        <is>
          <t>Motor van áp suất</t>
        </is>
      </c>
      <c r="E102" t="inlineStr">
        <is>
          <t>m2</t>
        </is>
      </c>
      <c r="F102" t="inlineStr"/>
      <c r="G102" t="inlineStr">
        <is>
          <t>Vat tu tôn!R10C41</t>
        </is>
      </c>
    </row>
    <row r="103">
      <c r="A103" t="n">
        <v>102</v>
      </c>
      <c r="B103" t="inlineStr">
        <is>
          <t>MAT-ALU-NAN-BD</t>
        </is>
      </c>
      <c r="C103" t="inlineStr">
        <is>
          <t>NHÔM_ĐỊNH_HÌNH</t>
        </is>
      </c>
      <c r="D103" t="inlineStr">
        <is>
          <t>Nhôm định hình NAN BD</t>
        </is>
      </c>
      <c r="E103" t="inlineStr">
        <is>
          <t>kg</t>
        </is>
      </c>
      <c r="F103" t="inlineStr">
        <is>
          <t>0.058 kg/m</t>
        </is>
      </c>
      <c r="G103" t="inlineStr">
        <is>
          <t>BG Cửa  (rút gọn)!R3C2</t>
        </is>
      </c>
    </row>
    <row r="104">
      <c r="A104" t="n">
        <v>103</v>
      </c>
      <c r="B104" t="inlineStr">
        <is>
          <t>MAT-ALU-NAN-T</t>
        </is>
      </c>
      <c r="C104" t="inlineStr">
        <is>
          <t>NHÔM_ĐỊNH_HÌNH</t>
        </is>
      </c>
      <c r="D104" t="inlineStr">
        <is>
          <t>Nhôm định hình NAN T</t>
        </is>
      </c>
      <c r="E104" t="inlineStr">
        <is>
          <t>kg</t>
        </is>
      </c>
      <c r="F104" t="inlineStr">
        <is>
          <t>0.078 kg/m</t>
        </is>
      </c>
      <c r="G104" t="inlineStr">
        <is>
          <t>BG Cửa  (rút gọn)!R4C2</t>
        </is>
      </c>
    </row>
    <row r="105">
      <c r="A105" t="n">
        <v>104</v>
      </c>
      <c r="B105" t="inlineStr">
        <is>
          <t>MAT-ALU-KHUNG-BD</t>
        </is>
      </c>
      <c r="C105" t="inlineStr">
        <is>
          <t>NHÔM_ĐỊNH_HÌNH</t>
        </is>
      </c>
      <c r="D105" t="inlineStr">
        <is>
          <t>Nhôm định hình KHUNG BD</t>
        </is>
      </c>
      <c r="E105" t="inlineStr">
        <is>
          <t>kg</t>
        </is>
      </c>
      <c r="F105" t="inlineStr">
        <is>
          <t>0.2 kg/m</t>
        </is>
      </c>
      <c r="G105" t="inlineStr">
        <is>
          <t>BG Cửa  (rút gọn)!R5C2</t>
        </is>
      </c>
    </row>
    <row r="106">
      <c r="A106" t="n">
        <v>105</v>
      </c>
      <c r="B106" t="inlineStr">
        <is>
          <t>MAT-ALU-KHUNG-BD-Z-MONG</t>
        </is>
      </c>
      <c r="C106" t="inlineStr">
        <is>
          <t>NHÔM_ĐỊNH_HÌNH</t>
        </is>
      </c>
      <c r="D106" t="inlineStr">
        <is>
          <t>Nhôm định hình KHUNG BD+ Z MỎNG</t>
        </is>
      </c>
      <c r="E106" t="inlineStr">
        <is>
          <t>kg</t>
        </is>
      </c>
      <c r="F106" t="inlineStr">
        <is>
          <t>0.173 kg/m</t>
        </is>
      </c>
      <c r="G106" t="inlineStr">
        <is>
          <t>BG Cửa  (rút gọn)!R6C2</t>
        </is>
      </c>
    </row>
    <row r="107">
      <c r="A107" t="n">
        <v>106</v>
      </c>
      <c r="B107" t="inlineStr">
        <is>
          <t>MAT-ALU-NAN-Z-DAY</t>
        </is>
      </c>
      <c r="C107" t="inlineStr">
        <is>
          <t>NHÔM_ĐỊNH_HÌNH</t>
        </is>
      </c>
      <c r="D107" t="inlineStr">
        <is>
          <t>Nhôm định hình NAN Z DÀY</t>
        </is>
      </c>
      <c r="E107" t="inlineStr">
        <is>
          <t>kg</t>
        </is>
      </c>
      <c r="F107" t="inlineStr">
        <is>
          <t>0.217 kg/m</t>
        </is>
      </c>
      <c r="G107" t="inlineStr">
        <is>
          <t>BG Cửa  (rút gọn)!R7C2</t>
        </is>
      </c>
    </row>
    <row r="108">
      <c r="A108" t="n">
        <v>107</v>
      </c>
      <c r="B108" t="inlineStr">
        <is>
          <t>MAT-ALU-NAN-Z-MONG</t>
        </is>
      </c>
      <c r="C108" t="inlineStr">
        <is>
          <t>NHÔM_ĐỊNH_HÌNH</t>
        </is>
      </c>
      <c r="D108" t="inlineStr">
        <is>
          <t>Nhôm định hình NAN Z MỎNG</t>
        </is>
      </c>
      <c r="E108" t="inlineStr">
        <is>
          <t>kg</t>
        </is>
      </c>
      <c r="F108" t="inlineStr">
        <is>
          <t>0.16 kg/m</t>
        </is>
      </c>
      <c r="G108" t="inlineStr">
        <is>
          <t>BG Cửa  (rút gọn)!R8C2</t>
        </is>
      </c>
    </row>
    <row r="109">
      <c r="A109" t="n">
        <v>108</v>
      </c>
      <c r="B109" t="inlineStr">
        <is>
          <t>MAT-ALU-KHUNG-Z-2-LOP</t>
        </is>
      </c>
      <c r="C109" t="inlineStr">
        <is>
          <t>NHÔM_ĐỊNH_HÌNH</t>
        </is>
      </c>
      <c r="D109" t="inlineStr">
        <is>
          <t>Nhôm định hình KHUNG Z+2 LỚP</t>
        </is>
      </c>
      <c r="E109" t="inlineStr">
        <is>
          <t>kg</t>
        </is>
      </c>
      <c r="F109" t="inlineStr">
        <is>
          <t>0.227 kg/m</t>
        </is>
      </c>
      <c r="G109" t="inlineStr">
        <is>
          <t>BG Cửa  (rút gọn)!R9C2</t>
        </is>
      </c>
    </row>
    <row r="110">
      <c r="A110" t="n">
        <v>109</v>
      </c>
      <c r="B110" t="inlineStr">
        <is>
          <t>MAT-ALU-NAN-OBD</t>
        </is>
      </c>
      <c r="C110" t="inlineStr">
        <is>
          <t>NHÔM_ĐỊNH_HÌNH</t>
        </is>
      </c>
      <c r="D110" t="inlineStr">
        <is>
          <t>Nhôm định hình NAN OBD</t>
        </is>
      </c>
      <c r="E110" t="inlineStr">
        <is>
          <t>kg</t>
        </is>
      </c>
      <c r="F110" t="inlineStr">
        <is>
          <t>0.11 kg/m</t>
        </is>
      </c>
      <c r="G110" t="inlineStr">
        <is>
          <t>BG Cửa  (rút gọn)!R10C2</t>
        </is>
      </c>
    </row>
    <row r="111">
      <c r="A111" t="n">
        <v>110</v>
      </c>
      <c r="B111" t="inlineStr">
        <is>
          <t>MAT-ALU-KHUNG-OBD</t>
        </is>
      </c>
      <c r="C111" t="inlineStr">
        <is>
          <t>NHÔM_ĐỊNH_HÌNH</t>
        </is>
      </c>
      <c r="D111" t="inlineStr">
        <is>
          <t>Nhôm định hình KHUNG OBD</t>
        </is>
      </c>
      <c r="E111" t="inlineStr">
        <is>
          <t>kg</t>
        </is>
      </c>
      <c r="F111" t="inlineStr">
        <is>
          <t>0.158 kg/m</t>
        </is>
      </c>
      <c r="G111" t="inlineStr">
        <is>
          <t>BG Cửa  (rút gọn)!R11C2</t>
        </is>
      </c>
    </row>
    <row r="112">
      <c r="A112" t="n">
        <v>111</v>
      </c>
      <c r="B112" t="inlineStr">
        <is>
          <t>MAT-ALU-NAN-BD-EUS02</t>
        </is>
      </c>
      <c r="C112" t="inlineStr">
        <is>
          <t>NHÔM_ĐỊNH_HÌNH</t>
        </is>
      </c>
      <c r="D112" t="inlineStr">
        <is>
          <t>Nhôm định hình NAN BD EUS 02</t>
        </is>
      </c>
      <c r="E112" t="inlineStr">
        <is>
          <t>kg</t>
        </is>
      </c>
      <c r="F112" t="inlineStr">
        <is>
          <t>0.071 kg/m</t>
        </is>
      </c>
      <c r="G112" t="inlineStr">
        <is>
          <t>BG Cửa  (rút gọn)!R14C2</t>
        </is>
      </c>
    </row>
    <row r="113">
      <c r="A113" t="n">
        <v>112</v>
      </c>
      <c r="B113" t="inlineStr">
        <is>
          <t>MAT-ALU-KHUNG-BD-EUS01</t>
        </is>
      </c>
      <c r="C113" t="inlineStr">
        <is>
          <t>NHÔM_ĐỊNH_HÌNH</t>
        </is>
      </c>
      <c r="D113" t="inlineStr">
        <is>
          <t>Nhôm định hình KHUNG BD EUS 01</t>
        </is>
      </c>
      <c r="E113" t="inlineStr">
        <is>
          <t>kg</t>
        </is>
      </c>
      <c r="F113" t="inlineStr">
        <is>
          <t>0.206 kg/m</t>
        </is>
      </c>
      <c r="G113" t="inlineStr">
        <is>
          <t>BG Cửa  (rút gọn)!R15C2</t>
        </is>
      </c>
    </row>
    <row r="114">
      <c r="A114" t="n">
        <v>113</v>
      </c>
      <c r="B114" t="inlineStr">
        <is>
          <t>MAT-ALU-NAN-Z-EUS05</t>
        </is>
      </c>
      <c r="C114" t="inlineStr">
        <is>
          <t>NHÔM_ĐỊNH_HÌNH</t>
        </is>
      </c>
      <c r="D114" t="inlineStr">
        <is>
          <t>Nhôm định hình NAN Z EUS 05</t>
        </is>
      </c>
      <c r="E114" t="inlineStr">
        <is>
          <t>kg</t>
        </is>
      </c>
      <c r="F114" t="inlineStr">
        <is>
          <t>0.162 kg/m</t>
        </is>
      </c>
      <c r="G114" t="inlineStr">
        <is>
          <t>BG Cửa  (rút gọn)!R16C2</t>
        </is>
      </c>
    </row>
    <row r="115">
      <c r="A115" t="n">
        <v>114</v>
      </c>
      <c r="B115" t="inlineStr">
        <is>
          <t>MAT-ALU-KHUNG-Z-EUS03</t>
        </is>
      </c>
      <c r="C115" t="inlineStr">
        <is>
          <t>NHÔM_ĐỊNH_HÌNH</t>
        </is>
      </c>
      <c r="D115" t="inlineStr">
        <is>
          <t>Nhôm định hình KHUNG Z EUS 03</t>
        </is>
      </c>
      <c r="E115" t="inlineStr">
        <is>
          <t>kg</t>
        </is>
      </c>
      <c r="F115" t="inlineStr">
        <is>
          <t>0.247 kg/m</t>
        </is>
      </c>
      <c r="G115" t="inlineStr">
        <is>
          <t>BG Cửa  (rút gọn)!R17C2</t>
        </is>
      </c>
    </row>
    <row r="116">
      <c r="A116" t="n">
        <v>115</v>
      </c>
      <c r="B116" t="inlineStr">
        <is>
          <t>MAT-ALU-NAN-OBD-EUS20</t>
        </is>
      </c>
      <c r="C116" t="inlineStr">
        <is>
          <t>NHÔM_ĐỊNH_HÌNH</t>
        </is>
      </c>
      <c r="D116" t="inlineStr">
        <is>
          <t>Nhôm định hình NAN OBD EUS 20</t>
        </is>
      </c>
      <c r="E116" t="inlineStr">
        <is>
          <t>kg</t>
        </is>
      </c>
      <c r="F116" t="inlineStr">
        <is>
          <t>0.094 kg/m</t>
        </is>
      </c>
      <c r="G116" t="inlineStr">
        <is>
          <t>BG Cửa  (rút gọn)!R18C2</t>
        </is>
      </c>
    </row>
    <row r="117">
      <c r="A117" t="n">
        <v>116</v>
      </c>
      <c r="B117" t="inlineStr">
        <is>
          <t>MAT-ALU-KHUNG-OBD-EUS10</t>
        </is>
      </c>
      <c r="C117" t="inlineStr">
        <is>
          <t>NHÔM_ĐỊNH_HÌNH</t>
        </is>
      </c>
      <c r="D117" t="inlineStr">
        <is>
          <t>Nhôm định hình KHUNG OBD EUS 10</t>
        </is>
      </c>
      <c r="E117" t="inlineStr">
        <is>
          <t>kg</t>
        </is>
      </c>
      <c r="F117" t="inlineStr">
        <is>
          <t>0.141 kg/m</t>
        </is>
      </c>
      <c r="G117" t="inlineStr">
        <is>
          <t>BG Cửa  (rút gọn)!R19C2</t>
        </is>
      </c>
    </row>
    <row r="118">
      <c r="A118" t="n">
        <v>117</v>
      </c>
      <c r="B118" t="inlineStr">
        <is>
          <t>MAT-PAINT-POWDER</t>
        </is>
      </c>
      <c r="C118" t="inlineStr">
        <is>
          <t>SƠN_TĨNH_ĐIỆN</t>
        </is>
      </c>
      <c r="D118" t="inlineStr">
        <is>
          <t>Sơn tĩnh điện tiêu chuẩn Polyester</t>
        </is>
      </c>
      <c r="E118" t="inlineStr">
        <is>
          <t>m2</t>
        </is>
      </c>
      <c r="F118" t="inlineStr"/>
      <c r="G118" t="inlineStr">
        <is>
          <t>BG Cửa  (rút gọn)!R32C21</t>
        </is>
      </c>
    </row>
    <row r="119">
      <c r="A119" t="n">
        <v>118</v>
      </c>
      <c r="B119" t="inlineStr">
        <is>
          <t>MAT-DOOR-ACCESSORY</t>
        </is>
      </c>
      <c r="C119" t="inlineStr">
        <is>
          <t>PHỤ_KIỆN_CỬA</t>
        </is>
      </c>
      <c r="D119" t="inlineStr">
        <is>
          <t>Phụ kiện lắp ghép / Ke góc cửa gió</t>
        </is>
      </c>
      <c r="E119" t="inlineStr">
        <is>
          <t>Bộ</t>
        </is>
      </c>
      <c r="F119" t="inlineStr"/>
      <c r="G119" t="inlineStr">
        <is>
          <t>BG Cửa  (rút gọn)!R34C20</t>
        </is>
      </c>
    </row>
    <row r="120">
      <c r="A120" t="n">
        <v>119</v>
      </c>
      <c r="B120" t="inlineStr">
        <is>
          <t>MAT-ACTUATOR-NACA-2-05</t>
        </is>
      </c>
      <c r="C120" t="inlineStr">
        <is>
          <t>ĐỘNG_CƠ_VÀ_CẢM_BIẾN</t>
        </is>
      </c>
      <c r="D120" t="inlineStr">
        <is>
          <t>Model: NACA 2-05  ( 220VAC, On/Off )</t>
        </is>
      </c>
      <c r="E120" t="inlineStr">
        <is>
          <t>Cái</t>
        </is>
      </c>
      <c r="F120" t="inlineStr"/>
      <c r="G120" t="inlineStr">
        <is>
          <t>VT van!R16C3</t>
        </is>
      </c>
    </row>
    <row r="121">
      <c r="A121" t="n">
        <v>120</v>
      </c>
      <c r="B121" t="inlineStr">
        <is>
          <t>MAT-ACTUATOR-NACA-2-10</t>
        </is>
      </c>
      <c r="C121" t="inlineStr">
        <is>
          <t>ĐỘNG_CƠ_VÀ_CẢM_BIẾN</t>
        </is>
      </c>
      <c r="D121" t="inlineStr">
        <is>
          <t>Model: NACA 2-10   ( 220VAC, On/Off )</t>
        </is>
      </c>
      <c r="E121" t="inlineStr">
        <is>
          <t>Cái</t>
        </is>
      </c>
      <c r="F121" t="inlineStr"/>
      <c r="G121" t="inlineStr">
        <is>
          <t>VT van!R17C3</t>
        </is>
      </c>
    </row>
    <row r="122">
      <c r="A122" t="n">
        <v>121</v>
      </c>
      <c r="B122" t="inlineStr">
        <is>
          <t>MAT-ACTUATOR-NACA-2-20</t>
        </is>
      </c>
      <c r="C122" t="inlineStr">
        <is>
          <t>ĐỘNG_CƠ_VÀ_CẢM_BIẾN</t>
        </is>
      </c>
      <c r="D122" t="inlineStr">
        <is>
          <t>Model: NACA 2-20   ( 220VAC, On/Off )</t>
        </is>
      </c>
      <c r="E122" t="inlineStr">
        <is>
          <t>Cái</t>
        </is>
      </c>
      <c r="F122" t="inlineStr"/>
      <c r="G122" t="inlineStr">
        <is>
          <t>VT van!R18C3</t>
        </is>
      </c>
    </row>
    <row r="123">
      <c r="A123" t="n">
        <v>122</v>
      </c>
      <c r="B123" t="inlineStr">
        <is>
          <t>MAT-ACTUATOR-NACA-2-40</t>
        </is>
      </c>
      <c r="C123" t="inlineStr">
        <is>
          <t>ĐỘNG_CƠ_VÀ_CẢM_BIẾN</t>
        </is>
      </c>
      <c r="D123" t="inlineStr">
        <is>
          <t>Model: NACA 2-40   ( 220VAC, On/Off )</t>
        </is>
      </c>
      <c r="E123" t="inlineStr">
        <is>
          <t>Cái</t>
        </is>
      </c>
      <c r="F123" t="inlineStr"/>
      <c r="G123" t="inlineStr">
        <is>
          <t>VT van!R19C3</t>
        </is>
      </c>
    </row>
    <row r="124">
      <c r="A124" t="n">
        <v>123</v>
      </c>
      <c r="B124" t="inlineStr">
        <is>
          <t>MAT-ACTUATOR-NTC-831</t>
        </is>
      </c>
      <c r="C124" t="inlineStr">
        <is>
          <t>ĐỘNG_CƠ_VÀ_CẢM_BIẾN</t>
        </is>
      </c>
      <c r="D124" t="inlineStr">
        <is>
          <t>Model: NTC 831</t>
        </is>
      </c>
      <c r="E124" t="inlineStr">
        <is>
          <t>Cái</t>
        </is>
      </c>
      <c r="F124" t="inlineStr"/>
      <c r="G124" t="inlineStr">
        <is>
          <t>VT van!R21C3</t>
        </is>
      </c>
    </row>
    <row r="125">
      <c r="A125" t="n">
        <v>124</v>
      </c>
      <c r="B125" t="inlineStr">
        <is>
          <t>MAT-ACTUATOR-NACM-1-2-05</t>
        </is>
      </c>
      <c r="C125" t="inlineStr">
        <is>
          <t>ĐỘNG_CƠ_VÀ_CẢM_BIẾN</t>
        </is>
      </c>
      <c r="D125" t="inlineStr">
        <is>
          <t>Model: NACM 1.2-05  ( Modulating )</t>
        </is>
      </c>
      <c r="E125" t="inlineStr">
        <is>
          <t>Cái</t>
        </is>
      </c>
      <c r="F125" t="inlineStr"/>
      <c r="G125" t="inlineStr">
        <is>
          <t>VT van!R23C3</t>
        </is>
      </c>
    </row>
    <row r="126">
      <c r="A126" t="n">
        <v>125</v>
      </c>
      <c r="B126" t="inlineStr">
        <is>
          <t>MAT-ACTUATOR-NACM-1-1-10</t>
        </is>
      </c>
      <c r="C126" t="inlineStr">
        <is>
          <t>ĐỘNG_CƠ_VÀ_CẢM_BIẾN</t>
        </is>
      </c>
      <c r="D126" t="inlineStr">
        <is>
          <t>Model: NACM 1.1-10  ( Modulating )</t>
        </is>
      </c>
      <c r="E126" t="inlineStr">
        <is>
          <t>Cái</t>
        </is>
      </c>
      <c r="F126" t="inlineStr"/>
      <c r="G126" t="inlineStr">
        <is>
          <t>VT van!R24C3</t>
        </is>
      </c>
    </row>
    <row r="127">
      <c r="A127" t="n">
        <v>126</v>
      </c>
      <c r="B127" t="inlineStr">
        <is>
          <t>MAT-ACTUATOR-NACM-1-1-20</t>
        </is>
      </c>
      <c r="C127" t="inlineStr">
        <is>
          <t>ĐỘNG_CƠ_VÀ_CẢM_BIẾN</t>
        </is>
      </c>
      <c r="D127" t="inlineStr">
        <is>
          <t>Model: NACM 1.1-20  ( Modulating )</t>
        </is>
      </c>
      <c r="E127" t="inlineStr">
        <is>
          <t>Cái</t>
        </is>
      </c>
      <c r="F127" t="inlineStr"/>
      <c r="G127" t="inlineStr">
        <is>
          <t>VT van!R25C3</t>
        </is>
      </c>
    </row>
    <row r="128">
      <c r="A128" t="n">
        <v>127</v>
      </c>
      <c r="B128" t="inlineStr">
        <is>
          <t>MAT-ACTUATOR-NACM-1-1-40</t>
        </is>
      </c>
      <c r="C128" t="inlineStr">
        <is>
          <t>ĐỘNG_CƠ_VÀ_CẢM_BIẾN</t>
        </is>
      </c>
      <c r="D128" t="inlineStr">
        <is>
          <t>Model: NACM 1.1-40  ( Modulating )</t>
        </is>
      </c>
      <c r="E128" t="inlineStr">
        <is>
          <t>Cái</t>
        </is>
      </c>
      <c r="F128" t="inlineStr"/>
      <c r="G128" t="inlineStr">
        <is>
          <t>VT van!R26C3</t>
        </is>
      </c>
    </row>
    <row r="129">
      <c r="A129" t="n">
        <v>128</v>
      </c>
      <c r="B129" t="inlineStr">
        <is>
          <t>MAT-ACTUATOR-MODEL-NPG-1-DIEU-KHI</t>
        </is>
      </c>
      <c r="C129" t="inlineStr">
        <is>
          <t>ĐỘNG_CƠ_VÀ_CẢM_BIẾN</t>
        </is>
      </c>
      <c r="D129" t="inlineStr">
        <is>
          <t>Model: NPG-1 ( Điều khiển cửa gió theo % đóng mở )</t>
        </is>
      </c>
      <c r="E129" t="inlineStr">
        <is>
          <t>Cái</t>
        </is>
      </c>
      <c r="F129" t="inlineStr"/>
      <c r="G129" t="inlineStr">
        <is>
          <t>VT van!R28C3</t>
        </is>
      </c>
    </row>
    <row r="130">
      <c r="A130" t="n">
        <v>129</v>
      </c>
      <c r="B130" t="inlineStr">
        <is>
          <t>MAT-ACTUATOR-MODEL-NTC-843-DIEU-K</t>
        </is>
      </c>
      <c r="C130" t="inlineStr">
        <is>
          <t>ĐỘNG_CƠ_VÀ_CẢM_BIẾN</t>
        </is>
      </c>
      <c r="D130" t="inlineStr">
        <is>
          <t>Model: NTC-843 ( Điều khiển cửa gió theo nhiệt độ phòng )</t>
        </is>
      </c>
      <c r="E130" t="inlineStr">
        <is>
          <t>Cái</t>
        </is>
      </c>
      <c r="F130" t="inlineStr"/>
      <c r="G130" t="inlineStr">
        <is>
          <t>VT van!R29C3</t>
        </is>
      </c>
    </row>
    <row r="131">
      <c r="A131" t="n">
        <v>130</v>
      </c>
      <c r="B131" t="inlineStr">
        <is>
          <t>MAT-ACTUATOR-SAFA-1-05S</t>
        </is>
      </c>
      <c r="C131" t="inlineStr">
        <is>
          <t>ĐỘNG_CƠ_VÀ_CẢM_BIẾN</t>
        </is>
      </c>
      <c r="D131" t="inlineStr">
        <is>
          <t>SAFA - 1 - 05S ( 24VAC/DC ) - Không có cảm biến</t>
        </is>
      </c>
      <c r="E131" t="inlineStr">
        <is>
          <t>Cái</t>
        </is>
      </c>
      <c r="F131" t="inlineStr"/>
      <c r="G131" t="inlineStr">
        <is>
          <t>VT van!R31C3</t>
        </is>
      </c>
    </row>
    <row r="132">
      <c r="A132" t="n">
        <v>131</v>
      </c>
      <c r="B132" t="inlineStr">
        <is>
          <t>MAT-ACTUATOR-SAFA-1-08S</t>
        </is>
      </c>
      <c r="C132" t="inlineStr">
        <is>
          <t>ĐỘNG_CƠ_VÀ_CẢM_BIẾN</t>
        </is>
      </c>
      <c r="D132" t="inlineStr">
        <is>
          <t>SAFA - 1 - 08S ( 24VAC/DC )  - Không có cảm biến</t>
        </is>
      </c>
      <c r="E132" t="inlineStr">
        <is>
          <t>Cái</t>
        </is>
      </c>
      <c r="F132" t="inlineStr"/>
      <c r="G132" t="inlineStr">
        <is>
          <t>VT van!R32C3</t>
        </is>
      </c>
    </row>
    <row r="133">
      <c r="A133" t="n">
        <v>132</v>
      </c>
      <c r="B133" t="inlineStr">
        <is>
          <t>MAT-ACTUATOR-SAFA-2-05S</t>
        </is>
      </c>
      <c r="C133" t="inlineStr">
        <is>
          <t>ĐỘNG_CƠ_VÀ_CẢM_BIẾN</t>
        </is>
      </c>
      <c r="D133" t="inlineStr">
        <is>
          <t>SAFA - 2 - 05S ( 220VAC  )  - Không có cảm biến</t>
        </is>
      </c>
      <c r="E133" t="inlineStr">
        <is>
          <t>Cái</t>
        </is>
      </c>
      <c r="F133" t="inlineStr"/>
      <c r="G133" t="inlineStr">
        <is>
          <t>VT van!R33C3</t>
        </is>
      </c>
    </row>
    <row r="134">
      <c r="A134" t="n">
        <v>133</v>
      </c>
      <c r="B134" t="inlineStr">
        <is>
          <t>MAT-ACTUATOR-SAFA-2-08S</t>
        </is>
      </c>
      <c r="C134" t="inlineStr">
        <is>
          <t>ĐỘNG_CƠ_VÀ_CẢM_BIẾN</t>
        </is>
      </c>
      <c r="D134" t="inlineStr">
        <is>
          <t>SAFA - 2 - 08S ( 220VAC  )  - Không có cảm biến</t>
        </is>
      </c>
      <c r="E134" t="inlineStr">
        <is>
          <t>Cái</t>
        </is>
      </c>
      <c r="F134" t="inlineStr"/>
      <c r="G134" t="inlineStr">
        <is>
          <t>VT van!R34C3</t>
        </is>
      </c>
    </row>
    <row r="135">
      <c r="A135" t="n">
        <v>134</v>
      </c>
      <c r="B135" t="inlineStr">
        <is>
          <t>MAT-ACTUATOR-CAM-BIEN-NHIET-BANG-</t>
        </is>
      </c>
      <c r="C135" t="inlineStr">
        <is>
          <t>ĐỘNG_CƠ_VÀ_CẢM_BIẾN</t>
        </is>
      </c>
      <c r="D135" t="inlineStr">
        <is>
          <t>Cảm biến nhiệt bằng điện gắn với Motor dùng cho fire damper</t>
        </is>
      </c>
      <c r="E135" t="inlineStr">
        <is>
          <t>Cái</t>
        </is>
      </c>
      <c r="F135" t="inlineStr"/>
      <c r="G135" t="inlineStr">
        <is>
          <t>VT van!R35C3</t>
        </is>
      </c>
    </row>
    <row r="136">
      <c r="A136" t="n">
        <v>135</v>
      </c>
      <c r="B136" t="inlineStr">
        <is>
          <t>MAT-ACTUATOR-MODEL-B</t>
        </is>
      </c>
      <c r="C136" t="inlineStr">
        <is>
          <t>ĐỘNG_CƠ_VÀ_CẢM_BIẾN</t>
        </is>
      </c>
      <c r="D136" t="inlineStr">
        <is>
          <t>Model: B (165ºF) ( Loại nhỏ )</t>
        </is>
      </c>
      <c r="E136" t="inlineStr">
        <is>
          <t>Cái</t>
        </is>
      </c>
      <c r="F136" t="inlineStr"/>
      <c r="G136" t="inlineStr">
        <is>
          <t>VT van!R37C3</t>
        </is>
      </c>
    </row>
    <row r="137">
      <c r="A137" t="n">
        <v>136</v>
      </c>
      <c r="B137" t="inlineStr">
        <is>
          <t>MAT-ACTUATOR-MODEL-A</t>
        </is>
      </c>
      <c r="C137" t="inlineStr">
        <is>
          <t>ĐỘNG_CƠ_VÀ_CẢM_BIẾN</t>
        </is>
      </c>
      <c r="D137" t="inlineStr">
        <is>
          <t>Model: A (165ºF) ( Loại lớn )</t>
        </is>
      </c>
      <c r="E137" t="inlineStr">
        <is>
          <t>Cái</t>
        </is>
      </c>
      <c r="F137" t="inlineStr"/>
      <c r="G137" t="inlineStr">
        <is>
          <t>VT van!R38C3</t>
        </is>
      </c>
    </row>
    <row r="138">
      <c r="A138" t="n">
        <v>137</v>
      </c>
      <c r="B138" t="inlineStr">
        <is>
          <t>MAT-INSUL-BONG-THUY-TINH-KHONG-MAT-12</t>
        </is>
      </c>
      <c r="C138" t="inlineStr">
        <is>
          <t>VẬT_LIỆU_TIÊU_ÂM</t>
        </is>
      </c>
      <c r="D138" t="inlineStr">
        <is>
          <t>Bông thuỷ tinh không mặt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âm!R12C2</t>
        </is>
      </c>
    </row>
    <row r="139">
      <c r="A139" t="n">
        <v>138</v>
      </c>
      <c r="B139" t="inlineStr">
        <is>
          <t>MAT-INSUL-BONG-THUY-TINH-CO-BAC-T12-13</t>
        </is>
      </c>
      <c r="C139" t="inlineStr">
        <is>
          <t>VẬT_LIỆU_TIÊU_ÂM</t>
        </is>
      </c>
      <c r="D139" t="inlineStr">
        <is>
          <t>Bông thuỷ tinh có bạc T12 D50 - Chiều dày 50mm, khổ rộng 1,2m dài 30m. Tổng 36m2/cuộn. Tỷ trọng 12kg/m3</t>
        </is>
      </c>
      <c r="E139" t="inlineStr">
        <is>
          <t>m2</t>
        </is>
      </c>
      <c r="F139" t="inlineStr"/>
      <c r="G139" t="inlineStr">
        <is>
          <t>VT tiêu âm!R13C2</t>
        </is>
      </c>
    </row>
    <row r="140">
      <c r="A140" t="n">
        <v>139</v>
      </c>
      <c r="B140" t="inlineStr">
        <is>
          <t>MAT-INSUL-BONG-THUY-TINH-KHONG-MAT-14</t>
        </is>
      </c>
      <c r="C140" t="inlineStr">
        <is>
          <t>VẬT_LIỆU_TIÊU_ÂM</t>
        </is>
      </c>
      <c r="D140" t="inlineStr">
        <is>
          <t>Bông thuỷ tinh không mặt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âm!R14C2</t>
        </is>
      </c>
    </row>
    <row r="141">
      <c r="A141" t="n">
        <v>140</v>
      </c>
      <c r="B141" t="inlineStr">
        <is>
          <t>MAT-INSUL-BONG-THUY-TINH-CO-BAC-T24-15</t>
        </is>
      </c>
      <c r="C141" t="inlineStr">
        <is>
          <t>VẬT_LIỆU_TIÊU_ÂM</t>
        </is>
      </c>
      <c r="D141" t="inlineStr">
        <is>
          <t>Bông thuỷ tinh có bạc T24 D50 - Chiều dày 50mm, khổ rộng 1,2m dài 20m. Tổng 24m2/cuộn. Tỷ trọng 24kg/m3</t>
        </is>
      </c>
      <c r="E141" t="inlineStr">
        <is>
          <t>m2</t>
        </is>
      </c>
      <c r="F141" t="inlineStr"/>
      <c r="G141" t="inlineStr">
        <is>
          <t>VT tiêu âm!R15C2</t>
        </is>
      </c>
    </row>
    <row r="142">
      <c r="A142" t="n">
        <v>141</v>
      </c>
      <c r="B142" t="inlineStr">
        <is>
          <t>MAT-INSUL-BONG-THUY-TINH-KHONG-MAT-16</t>
        </is>
      </c>
      <c r="C142" t="inlineStr">
        <is>
          <t>VẬT_LIỆU_TIÊU_ÂM</t>
        </is>
      </c>
      <c r="D142" t="inlineStr">
        <is>
          <t>Bông thuỷ tinh không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âm!R16C2</t>
        </is>
      </c>
    </row>
    <row r="143">
      <c r="A143" t="n">
        <v>142</v>
      </c>
      <c r="B143" t="inlineStr">
        <is>
          <t>MAT-INSUL-BONG-THUY-TINH-CO-MAT-BAC-17</t>
        </is>
      </c>
      <c r="C143" t="inlineStr">
        <is>
          <t>VẬT_LIỆU_TIÊU_ÂM</t>
        </is>
      </c>
      <c r="D143" t="inlineStr">
        <is>
          <t>Bông thuỷ tinh có mặt bạc T32 D50 - Chiều dày 50mm, khổ rộng 1,2m dài 15m. Tổng 18m2/cuộn. Tỷ trọng 32kg/m3</t>
        </is>
      </c>
      <c r="E143" t="inlineStr">
        <is>
          <t>m2</t>
        </is>
      </c>
      <c r="F143" t="inlineStr"/>
      <c r="G143" t="inlineStr">
        <is>
          <t>VT tiêu âm!R17C2</t>
        </is>
      </c>
    </row>
    <row r="144">
      <c r="A144" t="n">
        <v>143</v>
      </c>
      <c r="B144" t="inlineStr">
        <is>
          <t>MAT-INSUL-BONG-KHOANG-TAM-T40-19</t>
        </is>
      </c>
      <c r="C144" t="inlineStr">
        <is>
          <t>VẬT_LIỆU_TIÊU_ÂM</t>
        </is>
      </c>
      <c r="D144" t="inlineStr">
        <is>
          <t>Bông khoáng tấm T40 - Kích thước tấm: 50 x 600 x 1200mm - 1 Kiện gồm 06 tấm, tỷ trọng 40kg/m3</t>
        </is>
      </c>
      <c r="E144" t="inlineStr">
        <is>
          <t>kiện</t>
        </is>
      </c>
      <c r="F144" t="inlineStr"/>
      <c r="G144" t="inlineStr">
        <is>
          <t>VT tiêu âm!R19C2</t>
        </is>
      </c>
    </row>
    <row r="145">
      <c r="A145" t="n">
        <v>144</v>
      </c>
      <c r="B145" t="inlineStr">
        <is>
          <t>MAT-INSUL-BONG-KHOANG-TAM-T50-20</t>
        </is>
      </c>
      <c r="C145" t="inlineStr">
        <is>
          <t>VẬT_LIỆU_TIÊU_ÂM</t>
        </is>
      </c>
      <c r="D145" t="inlineStr">
        <is>
          <t>Bông khoáng tấm T50 - Kích thước tấm: 50 x 600 x 1200mm - 1 Kiện gồm 06 tấm, tỷ trọng 50kg/m3</t>
        </is>
      </c>
      <c r="E145" t="inlineStr">
        <is>
          <t>kiện</t>
        </is>
      </c>
      <c r="F145" t="inlineStr"/>
      <c r="G145" t="inlineStr">
        <is>
          <t>VT tiêu âm!R20C2</t>
        </is>
      </c>
    </row>
    <row r="146">
      <c r="A146" t="n">
        <v>145</v>
      </c>
      <c r="B146" t="inlineStr">
        <is>
          <t>MAT-INSUL-BONG-KHOANG-T60-D50-21</t>
        </is>
      </c>
      <c r="C146" t="inlineStr">
        <is>
          <t>VẬT_LIỆU_TIÊU_ÂM</t>
        </is>
      </c>
      <c r="D146" t="inlineStr">
        <is>
          <t>Bông khoáng T60 D50 - Kích thước tấm: 50 x 600 x 1200mm - 1 Kiện gồm 06 tấm, tỷ trọng 60kg/m3</t>
        </is>
      </c>
      <c r="E146" t="inlineStr">
        <is>
          <t>kiện</t>
        </is>
      </c>
      <c r="F146" t="inlineStr"/>
      <c r="G146" t="inlineStr">
        <is>
          <t>VT tiêu âm!R21C2</t>
        </is>
      </c>
    </row>
    <row r="147">
      <c r="A147" t="n">
        <v>146</v>
      </c>
      <c r="B147" t="inlineStr">
        <is>
          <t>MAT-INSUL-BONG-KHOANG-T80-D50-22</t>
        </is>
      </c>
      <c r="C147" t="inlineStr">
        <is>
          <t>VẬT_LIỆU_TIÊU_ÂM</t>
        </is>
      </c>
      <c r="D147" t="inlineStr">
        <is>
          <t>Bông khoáng T80 D50 - Kích thước tấm: 50 x 600 x 1200mm - 1 Kiện gồm 06 tấm, tỷ trọng 80kg/m3</t>
        </is>
      </c>
      <c r="E147" t="inlineStr">
        <is>
          <t>kiện</t>
        </is>
      </c>
      <c r="F147" t="inlineStr"/>
      <c r="G147" t="inlineStr">
        <is>
          <t>VT tiêu âm!R22C2</t>
        </is>
      </c>
    </row>
    <row r="148">
      <c r="A148" t="n">
        <v>147</v>
      </c>
      <c r="B148" t="inlineStr">
        <is>
          <t>MAT-INSUL-BONG-KHOANG-T100-D50-23</t>
        </is>
      </c>
      <c r="C148" t="inlineStr">
        <is>
          <t>VẬT_LIỆU_TIÊU_ÂM</t>
        </is>
      </c>
      <c r="D148" t="inlineStr">
        <is>
          <t>Bông khoáng T100 D50 - Kích thước tấm: 100 x 600 x 1200mm - 1 Kiện gồm 03 tấm, tỷ trọng 100kg/m3</t>
        </is>
      </c>
      <c r="E148" t="inlineStr">
        <is>
          <t>kiện</t>
        </is>
      </c>
      <c r="F148" t="inlineStr"/>
      <c r="G148" t="inlineStr">
        <is>
          <t>VT tiêu âm!R23C2</t>
        </is>
      </c>
    </row>
    <row r="149">
      <c r="A149" t="n">
        <v>148</v>
      </c>
      <c r="B149" t="inlineStr">
        <is>
          <t>MAT-INSUL-BONG-GOM-BAO-610-X7200-X-25</t>
        </is>
      </c>
      <c r="C149" t="inlineStr">
        <is>
          <t>VẬT_LIỆU_TIÊU_ÂM</t>
        </is>
      </c>
      <c r="D149" t="inlineStr">
        <is>
          <t>Bông gốm bao 610 x7200 x 25mm - Bông gốm dạng bao dài 7,2m, rộng 0,61 dày 25mm , chịu nhiệt 1000 độ</t>
        </is>
      </c>
      <c r="E149" t="inlineStr">
        <is>
          <t>bao</t>
        </is>
      </c>
      <c r="F149" t="inlineStr"/>
      <c r="G149" t="inlineStr">
        <is>
          <t>VT tiêu âm!R25C2</t>
        </is>
      </c>
    </row>
    <row r="150">
      <c r="A150" t="n">
        <v>149</v>
      </c>
      <c r="B150" t="inlineStr">
        <is>
          <t>MAT-INSUL-BONG-GOM-HOP-610-X7200-X-26</t>
        </is>
      </c>
      <c r="C150" t="inlineStr">
        <is>
          <t>VẬT_LIỆU_TIÊU_ÂM</t>
        </is>
      </c>
      <c r="D150" t="inlineStr">
        <is>
          <t>Bông gốm hộp  610 x7200 x 25mm T96 - Bông gốm dạng bao dài 7,2m, rộng 0,61 dày 25mm , chịu nhiệt 1260 độ . 6P</t>
        </is>
      </c>
      <c r="E150" t="inlineStr">
        <is>
          <t>hộp</t>
        </is>
      </c>
      <c r="F150" t="inlineStr"/>
      <c r="G150" t="inlineStr">
        <is>
          <t>VT tiêu âm!R26C2</t>
        </is>
      </c>
    </row>
    <row r="151">
      <c r="A151" t="n">
        <v>150</v>
      </c>
      <c r="B151" t="inlineStr">
        <is>
          <t>MAT-INSUL-BONG-GOM-HOP-610-X7200-X-27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1260 độ . 8P</t>
        </is>
      </c>
      <c r="E151" t="inlineStr">
        <is>
          <t>hộp</t>
        </is>
      </c>
      <c r="F151" t="inlineStr"/>
      <c r="G151" t="inlineStr">
        <is>
          <t>VT tiêu âm!R27C2</t>
        </is>
      </c>
    </row>
    <row r="152">
      <c r="A152" t="n">
        <v>151</v>
      </c>
      <c r="B152" t="inlineStr">
        <is>
          <t>MAT-INSUL-BONG-GOM-HOP-610-X7200-X-28</t>
        </is>
      </c>
      <c r="C152" t="inlineStr">
        <is>
          <t>VẬT_LIỆU_TIÊU_ÂM</t>
        </is>
      </c>
      <c r="D152" t="inlineStr">
        <is>
          <t>Bông gốm hộp  610 x7200 x 25mm T128 - Bông gốm dạng bao dài 7,2m, rộng 0,61 dày 25mm , chịu nhiệt 1430 độ</t>
        </is>
      </c>
      <c r="E152" t="inlineStr">
        <is>
          <t>hộp</t>
        </is>
      </c>
      <c r="F152" t="inlineStr"/>
      <c r="G152" t="inlineStr">
        <is>
          <t>VT tiêu âm!R28C2</t>
        </is>
      </c>
    </row>
    <row r="153">
      <c r="A153" t="n">
        <v>152</v>
      </c>
      <c r="B153" t="inlineStr">
        <is>
          <t>MAT-INSUL-BONG-GOM-DANG-TAM-600-X-9-29</t>
        </is>
      </c>
      <c r="C153" t="inlineStr">
        <is>
          <t>VẬT_LIỆU_TIÊU_ÂM</t>
        </is>
      </c>
      <c r="D153" t="inlineStr">
        <is>
          <t>Bông gốm dạng tấm 600 x 900 T340 - Hộp D25 = 4 tấm  - Hộp D50 = 2 tấm</t>
        </is>
      </c>
      <c r="E153" t="inlineStr">
        <is>
          <t>hộp</t>
        </is>
      </c>
      <c r="F153" t="inlineStr"/>
      <c r="G153" t="inlineStr">
        <is>
          <t>VT tiêu âm!R29C2</t>
        </is>
      </c>
    </row>
    <row r="154">
      <c r="A154" t="n">
        <v>153</v>
      </c>
      <c r="B154" t="inlineStr">
        <is>
          <t>MAT-INSUL-BONG-GOM-DANG-ROI-30</t>
        </is>
      </c>
      <c r="C154" t="inlineStr">
        <is>
          <t>VẬT_LIỆU_TIÊU_ÂM</t>
        </is>
      </c>
      <c r="D154" t="inlineStr">
        <is>
          <t>Bông gốm dạng rời</t>
        </is>
      </c>
      <c r="E154" t="inlineStr">
        <is>
          <t>hộp</t>
        </is>
      </c>
      <c r="F154" t="inlineStr"/>
      <c r="G154" t="inlineStr">
        <is>
          <t>VT tiêu âm!R30C2</t>
        </is>
      </c>
    </row>
    <row r="155">
      <c r="A155" t="n">
        <v>154</v>
      </c>
      <c r="B155" t="inlineStr">
        <is>
          <t>MAT-INSUL-MUT-TRUNG-3CM-KICH-THUOC-32</t>
        </is>
      </c>
      <c r="C155" t="inlineStr">
        <is>
          <t>VẬT_LIỆU_TIÊU_ÂM</t>
        </is>
      </c>
      <c r="D155" t="inlineStr">
        <is>
          <t>Mút trứng 3cm , kích thước tấm 1,6 x 2m</t>
        </is>
      </c>
      <c r="E155" t="inlineStr">
        <is>
          <t>tấm</t>
        </is>
      </c>
      <c r="F155" t="inlineStr"/>
      <c r="G155" t="inlineStr">
        <is>
          <t>VT tiêu âm!R32C2</t>
        </is>
      </c>
    </row>
    <row r="156">
      <c r="A156" t="n">
        <v>155</v>
      </c>
      <c r="B156" t="inlineStr">
        <is>
          <t>MAT-INSUL-MUT-TRUNG-5CM-KICH-THUOC-33</t>
        </is>
      </c>
      <c r="C156" t="inlineStr">
        <is>
          <t>VẬT_LIỆU_TIÊU_ÂM</t>
        </is>
      </c>
      <c r="D156" t="inlineStr">
        <is>
          <t>Mút trứng 5cm , kích thước tấm 1,6 x 2m</t>
        </is>
      </c>
      <c r="E156" t="inlineStr">
        <is>
          <t>tấm</t>
        </is>
      </c>
      <c r="F156" t="inlineStr"/>
      <c r="G156" t="inlineStr">
        <is>
          <t>VT tiêu âm!R33C2</t>
        </is>
      </c>
    </row>
    <row r="157">
      <c r="A157" t="n">
        <v>156</v>
      </c>
      <c r="B157" t="inlineStr">
        <is>
          <t>MAT-INSUL-MUT-GAI-5CM-KICH-THUOC-TA-34</t>
        </is>
      </c>
      <c r="C157" t="inlineStr">
        <is>
          <t>VẬT_LIỆU_TIÊU_ÂM</t>
        </is>
      </c>
      <c r="D157" t="inlineStr">
        <is>
          <t>Mút gai 5cm , kích thước tấm 1 x 1m</t>
        </is>
      </c>
      <c r="E157" t="inlineStr">
        <is>
          <t>tấm</t>
        </is>
      </c>
      <c r="F157" t="inlineStr"/>
      <c r="G157" t="inlineStr">
        <is>
          <t>VT tiêu âm!R34C2</t>
        </is>
      </c>
    </row>
    <row r="158">
      <c r="A158" t="n">
        <v>157</v>
      </c>
      <c r="B158" t="inlineStr">
        <is>
          <t>MAT-INSUL-XOP-XPS-DAY-25MM-KICH-THU-35</t>
        </is>
      </c>
      <c r="C158" t="inlineStr">
        <is>
          <t>VẬT_LIỆU_TIÊU_ÂM</t>
        </is>
      </c>
      <c r="D158" t="inlineStr">
        <is>
          <t>Xốp XPS . Dày 25mm kích thước tấm 600 x 1800</t>
        </is>
      </c>
      <c r="E158" t="inlineStr">
        <is>
          <t>m2</t>
        </is>
      </c>
      <c r="F158" t="inlineStr"/>
      <c r="G158" t="inlineStr">
        <is>
          <t>VT tiêu âm!R35C2</t>
        </is>
      </c>
    </row>
    <row r="159">
      <c r="A159" t="n">
        <v>158</v>
      </c>
      <c r="B159" t="inlineStr">
        <is>
          <t>MAT-INSUL-VAI-THUY-TINH-36</t>
        </is>
      </c>
      <c r="C159" t="inlineStr">
        <is>
          <t>VẬT_LIỆU_TIÊU_ÂM</t>
        </is>
      </c>
      <c r="D159" t="inlineStr">
        <is>
          <t>Vải thủy tinh</t>
        </is>
      </c>
      <c r="E159" t="inlineStr">
        <is>
          <t>kg</t>
        </is>
      </c>
      <c r="F159" t="inlineStr"/>
      <c r="G159" t="inlineStr">
        <is>
          <t>VT tiêu âm!R36C2</t>
        </is>
      </c>
    </row>
    <row r="160">
      <c r="A160" t="n">
        <v>159</v>
      </c>
      <c r="B160" t="inlineStr">
        <is>
          <t>MAT-INSUL-TON-LO-D6-38</t>
        </is>
      </c>
      <c r="C160" t="inlineStr">
        <is>
          <t>VẬT_LIỆU_TIÊU_ÂM</t>
        </is>
      </c>
      <c r="D160" t="inlineStr">
        <is>
          <t>Tôn lỗ D6</t>
        </is>
      </c>
      <c r="E160" t="inlineStr">
        <is>
          <t>tấm</t>
        </is>
      </c>
      <c r="F160" t="inlineStr"/>
      <c r="G160" t="inlineStr">
        <is>
          <t>VT tiêu âm!R38C2</t>
        </is>
      </c>
    </row>
    <row r="161">
      <c r="A161" t="n">
        <v>160</v>
      </c>
      <c r="B161" t="inlineStr">
        <is>
          <t>MAT-INSUL-TON-LO-D10-40</t>
        </is>
      </c>
      <c r="C161" t="inlineStr">
        <is>
          <t>VẬT_LIỆU_TIÊU_ÂM</t>
        </is>
      </c>
      <c r="D161" t="inlineStr">
        <is>
          <t>Tôn lỗ D10</t>
        </is>
      </c>
      <c r="E161" t="inlineStr">
        <is>
          <t>tấm</t>
        </is>
      </c>
      <c r="F161" t="inlineStr"/>
      <c r="G161" t="inlineStr">
        <is>
          <t>VT tiêu âm!R40C2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5" customWidth="1" min="3" max="3"/>
  </cols>
  <sheetData>
    <row r="1" ht="28" customHeight="1">
      <c r="A1" s="1" t="inlineStr">
        <is>
          <t>STT</t>
        </is>
      </c>
      <c r="B1" s="1" t="inlineStr">
        <is>
          <t>MAT_ID</t>
        </is>
      </c>
      <c r="C1" s="1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s="2" t="n">
        <v>26000</v>
      </c>
    </row>
    <row r="3">
      <c r="A3" t="n">
        <v>2</v>
      </c>
      <c r="B3" t="inlineStr">
        <is>
          <t>MAT-STEEL-DONGBU-0.60</t>
        </is>
      </c>
      <c r="C3" s="2" t="n">
        <v>26000</v>
      </c>
    </row>
    <row r="4">
      <c r="A4" t="n">
        <v>3</v>
      </c>
      <c r="B4" t="inlineStr">
        <is>
          <t>MAT-STEEL-DONGBU-0.80</t>
        </is>
      </c>
      <c r="C4" s="2" t="n">
        <v>26000</v>
      </c>
    </row>
    <row r="5">
      <c r="A5" t="n">
        <v>4</v>
      </c>
      <c r="B5" t="inlineStr">
        <is>
          <t>MAT-STEEL-DONGBU-1.00</t>
        </is>
      </c>
      <c r="C5" s="2" t="n">
        <v>26000</v>
      </c>
    </row>
    <row r="6">
      <c r="A6" t="n">
        <v>5</v>
      </c>
      <c r="B6" t="inlineStr">
        <is>
          <t>MAT-STEEL-DONGBU-1.20</t>
        </is>
      </c>
      <c r="C6" s="2" t="n">
        <v>26000</v>
      </c>
    </row>
    <row r="7">
      <c r="A7" t="n">
        <v>6</v>
      </c>
      <c r="B7" t="inlineStr">
        <is>
          <t>MAT-STEEL-DONGBU-1.50</t>
        </is>
      </c>
      <c r="C7" s="2" t="n">
        <v>26000</v>
      </c>
    </row>
    <row r="8">
      <c r="A8" t="n">
        <v>7</v>
      </c>
      <c r="B8" t="inlineStr">
        <is>
          <t>MAT-STEEL-DONGBU-2.00</t>
        </is>
      </c>
      <c r="C8" s="2" t="n">
        <v>26000</v>
      </c>
    </row>
    <row r="9">
      <c r="A9" t="n">
        <v>8</v>
      </c>
      <c r="B9" t="inlineStr">
        <is>
          <t>MAT-STEEL-VNSTEEL-0.35</t>
        </is>
      </c>
      <c r="C9" s="2" t="n">
        <v>23800</v>
      </c>
    </row>
    <row r="10">
      <c r="A10" t="n">
        <v>9</v>
      </c>
      <c r="B10" t="inlineStr">
        <is>
          <t>MAT-STEEL-VNSTEEL-0.40</t>
        </is>
      </c>
      <c r="C10" s="2" t="n">
        <v>23550</v>
      </c>
    </row>
    <row r="11">
      <c r="A11" t="n">
        <v>10</v>
      </c>
      <c r="B11" t="inlineStr">
        <is>
          <t>MAT-STEEL-VNSTEEL-0.42</t>
        </is>
      </c>
      <c r="C11" s="2" t="n">
        <v>23400</v>
      </c>
    </row>
    <row r="12">
      <c r="A12" t="n">
        <v>11</v>
      </c>
      <c r="B12" t="inlineStr">
        <is>
          <t>MAT-STEEL-VNSTEEL-0.47</t>
        </is>
      </c>
      <c r="C12" s="2" t="n">
        <v>23200</v>
      </c>
    </row>
    <row r="13">
      <c r="A13" t="n">
        <v>12</v>
      </c>
      <c r="B13" t="inlineStr">
        <is>
          <t>MAT-STEEL-VNSTEEL-0.50</t>
        </is>
      </c>
      <c r="C13" s="2" t="n">
        <v>23200</v>
      </c>
    </row>
    <row r="14">
      <c r="A14" t="n">
        <v>13</v>
      </c>
      <c r="B14" t="inlineStr">
        <is>
          <t>MAT-STEEL-VNSTEEL-0.55</t>
        </is>
      </c>
      <c r="C14" s="2" t="n">
        <v>23000</v>
      </c>
    </row>
    <row r="15">
      <c r="A15" t="n">
        <v>14</v>
      </c>
      <c r="B15" t="inlineStr">
        <is>
          <t>MAT-STEEL-VNSTEEL-0.58</t>
        </is>
      </c>
      <c r="C15" s="2" t="n">
        <v>23000</v>
      </c>
    </row>
    <row r="16">
      <c r="A16" t="n">
        <v>15</v>
      </c>
      <c r="B16" t="inlineStr">
        <is>
          <t>MAT-STEEL-VNSTEEL-0.60</t>
        </is>
      </c>
      <c r="C16" s="2" t="n">
        <v>22850</v>
      </c>
    </row>
    <row r="17">
      <c r="A17" t="n">
        <v>16</v>
      </c>
      <c r="B17" t="inlineStr">
        <is>
          <t>MAT-STEEL-VNSTEEL-0.64</t>
        </is>
      </c>
      <c r="C17" s="2" t="n">
        <v>22800</v>
      </c>
    </row>
    <row r="18">
      <c r="A18" t="n">
        <v>17</v>
      </c>
      <c r="B18" t="inlineStr">
        <is>
          <t>MAT-STEEL-VNSTEEL-0.70</t>
        </is>
      </c>
      <c r="C18" s="2" t="n">
        <v>22700</v>
      </c>
    </row>
    <row r="19">
      <c r="A19" t="n">
        <v>18</v>
      </c>
      <c r="B19" t="inlineStr">
        <is>
          <t>MAT-STEEL-VNSTEEL-0.75</t>
        </is>
      </c>
      <c r="C19" s="2" t="n">
        <v>22600</v>
      </c>
    </row>
    <row r="20">
      <c r="A20" t="n">
        <v>19</v>
      </c>
      <c r="B20" t="inlineStr">
        <is>
          <t>MAT-STEEL-VNSTEEL-0.95</t>
        </is>
      </c>
      <c r="C20" s="2" t="n">
        <v>22500</v>
      </c>
    </row>
    <row r="21">
      <c r="A21" t="n">
        <v>20</v>
      </c>
      <c r="B21" t="inlineStr">
        <is>
          <t>MAT-STEEL-VNSTEEL-1.15</t>
        </is>
      </c>
      <c r="C21" s="2" t="n">
        <v>22400</v>
      </c>
    </row>
    <row r="22">
      <c r="A22" t="n">
        <v>21</v>
      </c>
      <c r="B22" t="inlineStr">
        <is>
          <t>MAT-STEEL-VNSTEEL-1.20</t>
        </is>
      </c>
      <c r="C22" s="2" t="n">
        <v>22400</v>
      </c>
    </row>
    <row r="23">
      <c r="A23" t="n">
        <v>22</v>
      </c>
      <c r="B23" t="inlineStr">
        <is>
          <t>MAT-STEEL-PN-0.48</t>
        </is>
      </c>
      <c r="C23" s="2" t="n">
        <v>23664.19</v>
      </c>
    </row>
    <row r="24">
      <c r="A24" t="n">
        <v>23</v>
      </c>
      <c r="B24" t="inlineStr">
        <is>
          <t>MAT-STEEL-PN-0.58</t>
        </is>
      </c>
      <c r="C24" s="2" t="n">
        <v>21597.48</v>
      </c>
    </row>
    <row r="25">
      <c r="A25" t="n">
        <v>24</v>
      </c>
      <c r="B25" t="inlineStr">
        <is>
          <t>MAT-STEEL-PN-0.75</t>
        </is>
      </c>
      <c r="C25" s="2" t="n">
        <v>21941</v>
      </c>
    </row>
    <row r="26">
      <c r="A26" t="n">
        <v>25</v>
      </c>
      <c r="B26" t="inlineStr">
        <is>
          <t>MAT-STEEL-PN-0.95</t>
        </is>
      </c>
      <c r="C26" s="2" t="n">
        <v>20897.59</v>
      </c>
    </row>
    <row r="27">
      <c r="A27" t="n">
        <v>26</v>
      </c>
      <c r="B27" t="inlineStr">
        <is>
          <t>MAT-STEEL-PN-1.15</t>
        </is>
      </c>
      <c r="C27" s="2" t="n">
        <v>20586.39</v>
      </c>
    </row>
    <row r="28">
      <c r="A28" t="n">
        <v>27</v>
      </c>
      <c r="B28" t="inlineStr">
        <is>
          <t>MAT-STEEL-PN-1.38</t>
        </is>
      </c>
      <c r="C28" s="2" t="n">
        <v>21923.75</v>
      </c>
    </row>
    <row r="29">
      <c r="A29" t="n">
        <v>28</v>
      </c>
      <c r="B29" t="inlineStr">
        <is>
          <t>MAT-STEEL-PN-1.48</t>
        </is>
      </c>
      <c r="C29" s="2" t="n">
        <v>20442.42</v>
      </c>
    </row>
    <row r="30">
      <c r="A30" t="n">
        <v>29</v>
      </c>
      <c r="B30" t="inlineStr">
        <is>
          <t>MAT-STEEL-HOASEN-0.48</t>
        </is>
      </c>
      <c r="C30" s="2" t="n">
        <v>22115.98</v>
      </c>
    </row>
    <row r="31">
      <c r="A31" t="n">
        <v>30</v>
      </c>
      <c r="B31" t="inlineStr">
        <is>
          <t>MAT-STEEL-HOASEN-0.58</t>
        </is>
      </c>
      <c r="C31" s="2" t="n">
        <v>20865.36</v>
      </c>
    </row>
    <row r="32">
      <c r="A32" t="n">
        <v>31</v>
      </c>
      <c r="B32" t="inlineStr">
        <is>
          <t>MAT-STEEL-HOASEN-0.75</t>
        </is>
      </c>
      <c r="C32" s="2" t="n">
        <v>20460.34</v>
      </c>
    </row>
    <row r="33">
      <c r="A33" t="n">
        <v>32</v>
      </c>
      <c r="B33" t="inlineStr">
        <is>
          <t>MAT-STEEL-HOASEN-0.95</t>
        </is>
      </c>
      <c r="C33" s="2" t="n">
        <v>20003.58</v>
      </c>
    </row>
    <row r="34">
      <c r="A34" t="n">
        <v>33</v>
      </c>
      <c r="B34" t="inlineStr">
        <is>
          <t>MAT-STEEL-HOASEN-1.15</t>
        </is>
      </c>
      <c r="C34" s="2" t="n">
        <v>19764.78</v>
      </c>
    </row>
    <row r="35">
      <c r="A35" t="n">
        <v>34</v>
      </c>
      <c r="B35" t="inlineStr">
        <is>
          <t>MAT-STEEL-HOASEN-1.50</t>
        </is>
      </c>
      <c r="C35" s="2" t="n">
        <v>18966.74</v>
      </c>
    </row>
    <row r="36">
      <c r="A36" t="n">
        <v>35</v>
      </c>
      <c r="B36" t="inlineStr">
        <is>
          <t>MAT-STEEL-HOASEN-0.58</t>
        </is>
      </c>
      <c r="C36" s="2" t="n">
        <v>20865.36</v>
      </c>
    </row>
    <row r="37">
      <c r="A37" t="n">
        <v>36</v>
      </c>
      <c r="B37" t="inlineStr">
        <is>
          <t>MAT-STEEL-HOASEN-0.75</t>
        </is>
      </c>
      <c r="C37" s="2" t="n">
        <v>20460.34</v>
      </c>
    </row>
    <row r="38">
      <c r="A38" t="n">
        <v>37</v>
      </c>
      <c r="B38" t="inlineStr">
        <is>
          <t>MAT-STEEL-HOASEN-0.95</t>
        </is>
      </c>
      <c r="C38" s="2" t="n">
        <v>20003.58</v>
      </c>
    </row>
    <row r="39">
      <c r="A39" t="n">
        <v>38</v>
      </c>
      <c r="B39" t="inlineStr">
        <is>
          <t>MAT-STEEL-HOASEN-1.15</t>
        </is>
      </c>
      <c r="C39" s="2" t="n">
        <v>19764.78</v>
      </c>
    </row>
    <row r="40">
      <c r="A40" t="n">
        <v>39</v>
      </c>
      <c r="B40" t="inlineStr">
        <is>
          <t>MAT-STEEL-BLUESCOPE-0.47</t>
        </is>
      </c>
      <c r="C40" s="2" t="n">
        <v>19714.63</v>
      </c>
    </row>
    <row r="41">
      <c r="A41" t="n">
        <v>40</v>
      </c>
      <c r="B41" t="inlineStr">
        <is>
          <t>MAT-STEEL-BLUESCOPE-0.57</t>
        </is>
      </c>
      <c r="C41" s="2" t="n">
        <v>20319.42</v>
      </c>
    </row>
    <row r="42">
      <c r="A42" t="n">
        <v>41</v>
      </c>
      <c r="B42" t="inlineStr">
        <is>
          <t>MAT-STEEL-BLUESCOPE-0.77</t>
        </is>
      </c>
      <c r="C42" s="2" t="n">
        <v>19926.31</v>
      </c>
    </row>
    <row r="43">
      <c r="A43" t="n">
        <v>42</v>
      </c>
      <c r="B43" t="inlineStr">
        <is>
          <t>MAT-STEEL-BLUESCOPE-0.95</t>
        </is>
      </c>
      <c r="C43" s="2" t="n">
        <v>20013.74</v>
      </c>
    </row>
    <row r="44">
      <c r="A44" t="n">
        <v>43</v>
      </c>
      <c r="B44" t="inlineStr">
        <is>
          <t>MAT-STEEL-BLUESCOPE-1.15</t>
        </is>
      </c>
      <c r="C44" s="2" t="n">
        <v>19973.75</v>
      </c>
    </row>
    <row r="45">
      <c r="A45" t="n">
        <v>44</v>
      </c>
      <c r="B45" t="inlineStr">
        <is>
          <t>MAT-INOX-SUS304-0-5</t>
        </is>
      </c>
      <c r="C45" s="2" t="n">
        <v>78000</v>
      </c>
    </row>
    <row r="46">
      <c r="A46" t="n">
        <v>45</v>
      </c>
      <c r="B46" t="inlineStr">
        <is>
          <t>MAT-INOX-SUS304-0-6</t>
        </is>
      </c>
      <c r="C46" s="2" t="n">
        <v>78000</v>
      </c>
    </row>
    <row r="47">
      <c r="A47" t="n">
        <v>46</v>
      </c>
      <c r="B47" t="inlineStr">
        <is>
          <t>MAT-INOX-SUS304-0-7</t>
        </is>
      </c>
      <c r="C47" s="2" t="n">
        <v>78000</v>
      </c>
    </row>
    <row r="48">
      <c r="A48" t="n">
        <v>47</v>
      </c>
      <c r="B48" t="inlineStr">
        <is>
          <t>MAT-INOX-SUS304-0-8</t>
        </is>
      </c>
      <c r="C48" s="2" t="n">
        <v>78000</v>
      </c>
    </row>
    <row r="49">
      <c r="A49" t="n">
        <v>48</v>
      </c>
      <c r="B49" t="inlineStr">
        <is>
          <t>MAT-INOX-SUS304-0-9</t>
        </is>
      </c>
      <c r="C49" s="2" t="n">
        <v>78000</v>
      </c>
    </row>
    <row r="50">
      <c r="A50" t="n">
        <v>49</v>
      </c>
      <c r="B50" t="inlineStr">
        <is>
          <t>MAT-INOX-SUS304-1-0</t>
        </is>
      </c>
      <c r="C50" s="2" t="n">
        <v>78000</v>
      </c>
    </row>
    <row r="51">
      <c r="A51" t="n">
        <v>50</v>
      </c>
      <c r="B51" t="inlineStr">
        <is>
          <t>MAT-INOX-SUS304-1-2</t>
        </is>
      </c>
      <c r="C51" s="2" t="n">
        <v>78000</v>
      </c>
    </row>
    <row r="52">
      <c r="A52" t="n">
        <v>51</v>
      </c>
      <c r="B52" t="inlineStr">
        <is>
          <t>MAT-INOX-SUS430-0-5</t>
        </is>
      </c>
      <c r="C52" s="2" t="n">
        <v>45000</v>
      </c>
    </row>
    <row r="53">
      <c r="A53" t="n">
        <v>52</v>
      </c>
      <c r="B53" t="inlineStr">
        <is>
          <t>MAT-INOX-SUS430-0-6</t>
        </is>
      </c>
      <c r="C53" s="2" t="n">
        <v>45000</v>
      </c>
    </row>
    <row r="54">
      <c r="A54" t="n">
        <v>53</v>
      </c>
      <c r="B54" t="inlineStr">
        <is>
          <t>MAT-INOX-SUS430-0-7</t>
        </is>
      </c>
      <c r="C54" s="2" t="n">
        <v>45000</v>
      </c>
    </row>
    <row r="55">
      <c r="A55" t="n">
        <v>54</v>
      </c>
      <c r="B55" t="inlineStr">
        <is>
          <t>MAT-INOX-SUS430-0-8</t>
        </is>
      </c>
      <c r="C55" s="2" t="n">
        <v>45000</v>
      </c>
    </row>
    <row r="56">
      <c r="A56" t="n">
        <v>55</v>
      </c>
      <c r="B56" t="inlineStr">
        <is>
          <t>MAT-INOX-SUS430-0-9</t>
        </is>
      </c>
      <c r="C56" s="2" t="n">
        <v>45000</v>
      </c>
    </row>
    <row r="57">
      <c r="A57" t="n">
        <v>56</v>
      </c>
      <c r="B57" t="inlineStr">
        <is>
          <t>MAT-INOX-SUS430-1-0</t>
        </is>
      </c>
      <c r="C57" s="2" t="n">
        <v>45000</v>
      </c>
    </row>
    <row r="58">
      <c r="A58" t="n">
        <v>57</v>
      </c>
      <c r="B58" t="inlineStr">
        <is>
          <t>MAT-INOX-SUS430-1-1</t>
        </is>
      </c>
      <c r="C58" s="2" t="n">
        <v>45000</v>
      </c>
    </row>
    <row r="59">
      <c r="A59" t="n">
        <v>58</v>
      </c>
      <c r="B59" t="inlineStr">
        <is>
          <t>MAT-INOX-SUS430-1-2</t>
        </is>
      </c>
      <c r="C59" s="2" t="n">
        <v>45000</v>
      </c>
    </row>
    <row r="60">
      <c r="A60" t="n">
        <v>59</v>
      </c>
      <c r="B60" t="inlineStr">
        <is>
          <t>MAT-INOX-SUS201-0-4</t>
        </is>
      </c>
      <c r="C60" s="2" t="n">
        <v>48000</v>
      </c>
    </row>
    <row r="61">
      <c r="A61" t="n">
        <v>60</v>
      </c>
      <c r="B61" t="inlineStr">
        <is>
          <t>MAT-INOX-SUS201-0-5</t>
        </is>
      </c>
      <c r="C61" s="2" t="n">
        <v>48000</v>
      </c>
    </row>
    <row r="62">
      <c r="A62" t="n">
        <v>61</v>
      </c>
      <c r="B62" t="inlineStr">
        <is>
          <t>MAT-INOX-SUS201-0-6</t>
        </is>
      </c>
      <c r="C62" s="2" t="n">
        <v>48000</v>
      </c>
    </row>
    <row r="63">
      <c r="A63" t="n">
        <v>62</v>
      </c>
      <c r="B63" t="inlineStr">
        <is>
          <t>MAT-INOX-SUS201-0-7</t>
        </is>
      </c>
      <c r="C63" s="2" t="n">
        <v>48000</v>
      </c>
    </row>
    <row r="64">
      <c r="A64" t="n">
        <v>63</v>
      </c>
      <c r="B64" t="inlineStr">
        <is>
          <t>MAT-INOX-SUS201-0-8</t>
        </is>
      </c>
      <c r="C64" s="2" t="n">
        <v>48000</v>
      </c>
    </row>
    <row r="65">
      <c r="A65" t="n">
        <v>64</v>
      </c>
      <c r="B65" t="inlineStr">
        <is>
          <t>MAT-DAMPER-TRUC-SUS-201-D10</t>
        </is>
      </c>
      <c r="C65" s="2" t="n">
        <v>50000</v>
      </c>
    </row>
    <row r="66">
      <c r="A66" t="n">
        <v>65</v>
      </c>
      <c r="B66" t="inlineStr">
        <is>
          <t>MAT-DAMPER-TRUC-SUS-201-D12</t>
        </is>
      </c>
      <c r="C66" s="2" t="n">
        <v>72000</v>
      </c>
    </row>
    <row r="67">
      <c r="A67" t="n">
        <v>66</v>
      </c>
      <c r="B67" t="inlineStr">
        <is>
          <t>MAT-DAMPER-TRUC-SUS-201-D14</t>
        </is>
      </c>
      <c r="C67" s="2" t="n">
        <v>98000</v>
      </c>
    </row>
    <row r="68">
      <c r="A68" t="n">
        <v>67</v>
      </c>
      <c r="B68" t="inlineStr">
        <is>
          <t>MAT-DAMPER-BAC-DONG-D10</t>
        </is>
      </c>
      <c r="C68" s="2" t="n">
        <v>6000</v>
      </c>
    </row>
    <row r="69">
      <c r="A69" t="n">
        <v>68</v>
      </c>
      <c r="B69" t="inlineStr">
        <is>
          <t>MAT-DAMPER-BAC-DONG-D12</t>
        </is>
      </c>
      <c r="C69" s="2" t="n">
        <v>8000</v>
      </c>
    </row>
    <row r="70">
      <c r="A70" t="n">
        <v>69</v>
      </c>
      <c r="B70" t="inlineStr">
        <is>
          <t>MAT-DAMPER-BAC-DONG-D14</t>
        </is>
      </c>
      <c r="C70" s="2" t="n">
        <v>10000</v>
      </c>
    </row>
    <row r="71">
      <c r="A71" t="n">
        <v>70</v>
      </c>
      <c r="B71" t="inlineStr">
        <is>
          <t>MAT-DAMPER-TAY-GAT-1-1M2</t>
        </is>
      </c>
      <c r="C71" s="2" t="n">
        <v>100000</v>
      </c>
    </row>
    <row r="72">
      <c r="A72" t="n">
        <v>71</v>
      </c>
      <c r="B72" t="inlineStr">
        <is>
          <t>MAT-DAMPER-GIANG-TAY-GAT-1</t>
        </is>
      </c>
      <c r="C72" s="2" t="n">
        <v>20000</v>
      </c>
    </row>
    <row r="73">
      <c r="A73" t="n">
        <v>72</v>
      </c>
      <c r="B73" t="inlineStr">
        <is>
          <t>MAT-DAMPER-GIANG-TAY-GAT-2</t>
        </is>
      </c>
      <c r="C73" s="2" t="n">
        <v>25000</v>
      </c>
    </row>
    <row r="74">
      <c r="A74" t="n">
        <v>73</v>
      </c>
      <c r="B74" t="inlineStr">
        <is>
          <t>MAT-DAMPER-CAU-CHI-1-400X400</t>
        </is>
      </c>
      <c r="C74" s="2" t="n">
        <v>220000</v>
      </c>
    </row>
    <row r="75">
      <c r="A75" t="n">
        <v>74</v>
      </c>
      <c r="B75" t="inlineStr">
        <is>
          <t>MAT-DAMPER-CAU-CHI-2-400X400</t>
        </is>
      </c>
      <c r="C75" s="2" t="n">
        <v>300000</v>
      </c>
    </row>
    <row r="76">
      <c r="A76" t="n">
        <v>75</v>
      </c>
      <c r="B76" t="inlineStr">
        <is>
          <t>MAT-DAMPER-TRUC-VIT-1</t>
        </is>
      </c>
      <c r="C76" s="2" t="n">
        <v>100000</v>
      </c>
    </row>
    <row r="77">
      <c r="A77" t="n">
        <v>76</v>
      </c>
      <c r="B77" t="inlineStr">
        <is>
          <t>MAT-DAMPER-BAC-DONG-8</t>
        </is>
      </c>
      <c r="C77" s="2" t="n">
        <v>4000</v>
      </c>
    </row>
    <row r="78">
      <c r="A78" t="n">
        <v>77</v>
      </c>
      <c r="B78" t="inlineStr">
        <is>
          <t>MAT-DAMPER-BANH-RANG-VAN-NHOM</t>
        </is>
      </c>
      <c r="C78" s="2" t="n">
        <v>35000</v>
      </c>
    </row>
    <row r="79">
      <c r="A79" t="n">
        <v>78</v>
      </c>
      <c r="B79" t="inlineStr">
        <is>
          <t>MAT-DAMPER-TAY-VAN-NHUA-1M2</t>
        </is>
      </c>
      <c r="C79" s="2" t="n">
        <v>165000</v>
      </c>
    </row>
    <row r="80">
      <c r="A80" t="n">
        <v>79</v>
      </c>
      <c r="B80" t="inlineStr">
        <is>
          <t>MAT-DAMPER-TAY-VAN-INOX-1M2</t>
        </is>
      </c>
      <c r="C80" s="2" t="n">
        <v>195000</v>
      </c>
    </row>
    <row r="81">
      <c r="A81" t="n">
        <v>80</v>
      </c>
      <c r="B81" t="inlineStr">
        <is>
          <t>MAT-DAMPER-TAY-VAN-NHOM</t>
        </is>
      </c>
      <c r="C81" s="2" t="n">
        <v>260000</v>
      </c>
    </row>
    <row r="82">
      <c r="A82" t="n">
        <v>81</v>
      </c>
      <c r="B82" t="inlineStr">
        <is>
          <t>MAT-DAMPER-GIOANG-CAO-SU-VAN-NHOM</t>
        </is>
      </c>
      <c r="C82" s="2" t="n">
        <v>6500</v>
      </c>
    </row>
    <row r="83">
      <c r="A83" t="n">
        <v>82</v>
      </c>
      <c r="B83" t="inlineStr">
        <is>
          <t>MAT-DAMPER-TAY-GAT-NHO</t>
        </is>
      </c>
      <c r="C83" s="2" t="n">
        <v>50000</v>
      </c>
    </row>
    <row r="84">
      <c r="A84" t="n">
        <v>83</v>
      </c>
      <c r="B84" t="inlineStr">
        <is>
          <t>MAT-DAMPER-TAY-GAT-TRUNG-BINH</t>
        </is>
      </c>
      <c r="C84" s="2" t="n">
        <v>75000</v>
      </c>
    </row>
    <row r="85">
      <c r="A85" t="n">
        <v>84</v>
      </c>
      <c r="B85" t="inlineStr">
        <is>
          <t>MAT-DAMPER-MOTOR-NENUTEC-THUY-SY-300X300</t>
        </is>
      </c>
      <c r="C85" s="2" t="n">
        <v>1750000</v>
      </c>
    </row>
    <row r="86">
      <c r="A86" t="n">
        <v>85</v>
      </c>
      <c r="B86" t="inlineStr">
        <is>
          <t>MAT-DAMPER-MOTOR-NENUTEC-THUY-SY-300X300</t>
        </is>
      </c>
      <c r="C86" s="2" t="n">
        <v>1950000</v>
      </c>
    </row>
    <row r="87">
      <c r="A87" t="n">
        <v>86</v>
      </c>
      <c r="B87" t="inlineStr">
        <is>
          <t>MAT-DAMPER-MOTOR-NENUTEC-THUY-SY-1M2</t>
        </is>
      </c>
      <c r="C87" s="2" t="n">
        <v>2200000</v>
      </c>
    </row>
    <row r="88">
      <c r="A88" t="n">
        <v>87</v>
      </c>
      <c r="B88" t="inlineStr">
        <is>
          <t>MAT-DAMPER-MOTOR-VAN-DAP-LUA-CAM-BIEN</t>
        </is>
      </c>
      <c r="C88" s="2" t="n">
        <v>4200000</v>
      </c>
    </row>
    <row r="89">
      <c r="A89" t="n">
        <v>88</v>
      </c>
      <c r="B89" t="inlineStr">
        <is>
          <t>MAT-DAMPER-MOTOR-VAN-AP-SUAT</t>
        </is>
      </c>
      <c r="C89" s="2" t="n">
        <v>4200000</v>
      </c>
    </row>
    <row r="90">
      <c r="A90" t="n">
        <v>89</v>
      </c>
      <c r="B90" t="inlineStr">
        <is>
          <t>MAT-DAMPER-CAU-CHI-TRUNG-QUOC</t>
        </is>
      </c>
      <c r="C90" s="2" t="n">
        <v>65000</v>
      </c>
    </row>
    <row r="91">
      <c r="A91" t="n">
        <v>90</v>
      </c>
      <c r="B91" t="inlineStr">
        <is>
          <t>MAT-DAMPER-CAU-CHI-USA-1-400X400</t>
        </is>
      </c>
      <c r="C91" s="2" t="n">
        <v>105000</v>
      </c>
    </row>
    <row r="92">
      <c r="A92" t="n">
        <v>91</v>
      </c>
      <c r="B92" t="inlineStr">
        <is>
          <t>MAT-DAMPER-CAU-CHI-USA-2-400X400</t>
        </is>
      </c>
      <c r="C92" s="2" t="n">
        <v>126000</v>
      </c>
    </row>
    <row r="93">
      <c r="A93" t="n">
        <v>92</v>
      </c>
      <c r="B93" t="inlineStr">
        <is>
          <t>MAT-FLANGE-L-30X30X2-CT38-L-6-M</t>
        </is>
      </c>
      <c r="C93" s="2" t="n">
        <v>30000</v>
      </c>
    </row>
    <row r="94">
      <c r="A94" t="n">
        <v>93</v>
      </c>
      <c r="B94" t="inlineStr">
        <is>
          <t>MAT-FLANGE-L-30X30X3-CT38-L-6-M</t>
        </is>
      </c>
      <c r="C94" s="2" t="n">
        <v>35000</v>
      </c>
    </row>
    <row r="95">
      <c r="A95" t="n">
        <v>94</v>
      </c>
      <c r="B95" t="inlineStr">
        <is>
          <t>MAT-FLANGE-L-40X40X4-CT39-L-6-M</t>
        </is>
      </c>
      <c r="C95" s="2" t="n">
        <v>45000</v>
      </c>
    </row>
    <row r="96">
      <c r="A96" t="n">
        <v>95</v>
      </c>
      <c r="B96" t="inlineStr">
        <is>
          <t>MAT-FLANGE-L-50X50X4-CT40-L-6-M</t>
        </is>
      </c>
      <c r="C96" s="2" t="n">
        <v>55000</v>
      </c>
    </row>
    <row r="97">
      <c r="A97" t="n">
        <v>96</v>
      </c>
      <c r="B97" t="inlineStr">
        <is>
          <t>MAT-INSUL-LUOI-NHUA</t>
        </is>
      </c>
      <c r="C97" s="2" t="n">
        <v>25000</v>
      </c>
    </row>
    <row r="98">
      <c r="A98" t="n">
        <v>97</v>
      </c>
      <c r="B98" t="inlineStr">
        <is>
          <t>MAT-INSUL-MOTOR-NENUTEC-THUY-SY-300X300</t>
        </is>
      </c>
      <c r="C98" s="2" t="n">
        <v>1750000</v>
      </c>
    </row>
    <row r="99">
      <c r="A99" t="n">
        <v>98</v>
      </c>
      <c r="B99" t="inlineStr">
        <is>
          <t>MAT-INSUL-MOTOR-NENUTEC-THUY-SY-300X300</t>
        </is>
      </c>
      <c r="C99" s="2" t="n">
        <v>1950000</v>
      </c>
    </row>
    <row r="100">
      <c r="A100" t="n">
        <v>99</v>
      </c>
      <c r="B100" t="inlineStr">
        <is>
          <t>MAT-INSUL-MOTOR-NENUTEC-THUY-SY-1M2</t>
        </is>
      </c>
      <c r="C100" s="2" t="n">
        <v>2200000</v>
      </c>
    </row>
    <row r="101">
      <c r="A101" t="n">
        <v>100</v>
      </c>
      <c r="B101" t="inlineStr">
        <is>
          <t>MAT-INSUL-MOTOR-VAN-DAP-LUA-CAM-BIEN</t>
        </is>
      </c>
      <c r="C101" s="2" t="n">
        <v>4200000</v>
      </c>
    </row>
    <row r="102">
      <c r="A102" t="n">
        <v>101</v>
      </c>
      <c r="B102" t="inlineStr">
        <is>
          <t>MAT-INSUL-MOTOR-VAN-AP-SUAT</t>
        </is>
      </c>
      <c r="C102" s="2" t="n">
        <v>4200000</v>
      </c>
    </row>
    <row r="103">
      <c r="A103" t="n">
        <v>102</v>
      </c>
      <c r="B103" t="inlineStr">
        <is>
          <t>MAT-ALU-NAN-BD</t>
        </is>
      </c>
      <c r="C103" s="2" t="n">
        <v>126000</v>
      </c>
    </row>
    <row r="104">
      <c r="A104" t="n">
        <v>103</v>
      </c>
      <c r="B104" t="inlineStr">
        <is>
          <t>MAT-ALU-NAN-T</t>
        </is>
      </c>
      <c r="C104" s="2" t="n">
        <v>126000</v>
      </c>
    </row>
    <row r="105">
      <c r="A105" t="n">
        <v>104</v>
      </c>
      <c r="B105" t="inlineStr">
        <is>
          <t>MAT-ALU-KHUNG-BD</t>
        </is>
      </c>
      <c r="C105" s="2" t="n">
        <v>126000</v>
      </c>
    </row>
    <row r="106">
      <c r="A106" t="n">
        <v>105</v>
      </c>
      <c r="B106" t="inlineStr">
        <is>
          <t>MAT-ALU-KHUNG-BD-Z-MONG</t>
        </is>
      </c>
      <c r="C106" s="2" t="n">
        <v>126000</v>
      </c>
    </row>
    <row r="107">
      <c r="A107" t="n">
        <v>106</v>
      </c>
      <c r="B107" t="inlineStr">
        <is>
          <t>MAT-ALU-NAN-Z-DAY</t>
        </is>
      </c>
      <c r="C107" s="2" t="n">
        <v>126000</v>
      </c>
    </row>
    <row r="108">
      <c r="A108" t="n">
        <v>107</v>
      </c>
      <c r="B108" t="inlineStr">
        <is>
          <t>MAT-ALU-NAN-Z-MONG</t>
        </is>
      </c>
      <c r="C108" s="2" t="n">
        <v>126000</v>
      </c>
    </row>
    <row r="109">
      <c r="A109" t="n">
        <v>108</v>
      </c>
      <c r="B109" t="inlineStr">
        <is>
          <t>MAT-ALU-KHUNG-Z-2-LOP</t>
        </is>
      </c>
      <c r="C109" s="2" t="n">
        <v>126000</v>
      </c>
    </row>
    <row r="110">
      <c r="A110" t="n">
        <v>109</v>
      </c>
      <c r="B110" t="inlineStr">
        <is>
          <t>MAT-ALU-NAN-OBD</t>
        </is>
      </c>
      <c r="C110" s="2" t="n">
        <v>133000</v>
      </c>
    </row>
    <row r="111">
      <c r="A111" t="n">
        <v>110</v>
      </c>
      <c r="B111" t="inlineStr">
        <is>
          <t>MAT-ALU-KHUNG-OBD</t>
        </is>
      </c>
      <c r="C111" s="2" t="n">
        <v>133000</v>
      </c>
    </row>
    <row r="112">
      <c r="A112" t="n">
        <v>111</v>
      </c>
      <c r="B112" t="inlineStr">
        <is>
          <t>MAT-ALU-NAN-BD-EUS02</t>
        </is>
      </c>
      <c r="C112" s="2" t="n">
        <v>120000</v>
      </c>
    </row>
    <row r="113">
      <c r="A113" t="n">
        <v>112</v>
      </c>
      <c r="B113" t="inlineStr">
        <is>
          <t>MAT-ALU-KHUNG-BD-EUS01</t>
        </is>
      </c>
      <c r="C113" s="2" t="n">
        <v>120000</v>
      </c>
    </row>
    <row r="114">
      <c r="A114" t="n">
        <v>113</v>
      </c>
      <c r="B114" t="inlineStr">
        <is>
          <t>MAT-ALU-NAN-Z-EUS05</t>
        </is>
      </c>
      <c r="C114" s="2" t="n">
        <v>120000</v>
      </c>
    </row>
    <row r="115">
      <c r="A115" t="n">
        <v>114</v>
      </c>
      <c r="B115" t="inlineStr">
        <is>
          <t>MAT-ALU-KHUNG-Z-EUS03</t>
        </is>
      </c>
      <c r="C115" s="2" t="n">
        <v>120000</v>
      </c>
    </row>
    <row r="116">
      <c r="A116" t="n">
        <v>115</v>
      </c>
      <c r="B116" t="inlineStr">
        <is>
          <t>MAT-ALU-NAN-OBD-EUS20</t>
        </is>
      </c>
      <c r="C116" s="2" t="n">
        <v>130000</v>
      </c>
    </row>
    <row r="117">
      <c r="A117" t="n">
        <v>116</v>
      </c>
      <c r="B117" t="inlineStr">
        <is>
          <t>MAT-ALU-KHUNG-OBD-EUS10</t>
        </is>
      </c>
      <c r="C117" s="2" t="n">
        <v>130000</v>
      </c>
    </row>
    <row r="118">
      <c r="A118" t="n">
        <v>117</v>
      </c>
      <c r="B118" t="inlineStr">
        <is>
          <t>MAT-PAINT-POWDER</t>
        </is>
      </c>
      <c r="C118" s="2" t="n">
        <v>75000</v>
      </c>
    </row>
    <row r="119">
      <c r="A119" t="n">
        <v>118</v>
      </c>
      <c r="B119" t="inlineStr">
        <is>
          <t>MAT-DOOR-ACCESSORY</t>
        </is>
      </c>
      <c r="C119" s="2" t="n">
        <v>15000</v>
      </c>
    </row>
    <row r="120">
      <c r="A120" t="n">
        <v>119</v>
      </c>
      <c r="B120" t="inlineStr">
        <is>
          <t>MAT-ACTUATOR-NACA-2-05</t>
        </is>
      </c>
      <c r="C120" s="2" t="n">
        <v>1250000</v>
      </c>
    </row>
    <row r="121">
      <c r="A121" t="n">
        <v>120</v>
      </c>
      <c r="B121" t="inlineStr">
        <is>
          <t>MAT-ACTUATOR-NACA-2-10</t>
        </is>
      </c>
      <c r="C121" s="2" t="n">
        <v>1732500</v>
      </c>
    </row>
    <row r="122">
      <c r="A122" t="n">
        <v>121</v>
      </c>
      <c r="B122" t="inlineStr">
        <is>
          <t>MAT-ACTUATOR-NACA-2-20</t>
        </is>
      </c>
      <c r="C122" s="2" t="n">
        <v>2016000</v>
      </c>
    </row>
    <row r="123">
      <c r="A123" t="n">
        <v>122</v>
      </c>
      <c r="B123" t="inlineStr">
        <is>
          <t>MAT-ACTUATOR-NACA-2-40</t>
        </is>
      </c>
      <c r="C123" s="2" t="n">
        <v>3549000</v>
      </c>
    </row>
    <row r="124">
      <c r="A124" t="n">
        <v>123</v>
      </c>
      <c r="B124" t="inlineStr">
        <is>
          <t>MAT-ACTUATOR-NTC-831</t>
        </is>
      </c>
      <c r="C124" s="2" t="n">
        <v>800000</v>
      </c>
    </row>
    <row r="125">
      <c r="A125" t="n">
        <v>124</v>
      </c>
      <c r="B125" t="inlineStr">
        <is>
          <t>MAT-ACTUATOR-NACM-1-2-05</t>
        </is>
      </c>
      <c r="C125" s="2" t="n">
        <v>1785000</v>
      </c>
    </row>
    <row r="126">
      <c r="A126" t="n">
        <v>125</v>
      </c>
      <c r="B126" t="inlineStr">
        <is>
          <t>MAT-ACTUATOR-NACM-1-1-10</t>
        </is>
      </c>
      <c r="C126" s="2" t="n">
        <v>2226000</v>
      </c>
    </row>
    <row r="127">
      <c r="A127" t="n">
        <v>126</v>
      </c>
      <c r="B127" t="inlineStr">
        <is>
          <t>MAT-ACTUATOR-NACM-1-1-20</t>
        </is>
      </c>
      <c r="C127" s="2" t="n">
        <v>3087000</v>
      </c>
    </row>
    <row r="128">
      <c r="A128" t="n">
        <v>127</v>
      </c>
      <c r="B128" t="inlineStr">
        <is>
          <t>MAT-ACTUATOR-NACM-1-1-40</t>
        </is>
      </c>
      <c r="C128" s="2" t="n">
        <v>4515000</v>
      </c>
    </row>
    <row r="129">
      <c r="A129" t="n">
        <v>128</v>
      </c>
      <c r="B129" t="inlineStr">
        <is>
          <t>MAT-ACTUATOR-MODEL-NPG-1-DIEU-KHI</t>
        </is>
      </c>
      <c r="C129" s="2" t="n">
        <v>1260000</v>
      </c>
    </row>
    <row r="130">
      <c r="A130" t="n">
        <v>129</v>
      </c>
      <c r="B130" t="inlineStr">
        <is>
          <t>MAT-ACTUATOR-MODEL-NTC-843-DIEU-K</t>
        </is>
      </c>
      <c r="C130" s="2" t="n">
        <v>1512000</v>
      </c>
    </row>
    <row r="131">
      <c r="A131" t="n">
        <v>130</v>
      </c>
      <c r="B131" t="inlineStr">
        <is>
          <t>MAT-ACTUATOR-SAFA-1-05S</t>
        </is>
      </c>
      <c r="C131" s="2" t="n">
        <v>3108000</v>
      </c>
    </row>
    <row r="132">
      <c r="A132" t="n">
        <v>131</v>
      </c>
      <c r="B132" t="inlineStr">
        <is>
          <t>MAT-ACTUATOR-SAFA-1-08S</t>
        </is>
      </c>
      <c r="C132" s="2" t="n">
        <v>3507000</v>
      </c>
    </row>
    <row r="133">
      <c r="A133" t="n">
        <v>132</v>
      </c>
      <c r="B133" t="inlineStr">
        <is>
          <t>MAT-ACTUATOR-SAFA-2-05S</t>
        </is>
      </c>
      <c r="C133" s="2" t="n">
        <v>3255000</v>
      </c>
    </row>
    <row r="134">
      <c r="A134" t="n">
        <v>133</v>
      </c>
      <c r="B134" t="inlineStr">
        <is>
          <t>MAT-ACTUATOR-SAFA-2-08S</t>
        </is>
      </c>
      <c r="C134" s="2" t="n">
        <v>3696000</v>
      </c>
    </row>
    <row r="135">
      <c r="A135" t="n">
        <v>134</v>
      </c>
      <c r="B135" t="inlineStr">
        <is>
          <t>MAT-ACTUATOR-CAM-BIEN-NHIET-BANG-</t>
        </is>
      </c>
      <c r="C135" s="2" t="n">
        <v>300000</v>
      </c>
    </row>
    <row r="136">
      <c r="A136" t="n">
        <v>135</v>
      </c>
      <c r="B136" t="inlineStr">
        <is>
          <t>MAT-ACTUATOR-MODEL-B</t>
        </is>
      </c>
      <c r="C136" s="2" t="n">
        <v>70000</v>
      </c>
    </row>
    <row r="137">
      <c r="A137" t="n">
        <v>136</v>
      </c>
      <c r="B137" t="inlineStr">
        <is>
          <t>MAT-ACTUATOR-MODEL-A</t>
        </is>
      </c>
      <c r="C137" s="2" t="n">
        <v>80000</v>
      </c>
    </row>
    <row r="138">
      <c r="A138" t="n">
        <v>137</v>
      </c>
      <c r="B138" t="inlineStr">
        <is>
          <t>MAT-INSUL-BONG-THUY-TINH-KHONG-MAT-12</t>
        </is>
      </c>
      <c r="C138" s="2" t="n">
        <v>13000</v>
      </c>
    </row>
    <row r="139">
      <c r="A139" t="n">
        <v>138</v>
      </c>
      <c r="B139" t="inlineStr">
        <is>
          <t>MAT-INSUL-BONG-THUY-TINH-CO-BAC-T12-13</t>
        </is>
      </c>
      <c r="C139" s="2" t="n">
        <v>18500</v>
      </c>
    </row>
    <row r="140">
      <c r="A140" t="n">
        <v>139</v>
      </c>
      <c r="B140" t="inlineStr">
        <is>
          <t>MAT-INSUL-BONG-THUY-TINH-KHONG-MAT-14</t>
        </is>
      </c>
      <c r="C140" s="2" t="n">
        <v>24000</v>
      </c>
    </row>
    <row r="141">
      <c r="A141" t="n">
        <v>140</v>
      </c>
      <c r="B141" t="inlineStr">
        <is>
          <t>MAT-INSUL-BONG-THUY-TINH-CO-BAC-T24-15</t>
        </is>
      </c>
      <c r="C141" s="2" t="n">
        <v>28000</v>
      </c>
    </row>
    <row r="142">
      <c r="A142" t="n">
        <v>141</v>
      </c>
      <c r="B142" t="inlineStr">
        <is>
          <t>MAT-INSUL-BONG-THUY-TINH-KHONG-MAT-16</t>
        </is>
      </c>
      <c r="C142" s="2" t="n">
        <v>32000</v>
      </c>
    </row>
    <row r="143">
      <c r="A143" t="n">
        <v>142</v>
      </c>
      <c r="B143" t="inlineStr">
        <is>
          <t>MAT-INSUL-BONG-THUY-TINH-CO-MAT-BAC-17</t>
        </is>
      </c>
      <c r="C143" s="2" t="n">
        <v>37000</v>
      </c>
    </row>
    <row r="144">
      <c r="A144" t="n">
        <v>143</v>
      </c>
      <c r="B144" t="inlineStr">
        <is>
          <t>MAT-INSUL-BONG-KHOANG-TAM-T40-19</t>
        </is>
      </c>
      <c r="C144" s="2" t="n">
        <v>215000</v>
      </c>
    </row>
    <row r="145">
      <c r="A145" t="n">
        <v>144</v>
      </c>
      <c r="B145" t="inlineStr">
        <is>
          <t>MAT-INSUL-BONG-KHOANG-TAM-T50-20</t>
        </is>
      </c>
      <c r="C145" s="2" t="n">
        <v>240000</v>
      </c>
    </row>
    <row r="146">
      <c r="A146" t="n">
        <v>145</v>
      </c>
      <c r="B146" t="inlineStr">
        <is>
          <t>MAT-INSUL-BONG-KHOANG-T60-D50-21</t>
        </is>
      </c>
      <c r="C146" s="2" t="n">
        <v>260000</v>
      </c>
    </row>
    <row r="147">
      <c r="A147" t="n">
        <v>146</v>
      </c>
      <c r="B147" t="inlineStr">
        <is>
          <t>MAT-INSUL-BONG-KHOANG-T80-D50-22</t>
        </is>
      </c>
      <c r="C147" s="2" t="n">
        <v>340000</v>
      </c>
    </row>
    <row r="148">
      <c r="A148" t="n">
        <v>147</v>
      </c>
      <c r="B148" t="inlineStr">
        <is>
          <t>MAT-INSUL-BONG-KHOANG-T100-D50-23</t>
        </is>
      </c>
      <c r="C148" s="2" t="n">
        <v>378000</v>
      </c>
    </row>
    <row r="149">
      <c r="A149" t="n">
        <v>148</v>
      </c>
      <c r="B149" t="inlineStr">
        <is>
          <t>MAT-INSUL-BONG-GOM-BAO-610-X7200-X-25</t>
        </is>
      </c>
      <c r="C149" s="2" t="n">
        <v>280000</v>
      </c>
    </row>
    <row r="150">
      <c r="A150" t="n">
        <v>149</v>
      </c>
      <c r="B150" t="inlineStr">
        <is>
          <t>MAT-INSUL-BONG-GOM-HOP-610-X7200-X-26</t>
        </is>
      </c>
      <c r="C150" s="2" t="n">
        <v>360000</v>
      </c>
    </row>
    <row r="151">
      <c r="A151" t="n">
        <v>150</v>
      </c>
      <c r="B151" t="inlineStr">
        <is>
          <t>MAT-INSUL-BONG-GOM-HOP-610-X7200-X-27</t>
        </is>
      </c>
      <c r="C151" s="2" t="n">
        <v>465000</v>
      </c>
    </row>
    <row r="152">
      <c r="A152" t="n">
        <v>151</v>
      </c>
      <c r="B152" t="inlineStr">
        <is>
          <t>MAT-INSUL-BONG-GOM-HOP-610-X7200-X-28</t>
        </is>
      </c>
      <c r="C152" s="2" t="n">
        <v>970000</v>
      </c>
    </row>
    <row r="153">
      <c r="A153" t="n">
        <v>152</v>
      </c>
      <c r="B153" t="inlineStr">
        <is>
          <t>MAT-INSUL-BONG-GOM-DANG-TAM-600-X-9-29</t>
        </is>
      </c>
      <c r="C153" s="2" t="n">
        <v>720000</v>
      </c>
    </row>
    <row r="154">
      <c r="A154" t="n">
        <v>153</v>
      </c>
      <c r="B154" t="inlineStr">
        <is>
          <t>MAT-INSUL-BONG-GOM-DANG-ROI-30</t>
        </is>
      </c>
      <c r="C154" s="2" t="n">
        <v>370000</v>
      </c>
    </row>
    <row r="155">
      <c r="A155" t="n">
        <v>154</v>
      </c>
      <c r="B155" t="inlineStr">
        <is>
          <t>MAT-INSUL-MUT-TRUNG-3CM-KICH-THUOC-32</t>
        </is>
      </c>
      <c r="C155" s="2" t="n">
        <v>260000</v>
      </c>
    </row>
    <row r="156">
      <c r="A156" t="n">
        <v>155</v>
      </c>
      <c r="B156" t="inlineStr">
        <is>
          <t>MAT-INSUL-MUT-TRUNG-5CM-KICH-THUOC-33</t>
        </is>
      </c>
      <c r="C156" s="2" t="n">
        <v>360000</v>
      </c>
    </row>
    <row r="157">
      <c r="A157" t="n">
        <v>156</v>
      </c>
      <c r="B157" t="inlineStr">
        <is>
          <t>MAT-INSUL-MUT-GAI-5CM-KICH-THUOC-TA-34</t>
        </is>
      </c>
      <c r="C157" s="2" t="n">
        <v>330000</v>
      </c>
    </row>
    <row r="158">
      <c r="A158" t="n">
        <v>157</v>
      </c>
      <c r="B158" t="inlineStr">
        <is>
          <t>MAT-INSUL-XOP-XPS-DAY-25MM-KICH-THU-35</t>
        </is>
      </c>
      <c r="C158" s="2" t="n">
        <v>72000</v>
      </c>
    </row>
    <row r="159">
      <c r="A159" t="n">
        <v>158</v>
      </c>
      <c r="B159" t="inlineStr">
        <is>
          <t>MAT-INSUL-VAI-THUY-TINH-36</t>
        </is>
      </c>
      <c r="C159" s="2" t="n">
        <v>85000</v>
      </c>
    </row>
    <row r="160">
      <c r="A160" t="n">
        <v>159</v>
      </c>
      <c r="B160" t="inlineStr">
        <is>
          <t>MAT-INSUL-TON-LO-D6-38</t>
        </is>
      </c>
      <c r="C160" s="2" t="n">
        <v>130000</v>
      </c>
    </row>
    <row r="161">
      <c r="A161" t="n">
        <v>160</v>
      </c>
      <c r="B161" t="inlineStr">
        <is>
          <t>MAT-INSUL-TON-LO-D10-40</t>
        </is>
      </c>
      <c r="C161" s="2" t="n">
        <v>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2026-10-10T10:02:43Z</dcterms:created>
  <dcterms:modified xsi:type="dcterms:W3CDTF">2026-10-10T10:02:43Z</dcterms:modified>
</cp:coreProperties>
</file>
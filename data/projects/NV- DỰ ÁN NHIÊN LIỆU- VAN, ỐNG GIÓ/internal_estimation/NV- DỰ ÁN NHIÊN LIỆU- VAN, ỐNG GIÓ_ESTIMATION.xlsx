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83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8" t="n"/>
      <c r="N14" s="8" t="n"/>
      <c r="O14" s="8" t="n"/>
      <c r="P14" s="7" t="n"/>
    </row>
    <row r="15">
      <c r="A15" s="6" t="n">
        <v>3</v>
      </c>
      <c r="B15" s="7" t="inlineStr">
        <is>
          <t>Miệng gió thải 200x100mm</t>
        </is>
      </c>
      <c r="C15" s="6" t="inlineStr">
        <is>
          <t>WL+N</t>
        </is>
      </c>
      <c r="D15" s="6" t="inlineStr">
        <is>
          <t>SWIND</t>
        </is>
      </c>
      <c r="E15" s="6" t="n">
        <v>200</v>
      </c>
      <c r="F15" s="6" t="n">
        <v>100</v>
      </c>
      <c r="G15" s="6" t="n">
        <v>150</v>
      </c>
      <c r="H15" s="6" t="n">
        <v>50</v>
      </c>
      <c r="I15" s="6" t="n"/>
      <c r="J15" s="6" t="n"/>
      <c r="K15" s="6" t="n"/>
      <c r="L15" s="6" t="inlineStr">
        <is>
          <t>Cái</t>
        </is>
      </c>
      <c r="M15" s="9" t="n">
        <v>1</v>
      </c>
      <c r="N15" s="9">
        <f>ROUND('00_TONG_HOP_BAO_GIA'!Q2, 0)</f>
        <v/>
      </c>
      <c r="O15" s="9">
        <f>ROUNDUP(N15*M15, -2)</f>
        <v/>
      </c>
      <c r="P15" s="7" t="inlineStr">
        <is>
          <t>Louver nan Z ngoài trời kèm lưới chắn côn trùng Inox 304</t>
        </is>
      </c>
    </row>
    <row r="16">
      <c r="A16" s="6" t="n">
        <v>5</v>
      </c>
      <c r="B16" s="7" t="inlineStr">
        <is>
          <t>Louver gió kèm LCCT 600x300</t>
        </is>
      </c>
      <c r="C16" s="6" t="inlineStr">
        <is>
          <t>WL+N</t>
        </is>
      </c>
      <c r="D16" s="6" t="inlineStr">
        <is>
          <t>SWIND</t>
        </is>
      </c>
      <c r="E16" s="6" t="n">
        <v>600</v>
      </c>
      <c r="F16" s="6" t="n">
        <v>300</v>
      </c>
      <c r="G16" s="6" t="n">
        <v>550</v>
      </c>
      <c r="H16" s="6" t="n">
        <v>250</v>
      </c>
      <c r="I16" s="6" t="n"/>
      <c r="J16" s="6" t="n"/>
      <c r="K16" s="6" t="n"/>
      <c r="L16" s="6" t="inlineStr">
        <is>
          <t>Cái</t>
        </is>
      </c>
      <c r="M16" s="9" t="n">
        <v>2</v>
      </c>
      <c r="N16" s="9">
        <f>ROUND('00_TONG_HOP_BAO_GIA'!Q3, 0)</f>
        <v/>
      </c>
      <c r="O16" s="9">
        <f>ROUNDUP(N16*M16, -2)</f>
        <v/>
      </c>
      <c r="P16" s="7" t="inlineStr">
        <is>
          <t>Louver nan Z ngoài trời kèm lưới chắn côn trùng Inox 304</t>
        </is>
      </c>
    </row>
    <row r="17">
      <c r="A17" s="6" t="n">
        <v>6</v>
      </c>
      <c r="B17" s="7" t="inlineStr">
        <is>
          <t>Louver gió kèm LCCT 1500x500</t>
        </is>
      </c>
      <c r="C17" s="6" t="inlineStr">
        <is>
          <t>WL+N</t>
        </is>
      </c>
      <c r="D17" s="6" t="inlineStr">
        <is>
          <t>SWIND</t>
        </is>
      </c>
      <c r="E17" s="6" t="n">
        <v>1500</v>
      </c>
      <c r="F17" s="6" t="n">
        <v>500</v>
      </c>
      <c r="G17" s="6" t="n">
        <v>1450</v>
      </c>
      <c r="H17" s="6" t="n">
        <v>450</v>
      </c>
      <c r="I17" s="6" t="n"/>
      <c r="J17" s="6" t="n"/>
      <c r="K17" s="6" t="n"/>
      <c r="L17" s="6" t="inlineStr">
        <is>
          <t>Cái</t>
        </is>
      </c>
      <c r="M17" s="9" t="n">
        <v>2</v>
      </c>
      <c r="N17" s="9">
        <f>ROUND('00_TONG_HOP_BAO_GIA'!Q4, 0)</f>
        <v/>
      </c>
      <c r="O17" s="9">
        <f>ROUNDUP(N17*M17, -2)</f>
        <v/>
      </c>
      <c r="P17" s="7" t="inlineStr">
        <is>
          <t>Louver nan Z ngoài trời kèm lưới chắn côn trùng Inox 304</t>
        </is>
      </c>
    </row>
    <row r="18">
      <c r="A18" s="6" t="n">
        <v>7</v>
      </c>
      <c r="B18" s="7" t="inlineStr">
        <is>
          <t>Miệng gió thải 450x200</t>
        </is>
      </c>
      <c r="C18" s="6" t="inlineStr">
        <is>
          <t>SDG+O</t>
        </is>
      </c>
      <c r="D18" s="6" t="inlineStr">
        <is>
          <t>SWIND</t>
        </is>
      </c>
      <c r="E18" s="6" t="n">
        <v>450</v>
      </c>
      <c r="F18" s="6" t="n">
        <v>200</v>
      </c>
      <c r="G18" s="6" t="n">
        <v>400</v>
      </c>
      <c r="H18" s="6" t="n">
        <v>150</v>
      </c>
      <c r="I18" s="6" t="n"/>
      <c r="J18" s="6" t="n"/>
      <c r="K18" s="6" t="n"/>
      <c r="L18" s="6" t="inlineStr">
        <is>
          <t>Cái</t>
        </is>
      </c>
      <c r="M18" s="9" t="n">
        <v>5</v>
      </c>
      <c r="N18" s="9">
        <f>ROUND('00_TONG_HOP_BAO_GIA'!Q5, 0)</f>
        <v/>
      </c>
      <c r="O18" s="9">
        <f>ROUNDUP(N18*M18, -2)</f>
        <v/>
      </c>
      <c r="P18" s="7" t="inlineStr">
        <is>
          <t>Cửa nan bầu dục 1 lớp kèm van OBD</t>
        </is>
      </c>
    </row>
    <row r="19">
      <c r="A19" s="6" t="n">
        <v>8</v>
      </c>
      <c r="B19" s="7" t="inlineStr">
        <is>
          <t>Miệng gió tươi 750x350</t>
        </is>
      </c>
      <c r="C19" s="6" t="inlineStr">
        <is>
          <t>SDG+O</t>
        </is>
      </c>
      <c r="D19" s="6" t="inlineStr">
        <is>
          <t>SWIND</t>
        </is>
      </c>
      <c r="E19" s="6" t="n">
        <v>750</v>
      </c>
      <c r="F19" s="6" t="n">
        <v>350</v>
      </c>
      <c r="G19" s="6" t="n">
        <v>700</v>
      </c>
      <c r="H19" s="6" t="n">
        <v>300</v>
      </c>
      <c r="I19" s="6" t="n"/>
      <c r="J19" s="6" t="n"/>
      <c r="K19" s="6" t="n"/>
      <c r="L19" s="6" t="inlineStr">
        <is>
          <t>Cái</t>
        </is>
      </c>
      <c r="M19" s="9" t="n">
        <v>3</v>
      </c>
      <c r="N19" s="9">
        <f>ROUND('00_TONG_HOP_BAO_GIA'!Q6, 0)</f>
        <v/>
      </c>
      <c r="O19" s="9">
        <f>ROUNDUP(N19*M19, -2)</f>
        <v/>
      </c>
      <c r="P19" s="7" t="inlineStr">
        <is>
          <t>Cửa nan bầu dục 1 lớp kèm van OBD</t>
        </is>
      </c>
    </row>
    <row r="20">
      <c r="A20" s="6" t="n">
        <v>9</v>
      </c>
      <c r="B20" s="7" t="inlineStr">
        <is>
          <t>Miệng gió tươi 450x200</t>
        </is>
      </c>
      <c r="C20" s="6" t="inlineStr">
        <is>
          <t>SDG+O</t>
        </is>
      </c>
      <c r="D20" s="6" t="inlineStr">
        <is>
          <t>SWIND</t>
        </is>
      </c>
      <c r="E20" s="6" t="n">
        <v>450</v>
      </c>
      <c r="F20" s="6" t="n">
        <v>200</v>
      </c>
      <c r="G20" s="6" t="n">
        <v>400</v>
      </c>
      <c r="H20" s="6" t="n">
        <v>150</v>
      </c>
      <c r="I20" s="6" t="n"/>
      <c r="J20" s="6" t="n"/>
      <c r="K20" s="6" t="n"/>
      <c r="L20" s="6" t="inlineStr">
        <is>
          <t>Cái</t>
        </is>
      </c>
      <c r="M20" s="9" t="n">
        <v>2</v>
      </c>
      <c r="N20" s="9">
        <f>ROUND('00_TONG_HOP_BAO_GIA'!Q7, 0)</f>
        <v/>
      </c>
      <c r="O20" s="9">
        <f>ROUNDUP(N20*M20, -2)</f>
        <v/>
      </c>
      <c r="P20" s="7" t="inlineStr">
        <is>
          <t>Cửa nan bầu dục 1 lớp kèm van OBD</t>
        </is>
      </c>
    </row>
    <row r="21">
      <c r="A21" s="6" t="n">
        <v>10</v>
      </c>
      <c r="B21" s="7" t="inlineStr">
        <is>
          <t>Tole gia công ống gío tươi và gió thải dày 0.58mm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inlineStr">
        <is>
          <t>m2</t>
        </is>
      </c>
      <c r="M21" s="9" t="n">
        <v>8.4331</v>
      </c>
      <c r="N21" s="8" t="n"/>
      <c r="O21" s="8" t="n"/>
      <c r="P21" s="7" t="n"/>
    </row>
    <row r="22">
      <c r="A22" s="6" t="n">
        <v>11</v>
      </c>
      <c r="B22" s="7" t="inlineStr">
        <is>
          <t>Tole gia công ống gío tươi và gió thải dày 0.8mm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inlineStr">
        <is>
          <t>m2</t>
        </is>
      </c>
      <c r="M22" s="9" t="n">
        <v>78.2264</v>
      </c>
      <c r="N22" s="8" t="n"/>
      <c r="O22" s="8" t="n"/>
      <c r="P22" s="7" t="n"/>
    </row>
    <row r="23">
      <c r="A23" s="6" t="n">
        <v>12</v>
      </c>
      <c r="B23" s="7" t="inlineStr">
        <is>
          <t>Tole gia công ống gío tươi và gió thải dày 1.0mm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inlineStr">
        <is>
          <t>m2</t>
        </is>
      </c>
      <c r="M23" s="9" t="n">
        <v>0</v>
      </c>
      <c r="N23" s="8" t="n"/>
      <c r="O23" s="8" t="n"/>
      <c r="P23" s="7" t="n"/>
    </row>
    <row r="24">
      <c r="A24" s="6" t="n">
        <v>23</v>
      </c>
      <c r="B24" s="7" t="inlineStr">
        <is>
          <t>Luover gió tươi 200x200 kèm lưới chắn côn trùng + VCD</t>
        </is>
      </c>
      <c r="C24" s="6" t="inlineStr">
        <is>
          <t>WL+N + VCD</t>
        </is>
      </c>
      <c r="D24" s="6" t="inlineStr">
        <is>
          <t>SWIND</t>
        </is>
      </c>
      <c r="E24" s="6" t="n">
        <v>200</v>
      </c>
      <c r="F24" s="6" t="n">
        <v>200</v>
      </c>
      <c r="G24" s="6" t="n">
        <v>150</v>
      </c>
      <c r="H24" s="6" t="n">
        <v>150</v>
      </c>
      <c r="I24" s="6" t="n"/>
      <c r="J24" s="6" t="n"/>
      <c r="K24" s="6" t="n"/>
      <c r="L24" s="6" t="inlineStr">
        <is>
          <t>cái</t>
        </is>
      </c>
      <c r="M24" s="9" t="n">
        <v>8</v>
      </c>
      <c r="N24" s="9">
        <f>ROUND('00_TONG_HOP_BAO_GIA'!Q8, 0)</f>
        <v/>
      </c>
      <c r="O24" s="9">
        <f>ROUNDUP(N24*M24, -2)</f>
        <v/>
      </c>
      <c r="P24" s="7" t="inlineStr">
        <is>
          <t>Louver nan Z ngoài trời kèm lưới chắn côn trùng Inox 304 + Van điều chỉnh lưu lượng tay gạt tôn mạ kẽm</t>
        </is>
      </c>
    </row>
    <row r="25">
      <c r="A25" s="6" t="n">
        <v>26</v>
      </c>
      <c r="B25" s="7" t="inlineStr">
        <is>
          <t>Miệng gió cấp 900x500 kèm OBD</t>
        </is>
      </c>
      <c r="C25" s="6" t="inlineStr">
        <is>
          <t>SDG+O</t>
        </is>
      </c>
      <c r="D25" s="6" t="inlineStr">
        <is>
          <t>SWIND</t>
        </is>
      </c>
      <c r="E25" s="6" t="n">
        <v>900</v>
      </c>
      <c r="F25" s="6" t="n">
        <v>500</v>
      </c>
      <c r="G25" s="6" t="n">
        <v>850</v>
      </c>
      <c r="H25" s="6" t="n">
        <v>450</v>
      </c>
      <c r="I25" s="6" t="n"/>
      <c r="J25" s="6" t="n"/>
      <c r="K25" s="6" t="n"/>
      <c r="L25" s="6" t="inlineStr">
        <is>
          <t>Cái</t>
        </is>
      </c>
      <c r="M25" s="9" t="n">
        <v>6</v>
      </c>
      <c r="N25" s="9">
        <f>ROUND('00_TONG_HOP_BAO_GIA'!Q9, 0)</f>
        <v/>
      </c>
      <c r="O25" s="9">
        <f>ROUNDUP(N25*M25, -2)</f>
        <v/>
      </c>
      <c r="P25" s="7" t="inlineStr">
        <is>
          <t>Cửa nan bầu dục 1 lớp kèm van OBD</t>
        </is>
      </c>
    </row>
    <row r="26">
      <c r="A26" s="6" t="n">
        <v>27</v>
      </c>
      <c r="B26" s="7" t="inlineStr">
        <is>
          <t>Miệng gió cấp 400x300 kèm OBD</t>
        </is>
      </c>
      <c r="C26" s="6" t="inlineStr">
        <is>
          <t>SDG+O</t>
        </is>
      </c>
      <c r="D26" s="6" t="inlineStr">
        <is>
          <t>SWIND</t>
        </is>
      </c>
      <c r="E26" s="6" t="n">
        <v>400</v>
      </c>
      <c r="F26" s="6" t="n">
        <v>300</v>
      </c>
      <c r="G26" s="6" t="n">
        <v>350</v>
      </c>
      <c r="H26" s="6" t="n">
        <v>250</v>
      </c>
      <c r="I26" s="6" t="n"/>
      <c r="J26" s="6" t="n"/>
      <c r="K26" s="6" t="n"/>
      <c r="L26" s="6" t="inlineStr">
        <is>
          <t>Cái</t>
        </is>
      </c>
      <c r="M26" s="9" t="n">
        <v>2</v>
      </c>
      <c r="N26" s="9">
        <f>ROUND('00_TONG_HOP_BAO_GIA'!Q10, 0)</f>
        <v/>
      </c>
      <c r="O26" s="9">
        <f>ROUNDUP(N26*M26, -2)</f>
        <v/>
      </c>
      <c r="P26" s="7" t="inlineStr">
        <is>
          <t>Cửa nan bầu dục 1 lớp kèm van OBD</t>
        </is>
      </c>
    </row>
    <row r="27">
      <c r="A27" s="6" t="n">
        <v>28</v>
      </c>
      <c r="B27" s="7" t="inlineStr">
        <is>
          <t>Miệng gió cấp 600x400 kèm OBD</t>
        </is>
      </c>
      <c r="C27" s="6" t="inlineStr">
        <is>
          <t>SDG+O</t>
        </is>
      </c>
      <c r="D27" s="6" t="inlineStr">
        <is>
          <t>SWIND</t>
        </is>
      </c>
      <c r="E27" s="6" t="n">
        <v>600</v>
      </c>
      <c r="F27" s="6" t="n">
        <v>400</v>
      </c>
      <c r="G27" s="6" t="n">
        <v>550</v>
      </c>
      <c r="H27" s="6" t="n">
        <v>350</v>
      </c>
      <c r="I27" s="6" t="n"/>
      <c r="J27" s="6" t="n"/>
      <c r="K27" s="6" t="n"/>
      <c r="L27" s="6" t="inlineStr">
        <is>
          <t>Cái</t>
        </is>
      </c>
      <c r="M27" s="9" t="n">
        <v>2</v>
      </c>
      <c r="N27" s="9">
        <f>ROUND('00_TONG_HOP_BAO_GIA'!Q11, 0)</f>
        <v/>
      </c>
      <c r="O27" s="9">
        <f>ROUNDUP(N27*M27, -2)</f>
        <v/>
      </c>
      <c r="P27" s="7" t="inlineStr">
        <is>
          <t>Cửa nan bầu dục 1 lớp kèm van OBD</t>
        </is>
      </c>
    </row>
    <row r="28">
      <c r="A28" s="6" t="n">
        <v>29</v>
      </c>
      <c r="B28" s="7" t="inlineStr">
        <is>
          <t>Tole gia công ống gío dày 0.58mm kèm cách nhiệt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inlineStr">
        <is>
          <t>m2</t>
        </is>
      </c>
      <c r="M28" s="9" t="n">
        <v>0</v>
      </c>
      <c r="N28" s="8" t="n"/>
      <c r="O28" s="8" t="n"/>
      <c r="P28" s="7" t="n"/>
    </row>
    <row r="29">
      <c r="A29" s="6" t="n">
        <v>30</v>
      </c>
      <c r="B29" s="7" t="inlineStr">
        <is>
          <t>Tole gia công ống gío dày 0.8mm kèm cách nhiệt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inlineStr">
        <is>
          <t>m2</t>
        </is>
      </c>
      <c r="M29" s="9" t="n">
        <v>15.6275</v>
      </c>
      <c r="N29" s="8" t="n"/>
      <c r="O29" s="8" t="n"/>
      <c r="P29" s="7" t="n"/>
    </row>
    <row r="30">
      <c r="A30" s="6" t="n">
        <v>31</v>
      </c>
      <c r="B30" s="7" t="inlineStr">
        <is>
          <t>Tole gia công ống gío dày 1.0mm kèm cách nhiệt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inlineStr">
        <is>
          <t>m2</t>
        </is>
      </c>
      <c r="M30" s="9" t="n">
        <v>131.384</v>
      </c>
      <c r="N30" s="8" t="n"/>
      <c r="O30" s="8" t="n"/>
      <c r="P30" s="7" t="n"/>
    </row>
    <row r="31">
      <c r="A31" s="6" t="n">
        <v>5</v>
      </c>
      <c r="B31" s="7" t="inlineStr">
        <is>
          <t>Louver gió thải kèm LCCT 200x100</t>
        </is>
      </c>
      <c r="C31" s="6" t="inlineStr">
        <is>
          <t>WL+N</t>
        </is>
      </c>
      <c r="D31" s="6" t="inlineStr">
        <is>
          <t>SWIND</t>
        </is>
      </c>
      <c r="E31" s="6" t="n">
        <v>200</v>
      </c>
      <c r="F31" s="6" t="n">
        <v>100</v>
      </c>
      <c r="G31" s="6" t="n">
        <v>150</v>
      </c>
      <c r="H31" s="6" t="n">
        <v>50</v>
      </c>
      <c r="I31" s="6" t="n"/>
      <c r="J31" s="6" t="n"/>
      <c r="K31" s="6" t="n"/>
      <c r="L31" s="6" t="inlineStr">
        <is>
          <t>Cái</t>
        </is>
      </c>
      <c r="M31" s="9" t="n">
        <v>1</v>
      </c>
      <c r="N31" s="9">
        <f>ROUND('00_TONG_HOP_BAO_GIA'!Q12, 0)</f>
        <v/>
      </c>
      <c r="O31" s="9">
        <f>ROUNDUP(N31*M31, -2)</f>
        <v/>
      </c>
      <c r="P31" s="7" t="inlineStr">
        <is>
          <t>Louver nan Z ngoài trời kèm lưới chắn côn trùng Inox 304</t>
        </is>
      </c>
    </row>
    <row r="32">
      <c r="A32" s="6" t="n">
        <v>13</v>
      </c>
      <c r="B32" s="7" t="inlineStr">
        <is>
          <t>Louver gió thải kèm LCCT 700x100</t>
        </is>
      </c>
      <c r="C32" s="6" t="inlineStr">
        <is>
          <t>WL+N</t>
        </is>
      </c>
      <c r="D32" s="6" t="inlineStr">
        <is>
          <t>SWIND</t>
        </is>
      </c>
      <c r="E32" s="6" t="n">
        <v>700</v>
      </c>
      <c r="F32" s="6" t="n">
        <v>100</v>
      </c>
      <c r="G32" s="6" t="n">
        <v>650</v>
      </c>
      <c r="H32" s="6" t="n">
        <v>50</v>
      </c>
      <c r="I32" s="6" t="n"/>
      <c r="J32" s="6" t="n"/>
      <c r="K32" s="6" t="n"/>
      <c r="L32" s="6" t="inlineStr">
        <is>
          <t>Cái</t>
        </is>
      </c>
      <c r="M32" s="8" t="n"/>
      <c r="N32" s="9">
        <f>ROUND('00_TONG_HOP_BAO_GIA'!Q13, 0)</f>
        <v/>
      </c>
      <c r="O32" s="9">
        <f>ROUNDUP(N32*M32, -2)</f>
        <v/>
      </c>
      <c r="P32" s="7" t="inlineStr">
        <is>
          <t>Louver nan Z ngoài trời kèm lưới chắn côn trùng Inox 304</t>
        </is>
      </c>
    </row>
    <row r="33">
      <c r="A33" s="6" t="n">
        <v>15</v>
      </c>
      <c r="B33" s="7" t="inlineStr">
        <is>
          <t>Miệng gió thải WC 200x200 kèm OBD</t>
        </is>
      </c>
      <c r="C33" s="6" t="inlineStr">
        <is>
          <t>SDG+O</t>
        </is>
      </c>
      <c r="D33" s="6" t="inlineStr">
        <is>
          <t>SWIND</t>
        </is>
      </c>
      <c r="E33" s="6" t="n">
        <v>200</v>
      </c>
      <c r="F33" s="6" t="n">
        <v>200</v>
      </c>
      <c r="G33" s="6" t="n">
        <v>150</v>
      </c>
      <c r="H33" s="6" t="n">
        <v>150</v>
      </c>
      <c r="I33" s="6" t="n"/>
      <c r="J33" s="6" t="n"/>
      <c r="K33" s="6" t="n"/>
      <c r="L33" s="6" t="inlineStr">
        <is>
          <t>Cái</t>
        </is>
      </c>
      <c r="M33" s="9" t="n">
        <v>4</v>
      </c>
      <c r="N33" s="9">
        <f>ROUND('00_TONG_HOP_BAO_GIA'!Q14, 0)</f>
        <v/>
      </c>
      <c r="O33" s="9">
        <f>ROUNDUP(N33*M33, -2)</f>
        <v/>
      </c>
      <c r="P33" s="7" t="inlineStr">
        <is>
          <t>Cửa nan bầu dục 1 lớp kèm van OBD</t>
        </is>
      </c>
    </row>
    <row r="34">
      <c r="A34" s="6" t="n">
        <v>16</v>
      </c>
      <c r="B34" s="7" t="inlineStr">
        <is>
          <t>Tole gia công ống thải dày 0.58mm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inlineStr">
        <is>
          <t>m2</t>
        </is>
      </c>
      <c r="M34" s="9" t="n">
        <v>14</v>
      </c>
      <c r="N34" s="8" t="n"/>
      <c r="O34" s="8" t="n"/>
      <c r="P34" s="7" t="n"/>
    </row>
    <row r="35">
      <c r="A35" s="6" t="n">
        <v>17</v>
      </c>
      <c r="B35" s="7" t="inlineStr">
        <is>
          <t>Tole gia công ống thải dày 0.8mm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inlineStr">
        <is>
          <t>m2</t>
        </is>
      </c>
      <c r="M35" s="9" t="n">
        <v>0</v>
      </c>
      <c r="N35" s="8" t="n"/>
      <c r="O35" s="8" t="n"/>
      <c r="P35" s="7" t="n"/>
    </row>
    <row r="36">
      <c r="A36" s="6" t="n">
        <v>18</v>
      </c>
      <c r="B36" s="7" t="inlineStr">
        <is>
          <t>Tole gia công ống thải dày 1.0mm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inlineStr">
        <is>
          <t>m2</t>
        </is>
      </c>
      <c r="M36" s="9" t="n">
        <v>0</v>
      </c>
      <c r="N36" s="8" t="n"/>
      <c r="O36" s="8" t="n"/>
      <c r="P36" s="7" t="n"/>
    </row>
    <row r="37">
      <c r="A37" s="6" t="n">
        <v>19</v>
      </c>
      <c r="B37" s="7" t="inlineStr">
        <is>
          <t>Van chặn lửa FD100x100</t>
        </is>
      </c>
      <c r="C37" s="6" t="inlineStr">
        <is>
          <t>FD</t>
        </is>
      </c>
      <c r="D37" s="6" t="inlineStr">
        <is>
          <t>SWIND</t>
        </is>
      </c>
      <c r="E37" s="6" t="n">
        <v>100</v>
      </c>
      <c r="F37" s="6" t="n">
        <v>100</v>
      </c>
      <c r="G37" s="6" t="n"/>
      <c r="H37" s="6" t="n"/>
      <c r="I37" s="6" t="n"/>
      <c r="J37" s="6" t="n">
        <v>200</v>
      </c>
      <c r="K37" s="10" t="n">
        <v>1.15</v>
      </c>
      <c r="L37" s="6" t="inlineStr">
        <is>
          <t>Cái</t>
        </is>
      </c>
      <c r="M37" s="9" t="n">
        <v>2</v>
      </c>
      <c r="N37" s="9">
        <f>ROUND('00_TONG_HOP_BAO_GIA'!Q15, 0)</f>
        <v/>
      </c>
      <c r="O37" s="9">
        <f>ROUNDUP(N37*M37, -2)</f>
        <v/>
      </c>
      <c r="P37" s="7" t="inlineStr">
        <is>
          <t>Van chặn lửa cầu chì tôn mạ kẽm</t>
        </is>
      </c>
    </row>
    <row r="38">
      <c r="A38" s="6" t="n">
        <v>21</v>
      </c>
      <c r="B38" s="7" t="inlineStr">
        <is>
          <t>Louver gió tươi kèm LCCT 400x150</t>
        </is>
      </c>
      <c r="C38" s="6" t="inlineStr">
        <is>
          <t>WL+N</t>
        </is>
      </c>
      <c r="D38" s="6" t="inlineStr">
        <is>
          <t>SWIND</t>
        </is>
      </c>
      <c r="E38" s="6" t="n">
        <v>400</v>
      </c>
      <c r="F38" s="6" t="n">
        <v>150</v>
      </c>
      <c r="G38" s="6" t="n">
        <v>350</v>
      </c>
      <c r="H38" s="6" t="n">
        <v>100</v>
      </c>
      <c r="I38" s="6" t="n"/>
      <c r="J38" s="6" t="n"/>
      <c r="K38" s="6" t="n"/>
      <c r="L38" s="6" t="inlineStr">
        <is>
          <t>Cái</t>
        </is>
      </c>
      <c r="M38" s="9" t="n">
        <v>1</v>
      </c>
      <c r="N38" s="9">
        <f>ROUND('00_TONG_HOP_BAO_GIA'!Q16, 0)</f>
        <v/>
      </c>
      <c r="O38" s="9">
        <f>ROUNDUP(N38*M38, -2)</f>
        <v/>
      </c>
      <c r="P38" s="7" t="inlineStr">
        <is>
          <t>Louver nan Z ngoài trời kèm lưới chắn côn trùng Inox 304</t>
        </is>
      </c>
    </row>
    <row r="39">
      <c r="A39" s="6" t="n">
        <v>22</v>
      </c>
      <c r="B39" s="7" t="inlineStr">
        <is>
          <t>VCD 150</t>
        </is>
      </c>
      <c r="C39" s="6" t="inlineStr">
        <is>
          <t>VCD</t>
        </is>
      </c>
      <c r="D39" s="6" t="inlineStr">
        <is>
          <t>SWIND</t>
        </is>
      </c>
      <c r="E39" s="6" t="inlineStr">
        <is>
          <t>Ø</t>
        </is>
      </c>
      <c r="F39" s="6" t="n">
        <v>150</v>
      </c>
      <c r="G39" s="6" t="n"/>
      <c r="H39" s="6" t="n"/>
      <c r="I39" s="6" t="n"/>
      <c r="J39" s="6" t="n">
        <v>200</v>
      </c>
      <c r="K39" s="10" t="n">
        <v>0.75</v>
      </c>
      <c r="L39" s="6" t="inlineStr">
        <is>
          <t>Cái</t>
        </is>
      </c>
      <c r="M39" s="9" t="n">
        <v>5</v>
      </c>
      <c r="N39" s="9">
        <f>ROUND('00_TONG_HOP_BAO_GIA'!Q17, 0)</f>
        <v/>
      </c>
      <c r="O39" s="9">
        <f>ROUNDUP(N39*M39, -2)</f>
        <v/>
      </c>
      <c r="P39" s="7" t="inlineStr">
        <is>
          <t>Van điều chỉnh lưu lượng tay gạt tôn mạ kẽm</t>
        </is>
      </c>
    </row>
    <row r="40">
      <c r="A40" s="6" t="n">
        <v>23</v>
      </c>
      <c r="B40" s="7" t="inlineStr">
        <is>
          <t>Tole gia công ống tươi dày 0.58mm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inlineStr">
        <is>
          <t>m2</t>
        </is>
      </c>
      <c r="M40" s="9" t="n">
        <v>32.8</v>
      </c>
      <c r="N40" s="8" t="n"/>
      <c r="O40" s="8" t="n"/>
      <c r="P40" s="7" t="n"/>
    </row>
    <row r="41">
      <c r="A41" s="6" t="n">
        <v>24</v>
      </c>
      <c r="B41" s="7" t="inlineStr">
        <is>
          <t>Tole gia công ống tươi dày 0.8mm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inlineStr">
        <is>
          <t>m2</t>
        </is>
      </c>
      <c r="M41" s="9" t="n">
        <v>0</v>
      </c>
      <c r="N41" s="8" t="n"/>
      <c r="O41" s="8" t="n"/>
      <c r="P41" s="7" t="n"/>
    </row>
    <row r="42">
      <c r="A42" s="6" t="n">
        <v>25</v>
      </c>
      <c r="B42" s="7" t="inlineStr">
        <is>
          <t>Tole gia công ống tươi dày 1.0mm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inlineStr">
        <is>
          <t>m2</t>
        </is>
      </c>
      <c r="M42" s="9" t="n">
        <v>0</v>
      </c>
      <c r="N42" s="8" t="n"/>
      <c r="O42" s="8" t="n"/>
      <c r="P42" s="7" t="n"/>
    </row>
    <row r="43">
      <c r="A43" s="6" t="n">
        <v>26</v>
      </c>
      <c r="B43" s="7" t="inlineStr">
        <is>
          <t>Van chặn lửa FD150x100</t>
        </is>
      </c>
      <c r="C43" s="6" t="inlineStr">
        <is>
          <t>FD</t>
        </is>
      </c>
      <c r="D43" s="6" t="inlineStr">
        <is>
          <t>SWIND</t>
        </is>
      </c>
      <c r="E43" s="6" t="n">
        <v>150</v>
      </c>
      <c r="F43" s="6" t="n">
        <v>100</v>
      </c>
      <c r="G43" s="6" t="n"/>
      <c r="H43" s="6" t="n"/>
      <c r="I43" s="6" t="n"/>
      <c r="J43" s="6" t="n">
        <v>200</v>
      </c>
      <c r="K43" s="10" t="n">
        <v>1.15</v>
      </c>
      <c r="L43" s="6" t="inlineStr">
        <is>
          <t>Cái</t>
        </is>
      </c>
      <c r="M43" s="9" t="n">
        <v>5</v>
      </c>
      <c r="N43" s="9">
        <f>ROUND('00_TONG_HOP_BAO_GIA'!Q18, 0)</f>
        <v/>
      </c>
      <c r="O43" s="9">
        <f>ROUNDUP(N43*M43, -2)</f>
        <v/>
      </c>
      <c r="P43" s="7" t="inlineStr">
        <is>
          <t>Van chặn lửa cầu chì tôn mạ kẽm</t>
        </is>
      </c>
    </row>
    <row r="44">
      <c r="A44" s="6" t="n">
        <v>29</v>
      </c>
      <c r="B44" s="7" t="inlineStr">
        <is>
          <t>Louver gió thải kèm LCCT 400x150</t>
        </is>
      </c>
      <c r="C44" s="6" t="inlineStr">
        <is>
          <t>WL+N</t>
        </is>
      </c>
      <c r="D44" s="6" t="inlineStr">
        <is>
          <t>SWIND</t>
        </is>
      </c>
      <c r="E44" s="6" t="n">
        <v>400</v>
      </c>
      <c r="F44" s="6" t="n">
        <v>150</v>
      </c>
      <c r="G44" s="6" t="n">
        <v>350</v>
      </c>
      <c r="H44" s="6" t="n">
        <v>100</v>
      </c>
      <c r="I44" s="6" t="n"/>
      <c r="J44" s="6" t="n"/>
      <c r="K44" s="6" t="n"/>
      <c r="L44" s="6" t="inlineStr">
        <is>
          <t>Cái</t>
        </is>
      </c>
      <c r="M44" s="9" t="n">
        <v>1</v>
      </c>
      <c r="N44" s="9">
        <f>ROUND('00_TONG_HOP_BAO_GIA'!Q19, 0)</f>
        <v/>
      </c>
      <c r="O44" s="9">
        <f>ROUNDUP(N44*M44, -2)</f>
        <v/>
      </c>
      <c r="P44" s="7" t="inlineStr">
        <is>
          <t>Louver nan Z ngoài trời kèm lưới chắn côn trùng Inox 304</t>
        </is>
      </c>
    </row>
    <row r="45">
      <c r="A45" s="6" t="n">
        <v>30</v>
      </c>
      <c r="B45" s="7" t="inlineStr">
        <is>
          <t>Miệng gió hút mùi WC 200x200</t>
        </is>
      </c>
      <c r="C45" s="6" t="inlineStr">
        <is>
          <t>SDG</t>
        </is>
      </c>
      <c r="D45" s="6" t="inlineStr">
        <is>
          <t>SWIND</t>
        </is>
      </c>
      <c r="E45" s="6" t="n">
        <v>200</v>
      </c>
      <c r="F45" s="6" t="n">
        <v>200</v>
      </c>
      <c r="G45" s="6" t="n">
        <v>150</v>
      </c>
      <c r="H45" s="6" t="n">
        <v>150</v>
      </c>
      <c r="I45" s="6" t="n"/>
      <c r="J45" s="6" t="n"/>
      <c r="K45" s="6" t="n"/>
      <c r="L45" s="6" t="inlineStr">
        <is>
          <t>Cái</t>
        </is>
      </c>
      <c r="M45" s="9" t="n">
        <v>3</v>
      </c>
      <c r="N45" s="9">
        <f>ROUND('00_TONG_HOP_BAO_GIA'!Q20, 0)</f>
        <v/>
      </c>
      <c r="O45" s="9">
        <f>ROUNDUP(N45*M45, -2)</f>
        <v/>
      </c>
      <c r="P45" s="7" t="inlineStr">
        <is>
          <t>Cửa nan bầu dục 1 lớp</t>
        </is>
      </c>
    </row>
    <row r="46">
      <c r="A46" s="6" t="n">
        <v>31</v>
      </c>
      <c r="B46" s="7" t="inlineStr">
        <is>
          <t>Miệng gió hút mùi WC 250x250</t>
        </is>
      </c>
      <c r="C46" s="6" t="inlineStr">
        <is>
          <t>SDG</t>
        </is>
      </c>
      <c r="D46" s="6" t="inlineStr">
        <is>
          <t>SWIND</t>
        </is>
      </c>
      <c r="E46" s="6" t="n">
        <v>250</v>
      </c>
      <c r="F46" s="6" t="n">
        <v>250</v>
      </c>
      <c r="G46" s="6" t="n">
        <v>200</v>
      </c>
      <c r="H46" s="6" t="n">
        <v>200</v>
      </c>
      <c r="I46" s="6" t="n"/>
      <c r="J46" s="6" t="n"/>
      <c r="K46" s="6" t="n"/>
      <c r="L46" s="6" t="inlineStr">
        <is>
          <t>Cái</t>
        </is>
      </c>
      <c r="M46" s="9" t="n">
        <v>1</v>
      </c>
      <c r="N46" s="9">
        <f>ROUND('00_TONG_HOP_BAO_GIA'!Q21, 0)</f>
        <v/>
      </c>
      <c r="O46" s="9">
        <f>ROUNDUP(N46*M46, -2)</f>
        <v/>
      </c>
      <c r="P46" s="7" t="inlineStr">
        <is>
          <t>Cửa nan bầu dục 1 lớp</t>
        </is>
      </c>
    </row>
    <row r="47">
      <c r="A47" s="6" t="n">
        <v>34</v>
      </c>
      <c r="B47" s="7" t="inlineStr">
        <is>
          <t>Tole gia công ống thải dày 0.58mm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inlineStr">
        <is>
          <t>m2</t>
        </is>
      </c>
      <c r="M47" s="9" t="n">
        <v>16.72</v>
      </c>
      <c r="N47" s="8" t="n"/>
      <c r="O47" s="8" t="n"/>
      <c r="P47" s="7" t="n"/>
    </row>
    <row r="48">
      <c r="A48" s="6" t="n">
        <v>35</v>
      </c>
      <c r="B48" s="7" t="inlineStr">
        <is>
          <t>Tole gia công ống thải dày 0.8mm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inlineStr">
        <is>
          <t>m2</t>
        </is>
      </c>
      <c r="M48" s="9" t="n">
        <v>0</v>
      </c>
      <c r="N48" s="8" t="n"/>
      <c r="O48" s="8" t="n"/>
      <c r="P48" s="7" t="n"/>
    </row>
    <row r="49">
      <c r="A49" s="6" t="n">
        <v>36</v>
      </c>
      <c r="B49" s="7" t="inlineStr">
        <is>
          <t>Tole gia công ống thải dày 1.0mm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inlineStr">
        <is>
          <t>m2</t>
        </is>
      </c>
      <c r="M49" s="9" t="n">
        <v>0</v>
      </c>
      <c r="N49" s="8" t="n"/>
      <c r="O49" s="8" t="n"/>
      <c r="P49" s="7" t="n"/>
    </row>
    <row r="50">
      <c r="A50" s="6" t="n">
        <v>15</v>
      </c>
      <c r="B50" s="7" t="inlineStr">
        <is>
          <t>Louver gió thải kèm LCCT 700x100</t>
        </is>
      </c>
      <c r="C50" s="6" t="inlineStr">
        <is>
          <t>WL+N</t>
        </is>
      </c>
      <c r="D50" s="6" t="inlineStr">
        <is>
          <t>SWIND</t>
        </is>
      </c>
      <c r="E50" s="6" t="n">
        <v>700</v>
      </c>
      <c r="F50" s="6" t="n">
        <v>100</v>
      </c>
      <c r="G50" s="6" t="n">
        <v>650</v>
      </c>
      <c r="H50" s="6" t="n">
        <v>50</v>
      </c>
      <c r="I50" s="6" t="n"/>
      <c r="J50" s="6" t="n"/>
      <c r="K50" s="6" t="n"/>
      <c r="L50" s="6" t="inlineStr">
        <is>
          <t>Cái</t>
        </is>
      </c>
      <c r="M50" s="9" t="n">
        <v>1</v>
      </c>
      <c r="N50" s="9">
        <f>ROUND('00_TONG_HOP_BAO_GIA'!Q22, 0)</f>
        <v/>
      </c>
      <c r="O50" s="9">
        <f>ROUNDUP(N50*M50, -2)</f>
        <v/>
      </c>
      <c r="P50" s="7" t="inlineStr">
        <is>
          <t>Louver nan Z ngoài trời kèm lưới chắn côn trùng Inox 304</t>
        </is>
      </c>
    </row>
    <row r="51">
      <c r="A51" s="6" t="n">
        <v>17</v>
      </c>
      <c r="B51" s="7" t="inlineStr">
        <is>
          <t>Miệng gió thải WC 200x200 kèm OBD</t>
        </is>
      </c>
      <c r="C51" s="6" t="inlineStr">
        <is>
          <t>SDG+O</t>
        </is>
      </c>
      <c r="D51" s="6" t="inlineStr">
        <is>
          <t>SWIND</t>
        </is>
      </c>
      <c r="E51" s="6" t="n">
        <v>200</v>
      </c>
      <c r="F51" s="6" t="n">
        <v>200</v>
      </c>
      <c r="G51" s="6" t="n">
        <v>150</v>
      </c>
      <c r="H51" s="6" t="n">
        <v>150</v>
      </c>
      <c r="I51" s="6" t="n"/>
      <c r="J51" s="6" t="n"/>
      <c r="K51" s="6" t="n"/>
      <c r="L51" s="6" t="inlineStr">
        <is>
          <t>Cái</t>
        </is>
      </c>
      <c r="M51" s="9" t="n">
        <v>4</v>
      </c>
      <c r="N51" s="9">
        <f>ROUND('00_TONG_HOP_BAO_GIA'!Q23, 0)</f>
        <v/>
      </c>
      <c r="O51" s="9">
        <f>ROUNDUP(N51*M51, -2)</f>
        <v/>
      </c>
      <c r="P51" s="7" t="inlineStr">
        <is>
          <t>Cửa nan bầu dục 1 lớp kèm van OBD</t>
        </is>
      </c>
    </row>
    <row r="52">
      <c r="A52" s="6" t="n">
        <v>18</v>
      </c>
      <c r="B52" s="7" t="inlineStr">
        <is>
          <t>Tole gia công ống thải dày 0.58mm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inlineStr">
        <is>
          <t>m2</t>
        </is>
      </c>
      <c r="M52" s="9" t="n">
        <v>15.52</v>
      </c>
      <c r="N52" s="8" t="n"/>
      <c r="O52" s="8" t="n"/>
      <c r="P52" s="7" t="n"/>
    </row>
    <row r="53">
      <c r="A53" s="6" t="n">
        <v>19</v>
      </c>
      <c r="B53" s="7" t="inlineStr">
        <is>
          <t>Tole gia công ống thải dày 0.8mm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inlineStr">
        <is>
          <t>m2</t>
        </is>
      </c>
      <c r="M53" s="9" t="n">
        <v>0</v>
      </c>
      <c r="N53" s="8" t="n"/>
      <c r="O53" s="8" t="n"/>
      <c r="P53" s="7" t="n"/>
    </row>
    <row r="54">
      <c r="A54" s="6" t="n">
        <v>20</v>
      </c>
      <c r="B54" s="7" t="inlineStr">
        <is>
          <t>Tole gia công ống thải dày 1.0mm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inlineStr">
        <is>
          <t>m2</t>
        </is>
      </c>
      <c r="M54" s="9" t="n">
        <v>0</v>
      </c>
      <c r="N54" s="8" t="n"/>
      <c r="O54" s="8" t="n"/>
      <c r="P54" s="7" t="n"/>
    </row>
    <row r="55">
      <c r="A55" s="6" t="n">
        <v>21</v>
      </c>
      <c r="B55" s="7" t="inlineStr">
        <is>
          <t>Van chặn lửa FD 100x100</t>
        </is>
      </c>
      <c r="C55" s="6" t="inlineStr">
        <is>
          <t>FD</t>
        </is>
      </c>
      <c r="D55" s="6" t="inlineStr">
        <is>
          <t>SWIND</t>
        </is>
      </c>
      <c r="E55" s="6" t="n">
        <v>100</v>
      </c>
      <c r="F55" s="6" t="n">
        <v>100</v>
      </c>
      <c r="G55" s="6" t="n"/>
      <c r="H55" s="6" t="n"/>
      <c r="I55" s="6" t="n"/>
      <c r="J55" s="6" t="n">
        <v>200</v>
      </c>
      <c r="K55" s="10" t="n">
        <v>1.15</v>
      </c>
      <c r="L55" s="6" t="inlineStr">
        <is>
          <t>Cái</t>
        </is>
      </c>
      <c r="M55" s="9" t="n">
        <v>2</v>
      </c>
      <c r="N55" s="9">
        <f>ROUND('00_TONG_HOP_BAO_GIA'!Q24, 0)</f>
        <v/>
      </c>
      <c r="O55" s="9">
        <f>ROUNDUP(N55*M55, -2)</f>
        <v/>
      </c>
      <c r="P55" s="7" t="inlineStr">
        <is>
          <t>Van chặn lửa cầu chì tôn mạ kẽm</t>
        </is>
      </c>
    </row>
    <row r="56">
      <c r="A56" s="6" t="n">
        <v>22</v>
      </c>
      <c r="B56" s="7" t="inlineStr">
        <is>
          <t>Van chặn lửa FD 200x200</t>
        </is>
      </c>
      <c r="C56" s="6" t="inlineStr">
        <is>
          <t>FD</t>
        </is>
      </c>
      <c r="D56" s="6" t="inlineStr">
        <is>
          <t>SWIND</t>
        </is>
      </c>
      <c r="E56" s="6" t="n">
        <v>200</v>
      </c>
      <c r="F56" s="6" t="n">
        <v>200</v>
      </c>
      <c r="G56" s="6" t="n"/>
      <c r="H56" s="6" t="n"/>
      <c r="I56" s="6" t="n"/>
      <c r="J56" s="6" t="n">
        <v>200</v>
      </c>
      <c r="K56" s="10" t="n">
        <v>1.15</v>
      </c>
      <c r="L56" s="6" t="inlineStr">
        <is>
          <t>Cái</t>
        </is>
      </c>
      <c r="M56" s="9" t="n">
        <v>1</v>
      </c>
      <c r="N56" s="9">
        <f>ROUND('00_TONG_HOP_BAO_GIA'!Q25, 0)</f>
        <v/>
      </c>
      <c r="O56" s="9">
        <f>ROUNDUP(N56*M56, -2)</f>
        <v/>
      </c>
      <c r="P56" s="7" t="inlineStr">
        <is>
          <t>Van chặn lửa cầu chì tôn mạ kẽm</t>
        </is>
      </c>
    </row>
    <row r="57">
      <c r="A57" s="6" t="n">
        <v>25</v>
      </c>
      <c r="B57" s="7" t="inlineStr">
        <is>
          <t>Louver gió tươi kèm LCCT 800x250</t>
        </is>
      </c>
      <c r="C57" s="6" t="inlineStr">
        <is>
          <t>WL+N</t>
        </is>
      </c>
      <c r="D57" s="6" t="inlineStr">
        <is>
          <t>SWIND</t>
        </is>
      </c>
      <c r="E57" s="6" t="n">
        <v>800</v>
      </c>
      <c r="F57" s="6" t="n">
        <v>250</v>
      </c>
      <c r="G57" s="6" t="n">
        <v>750</v>
      </c>
      <c r="H57" s="6" t="n">
        <v>200</v>
      </c>
      <c r="I57" s="6" t="n"/>
      <c r="J57" s="6" t="n"/>
      <c r="K57" s="6" t="n"/>
      <c r="L57" s="6" t="inlineStr">
        <is>
          <t>Cái</t>
        </is>
      </c>
      <c r="M57" s="9" t="n">
        <v>1</v>
      </c>
      <c r="N57" s="9">
        <f>ROUND('00_TONG_HOP_BAO_GIA'!Q26, 0)</f>
        <v/>
      </c>
      <c r="O57" s="9">
        <f>ROUNDUP(N57*M57, -2)</f>
        <v/>
      </c>
      <c r="P57" s="7" t="inlineStr">
        <is>
          <t>Louver nan Z ngoài trời kèm lưới chắn côn trùng Inox 304</t>
        </is>
      </c>
    </row>
    <row r="58">
      <c r="A58" s="6" t="n">
        <v>26</v>
      </c>
      <c r="B58" s="7" t="inlineStr">
        <is>
          <t>VCD 150</t>
        </is>
      </c>
      <c r="C58" s="6" t="inlineStr">
        <is>
          <t>VCD</t>
        </is>
      </c>
      <c r="D58" s="6" t="inlineStr">
        <is>
          <t>SWIND</t>
        </is>
      </c>
      <c r="E58" s="6" t="inlineStr">
        <is>
          <t>Ø</t>
        </is>
      </c>
      <c r="F58" s="6" t="n">
        <v>150</v>
      </c>
      <c r="G58" s="6" t="n"/>
      <c r="H58" s="6" t="n"/>
      <c r="I58" s="6" t="n"/>
      <c r="J58" s="6" t="n">
        <v>200</v>
      </c>
      <c r="K58" s="10" t="n">
        <v>0.75</v>
      </c>
      <c r="L58" s="6" t="inlineStr">
        <is>
          <t>Cái</t>
        </is>
      </c>
      <c r="M58" s="9" t="n">
        <v>7</v>
      </c>
      <c r="N58" s="9">
        <f>ROUND('00_TONG_HOP_BAO_GIA'!Q27, 0)</f>
        <v/>
      </c>
      <c r="O58" s="9">
        <f>ROUNDUP(N58*M58, -2)</f>
        <v/>
      </c>
      <c r="P58" s="7" t="inlineStr">
        <is>
          <t>Van điều chỉnh lưu lượng tay gạt tôn mạ kẽm</t>
        </is>
      </c>
    </row>
    <row r="59">
      <c r="A59" s="6" t="n">
        <v>27</v>
      </c>
      <c r="B59" s="7" t="inlineStr">
        <is>
          <t>Tole gia công ống tươi dày 0.58mm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inlineStr">
        <is>
          <t>m2</t>
        </is>
      </c>
      <c r="M59" s="9" t="n">
        <v>28.388</v>
      </c>
      <c r="N59" s="8" t="n"/>
      <c r="O59" s="8" t="n"/>
      <c r="P59" s="7" t="n"/>
    </row>
    <row r="60">
      <c r="A60" s="6" t="n">
        <v>28</v>
      </c>
      <c r="B60" s="7" t="inlineStr">
        <is>
          <t>Tole gia công ống tươi dày 0.8mm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inlineStr">
        <is>
          <t>m2</t>
        </is>
      </c>
      <c r="M60" s="9" t="n">
        <v>34.32</v>
      </c>
      <c r="N60" s="8" t="n"/>
      <c r="O60" s="8" t="n"/>
      <c r="P60" s="7" t="n"/>
    </row>
    <row r="61">
      <c r="A61" s="6" t="n">
        <v>29</v>
      </c>
      <c r="B61" s="7" t="inlineStr">
        <is>
          <t>Tole gia công ống tươi dày 1.0mm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inlineStr">
        <is>
          <t>m2</t>
        </is>
      </c>
      <c r="M61" s="9" t="n">
        <v>0</v>
      </c>
      <c r="N61" s="8" t="n"/>
      <c r="O61" s="8" t="n"/>
      <c r="P61" s="7" t="n"/>
    </row>
    <row r="62">
      <c r="A62" s="6" t="n">
        <v>30</v>
      </c>
      <c r="B62" s="7" t="inlineStr">
        <is>
          <t>Van chặn lửa FD550x200</t>
        </is>
      </c>
      <c r="C62" s="6" t="inlineStr">
        <is>
          <t>FD</t>
        </is>
      </c>
      <c r="D62" s="6" t="inlineStr">
        <is>
          <t>SWIND</t>
        </is>
      </c>
      <c r="E62" s="6" t="n">
        <v>550</v>
      </c>
      <c r="F62" s="6" t="n">
        <v>200</v>
      </c>
      <c r="G62" s="6" t="n"/>
      <c r="H62" s="6" t="n"/>
      <c r="I62" s="6" t="n"/>
      <c r="J62" s="6" t="n">
        <v>200</v>
      </c>
      <c r="K62" s="10" t="n">
        <v>1.15</v>
      </c>
      <c r="L62" s="6" t="inlineStr">
        <is>
          <t>Cái</t>
        </is>
      </c>
      <c r="M62" s="9" t="n">
        <v>1</v>
      </c>
      <c r="N62" s="9">
        <f>ROUND('00_TONG_HOP_BAO_GIA'!Q28, 0)</f>
        <v/>
      </c>
      <c r="O62" s="9">
        <f>ROUNDUP(N62*M62, -2)</f>
        <v/>
      </c>
      <c r="P62" s="7" t="inlineStr">
        <is>
          <t>Van chặn lửa cầu chì tôn mạ kẽm</t>
        </is>
      </c>
    </row>
    <row r="63">
      <c r="A63" s="6" t="n">
        <v>31</v>
      </c>
      <c r="B63" s="7" t="inlineStr">
        <is>
          <t>Van chặn lửa FD250x100</t>
        </is>
      </c>
      <c r="C63" s="6" t="inlineStr">
        <is>
          <t>FD</t>
        </is>
      </c>
      <c r="D63" s="6" t="inlineStr">
        <is>
          <t>SWIND</t>
        </is>
      </c>
      <c r="E63" s="6" t="n">
        <v>250</v>
      </c>
      <c r="F63" s="6" t="n">
        <v>100</v>
      </c>
      <c r="G63" s="6" t="n"/>
      <c r="H63" s="6" t="n"/>
      <c r="I63" s="6" t="n"/>
      <c r="J63" s="6" t="n">
        <v>200</v>
      </c>
      <c r="K63" s="10" t="n">
        <v>1.15</v>
      </c>
      <c r="L63" s="6" t="inlineStr">
        <is>
          <t>Cái</t>
        </is>
      </c>
      <c r="M63" s="9" t="n">
        <v>3</v>
      </c>
      <c r="N63" s="9">
        <f>ROUND('00_TONG_HOP_BAO_GIA'!Q29, 0)</f>
        <v/>
      </c>
      <c r="O63" s="9">
        <f>ROUNDUP(N63*M63, -2)</f>
        <v/>
      </c>
      <c r="P63" s="7" t="inlineStr">
        <is>
          <t>Van chặn lửa cầu chì tôn mạ kẽm</t>
        </is>
      </c>
    </row>
    <row r="64">
      <c r="A64" s="6" t="n">
        <v>32</v>
      </c>
      <c r="B64" s="7" t="inlineStr">
        <is>
          <t>Van chặn lửa FD150x100</t>
        </is>
      </c>
      <c r="C64" s="6" t="inlineStr">
        <is>
          <t>FD</t>
        </is>
      </c>
      <c r="D64" s="6" t="inlineStr">
        <is>
          <t>SWIND</t>
        </is>
      </c>
      <c r="E64" s="6" t="n">
        <v>150</v>
      </c>
      <c r="F64" s="6" t="n">
        <v>100</v>
      </c>
      <c r="G64" s="6" t="n"/>
      <c r="H64" s="6" t="n"/>
      <c r="I64" s="6" t="n"/>
      <c r="J64" s="6" t="n">
        <v>200</v>
      </c>
      <c r="K64" s="10" t="n">
        <v>1.15</v>
      </c>
      <c r="L64" s="6" t="inlineStr">
        <is>
          <t>Cái</t>
        </is>
      </c>
      <c r="M64" s="9" t="n">
        <v>2</v>
      </c>
      <c r="N64" s="9">
        <f>ROUND('00_TONG_HOP_BAO_GIA'!Q30, 0)</f>
        <v/>
      </c>
      <c r="O64" s="9">
        <f>ROUNDUP(N64*M64, -2)</f>
        <v/>
      </c>
      <c r="P64" s="7" t="inlineStr">
        <is>
          <t>Van chặn lửa cầu chì tôn mạ kẽm</t>
        </is>
      </c>
    </row>
    <row r="65">
      <c r="A65" s="6" t="n">
        <v>10</v>
      </c>
      <c r="B65" s="7" t="inlineStr">
        <is>
          <t>Louver gió thải kèm LCCT 250x150</t>
        </is>
      </c>
      <c r="C65" s="6" t="inlineStr">
        <is>
          <t>WL+N</t>
        </is>
      </c>
      <c r="D65" s="6" t="inlineStr">
        <is>
          <t>SWIND</t>
        </is>
      </c>
      <c r="E65" s="6" t="n">
        <v>250</v>
      </c>
      <c r="F65" s="6" t="n">
        <v>150</v>
      </c>
      <c r="G65" s="6" t="n">
        <v>200</v>
      </c>
      <c r="H65" s="6" t="n">
        <v>100</v>
      </c>
      <c r="I65" s="6" t="n"/>
      <c r="J65" s="6" t="n"/>
      <c r="K65" s="6" t="n"/>
      <c r="L65" s="6" t="inlineStr">
        <is>
          <t>Cái</t>
        </is>
      </c>
      <c r="M65" s="9" t="n">
        <v>1</v>
      </c>
      <c r="N65" s="9">
        <f>ROUND('00_TONG_HOP_BAO_GIA'!Q31, 0)</f>
        <v/>
      </c>
      <c r="O65" s="9">
        <f>ROUNDUP(N65*M65, -2)</f>
        <v/>
      </c>
      <c r="P65" s="7" t="inlineStr">
        <is>
          <t>Louver nan Z ngoài trời kèm lưới chắn côn trùng Inox 304</t>
        </is>
      </c>
    </row>
    <row r="66">
      <c r="A66" s="6" t="n">
        <v>11</v>
      </c>
      <c r="B66" s="7" t="inlineStr">
        <is>
          <t>Miệng gió thải WC 200x200 kèm OBD</t>
        </is>
      </c>
      <c r="C66" s="6" t="inlineStr">
        <is>
          <t>SDG+O</t>
        </is>
      </c>
      <c r="D66" s="6" t="inlineStr">
        <is>
          <t>SWIND</t>
        </is>
      </c>
      <c r="E66" s="6" t="n">
        <v>200</v>
      </c>
      <c r="F66" s="6" t="n">
        <v>200</v>
      </c>
      <c r="G66" s="6" t="n">
        <v>150</v>
      </c>
      <c r="H66" s="6" t="n">
        <v>150</v>
      </c>
      <c r="I66" s="6" t="n"/>
      <c r="J66" s="6" t="n"/>
      <c r="K66" s="6" t="n"/>
      <c r="L66" s="6" t="inlineStr">
        <is>
          <t>Cái</t>
        </is>
      </c>
      <c r="M66" s="9" t="n">
        <v>3</v>
      </c>
      <c r="N66" s="9">
        <f>ROUND('00_TONG_HOP_BAO_GIA'!Q32, 0)</f>
        <v/>
      </c>
      <c r="O66" s="9">
        <f>ROUNDUP(N66*M66, -2)</f>
        <v/>
      </c>
      <c r="P66" s="7" t="inlineStr">
        <is>
          <t>Cửa nan bầu dục 1 lớp kèm van OBD</t>
        </is>
      </c>
    </row>
    <row r="67">
      <c r="A67" s="6" t="n">
        <v>12</v>
      </c>
      <c r="B67" s="7" t="inlineStr">
        <is>
          <t>Tole gia công ống thải dày 0.58mm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inlineStr">
        <is>
          <t>m2</t>
        </is>
      </c>
      <c r="M67" s="9" t="n">
        <v>5.8</v>
      </c>
      <c r="N67" s="8" t="n"/>
      <c r="O67" s="8" t="n"/>
      <c r="P67" s="7" t="n"/>
    </row>
    <row r="68">
      <c r="A68" s="6" t="n">
        <v>13</v>
      </c>
      <c r="B68" s="7" t="inlineStr">
        <is>
          <t>Tole gia công ống thải dày 0.8mm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inlineStr">
        <is>
          <t>m2</t>
        </is>
      </c>
      <c r="M68" s="9" t="n">
        <v>0</v>
      </c>
      <c r="N68" s="8" t="n"/>
      <c r="O68" s="8" t="n"/>
      <c r="P68" s="7" t="n"/>
    </row>
    <row r="69">
      <c r="A69" s="6" t="n">
        <v>14</v>
      </c>
      <c r="B69" s="7" t="inlineStr">
        <is>
          <t>Tole gia công ống thải dày 1.0mm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inlineStr">
        <is>
          <t>m2</t>
        </is>
      </c>
      <c r="M69" s="9" t="n">
        <v>0</v>
      </c>
      <c r="N69" s="8" t="n"/>
      <c r="O69" s="8" t="n"/>
      <c r="P69" s="7" t="n"/>
    </row>
    <row r="70">
      <c r="A70" s="6" t="n">
        <v>17</v>
      </c>
      <c r="B70" s="7" t="inlineStr">
        <is>
          <t>Louver gió tươi kèm LCCT 300x150</t>
        </is>
      </c>
      <c r="C70" s="6" t="inlineStr">
        <is>
          <t>WL+N</t>
        </is>
      </c>
      <c r="D70" s="6" t="inlineStr">
        <is>
          <t>SWIND</t>
        </is>
      </c>
      <c r="E70" s="6" t="n">
        <v>300</v>
      </c>
      <c r="F70" s="6" t="n">
        <v>150</v>
      </c>
      <c r="G70" s="6" t="n">
        <v>250</v>
      </c>
      <c r="H70" s="6" t="n">
        <v>100</v>
      </c>
      <c r="I70" s="6" t="n"/>
      <c r="J70" s="6" t="n"/>
      <c r="K70" s="6" t="n"/>
      <c r="L70" s="6" t="inlineStr">
        <is>
          <t>Cái</t>
        </is>
      </c>
      <c r="M70" s="9" t="n">
        <v>1</v>
      </c>
      <c r="N70" s="9">
        <f>ROUND('00_TONG_HOP_BAO_GIA'!Q33, 0)</f>
        <v/>
      </c>
      <c r="O70" s="9">
        <f>ROUNDUP(N70*M70, -2)</f>
        <v/>
      </c>
      <c r="P70" s="7" t="inlineStr">
        <is>
          <t>Louver nan Z ngoài trời kèm lưới chắn côn trùng Inox 304</t>
        </is>
      </c>
    </row>
    <row r="71">
      <c r="A71" s="6" t="n">
        <v>18</v>
      </c>
      <c r="B71" s="7" t="inlineStr">
        <is>
          <t>VCD 150</t>
        </is>
      </c>
      <c r="C71" s="6" t="inlineStr">
        <is>
          <t>VCD</t>
        </is>
      </c>
      <c r="D71" s="6" t="inlineStr">
        <is>
          <t>SWIND</t>
        </is>
      </c>
      <c r="E71" s="6" t="inlineStr">
        <is>
          <t>Ø</t>
        </is>
      </c>
      <c r="F71" s="6" t="n">
        <v>150</v>
      </c>
      <c r="G71" s="6" t="n"/>
      <c r="H71" s="6" t="n"/>
      <c r="I71" s="6" t="n"/>
      <c r="J71" s="6" t="n">
        <v>200</v>
      </c>
      <c r="K71" s="10" t="n">
        <v>0.75</v>
      </c>
      <c r="L71" s="6" t="inlineStr">
        <is>
          <t>Cái</t>
        </is>
      </c>
      <c r="M71" s="9" t="n">
        <v>4</v>
      </c>
      <c r="N71" s="9">
        <f>ROUND('00_TONG_HOP_BAO_GIA'!Q34, 0)</f>
        <v/>
      </c>
      <c r="O71" s="9">
        <f>ROUNDUP(N71*M71, -2)</f>
        <v/>
      </c>
      <c r="P71" s="7" t="inlineStr">
        <is>
          <t>Van điều chỉnh lưu lượng tay gạt tôn mạ kẽm</t>
        </is>
      </c>
    </row>
    <row r="72">
      <c r="A72" s="6" t="n">
        <v>19</v>
      </c>
      <c r="B72" s="7" t="inlineStr">
        <is>
          <t>Tole gia công ống tươi dày 0.58mm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inlineStr">
        <is>
          <t>m2</t>
        </is>
      </c>
      <c r="M72" s="9" t="n">
        <v>12.9832</v>
      </c>
      <c r="N72" s="8" t="n"/>
      <c r="O72" s="8" t="n"/>
      <c r="P72" s="7" t="n"/>
    </row>
    <row r="73">
      <c r="A73" s="6" t="n">
        <v>20</v>
      </c>
      <c r="B73" s="7" t="inlineStr">
        <is>
          <t>Tole gia công ống tươi dày 0.8mm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inlineStr">
        <is>
          <t>m2</t>
        </is>
      </c>
      <c r="M73" s="9" t="n">
        <v>0</v>
      </c>
      <c r="N73" s="8" t="n"/>
      <c r="O73" s="8" t="n"/>
      <c r="P73" s="7" t="n"/>
    </row>
    <row r="74">
      <c r="A74" s="6" t="n">
        <v>21</v>
      </c>
      <c r="B74" s="7" t="inlineStr">
        <is>
          <t>Tole gia công ống tươi dày 1.0mm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inlineStr">
        <is>
          <t>m2</t>
        </is>
      </c>
      <c r="M74" s="9" t="n">
        <v>0</v>
      </c>
      <c r="N74" s="8" t="n"/>
      <c r="O74" s="8" t="n"/>
      <c r="P74" s="7" t="n"/>
    </row>
    <row r="75">
      <c r="A75" s="6" t="n">
        <v>11</v>
      </c>
      <c r="B75" s="7" t="inlineStr">
        <is>
          <t>Louver gió tươi kèm LCCT 300x150</t>
        </is>
      </c>
      <c r="C75" s="6" t="inlineStr">
        <is>
          <t>WL+N</t>
        </is>
      </c>
      <c r="D75" s="6" t="inlineStr">
        <is>
          <t>SWIND</t>
        </is>
      </c>
      <c r="E75" s="6" t="n">
        <v>300</v>
      </c>
      <c r="F75" s="6" t="n">
        <v>150</v>
      </c>
      <c r="G75" s="6" t="n">
        <v>250</v>
      </c>
      <c r="H75" s="6" t="n">
        <v>100</v>
      </c>
      <c r="I75" s="6" t="n"/>
      <c r="J75" s="6" t="n"/>
      <c r="K75" s="6" t="n"/>
      <c r="L75" s="6" t="inlineStr">
        <is>
          <t>Cái</t>
        </is>
      </c>
      <c r="M75" s="9" t="n">
        <v>1</v>
      </c>
      <c r="N75" s="9">
        <f>ROUND('00_TONG_HOP_BAO_GIA'!Q35, 0)</f>
        <v/>
      </c>
      <c r="O75" s="9">
        <f>ROUNDUP(N75*M75, -2)</f>
        <v/>
      </c>
      <c r="P75" s="7" t="inlineStr">
        <is>
          <t>Louver nan Z ngoài trời kèm lưới chắn côn trùng Inox 304</t>
        </is>
      </c>
    </row>
    <row r="76">
      <c r="A76" s="6" t="n">
        <v>12</v>
      </c>
      <c r="B76" s="7" t="inlineStr">
        <is>
          <t>VCD 150</t>
        </is>
      </c>
      <c r="C76" s="6" t="inlineStr">
        <is>
          <t>VCD</t>
        </is>
      </c>
      <c r="D76" s="6" t="inlineStr">
        <is>
          <t>SWIND</t>
        </is>
      </c>
      <c r="E76" s="6" t="inlineStr">
        <is>
          <t>Ø</t>
        </is>
      </c>
      <c r="F76" s="6" t="n">
        <v>150</v>
      </c>
      <c r="G76" s="6" t="n"/>
      <c r="H76" s="6" t="n"/>
      <c r="I76" s="6" t="n"/>
      <c r="J76" s="6" t="n">
        <v>200</v>
      </c>
      <c r="K76" s="10" t="n">
        <v>0.75</v>
      </c>
      <c r="L76" s="6" t="inlineStr">
        <is>
          <t>Cái</t>
        </is>
      </c>
      <c r="M76" s="9" t="n">
        <v>5</v>
      </c>
      <c r="N76" s="9">
        <f>ROUND('00_TONG_HOP_BAO_GIA'!Q36, 0)</f>
        <v/>
      </c>
      <c r="O76" s="9">
        <f>ROUNDUP(N76*M76, -2)</f>
        <v/>
      </c>
      <c r="P76" s="7" t="inlineStr">
        <is>
          <t>Van điều chỉnh lưu lượng tay gạt tôn mạ kẽm</t>
        </is>
      </c>
    </row>
    <row r="77">
      <c r="A77" s="6" t="n">
        <v>13</v>
      </c>
      <c r="B77" s="7" t="inlineStr">
        <is>
          <t>Tole gia công ống tươi dày 0.58mm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inlineStr">
        <is>
          <t>m2</t>
        </is>
      </c>
      <c r="M77" s="9" t="n">
        <v>15</v>
      </c>
      <c r="N77" s="8" t="n"/>
      <c r="O77" s="8" t="n"/>
      <c r="P77" s="7" t="n"/>
    </row>
    <row r="78">
      <c r="A78" s="6" t="n">
        <v>14</v>
      </c>
      <c r="B78" s="7" t="inlineStr">
        <is>
          <t>Tole gia công ống tươi dày 0.8mm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inlineStr">
        <is>
          <t>m2</t>
        </is>
      </c>
      <c r="M78" s="9" t="n">
        <v>0</v>
      </c>
      <c r="N78" s="8" t="n"/>
      <c r="O78" s="8" t="n"/>
      <c r="P78" s="7" t="n"/>
    </row>
    <row r="79">
      <c r="A79" s="6" t="n">
        <v>15</v>
      </c>
      <c r="B79" s="7" t="inlineStr">
        <is>
          <t>Tole gia công ống tươi dày 1.0mm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inlineStr">
        <is>
          <t>m2</t>
        </is>
      </c>
      <c r="M79" s="9" t="n">
        <v>0</v>
      </c>
      <c r="N79" s="8" t="n"/>
      <c r="O79" s="8" t="n"/>
      <c r="P79" s="7" t="n"/>
    </row>
    <row r="81">
      <c r="B81" s="11" t="inlineStr">
        <is>
          <t>TỔNG CỘNG (CHƯA BAO GỒM VAT):</t>
        </is>
      </c>
      <c r="O81" s="12">
        <f>SUBTOTAL(9,O14:O79)</f>
        <v/>
      </c>
    </row>
    <row r="82">
      <c r="B82" s="11" t="inlineStr">
        <is>
          <t>THUẾ GTGT (VAT 8%):</t>
        </is>
      </c>
      <c r="O82" s="12">
        <f>ROUND(O81*0.08, 0)</f>
        <v/>
      </c>
    </row>
    <row r="83">
      <c r="B83" s="11" t="inlineStr">
        <is>
          <t>TỔNG CỘNG THANH TOÁN (ĐÃ GỒM VAT 8%):</t>
        </is>
      </c>
      <c r="O83" s="12">
        <f>O81+O82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3" t="inlineStr">
        <is>
          <t>STT</t>
        </is>
      </c>
      <c r="B1" s="13" t="inlineStr">
        <is>
          <t>ITEM_ID</t>
        </is>
      </c>
      <c r="C1" s="13" t="inlineStr">
        <is>
          <t>PHÂN NHÓM</t>
        </is>
      </c>
      <c r="D1" s="13" t="inlineStr">
        <is>
          <t>TÊN SẢN PHẨM</t>
        </is>
      </c>
      <c r="E1" s="13" t="inlineStr">
        <is>
          <t>QUY CÁCH (WxH)</t>
        </is>
      </c>
      <c r="F1" s="13" t="inlineStr">
        <is>
          <t>ĐVT</t>
        </is>
      </c>
      <c r="G1" s="13" t="inlineStr">
        <is>
          <t>SỐ LƯỢNG</t>
        </is>
      </c>
      <c r="H1" s="13" t="inlineStr">
        <is>
          <t>CP VẬT TƯ ỐNG</t>
        </is>
      </c>
      <c r="I1" s="13" t="inlineStr">
        <is>
          <t>CP VẬT TƯ CỬA</t>
        </is>
      </c>
      <c r="J1" s="13" t="inlineStr">
        <is>
          <t>CP VẬT TƯ VAN</t>
        </is>
      </c>
      <c r="K1" s="13" t="inlineStr">
        <is>
          <t>TỔNG CP VẬT TƯ</t>
        </is>
      </c>
      <c r="L1" s="13" t="inlineStr">
        <is>
          <t>NHÂN CÔNG (25%)</t>
        </is>
      </c>
      <c r="M1" s="13" t="inlineStr">
        <is>
          <t>CP XƯỞNG (10%)</t>
        </is>
      </c>
      <c r="N1" s="13" t="inlineStr">
        <is>
          <t>TỔNG GIÁ VỐN</t>
        </is>
      </c>
      <c r="O1" s="13" t="inlineStr">
        <is>
          <t>GIÁ VỐN / ĐVT</t>
        </is>
      </c>
      <c r="P1" s="13" t="inlineStr">
        <is>
          <t>MARGIN (%)</t>
        </is>
      </c>
      <c r="Q1" s="13" t="inlineStr">
        <is>
          <t>ĐƠN GIÁ BÁN</t>
        </is>
      </c>
      <c r="R1" s="13" t="inlineStr">
        <is>
          <t>THÀNH TIỀN (VNĐ)</t>
        </is>
      </c>
      <c r="S1" s="13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Miệng gió thải 200x100mm</t>
        </is>
      </c>
      <c r="E2" t="inlineStr">
        <is>
          <t>200x100</t>
        </is>
      </c>
      <c r="F2" t="inlineStr">
        <is>
          <t>Cái</t>
        </is>
      </c>
      <c r="G2" s="14" t="n">
        <v>1</v>
      </c>
      <c r="H2" s="14">
        <f>SUMIF('01_BOC_TACH_ONG'!$B$2:$B$5000, B2, '01_BOC_TACH_ONG'!$K$2:$K$5000)</f>
        <v/>
      </c>
      <c r="I2" s="14">
        <f>SUMIF('02_BOC_TACH_CUA'!$B$2:$B$5000, B2, '02_BOC_TACH_CUA'!$K$2:$K$5000)</f>
        <v/>
      </c>
      <c r="J2" s="14">
        <f>SUMIF('03_BOC_TACH_VAN'!$B$2:$B$5000, B2, '03_BOC_TACH_VAN'!$K$2:$K$5000)</f>
        <v/>
      </c>
      <c r="K2" s="14">
        <f>SUM(H2:J2)</f>
        <v/>
      </c>
      <c r="L2" s="14">
        <f>(K2-SUMIFS('03_BOC_TACH_VAN'!$K$2:$K$5000, '03_BOC_TACH_VAN'!$B$2:$B$5000, B2, '03_BOC_TACH_VAN'!$D$2:$D$5000, "ĐỘNG_CƠ_VÀ_CẢM_BIẾN"))*0.25</f>
        <v/>
      </c>
      <c r="M2" s="14">
        <f>(K2-SUMIFS('03_BOC_TACH_VAN'!$K$2:$K$5000, '03_BOC_TACH_VAN'!$B$2:$B$5000, B2, '03_BOC_TACH_VAN'!$D$2:$D$5000, "ĐỘNG_CƠ_VÀ_CẢM_BIẾN"))*0.10</f>
        <v/>
      </c>
      <c r="N2" s="14">
        <f>K2+L2+M2</f>
        <v/>
      </c>
      <c r="O2" s="14">
        <f>IF(G2&gt;0, N2/G2, 0)</f>
        <v/>
      </c>
      <c r="P2" s="15" t="n">
        <v>0.18</v>
      </c>
      <c r="Q2" s="14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4">
        <f>G2*Q2</f>
        <v/>
      </c>
      <c r="S2" t="inlineStr">
        <is>
          <t>Louver nan Z ngoài trời kèm lưới chắn côn trùng Inox 304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Louver gió kèm LCCT 600x300</t>
        </is>
      </c>
      <c r="E3" t="inlineStr">
        <is>
          <t>600x300</t>
        </is>
      </c>
      <c r="F3" t="inlineStr">
        <is>
          <t>Cái</t>
        </is>
      </c>
      <c r="G3" s="14" t="n">
        <v>2</v>
      </c>
      <c r="H3" s="14">
        <f>SUMIF('01_BOC_TACH_ONG'!$B$2:$B$5000, B3, '01_BOC_TACH_ONG'!$K$2:$K$5000)</f>
        <v/>
      </c>
      <c r="I3" s="14">
        <f>SUMIF('02_BOC_TACH_CUA'!$B$2:$B$5000, B3, '02_BOC_TACH_CUA'!$K$2:$K$5000)</f>
        <v/>
      </c>
      <c r="J3" s="14">
        <f>SUMIF('03_BOC_TACH_VAN'!$B$2:$B$5000, B3, '03_BOC_TACH_VAN'!$K$2:$K$5000)</f>
        <v/>
      </c>
      <c r="K3" s="14">
        <f>SUM(H3:J3)</f>
        <v/>
      </c>
      <c r="L3" s="14">
        <f>(K3-SUMIFS('03_BOC_TACH_VAN'!$K$2:$K$5000, '03_BOC_TACH_VAN'!$B$2:$B$5000, B3, '03_BOC_TACH_VAN'!$D$2:$D$5000, "ĐỘNG_CƠ_VÀ_CẢM_BIẾN"))*0.25</f>
        <v/>
      </c>
      <c r="M3" s="14">
        <f>(K3-SUMIFS('03_BOC_TACH_VAN'!$K$2:$K$5000, '03_BOC_TACH_VAN'!$B$2:$B$5000, B3, '03_BOC_TACH_VAN'!$D$2:$D$5000, "ĐỘNG_CƠ_VÀ_CẢM_BIẾN"))*0.10</f>
        <v/>
      </c>
      <c r="N3" s="14">
        <f>K3+L3+M3</f>
        <v/>
      </c>
      <c r="O3" s="14">
        <f>IF(G3&gt;0, N3/G3, 0)</f>
        <v/>
      </c>
      <c r="P3" s="15" t="n">
        <v>0.18</v>
      </c>
      <c r="Q3" s="14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4">
        <f>G3*Q3</f>
        <v/>
      </c>
      <c r="S3" t="inlineStr">
        <is>
          <t>Louver nan Z ngoài trời kèm lưới chắn côn trùng Inox 304</t>
        </is>
      </c>
    </row>
    <row r="4">
      <c r="A4" t="n">
        <v>3</v>
      </c>
      <c r="B4" t="inlineStr">
        <is>
          <t>SW-DIFF-003</t>
        </is>
      </c>
      <c r="C4" t="inlineStr">
        <is>
          <t>CỬA GIÓ</t>
        </is>
      </c>
      <c r="D4" t="inlineStr">
        <is>
          <t>Louver gió kèm LCCT 1500x500</t>
        </is>
      </c>
      <c r="E4" t="inlineStr">
        <is>
          <t>1500x500</t>
        </is>
      </c>
      <c r="F4" t="inlineStr">
        <is>
          <t>Cái</t>
        </is>
      </c>
      <c r="G4" s="14" t="n">
        <v>2</v>
      </c>
      <c r="H4" s="14">
        <f>SUMIF('01_BOC_TACH_ONG'!$B$2:$B$5000, B4, '01_BOC_TACH_ONG'!$K$2:$K$5000)</f>
        <v/>
      </c>
      <c r="I4" s="14">
        <f>SUMIF('02_BOC_TACH_CUA'!$B$2:$B$5000, B4, '02_BOC_TACH_CUA'!$K$2:$K$5000)</f>
        <v/>
      </c>
      <c r="J4" s="14">
        <f>SUMIF('03_BOC_TACH_VAN'!$B$2:$B$5000, B4, '03_BOC_TACH_VAN'!$K$2:$K$5000)</f>
        <v/>
      </c>
      <c r="K4" s="14">
        <f>SUM(H4:J4)</f>
        <v/>
      </c>
      <c r="L4" s="14">
        <f>(K4-SUMIFS('03_BOC_TACH_VAN'!$K$2:$K$5000, '03_BOC_TACH_VAN'!$B$2:$B$5000, B4, '03_BOC_TACH_VAN'!$D$2:$D$5000, "ĐỘNG_CƠ_VÀ_CẢM_BIẾN"))*0.25</f>
        <v/>
      </c>
      <c r="M4" s="14">
        <f>(K4-SUMIFS('03_BOC_TACH_VAN'!$K$2:$K$5000, '03_BOC_TACH_VAN'!$B$2:$B$5000, B4, '03_BOC_TACH_VAN'!$D$2:$D$5000, "ĐỘNG_CƠ_VÀ_CẢM_BIẾN"))*0.10</f>
        <v/>
      </c>
      <c r="N4" s="14">
        <f>K4+L4+M4</f>
        <v/>
      </c>
      <c r="O4" s="14">
        <f>IF(G4&gt;0, N4/G4, 0)</f>
        <v/>
      </c>
      <c r="P4" s="15" t="n">
        <v>0.18</v>
      </c>
      <c r="Q4" s="14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4">
        <f>G4*Q4</f>
        <v/>
      </c>
      <c r="S4" t="inlineStr">
        <is>
          <t>Louver nan Z ngoài trời kèm lưới chắn côn trùng Inox 304</t>
        </is>
      </c>
    </row>
    <row r="5">
      <c r="A5" t="n">
        <v>4</v>
      </c>
      <c r="B5" t="inlineStr">
        <is>
          <t>SW-DIFF-004</t>
        </is>
      </c>
      <c r="C5" t="inlineStr">
        <is>
          <t>CỬA GIÓ</t>
        </is>
      </c>
      <c r="D5" t="inlineStr">
        <is>
          <t>Miệng gió thải 450x200</t>
        </is>
      </c>
      <c r="E5" t="inlineStr">
        <is>
          <t>450x200</t>
        </is>
      </c>
      <c r="F5" t="inlineStr">
        <is>
          <t>Cái</t>
        </is>
      </c>
      <c r="G5" s="14" t="n">
        <v>5</v>
      </c>
      <c r="H5" s="14">
        <f>SUMIF('01_BOC_TACH_ONG'!$B$2:$B$5000, B5, '01_BOC_TACH_ONG'!$K$2:$K$5000)</f>
        <v/>
      </c>
      <c r="I5" s="14">
        <f>SUMIF('02_BOC_TACH_CUA'!$B$2:$B$5000, B5, '02_BOC_TACH_CUA'!$K$2:$K$5000)</f>
        <v/>
      </c>
      <c r="J5" s="14">
        <f>SUMIF('03_BOC_TACH_VAN'!$B$2:$B$5000, B5, '03_BOC_TACH_VAN'!$K$2:$K$5000)</f>
        <v/>
      </c>
      <c r="K5" s="14">
        <f>SUM(H5:J5)</f>
        <v/>
      </c>
      <c r="L5" s="14">
        <f>(K5-SUMIFS('03_BOC_TACH_VAN'!$K$2:$K$5000, '03_BOC_TACH_VAN'!$B$2:$B$5000, B5, '03_BOC_TACH_VAN'!$D$2:$D$5000, "ĐỘNG_CƠ_VÀ_CẢM_BIẾN"))*0.25</f>
        <v/>
      </c>
      <c r="M5" s="14">
        <f>(K5-SUMIFS('03_BOC_TACH_VAN'!$K$2:$K$5000, '03_BOC_TACH_VAN'!$B$2:$B$5000, B5, '03_BOC_TACH_VAN'!$D$2:$D$5000, "ĐỘNG_CƠ_VÀ_CẢM_BIẾN"))*0.10</f>
        <v/>
      </c>
      <c r="N5" s="14">
        <f>K5+L5+M5</f>
        <v/>
      </c>
      <c r="O5" s="14">
        <f>IF(G5&gt;0, N5/G5, 0)</f>
        <v/>
      </c>
      <c r="P5" s="15" t="n">
        <v>0.18</v>
      </c>
      <c r="Q5" s="14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4">
        <f>G5*Q5</f>
        <v/>
      </c>
      <c r="S5" t="inlineStr">
        <is>
          <t>Cửa nan bầu dục 1 lớp kèm van OBD</t>
        </is>
      </c>
    </row>
    <row r="6">
      <c r="A6" t="n">
        <v>5</v>
      </c>
      <c r="B6" t="inlineStr">
        <is>
          <t>SW-DIFF-005</t>
        </is>
      </c>
      <c r="C6" t="inlineStr">
        <is>
          <t>CỬA GIÓ</t>
        </is>
      </c>
      <c r="D6" t="inlineStr">
        <is>
          <t>Miệng gió tươi 750x350</t>
        </is>
      </c>
      <c r="E6" t="inlineStr">
        <is>
          <t>750x350</t>
        </is>
      </c>
      <c r="F6" t="inlineStr">
        <is>
          <t>Cái</t>
        </is>
      </c>
      <c r="G6" s="14" t="n">
        <v>3</v>
      </c>
      <c r="H6" s="14">
        <f>SUMIF('01_BOC_TACH_ONG'!$B$2:$B$5000, B6, '01_BOC_TACH_ONG'!$K$2:$K$5000)</f>
        <v/>
      </c>
      <c r="I6" s="14">
        <f>SUMIF('02_BOC_TACH_CUA'!$B$2:$B$5000, B6, '02_BOC_TACH_CUA'!$K$2:$K$5000)</f>
        <v/>
      </c>
      <c r="J6" s="14">
        <f>SUMIF('03_BOC_TACH_VAN'!$B$2:$B$5000, B6, '03_BOC_TACH_VAN'!$K$2:$K$5000)</f>
        <v/>
      </c>
      <c r="K6" s="14">
        <f>SUM(H6:J6)</f>
        <v/>
      </c>
      <c r="L6" s="14">
        <f>(K6-SUMIFS('03_BOC_TACH_VAN'!$K$2:$K$5000, '03_BOC_TACH_VAN'!$B$2:$B$5000, B6, '03_BOC_TACH_VAN'!$D$2:$D$5000, "ĐỘNG_CƠ_VÀ_CẢM_BIẾN"))*0.25</f>
        <v/>
      </c>
      <c r="M6" s="14">
        <f>(K6-SUMIFS('03_BOC_TACH_VAN'!$K$2:$K$5000, '03_BOC_TACH_VAN'!$B$2:$B$5000, B6, '03_BOC_TACH_VAN'!$D$2:$D$5000, "ĐỘNG_CƠ_VÀ_CẢM_BIẾN"))*0.10</f>
        <v/>
      </c>
      <c r="N6" s="14">
        <f>K6+L6+M6</f>
        <v/>
      </c>
      <c r="O6" s="14">
        <f>IF(G6&gt;0, N6/G6, 0)</f>
        <v/>
      </c>
      <c r="P6" s="15" t="n">
        <v>0.18</v>
      </c>
      <c r="Q6" s="14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4">
        <f>G6*Q6</f>
        <v/>
      </c>
      <c r="S6" t="inlineStr">
        <is>
          <t>Cửa nan bầu dục 1 lớp kèm van OBD</t>
        </is>
      </c>
    </row>
    <row r="7">
      <c r="A7" t="n">
        <v>6</v>
      </c>
      <c r="B7" t="inlineStr">
        <is>
          <t>SW-DIFF-006</t>
        </is>
      </c>
      <c r="C7" t="inlineStr">
        <is>
          <t>CỬA GIÓ</t>
        </is>
      </c>
      <c r="D7" t="inlineStr">
        <is>
          <t>Miệng gió tươi 450x200</t>
        </is>
      </c>
      <c r="E7" t="inlineStr">
        <is>
          <t>450x200</t>
        </is>
      </c>
      <c r="F7" t="inlineStr">
        <is>
          <t>Cái</t>
        </is>
      </c>
      <c r="G7" s="14" t="n">
        <v>2</v>
      </c>
      <c r="H7" s="14">
        <f>SUMIF('01_BOC_TACH_ONG'!$B$2:$B$5000, B7, '01_BOC_TACH_ONG'!$K$2:$K$5000)</f>
        <v/>
      </c>
      <c r="I7" s="14">
        <f>SUMIF('02_BOC_TACH_CUA'!$B$2:$B$5000, B7, '02_BOC_TACH_CUA'!$K$2:$K$5000)</f>
        <v/>
      </c>
      <c r="J7" s="14">
        <f>SUMIF('03_BOC_TACH_VAN'!$B$2:$B$5000, B7, '03_BOC_TACH_VAN'!$K$2:$K$5000)</f>
        <v/>
      </c>
      <c r="K7" s="14">
        <f>SUM(H7:J7)</f>
        <v/>
      </c>
      <c r="L7" s="14">
        <f>(K7-SUMIFS('03_BOC_TACH_VAN'!$K$2:$K$5000, '03_BOC_TACH_VAN'!$B$2:$B$5000, B7, '03_BOC_TACH_VAN'!$D$2:$D$5000, "ĐỘNG_CƠ_VÀ_CẢM_BIẾN"))*0.25</f>
        <v/>
      </c>
      <c r="M7" s="14">
        <f>(K7-SUMIFS('03_BOC_TACH_VAN'!$K$2:$K$5000, '03_BOC_TACH_VAN'!$B$2:$B$5000, B7, '03_BOC_TACH_VAN'!$D$2:$D$5000, "ĐỘNG_CƠ_VÀ_CẢM_BIẾN"))*0.10</f>
        <v/>
      </c>
      <c r="N7" s="14">
        <f>K7+L7+M7</f>
        <v/>
      </c>
      <c r="O7" s="14">
        <f>IF(G7&gt;0, N7/G7, 0)</f>
        <v/>
      </c>
      <c r="P7" s="15" t="n">
        <v>0.18</v>
      </c>
      <c r="Q7" s="14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4">
        <f>G7*Q7</f>
        <v/>
      </c>
      <c r="S7" t="inlineStr">
        <is>
          <t>Cửa nan bầu dục 1 lớp kèm van OBD</t>
        </is>
      </c>
    </row>
    <row r="8">
      <c r="A8" t="n">
        <v>7</v>
      </c>
      <c r="B8" t="inlineStr">
        <is>
          <t>SW-DIFF-007</t>
        </is>
      </c>
      <c r="C8" t="inlineStr">
        <is>
          <t>CỬA GIÓ</t>
        </is>
      </c>
      <c r="D8" t="inlineStr">
        <is>
          <t>Luover gió tươi 200x200 kèm lưới chắn côn trùng + VCD</t>
        </is>
      </c>
      <c r="E8" t="inlineStr">
        <is>
          <t>200x200</t>
        </is>
      </c>
      <c r="F8" t="inlineStr">
        <is>
          <t>cái</t>
        </is>
      </c>
      <c r="G8" s="14" t="n">
        <v>8</v>
      </c>
      <c r="H8" s="14">
        <f>SUMIF('01_BOC_TACH_ONG'!$B$2:$B$5000, B8, '01_BOC_TACH_ONG'!$K$2:$K$5000)</f>
        <v/>
      </c>
      <c r="I8" s="14">
        <f>SUMIF('02_BOC_TACH_CUA'!$B$2:$B$5000, B8, '02_BOC_TACH_CUA'!$K$2:$K$5000)</f>
        <v/>
      </c>
      <c r="J8" s="14">
        <f>SUMIF('03_BOC_TACH_VAN'!$B$2:$B$5000, B8, '03_BOC_TACH_VAN'!$K$2:$K$5000)</f>
        <v/>
      </c>
      <c r="K8" s="14">
        <f>SUM(H8:J8)</f>
        <v/>
      </c>
      <c r="L8" s="14">
        <f>(K8-SUMIFS('03_BOC_TACH_VAN'!$K$2:$K$5000, '03_BOC_TACH_VAN'!$B$2:$B$5000, B8, '03_BOC_TACH_VAN'!$D$2:$D$5000, "ĐỘNG_CƠ_VÀ_CẢM_BIẾN"))*0.25</f>
        <v/>
      </c>
      <c r="M8" s="14">
        <f>(K8-SUMIFS('03_BOC_TACH_VAN'!$K$2:$K$5000, '03_BOC_TACH_VAN'!$B$2:$B$5000, B8, '03_BOC_TACH_VAN'!$D$2:$D$5000, "ĐỘNG_CƠ_VÀ_CẢM_BIẾN"))*0.10</f>
        <v/>
      </c>
      <c r="N8" s="14">
        <f>K8+L8+M8</f>
        <v/>
      </c>
      <c r="O8" s="14">
        <f>IF(G8&gt;0, N8/G8, 0)</f>
        <v/>
      </c>
      <c r="P8" s="15" t="n">
        <v>0.18</v>
      </c>
      <c r="Q8" s="14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4">
        <f>G8*Q8</f>
        <v/>
      </c>
      <c r="S8" t="inlineStr">
        <is>
          <t>Louver nan Z ngoài trời kèm lưới chắn côn trùng Inox 304 + Van điều chỉnh lưu lượng tay gạt tôn mạ kẽm</t>
        </is>
      </c>
    </row>
    <row r="9">
      <c r="A9" t="n">
        <v>8</v>
      </c>
      <c r="B9" t="inlineStr">
        <is>
          <t>SW-DIFF-008</t>
        </is>
      </c>
      <c r="C9" t="inlineStr">
        <is>
          <t>CỬA GIÓ</t>
        </is>
      </c>
      <c r="D9" t="inlineStr">
        <is>
          <t>Miệng gió cấp 900x500 kèm OBD</t>
        </is>
      </c>
      <c r="E9" t="inlineStr">
        <is>
          <t>900x500</t>
        </is>
      </c>
      <c r="F9" t="inlineStr">
        <is>
          <t>Cái</t>
        </is>
      </c>
      <c r="G9" s="14" t="n">
        <v>6</v>
      </c>
      <c r="H9" s="14">
        <f>SUMIF('01_BOC_TACH_ONG'!$B$2:$B$5000, B9, '01_BOC_TACH_ONG'!$K$2:$K$5000)</f>
        <v/>
      </c>
      <c r="I9" s="14">
        <f>SUMIF('02_BOC_TACH_CUA'!$B$2:$B$5000, B9, '02_BOC_TACH_CUA'!$K$2:$K$5000)</f>
        <v/>
      </c>
      <c r="J9" s="14">
        <f>SUMIF('03_BOC_TACH_VAN'!$B$2:$B$5000, B9, '03_BOC_TACH_VAN'!$K$2:$K$5000)</f>
        <v/>
      </c>
      <c r="K9" s="14">
        <f>SUM(H9:J9)</f>
        <v/>
      </c>
      <c r="L9" s="14">
        <f>(K9-SUMIFS('03_BOC_TACH_VAN'!$K$2:$K$5000, '03_BOC_TACH_VAN'!$B$2:$B$5000, B9, '03_BOC_TACH_VAN'!$D$2:$D$5000, "ĐỘNG_CƠ_VÀ_CẢM_BIẾN"))*0.25</f>
        <v/>
      </c>
      <c r="M9" s="14">
        <f>(K9-SUMIFS('03_BOC_TACH_VAN'!$K$2:$K$5000, '03_BOC_TACH_VAN'!$B$2:$B$5000, B9, '03_BOC_TACH_VAN'!$D$2:$D$5000, "ĐỘNG_CƠ_VÀ_CẢM_BIẾN"))*0.10</f>
        <v/>
      </c>
      <c r="N9" s="14">
        <f>K9+L9+M9</f>
        <v/>
      </c>
      <c r="O9" s="14">
        <f>IF(G9&gt;0, N9/G9, 0)</f>
        <v/>
      </c>
      <c r="P9" s="15" t="n">
        <v>0.18</v>
      </c>
      <c r="Q9" s="14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4">
        <f>G9*Q9</f>
        <v/>
      </c>
      <c r="S9" t="inlineStr">
        <is>
          <t>Cửa nan bầu dục 1 lớp kèm van OBD</t>
        </is>
      </c>
    </row>
    <row r="10">
      <c r="A10" t="n">
        <v>9</v>
      </c>
      <c r="B10" t="inlineStr">
        <is>
          <t>SW-DIFF-009</t>
        </is>
      </c>
      <c r="C10" t="inlineStr">
        <is>
          <t>CỬA GIÓ</t>
        </is>
      </c>
      <c r="D10" t="inlineStr">
        <is>
          <t>Miệng gió cấp 400x300 kèm OBD</t>
        </is>
      </c>
      <c r="E10" t="inlineStr">
        <is>
          <t>400x300</t>
        </is>
      </c>
      <c r="F10" t="inlineStr">
        <is>
          <t>Cái</t>
        </is>
      </c>
      <c r="G10" s="14" t="n">
        <v>2</v>
      </c>
      <c r="H10" s="14">
        <f>SUMIF('01_BOC_TACH_ONG'!$B$2:$B$5000, B10, '01_BOC_TACH_ONG'!$K$2:$K$5000)</f>
        <v/>
      </c>
      <c r="I10" s="14">
        <f>SUMIF('02_BOC_TACH_CUA'!$B$2:$B$5000, B10, '02_BOC_TACH_CUA'!$K$2:$K$5000)</f>
        <v/>
      </c>
      <c r="J10" s="14">
        <f>SUMIF('03_BOC_TACH_VAN'!$B$2:$B$5000, B10, '03_BOC_TACH_VAN'!$K$2:$K$5000)</f>
        <v/>
      </c>
      <c r="K10" s="14">
        <f>SUM(H10:J10)</f>
        <v/>
      </c>
      <c r="L10" s="14">
        <f>(K10-SUMIFS('03_BOC_TACH_VAN'!$K$2:$K$5000, '03_BOC_TACH_VAN'!$B$2:$B$5000, B10, '03_BOC_TACH_VAN'!$D$2:$D$5000, "ĐỘNG_CƠ_VÀ_CẢM_BIẾN"))*0.25</f>
        <v/>
      </c>
      <c r="M10" s="14">
        <f>(K10-SUMIFS('03_BOC_TACH_VAN'!$K$2:$K$5000, '03_BOC_TACH_VAN'!$B$2:$B$5000, B10, '03_BOC_TACH_VAN'!$D$2:$D$5000, "ĐỘNG_CƠ_VÀ_CẢM_BIẾN"))*0.10</f>
        <v/>
      </c>
      <c r="N10" s="14">
        <f>K10+L10+M10</f>
        <v/>
      </c>
      <c r="O10" s="14">
        <f>IF(G10&gt;0, N10/G10, 0)</f>
        <v/>
      </c>
      <c r="P10" s="15" t="n">
        <v>0.18</v>
      </c>
      <c r="Q10" s="14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4">
        <f>G10*Q10</f>
        <v/>
      </c>
      <c r="S10" t="inlineStr">
        <is>
          <t>Cửa nan bầu dục 1 lớp kèm van OBD</t>
        </is>
      </c>
    </row>
    <row r="11">
      <c r="A11" t="n">
        <v>10</v>
      </c>
      <c r="B11" t="inlineStr">
        <is>
          <t>SW-DIFF-010</t>
        </is>
      </c>
      <c r="C11" t="inlineStr">
        <is>
          <t>CỬA GIÓ</t>
        </is>
      </c>
      <c r="D11" t="inlineStr">
        <is>
          <t>Miệng gió cấp 600x400 kèm OBD</t>
        </is>
      </c>
      <c r="E11" t="inlineStr">
        <is>
          <t>600x400</t>
        </is>
      </c>
      <c r="F11" t="inlineStr">
        <is>
          <t>Cái</t>
        </is>
      </c>
      <c r="G11" s="14" t="n">
        <v>2</v>
      </c>
      <c r="H11" s="14">
        <f>SUMIF('01_BOC_TACH_ONG'!$B$2:$B$5000, B11, '01_BOC_TACH_ONG'!$K$2:$K$5000)</f>
        <v/>
      </c>
      <c r="I11" s="14">
        <f>SUMIF('02_BOC_TACH_CUA'!$B$2:$B$5000, B11, '02_BOC_TACH_CUA'!$K$2:$K$5000)</f>
        <v/>
      </c>
      <c r="J11" s="14">
        <f>SUMIF('03_BOC_TACH_VAN'!$B$2:$B$5000, B11, '03_BOC_TACH_VAN'!$K$2:$K$5000)</f>
        <v/>
      </c>
      <c r="K11" s="14">
        <f>SUM(H11:J11)</f>
        <v/>
      </c>
      <c r="L11" s="14">
        <f>(K11-SUMIFS('03_BOC_TACH_VAN'!$K$2:$K$5000, '03_BOC_TACH_VAN'!$B$2:$B$5000, B11, '03_BOC_TACH_VAN'!$D$2:$D$5000, "ĐỘNG_CƠ_VÀ_CẢM_BIẾN"))*0.25</f>
        <v/>
      </c>
      <c r="M11" s="14">
        <f>(K11-SUMIFS('03_BOC_TACH_VAN'!$K$2:$K$5000, '03_BOC_TACH_VAN'!$B$2:$B$5000, B11, '03_BOC_TACH_VAN'!$D$2:$D$5000, "ĐỘNG_CƠ_VÀ_CẢM_BIẾN"))*0.10</f>
        <v/>
      </c>
      <c r="N11" s="14">
        <f>K11+L11+M11</f>
        <v/>
      </c>
      <c r="O11" s="14">
        <f>IF(G11&gt;0, N11/G11, 0)</f>
        <v/>
      </c>
      <c r="P11" s="15" t="n">
        <v>0.18</v>
      </c>
      <c r="Q11" s="14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4">
        <f>G11*Q11</f>
        <v/>
      </c>
      <c r="S11" t="inlineStr">
        <is>
          <t>Cửa nan bầu dục 1 lớp kèm van OBD</t>
        </is>
      </c>
    </row>
    <row r="12">
      <c r="A12" t="n">
        <v>11</v>
      </c>
      <c r="B12" t="inlineStr">
        <is>
          <t>SW-DIFF-011</t>
        </is>
      </c>
      <c r="C12" t="inlineStr">
        <is>
          <t>CỬA GIÓ</t>
        </is>
      </c>
      <c r="D12" t="inlineStr">
        <is>
          <t>Louver gió thải kèm LCCT 200x100</t>
        </is>
      </c>
      <c r="E12" t="inlineStr">
        <is>
          <t>200x100</t>
        </is>
      </c>
      <c r="F12" t="inlineStr">
        <is>
          <t>Cái</t>
        </is>
      </c>
      <c r="G12" s="14" t="n">
        <v>1</v>
      </c>
      <c r="H12" s="14">
        <f>SUMIF('01_BOC_TACH_ONG'!$B$2:$B$5000, B12, '01_BOC_TACH_ONG'!$K$2:$K$5000)</f>
        <v/>
      </c>
      <c r="I12" s="14">
        <f>SUMIF('02_BOC_TACH_CUA'!$B$2:$B$5000, B12, '02_BOC_TACH_CUA'!$K$2:$K$5000)</f>
        <v/>
      </c>
      <c r="J12" s="14">
        <f>SUMIF('03_BOC_TACH_VAN'!$B$2:$B$5000, B12, '03_BOC_TACH_VAN'!$K$2:$K$5000)</f>
        <v/>
      </c>
      <c r="K12" s="14">
        <f>SUM(H12:J12)</f>
        <v/>
      </c>
      <c r="L12" s="14">
        <f>(K12-SUMIFS('03_BOC_TACH_VAN'!$K$2:$K$5000, '03_BOC_TACH_VAN'!$B$2:$B$5000, B12, '03_BOC_TACH_VAN'!$D$2:$D$5000, "ĐỘNG_CƠ_VÀ_CẢM_BIẾN"))*0.25</f>
        <v/>
      </c>
      <c r="M12" s="14">
        <f>(K12-SUMIFS('03_BOC_TACH_VAN'!$K$2:$K$5000, '03_BOC_TACH_VAN'!$B$2:$B$5000, B12, '03_BOC_TACH_VAN'!$D$2:$D$5000, "ĐỘNG_CƠ_VÀ_CẢM_BIẾN"))*0.10</f>
        <v/>
      </c>
      <c r="N12" s="14">
        <f>K12+L12+M12</f>
        <v/>
      </c>
      <c r="O12" s="14">
        <f>IF(G12&gt;0, N12/G12, 0)</f>
        <v/>
      </c>
      <c r="P12" s="15" t="n">
        <v>0.18</v>
      </c>
      <c r="Q12" s="14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4">
        <f>G12*Q12</f>
        <v/>
      </c>
      <c r="S12" t="inlineStr">
        <is>
          <t>Louver nan Z ngoài trời kèm lưới chắn côn trùng Inox 304</t>
        </is>
      </c>
    </row>
    <row r="13">
      <c r="A13" t="n">
        <v>12</v>
      </c>
      <c r="B13" t="inlineStr">
        <is>
          <t>SW-DIFF-012</t>
        </is>
      </c>
      <c r="C13" t="inlineStr">
        <is>
          <t>CỬA GIÓ</t>
        </is>
      </c>
      <c r="D13" t="inlineStr">
        <is>
          <t>Louver gió thải kèm LCCT 700x100</t>
        </is>
      </c>
      <c r="E13" t="inlineStr">
        <is>
          <t>700x100</t>
        </is>
      </c>
      <c r="F13" t="inlineStr">
        <is>
          <t>Cái</t>
        </is>
      </c>
      <c r="G13" s="14" t="n">
        <v>0</v>
      </c>
      <c r="H13" s="14">
        <f>SUMIF('01_BOC_TACH_ONG'!$B$2:$B$5000, B13, '01_BOC_TACH_ONG'!$K$2:$K$5000)</f>
        <v/>
      </c>
      <c r="I13" s="14">
        <f>SUMIF('02_BOC_TACH_CUA'!$B$2:$B$5000, B13, '02_BOC_TACH_CUA'!$K$2:$K$5000)</f>
        <v/>
      </c>
      <c r="J13" s="14">
        <f>SUMIF('03_BOC_TACH_VAN'!$B$2:$B$5000, B13, '03_BOC_TACH_VAN'!$K$2:$K$5000)</f>
        <v/>
      </c>
      <c r="K13" s="14">
        <f>SUM(H13:J13)</f>
        <v/>
      </c>
      <c r="L13" s="14">
        <f>(K13-SUMIFS('03_BOC_TACH_VAN'!$K$2:$K$5000, '03_BOC_TACH_VAN'!$B$2:$B$5000, B13, '03_BOC_TACH_VAN'!$D$2:$D$5000, "ĐỘNG_CƠ_VÀ_CẢM_BIẾN"))*0.25</f>
        <v/>
      </c>
      <c r="M13" s="14">
        <f>(K13-SUMIFS('03_BOC_TACH_VAN'!$K$2:$K$5000, '03_BOC_TACH_VAN'!$B$2:$B$5000, B13, '03_BOC_TACH_VAN'!$D$2:$D$5000, "ĐỘNG_CƠ_VÀ_CẢM_BIẾN"))*0.10</f>
        <v/>
      </c>
      <c r="N13" s="14">
        <f>K13+L13+M13</f>
        <v/>
      </c>
      <c r="O13" s="14">
        <f>IF(G13&gt;0, N13/G13, 0)</f>
        <v/>
      </c>
      <c r="P13" s="15" t="n">
        <v>0.18</v>
      </c>
      <c r="Q13" s="14" t="n">
        <v>125000</v>
      </c>
      <c r="R13" s="14">
        <f>G13*Q13</f>
        <v/>
      </c>
      <c r="S13" t="inlineStr">
        <is>
          <t>Louver nan Z ngoài trời kèm lưới chắn côn trùng Inox 304</t>
        </is>
      </c>
    </row>
    <row r="14">
      <c r="A14" t="n">
        <v>13</v>
      </c>
      <c r="B14" t="inlineStr">
        <is>
          <t>SW-DIFF-013</t>
        </is>
      </c>
      <c r="C14" t="inlineStr">
        <is>
          <t>CỬA GIÓ</t>
        </is>
      </c>
      <c r="D14" t="inlineStr">
        <is>
          <t>Miệng gió thải WC 200x200 kèm OBD</t>
        </is>
      </c>
      <c r="E14" t="inlineStr">
        <is>
          <t>200x200</t>
        </is>
      </c>
      <c r="F14" t="inlineStr">
        <is>
          <t>Cái</t>
        </is>
      </c>
      <c r="G14" s="14" t="n">
        <v>4</v>
      </c>
      <c r="H14" s="14">
        <f>SUMIF('01_BOC_TACH_ONG'!$B$2:$B$5000, B14, '01_BOC_TACH_ONG'!$K$2:$K$5000)</f>
        <v/>
      </c>
      <c r="I14" s="14">
        <f>SUMIF('02_BOC_TACH_CUA'!$B$2:$B$5000, B14, '02_BOC_TACH_CUA'!$K$2:$K$5000)</f>
        <v/>
      </c>
      <c r="J14" s="14">
        <f>SUMIF('03_BOC_TACH_VAN'!$B$2:$B$5000, B14, '03_BOC_TACH_VAN'!$K$2:$K$5000)</f>
        <v/>
      </c>
      <c r="K14" s="14">
        <f>SUM(H14:J14)</f>
        <v/>
      </c>
      <c r="L14" s="14">
        <f>(K14-SUMIFS('03_BOC_TACH_VAN'!$K$2:$K$5000, '03_BOC_TACH_VAN'!$B$2:$B$5000, B14, '03_BOC_TACH_VAN'!$D$2:$D$5000, "ĐỘNG_CƠ_VÀ_CẢM_BIẾN"))*0.25</f>
        <v/>
      </c>
      <c r="M14" s="14">
        <f>(K14-SUMIFS('03_BOC_TACH_VAN'!$K$2:$K$5000, '03_BOC_TACH_VAN'!$B$2:$B$5000, B14, '03_BOC_TACH_VAN'!$D$2:$D$5000, "ĐỘNG_CƠ_VÀ_CẢM_BIẾN"))*0.10</f>
        <v/>
      </c>
      <c r="N14" s="14">
        <f>K14+L14+M14</f>
        <v/>
      </c>
      <c r="O14" s="14">
        <f>IF(G14&gt;0, N14/G14, 0)</f>
        <v/>
      </c>
      <c r="P14" s="15" t="n">
        <v>0.18</v>
      </c>
      <c r="Q14" s="14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4">
        <f>G14*Q14</f>
        <v/>
      </c>
      <c r="S14" t="inlineStr">
        <is>
          <t>Cửa nan bầu dục 1 lớp kèm van OBD</t>
        </is>
      </c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Van chặn lửa FD100x100</t>
        </is>
      </c>
      <c r="E15" t="inlineStr">
        <is>
          <t>100x100</t>
        </is>
      </c>
      <c r="F15" t="inlineStr">
        <is>
          <t>Cái</t>
        </is>
      </c>
      <c r="G15" s="14" t="n">
        <v>2</v>
      </c>
      <c r="H15" s="14">
        <f>SUMIF('01_BOC_TACH_ONG'!$B$2:$B$5000, B15, '01_BOC_TACH_ONG'!$K$2:$K$5000)</f>
        <v/>
      </c>
      <c r="I15" s="14">
        <f>SUMIF('02_BOC_TACH_CUA'!$B$2:$B$5000, B15, '02_BOC_TACH_CUA'!$K$2:$K$5000)</f>
        <v/>
      </c>
      <c r="J15" s="14">
        <f>SUMIF('03_BOC_TACH_VAN'!$B$2:$B$5000, B15, '03_BOC_TACH_VAN'!$K$2:$K$5000)</f>
        <v/>
      </c>
      <c r="K15" s="14">
        <f>SUM(H15:J15)</f>
        <v/>
      </c>
      <c r="L15" s="14">
        <f>(K15-SUMIFS('03_BOC_TACH_VAN'!$K$2:$K$5000, '03_BOC_TACH_VAN'!$B$2:$B$5000, B15, '03_BOC_TACH_VAN'!$D$2:$D$5000, "ĐỘNG_CƠ_VÀ_CẢM_BIẾN"))*0.25</f>
        <v/>
      </c>
      <c r="M15" s="14">
        <f>(K15-SUMIFS('03_BOC_TACH_VAN'!$K$2:$K$5000, '03_BOC_TACH_VAN'!$B$2:$B$5000, B15, '03_BOC_TACH_VAN'!$D$2:$D$5000, "ĐỘNG_CƠ_VÀ_CẢM_BIẾN"))*0.10</f>
        <v/>
      </c>
      <c r="N15" s="14">
        <f>K15+L15+M15</f>
        <v/>
      </c>
      <c r="O15" s="14">
        <f>IF(G15&gt;0, N15/G15, 0)</f>
        <v/>
      </c>
      <c r="P15" s="15" t="n">
        <v>0.18</v>
      </c>
      <c r="Q15" s="14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4">
        <f>G15*Q15</f>
        <v/>
      </c>
      <c r="S15" t="inlineStr">
        <is>
          <t>Van chặn lửa cầu chì tôn mạ kẽm</t>
        </is>
      </c>
    </row>
    <row r="16">
      <c r="A16" t="n">
        <v>15</v>
      </c>
      <c r="B16" t="inlineStr">
        <is>
          <t>SW-DIFF-015</t>
        </is>
      </c>
      <c r="C16" t="inlineStr">
        <is>
          <t>CỬA GIÓ</t>
        </is>
      </c>
      <c r="D16" t="inlineStr">
        <is>
          <t>Louver gió tươi kèm LCCT 400x150</t>
        </is>
      </c>
      <c r="E16" t="inlineStr">
        <is>
          <t>400x150</t>
        </is>
      </c>
      <c r="F16" t="inlineStr">
        <is>
          <t>Cái</t>
        </is>
      </c>
      <c r="G16" s="14" t="n">
        <v>1</v>
      </c>
      <c r="H16" s="14">
        <f>SUMIF('01_BOC_TACH_ONG'!$B$2:$B$5000, B16, '01_BOC_TACH_ONG'!$K$2:$K$5000)</f>
        <v/>
      </c>
      <c r="I16" s="14">
        <f>SUMIF('02_BOC_TACH_CUA'!$B$2:$B$5000, B16, '02_BOC_TACH_CUA'!$K$2:$K$5000)</f>
        <v/>
      </c>
      <c r="J16" s="14">
        <f>SUMIF('03_BOC_TACH_VAN'!$B$2:$B$5000, B16, '03_BOC_TACH_VAN'!$K$2:$K$5000)</f>
        <v/>
      </c>
      <c r="K16" s="14">
        <f>SUM(H16:J16)</f>
        <v/>
      </c>
      <c r="L16" s="14">
        <f>(K16-SUMIFS('03_BOC_TACH_VAN'!$K$2:$K$5000, '03_BOC_TACH_VAN'!$B$2:$B$5000, B16, '03_BOC_TACH_VAN'!$D$2:$D$5000, "ĐỘNG_CƠ_VÀ_CẢM_BIẾN"))*0.25</f>
        <v/>
      </c>
      <c r="M16" s="14">
        <f>(K16-SUMIFS('03_BOC_TACH_VAN'!$K$2:$K$5000, '03_BOC_TACH_VAN'!$B$2:$B$5000, B16, '03_BOC_TACH_VAN'!$D$2:$D$5000, "ĐỘNG_CƠ_VÀ_CẢM_BIẾN"))*0.10</f>
        <v/>
      </c>
      <c r="N16" s="14">
        <f>K16+L16+M16</f>
        <v/>
      </c>
      <c r="O16" s="14">
        <f>IF(G16&gt;0, N16/G16, 0)</f>
        <v/>
      </c>
      <c r="P16" s="15" t="n">
        <v>0.18</v>
      </c>
      <c r="Q16" s="14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4">
        <f>G16*Q16</f>
        <v/>
      </c>
      <c r="S16" t="inlineStr">
        <is>
          <t>Louver nan Z ngoài trời kèm lưới chắn côn trùng Inox 304</t>
        </is>
      </c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VCD 150</t>
        </is>
      </c>
      <c r="E17" t="inlineStr">
        <is>
          <t>D150</t>
        </is>
      </c>
      <c r="F17" t="inlineStr">
        <is>
          <t>Cái</t>
        </is>
      </c>
      <c r="G17" s="14" t="n">
        <v>5</v>
      </c>
      <c r="H17" s="14">
        <f>SUMIF('01_BOC_TACH_ONG'!$B$2:$B$5000, B17, '01_BOC_TACH_ONG'!$K$2:$K$5000)</f>
        <v/>
      </c>
      <c r="I17" s="14">
        <f>SUMIF('02_BOC_TACH_CUA'!$B$2:$B$5000, B17, '02_BOC_TACH_CUA'!$K$2:$K$5000)</f>
        <v/>
      </c>
      <c r="J17" s="14">
        <f>SUMIF('03_BOC_TACH_VAN'!$B$2:$B$5000, B17, '03_BOC_TACH_VAN'!$K$2:$K$5000)</f>
        <v/>
      </c>
      <c r="K17" s="14">
        <f>SUM(H17:J17)</f>
        <v/>
      </c>
      <c r="L17" s="14">
        <f>(K17-SUMIFS('03_BOC_TACH_VAN'!$K$2:$K$5000, '03_BOC_TACH_VAN'!$B$2:$B$5000, B17, '03_BOC_TACH_VAN'!$D$2:$D$5000, "ĐỘNG_CƠ_VÀ_CẢM_BIẾN"))*0.25</f>
        <v/>
      </c>
      <c r="M17" s="14">
        <f>(K17-SUMIFS('03_BOC_TACH_VAN'!$K$2:$K$5000, '03_BOC_TACH_VAN'!$B$2:$B$5000, B17, '03_BOC_TACH_VAN'!$D$2:$D$5000, "ĐỘNG_CƠ_VÀ_CẢM_BIẾN"))*0.10</f>
        <v/>
      </c>
      <c r="N17" s="14">
        <f>K17+L17+M17</f>
        <v/>
      </c>
      <c r="O17" s="14">
        <f>IF(G17&gt;0, N17/G17, 0)</f>
        <v/>
      </c>
      <c r="P17" s="15" t="n">
        <v>0.18</v>
      </c>
      <c r="Q17" s="14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4">
        <f>G17*Q17</f>
        <v/>
      </c>
      <c r="S17" t="inlineStr">
        <is>
          <t>Van điều chỉnh lưu lượng tay gạt tôn mạ kẽm</t>
        </is>
      </c>
    </row>
    <row r="18">
      <c r="A18" t="n">
        <v>17</v>
      </c>
      <c r="B18" t="inlineStr">
        <is>
          <t>SW-DAMPER-017</t>
        </is>
      </c>
      <c r="C18" t="inlineStr">
        <is>
          <t>VAN GIÓ</t>
        </is>
      </c>
      <c r="D18" t="inlineStr">
        <is>
          <t>Van chặn lửa FD150x100</t>
        </is>
      </c>
      <c r="E18" t="inlineStr">
        <is>
          <t>150x100</t>
        </is>
      </c>
      <c r="F18" t="inlineStr">
        <is>
          <t>Cái</t>
        </is>
      </c>
      <c r="G18" s="14" t="n">
        <v>5</v>
      </c>
      <c r="H18" s="14">
        <f>SUMIF('01_BOC_TACH_ONG'!$B$2:$B$5000, B18, '01_BOC_TACH_ONG'!$K$2:$K$5000)</f>
        <v/>
      </c>
      <c r="I18" s="14">
        <f>SUMIF('02_BOC_TACH_CUA'!$B$2:$B$5000, B18, '02_BOC_TACH_CUA'!$K$2:$K$5000)</f>
        <v/>
      </c>
      <c r="J18" s="14">
        <f>SUMIF('03_BOC_TACH_VAN'!$B$2:$B$5000, B18, '03_BOC_TACH_VAN'!$K$2:$K$5000)</f>
        <v/>
      </c>
      <c r="K18" s="14">
        <f>SUM(H18:J18)</f>
        <v/>
      </c>
      <c r="L18" s="14">
        <f>(K18-SUMIFS('03_BOC_TACH_VAN'!$K$2:$K$5000, '03_BOC_TACH_VAN'!$B$2:$B$5000, B18, '03_BOC_TACH_VAN'!$D$2:$D$5000, "ĐỘNG_CƠ_VÀ_CẢM_BIẾN"))*0.25</f>
        <v/>
      </c>
      <c r="M18" s="14">
        <f>(K18-SUMIFS('03_BOC_TACH_VAN'!$K$2:$K$5000, '03_BOC_TACH_VAN'!$B$2:$B$5000, B18, '03_BOC_TACH_VAN'!$D$2:$D$5000, "ĐỘNG_CƠ_VÀ_CẢM_BIẾN"))*0.10</f>
        <v/>
      </c>
      <c r="N18" s="14">
        <f>K18+L18+M18</f>
        <v/>
      </c>
      <c r="O18" s="14">
        <f>IF(G18&gt;0, N18/G18, 0)</f>
        <v/>
      </c>
      <c r="P18" s="15" t="n">
        <v>0.18</v>
      </c>
      <c r="Q18" s="14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4">
        <f>G18*Q18</f>
        <v/>
      </c>
      <c r="S18" t="inlineStr">
        <is>
          <t>Van chặn lửa cầu chì tôn mạ kẽm</t>
        </is>
      </c>
    </row>
    <row r="19">
      <c r="A19" t="n">
        <v>18</v>
      </c>
      <c r="B19" t="inlineStr">
        <is>
          <t>SW-DIFF-018</t>
        </is>
      </c>
      <c r="C19" t="inlineStr">
        <is>
          <t>CỬA GIÓ</t>
        </is>
      </c>
      <c r="D19" t="inlineStr">
        <is>
          <t>Louver gió thải kèm LCCT 400x150</t>
        </is>
      </c>
      <c r="E19" t="inlineStr">
        <is>
          <t>400x150</t>
        </is>
      </c>
      <c r="F19" t="inlineStr">
        <is>
          <t>Cái</t>
        </is>
      </c>
      <c r="G19" s="14" t="n">
        <v>1</v>
      </c>
      <c r="H19" s="14">
        <f>SUMIF('01_BOC_TACH_ONG'!$B$2:$B$5000, B19, '01_BOC_TACH_ONG'!$K$2:$K$5000)</f>
        <v/>
      </c>
      <c r="I19" s="14">
        <f>SUMIF('02_BOC_TACH_CUA'!$B$2:$B$5000, B19, '02_BOC_TACH_CUA'!$K$2:$K$5000)</f>
        <v/>
      </c>
      <c r="J19" s="14">
        <f>SUMIF('03_BOC_TACH_VAN'!$B$2:$B$5000, B19, '03_BOC_TACH_VAN'!$K$2:$K$5000)</f>
        <v/>
      </c>
      <c r="K19" s="14">
        <f>SUM(H19:J19)</f>
        <v/>
      </c>
      <c r="L19" s="14">
        <f>(K19-SUMIFS('03_BOC_TACH_VAN'!$K$2:$K$5000, '03_BOC_TACH_VAN'!$B$2:$B$5000, B19, '03_BOC_TACH_VAN'!$D$2:$D$5000, "ĐỘNG_CƠ_VÀ_CẢM_BIẾN"))*0.25</f>
        <v/>
      </c>
      <c r="M19" s="14">
        <f>(K19-SUMIFS('03_BOC_TACH_VAN'!$K$2:$K$5000, '03_BOC_TACH_VAN'!$B$2:$B$5000, B19, '03_BOC_TACH_VAN'!$D$2:$D$5000, "ĐỘNG_CƠ_VÀ_CẢM_BIẾN"))*0.10</f>
        <v/>
      </c>
      <c r="N19" s="14">
        <f>K19+L19+M19</f>
        <v/>
      </c>
      <c r="O19" s="14">
        <f>IF(G19&gt;0, N19/G19, 0)</f>
        <v/>
      </c>
      <c r="P19" s="15" t="n">
        <v>0.18</v>
      </c>
      <c r="Q19" s="14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4">
        <f>G19*Q19</f>
        <v/>
      </c>
      <c r="S19" t="inlineStr">
        <is>
          <t>Louver nan Z ngoài trời kèm lưới chắn côn trùng Inox 304</t>
        </is>
      </c>
    </row>
    <row r="20">
      <c r="A20" t="n">
        <v>19</v>
      </c>
      <c r="B20" t="inlineStr">
        <is>
          <t>SW-DIFF-019</t>
        </is>
      </c>
      <c r="C20" t="inlineStr">
        <is>
          <t>CỬA GIÓ</t>
        </is>
      </c>
      <c r="D20" t="inlineStr">
        <is>
          <t>Miệng gió hút mùi WC 200x200</t>
        </is>
      </c>
      <c r="E20" t="inlineStr">
        <is>
          <t>200x200</t>
        </is>
      </c>
      <c r="F20" t="inlineStr">
        <is>
          <t>Cái</t>
        </is>
      </c>
      <c r="G20" s="14" t="n">
        <v>3</v>
      </c>
      <c r="H20" s="14">
        <f>SUMIF('01_BOC_TACH_ONG'!$B$2:$B$5000, B20, '01_BOC_TACH_ONG'!$K$2:$K$5000)</f>
        <v/>
      </c>
      <c r="I20" s="14">
        <f>SUMIF('02_BOC_TACH_CUA'!$B$2:$B$5000, B20, '02_BOC_TACH_CUA'!$K$2:$K$5000)</f>
        <v/>
      </c>
      <c r="J20" s="14">
        <f>SUMIF('03_BOC_TACH_VAN'!$B$2:$B$5000, B20, '03_BOC_TACH_VAN'!$K$2:$K$5000)</f>
        <v/>
      </c>
      <c r="K20" s="14">
        <f>SUM(H20:J20)</f>
        <v/>
      </c>
      <c r="L20" s="14">
        <f>(K20-SUMIFS('03_BOC_TACH_VAN'!$K$2:$K$5000, '03_BOC_TACH_VAN'!$B$2:$B$5000, B20, '03_BOC_TACH_VAN'!$D$2:$D$5000, "ĐỘNG_CƠ_VÀ_CẢM_BIẾN"))*0.25</f>
        <v/>
      </c>
      <c r="M20" s="14">
        <f>(K20-SUMIFS('03_BOC_TACH_VAN'!$K$2:$K$5000, '03_BOC_TACH_VAN'!$B$2:$B$5000, B20, '03_BOC_TACH_VAN'!$D$2:$D$5000, "ĐỘNG_CƠ_VÀ_CẢM_BIẾN"))*0.10</f>
        <v/>
      </c>
      <c r="N20" s="14">
        <f>K20+L20+M20</f>
        <v/>
      </c>
      <c r="O20" s="14">
        <f>IF(G20&gt;0, N20/G20, 0)</f>
        <v/>
      </c>
      <c r="P20" s="15" t="n">
        <v>0.18</v>
      </c>
      <c r="Q20" s="14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4">
        <f>G20*Q20</f>
        <v/>
      </c>
      <c r="S20" t="inlineStr">
        <is>
          <t>Cửa nan bầu dục 1 lớp</t>
        </is>
      </c>
    </row>
    <row r="21">
      <c r="A21" t="n">
        <v>20</v>
      </c>
      <c r="B21" t="inlineStr">
        <is>
          <t>SW-DIFF-020</t>
        </is>
      </c>
      <c r="C21" t="inlineStr">
        <is>
          <t>CỬA GIÓ</t>
        </is>
      </c>
      <c r="D21" t="inlineStr">
        <is>
          <t>Miệng gió hút mùi WC 250x250</t>
        </is>
      </c>
      <c r="E21" t="inlineStr">
        <is>
          <t>250x250</t>
        </is>
      </c>
      <c r="F21" t="inlineStr">
        <is>
          <t>Cái</t>
        </is>
      </c>
      <c r="G21" s="14" t="n">
        <v>1</v>
      </c>
      <c r="H21" s="14">
        <f>SUMIF('01_BOC_TACH_ONG'!$B$2:$B$5000, B21, '01_BOC_TACH_ONG'!$K$2:$K$5000)</f>
        <v/>
      </c>
      <c r="I21" s="14">
        <f>SUMIF('02_BOC_TACH_CUA'!$B$2:$B$5000, B21, '02_BOC_TACH_CUA'!$K$2:$K$5000)</f>
        <v/>
      </c>
      <c r="J21" s="14">
        <f>SUMIF('03_BOC_TACH_VAN'!$B$2:$B$5000, B21, '03_BOC_TACH_VAN'!$K$2:$K$5000)</f>
        <v/>
      </c>
      <c r="K21" s="14">
        <f>SUM(H21:J21)</f>
        <v/>
      </c>
      <c r="L21" s="14">
        <f>(K21-SUMIFS('03_BOC_TACH_VAN'!$K$2:$K$5000, '03_BOC_TACH_VAN'!$B$2:$B$5000, B21, '03_BOC_TACH_VAN'!$D$2:$D$5000, "ĐỘNG_CƠ_VÀ_CẢM_BIẾN"))*0.25</f>
        <v/>
      </c>
      <c r="M21" s="14">
        <f>(K21-SUMIFS('03_BOC_TACH_VAN'!$K$2:$K$5000, '03_BOC_TACH_VAN'!$B$2:$B$5000, B21, '03_BOC_TACH_VAN'!$D$2:$D$5000, "ĐỘNG_CƠ_VÀ_CẢM_BIẾN"))*0.10</f>
        <v/>
      </c>
      <c r="N21" s="14">
        <f>K21+L21+M21</f>
        <v/>
      </c>
      <c r="O21" s="14">
        <f>IF(G21&gt;0, N21/G21, 0)</f>
        <v/>
      </c>
      <c r="P21" s="15" t="n">
        <v>0.18</v>
      </c>
      <c r="Q21" s="14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4">
        <f>G21*Q21</f>
        <v/>
      </c>
      <c r="S21" t="inlineStr">
        <is>
          <t>Cửa nan bầu dục 1 lớp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Louver gió thải kèm LCCT 700x100</t>
        </is>
      </c>
      <c r="E22" t="inlineStr">
        <is>
          <t>700x100</t>
        </is>
      </c>
      <c r="F22" t="inlineStr">
        <is>
          <t>Cái</t>
        </is>
      </c>
      <c r="G22" s="14" t="n">
        <v>1</v>
      </c>
      <c r="H22" s="14">
        <f>SUMIF('01_BOC_TACH_ONG'!$B$2:$B$5000, B22, '01_BOC_TACH_ONG'!$K$2:$K$5000)</f>
        <v/>
      </c>
      <c r="I22" s="14">
        <f>SUMIF('02_BOC_TACH_CUA'!$B$2:$B$5000, B22, '02_BOC_TACH_CUA'!$K$2:$K$5000)</f>
        <v/>
      </c>
      <c r="J22" s="14">
        <f>SUMIF('03_BOC_TACH_VAN'!$B$2:$B$5000, B22, '03_BOC_TACH_VAN'!$K$2:$K$5000)</f>
        <v/>
      </c>
      <c r="K22" s="14">
        <f>SUM(H22:J22)</f>
        <v/>
      </c>
      <c r="L22" s="14">
        <f>(K22-SUMIFS('03_BOC_TACH_VAN'!$K$2:$K$5000, '03_BOC_TACH_VAN'!$B$2:$B$5000, B22, '03_BOC_TACH_VAN'!$D$2:$D$5000, "ĐỘNG_CƠ_VÀ_CẢM_BIẾN"))*0.25</f>
        <v/>
      </c>
      <c r="M22" s="14">
        <f>(K22-SUMIFS('03_BOC_TACH_VAN'!$K$2:$K$5000, '03_BOC_TACH_VAN'!$B$2:$B$5000, B22, '03_BOC_TACH_VAN'!$D$2:$D$5000, "ĐỘNG_CƠ_VÀ_CẢM_BIẾN"))*0.10</f>
        <v/>
      </c>
      <c r="N22" s="14">
        <f>K22+L22+M22</f>
        <v/>
      </c>
      <c r="O22" s="14">
        <f>IF(G22&gt;0, N22/G22, 0)</f>
        <v/>
      </c>
      <c r="P22" s="15" t="n">
        <v>0.18</v>
      </c>
      <c r="Q22" s="14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4">
        <f>G22*Q22</f>
        <v/>
      </c>
      <c r="S22" t="inlineStr">
        <is>
          <t>Louver nan Z ngoài trời kèm lưới chắn côn trùng Inox 304</t>
        </is>
      </c>
    </row>
    <row r="23">
      <c r="A23" t="n">
        <v>22</v>
      </c>
      <c r="B23" t="inlineStr">
        <is>
          <t>SW-DIFF-022</t>
        </is>
      </c>
      <c r="C23" t="inlineStr">
        <is>
          <t>CỬA GIÓ</t>
        </is>
      </c>
      <c r="D23" t="inlineStr">
        <is>
          <t>Miệng gió thải WC 200x200 kèm OBD</t>
        </is>
      </c>
      <c r="E23" t="inlineStr">
        <is>
          <t>200x200</t>
        </is>
      </c>
      <c r="F23" t="inlineStr">
        <is>
          <t>Cái</t>
        </is>
      </c>
      <c r="G23" s="14" t="n">
        <v>4</v>
      </c>
      <c r="H23" s="14">
        <f>SUMIF('01_BOC_TACH_ONG'!$B$2:$B$5000, B23, '01_BOC_TACH_ONG'!$K$2:$K$5000)</f>
        <v/>
      </c>
      <c r="I23" s="14">
        <f>SUMIF('02_BOC_TACH_CUA'!$B$2:$B$5000, B23, '02_BOC_TACH_CUA'!$K$2:$K$5000)</f>
        <v/>
      </c>
      <c r="J23" s="14">
        <f>SUMIF('03_BOC_TACH_VAN'!$B$2:$B$5000, B23, '03_BOC_TACH_VAN'!$K$2:$K$5000)</f>
        <v/>
      </c>
      <c r="K23" s="14">
        <f>SUM(H23:J23)</f>
        <v/>
      </c>
      <c r="L23" s="14">
        <f>(K23-SUMIFS('03_BOC_TACH_VAN'!$K$2:$K$5000, '03_BOC_TACH_VAN'!$B$2:$B$5000, B23, '03_BOC_TACH_VAN'!$D$2:$D$5000, "ĐỘNG_CƠ_VÀ_CẢM_BIẾN"))*0.25</f>
        <v/>
      </c>
      <c r="M23" s="14">
        <f>(K23-SUMIFS('03_BOC_TACH_VAN'!$K$2:$K$5000, '03_BOC_TACH_VAN'!$B$2:$B$5000, B23, '03_BOC_TACH_VAN'!$D$2:$D$5000, "ĐỘNG_CƠ_VÀ_CẢM_BIẾN"))*0.10</f>
        <v/>
      </c>
      <c r="N23" s="14">
        <f>K23+L23+M23</f>
        <v/>
      </c>
      <c r="O23" s="14">
        <f>IF(G23&gt;0, N23/G23, 0)</f>
        <v/>
      </c>
      <c r="P23" s="15" t="n">
        <v>0.18</v>
      </c>
      <c r="Q23" s="14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4">
        <f>G23*Q23</f>
        <v/>
      </c>
      <c r="S23" t="inlineStr">
        <is>
          <t>Cửa nan bầu dục 1 lớp kèm van OBD</t>
        </is>
      </c>
    </row>
    <row r="24">
      <c r="A24" t="n">
        <v>23</v>
      </c>
      <c r="B24" t="inlineStr">
        <is>
          <t>SW-DAMPER-023</t>
        </is>
      </c>
      <c r="C24" t="inlineStr">
        <is>
          <t>VAN GIÓ</t>
        </is>
      </c>
      <c r="D24" t="inlineStr">
        <is>
          <t>Van chặn lửa FD 100x100</t>
        </is>
      </c>
      <c r="E24" t="inlineStr">
        <is>
          <t>100x100</t>
        </is>
      </c>
      <c r="F24" t="inlineStr">
        <is>
          <t>Cái</t>
        </is>
      </c>
      <c r="G24" s="14" t="n">
        <v>2</v>
      </c>
      <c r="H24" s="14">
        <f>SUMIF('01_BOC_TACH_ONG'!$B$2:$B$5000, B24, '01_BOC_TACH_ONG'!$K$2:$K$5000)</f>
        <v/>
      </c>
      <c r="I24" s="14">
        <f>SUMIF('02_BOC_TACH_CUA'!$B$2:$B$5000, B24, '02_BOC_TACH_CUA'!$K$2:$K$5000)</f>
        <v/>
      </c>
      <c r="J24" s="14">
        <f>SUMIF('03_BOC_TACH_VAN'!$B$2:$B$5000, B24, '03_BOC_TACH_VAN'!$K$2:$K$5000)</f>
        <v/>
      </c>
      <c r="K24" s="14">
        <f>SUM(H24:J24)</f>
        <v/>
      </c>
      <c r="L24" s="14">
        <f>(K24-SUMIFS('03_BOC_TACH_VAN'!$K$2:$K$5000, '03_BOC_TACH_VAN'!$B$2:$B$5000, B24, '03_BOC_TACH_VAN'!$D$2:$D$5000, "ĐỘNG_CƠ_VÀ_CẢM_BIẾN"))*0.25</f>
        <v/>
      </c>
      <c r="M24" s="14">
        <f>(K24-SUMIFS('03_BOC_TACH_VAN'!$K$2:$K$5000, '03_BOC_TACH_VAN'!$B$2:$B$5000, B24, '03_BOC_TACH_VAN'!$D$2:$D$5000, "ĐỘNG_CƠ_VÀ_CẢM_BIẾN"))*0.10</f>
        <v/>
      </c>
      <c r="N24" s="14">
        <f>K24+L24+M24</f>
        <v/>
      </c>
      <c r="O24" s="14">
        <f>IF(G24&gt;0, N24/G24, 0)</f>
        <v/>
      </c>
      <c r="P24" s="15" t="n">
        <v>0.18</v>
      </c>
      <c r="Q24" s="14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4">
        <f>G24*Q24</f>
        <v/>
      </c>
      <c r="S24" t="inlineStr">
        <is>
          <t>Van chặn lửa cầu chì tôn mạ kẽm</t>
        </is>
      </c>
    </row>
    <row r="25">
      <c r="A25" t="n">
        <v>24</v>
      </c>
      <c r="B25" t="inlineStr">
        <is>
          <t>SW-DAMPER-024</t>
        </is>
      </c>
      <c r="C25" t="inlineStr">
        <is>
          <t>VAN GIÓ</t>
        </is>
      </c>
      <c r="D25" t="inlineStr">
        <is>
          <t>Van chặn lửa FD 200x200</t>
        </is>
      </c>
      <c r="E25" t="inlineStr">
        <is>
          <t>200x200</t>
        </is>
      </c>
      <c r="F25" t="inlineStr">
        <is>
          <t>Cái</t>
        </is>
      </c>
      <c r="G25" s="14" t="n">
        <v>1</v>
      </c>
      <c r="H25" s="14">
        <f>SUMIF('01_BOC_TACH_ONG'!$B$2:$B$5000, B25, '01_BOC_TACH_ONG'!$K$2:$K$5000)</f>
        <v/>
      </c>
      <c r="I25" s="14">
        <f>SUMIF('02_BOC_TACH_CUA'!$B$2:$B$5000, B25, '02_BOC_TACH_CUA'!$K$2:$K$5000)</f>
        <v/>
      </c>
      <c r="J25" s="14">
        <f>SUMIF('03_BOC_TACH_VAN'!$B$2:$B$5000, B25, '03_BOC_TACH_VAN'!$K$2:$K$5000)</f>
        <v/>
      </c>
      <c r="K25" s="14">
        <f>SUM(H25:J25)</f>
        <v/>
      </c>
      <c r="L25" s="14">
        <f>(K25-SUMIFS('03_BOC_TACH_VAN'!$K$2:$K$5000, '03_BOC_TACH_VAN'!$B$2:$B$5000, B25, '03_BOC_TACH_VAN'!$D$2:$D$5000, "ĐỘNG_CƠ_VÀ_CẢM_BIẾN"))*0.25</f>
        <v/>
      </c>
      <c r="M25" s="14">
        <f>(K25-SUMIFS('03_BOC_TACH_VAN'!$K$2:$K$5000, '03_BOC_TACH_VAN'!$B$2:$B$5000, B25, '03_BOC_TACH_VAN'!$D$2:$D$5000, "ĐỘNG_CƠ_VÀ_CẢM_BIẾN"))*0.10</f>
        <v/>
      </c>
      <c r="N25" s="14">
        <f>K25+L25+M25</f>
        <v/>
      </c>
      <c r="O25" s="14">
        <f>IF(G25&gt;0, N25/G25, 0)</f>
        <v/>
      </c>
      <c r="P25" s="15" t="n">
        <v>0.18</v>
      </c>
      <c r="Q25" s="14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4">
        <f>G25*Q25</f>
        <v/>
      </c>
      <c r="S25" t="inlineStr">
        <is>
          <t>Van chặn lửa cầu chì tôn mạ kẽm</t>
        </is>
      </c>
    </row>
    <row r="26">
      <c r="A26" t="n">
        <v>25</v>
      </c>
      <c r="B26" t="inlineStr">
        <is>
          <t>SW-DIFF-025</t>
        </is>
      </c>
      <c r="C26" t="inlineStr">
        <is>
          <t>CỬA GIÓ</t>
        </is>
      </c>
      <c r="D26" t="inlineStr">
        <is>
          <t>Louver gió tươi kèm LCCT 800x250</t>
        </is>
      </c>
      <c r="E26" t="inlineStr">
        <is>
          <t>800x250</t>
        </is>
      </c>
      <c r="F26" t="inlineStr">
        <is>
          <t>Cái</t>
        </is>
      </c>
      <c r="G26" s="14" t="n">
        <v>1</v>
      </c>
      <c r="H26" s="14">
        <f>SUMIF('01_BOC_TACH_ONG'!$B$2:$B$5000, B26, '01_BOC_TACH_ONG'!$K$2:$K$5000)</f>
        <v/>
      </c>
      <c r="I26" s="14">
        <f>SUMIF('02_BOC_TACH_CUA'!$B$2:$B$5000, B26, '02_BOC_TACH_CUA'!$K$2:$K$5000)</f>
        <v/>
      </c>
      <c r="J26" s="14">
        <f>SUMIF('03_BOC_TACH_VAN'!$B$2:$B$5000, B26, '03_BOC_TACH_VAN'!$K$2:$K$5000)</f>
        <v/>
      </c>
      <c r="K26" s="14">
        <f>SUM(H26:J26)</f>
        <v/>
      </c>
      <c r="L26" s="14">
        <f>(K26-SUMIFS('03_BOC_TACH_VAN'!$K$2:$K$5000, '03_BOC_TACH_VAN'!$B$2:$B$5000, B26, '03_BOC_TACH_VAN'!$D$2:$D$5000, "ĐỘNG_CƠ_VÀ_CẢM_BIẾN"))*0.25</f>
        <v/>
      </c>
      <c r="M26" s="14">
        <f>(K26-SUMIFS('03_BOC_TACH_VAN'!$K$2:$K$5000, '03_BOC_TACH_VAN'!$B$2:$B$5000, B26, '03_BOC_TACH_VAN'!$D$2:$D$5000, "ĐỘNG_CƠ_VÀ_CẢM_BIẾN"))*0.10</f>
        <v/>
      </c>
      <c r="N26" s="14">
        <f>K26+L26+M26</f>
        <v/>
      </c>
      <c r="O26" s="14">
        <f>IF(G26&gt;0, N26/G26, 0)</f>
        <v/>
      </c>
      <c r="P26" s="15" t="n">
        <v>0.18</v>
      </c>
      <c r="Q26" s="14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4">
        <f>G26*Q26</f>
        <v/>
      </c>
      <c r="S26" t="inlineStr">
        <is>
          <t>Louver nan Z ngoài trời kèm lưới chắn côn trùng Inox 304</t>
        </is>
      </c>
    </row>
    <row r="27">
      <c r="A27" t="n">
        <v>26</v>
      </c>
      <c r="B27" t="inlineStr">
        <is>
          <t>SW-DAMPER-026</t>
        </is>
      </c>
      <c r="C27" t="inlineStr">
        <is>
          <t>VAN GIÓ</t>
        </is>
      </c>
      <c r="D27" t="inlineStr">
        <is>
          <t>VCD 150</t>
        </is>
      </c>
      <c r="E27" t="inlineStr">
        <is>
          <t>D150</t>
        </is>
      </c>
      <c r="F27" t="inlineStr">
        <is>
          <t>Cái</t>
        </is>
      </c>
      <c r="G27" s="14" t="n">
        <v>7</v>
      </c>
      <c r="H27" s="14">
        <f>SUMIF('01_BOC_TACH_ONG'!$B$2:$B$5000, B27, '01_BOC_TACH_ONG'!$K$2:$K$5000)</f>
        <v/>
      </c>
      <c r="I27" s="14">
        <f>SUMIF('02_BOC_TACH_CUA'!$B$2:$B$5000, B27, '02_BOC_TACH_CUA'!$K$2:$K$5000)</f>
        <v/>
      </c>
      <c r="J27" s="14">
        <f>SUMIF('03_BOC_TACH_VAN'!$B$2:$B$5000, B27, '03_BOC_TACH_VAN'!$K$2:$K$5000)</f>
        <v/>
      </c>
      <c r="K27" s="14">
        <f>SUM(H27:J27)</f>
        <v/>
      </c>
      <c r="L27" s="14">
        <f>(K27-SUMIFS('03_BOC_TACH_VAN'!$K$2:$K$5000, '03_BOC_TACH_VAN'!$B$2:$B$5000, B27, '03_BOC_TACH_VAN'!$D$2:$D$5000, "ĐỘNG_CƠ_VÀ_CẢM_BIẾN"))*0.25</f>
        <v/>
      </c>
      <c r="M27" s="14">
        <f>(K27-SUMIFS('03_BOC_TACH_VAN'!$K$2:$K$5000, '03_BOC_TACH_VAN'!$B$2:$B$5000, B27, '03_BOC_TACH_VAN'!$D$2:$D$5000, "ĐỘNG_CƠ_VÀ_CẢM_BIẾN"))*0.10</f>
        <v/>
      </c>
      <c r="N27" s="14">
        <f>K27+L27+M27</f>
        <v/>
      </c>
      <c r="O27" s="14">
        <f>IF(G27&gt;0, N27/G27, 0)</f>
        <v/>
      </c>
      <c r="P27" s="15" t="n">
        <v>0.18</v>
      </c>
      <c r="Q27" s="14">
        <f>IF(G27&gt;0, ((N27-SUMIFS('03_BOC_TACH_VAN'!$K$2:$K$5000, '03_BOC_TACH_VAN'!$B$2:$B$5000, B27, '03_BOC_TACH_VAN'!$D$2:$D$5000, "ĐỘNG_CƠ_VÀ_CẢM_BIẾN"))*(1+P27)+SUMIFS('03_BOC_TACH_VAN'!$K$2:$K$5000, '03_BOC_TACH_VAN'!$B$2:$B$5000, B27, '03_BOC_TACH_VAN'!$D$2:$D$5000, "ĐỘNG_CƠ_VÀ_CẢM_BIẾN"))/G27, 0)</f>
        <v/>
      </c>
      <c r="R27" s="14">
        <f>G27*Q27</f>
        <v/>
      </c>
      <c r="S27" t="inlineStr">
        <is>
          <t>Van điều chỉnh lưu lượng tay gạt tôn mạ kẽm</t>
        </is>
      </c>
    </row>
    <row r="28">
      <c r="A28" t="n">
        <v>27</v>
      </c>
      <c r="B28" t="inlineStr">
        <is>
          <t>SW-DAMPER-027</t>
        </is>
      </c>
      <c r="C28" t="inlineStr">
        <is>
          <t>VAN GIÓ</t>
        </is>
      </c>
      <c r="D28" t="inlineStr">
        <is>
          <t>Van chặn lửa FD550x200</t>
        </is>
      </c>
      <c r="E28" t="inlineStr">
        <is>
          <t>550x200</t>
        </is>
      </c>
      <c r="F28" t="inlineStr">
        <is>
          <t>Cái</t>
        </is>
      </c>
      <c r="G28" s="14" t="n">
        <v>1</v>
      </c>
      <c r="H28" s="14">
        <f>SUMIF('01_BOC_TACH_ONG'!$B$2:$B$5000, B28, '01_BOC_TACH_ONG'!$K$2:$K$5000)</f>
        <v/>
      </c>
      <c r="I28" s="14">
        <f>SUMIF('02_BOC_TACH_CUA'!$B$2:$B$5000, B28, '02_BOC_TACH_CUA'!$K$2:$K$5000)</f>
        <v/>
      </c>
      <c r="J28" s="14">
        <f>SUMIF('03_BOC_TACH_VAN'!$B$2:$B$5000, B28, '03_BOC_TACH_VAN'!$K$2:$K$5000)</f>
        <v/>
      </c>
      <c r="K28" s="14">
        <f>SUM(H28:J28)</f>
        <v/>
      </c>
      <c r="L28" s="14">
        <f>(K28-SUMIFS('03_BOC_TACH_VAN'!$K$2:$K$5000, '03_BOC_TACH_VAN'!$B$2:$B$5000, B28, '03_BOC_TACH_VAN'!$D$2:$D$5000, "ĐỘNG_CƠ_VÀ_CẢM_BIẾN"))*0.25</f>
        <v/>
      </c>
      <c r="M28" s="14">
        <f>(K28-SUMIFS('03_BOC_TACH_VAN'!$K$2:$K$5000, '03_BOC_TACH_VAN'!$B$2:$B$5000, B28, '03_BOC_TACH_VAN'!$D$2:$D$5000, "ĐỘNG_CƠ_VÀ_CẢM_BIẾN"))*0.10</f>
        <v/>
      </c>
      <c r="N28" s="14">
        <f>K28+L28+M28</f>
        <v/>
      </c>
      <c r="O28" s="14">
        <f>IF(G28&gt;0, N28/G28, 0)</f>
        <v/>
      </c>
      <c r="P28" s="15" t="n">
        <v>0.18</v>
      </c>
      <c r="Q28" s="14">
        <f>IF(G28&gt;0, ((N28-SUMIFS('03_BOC_TACH_VAN'!$K$2:$K$5000, '03_BOC_TACH_VAN'!$B$2:$B$5000, B28, '03_BOC_TACH_VAN'!$D$2:$D$5000, "ĐỘNG_CƠ_VÀ_CẢM_BIẾN"))*(1+P28)+SUMIFS('03_BOC_TACH_VAN'!$K$2:$K$5000, '03_BOC_TACH_VAN'!$B$2:$B$5000, B28, '03_BOC_TACH_VAN'!$D$2:$D$5000, "ĐỘNG_CƠ_VÀ_CẢM_BIẾN"))/G28, 0)</f>
        <v/>
      </c>
      <c r="R28" s="14">
        <f>G28*Q28</f>
        <v/>
      </c>
      <c r="S28" t="inlineStr">
        <is>
          <t>Van chặn lửa cầu chì tôn mạ kẽm</t>
        </is>
      </c>
    </row>
    <row r="29">
      <c r="A29" t="n">
        <v>28</v>
      </c>
      <c r="B29" t="inlineStr">
        <is>
          <t>SW-DAMPER-028</t>
        </is>
      </c>
      <c r="C29" t="inlineStr">
        <is>
          <t>VAN GIÓ</t>
        </is>
      </c>
      <c r="D29" t="inlineStr">
        <is>
          <t>Van chặn lửa FD250x100</t>
        </is>
      </c>
      <c r="E29" t="inlineStr">
        <is>
          <t>250x100</t>
        </is>
      </c>
      <c r="F29" t="inlineStr">
        <is>
          <t>Cái</t>
        </is>
      </c>
      <c r="G29" s="14" t="n">
        <v>3</v>
      </c>
      <c r="H29" s="14">
        <f>SUMIF('01_BOC_TACH_ONG'!$B$2:$B$5000, B29, '01_BOC_TACH_ONG'!$K$2:$K$5000)</f>
        <v/>
      </c>
      <c r="I29" s="14">
        <f>SUMIF('02_BOC_TACH_CUA'!$B$2:$B$5000, B29, '02_BOC_TACH_CUA'!$K$2:$K$5000)</f>
        <v/>
      </c>
      <c r="J29" s="14">
        <f>SUMIF('03_BOC_TACH_VAN'!$B$2:$B$5000, B29, '03_BOC_TACH_VAN'!$K$2:$K$5000)</f>
        <v/>
      </c>
      <c r="K29" s="14">
        <f>SUM(H29:J29)</f>
        <v/>
      </c>
      <c r="L29" s="14">
        <f>(K29-SUMIFS('03_BOC_TACH_VAN'!$K$2:$K$5000, '03_BOC_TACH_VAN'!$B$2:$B$5000, B29, '03_BOC_TACH_VAN'!$D$2:$D$5000, "ĐỘNG_CƠ_VÀ_CẢM_BIẾN"))*0.25</f>
        <v/>
      </c>
      <c r="M29" s="14">
        <f>(K29-SUMIFS('03_BOC_TACH_VAN'!$K$2:$K$5000, '03_BOC_TACH_VAN'!$B$2:$B$5000, B29, '03_BOC_TACH_VAN'!$D$2:$D$5000, "ĐỘNG_CƠ_VÀ_CẢM_BIẾN"))*0.10</f>
        <v/>
      </c>
      <c r="N29" s="14">
        <f>K29+L29+M29</f>
        <v/>
      </c>
      <c r="O29" s="14">
        <f>IF(G29&gt;0, N29/G29, 0)</f>
        <v/>
      </c>
      <c r="P29" s="15" t="n">
        <v>0.18</v>
      </c>
      <c r="Q29" s="14">
        <f>IF(G29&gt;0, ((N29-SUMIFS('03_BOC_TACH_VAN'!$K$2:$K$5000, '03_BOC_TACH_VAN'!$B$2:$B$5000, B29, '03_BOC_TACH_VAN'!$D$2:$D$5000, "ĐỘNG_CƠ_VÀ_CẢM_BIẾN"))*(1+P29)+SUMIFS('03_BOC_TACH_VAN'!$K$2:$K$5000, '03_BOC_TACH_VAN'!$B$2:$B$5000, B29, '03_BOC_TACH_VAN'!$D$2:$D$5000, "ĐỘNG_CƠ_VÀ_CẢM_BIẾN"))/G29, 0)</f>
        <v/>
      </c>
      <c r="R29" s="14">
        <f>G29*Q29</f>
        <v/>
      </c>
      <c r="S29" t="inlineStr">
        <is>
          <t>Van chặn lửa cầu chì tôn mạ kẽm</t>
        </is>
      </c>
    </row>
    <row r="30">
      <c r="A30" t="n">
        <v>29</v>
      </c>
      <c r="B30" t="inlineStr">
        <is>
          <t>SW-DAMPER-029</t>
        </is>
      </c>
      <c r="C30" t="inlineStr">
        <is>
          <t>VAN GIÓ</t>
        </is>
      </c>
      <c r="D30" t="inlineStr">
        <is>
          <t>Van chặn lửa FD150x100</t>
        </is>
      </c>
      <c r="E30" t="inlineStr">
        <is>
          <t>150x100</t>
        </is>
      </c>
      <c r="F30" t="inlineStr">
        <is>
          <t>Cái</t>
        </is>
      </c>
      <c r="G30" s="14" t="n">
        <v>2</v>
      </c>
      <c r="H30" s="14">
        <f>SUMIF('01_BOC_TACH_ONG'!$B$2:$B$5000, B30, '01_BOC_TACH_ONG'!$K$2:$K$5000)</f>
        <v/>
      </c>
      <c r="I30" s="14">
        <f>SUMIF('02_BOC_TACH_CUA'!$B$2:$B$5000, B30, '02_BOC_TACH_CUA'!$K$2:$K$5000)</f>
        <v/>
      </c>
      <c r="J30" s="14">
        <f>SUMIF('03_BOC_TACH_VAN'!$B$2:$B$5000, B30, '03_BOC_TACH_VAN'!$K$2:$K$5000)</f>
        <v/>
      </c>
      <c r="K30" s="14">
        <f>SUM(H30:J30)</f>
        <v/>
      </c>
      <c r="L30" s="14">
        <f>(K30-SUMIFS('03_BOC_TACH_VAN'!$K$2:$K$5000, '03_BOC_TACH_VAN'!$B$2:$B$5000, B30, '03_BOC_TACH_VAN'!$D$2:$D$5000, "ĐỘNG_CƠ_VÀ_CẢM_BIẾN"))*0.25</f>
        <v/>
      </c>
      <c r="M30" s="14">
        <f>(K30-SUMIFS('03_BOC_TACH_VAN'!$K$2:$K$5000, '03_BOC_TACH_VAN'!$B$2:$B$5000, B30, '03_BOC_TACH_VAN'!$D$2:$D$5000, "ĐỘNG_CƠ_VÀ_CẢM_BIẾN"))*0.10</f>
        <v/>
      </c>
      <c r="N30" s="14">
        <f>K30+L30+M30</f>
        <v/>
      </c>
      <c r="O30" s="14">
        <f>IF(G30&gt;0, N30/G30, 0)</f>
        <v/>
      </c>
      <c r="P30" s="15" t="n">
        <v>0.18</v>
      </c>
      <c r="Q30" s="14">
        <f>IF(G30&gt;0, ((N30-SUMIFS('03_BOC_TACH_VAN'!$K$2:$K$5000, '03_BOC_TACH_VAN'!$B$2:$B$5000, B30, '03_BOC_TACH_VAN'!$D$2:$D$5000, "ĐỘNG_CƠ_VÀ_CẢM_BIẾN"))*(1+P30)+SUMIFS('03_BOC_TACH_VAN'!$K$2:$K$5000, '03_BOC_TACH_VAN'!$B$2:$B$5000, B30, '03_BOC_TACH_VAN'!$D$2:$D$5000, "ĐỘNG_CƠ_VÀ_CẢM_BIẾN"))/G30, 0)</f>
        <v/>
      </c>
      <c r="R30" s="14">
        <f>G30*Q30</f>
        <v/>
      </c>
      <c r="S30" t="inlineStr">
        <is>
          <t>Van chặn lửa cầu chì tôn mạ kẽm</t>
        </is>
      </c>
    </row>
    <row r="31">
      <c r="A31" t="n">
        <v>30</v>
      </c>
      <c r="B31" t="inlineStr">
        <is>
          <t>SW-DIFF-030</t>
        </is>
      </c>
      <c r="C31" t="inlineStr">
        <is>
          <t>CỬA GIÓ</t>
        </is>
      </c>
      <c r="D31" t="inlineStr">
        <is>
          <t>Louver gió thải kèm LCCT 250x150</t>
        </is>
      </c>
      <c r="E31" t="inlineStr">
        <is>
          <t>250x150</t>
        </is>
      </c>
      <c r="F31" t="inlineStr">
        <is>
          <t>Cái</t>
        </is>
      </c>
      <c r="G31" s="14" t="n">
        <v>1</v>
      </c>
      <c r="H31" s="14">
        <f>SUMIF('01_BOC_TACH_ONG'!$B$2:$B$5000, B31, '01_BOC_TACH_ONG'!$K$2:$K$5000)</f>
        <v/>
      </c>
      <c r="I31" s="14">
        <f>SUMIF('02_BOC_TACH_CUA'!$B$2:$B$5000, B31, '02_BOC_TACH_CUA'!$K$2:$K$5000)</f>
        <v/>
      </c>
      <c r="J31" s="14">
        <f>SUMIF('03_BOC_TACH_VAN'!$B$2:$B$5000, B31, '03_BOC_TACH_VAN'!$K$2:$K$5000)</f>
        <v/>
      </c>
      <c r="K31" s="14">
        <f>SUM(H31:J31)</f>
        <v/>
      </c>
      <c r="L31" s="14">
        <f>(K31-SUMIFS('03_BOC_TACH_VAN'!$K$2:$K$5000, '03_BOC_TACH_VAN'!$B$2:$B$5000, B31, '03_BOC_TACH_VAN'!$D$2:$D$5000, "ĐỘNG_CƠ_VÀ_CẢM_BIẾN"))*0.25</f>
        <v/>
      </c>
      <c r="M31" s="14">
        <f>(K31-SUMIFS('03_BOC_TACH_VAN'!$K$2:$K$5000, '03_BOC_TACH_VAN'!$B$2:$B$5000, B31, '03_BOC_TACH_VAN'!$D$2:$D$5000, "ĐỘNG_CƠ_VÀ_CẢM_BIẾN"))*0.10</f>
        <v/>
      </c>
      <c r="N31" s="14">
        <f>K31+L31+M31</f>
        <v/>
      </c>
      <c r="O31" s="14">
        <f>IF(G31&gt;0, N31/G31, 0)</f>
        <v/>
      </c>
      <c r="P31" s="15" t="n">
        <v>0.18</v>
      </c>
      <c r="Q31" s="14">
        <f>IF(G31&gt;0, ((N31-SUMIFS('03_BOC_TACH_VAN'!$K$2:$K$5000, '03_BOC_TACH_VAN'!$B$2:$B$5000, B31, '03_BOC_TACH_VAN'!$D$2:$D$5000, "ĐỘNG_CƠ_VÀ_CẢM_BIẾN"))*(1+P31)+SUMIFS('03_BOC_TACH_VAN'!$K$2:$K$5000, '03_BOC_TACH_VAN'!$B$2:$B$5000, B31, '03_BOC_TACH_VAN'!$D$2:$D$5000, "ĐỘNG_CƠ_VÀ_CẢM_BIẾN"))/G31, 0)</f>
        <v/>
      </c>
      <c r="R31" s="14">
        <f>G31*Q31</f>
        <v/>
      </c>
      <c r="S31" t="inlineStr">
        <is>
          <t>Louver nan Z ngoài trời kèm lưới chắn côn trùng Inox 304</t>
        </is>
      </c>
    </row>
    <row r="32">
      <c r="A32" t="n">
        <v>31</v>
      </c>
      <c r="B32" t="inlineStr">
        <is>
          <t>SW-DIFF-031</t>
        </is>
      </c>
      <c r="C32" t="inlineStr">
        <is>
          <t>CỬA GIÓ</t>
        </is>
      </c>
      <c r="D32" t="inlineStr">
        <is>
          <t>Miệng gió thải WC 200x200 kèm OBD</t>
        </is>
      </c>
      <c r="E32" t="inlineStr">
        <is>
          <t>200x200</t>
        </is>
      </c>
      <c r="F32" t="inlineStr">
        <is>
          <t>Cái</t>
        </is>
      </c>
      <c r="G32" s="14" t="n">
        <v>3</v>
      </c>
      <c r="H32" s="14">
        <f>SUMIF('01_BOC_TACH_ONG'!$B$2:$B$5000, B32, '01_BOC_TACH_ONG'!$K$2:$K$5000)</f>
        <v/>
      </c>
      <c r="I32" s="14">
        <f>SUMIF('02_BOC_TACH_CUA'!$B$2:$B$5000, B32, '02_BOC_TACH_CUA'!$K$2:$K$5000)</f>
        <v/>
      </c>
      <c r="J32" s="14">
        <f>SUMIF('03_BOC_TACH_VAN'!$B$2:$B$5000, B32, '03_BOC_TACH_VAN'!$K$2:$K$5000)</f>
        <v/>
      </c>
      <c r="K32" s="14">
        <f>SUM(H32:J32)</f>
        <v/>
      </c>
      <c r="L32" s="14">
        <f>(K32-SUMIFS('03_BOC_TACH_VAN'!$K$2:$K$5000, '03_BOC_TACH_VAN'!$B$2:$B$5000, B32, '03_BOC_TACH_VAN'!$D$2:$D$5000, "ĐỘNG_CƠ_VÀ_CẢM_BIẾN"))*0.25</f>
        <v/>
      </c>
      <c r="M32" s="14">
        <f>(K32-SUMIFS('03_BOC_TACH_VAN'!$K$2:$K$5000, '03_BOC_TACH_VAN'!$B$2:$B$5000, B32, '03_BOC_TACH_VAN'!$D$2:$D$5000, "ĐỘNG_CƠ_VÀ_CẢM_BIẾN"))*0.10</f>
        <v/>
      </c>
      <c r="N32" s="14">
        <f>K32+L32+M32</f>
        <v/>
      </c>
      <c r="O32" s="14">
        <f>IF(G32&gt;0, N32/G32, 0)</f>
        <v/>
      </c>
      <c r="P32" s="15" t="n">
        <v>0.18</v>
      </c>
      <c r="Q32" s="14">
        <f>IF(G32&gt;0, ((N32-SUMIFS('03_BOC_TACH_VAN'!$K$2:$K$5000, '03_BOC_TACH_VAN'!$B$2:$B$5000, B32, '03_BOC_TACH_VAN'!$D$2:$D$5000, "ĐỘNG_CƠ_VÀ_CẢM_BIẾN"))*(1+P32)+SUMIFS('03_BOC_TACH_VAN'!$K$2:$K$5000, '03_BOC_TACH_VAN'!$B$2:$B$5000, B32, '03_BOC_TACH_VAN'!$D$2:$D$5000, "ĐỘNG_CƠ_VÀ_CẢM_BIẾN"))/G32, 0)</f>
        <v/>
      </c>
      <c r="R32" s="14">
        <f>G32*Q32</f>
        <v/>
      </c>
      <c r="S32" t="inlineStr">
        <is>
          <t>Cửa nan bầu dục 1 lớp kèm van OBD</t>
        </is>
      </c>
    </row>
    <row r="33">
      <c r="A33" t="n">
        <v>32</v>
      </c>
      <c r="B33" t="inlineStr">
        <is>
          <t>SW-DIFF-032</t>
        </is>
      </c>
      <c r="C33" t="inlineStr">
        <is>
          <t>CỬA GIÓ</t>
        </is>
      </c>
      <c r="D33" t="inlineStr">
        <is>
          <t>Louver gió tươi kèm LCCT 300x150</t>
        </is>
      </c>
      <c r="E33" t="inlineStr">
        <is>
          <t>300x150</t>
        </is>
      </c>
      <c r="F33" t="inlineStr">
        <is>
          <t>Cái</t>
        </is>
      </c>
      <c r="G33" s="14" t="n">
        <v>1</v>
      </c>
      <c r="H33" s="14">
        <f>SUMIF('01_BOC_TACH_ONG'!$B$2:$B$5000, B33, '01_BOC_TACH_ONG'!$K$2:$K$5000)</f>
        <v/>
      </c>
      <c r="I33" s="14">
        <f>SUMIF('02_BOC_TACH_CUA'!$B$2:$B$5000, B33, '02_BOC_TACH_CUA'!$K$2:$K$5000)</f>
        <v/>
      </c>
      <c r="J33" s="14">
        <f>SUMIF('03_BOC_TACH_VAN'!$B$2:$B$5000, B33, '03_BOC_TACH_VAN'!$K$2:$K$5000)</f>
        <v/>
      </c>
      <c r="K33" s="14">
        <f>SUM(H33:J33)</f>
        <v/>
      </c>
      <c r="L33" s="14">
        <f>(K33-SUMIFS('03_BOC_TACH_VAN'!$K$2:$K$5000, '03_BOC_TACH_VAN'!$B$2:$B$5000, B33, '03_BOC_TACH_VAN'!$D$2:$D$5000, "ĐỘNG_CƠ_VÀ_CẢM_BIẾN"))*0.25</f>
        <v/>
      </c>
      <c r="M33" s="14">
        <f>(K33-SUMIFS('03_BOC_TACH_VAN'!$K$2:$K$5000, '03_BOC_TACH_VAN'!$B$2:$B$5000, B33, '03_BOC_TACH_VAN'!$D$2:$D$5000, "ĐỘNG_CƠ_VÀ_CẢM_BIẾN"))*0.10</f>
        <v/>
      </c>
      <c r="N33" s="14">
        <f>K33+L33+M33</f>
        <v/>
      </c>
      <c r="O33" s="14">
        <f>IF(G33&gt;0, N33/G33, 0)</f>
        <v/>
      </c>
      <c r="P33" s="15" t="n">
        <v>0.18</v>
      </c>
      <c r="Q33" s="14">
        <f>IF(G33&gt;0, ((N33-SUMIFS('03_BOC_TACH_VAN'!$K$2:$K$5000, '03_BOC_TACH_VAN'!$B$2:$B$5000, B33, '03_BOC_TACH_VAN'!$D$2:$D$5000, "ĐỘNG_CƠ_VÀ_CẢM_BIẾN"))*(1+P33)+SUMIFS('03_BOC_TACH_VAN'!$K$2:$K$5000, '03_BOC_TACH_VAN'!$B$2:$B$5000, B33, '03_BOC_TACH_VAN'!$D$2:$D$5000, "ĐỘNG_CƠ_VÀ_CẢM_BIẾN"))/G33, 0)</f>
        <v/>
      </c>
      <c r="R33" s="14">
        <f>G33*Q33</f>
        <v/>
      </c>
      <c r="S33" t="inlineStr">
        <is>
          <t>Louver nan Z ngoài trời kèm lưới chắn côn trùng Inox 304</t>
        </is>
      </c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VCD 150</t>
        </is>
      </c>
      <c r="E34" t="inlineStr">
        <is>
          <t>D150</t>
        </is>
      </c>
      <c r="F34" t="inlineStr">
        <is>
          <t>Cái</t>
        </is>
      </c>
      <c r="G34" s="14" t="n">
        <v>4</v>
      </c>
      <c r="H34" s="14">
        <f>SUMIF('01_BOC_TACH_ONG'!$B$2:$B$5000, B34, '01_BOC_TACH_ONG'!$K$2:$K$5000)</f>
        <v/>
      </c>
      <c r="I34" s="14">
        <f>SUMIF('02_BOC_TACH_CUA'!$B$2:$B$5000, B34, '02_BOC_TACH_CUA'!$K$2:$K$5000)</f>
        <v/>
      </c>
      <c r="J34" s="14">
        <f>SUMIF('03_BOC_TACH_VAN'!$B$2:$B$5000, B34, '03_BOC_TACH_VAN'!$K$2:$K$5000)</f>
        <v/>
      </c>
      <c r="K34" s="14">
        <f>SUM(H34:J34)</f>
        <v/>
      </c>
      <c r="L34" s="14">
        <f>(K34-SUMIFS('03_BOC_TACH_VAN'!$K$2:$K$5000, '03_BOC_TACH_VAN'!$B$2:$B$5000, B34, '03_BOC_TACH_VAN'!$D$2:$D$5000, "ĐỘNG_CƠ_VÀ_CẢM_BIẾN"))*0.25</f>
        <v/>
      </c>
      <c r="M34" s="14">
        <f>(K34-SUMIFS('03_BOC_TACH_VAN'!$K$2:$K$5000, '03_BOC_TACH_VAN'!$B$2:$B$5000, B34, '03_BOC_TACH_VAN'!$D$2:$D$5000, "ĐỘNG_CƠ_VÀ_CẢM_BIẾN"))*0.10</f>
        <v/>
      </c>
      <c r="N34" s="14">
        <f>K34+L34+M34</f>
        <v/>
      </c>
      <c r="O34" s="14">
        <f>IF(G34&gt;0, N34/G34, 0)</f>
        <v/>
      </c>
      <c r="P34" s="15" t="n">
        <v>0.18</v>
      </c>
      <c r="Q34" s="14">
        <f>IF(G34&gt;0, ((N34-SUMIFS('03_BOC_TACH_VAN'!$K$2:$K$5000, '03_BOC_TACH_VAN'!$B$2:$B$5000, B34, '03_BOC_TACH_VAN'!$D$2:$D$5000, "ĐỘNG_CƠ_VÀ_CẢM_BIẾN"))*(1+P34)+SUMIFS('03_BOC_TACH_VAN'!$K$2:$K$5000, '03_BOC_TACH_VAN'!$B$2:$B$5000, B34, '03_BOC_TACH_VAN'!$D$2:$D$5000, "ĐỘNG_CƠ_VÀ_CẢM_BIẾN"))/G34, 0)</f>
        <v/>
      </c>
      <c r="R34" s="14">
        <f>G34*Q34</f>
        <v/>
      </c>
      <c r="S34" t="inlineStr">
        <is>
          <t>Van điều chỉnh lưu lượng tay gạt tôn mạ kẽm</t>
        </is>
      </c>
    </row>
    <row r="35">
      <c r="A35" t="n">
        <v>34</v>
      </c>
      <c r="B35" t="inlineStr">
        <is>
          <t>SW-DIFF-034</t>
        </is>
      </c>
      <c r="C35" t="inlineStr">
        <is>
          <t>CỬA GIÓ</t>
        </is>
      </c>
      <c r="D35" t="inlineStr">
        <is>
          <t>Louver gió tươi kèm LCCT 300x150</t>
        </is>
      </c>
      <c r="E35" t="inlineStr">
        <is>
          <t>300x150</t>
        </is>
      </c>
      <c r="F35" t="inlineStr">
        <is>
          <t>Cái</t>
        </is>
      </c>
      <c r="G35" s="14" t="n">
        <v>1</v>
      </c>
      <c r="H35" s="14">
        <f>SUMIF('01_BOC_TACH_ONG'!$B$2:$B$5000, B35, '01_BOC_TACH_ONG'!$K$2:$K$5000)</f>
        <v/>
      </c>
      <c r="I35" s="14">
        <f>SUMIF('02_BOC_TACH_CUA'!$B$2:$B$5000, B35, '02_BOC_TACH_CUA'!$K$2:$K$5000)</f>
        <v/>
      </c>
      <c r="J35" s="14">
        <f>SUMIF('03_BOC_TACH_VAN'!$B$2:$B$5000, B35, '03_BOC_TACH_VAN'!$K$2:$K$5000)</f>
        <v/>
      </c>
      <c r="K35" s="14">
        <f>SUM(H35:J35)</f>
        <v/>
      </c>
      <c r="L35" s="14">
        <f>(K35-SUMIFS('03_BOC_TACH_VAN'!$K$2:$K$5000, '03_BOC_TACH_VAN'!$B$2:$B$5000, B35, '03_BOC_TACH_VAN'!$D$2:$D$5000, "ĐỘNG_CƠ_VÀ_CẢM_BIẾN"))*0.25</f>
        <v/>
      </c>
      <c r="M35" s="14">
        <f>(K35-SUMIFS('03_BOC_TACH_VAN'!$K$2:$K$5000, '03_BOC_TACH_VAN'!$B$2:$B$5000, B35, '03_BOC_TACH_VAN'!$D$2:$D$5000, "ĐỘNG_CƠ_VÀ_CẢM_BIẾN"))*0.10</f>
        <v/>
      </c>
      <c r="N35" s="14">
        <f>K35+L35+M35</f>
        <v/>
      </c>
      <c r="O35" s="14">
        <f>IF(G35&gt;0, N35/G35, 0)</f>
        <v/>
      </c>
      <c r="P35" s="15" t="n">
        <v>0.18</v>
      </c>
      <c r="Q35" s="14">
        <f>IF(G35&gt;0, ((N35-SUMIFS('03_BOC_TACH_VAN'!$K$2:$K$5000, '03_BOC_TACH_VAN'!$B$2:$B$5000, B35, '03_BOC_TACH_VAN'!$D$2:$D$5000, "ĐỘNG_CƠ_VÀ_CẢM_BIẾN"))*(1+P35)+SUMIFS('03_BOC_TACH_VAN'!$K$2:$K$5000, '03_BOC_TACH_VAN'!$B$2:$B$5000, B35, '03_BOC_TACH_VAN'!$D$2:$D$5000, "ĐỘNG_CƠ_VÀ_CẢM_BIẾN"))/G35, 0)</f>
        <v/>
      </c>
      <c r="R35" s="14">
        <f>G35*Q35</f>
        <v/>
      </c>
      <c r="S35" t="inlineStr">
        <is>
          <t>Louver nan Z ngoài trời kèm lưới chắn côn trùng Inox 304</t>
        </is>
      </c>
    </row>
    <row r="36">
      <c r="A36" t="n">
        <v>35</v>
      </c>
      <c r="B36" t="inlineStr">
        <is>
          <t>SW-DAMPER-035</t>
        </is>
      </c>
      <c r="C36" t="inlineStr">
        <is>
          <t>VAN GIÓ</t>
        </is>
      </c>
      <c r="D36" t="inlineStr">
        <is>
          <t>VCD 150</t>
        </is>
      </c>
      <c r="E36" t="inlineStr">
        <is>
          <t>D150</t>
        </is>
      </c>
      <c r="F36" t="inlineStr">
        <is>
          <t>Cái</t>
        </is>
      </c>
      <c r="G36" s="14" t="n">
        <v>5</v>
      </c>
      <c r="H36" s="14">
        <f>SUMIF('01_BOC_TACH_ONG'!$B$2:$B$5000, B36, '01_BOC_TACH_ONG'!$K$2:$K$5000)</f>
        <v/>
      </c>
      <c r="I36" s="14">
        <f>SUMIF('02_BOC_TACH_CUA'!$B$2:$B$5000, B36, '02_BOC_TACH_CUA'!$K$2:$K$5000)</f>
        <v/>
      </c>
      <c r="J36" s="14">
        <f>SUMIF('03_BOC_TACH_VAN'!$B$2:$B$5000, B36, '03_BOC_TACH_VAN'!$K$2:$K$5000)</f>
        <v/>
      </c>
      <c r="K36" s="14">
        <f>SUM(H36:J36)</f>
        <v/>
      </c>
      <c r="L36" s="14">
        <f>(K36-SUMIFS('03_BOC_TACH_VAN'!$K$2:$K$5000, '03_BOC_TACH_VAN'!$B$2:$B$5000, B36, '03_BOC_TACH_VAN'!$D$2:$D$5000, "ĐỘNG_CƠ_VÀ_CẢM_BIẾN"))*0.25</f>
        <v/>
      </c>
      <c r="M36" s="14">
        <f>(K36-SUMIFS('03_BOC_TACH_VAN'!$K$2:$K$5000, '03_BOC_TACH_VAN'!$B$2:$B$5000, B36, '03_BOC_TACH_VAN'!$D$2:$D$5000, "ĐỘNG_CƠ_VÀ_CẢM_BIẾN"))*0.10</f>
        <v/>
      </c>
      <c r="N36" s="14">
        <f>K36+L36+M36</f>
        <v/>
      </c>
      <c r="O36" s="14">
        <f>IF(G36&gt;0, N36/G36, 0)</f>
        <v/>
      </c>
      <c r="P36" s="15" t="n">
        <v>0.18</v>
      </c>
      <c r="Q36" s="14">
        <f>IF(G36&gt;0, ((N36-SUMIFS('03_BOC_TACH_VAN'!$K$2:$K$5000, '03_BOC_TACH_VAN'!$B$2:$B$5000, B36, '03_BOC_TACH_VAN'!$D$2:$D$5000, "ĐỘNG_CƠ_VÀ_CẢM_BIẾN"))*(1+P36)+SUMIFS('03_BOC_TACH_VAN'!$K$2:$K$5000, '03_BOC_TACH_VAN'!$B$2:$B$5000, B36, '03_BOC_TACH_VAN'!$D$2:$D$5000, "ĐỘNG_CƠ_VÀ_CẢM_BIẾN"))/G36, 0)</f>
        <v/>
      </c>
      <c r="R36" s="14">
        <f>G36*Q36</f>
        <v/>
      </c>
      <c r="S36" t="inlineStr">
        <is>
          <t>Van điều chỉnh lưu lượng tay gạt tôn mạ kẽm</t>
        </is>
      </c>
    </row>
    <row r="37">
      <c r="A37" s="16" t="inlineStr">
        <is>
          <t>TỔNG CỘNG</t>
        </is>
      </c>
      <c r="H37" s="17">
        <f>SUM(H2:H36)</f>
        <v/>
      </c>
      <c r="I37" s="17">
        <f>SUM(I2:I36)</f>
        <v/>
      </c>
      <c r="J37" s="17">
        <f>SUM(J2:J36)</f>
        <v/>
      </c>
      <c r="K37" s="17">
        <f>SUM(K2:K36)</f>
        <v/>
      </c>
      <c r="L37" s="17">
        <f>SUM(L2:L36)</f>
        <v/>
      </c>
      <c r="M37" s="17">
        <f>SUM(M2:M36)</f>
        <v/>
      </c>
      <c r="N37" s="17">
        <f>SUM(N2:N36)</f>
        <v/>
      </c>
      <c r="R37" s="17">
        <f>SUM(R2:R36)</f>
        <v/>
      </c>
    </row>
  </sheetData>
  <mergeCells count="1">
    <mergeCell ref="A37:F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3" t="inlineStr">
        <is>
          <t>SUB_KEY</t>
        </is>
      </c>
      <c r="B1" s="13" t="inlineStr">
        <is>
          <t>PARENT_ITEM_ID</t>
        </is>
      </c>
      <c r="C1" s="13" t="inlineStr">
        <is>
          <t>TÊN CẤU KIỆN</t>
        </is>
      </c>
      <c r="D1" s="13" t="inlineStr">
        <is>
          <t>PHÂN LOẠI</t>
        </is>
      </c>
      <c r="E1" s="13" t="inlineStr">
        <is>
          <t>MÃ VẬT TƯ (MAT_ID)</t>
        </is>
      </c>
      <c r="F1" s="13" t="inlineStr">
        <is>
          <t>ĐVT</t>
        </is>
      </c>
      <c r="G1" s="13" t="inlineStr">
        <is>
          <t>ĐỊNH MỨC / 1 SP</t>
        </is>
      </c>
      <c r="H1" s="13" t="inlineStr">
        <is>
          <t>SL DỰ ÁN</t>
        </is>
      </c>
      <c r="I1" s="13" t="inlineStr">
        <is>
          <t>TỔNG NHU CẦU</t>
        </is>
      </c>
      <c r="J1" s="13" t="inlineStr">
        <is>
          <t>ĐƠN GIÁ GỐC</t>
        </is>
      </c>
      <c r="K1" s="13" t="inlineStr">
        <is>
          <t>THÀNH TIỀN (VNĐ)</t>
        </is>
      </c>
      <c r="L1" s="13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3" t="inlineStr">
        <is>
          <t>SUB_KEY</t>
        </is>
      </c>
      <c r="B1" s="13" t="inlineStr">
        <is>
          <t>PARENT_ITEM_ID</t>
        </is>
      </c>
      <c r="C1" s="13" t="inlineStr">
        <is>
          <t>TÊN CẤU KIỆN</t>
        </is>
      </c>
      <c r="D1" s="13" t="inlineStr">
        <is>
          <t>PHÂN LOẠI</t>
        </is>
      </c>
      <c r="E1" s="13" t="inlineStr">
        <is>
          <t>MÃ VẬT TƯ (MAT_ID)</t>
        </is>
      </c>
      <c r="F1" s="13" t="inlineStr">
        <is>
          <t>ĐVT</t>
        </is>
      </c>
      <c r="G1" s="13" t="inlineStr">
        <is>
          <t>ĐỊNH MỨC / 1 SP</t>
        </is>
      </c>
      <c r="H1" s="13" t="inlineStr">
        <is>
          <t>SL DỰ ÁN</t>
        </is>
      </c>
      <c r="I1" s="13" t="inlineStr">
        <is>
          <t>TỔNG NHU CẦU</t>
        </is>
      </c>
      <c r="J1" s="13" t="inlineStr">
        <is>
          <t>ĐƠN GIÁ GỐC</t>
        </is>
      </c>
      <c r="K1" s="13" t="inlineStr">
        <is>
          <t>THÀNH TIỀN (VNĐ)</t>
        </is>
      </c>
      <c r="L1" s="13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Louver (SWL)</t>
        </is>
      </c>
      <c r="D2" t="inlineStr">
        <is>
          <t>NHÔM_ĐỊNH_HÌNH</t>
        </is>
      </c>
      <c r="E2" t="inlineStr">
        <is>
          <t>MAT-ALU-KHUNG-Z-2-LOP</t>
        </is>
      </c>
      <c r="F2" t="inlineStr">
        <is>
          <t>kg</t>
        </is>
      </c>
      <c r="G2" s="18" t="n">
        <v>0.1387508950946936</v>
      </c>
      <c r="H2" s="14">
        <f>'00_TONG_HOP_BAO_GIA'!G2</f>
        <v/>
      </c>
      <c r="I2" s="19">
        <f>G2*H2</f>
        <v/>
      </c>
      <c r="J2" s="14">
        <f>IFERROR(INDEX('06_BANG_GIA_VAT_TU_AP_DUNG'!$E$1:$E$5000, MATCH(E2, '06_BANG_GIA_VAT_TU_AP_DUNG'!$B$1:$B$5000, 0)), 0)</f>
        <v/>
      </c>
      <c r="K2" s="14">
        <f>I2*J2</f>
        <v/>
      </c>
      <c r="L2" t="inlineStr">
        <is>
          <t>Khung Louver phủ bì 200x100mm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Z Louver &amp; thanh tăng cứng (1 nan)</t>
        </is>
      </c>
      <c r="D3" t="inlineStr">
        <is>
          <t>NHÔM_ĐỊNH_HÌNH</t>
        </is>
      </c>
      <c r="E3" t="inlineStr">
        <is>
          <t>MAT-ALU-NAN-Z-DAY</t>
        </is>
      </c>
      <c r="F3" t="inlineStr">
        <is>
          <t>kg</t>
        </is>
      </c>
      <c r="G3" s="18" t="n">
        <v>0.04887861928519381</v>
      </c>
      <c r="H3" s="14">
        <f>'00_TONG_HOP_BAO_GIA'!G2</f>
        <v/>
      </c>
      <c r="I3" s="19">
        <f>G3*H3</f>
        <v/>
      </c>
      <c r="J3" s="14">
        <f>IFERROR(INDEX('06_BANG_GIA_VAT_TU_AP_DUNG'!$E$1:$E$5000, MATCH(E3, '06_BANG_GIA_VAT_TU_AP_DUNG'!$B$1:$B$5000, 0)), 0)</f>
        <v/>
      </c>
      <c r="K3" s="14">
        <f>I3*J3</f>
        <v/>
      </c>
      <c r="L3" t="inlineStr">
        <is>
          <t>1 nan Z dày @ 0.217kg/m + thanh giằng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18" t="n">
        <v>0.008816636772803914</v>
      </c>
      <c r="H4" s="14">
        <f>'00_TONG_HOP_BAO_GIA'!G2</f>
        <v/>
      </c>
      <c r="I4" s="19">
        <f>G4*H4</f>
        <v/>
      </c>
      <c r="J4" s="14">
        <f>IFERROR(INDEX('06_BANG_GIA_VAT_TU_AP_DUNG'!$E$1:$E$5000, MATCH(E4, '06_BANG_GIA_VAT_TU_AP_DUNG'!$B$1:$B$5000, 0)), 0)</f>
        <v/>
      </c>
      <c r="K4" s="14">
        <f>I4*J4</f>
        <v/>
      </c>
      <c r="L4" t="inlineStr">
        <is>
          <t>Ke góc và vít ghép khung Louver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18" t="n">
        <v>0.03455706714385121</v>
      </c>
      <c r="H5" s="14">
        <f>'00_TONG_HOP_BAO_GIA'!G2</f>
        <v/>
      </c>
      <c r="I5" s="19">
        <f>G5*H5</f>
        <v/>
      </c>
      <c r="J5" s="14">
        <f>IFERROR(INDEX('06_BANG_GIA_VAT_TU_AP_DUNG'!$E$1:$E$5000, MATCH(E5, '06_BANG_GIA_VAT_TU_AP_DUNG'!$B$1:$B$5000, 0)), 0)</f>
        <v/>
      </c>
      <c r="K5" s="14">
        <f>I5*J5</f>
        <v/>
      </c>
      <c r="L5" t="inlineStr">
        <is>
          <t>Sơn tĩnh điện khung và nan Louver</t>
        </is>
      </c>
    </row>
    <row r="6">
      <c r="A6" t="inlineStr">
        <is>
          <t>SW-DIFF-001-MESH</t>
        </is>
      </c>
      <c r="B6" t="inlineStr">
        <is>
          <t>SW-DIFF-001</t>
        </is>
      </c>
      <c r="C6" t="inlineStr">
        <is>
          <t>Lưới chắn côn trùng Inox 304 (LCCT)</t>
        </is>
      </c>
      <c r="D6" t="inlineStr">
        <is>
          <t>PHỤ_KIỆN_CỬA</t>
        </is>
      </c>
      <c r="E6" t="inlineStr">
        <is>
          <t>MAT-MESH-INOX-304</t>
        </is>
      </c>
      <c r="F6" t="inlineStr">
        <is>
          <t>m2</t>
        </is>
      </c>
      <c r="G6" s="18" t="n">
        <v>0.004184975936388366</v>
      </c>
      <c r="H6" s="14">
        <f>'00_TONG_HOP_BAO_GIA'!G2</f>
        <v/>
      </c>
      <c r="I6" s="19">
        <f>G6*H6</f>
        <v/>
      </c>
      <c r="J6" s="14">
        <f>IFERROR(INDEX('06_BANG_GIA_VAT_TU_AP_DUNG'!$E$1:$E$5000, MATCH(E6, '06_BANG_GIA_VAT_TU_AP_DUNG'!$B$1:$B$5000, 0)), 0)</f>
        <v/>
      </c>
      <c r="K6" s="14">
        <f>I6*J6</f>
        <v/>
      </c>
      <c r="L6" t="inlineStr">
        <is>
          <t>Lưới chắn côn trùng cổ 150x50mm</t>
        </is>
      </c>
    </row>
    <row r="7">
      <c r="A7" t="inlineStr">
        <is>
          <t>SW-DIFF-002-FRAME</t>
        </is>
      </c>
      <c r="B7" t="inlineStr">
        <is>
          <t>SW-DIFF-002</t>
        </is>
      </c>
      <c r="C7" t="inlineStr">
        <is>
          <t>Khung nhôm định hình Louver (SWL)</t>
        </is>
      </c>
      <c r="D7" t="inlineStr">
        <is>
          <t>NHÔM_ĐỊNH_HÌNH</t>
        </is>
      </c>
      <c r="E7" t="inlineStr">
        <is>
          <t>MAT-ALU-KHUNG-Z-2-LOP</t>
        </is>
      </c>
      <c r="F7" t="inlineStr">
        <is>
          <t>kg</t>
        </is>
      </c>
      <c r="G7" s="18" t="n">
        <v>0.4194856257094114</v>
      </c>
      <c r="H7" s="14">
        <f>'00_TONG_HOP_BAO_GIA'!G3</f>
        <v/>
      </c>
      <c r="I7" s="19">
        <f>G7*H7</f>
        <v/>
      </c>
      <c r="J7" s="14">
        <f>IFERROR(INDEX('06_BANG_GIA_VAT_TU_AP_DUNG'!$E$1:$E$5000, MATCH(E7, '06_BANG_GIA_VAT_TU_AP_DUNG'!$B$1:$B$5000, 0)), 0)</f>
        <v/>
      </c>
      <c r="K7" s="14">
        <f>I7*J7</f>
        <v/>
      </c>
      <c r="L7" t="inlineStr">
        <is>
          <t>Khung Louver phủ bì 600x300mm</t>
        </is>
      </c>
    </row>
    <row r="8">
      <c r="A8" t="inlineStr">
        <is>
          <t>SW-DIFF-002-BLADE</t>
        </is>
      </c>
      <c r="B8" t="inlineStr">
        <is>
          <t>SW-DIFF-002</t>
        </is>
      </c>
      <c r="C8" t="inlineStr">
        <is>
          <t>Nan Z Louver &amp; thanh tăng cứng (6 nan)</t>
        </is>
      </c>
      <c r="D8" t="inlineStr">
        <is>
          <t>NHÔM_ĐỊNH_HÌNH</t>
        </is>
      </c>
      <c r="E8" t="inlineStr">
        <is>
          <t>MAT-ALU-NAN-Z-DAY</t>
        </is>
      </c>
      <c r="F8" t="inlineStr">
        <is>
          <t>kg</t>
        </is>
      </c>
      <c r="G8" s="18" t="n">
        <v>0.7760176083241066</v>
      </c>
      <c r="H8" s="14">
        <f>'00_TONG_HOP_BAO_GIA'!G3</f>
        <v/>
      </c>
      <c r="I8" s="19">
        <f>G8*H8</f>
        <v/>
      </c>
      <c r="J8" s="14">
        <f>IFERROR(INDEX('06_BANG_GIA_VAT_TU_AP_DUNG'!$E$1:$E$5000, MATCH(E8, '06_BANG_GIA_VAT_TU_AP_DUNG'!$B$1:$B$5000, 0)), 0)</f>
        <v/>
      </c>
      <c r="K8" s="14">
        <f>I8*J8</f>
        <v/>
      </c>
      <c r="L8" t="inlineStr">
        <is>
          <t>6 nan Z dày @ 0.217kg/m + thanh giằng</t>
        </is>
      </c>
    </row>
    <row r="9">
      <c r="A9" t="inlineStr">
        <is>
          <t>SW-DIFF-002-ACCESSORY</t>
        </is>
      </c>
      <c r="B9" t="inlineStr">
        <is>
          <t>SW-DIFF-002</t>
        </is>
      </c>
      <c r="C9" t="inlineStr">
        <is>
          <t>Phụ kiện lắp ghép / Ke góc cửa gió</t>
        </is>
      </c>
      <c r="D9" t="inlineStr">
        <is>
          <t>PHỤ_KIỆN_CỬA</t>
        </is>
      </c>
      <c r="E9" t="inlineStr">
        <is>
          <t>MAT-DOOR-ACCESSORY</t>
        </is>
      </c>
      <c r="F9" t="inlineStr">
        <is>
          <t>Bộ</t>
        </is>
      </c>
      <c r="G9" s="18" t="n">
        <v>0.05331068157460415</v>
      </c>
      <c r="H9" s="14">
        <f>'00_TONG_HOP_BAO_GIA'!G3</f>
        <v/>
      </c>
      <c r="I9" s="19">
        <f>G9*H9</f>
        <v/>
      </c>
      <c r="J9" s="14">
        <f>IFERROR(INDEX('06_BANG_GIA_VAT_TU_AP_DUNG'!$E$1:$E$5000, MATCH(E9, '06_BANG_GIA_VAT_TU_AP_DUNG'!$B$1:$B$5000, 0)), 0)</f>
        <v/>
      </c>
      <c r="K9" s="14">
        <f>I9*J9</f>
        <v/>
      </c>
      <c r="L9" t="inlineStr">
        <is>
          <t>Ke góc và vít ghép khung Louver</t>
        </is>
      </c>
    </row>
    <row r="10">
      <c r="A10" t="inlineStr">
        <is>
          <t>SW-DIFF-002-PAINT</t>
        </is>
      </c>
      <c r="B10" t="inlineStr">
        <is>
          <t>SW-DIFF-002</t>
        </is>
      </c>
      <c r="C10" t="inlineStr">
        <is>
          <t>Sơn tĩnh điện tiêu chuẩn Polyester</t>
        </is>
      </c>
      <c r="D10" t="inlineStr">
        <is>
          <t>SƠN_TĨNH_ĐIỆN</t>
        </is>
      </c>
      <c r="E10" t="inlineStr">
        <is>
          <t>MAT-PAINT-POWDER</t>
        </is>
      </c>
      <c r="F10" t="inlineStr">
        <is>
          <t>m2</t>
        </is>
      </c>
      <c r="G10" s="18" t="n">
        <v>0.2324094842857096</v>
      </c>
      <c r="H10" s="14">
        <f>'00_TONG_HOP_BAO_GIA'!G3</f>
        <v/>
      </c>
      <c r="I10" s="19">
        <f>G10*H10</f>
        <v/>
      </c>
      <c r="J10" s="14">
        <f>IFERROR(INDEX('06_BANG_GIA_VAT_TU_AP_DUNG'!$E$1:$E$5000, MATCH(E10, '06_BANG_GIA_VAT_TU_AP_DUNG'!$B$1:$B$5000, 0)), 0)</f>
        <v/>
      </c>
      <c r="K10" s="14">
        <f>I10*J10</f>
        <v/>
      </c>
      <c r="L10" t="inlineStr">
        <is>
          <t>Sơn tĩnh điện khung và nan Louver</t>
        </is>
      </c>
    </row>
    <row r="11">
      <c r="A11" t="inlineStr">
        <is>
          <t>SW-DIFF-002-MESH</t>
        </is>
      </c>
      <c r="B11" t="inlineStr">
        <is>
          <t>SW-DIFF-002</t>
        </is>
      </c>
      <c r="C11" t="inlineStr">
        <is>
          <t>Lưới chắn côn trùng Inox 304 (LCCT)</t>
        </is>
      </c>
      <c r="D11" t="inlineStr">
        <is>
          <t>PHỤ_KIỆN_CỬA</t>
        </is>
      </c>
      <c r="E11" t="inlineStr">
        <is>
          <t>MAT-MESH-INOX-304</t>
        </is>
      </c>
      <c r="F11" t="inlineStr">
        <is>
          <t>m2</t>
        </is>
      </c>
      <c r="G11" s="18" t="n">
        <v>0.08788449466415568</v>
      </c>
      <c r="H11" s="14">
        <f>'00_TONG_HOP_BAO_GIA'!G3</f>
        <v/>
      </c>
      <c r="I11" s="19">
        <f>G11*H11</f>
        <v/>
      </c>
      <c r="J11" s="14">
        <f>IFERROR(INDEX('06_BANG_GIA_VAT_TU_AP_DUNG'!$E$1:$E$5000, MATCH(E11, '06_BANG_GIA_VAT_TU_AP_DUNG'!$B$1:$B$5000, 0)), 0)</f>
        <v/>
      </c>
      <c r="K11" s="14">
        <f>I11*J11</f>
        <v/>
      </c>
      <c r="L11" t="inlineStr">
        <is>
          <t>Lưới chắn côn trùng cổ 550x250mm</t>
        </is>
      </c>
    </row>
    <row r="12">
      <c r="A12" t="inlineStr">
        <is>
          <t>SW-DIFF-003-FRAME</t>
        </is>
      </c>
      <c r="B12" t="inlineStr">
        <is>
          <t>SW-DIFF-003</t>
        </is>
      </c>
      <c r="C12" t="inlineStr">
        <is>
          <t>Khung nhôm định hình Louver (SWL)</t>
        </is>
      </c>
      <c r="D12" t="inlineStr">
        <is>
          <t>NHÔM_ĐỊNH_HÌNH</t>
        </is>
      </c>
      <c r="E12" t="inlineStr">
        <is>
          <t>MAT-ALU-KHUNG-Z-2-LOP</t>
        </is>
      </c>
      <c r="F12" t="inlineStr">
        <is>
          <t>kg</t>
        </is>
      </c>
      <c r="G12" s="18" t="n">
        <v>0.9331625244604916</v>
      </c>
      <c r="H12" s="14">
        <f>'00_TONG_HOP_BAO_GIA'!G4</f>
        <v/>
      </c>
      <c r="I12" s="19">
        <f>G12*H12</f>
        <v/>
      </c>
      <c r="J12" s="14">
        <f>IFERROR(INDEX('06_BANG_GIA_VAT_TU_AP_DUNG'!$E$1:$E$5000, MATCH(E12, '06_BANG_GIA_VAT_TU_AP_DUNG'!$B$1:$B$5000, 0)), 0)</f>
        <v/>
      </c>
      <c r="K12" s="14">
        <f>I12*J12</f>
        <v/>
      </c>
      <c r="L12" t="inlineStr">
        <is>
          <t>Khung Louver phủ bì 1500x500mm</t>
        </is>
      </c>
    </row>
    <row r="13">
      <c r="A13" t="inlineStr">
        <is>
          <t>SW-DIFF-003-BLADE</t>
        </is>
      </c>
      <c r="B13" t="inlineStr">
        <is>
          <t>SW-DIFF-003</t>
        </is>
      </c>
      <c r="C13" t="inlineStr">
        <is>
          <t>Nan Z Louver &amp; thanh tăng cứng (10 nan)</t>
        </is>
      </c>
      <c r="D13" t="inlineStr">
        <is>
          <t>NHÔM_ĐỊNH_HÌNH</t>
        </is>
      </c>
      <c r="E13" t="inlineStr">
        <is>
          <t>MAT-ALU-NAN-Z-DAY</t>
        </is>
      </c>
      <c r="F13" t="inlineStr">
        <is>
          <t>kg</t>
        </is>
      </c>
      <c r="G13" s="18" t="n">
        <v>3.301833214302496</v>
      </c>
      <c r="H13" s="14">
        <f>'00_TONG_HOP_BAO_GIA'!G4</f>
        <v/>
      </c>
      <c r="I13" s="19">
        <f>G13*H13</f>
        <v/>
      </c>
      <c r="J13" s="14">
        <f>IFERROR(INDEX('06_BANG_GIA_VAT_TU_AP_DUNG'!$E$1:$E$5000, MATCH(E13, '06_BANG_GIA_VAT_TU_AP_DUNG'!$B$1:$B$5000, 0)), 0)</f>
        <v/>
      </c>
      <c r="K13" s="14">
        <f>I13*J13</f>
        <v/>
      </c>
      <c r="L13" t="inlineStr">
        <is>
          <t>10 nan Z dày @ 0.217kg/m + thanh giằng</t>
        </is>
      </c>
    </row>
    <row r="14">
      <c r="A14" t="inlineStr">
        <is>
          <t>SW-DIFF-003-ACCESSORY</t>
        </is>
      </c>
      <c r="B14" t="inlineStr">
        <is>
          <t>SW-DIFF-003</t>
        </is>
      </c>
      <c r="C14" t="inlineStr">
        <is>
          <t>Phụ kiện lắp ghép / Ke góc cửa gió</t>
        </is>
      </c>
      <c r="D14" t="inlineStr">
        <is>
          <t>PHỤ_KIỆN_CỬA</t>
        </is>
      </c>
      <c r="E14" t="inlineStr">
        <is>
          <t>MAT-DOOR-ACCESSORY</t>
        </is>
      </c>
      <c r="F14" t="inlineStr">
        <is>
          <t>Bộ</t>
        </is>
      </c>
      <c r="G14" s="18" t="n">
        <v>0.08894380489451222</v>
      </c>
      <c r="H14" s="14">
        <f>'00_TONG_HOP_BAO_GIA'!G4</f>
        <v/>
      </c>
      <c r="I14" s="19">
        <f>G14*H14</f>
        <v/>
      </c>
      <c r="J14" s="14">
        <f>IFERROR(INDEX('06_BANG_GIA_VAT_TU_AP_DUNG'!$E$1:$E$5000, MATCH(E14, '06_BANG_GIA_VAT_TU_AP_DUNG'!$B$1:$B$5000, 0)), 0)</f>
        <v/>
      </c>
      <c r="K14" s="14">
        <f>I14*J14</f>
        <v/>
      </c>
      <c r="L14" t="inlineStr">
        <is>
          <t>Ke góc và vít ghép khung Louver</t>
        </is>
      </c>
    </row>
    <row r="15">
      <c r="A15" t="inlineStr">
        <is>
          <t>SW-DIFF-003-PAINT</t>
        </is>
      </c>
      <c r="B15" t="inlineStr">
        <is>
          <t>SW-DIFF-003</t>
        </is>
      </c>
      <c r="C15" t="inlineStr">
        <is>
          <t>Sơn tĩnh điện tiêu chuẩn Polyester</t>
        </is>
      </c>
      <c r="D15" t="inlineStr">
        <is>
          <t>SƠN_TĨNH_ĐIỆN</t>
        </is>
      </c>
      <c r="E15" t="inlineStr">
        <is>
          <t>MAT-PAINT-POWDER</t>
        </is>
      </c>
      <c r="F15" t="inlineStr">
        <is>
          <t>m2</t>
        </is>
      </c>
      <c r="G15" s="18" t="n">
        <v>0.843982532655503</v>
      </c>
      <c r="H15" s="14">
        <f>'00_TONG_HOP_BAO_GIA'!G4</f>
        <v/>
      </c>
      <c r="I15" s="19">
        <f>G15*H15</f>
        <v/>
      </c>
      <c r="J15" s="14">
        <f>IFERROR(INDEX('06_BANG_GIA_VAT_TU_AP_DUNG'!$E$1:$E$5000, MATCH(E15, '06_BANG_GIA_VAT_TU_AP_DUNG'!$B$1:$B$5000, 0)), 0)</f>
        <v/>
      </c>
      <c r="K15" s="14">
        <f>I15*J15</f>
        <v/>
      </c>
      <c r="L15" t="inlineStr">
        <is>
          <t>Sơn tĩnh điện khung và nan Louver</t>
        </is>
      </c>
    </row>
    <row r="16">
      <c r="A16" t="inlineStr">
        <is>
          <t>SW-DIFF-003-MESH</t>
        </is>
      </c>
      <c r="B16" t="inlineStr">
        <is>
          <t>SW-DIFF-003</t>
        </is>
      </c>
      <c r="C16" t="inlineStr">
        <is>
          <t>Lưới chắn côn trùng Inox 304 (LCCT)</t>
        </is>
      </c>
      <c r="D16" t="inlineStr">
        <is>
          <t>PHỤ_KIỆN_CỬA</t>
        </is>
      </c>
      <c r="E16" t="inlineStr">
        <is>
          <t>MAT-MESH-INOX-304</t>
        </is>
      </c>
      <c r="F16" t="inlineStr">
        <is>
          <t>m2</t>
        </is>
      </c>
      <c r="G16" s="18" t="n">
        <v>0.4101276417660599</v>
      </c>
      <c r="H16" s="14">
        <f>'00_TONG_HOP_BAO_GIA'!G4</f>
        <v/>
      </c>
      <c r="I16" s="19">
        <f>G16*H16</f>
        <v/>
      </c>
      <c r="J16" s="14">
        <f>IFERROR(INDEX('06_BANG_GIA_VAT_TU_AP_DUNG'!$E$1:$E$5000, MATCH(E16, '06_BANG_GIA_VAT_TU_AP_DUNG'!$B$1:$B$5000, 0)), 0)</f>
        <v/>
      </c>
      <c r="K16" s="14">
        <f>I16*J16</f>
        <v/>
      </c>
      <c r="L16" t="inlineStr">
        <is>
          <t>Lưới chắn côn trùng cổ 1450x450mm</t>
        </is>
      </c>
    </row>
    <row r="17">
      <c r="A17" t="inlineStr">
        <is>
          <t>SW-DIFF-004-FRAME</t>
        </is>
      </c>
      <c r="B17" t="inlineStr">
        <is>
          <t>SW-DIFF-004</t>
        </is>
      </c>
      <c r="C17" t="inlineStr">
        <is>
          <t>Khung nhôm định hình (1 lớp BD)</t>
        </is>
      </c>
      <c r="D17" t="inlineStr">
        <is>
          <t>NHÔM_ĐỊNH_HÌNH</t>
        </is>
      </c>
      <c r="E17" t="inlineStr">
        <is>
          <t>MAT-ALU-KHUNG-BD</t>
        </is>
      </c>
      <c r="F17" t="inlineStr">
        <is>
          <t>kg</t>
        </is>
      </c>
      <c r="G17" s="18" t="n">
        <v>0.2584233203712342</v>
      </c>
      <c r="H17" s="14">
        <f>'00_TONG_HOP_BAO_GIA'!G5</f>
        <v/>
      </c>
      <c r="I17" s="19">
        <f>G17*H17</f>
        <v/>
      </c>
      <c r="J17" s="14">
        <f>IFERROR(INDEX('06_BANG_GIA_VAT_TU_AP_DUNG'!$E$1:$E$5000, MATCH(E17, '06_BANG_GIA_VAT_TU_AP_DUNG'!$B$1:$B$5000, 0)), 0)</f>
        <v/>
      </c>
      <c r="K17" s="14">
        <f>I17*J17</f>
        <v/>
      </c>
      <c r="L17" t="inlineStr">
        <is>
          <t>Khung bao 450x200mm (cổ 400x150mm)</t>
        </is>
      </c>
    </row>
    <row r="18">
      <c r="A18" t="inlineStr">
        <is>
          <t>SW-DIFF-004-BLADE</t>
        </is>
      </c>
      <c r="B18" t="inlineStr">
        <is>
          <t>SW-DIFF-004</t>
        </is>
      </c>
      <c r="C18" t="inlineStr">
        <is>
          <t>Nan nhôm bầu dục (7 nan)</t>
        </is>
      </c>
      <c r="D18" t="inlineStr">
        <is>
          <t>NHÔM_ĐỊNH_HÌNH</t>
        </is>
      </c>
      <c r="E18" t="inlineStr">
        <is>
          <t>MAT-ALU-NAN-BD</t>
        </is>
      </c>
      <c r="F18" t="inlineStr">
        <is>
          <t>kg</t>
        </is>
      </c>
      <c r="G18" s="18" t="n">
        <v>0.1668042417658523</v>
      </c>
      <c r="H18" s="14">
        <f>'00_TONG_HOP_BAO_GIA'!G5</f>
        <v/>
      </c>
      <c r="I18" s="19">
        <f>G18*H18</f>
        <v/>
      </c>
      <c r="J18" s="14">
        <f>IFERROR(INDEX('06_BANG_GIA_VAT_TU_AP_DUNG'!$E$1:$E$5000, MATCH(E18, '06_BANG_GIA_VAT_TU_AP_DUNG'!$B$1:$B$5000, 0)), 0)</f>
        <v/>
      </c>
      <c r="K18" s="14">
        <f>I18*J18</f>
        <v/>
      </c>
      <c r="L18" t="inlineStr">
        <is>
          <t>Nan bầu dục @ 0.058kg/m</t>
        </is>
      </c>
    </row>
    <row r="19">
      <c r="A19" t="inlineStr">
        <is>
          <t>SW-DIFF-004-ACCESSORY</t>
        </is>
      </c>
      <c r="B19" t="inlineStr">
        <is>
          <t>SW-DIFF-004</t>
        </is>
      </c>
      <c r="C19" t="inlineStr">
        <is>
          <t>Phụ kiện lắp ghép / Ke góc cửa gió</t>
        </is>
      </c>
      <c r="D19" t="inlineStr">
        <is>
          <t>PHỤ_KIỆN_CỬA</t>
        </is>
      </c>
      <c r="E19" t="inlineStr">
        <is>
          <t>MAT-DOOR-ACCESSORY</t>
        </is>
      </c>
      <c r="F19" t="inlineStr">
        <is>
          <t>Bộ</t>
        </is>
      </c>
      <c r="G19" s="18" t="n">
        <v>0.03111238992184393</v>
      </c>
      <c r="H19" s="14">
        <f>'00_TONG_HOP_BAO_GIA'!G5</f>
        <v/>
      </c>
      <c r="I19" s="19">
        <f>G19*H19</f>
        <v/>
      </c>
      <c r="J19" s="14">
        <f>IFERROR(INDEX('06_BANG_GIA_VAT_TU_AP_DUNG'!$E$1:$E$5000, MATCH(E19, '06_BANG_GIA_VAT_TU_AP_DUNG'!$B$1:$B$5000, 0)), 0)</f>
        <v/>
      </c>
      <c r="K19" s="14">
        <f>I19*J19</f>
        <v/>
      </c>
      <c r="L19" t="inlineStr">
        <is>
          <t>4 ke góc chìm và vít ghép khung</t>
        </is>
      </c>
    </row>
    <row r="20">
      <c r="A20" t="inlineStr">
        <is>
          <t>SW-DIFF-004-PAINT</t>
        </is>
      </c>
      <c r="B20" t="inlineStr">
        <is>
          <t>SW-DIFF-004</t>
        </is>
      </c>
      <c r="C20" t="inlineStr">
        <is>
          <t>Sơn tĩnh điện tiêu chuẩn Polyester</t>
        </is>
      </c>
      <c r="D20" t="inlineStr">
        <is>
          <t>SƠN_TĨNH_ĐIỆN</t>
        </is>
      </c>
      <c r="E20" t="inlineStr">
        <is>
          <t>MAT-PAINT-POWDER</t>
        </is>
      </c>
      <c r="F20" t="inlineStr">
        <is>
          <t>m2</t>
        </is>
      </c>
      <c r="G20" s="18" t="n">
        <v>0.08291059741189197</v>
      </c>
      <c r="H20" s="14">
        <f>'00_TONG_HOP_BAO_GIA'!G5</f>
        <v/>
      </c>
      <c r="I20" s="19">
        <f>G20*H20</f>
        <v/>
      </c>
      <c r="J20" s="14">
        <f>IFERROR(INDEX('06_BANG_GIA_VAT_TU_AP_DUNG'!$E$1:$E$5000, MATCH(E20, '06_BANG_GIA_VAT_TU_AP_DUNG'!$B$1:$B$5000, 0)), 0)</f>
        <v/>
      </c>
      <c r="K20" s="14">
        <f>I20*J20</f>
        <v/>
      </c>
      <c r="L20" t="inlineStr">
        <is>
          <t>Sơn tĩnh điện hoàn thiện</t>
        </is>
      </c>
    </row>
    <row r="21">
      <c r="A21" t="inlineStr">
        <is>
          <t>SW-DIFF-004-OBD-FRAME</t>
        </is>
      </c>
      <c r="B21" t="inlineStr">
        <is>
          <t>SW-DIFF-004</t>
        </is>
      </c>
      <c r="C21" t="inlineStr">
        <is>
          <t>Khung nhôm van OBD gắn cửa (SOBD)</t>
        </is>
      </c>
      <c r="D21" t="inlineStr">
        <is>
          <t>NHÔM_ĐỊNH_HÌNH</t>
        </is>
      </c>
      <c r="E21" t="inlineStr">
        <is>
          <t>MAT-ALU-KHUNG-OBD</t>
        </is>
      </c>
      <c r="F21" t="inlineStr">
        <is>
          <t>kg</t>
        </is>
      </c>
      <c r="G21" s="18" t="n">
        <v>0.151707691369408</v>
      </c>
      <c r="H21" s="14">
        <f>'00_TONG_HOP_BAO_GIA'!G5</f>
        <v/>
      </c>
      <c r="I21" s="19">
        <f>G21*H21</f>
        <v/>
      </c>
      <c r="J21" s="14">
        <f>IFERROR(INDEX('06_BANG_GIA_VAT_TU_AP_DUNG'!$E$1:$E$5000, MATCH(E21, '06_BANG_GIA_VAT_TU_AP_DUNG'!$B$1:$B$5000, 0)), 0)</f>
        <v/>
      </c>
      <c r="K21" s="14">
        <f>I21*J21</f>
        <v/>
      </c>
      <c r="L21" t="inlineStr">
        <is>
          <t>Khung OBD 400x150mm</t>
        </is>
      </c>
    </row>
    <row r="22">
      <c r="A22" t="inlineStr">
        <is>
          <t>SW-DIFF-004-OBD-BLADE</t>
        </is>
      </c>
      <c r="B22" t="inlineStr">
        <is>
          <t>SW-DIFF-004</t>
        </is>
      </c>
      <c r="C22" t="inlineStr">
        <is>
          <t>Nan nhôm &amp; thanh truyền van OBD (SOBD)</t>
        </is>
      </c>
      <c r="D22" t="inlineStr">
        <is>
          <t>NHÔM_ĐỊNH_HÌNH</t>
        </is>
      </c>
      <c r="E22" t="inlineStr">
        <is>
          <t>MAT-ALU-NAN-OBD</t>
        </is>
      </c>
      <c r="F22" t="inlineStr">
        <is>
          <t>kg</t>
        </is>
      </c>
      <c r="G22" s="18" t="n">
        <v>0.1309329902497768</v>
      </c>
      <c r="H22" s="14">
        <f>'00_TONG_HOP_BAO_GIA'!G5</f>
        <v/>
      </c>
      <c r="I22" s="19">
        <f>G22*H22</f>
        <v/>
      </c>
      <c r="J22" s="14">
        <f>IFERROR(INDEX('06_BANG_GIA_VAT_TU_AP_DUNG'!$E$1:$E$5000, MATCH(E22, '06_BANG_GIA_VAT_TU_AP_DUNG'!$B$1:$B$5000, 0)), 0)</f>
        <v/>
      </c>
      <c r="K22" s="14">
        <f>I22*J22</f>
        <v/>
      </c>
      <c r="L22" t="inlineStr">
        <is>
          <t>Nan OBD đối xứng &amp; thanh liên kết</t>
        </is>
      </c>
    </row>
    <row r="23">
      <c r="A23" t="inlineStr">
        <is>
          <t>SW-DIFF-004-OBD-ACC</t>
        </is>
      </c>
      <c r="B23" t="inlineStr">
        <is>
          <t>SW-DIFF-004</t>
        </is>
      </c>
      <c r="C23" t="inlineStr">
        <is>
          <t>Bánh răng nhựa &amp; phụ kiện van OBD</t>
        </is>
      </c>
      <c r="D23" t="inlineStr">
        <is>
          <t>PHỤ_KIỆN_CỬA</t>
        </is>
      </c>
      <c r="E23" t="inlineStr">
        <is>
          <t>MAT-DOOR-ACCESSORY</t>
        </is>
      </c>
      <c r="F23" t="inlineStr">
        <is>
          <t>Bộ</t>
        </is>
      </c>
      <c r="G23" s="18" t="n">
        <v>0.9674493168455726</v>
      </c>
      <c r="H23" s="14">
        <f>'00_TONG_HOP_BAO_GIA'!G5</f>
        <v/>
      </c>
      <c r="I23" s="19">
        <f>G23*H23</f>
        <v/>
      </c>
      <c r="J23" s="14">
        <f>IFERROR(INDEX('06_BANG_GIA_VAT_TU_AP_DUNG'!$E$1:$E$5000, MATCH(E23, '06_BANG_GIA_VAT_TU_AP_DUNG'!$B$1:$B$5000, 0)), 0)</f>
        <v/>
      </c>
      <c r="K23" s="14">
        <f>I23*J23</f>
        <v/>
      </c>
      <c r="L23" t="inlineStr">
        <is>
          <t>Cơ cấu bánh răng đóng mở OBD</t>
        </is>
      </c>
    </row>
    <row r="24">
      <c r="A24" t="inlineStr">
        <is>
          <t>SW-DIFF-005-FRAME</t>
        </is>
      </c>
      <c r="B24" t="inlineStr">
        <is>
          <t>SW-DIFF-005</t>
        </is>
      </c>
      <c r="C24" t="inlineStr">
        <is>
          <t>Khung nhôm định hình (1 lớp BD)</t>
        </is>
      </c>
      <c r="D24" t="inlineStr">
        <is>
          <t>NHÔM_ĐỊNH_HÌNH</t>
        </is>
      </c>
      <c r="E24" t="inlineStr">
        <is>
          <t>MAT-ALU-KHUNG-BD</t>
        </is>
      </c>
      <c r="F24" t="inlineStr">
        <is>
          <t>kg</t>
        </is>
      </c>
      <c r="G24" s="18" t="n">
        <v>0.4388337677620064</v>
      </c>
      <c r="H24" s="14">
        <f>'00_TONG_HOP_BAO_GIA'!G6</f>
        <v/>
      </c>
      <c r="I24" s="19">
        <f>G24*H24</f>
        <v/>
      </c>
      <c r="J24" s="14">
        <f>IFERROR(INDEX('06_BANG_GIA_VAT_TU_AP_DUNG'!$E$1:$E$5000, MATCH(E24, '06_BANG_GIA_VAT_TU_AP_DUNG'!$B$1:$B$5000, 0)), 0)</f>
        <v/>
      </c>
      <c r="K24" s="14">
        <f>I24*J24</f>
        <v/>
      </c>
      <c r="L24" t="inlineStr">
        <is>
          <t>Khung bao 750x350mm (cổ 700x300mm)</t>
        </is>
      </c>
    </row>
    <row r="25">
      <c r="A25" t="inlineStr">
        <is>
          <t>SW-DIFF-005-BLADE</t>
        </is>
      </c>
      <c r="B25" t="inlineStr">
        <is>
          <t>SW-DIFF-005</t>
        </is>
      </c>
      <c r="C25" t="inlineStr">
        <is>
          <t>Nan nhôm bầu dục (14 nan)</t>
        </is>
      </c>
      <c r="D25" t="inlineStr">
        <is>
          <t>NHÔM_ĐỊNH_HÌNH</t>
        </is>
      </c>
      <c r="E25" t="inlineStr">
        <is>
          <t>MAT-ALU-NAN-BD</t>
        </is>
      </c>
      <c r="F25" t="inlineStr">
        <is>
          <t>kg</t>
        </is>
      </c>
      <c r="G25" s="18" t="n">
        <v>0.5844262267945746</v>
      </c>
      <c r="H25" s="14">
        <f>'00_TONG_HOP_BAO_GIA'!G6</f>
        <v/>
      </c>
      <c r="I25" s="19">
        <f>G25*H25</f>
        <v/>
      </c>
      <c r="J25" s="14">
        <f>IFERROR(INDEX('06_BANG_GIA_VAT_TU_AP_DUNG'!$E$1:$E$5000, MATCH(E25, '06_BANG_GIA_VAT_TU_AP_DUNG'!$B$1:$B$5000, 0)), 0)</f>
        <v/>
      </c>
      <c r="K25" s="14">
        <f>I25*J25</f>
        <v/>
      </c>
      <c r="L25" t="inlineStr">
        <is>
          <t>Nan bầu dục @ 0.058kg/m</t>
        </is>
      </c>
    </row>
    <row r="26">
      <c r="A26" t="inlineStr">
        <is>
          <t>SW-DIFF-005-ACCESSORY</t>
        </is>
      </c>
      <c r="B26" t="inlineStr">
        <is>
          <t>SW-DIFF-005</t>
        </is>
      </c>
      <c r="C26" t="inlineStr">
        <is>
          <t>Phụ kiện lắp ghép / Ke góc cửa gió</t>
        </is>
      </c>
      <c r="D26" t="inlineStr">
        <is>
          <t>PHỤ_KIỆN_CỬA</t>
        </is>
      </c>
      <c r="E26" t="inlineStr">
        <is>
          <t>MAT-DOOR-ACCESSORY</t>
        </is>
      </c>
      <c r="F26" t="inlineStr">
        <is>
          <t>Bộ</t>
        </is>
      </c>
      <c r="G26" s="18" t="n">
        <v>0.0622899426677603</v>
      </c>
      <c r="H26" s="14">
        <f>'00_TONG_HOP_BAO_GIA'!G6</f>
        <v/>
      </c>
      <c r="I26" s="19">
        <f>G26*H26</f>
        <v/>
      </c>
      <c r="J26" s="14">
        <f>IFERROR(INDEX('06_BANG_GIA_VAT_TU_AP_DUNG'!$E$1:$E$5000, MATCH(E26, '06_BANG_GIA_VAT_TU_AP_DUNG'!$B$1:$B$5000, 0)), 0)</f>
        <v/>
      </c>
      <c r="K26" s="14">
        <f>I26*J26</f>
        <v/>
      </c>
      <c r="L26" t="inlineStr">
        <is>
          <t>4 ke góc chìm và vít ghép khung</t>
        </is>
      </c>
    </row>
    <row r="27">
      <c r="A27" t="inlineStr">
        <is>
          <t>SW-DIFF-005-PAINT</t>
        </is>
      </c>
      <c r="B27" t="inlineStr">
        <is>
          <t>SW-DIFF-005</t>
        </is>
      </c>
      <c r="C27" t="inlineStr">
        <is>
          <t>Sơn tĩnh điện tiêu chuẩn Polyester</t>
        </is>
      </c>
      <c r="D27" t="inlineStr">
        <is>
          <t>SƠN_TĨNH_ĐIỆN</t>
        </is>
      </c>
      <c r="E27" t="inlineStr">
        <is>
          <t>MAT-PAINT-POWDER</t>
        </is>
      </c>
      <c r="F27" t="inlineStr">
        <is>
          <t>m2</t>
        </is>
      </c>
      <c r="G27" s="18" t="n">
        <v>0.2019241032228169</v>
      </c>
      <c r="H27" s="14">
        <f>'00_TONG_HOP_BAO_GIA'!G6</f>
        <v/>
      </c>
      <c r="I27" s="19">
        <f>G27*H27</f>
        <v/>
      </c>
      <c r="J27" s="14">
        <f>IFERROR(INDEX('06_BANG_GIA_VAT_TU_AP_DUNG'!$E$1:$E$5000, MATCH(E27, '06_BANG_GIA_VAT_TU_AP_DUNG'!$B$1:$B$5000, 0)), 0)</f>
        <v/>
      </c>
      <c r="K27" s="14">
        <f>I27*J27</f>
        <v/>
      </c>
      <c r="L27" t="inlineStr">
        <is>
          <t>Sơn tĩnh điện hoàn thiện</t>
        </is>
      </c>
    </row>
    <row r="28">
      <c r="A28" t="inlineStr">
        <is>
          <t>SW-DIFF-005-OBD-FRAME</t>
        </is>
      </c>
      <c r="B28" t="inlineStr">
        <is>
          <t>SW-DIFF-005</t>
        </is>
      </c>
      <c r="C28" t="inlineStr">
        <is>
          <t>Khung nhôm van OBD gắn cửa (SOBD)</t>
        </is>
      </c>
      <c r="D28" t="inlineStr">
        <is>
          <t>NHÔM_ĐỊNH_HÌNH</t>
        </is>
      </c>
      <c r="E28" t="inlineStr">
        <is>
          <t>MAT-ALU-KHUNG-OBD</t>
        </is>
      </c>
      <c r="F28" t="inlineStr">
        <is>
          <t>kg</t>
        </is>
      </c>
      <c r="G28" s="18" t="n">
        <v>0.2748921236871694</v>
      </c>
      <c r="H28" s="14">
        <f>'00_TONG_HOP_BAO_GIA'!G6</f>
        <v/>
      </c>
      <c r="I28" s="19">
        <f>G28*H28</f>
        <v/>
      </c>
      <c r="J28" s="14">
        <f>IFERROR(INDEX('06_BANG_GIA_VAT_TU_AP_DUNG'!$E$1:$E$5000, MATCH(E28, '06_BANG_GIA_VAT_TU_AP_DUNG'!$B$1:$B$5000, 0)), 0)</f>
        <v/>
      </c>
      <c r="K28" s="14">
        <f>I28*J28</f>
        <v/>
      </c>
      <c r="L28" t="inlineStr">
        <is>
          <t>Khung OBD 700x300mm</t>
        </is>
      </c>
    </row>
    <row r="29">
      <c r="A29" t="inlineStr">
        <is>
          <t>SW-DIFF-005-OBD-BLADE</t>
        </is>
      </c>
      <c r="B29" t="inlineStr">
        <is>
          <t>SW-DIFF-005</t>
        </is>
      </c>
      <c r="C29" t="inlineStr">
        <is>
          <t>Nan nhôm &amp; thanh truyền van OBD (SOBD)</t>
        </is>
      </c>
      <c r="D29" t="inlineStr">
        <is>
          <t>NHÔM_ĐỊNH_HÌNH</t>
        </is>
      </c>
      <c r="E29" t="inlineStr">
        <is>
          <t>MAT-ALU-NAN-OBD</t>
        </is>
      </c>
      <c r="F29" t="inlineStr">
        <is>
          <t>kg</t>
        </is>
      </c>
      <c r="G29" s="18" t="n">
        <v>0.456703686505582</v>
      </c>
      <c r="H29" s="14">
        <f>'00_TONG_HOP_BAO_GIA'!G6</f>
        <v/>
      </c>
      <c r="I29" s="19">
        <f>G29*H29</f>
        <v/>
      </c>
      <c r="J29" s="14">
        <f>IFERROR(INDEX('06_BANG_GIA_VAT_TU_AP_DUNG'!$E$1:$E$5000, MATCH(E29, '06_BANG_GIA_VAT_TU_AP_DUNG'!$B$1:$B$5000, 0)), 0)</f>
        <v/>
      </c>
      <c r="K29" s="14">
        <f>I29*J29</f>
        <v/>
      </c>
      <c r="L29" t="inlineStr">
        <is>
          <t>Nan OBD đối xứng &amp; thanh liên kết</t>
        </is>
      </c>
    </row>
    <row r="30">
      <c r="A30" t="inlineStr">
        <is>
          <t>SW-DIFF-005-OBD-ACC</t>
        </is>
      </c>
      <c r="B30" t="inlineStr">
        <is>
          <t>SW-DIFF-005</t>
        </is>
      </c>
      <c r="C30" t="inlineStr">
        <is>
          <t>Bánh răng nhựa &amp; phụ kiện van OBD</t>
        </is>
      </c>
      <c r="D30" t="inlineStr">
        <is>
          <t>PHỤ_KIỆN_CỬA</t>
        </is>
      </c>
      <c r="E30" t="inlineStr">
        <is>
          <t>MAT-DOOR-ACCESSORY</t>
        </is>
      </c>
      <c r="F30" t="inlineStr">
        <is>
          <t>Bộ</t>
        </is>
      </c>
      <c r="G30" s="18" t="n">
        <v>1.506487854792718</v>
      </c>
      <c r="H30" s="14">
        <f>'00_TONG_HOP_BAO_GIA'!G6</f>
        <v/>
      </c>
      <c r="I30" s="19">
        <f>G30*H30</f>
        <v/>
      </c>
      <c r="J30" s="14">
        <f>IFERROR(INDEX('06_BANG_GIA_VAT_TU_AP_DUNG'!$E$1:$E$5000, MATCH(E30, '06_BANG_GIA_VAT_TU_AP_DUNG'!$B$1:$B$5000, 0)), 0)</f>
        <v/>
      </c>
      <c r="K30" s="14">
        <f>I30*J30</f>
        <v/>
      </c>
      <c r="L30" t="inlineStr">
        <is>
          <t>Cơ cấu bánh răng đóng mở OBD</t>
        </is>
      </c>
    </row>
    <row r="31">
      <c r="A31" t="inlineStr">
        <is>
          <t>SW-DIFF-006-FRAME</t>
        </is>
      </c>
      <c r="B31" t="inlineStr">
        <is>
          <t>SW-DIFF-006</t>
        </is>
      </c>
      <c r="C31" t="inlineStr">
        <is>
          <t>Khung nhôm định hình (1 lớp BD)</t>
        </is>
      </c>
      <c r="D31" t="inlineStr">
        <is>
          <t>NHÔM_ĐỊNH_HÌNH</t>
        </is>
      </c>
      <c r="E31" t="inlineStr">
        <is>
          <t>MAT-ALU-KHUNG-BD</t>
        </is>
      </c>
      <c r="F31" t="inlineStr">
        <is>
          <t>kg</t>
        </is>
      </c>
      <c r="G31" s="18" t="n">
        <v>0.2584233203712342</v>
      </c>
      <c r="H31" s="14">
        <f>'00_TONG_HOP_BAO_GIA'!G7</f>
        <v/>
      </c>
      <c r="I31" s="19">
        <f>G31*H31</f>
        <v/>
      </c>
      <c r="J31" s="14">
        <f>IFERROR(INDEX('06_BANG_GIA_VAT_TU_AP_DUNG'!$E$1:$E$5000, MATCH(E31, '06_BANG_GIA_VAT_TU_AP_DUNG'!$B$1:$B$5000, 0)), 0)</f>
        <v/>
      </c>
      <c r="K31" s="14">
        <f>I31*J31</f>
        <v/>
      </c>
      <c r="L31" t="inlineStr">
        <is>
          <t>Khung bao 450x200mm (cổ 400x150mm)</t>
        </is>
      </c>
    </row>
    <row r="32">
      <c r="A32" t="inlineStr">
        <is>
          <t>SW-DIFF-006-BLADE</t>
        </is>
      </c>
      <c r="B32" t="inlineStr">
        <is>
          <t>SW-DIFF-006</t>
        </is>
      </c>
      <c r="C32" t="inlineStr">
        <is>
          <t>Nan nhôm bầu dục (7 nan)</t>
        </is>
      </c>
      <c r="D32" t="inlineStr">
        <is>
          <t>NHÔM_ĐỊNH_HÌNH</t>
        </is>
      </c>
      <c r="E32" t="inlineStr">
        <is>
          <t>MAT-ALU-NAN-BD</t>
        </is>
      </c>
      <c r="F32" t="inlineStr">
        <is>
          <t>kg</t>
        </is>
      </c>
      <c r="G32" s="18" t="n">
        <v>0.1668042417658523</v>
      </c>
      <c r="H32" s="14">
        <f>'00_TONG_HOP_BAO_GIA'!G7</f>
        <v/>
      </c>
      <c r="I32" s="19">
        <f>G32*H32</f>
        <v/>
      </c>
      <c r="J32" s="14">
        <f>IFERROR(INDEX('06_BANG_GIA_VAT_TU_AP_DUNG'!$E$1:$E$5000, MATCH(E32, '06_BANG_GIA_VAT_TU_AP_DUNG'!$B$1:$B$5000, 0)), 0)</f>
        <v/>
      </c>
      <c r="K32" s="14">
        <f>I32*J32</f>
        <v/>
      </c>
      <c r="L32" t="inlineStr">
        <is>
          <t>Nan bầu dục @ 0.058kg/m</t>
        </is>
      </c>
    </row>
    <row r="33">
      <c r="A33" t="inlineStr">
        <is>
          <t>SW-DIFF-006-ACCESSORY</t>
        </is>
      </c>
      <c r="B33" t="inlineStr">
        <is>
          <t>SW-DIFF-006</t>
        </is>
      </c>
      <c r="C33" t="inlineStr">
        <is>
          <t>Phụ kiện lắp ghép / Ke góc cửa gió</t>
        </is>
      </c>
      <c r="D33" t="inlineStr">
        <is>
          <t>PHỤ_KIỆN_CỬA</t>
        </is>
      </c>
      <c r="E33" t="inlineStr">
        <is>
          <t>MAT-DOOR-ACCESSORY</t>
        </is>
      </c>
      <c r="F33" t="inlineStr">
        <is>
          <t>Bộ</t>
        </is>
      </c>
      <c r="G33" s="18" t="n">
        <v>0.03111238992184393</v>
      </c>
      <c r="H33" s="14">
        <f>'00_TONG_HOP_BAO_GIA'!G7</f>
        <v/>
      </c>
      <c r="I33" s="19">
        <f>G33*H33</f>
        <v/>
      </c>
      <c r="J33" s="14">
        <f>IFERROR(INDEX('06_BANG_GIA_VAT_TU_AP_DUNG'!$E$1:$E$5000, MATCH(E33, '06_BANG_GIA_VAT_TU_AP_DUNG'!$B$1:$B$5000, 0)), 0)</f>
        <v/>
      </c>
      <c r="K33" s="14">
        <f>I33*J33</f>
        <v/>
      </c>
      <c r="L33" t="inlineStr">
        <is>
          <t>4 ke góc chìm và vít ghép khung</t>
        </is>
      </c>
    </row>
    <row r="34">
      <c r="A34" t="inlineStr">
        <is>
          <t>SW-DIFF-006-PAINT</t>
        </is>
      </c>
      <c r="B34" t="inlineStr">
        <is>
          <t>SW-DIFF-006</t>
        </is>
      </c>
      <c r="C34" t="inlineStr">
        <is>
          <t>Sơn tĩnh điện tiêu chuẩn Polyester</t>
        </is>
      </c>
      <c r="D34" t="inlineStr">
        <is>
          <t>SƠN_TĨNH_ĐIỆN</t>
        </is>
      </c>
      <c r="E34" t="inlineStr">
        <is>
          <t>MAT-PAINT-POWDER</t>
        </is>
      </c>
      <c r="F34" t="inlineStr">
        <is>
          <t>m2</t>
        </is>
      </c>
      <c r="G34" s="18" t="n">
        <v>0.08291059741189197</v>
      </c>
      <c r="H34" s="14">
        <f>'00_TONG_HOP_BAO_GIA'!G7</f>
        <v/>
      </c>
      <c r="I34" s="19">
        <f>G34*H34</f>
        <v/>
      </c>
      <c r="J34" s="14">
        <f>IFERROR(INDEX('06_BANG_GIA_VAT_TU_AP_DUNG'!$E$1:$E$5000, MATCH(E34, '06_BANG_GIA_VAT_TU_AP_DUNG'!$B$1:$B$5000, 0)), 0)</f>
        <v/>
      </c>
      <c r="K34" s="14">
        <f>I34*J34</f>
        <v/>
      </c>
      <c r="L34" t="inlineStr">
        <is>
          <t>Sơn tĩnh điện hoàn thiện</t>
        </is>
      </c>
    </row>
    <row r="35">
      <c r="A35" t="inlineStr">
        <is>
          <t>SW-DIFF-006-OBD-FRAME</t>
        </is>
      </c>
      <c r="B35" t="inlineStr">
        <is>
          <t>SW-DIFF-006</t>
        </is>
      </c>
      <c r="C35" t="inlineStr">
        <is>
          <t>Khung nhôm van OBD gắn cửa (SOBD)</t>
        </is>
      </c>
      <c r="D35" t="inlineStr">
        <is>
          <t>NHÔM_ĐỊNH_HÌNH</t>
        </is>
      </c>
      <c r="E35" t="inlineStr">
        <is>
          <t>MAT-ALU-KHUNG-OBD</t>
        </is>
      </c>
      <c r="F35" t="inlineStr">
        <is>
          <t>kg</t>
        </is>
      </c>
      <c r="G35" s="18" t="n">
        <v>0.151707691369408</v>
      </c>
      <c r="H35" s="14">
        <f>'00_TONG_HOP_BAO_GIA'!G7</f>
        <v/>
      </c>
      <c r="I35" s="19">
        <f>G35*H35</f>
        <v/>
      </c>
      <c r="J35" s="14">
        <f>IFERROR(INDEX('06_BANG_GIA_VAT_TU_AP_DUNG'!$E$1:$E$5000, MATCH(E35, '06_BANG_GIA_VAT_TU_AP_DUNG'!$B$1:$B$5000, 0)), 0)</f>
        <v/>
      </c>
      <c r="K35" s="14">
        <f>I35*J35</f>
        <v/>
      </c>
      <c r="L35" t="inlineStr">
        <is>
          <t>Khung OBD 400x150mm</t>
        </is>
      </c>
    </row>
    <row r="36">
      <c r="A36" t="inlineStr">
        <is>
          <t>SW-DIFF-006-OBD-BLADE</t>
        </is>
      </c>
      <c r="B36" t="inlineStr">
        <is>
          <t>SW-DIFF-006</t>
        </is>
      </c>
      <c r="C36" t="inlineStr">
        <is>
          <t>Nan nhôm &amp; thanh truyền van OBD (SOBD)</t>
        </is>
      </c>
      <c r="D36" t="inlineStr">
        <is>
          <t>NHÔM_ĐỊNH_HÌNH</t>
        </is>
      </c>
      <c r="E36" t="inlineStr">
        <is>
          <t>MAT-ALU-NAN-OBD</t>
        </is>
      </c>
      <c r="F36" t="inlineStr">
        <is>
          <t>kg</t>
        </is>
      </c>
      <c r="G36" s="18" t="n">
        <v>0.1309329902497768</v>
      </c>
      <c r="H36" s="14">
        <f>'00_TONG_HOP_BAO_GIA'!G7</f>
        <v/>
      </c>
      <c r="I36" s="19">
        <f>G36*H36</f>
        <v/>
      </c>
      <c r="J36" s="14">
        <f>IFERROR(INDEX('06_BANG_GIA_VAT_TU_AP_DUNG'!$E$1:$E$5000, MATCH(E36, '06_BANG_GIA_VAT_TU_AP_DUNG'!$B$1:$B$5000, 0)), 0)</f>
        <v/>
      </c>
      <c r="K36" s="14">
        <f>I36*J36</f>
        <v/>
      </c>
      <c r="L36" t="inlineStr">
        <is>
          <t>Nan OBD đối xứng &amp; thanh liên kết</t>
        </is>
      </c>
    </row>
    <row r="37">
      <c r="A37" t="inlineStr">
        <is>
          <t>SW-DIFF-006-OBD-ACC</t>
        </is>
      </c>
      <c r="B37" t="inlineStr">
        <is>
          <t>SW-DIFF-006</t>
        </is>
      </c>
      <c r="C37" t="inlineStr">
        <is>
          <t>Bánh răng nhựa &amp; phụ kiện van OBD</t>
        </is>
      </c>
      <c r="D37" t="inlineStr">
        <is>
          <t>PHỤ_KIỆN_CỬA</t>
        </is>
      </c>
      <c r="E37" t="inlineStr">
        <is>
          <t>MAT-DOOR-ACCESSORY</t>
        </is>
      </c>
      <c r="F37" t="inlineStr">
        <is>
          <t>Bộ</t>
        </is>
      </c>
      <c r="G37" s="18" t="n">
        <v>0.9674493168455726</v>
      </c>
      <c r="H37" s="14">
        <f>'00_TONG_HOP_BAO_GIA'!G7</f>
        <v/>
      </c>
      <c r="I37" s="19">
        <f>G37*H37</f>
        <v/>
      </c>
      <c r="J37" s="14">
        <f>IFERROR(INDEX('06_BANG_GIA_VAT_TU_AP_DUNG'!$E$1:$E$5000, MATCH(E37, '06_BANG_GIA_VAT_TU_AP_DUNG'!$B$1:$B$5000, 0)), 0)</f>
        <v/>
      </c>
      <c r="K37" s="14">
        <f>I37*J37</f>
        <v/>
      </c>
      <c r="L37" t="inlineStr">
        <is>
          <t>Cơ cấu bánh răng đóng mở OBD</t>
        </is>
      </c>
    </row>
    <row r="38">
      <c r="A38" t="inlineStr">
        <is>
          <t>SW-DIFF-007-FRAME</t>
        </is>
      </c>
      <c r="B38" t="inlineStr">
        <is>
          <t>SW-DIFF-007</t>
        </is>
      </c>
      <c r="C38" t="inlineStr">
        <is>
          <t>Khung nhôm định hình Louver (SWL)</t>
        </is>
      </c>
      <c r="D38" t="inlineStr">
        <is>
          <t>NHÔM_ĐỊNH_HÌNH</t>
        </is>
      </c>
      <c r="E38" t="inlineStr">
        <is>
          <t>MAT-ALU-KHUNG-Z-2-LOP</t>
        </is>
      </c>
      <c r="F38" t="inlineStr">
        <is>
          <t>kg</t>
        </is>
      </c>
      <c r="G38" s="18" t="n">
        <v>0.1866875852418899</v>
      </c>
      <c r="H38" s="14">
        <f>'00_TONG_HOP_BAO_GIA'!G8</f>
        <v/>
      </c>
      <c r="I38" s="19">
        <f>G38*H38</f>
        <v/>
      </c>
      <c r="J38" s="14">
        <f>IFERROR(INDEX('06_BANG_GIA_VAT_TU_AP_DUNG'!$E$1:$E$5000, MATCH(E38, '06_BANG_GIA_VAT_TU_AP_DUNG'!$B$1:$B$5000, 0)), 0)</f>
        <v/>
      </c>
      <c r="K38" s="14">
        <f>I38*J38</f>
        <v/>
      </c>
      <c r="L38" t="inlineStr">
        <is>
          <t>Khung Louver phủ bì 200x200mm</t>
        </is>
      </c>
    </row>
    <row r="39">
      <c r="A39" t="inlineStr">
        <is>
          <t>SW-DIFF-007-BLADE</t>
        </is>
      </c>
      <c r="B39" t="inlineStr">
        <is>
          <t>SW-DIFF-007</t>
        </is>
      </c>
      <c r="C39" t="inlineStr">
        <is>
          <t>Nan Z Louver &amp; thanh tăng cứng (3 nan)</t>
        </is>
      </c>
      <c r="D39" t="inlineStr">
        <is>
          <t>NHÔM_ĐỊNH_HÌNH</t>
        </is>
      </c>
      <c r="E39" t="inlineStr">
        <is>
          <t>MAT-ALU-NAN-Z-DAY</t>
        </is>
      </c>
      <c r="F39" t="inlineStr">
        <is>
          <t>kg</t>
        </is>
      </c>
      <c r="G39" s="18" t="n">
        <v>0.1298794577062796</v>
      </c>
      <c r="H39" s="14">
        <f>'00_TONG_HOP_BAO_GIA'!G8</f>
        <v/>
      </c>
      <c r="I39" s="19">
        <f>G39*H39</f>
        <v/>
      </c>
      <c r="J39" s="14">
        <f>IFERROR(INDEX('06_BANG_GIA_VAT_TU_AP_DUNG'!$E$1:$E$5000, MATCH(E39, '06_BANG_GIA_VAT_TU_AP_DUNG'!$B$1:$B$5000, 0)), 0)</f>
        <v/>
      </c>
      <c r="K39" s="14">
        <f>I39*J39</f>
        <v/>
      </c>
      <c r="L39" t="inlineStr">
        <is>
          <t>3 nan Z dày @ 0.217kg/m + thanh giằng</t>
        </is>
      </c>
    </row>
    <row r="40">
      <c r="A40" t="inlineStr">
        <is>
          <t>SW-DIFF-007-ACCESSORY</t>
        </is>
      </c>
      <c r="B40" t="inlineStr">
        <is>
          <t>SW-DIFF-007</t>
        </is>
      </c>
      <c r="C40" t="inlineStr">
        <is>
          <t>Phụ kiện lắp ghép / Ke góc cửa gió</t>
        </is>
      </c>
      <c r="D40" t="inlineStr">
        <is>
          <t>PHỤ_KIỆN_CỬA</t>
        </is>
      </c>
      <c r="E40" t="inlineStr">
        <is>
          <t>MAT-DOOR-ACCESSORY</t>
        </is>
      </c>
      <c r="F40" t="inlineStr">
        <is>
          <t>Bộ</t>
        </is>
      </c>
      <c r="G40" s="18" t="n">
        <v>0.02669101639221253</v>
      </c>
      <c r="H40" s="14">
        <f>'00_TONG_HOP_BAO_GIA'!G8</f>
        <v/>
      </c>
      <c r="I40" s="19">
        <f>G40*H40</f>
        <v/>
      </c>
      <c r="J40" s="14">
        <f>IFERROR(INDEX('06_BANG_GIA_VAT_TU_AP_DUNG'!$E$1:$E$5000, MATCH(E40, '06_BANG_GIA_VAT_TU_AP_DUNG'!$B$1:$B$5000, 0)), 0)</f>
        <v/>
      </c>
      <c r="K40" s="14">
        <f>I40*J40</f>
        <v/>
      </c>
      <c r="L40" t="inlineStr">
        <is>
          <t>Ke góc và vít ghép khung Louver</t>
        </is>
      </c>
    </row>
    <row r="41">
      <c r="A41" t="inlineStr">
        <is>
          <t>SW-DIFF-007-PAINT</t>
        </is>
      </c>
      <c r="B41" t="inlineStr">
        <is>
          <t>SW-DIFF-007</t>
        </is>
      </c>
      <c r="C41" t="inlineStr">
        <is>
          <t>Sơn tĩnh điện tiêu chuẩn Polyester</t>
        </is>
      </c>
      <c r="D41" t="inlineStr">
        <is>
          <t>SƠN_TĨNH_ĐIỆN</t>
        </is>
      </c>
      <c r="E41" t="inlineStr">
        <is>
          <t>MAT-PAINT-POWDER</t>
        </is>
      </c>
      <c r="F41" t="inlineStr">
        <is>
          <t>m2</t>
        </is>
      </c>
      <c r="G41" s="18" t="n">
        <v>0.05709574753578076</v>
      </c>
      <c r="H41" s="14">
        <f>'00_TONG_HOP_BAO_GIA'!G8</f>
        <v/>
      </c>
      <c r="I41" s="19">
        <f>G41*H41</f>
        <v/>
      </c>
      <c r="J41" s="14">
        <f>IFERROR(INDEX('06_BANG_GIA_VAT_TU_AP_DUNG'!$E$1:$E$5000, MATCH(E41, '06_BANG_GIA_VAT_TU_AP_DUNG'!$B$1:$B$5000, 0)), 0)</f>
        <v/>
      </c>
      <c r="K41" s="14">
        <f>I41*J41</f>
        <v/>
      </c>
      <c r="L41" t="inlineStr">
        <is>
          <t>Sơn tĩnh điện khung và nan Louver</t>
        </is>
      </c>
    </row>
    <row r="42">
      <c r="A42" t="inlineStr">
        <is>
          <t>SW-DIFF-007-MESH</t>
        </is>
      </c>
      <c r="B42" t="inlineStr">
        <is>
          <t>SW-DIFF-007</t>
        </is>
      </c>
      <c r="C42" t="inlineStr">
        <is>
          <t>Lưới chắn côn trùng Inox 304 (LCCT)</t>
        </is>
      </c>
      <c r="D42" t="inlineStr">
        <is>
          <t>PHỤ_KIỆN_CỬA</t>
        </is>
      </c>
      <c r="E42" t="inlineStr">
        <is>
          <t>MAT-MESH-INOX-304</t>
        </is>
      </c>
      <c r="F42" t="inlineStr">
        <is>
          <t>m2</t>
        </is>
      </c>
      <c r="G42" s="18" t="n">
        <v>0.0125549278091651</v>
      </c>
      <c r="H42" s="14">
        <f>'00_TONG_HOP_BAO_GIA'!G8</f>
        <v/>
      </c>
      <c r="I42" s="19">
        <f>G42*H42</f>
        <v/>
      </c>
      <c r="J42" s="14">
        <f>IFERROR(INDEX('06_BANG_GIA_VAT_TU_AP_DUNG'!$E$1:$E$5000, MATCH(E42, '06_BANG_GIA_VAT_TU_AP_DUNG'!$B$1:$B$5000, 0)), 0)</f>
        <v/>
      </c>
      <c r="K42" s="14">
        <f>I42*J42</f>
        <v/>
      </c>
      <c r="L42" t="inlineStr">
        <is>
          <t>Lưới chắn côn trùng cổ 150x150mm</t>
        </is>
      </c>
    </row>
    <row r="43">
      <c r="A43" t="inlineStr">
        <is>
          <t>SW-DIFF-008-FRAME</t>
        </is>
      </c>
      <c r="B43" t="inlineStr">
        <is>
          <t>SW-DIFF-008</t>
        </is>
      </c>
      <c r="C43" t="inlineStr">
        <is>
          <t>Khung nhôm định hình (1 lớp BD)</t>
        </is>
      </c>
      <c r="D43" t="inlineStr">
        <is>
          <t>NHÔM_ĐỊNH_HÌNH</t>
        </is>
      </c>
      <c r="E43" t="inlineStr">
        <is>
          <t>MAT-ALU-KHUNG-BD</t>
        </is>
      </c>
      <c r="F43" t="inlineStr">
        <is>
          <t>kg</t>
        </is>
      </c>
      <c r="G43" s="18" t="n">
        <v>0.5634360940085776</v>
      </c>
      <c r="H43" s="14">
        <f>'00_TONG_HOP_BAO_GIA'!G9</f>
        <v/>
      </c>
      <c r="I43" s="19">
        <f>G43*H43</f>
        <v/>
      </c>
      <c r="J43" s="14">
        <f>IFERROR(INDEX('06_BANG_GIA_VAT_TU_AP_DUNG'!$E$1:$E$5000, MATCH(E43, '06_BANG_GIA_VAT_TU_AP_DUNG'!$B$1:$B$5000, 0)), 0)</f>
        <v/>
      </c>
      <c r="K43" s="14">
        <f>I43*J43</f>
        <v/>
      </c>
      <c r="L43" t="inlineStr">
        <is>
          <t>Khung bao 900x500mm (cổ 850x450mm)</t>
        </is>
      </c>
    </row>
    <row r="44">
      <c r="A44" t="inlineStr">
        <is>
          <t>SW-DIFF-008-BLADE</t>
        </is>
      </c>
      <c r="B44" t="inlineStr">
        <is>
          <t>SW-DIFF-008</t>
        </is>
      </c>
      <c r="C44" t="inlineStr">
        <is>
          <t>Nan nhôm bầu dục (22 nan)</t>
        </is>
      </c>
      <c r="D44" t="inlineStr">
        <is>
          <t>NHÔM_ĐỊNH_HÌNH</t>
        </is>
      </c>
      <c r="E44" t="inlineStr">
        <is>
          <t>MAT-ALU-NAN-BD</t>
        </is>
      </c>
      <c r="F44" t="inlineStr">
        <is>
          <t>kg</t>
        </is>
      </c>
      <c r="G44" s="18" t="n">
        <v>1.115151072192889</v>
      </c>
      <c r="H44" s="14">
        <f>'00_TONG_HOP_BAO_GIA'!G9</f>
        <v/>
      </c>
      <c r="I44" s="19">
        <f>G44*H44</f>
        <v/>
      </c>
      <c r="J44" s="14">
        <f>IFERROR(INDEX('06_BANG_GIA_VAT_TU_AP_DUNG'!$E$1:$E$5000, MATCH(E44, '06_BANG_GIA_VAT_TU_AP_DUNG'!$B$1:$B$5000, 0)), 0)</f>
        <v/>
      </c>
      <c r="K44" s="14">
        <f>I44*J44</f>
        <v/>
      </c>
      <c r="L44" t="inlineStr">
        <is>
          <t>Nan bầu dục @ 0.058kg/m</t>
        </is>
      </c>
    </row>
    <row r="45">
      <c r="A45" t="inlineStr">
        <is>
          <t>SW-DIFF-008-ACCESSORY</t>
        </is>
      </c>
      <c r="B45" t="inlineStr">
        <is>
          <t>SW-DIFF-008</t>
        </is>
      </c>
      <c r="C45" t="inlineStr">
        <is>
          <t>Phụ kiện lắp ghép / Ke góc cửa gió</t>
        </is>
      </c>
      <c r="D45" t="inlineStr">
        <is>
          <t>PHỤ_KIỆN_CỬA</t>
        </is>
      </c>
      <c r="E45" t="inlineStr">
        <is>
          <t>MAT-DOOR-ACCESSORY</t>
        </is>
      </c>
      <c r="F45" t="inlineStr">
        <is>
          <t>Bộ</t>
        </is>
      </c>
      <c r="G45" s="18" t="n">
        <v>0.09788159881316895</v>
      </c>
      <c r="H45" s="14">
        <f>'00_TONG_HOP_BAO_GIA'!G9</f>
        <v/>
      </c>
      <c r="I45" s="19">
        <f>G45*H45</f>
        <v/>
      </c>
      <c r="J45" s="14">
        <f>IFERROR(INDEX('06_BANG_GIA_VAT_TU_AP_DUNG'!$E$1:$E$5000, MATCH(E45, '06_BANG_GIA_VAT_TU_AP_DUNG'!$B$1:$B$5000, 0)), 0)</f>
        <v/>
      </c>
      <c r="K45" s="14">
        <f>I45*J45</f>
        <v/>
      </c>
      <c r="L45" t="inlineStr">
        <is>
          <t>4 ke góc chìm và vít ghép khung</t>
        </is>
      </c>
    </row>
    <row r="46">
      <c r="A46" t="inlineStr">
        <is>
          <t>SW-DIFF-008-PAINT</t>
        </is>
      </c>
      <c r="B46" t="inlineStr">
        <is>
          <t>SW-DIFF-008</t>
        </is>
      </c>
      <c r="C46" t="inlineStr">
        <is>
          <t>Sơn tĩnh điện tiêu chuẩn Polyester</t>
        </is>
      </c>
      <c r="D46" t="inlineStr">
        <is>
          <t>SƠN_TĨNH_ĐIỆN</t>
        </is>
      </c>
      <c r="E46" t="inlineStr">
        <is>
          <t>MAT-PAINT-POWDER</t>
        </is>
      </c>
      <c r="F46" t="inlineStr">
        <is>
          <t>m2</t>
        </is>
      </c>
      <c r="G46" s="18" t="n">
        <v>0.3326090008012839</v>
      </c>
      <c r="H46" s="14">
        <f>'00_TONG_HOP_BAO_GIA'!G9</f>
        <v/>
      </c>
      <c r="I46" s="19">
        <f>G46*H46</f>
        <v/>
      </c>
      <c r="J46" s="14">
        <f>IFERROR(INDEX('06_BANG_GIA_VAT_TU_AP_DUNG'!$E$1:$E$5000, MATCH(E46, '06_BANG_GIA_VAT_TU_AP_DUNG'!$B$1:$B$5000, 0)), 0)</f>
        <v/>
      </c>
      <c r="K46" s="14">
        <f>I46*J46</f>
        <v/>
      </c>
      <c r="L46" t="inlineStr">
        <is>
          <t>Sơn tĩnh điện hoàn thiện</t>
        </is>
      </c>
    </row>
    <row r="47">
      <c r="A47" t="inlineStr">
        <is>
          <t>SW-DIFF-008-OBD-FRAME</t>
        </is>
      </c>
      <c r="B47" t="inlineStr">
        <is>
          <t>SW-DIFF-008</t>
        </is>
      </c>
      <c r="C47" t="inlineStr">
        <is>
          <t>Khung nhôm van OBD gắn cửa (SOBD)</t>
        </is>
      </c>
      <c r="D47" t="inlineStr">
        <is>
          <t>NHÔM_ĐỊNH_HÌNH</t>
        </is>
      </c>
      <c r="E47" t="inlineStr">
        <is>
          <t>MAT-ALU-KHUNG-OBD</t>
        </is>
      </c>
      <c r="F47" t="inlineStr">
        <is>
          <t>kg</t>
        </is>
      </c>
      <c r="G47" s="18" t="n">
        <v>0.3568324849958905</v>
      </c>
      <c r="H47" s="14">
        <f>'00_TONG_HOP_BAO_GIA'!G9</f>
        <v/>
      </c>
      <c r="I47" s="19">
        <f>G47*H47</f>
        <v/>
      </c>
      <c r="J47" s="14">
        <f>IFERROR(INDEX('06_BANG_GIA_VAT_TU_AP_DUNG'!$E$1:$E$5000, MATCH(E47, '06_BANG_GIA_VAT_TU_AP_DUNG'!$B$1:$B$5000, 0)), 0)</f>
        <v/>
      </c>
      <c r="K47" s="14">
        <f>I47*J47</f>
        <v/>
      </c>
      <c r="L47" t="inlineStr">
        <is>
          <t>Khung OBD 850x450mm</t>
        </is>
      </c>
    </row>
    <row r="48">
      <c r="A48" t="inlineStr">
        <is>
          <t>SW-DIFF-008-OBD-BLADE</t>
        </is>
      </c>
      <c r="B48" t="inlineStr">
        <is>
          <t>SW-DIFF-008</t>
        </is>
      </c>
      <c r="C48" t="inlineStr">
        <is>
          <t>Nan nhôm &amp; thanh truyền van OBD (SOBD)</t>
        </is>
      </c>
      <c r="D48" t="inlineStr">
        <is>
          <t>NHÔM_ĐỊNH_HÌNH</t>
        </is>
      </c>
      <c r="E48" t="inlineStr">
        <is>
          <t>MAT-ALU-NAN-OBD</t>
        </is>
      </c>
      <c r="F48" t="inlineStr">
        <is>
          <t>kg</t>
        </is>
      </c>
      <c r="G48" s="18" t="n">
        <v>0.8306257638201566</v>
      </c>
      <c r="H48" s="14">
        <f>'00_TONG_HOP_BAO_GIA'!G9</f>
        <v/>
      </c>
      <c r="I48" s="19">
        <f>G48*H48</f>
        <v/>
      </c>
      <c r="J48" s="14">
        <f>IFERROR(INDEX('06_BANG_GIA_VAT_TU_AP_DUNG'!$E$1:$E$5000, MATCH(E48, '06_BANG_GIA_VAT_TU_AP_DUNG'!$B$1:$B$5000, 0)), 0)</f>
        <v/>
      </c>
      <c r="K48" s="14">
        <f>I48*J48</f>
        <v/>
      </c>
      <c r="L48" t="inlineStr">
        <is>
          <t>Nan OBD đối xứng &amp; thanh liên kết</t>
        </is>
      </c>
    </row>
    <row r="49">
      <c r="A49" t="inlineStr">
        <is>
          <t>SW-DIFF-008-OBD-ACC</t>
        </is>
      </c>
      <c r="B49" t="inlineStr">
        <is>
          <t>SW-DIFF-008</t>
        </is>
      </c>
      <c r="C49" t="inlineStr">
        <is>
          <t>Bánh răng nhựa &amp; phụ kiện van OBD</t>
        </is>
      </c>
      <c r="D49" t="inlineStr">
        <is>
          <t>PHỤ_KIỆN_CỬA</t>
        </is>
      </c>
      <c r="E49" t="inlineStr">
        <is>
          <t>MAT-DOOR-ACCESSORY</t>
        </is>
      </c>
      <c r="F49" t="inlineStr">
        <is>
          <t>Bộ</t>
        </is>
      </c>
      <c r="G49" s="18" t="n">
        <v>1.775032780146178</v>
      </c>
      <c r="H49" s="14">
        <f>'00_TONG_HOP_BAO_GIA'!G9</f>
        <v/>
      </c>
      <c r="I49" s="19">
        <f>G49*H49</f>
        <v/>
      </c>
      <c r="J49" s="14">
        <f>IFERROR(INDEX('06_BANG_GIA_VAT_TU_AP_DUNG'!$E$1:$E$5000, MATCH(E49, '06_BANG_GIA_VAT_TU_AP_DUNG'!$B$1:$B$5000, 0)), 0)</f>
        <v/>
      </c>
      <c r="K49" s="14">
        <f>I49*J49</f>
        <v/>
      </c>
      <c r="L49" t="inlineStr">
        <is>
          <t>Cơ cấu bánh răng đóng mở OBD</t>
        </is>
      </c>
    </row>
    <row r="50">
      <c r="A50" t="inlineStr">
        <is>
          <t>SW-DIFF-009-FRAME</t>
        </is>
      </c>
      <c r="B50" t="inlineStr">
        <is>
          <t>SW-DIFF-009</t>
        </is>
      </c>
      <c r="C50" t="inlineStr">
        <is>
          <t>Khung nhôm định hình (1 lớp BD)</t>
        </is>
      </c>
      <c r="D50" t="inlineStr">
        <is>
          <t>NHÔM_ĐỊNH_HÌNH</t>
        </is>
      </c>
      <c r="E50" t="inlineStr">
        <is>
          <t>MAT-ALU-KHUNG-BD</t>
        </is>
      </c>
      <c r="F50" t="inlineStr">
        <is>
          <t>kg</t>
        </is>
      </c>
      <c r="G50" s="18" t="n">
        <v>0.2853007994924974</v>
      </c>
      <c r="H50" s="14">
        <f>'00_TONG_HOP_BAO_GIA'!G10</f>
        <v/>
      </c>
      <c r="I50" s="19">
        <f>G50*H50</f>
        <v/>
      </c>
      <c r="J50" s="14">
        <f>IFERROR(INDEX('06_BANG_GIA_VAT_TU_AP_DUNG'!$E$1:$E$5000, MATCH(E50, '06_BANG_GIA_VAT_TU_AP_DUNG'!$B$1:$B$5000, 0)), 0)</f>
        <v/>
      </c>
      <c r="K50" s="14">
        <f>I50*J50</f>
        <v/>
      </c>
      <c r="L50" t="inlineStr">
        <is>
          <t>Khung bao 400x300mm (cổ 350x250mm)</t>
        </is>
      </c>
    </row>
    <row r="51">
      <c r="A51" t="inlineStr">
        <is>
          <t>SW-DIFF-009-BLADE</t>
        </is>
      </c>
      <c r="B51" t="inlineStr">
        <is>
          <t>SW-DIFF-009</t>
        </is>
      </c>
      <c r="C51" t="inlineStr">
        <is>
          <t>Nan nhôm bầu dục (12 nan)</t>
        </is>
      </c>
      <c r="D51" t="inlineStr">
        <is>
          <t>NHÔM_ĐỊNH_HÌNH</t>
        </is>
      </c>
      <c r="E51" t="inlineStr">
        <is>
          <t>MAT-ALU-NAN-BD</t>
        </is>
      </c>
      <c r="F51" t="inlineStr">
        <is>
          <t>kg</t>
        </is>
      </c>
      <c r="G51" s="18" t="n">
        <v>0.2496381995559352</v>
      </c>
      <c r="H51" s="14">
        <f>'00_TONG_HOP_BAO_GIA'!G10</f>
        <v/>
      </c>
      <c r="I51" s="19">
        <f>G51*H51</f>
        <v/>
      </c>
      <c r="J51" s="14">
        <f>IFERROR(INDEX('06_BANG_GIA_VAT_TU_AP_DUNG'!$E$1:$E$5000, MATCH(E51, '06_BANG_GIA_VAT_TU_AP_DUNG'!$B$1:$B$5000, 0)), 0)</f>
        <v/>
      </c>
      <c r="K51" s="14">
        <f>I51*J51</f>
        <v/>
      </c>
      <c r="L51" t="inlineStr">
        <is>
          <t>Nan bầu dục @ 0.058kg/m</t>
        </is>
      </c>
    </row>
    <row r="52">
      <c r="A52" t="inlineStr">
        <is>
          <t>SW-DIFF-009-ACCESSORY</t>
        </is>
      </c>
      <c r="B52" t="inlineStr">
        <is>
          <t>SW-DIFF-009</t>
        </is>
      </c>
      <c r="C52" t="inlineStr">
        <is>
          <t>Phụ kiện lắp ghép / Ke góc cửa gió</t>
        </is>
      </c>
      <c r="D52" t="inlineStr">
        <is>
          <t>PHỤ_KIỆN_CỬA</t>
        </is>
      </c>
      <c r="E52" t="inlineStr">
        <is>
          <t>MAT-DOOR-ACCESSORY</t>
        </is>
      </c>
      <c r="F52" t="inlineStr">
        <is>
          <t>Bộ</t>
        </is>
      </c>
      <c r="G52" s="18" t="n">
        <v>0.05321441244452537</v>
      </c>
      <c r="H52" s="14">
        <f>'00_TONG_HOP_BAO_GIA'!G10</f>
        <v/>
      </c>
      <c r="I52" s="19">
        <f>G52*H52</f>
        <v/>
      </c>
      <c r="J52" s="14">
        <f>IFERROR(INDEX('06_BANG_GIA_VAT_TU_AP_DUNG'!$E$1:$E$5000, MATCH(E52, '06_BANG_GIA_VAT_TU_AP_DUNG'!$B$1:$B$5000, 0)), 0)</f>
        <v/>
      </c>
      <c r="K52" s="14">
        <f>I52*J52</f>
        <v/>
      </c>
      <c r="L52" t="inlineStr">
        <is>
          <t>4 ke góc chìm và vít ghép khung</t>
        </is>
      </c>
    </row>
    <row r="53">
      <c r="A53" t="inlineStr">
        <is>
          <t>SW-DIFF-009-PAINT</t>
        </is>
      </c>
      <c r="B53" t="inlineStr">
        <is>
          <t>SW-DIFF-009</t>
        </is>
      </c>
      <c r="C53" t="inlineStr">
        <is>
          <t>Sơn tĩnh điện tiêu chuẩn Polyester</t>
        </is>
      </c>
      <c r="D53" t="inlineStr">
        <is>
          <t>SƠN_TĨNH_ĐIỆN</t>
        </is>
      </c>
      <c r="E53" t="inlineStr">
        <is>
          <t>MAT-PAINT-POWDER</t>
        </is>
      </c>
      <c r="F53" t="inlineStr">
        <is>
          <t>m2</t>
        </is>
      </c>
      <c r="G53" s="18" t="n">
        <v>0.1034237757157128</v>
      </c>
      <c r="H53" s="14">
        <f>'00_TONG_HOP_BAO_GIA'!G10</f>
        <v/>
      </c>
      <c r="I53" s="19">
        <f>G53*H53</f>
        <v/>
      </c>
      <c r="J53" s="14">
        <f>IFERROR(INDEX('06_BANG_GIA_VAT_TU_AP_DUNG'!$E$1:$E$5000, MATCH(E53, '06_BANG_GIA_VAT_TU_AP_DUNG'!$B$1:$B$5000, 0)), 0)</f>
        <v/>
      </c>
      <c r="K53" s="14">
        <f>I53*J53</f>
        <v/>
      </c>
      <c r="L53" t="inlineStr">
        <is>
          <t>Sơn tĩnh điện hoàn thiện</t>
        </is>
      </c>
    </row>
    <row r="54">
      <c r="A54" t="inlineStr">
        <is>
          <t>SW-DIFF-009-OBD-FRAME</t>
        </is>
      </c>
      <c r="B54" t="inlineStr">
        <is>
          <t>SW-DIFF-009</t>
        </is>
      </c>
      <c r="C54" t="inlineStr">
        <is>
          <t>Khung nhôm van OBD gắn cửa (SOBD)</t>
        </is>
      </c>
      <c r="D54" t="inlineStr">
        <is>
          <t>NHÔM_ĐỊNH_HÌNH</t>
        </is>
      </c>
      <c r="E54" t="inlineStr">
        <is>
          <t>MAT-ALU-KHUNG-OBD</t>
        </is>
      </c>
      <c r="F54" t="inlineStr">
        <is>
          <t>kg</t>
        </is>
      </c>
      <c r="G54" s="18" t="n">
        <v>0.164694292142068</v>
      </c>
      <c r="H54" s="14">
        <f>'00_TONG_HOP_BAO_GIA'!G10</f>
        <v/>
      </c>
      <c r="I54" s="19">
        <f>G54*H54</f>
        <v/>
      </c>
      <c r="J54" s="14">
        <f>IFERROR(INDEX('06_BANG_GIA_VAT_TU_AP_DUNG'!$E$1:$E$5000, MATCH(E54, '06_BANG_GIA_VAT_TU_AP_DUNG'!$B$1:$B$5000, 0)), 0)</f>
        <v/>
      </c>
      <c r="K54" s="14">
        <f>I54*J54</f>
        <v/>
      </c>
      <c r="L54" t="inlineStr">
        <is>
          <t>Khung OBD 350x250mm</t>
        </is>
      </c>
    </row>
    <row r="55">
      <c r="A55" t="inlineStr">
        <is>
          <t>SW-DIFF-009-OBD-BLADE</t>
        </is>
      </c>
      <c r="B55" t="inlineStr">
        <is>
          <t>SW-DIFF-009</t>
        </is>
      </c>
      <c r="C55" t="inlineStr">
        <is>
          <t>Nan nhôm &amp; thanh truyền van OBD (SOBD)</t>
        </is>
      </c>
      <c r="D55" t="inlineStr">
        <is>
          <t>NHÔM_ĐỊNH_HÌNH</t>
        </is>
      </c>
      <c r="E55" t="inlineStr">
        <is>
          <t>MAT-ALU-NAN-OBD</t>
        </is>
      </c>
      <c r="F55" t="inlineStr">
        <is>
          <t>kg</t>
        </is>
      </c>
      <c r="G55" s="18" t="n">
        <v>0.1900151709181296</v>
      </c>
      <c r="H55" s="14">
        <f>'00_TONG_HOP_BAO_GIA'!G10</f>
        <v/>
      </c>
      <c r="I55" s="19">
        <f>G55*H55</f>
        <v/>
      </c>
      <c r="J55" s="14">
        <f>IFERROR(INDEX('06_BANG_GIA_VAT_TU_AP_DUNG'!$E$1:$E$5000, MATCH(E55, '06_BANG_GIA_VAT_TU_AP_DUNG'!$B$1:$B$5000, 0)), 0)</f>
        <v/>
      </c>
      <c r="K55" s="14">
        <f>I55*J55</f>
        <v/>
      </c>
      <c r="L55" t="inlineStr">
        <is>
          <t>Nan OBD đối xứng &amp; thanh liên kết</t>
        </is>
      </c>
    </row>
    <row r="56">
      <c r="A56" t="inlineStr">
        <is>
          <t>SW-DIFF-009-OBD-ACC</t>
        </is>
      </c>
      <c r="B56" t="inlineStr">
        <is>
          <t>SW-DIFF-009</t>
        </is>
      </c>
      <c r="C56" t="inlineStr">
        <is>
          <t>Bánh răng nhựa &amp; phụ kiện van OBD</t>
        </is>
      </c>
      <c r="D56" t="inlineStr">
        <is>
          <t>PHỤ_KIỆN_CỬA</t>
        </is>
      </c>
      <c r="E56" t="inlineStr">
        <is>
          <t>MAT-DOOR-ACCESSORY</t>
        </is>
      </c>
      <c r="F56" t="inlineStr">
        <is>
          <t>Bộ</t>
        </is>
      </c>
      <c r="G56" s="18" t="n">
        <v>0.8724863264657453</v>
      </c>
      <c r="H56" s="14">
        <f>'00_TONG_HOP_BAO_GIA'!G10</f>
        <v/>
      </c>
      <c r="I56" s="19">
        <f>G56*H56</f>
        <v/>
      </c>
      <c r="J56" s="14">
        <f>IFERROR(INDEX('06_BANG_GIA_VAT_TU_AP_DUNG'!$E$1:$E$5000, MATCH(E56, '06_BANG_GIA_VAT_TU_AP_DUNG'!$B$1:$B$5000, 0)), 0)</f>
        <v/>
      </c>
      <c r="K56" s="14">
        <f>I56*J56</f>
        <v/>
      </c>
      <c r="L56" t="inlineStr">
        <is>
          <t>Cơ cấu bánh răng đóng mở OBD</t>
        </is>
      </c>
    </row>
    <row r="57">
      <c r="A57" t="inlineStr">
        <is>
          <t>SW-DIFF-010-FRAME</t>
        </is>
      </c>
      <c r="B57" t="inlineStr">
        <is>
          <t>SW-DIFF-010</t>
        </is>
      </c>
      <c r="C57" t="inlineStr">
        <is>
          <t>Khung nhôm định hình (1 lớp BD)</t>
        </is>
      </c>
      <c r="D57" t="inlineStr">
        <is>
          <t>NHÔM_ĐỊNH_HÌNH</t>
        </is>
      </c>
      <c r="E57" t="inlineStr">
        <is>
          <t>MAT-ALU-KHUNG-BD</t>
        </is>
      </c>
      <c r="F57" t="inlineStr">
        <is>
          <t>kg</t>
        </is>
      </c>
      <c r="G57" s="18" t="n">
        <v>0.4066085500922406</v>
      </c>
      <c r="H57" s="14">
        <f>'00_TONG_HOP_BAO_GIA'!G11</f>
        <v/>
      </c>
      <c r="I57" s="19">
        <f>G57*H57</f>
        <v/>
      </c>
      <c r="J57" s="14">
        <f>IFERROR(INDEX('06_BANG_GIA_VAT_TU_AP_DUNG'!$E$1:$E$5000, MATCH(E57, '06_BANG_GIA_VAT_TU_AP_DUNG'!$B$1:$B$5000, 0)), 0)</f>
        <v/>
      </c>
      <c r="K57" s="14">
        <f>I57*J57</f>
        <v/>
      </c>
      <c r="L57" t="inlineStr">
        <is>
          <t>Khung bao 600x400mm (cổ 550x350mm)</t>
        </is>
      </c>
    </row>
    <row r="58">
      <c r="A58" t="inlineStr">
        <is>
          <t>SW-DIFF-010-BLADE</t>
        </is>
      </c>
      <c r="B58" t="inlineStr">
        <is>
          <t>SW-DIFF-010</t>
        </is>
      </c>
      <c r="C58" t="inlineStr">
        <is>
          <t>Nan nhôm bầu dục (17 nan)</t>
        </is>
      </c>
      <c r="D58" t="inlineStr">
        <is>
          <t>NHÔM_ĐỊNH_HÌNH</t>
        </is>
      </c>
      <c r="E58" t="inlineStr">
        <is>
          <t>MAT-ALU-NAN-BD</t>
        </is>
      </c>
      <c r="F58" t="inlineStr">
        <is>
          <t>kg</t>
        </is>
      </c>
      <c r="G58" s="18" t="n">
        <v>0.5579550018092665</v>
      </c>
      <c r="H58" s="14">
        <f>'00_TONG_HOP_BAO_GIA'!G11</f>
        <v/>
      </c>
      <c r="I58" s="19">
        <f>G58*H58</f>
        <v/>
      </c>
      <c r="J58" s="14">
        <f>IFERROR(INDEX('06_BANG_GIA_VAT_TU_AP_DUNG'!$E$1:$E$5000, MATCH(E58, '06_BANG_GIA_VAT_TU_AP_DUNG'!$B$1:$B$5000, 0)), 0)</f>
        <v/>
      </c>
      <c r="K58" s="14">
        <f>I58*J58</f>
        <v/>
      </c>
      <c r="L58" t="inlineStr">
        <is>
          <t>Nan bầu dục @ 0.058kg/m</t>
        </is>
      </c>
    </row>
    <row r="59">
      <c r="A59" t="inlineStr">
        <is>
          <t>SW-DIFF-010-ACCESSORY</t>
        </is>
      </c>
      <c r="B59" t="inlineStr">
        <is>
          <t>SW-DIFF-010</t>
        </is>
      </c>
      <c r="C59" t="inlineStr">
        <is>
          <t>Phụ kiện lắp ghép / Ke góc cửa gió</t>
        </is>
      </c>
      <c r="D59" t="inlineStr">
        <is>
          <t>PHỤ_KIỆN_CỬA</t>
        </is>
      </c>
      <c r="E59" t="inlineStr">
        <is>
          <t>MAT-DOOR-ACCESSORY</t>
        </is>
      </c>
      <c r="F59" t="inlineStr">
        <is>
          <t>Bộ</t>
        </is>
      </c>
      <c r="G59" s="18" t="n">
        <v>0.07568725587381329</v>
      </c>
      <c r="H59" s="14">
        <f>'00_TONG_HOP_BAO_GIA'!G11</f>
        <v/>
      </c>
      <c r="I59" s="19">
        <f>G59*H59</f>
        <v/>
      </c>
      <c r="J59" s="14">
        <f>IFERROR(INDEX('06_BANG_GIA_VAT_TU_AP_DUNG'!$E$1:$E$5000, MATCH(E59, '06_BANG_GIA_VAT_TU_AP_DUNG'!$B$1:$B$5000, 0)), 0)</f>
        <v/>
      </c>
      <c r="K59" s="14">
        <f>I59*J59</f>
        <v/>
      </c>
      <c r="L59" t="inlineStr">
        <is>
          <t>4 ke góc chìm và vít ghép khung</t>
        </is>
      </c>
    </row>
    <row r="60">
      <c r="A60" t="inlineStr">
        <is>
          <t>SW-DIFF-010-PAINT</t>
        </is>
      </c>
      <c r="B60" t="inlineStr">
        <is>
          <t>SW-DIFF-010</t>
        </is>
      </c>
      <c r="C60" t="inlineStr">
        <is>
          <t>Sơn tĩnh điện tiêu chuẩn Polyester</t>
        </is>
      </c>
      <c r="D60" t="inlineStr">
        <is>
          <t>SƠN_TĨNH_ĐIỆN</t>
        </is>
      </c>
      <c r="E60" t="inlineStr">
        <is>
          <t>MAT-PAINT-POWDER</t>
        </is>
      </c>
      <c r="F60" t="inlineStr">
        <is>
          <t>m2</t>
        </is>
      </c>
      <c r="G60" s="18" t="n">
        <v>0.1890452898960325</v>
      </c>
      <c r="H60" s="14">
        <f>'00_TONG_HOP_BAO_GIA'!G11</f>
        <v/>
      </c>
      <c r="I60" s="19">
        <f>G60*H60</f>
        <v/>
      </c>
      <c r="J60" s="14">
        <f>IFERROR(INDEX('06_BANG_GIA_VAT_TU_AP_DUNG'!$E$1:$E$5000, MATCH(E60, '06_BANG_GIA_VAT_TU_AP_DUNG'!$B$1:$B$5000, 0)), 0)</f>
        <v/>
      </c>
      <c r="K60" s="14">
        <f>I60*J60</f>
        <v/>
      </c>
      <c r="L60" t="inlineStr">
        <is>
          <t>Sơn tĩnh điện hoàn thiện</t>
        </is>
      </c>
    </row>
    <row r="61">
      <c r="A61" t="inlineStr">
        <is>
          <t>SW-DIFF-010-OBD-FRAME</t>
        </is>
      </c>
      <c r="B61" t="inlineStr">
        <is>
          <t>SW-DIFF-010</t>
        </is>
      </c>
      <c r="C61" t="inlineStr">
        <is>
          <t>Khung nhôm van OBD gắn cửa (SOBD)</t>
        </is>
      </c>
      <c r="D61" t="inlineStr">
        <is>
          <t>NHÔM_ĐỊNH_HÌNH</t>
        </is>
      </c>
      <c r="E61" t="inlineStr">
        <is>
          <t>MAT-ALU-KHUNG-OBD</t>
        </is>
      </c>
      <c r="F61" t="inlineStr">
        <is>
          <t>kg</t>
        </is>
      </c>
      <c r="G61" s="18" t="n">
        <v>0.2464852799122465</v>
      </c>
      <c r="H61" s="14">
        <f>'00_TONG_HOP_BAO_GIA'!G11</f>
        <v/>
      </c>
      <c r="I61" s="19">
        <f>G61*H61</f>
        <v/>
      </c>
      <c r="J61" s="14">
        <f>IFERROR(INDEX('06_BANG_GIA_VAT_TU_AP_DUNG'!$E$1:$E$5000, MATCH(E61, '06_BANG_GIA_VAT_TU_AP_DUNG'!$B$1:$B$5000, 0)), 0)</f>
        <v/>
      </c>
      <c r="K61" s="14">
        <f>I61*J61</f>
        <v/>
      </c>
      <c r="L61" t="inlineStr">
        <is>
          <t>Khung OBD 550x350mm</t>
        </is>
      </c>
    </row>
    <row r="62">
      <c r="A62" t="inlineStr">
        <is>
          <t>SW-DIFF-010-OBD-BLADE</t>
        </is>
      </c>
      <c r="B62" t="inlineStr">
        <is>
          <t>SW-DIFF-010</t>
        </is>
      </c>
      <c r="C62" t="inlineStr">
        <is>
          <t>Nan nhôm &amp; thanh truyền van OBD (SOBD)</t>
        </is>
      </c>
      <c r="D62" t="inlineStr">
        <is>
          <t>NHÔM_ĐỊNH_HÌNH</t>
        </is>
      </c>
      <c r="E62" t="inlineStr">
        <is>
          <t>MAT-ALU-NAN-OBD</t>
        </is>
      </c>
      <c r="F62" t="inlineStr">
        <is>
          <t>kg</t>
        </is>
      </c>
      <c r="G62" s="18" t="n">
        <v>0.4170922677839966</v>
      </c>
      <c r="H62" s="14">
        <f>'00_TONG_HOP_BAO_GIA'!G11</f>
        <v/>
      </c>
      <c r="I62" s="19">
        <f>G62*H62</f>
        <v/>
      </c>
      <c r="J62" s="14">
        <f>IFERROR(INDEX('06_BANG_GIA_VAT_TU_AP_DUNG'!$E$1:$E$5000, MATCH(E62, '06_BANG_GIA_VAT_TU_AP_DUNG'!$B$1:$B$5000, 0)), 0)</f>
        <v/>
      </c>
      <c r="K62" s="14">
        <f>I62*J62</f>
        <v/>
      </c>
      <c r="L62" t="inlineStr">
        <is>
          <t>Nan OBD đối xứng &amp; thanh liên kết</t>
        </is>
      </c>
    </row>
    <row r="63">
      <c r="A63" t="inlineStr">
        <is>
          <t>SW-DIFF-010-OBD-ACC</t>
        </is>
      </c>
      <c r="B63" t="inlineStr">
        <is>
          <t>SW-DIFF-010</t>
        </is>
      </c>
      <c r="C63" t="inlineStr">
        <is>
          <t>Bánh răng nhựa &amp; phụ kiện van OBD</t>
        </is>
      </c>
      <c r="D63" t="inlineStr">
        <is>
          <t>PHỤ_KIỆN_CỬA</t>
        </is>
      </c>
      <c r="E63" t="inlineStr">
        <is>
          <t>MAT-DOOR-ACCESSORY</t>
        </is>
      </c>
      <c r="F63" t="inlineStr">
        <is>
          <t>Bộ</t>
        </is>
      </c>
      <c r="G63" s="18" t="n">
        <v>1.230738168953535</v>
      </c>
      <c r="H63" s="14">
        <f>'00_TONG_HOP_BAO_GIA'!G11</f>
        <v/>
      </c>
      <c r="I63" s="19">
        <f>G63*H63</f>
        <v/>
      </c>
      <c r="J63" s="14">
        <f>IFERROR(INDEX('06_BANG_GIA_VAT_TU_AP_DUNG'!$E$1:$E$5000, MATCH(E63, '06_BANG_GIA_VAT_TU_AP_DUNG'!$B$1:$B$5000, 0)), 0)</f>
        <v/>
      </c>
      <c r="K63" s="14">
        <f>I63*J63</f>
        <v/>
      </c>
      <c r="L63" t="inlineStr">
        <is>
          <t>Cơ cấu bánh răng đóng mở OBD</t>
        </is>
      </c>
    </row>
    <row r="64">
      <c r="A64" t="inlineStr">
        <is>
          <t>SW-DIFF-011-FRAME</t>
        </is>
      </c>
      <c r="B64" t="inlineStr">
        <is>
          <t>SW-DIFF-011</t>
        </is>
      </c>
      <c r="C64" t="inlineStr">
        <is>
          <t>Khung nhôm định hình Louver (SWL)</t>
        </is>
      </c>
      <c r="D64" t="inlineStr">
        <is>
          <t>NHÔM_ĐỊNH_HÌNH</t>
        </is>
      </c>
      <c r="E64" t="inlineStr">
        <is>
          <t>MAT-ALU-KHUNG-Z-2-LOP</t>
        </is>
      </c>
      <c r="F64" t="inlineStr">
        <is>
          <t>kg</t>
        </is>
      </c>
      <c r="G64" s="18" t="n">
        <v>0.1387508950946936</v>
      </c>
      <c r="H64" s="14">
        <f>'00_TONG_HOP_BAO_GIA'!G12</f>
        <v/>
      </c>
      <c r="I64" s="19">
        <f>G64*H64</f>
        <v/>
      </c>
      <c r="J64" s="14">
        <f>IFERROR(INDEX('06_BANG_GIA_VAT_TU_AP_DUNG'!$E$1:$E$5000, MATCH(E64, '06_BANG_GIA_VAT_TU_AP_DUNG'!$B$1:$B$5000, 0)), 0)</f>
        <v/>
      </c>
      <c r="K64" s="14">
        <f>I64*J64</f>
        <v/>
      </c>
      <c r="L64" t="inlineStr">
        <is>
          <t>Khung Louver phủ bì 200x100mm</t>
        </is>
      </c>
    </row>
    <row r="65">
      <c r="A65" t="inlineStr">
        <is>
          <t>SW-DIFF-011-BLADE</t>
        </is>
      </c>
      <c r="B65" t="inlineStr">
        <is>
          <t>SW-DIFF-011</t>
        </is>
      </c>
      <c r="C65" t="inlineStr">
        <is>
          <t>Nan Z Louver &amp; thanh tăng cứng (1 nan)</t>
        </is>
      </c>
      <c r="D65" t="inlineStr">
        <is>
          <t>NHÔM_ĐỊNH_HÌNH</t>
        </is>
      </c>
      <c r="E65" t="inlineStr">
        <is>
          <t>MAT-ALU-NAN-Z-DAY</t>
        </is>
      </c>
      <c r="F65" t="inlineStr">
        <is>
          <t>kg</t>
        </is>
      </c>
      <c r="G65" s="18" t="n">
        <v>0.04887861928519381</v>
      </c>
      <c r="H65" s="14">
        <f>'00_TONG_HOP_BAO_GIA'!G12</f>
        <v/>
      </c>
      <c r="I65" s="19">
        <f>G65*H65</f>
        <v/>
      </c>
      <c r="J65" s="14">
        <f>IFERROR(INDEX('06_BANG_GIA_VAT_TU_AP_DUNG'!$E$1:$E$5000, MATCH(E65, '06_BANG_GIA_VAT_TU_AP_DUNG'!$B$1:$B$5000, 0)), 0)</f>
        <v/>
      </c>
      <c r="K65" s="14">
        <f>I65*J65</f>
        <v/>
      </c>
      <c r="L65" t="inlineStr">
        <is>
          <t>1 nan Z dày @ 0.217kg/m + thanh giằng</t>
        </is>
      </c>
    </row>
    <row r="66">
      <c r="A66" t="inlineStr">
        <is>
          <t>SW-DIFF-011-ACCESSORY</t>
        </is>
      </c>
      <c r="B66" t="inlineStr">
        <is>
          <t>SW-DIFF-011</t>
        </is>
      </c>
      <c r="C66" t="inlineStr">
        <is>
          <t>Phụ kiện lắp ghép / Ke góc cửa gió</t>
        </is>
      </c>
      <c r="D66" t="inlineStr">
        <is>
          <t>PHỤ_KIỆN_CỬA</t>
        </is>
      </c>
      <c r="E66" t="inlineStr">
        <is>
          <t>MAT-DOOR-ACCESSORY</t>
        </is>
      </c>
      <c r="F66" t="inlineStr">
        <is>
          <t>Bộ</t>
        </is>
      </c>
      <c r="G66" s="18" t="n">
        <v>0.008816636772803914</v>
      </c>
      <c r="H66" s="14">
        <f>'00_TONG_HOP_BAO_GIA'!G12</f>
        <v/>
      </c>
      <c r="I66" s="19">
        <f>G66*H66</f>
        <v/>
      </c>
      <c r="J66" s="14">
        <f>IFERROR(INDEX('06_BANG_GIA_VAT_TU_AP_DUNG'!$E$1:$E$5000, MATCH(E66, '06_BANG_GIA_VAT_TU_AP_DUNG'!$B$1:$B$5000, 0)), 0)</f>
        <v/>
      </c>
      <c r="K66" s="14">
        <f>I66*J66</f>
        <v/>
      </c>
      <c r="L66" t="inlineStr">
        <is>
          <t>Ke góc và vít ghép khung Louver</t>
        </is>
      </c>
    </row>
    <row r="67">
      <c r="A67" t="inlineStr">
        <is>
          <t>SW-DIFF-011-PAINT</t>
        </is>
      </c>
      <c r="B67" t="inlineStr">
        <is>
          <t>SW-DIFF-011</t>
        </is>
      </c>
      <c r="C67" t="inlineStr">
        <is>
          <t>Sơn tĩnh điện tiêu chuẩn Polyester</t>
        </is>
      </c>
      <c r="D67" t="inlineStr">
        <is>
          <t>SƠN_TĨNH_ĐIỆN</t>
        </is>
      </c>
      <c r="E67" t="inlineStr">
        <is>
          <t>MAT-PAINT-POWDER</t>
        </is>
      </c>
      <c r="F67" t="inlineStr">
        <is>
          <t>m2</t>
        </is>
      </c>
      <c r="G67" s="18" t="n">
        <v>0.03455706714385121</v>
      </c>
      <c r="H67" s="14">
        <f>'00_TONG_HOP_BAO_GIA'!G12</f>
        <v/>
      </c>
      <c r="I67" s="19">
        <f>G67*H67</f>
        <v/>
      </c>
      <c r="J67" s="14">
        <f>IFERROR(INDEX('06_BANG_GIA_VAT_TU_AP_DUNG'!$E$1:$E$5000, MATCH(E67, '06_BANG_GIA_VAT_TU_AP_DUNG'!$B$1:$B$5000, 0)), 0)</f>
        <v/>
      </c>
      <c r="K67" s="14">
        <f>I67*J67</f>
        <v/>
      </c>
      <c r="L67" t="inlineStr">
        <is>
          <t>Sơn tĩnh điện khung và nan Louver</t>
        </is>
      </c>
    </row>
    <row r="68">
      <c r="A68" t="inlineStr">
        <is>
          <t>SW-DIFF-011-MESH</t>
        </is>
      </c>
      <c r="B68" t="inlineStr">
        <is>
          <t>SW-DIFF-011</t>
        </is>
      </c>
      <c r="C68" t="inlineStr">
        <is>
          <t>Lưới chắn côn trùng Inox 304 (LCCT)</t>
        </is>
      </c>
      <c r="D68" t="inlineStr">
        <is>
          <t>PHỤ_KIỆN_CỬA</t>
        </is>
      </c>
      <c r="E68" t="inlineStr">
        <is>
          <t>MAT-MESH-INOX-304</t>
        </is>
      </c>
      <c r="F68" t="inlineStr">
        <is>
          <t>m2</t>
        </is>
      </c>
      <c r="G68" s="18" t="n">
        <v>0.004184975936388366</v>
      </c>
      <c r="H68" s="14">
        <f>'00_TONG_HOP_BAO_GIA'!G12</f>
        <v/>
      </c>
      <c r="I68" s="19">
        <f>G68*H68</f>
        <v/>
      </c>
      <c r="J68" s="14">
        <f>IFERROR(INDEX('06_BANG_GIA_VAT_TU_AP_DUNG'!$E$1:$E$5000, MATCH(E68, '06_BANG_GIA_VAT_TU_AP_DUNG'!$B$1:$B$5000, 0)), 0)</f>
        <v/>
      </c>
      <c r="K68" s="14">
        <f>I68*J68</f>
        <v/>
      </c>
      <c r="L68" t="inlineStr">
        <is>
          <t>Lưới chắn côn trùng cổ 150x50mm</t>
        </is>
      </c>
    </row>
    <row r="69">
      <c r="A69" t="inlineStr">
        <is>
          <t>SW-DIFF-012-FRAME</t>
        </is>
      </c>
      <c r="B69" t="inlineStr">
        <is>
          <t>SW-DIFF-012</t>
        </is>
      </c>
      <c r="C69" t="inlineStr">
        <is>
          <t>Khung nhôm định hình Louver (SWL)</t>
        </is>
      </c>
      <c r="D69" t="inlineStr">
        <is>
          <t>NHÔM_ĐỊNH_HÌNH</t>
        </is>
      </c>
      <c r="E69" t="inlineStr">
        <is>
          <t>MAT-ALU-KHUNG-Z-2-LOP</t>
        </is>
      </c>
      <c r="F69" t="inlineStr">
        <is>
          <t>kg</t>
        </is>
      </c>
      <c r="G69" s="18" t="n">
        <v>0.3733704136059017</v>
      </c>
      <c r="H69" s="14">
        <f>'00_TONG_HOP_BAO_GIA'!G13</f>
        <v/>
      </c>
      <c r="I69" s="19">
        <f>G69*H69</f>
        <v/>
      </c>
      <c r="J69" s="14">
        <f>IFERROR(INDEX('06_BANG_GIA_VAT_TU_AP_DUNG'!$E$1:$E$5000, MATCH(E69, '06_BANG_GIA_VAT_TU_AP_DUNG'!$B$1:$B$5000, 0)), 0)</f>
        <v/>
      </c>
      <c r="K69" s="14">
        <f>I69*J69</f>
        <v/>
      </c>
      <c r="L69" t="inlineStr">
        <is>
          <t>Khung Louver phủ bì 700x100mm</t>
        </is>
      </c>
    </row>
    <row r="70">
      <c r="A70" t="inlineStr">
        <is>
          <t>SW-DIFF-012-BLADE</t>
        </is>
      </c>
      <c r="B70" t="inlineStr">
        <is>
          <t>SW-DIFF-012</t>
        </is>
      </c>
      <c r="C70" t="inlineStr">
        <is>
          <t>Nan Z Louver &amp; thanh tăng cứng (1 nan)</t>
        </is>
      </c>
      <c r="D70" t="inlineStr">
        <is>
          <t>NHÔM_ĐỊNH_HÌNH</t>
        </is>
      </c>
      <c r="E70" t="inlineStr">
        <is>
          <t>MAT-ALU-NAN-Z-DAY</t>
        </is>
      </c>
      <c r="F70" t="inlineStr">
        <is>
          <t>kg</t>
        </is>
      </c>
      <c r="G70" s="18" t="n">
        <v>0.1608617905315294</v>
      </c>
      <c r="H70" s="14">
        <f>'00_TONG_HOP_BAO_GIA'!G13</f>
        <v/>
      </c>
      <c r="I70" s="19">
        <f>G70*H70</f>
        <v/>
      </c>
      <c r="J70" s="14">
        <f>IFERROR(INDEX('06_BANG_GIA_VAT_TU_AP_DUNG'!$E$1:$E$5000, MATCH(E70, '06_BANG_GIA_VAT_TU_AP_DUNG'!$B$1:$B$5000, 0)), 0)</f>
        <v/>
      </c>
      <c r="K70" s="14">
        <f>I70*J70</f>
        <v/>
      </c>
      <c r="L70" t="inlineStr">
        <is>
          <t>1 nan Z dày @ 0.217kg/m + thanh giằng</t>
        </is>
      </c>
    </row>
    <row r="71">
      <c r="A71" t="inlineStr">
        <is>
          <t>SW-DIFF-012-ACCESSORY</t>
        </is>
      </c>
      <c r="B71" t="inlineStr">
        <is>
          <t>SW-DIFF-012</t>
        </is>
      </c>
      <c r="C71" t="inlineStr">
        <is>
          <t>Phụ kiện lắp ghép / Ke góc cửa gió</t>
        </is>
      </c>
      <c r="D71" t="inlineStr">
        <is>
          <t>PHỤ_KIỆN_CỬA</t>
        </is>
      </c>
      <c r="E71" t="inlineStr">
        <is>
          <t>MAT-DOOR-ACCESSORY</t>
        </is>
      </c>
      <c r="F71" t="inlineStr">
        <is>
          <t>Bộ</t>
        </is>
      </c>
      <c r="G71" s="18" t="n">
        <v>0.00889689211435769</v>
      </c>
      <c r="H71" s="14">
        <f>'00_TONG_HOP_BAO_GIA'!G13</f>
        <v/>
      </c>
      <c r="I71" s="19">
        <f>G71*H71</f>
        <v/>
      </c>
      <c r="J71" s="14">
        <f>IFERROR(INDEX('06_BANG_GIA_VAT_TU_AP_DUNG'!$E$1:$E$5000, MATCH(E71, '06_BANG_GIA_VAT_TU_AP_DUNG'!$B$1:$B$5000, 0)), 0)</f>
        <v/>
      </c>
      <c r="K71" s="14">
        <f>I71*J71</f>
        <v/>
      </c>
      <c r="L71" t="inlineStr">
        <is>
          <t>Ke góc và vít ghép khung Louver</t>
        </is>
      </c>
    </row>
    <row r="72">
      <c r="A72" t="inlineStr">
        <is>
          <t>SW-DIFF-012-PAINT</t>
        </is>
      </c>
      <c r="B72" t="inlineStr">
        <is>
          <t>SW-DIFF-012</t>
        </is>
      </c>
      <c r="C72" t="inlineStr">
        <is>
          <t>Sơn tĩnh điện tiêu chuẩn Polyester</t>
        </is>
      </c>
      <c r="D72" t="inlineStr">
        <is>
          <t>SƠN_TĨNH_ĐIỆN</t>
        </is>
      </c>
      <c r="E72" t="inlineStr">
        <is>
          <t>MAT-PAINT-POWDER</t>
        </is>
      </c>
      <c r="F72" t="inlineStr">
        <is>
          <t>m2</t>
        </is>
      </c>
      <c r="G72" s="18" t="n">
        <v>0.105104743359452</v>
      </c>
      <c r="H72" s="14">
        <f>'00_TONG_HOP_BAO_GIA'!G13</f>
        <v/>
      </c>
      <c r="I72" s="19">
        <f>G72*H72</f>
        <v/>
      </c>
      <c r="J72" s="14">
        <f>IFERROR(INDEX('06_BANG_GIA_VAT_TU_AP_DUNG'!$E$1:$E$5000, MATCH(E72, '06_BANG_GIA_VAT_TU_AP_DUNG'!$B$1:$B$5000, 0)), 0)</f>
        <v/>
      </c>
      <c r="K72" s="14">
        <f>I72*J72</f>
        <v/>
      </c>
      <c r="L72" t="inlineStr">
        <is>
          <t>Sơn tĩnh điện khung và nan Louver</t>
        </is>
      </c>
    </row>
    <row r="73">
      <c r="A73" t="inlineStr">
        <is>
          <t>SW-DIFF-012-MESH</t>
        </is>
      </c>
      <c r="B73" t="inlineStr">
        <is>
          <t>SW-DIFF-012</t>
        </is>
      </c>
      <c r="C73" t="inlineStr">
        <is>
          <t>Lưới chắn côn trùng Inox 304 (LCCT)</t>
        </is>
      </c>
      <c r="D73" t="inlineStr">
        <is>
          <t>PHỤ_KIỆN_CỬA</t>
        </is>
      </c>
      <c r="E73" t="inlineStr">
        <is>
          <t>MAT-MESH-INOX-304</t>
        </is>
      </c>
      <c r="F73" t="inlineStr">
        <is>
          <t>m2</t>
        </is>
      </c>
      <c r="G73" s="18" t="n">
        <v>0.02092487968194183</v>
      </c>
      <c r="H73" s="14">
        <f>'00_TONG_HOP_BAO_GIA'!G13</f>
        <v/>
      </c>
      <c r="I73" s="19">
        <f>G73*H73</f>
        <v/>
      </c>
      <c r="J73" s="14">
        <f>IFERROR(INDEX('06_BANG_GIA_VAT_TU_AP_DUNG'!$E$1:$E$5000, MATCH(E73, '06_BANG_GIA_VAT_TU_AP_DUNG'!$B$1:$B$5000, 0)), 0)</f>
        <v/>
      </c>
      <c r="K73" s="14">
        <f>I73*J73</f>
        <v/>
      </c>
      <c r="L73" t="inlineStr">
        <is>
          <t>Lưới chắn côn trùng cổ 650x50mm</t>
        </is>
      </c>
    </row>
    <row r="74">
      <c r="A74" t="inlineStr">
        <is>
          <t>SW-DIFF-013-FRAME</t>
        </is>
      </c>
      <c r="B74" t="inlineStr">
        <is>
          <t>SW-DIFF-013</t>
        </is>
      </c>
      <c r="C74" t="inlineStr">
        <is>
          <t>Khung nhôm định hình (1 lớp BD)</t>
        </is>
      </c>
      <c r="D74" t="inlineStr">
        <is>
          <t>NHÔM_ĐỊNH_HÌNH</t>
        </is>
      </c>
      <c r="E74" t="inlineStr">
        <is>
          <t>MAT-ALU-KHUNG-BD</t>
        </is>
      </c>
      <c r="F74" t="inlineStr">
        <is>
          <t>kg</t>
        </is>
      </c>
      <c r="G74" s="18" t="n">
        <v>0.1668338952879128</v>
      </c>
      <c r="H74" s="14">
        <f>'00_TONG_HOP_BAO_GIA'!G14</f>
        <v/>
      </c>
      <c r="I74" s="19">
        <f>G74*H74</f>
        <v/>
      </c>
      <c r="J74" s="14">
        <f>IFERROR(INDEX('06_BANG_GIA_VAT_TU_AP_DUNG'!$E$1:$E$5000, MATCH(E74, '06_BANG_GIA_VAT_TU_AP_DUNG'!$B$1:$B$5000, 0)), 0)</f>
        <v/>
      </c>
      <c r="K74" s="14">
        <f>I74*J74</f>
        <v/>
      </c>
      <c r="L74" t="inlineStr">
        <is>
          <t>Khung bao 200x200mm (cổ 150x150mm)</t>
        </is>
      </c>
    </row>
    <row r="75">
      <c r="A75" t="inlineStr">
        <is>
          <t>SW-DIFF-013-BLADE</t>
        </is>
      </c>
      <c r="B75" t="inlineStr">
        <is>
          <t>SW-DIFF-013</t>
        </is>
      </c>
      <c r="C75" t="inlineStr">
        <is>
          <t>Nan nhôm bầu dục (7 nan)</t>
        </is>
      </c>
      <c r="D75" t="inlineStr">
        <is>
          <t>NHÔM_ĐỊNH_HÌNH</t>
        </is>
      </c>
      <c r="E75" t="inlineStr">
        <is>
          <t>MAT-ALU-NAN-BD</t>
        </is>
      </c>
      <c r="F75" t="inlineStr">
        <is>
          <t>kg</t>
        </is>
      </c>
      <c r="G75" s="18" t="n">
        <v>0.0628724271227345</v>
      </c>
      <c r="H75" s="14">
        <f>'00_TONG_HOP_BAO_GIA'!G14</f>
        <v/>
      </c>
      <c r="I75" s="19">
        <f>G75*H75</f>
        <v/>
      </c>
      <c r="J75" s="14">
        <f>IFERROR(INDEX('06_BANG_GIA_VAT_TU_AP_DUNG'!$E$1:$E$5000, MATCH(E75, '06_BANG_GIA_VAT_TU_AP_DUNG'!$B$1:$B$5000, 0)), 0)</f>
        <v/>
      </c>
      <c r="K75" s="14">
        <f>I75*J75</f>
        <v/>
      </c>
      <c r="L75" t="inlineStr">
        <is>
          <t>Nan bầu dục @ 0.058kg/m</t>
        </is>
      </c>
    </row>
    <row r="76">
      <c r="A76" t="inlineStr">
        <is>
          <t>SW-DIFF-013-ACCESSORY</t>
        </is>
      </c>
      <c r="B76" t="inlineStr">
        <is>
          <t>SW-DIFF-013</t>
        </is>
      </c>
      <c r="C76" t="inlineStr">
        <is>
          <t>Phụ kiện lắp ghép / Ke góc cửa gió</t>
        </is>
      </c>
      <c r="D76" t="inlineStr">
        <is>
          <t>PHỤ_KIỆN_CỬA</t>
        </is>
      </c>
      <c r="E76" t="inlineStr">
        <is>
          <t>MAT-DOOR-ACCESSORY</t>
        </is>
      </c>
      <c r="F76" t="inlineStr">
        <is>
          <t>Bộ</t>
        </is>
      </c>
      <c r="G76" s="18" t="n">
        <v>0.0312719700213392</v>
      </c>
      <c r="H76" s="14">
        <f>'00_TONG_HOP_BAO_GIA'!G14</f>
        <v/>
      </c>
      <c r="I76" s="19">
        <f>G76*H76</f>
        <v/>
      </c>
      <c r="J76" s="14">
        <f>IFERROR(INDEX('06_BANG_GIA_VAT_TU_AP_DUNG'!$E$1:$E$5000, MATCH(E76, '06_BANG_GIA_VAT_TU_AP_DUNG'!$B$1:$B$5000, 0)), 0)</f>
        <v/>
      </c>
      <c r="K76" s="14">
        <f>I76*J76</f>
        <v/>
      </c>
      <c r="L76" t="inlineStr">
        <is>
          <t>4 ke góc chìm và vít ghép khung</t>
        </is>
      </c>
    </row>
    <row r="77">
      <c r="A77" t="inlineStr">
        <is>
          <t>SW-DIFF-013-PAINT</t>
        </is>
      </c>
      <c r="B77" t="inlineStr">
        <is>
          <t>SW-DIFF-013</t>
        </is>
      </c>
      <c r="C77" t="inlineStr">
        <is>
          <t>Sơn tĩnh điện tiêu chuẩn Polyester</t>
        </is>
      </c>
      <c r="D77" t="inlineStr">
        <is>
          <t>SƠN_TĨNH_ĐIỆN</t>
        </is>
      </c>
      <c r="E77" t="inlineStr">
        <is>
          <t>MAT-PAINT-POWDER</t>
        </is>
      </c>
      <c r="F77" t="inlineStr">
        <is>
          <t>m2</t>
        </is>
      </c>
      <c r="G77" s="18" t="n">
        <v>0.04307648173023464</v>
      </c>
      <c r="H77" s="14">
        <f>'00_TONG_HOP_BAO_GIA'!G14</f>
        <v/>
      </c>
      <c r="I77" s="19">
        <f>G77*H77</f>
        <v/>
      </c>
      <c r="J77" s="14">
        <f>IFERROR(INDEX('06_BANG_GIA_VAT_TU_AP_DUNG'!$E$1:$E$5000, MATCH(E77, '06_BANG_GIA_VAT_TU_AP_DUNG'!$B$1:$B$5000, 0)), 0)</f>
        <v/>
      </c>
      <c r="K77" s="14">
        <f>I77*J77</f>
        <v/>
      </c>
      <c r="L77" t="inlineStr">
        <is>
          <t>Sơn tĩnh điện hoàn thiện</t>
        </is>
      </c>
    </row>
    <row r="78">
      <c r="A78" t="inlineStr">
        <is>
          <t>SW-DIFF-013-OBD-FRAME</t>
        </is>
      </c>
      <c r="B78" t="inlineStr">
        <is>
          <t>SW-DIFF-013</t>
        </is>
      </c>
      <c r="C78" t="inlineStr">
        <is>
          <t>Khung nhôm van OBD gắn cửa (SOBD)</t>
        </is>
      </c>
      <c r="D78" t="inlineStr">
        <is>
          <t>NHÔM_ĐỊNH_HÌNH</t>
        </is>
      </c>
      <c r="E78" t="inlineStr">
        <is>
          <t>MAT-ALU-KHUNG-OBD</t>
        </is>
      </c>
      <c r="F78" t="inlineStr">
        <is>
          <t>kg</t>
        </is>
      </c>
      <c r="G78" s="18" t="n">
        <v>0.08230553030583942</v>
      </c>
      <c r="H78" s="14">
        <f>'00_TONG_HOP_BAO_GIA'!G14</f>
        <v/>
      </c>
      <c r="I78" s="19">
        <f>G78*H78</f>
        <v/>
      </c>
      <c r="J78" s="14">
        <f>IFERROR(INDEX('06_BANG_GIA_VAT_TU_AP_DUNG'!$E$1:$E$5000, MATCH(E78, '06_BANG_GIA_VAT_TU_AP_DUNG'!$B$1:$B$5000, 0)), 0)</f>
        <v/>
      </c>
      <c r="K78" s="14">
        <f>I78*J78</f>
        <v/>
      </c>
      <c r="L78" t="inlineStr">
        <is>
          <t>Khung OBD 150x150mm</t>
        </is>
      </c>
    </row>
    <row r="79">
      <c r="A79" t="inlineStr">
        <is>
          <t>SW-DIFF-013-OBD-BLADE</t>
        </is>
      </c>
      <c r="B79" t="inlineStr">
        <is>
          <t>SW-DIFF-013</t>
        </is>
      </c>
      <c r="C79" t="inlineStr">
        <is>
          <t>Nan nhôm &amp; thanh truyền van OBD (SOBD)</t>
        </is>
      </c>
      <c r="D79" t="inlineStr">
        <is>
          <t>NHÔM_ĐỊNH_HÌNH</t>
        </is>
      </c>
      <c r="E79" t="inlineStr">
        <is>
          <t>MAT-ALU-NAN-OBD</t>
        </is>
      </c>
      <c r="F79" t="inlineStr">
        <is>
          <t>kg</t>
        </is>
      </c>
      <c r="G79" s="18" t="n">
        <v>0.04883635105172434</v>
      </c>
      <c r="H79" s="14">
        <f>'00_TONG_HOP_BAO_GIA'!G14</f>
        <v/>
      </c>
      <c r="I79" s="19">
        <f>G79*H79</f>
        <v/>
      </c>
      <c r="J79" s="14">
        <f>IFERROR(INDEX('06_BANG_GIA_VAT_TU_AP_DUNG'!$E$1:$E$5000, MATCH(E79, '06_BANG_GIA_VAT_TU_AP_DUNG'!$B$1:$B$5000, 0)), 0)</f>
        <v/>
      </c>
      <c r="K79" s="14">
        <f>I79*J79</f>
        <v/>
      </c>
      <c r="L79" t="inlineStr">
        <is>
          <t>Nan OBD đối xứng &amp; thanh liên kết</t>
        </is>
      </c>
    </row>
    <row r="80">
      <c r="A80" t="inlineStr">
        <is>
          <t>SW-DIFF-013-OBD-ACC</t>
        </is>
      </c>
      <c r="B80" t="inlineStr">
        <is>
          <t>SW-DIFF-013</t>
        </is>
      </c>
      <c r="C80" t="inlineStr">
        <is>
          <t>Bánh răng nhựa &amp; phụ kiện van OBD</t>
        </is>
      </c>
      <c r="D80" t="inlineStr">
        <is>
          <t>PHỤ_KIỆN_CỬA</t>
        </is>
      </c>
      <c r="E80" t="inlineStr">
        <is>
          <t>MAT-DOOR-ACCESSORY</t>
        </is>
      </c>
      <c r="F80" t="inlineStr">
        <is>
          <t>Bộ</t>
        </is>
      </c>
      <c r="G80" s="18" t="n">
        <v>0.5111990265182811</v>
      </c>
      <c r="H80" s="14">
        <f>'00_TONG_HOP_BAO_GIA'!G14</f>
        <v/>
      </c>
      <c r="I80" s="19">
        <f>G80*H80</f>
        <v/>
      </c>
      <c r="J80" s="14">
        <f>IFERROR(INDEX('06_BANG_GIA_VAT_TU_AP_DUNG'!$E$1:$E$5000, MATCH(E80, '06_BANG_GIA_VAT_TU_AP_DUNG'!$B$1:$B$5000, 0)), 0)</f>
        <v/>
      </c>
      <c r="K80" s="14">
        <f>I80*J80</f>
        <v/>
      </c>
      <c r="L80" t="inlineStr">
        <is>
          <t>Cơ cấu bánh răng đóng mở OBD</t>
        </is>
      </c>
    </row>
    <row r="81">
      <c r="A81" t="inlineStr">
        <is>
          <t>SW-DIFF-015-FRAME</t>
        </is>
      </c>
      <c r="B81" t="inlineStr">
        <is>
          <t>SW-DIFF-015</t>
        </is>
      </c>
      <c r="C81" t="inlineStr">
        <is>
          <t>Khung nhôm định hình Louver (SWL)</t>
        </is>
      </c>
      <c r="D81" t="inlineStr">
        <is>
          <t>NHÔM_ĐỊNH_HÌNH</t>
        </is>
      </c>
      <c r="E81" t="inlineStr">
        <is>
          <t>MAT-ALU-KHUNG-Z-2-LOP</t>
        </is>
      </c>
      <c r="F81" t="inlineStr">
        <is>
          <t>kg</t>
        </is>
      </c>
      <c r="G81" s="18" t="n">
        <v>0.2572740760264074</v>
      </c>
      <c r="H81" s="14">
        <f>'00_TONG_HOP_BAO_GIA'!G16</f>
        <v/>
      </c>
      <c r="I81" s="19">
        <f>G81*H81</f>
        <v/>
      </c>
      <c r="J81" s="14">
        <f>IFERROR(INDEX('06_BANG_GIA_VAT_TU_AP_DUNG'!$E$1:$E$5000, MATCH(E81, '06_BANG_GIA_VAT_TU_AP_DUNG'!$B$1:$B$5000, 0)), 0)</f>
        <v/>
      </c>
      <c r="K81" s="14">
        <f>I81*J81</f>
        <v/>
      </c>
      <c r="L81" t="inlineStr">
        <is>
          <t>Khung Louver phủ bì 400x150mm</t>
        </is>
      </c>
    </row>
    <row r="82">
      <c r="A82" t="inlineStr">
        <is>
          <t>SW-DIFF-015-BLADE</t>
        </is>
      </c>
      <c r="B82" t="inlineStr">
        <is>
          <t>SW-DIFF-015</t>
        </is>
      </c>
      <c r="C82" t="inlineStr">
        <is>
          <t>Nan Z Louver &amp; thanh tăng cứng (2 nan)</t>
        </is>
      </c>
      <c r="D82" t="inlineStr">
        <is>
          <t>NHÔM_ĐỊNH_HÌNH</t>
        </is>
      </c>
      <c r="E82" t="inlineStr">
        <is>
          <t>MAT-ALU-NAN-Z-DAY</t>
        </is>
      </c>
      <c r="F82" t="inlineStr">
        <is>
          <t>kg</t>
        </is>
      </c>
      <c r="G82" s="18" t="n">
        <v>0.1792366770747049</v>
      </c>
      <c r="H82" s="14">
        <f>'00_TONG_HOP_BAO_GIA'!G16</f>
        <v/>
      </c>
      <c r="I82" s="19">
        <f>G82*H82</f>
        <v/>
      </c>
      <c r="J82" s="14">
        <f>IFERROR(INDEX('06_BANG_GIA_VAT_TU_AP_DUNG'!$E$1:$E$5000, MATCH(E82, '06_BANG_GIA_VAT_TU_AP_DUNG'!$B$1:$B$5000, 0)), 0)</f>
        <v/>
      </c>
      <c r="K82" s="14">
        <f>I82*J82</f>
        <v/>
      </c>
      <c r="L82" t="inlineStr">
        <is>
          <t>2 nan Z dày @ 0.217kg/m + thanh giằng</t>
        </is>
      </c>
    </row>
    <row r="83">
      <c r="A83" t="inlineStr">
        <is>
          <t>SW-DIFF-015-ACCESSORY</t>
        </is>
      </c>
      <c r="B83" t="inlineStr">
        <is>
          <t>SW-DIFF-015</t>
        </is>
      </c>
      <c r="C83" t="inlineStr">
        <is>
          <t>Phụ kiện lắp ghép / Ke góc cửa gió</t>
        </is>
      </c>
      <c r="D83" t="inlineStr">
        <is>
          <t>PHỤ_KIỆN_CỬA</t>
        </is>
      </c>
      <c r="E83" t="inlineStr">
        <is>
          <t>MAT-DOOR-ACCESSORY</t>
        </is>
      </c>
      <c r="F83" t="inlineStr">
        <is>
          <t>Bộ</t>
        </is>
      </c>
      <c r="G83" s="18" t="n">
        <v>0.01783412242888847</v>
      </c>
      <c r="H83" s="14">
        <f>'00_TONG_HOP_BAO_GIA'!G16</f>
        <v/>
      </c>
      <c r="I83" s="19">
        <f>G83*H83</f>
        <v/>
      </c>
      <c r="J83" s="14">
        <f>IFERROR(INDEX('06_BANG_GIA_VAT_TU_AP_DUNG'!$E$1:$E$5000, MATCH(E83, '06_BANG_GIA_VAT_TU_AP_DUNG'!$B$1:$B$5000, 0)), 0)</f>
        <v/>
      </c>
      <c r="K83" s="14">
        <f>I83*J83</f>
        <v/>
      </c>
      <c r="L83" t="inlineStr">
        <is>
          <t>Ke góc và vít ghép khung Louver</t>
        </is>
      </c>
    </row>
    <row r="84">
      <c r="A84" t="inlineStr">
        <is>
          <t>SW-DIFF-015-PAINT</t>
        </is>
      </c>
      <c r="B84" t="inlineStr">
        <is>
          <t>SW-DIFF-015</t>
        </is>
      </c>
      <c r="C84" t="inlineStr">
        <is>
          <t>Sơn tĩnh điện tiêu chuẩn Polyester</t>
        </is>
      </c>
      <c r="D84" t="inlineStr">
        <is>
          <t>SƠN_TĨNH_ĐIỆN</t>
        </is>
      </c>
      <c r="E84" t="inlineStr">
        <is>
          <t>MAT-PAINT-POWDER</t>
        </is>
      </c>
      <c r="F84" t="inlineStr">
        <is>
          <t>m2</t>
        </is>
      </c>
      <c r="G84" s="18" t="n">
        <v>0.08335039383647336</v>
      </c>
      <c r="H84" s="14">
        <f>'00_TONG_HOP_BAO_GIA'!G16</f>
        <v/>
      </c>
      <c r="I84" s="19">
        <f>G84*H84</f>
        <v/>
      </c>
      <c r="J84" s="14">
        <f>IFERROR(INDEX('06_BANG_GIA_VAT_TU_AP_DUNG'!$E$1:$E$5000, MATCH(E84, '06_BANG_GIA_VAT_TU_AP_DUNG'!$B$1:$B$5000, 0)), 0)</f>
        <v/>
      </c>
      <c r="K84" s="14">
        <f>I84*J84</f>
        <v/>
      </c>
      <c r="L84" t="inlineStr">
        <is>
          <t>Sơn tĩnh điện khung và nan Louver</t>
        </is>
      </c>
    </row>
    <row r="85">
      <c r="A85" t="inlineStr">
        <is>
          <t>SW-DIFF-015-MESH</t>
        </is>
      </c>
      <c r="B85" t="inlineStr">
        <is>
          <t>SW-DIFF-015</t>
        </is>
      </c>
      <c r="C85" t="inlineStr">
        <is>
          <t>Lưới chắn côn trùng Inox 304 (LCCT)</t>
        </is>
      </c>
      <c r="D85" t="inlineStr">
        <is>
          <t>PHỤ_KIỆN_CỬA</t>
        </is>
      </c>
      <c r="E85" t="inlineStr">
        <is>
          <t>MAT-MESH-INOX-304</t>
        </is>
      </c>
      <c r="F85" t="inlineStr">
        <is>
          <t>m2</t>
        </is>
      </c>
      <c r="G85" s="18" t="n">
        <v>0.02092487968194183</v>
      </c>
      <c r="H85" s="14">
        <f>'00_TONG_HOP_BAO_GIA'!G16</f>
        <v/>
      </c>
      <c r="I85" s="19">
        <f>G85*H85</f>
        <v/>
      </c>
      <c r="J85" s="14">
        <f>IFERROR(INDEX('06_BANG_GIA_VAT_TU_AP_DUNG'!$E$1:$E$5000, MATCH(E85, '06_BANG_GIA_VAT_TU_AP_DUNG'!$B$1:$B$5000, 0)), 0)</f>
        <v/>
      </c>
      <c r="K85" s="14">
        <f>I85*J85</f>
        <v/>
      </c>
      <c r="L85" t="inlineStr">
        <is>
          <t>Lưới chắn côn trùng cổ 350x100mm</t>
        </is>
      </c>
    </row>
    <row r="86">
      <c r="A86" t="inlineStr">
        <is>
          <t>SW-DIFF-018-FRAME</t>
        </is>
      </c>
      <c r="B86" t="inlineStr">
        <is>
          <t>SW-DIFF-018</t>
        </is>
      </c>
      <c r="C86" t="inlineStr">
        <is>
          <t>Khung nhôm định hình Louver (SWL)</t>
        </is>
      </c>
      <c r="D86" t="inlineStr">
        <is>
          <t>NHÔM_ĐỊNH_HÌNH</t>
        </is>
      </c>
      <c r="E86" t="inlineStr">
        <is>
          <t>MAT-ALU-KHUNG-Z-2-LOP</t>
        </is>
      </c>
      <c r="F86" t="inlineStr">
        <is>
          <t>kg</t>
        </is>
      </c>
      <c r="G86" s="18" t="n">
        <v>0.2572740760264074</v>
      </c>
      <c r="H86" s="14">
        <f>'00_TONG_HOP_BAO_GIA'!G19</f>
        <v/>
      </c>
      <c r="I86" s="19">
        <f>G86*H86</f>
        <v/>
      </c>
      <c r="J86" s="14">
        <f>IFERROR(INDEX('06_BANG_GIA_VAT_TU_AP_DUNG'!$E$1:$E$5000, MATCH(E86, '06_BANG_GIA_VAT_TU_AP_DUNG'!$B$1:$B$5000, 0)), 0)</f>
        <v/>
      </c>
      <c r="K86" s="14">
        <f>I86*J86</f>
        <v/>
      </c>
      <c r="L86" t="inlineStr">
        <is>
          <t>Khung Louver phủ bì 400x150mm</t>
        </is>
      </c>
    </row>
    <row r="87">
      <c r="A87" t="inlineStr">
        <is>
          <t>SW-DIFF-018-BLADE</t>
        </is>
      </c>
      <c r="B87" t="inlineStr">
        <is>
          <t>SW-DIFF-018</t>
        </is>
      </c>
      <c r="C87" t="inlineStr">
        <is>
          <t>Nan Z Louver &amp; thanh tăng cứng (2 nan)</t>
        </is>
      </c>
      <c r="D87" t="inlineStr">
        <is>
          <t>NHÔM_ĐỊNH_HÌNH</t>
        </is>
      </c>
      <c r="E87" t="inlineStr">
        <is>
          <t>MAT-ALU-NAN-Z-DAY</t>
        </is>
      </c>
      <c r="F87" t="inlineStr">
        <is>
          <t>kg</t>
        </is>
      </c>
      <c r="G87" s="18" t="n">
        <v>0.1792366770747049</v>
      </c>
      <c r="H87" s="14">
        <f>'00_TONG_HOP_BAO_GIA'!G19</f>
        <v/>
      </c>
      <c r="I87" s="19">
        <f>G87*H87</f>
        <v/>
      </c>
      <c r="J87" s="14">
        <f>IFERROR(INDEX('06_BANG_GIA_VAT_TU_AP_DUNG'!$E$1:$E$5000, MATCH(E87, '06_BANG_GIA_VAT_TU_AP_DUNG'!$B$1:$B$5000, 0)), 0)</f>
        <v/>
      </c>
      <c r="K87" s="14">
        <f>I87*J87</f>
        <v/>
      </c>
      <c r="L87" t="inlineStr">
        <is>
          <t>2 nan Z dày @ 0.217kg/m + thanh giằng</t>
        </is>
      </c>
    </row>
    <row r="88">
      <c r="A88" t="inlineStr">
        <is>
          <t>SW-DIFF-018-ACCESSORY</t>
        </is>
      </c>
      <c r="B88" t="inlineStr">
        <is>
          <t>SW-DIFF-018</t>
        </is>
      </c>
      <c r="C88" t="inlineStr">
        <is>
          <t>Phụ kiện lắp ghép / Ke góc cửa gió</t>
        </is>
      </c>
      <c r="D88" t="inlineStr">
        <is>
          <t>PHỤ_KIỆN_CỬA</t>
        </is>
      </c>
      <c r="E88" t="inlineStr">
        <is>
          <t>MAT-DOOR-ACCESSORY</t>
        </is>
      </c>
      <c r="F88" t="inlineStr">
        <is>
          <t>Bộ</t>
        </is>
      </c>
      <c r="G88" s="18" t="n">
        <v>0.01783412242888847</v>
      </c>
      <c r="H88" s="14">
        <f>'00_TONG_HOP_BAO_GIA'!G19</f>
        <v/>
      </c>
      <c r="I88" s="19">
        <f>G88*H88</f>
        <v/>
      </c>
      <c r="J88" s="14">
        <f>IFERROR(INDEX('06_BANG_GIA_VAT_TU_AP_DUNG'!$E$1:$E$5000, MATCH(E88, '06_BANG_GIA_VAT_TU_AP_DUNG'!$B$1:$B$5000, 0)), 0)</f>
        <v/>
      </c>
      <c r="K88" s="14">
        <f>I88*J88</f>
        <v/>
      </c>
      <c r="L88" t="inlineStr">
        <is>
          <t>Ke góc và vít ghép khung Louver</t>
        </is>
      </c>
    </row>
    <row r="89">
      <c r="A89" t="inlineStr">
        <is>
          <t>SW-DIFF-018-PAINT</t>
        </is>
      </c>
      <c r="B89" t="inlineStr">
        <is>
          <t>SW-DIFF-018</t>
        </is>
      </c>
      <c r="C89" t="inlineStr">
        <is>
          <t>Sơn tĩnh điện tiêu chuẩn Polyester</t>
        </is>
      </c>
      <c r="D89" t="inlineStr">
        <is>
          <t>SƠN_TĨNH_ĐIỆN</t>
        </is>
      </c>
      <c r="E89" t="inlineStr">
        <is>
          <t>MAT-PAINT-POWDER</t>
        </is>
      </c>
      <c r="F89" t="inlineStr">
        <is>
          <t>m2</t>
        </is>
      </c>
      <c r="G89" s="18" t="n">
        <v>0.08335039383647336</v>
      </c>
      <c r="H89" s="14">
        <f>'00_TONG_HOP_BAO_GIA'!G19</f>
        <v/>
      </c>
      <c r="I89" s="19">
        <f>G89*H89</f>
        <v/>
      </c>
      <c r="J89" s="14">
        <f>IFERROR(INDEX('06_BANG_GIA_VAT_TU_AP_DUNG'!$E$1:$E$5000, MATCH(E89, '06_BANG_GIA_VAT_TU_AP_DUNG'!$B$1:$B$5000, 0)), 0)</f>
        <v/>
      </c>
      <c r="K89" s="14">
        <f>I89*J89</f>
        <v/>
      </c>
      <c r="L89" t="inlineStr">
        <is>
          <t>Sơn tĩnh điện khung và nan Louver</t>
        </is>
      </c>
    </row>
    <row r="90">
      <c r="A90" t="inlineStr">
        <is>
          <t>SW-DIFF-018-MESH</t>
        </is>
      </c>
      <c r="B90" t="inlineStr">
        <is>
          <t>SW-DIFF-018</t>
        </is>
      </c>
      <c r="C90" t="inlineStr">
        <is>
          <t>Lưới chắn côn trùng Inox 304 (LCCT)</t>
        </is>
      </c>
      <c r="D90" t="inlineStr">
        <is>
          <t>PHỤ_KIỆN_CỬA</t>
        </is>
      </c>
      <c r="E90" t="inlineStr">
        <is>
          <t>MAT-MESH-INOX-304</t>
        </is>
      </c>
      <c r="F90" t="inlineStr">
        <is>
          <t>m2</t>
        </is>
      </c>
      <c r="G90" s="18" t="n">
        <v>0.02092487968194183</v>
      </c>
      <c r="H90" s="14">
        <f>'00_TONG_HOP_BAO_GIA'!G19</f>
        <v/>
      </c>
      <c r="I90" s="19">
        <f>G90*H90</f>
        <v/>
      </c>
      <c r="J90" s="14">
        <f>IFERROR(INDEX('06_BANG_GIA_VAT_TU_AP_DUNG'!$E$1:$E$5000, MATCH(E90, '06_BANG_GIA_VAT_TU_AP_DUNG'!$B$1:$B$5000, 0)), 0)</f>
        <v/>
      </c>
      <c r="K90" s="14">
        <f>I90*J90</f>
        <v/>
      </c>
      <c r="L90" t="inlineStr">
        <is>
          <t>Lưới chắn côn trùng cổ 350x100mm</t>
        </is>
      </c>
    </row>
    <row r="91">
      <c r="A91" t="inlineStr">
        <is>
          <t>SW-DIFF-019-FRAME</t>
        </is>
      </c>
      <c r="B91" t="inlineStr">
        <is>
          <t>SW-DIFF-019</t>
        </is>
      </c>
      <c r="C91" t="inlineStr">
        <is>
          <t>Khung nhôm định hình (1 lớp BD)</t>
        </is>
      </c>
      <c r="D91" t="inlineStr">
        <is>
          <t>NHÔM_ĐỊNH_HÌNH</t>
        </is>
      </c>
      <c r="E91" t="inlineStr">
        <is>
          <t>MAT-ALU-KHUNG-BD</t>
        </is>
      </c>
      <c r="F91" t="inlineStr">
        <is>
          <t>kg</t>
        </is>
      </c>
      <c r="G91" s="18" t="n">
        <v>0.1668338952879128</v>
      </c>
      <c r="H91" s="14">
        <f>'00_TONG_HOP_BAO_GIA'!G20</f>
        <v/>
      </c>
      <c r="I91" s="19">
        <f>G91*H91</f>
        <v/>
      </c>
      <c r="J91" s="14">
        <f>IFERROR(INDEX('06_BANG_GIA_VAT_TU_AP_DUNG'!$E$1:$E$5000, MATCH(E91, '06_BANG_GIA_VAT_TU_AP_DUNG'!$B$1:$B$5000, 0)), 0)</f>
        <v/>
      </c>
      <c r="K91" s="14">
        <f>I91*J91</f>
        <v/>
      </c>
      <c r="L91" t="inlineStr">
        <is>
          <t>Khung bao 200x200mm (cổ 150x150mm)</t>
        </is>
      </c>
    </row>
    <row r="92">
      <c r="A92" t="inlineStr">
        <is>
          <t>SW-DIFF-019-BLADE</t>
        </is>
      </c>
      <c r="B92" t="inlineStr">
        <is>
          <t>SW-DIFF-019</t>
        </is>
      </c>
      <c r="C92" t="inlineStr">
        <is>
          <t>Nan nhôm bầu dục (7 nan)</t>
        </is>
      </c>
      <c r="D92" t="inlineStr">
        <is>
          <t>NHÔM_ĐỊNH_HÌNH</t>
        </is>
      </c>
      <c r="E92" t="inlineStr">
        <is>
          <t>MAT-ALU-NAN-BD</t>
        </is>
      </c>
      <c r="F92" t="inlineStr">
        <is>
          <t>kg</t>
        </is>
      </c>
      <c r="G92" s="18" t="n">
        <v>0.0628724271227345</v>
      </c>
      <c r="H92" s="14">
        <f>'00_TONG_HOP_BAO_GIA'!G20</f>
        <v/>
      </c>
      <c r="I92" s="19">
        <f>G92*H92</f>
        <v/>
      </c>
      <c r="J92" s="14">
        <f>IFERROR(INDEX('06_BANG_GIA_VAT_TU_AP_DUNG'!$E$1:$E$5000, MATCH(E92, '06_BANG_GIA_VAT_TU_AP_DUNG'!$B$1:$B$5000, 0)), 0)</f>
        <v/>
      </c>
      <c r="K92" s="14">
        <f>I92*J92</f>
        <v/>
      </c>
      <c r="L92" t="inlineStr">
        <is>
          <t>Nan bầu dục @ 0.058kg/m</t>
        </is>
      </c>
    </row>
    <row r="93">
      <c r="A93" t="inlineStr">
        <is>
          <t>SW-DIFF-019-ACCESSORY</t>
        </is>
      </c>
      <c r="B93" t="inlineStr">
        <is>
          <t>SW-DIFF-019</t>
        </is>
      </c>
      <c r="C93" t="inlineStr">
        <is>
          <t>Phụ kiện lắp ghép / Ke góc cửa gió</t>
        </is>
      </c>
      <c r="D93" t="inlineStr">
        <is>
          <t>PHỤ_KIỆN_CỬA</t>
        </is>
      </c>
      <c r="E93" t="inlineStr">
        <is>
          <t>MAT-DOOR-ACCESSORY</t>
        </is>
      </c>
      <c r="F93" t="inlineStr">
        <is>
          <t>Bộ</t>
        </is>
      </c>
      <c r="G93" s="18" t="n">
        <v>0.0312719700213392</v>
      </c>
      <c r="H93" s="14">
        <f>'00_TONG_HOP_BAO_GIA'!G20</f>
        <v/>
      </c>
      <c r="I93" s="19">
        <f>G93*H93</f>
        <v/>
      </c>
      <c r="J93" s="14">
        <f>IFERROR(INDEX('06_BANG_GIA_VAT_TU_AP_DUNG'!$E$1:$E$5000, MATCH(E93, '06_BANG_GIA_VAT_TU_AP_DUNG'!$B$1:$B$5000, 0)), 0)</f>
        <v/>
      </c>
      <c r="K93" s="14">
        <f>I93*J93</f>
        <v/>
      </c>
      <c r="L93" t="inlineStr">
        <is>
          <t>4 ke góc chìm và vít ghép khung</t>
        </is>
      </c>
    </row>
    <row r="94">
      <c r="A94" t="inlineStr">
        <is>
          <t>SW-DIFF-019-PAINT</t>
        </is>
      </c>
      <c r="B94" t="inlineStr">
        <is>
          <t>SW-DIFF-019</t>
        </is>
      </c>
      <c r="C94" t="inlineStr">
        <is>
          <t>Sơn tĩnh điện tiêu chuẩn Polyester</t>
        </is>
      </c>
      <c r="D94" t="inlineStr">
        <is>
          <t>SƠN_TĨNH_ĐIỆN</t>
        </is>
      </c>
      <c r="E94" t="inlineStr">
        <is>
          <t>MAT-PAINT-POWDER</t>
        </is>
      </c>
      <c r="F94" t="inlineStr">
        <is>
          <t>m2</t>
        </is>
      </c>
      <c r="G94" s="18" t="n">
        <v>0.04307648173023464</v>
      </c>
      <c r="H94" s="14">
        <f>'00_TONG_HOP_BAO_GIA'!G20</f>
        <v/>
      </c>
      <c r="I94" s="19">
        <f>G94*H94</f>
        <v/>
      </c>
      <c r="J94" s="14">
        <f>IFERROR(INDEX('06_BANG_GIA_VAT_TU_AP_DUNG'!$E$1:$E$5000, MATCH(E94, '06_BANG_GIA_VAT_TU_AP_DUNG'!$B$1:$B$5000, 0)), 0)</f>
        <v/>
      </c>
      <c r="K94" s="14">
        <f>I94*J94</f>
        <v/>
      </c>
      <c r="L94" t="inlineStr">
        <is>
          <t>Sơn tĩnh điện hoàn thiện</t>
        </is>
      </c>
    </row>
    <row r="95">
      <c r="A95" t="inlineStr">
        <is>
          <t>SW-DIFF-020-FRAME</t>
        </is>
      </c>
      <c r="B95" t="inlineStr">
        <is>
          <t>SW-DIFF-020</t>
        </is>
      </c>
      <c r="C95" t="inlineStr">
        <is>
          <t>Khung nhôm định hình (1 lớp BD)</t>
        </is>
      </c>
      <c r="D95" t="inlineStr">
        <is>
          <t>NHÔM_ĐỊNH_HÌNH</t>
        </is>
      </c>
      <c r="E95" t="inlineStr">
        <is>
          <t>MAT-ALU-KHUNG-BD</t>
        </is>
      </c>
      <c r="F95" t="inlineStr">
        <is>
          <t>kg</t>
        </is>
      </c>
      <c r="G95" s="18" t="n">
        <v>0.206806373203135</v>
      </c>
      <c r="H95" s="14">
        <f>'00_TONG_HOP_BAO_GIA'!G21</f>
        <v/>
      </c>
      <c r="I95" s="19">
        <f>G95*H95</f>
        <v/>
      </c>
      <c r="J95" s="14">
        <f>IFERROR(INDEX('06_BANG_GIA_VAT_TU_AP_DUNG'!$E$1:$E$5000, MATCH(E95, '06_BANG_GIA_VAT_TU_AP_DUNG'!$B$1:$B$5000, 0)), 0)</f>
        <v/>
      </c>
      <c r="K95" s="14">
        <f>I95*J95</f>
        <v/>
      </c>
      <c r="L95" t="inlineStr">
        <is>
          <t>Khung bao 250x250mm (cổ 200x200mm)</t>
        </is>
      </c>
    </row>
    <row r="96">
      <c r="A96" t="inlineStr">
        <is>
          <t>SW-DIFF-020-BLADE</t>
        </is>
      </c>
      <c r="B96" t="inlineStr">
        <is>
          <t>SW-DIFF-020</t>
        </is>
      </c>
      <c r="C96" t="inlineStr">
        <is>
          <t>Nan nhôm bầu dục (9 nan)</t>
        </is>
      </c>
      <c r="D96" t="inlineStr">
        <is>
          <t>NHÔM_ĐỊNH_HÌNH</t>
        </is>
      </c>
      <c r="E96" t="inlineStr">
        <is>
          <t>MAT-ALU-NAN-BD</t>
        </is>
      </c>
      <c r="F96" t="inlineStr">
        <is>
          <t>kg</t>
        </is>
      </c>
      <c r="G96" s="18" t="n">
        <v>0.1068840859525114</v>
      </c>
      <c r="H96" s="14">
        <f>'00_TONG_HOP_BAO_GIA'!G21</f>
        <v/>
      </c>
      <c r="I96" s="19">
        <f>G96*H96</f>
        <v/>
      </c>
      <c r="J96" s="14">
        <f>IFERROR(INDEX('06_BANG_GIA_VAT_TU_AP_DUNG'!$E$1:$E$5000, MATCH(E96, '06_BANG_GIA_VAT_TU_AP_DUNG'!$B$1:$B$5000, 0)), 0)</f>
        <v/>
      </c>
      <c r="K96" s="14">
        <f>I96*J96</f>
        <v/>
      </c>
      <c r="L96" t="inlineStr">
        <is>
          <t>Nan bầu dục @ 0.058kg/m</t>
        </is>
      </c>
    </row>
    <row r="97">
      <c r="A97" t="inlineStr">
        <is>
          <t>SW-DIFF-020-ACCESSORY</t>
        </is>
      </c>
      <c r="B97" t="inlineStr">
        <is>
          <t>SW-DIFF-020</t>
        </is>
      </c>
      <c r="C97" t="inlineStr">
        <is>
          <t>Phụ kiện lắp ghép / Ke góc cửa gió</t>
        </is>
      </c>
      <c r="D97" t="inlineStr">
        <is>
          <t>PHỤ_KIỆN_CỬA</t>
        </is>
      </c>
      <c r="E97" t="inlineStr">
        <is>
          <t>MAT-DOOR-ACCESSORY</t>
        </is>
      </c>
      <c r="F97" t="inlineStr">
        <is>
          <t>Bộ</t>
        </is>
      </c>
      <c r="G97" s="18" t="n">
        <v>0.03987211983808418</v>
      </c>
      <c r="H97" s="14">
        <f>'00_TONG_HOP_BAO_GIA'!G21</f>
        <v/>
      </c>
      <c r="I97" s="19">
        <f>G97*H97</f>
        <v/>
      </c>
      <c r="J97" s="14">
        <f>IFERROR(INDEX('06_BANG_GIA_VAT_TU_AP_DUNG'!$E$1:$E$5000, MATCH(E97, '06_BANG_GIA_VAT_TU_AP_DUNG'!$B$1:$B$5000, 0)), 0)</f>
        <v/>
      </c>
      <c r="K97" s="14">
        <f>I97*J97</f>
        <v/>
      </c>
      <c r="L97" t="inlineStr">
        <is>
          <t>4 ke góc chìm và vít ghép khung</t>
        </is>
      </c>
    </row>
    <row r="98">
      <c r="A98" t="inlineStr">
        <is>
          <t>SW-DIFF-020-PAINT</t>
        </is>
      </c>
      <c r="B98" t="inlineStr">
        <is>
          <t>SW-DIFF-020</t>
        </is>
      </c>
      <c r="C98" t="inlineStr">
        <is>
          <t>Sơn tĩnh điện tiêu chuẩn Polyester</t>
        </is>
      </c>
      <c r="D98" t="inlineStr">
        <is>
          <t>SƠN_TĨNH_ĐIỆN</t>
        </is>
      </c>
      <c r="E98" t="inlineStr">
        <is>
          <t>MAT-PAINT-POWDER</t>
        </is>
      </c>
      <c r="F98" t="inlineStr">
        <is>
          <t>m2</t>
        </is>
      </c>
      <c r="G98" s="18" t="n">
        <v>0.05929218761804517</v>
      </c>
      <c r="H98" s="14">
        <f>'00_TONG_HOP_BAO_GIA'!G21</f>
        <v/>
      </c>
      <c r="I98" s="19">
        <f>G98*H98</f>
        <v/>
      </c>
      <c r="J98" s="14">
        <f>IFERROR(INDEX('06_BANG_GIA_VAT_TU_AP_DUNG'!$E$1:$E$5000, MATCH(E98, '06_BANG_GIA_VAT_TU_AP_DUNG'!$B$1:$B$5000, 0)), 0)</f>
        <v/>
      </c>
      <c r="K98" s="14">
        <f>I98*J98</f>
        <v/>
      </c>
      <c r="L98" t="inlineStr">
        <is>
          <t>Sơn tĩnh điện hoàn thiện</t>
        </is>
      </c>
    </row>
    <row r="99">
      <c r="A99" t="inlineStr">
        <is>
          <t>SW-DIFF-021-FRAME</t>
        </is>
      </c>
      <c r="B99" t="inlineStr">
        <is>
          <t>SW-DIFF-021</t>
        </is>
      </c>
      <c r="C99" t="inlineStr">
        <is>
          <t>Khung nhôm định hình Louver (SWL)</t>
        </is>
      </c>
      <c r="D99" t="inlineStr">
        <is>
          <t>NHÔM_ĐỊNH_HÌNH</t>
        </is>
      </c>
      <c r="E99" t="inlineStr">
        <is>
          <t>MAT-ALU-KHUNG-Z-2-LOP</t>
        </is>
      </c>
      <c r="F99" t="inlineStr">
        <is>
          <t>kg</t>
        </is>
      </c>
      <c r="G99" s="18" t="n">
        <v>0.3733704136059017</v>
      </c>
      <c r="H99" s="14">
        <f>'00_TONG_HOP_BAO_GIA'!G22</f>
        <v/>
      </c>
      <c r="I99" s="19">
        <f>G99*H99</f>
        <v/>
      </c>
      <c r="J99" s="14">
        <f>IFERROR(INDEX('06_BANG_GIA_VAT_TU_AP_DUNG'!$E$1:$E$5000, MATCH(E99, '06_BANG_GIA_VAT_TU_AP_DUNG'!$B$1:$B$5000, 0)), 0)</f>
        <v/>
      </c>
      <c r="K99" s="14">
        <f>I99*J99</f>
        <v/>
      </c>
      <c r="L99" t="inlineStr">
        <is>
          <t>Khung Louver phủ bì 700x100mm</t>
        </is>
      </c>
    </row>
    <row r="100">
      <c r="A100" t="inlineStr">
        <is>
          <t>SW-DIFF-021-BLADE</t>
        </is>
      </c>
      <c r="B100" t="inlineStr">
        <is>
          <t>SW-DIFF-021</t>
        </is>
      </c>
      <c r="C100" t="inlineStr">
        <is>
          <t>Nan Z Louver &amp; thanh tăng cứng (1 nan)</t>
        </is>
      </c>
      <c r="D100" t="inlineStr">
        <is>
          <t>NHÔM_ĐỊNH_HÌNH</t>
        </is>
      </c>
      <c r="E100" t="inlineStr">
        <is>
          <t>MAT-ALU-NAN-Z-DAY</t>
        </is>
      </c>
      <c r="F100" t="inlineStr">
        <is>
          <t>kg</t>
        </is>
      </c>
      <c r="G100" s="18" t="n">
        <v>0.1608617905315294</v>
      </c>
      <c r="H100" s="14">
        <f>'00_TONG_HOP_BAO_GIA'!G22</f>
        <v/>
      </c>
      <c r="I100" s="19">
        <f>G100*H100</f>
        <v/>
      </c>
      <c r="J100" s="14">
        <f>IFERROR(INDEX('06_BANG_GIA_VAT_TU_AP_DUNG'!$E$1:$E$5000, MATCH(E100, '06_BANG_GIA_VAT_TU_AP_DUNG'!$B$1:$B$5000, 0)), 0)</f>
        <v/>
      </c>
      <c r="K100" s="14">
        <f>I100*J100</f>
        <v/>
      </c>
      <c r="L100" t="inlineStr">
        <is>
          <t>1 nan Z dày @ 0.217kg/m + thanh giằng</t>
        </is>
      </c>
    </row>
    <row r="101">
      <c r="A101" t="inlineStr">
        <is>
          <t>SW-DIFF-021-ACCESSORY</t>
        </is>
      </c>
      <c r="B101" t="inlineStr">
        <is>
          <t>SW-DIFF-021</t>
        </is>
      </c>
      <c r="C101" t="inlineStr">
        <is>
          <t>Phụ kiện lắp ghép / Ke góc cửa gió</t>
        </is>
      </c>
      <c r="D101" t="inlineStr">
        <is>
          <t>PHỤ_KIỆN_CỬA</t>
        </is>
      </c>
      <c r="E101" t="inlineStr">
        <is>
          <t>MAT-DOOR-ACCESSORY</t>
        </is>
      </c>
      <c r="F101" t="inlineStr">
        <is>
          <t>Bộ</t>
        </is>
      </c>
      <c r="G101" s="18" t="n">
        <v>0.00889689211435769</v>
      </c>
      <c r="H101" s="14">
        <f>'00_TONG_HOP_BAO_GIA'!G22</f>
        <v/>
      </c>
      <c r="I101" s="19">
        <f>G101*H101</f>
        <v/>
      </c>
      <c r="J101" s="14">
        <f>IFERROR(INDEX('06_BANG_GIA_VAT_TU_AP_DUNG'!$E$1:$E$5000, MATCH(E101, '06_BANG_GIA_VAT_TU_AP_DUNG'!$B$1:$B$5000, 0)), 0)</f>
        <v/>
      </c>
      <c r="K101" s="14">
        <f>I101*J101</f>
        <v/>
      </c>
      <c r="L101" t="inlineStr">
        <is>
          <t>Ke góc và vít ghép khung Louver</t>
        </is>
      </c>
    </row>
    <row r="102">
      <c r="A102" t="inlineStr">
        <is>
          <t>SW-DIFF-021-PAINT</t>
        </is>
      </c>
      <c r="B102" t="inlineStr">
        <is>
          <t>SW-DIFF-021</t>
        </is>
      </c>
      <c r="C102" t="inlineStr">
        <is>
          <t>Sơn tĩnh điện tiêu chuẩn Polyester</t>
        </is>
      </c>
      <c r="D102" t="inlineStr">
        <is>
          <t>SƠN_TĨNH_ĐIỆN</t>
        </is>
      </c>
      <c r="E102" t="inlineStr">
        <is>
          <t>MAT-PAINT-POWDER</t>
        </is>
      </c>
      <c r="F102" t="inlineStr">
        <is>
          <t>m2</t>
        </is>
      </c>
      <c r="G102" s="18" t="n">
        <v>0.105104743359452</v>
      </c>
      <c r="H102" s="14">
        <f>'00_TONG_HOP_BAO_GIA'!G22</f>
        <v/>
      </c>
      <c r="I102" s="19">
        <f>G102*H102</f>
        <v/>
      </c>
      <c r="J102" s="14">
        <f>IFERROR(INDEX('06_BANG_GIA_VAT_TU_AP_DUNG'!$E$1:$E$5000, MATCH(E102, '06_BANG_GIA_VAT_TU_AP_DUNG'!$B$1:$B$5000, 0)), 0)</f>
        <v/>
      </c>
      <c r="K102" s="14">
        <f>I102*J102</f>
        <v/>
      </c>
      <c r="L102" t="inlineStr">
        <is>
          <t>Sơn tĩnh điện khung và nan Louver</t>
        </is>
      </c>
    </row>
    <row r="103">
      <c r="A103" t="inlineStr">
        <is>
          <t>SW-DIFF-021-MESH</t>
        </is>
      </c>
      <c r="B103" t="inlineStr">
        <is>
          <t>SW-DIFF-021</t>
        </is>
      </c>
      <c r="C103" t="inlineStr">
        <is>
          <t>Lưới chắn côn trùng Inox 304 (LCCT)</t>
        </is>
      </c>
      <c r="D103" t="inlineStr">
        <is>
          <t>PHỤ_KIỆN_CỬA</t>
        </is>
      </c>
      <c r="E103" t="inlineStr">
        <is>
          <t>MAT-MESH-INOX-304</t>
        </is>
      </c>
      <c r="F103" t="inlineStr">
        <is>
          <t>m2</t>
        </is>
      </c>
      <c r="G103" s="18" t="n">
        <v>0.02092487968194183</v>
      </c>
      <c r="H103" s="14">
        <f>'00_TONG_HOP_BAO_GIA'!G22</f>
        <v/>
      </c>
      <c r="I103" s="19">
        <f>G103*H103</f>
        <v/>
      </c>
      <c r="J103" s="14">
        <f>IFERROR(INDEX('06_BANG_GIA_VAT_TU_AP_DUNG'!$E$1:$E$5000, MATCH(E103, '06_BANG_GIA_VAT_TU_AP_DUNG'!$B$1:$B$5000, 0)), 0)</f>
        <v/>
      </c>
      <c r="K103" s="14">
        <f>I103*J103</f>
        <v/>
      </c>
      <c r="L103" t="inlineStr">
        <is>
          <t>Lưới chắn côn trùng cổ 650x50mm</t>
        </is>
      </c>
    </row>
    <row r="104">
      <c r="A104" t="inlineStr">
        <is>
          <t>SW-DIFF-022-FRAME</t>
        </is>
      </c>
      <c r="B104" t="inlineStr">
        <is>
          <t>SW-DIFF-022</t>
        </is>
      </c>
      <c r="C104" t="inlineStr">
        <is>
          <t>Khung nhôm định hình (1 lớp BD)</t>
        </is>
      </c>
      <c r="D104" t="inlineStr">
        <is>
          <t>NHÔM_ĐỊNH_HÌNH</t>
        </is>
      </c>
      <c r="E104" t="inlineStr">
        <is>
          <t>MAT-ALU-KHUNG-BD</t>
        </is>
      </c>
      <c r="F104" t="inlineStr">
        <is>
          <t>kg</t>
        </is>
      </c>
      <c r="G104" s="18" t="n">
        <v>0.1668338952879128</v>
      </c>
      <c r="H104" s="14">
        <f>'00_TONG_HOP_BAO_GIA'!G23</f>
        <v/>
      </c>
      <c r="I104" s="19">
        <f>G104*H104</f>
        <v/>
      </c>
      <c r="J104" s="14">
        <f>IFERROR(INDEX('06_BANG_GIA_VAT_TU_AP_DUNG'!$E$1:$E$5000, MATCH(E104, '06_BANG_GIA_VAT_TU_AP_DUNG'!$B$1:$B$5000, 0)), 0)</f>
        <v/>
      </c>
      <c r="K104" s="14">
        <f>I104*J104</f>
        <v/>
      </c>
      <c r="L104" t="inlineStr">
        <is>
          <t>Khung bao 200x200mm (cổ 150x150mm)</t>
        </is>
      </c>
    </row>
    <row r="105">
      <c r="A105" t="inlineStr">
        <is>
          <t>SW-DIFF-022-BLADE</t>
        </is>
      </c>
      <c r="B105" t="inlineStr">
        <is>
          <t>SW-DIFF-022</t>
        </is>
      </c>
      <c r="C105" t="inlineStr">
        <is>
          <t>Nan nhôm bầu dục (7 nan)</t>
        </is>
      </c>
      <c r="D105" t="inlineStr">
        <is>
          <t>NHÔM_ĐỊNH_HÌNH</t>
        </is>
      </c>
      <c r="E105" t="inlineStr">
        <is>
          <t>MAT-ALU-NAN-BD</t>
        </is>
      </c>
      <c r="F105" t="inlineStr">
        <is>
          <t>kg</t>
        </is>
      </c>
      <c r="G105" s="18" t="n">
        <v>0.0628724271227345</v>
      </c>
      <c r="H105" s="14">
        <f>'00_TONG_HOP_BAO_GIA'!G23</f>
        <v/>
      </c>
      <c r="I105" s="19">
        <f>G105*H105</f>
        <v/>
      </c>
      <c r="J105" s="14">
        <f>IFERROR(INDEX('06_BANG_GIA_VAT_TU_AP_DUNG'!$E$1:$E$5000, MATCH(E105, '06_BANG_GIA_VAT_TU_AP_DUNG'!$B$1:$B$5000, 0)), 0)</f>
        <v/>
      </c>
      <c r="K105" s="14">
        <f>I105*J105</f>
        <v/>
      </c>
      <c r="L105" t="inlineStr">
        <is>
          <t>Nan bầu dục @ 0.058kg/m</t>
        </is>
      </c>
    </row>
    <row r="106">
      <c r="A106" t="inlineStr">
        <is>
          <t>SW-DIFF-022-ACCESSORY</t>
        </is>
      </c>
      <c r="B106" t="inlineStr">
        <is>
          <t>SW-DIFF-022</t>
        </is>
      </c>
      <c r="C106" t="inlineStr">
        <is>
          <t>Phụ kiện lắp ghép / Ke góc cửa gió</t>
        </is>
      </c>
      <c r="D106" t="inlineStr">
        <is>
          <t>PHỤ_KIỆN_CỬA</t>
        </is>
      </c>
      <c r="E106" t="inlineStr">
        <is>
          <t>MAT-DOOR-ACCESSORY</t>
        </is>
      </c>
      <c r="F106" t="inlineStr">
        <is>
          <t>Bộ</t>
        </is>
      </c>
      <c r="G106" s="18" t="n">
        <v>0.0312719700213392</v>
      </c>
      <c r="H106" s="14">
        <f>'00_TONG_HOP_BAO_GIA'!G23</f>
        <v/>
      </c>
      <c r="I106" s="19">
        <f>G106*H106</f>
        <v/>
      </c>
      <c r="J106" s="14">
        <f>IFERROR(INDEX('06_BANG_GIA_VAT_TU_AP_DUNG'!$E$1:$E$5000, MATCH(E106, '06_BANG_GIA_VAT_TU_AP_DUNG'!$B$1:$B$5000, 0)), 0)</f>
        <v/>
      </c>
      <c r="K106" s="14">
        <f>I106*J106</f>
        <v/>
      </c>
      <c r="L106" t="inlineStr">
        <is>
          <t>4 ke góc chìm và vít ghép khung</t>
        </is>
      </c>
    </row>
    <row r="107">
      <c r="A107" t="inlineStr">
        <is>
          <t>SW-DIFF-022-PAINT</t>
        </is>
      </c>
      <c r="B107" t="inlineStr">
        <is>
          <t>SW-DIFF-022</t>
        </is>
      </c>
      <c r="C107" t="inlineStr">
        <is>
          <t>Sơn tĩnh điện tiêu chuẩn Polyester</t>
        </is>
      </c>
      <c r="D107" t="inlineStr">
        <is>
          <t>SƠN_TĨNH_ĐIỆN</t>
        </is>
      </c>
      <c r="E107" t="inlineStr">
        <is>
          <t>MAT-PAINT-POWDER</t>
        </is>
      </c>
      <c r="F107" t="inlineStr">
        <is>
          <t>m2</t>
        </is>
      </c>
      <c r="G107" s="18" t="n">
        <v>0.04307648173023464</v>
      </c>
      <c r="H107" s="14">
        <f>'00_TONG_HOP_BAO_GIA'!G23</f>
        <v/>
      </c>
      <c r="I107" s="19">
        <f>G107*H107</f>
        <v/>
      </c>
      <c r="J107" s="14">
        <f>IFERROR(INDEX('06_BANG_GIA_VAT_TU_AP_DUNG'!$E$1:$E$5000, MATCH(E107, '06_BANG_GIA_VAT_TU_AP_DUNG'!$B$1:$B$5000, 0)), 0)</f>
        <v/>
      </c>
      <c r="K107" s="14">
        <f>I107*J107</f>
        <v/>
      </c>
      <c r="L107" t="inlineStr">
        <is>
          <t>Sơn tĩnh điện hoàn thiện</t>
        </is>
      </c>
    </row>
    <row r="108">
      <c r="A108" t="inlineStr">
        <is>
          <t>SW-DIFF-022-OBD-FRAME</t>
        </is>
      </c>
      <c r="B108" t="inlineStr">
        <is>
          <t>SW-DIFF-022</t>
        </is>
      </c>
      <c r="C108" t="inlineStr">
        <is>
          <t>Khung nhôm van OBD gắn cửa (SOBD)</t>
        </is>
      </c>
      <c r="D108" t="inlineStr">
        <is>
          <t>NHÔM_ĐỊNH_HÌNH</t>
        </is>
      </c>
      <c r="E108" t="inlineStr">
        <is>
          <t>MAT-ALU-KHUNG-OBD</t>
        </is>
      </c>
      <c r="F108" t="inlineStr">
        <is>
          <t>kg</t>
        </is>
      </c>
      <c r="G108" s="18" t="n">
        <v>0.08230553030583942</v>
      </c>
      <c r="H108" s="14">
        <f>'00_TONG_HOP_BAO_GIA'!G23</f>
        <v/>
      </c>
      <c r="I108" s="19">
        <f>G108*H108</f>
        <v/>
      </c>
      <c r="J108" s="14">
        <f>IFERROR(INDEX('06_BANG_GIA_VAT_TU_AP_DUNG'!$E$1:$E$5000, MATCH(E108, '06_BANG_GIA_VAT_TU_AP_DUNG'!$B$1:$B$5000, 0)), 0)</f>
        <v/>
      </c>
      <c r="K108" s="14">
        <f>I108*J108</f>
        <v/>
      </c>
      <c r="L108" t="inlineStr">
        <is>
          <t>Khung OBD 150x150mm</t>
        </is>
      </c>
    </row>
    <row r="109">
      <c r="A109" t="inlineStr">
        <is>
          <t>SW-DIFF-022-OBD-BLADE</t>
        </is>
      </c>
      <c r="B109" t="inlineStr">
        <is>
          <t>SW-DIFF-022</t>
        </is>
      </c>
      <c r="C109" t="inlineStr">
        <is>
          <t>Nan nhôm &amp; thanh truyền van OBD (SOBD)</t>
        </is>
      </c>
      <c r="D109" t="inlineStr">
        <is>
          <t>NHÔM_ĐỊNH_HÌNH</t>
        </is>
      </c>
      <c r="E109" t="inlineStr">
        <is>
          <t>MAT-ALU-NAN-OBD</t>
        </is>
      </c>
      <c r="F109" t="inlineStr">
        <is>
          <t>kg</t>
        </is>
      </c>
      <c r="G109" s="18" t="n">
        <v>0.04883635105172434</v>
      </c>
      <c r="H109" s="14">
        <f>'00_TONG_HOP_BAO_GIA'!G23</f>
        <v/>
      </c>
      <c r="I109" s="19">
        <f>G109*H109</f>
        <v/>
      </c>
      <c r="J109" s="14">
        <f>IFERROR(INDEX('06_BANG_GIA_VAT_TU_AP_DUNG'!$E$1:$E$5000, MATCH(E109, '06_BANG_GIA_VAT_TU_AP_DUNG'!$B$1:$B$5000, 0)), 0)</f>
        <v/>
      </c>
      <c r="K109" s="14">
        <f>I109*J109</f>
        <v/>
      </c>
      <c r="L109" t="inlineStr">
        <is>
          <t>Nan OBD đối xứng &amp; thanh liên kết</t>
        </is>
      </c>
    </row>
    <row r="110">
      <c r="A110" t="inlineStr">
        <is>
          <t>SW-DIFF-022-OBD-ACC</t>
        </is>
      </c>
      <c r="B110" t="inlineStr">
        <is>
          <t>SW-DIFF-022</t>
        </is>
      </c>
      <c r="C110" t="inlineStr">
        <is>
          <t>Bánh răng nhựa &amp; phụ kiện van OBD</t>
        </is>
      </c>
      <c r="D110" t="inlineStr">
        <is>
          <t>PHỤ_KIỆN_CỬA</t>
        </is>
      </c>
      <c r="E110" t="inlineStr">
        <is>
          <t>MAT-DOOR-ACCESSORY</t>
        </is>
      </c>
      <c r="F110" t="inlineStr">
        <is>
          <t>Bộ</t>
        </is>
      </c>
      <c r="G110" s="18" t="n">
        <v>0.5111990265182811</v>
      </c>
      <c r="H110" s="14">
        <f>'00_TONG_HOP_BAO_GIA'!G23</f>
        <v/>
      </c>
      <c r="I110" s="19">
        <f>G110*H110</f>
        <v/>
      </c>
      <c r="J110" s="14">
        <f>IFERROR(INDEX('06_BANG_GIA_VAT_TU_AP_DUNG'!$E$1:$E$5000, MATCH(E110, '06_BANG_GIA_VAT_TU_AP_DUNG'!$B$1:$B$5000, 0)), 0)</f>
        <v/>
      </c>
      <c r="K110" s="14">
        <f>I110*J110</f>
        <v/>
      </c>
      <c r="L110" t="inlineStr">
        <is>
          <t>Cơ cấu bánh răng đóng mở OBD</t>
        </is>
      </c>
    </row>
    <row r="111">
      <c r="A111" t="inlineStr">
        <is>
          <t>SW-DIFF-025-FRAME</t>
        </is>
      </c>
      <c r="B111" t="inlineStr">
        <is>
          <t>SW-DIFF-025</t>
        </is>
      </c>
      <c r="C111" t="inlineStr">
        <is>
          <t>Khung nhôm định hình Louver (SWL)</t>
        </is>
      </c>
      <c r="D111" t="inlineStr">
        <is>
          <t>NHÔM_ĐỊNH_HÌNH</t>
        </is>
      </c>
      <c r="E111" t="inlineStr">
        <is>
          <t>MAT-ALU-KHUNG-Z-2-LOP</t>
        </is>
      </c>
      <c r="F111" t="inlineStr">
        <is>
          <t>kg</t>
        </is>
      </c>
      <c r="G111" s="18" t="n">
        <v>0.4903882190463524</v>
      </c>
      <c r="H111" s="14">
        <f>'00_TONG_HOP_BAO_GIA'!G26</f>
        <v/>
      </c>
      <c r="I111" s="19">
        <f>G111*H111</f>
        <v/>
      </c>
      <c r="J111" s="14">
        <f>IFERROR(INDEX('06_BANG_GIA_VAT_TU_AP_DUNG'!$E$1:$E$5000, MATCH(E111, '06_BANG_GIA_VAT_TU_AP_DUNG'!$B$1:$B$5000, 0)), 0)</f>
        <v/>
      </c>
      <c r="K111" s="14">
        <f>I111*J111</f>
        <v/>
      </c>
      <c r="L111" t="inlineStr">
        <is>
          <t>Khung Louver phủ bì 800x250mm</t>
        </is>
      </c>
    </row>
    <row r="112">
      <c r="A112" t="inlineStr">
        <is>
          <t>SW-DIFF-025-BLADE</t>
        </is>
      </c>
      <c r="B112" t="inlineStr">
        <is>
          <t>SW-DIFF-025</t>
        </is>
      </c>
      <c r="C112" t="inlineStr">
        <is>
          <t>Nan Z Louver &amp; thanh tăng cứng (4 nan)</t>
        </is>
      </c>
      <c r="D112" t="inlineStr">
        <is>
          <t>NHÔM_ĐỊNH_HÌNH</t>
        </is>
      </c>
      <c r="E112" t="inlineStr">
        <is>
          <t>MAT-ALU-NAN-Z-DAY</t>
        </is>
      </c>
      <c r="F112" t="inlineStr">
        <is>
          <t>kg</t>
        </is>
      </c>
      <c r="G112" s="18" t="n">
        <v>0.7060273599662106</v>
      </c>
      <c r="H112" s="14">
        <f>'00_TONG_HOP_BAO_GIA'!G26</f>
        <v/>
      </c>
      <c r="I112" s="19">
        <f>G112*H112</f>
        <v/>
      </c>
      <c r="J112" s="14">
        <f>IFERROR(INDEX('06_BANG_GIA_VAT_TU_AP_DUNG'!$E$1:$E$5000, MATCH(E112, '06_BANG_GIA_VAT_TU_AP_DUNG'!$B$1:$B$5000, 0)), 0)</f>
        <v/>
      </c>
      <c r="K112" s="14">
        <f>I112*J112</f>
        <v/>
      </c>
      <c r="L112" t="inlineStr">
        <is>
          <t>4 nan Z dày @ 0.217kg/m + thanh giằng</t>
        </is>
      </c>
    </row>
    <row r="113">
      <c r="A113" t="inlineStr">
        <is>
          <t>SW-DIFF-025-ACCESSORY</t>
        </is>
      </c>
      <c r="B113" t="inlineStr">
        <is>
          <t>SW-DIFF-025</t>
        </is>
      </c>
      <c r="C113" t="inlineStr">
        <is>
          <t>Phụ kiện lắp ghép / Ke góc cửa gió</t>
        </is>
      </c>
      <c r="D113" t="inlineStr">
        <is>
          <t>PHỤ_KIỆN_CỬA</t>
        </is>
      </c>
      <c r="E113" t="inlineStr">
        <is>
          <t>MAT-DOOR-ACCESSORY</t>
        </is>
      </c>
      <c r="F113" t="inlineStr">
        <is>
          <t>Bộ</t>
        </is>
      </c>
      <c r="G113" s="18" t="n">
        <v>0.03561222682702118</v>
      </c>
      <c r="H113" s="14">
        <f>'00_TONG_HOP_BAO_GIA'!G26</f>
        <v/>
      </c>
      <c r="I113" s="19">
        <f>G113*H113</f>
        <v/>
      </c>
      <c r="J113" s="14">
        <f>IFERROR(INDEX('06_BANG_GIA_VAT_TU_AP_DUNG'!$E$1:$E$5000, MATCH(E113, '06_BANG_GIA_VAT_TU_AP_DUNG'!$B$1:$B$5000, 0)), 0)</f>
        <v/>
      </c>
      <c r="K113" s="14">
        <f>I113*J113</f>
        <v/>
      </c>
      <c r="L113" t="inlineStr">
        <is>
          <t>Ke góc và vít ghép khung Louver</t>
        </is>
      </c>
    </row>
    <row r="114">
      <c r="A114" t="inlineStr">
        <is>
          <t>SW-DIFF-025-PAINT</t>
        </is>
      </c>
      <c r="B114" t="inlineStr">
        <is>
          <t>SW-DIFF-025</t>
        </is>
      </c>
      <c r="C114" t="inlineStr">
        <is>
          <t>Sơn tĩnh điện tiêu chuẩn Polyester</t>
        </is>
      </c>
      <c r="D114" t="inlineStr">
        <is>
          <t>SƠN_TĨNH_ĐIỆN</t>
        </is>
      </c>
      <c r="E114" t="inlineStr">
        <is>
          <t>MAT-PAINT-POWDER</t>
        </is>
      </c>
      <c r="F114" t="inlineStr">
        <is>
          <t>m2</t>
        </is>
      </c>
      <c r="G114" s="18" t="n">
        <v>0.2344164356704308</v>
      </c>
      <c r="H114" s="14">
        <f>'00_TONG_HOP_BAO_GIA'!G26</f>
        <v/>
      </c>
      <c r="I114" s="19">
        <f>G114*H114</f>
        <v/>
      </c>
      <c r="J114" s="14">
        <f>IFERROR(INDEX('06_BANG_GIA_VAT_TU_AP_DUNG'!$E$1:$E$5000, MATCH(E114, '06_BANG_GIA_VAT_TU_AP_DUNG'!$B$1:$B$5000, 0)), 0)</f>
        <v/>
      </c>
      <c r="K114" s="14">
        <f>I114*J114</f>
        <v/>
      </c>
      <c r="L114" t="inlineStr">
        <is>
          <t>Sơn tĩnh điện khung và nan Louver</t>
        </is>
      </c>
    </row>
    <row r="115">
      <c r="A115" t="inlineStr">
        <is>
          <t>SW-DIFF-025-MESH</t>
        </is>
      </c>
      <c r="B115" t="inlineStr">
        <is>
          <t>SW-DIFF-025</t>
        </is>
      </c>
      <c r="C115" t="inlineStr">
        <is>
          <t>Lưới chắn côn trùng Inox 304 (LCCT)</t>
        </is>
      </c>
      <c r="D115" t="inlineStr">
        <is>
          <t>PHỤ_KIỆN_CỬA</t>
        </is>
      </c>
      <c r="E115" t="inlineStr">
        <is>
          <t>MAT-MESH-INOX-304</t>
        </is>
      </c>
      <c r="F115" t="inlineStr">
        <is>
          <t>m2</t>
        </is>
      </c>
      <c r="G115" s="18" t="n">
        <v>0.09625444653693241</v>
      </c>
      <c r="H115" s="14">
        <f>'00_TONG_HOP_BAO_GIA'!G26</f>
        <v/>
      </c>
      <c r="I115" s="19">
        <f>G115*H115</f>
        <v/>
      </c>
      <c r="J115" s="14">
        <f>IFERROR(INDEX('06_BANG_GIA_VAT_TU_AP_DUNG'!$E$1:$E$5000, MATCH(E115, '06_BANG_GIA_VAT_TU_AP_DUNG'!$B$1:$B$5000, 0)), 0)</f>
        <v/>
      </c>
      <c r="K115" s="14">
        <f>I115*J115</f>
        <v/>
      </c>
      <c r="L115" t="inlineStr">
        <is>
          <t>Lưới chắn côn trùng cổ 750x200mm</t>
        </is>
      </c>
    </row>
    <row r="116">
      <c r="A116" t="inlineStr">
        <is>
          <t>SW-DIFF-030-FRAME</t>
        </is>
      </c>
      <c r="B116" t="inlineStr">
        <is>
          <t>SW-DIFF-030</t>
        </is>
      </c>
      <c r="C116" t="inlineStr">
        <is>
          <t>Khung nhôm định hình Louver (SWL)</t>
        </is>
      </c>
      <c r="D116" t="inlineStr">
        <is>
          <t>NHÔM_ĐỊNH_HÌNH</t>
        </is>
      </c>
      <c r="E116" t="inlineStr">
        <is>
          <t>MAT-ALU-KHUNG-Z-2-LOP</t>
        </is>
      </c>
      <c r="F116" t="inlineStr">
        <is>
          <t>kg</t>
        </is>
      </c>
      <c r="G116" s="18" t="n">
        <v>0.1867894377584906</v>
      </c>
      <c r="H116" s="14">
        <f>'00_TONG_HOP_BAO_GIA'!G31</f>
        <v/>
      </c>
      <c r="I116" s="19">
        <f>G116*H116</f>
        <v/>
      </c>
      <c r="J116" s="14">
        <f>IFERROR(INDEX('06_BANG_GIA_VAT_TU_AP_DUNG'!$E$1:$E$5000, MATCH(E116, '06_BANG_GIA_VAT_TU_AP_DUNG'!$B$1:$B$5000, 0)), 0)</f>
        <v/>
      </c>
      <c r="K116" s="14">
        <f>I116*J116</f>
        <v/>
      </c>
      <c r="L116" t="inlineStr">
        <is>
          <t>Khung Louver phủ bì 250x150mm</t>
        </is>
      </c>
    </row>
    <row r="117">
      <c r="A117" t="inlineStr">
        <is>
          <t>SW-DIFF-030-BLADE</t>
        </is>
      </c>
      <c r="B117" t="inlineStr">
        <is>
          <t>SW-DIFF-030</t>
        </is>
      </c>
      <c r="C117" t="inlineStr">
        <is>
          <t>Nan Z Louver &amp; thanh tăng cứng (2 nan)</t>
        </is>
      </c>
      <c r="D117" t="inlineStr">
        <is>
          <t>NHÔM_ĐỊNH_HÌNH</t>
        </is>
      </c>
      <c r="E117" t="inlineStr">
        <is>
          <t>MAT-ALU-NAN-Z-DAY</t>
        </is>
      </c>
      <c r="F117" t="inlineStr">
        <is>
          <t>kg</t>
        </is>
      </c>
      <c r="G117" s="18" t="n">
        <v>0.1119708050351833</v>
      </c>
      <c r="H117" s="14">
        <f>'00_TONG_HOP_BAO_GIA'!G31</f>
        <v/>
      </c>
      <c r="I117" s="19">
        <f>G117*H117</f>
        <v/>
      </c>
      <c r="J117" s="14">
        <f>IFERROR(INDEX('06_BANG_GIA_VAT_TU_AP_DUNG'!$E$1:$E$5000, MATCH(E117, '06_BANG_GIA_VAT_TU_AP_DUNG'!$B$1:$B$5000, 0)), 0)</f>
        <v/>
      </c>
      <c r="K117" s="14">
        <f>I117*J117</f>
        <v/>
      </c>
      <c r="L117" t="inlineStr">
        <is>
          <t>2 nan Z dày @ 0.217kg/m + thanh giằng</t>
        </is>
      </c>
    </row>
    <row r="118">
      <c r="A118" t="inlineStr">
        <is>
          <t>SW-DIFF-030-ACCESSORY</t>
        </is>
      </c>
      <c r="B118" t="inlineStr">
        <is>
          <t>SW-DIFF-030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t="inlineStr">
        <is>
          <t>MAT-DOOR-ACCESSORY</t>
        </is>
      </c>
      <c r="F118" t="inlineStr">
        <is>
          <t>Bộ</t>
        </is>
      </c>
      <c r="G118" s="18" t="n">
        <v>0.01780371893733311</v>
      </c>
      <c r="H118" s="14">
        <f>'00_TONG_HOP_BAO_GIA'!G31</f>
        <v/>
      </c>
      <c r="I118" s="19">
        <f>G118*H118</f>
        <v/>
      </c>
      <c r="J118" s="14">
        <f>IFERROR(INDEX('06_BANG_GIA_VAT_TU_AP_DUNG'!$E$1:$E$5000, MATCH(E118, '06_BANG_GIA_VAT_TU_AP_DUNG'!$B$1:$B$5000, 0)), 0)</f>
        <v/>
      </c>
      <c r="K118" s="14">
        <f>I118*J118</f>
        <v/>
      </c>
      <c r="L118" t="inlineStr">
        <is>
          <t>Ke góc và vít ghép khung Louver</t>
        </is>
      </c>
    </row>
    <row r="119">
      <c r="A119" t="inlineStr">
        <is>
          <t>SW-DIFF-030-PAINT</t>
        </is>
      </c>
      <c r="B119" t="inlineStr">
        <is>
          <t>SW-DIFF-030</t>
        </is>
      </c>
      <c r="C119" t="inlineStr">
        <is>
          <t>Sơn tĩnh điện tiêu chuẩn Polyester</t>
        </is>
      </c>
      <c r="D119" t="inlineStr">
        <is>
          <t>SƠN_TĨNH_ĐIỆN</t>
        </is>
      </c>
      <c r="E119" t="inlineStr">
        <is>
          <t>MAT-PAINT-POWDER</t>
        </is>
      </c>
      <c r="F119" t="inlineStr">
        <is>
          <t>m2</t>
        </is>
      </c>
      <c r="G119" s="18" t="n">
        <v>0.05530882379520213</v>
      </c>
      <c r="H119" s="14">
        <f>'00_TONG_HOP_BAO_GIA'!G31</f>
        <v/>
      </c>
      <c r="I119" s="19">
        <f>G119*H119</f>
        <v/>
      </c>
      <c r="J119" s="14">
        <f>IFERROR(INDEX('06_BANG_GIA_VAT_TU_AP_DUNG'!$E$1:$E$5000, MATCH(E119, '06_BANG_GIA_VAT_TU_AP_DUNG'!$B$1:$B$5000, 0)), 0)</f>
        <v/>
      </c>
      <c r="K119" s="14">
        <f>I119*J119</f>
        <v/>
      </c>
      <c r="L119" t="inlineStr">
        <is>
          <t>Sơn tĩnh điện khung và nan Louver</t>
        </is>
      </c>
    </row>
    <row r="120">
      <c r="A120" t="inlineStr">
        <is>
          <t>SW-DIFF-030-MESH</t>
        </is>
      </c>
      <c r="B120" t="inlineStr">
        <is>
          <t>SW-DIFF-030</t>
        </is>
      </c>
      <c r="C120" t="inlineStr">
        <is>
          <t>Lưới chắn côn trùng Inox 304 (LCCT)</t>
        </is>
      </c>
      <c r="D120" t="inlineStr">
        <is>
          <t>PHỤ_KIỆN_CỬA</t>
        </is>
      </c>
      <c r="E120" t="inlineStr">
        <is>
          <t>MAT-MESH-INOX-304</t>
        </is>
      </c>
      <c r="F120" t="inlineStr">
        <is>
          <t>m2</t>
        </is>
      </c>
      <c r="G120" s="18" t="n">
        <v>0.0125549278091651</v>
      </c>
      <c r="H120" s="14">
        <f>'00_TONG_HOP_BAO_GIA'!G31</f>
        <v/>
      </c>
      <c r="I120" s="19">
        <f>G120*H120</f>
        <v/>
      </c>
      <c r="J120" s="14">
        <f>IFERROR(INDEX('06_BANG_GIA_VAT_TU_AP_DUNG'!$E$1:$E$5000, MATCH(E120, '06_BANG_GIA_VAT_TU_AP_DUNG'!$B$1:$B$5000, 0)), 0)</f>
        <v/>
      </c>
      <c r="K120" s="14">
        <f>I120*J120</f>
        <v/>
      </c>
      <c r="L120" t="inlineStr">
        <is>
          <t>Lưới chắn côn trùng cổ 200x100mm</t>
        </is>
      </c>
    </row>
    <row r="121">
      <c r="A121" t="inlineStr">
        <is>
          <t>SW-DIFF-031-FRAME</t>
        </is>
      </c>
      <c r="B121" t="inlineStr">
        <is>
          <t>SW-DIFF-031</t>
        </is>
      </c>
      <c r="C121" t="inlineStr">
        <is>
          <t>Khung nhôm định hình (1 lớp BD)</t>
        </is>
      </c>
      <c r="D121" t="inlineStr">
        <is>
          <t>NHÔM_ĐỊNH_HÌNH</t>
        </is>
      </c>
      <c r="E121" t="inlineStr">
        <is>
          <t>MAT-ALU-KHUNG-BD</t>
        </is>
      </c>
      <c r="F121" t="inlineStr">
        <is>
          <t>kg</t>
        </is>
      </c>
      <c r="G121" s="18" t="n">
        <v>0.1668338952879128</v>
      </c>
      <c r="H121" s="14">
        <f>'00_TONG_HOP_BAO_GIA'!G32</f>
        <v/>
      </c>
      <c r="I121" s="19">
        <f>G121*H121</f>
        <v/>
      </c>
      <c r="J121" s="14">
        <f>IFERROR(INDEX('06_BANG_GIA_VAT_TU_AP_DUNG'!$E$1:$E$5000, MATCH(E121, '06_BANG_GIA_VAT_TU_AP_DUNG'!$B$1:$B$5000, 0)), 0)</f>
        <v/>
      </c>
      <c r="K121" s="14">
        <f>I121*J121</f>
        <v/>
      </c>
      <c r="L121" t="inlineStr">
        <is>
          <t>Khung bao 200x200mm (cổ 150x150mm)</t>
        </is>
      </c>
    </row>
    <row r="122">
      <c r="A122" t="inlineStr">
        <is>
          <t>SW-DIFF-031-BLADE</t>
        </is>
      </c>
      <c r="B122" t="inlineStr">
        <is>
          <t>SW-DIFF-031</t>
        </is>
      </c>
      <c r="C122" t="inlineStr">
        <is>
          <t>Nan nhôm bầu dục (7 nan)</t>
        </is>
      </c>
      <c r="D122" t="inlineStr">
        <is>
          <t>NHÔM_ĐỊNH_HÌNH</t>
        </is>
      </c>
      <c r="E122" t="inlineStr">
        <is>
          <t>MAT-ALU-NAN-BD</t>
        </is>
      </c>
      <c r="F122" t="inlineStr">
        <is>
          <t>kg</t>
        </is>
      </c>
      <c r="G122" s="18" t="n">
        <v>0.0628724271227345</v>
      </c>
      <c r="H122" s="14">
        <f>'00_TONG_HOP_BAO_GIA'!G32</f>
        <v/>
      </c>
      <c r="I122" s="19">
        <f>G122*H122</f>
        <v/>
      </c>
      <c r="J122" s="14">
        <f>IFERROR(INDEX('06_BANG_GIA_VAT_TU_AP_DUNG'!$E$1:$E$5000, MATCH(E122, '06_BANG_GIA_VAT_TU_AP_DUNG'!$B$1:$B$5000, 0)), 0)</f>
        <v/>
      </c>
      <c r="K122" s="14">
        <f>I122*J122</f>
        <v/>
      </c>
      <c r="L122" t="inlineStr">
        <is>
          <t>Nan bầu dục @ 0.058kg/m</t>
        </is>
      </c>
    </row>
    <row r="123">
      <c r="A123" t="inlineStr">
        <is>
          <t>SW-DIFF-031-ACCESSORY</t>
        </is>
      </c>
      <c r="B123" t="inlineStr">
        <is>
          <t>SW-DIFF-031</t>
        </is>
      </c>
      <c r="C123" t="inlineStr">
        <is>
          <t>Phụ kiện lắp ghép / Ke góc cửa gió</t>
        </is>
      </c>
      <c r="D123" t="inlineStr">
        <is>
          <t>PHỤ_KIỆN_CỬA</t>
        </is>
      </c>
      <c r="E123" t="inlineStr">
        <is>
          <t>MAT-DOOR-ACCESSORY</t>
        </is>
      </c>
      <c r="F123" t="inlineStr">
        <is>
          <t>Bộ</t>
        </is>
      </c>
      <c r="G123" s="18" t="n">
        <v>0.0312719700213392</v>
      </c>
      <c r="H123" s="14">
        <f>'00_TONG_HOP_BAO_GIA'!G32</f>
        <v/>
      </c>
      <c r="I123" s="19">
        <f>G123*H123</f>
        <v/>
      </c>
      <c r="J123" s="14">
        <f>IFERROR(INDEX('06_BANG_GIA_VAT_TU_AP_DUNG'!$E$1:$E$5000, MATCH(E123, '06_BANG_GIA_VAT_TU_AP_DUNG'!$B$1:$B$5000, 0)), 0)</f>
        <v/>
      </c>
      <c r="K123" s="14">
        <f>I123*J123</f>
        <v/>
      </c>
      <c r="L123" t="inlineStr">
        <is>
          <t>4 ke góc chìm và vít ghép khung</t>
        </is>
      </c>
    </row>
    <row r="124">
      <c r="A124" t="inlineStr">
        <is>
          <t>SW-DIFF-031-PAINT</t>
        </is>
      </c>
      <c r="B124" t="inlineStr">
        <is>
          <t>SW-DIFF-031</t>
        </is>
      </c>
      <c r="C124" t="inlineStr">
        <is>
          <t>Sơn tĩnh điện tiêu chuẩn Polyester</t>
        </is>
      </c>
      <c r="D124" t="inlineStr">
        <is>
          <t>SƠN_TĨNH_ĐIỆN</t>
        </is>
      </c>
      <c r="E124" t="inlineStr">
        <is>
          <t>MAT-PAINT-POWDER</t>
        </is>
      </c>
      <c r="F124" t="inlineStr">
        <is>
          <t>m2</t>
        </is>
      </c>
      <c r="G124" s="18" t="n">
        <v>0.04307648173023464</v>
      </c>
      <c r="H124" s="14">
        <f>'00_TONG_HOP_BAO_GIA'!G32</f>
        <v/>
      </c>
      <c r="I124" s="19">
        <f>G124*H124</f>
        <v/>
      </c>
      <c r="J124" s="14">
        <f>IFERROR(INDEX('06_BANG_GIA_VAT_TU_AP_DUNG'!$E$1:$E$5000, MATCH(E124, '06_BANG_GIA_VAT_TU_AP_DUNG'!$B$1:$B$5000, 0)), 0)</f>
        <v/>
      </c>
      <c r="K124" s="14">
        <f>I124*J124</f>
        <v/>
      </c>
      <c r="L124" t="inlineStr">
        <is>
          <t>Sơn tĩnh điện hoàn thiện</t>
        </is>
      </c>
    </row>
    <row r="125">
      <c r="A125" t="inlineStr">
        <is>
          <t>SW-DIFF-031-OBD-FRAME</t>
        </is>
      </c>
      <c r="B125" t="inlineStr">
        <is>
          <t>SW-DIFF-031</t>
        </is>
      </c>
      <c r="C125" t="inlineStr">
        <is>
          <t>Khung nhôm van OBD gắn cửa (SOBD)</t>
        </is>
      </c>
      <c r="D125" t="inlineStr">
        <is>
          <t>NHÔM_ĐỊNH_HÌNH</t>
        </is>
      </c>
      <c r="E125" t="inlineStr">
        <is>
          <t>MAT-ALU-KHUNG-OBD</t>
        </is>
      </c>
      <c r="F125" t="inlineStr">
        <is>
          <t>kg</t>
        </is>
      </c>
      <c r="G125" s="18" t="n">
        <v>0.08230553030583942</v>
      </c>
      <c r="H125" s="14">
        <f>'00_TONG_HOP_BAO_GIA'!G32</f>
        <v/>
      </c>
      <c r="I125" s="19">
        <f>G125*H125</f>
        <v/>
      </c>
      <c r="J125" s="14">
        <f>IFERROR(INDEX('06_BANG_GIA_VAT_TU_AP_DUNG'!$E$1:$E$5000, MATCH(E125, '06_BANG_GIA_VAT_TU_AP_DUNG'!$B$1:$B$5000, 0)), 0)</f>
        <v/>
      </c>
      <c r="K125" s="14">
        <f>I125*J125</f>
        <v/>
      </c>
      <c r="L125" t="inlineStr">
        <is>
          <t>Khung OBD 150x150mm</t>
        </is>
      </c>
    </row>
    <row r="126">
      <c r="A126" t="inlineStr">
        <is>
          <t>SW-DIFF-031-OBD-BLADE</t>
        </is>
      </c>
      <c r="B126" t="inlineStr">
        <is>
          <t>SW-DIFF-031</t>
        </is>
      </c>
      <c r="C126" t="inlineStr">
        <is>
          <t>Nan nhôm &amp; thanh truyền van OBD (SOBD)</t>
        </is>
      </c>
      <c r="D126" t="inlineStr">
        <is>
          <t>NHÔM_ĐỊNH_HÌNH</t>
        </is>
      </c>
      <c r="E126" t="inlineStr">
        <is>
          <t>MAT-ALU-NAN-OBD</t>
        </is>
      </c>
      <c r="F126" t="inlineStr">
        <is>
          <t>kg</t>
        </is>
      </c>
      <c r="G126" s="18" t="n">
        <v>0.04883635105172434</v>
      </c>
      <c r="H126" s="14">
        <f>'00_TONG_HOP_BAO_GIA'!G32</f>
        <v/>
      </c>
      <c r="I126" s="19">
        <f>G126*H126</f>
        <v/>
      </c>
      <c r="J126" s="14">
        <f>IFERROR(INDEX('06_BANG_GIA_VAT_TU_AP_DUNG'!$E$1:$E$5000, MATCH(E126, '06_BANG_GIA_VAT_TU_AP_DUNG'!$B$1:$B$5000, 0)), 0)</f>
        <v/>
      </c>
      <c r="K126" s="14">
        <f>I126*J126</f>
        <v/>
      </c>
      <c r="L126" t="inlineStr">
        <is>
          <t>Nan OBD đối xứng &amp; thanh liên kết</t>
        </is>
      </c>
    </row>
    <row r="127">
      <c r="A127" t="inlineStr">
        <is>
          <t>SW-DIFF-031-OBD-ACC</t>
        </is>
      </c>
      <c r="B127" t="inlineStr">
        <is>
          <t>SW-DIFF-031</t>
        </is>
      </c>
      <c r="C127" t="inlineStr">
        <is>
          <t>Bánh răng nhựa &amp; phụ kiện van OBD</t>
        </is>
      </c>
      <c r="D127" t="inlineStr">
        <is>
          <t>PHỤ_KIỆN_CỬA</t>
        </is>
      </c>
      <c r="E127" t="inlineStr">
        <is>
          <t>MAT-DOOR-ACCESSORY</t>
        </is>
      </c>
      <c r="F127" t="inlineStr">
        <is>
          <t>Bộ</t>
        </is>
      </c>
      <c r="G127" s="18" t="n">
        <v>0.5111990265182811</v>
      </c>
      <c r="H127" s="14">
        <f>'00_TONG_HOP_BAO_GIA'!G32</f>
        <v/>
      </c>
      <c r="I127" s="19">
        <f>G127*H127</f>
        <v/>
      </c>
      <c r="J127" s="14">
        <f>IFERROR(INDEX('06_BANG_GIA_VAT_TU_AP_DUNG'!$E$1:$E$5000, MATCH(E127, '06_BANG_GIA_VAT_TU_AP_DUNG'!$B$1:$B$5000, 0)), 0)</f>
        <v/>
      </c>
      <c r="K127" s="14">
        <f>I127*J127</f>
        <v/>
      </c>
      <c r="L127" t="inlineStr">
        <is>
          <t>Cơ cấu bánh răng đóng mở OBD</t>
        </is>
      </c>
    </row>
    <row r="128">
      <c r="A128" t="inlineStr">
        <is>
          <t>SW-DIFF-032-FRAME</t>
        </is>
      </c>
      <c r="B128" t="inlineStr">
        <is>
          <t>SW-DIFF-032</t>
        </is>
      </c>
      <c r="C128" t="inlineStr">
        <is>
          <t>Khung nhôm định hình Louver (SWL)</t>
        </is>
      </c>
      <c r="D128" t="inlineStr">
        <is>
          <t>NHÔM_ĐỊNH_HÌNH</t>
        </is>
      </c>
      <c r="E128" t="inlineStr">
        <is>
          <t>MAT-ALU-KHUNG-Z-2-LOP</t>
        </is>
      </c>
      <c r="F128" t="inlineStr">
        <is>
          <t>kg</t>
        </is>
      </c>
      <c r="G128" s="18" t="n">
        <v>0.2093831324253886</v>
      </c>
      <c r="H128" s="14">
        <f>'00_TONG_HOP_BAO_GIA'!G33</f>
        <v/>
      </c>
      <c r="I128" s="19">
        <f>G128*H128</f>
        <v/>
      </c>
      <c r="J128" s="14">
        <f>IFERROR(INDEX('06_BANG_GIA_VAT_TU_AP_DUNG'!$E$1:$E$5000, MATCH(E128, '06_BANG_GIA_VAT_TU_AP_DUNG'!$B$1:$B$5000, 0)), 0)</f>
        <v/>
      </c>
      <c r="K128" s="14">
        <f>I128*J128</f>
        <v/>
      </c>
      <c r="L128" t="inlineStr">
        <is>
          <t>Khung Louver phủ bì 300x150mm</t>
        </is>
      </c>
    </row>
    <row r="129">
      <c r="A129" t="inlineStr">
        <is>
          <t>SW-DIFF-032-BLADE</t>
        </is>
      </c>
      <c r="B129" t="inlineStr">
        <is>
          <t>SW-DIFF-032</t>
        </is>
      </c>
      <c r="C129" t="inlineStr">
        <is>
          <t>Nan Z Louver &amp; thanh tăng cứng (2 nan)</t>
        </is>
      </c>
      <c r="D129" t="inlineStr">
        <is>
          <t>NHÔM_ĐỊNH_HÌNH</t>
        </is>
      </c>
      <c r="E129" t="inlineStr">
        <is>
          <t>MAT-ALU-NAN-Z-DAY</t>
        </is>
      </c>
      <c r="F129" t="inlineStr">
        <is>
          <t>kg</t>
        </is>
      </c>
      <c r="G129" s="18" t="n">
        <v>0.1338084276527593</v>
      </c>
      <c r="H129" s="14">
        <f>'00_TONG_HOP_BAO_GIA'!G33</f>
        <v/>
      </c>
      <c r="I129" s="19">
        <f>G129*H129</f>
        <v/>
      </c>
      <c r="J129" s="14">
        <f>IFERROR(INDEX('06_BANG_GIA_VAT_TU_AP_DUNG'!$E$1:$E$5000, MATCH(E129, '06_BANG_GIA_VAT_TU_AP_DUNG'!$B$1:$B$5000, 0)), 0)</f>
        <v/>
      </c>
      <c r="K129" s="14">
        <f>I129*J129</f>
        <v/>
      </c>
      <c r="L129" t="inlineStr">
        <is>
          <t>2 nan Z dày @ 0.217kg/m + thanh giằng</t>
        </is>
      </c>
    </row>
    <row r="130">
      <c r="A130" t="inlineStr">
        <is>
          <t>SW-DIFF-032-ACCESSORY</t>
        </is>
      </c>
      <c r="B130" t="inlineStr">
        <is>
          <t>SW-DIFF-032</t>
        </is>
      </c>
      <c r="C130" t="inlineStr">
        <is>
          <t>Phụ kiện lắp ghép / Ke góc cửa gió</t>
        </is>
      </c>
      <c r="D130" t="inlineStr">
        <is>
          <t>PHỤ_KIỆN_CỬA</t>
        </is>
      </c>
      <c r="E130" t="inlineStr">
        <is>
          <t>MAT-DOOR-ACCESSORY</t>
        </is>
      </c>
      <c r="F130" t="inlineStr">
        <is>
          <t>Bộ</t>
        </is>
      </c>
      <c r="G130" s="18" t="n">
        <v>0.01773975366608552</v>
      </c>
      <c r="H130" s="14">
        <f>'00_TONG_HOP_BAO_GIA'!G33</f>
        <v/>
      </c>
      <c r="I130" s="19">
        <f>G130*H130</f>
        <v/>
      </c>
      <c r="J130" s="14">
        <f>IFERROR(INDEX('06_BANG_GIA_VAT_TU_AP_DUNG'!$E$1:$E$5000, MATCH(E130, '06_BANG_GIA_VAT_TU_AP_DUNG'!$B$1:$B$5000, 0)), 0)</f>
        <v/>
      </c>
      <c r="K130" s="14">
        <f>I130*J130</f>
        <v/>
      </c>
      <c r="L130" t="inlineStr">
        <is>
          <t>Ke góc và vít ghép khung Louver</t>
        </is>
      </c>
    </row>
    <row r="131">
      <c r="A131" t="inlineStr">
        <is>
          <t>SW-DIFF-032-PAINT</t>
        </is>
      </c>
      <c r="B131" t="inlineStr">
        <is>
          <t>SW-DIFF-032</t>
        </is>
      </c>
      <c r="C131" t="inlineStr">
        <is>
          <t>Sơn tĩnh điện tiêu chuẩn Polyester</t>
        </is>
      </c>
      <c r="D131" t="inlineStr">
        <is>
          <t>SƠN_TĨNH_ĐIỆN</t>
        </is>
      </c>
      <c r="E131" t="inlineStr">
        <is>
          <t>MAT-PAINT-POWDER</t>
        </is>
      </c>
      <c r="F131" t="inlineStr">
        <is>
          <t>m2</t>
        </is>
      </c>
      <c r="G131" s="18" t="n">
        <v>0.0643765225393028</v>
      </c>
      <c r="H131" s="14">
        <f>'00_TONG_HOP_BAO_GIA'!G33</f>
        <v/>
      </c>
      <c r="I131" s="19">
        <f>G131*H131</f>
        <v/>
      </c>
      <c r="J131" s="14">
        <f>IFERROR(INDEX('06_BANG_GIA_VAT_TU_AP_DUNG'!$E$1:$E$5000, MATCH(E131, '06_BANG_GIA_VAT_TU_AP_DUNG'!$B$1:$B$5000, 0)), 0)</f>
        <v/>
      </c>
      <c r="K131" s="14">
        <f>I131*J131</f>
        <v/>
      </c>
      <c r="L131" t="inlineStr">
        <is>
          <t>Sơn tĩnh điện khung và nan Louver</t>
        </is>
      </c>
    </row>
    <row r="132">
      <c r="A132" t="inlineStr">
        <is>
          <t>SW-DIFF-032-MESH</t>
        </is>
      </c>
      <c r="B132" t="inlineStr">
        <is>
          <t>SW-DIFF-032</t>
        </is>
      </c>
      <c r="C132" t="inlineStr">
        <is>
          <t>Lưới chắn côn trùng Inox 304 (LCCT)</t>
        </is>
      </c>
      <c r="D132" t="inlineStr">
        <is>
          <t>PHỤ_KIỆN_CỬA</t>
        </is>
      </c>
      <c r="E132" t="inlineStr">
        <is>
          <t>MAT-MESH-INOX-304</t>
        </is>
      </c>
      <c r="F132" t="inlineStr">
        <is>
          <t>m2</t>
        </is>
      </c>
      <c r="G132" s="18" t="n">
        <v>0.01673990374555346</v>
      </c>
      <c r="H132" s="14">
        <f>'00_TONG_HOP_BAO_GIA'!G33</f>
        <v/>
      </c>
      <c r="I132" s="19">
        <f>G132*H132</f>
        <v/>
      </c>
      <c r="J132" s="14">
        <f>IFERROR(INDEX('06_BANG_GIA_VAT_TU_AP_DUNG'!$E$1:$E$5000, MATCH(E132, '06_BANG_GIA_VAT_TU_AP_DUNG'!$B$1:$B$5000, 0)), 0)</f>
        <v/>
      </c>
      <c r="K132" s="14">
        <f>I132*J132</f>
        <v/>
      </c>
      <c r="L132" t="inlineStr">
        <is>
          <t>Lưới chắn côn trùng cổ 250x100mm</t>
        </is>
      </c>
    </row>
    <row r="133">
      <c r="A133" t="inlineStr">
        <is>
          <t>SW-DIFF-034-FRAME</t>
        </is>
      </c>
      <c r="B133" t="inlineStr">
        <is>
          <t>SW-DIFF-034</t>
        </is>
      </c>
      <c r="C133" t="inlineStr">
        <is>
          <t>Khung nhôm định hình Louver (SWL)</t>
        </is>
      </c>
      <c r="D133" t="inlineStr">
        <is>
          <t>NHÔM_ĐỊNH_HÌNH</t>
        </is>
      </c>
      <c r="E133" t="inlineStr">
        <is>
          <t>MAT-ALU-KHUNG-Z-2-LOP</t>
        </is>
      </c>
      <c r="F133" t="inlineStr">
        <is>
          <t>kg</t>
        </is>
      </c>
      <c r="G133" s="18" t="n">
        <v>0.2093831324253886</v>
      </c>
      <c r="H133" s="14">
        <f>'00_TONG_HOP_BAO_GIA'!G35</f>
        <v/>
      </c>
      <c r="I133" s="19">
        <f>G133*H133</f>
        <v/>
      </c>
      <c r="J133" s="14">
        <f>IFERROR(INDEX('06_BANG_GIA_VAT_TU_AP_DUNG'!$E$1:$E$5000, MATCH(E133, '06_BANG_GIA_VAT_TU_AP_DUNG'!$B$1:$B$5000, 0)), 0)</f>
        <v/>
      </c>
      <c r="K133" s="14">
        <f>I133*J133</f>
        <v/>
      </c>
      <c r="L133" t="inlineStr">
        <is>
          <t>Khung Louver phủ bì 300x150mm</t>
        </is>
      </c>
    </row>
    <row r="134">
      <c r="A134" t="inlineStr">
        <is>
          <t>SW-DIFF-034-BLADE</t>
        </is>
      </c>
      <c r="B134" t="inlineStr">
        <is>
          <t>SW-DIFF-034</t>
        </is>
      </c>
      <c r="C134" t="inlineStr">
        <is>
          <t>Nan Z Louver &amp; thanh tăng cứng (2 nan)</t>
        </is>
      </c>
      <c r="D134" t="inlineStr">
        <is>
          <t>NHÔM_ĐỊNH_HÌNH</t>
        </is>
      </c>
      <c r="E134" t="inlineStr">
        <is>
          <t>MAT-ALU-NAN-Z-DAY</t>
        </is>
      </c>
      <c r="F134" t="inlineStr">
        <is>
          <t>kg</t>
        </is>
      </c>
      <c r="G134" s="18" t="n">
        <v>0.1338084276527593</v>
      </c>
      <c r="H134" s="14">
        <f>'00_TONG_HOP_BAO_GIA'!G35</f>
        <v/>
      </c>
      <c r="I134" s="19">
        <f>G134*H134</f>
        <v/>
      </c>
      <c r="J134" s="14">
        <f>IFERROR(INDEX('06_BANG_GIA_VAT_TU_AP_DUNG'!$E$1:$E$5000, MATCH(E134, '06_BANG_GIA_VAT_TU_AP_DUNG'!$B$1:$B$5000, 0)), 0)</f>
        <v/>
      </c>
      <c r="K134" s="14">
        <f>I134*J134</f>
        <v/>
      </c>
      <c r="L134" t="inlineStr">
        <is>
          <t>2 nan Z dày @ 0.217kg/m + thanh giằng</t>
        </is>
      </c>
    </row>
    <row r="135">
      <c r="A135" t="inlineStr">
        <is>
          <t>SW-DIFF-034-ACCESSORY</t>
        </is>
      </c>
      <c r="B135" t="inlineStr">
        <is>
          <t>SW-DIFF-034</t>
        </is>
      </c>
      <c r="C135" t="inlineStr">
        <is>
          <t>Phụ kiện lắp ghép / Ke góc cửa gió</t>
        </is>
      </c>
      <c r="D135" t="inlineStr">
        <is>
          <t>PHỤ_KIỆN_CỬA</t>
        </is>
      </c>
      <c r="E135" t="inlineStr">
        <is>
          <t>MAT-DOOR-ACCESSORY</t>
        </is>
      </c>
      <c r="F135" t="inlineStr">
        <is>
          <t>Bộ</t>
        </is>
      </c>
      <c r="G135" s="18" t="n">
        <v>0.01773975366608552</v>
      </c>
      <c r="H135" s="14">
        <f>'00_TONG_HOP_BAO_GIA'!G35</f>
        <v/>
      </c>
      <c r="I135" s="19">
        <f>G135*H135</f>
        <v/>
      </c>
      <c r="J135" s="14">
        <f>IFERROR(INDEX('06_BANG_GIA_VAT_TU_AP_DUNG'!$E$1:$E$5000, MATCH(E135, '06_BANG_GIA_VAT_TU_AP_DUNG'!$B$1:$B$5000, 0)), 0)</f>
        <v/>
      </c>
      <c r="K135" s="14">
        <f>I135*J135</f>
        <v/>
      </c>
      <c r="L135" t="inlineStr">
        <is>
          <t>Ke góc và vít ghép khung Louver</t>
        </is>
      </c>
    </row>
    <row r="136">
      <c r="A136" t="inlineStr">
        <is>
          <t>SW-DIFF-034-PAINT</t>
        </is>
      </c>
      <c r="B136" t="inlineStr">
        <is>
          <t>SW-DIFF-034</t>
        </is>
      </c>
      <c r="C136" t="inlineStr">
        <is>
          <t>Sơn tĩnh điện tiêu chuẩn Polyester</t>
        </is>
      </c>
      <c r="D136" t="inlineStr">
        <is>
          <t>SƠN_TĨNH_ĐIỆN</t>
        </is>
      </c>
      <c r="E136" t="inlineStr">
        <is>
          <t>MAT-PAINT-POWDER</t>
        </is>
      </c>
      <c r="F136" t="inlineStr">
        <is>
          <t>m2</t>
        </is>
      </c>
      <c r="G136" s="18" t="n">
        <v>0.0643765225393028</v>
      </c>
      <c r="H136" s="14">
        <f>'00_TONG_HOP_BAO_GIA'!G35</f>
        <v/>
      </c>
      <c r="I136" s="19">
        <f>G136*H136</f>
        <v/>
      </c>
      <c r="J136" s="14">
        <f>IFERROR(INDEX('06_BANG_GIA_VAT_TU_AP_DUNG'!$E$1:$E$5000, MATCH(E136, '06_BANG_GIA_VAT_TU_AP_DUNG'!$B$1:$B$5000, 0)), 0)</f>
        <v/>
      </c>
      <c r="K136" s="14">
        <f>I136*J136</f>
        <v/>
      </c>
      <c r="L136" t="inlineStr">
        <is>
          <t>Sơn tĩnh điện khung và nan Louver</t>
        </is>
      </c>
    </row>
    <row r="137">
      <c r="A137" t="inlineStr">
        <is>
          <t>SW-DIFF-034-MESH</t>
        </is>
      </c>
      <c r="B137" t="inlineStr">
        <is>
          <t>SW-DIFF-034</t>
        </is>
      </c>
      <c r="C137" t="inlineStr">
        <is>
          <t>Lưới chắn côn trùng Inox 304 (LCCT)</t>
        </is>
      </c>
      <c r="D137" t="inlineStr">
        <is>
          <t>PHỤ_KIỆN_CỬA</t>
        </is>
      </c>
      <c r="E137" t="inlineStr">
        <is>
          <t>MAT-MESH-INOX-304</t>
        </is>
      </c>
      <c r="F137" t="inlineStr">
        <is>
          <t>m2</t>
        </is>
      </c>
      <c r="G137" s="18" t="n">
        <v>0.01673990374555346</v>
      </c>
      <c r="H137" s="14">
        <f>'00_TONG_HOP_BAO_GIA'!G35</f>
        <v/>
      </c>
      <c r="I137" s="19">
        <f>G137*H137</f>
        <v/>
      </c>
      <c r="J137" s="14">
        <f>IFERROR(INDEX('06_BANG_GIA_VAT_TU_AP_DUNG'!$E$1:$E$5000, MATCH(E137, '06_BANG_GIA_VAT_TU_AP_DUNG'!$B$1:$B$5000, 0)), 0)</f>
        <v/>
      </c>
      <c r="K137" s="14">
        <f>I137*J137</f>
        <v/>
      </c>
      <c r="L137" t="inlineStr">
        <is>
          <t>Lưới chắn côn trùng cổ 250x100mm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4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3" t="inlineStr">
        <is>
          <t>SUB_KEY</t>
        </is>
      </c>
      <c r="B1" s="13" t="inlineStr">
        <is>
          <t>PARENT_ITEM_ID</t>
        </is>
      </c>
      <c r="C1" s="13" t="inlineStr">
        <is>
          <t>TÊN CẤU KIỆN</t>
        </is>
      </c>
      <c r="D1" s="13" t="inlineStr">
        <is>
          <t>PHÂN LOẠI</t>
        </is>
      </c>
      <c r="E1" s="13" t="inlineStr">
        <is>
          <t>MÃ VẬT TƯ (MAT_ID)</t>
        </is>
      </c>
      <c r="F1" s="13" t="inlineStr">
        <is>
          <t>ĐVT</t>
        </is>
      </c>
      <c r="G1" s="13" t="inlineStr">
        <is>
          <t>ĐỊNH MỨC / 1 SP</t>
        </is>
      </c>
      <c r="H1" s="13" t="inlineStr">
        <is>
          <t>SL DỰ ÁN</t>
        </is>
      </c>
      <c r="I1" s="13" t="inlineStr">
        <is>
          <t>TỔNG NHU CẦU</t>
        </is>
      </c>
      <c r="J1" s="13" t="inlineStr">
        <is>
          <t>ĐƠN GIÁ GỐC</t>
        </is>
      </c>
      <c r="K1" s="13" t="inlineStr">
        <is>
          <t>THÀNH TIỀN (VNĐ)</t>
        </is>
      </c>
      <c r="L1" s="13" t="inlineStr">
        <is>
          <t>GHI CHÚ KỸ THUẬT</t>
        </is>
      </c>
    </row>
    <row r="2">
      <c r="A2" t="inlineStr">
        <is>
          <t>SW-DIFF-007-MD-BODY</t>
        </is>
      </c>
      <c r="B2" t="inlineStr">
        <is>
          <t>SW-DIFF-007</t>
        </is>
      </c>
      <c r="C2" t="inlineStr">
        <is>
          <t>Van VCD kèm cửa gió - Thân vỏ van VCD bích C30/TDF (0.75mm)</t>
        </is>
      </c>
      <c r="D2" t="inlineStr">
        <is>
          <t>TÔN_CUỘN_MẠ_KẼM</t>
        </is>
      </c>
      <c r="E2" t="inlineStr">
        <is>
          <t>MAT-STEEL-PN-0.75</t>
        </is>
      </c>
      <c r="F2" t="inlineStr">
        <is>
          <t>kg</t>
        </is>
      </c>
      <c r="G2" s="18" t="n">
        <v>0.5295522453149275</v>
      </c>
      <c r="H2" s="14">
        <f>'00_TONG_HOP_BAO_GIA'!G8</f>
        <v/>
      </c>
      <c r="I2" s="19">
        <f>G2*H2</f>
        <v/>
      </c>
      <c r="J2" s="14">
        <f>IFERROR(INDEX('06_BANG_GIA_VAT_TU_AP_DUNG'!$E$1:$E$5000, MATCH(E2, '06_BANG_GIA_VAT_TU_AP_DUNG'!$B$1:$B$5000, 0)), 0)</f>
        <v/>
      </c>
      <c r="K2" s="14">
        <f>I2*J2</f>
        <v/>
      </c>
      <c r="L2" t="inlineStr">
        <is>
          <t>Kích thước vỏ 200x200x210mm</t>
        </is>
      </c>
    </row>
    <row r="3">
      <c r="A3" t="inlineStr">
        <is>
          <t>SW-DIFF-007-MD-BLADE</t>
        </is>
      </c>
      <c r="B3" t="inlineStr">
        <is>
          <t>SW-DIFF-007</t>
        </is>
      </c>
      <c r="C3" t="inlineStr">
        <is>
          <t>Van VCD kèm cửa gió - Lá cánh / Tôn tấm bọc van (2 cánh)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18" t="n">
        <v>0.1111596549932209</v>
      </c>
      <c r="H3" s="14">
        <f>'00_TONG_HOP_BAO_GIA'!G8</f>
        <v/>
      </c>
      <c r="I3" s="19">
        <f>G3*H3</f>
        <v/>
      </c>
      <c r="J3" s="14">
        <f>IFERROR(INDEX('06_BANG_GIA_VAT_TU_AP_DUNG'!$E$1:$E$5000, MATCH(E3, '06_BANG_GIA_VAT_TU_AP_DUNG'!$B$1:$B$5000, 0)), 0)</f>
        <v/>
      </c>
      <c r="K3" s="14">
        <f>I3*J3</f>
        <v/>
      </c>
      <c r="L3" t="inlineStr">
        <is>
          <t>2 cánh cao 120mm</t>
        </is>
      </c>
    </row>
    <row r="4">
      <c r="A4" t="inlineStr">
        <is>
          <t>SW-DIFF-007-MD-AXLE</t>
        </is>
      </c>
      <c r="B4" t="inlineStr">
        <is>
          <t>SW-DIFF-007</t>
        </is>
      </c>
      <c r="C4" t="inlineStr">
        <is>
          <t>Van VCD kèm cửa gió - 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18" t="n">
        <v>0.1893889432664769</v>
      </c>
      <c r="H4" s="14">
        <f>'00_TONG_HOP_BAO_GIA'!G8</f>
        <v/>
      </c>
      <c r="I4" s="19">
        <f>G4*H4</f>
        <v/>
      </c>
      <c r="J4" s="14">
        <f>IFERROR(INDEX('06_BANG_GIA_VAT_TU_AP_DUNG'!$E$1:$E$5000, MATCH(E4, '06_BANG_GIA_VAT_TU_AP_DUNG'!$B$1:$B$5000, 0)), 0)</f>
        <v/>
      </c>
      <c r="K4" s="14">
        <f>I4*J4</f>
        <v/>
      </c>
      <c r="L4" t="inlineStr">
        <is>
          <t>2 trục dài 260mm</t>
        </is>
      </c>
    </row>
    <row r="5">
      <c r="A5" t="inlineStr">
        <is>
          <t>SW-DIFF-007-MD-BEARING</t>
        </is>
      </c>
      <c r="B5" t="inlineStr">
        <is>
          <t>SW-DIFF-007</t>
        </is>
      </c>
      <c r="C5" t="inlineStr">
        <is>
          <t>Van VCD kèm cửa gió - 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18" t="n">
        <v>2</v>
      </c>
      <c r="H5" s="14">
        <f>'00_TONG_HOP_BAO_GIA'!G8</f>
        <v/>
      </c>
      <c r="I5" s="19">
        <f>G5*H5</f>
        <v/>
      </c>
      <c r="J5" s="14">
        <f>IFERROR(INDEX('06_BANG_GIA_VAT_TU_AP_DUNG'!$E$1:$E$5000, MATCH(E5, '06_BANG_GIA_VAT_TU_AP_DUNG'!$B$1:$B$5000, 0)), 0)</f>
        <v/>
      </c>
      <c r="K5" s="14">
        <f>I5*J5</f>
        <v/>
      </c>
      <c r="L5" t="inlineStr">
        <is>
          <t>2 đôi bạc đỡ 2 bên thân</t>
        </is>
      </c>
    </row>
    <row r="6">
      <c r="A6" t="inlineStr">
        <is>
          <t>SW-DIFF-007-MD-GEAR</t>
        </is>
      </c>
      <c r="B6" t="inlineStr">
        <is>
          <t>SW-DIFF-007</t>
        </is>
      </c>
      <c r="C6" t="inlineStr">
        <is>
          <t>Van VCD kèm cửa gió - 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18" t="n">
        <v>1</v>
      </c>
      <c r="H6" s="14">
        <f>'00_TONG_HOP_BAO_GIA'!G8</f>
        <v/>
      </c>
      <c r="I6" s="19">
        <f>G6*H6</f>
        <v/>
      </c>
      <c r="J6" s="14">
        <f>IFERROR(INDEX('06_BANG_GIA_VAT_TU_AP_DUNG'!$E$1:$E$5000, MATCH(E6, '06_BANG_GIA_VAT_TU_AP_DUNG'!$B$1:$B$5000, 0)), 0)</f>
        <v/>
      </c>
      <c r="K6" s="14">
        <f>I6*J6</f>
        <v/>
      </c>
      <c r="L6" t="inlineStr">
        <is>
          <t>Cơ cấu liên động cánh (1 bộ)</t>
        </is>
      </c>
    </row>
    <row r="7">
      <c r="A7" t="inlineStr">
        <is>
          <t>SW-DIFF-007-MD-HANDLE</t>
        </is>
      </c>
      <c r="B7" t="inlineStr">
        <is>
          <t>SW-DIFF-007</t>
        </is>
      </c>
      <c r="C7" t="inlineStr">
        <is>
          <t>Van VCD kèm cửa gió - Tay gạt nhỏ</t>
        </is>
      </c>
      <c r="D7" t="inlineStr">
        <is>
          <t>PHỤ_KIỆN_VAN</t>
        </is>
      </c>
      <c r="E7" t="inlineStr">
        <is>
          <t>MAT-DAMPER-TAY-GAT-NHO</t>
        </is>
      </c>
      <c r="F7" t="inlineStr">
        <is>
          <t>Bộ</t>
        </is>
      </c>
      <c r="G7" s="18" t="n">
        <v>1</v>
      </c>
      <c r="H7" s="14">
        <f>'00_TONG_HOP_BAO_GIA'!G8</f>
        <v/>
      </c>
      <c r="I7" s="19">
        <f>G7*H7</f>
        <v/>
      </c>
      <c r="J7" s="14">
        <f>IFERROR(INDEX('06_BANG_GIA_VAT_TU_AP_DUNG'!$E$1:$E$5000, MATCH(E7, '06_BANG_GIA_VAT_TU_AP_DUNG'!$B$1:$B$5000, 0)), 0)</f>
        <v/>
      </c>
      <c r="K7" s="14">
        <f>I7*J7</f>
        <v/>
      </c>
      <c r="L7" t="inlineStr">
        <is>
          <t>Tay gạt khóa vị trí nan (S=0.04m2)</t>
        </is>
      </c>
    </row>
    <row r="8">
      <c r="A8" t="inlineStr">
        <is>
          <t>SW-DAMPER-014-BODY</t>
        </is>
      </c>
      <c r="B8" t="inlineStr">
        <is>
          <t>SW-DAMPER-014</t>
        </is>
      </c>
      <c r="C8" t="inlineStr">
        <is>
          <t>Thân vỏ van FD bích C30/TDF (1.15mm)</t>
        </is>
      </c>
      <c r="D8" t="inlineStr">
        <is>
          <t>TÔN_CUỘN_MẠ_KẼM</t>
        </is>
      </c>
      <c r="E8" t="inlineStr">
        <is>
          <t>MAT-STEEL-PN-1.15</t>
        </is>
      </c>
      <c r="F8" t="inlineStr">
        <is>
          <t>kg</t>
        </is>
      </c>
      <c r="G8" s="18" t="n">
        <v>0.9928168348647147</v>
      </c>
      <c r="H8" s="14">
        <f>'00_TONG_HOP_BAO_GIA'!G15</f>
        <v/>
      </c>
      <c r="I8" s="19">
        <f>G8*H8</f>
        <v/>
      </c>
      <c r="J8" s="14">
        <f>IFERROR(INDEX('06_BANG_GIA_VAT_TU_AP_DUNG'!$E$1:$E$5000, MATCH(E8, '06_BANG_GIA_VAT_TU_AP_DUNG'!$B$1:$B$5000, 0)), 0)</f>
        <v/>
      </c>
      <c r="K8" s="14">
        <f>I8*J8</f>
        <v/>
      </c>
      <c r="L8" t="inlineStr">
        <is>
          <t>Kích thước vỏ 100x100x200mm</t>
        </is>
      </c>
    </row>
    <row r="9">
      <c r="A9" t="inlineStr">
        <is>
          <t>SW-DAMPER-014-BLADE</t>
        </is>
      </c>
      <c r="B9" t="inlineStr">
        <is>
          <t>SW-DAMPER-014</t>
        </is>
      </c>
      <c r="C9" t="inlineStr">
        <is>
          <t>Lá cánh / Tôn tấm bọc van (1 cánh)</t>
        </is>
      </c>
      <c r="D9" t="inlineStr">
        <is>
          <t>TÔN_CUỘN_MẠ_KẼM</t>
        </is>
      </c>
      <c r="E9" t="inlineStr">
        <is>
          <t>MAT-STEEL-PN-1.15</t>
        </is>
      </c>
      <c r="F9" t="inlineStr">
        <is>
          <t>kg</t>
        </is>
      </c>
      <c r="G9" s="18" t="n">
        <v>0.1031498010249054</v>
      </c>
      <c r="H9" s="14">
        <f>'00_TONG_HOP_BAO_GIA'!G15</f>
        <v/>
      </c>
      <c r="I9" s="19">
        <f>G9*H9</f>
        <v/>
      </c>
      <c r="J9" s="14">
        <f>IFERROR(INDEX('06_BANG_GIA_VAT_TU_AP_DUNG'!$E$1:$E$5000, MATCH(E9, '06_BANG_GIA_VAT_TU_AP_DUNG'!$B$1:$B$5000, 0)), 0)</f>
        <v/>
      </c>
      <c r="K9" s="14">
        <f>I9*J9</f>
        <v/>
      </c>
      <c r="L9" t="inlineStr">
        <is>
          <t>1 cánh cao 120mm</t>
        </is>
      </c>
    </row>
    <row r="10">
      <c r="A10" t="inlineStr">
        <is>
          <t>SW-DAMPER-014-AXLE</t>
        </is>
      </c>
      <c r="B10" t="inlineStr">
        <is>
          <t>SW-DAMPER-014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18" t="n">
        <v>0.1410638973847475</v>
      </c>
      <c r="H10" s="14">
        <f>'00_TONG_HOP_BAO_GIA'!G15</f>
        <v/>
      </c>
      <c r="I10" s="19">
        <f>G10*H10</f>
        <v/>
      </c>
      <c r="J10" s="14">
        <f>IFERROR(INDEX('06_BANG_GIA_VAT_TU_AP_DUNG'!$E$1:$E$5000, MATCH(E10, '06_BANG_GIA_VAT_TU_AP_DUNG'!$B$1:$B$5000, 0)), 0)</f>
        <v/>
      </c>
      <c r="K10" s="14">
        <f>I10*J10</f>
        <v/>
      </c>
      <c r="L10" t="inlineStr">
        <is>
          <t>1 trục dài 160mm</t>
        </is>
      </c>
    </row>
    <row r="11">
      <c r="A11" t="inlineStr">
        <is>
          <t>SW-DAMPER-014-BEARING</t>
        </is>
      </c>
      <c r="B11" t="inlineStr">
        <is>
          <t>SW-DAMPER-014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18" t="n">
        <v>1</v>
      </c>
      <c r="H11" s="14">
        <f>'00_TONG_HOP_BAO_GIA'!G15</f>
        <v/>
      </c>
      <c r="I11" s="19">
        <f>G11*H11</f>
        <v/>
      </c>
      <c r="J11" s="14">
        <f>IFERROR(INDEX('06_BANG_GIA_VAT_TU_AP_DUNG'!$E$1:$E$5000, MATCH(E11, '06_BANG_GIA_VAT_TU_AP_DUNG'!$B$1:$B$5000, 0)), 0)</f>
        <v/>
      </c>
      <c r="K11" s="14">
        <f>I11*J11</f>
        <v/>
      </c>
      <c r="L11" t="inlineStr">
        <is>
          <t>1 đôi bạc đỡ 2 bên thân</t>
        </is>
      </c>
    </row>
    <row r="12">
      <c r="A12" t="inlineStr">
        <is>
          <t>SW-DAMPER-014-FUSE</t>
        </is>
      </c>
      <c r="B12" t="inlineStr">
        <is>
          <t>SW-DAMPER-014</t>
        </is>
      </c>
      <c r="C12" t="inlineStr">
        <is>
          <t>Cầu chì nhiệt nóng chảy 70°C/74°C (Elsie/USA)</t>
        </is>
      </c>
      <c r="D12" t="inlineStr">
        <is>
          <t>PHỤ_KIỆN_VAN</t>
        </is>
      </c>
      <c r="E12" t="inlineStr">
        <is>
          <t>MAT-DAMPER-CAU-CHI-USA-1-400X400</t>
        </is>
      </c>
      <c r="F12" t="inlineStr">
        <is>
          <t>Cái</t>
        </is>
      </c>
      <c r="G12" s="18" t="n">
        <v>1</v>
      </c>
      <c r="H12" s="14">
        <f>'00_TONG_HOP_BAO_GIA'!G15</f>
        <v/>
      </c>
      <c r="I12" s="19">
        <f>G12*H12</f>
        <v/>
      </c>
      <c r="J12" s="14">
        <f>IFERROR(INDEX('06_BANG_GIA_VAT_TU_AP_DUNG'!$E$1:$E$5000, MATCH(E12, '06_BANG_GIA_VAT_TU_AP_DUNG'!$B$1:$B$5000, 0)), 0)</f>
        <v/>
      </c>
      <c r="K12" s="14">
        <f>I12*J12</f>
        <v/>
      </c>
      <c r="L12" t="inlineStr">
        <is>
          <t>Cầu chì kiểm định PCCC (1 cái)</t>
        </is>
      </c>
    </row>
    <row r="13">
      <c r="A13" t="inlineStr">
        <is>
          <t>SW-DAMPER-016-BODY</t>
        </is>
      </c>
      <c r="B13" t="inlineStr">
        <is>
          <t>SW-DAMPER-016</t>
        </is>
      </c>
      <c r="C13" t="inlineStr">
        <is>
          <t>Thân vỏ van VCD bích C30/TDF (0.75mm)</t>
        </is>
      </c>
      <c r="D13" t="inlineStr">
        <is>
          <t>TÔN_CUỘN_MẠ_KẼM</t>
        </is>
      </c>
      <c r="E13" t="inlineStr">
        <is>
          <t>MAT-STEEL-PN-0.75</t>
        </is>
      </c>
      <c r="F13" t="inlineStr">
        <is>
          <t>kg</t>
        </is>
      </c>
      <c r="G13" s="18" t="n">
        <v>0.6579940014983684</v>
      </c>
      <c r="H13" s="14">
        <f>'00_TONG_HOP_BAO_GIA'!G17</f>
        <v/>
      </c>
      <c r="I13" s="19">
        <f>G13*H13</f>
        <v/>
      </c>
      <c r="J13" s="14">
        <f>IFERROR(INDEX('06_BANG_GIA_VAT_TU_AP_DUNG'!$E$1:$E$5000, MATCH(E13, '06_BANG_GIA_VAT_TU_AP_DUNG'!$B$1:$B$5000, 0)), 0)</f>
        <v/>
      </c>
      <c r="K13" s="14">
        <f>I13*J13</f>
        <v/>
      </c>
      <c r="L13" t="inlineStr">
        <is>
          <t>Kích thước vỏ 150x150x200mm</t>
        </is>
      </c>
    </row>
    <row r="14">
      <c r="A14" t="inlineStr">
        <is>
          <t>SW-DAMPER-016-BLADE</t>
        </is>
      </c>
      <c r="B14" t="inlineStr">
        <is>
          <t>SW-DAMPER-016</t>
        </is>
      </c>
      <c r="C14" t="inlineStr">
        <is>
          <t>Lá cánh / Tôn tấm bọc van (1 cánh)</t>
        </is>
      </c>
      <c r="D14" t="inlineStr">
        <is>
          <t>TÔN_CUỘN_MẠ_KẼM</t>
        </is>
      </c>
      <c r="E14" t="inlineStr">
        <is>
          <t>MAT-STEEL-PN-0.75</t>
        </is>
      </c>
      <c r="F14" t="inlineStr">
        <is>
          <t>kg</t>
        </is>
      </c>
      <c r="G14" s="18" t="n">
        <v>0.09987408951314521</v>
      </c>
      <c r="H14" s="14">
        <f>'00_TONG_HOP_BAO_GIA'!G17</f>
        <v/>
      </c>
      <c r="I14" s="19">
        <f>G14*H14</f>
        <v/>
      </c>
      <c r="J14" s="14">
        <f>IFERROR(INDEX('06_BANG_GIA_VAT_TU_AP_DUNG'!$E$1:$E$5000, MATCH(E14, '06_BANG_GIA_VAT_TU_AP_DUNG'!$B$1:$B$5000, 0)), 0)</f>
        <v/>
      </c>
      <c r="K14" s="14">
        <f>I14*J14</f>
        <v/>
      </c>
      <c r="L14" t="inlineStr">
        <is>
          <t>1 cánh cao 170mm</t>
        </is>
      </c>
    </row>
    <row r="15">
      <c r="A15" t="inlineStr">
        <is>
          <t>SW-DAMPER-016-AXLE</t>
        </is>
      </c>
      <c r="B15" t="inlineStr">
        <is>
          <t>SW-DAMPER-016</t>
        </is>
      </c>
      <c r="C15" t="inlineStr">
        <is>
          <t>Trục Sus 201 D10</t>
        </is>
      </c>
      <c r="D15" t="inlineStr">
        <is>
          <t>PHỤ_KIỆN_VAN</t>
        </is>
      </c>
      <c r="E15" t="inlineStr">
        <is>
          <t>MAT-DAMPER-TRUC-SUS-201-D10</t>
        </is>
      </c>
      <c r="F15" t="inlineStr">
        <is>
          <t>m</t>
        </is>
      </c>
      <c r="G15" s="18" t="n">
        <v>0.1293532282571299</v>
      </c>
      <c r="H15" s="14">
        <f>'00_TONG_HOP_BAO_GIA'!G17</f>
        <v/>
      </c>
      <c r="I15" s="19">
        <f>G15*H15</f>
        <v/>
      </c>
      <c r="J15" s="14">
        <f>IFERROR(INDEX('06_BANG_GIA_VAT_TU_AP_DUNG'!$E$1:$E$5000, MATCH(E15, '06_BANG_GIA_VAT_TU_AP_DUNG'!$B$1:$B$5000, 0)), 0)</f>
        <v/>
      </c>
      <c r="K15" s="14">
        <f>I15*J15</f>
        <v/>
      </c>
      <c r="L15" t="inlineStr">
        <is>
          <t>1 trục dài 210mm</t>
        </is>
      </c>
    </row>
    <row r="16">
      <c r="A16" t="inlineStr">
        <is>
          <t>SW-DAMPER-016-BEARING</t>
        </is>
      </c>
      <c r="B16" t="inlineStr">
        <is>
          <t>SW-DAMPER-016</t>
        </is>
      </c>
      <c r="C16" t="inlineStr">
        <is>
          <t>Bạc đồng D10</t>
        </is>
      </c>
      <c r="D16" t="inlineStr">
        <is>
          <t>PHỤ_KIỆN_VAN</t>
        </is>
      </c>
      <c r="E16" t="inlineStr">
        <is>
          <t>MAT-DAMPER-BAC-DONG-D10</t>
        </is>
      </c>
      <c r="F16" t="inlineStr">
        <is>
          <t>Đôi</t>
        </is>
      </c>
      <c r="G16" s="18" t="n">
        <v>1</v>
      </c>
      <c r="H16" s="14">
        <f>'00_TONG_HOP_BAO_GIA'!G17</f>
        <v/>
      </c>
      <c r="I16" s="19">
        <f>G16*H16</f>
        <v/>
      </c>
      <c r="J16" s="14">
        <f>IFERROR(INDEX('06_BANG_GIA_VAT_TU_AP_DUNG'!$E$1:$E$5000, MATCH(E16, '06_BANG_GIA_VAT_TU_AP_DUNG'!$B$1:$B$5000, 0)), 0)</f>
        <v/>
      </c>
      <c r="K16" s="14">
        <f>I16*J16</f>
        <v/>
      </c>
      <c r="L16" t="inlineStr">
        <is>
          <t>1 đôi bạc đỡ 2 bên thân</t>
        </is>
      </c>
    </row>
    <row r="17">
      <c r="A17" t="inlineStr">
        <is>
          <t>SW-DAMPER-016-HANDLE</t>
        </is>
      </c>
      <c r="B17" t="inlineStr">
        <is>
          <t>SW-DAMPER-016</t>
        </is>
      </c>
      <c r="C17" t="inlineStr">
        <is>
          <t>Tay gạt nhỏ</t>
        </is>
      </c>
      <c r="D17" t="inlineStr">
        <is>
          <t>PHỤ_KIỆN_VAN</t>
        </is>
      </c>
      <c r="E17" t="inlineStr">
        <is>
          <t>MAT-DAMPER-TAY-GAT-NHO</t>
        </is>
      </c>
      <c r="F17" t="inlineStr">
        <is>
          <t>Bộ</t>
        </is>
      </c>
      <c r="G17" s="18" t="n">
        <v>1</v>
      </c>
      <c r="H17" s="14">
        <f>'00_TONG_HOP_BAO_GIA'!G17</f>
        <v/>
      </c>
      <c r="I17" s="19">
        <f>G17*H17</f>
        <v/>
      </c>
      <c r="J17" s="14">
        <f>IFERROR(INDEX('06_BANG_GIA_VAT_TU_AP_DUNG'!$E$1:$E$5000, MATCH(E17, '06_BANG_GIA_VAT_TU_AP_DUNG'!$B$1:$B$5000, 0)), 0)</f>
        <v/>
      </c>
      <c r="K17" s="14">
        <f>I17*J17</f>
        <v/>
      </c>
      <c r="L17" t="inlineStr">
        <is>
          <t>Tay gạt khóa vị trí nan (S=0.02m2)</t>
        </is>
      </c>
    </row>
    <row r="18">
      <c r="A18" t="inlineStr">
        <is>
          <t>SW-DAMPER-017-BODY</t>
        </is>
      </c>
      <c r="B18" t="inlineStr">
        <is>
          <t>SW-DAMPER-017</t>
        </is>
      </c>
      <c r="C18" t="inlineStr">
        <is>
          <t>Thân vỏ van FD bích C30/TDF (1.15mm)</t>
        </is>
      </c>
      <c r="D18" t="inlineStr">
        <is>
          <t>TÔN_CUỘN_MẠ_KẼM</t>
        </is>
      </c>
      <c r="E18" t="inlineStr">
        <is>
          <t>MAT-STEEL-PN-1.15</t>
        </is>
      </c>
      <c r="F18" t="inlineStr">
        <is>
          <t>kg</t>
        </is>
      </c>
      <c r="G18" s="18" t="n">
        <v>1.226565370274753</v>
      </c>
      <c r="H18" s="14">
        <f>'00_TONG_HOP_BAO_GIA'!G18</f>
        <v/>
      </c>
      <c r="I18" s="19">
        <f>G18*H18</f>
        <v/>
      </c>
      <c r="J18" s="14">
        <f>IFERROR(INDEX('06_BANG_GIA_VAT_TU_AP_DUNG'!$E$1:$E$5000, MATCH(E18, '06_BANG_GIA_VAT_TU_AP_DUNG'!$B$1:$B$5000, 0)), 0)</f>
        <v/>
      </c>
      <c r="K18" s="14">
        <f>I18*J18</f>
        <v/>
      </c>
      <c r="L18" t="inlineStr">
        <is>
          <t>Kích thước vỏ 150x100x200mm</t>
        </is>
      </c>
    </row>
    <row r="19">
      <c r="A19" t="inlineStr">
        <is>
          <t>SW-DAMPER-017-BLADE</t>
        </is>
      </c>
      <c r="B19" t="inlineStr">
        <is>
          <t>SW-DAMPER-017</t>
        </is>
      </c>
      <c r="C19" t="inlineStr">
        <is>
          <t>Lá cánh / Tôn tấm bọc van (1 cánh)</t>
        </is>
      </c>
      <c r="D19" t="inlineStr">
        <is>
          <t>TÔN_CUỘN_MẠ_KẼM</t>
        </is>
      </c>
      <c r="E19" t="inlineStr">
        <is>
          <t>MAT-STEEL-PN-1.15</t>
        </is>
      </c>
      <c r="F19" t="inlineStr">
        <is>
          <t>kg</t>
        </is>
      </c>
      <c r="G19" s="18" t="n">
        <v>0.1557543327333019</v>
      </c>
      <c r="H19" s="14">
        <f>'00_TONG_HOP_BAO_GIA'!G18</f>
        <v/>
      </c>
      <c r="I19" s="19">
        <f>G19*H19</f>
        <v/>
      </c>
      <c r="J19" s="14">
        <f>IFERROR(INDEX('06_BANG_GIA_VAT_TU_AP_DUNG'!$E$1:$E$5000, MATCH(E19, '06_BANG_GIA_VAT_TU_AP_DUNG'!$B$1:$B$5000, 0)), 0)</f>
        <v/>
      </c>
      <c r="K19" s="14">
        <f>I19*J19</f>
        <v/>
      </c>
      <c r="L19" t="inlineStr">
        <is>
          <t>1 cánh cao 120mm</t>
        </is>
      </c>
    </row>
    <row r="20">
      <c r="A20" t="inlineStr">
        <is>
          <t>SW-DAMPER-017-AXLE</t>
        </is>
      </c>
      <c r="B20" t="inlineStr">
        <is>
          <t>SW-DAMPER-017</t>
        </is>
      </c>
      <c r="C20" t="inlineStr">
        <is>
          <t>Trục Sus 201 D10</t>
        </is>
      </c>
      <c r="D20" t="inlineStr">
        <is>
          <t>PHỤ_KIỆN_VAN</t>
        </is>
      </c>
      <c r="E20" t="inlineStr">
        <is>
          <t>MAT-DAMPER-TRUC-SUS-201-D10</t>
        </is>
      </c>
      <c r="F20" t="inlineStr">
        <is>
          <t>m</t>
        </is>
      </c>
      <c r="G20" s="18" t="n">
        <v>0.1863784405559682</v>
      </c>
      <c r="H20" s="14">
        <f>'00_TONG_HOP_BAO_GIA'!G18</f>
        <v/>
      </c>
      <c r="I20" s="19">
        <f>G20*H20</f>
        <v/>
      </c>
      <c r="J20" s="14">
        <f>IFERROR(INDEX('06_BANG_GIA_VAT_TU_AP_DUNG'!$E$1:$E$5000, MATCH(E20, '06_BANG_GIA_VAT_TU_AP_DUNG'!$B$1:$B$5000, 0)), 0)</f>
        <v/>
      </c>
      <c r="K20" s="14">
        <f>I20*J20</f>
        <v/>
      </c>
      <c r="L20" t="inlineStr">
        <is>
          <t>1 trục dài 210mm</t>
        </is>
      </c>
    </row>
    <row r="21">
      <c r="A21" t="inlineStr">
        <is>
          <t>SW-DAMPER-017-BEARING</t>
        </is>
      </c>
      <c r="B21" t="inlineStr">
        <is>
          <t>SW-DAMPER-017</t>
        </is>
      </c>
      <c r="C21" t="inlineStr">
        <is>
          <t>Bạc đồng D10</t>
        </is>
      </c>
      <c r="D21" t="inlineStr">
        <is>
          <t>PHỤ_KIỆN_VAN</t>
        </is>
      </c>
      <c r="E21" t="inlineStr">
        <is>
          <t>MAT-DAMPER-BAC-DONG-D10</t>
        </is>
      </c>
      <c r="F21" t="inlineStr">
        <is>
          <t>Đôi</t>
        </is>
      </c>
      <c r="G21" s="18" t="n">
        <v>1</v>
      </c>
      <c r="H21" s="14">
        <f>'00_TONG_HOP_BAO_GIA'!G18</f>
        <v/>
      </c>
      <c r="I21" s="19">
        <f>G21*H21</f>
        <v/>
      </c>
      <c r="J21" s="14">
        <f>IFERROR(INDEX('06_BANG_GIA_VAT_TU_AP_DUNG'!$E$1:$E$5000, MATCH(E21, '06_BANG_GIA_VAT_TU_AP_DUNG'!$B$1:$B$5000, 0)), 0)</f>
        <v/>
      </c>
      <c r="K21" s="14">
        <f>I21*J21</f>
        <v/>
      </c>
      <c r="L21" t="inlineStr">
        <is>
          <t>1 đôi bạc đỡ 2 bên thân</t>
        </is>
      </c>
    </row>
    <row r="22">
      <c r="A22" t="inlineStr">
        <is>
          <t>SW-DAMPER-017-FUSE</t>
        </is>
      </c>
      <c r="B22" t="inlineStr">
        <is>
          <t>SW-DAMPER-017</t>
        </is>
      </c>
      <c r="C22" t="inlineStr">
        <is>
          <t>Cầu chì nhiệt nóng chảy 70°C/74°C (Elsie/USA)</t>
        </is>
      </c>
      <c r="D22" t="inlineStr">
        <is>
          <t>PHỤ_KIỆN_VAN</t>
        </is>
      </c>
      <c r="E22" t="inlineStr">
        <is>
          <t>MAT-DAMPER-CAU-CHI-USA-1-400X400</t>
        </is>
      </c>
      <c r="F22" t="inlineStr">
        <is>
          <t>Cái</t>
        </is>
      </c>
      <c r="G22" s="18" t="n">
        <v>1</v>
      </c>
      <c r="H22" s="14">
        <f>'00_TONG_HOP_BAO_GIA'!G18</f>
        <v/>
      </c>
      <c r="I22" s="19">
        <f>G22*H22</f>
        <v/>
      </c>
      <c r="J22" s="14">
        <f>IFERROR(INDEX('06_BANG_GIA_VAT_TU_AP_DUNG'!$E$1:$E$5000, MATCH(E22, '06_BANG_GIA_VAT_TU_AP_DUNG'!$B$1:$B$5000, 0)), 0)</f>
        <v/>
      </c>
      <c r="K22" s="14">
        <f>I22*J22</f>
        <v/>
      </c>
      <c r="L22" t="inlineStr">
        <is>
          <t>Cầu chì kiểm định PCCC (1 cái)</t>
        </is>
      </c>
    </row>
    <row r="23">
      <c r="A23" t="inlineStr">
        <is>
          <t>SW-DAMPER-023-BODY</t>
        </is>
      </c>
      <c r="B23" t="inlineStr">
        <is>
          <t>SW-DAMPER-023</t>
        </is>
      </c>
      <c r="C23" t="inlineStr">
        <is>
          <t>Thân vỏ van FD bích C30/TDF (1.15mm)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18" t="n">
        <v>0.9928168348647147</v>
      </c>
      <c r="H23" s="14">
        <f>'00_TONG_HOP_BAO_GIA'!G24</f>
        <v/>
      </c>
      <c r="I23" s="19">
        <f>G23*H23</f>
        <v/>
      </c>
      <c r="J23" s="14">
        <f>IFERROR(INDEX('06_BANG_GIA_VAT_TU_AP_DUNG'!$E$1:$E$5000, MATCH(E23, '06_BANG_GIA_VAT_TU_AP_DUNG'!$B$1:$B$5000, 0)), 0)</f>
        <v/>
      </c>
      <c r="K23" s="14">
        <f>I23*J23</f>
        <v/>
      </c>
      <c r="L23" t="inlineStr">
        <is>
          <t>Kích thước vỏ 100x100x200mm</t>
        </is>
      </c>
    </row>
    <row r="24">
      <c r="A24" t="inlineStr">
        <is>
          <t>SW-DAMPER-023-BLADE</t>
        </is>
      </c>
      <c r="B24" t="inlineStr">
        <is>
          <t>SW-DAMPER-023</t>
        </is>
      </c>
      <c r="C24" t="inlineStr">
        <is>
          <t>Lá cánh / Tôn tấm bọc van (1 cánh)</t>
        </is>
      </c>
      <c r="D24" t="inlineStr">
        <is>
          <t>TÔN_CUỘN_MẠ_KẼM</t>
        </is>
      </c>
      <c r="E24" t="inlineStr">
        <is>
          <t>MAT-STEEL-PN-1.15</t>
        </is>
      </c>
      <c r="F24" t="inlineStr">
        <is>
          <t>kg</t>
        </is>
      </c>
      <c r="G24" s="18" t="n">
        <v>0.1031498010249054</v>
      </c>
      <c r="H24" s="14">
        <f>'00_TONG_HOP_BAO_GIA'!G24</f>
        <v/>
      </c>
      <c r="I24" s="19">
        <f>G24*H24</f>
        <v/>
      </c>
      <c r="J24" s="14">
        <f>IFERROR(INDEX('06_BANG_GIA_VAT_TU_AP_DUNG'!$E$1:$E$5000, MATCH(E24, '06_BANG_GIA_VAT_TU_AP_DUNG'!$B$1:$B$5000, 0)), 0)</f>
        <v/>
      </c>
      <c r="K24" s="14">
        <f>I24*J24</f>
        <v/>
      </c>
      <c r="L24" t="inlineStr">
        <is>
          <t>1 cánh cao 120mm</t>
        </is>
      </c>
    </row>
    <row r="25">
      <c r="A25" t="inlineStr">
        <is>
          <t>SW-DAMPER-023-AXLE</t>
        </is>
      </c>
      <c r="B25" t="inlineStr">
        <is>
          <t>SW-DAMPER-023</t>
        </is>
      </c>
      <c r="C25" t="inlineStr">
        <is>
          <t>Trục Sus 201 D10</t>
        </is>
      </c>
      <c r="D25" t="inlineStr">
        <is>
          <t>PHỤ_KIỆN_VAN</t>
        </is>
      </c>
      <c r="E25" t="inlineStr">
        <is>
          <t>MAT-DAMPER-TRUC-SUS-201-D10</t>
        </is>
      </c>
      <c r="F25" t="inlineStr">
        <is>
          <t>m</t>
        </is>
      </c>
      <c r="G25" s="18" t="n">
        <v>0.1410638973847475</v>
      </c>
      <c r="H25" s="14">
        <f>'00_TONG_HOP_BAO_GIA'!G24</f>
        <v/>
      </c>
      <c r="I25" s="19">
        <f>G25*H25</f>
        <v/>
      </c>
      <c r="J25" s="14">
        <f>IFERROR(INDEX('06_BANG_GIA_VAT_TU_AP_DUNG'!$E$1:$E$5000, MATCH(E25, '06_BANG_GIA_VAT_TU_AP_DUNG'!$B$1:$B$5000, 0)), 0)</f>
        <v/>
      </c>
      <c r="K25" s="14">
        <f>I25*J25</f>
        <v/>
      </c>
      <c r="L25" t="inlineStr">
        <is>
          <t>1 trục dài 160mm</t>
        </is>
      </c>
    </row>
    <row r="26">
      <c r="A26" t="inlineStr">
        <is>
          <t>SW-DAMPER-023-BEARING</t>
        </is>
      </c>
      <c r="B26" t="inlineStr">
        <is>
          <t>SW-DAMPER-023</t>
        </is>
      </c>
      <c r="C26" t="inlineStr">
        <is>
          <t>Bạc đồng D10</t>
        </is>
      </c>
      <c r="D26" t="inlineStr">
        <is>
          <t>PHỤ_KIỆN_VAN</t>
        </is>
      </c>
      <c r="E26" t="inlineStr">
        <is>
          <t>MAT-DAMPER-BAC-DONG-D10</t>
        </is>
      </c>
      <c r="F26" t="inlineStr">
        <is>
          <t>Đôi</t>
        </is>
      </c>
      <c r="G26" s="18" t="n">
        <v>1</v>
      </c>
      <c r="H26" s="14">
        <f>'00_TONG_HOP_BAO_GIA'!G24</f>
        <v/>
      </c>
      <c r="I26" s="19">
        <f>G26*H26</f>
        <v/>
      </c>
      <c r="J26" s="14">
        <f>IFERROR(INDEX('06_BANG_GIA_VAT_TU_AP_DUNG'!$E$1:$E$5000, MATCH(E26, '06_BANG_GIA_VAT_TU_AP_DUNG'!$B$1:$B$5000, 0)), 0)</f>
        <v/>
      </c>
      <c r="K26" s="14">
        <f>I26*J26</f>
        <v/>
      </c>
      <c r="L26" t="inlineStr">
        <is>
          <t>1 đôi bạc đỡ 2 bên thân</t>
        </is>
      </c>
    </row>
    <row r="27">
      <c r="A27" t="inlineStr">
        <is>
          <t>SW-DAMPER-023-FUSE</t>
        </is>
      </c>
      <c r="B27" t="inlineStr">
        <is>
          <t>SW-DAMPER-023</t>
        </is>
      </c>
      <c r="C27" t="inlineStr">
        <is>
          <t>Cầu chì nhiệt nóng chảy 70°C/74°C (Elsie/USA)</t>
        </is>
      </c>
      <c r="D27" t="inlineStr">
        <is>
          <t>PHỤ_KIỆN_VAN</t>
        </is>
      </c>
      <c r="E27" t="inlineStr">
        <is>
          <t>MAT-DAMPER-CAU-CHI-USA-1-400X400</t>
        </is>
      </c>
      <c r="F27" t="inlineStr">
        <is>
          <t>Cái</t>
        </is>
      </c>
      <c r="G27" s="18" t="n">
        <v>1</v>
      </c>
      <c r="H27" s="14">
        <f>'00_TONG_HOP_BAO_GIA'!G24</f>
        <v/>
      </c>
      <c r="I27" s="19">
        <f>G27*H27</f>
        <v/>
      </c>
      <c r="J27" s="14">
        <f>IFERROR(INDEX('06_BANG_GIA_VAT_TU_AP_DUNG'!$E$1:$E$5000, MATCH(E27, '06_BANG_GIA_VAT_TU_AP_DUNG'!$B$1:$B$5000, 0)), 0)</f>
        <v/>
      </c>
      <c r="K27" s="14">
        <f>I27*J27</f>
        <v/>
      </c>
      <c r="L27" t="inlineStr">
        <is>
          <t>Cầu chì kiểm định PCCC (1 cái)</t>
        </is>
      </c>
    </row>
    <row r="28">
      <c r="A28" t="inlineStr">
        <is>
          <t>SW-DAMPER-024-BODY</t>
        </is>
      </c>
      <c r="B28" t="inlineStr">
        <is>
          <t>SW-DAMPER-024</t>
        </is>
      </c>
      <c r="C28" t="inlineStr">
        <is>
          <t>Thân vỏ van FD bích C30/TDF (1.15mm)</t>
        </is>
      </c>
      <c r="D28" t="inlineStr">
        <is>
          <t>TÔN_CUỘN_MẠ_KẼM</t>
        </is>
      </c>
      <c r="E28" t="inlineStr">
        <is>
          <t>MAT-STEEL-PN-1.15</t>
        </is>
      </c>
      <c r="F28" t="inlineStr">
        <is>
          <t>kg</t>
        </is>
      </c>
      <c r="G28" s="18" t="n">
        <v>0.622714546009157</v>
      </c>
      <c r="H28" s="14">
        <f>'00_TONG_HOP_BAO_GIA'!G25</f>
        <v/>
      </c>
      <c r="I28" s="19">
        <f>G28*H28</f>
        <v/>
      </c>
      <c r="J28" s="14">
        <f>IFERROR(INDEX('06_BANG_GIA_VAT_TU_AP_DUNG'!$E$1:$E$5000, MATCH(E28, '06_BANG_GIA_VAT_TU_AP_DUNG'!$B$1:$B$5000, 0)), 0)</f>
        <v/>
      </c>
      <c r="K28" s="14">
        <f>I28*J28</f>
        <v/>
      </c>
      <c r="L28" t="inlineStr">
        <is>
          <t>Kích thước vỏ 200x200x200mm</t>
        </is>
      </c>
    </row>
    <row r="29">
      <c r="A29" t="inlineStr">
        <is>
          <t>SW-DAMPER-024-BLADE</t>
        </is>
      </c>
      <c r="B29" t="inlineStr">
        <is>
          <t>SW-DAMPER-024</t>
        </is>
      </c>
      <c r="C29" t="inlineStr">
        <is>
          <t>Lá cánh / Tôn tấm bọc van (2 cánh)</t>
        </is>
      </c>
      <c r="D29" t="inlineStr">
        <is>
          <t>TÔN_CUỘN_MẠ_KẼM</t>
        </is>
      </c>
      <c r="E29" t="inlineStr">
        <is>
          <t>MAT-STEEL-PN-1.15</t>
        </is>
      </c>
      <c r="F29" t="inlineStr">
        <is>
          <t>kg</t>
        </is>
      </c>
      <c r="G29" s="18" t="n">
        <v>0.1355569079747825</v>
      </c>
      <c r="H29" s="14">
        <f>'00_TONG_HOP_BAO_GIA'!G25</f>
        <v/>
      </c>
      <c r="I29" s="19">
        <f>G29*H29</f>
        <v/>
      </c>
      <c r="J29" s="14">
        <f>IFERROR(INDEX('06_BANG_GIA_VAT_TU_AP_DUNG'!$E$1:$E$5000, MATCH(E29, '06_BANG_GIA_VAT_TU_AP_DUNG'!$B$1:$B$5000, 0)), 0)</f>
        <v/>
      </c>
      <c r="K29" s="14">
        <f>I29*J29</f>
        <v/>
      </c>
      <c r="L29" t="inlineStr">
        <is>
          <t>2 cánh cao 120mm</t>
        </is>
      </c>
    </row>
    <row r="30">
      <c r="A30" t="inlineStr">
        <is>
          <t>SW-DAMPER-024-AXLE</t>
        </is>
      </c>
      <c r="B30" t="inlineStr">
        <is>
          <t>SW-DAMPER-024</t>
        </is>
      </c>
      <c r="C30" t="inlineStr">
        <is>
          <t>Trục Sus 201 D10</t>
        </is>
      </c>
      <c r="D30" t="inlineStr">
        <is>
          <t>PHỤ_KIỆN_VAN</t>
        </is>
      </c>
      <c r="E30" t="inlineStr">
        <is>
          <t>MAT-DAMPER-TRUC-SUS-201-D10</t>
        </is>
      </c>
      <c r="F30" t="inlineStr">
        <is>
          <t>m</t>
        </is>
      </c>
      <c r="G30" s="18" t="n">
        <v>0.1506234212054536</v>
      </c>
      <c r="H30" s="14">
        <f>'00_TONG_HOP_BAO_GIA'!G25</f>
        <v/>
      </c>
      <c r="I30" s="19">
        <f>G30*H30</f>
        <v/>
      </c>
      <c r="J30" s="14">
        <f>IFERROR(INDEX('06_BANG_GIA_VAT_TU_AP_DUNG'!$E$1:$E$5000, MATCH(E30, '06_BANG_GIA_VAT_TU_AP_DUNG'!$B$1:$B$5000, 0)), 0)</f>
        <v/>
      </c>
      <c r="K30" s="14">
        <f>I30*J30</f>
        <v/>
      </c>
      <c r="L30" t="inlineStr">
        <is>
          <t>2 trục dài 260mm</t>
        </is>
      </c>
    </row>
    <row r="31">
      <c r="A31" t="inlineStr">
        <is>
          <t>SW-DAMPER-024-BEARING</t>
        </is>
      </c>
      <c r="B31" t="inlineStr">
        <is>
          <t>SW-DAMPER-024</t>
        </is>
      </c>
      <c r="C31" t="inlineStr">
        <is>
          <t>Bạc đồng D10</t>
        </is>
      </c>
      <c r="D31" t="inlineStr">
        <is>
          <t>PHỤ_KIỆN_VAN</t>
        </is>
      </c>
      <c r="E31" t="inlineStr">
        <is>
          <t>MAT-DAMPER-BAC-DONG-D10</t>
        </is>
      </c>
      <c r="F31" t="inlineStr">
        <is>
          <t>Đôi</t>
        </is>
      </c>
      <c r="G31" s="18" t="n">
        <v>2</v>
      </c>
      <c r="H31" s="14">
        <f>'00_TONG_HOP_BAO_GIA'!G25</f>
        <v/>
      </c>
      <c r="I31" s="19">
        <f>G31*H31</f>
        <v/>
      </c>
      <c r="J31" s="14">
        <f>IFERROR(INDEX('06_BANG_GIA_VAT_TU_AP_DUNG'!$E$1:$E$5000, MATCH(E31, '06_BANG_GIA_VAT_TU_AP_DUNG'!$B$1:$B$5000, 0)), 0)</f>
        <v/>
      </c>
      <c r="K31" s="14">
        <f>I31*J31</f>
        <v/>
      </c>
      <c r="L31" t="inlineStr">
        <is>
          <t>2 đôi bạc đỡ 2 bên thân</t>
        </is>
      </c>
    </row>
    <row r="32">
      <c r="A32" t="inlineStr">
        <is>
          <t>SW-DAMPER-024-GEAR</t>
        </is>
      </c>
      <c r="B32" t="inlineStr">
        <is>
          <t>SW-DAMPER-024</t>
        </is>
      </c>
      <c r="C32" t="inlineStr">
        <is>
          <t>Bánh răng van nhôm</t>
        </is>
      </c>
      <c r="D32" t="inlineStr">
        <is>
          <t>PHỤ_KIỆN_VAN</t>
        </is>
      </c>
      <c r="E32" t="inlineStr">
        <is>
          <t>MAT-DAMPER-BANH-RANG-VAN-NHOM</t>
        </is>
      </c>
      <c r="F32" t="inlineStr">
        <is>
          <t>Bộ</t>
        </is>
      </c>
      <c r="G32" s="18" t="n">
        <v>1</v>
      </c>
      <c r="H32" s="14">
        <f>'00_TONG_HOP_BAO_GIA'!G25</f>
        <v/>
      </c>
      <c r="I32" s="19">
        <f>G32*H32</f>
        <v/>
      </c>
      <c r="J32" s="14">
        <f>IFERROR(INDEX('06_BANG_GIA_VAT_TU_AP_DUNG'!$E$1:$E$5000, MATCH(E32, '06_BANG_GIA_VAT_TU_AP_DUNG'!$B$1:$B$5000, 0)), 0)</f>
        <v/>
      </c>
      <c r="K32" s="14">
        <f>I32*J32</f>
        <v/>
      </c>
      <c r="L32" t="inlineStr">
        <is>
          <t>Cơ cấu liên động cánh (1 bộ)</t>
        </is>
      </c>
    </row>
    <row r="33">
      <c r="A33" t="inlineStr">
        <is>
          <t>SW-DAMPER-024-FUSE</t>
        </is>
      </c>
      <c r="B33" t="inlineStr">
        <is>
          <t>SW-DAMPER-024</t>
        </is>
      </c>
      <c r="C33" t="inlineStr">
        <is>
          <t>Cầu chì nhiệt nóng chảy 70°C/74°C (Elsie/USA)</t>
        </is>
      </c>
      <c r="D33" t="inlineStr">
        <is>
          <t>PHỤ_KIỆN_VAN</t>
        </is>
      </c>
      <c r="E33" t="inlineStr">
        <is>
          <t>MAT-DAMPER-CAU-CHI-USA-1-400X400</t>
        </is>
      </c>
      <c r="F33" t="inlineStr">
        <is>
          <t>Cái</t>
        </is>
      </c>
      <c r="G33" s="18" t="n">
        <v>1</v>
      </c>
      <c r="H33" s="14">
        <f>'00_TONG_HOP_BAO_GIA'!G25</f>
        <v/>
      </c>
      <c r="I33" s="19">
        <f>G33*H33</f>
        <v/>
      </c>
      <c r="J33" s="14">
        <f>IFERROR(INDEX('06_BANG_GIA_VAT_TU_AP_DUNG'!$E$1:$E$5000, MATCH(E33, '06_BANG_GIA_VAT_TU_AP_DUNG'!$B$1:$B$5000, 0)), 0)</f>
        <v/>
      </c>
      <c r="K33" s="14">
        <f>I33*J33</f>
        <v/>
      </c>
      <c r="L33" t="inlineStr">
        <is>
          <t>Cầu chì kiểm định PCCC (1 cái)</t>
        </is>
      </c>
    </row>
    <row r="34">
      <c r="A34" t="inlineStr">
        <is>
          <t>SW-DAMPER-026-BODY</t>
        </is>
      </c>
      <c r="B34" t="inlineStr">
        <is>
          <t>SW-DAMPER-026</t>
        </is>
      </c>
      <c r="C34" t="inlineStr">
        <is>
          <t>Thân vỏ van VCD bích C30/TDF (0.75mm)</t>
        </is>
      </c>
      <c r="D34" t="inlineStr">
        <is>
          <t>TÔN_CUỘN_MẠ_KẼM</t>
        </is>
      </c>
      <c r="E34" t="inlineStr">
        <is>
          <t>MAT-STEEL-PN-0.75</t>
        </is>
      </c>
      <c r="F34" t="inlineStr">
        <is>
          <t>kg</t>
        </is>
      </c>
      <c r="G34" s="18" t="n">
        <v>0.6579940014983684</v>
      </c>
      <c r="H34" s="14">
        <f>'00_TONG_HOP_BAO_GIA'!G27</f>
        <v/>
      </c>
      <c r="I34" s="19">
        <f>G34*H34</f>
        <v/>
      </c>
      <c r="J34" s="14">
        <f>IFERROR(INDEX('06_BANG_GIA_VAT_TU_AP_DUNG'!$E$1:$E$5000, MATCH(E34, '06_BANG_GIA_VAT_TU_AP_DUNG'!$B$1:$B$5000, 0)), 0)</f>
        <v/>
      </c>
      <c r="K34" s="14">
        <f>I34*J34</f>
        <v/>
      </c>
      <c r="L34" t="inlineStr">
        <is>
          <t>Kích thước vỏ 150x150x200mm</t>
        </is>
      </c>
    </row>
    <row r="35">
      <c r="A35" t="inlineStr">
        <is>
          <t>SW-DAMPER-026-BLADE</t>
        </is>
      </c>
      <c r="B35" t="inlineStr">
        <is>
          <t>SW-DAMPER-026</t>
        </is>
      </c>
      <c r="C35" t="inlineStr">
        <is>
          <t>Lá cánh / Tôn tấm bọc van (1 cánh)</t>
        </is>
      </c>
      <c r="D35" t="inlineStr">
        <is>
          <t>TÔN_CUỘN_MẠ_KẼM</t>
        </is>
      </c>
      <c r="E35" t="inlineStr">
        <is>
          <t>MAT-STEEL-PN-0.75</t>
        </is>
      </c>
      <c r="F35" t="inlineStr">
        <is>
          <t>kg</t>
        </is>
      </c>
      <c r="G35" s="18" t="n">
        <v>0.09987408951314521</v>
      </c>
      <c r="H35" s="14">
        <f>'00_TONG_HOP_BAO_GIA'!G27</f>
        <v/>
      </c>
      <c r="I35" s="19">
        <f>G35*H35</f>
        <v/>
      </c>
      <c r="J35" s="14">
        <f>IFERROR(INDEX('06_BANG_GIA_VAT_TU_AP_DUNG'!$E$1:$E$5000, MATCH(E35, '06_BANG_GIA_VAT_TU_AP_DUNG'!$B$1:$B$5000, 0)), 0)</f>
        <v/>
      </c>
      <c r="K35" s="14">
        <f>I35*J35</f>
        <v/>
      </c>
      <c r="L35" t="inlineStr">
        <is>
          <t>1 cánh cao 170mm</t>
        </is>
      </c>
    </row>
    <row r="36">
      <c r="A36" t="inlineStr">
        <is>
          <t>SW-DAMPER-026-AXLE</t>
        </is>
      </c>
      <c r="B36" t="inlineStr">
        <is>
          <t>SW-DAMPER-026</t>
        </is>
      </c>
      <c r="C36" t="inlineStr">
        <is>
          <t>Trục Sus 201 D10</t>
        </is>
      </c>
      <c r="D36" t="inlineStr">
        <is>
          <t>PHỤ_KIỆN_VAN</t>
        </is>
      </c>
      <c r="E36" t="inlineStr">
        <is>
          <t>MAT-DAMPER-TRUC-SUS-201-D10</t>
        </is>
      </c>
      <c r="F36" t="inlineStr">
        <is>
          <t>m</t>
        </is>
      </c>
      <c r="G36" s="18" t="n">
        <v>0.1293532282571299</v>
      </c>
      <c r="H36" s="14">
        <f>'00_TONG_HOP_BAO_GIA'!G27</f>
        <v/>
      </c>
      <c r="I36" s="19">
        <f>G36*H36</f>
        <v/>
      </c>
      <c r="J36" s="14">
        <f>IFERROR(INDEX('06_BANG_GIA_VAT_TU_AP_DUNG'!$E$1:$E$5000, MATCH(E36, '06_BANG_GIA_VAT_TU_AP_DUNG'!$B$1:$B$5000, 0)), 0)</f>
        <v/>
      </c>
      <c r="K36" s="14">
        <f>I36*J36</f>
        <v/>
      </c>
      <c r="L36" t="inlineStr">
        <is>
          <t>1 trục dài 210mm</t>
        </is>
      </c>
    </row>
    <row r="37">
      <c r="A37" t="inlineStr">
        <is>
          <t>SW-DAMPER-026-BEARING</t>
        </is>
      </c>
      <c r="B37" t="inlineStr">
        <is>
          <t>SW-DAMPER-026</t>
        </is>
      </c>
      <c r="C37" t="inlineStr">
        <is>
          <t>Bạc đồng D10</t>
        </is>
      </c>
      <c r="D37" t="inlineStr">
        <is>
          <t>PHỤ_KIỆN_VAN</t>
        </is>
      </c>
      <c r="E37" t="inlineStr">
        <is>
          <t>MAT-DAMPER-BAC-DONG-D10</t>
        </is>
      </c>
      <c r="F37" t="inlineStr">
        <is>
          <t>Đôi</t>
        </is>
      </c>
      <c r="G37" s="18" t="n">
        <v>1</v>
      </c>
      <c r="H37" s="14">
        <f>'00_TONG_HOP_BAO_GIA'!G27</f>
        <v/>
      </c>
      <c r="I37" s="19">
        <f>G37*H37</f>
        <v/>
      </c>
      <c r="J37" s="14">
        <f>IFERROR(INDEX('06_BANG_GIA_VAT_TU_AP_DUNG'!$E$1:$E$5000, MATCH(E37, '06_BANG_GIA_VAT_TU_AP_DUNG'!$B$1:$B$5000, 0)), 0)</f>
        <v/>
      </c>
      <c r="K37" s="14">
        <f>I37*J37</f>
        <v/>
      </c>
      <c r="L37" t="inlineStr">
        <is>
          <t>1 đôi bạc đỡ 2 bên thân</t>
        </is>
      </c>
    </row>
    <row r="38">
      <c r="A38" t="inlineStr">
        <is>
          <t>SW-DAMPER-026-HANDLE</t>
        </is>
      </c>
      <c r="B38" t="inlineStr">
        <is>
          <t>SW-DAMPER-026</t>
        </is>
      </c>
      <c r="C38" t="inlineStr">
        <is>
          <t>Tay gạt nhỏ</t>
        </is>
      </c>
      <c r="D38" t="inlineStr">
        <is>
          <t>PHỤ_KIỆN_VAN</t>
        </is>
      </c>
      <c r="E38" t="inlineStr">
        <is>
          <t>MAT-DAMPER-TAY-GAT-NHO</t>
        </is>
      </c>
      <c r="F38" t="inlineStr">
        <is>
          <t>Bộ</t>
        </is>
      </c>
      <c r="G38" s="18" t="n">
        <v>1</v>
      </c>
      <c r="H38" s="14">
        <f>'00_TONG_HOP_BAO_GIA'!G27</f>
        <v/>
      </c>
      <c r="I38" s="19">
        <f>G38*H38</f>
        <v/>
      </c>
      <c r="J38" s="14">
        <f>IFERROR(INDEX('06_BANG_GIA_VAT_TU_AP_DUNG'!$E$1:$E$5000, MATCH(E38, '06_BANG_GIA_VAT_TU_AP_DUNG'!$B$1:$B$5000, 0)), 0)</f>
        <v/>
      </c>
      <c r="K38" s="14">
        <f>I38*J38</f>
        <v/>
      </c>
      <c r="L38" t="inlineStr">
        <is>
          <t>Tay gạt khóa vị trí nan (S=0.02m2)</t>
        </is>
      </c>
    </row>
    <row r="39">
      <c r="A39" t="inlineStr">
        <is>
          <t>SW-DAMPER-027-BODY</t>
        </is>
      </c>
      <c r="B39" t="inlineStr">
        <is>
          <t>SW-DAMPER-027</t>
        </is>
      </c>
      <c r="C39" t="inlineStr">
        <is>
          <t>Thân vỏ van FD bích C30/TDF (1.15mm)</t>
        </is>
      </c>
      <c r="D39" t="inlineStr">
        <is>
          <t>TÔN_CUỘN_MẠ_KẼM</t>
        </is>
      </c>
      <c r="E39" t="inlineStr">
        <is>
          <t>MAT-STEEL-PN-1.15</t>
        </is>
      </c>
      <c r="F39" t="inlineStr">
        <is>
          <t>kg</t>
        </is>
      </c>
      <c r="G39" s="18" t="n">
        <v>1.575926541822415</v>
      </c>
      <c r="H39" s="14">
        <f>'00_TONG_HOP_BAO_GIA'!G28</f>
        <v/>
      </c>
      <c r="I39" s="19">
        <f>G39*H39</f>
        <v/>
      </c>
      <c r="J39" s="14">
        <f>IFERROR(INDEX('06_BANG_GIA_VAT_TU_AP_DUNG'!$E$1:$E$5000, MATCH(E39, '06_BANG_GIA_VAT_TU_AP_DUNG'!$B$1:$B$5000, 0)), 0)</f>
        <v/>
      </c>
      <c r="K39" s="14">
        <f>I39*J39</f>
        <v/>
      </c>
      <c r="L39" t="inlineStr">
        <is>
          <t>Kích thước vỏ 550x200x200mm</t>
        </is>
      </c>
    </row>
    <row r="40">
      <c r="A40" t="inlineStr">
        <is>
          <t>SW-DAMPER-027-BLADE</t>
        </is>
      </c>
      <c r="B40" t="inlineStr">
        <is>
          <t>SW-DAMPER-027</t>
        </is>
      </c>
      <c r="C40" t="inlineStr">
        <is>
          <t>Lá cánh / Tôn tấm bọc van (2 cánh)</t>
        </is>
      </c>
      <c r="D40" t="inlineStr">
        <is>
          <t>TÔN_CUỘN_MẠ_KẼM</t>
        </is>
      </c>
      <c r="E40" t="inlineStr">
        <is>
          <t>MAT-STEEL-PN-1.15</t>
        </is>
      </c>
      <c r="F40" t="inlineStr">
        <is>
          <t>kg</t>
        </is>
      </c>
      <c r="G40" s="18" t="n">
        <v>0.5145882585542578</v>
      </c>
      <c r="H40" s="14">
        <f>'00_TONG_HOP_BAO_GIA'!G28</f>
        <v/>
      </c>
      <c r="I40" s="19">
        <f>G40*H40</f>
        <v/>
      </c>
      <c r="J40" s="14">
        <f>IFERROR(INDEX('06_BANG_GIA_VAT_TU_AP_DUNG'!$E$1:$E$5000, MATCH(E40, '06_BANG_GIA_VAT_TU_AP_DUNG'!$B$1:$B$5000, 0)), 0)</f>
        <v/>
      </c>
      <c r="K40" s="14">
        <f>I40*J40</f>
        <v/>
      </c>
      <c r="L40" t="inlineStr">
        <is>
          <t>2 cánh cao 120mm</t>
        </is>
      </c>
    </row>
    <row r="41">
      <c r="A41" t="inlineStr">
        <is>
          <t>SW-DAMPER-027-AXLE</t>
        </is>
      </c>
      <c r="B41" t="inlineStr">
        <is>
          <t>SW-DAMPER-027</t>
        </is>
      </c>
      <c r="C41" t="inlineStr">
        <is>
          <t>Trục Sus 201 D10</t>
        </is>
      </c>
      <c r="D41" t="inlineStr">
        <is>
          <t>PHỤ_KIỆN_VAN</t>
        </is>
      </c>
      <c r="E41" t="inlineStr">
        <is>
          <t>MAT-DAMPER-TRUC-SUS-201-D10</t>
        </is>
      </c>
      <c r="F41" t="inlineStr">
        <is>
          <t>m</t>
        </is>
      </c>
      <c r="G41" s="18" t="n">
        <v>0.4878142912837058</v>
      </c>
      <c r="H41" s="14">
        <f>'00_TONG_HOP_BAO_GIA'!G28</f>
        <v/>
      </c>
      <c r="I41" s="19">
        <f>G41*H41</f>
        <v/>
      </c>
      <c r="J41" s="14">
        <f>IFERROR(INDEX('06_BANG_GIA_VAT_TU_AP_DUNG'!$E$1:$E$5000, MATCH(E41, '06_BANG_GIA_VAT_TU_AP_DUNG'!$B$1:$B$5000, 0)), 0)</f>
        <v/>
      </c>
      <c r="K41" s="14">
        <f>I41*J41</f>
        <v/>
      </c>
      <c r="L41" t="inlineStr">
        <is>
          <t>2 trục dài 610mm</t>
        </is>
      </c>
    </row>
    <row r="42">
      <c r="A42" t="inlineStr">
        <is>
          <t>SW-DAMPER-027-BEARING</t>
        </is>
      </c>
      <c r="B42" t="inlineStr">
        <is>
          <t>SW-DAMPER-027</t>
        </is>
      </c>
      <c r="C42" t="inlineStr">
        <is>
          <t>Bạc đồng D10</t>
        </is>
      </c>
      <c r="D42" t="inlineStr">
        <is>
          <t>PHỤ_KIỆN_VAN</t>
        </is>
      </c>
      <c r="E42" t="inlineStr">
        <is>
          <t>MAT-DAMPER-BAC-DONG-D10</t>
        </is>
      </c>
      <c r="F42" t="inlineStr">
        <is>
          <t>Đôi</t>
        </is>
      </c>
      <c r="G42" s="18" t="n">
        <v>2</v>
      </c>
      <c r="H42" s="14">
        <f>'00_TONG_HOP_BAO_GIA'!G28</f>
        <v/>
      </c>
      <c r="I42" s="19">
        <f>G42*H42</f>
        <v/>
      </c>
      <c r="J42" s="14">
        <f>IFERROR(INDEX('06_BANG_GIA_VAT_TU_AP_DUNG'!$E$1:$E$5000, MATCH(E42, '06_BANG_GIA_VAT_TU_AP_DUNG'!$B$1:$B$5000, 0)), 0)</f>
        <v/>
      </c>
      <c r="K42" s="14">
        <f>I42*J42</f>
        <v/>
      </c>
      <c r="L42" t="inlineStr">
        <is>
          <t>2 đôi bạc đỡ 2 bên thân</t>
        </is>
      </c>
    </row>
    <row r="43">
      <c r="A43" t="inlineStr">
        <is>
          <t>SW-DAMPER-027-GEAR</t>
        </is>
      </c>
      <c r="B43" t="inlineStr">
        <is>
          <t>SW-DAMPER-027</t>
        </is>
      </c>
      <c r="C43" t="inlineStr">
        <is>
          <t>Bánh răng van nhôm</t>
        </is>
      </c>
      <c r="D43" t="inlineStr">
        <is>
          <t>PHỤ_KIỆN_VAN</t>
        </is>
      </c>
      <c r="E43" t="inlineStr">
        <is>
          <t>MAT-DAMPER-BANH-RANG-VAN-NHOM</t>
        </is>
      </c>
      <c r="F43" t="inlineStr">
        <is>
          <t>Bộ</t>
        </is>
      </c>
      <c r="G43" s="18" t="n">
        <v>1</v>
      </c>
      <c r="H43" s="14">
        <f>'00_TONG_HOP_BAO_GIA'!G28</f>
        <v/>
      </c>
      <c r="I43" s="19">
        <f>G43*H43</f>
        <v/>
      </c>
      <c r="J43" s="14">
        <f>IFERROR(INDEX('06_BANG_GIA_VAT_TU_AP_DUNG'!$E$1:$E$5000, MATCH(E43, '06_BANG_GIA_VAT_TU_AP_DUNG'!$B$1:$B$5000, 0)), 0)</f>
        <v/>
      </c>
      <c r="K43" s="14">
        <f>I43*J43</f>
        <v/>
      </c>
      <c r="L43" t="inlineStr">
        <is>
          <t>Cơ cấu liên động cánh (1 bộ)</t>
        </is>
      </c>
    </row>
    <row r="44">
      <c r="A44" t="inlineStr">
        <is>
          <t>SW-DAMPER-027-FUSE</t>
        </is>
      </c>
      <c r="B44" t="inlineStr">
        <is>
          <t>SW-DAMPER-027</t>
        </is>
      </c>
      <c r="C44" t="inlineStr">
        <is>
          <t>Cầu chì nhiệt nóng chảy 70°C/74°C (Elsie/USA)</t>
        </is>
      </c>
      <c r="D44" t="inlineStr">
        <is>
          <t>PHỤ_KIỆN_VAN</t>
        </is>
      </c>
      <c r="E44" t="inlineStr">
        <is>
          <t>MAT-DAMPER-CAU-CHI-USA-2-400X400</t>
        </is>
      </c>
      <c r="F44" t="inlineStr">
        <is>
          <t>Cái</t>
        </is>
      </c>
      <c r="G44" s="18" t="n">
        <v>1</v>
      </c>
      <c r="H44" s="14">
        <f>'00_TONG_HOP_BAO_GIA'!G28</f>
        <v/>
      </c>
      <c r="I44" s="19">
        <f>G44*H44</f>
        <v/>
      </c>
      <c r="J44" s="14">
        <f>IFERROR(INDEX('06_BANG_GIA_VAT_TU_AP_DUNG'!$E$1:$E$5000, MATCH(E44, '06_BANG_GIA_VAT_TU_AP_DUNG'!$B$1:$B$5000, 0)), 0)</f>
        <v/>
      </c>
      <c r="K44" s="14">
        <f>I44*J44</f>
        <v/>
      </c>
      <c r="L44" t="inlineStr">
        <is>
          <t>Cầu chì kiểm định PCCC (1 cái)</t>
        </is>
      </c>
    </row>
    <row r="45">
      <c r="A45" t="inlineStr">
        <is>
          <t>SW-DAMPER-028-BODY</t>
        </is>
      </c>
      <c r="B45" t="inlineStr">
        <is>
          <t>SW-DAMPER-028</t>
        </is>
      </c>
      <c r="C45" t="inlineStr">
        <is>
          <t>Thân vỏ van FD bích C30/TDF (1.15mm)</t>
        </is>
      </c>
      <c r="D45" t="inlineStr">
        <is>
          <t>TÔN_CUỘN_MẠ_KẼM</t>
        </is>
      </c>
      <c r="E45" t="inlineStr">
        <is>
          <t>MAT-STEEL-PN-1.15</t>
        </is>
      </c>
      <c r="F45" t="inlineStr">
        <is>
          <t>kg</t>
        </is>
      </c>
      <c r="G45" s="18" t="n">
        <v>1.693185441480154</v>
      </c>
      <c r="H45" s="14">
        <f>'00_TONG_HOP_BAO_GIA'!G29</f>
        <v/>
      </c>
      <c r="I45" s="19">
        <f>G45*H45</f>
        <v/>
      </c>
      <c r="J45" s="14">
        <f>IFERROR(INDEX('06_BANG_GIA_VAT_TU_AP_DUNG'!$E$1:$E$5000, MATCH(E45, '06_BANG_GIA_VAT_TU_AP_DUNG'!$B$1:$B$5000, 0)), 0)</f>
        <v/>
      </c>
      <c r="K45" s="14">
        <f>I45*J45</f>
        <v/>
      </c>
      <c r="L45" t="inlineStr">
        <is>
          <t>Kích thước vỏ 250x100x200mm</t>
        </is>
      </c>
    </row>
    <row r="46">
      <c r="A46" t="inlineStr">
        <is>
          <t>SW-DAMPER-028-BLADE</t>
        </is>
      </c>
      <c r="B46" t="inlineStr">
        <is>
          <t>SW-DAMPER-028</t>
        </is>
      </c>
      <c r="C46" t="inlineStr">
        <is>
          <t>Lá cánh / Tôn tấm bọc van (1 cánh)</t>
        </is>
      </c>
      <c r="D46" t="inlineStr">
        <is>
          <t>TÔN_CUỘN_MẠ_KẼM</t>
        </is>
      </c>
      <c r="E46" t="inlineStr">
        <is>
          <t>MAT-STEEL-PN-1.15</t>
        </is>
      </c>
      <c r="F46" t="inlineStr">
        <is>
          <t>kg</t>
        </is>
      </c>
      <c r="G46" s="18" t="n">
        <v>0.2614958210780161</v>
      </c>
      <c r="H46" s="14">
        <f>'00_TONG_HOP_BAO_GIA'!G29</f>
        <v/>
      </c>
      <c r="I46" s="19">
        <f>G46*H46</f>
        <v/>
      </c>
      <c r="J46" s="14">
        <f>IFERROR(INDEX('06_BANG_GIA_VAT_TU_AP_DUNG'!$E$1:$E$5000, MATCH(E46, '06_BANG_GIA_VAT_TU_AP_DUNG'!$B$1:$B$5000, 0)), 0)</f>
        <v/>
      </c>
      <c r="K46" s="14">
        <f>I46*J46</f>
        <v/>
      </c>
      <c r="L46" t="inlineStr">
        <is>
          <t>1 cánh cao 120mm</t>
        </is>
      </c>
    </row>
    <row r="47">
      <c r="A47" t="inlineStr">
        <is>
          <t>SW-DAMPER-028-AXLE</t>
        </is>
      </c>
      <c r="B47" t="inlineStr">
        <is>
          <t>SW-DAMPER-028</t>
        </is>
      </c>
      <c r="C47" t="inlineStr">
        <is>
          <t>Trục Sus 201 D10</t>
        </is>
      </c>
      <c r="D47" t="inlineStr">
        <is>
          <t>PHỤ_KIỆN_VAN</t>
        </is>
      </c>
      <c r="E47" t="inlineStr">
        <is>
          <t>MAT-DAMPER-TRUC-SUS-201-D10</t>
        </is>
      </c>
      <c r="F47" t="inlineStr">
        <is>
          <t>m</t>
        </is>
      </c>
      <c r="G47" s="18" t="n">
        <v>0.2771493978761227</v>
      </c>
      <c r="H47" s="14">
        <f>'00_TONG_HOP_BAO_GIA'!G29</f>
        <v/>
      </c>
      <c r="I47" s="19">
        <f>G47*H47</f>
        <v/>
      </c>
      <c r="J47" s="14">
        <f>IFERROR(INDEX('06_BANG_GIA_VAT_TU_AP_DUNG'!$E$1:$E$5000, MATCH(E47, '06_BANG_GIA_VAT_TU_AP_DUNG'!$B$1:$B$5000, 0)), 0)</f>
        <v/>
      </c>
      <c r="K47" s="14">
        <f>I47*J47</f>
        <v/>
      </c>
      <c r="L47" t="inlineStr">
        <is>
          <t>1 trục dài 310mm</t>
        </is>
      </c>
    </row>
    <row r="48">
      <c r="A48" t="inlineStr">
        <is>
          <t>SW-DAMPER-028-BEARING</t>
        </is>
      </c>
      <c r="B48" t="inlineStr">
        <is>
          <t>SW-DAMPER-028</t>
        </is>
      </c>
      <c r="C48" t="inlineStr">
        <is>
          <t>Bạc đồng D10</t>
        </is>
      </c>
      <c r="D48" t="inlineStr">
        <is>
          <t>PHỤ_KIỆN_VAN</t>
        </is>
      </c>
      <c r="E48" t="inlineStr">
        <is>
          <t>MAT-DAMPER-BAC-DONG-D10</t>
        </is>
      </c>
      <c r="F48" t="inlineStr">
        <is>
          <t>Đôi</t>
        </is>
      </c>
      <c r="G48" s="18" t="n">
        <v>1</v>
      </c>
      <c r="H48" s="14">
        <f>'00_TONG_HOP_BAO_GIA'!G29</f>
        <v/>
      </c>
      <c r="I48" s="19">
        <f>G48*H48</f>
        <v/>
      </c>
      <c r="J48" s="14">
        <f>IFERROR(INDEX('06_BANG_GIA_VAT_TU_AP_DUNG'!$E$1:$E$5000, MATCH(E48, '06_BANG_GIA_VAT_TU_AP_DUNG'!$B$1:$B$5000, 0)), 0)</f>
        <v/>
      </c>
      <c r="K48" s="14">
        <f>I48*J48</f>
        <v/>
      </c>
      <c r="L48" t="inlineStr">
        <is>
          <t>1 đôi bạc đỡ 2 bên thân</t>
        </is>
      </c>
    </row>
    <row r="49">
      <c r="A49" t="inlineStr">
        <is>
          <t>SW-DAMPER-028-FUSE</t>
        </is>
      </c>
      <c r="B49" t="inlineStr">
        <is>
          <t>SW-DAMPER-028</t>
        </is>
      </c>
      <c r="C49" t="inlineStr">
        <is>
          <t>Cầu chì nhiệt nóng chảy 70°C/74°C (Elsie/USA)</t>
        </is>
      </c>
      <c r="D49" t="inlineStr">
        <is>
          <t>PHỤ_KIỆN_VAN</t>
        </is>
      </c>
      <c r="E49" t="inlineStr">
        <is>
          <t>MAT-DAMPER-CAU-CHI-USA-1-400X400</t>
        </is>
      </c>
      <c r="F49" t="inlineStr">
        <is>
          <t>Cái</t>
        </is>
      </c>
      <c r="G49" s="18" t="n">
        <v>1</v>
      </c>
      <c r="H49" s="14">
        <f>'00_TONG_HOP_BAO_GIA'!G29</f>
        <v/>
      </c>
      <c r="I49" s="19">
        <f>G49*H49</f>
        <v/>
      </c>
      <c r="J49" s="14">
        <f>IFERROR(INDEX('06_BANG_GIA_VAT_TU_AP_DUNG'!$E$1:$E$5000, MATCH(E49, '06_BANG_GIA_VAT_TU_AP_DUNG'!$B$1:$B$5000, 0)), 0)</f>
        <v/>
      </c>
      <c r="K49" s="14">
        <f>I49*J49</f>
        <v/>
      </c>
      <c r="L49" t="inlineStr">
        <is>
          <t>Cầu chì kiểm định PCCC (1 cái)</t>
        </is>
      </c>
    </row>
    <row r="50">
      <c r="A50" t="inlineStr">
        <is>
          <t>SW-DAMPER-029-BODY</t>
        </is>
      </c>
      <c r="B50" t="inlineStr">
        <is>
          <t>SW-DAMPER-029</t>
        </is>
      </c>
      <c r="C50" t="inlineStr">
        <is>
          <t>Thân vỏ van FD bích C30/TDF (1.15mm)</t>
        </is>
      </c>
      <c r="D50" t="inlineStr">
        <is>
          <t>TÔN_CUỘN_MẠ_KẼM</t>
        </is>
      </c>
      <c r="E50" t="inlineStr">
        <is>
          <t>MAT-STEEL-PN-1.15</t>
        </is>
      </c>
      <c r="F50" t="inlineStr">
        <is>
          <t>kg</t>
        </is>
      </c>
      <c r="G50" s="18" t="n">
        <v>1.226565370274753</v>
      </c>
      <c r="H50" s="14">
        <f>'00_TONG_HOP_BAO_GIA'!G30</f>
        <v/>
      </c>
      <c r="I50" s="19">
        <f>G50*H50</f>
        <v/>
      </c>
      <c r="J50" s="14">
        <f>IFERROR(INDEX('06_BANG_GIA_VAT_TU_AP_DUNG'!$E$1:$E$5000, MATCH(E50, '06_BANG_GIA_VAT_TU_AP_DUNG'!$B$1:$B$5000, 0)), 0)</f>
        <v/>
      </c>
      <c r="K50" s="14">
        <f>I50*J50</f>
        <v/>
      </c>
      <c r="L50" t="inlineStr">
        <is>
          <t>Kích thước vỏ 150x100x200mm</t>
        </is>
      </c>
    </row>
    <row r="51">
      <c r="A51" t="inlineStr">
        <is>
          <t>SW-DAMPER-029-BLADE</t>
        </is>
      </c>
      <c r="B51" t="inlineStr">
        <is>
          <t>SW-DAMPER-029</t>
        </is>
      </c>
      <c r="C51" t="inlineStr">
        <is>
          <t>Lá cánh / Tôn tấm bọc van (1 cánh)</t>
        </is>
      </c>
      <c r="D51" t="inlineStr">
        <is>
          <t>TÔN_CUỘN_MẠ_KẼM</t>
        </is>
      </c>
      <c r="E51" t="inlineStr">
        <is>
          <t>MAT-STEEL-PN-1.15</t>
        </is>
      </c>
      <c r="F51" t="inlineStr">
        <is>
          <t>kg</t>
        </is>
      </c>
      <c r="G51" s="18" t="n">
        <v>0.1557543327333019</v>
      </c>
      <c r="H51" s="14">
        <f>'00_TONG_HOP_BAO_GIA'!G30</f>
        <v/>
      </c>
      <c r="I51" s="19">
        <f>G51*H51</f>
        <v/>
      </c>
      <c r="J51" s="14">
        <f>IFERROR(INDEX('06_BANG_GIA_VAT_TU_AP_DUNG'!$E$1:$E$5000, MATCH(E51, '06_BANG_GIA_VAT_TU_AP_DUNG'!$B$1:$B$5000, 0)), 0)</f>
        <v/>
      </c>
      <c r="K51" s="14">
        <f>I51*J51</f>
        <v/>
      </c>
      <c r="L51" t="inlineStr">
        <is>
          <t>1 cánh cao 120mm</t>
        </is>
      </c>
    </row>
    <row r="52">
      <c r="A52" t="inlineStr">
        <is>
          <t>SW-DAMPER-029-AXLE</t>
        </is>
      </c>
      <c r="B52" t="inlineStr">
        <is>
          <t>SW-DAMPER-029</t>
        </is>
      </c>
      <c r="C52" t="inlineStr">
        <is>
          <t>Trục Sus 201 D10</t>
        </is>
      </c>
      <c r="D52" t="inlineStr">
        <is>
          <t>PHỤ_KIỆN_VAN</t>
        </is>
      </c>
      <c r="E52" t="inlineStr">
        <is>
          <t>MAT-DAMPER-TRUC-SUS-201-D10</t>
        </is>
      </c>
      <c r="F52" t="inlineStr">
        <is>
          <t>m</t>
        </is>
      </c>
      <c r="G52" s="18" t="n">
        <v>0.1863784405559682</v>
      </c>
      <c r="H52" s="14">
        <f>'00_TONG_HOP_BAO_GIA'!G30</f>
        <v/>
      </c>
      <c r="I52" s="19">
        <f>G52*H52</f>
        <v/>
      </c>
      <c r="J52" s="14">
        <f>IFERROR(INDEX('06_BANG_GIA_VAT_TU_AP_DUNG'!$E$1:$E$5000, MATCH(E52, '06_BANG_GIA_VAT_TU_AP_DUNG'!$B$1:$B$5000, 0)), 0)</f>
        <v/>
      </c>
      <c r="K52" s="14">
        <f>I52*J52</f>
        <v/>
      </c>
      <c r="L52" t="inlineStr">
        <is>
          <t>1 trục dài 210mm</t>
        </is>
      </c>
    </row>
    <row r="53">
      <c r="A53" t="inlineStr">
        <is>
          <t>SW-DAMPER-029-BEARING</t>
        </is>
      </c>
      <c r="B53" t="inlineStr">
        <is>
          <t>SW-DAMPER-029</t>
        </is>
      </c>
      <c r="C53" t="inlineStr">
        <is>
          <t>Bạc đồng D10</t>
        </is>
      </c>
      <c r="D53" t="inlineStr">
        <is>
          <t>PHỤ_KIỆN_VAN</t>
        </is>
      </c>
      <c r="E53" t="inlineStr">
        <is>
          <t>MAT-DAMPER-BAC-DONG-D10</t>
        </is>
      </c>
      <c r="F53" t="inlineStr">
        <is>
          <t>Đôi</t>
        </is>
      </c>
      <c r="G53" s="18" t="n">
        <v>1</v>
      </c>
      <c r="H53" s="14">
        <f>'00_TONG_HOP_BAO_GIA'!G30</f>
        <v/>
      </c>
      <c r="I53" s="19">
        <f>G53*H53</f>
        <v/>
      </c>
      <c r="J53" s="14">
        <f>IFERROR(INDEX('06_BANG_GIA_VAT_TU_AP_DUNG'!$E$1:$E$5000, MATCH(E53, '06_BANG_GIA_VAT_TU_AP_DUNG'!$B$1:$B$5000, 0)), 0)</f>
        <v/>
      </c>
      <c r="K53" s="14">
        <f>I53*J53</f>
        <v/>
      </c>
      <c r="L53" t="inlineStr">
        <is>
          <t>1 đôi bạc đỡ 2 bên thân</t>
        </is>
      </c>
    </row>
    <row r="54">
      <c r="A54" t="inlineStr">
        <is>
          <t>SW-DAMPER-029-FUSE</t>
        </is>
      </c>
      <c r="B54" t="inlineStr">
        <is>
          <t>SW-DAMPER-029</t>
        </is>
      </c>
      <c r="C54" t="inlineStr">
        <is>
          <t>Cầu chì nhiệt nóng chảy 70°C/74°C (Elsie/USA)</t>
        </is>
      </c>
      <c r="D54" t="inlineStr">
        <is>
          <t>PHỤ_KIỆN_VAN</t>
        </is>
      </c>
      <c r="E54" t="inlineStr">
        <is>
          <t>MAT-DAMPER-CAU-CHI-USA-1-400X400</t>
        </is>
      </c>
      <c r="F54" t="inlineStr">
        <is>
          <t>Cái</t>
        </is>
      </c>
      <c r="G54" s="18" t="n">
        <v>1</v>
      </c>
      <c r="H54" s="14">
        <f>'00_TONG_HOP_BAO_GIA'!G30</f>
        <v/>
      </c>
      <c r="I54" s="19">
        <f>G54*H54</f>
        <v/>
      </c>
      <c r="J54" s="14">
        <f>IFERROR(INDEX('06_BANG_GIA_VAT_TU_AP_DUNG'!$E$1:$E$5000, MATCH(E54, '06_BANG_GIA_VAT_TU_AP_DUNG'!$B$1:$B$5000, 0)), 0)</f>
        <v/>
      </c>
      <c r="K54" s="14">
        <f>I54*J54</f>
        <v/>
      </c>
      <c r="L54" t="inlineStr">
        <is>
          <t>Cầu chì kiểm định PCCC (1 cái)</t>
        </is>
      </c>
    </row>
    <row r="55">
      <c r="A55" t="inlineStr">
        <is>
          <t>SW-DAMPER-033-BODY</t>
        </is>
      </c>
      <c r="B55" t="inlineStr">
        <is>
          <t>SW-DAMPER-033</t>
        </is>
      </c>
      <c r="C55" t="inlineStr">
        <is>
          <t>Thân vỏ van VCD bích C30/TDF (0.75mm)</t>
        </is>
      </c>
      <c r="D55" t="inlineStr">
        <is>
          <t>TÔN_CUỘN_MẠ_KẼM</t>
        </is>
      </c>
      <c r="E55" t="inlineStr">
        <is>
          <t>MAT-STEEL-PN-0.75</t>
        </is>
      </c>
      <c r="F55" t="inlineStr">
        <is>
          <t>kg</t>
        </is>
      </c>
      <c r="G55" s="18" t="n">
        <v>0.6579940014983684</v>
      </c>
      <c r="H55" s="14">
        <f>'00_TONG_HOP_BAO_GIA'!G34</f>
        <v/>
      </c>
      <c r="I55" s="19">
        <f>G55*H55</f>
        <v/>
      </c>
      <c r="J55" s="14">
        <f>IFERROR(INDEX('06_BANG_GIA_VAT_TU_AP_DUNG'!$E$1:$E$5000, MATCH(E55, '06_BANG_GIA_VAT_TU_AP_DUNG'!$B$1:$B$5000, 0)), 0)</f>
        <v/>
      </c>
      <c r="K55" s="14">
        <f>I55*J55</f>
        <v/>
      </c>
      <c r="L55" t="inlineStr">
        <is>
          <t>Kích thước vỏ 150x150x200mm</t>
        </is>
      </c>
    </row>
    <row r="56">
      <c r="A56" t="inlineStr">
        <is>
          <t>SW-DAMPER-033-BLADE</t>
        </is>
      </c>
      <c r="B56" t="inlineStr">
        <is>
          <t>SW-DAMPER-033</t>
        </is>
      </c>
      <c r="C56" t="inlineStr">
        <is>
          <t>Lá cánh / Tôn tấm bọc van (1 cánh)</t>
        </is>
      </c>
      <c r="D56" t="inlineStr">
        <is>
          <t>TÔN_CUỘN_MẠ_KẼM</t>
        </is>
      </c>
      <c r="E56" t="inlineStr">
        <is>
          <t>MAT-STEEL-PN-0.75</t>
        </is>
      </c>
      <c r="F56" t="inlineStr">
        <is>
          <t>kg</t>
        </is>
      </c>
      <c r="G56" s="18" t="n">
        <v>0.09987408951314521</v>
      </c>
      <c r="H56" s="14">
        <f>'00_TONG_HOP_BAO_GIA'!G34</f>
        <v/>
      </c>
      <c r="I56" s="19">
        <f>G56*H56</f>
        <v/>
      </c>
      <c r="J56" s="14">
        <f>IFERROR(INDEX('06_BANG_GIA_VAT_TU_AP_DUNG'!$E$1:$E$5000, MATCH(E56, '06_BANG_GIA_VAT_TU_AP_DUNG'!$B$1:$B$5000, 0)), 0)</f>
        <v/>
      </c>
      <c r="K56" s="14">
        <f>I56*J56</f>
        <v/>
      </c>
      <c r="L56" t="inlineStr">
        <is>
          <t>1 cánh cao 170mm</t>
        </is>
      </c>
    </row>
    <row r="57">
      <c r="A57" t="inlineStr">
        <is>
          <t>SW-DAMPER-033-AXLE</t>
        </is>
      </c>
      <c r="B57" t="inlineStr">
        <is>
          <t>SW-DAMPER-033</t>
        </is>
      </c>
      <c r="C57" t="inlineStr">
        <is>
          <t>Trục Sus 201 D10</t>
        </is>
      </c>
      <c r="D57" t="inlineStr">
        <is>
          <t>PHỤ_KIỆN_VAN</t>
        </is>
      </c>
      <c r="E57" t="inlineStr">
        <is>
          <t>MAT-DAMPER-TRUC-SUS-201-D10</t>
        </is>
      </c>
      <c r="F57" t="inlineStr">
        <is>
          <t>m</t>
        </is>
      </c>
      <c r="G57" s="18" t="n">
        <v>0.1293532282571299</v>
      </c>
      <c r="H57" s="14">
        <f>'00_TONG_HOP_BAO_GIA'!G34</f>
        <v/>
      </c>
      <c r="I57" s="19">
        <f>G57*H57</f>
        <v/>
      </c>
      <c r="J57" s="14">
        <f>IFERROR(INDEX('06_BANG_GIA_VAT_TU_AP_DUNG'!$E$1:$E$5000, MATCH(E57, '06_BANG_GIA_VAT_TU_AP_DUNG'!$B$1:$B$5000, 0)), 0)</f>
        <v/>
      </c>
      <c r="K57" s="14">
        <f>I57*J57</f>
        <v/>
      </c>
      <c r="L57" t="inlineStr">
        <is>
          <t>1 trục dài 210mm</t>
        </is>
      </c>
    </row>
    <row r="58">
      <c r="A58" t="inlineStr">
        <is>
          <t>SW-DAMPER-033-BEARING</t>
        </is>
      </c>
      <c r="B58" t="inlineStr">
        <is>
          <t>SW-DAMPER-033</t>
        </is>
      </c>
      <c r="C58" t="inlineStr">
        <is>
          <t>Bạc đồng D10</t>
        </is>
      </c>
      <c r="D58" t="inlineStr">
        <is>
          <t>PHỤ_KIỆN_VAN</t>
        </is>
      </c>
      <c r="E58" t="inlineStr">
        <is>
          <t>MAT-DAMPER-BAC-DONG-D10</t>
        </is>
      </c>
      <c r="F58" t="inlineStr">
        <is>
          <t>Đôi</t>
        </is>
      </c>
      <c r="G58" s="18" t="n">
        <v>1</v>
      </c>
      <c r="H58" s="14">
        <f>'00_TONG_HOP_BAO_GIA'!G34</f>
        <v/>
      </c>
      <c r="I58" s="19">
        <f>G58*H58</f>
        <v/>
      </c>
      <c r="J58" s="14">
        <f>IFERROR(INDEX('06_BANG_GIA_VAT_TU_AP_DUNG'!$E$1:$E$5000, MATCH(E58, '06_BANG_GIA_VAT_TU_AP_DUNG'!$B$1:$B$5000, 0)), 0)</f>
        <v/>
      </c>
      <c r="K58" s="14">
        <f>I58*J58</f>
        <v/>
      </c>
      <c r="L58" t="inlineStr">
        <is>
          <t>1 đôi bạc đỡ 2 bên thân</t>
        </is>
      </c>
    </row>
    <row r="59">
      <c r="A59" t="inlineStr">
        <is>
          <t>SW-DAMPER-033-HANDLE</t>
        </is>
      </c>
      <c r="B59" t="inlineStr">
        <is>
          <t>SW-DAMPER-033</t>
        </is>
      </c>
      <c r="C59" t="inlineStr">
        <is>
          <t>Tay gạt nhỏ</t>
        </is>
      </c>
      <c r="D59" t="inlineStr">
        <is>
          <t>PHỤ_KIỆN_VAN</t>
        </is>
      </c>
      <c r="E59" t="inlineStr">
        <is>
          <t>MAT-DAMPER-TAY-GAT-NHO</t>
        </is>
      </c>
      <c r="F59" t="inlineStr">
        <is>
          <t>Bộ</t>
        </is>
      </c>
      <c r="G59" s="18" t="n">
        <v>1</v>
      </c>
      <c r="H59" s="14">
        <f>'00_TONG_HOP_BAO_GIA'!G34</f>
        <v/>
      </c>
      <c r="I59" s="19">
        <f>G59*H59</f>
        <v/>
      </c>
      <c r="J59" s="14">
        <f>IFERROR(INDEX('06_BANG_GIA_VAT_TU_AP_DUNG'!$E$1:$E$5000, MATCH(E59, '06_BANG_GIA_VAT_TU_AP_DUNG'!$B$1:$B$5000, 0)), 0)</f>
        <v/>
      </c>
      <c r="K59" s="14">
        <f>I59*J59</f>
        <v/>
      </c>
      <c r="L59" t="inlineStr">
        <is>
          <t>Tay gạt khóa vị trí nan (S=0.02m2)</t>
        </is>
      </c>
    </row>
    <row r="60">
      <c r="A60" t="inlineStr">
        <is>
          <t>SW-DAMPER-035-BODY</t>
        </is>
      </c>
      <c r="B60" t="inlineStr">
        <is>
          <t>SW-DAMPER-035</t>
        </is>
      </c>
      <c r="C60" t="inlineStr">
        <is>
          <t>Thân vỏ van VCD bích C30/TDF (0.75mm)</t>
        </is>
      </c>
      <c r="D60" t="inlineStr">
        <is>
          <t>TÔN_CUỘN_MẠ_KẼM</t>
        </is>
      </c>
      <c r="E60" t="inlineStr">
        <is>
          <t>MAT-STEEL-PN-0.75</t>
        </is>
      </c>
      <c r="F60" t="inlineStr">
        <is>
          <t>kg</t>
        </is>
      </c>
      <c r="G60" s="18" t="n">
        <v>0.6579940014983684</v>
      </c>
      <c r="H60" s="14">
        <f>'00_TONG_HOP_BAO_GIA'!G36</f>
        <v/>
      </c>
      <c r="I60" s="19">
        <f>G60*H60</f>
        <v/>
      </c>
      <c r="J60" s="14">
        <f>IFERROR(INDEX('06_BANG_GIA_VAT_TU_AP_DUNG'!$E$1:$E$5000, MATCH(E60, '06_BANG_GIA_VAT_TU_AP_DUNG'!$B$1:$B$5000, 0)), 0)</f>
        <v/>
      </c>
      <c r="K60" s="14">
        <f>I60*J60</f>
        <v/>
      </c>
      <c r="L60" t="inlineStr">
        <is>
          <t>Kích thước vỏ 150x150x200mm</t>
        </is>
      </c>
    </row>
    <row r="61">
      <c r="A61" t="inlineStr">
        <is>
          <t>SW-DAMPER-035-BLADE</t>
        </is>
      </c>
      <c r="B61" t="inlineStr">
        <is>
          <t>SW-DAMPER-035</t>
        </is>
      </c>
      <c r="C61" t="inlineStr">
        <is>
          <t>Lá cánh / Tôn tấm bọc van (1 cánh)</t>
        </is>
      </c>
      <c r="D61" t="inlineStr">
        <is>
          <t>TÔN_CUỘN_MẠ_KẼM</t>
        </is>
      </c>
      <c r="E61" t="inlineStr">
        <is>
          <t>MAT-STEEL-PN-0.75</t>
        </is>
      </c>
      <c r="F61" t="inlineStr">
        <is>
          <t>kg</t>
        </is>
      </c>
      <c r="G61" s="18" t="n">
        <v>0.09987408951314521</v>
      </c>
      <c r="H61" s="14">
        <f>'00_TONG_HOP_BAO_GIA'!G36</f>
        <v/>
      </c>
      <c r="I61" s="19">
        <f>G61*H61</f>
        <v/>
      </c>
      <c r="J61" s="14">
        <f>IFERROR(INDEX('06_BANG_GIA_VAT_TU_AP_DUNG'!$E$1:$E$5000, MATCH(E61, '06_BANG_GIA_VAT_TU_AP_DUNG'!$B$1:$B$5000, 0)), 0)</f>
        <v/>
      </c>
      <c r="K61" s="14">
        <f>I61*J61</f>
        <v/>
      </c>
      <c r="L61" t="inlineStr">
        <is>
          <t>1 cánh cao 170mm</t>
        </is>
      </c>
    </row>
    <row r="62">
      <c r="A62" t="inlineStr">
        <is>
          <t>SW-DAMPER-035-AXLE</t>
        </is>
      </c>
      <c r="B62" t="inlineStr">
        <is>
          <t>SW-DAMPER-035</t>
        </is>
      </c>
      <c r="C62" t="inlineStr">
        <is>
          <t>Trục Sus 201 D10</t>
        </is>
      </c>
      <c r="D62" t="inlineStr">
        <is>
          <t>PHỤ_KIỆN_VAN</t>
        </is>
      </c>
      <c r="E62" t="inlineStr">
        <is>
          <t>MAT-DAMPER-TRUC-SUS-201-D10</t>
        </is>
      </c>
      <c r="F62" t="inlineStr">
        <is>
          <t>m</t>
        </is>
      </c>
      <c r="G62" s="18" t="n">
        <v>0.1293532282571299</v>
      </c>
      <c r="H62" s="14">
        <f>'00_TONG_HOP_BAO_GIA'!G36</f>
        <v/>
      </c>
      <c r="I62" s="19">
        <f>G62*H62</f>
        <v/>
      </c>
      <c r="J62" s="14">
        <f>IFERROR(INDEX('06_BANG_GIA_VAT_TU_AP_DUNG'!$E$1:$E$5000, MATCH(E62, '06_BANG_GIA_VAT_TU_AP_DUNG'!$B$1:$B$5000, 0)), 0)</f>
        <v/>
      </c>
      <c r="K62" s="14">
        <f>I62*J62</f>
        <v/>
      </c>
      <c r="L62" t="inlineStr">
        <is>
          <t>1 trục dài 210mm</t>
        </is>
      </c>
    </row>
    <row r="63">
      <c r="A63" t="inlineStr">
        <is>
          <t>SW-DAMPER-035-BEARING</t>
        </is>
      </c>
      <c r="B63" t="inlineStr">
        <is>
          <t>SW-DAMPER-035</t>
        </is>
      </c>
      <c r="C63" t="inlineStr">
        <is>
          <t>Bạc đồng D10</t>
        </is>
      </c>
      <c r="D63" t="inlineStr">
        <is>
          <t>PHỤ_KIỆN_VAN</t>
        </is>
      </c>
      <c r="E63" t="inlineStr">
        <is>
          <t>MAT-DAMPER-BAC-DONG-D10</t>
        </is>
      </c>
      <c r="F63" t="inlineStr">
        <is>
          <t>Đôi</t>
        </is>
      </c>
      <c r="G63" s="18" t="n">
        <v>1</v>
      </c>
      <c r="H63" s="14">
        <f>'00_TONG_HOP_BAO_GIA'!G36</f>
        <v/>
      </c>
      <c r="I63" s="19">
        <f>G63*H63</f>
        <v/>
      </c>
      <c r="J63" s="14">
        <f>IFERROR(INDEX('06_BANG_GIA_VAT_TU_AP_DUNG'!$E$1:$E$5000, MATCH(E63, '06_BANG_GIA_VAT_TU_AP_DUNG'!$B$1:$B$5000, 0)), 0)</f>
        <v/>
      </c>
      <c r="K63" s="14">
        <f>I63*J63</f>
        <v/>
      </c>
      <c r="L63" t="inlineStr">
        <is>
          <t>1 đôi bạc đỡ 2 bên thân</t>
        </is>
      </c>
    </row>
    <row r="64">
      <c r="A64" t="inlineStr">
        <is>
          <t>SW-DAMPER-035-HANDLE</t>
        </is>
      </c>
      <c r="B64" t="inlineStr">
        <is>
          <t>SW-DAMPER-035</t>
        </is>
      </c>
      <c r="C64" t="inlineStr">
        <is>
          <t>Tay gạt nhỏ</t>
        </is>
      </c>
      <c r="D64" t="inlineStr">
        <is>
          <t>PHỤ_KIỆN_VAN</t>
        </is>
      </c>
      <c r="E64" t="inlineStr">
        <is>
          <t>MAT-DAMPER-TAY-GAT-NHO</t>
        </is>
      </c>
      <c r="F64" t="inlineStr">
        <is>
          <t>Bộ</t>
        </is>
      </c>
      <c r="G64" s="18" t="n">
        <v>1</v>
      </c>
      <c r="H64" s="14">
        <f>'00_TONG_HOP_BAO_GIA'!G36</f>
        <v/>
      </c>
      <c r="I64" s="19">
        <f>G64*H64</f>
        <v/>
      </c>
      <c r="J64" s="14">
        <f>IFERROR(INDEX('06_BANG_GIA_VAT_TU_AP_DUNG'!$E$1:$E$5000, MATCH(E64, '06_BANG_GIA_VAT_TU_AP_DUNG'!$B$1:$B$5000, 0)), 0)</f>
        <v/>
      </c>
      <c r="K64" s="14">
        <f>I64*J64</f>
        <v/>
      </c>
      <c r="L64" t="inlineStr">
        <is>
          <t>Tay gạt khóa vị trí nan (S=0.02m2)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3" t="inlineStr">
        <is>
          <t>STT</t>
        </is>
      </c>
      <c r="B1" s="13" t="inlineStr">
        <is>
          <t>MAT_ID</t>
        </is>
      </c>
      <c r="C1" s="13" t="inlineStr">
        <is>
          <t>PHÂN LOẠI</t>
        </is>
      </c>
      <c r="D1" s="13" t="inlineStr">
        <is>
          <t>TÊN VẬT TƯ</t>
        </is>
      </c>
      <c r="E1" s="13" t="inlineStr">
        <is>
          <t>ĐVT</t>
        </is>
      </c>
      <c r="F1" s="13" t="inlineStr">
        <is>
          <t>BAREM KỸ THUẬT</t>
        </is>
      </c>
      <c r="G1" s="13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9Nm, 230V, đóng mở nhanh 15s (HoneyWell MS4609F1010/B)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3" t="inlineStr">
        <is>
          <t>STT</t>
        </is>
      </c>
      <c r="B1" s="13" t="inlineStr">
        <is>
          <t>MAT_ID</t>
        </is>
      </c>
      <c r="C1" s="13" t="inlineStr">
        <is>
          <t>TÊN VẬT TƯ</t>
        </is>
      </c>
      <c r="D1" s="13" t="inlineStr">
        <is>
          <t>PHÂN LOẠI</t>
        </is>
      </c>
      <c r="E1" s="13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4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4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4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4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4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4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4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4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4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4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4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4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4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4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4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4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4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4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4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4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4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4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4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4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4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4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4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4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4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4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4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4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4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4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4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4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4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4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4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4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4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4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4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4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4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4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4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4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4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4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4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4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4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4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4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4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4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4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4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4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4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4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4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4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4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4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4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4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4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4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4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4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4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4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4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4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4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4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4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4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4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4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4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4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4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4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4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4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4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4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4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4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4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4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4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4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4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4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4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4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4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4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4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4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4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4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4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4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4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4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4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4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4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4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4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4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4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4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4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4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4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4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4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4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4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4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4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4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4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4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4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4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4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4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4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4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4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4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4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4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4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4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4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4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4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4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4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4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4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4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4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4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4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4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4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4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4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4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4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4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4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4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4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4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4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4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4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4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4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4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4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4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4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4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4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4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4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4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4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4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4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4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4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4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4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9Nm, 230V, đóng mở nhanh 15s (HoneyWell MS4609F1010/B)</t>
        </is>
      </c>
      <c r="D187" t="inlineStr">
        <is>
          <t>ĐỘNG_CƠ_VÀ_CẢM_BIẾN</t>
        </is>
      </c>
      <c r="E187" s="14" t="n">
        <v>3400000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4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4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4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4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4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4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4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4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4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4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4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4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4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4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4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4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4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4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4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2026-10-19T14:46:00Z</dcterms:created>
  <dcterms:modified xsi:type="dcterms:W3CDTF">2026-10-19T14:46:00Z</dcterms:modified>
</cp:coreProperties>
</file>
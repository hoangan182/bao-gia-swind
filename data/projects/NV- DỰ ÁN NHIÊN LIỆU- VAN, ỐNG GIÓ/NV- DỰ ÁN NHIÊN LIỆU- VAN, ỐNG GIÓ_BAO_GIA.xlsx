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83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0" t="n"/>
      <c r="G11" s="20" t="n"/>
      <c r="H11" s="21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2" t="n"/>
      <c r="B12" s="22" t="n"/>
      <c r="C12" s="22" t="n"/>
      <c r="D12" s="22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2" t="n"/>
      <c r="J12" s="22" t="n"/>
      <c r="K12" s="22" t="n"/>
      <c r="L12" s="22" t="n"/>
      <c r="M12" s="22" t="n"/>
      <c r="N12" s="22" t="n"/>
      <c r="O12" s="22" t="n"/>
      <c r="P12" s="22" t="n"/>
    </row>
    <row r="13" ht="20" customHeight="1">
      <c r="A13" s="23" t="n"/>
      <c r="B13" s="23" t="n"/>
      <c r="C13" s="23" t="n"/>
      <c r="D13" s="23" t="n"/>
      <c r="E13" s="5" t="inlineStr">
        <is>
          <t>Face size</t>
        </is>
      </c>
      <c r="F13" s="21" t="n"/>
      <c r="G13" s="5" t="inlineStr">
        <is>
          <t>Neck size</t>
        </is>
      </c>
      <c r="H13" s="21" t="n"/>
      <c r="I13" s="23" t="n"/>
      <c r="J13" s="23" t="n"/>
      <c r="K13" s="23" t="n"/>
      <c r="L13" s="23" t="n"/>
      <c r="M13" s="23" t="n"/>
      <c r="N13" s="23" t="n"/>
      <c r="O13" s="23" t="n"/>
      <c r="P13" s="23" t="n"/>
    </row>
    <row r="14">
      <c r="A14" s="6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8" t="n"/>
      <c r="N14" s="8" t="n"/>
      <c r="O14" s="8" t="n"/>
      <c r="P14" s="7" t="n"/>
    </row>
    <row r="15">
      <c r="A15" s="6" t="n">
        <v>3</v>
      </c>
      <c r="B15" s="7" t="inlineStr">
        <is>
          <t>Miệng gió thải 200x100mm</t>
        </is>
      </c>
      <c r="C15" s="6" t="inlineStr">
        <is>
          <t>WL+N</t>
        </is>
      </c>
      <c r="D15" s="6" t="inlineStr">
        <is>
          <t>SWIND</t>
        </is>
      </c>
      <c r="E15" s="6" t="n">
        <v>200</v>
      </c>
      <c r="F15" s="6" t="n">
        <v>100</v>
      </c>
      <c r="G15" s="6" t="n">
        <v>150</v>
      </c>
      <c r="H15" s="6" t="n">
        <v>50</v>
      </c>
      <c r="I15" s="6" t="n"/>
      <c r="J15" s="6" t="n"/>
      <c r="K15" s="6" t="n"/>
      <c r="L15" s="6" t="inlineStr">
        <is>
          <t>Cái</t>
        </is>
      </c>
      <c r="M15" s="9" t="n">
        <v>1</v>
      </c>
      <c r="N15" s="9" t="n">
        <v>43000</v>
      </c>
      <c r="O15" s="9">
        <f>ROUNDUP(N15*M15, -2)</f>
        <v/>
      </c>
      <c r="P15" s="7" t="inlineStr">
        <is>
          <t>Louver nan Z ngoài trời kèm lưới chắn côn trùng Inox 304</t>
        </is>
      </c>
    </row>
    <row r="16">
      <c r="A16" s="6" t="n">
        <v>5</v>
      </c>
      <c r="B16" s="7" t="inlineStr">
        <is>
          <t>Louver gió kèm LCCT 600x300</t>
        </is>
      </c>
      <c r="C16" s="6" t="inlineStr">
        <is>
          <t>WL+N</t>
        </is>
      </c>
      <c r="D16" s="6" t="inlineStr">
        <is>
          <t>SWIND</t>
        </is>
      </c>
      <c r="E16" s="6" t="n">
        <v>600</v>
      </c>
      <c r="F16" s="6" t="n">
        <v>300</v>
      </c>
      <c r="G16" s="6" t="n">
        <v>550</v>
      </c>
      <c r="H16" s="6" t="n">
        <v>250</v>
      </c>
      <c r="I16" s="6" t="n"/>
      <c r="J16" s="6" t="n"/>
      <c r="K16" s="6" t="n"/>
      <c r="L16" s="6" t="inlineStr">
        <is>
          <t>Cái</t>
        </is>
      </c>
      <c r="M16" s="9" t="n">
        <v>2</v>
      </c>
      <c r="N16" s="9" t="n">
        <v>290000</v>
      </c>
      <c r="O16" s="9">
        <f>ROUNDUP(N16*M16, -2)</f>
        <v/>
      </c>
      <c r="P16" s="7" t="inlineStr">
        <is>
          <t>Louver nan Z ngoài trời kèm lưới chắn côn trùng Inox 304</t>
        </is>
      </c>
    </row>
    <row r="17">
      <c r="A17" s="6" t="n">
        <v>6</v>
      </c>
      <c r="B17" s="7" t="inlineStr">
        <is>
          <t>Louver gió kèm LCCT 1500x500</t>
        </is>
      </c>
      <c r="C17" s="6" t="inlineStr">
        <is>
          <t>WL+N</t>
        </is>
      </c>
      <c r="D17" s="6" t="inlineStr">
        <is>
          <t>SWIND</t>
        </is>
      </c>
      <c r="E17" s="6" t="n">
        <v>1500</v>
      </c>
      <c r="F17" s="6" t="n">
        <v>500</v>
      </c>
      <c r="G17" s="6" t="n">
        <v>1450</v>
      </c>
      <c r="H17" s="6" t="n">
        <v>450</v>
      </c>
      <c r="I17" s="6" t="n"/>
      <c r="J17" s="6" t="n"/>
      <c r="K17" s="6" t="n"/>
      <c r="L17" s="6" t="inlineStr">
        <is>
          <t>Cái</t>
        </is>
      </c>
      <c r="M17" s="9" t="n">
        <v>2</v>
      </c>
      <c r="N17" s="9" t="n">
        <v>1051000</v>
      </c>
      <c r="O17" s="9">
        <f>ROUNDUP(N17*M17, -2)</f>
        <v/>
      </c>
      <c r="P17" s="7" t="inlineStr">
        <is>
          <t>Louver nan Z ngoài trời kèm lưới chắn côn trùng Inox 304</t>
        </is>
      </c>
    </row>
    <row r="18">
      <c r="A18" s="6" t="n">
        <v>7</v>
      </c>
      <c r="B18" s="7" t="inlineStr">
        <is>
          <t>Miệng gió thải 450x200</t>
        </is>
      </c>
      <c r="C18" s="6" t="inlineStr">
        <is>
          <t>SDG+O</t>
        </is>
      </c>
      <c r="D18" s="6" t="inlineStr">
        <is>
          <t>SWIND</t>
        </is>
      </c>
      <c r="E18" s="6" t="n">
        <v>450</v>
      </c>
      <c r="F18" s="6" t="n">
        <v>200</v>
      </c>
      <c r="G18" s="6" t="n">
        <v>400</v>
      </c>
      <c r="H18" s="6" t="n">
        <v>150</v>
      </c>
      <c r="I18" s="6" t="n"/>
      <c r="J18" s="6" t="n"/>
      <c r="K18" s="6" t="n"/>
      <c r="L18" s="6" t="inlineStr">
        <is>
          <t>Cái</t>
        </is>
      </c>
      <c r="M18" s="9" t="n">
        <v>5</v>
      </c>
      <c r="N18" s="9" t="n">
        <v>179000</v>
      </c>
      <c r="O18" s="9">
        <f>ROUNDUP(N18*M18, -2)</f>
        <v/>
      </c>
      <c r="P18" s="7" t="inlineStr">
        <is>
          <t>Cửa nan bầu dục 1 lớp kèm van OBD</t>
        </is>
      </c>
    </row>
    <row r="19">
      <c r="A19" s="6" t="n">
        <v>8</v>
      </c>
      <c r="B19" s="7" t="inlineStr">
        <is>
          <t>Miệng gió tươi 750x350</t>
        </is>
      </c>
      <c r="C19" s="6" t="inlineStr">
        <is>
          <t>SDG+O</t>
        </is>
      </c>
      <c r="D19" s="6" t="inlineStr">
        <is>
          <t>SWIND</t>
        </is>
      </c>
      <c r="E19" s="6" t="n">
        <v>750</v>
      </c>
      <c r="F19" s="6" t="n">
        <v>350</v>
      </c>
      <c r="G19" s="6" t="n">
        <v>700</v>
      </c>
      <c r="H19" s="6" t="n">
        <v>300</v>
      </c>
      <c r="I19" s="6" t="n"/>
      <c r="J19" s="6" t="n"/>
      <c r="K19" s="6" t="n"/>
      <c r="L19" s="6" t="inlineStr">
        <is>
          <t>Cái</t>
        </is>
      </c>
      <c r="M19" s="9" t="n">
        <v>3</v>
      </c>
      <c r="N19" s="9" t="n">
        <v>422000</v>
      </c>
      <c r="O19" s="9">
        <f>ROUNDUP(N19*M19, -2)</f>
        <v/>
      </c>
      <c r="P19" s="7" t="inlineStr">
        <is>
          <t>Cửa nan bầu dục 1 lớp kèm van OBD</t>
        </is>
      </c>
    </row>
    <row r="20">
      <c r="A20" s="6" t="n">
        <v>9</v>
      </c>
      <c r="B20" s="7" t="inlineStr">
        <is>
          <t>Miệng gió tươi 450x200</t>
        </is>
      </c>
      <c r="C20" s="6" t="inlineStr">
        <is>
          <t>SDG+O</t>
        </is>
      </c>
      <c r="D20" s="6" t="inlineStr">
        <is>
          <t>SWIND</t>
        </is>
      </c>
      <c r="E20" s="6" t="n">
        <v>450</v>
      </c>
      <c r="F20" s="6" t="n">
        <v>200</v>
      </c>
      <c r="G20" s="6" t="n">
        <v>400</v>
      </c>
      <c r="H20" s="6" t="n">
        <v>150</v>
      </c>
      <c r="I20" s="6" t="n"/>
      <c r="J20" s="6" t="n"/>
      <c r="K20" s="6" t="n"/>
      <c r="L20" s="6" t="inlineStr">
        <is>
          <t>Cái</t>
        </is>
      </c>
      <c r="M20" s="9" t="n">
        <v>2</v>
      </c>
      <c r="N20" s="9" t="n">
        <v>179000</v>
      </c>
      <c r="O20" s="9">
        <f>ROUNDUP(N20*M20, -2)</f>
        <v/>
      </c>
      <c r="P20" s="7" t="inlineStr">
        <is>
          <t>Cửa nan bầu dục 1 lớp kèm van OBD</t>
        </is>
      </c>
    </row>
    <row r="21">
      <c r="A21" s="6" t="n">
        <v>10</v>
      </c>
      <c r="B21" s="7" t="inlineStr">
        <is>
          <t>Tole gia công ống gío tươi và gió thải dày 0.58mm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inlineStr">
        <is>
          <t>m2</t>
        </is>
      </c>
      <c r="M21" s="9" t="n">
        <v>8.4331</v>
      </c>
      <c r="N21" s="8" t="n"/>
      <c r="O21" s="8" t="n"/>
      <c r="P21" s="7" t="n"/>
    </row>
    <row r="22">
      <c r="A22" s="6" t="n">
        <v>11</v>
      </c>
      <c r="B22" s="7" t="inlineStr">
        <is>
          <t>Tole gia công ống gío tươi và gió thải dày 0.8mm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inlineStr">
        <is>
          <t>m2</t>
        </is>
      </c>
      <c r="M22" s="9" t="n">
        <v>78.2264</v>
      </c>
      <c r="N22" s="8" t="n"/>
      <c r="O22" s="8" t="n"/>
      <c r="P22" s="7" t="n"/>
    </row>
    <row r="23">
      <c r="A23" s="6" t="n">
        <v>12</v>
      </c>
      <c r="B23" s="7" t="inlineStr">
        <is>
          <t>Tole gia công ống gío tươi và gió thải dày 1.0mm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inlineStr">
        <is>
          <t>m2</t>
        </is>
      </c>
      <c r="M23" s="9" t="n">
        <v>0</v>
      </c>
      <c r="N23" s="8" t="n"/>
      <c r="O23" s="8" t="n"/>
      <c r="P23" s="7" t="n"/>
    </row>
    <row r="24">
      <c r="A24" s="6" t="n">
        <v>23</v>
      </c>
      <c r="B24" s="7" t="inlineStr">
        <is>
          <t>Luover gió tươi 200x200 kèm lưới chắn côn trùng + VCD</t>
        </is>
      </c>
      <c r="C24" s="6" t="inlineStr">
        <is>
          <t>WL+N + VCD</t>
        </is>
      </c>
      <c r="D24" s="6" t="inlineStr">
        <is>
          <t>SWIND</t>
        </is>
      </c>
      <c r="E24" s="6" t="n">
        <v>200</v>
      </c>
      <c r="F24" s="6" t="n">
        <v>200</v>
      </c>
      <c r="G24" s="6" t="n">
        <v>150</v>
      </c>
      <c r="H24" s="6" t="n">
        <v>150</v>
      </c>
      <c r="I24" s="6" t="n"/>
      <c r="J24" s="6" t="n"/>
      <c r="K24" s="6" t="n"/>
      <c r="L24" s="6" t="inlineStr">
        <is>
          <t>cái</t>
        </is>
      </c>
      <c r="M24" s="9" t="n">
        <v>8</v>
      </c>
      <c r="N24" s="9" t="n">
        <v>266000</v>
      </c>
      <c r="O24" s="9">
        <f>ROUNDUP(N24*M24, -2)</f>
        <v/>
      </c>
      <c r="P24" s="7" t="inlineStr">
        <is>
          <t>Louver nan Z ngoài trời kèm lưới chắn côn trùng Inox 304 + Van điều chỉnh lưu lượng tay gạt tôn mạ kẽm</t>
        </is>
      </c>
    </row>
    <row r="25">
      <c r="A25" s="6" t="n">
        <v>26</v>
      </c>
      <c r="B25" s="7" t="inlineStr">
        <is>
          <t>Miệng gió cấp 900x500 kèm OBD</t>
        </is>
      </c>
      <c r="C25" s="6" t="inlineStr">
        <is>
          <t>SDG+O</t>
        </is>
      </c>
      <c r="D25" s="6" t="inlineStr">
        <is>
          <t>SWIND</t>
        </is>
      </c>
      <c r="E25" s="6" t="n">
        <v>900</v>
      </c>
      <c r="F25" s="6" t="n">
        <v>500</v>
      </c>
      <c r="G25" s="6" t="n">
        <v>850</v>
      </c>
      <c r="H25" s="6" t="n">
        <v>450</v>
      </c>
      <c r="I25" s="6" t="n"/>
      <c r="J25" s="6" t="n"/>
      <c r="K25" s="6" t="n"/>
      <c r="L25" s="6" t="inlineStr">
        <is>
          <t>Cái</t>
        </is>
      </c>
      <c r="M25" s="9" t="n">
        <v>6</v>
      </c>
      <c r="N25" s="9" t="n">
        <v>673000</v>
      </c>
      <c r="O25" s="9">
        <f>ROUNDUP(N25*M25, -2)</f>
        <v/>
      </c>
      <c r="P25" s="7" t="inlineStr">
        <is>
          <t>Cửa nan bầu dục 1 lớp kèm van OBD</t>
        </is>
      </c>
    </row>
    <row r="26">
      <c r="A26" s="6" t="n">
        <v>27</v>
      </c>
      <c r="B26" s="7" t="inlineStr">
        <is>
          <t>Miệng gió cấp 400x300 kèm OBD</t>
        </is>
      </c>
      <c r="C26" s="6" t="inlineStr">
        <is>
          <t>SDG+O</t>
        </is>
      </c>
      <c r="D26" s="6" t="inlineStr">
        <is>
          <t>SWIND</t>
        </is>
      </c>
      <c r="E26" s="6" t="n">
        <v>400</v>
      </c>
      <c r="F26" s="6" t="n">
        <v>300</v>
      </c>
      <c r="G26" s="6" t="n">
        <v>350</v>
      </c>
      <c r="H26" s="6" t="n">
        <v>250</v>
      </c>
      <c r="I26" s="6" t="n"/>
      <c r="J26" s="6" t="n"/>
      <c r="K26" s="6" t="n"/>
      <c r="L26" s="6" t="inlineStr">
        <is>
          <t>Cái</t>
        </is>
      </c>
      <c r="M26" s="9" t="n">
        <v>2</v>
      </c>
      <c r="N26" s="9" t="n">
        <v>217000</v>
      </c>
      <c r="O26" s="9">
        <f>ROUNDUP(N26*M26, -2)</f>
        <v/>
      </c>
      <c r="P26" s="7" t="inlineStr">
        <is>
          <t>Cửa nan bầu dục 1 lớp kèm van OBD</t>
        </is>
      </c>
    </row>
    <row r="27">
      <c r="A27" s="6" t="n">
        <v>28</v>
      </c>
      <c r="B27" s="7" t="inlineStr">
        <is>
          <t>Miệng gió cấp 600x400 kèm OBD</t>
        </is>
      </c>
      <c r="C27" s="6" t="inlineStr">
        <is>
          <t>SDG+O</t>
        </is>
      </c>
      <c r="D27" s="6" t="inlineStr">
        <is>
          <t>SWIND</t>
        </is>
      </c>
      <c r="E27" s="6" t="n">
        <v>600</v>
      </c>
      <c r="F27" s="6" t="n">
        <v>400</v>
      </c>
      <c r="G27" s="6" t="n">
        <v>550</v>
      </c>
      <c r="H27" s="6" t="n">
        <v>350</v>
      </c>
      <c r="I27" s="6" t="n"/>
      <c r="J27" s="6" t="n"/>
      <c r="K27" s="6" t="n"/>
      <c r="L27" s="6" t="inlineStr">
        <is>
          <t>Cái</t>
        </is>
      </c>
      <c r="M27" s="9" t="n">
        <v>2</v>
      </c>
      <c r="N27" s="9" t="n">
        <v>388000</v>
      </c>
      <c r="O27" s="9">
        <f>ROUNDUP(N27*M27, -2)</f>
        <v/>
      </c>
      <c r="P27" s="7" t="inlineStr">
        <is>
          <t>Cửa nan bầu dục 1 lớp kèm van OBD</t>
        </is>
      </c>
    </row>
    <row r="28">
      <c r="A28" s="6" t="n">
        <v>29</v>
      </c>
      <c r="B28" s="7" t="inlineStr">
        <is>
          <t>Tole gia công ống gío dày 0.58mm kèm cách nhiệt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inlineStr">
        <is>
          <t>m2</t>
        </is>
      </c>
      <c r="M28" s="9" t="n">
        <v>0</v>
      </c>
      <c r="N28" s="8" t="n"/>
      <c r="O28" s="8" t="n"/>
      <c r="P28" s="7" t="n"/>
    </row>
    <row r="29">
      <c r="A29" s="6" t="n">
        <v>30</v>
      </c>
      <c r="B29" s="7" t="inlineStr">
        <is>
          <t>Tole gia công ống gío dày 0.8mm kèm cách nhiệt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inlineStr">
        <is>
          <t>m2</t>
        </is>
      </c>
      <c r="M29" s="9" t="n">
        <v>15.6275</v>
      </c>
      <c r="N29" s="8" t="n"/>
      <c r="O29" s="8" t="n"/>
      <c r="P29" s="7" t="n"/>
    </row>
    <row r="30">
      <c r="A30" s="6" t="n">
        <v>31</v>
      </c>
      <c r="B30" s="7" t="inlineStr">
        <is>
          <t>Tole gia công ống gío dày 1.0mm kèm cách nhiệt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inlineStr">
        <is>
          <t>m2</t>
        </is>
      </c>
      <c r="M30" s="9" t="n">
        <v>131.384</v>
      </c>
      <c r="N30" s="8" t="n"/>
      <c r="O30" s="8" t="n"/>
      <c r="P30" s="7" t="n"/>
    </row>
    <row r="31">
      <c r="A31" s="6" t="n">
        <v>5</v>
      </c>
      <c r="B31" s="7" t="inlineStr">
        <is>
          <t>Louver gió thải kèm LCCT 200x100</t>
        </is>
      </c>
      <c r="C31" s="6" t="inlineStr">
        <is>
          <t>WL+N</t>
        </is>
      </c>
      <c r="D31" s="6" t="inlineStr">
        <is>
          <t>SWIND</t>
        </is>
      </c>
      <c r="E31" s="6" t="n">
        <v>200</v>
      </c>
      <c r="F31" s="6" t="n">
        <v>100</v>
      </c>
      <c r="G31" s="6" t="n">
        <v>150</v>
      </c>
      <c r="H31" s="6" t="n">
        <v>50</v>
      </c>
      <c r="I31" s="6" t="n"/>
      <c r="J31" s="6" t="n"/>
      <c r="K31" s="6" t="n"/>
      <c r="L31" s="6" t="inlineStr">
        <is>
          <t>Cái</t>
        </is>
      </c>
      <c r="M31" s="9" t="n">
        <v>1</v>
      </c>
      <c r="N31" s="9" t="n">
        <v>43000</v>
      </c>
      <c r="O31" s="9">
        <f>ROUNDUP(N31*M31, -2)</f>
        <v/>
      </c>
      <c r="P31" s="7" t="inlineStr">
        <is>
          <t>Louver nan Z ngoài trời kèm lưới chắn côn trùng Inox 304</t>
        </is>
      </c>
    </row>
    <row r="32">
      <c r="A32" s="6" t="n">
        <v>13</v>
      </c>
      <c r="B32" s="7" t="inlineStr">
        <is>
          <t>Louver gió thải kèm LCCT 700x100</t>
        </is>
      </c>
      <c r="C32" s="6" t="inlineStr">
        <is>
          <t>WL+N</t>
        </is>
      </c>
      <c r="D32" s="6" t="inlineStr">
        <is>
          <t>SWIND</t>
        </is>
      </c>
      <c r="E32" s="6" t="n">
        <v>700</v>
      </c>
      <c r="F32" s="6" t="n">
        <v>100</v>
      </c>
      <c r="G32" s="6" t="n">
        <v>650</v>
      </c>
      <c r="H32" s="6" t="n">
        <v>50</v>
      </c>
      <c r="I32" s="6" t="n"/>
      <c r="J32" s="6" t="n"/>
      <c r="K32" s="6" t="n"/>
      <c r="L32" s="6" t="inlineStr">
        <is>
          <t>Cái</t>
        </is>
      </c>
      <c r="M32" s="8" t="n"/>
      <c r="N32" s="9" t="n">
        <v>125000</v>
      </c>
      <c r="O32" s="9">
        <f>ROUNDUP(N32*M32, -2)</f>
        <v/>
      </c>
      <c r="P32" s="7" t="inlineStr">
        <is>
          <t>Louver nan Z ngoài trời kèm lưới chắn côn trùng Inox 304</t>
        </is>
      </c>
    </row>
    <row r="33">
      <c r="A33" s="6" t="n">
        <v>15</v>
      </c>
      <c r="B33" s="7" t="inlineStr">
        <is>
          <t>Miệng gió thải WC 200x200 kèm OBD</t>
        </is>
      </c>
      <c r="C33" s="6" t="inlineStr">
        <is>
          <t>SDG+O</t>
        </is>
      </c>
      <c r="D33" s="6" t="inlineStr">
        <is>
          <t>SWIND</t>
        </is>
      </c>
      <c r="E33" s="6" t="n">
        <v>200</v>
      </c>
      <c r="F33" s="6" t="n">
        <v>200</v>
      </c>
      <c r="G33" s="6" t="n">
        <v>150</v>
      </c>
      <c r="H33" s="6" t="n">
        <v>150</v>
      </c>
      <c r="I33" s="6" t="n"/>
      <c r="J33" s="6" t="n"/>
      <c r="K33" s="6" t="n"/>
      <c r="L33" s="6" t="inlineStr">
        <is>
          <t>Cái</t>
        </is>
      </c>
      <c r="M33" s="9" t="n">
        <v>4</v>
      </c>
      <c r="N33" s="9" t="n">
        <v>92000</v>
      </c>
      <c r="O33" s="9">
        <f>ROUNDUP(N33*M33, -2)</f>
        <v/>
      </c>
      <c r="P33" s="7" t="inlineStr">
        <is>
          <t>Cửa nan bầu dục 1 lớp kèm van OBD</t>
        </is>
      </c>
    </row>
    <row r="34">
      <c r="A34" s="6" t="n">
        <v>16</v>
      </c>
      <c r="B34" s="7" t="inlineStr">
        <is>
          <t>Tole gia công ống thải dày 0.58mm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inlineStr">
        <is>
          <t>m2</t>
        </is>
      </c>
      <c r="M34" s="9" t="n">
        <v>14</v>
      </c>
      <c r="N34" s="8" t="n"/>
      <c r="O34" s="8" t="n"/>
      <c r="P34" s="7" t="n"/>
    </row>
    <row r="35">
      <c r="A35" s="6" t="n">
        <v>17</v>
      </c>
      <c r="B35" s="7" t="inlineStr">
        <is>
          <t>Tole gia công ống thải dày 0.8mm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inlineStr">
        <is>
          <t>m2</t>
        </is>
      </c>
      <c r="M35" s="9" t="n">
        <v>0</v>
      </c>
      <c r="N35" s="8" t="n"/>
      <c r="O35" s="8" t="n"/>
      <c r="P35" s="7" t="n"/>
    </row>
    <row r="36">
      <c r="A36" s="6" t="n">
        <v>18</v>
      </c>
      <c r="B36" s="7" t="inlineStr">
        <is>
          <t>Tole gia công ống thải dày 1.0mm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inlineStr">
        <is>
          <t>m2</t>
        </is>
      </c>
      <c r="M36" s="9" t="n">
        <v>0</v>
      </c>
      <c r="N36" s="8" t="n"/>
      <c r="O36" s="8" t="n"/>
      <c r="P36" s="7" t="n"/>
    </row>
    <row r="37">
      <c r="A37" s="6" t="n">
        <v>19</v>
      </c>
      <c r="B37" s="7" t="inlineStr">
        <is>
          <t>Van chặn lửa FD100x100</t>
        </is>
      </c>
      <c r="C37" s="6" t="inlineStr">
        <is>
          <t>FD</t>
        </is>
      </c>
      <c r="D37" s="6" t="inlineStr">
        <is>
          <t>SWIND</t>
        </is>
      </c>
      <c r="E37" s="6" t="n">
        <v>100</v>
      </c>
      <c r="F37" s="6" t="n">
        <v>100</v>
      </c>
      <c r="G37" s="6" t="n"/>
      <c r="H37" s="6" t="n"/>
      <c r="I37" s="6" t="n"/>
      <c r="J37" s="6" t="n">
        <v>200</v>
      </c>
      <c r="K37" s="10" t="n">
        <v>1.15</v>
      </c>
      <c r="L37" s="6" t="inlineStr">
        <is>
          <t>Cái</t>
        </is>
      </c>
      <c r="M37" s="9" t="n">
        <v>2</v>
      </c>
      <c r="N37" s="9" t="n">
        <v>224000</v>
      </c>
      <c r="O37" s="9">
        <f>ROUNDUP(N37*M37, -2)</f>
        <v/>
      </c>
      <c r="P37" s="7" t="inlineStr">
        <is>
          <t>Van chặn lửa cầu chì tôn mạ kẽm</t>
        </is>
      </c>
    </row>
    <row r="38">
      <c r="A38" s="6" t="n">
        <v>21</v>
      </c>
      <c r="B38" s="7" t="inlineStr">
        <is>
          <t>Louver gió tươi kèm LCCT 400x150</t>
        </is>
      </c>
      <c r="C38" s="6" t="inlineStr">
        <is>
          <t>WL+N</t>
        </is>
      </c>
      <c r="D38" s="6" t="inlineStr">
        <is>
          <t>SWIND</t>
        </is>
      </c>
      <c r="E38" s="6" t="n">
        <v>400</v>
      </c>
      <c r="F38" s="6" t="n">
        <v>150</v>
      </c>
      <c r="G38" s="6" t="n">
        <v>350</v>
      </c>
      <c r="H38" s="6" t="n">
        <v>100</v>
      </c>
      <c r="I38" s="6" t="n"/>
      <c r="J38" s="6" t="n"/>
      <c r="K38" s="6" t="n"/>
      <c r="L38" s="6" t="inlineStr">
        <is>
          <t>Cái</t>
        </is>
      </c>
      <c r="M38" s="9" t="n">
        <v>1</v>
      </c>
      <c r="N38" s="9" t="n">
        <v>103000</v>
      </c>
      <c r="O38" s="9">
        <f>ROUNDUP(N38*M38, -2)</f>
        <v/>
      </c>
      <c r="P38" s="7" t="inlineStr">
        <is>
          <t>Louver nan Z ngoài trời kèm lưới chắn côn trùng Inox 304</t>
        </is>
      </c>
    </row>
    <row r="39">
      <c r="A39" s="6" t="n">
        <v>22</v>
      </c>
      <c r="B39" s="7" t="inlineStr">
        <is>
          <t>VCD 150</t>
        </is>
      </c>
      <c r="C39" s="6" t="inlineStr">
        <is>
          <t>VCD</t>
        </is>
      </c>
      <c r="D39" s="6" t="inlineStr">
        <is>
          <t>SWIND</t>
        </is>
      </c>
      <c r="E39" s="6" t="inlineStr">
        <is>
          <t>Ø</t>
        </is>
      </c>
      <c r="F39" s="6" t="n">
        <v>150</v>
      </c>
      <c r="G39" s="6" t="n"/>
      <c r="H39" s="6" t="n"/>
      <c r="I39" s="6" t="n"/>
      <c r="J39" s="6" t="n">
        <v>200</v>
      </c>
      <c r="K39" s="10" t="n">
        <v>0.75</v>
      </c>
      <c r="L39" s="6" t="inlineStr">
        <is>
          <t>Cái</t>
        </is>
      </c>
      <c r="M39" s="9" t="n">
        <v>5</v>
      </c>
      <c r="N39" s="9" t="n">
        <v>126000</v>
      </c>
      <c r="O39" s="9">
        <f>ROUNDUP(N39*M39, -2)</f>
        <v/>
      </c>
      <c r="P39" s="7" t="inlineStr">
        <is>
          <t>Van điều chỉnh lưu lượng tay gạt tôn mạ kẽm</t>
        </is>
      </c>
    </row>
    <row r="40">
      <c r="A40" s="6" t="n">
        <v>23</v>
      </c>
      <c r="B40" s="7" t="inlineStr">
        <is>
          <t>Tole gia công ống tươi dày 0.58mm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inlineStr">
        <is>
          <t>m2</t>
        </is>
      </c>
      <c r="M40" s="9" t="n">
        <v>32.8</v>
      </c>
      <c r="N40" s="8" t="n"/>
      <c r="O40" s="8" t="n"/>
      <c r="P40" s="7" t="n"/>
    </row>
    <row r="41">
      <c r="A41" s="6" t="n">
        <v>24</v>
      </c>
      <c r="B41" s="7" t="inlineStr">
        <is>
          <t>Tole gia công ống tươi dày 0.8mm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inlineStr">
        <is>
          <t>m2</t>
        </is>
      </c>
      <c r="M41" s="9" t="n">
        <v>0</v>
      </c>
      <c r="N41" s="8" t="n"/>
      <c r="O41" s="8" t="n"/>
      <c r="P41" s="7" t="n"/>
    </row>
    <row r="42">
      <c r="A42" s="6" t="n">
        <v>25</v>
      </c>
      <c r="B42" s="7" t="inlineStr">
        <is>
          <t>Tole gia công ống tươi dày 1.0mm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inlineStr">
        <is>
          <t>m2</t>
        </is>
      </c>
      <c r="M42" s="9" t="n">
        <v>0</v>
      </c>
      <c r="N42" s="8" t="n"/>
      <c r="O42" s="8" t="n"/>
      <c r="P42" s="7" t="n"/>
    </row>
    <row r="43">
      <c r="A43" s="6" t="n">
        <v>26</v>
      </c>
      <c r="B43" s="7" t="inlineStr">
        <is>
          <t>Van chặn lửa FD150x100</t>
        </is>
      </c>
      <c r="C43" s="6" t="inlineStr">
        <is>
          <t>FD</t>
        </is>
      </c>
      <c r="D43" s="6" t="inlineStr">
        <is>
          <t>SWIND</t>
        </is>
      </c>
      <c r="E43" s="6" t="n">
        <v>150</v>
      </c>
      <c r="F43" s="6" t="n">
        <v>100</v>
      </c>
      <c r="G43" s="6" t="n"/>
      <c r="H43" s="6" t="n"/>
      <c r="I43" s="6" t="n"/>
      <c r="J43" s="6" t="n">
        <v>200</v>
      </c>
      <c r="K43" s="10" t="n">
        <v>1.15</v>
      </c>
      <c r="L43" s="6" t="inlineStr">
        <is>
          <t>Cái</t>
        </is>
      </c>
      <c r="M43" s="9" t="n">
        <v>5</v>
      </c>
      <c r="N43" s="9" t="n">
        <v>237000</v>
      </c>
      <c r="O43" s="9">
        <f>ROUNDUP(N43*M43, -2)</f>
        <v/>
      </c>
      <c r="P43" s="7" t="inlineStr">
        <is>
          <t>Van chặn lửa cầu chì tôn mạ kẽm</t>
        </is>
      </c>
    </row>
    <row r="44">
      <c r="A44" s="6" t="n">
        <v>29</v>
      </c>
      <c r="B44" s="7" t="inlineStr">
        <is>
          <t>Louver gió thải kèm LCCT 400x150</t>
        </is>
      </c>
      <c r="C44" s="6" t="inlineStr">
        <is>
          <t>WL+N</t>
        </is>
      </c>
      <c r="D44" s="6" t="inlineStr">
        <is>
          <t>SWIND</t>
        </is>
      </c>
      <c r="E44" s="6" t="n">
        <v>400</v>
      </c>
      <c r="F44" s="6" t="n">
        <v>150</v>
      </c>
      <c r="G44" s="6" t="n">
        <v>350</v>
      </c>
      <c r="H44" s="6" t="n">
        <v>100</v>
      </c>
      <c r="I44" s="6" t="n"/>
      <c r="J44" s="6" t="n"/>
      <c r="K44" s="6" t="n"/>
      <c r="L44" s="6" t="inlineStr">
        <is>
          <t>Cái</t>
        </is>
      </c>
      <c r="M44" s="9" t="n">
        <v>1</v>
      </c>
      <c r="N44" s="9" t="n">
        <v>103000</v>
      </c>
      <c r="O44" s="9">
        <f>ROUNDUP(N44*M44, -2)</f>
        <v/>
      </c>
      <c r="P44" s="7" t="inlineStr">
        <is>
          <t>Louver nan Z ngoài trời kèm lưới chắn côn trùng Inox 304</t>
        </is>
      </c>
    </row>
    <row r="45">
      <c r="A45" s="6" t="n">
        <v>30</v>
      </c>
      <c r="B45" s="7" t="inlineStr">
        <is>
          <t>Miệng gió hút mùi WC 200x200</t>
        </is>
      </c>
      <c r="C45" s="6" t="inlineStr">
        <is>
          <t>SDG</t>
        </is>
      </c>
      <c r="D45" s="6" t="inlineStr">
        <is>
          <t>SWIND</t>
        </is>
      </c>
      <c r="E45" s="6" t="n">
        <v>200</v>
      </c>
      <c r="F45" s="6" t="n">
        <v>200</v>
      </c>
      <c r="G45" s="6" t="n">
        <v>150</v>
      </c>
      <c r="H45" s="6" t="n">
        <v>150</v>
      </c>
      <c r="I45" s="6" t="n"/>
      <c r="J45" s="6" t="n"/>
      <c r="K45" s="6" t="n"/>
      <c r="L45" s="6" t="inlineStr">
        <is>
          <t>Cái</t>
        </is>
      </c>
      <c r="M45" s="9" t="n">
        <v>3</v>
      </c>
      <c r="N45" s="9" t="n">
        <v>52000</v>
      </c>
      <c r="O45" s="9">
        <f>ROUNDUP(N45*M45, -2)</f>
        <v/>
      </c>
      <c r="P45" s="7" t="inlineStr">
        <is>
          <t>Cửa nan bầu dục 1 lớp</t>
        </is>
      </c>
    </row>
    <row r="46">
      <c r="A46" s="6" t="n">
        <v>31</v>
      </c>
      <c r="B46" s="7" t="inlineStr">
        <is>
          <t>Miệng gió hút mùi WC 250x250</t>
        </is>
      </c>
      <c r="C46" s="6" t="inlineStr">
        <is>
          <t>SDG</t>
        </is>
      </c>
      <c r="D46" s="6" t="inlineStr">
        <is>
          <t>SWIND</t>
        </is>
      </c>
      <c r="E46" s="6" t="n">
        <v>250</v>
      </c>
      <c r="F46" s="6" t="n">
        <v>250</v>
      </c>
      <c r="G46" s="6" t="n">
        <v>200</v>
      </c>
      <c r="H46" s="6" t="n">
        <v>200</v>
      </c>
      <c r="I46" s="6" t="n"/>
      <c r="J46" s="6" t="n"/>
      <c r="K46" s="6" t="n"/>
      <c r="L46" s="6" t="inlineStr">
        <is>
          <t>Cái</t>
        </is>
      </c>
      <c r="M46" s="9" t="n">
        <v>1</v>
      </c>
      <c r="N46" s="9" t="n">
        <v>71000</v>
      </c>
      <c r="O46" s="9">
        <f>ROUNDUP(N46*M46, -2)</f>
        <v/>
      </c>
      <c r="P46" s="7" t="inlineStr">
        <is>
          <t>Cửa nan bầu dục 1 lớp</t>
        </is>
      </c>
    </row>
    <row r="47">
      <c r="A47" s="6" t="n">
        <v>34</v>
      </c>
      <c r="B47" s="7" t="inlineStr">
        <is>
          <t>Tole gia công ống thải dày 0.58mm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inlineStr">
        <is>
          <t>m2</t>
        </is>
      </c>
      <c r="M47" s="9" t="n">
        <v>16.72</v>
      </c>
      <c r="N47" s="8" t="n"/>
      <c r="O47" s="8" t="n"/>
      <c r="P47" s="7" t="n"/>
    </row>
    <row r="48">
      <c r="A48" s="6" t="n">
        <v>35</v>
      </c>
      <c r="B48" s="7" t="inlineStr">
        <is>
          <t>Tole gia công ống thải dày 0.8mm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inlineStr">
        <is>
          <t>m2</t>
        </is>
      </c>
      <c r="M48" s="9" t="n">
        <v>0</v>
      </c>
      <c r="N48" s="8" t="n"/>
      <c r="O48" s="8" t="n"/>
      <c r="P48" s="7" t="n"/>
    </row>
    <row r="49">
      <c r="A49" s="6" t="n">
        <v>36</v>
      </c>
      <c r="B49" s="7" t="inlineStr">
        <is>
          <t>Tole gia công ống thải dày 1.0mm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inlineStr">
        <is>
          <t>m2</t>
        </is>
      </c>
      <c r="M49" s="9" t="n">
        <v>0</v>
      </c>
      <c r="N49" s="8" t="n"/>
      <c r="O49" s="8" t="n"/>
      <c r="P49" s="7" t="n"/>
    </row>
    <row r="50">
      <c r="A50" s="6" t="n">
        <v>15</v>
      </c>
      <c r="B50" s="7" t="inlineStr">
        <is>
          <t>Louver gió thải kèm LCCT 700x100</t>
        </is>
      </c>
      <c r="C50" s="6" t="inlineStr">
        <is>
          <t>WL+N</t>
        </is>
      </c>
      <c r="D50" s="6" t="inlineStr">
        <is>
          <t>SWIND</t>
        </is>
      </c>
      <c r="E50" s="6" t="n">
        <v>700</v>
      </c>
      <c r="F50" s="6" t="n">
        <v>100</v>
      </c>
      <c r="G50" s="6" t="n">
        <v>650</v>
      </c>
      <c r="H50" s="6" t="n">
        <v>50</v>
      </c>
      <c r="I50" s="6" t="n"/>
      <c r="J50" s="6" t="n"/>
      <c r="K50" s="6" t="n"/>
      <c r="L50" s="6" t="inlineStr">
        <is>
          <t>Cái</t>
        </is>
      </c>
      <c r="M50" s="9" t="n">
        <v>1</v>
      </c>
      <c r="N50" s="9" t="n">
        <v>125000</v>
      </c>
      <c r="O50" s="9">
        <f>ROUNDUP(N50*M50, -2)</f>
        <v/>
      </c>
      <c r="P50" s="7" t="inlineStr">
        <is>
          <t>Louver nan Z ngoài trời kèm lưới chắn côn trùng Inox 304</t>
        </is>
      </c>
    </row>
    <row r="51">
      <c r="A51" s="6" t="n">
        <v>17</v>
      </c>
      <c r="B51" s="7" t="inlineStr">
        <is>
          <t>Miệng gió thải WC 200x200 kèm OBD</t>
        </is>
      </c>
      <c r="C51" s="6" t="inlineStr">
        <is>
          <t>SDG+O</t>
        </is>
      </c>
      <c r="D51" s="6" t="inlineStr">
        <is>
          <t>SWIND</t>
        </is>
      </c>
      <c r="E51" s="6" t="n">
        <v>200</v>
      </c>
      <c r="F51" s="6" t="n">
        <v>200</v>
      </c>
      <c r="G51" s="6" t="n">
        <v>150</v>
      </c>
      <c r="H51" s="6" t="n">
        <v>150</v>
      </c>
      <c r="I51" s="6" t="n"/>
      <c r="J51" s="6" t="n"/>
      <c r="K51" s="6" t="n"/>
      <c r="L51" s="6" t="inlineStr">
        <is>
          <t>Cái</t>
        </is>
      </c>
      <c r="M51" s="9" t="n">
        <v>4</v>
      </c>
      <c r="N51" s="9" t="n">
        <v>92000</v>
      </c>
      <c r="O51" s="9">
        <f>ROUNDUP(N51*M51, -2)</f>
        <v/>
      </c>
      <c r="P51" s="7" t="inlineStr">
        <is>
          <t>Cửa nan bầu dục 1 lớp kèm van OBD</t>
        </is>
      </c>
    </row>
    <row r="52">
      <c r="A52" s="6" t="n">
        <v>18</v>
      </c>
      <c r="B52" s="7" t="inlineStr">
        <is>
          <t>Tole gia công ống thải dày 0.58mm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inlineStr">
        <is>
          <t>m2</t>
        </is>
      </c>
      <c r="M52" s="9" t="n">
        <v>15.52</v>
      </c>
      <c r="N52" s="8" t="n"/>
      <c r="O52" s="8" t="n"/>
      <c r="P52" s="7" t="n"/>
    </row>
    <row r="53">
      <c r="A53" s="6" t="n">
        <v>19</v>
      </c>
      <c r="B53" s="7" t="inlineStr">
        <is>
          <t>Tole gia công ống thải dày 0.8mm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inlineStr">
        <is>
          <t>m2</t>
        </is>
      </c>
      <c r="M53" s="9" t="n">
        <v>0</v>
      </c>
      <c r="N53" s="8" t="n"/>
      <c r="O53" s="8" t="n"/>
      <c r="P53" s="7" t="n"/>
    </row>
    <row r="54">
      <c r="A54" s="6" t="n">
        <v>20</v>
      </c>
      <c r="B54" s="7" t="inlineStr">
        <is>
          <t>Tole gia công ống thải dày 1.0mm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inlineStr">
        <is>
          <t>m2</t>
        </is>
      </c>
      <c r="M54" s="9" t="n">
        <v>0</v>
      </c>
      <c r="N54" s="8" t="n"/>
      <c r="O54" s="8" t="n"/>
      <c r="P54" s="7" t="n"/>
    </row>
    <row r="55">
      <c r="A55" s="6" t="n">
        <v>21</v>
      </c>
      <c r="B55" s="7" t="inlineStr">
        <is>
          <t>Van chặn lửa FD 100x100</t>
        </is>
      </c>
      <c r="C55" s="6" t="inlineStr">
        <is>
          <t>FD</t>
        </is>
      </c>
      <c r="D55" s="6" t="inlineStr">
        <is>
          <t>SWIND</t>
        </is>
      </c>
      <c r="E55" s="6" t="n">
        <v>100</v>
      </c>
      <c r="F55" s="6" t="n">
        <v>100</v>
      </c>
      <c r="G55" s="6" t="n"/>
      <c r="H55" s="6" t="n"/>
      <c r="I55" s="6" t="n"/>
      <c r="J55" s="6" t="n">
        <v>200</v>
      </c>
      <c r="K55" s="10" t="n">
        <v>1.15</v>
      </c>
      <c r="L55" s="6" t="inlineStr">
        <is>
          <t>Cái</t>
        </is>
      </c>
      <c r="M55" s="9" t="n">
        <v>2</v>
      </c>
      <c r="N55" s="9" t="n">
        <v>224000</v>
      </c>
      <c r="O55" s="9">
        <f>ROUNDUP(N55*M55, -2)</f>
        <v/>
      </c>
      <c r="P55" s="7" t="inlineStr">
        <is>
          <t>Van chặn lửa cầu chì tôn mạ kẽm</t>
        </is>
      </c>
    </row>
    <row r="56">
      <c r="A56" s="6" t="n">
        <v>22</v>
      </c>
      <c r="B56" s="7" t="inlineStr">
        <is>
          <t>Van chặn lửa FD 200x200</t>
        </is>
      </c>
      <c r="C56" s="6" t="inlineStr">
        <is>
          <t>FD</t>
        </is>
      </c>
      <c r="D56" s="6" t="inlineStr">
        <is>
          <t>SWIND</t>
        </is>
      </c>
      <c r="E56" s="6" t="n">
        <v>200</v>
      </c>
      <c r="F56" s="6" t="n">
        <v>200</v>
      </c>
      <c r="G56" s="6" t="n"/>
      <c r="H56" s="6" t="n"/>
      <c r="I56" s="6" t="n"/>
      <c r="J56" s="6" t="n">
        <v>200</v>
      </c>
      <c r="K56" s="10" t="n">
        <v>1.15</v>
      </c>
      <c r="L56" s="6" t="inlineStr">
        <is>
          <t>Cái</t>
        </is>
      </c>
      <c r="M56" s="9" t="n">
        <v>1</v>
      </c>
      <c r="N56" s="9" t="n">
        <v>279000</v>
      </c>
      <c r="O56" s="9">
        <f>ROUNDUP(N56*M56, -2)</f>
        <v/>
      </c>
      <c r="P56" s="7" t="inlineStr">
        <is>
          <t>Van chặn lửa cầu chì tôn mạ kẽm</t>
        </is>
      </c>
    </row>
    <row r="57">
      <c r="A57" s="6" t="n">
        <v>25</v>
      </c>
      <c r="B57" s="7" t="inlineStr">
        <is>
          <t>Louver gió tươi kèm LCCT 800x250</t>
        </is>
      </c>
      <c r="C57" s="6" t="inlineStr">
        <is>
          <t>WL+N</t>
        </is>
      </c>
      <c r="D57" s="6" t="inlineStr">
        <is>
          <t>SWIND</t>
        </is>
      </c>
      <c r="E57" s="6" t="n">
        <v>800</v>
      </c>
      <c r="F57" s="6" t="n">
        <v>250</v>
      </c>
      <c r="G57" s="6" t="n">
        <v>750</v>
      </c>
      <c r="H57" s="6" t="n">
        <v>200</v>
      </c>
      <c r="I57" s="6" t="n"/>
      <c r="J57" s="6" t="n"/>
      <c r="K57" s="6" t="n"/>
      <c r="L57" s="6" t="inlineStr">
        <is>
          <t>Cái</t>
        </is>
      </c>
      <c r="M57" s="9" t="n">
        <v>1</v>
      </c>
      <c r="N57" s="9" t="n">
        <v>292000</v>
      </c>
      <c r="O57" s="9">
        <f>ROUNDUP(N57*M57, -2)</f>
        <v/>
      </c>
      <c r="P57" s="7" t="inlineStr">
        <is>
          <t>Louver nan Z ngoài trời kèm lưới chắn côn trùng Inox 304</t>
        </is>
      </c>
    </row>
    <row r="58">
      <c r="A58" s="6" t="n">
        <v>26</v>
      </c>
      <c r="B58" s="7" t="inlineStr">
        <is>
          <t>VCD 150</t>
        </is>
      </c>
      <c r="C58" s="6" t="inlineStr">
        <is>
          <t>VCD</t>
        </is>
      </c>
      <c r="D58" s="6" t="inlineStr">
        <is>
          <t>SWIND</t>
        </is>
      </c>
      <c r="E58" s="6" t="inlineStr">
        <is>
          <t>Ø</t>
        </is>
      </c>
      <c r="F58" s="6" t="n">
        <v>150</v>
      </c>
      <c r="G58" s="6" t="n"/>
      <c r="H58" s="6" t="n"/>
      <c r="I58" s="6" t="n"/>
      <c r="J58" s="6" t="n">
        <v>200</v>
      </c>
      <c r="K58" s="10" t="n">
        <v>0.75</v>
      </c>
      <c r="L58" s="6" t="inlineStr">
        <is>
          <t>Cái</t>
        </is>
      </c>
      <c r="M58" s="9" t="n">
        <v>7</v>
      </c>
      <c r="N58" s="9" t="n">
        <v>126000</v>
      </c>
      <c r="O58" s="9">
        <f>ROUNDUP(N58*M58, -2)</f>
        <v/>
      </c>
      <c r="P58" s="7" t="inlineStr">
        <is>
          <t>Van điều chỉnh lưu lượng tay gạt tôn mạ kẽm</t>
        </is>
      </c>
    </row>
    <row r="59">
      <c r="A59" s="6" t="n">
        <v>27</v>
      </c>
      <c r="B59" s="7" t="inlineStr">
        <is>
          <t>Tole gia công ống tươi dày 0.58mm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inlineStr">
        <is>
          <t>m2</t>
        </is>
      </c>
      <c r="M59" s="9" t="n">
        <v>28.388</v>
      </c>
      <c r="N59" s="8" t="n"/>
      <c r="O59" s="8" t="n"/>
      <c r="P59" s="7" t="n"/>
    </row>
    <row r="60">
      <c r="A60" s="6" t="n">
        <v>28</v>
      </c>
      <c r="B60" s="7" t="inlineStr">
        <is>
          <t>Tole gia công ống tươi dày 0.8mm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inlineStr">
        <is>
          <t>m2</t>
        </is>
      </c>
      <c r="M60" s="9" t="n">
        <v>34.32</v>
      </c>
      <c r="N60" s="8" t="n"/>
      <c r="O60" s="8" t="n"/>
      <c r="P60" s="7" t="n"/>
    </row>
    <row r="61">
      <c r="A61" s="6" t="n">
        <v>29</v>
      </c>
      <c r="B61" s="7" t="inlineStr">
        <is>
          <t>Tole gia công ống tươi dày 1.0mm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inlineStr">
        <is>
          <t>m2</t>
        </is>
      </c>
      <c r="M61" s="9" t="n">
        <v>0</v>
      </c>
      <c r="N61" s="8" t="n"/>
      <c r="O61" s="8" t="n"/>
      <c r="P61" s="7" t="n"/>
    </row>
    <row r="62">
      <c r="A62" s="6" t="n">
        <v>30</v>
      </c>
      <c r="B62" s="7" t="inlineStr">
        <is>
          <t>Van chặn lửa FD550x200</t>
        </is>
      </c>
      <c r="C62" s="6" t="inlineStr">
        <is>
          <t>FD</t>
        </is>
      </c>
      <c r="D62" s="6" t="inlineStr">
        <is>
          <t>SWIND</t>
        </is>
      </c>
      <c r="E62" s="6" t="n">
        <v>550</v>
      </c>
      <c r="F62" s="6" t="n">
        <v>200</v>
      </c>
      <c r="G62" s="6" t="n"/>
      <c r="H62" s="6" t="n"/>
      <c r="I62" s="6" t="n"/>
      <c r="J62" s="6" t="n">
        <v>200</v>
      </c>
      <c r="K62" s="10" t="n">
        <v>1.15</v>
      </c>
      <c r="L62" s="6" t="inlineStr">
        <is>
          <t>Cái</t>
        </is>
      </c>
      <c r="M62" s="9" t="n">
        <v>1</v>
      </c>
      <c r="N62" s="9" t="n">
        <v>383000</v>
      </c>
      <c r="O62" s="9">
        <f>ROUNDUP(N62*M62, -2)</f>
        <v/>
      </c>
      <c r="P62" s="7" t="inlineStr">
        <is>
          <t>Van chặn lửa cầu chì tôn mạ kẽm</t>
        </is>
      </c>
    </row>
    <row r="63">
      <c r="A63" s="6" t="n">
        <v>31</v>
      </c>
      <c r="B63" s="7" t="inlineStr">
        <is>
          <t>Van chặn lửa FD250x100</t>
        </is>
      </c>
      <c r="C63" s="6" t="inlineStr">
        <is>
          <t>FD</t>
        </is>
      </c>
      <c r="D63" s="6" t="inlineStr">
        <is>
          <t>SWIND</t>
        </is>
      </c>
      <c r="E63" s="6" t="n">
        <v>250</v>
      </c>
      <c r="F63" s="6" t="n">
        <v>100</v>
      </c>
      <c r="G63" s="6" t="n"/>
      <c r="H63" s="6" t="n"/>
      <c r="I63" s="6" t="n"/>
      <c r="J63" s="6" t="n">
        <v>200</v>
      </c>
      <c r="K63" s="10" t="n">
        <v>1.15</v>
      </c>
      <c r="L63" s="6" t="inlineStr">
        <is>
          <t>Cái</t>
        </is>
      </c>
      <c r="M63" s="9" t="n">
        <v>3</v>
      </c>
      <c r="N63" s="9" t="n">
        <v>263000</v>
      </c>
      <c r="O63" s="9">
        <f>ROUNDUP(N63*M63, -2)</f>
        <v/>
      </c>
      <c r="P63" s="7" t="inlineStr">
        <is>
          <t>Van chặn lửa cầu chì tôn mạ kẽm</t>
        </is>
      </c>
    </row>
    <row r="64">
      <c r="A64" s="6" t="n">
        <v>32</v>
      </c>
      <c r="B64" s="7" t="inlineStr">
        <is>
          <t>Van chặn lửa FD150x100</t>
        </is>
      </c>
      <c r="C64" s="6" t="inlineStr">
        <is>
          <t>FD</t>
        </is>
      </c>
      <c r="D64" s="6" t="inlineStr">
        <is>
          <t>SWIND</t>
        </is>
      </c>
      <c r="E64" s="6" t="n">
        <v>150</v>
      </c>
      <c r="F64" s="6" t="n">
        <v>100</v>
      </c>
      <c r="G64" s="6" t="n"/>
      <c r="H64" s="6" t="n"/>
      <c r="I64" s="6" t="n"/>
      <c r="J64" s="6" t="n">
        <v>200</v>
      </c>
      <c r="K64" s="10" t="n">
        <v>1.15</v>
      </c>
      <c r="L64" s="6" t="inlineStr">
        <is>
          <t>Cái</t>
        </is>
      </c>
      <c r="M64" s="9" t="n">
        <v>2</v>
      </c>
      <c r="N64" s="9" t="n">
        <v>237000</v>
      </c>
      <c r="O64" s="9">
        <f>ROUNDUP(N64*M64, -2)</f>
        <v/>
      </c>
      <c r="P64" s="7" t="inlineStr">
        <is>
          <t>Van chặn lửa cầu chì tôn mạ kẽm</t>
        </is>
      </c>
    </row>
    <row r="65">
      <c r="A65" s="6" t="n">
        <v>10</v>
      </c>
      <c r="B65" s="7" t="inlineStr">
        <is>
          <t>Louver gió thải kèm LCCT 250x150</t>
        </is>
      </c>
      <c r="C65" s="6" t="inlineStr">
        <is>
          <t>WL+N</t>
        </is>
      </c>
      <c r="D65" s="6" t="inlineStr">
        <is>
          <t>SWIND</t>
        </is>
      </c>
      <c r="E65" s="6" t="n">
        <v>250</v>
      </c>
      <c r="F65" s="6" t="n">
        <v>150</v>
      </c>
      <c r="G65" s="6" t="n">
        <v>200</v>
      </c>
      <c r="H65" s="6" t="n">
        <v>100</v>
      </c>
      <c r="I65" s="6" t="n"/>
      <c r="J65" s="6" t="n"/>
      <c r="K65" s="6" t="n"/>
      <c r="L65" s="6" t="inlineStr">
        <is>
          <t>Cái</t>
        </is>
      </c>
      <c r="M65" s="9" t="n">
        <v>1</v>
      </c>
      <c r="N65" s="9" t="n">
        <v>70000</v>
      </c>
      <c r="O65" s="9">
        <f>ROUNDUP(N65*M65, -2)</f>
        <v/>
      </c>
      <c r="P65" s="7" t="inlineStr">
        <is>
          <t>Louver nan Z ngoài trời kèm lưới chắn côn trùng Inox 304</t>
        </is>
      </c>
    </row>
    <row r="66">
      <c r="A66" s="6" t="n">
        <v>11</v>
      </c>
      <c r="B66" s="7" t="inlineStr">
        <is>
          <t>Miệng gió thải WC 200x200 kèm OBD</t>
        </is>
      </c>
      <c r="C66" s="6" t="inlineStr">
        <is>
          <t>SDG+O</t>
        </is>
      </c>
      <c r="D66" s="6" t="inlineStr">
        <is>
          <t>SWIND</t>
        </is>
      </c>
      <c r="E66" s="6" t="n">
        <v>200</v>
      </c>
      <c r="F66" s="6" t="n">
        <v>200</v>
      </c>
      <c r="G66" s="6" t="n">
        <v>150</v>
      </c>
      <c r="H66" s="6" t="n">
        <v>150</v>
      </c>
      <c r="I66" s="6" t="n"/>
      <c r="J66" s="6" t="n"/>
      <c r="K66" s="6" t="n"/>
      <c r="L66" s="6" t="inlineStr">
        <is>
          <t>Cái</t>
        </is>
      </c>
      <c r="M66" s="9" t="n">
        <v>3</v>
      </c>
      <c r="N66" s="9" t="n">
        <v>92000</v>
      </c>
      <c r="O66" s="9">
        <f>ROUNDUP(N66*M66, -2)</f>
        <v/>
      </c>
      <c r="P66" s="7" t="inlineStr">
        <is>
          <t>Cửa nan bầu dục 1 lớp kèm van OBD</t>
        </is>
      </c>
    </row>
    <row r="67">
      <c r="A67" s="6" t="n">
        <v>12</v>
      </c>
      <c r="B67" s="7" t="inlineStr">
        <is>
          <t>Tole gia công ống thải dày 0.58mm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inlineStr">
        <is>
          <t>m2</t>
        </is>
      </c>
      <c r="M67" s="9" t="n">
        <v>5.8</v>
      </c>
      <c r="N67" s="8" t="n"/>
      <c r="O67" s="8" t="n"/>
      <c r="P67" s="7" t="n"/>
    </row>
    <row r="68">
      <c r="A68" s="6" t="n">
        <v>13</v>
      </c>
      <c r="B68" s="7" t="inlineStr">
        <is>
          <t>Tole gia công ống thải dày 0.8mm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inlineStr">
        <is>
          <t>m2</t>
        </is>
      </c>
      <c r="M68" s="9" t="n">
        <v>0</v>
      </c>
      <c r="N68" s="8" t="n"/>
      <c r="O68" s="8" t="n"/>
      <c r="P68" s="7" t="n"/>
    </row>
    <row r="69">
      <c r="A69" s="6" t="n">
        <v>14</v>
      </c>
      <c r="B69" s="7" t="inlineStr">
        <is>
          <t>Tole gia công ống thải dày 1.0mm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inlineStr">
        <is>
          <t>m2</t>
        </is>
      </c>
      <c r="M69" s="9" t="n">
        <v>0</v>
      </c>
      <c r="N69" s="8" t="n"/>
      <c r="O69" s="8" t="n"/>
      <c r="P69" s="7" t="n"/>
    </row>
    <row r="70">
      <c r="A70" s="6" t="n">
        <v>17</v>
      </c>
      <c r="B70" s="7" t="inlineStr">
        <is>
          <t>Louver gió tươi kèm LCCT 300x150</t>
        </is>
      </c>
      <c r="C70" s="6" t="inlineStr">
        <is>
          <t>WL+N</t>
        </is>
      </c>
      <c r="D70" s="6" t="inlineStr">
        <is>
          <t>SWIND</t>
        </is>
      </c>
      <c r="E70" s="6" t="n">
        <v>300</v>
      </c>
      <c r="F70" s="6" t="n">
        <v>150</v>
      </c>
      <c r="G70" s="6" t="n">
        <v>250</v>
      </c>
      <c r="H70" s="6" t="n">
        <v>100</v>
      </c>
      <c r="I70" s="6" t="n"/>
      <c r="J70" s="6" t="n"/>
      <c r="K70" s="6" t="n"/>
      <c r="L70" s="6" t="inlineStr">
        <is>
          <t>Cái</t>
        </is>
      </c>
      <c r="M70" s="9" t="n">
        <v>1</v>
      </c>
      <c r="N70" s="9" t="n">
        <v>81000</v>
      </c>
      <c r="O70" s="9">
        <f>ROUNDUP(N70*M70, -2)</f>
        <v/>
      </c>
      <c r="P70" s="7" t="inlineStr">
        <is>
          <t>Louver nan Z ngoài trời kèm lưới chắn côn trùng Inox 304</t>
        </is>
      </c>
    </row>
    <row r="71">
      <c r="A71" s="6" t="n">
        <v>18</v>
      </c>
      <c r="B71" s="7" t="inlineStr">
        <is>
          <t>VCD 150</t>
        </is>
      </c>
      <c r="C71" s="6" t="inlineStr">
        <is>
          <t>VCD</t>
        </is>
      </c>
      <c r="D71" s="6" t="inlineStr">
        <is>
          <t>SWIND</t>
        </is>
      </c>
      <c r="E71" s="6" t="inlineStr">
        <is>
          <t>Ø</t>
        </is>
      </c>
      <c r="F71" s="6" t="n">
        <v>150</v>
      </c>
      <c r="G71" s="6" t="n"/>
      <c r="H71" s="6" t="n"/>
      <c r="I71" s="6" t="n"/>
      <c r="J71" s="6" t="n">
        <v>200</v>
      </c>
      <c r="K71" s="10" t="n">
        <v>0.75</v>
      </c>
      <c r="L71" s="6" t="inlineStr">
        <is>
          <t>Cái</t>
        </is>
      </c>
      <c r="M71" s="9" t="n">
        <v>4</v>
      </c>
      <c r="N71" s="9" t="n">
        <v>126000</v>
      </c>
      <c r="O71" s="9">
        <f>ROUNDUP(N71*M71, -2)</f>
        <v/>
      </c>
      <c r="P71" s="7" t="inlineStr">
        <is>
          <t>Van điều chỉnh lưu lượng tay gạt tôn mạ kẽm</t>
        </is>
      </c>
    </row>
    <row r="72">
      <c r="A72" s="6" t="n">
        <v>19</v>
      </c>
      <c r="B72" s="7" t="inlineStr">
        <is>
          <t>Tole gia công ống tươi dày 0.58mm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inlineStr">
        <is>
          <t>m2</t>
        </is>
      </c>
      <c r="M72" s="9" t="n">
        <v>12.9832</v>
      </c>
      <c r="N72" s="8" t="n"/>
      <c r="O72" s="8" t="n"/>
      <c r="P72" s="7" t="n"/>
    </row>
    <row r="73">
      <c r="A73" s="6" t="n">
        <v>20</v>
      </c>
      <c r="B73" s="7" t="inlineStr">
        <is>
          <t>Tole gia công ống tươi dày 0.8mm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inlineStr">
        <is>
          <t>m2</t>
        </is>
      </c>
      <c r="M73" s="9" t="n">
        <v>0</v>
      </c>
      <c r="N73" s="8" t="n"/>
      <c r="O73" s="8" t="n"/>
      <c r="P73" s="7" t="n"/>
    </row>
    <row r="74">
      <c r="A74" s="6" t="n">
        <v>21</v>
      </c>
      <c r="B74" s="7" t="inlineStr">
        <is>
          <t>Tole gia công ống tươi dày 1.0mm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inlineStr">
        <is>
          <t>m2</t>
        </is>
      </c>
      <c r="M74" s="9" t="n">
        <v>0</v>
      </c>
      <c r="N74" s="8" t="n"/>
      <c r="O74" s="8" t="n"/>
      <c r="P74" s="7" t="n"/>
    </row>
    <row r="75">
      <c r="A75" s="6" t="n">
        <v>11</v>
      </c>
      <c r="B75" s="7" t="inlineStr">
        <is>
          <t>Louver gió tươi kèm LCCT 300x150</t>
        </is>
      </c>
      <c r="C75" s="6" t="inlineStr">
        <is>
          <t>WL+N</t>
        </is>
      </c>
      <c r="D75" s="6" t="inlineStr">
        <is>
          <t>SWIND</t>
        </is>
      </c>
      <c r="E75" s="6" t="n">
        <v>300</v>
      </c>
      <c r="F75" s="6" t="n">
        <v>150</v>
      </c>
      <c r="G75" s="6" t="n">
        <v>250</v>
      </c>
      <c r="H75" s="6" t="n">
        <v>100</v>
      </c>
      <c r="I75" s="6" t="n"/>
      <c r="J75" s="6" t="n"/>
      <c r="K75" s="6" t="n"/>
      <c r="L75" s="6" t="inlineStr">
        <is>
          <t>Cái</t>
        </is>
      </c>
      <c r="M75" s="9" t="n">
        <v>1</v>
      </c>
      <c r="N75" s="9" t="n">
        <v>81000</v>
      </c>
      <c r="O75" s="9">
        <f>ROUNDUP(N75*M75, -2)</f>
        <v/>
      </c>
      <c r="P75" s="7" t="inlineStr">
        <is>
          <t>Louver nan Z ngoài trời kèm lưới chắn côn trùng Inox 304</t>
        </is>
      </c>
    </row>
    <row r="76">
      <c r="A76" s="6" t="n">
        <v>12</v>
      </c>
      <c r="B76" s="7" t="inlineStr">
        <is>
          <t>VCD 150</t>
        </is>
      </c>
      <c r="C76" s="6" t="inlineStr">
        <is>
          <t>VCD</t>
        </is>
      </c>
      <c r="D76" s="6" t="inlineStr">
        <is>
          <t>SWIND</t>
        </is>
      </c>
      <c r="E76" s="6" t="inlineStr">
        <is>
          <t>Ø</t>
        </is>
      </c>
      <c r="F76" s="6" t="n">
        <v>150</v>
      </c>
      <c r="G76" s="6" t="n"/>
      <c r="H76" s="6" t="n"/>
      <c r="I76" s="6" t="n"/>
      <c r="J76" s="6" t="n">
        <v>200</v>
      </c>
      <c r="K76" s="10" t="n">
        <v>0.75</v>
      </c>
      <c r="L76" s="6" t="inlineStr">
        <is>
          <t>Cái</t>
        </is>
      </c>
      <c r="M76" s="9" t="n">
        <v>5</v>
      </c>
      <c r="N76" s="9" t="n">
        <v>126000</v>
      </c>
      <c r="O76" s="9">
        <f>ROUNDUP(N76*M76, -2)</f>
        <v/>
      </c>
      <c r="P76" s="7" t="inlineStr">
        <is>
          <t>Van điều chỉnh lưu lượng tay gạt tôn mạ kẽm</t>
        </is>
      </c>
    </row>
    <row r="77">
      <c r="A77" s="6" t="n">
        <v>13</v>
      </c>
      <c r="B77" s="7" t="inlineStr">
        <is>
          <t>Tole gia công ống tươi dày 0.58mm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inlineStr">
        <is>
          <t>m2</t>
        </is>
      </c>
      <c r="M77" s="9" t="n">
        <v>15</v>
      </c>
      <c r="N77" s="8" t="n"/>
      <c r="O77" s="8" t="n"/>
      <c r="P77" s="7" t="n"/>
    </row>
    <row r="78">
      <c r="A78" s="6" t="n">
        <v>14</v>
      </c>
      <c r="B78" s="7" t="inlineStr">
        <is>
          <t>Tole gia công ống tươi dày 0.8mm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inlineStr">
        <is>
          <t>m2</t>
        </is>
      </c>
      <c r="M78" s="9" t="n">
        <v>0</v>
      </c>
      <c r="N78" s="8" t="n"/>
      <c r="O78" s="8" t="n"/>
      <c r="P78" s="7" t="n"/>
    </row>
    <row r="79">
      <c r="A79" s="6" t="n">
        <v>15</v>
      </c>
      <c r="B79" s="7" t="inlineStr">
        <is>
          <t>Tole gia công ống tươi dày 1.0mm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inlineStr">
        <is>
          <t>m2</t>
        </is>
      </c>
      <c r="M79" s="9" t="n">
        <v>0</v>
      </c>
      <c r="N79" s="8" t="n"/>
      <c r="O79" s="8" t="n"/>
      <c r="P79" s="7" t="n"/>
    </row>
    <row r="80"/>
    <row r="81">
      <c r="B81" s="11" t="inlineStr">
        <is>
          <t>TỔNG CỘNG (CHƯA BAO GỒM VAT):</t>
        </is>
      </c>
      <c r="O81" s="12">
        <f>SUBTOTAL(9,O14:O79)</f>
        <v/>
      </c>
    </row>
    <row r="82">
      <c r="B82" s="11" t="inlineStr">
        <is>
          <t>THUẾ GTGT (VAT 8%):</t>
        </is>
      </c>
      <c r="O82" s="12">
        <f>ROUND(O81*0.08, 0)</f>
        <v/>
      </c>
    </row>
    <row r="83">
      <c r="B83" s="11" t="inlineStr">
        <is>
          <t>TỔNG CỘNG THANH TOÁN (ĐÃ GỒM VAT 8%):</t>
        </is>
      </c>
      <c r="O83" s="12">
        <f>O81+O82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2026-10-19T14:46:00Z</dcterms:created>
  <dcterms:modified xsi:type="dcterms:W3CDTF">2026-10-19T14:46:00Z</dcterms:modified>
  <cp:lastModifiedBy>Swind Multi-Agent AI</cp:lastModifiedBy>
</cp:coreProperties>
</file>
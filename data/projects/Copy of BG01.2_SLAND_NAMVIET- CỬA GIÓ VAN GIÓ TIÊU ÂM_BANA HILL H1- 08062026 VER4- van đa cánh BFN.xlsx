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mc:AlternateContent xmlns:mc="http://schemas.openxmlformats.org/markup-compatibility/2006">
    <mc:Choice Requires="x15">
      <x15ac:absPath xmlns:x15ac="http://schemas.microsoft.com/office/spreadsheetml/2010/11/ac" url="D:\MPQ\MPQ\Bao Gia\chị Nhài\2026\Nam Viet\Van gió bà nà\"/>
    </mc:Choice>
  </mc:AlternateContent>
  <xr:revisionPtr revIDLastSave="0" documentId="8_{DA54FD0C-BB3D-4214-A7AC-E50D5E89D399}" xr6:coauthVersionLast="45" xr6:coauthVersionMax="45" xr10:uidLastSave="{00000000-0000-0000-0000-000000000000}"/>
  <bookViews>
    <workbookView xWindow="-38520" yWindow="-120" windowWidth="38640" windowHeight="15720" activeTab="2" xr2:uid="{00000000-000D-0000-FFFF-FFFF00000000}"/>
  </bookViews>
  <sheets>
    <sheet name="BOQ" sheetId="5" r:id="rId1"/>
    <sheet name="BG 1" sheetId="7" state="hidden" r:id="rId2"/>
    <sheet name="BG 2" sheetId="10" r:id="rId3"/>
  </sheets>
  <externalReferences>
    <externalReference r:id="rId4"/>
    <externalReference r:id="rId5"/>
    <externalReference r:id="rId6"/>
    <externalReference r:id="rId7"/>
    <externalReference r:id="rId8"/>
    <externalReference r:id="rId9"/>
    <externalReference r:id="rId10"/>
  </externalReferences>
  <definedNames>
    <definedName name="_?">#REF!</definedName>
    <definedName name="_??">#REF!</definedName>
    <definedName name="_??????">#REF!</definedName>
    <definedName name="_?1">#REF!</definedName>
    <definedName name="_?271">#REF!</definedName>
    <definedName name="_________________________________________________________________________________________________________tu4">{"'Sheet1'!$L$16"}</definedName>
    <definedName name="_______________________________________________________________________________________________________tu4">{"'Sheet1'!$L$16"}</definedName>
    <definedName name="_____________________________________________________________________________________________________tu4">{"'Sheet1'!$L$16"}</definedName>
    <definedName name="___________________________________________________________________________________________________tu4">{"'Sheet1'!$L$16"}</definedName>
    <definedName name="_________________________________________________________________________________________________tu4">{"'Sheet1'!$L$16"}</definedName>
    <definedName name="_______________________________________________________________________________________________tu4">{"'Sheet1'!$L$16"}</definedName>
    <definedName name="_____________________________________________________________________________________________tu4">{"'Sheet1'!$L$16"}</definedName>
    <definedName name="___________________________________________________________________________________________tu4">{"'Sheet1'!$L$16"}</definedName>
    <definedName name="_________________________________________________________________________________________tu4">{"'Sheet1'!$L$16"}</definedName>
    <definedName name="_______________________________________________________________________________________tu4">{"'Sheet1'!$L$16"}</definedName>
    <definedName name="_____________________________________________________________________________________tu4">{"'Sheet1'!$L$16"}</definedName>
    <definedName name="___________________________________________________________________________________tu4">{"'Sheet1'!$L$16"}</definedName>
    <definedName name="_________________________________________________________________________________tu4">{"'Sheet1'!$L$16"}</definedName>
    <definedName name="_______________________________________________________________________________tu4">{"'Sheet1'!$L$16"}</definedName>
    <definedName name="_____________________________________________________________________________tu4">{"'Sheet1'!$L$16"}</definedName>
    <definedName name="___________________________________________________________________________tu4">{"'Sheet1'!$L$16"}</definedName>
    <definedName name="_________________________________________________________________________tu4">{"'Sheet1'!$L$16"}</definedName>
    <definedName name="_______________________________________________________________________tu4">{"'Sheet1'!$L$16"}</definedName>
    <definedName name="_____________________________________________________________________tu4">{"'Sheet1'!$L$16"}</definedName>
    <definedName name="___________________________________________________________________tu4">{"'Sheet1'!$L$16"}</definedName>
    <definedName name="_________________________________________________________________a1">{"'Sheet1'!$L$16"}</definedName>
    <definedName name="_________________________________________________________________tu4">{"'Sheet1'!$L$16"}</definedName>
    <definedName name="________________________________________________________________a1">{"'Sheet1'!$L$16"}</definedName>
    <definedName name="_______________________________________________________________a1">{"'Sheet1'!$L$16"}</definedName>
    <definedName name="_______________________________________________________________tu4">{"'Sheet1'!$L$16"}</definedName>
    <definedName name="______________________________________________________________a1">{"'Sheet1'!$L$16"}</definedName>
    <definedName name="_____________________________________________________________a1">{"'Sheet1'!$L$16"}</definedName>
    <definedName name="_____________________________________________________________tu4">{"'Sheet1'!$L$16"}</definedName>
    <definedName name="____________________________________________________________a1">{"'Sheet1'!$L$16"}</definedName>
    <definedName name="___________________________________________________________a1">{"'Sheet1'!$L$16"}</definedName>
    <definedName name="___________________________________________________________tu4">{"'Sheet1'!$L$16"}</definedName>
    <definedName name="__________________________________________________________a1">{"'Sheet1'!$L$16"}</definedName>
    <definedName name="_________________________________________________________a1">{"'Sheet1'!$L$16"}</definedName>
    <definedName name="_________________________________________________________tu4">{"'Sheet1'!$L$16"}</definedName>
    <definedName name="________________________________________________________a1">{"'Sheet1'!$L$16"}</definedName>
    <definedName name="_______________________________________________________a1">{"'Sheet1'!$L$16"}</definedName>
    <definedName name="_______________________________________________________tu4">{"'Sheet1'!$L$16"}</definedName>
    <definedName name="______________________________________________________a1">{"'Sheet1'!$L$16"}</definedName>
    <definedName name="_____________________________________________________a1">{"'Sheet1'!$L$16"}</definedName>
    <definedName name="_____________________________________________________tu4">{"'Sheet1'!$L$16"}</definedName>
    <definedName name="____________________________________________________a1">{"'Sheet1'!$L$16"}</definedName>
    <definedName name="___________________________________________________a1">{"'Sheet1'!$L$16"}</definedName>
    <definedName name="___________________________________________________tu4">{"'Sheet1'!$L$16"}</definedName>
    <definedName name="__________________________________________________a1">{"'Sheet1'!$L$16"}</definedName>
    <definedName name="_________________________________________________a1">{"'Sheet1'!$L$16"}</definedName>
    <definedName name="_________________________________________________tu4">{"'Sheet1'!$L$16"}</definedName>
    <definedName name="________________________________________________a1">{"'Sheet1'!$L$16"}</definedName>
    <definedName name="_______________________________________________a1">{"'Sheet1'!$L$16"}</definedName>
    <definedName name="_______________________________________________tu4">{"'Sheet1'!$L$16"}</definedName>
    <definedName name="______________________________________________a1">{"'Sheet1'!$L$16"}</definedName>
    <definedName name="_____________________________________________a1">{"'Sheet1'!$L$16"}</definedName>
    <definedName name="_____________________________________________PA3">{"'Sheet1'!$L$16"}</definedName>
    <definedName name="_____________________________________________tu4">{"'Sheet1'!$L$16"}</definedName>
    <definedName name="____________________________________________a1">{"'Sheet1'!$L$16"}</definedName>
    <definedName name="____________________________________________PA3">{"'Sheet1'!$L$16"}</definedName>
    <definedName name="___________________________________________a1">{"'Sheet1'!$L$16"}</definedName>
    <definedName name="___________________________________________tu4">{"'Sheet1'!$L$16"}</definedName>
    <definedName name="__________________________________________a1">{"'Sheet1'!$L$16"}</definedName>
    <definedName name="__________________________________________PA3">{"'Sheet1'!$L$16"}</definedName>
    <definedName name="_________________________________________a1">{"'Sheet1'!$L$16"}</definedName>
    <definedName name="_________________________________________PA3">{"'Sheet1'!$L$16"}</definedName>
    <definedName name="_________________________________________tu4">{"'Sheet1'!$L$16"}</definedName>
    <definedName name="________________________________________a1">{"'Sheet1'!$L$16"}</definedName>
    <definedName name="________________________________________PA3">{"'Sheet1'!$L$16"}</definedName>
    <definedName name="_______________________________________a1">{"'Sheet1'!$L$16"}</definedName>
    <definedName name="_______________________________________BIA3">{"'Sheet1'!$L$16"}</definedName>
    <definedName name="_______________________________________PA3">{"'Sheet1'!$L$16"}</definedName>
    <definedName name="_______________________________________tu4">{"'Sheet1'!$L$16"}</definedName>
    <definedName name="______________________________________a1">{"'Sheet1'!$L$16"}</definedName>
    <definedName name="______________________________________BIA3">{"'Sheet1'!$L$16"}</definedName>
    <definedName name="______________________________________PA3">{"'Sheet1'!$L$16"}</definedName>
    <definedName name="_____________________________________a1">{"'Sheet1'!$L$16"}</definedName>
    <definedName name="_____________________________________PA3">{"'Sheet1'!$L$16"}</definedName>
    <definedName name="_____________________________________tu4">{"'Sheet1'!$L$16"}</definedName>
    <definedName name="____________________________________a1">{"'Sheet1'!$L$16"}</definedName>
    <definedName name="____________________________________BIA3">{"'Sheet1'!$L$16"}</definedName>
    <definedName name="____________________________________Goi8">{"'Sheet1'!$L$16"}</definedName>
    <definedName name="____________________________________PA3">{"'Sheet1'!$L$16"}</definedName>
    <definedName name="___________________________________a1">{"'Sheet1'!$L$16"}</definedName>
    <definedName name="___________________________________BIA3">{"'Sheet1'!$L$16"}</definedName>
    <definedName name="___________________________________Goi8">{"'Sheet1'!$L$16"}</definedName>
    <definedName name="___________________________________tu4">{"'Sheet1'!$L$16"}</definedName>
    <definedName name="__________________________________a1">{"'Sheet1'!$L$16"}</definedName>
    <definedName name="__________________________________BIA3">{"'Sheet1'!$L$16"}</definedName>
    <definedName name="__________________________________Goi8">{"'Sheet1'!$L$16"}</definedName>
    <definedName name="__________________________________PA3">{"'Sheet1'!$L$16"}</definedName>
    <definedName name="__________________________________tu4">{"'Sheet1'!$L$16"}</definedName>
    <definedName name="__________________________________VT3">{"'Sheet1'!$L$16"}</definedName>
    <definedName name="_________________________________a1">{"'Sheet1'!$L$16"}</definedName>
    <definedName name="_________________________________Goi8">{"'Sheet1'!$L$16"}</definedName>
    <definedName name="_________________________________NSO2">{"'Sheet1'!$L$16"}</definedName>
    <definedName name="_________________________________PA3">{"'Sheet1'!$L$16"}</definedName>
    <definedName name="_________________________________tu4">{"'Sheet1'!$L$16"}</definedName>
    <definedName name="________________________________a1">{"'Sheet1'!$L$16"}</definedName>
    <definedName name="________________________________BIA3">{"'Sheet1'!$L$16"}</definedName>
    <definedName name="________________________________Goi8">{"'Sheet1'!$L$16"}</definedName>
    <definedName name="________________________________VT3">{"'Sheet1'!$L$16"}</definedName>
    <definedName name="_______________________________a1">{"'Sheet1'!$L$16"}</definedName>
    <definedName name="_______________________________BIA3">{"'Sheet1'!$L$16"}</definedName>
    <definedName name="_______________________________Goi8">{"'Sheet1'!$L$16"}</definedName>
    <definedName name="_______________________________NSO2">{"'Sheet1'!$L$16"}</definedName>
    <definedName name="_______________________________PA3">{"'Sheet1'!$L$16"}</definedName>
    <definedName name="_______________________________tu4">{"'Sheet1'!$L$16"}</definedName>
    <definedName name="______________________________a1">{"'Sheet1'!$L$16"}</definedName>
    <definedName name="______________________________BIA3">{"'Sheet1'!$L$16"}</definedName>
    <definedName name="______________________________Goi8">{"'Sheet1'!$L$16"}</definedName>
    <definedName name="______________________________Lan1">{"'Sheet1'!$L$16"}</definedName>
    <definedName name="______________________________PA3">{"'Sheet1'!$L$16"}</definedName>
    <definedName name="______________________________SCL4">{"'Sheet1'!$L$16"}</definedName>
    <definedName name="______________________________tt3">{"'Sheet1'!$L$16"}</definedName>
    <definedName name="______________________________VT3">{"'Sheet1'!$L$16"}</definedName>
    <definedName name="_____________________________a1">{"'Sheet1'!$L$16"}</definedName>
    <definedName name="_____________________________BIA3">{"'Sheet1'!$L$16"}</definedName>
    <definedName name="_____________________________Goi8">{"'Sheet1'!$L$16"}</definedName>
    <definedName name="_____________________________NSO2">{"'Sheet1'!$L$16"}</definedName>
    <definedName name="_____________________________PA3">{"'Sheet1'!$L$16"}</definedName>
    <definedName name="_____________________________SCL4">{"'Sheet1'!$L$16"}</definedName>
    <definedName name="_____________________________tu4">{"'Sheet1'!$L$16"}</definedName>
    <definedName name="_____________________________VT3">{"'Sheet1'!$L$16"}</definedName>
    <definedName name="____________________________a1">{"'Sheet1'!$L$16"}</definedName>
    <definedName name="____________________________BIA3">{"'Sheet1'!$L$16"}</definedName>
    <definedName name="____________________________Goi8">{"'Sheet1'!$L$16"}</definedName>
    <definedName name="____________________________Lan1">{"'Sheet1'!$L$16"}</definedName>
    <definedName name="____________________________SCL4">{"'Sheet1'!$L$16"}</definedName>
    <definedName name="____________________________tt3">{"'Sheet1'!$L$16"}</definedName>
    <definedName name="____________________________VT3">{"'Sheet1'!$L$16"}</definedName>
    <definedName name="___________________________a1">{"'Sheet1'!$L$16"}</definedName>
    <definedName name="___________________________BIA3">{"'Sheet1'!$L$16"}</definedName>
    <definedName name="___________________________Goi8">{"'Sheet1'!$L$16"}</definedName>
    <definedName name="___________________________NSO2">{"'Sheet1'!$L$16"}</definedName>
    <definedName name="___________________________PA3">{"'Sheet1'!$L$16"}</definedName>
    <definedName name="___________________________SCL4">{"'Sheet1'!$L$16"}</definedName>
    <definedName name="___________________________tu4">{"'Sheet1'!$L$16"}</definedName>
    <definedName name="___________________________VT3">{"'Sheet1'!$L$16"}</definedName>
    <definedName name="__________________________a1">{"'Sheet1'!$L$16"}</definedName>
    <definedName name="__________________________BIA3">{"'Sheet1'!$L$16"}</definedName>
    <definedName name="__________________________Goi8">{"'Sheet1'!$L$16"}</definedName>
    <definedName name="__________________________Lan1">{"'Sheet1'!$L$16"}</definedName>
    <definedName name="__________________________PA3">{"'Sheet1'!$L$16"}</definedName>
    <definedName name="__________________________SCL4">{"'Sheet1'!$L$16"}</definedName>
    <definedName name="__________________________tt3">{"'Sheet1'!$L$16"}</definedName>
    <definedName name="__________________________VT3">{"'Sheet1'!$L$16"}</definedName>
    <definedName name="_________________________a1">{"'Sheet1'!$L$16"}</definedName>
    <definedName name="_________________________BIA3">{"'Sheet1'!$L$16"}</definedName>
    <definedName name="_________________________Goi8">{"'Sheet1'!$L$16"}</definedName>
    <definedName name="_________________________NSO2">{"'Sheet1'!$L$16"}</definedName>
    <definedName name="_________________________PA3">{"'Sheet1'!$L$16"}</definedName>
    <definedName name="_________________________SCL4">{"'Sheet1'!$L$16"}</definedName>
    <definedName name="_________________________tu4">{"'Sheet1'!$L$16"}</definedName>
    <definedName name="_________________________VT3">{"'Sheet1'!$L$16"}</definedName>
    <definedName name="________________________a1">{"'Sheet1'!$L$16"}</definedName>
    <definedName name="________________________BIA3">{"'Sheet1'!$L$16"}</definedName>
    <definedName name="________________________Goi8">{"'Sheet1'!$L$16"}</definedName>
    <definedName name="________________________PA3">{"'Sheet1'!$L$16"}</definedName>
    <definedName name="________________________SCL4">{"'Sheet1'!$L$16"}</definedName>
    <definedName name="________________________tt3">{"'Sheet1'!$L$16"}</definedName>
    <definedName name="________________________tu">{"'Sheet1'!$L$16"}</definedName>
    <definedName name="________________________tu4">{"'Sheet1'!$L$16"}</definedName>
    <definedName name="________________________VT3">{"'Sheet1'!$L$16"}</definedName>
    <definedName name="_______________________a1">{"'Sheet1'!$L$16"}</definedName>
    <definedName name="_______________________BIA3">{"'Sheet1'!$L$16"}</definedName>
    <definedName name="_______________________Goi8">{"'Sheet1'!$L$16"}</definedName>
    <definedName name="_______________________Lan1">{"'Sheet1'!$L$16"}</definedName>
    <definedName name="_______________________NSO2">{"'Sheet1'!$L$16"}</definedName>
    <definedName name="_______________________PA3">{"'Sheet1'!$L$16"}</definedName>
    <definedName name="_______________________SCL4">{"'Sheet1'!$L$16"}</definedName>
    <definedName name="_______________________tt3">{"'Sheet1'!$L$16"}</definedName>
    <definedName name="_______________________tu4">{"'Sheet1'!$L$16"}</definedName>
    <definedName name="_______________________VT3">{"'Sheet1'!$L$16"}</definedName>
    <definedName name="______________________a1">{"'Sheet1'!$L$16"}</definedName>
    <definedName name="______________________BIA3">{"'Sheet1'!$L$16"}</definedName>
    <definedName name="______________________CN1">{"'Sheet1'!$L$16"}</definedName>
    <definedName name="______________________Goi8">{"'Sheet1'!$L$16"}</definedName>
    <definedName name="______________________PA3">{"'Sheet1'!$L$16"}</definedName>
    <definedName name="______________________SCL4">{"'Sheet1'!$L$16"}</definedName>
    <definedName name="______________________tt3">{"'Sheet1'!$L$16"}</definedName>
    <definedName name="______________________tu4">{"'Sheet1'!$L$16"}</definedName>
    <definedName name="______________________VT3">{"'Sheet1'!$L$16"}</definedName>
    <definedName name="_____________________a1">{"'Sheet1'!$L$16"}</definedName>
    <definedName name="_____________________BG12">{"'Sheet1'!$L$16"}</definedName>
    <definedName name="_____________________BIA3">{"'Sheet1'!$L$16"}</definedName>
    <definedName name="_____________________CN1">{"'Sheet1'!$L$16"}</definedName>
    <definedName name="_____________________Goi8">{"'Sheet1'!$L$16"}</definedName>
    <definedName name="_____________________NSO2">{"'Sheet1'!$L$16"}</definedName>
    <definedName name="_____________________PA3">{"'Sheet1'!$L$16"}</definedName>
    <definedName name="_____________________SCL4">{"'Sheet1'!$L$16"}</definedName>
    <definedName name="_____________________tu4">{"'Sheet1'!$L$16"}</definedName>
    <definedName name="_____________________VT3">{"'Sheet1'!$L$16"}</definedName>
    <definedName name="____________________a1">{"'Sheet1'!$L$16"}</definedName>
    <definedName name="____________________BG12">{"'Sheet1'!$L$16"}</definedName>
    <definedName name="____________________BIA3">{"'Sheet1'!$L$16"}</definedName>
    <definedName name="____________________CN1">{"'Sheet1'!$L$16"}</definedName>
    <definedName name="____________________Goi8">{"'Sheet1'!$L$16"}</definedName>
    <definedName name="____________________Lan1">{"'Sheet1'!$L$16"}</definedName>
    <definedName name="____________________m4">{"'Sheet1'!$L$16"}</definedName>
    <definedName name="____________________NSO2">{"'Sheet1'!$L$16"}</definedName>
    <definedName name="____________________SCL4">{"'Sheet1'!$L$16"}</definedName>
    <definedName name="____________________tt3">{"'Sheet1'!$L$16"}</definedName>
    <definedName name="____________________tu4">{"'Sheet1'!$L$16"}</definedName>
    <definedName name="____________________VT3">{"'Sheet1'!$L$16"}</definedName>
    <definedName name="___________________a1">{"'Sheet1'!$L$16"}</definedName>
    <definedName name="___________________a1_1">{"'Sheet1'!$L$16"}</definedName>
    <definedName name="___________________BG12">{"'Sheet1'!$L$16"}</definedName>
    <definedName name="___________________BIA3">{"'Sheet1'!$L$16"}</definedName>
    <definedName name="___________________CN1">{"'Sheet1'!$L$16"}</definedName>
    <definedName name="___________________Goi8">{"'Sheet1'!$L$16"}</definedName>
    <definedName name="___________________Goi8_1">{"'Sheet1'!$L$16"}</definedName>
    <definedName name="___________________m4">{"'Sheet1'!$L$16"}</definedName>
    <definedName name="___________________NSO2">{"'Sheet1'!$L$16"}</definedName>
    <definedName name="___________________PA3">{"'Sheet1'!$L$16"}</definedName>
    <definedName name="___________________SCL4">{"'Sheet1'!$L$16"}</definedName>
    <definedName name="___________________SCL4_1">{"'Sheet1'!$L$16"}</definedName>
    <definedName name="___________________tu4">{"'Sheet1'!$L$16"}</definedName>
    <definedName name="___________________VT3">{"'Sheet1'!$L$16"}</definedName>
    <definedName name="__thu1">#REF!</definedName>
    <definedName name="_a1" hidden="1">{"'Sheet1'!$L$16"}</definedName>
    <definedName name="_Builtin155" hidden="1">#N/A</definedName>
    <definedName name="_Fill" hidden="1">#REF!</definedName>
    <definedName name="_xlnm._FilterDatabase" localSheetId="1" hidden="1">'BG 1'!$A$14:$Q$364</definedName>
    <definedName name="_xlnm._FilterDatabase" localSheetId="2" hidden="1">'BG 2'!$A$14:$Q$333</definedName>
    <definedName name="_xlnm._FilterDatabase" localSheetId="0" hidden="1">BOQ!$A$22:$J$371</definedName>
    <definedName name="_xlnm._FilterDatabase" hidden="1">#REF!</definedName>
    <definedName name="_huy1" hidden="1">{"'Sheet1'!$L$16"}</definedName>
    <definedName name="_Key1" hidden="1">#REF!</definedName>
    <definedName name="_Key2" hidden="1">#REF!</definedName>
    <definedName name="_L2" hidden="1">{"'Sheet1'!$L$16"}</definedName>
    <definedName name="_Order1" hidden="1">255</definedName>
    <definedName name="_Order2" hidden="1">255</definedName>
    <definedName name="_PA3" hidden="1">{"'Sheet1'!$L$16"}</definedName>
    <definedName name="_Sort" hidden="1">#REF!</definedName>
    <definedName name="_tu4" hidden="1">{"'Sheet1'!$L$16"}</definedName>
    <definedName name="â">#REF!</definedName>
    <definedName name="aa">#REF!</definedName>
    <definedName name="aaaaa">#REF!</definedName>
    <definedName name="aaaaaaaa" hidden="1">#REF!</definedName>
    <definedName name="aaaaaaaaaa">#REF!</definedName>
    <definedName name="aaaaaaaaaaa">#REF!</definedName>
    <definedName name="aaaaaaaaaaaa" hidden="1">#REF!</definedName>
    <definedName name="aaaaaaaaaaaaa">#REF!</definedName>
    <definedName name="aaaaaaaaaaaaaa" hidden="1">#REF!</definedName>
    <definedName name="aaaaaaaaaaaaaaa" hidden="1">#REF!</definedName>
    <definedName name="aaaaaaaaaaaaaaaa" hidden="1">#REF!</definedName>
    <definedName name="aaaaaaaaaaaaaaaaaa">#REF!</definedName>
    <definedName name="aaaaaaaaaaaaaaaaaaa" hidden="1">#REF!</definedName>
    <definedName name="aaaaaaaaaaaaaaaaaaaaa" hidden="1">#REF!</definedName>
    <definedName name="aaaaaaaaaaaaaaaaaaaaaaa" hidden="1">#REF!</definedName>
    <definedName name="aaaaaaaaaaaaaaaaaaaaaaaaa">#REF!</definedName>
    <definedName name="aaaaaaaaaaaaaaaaaaaaaaaaaa">#REF!</definedName>
    <definedName name="aaaaaaaaaaaaaaaaaaaaaaaaaaa">#REF!</definedName>
    <definedName name="aaaaaaaaaaaaaaaaaaaaaaaaaaaaa">#REF!</definedName>
    <definedName name="aaaaaaaaaaaaaaaaaaaaaaaaaaaaaa">#REF!</definedName>
    <definedName name="aaaaaaaaaaaaaaaaaaaaaaaaaaaaaaaa">#REF!</definedName>
    <definedName name="aaaaaaaaaaaaaaaaaaaaaaaaaaaaaaaaaaaaa">#REF!</definedName>
    <definedName name="AD" hidden="1">#REF!</definedName>
    <definedName name="anscount" hidden="1">1</definedName>
    <definedName name="ASEW" hidden="1">{"'Sheet1'!$L$16"}</definedName>
    <definedName name="asGDBhsN" hidden="1">{"'Sheet1'!$L$16"}</definedName>
    <definedName name="asq" hidden="1">{"'Sheet1'!$L$16"}</definedName>
    <definedName name="ASSSS" hidden="1">{"'Sheet1'!$L$16"}</definedName>
    <definedName name="aswd" hidden="1">{"'Sheet1'!$L$16"}</definedName>
    <definedName name="ATGT" hidden="1">{"'Sheet1'!$L$16"}</definedName>
    <definedName name="b">#REF!</definedName>
    <definedName name="BAVF" hidden="1">{"'Sheet1'!$L$16"}</definedName>
    <definedName name="bb">#REF!</definedName>
    <definedName name="bbbb" hidden="1">#REF!</definedName>
    <definedName name="bbbbb">#REF!</definedName>
    <definedName name="bbbbbb">#REF!</definedName>
    <definedName name="bbbbbbbb">#REF!</definedName>
    <definedName name="bbbbbbbbb" hidden="1">#REF!</definedName>
    <definedName name="bbbbbbbbbb" hidden="1">#REF!</definedName>
    <definedName name="bbbbbbbbbbb" hidden="1">#REF!</definedName>
    <definedName name="bbbbbbbbbbbb" hidden="1">#REF!</definedName>
    <definedName name="bbbbbbbbbbbbb">#REF!</definedName>
    <definedName name="bbbbbbbbbbbbbb" hidden="1">#REF!</definedName>
    <definedName name="bbbbbbbbbbbbbbb">#REF!</definedName>
    <definedName name="bbbbbbbbbbbbbbbbb" hidden="1">#REF!</definedName>
    <definedName name="bbbbbbbbbbbbbbbbbb">#REF!</definedName>
    <definedName name="bbbbbbbbbbbbbbbbbbb" hidden="1">#REF!</definedName>
    <definedName name="bbbbbbbbbbbbbbbbbbbb">#REF!</definedName>
    <definedName name="bbbbbbbbbbbbbbbbbbbbbbbb" hidden="1">#REF!</definedName>
    <definedName name="bbbbbbbbbbbbbbbbbbbbbbbbbbb">#REF!</definedName>
    <definedName name="Binh" hidden="1">{"'Sheet1'!$L$16"}</definedName>
    <definedName name="BSA" hidden="1">{"'Sheet1'!$L$16"}</definedName>
    <definedName name="cbkt">#REF!</definedName>
    <definedName name="CBNghiemThu">[1]Data!$A$8:$C$18</definedName>
    <definedName name="cc">#REF!</definedName>
    <definedName name="cccc" hidden="1">#REF!</definedName>
    <definedName name="cccccc">#REF!</definedName>
    <definedName name="ccccccc" hidden="1">#REF!</definedName>
    <definedName name="cccccccc">#REF!</definedName>
    <definedName name="ccccccccc">#REF!</definedName>
    <definedName name="cccccccccc" hidden="1">#REF!</definedName>
    <definedName name="cccccccccccc" hidden="1">#REF!</definedName>
    <definedName name="ccccccccccccc" hidden="1">#REF!</definedName>
    <definedName name="ccccccccccccccc">#REF!</definedName>
    <definedName name="cccccccccccccccc">#REF!</definedName>
    <definedName name="cccccccccccccccccc" hidden="1">#REF!</definedName>
    <definedName name="cccccccccccccccccccc">#REF!</definedName>
    <definedName name="ccccccccccccccccccccc">#REF!</definedName>
    <definedName name="cccccccccccccccccccccc">#REF!</definedName>
    <definedName name="ccccccccccccccccccccccc">#REF!</definedName>
    <definedName name="ccccccccccccccccccccccccc" hidden="1">#REF!</definedName>
    <definedName name="ccccccccccccccccccccccccccc" hidden="1">#REF!</definedName>
    <definedName name="cccccccccccccccccccccccccccc" hidden="1">#REF!</definedName>
    <definedName name="ccccccccccccccccccccccccccccccccc">#REF!</definedName>
    <definedName name="cccccccccccccccccccccccccccccccccc">#REF!</definedName>
    <definedName name="cccccccccccccccccccccccccccccccccccccc" hidden="1">#REF!</definedName>
    <definedName name="ccccccccccccccccccccccccccccccccccccccc" hidden="1">#REF!</definedName>
    <definedName name="chot3" hidden="1">{"'Sheet1'!$L$16"}</definedName>
    <definedName name="chottda" hidden="1">{"'Sheet1'!$L$16"}</definedName>
    <definedName name="conc">[2]Input!$C$12</definedName>
    <definedName name="CTCT1" hidden="1">{"'Sheet1'!$L$16"}</definedName>
    <definedName name="CTNhapThep">[3]ChiTietThepNhapVeCT!$D$5:$AC$183</definedName>
    <definedName name="cuong" hidden="1">{"'Sheet1'!$L$16"}</definedName>
    <definedName name="d">#REF!</definedName>
    <definedName name="dadsws" hidden="1">{"'Sheet1'!$L$16"}</definedName>
    <definedName name="DanhMucBB">#REF!</definedName>
    <definedName name="dasasasa" hidden="1">{"'Sheet1'!$L$16"}</definedName>
    <definedName name="Data">'[4]NhapXuat VatTu'!#REF!</definedName>
    <definedName name="dda" hidden="1">{"'Sheet1'!$L$16"}</definedName>
    <definedName name="ddång" hidden="1">{"'Sheet1'!$L$16"}</definedName>
    <definedName name="ddd" hidden="1">{"'Sheet1'!$L$16"}</definedName>
    <definedName name="dddddd">#REF!</definedName>
    <definedName name="dddddđ">#REF!</definedName>
    <definedName name="ddddddđ" hidden="1">#REF!</definedName>
    <definedName name="dddddddd">#REF!</definedName>
    <definedName name="ddddddddđ">#REF!</definedName>
    <definedName name="dddddddddd">#REF!</definedName>
    <definedName name="dddddddddđ">#REF!</definedName>
    <definedName name="ddddddddddd">#REF!</definedName>
    <definedName name="ddddddddddđ">#REF!</definedName>
    <definedName name="ddddddddddddd">#REF!</definedName>
    <definedName name="dddddddddddddd" hidden="1">#REF!</definedName>
    <definedName name="dddddddddddddđ">#REF!</definedName>
    <definedName name="DENS">[3]Data!$E$4:$I$18</definedName>
    <definedName name="dfd" hidden="1">#REF!</definedName>
    <definedName name="dgvf" hidden="1">{"'Sheet1'!$L$16"}</definedName>
    <definedName name="dins">[5]Input!$D$12</definedName>
    <definedName name="dis">[5]Input!$D$8</definedName>
    <definedName name="dl">#REF!</definedName>
    <definedName name="DMNhapThepVaoCT">[3]ChiTietThepNhapVeCT!$B$5:$AC$183</definedName>
    <definedName name="DMucCBKT">[3]Data!$A$3:$C$12</definedName>
    <definedName name="Document_array">{"Book1","BoQ2.XLS"}</definedName>
    <definedName name="dse" hidden="1">{"'Sheet1'!$L$16"}</definedName>
    <definedName name="DSFDS" hidden="1">{"'Sheet1'!$L$16"}</definedName>
    <definedName name="e">#REF!</definedName>
    <definedName name="ee" hidden="1">{"'Sheet1'!$L$16"}</definedName>
    <definedName name="eeeee" hidden="1">#REF!</definedName>
    <definedName name="eeeeeeee" hidden="1">#REF!</definedName>
    <definedName name="eeeeeeeee">#REF!</definedName>
    <definedName name="eeeeeeeeeee">#REF!</definedName>
    <definedName name="eeeeeeeeeeee">#REF!</definedName>
    <definedName name="eeeeeeeeeeeee">#REF!</definedName>
    <definedName name="eeeeeeeeeeeeee" hidden="1">#REF!</definedName>
    <definedName name="eeeeeeeeeeeeeee" hidden="1">#REF!</definedName>
    <definedName name="eeeeeeeeeeeeeeee" hidden="1">#REF!</definedName>
    <definedName name="eeeeeeeeeeeeeeeee">#REF!</definedName>
    <definedName name="eeeeeeeeeeeeeeeeee">#REF!</definedName>
    <definedName name="eeeeeeeeeeeeeeeeeeeee" hidden="1">#REF!</definedName>
    <definedName name="eeeeeeeeeeeeeeeeeeeeee">#REF!</definedName>
    <definedName name="eeeeeeeeeeeeeeeeeeeeeeee">#REF!</definedName>
    <definedName name="eeeeeeeeeeeeeeeeeeeeeeeee">#REF!</definedName>
    <definedName name="eeeeeeeeeeeeeeeeeeeeeeeeeeeeeeeeeeeee">#REF!</definedName>
    <definedName name="eeeeeeeeeeeeeeeeeeeeeeeeeư">#REF!</definedName>
    <definedName name="eeeeeeeeeeeeeeeeeeew">#REF!</definedName>
    <definedName name="ew" hidden="1">{"'Sheet1'!$L$16"}</definedName>
    <definedName name="ff" hidden="1">{#N/A,#N/A,FALSE,"Chi tiÆt"}</definedName>
    <definedName name="ffffffffffffffff">#REF!</definedName>
    <definedName name="fffffffffffffffffff">#REF!</definedName>
    <definedName name="fr" hidden="1">{"'Sheet1'!$L$16"}</definedName>
    <definedName name="fre" hidden="1">{"'Sheet1'!$L$16"}</definedName>
    <definedName name="FRWDS" hidden="1">{"'Sheet1'!$L$16"}</definedName>
    <definedName name="gfbb" hidden="1">{"'Sheet1'!$L$16"}</definedName>
    <definedName name="GFBV" hidden="1">{"'Sheet1'!$L$16"}</definedName>
    <definedName name="ggg" hidden="1">{"'Sheet1'!$L$16"}</definedName>
    <definedName name="GGGGGGGGGGGGGGG">#REF!</definedName>
    <definedName name="ggggggggggggggggggg" hidden="1">#REF!</definedName>
    <definedName name="gggggggggggggggggggg" hidden="1">#REF!</definedName>
    <definedName name="ggggggggggggggggggggggg" hidden="1">#REF!</definedName>
    <definedName name="gtrfxjmjl" hidden="1">{"'Sheet1'!$L$16"}</definedName>
    <definedName name="h" hidden="1">{"'Sheet1'!$L$16"}</definedName>
    <definedName name="hgggggggggggggg" hidden="1">{"'Sheet1'!$L$16"}</definedName>
    <definedName name="hgtgftryt" hidden="1">{"'Sheet1'!$L$16"}</definedName>
    <definedName name="hh" hidden="1">{"'Sheet1'!$L$16"}</definedName>
    <definedName name="hhhhhhhhhhhhh"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ii" hidden="1">{"'Sheet1'!$L$16"}</definedName>
    <definedName name="iiiiiiii">#REF!</definedName>
    <definedName name="iiiiiiiiiiiii">#REF!</definedName>
    <definedName name="iiiiiiiiiiiiiiiiii">#REF!</definedName>
    <definedName name="input">#REF!</definedName>
    <definedName name="jhn" hidden="1">{"'Sheet1'!$L$16"}</definedName>
    <definedName name="jjjjjjjjjjjj">#REF!</definedName>
    <definedName name="jjjjjjjjjjjjj">#REF!</definedName>
    <definedName name="jjjjjjjjjjjjjj">#REF!</definedName>
    <definedName name="jjjjjjjjjjjjjjjjjjj">#REF!</definedName>
    <definedName name="KFTCGN" hidden="1">{"'Sheet1'!$L$16"}</definedName>
    <definedName name="LJHMN" hidden="1">{"'Sheet1'!$L$16"}</definedName>
    <definedName name="mjh" hidden="1">{"'Sheet1'!$L$16"}</definedName>
    <definedName name="mm">{"Book1","BoQ2.XLS"}</definedName>
    <definedName name="mmmmmmmmmmmmmmmm">#REF!</definedName>
    <definedName name="n" hidden="1">#REF!</definedName>
    <definedName name="NCC">[3]Data!$K$3:$K$7</definedName>
    <definedName name="nhb" hidden="1">{#N/A,#N/A,FALSE,"Chi tiÆt"}</definedName>
    <definedName name="Nhiem" hidden="1">{"'Sheet1'!$L$16"}</definedName>
    <definedName name="nn">#REF!</definedName>
    <definedName name="nnn">#REF!</definedName>
    <definedName name="nnnn" hidden="1">#REF!</definedName>
    <definedName name="NNNNN" hidden="1">{#N/A,#N/A,FALSE,"Chi tiÆt"}</definedName>
    <definedName name="nnnnnn" hidden="1">#REF!</definedName>
    <definedName name="nnnnnnn" hidden="1">#REF!</definedName>
    <definedName name="nnnnnnnn">#REF!</definedName>
    <definedName name="nnnnnnnnn" hidden="1">#REF!</definedName>
    <definedName name="nnnnnnnnnnn">#REF!</definedName>
    <definedName name="nnnnnnnnnnnn">#REF!</definedName>
    <definedName name="nnnnnnnnnnnnn" hidden="1">#REF!</definedName>
    <definedName name="nnnnnnnnnnnnnn" hidden="1">#REF!</definedName>
    <definedName name="nnnnnnnnnnnnnnn">#REF!</definedName>
    <definedName name="nnnnnnnnnnnnnnnn">#REF!</definedName>
    <definedName name="nnnnnnnnnnnnnnnnn" hidden="1">#REF!</definedName>
    <definedName name="nnnnnnnnnnnnnnnnnn" hidden="1">#REF!</definedName>
    <definedName name="nnnnnnnnnnnnnnnnnnn">#REF!</definedName>
    <definedName name="nnnnnnnnnnnnnnnnnnnnn">#REF!</definedName>
    <definedName name="nnnnnnnnnnnnnnnnnnnnnn">#REF!</definedName>
    <definedName name="nnnnnnnnnnnnnnnnnnnnnnn">#REF!</definedName>
    <definedName name="nnnnnnnnnnnnnnnnnnnnnnnnnnnnnn">#REF!</definedName>
    <definedName name="NSX">[3]Data!$N$3:$N$6</definedName>
    <definedName name="oanh" hidden="1">{"'Sheet1'!$L$16"}</definedName>
    <definedName name="ooooooooo">#REF!</definedName>
    <definedName name="oooooooooooo">#REF!</definedName>
    <definedName name="PAIII_" hidden="1">{"'Sheet1'!$L$16"}</definedName>
    <definedName name="Phuong" hidden="1">{"'Sheet1'!$L$16"}</definedName>
    <definedName name="pkvhs0.95">'[6]Đơn giá theo m2'!$I$63</definedName>
    <definedName name="PMS" hidden="1">{"'Sheet1'!$L$16"}</definedName>
    <definedName name="qd10_gt" hidden="1">{"'Sheet1'!$L$16"}</definedName>
    <definedName name="QGFADB" hidden="1">{"'Sheet1'!$L$16"}</definedName>
    <definedName name="qqq" hidden="1">#REF!</definedName>
    <definedName name="qqqq" hidden="1">#REF!</definedName>
    <definedName name="qqqqqqq" hidden="1">#REF!</definedName>
    <definedName name="qqqqqqqq" hidden="1">#REF!</definedName>
    <definedName name="qqqqqqqqq" hidden="1">#REF!</definedName>
    <definedName name="qqqqqqqqqq">#REF!</definedName>
    <definedName name="qqqqqqqqqqq">#REF!</definedName>
    <definedName name="qqqqqqqqqqqq">#REF!</definedName>
    <definedName name="qqqqqqqqqqqqq">#REF!</definedName>
    <definedName name="qqqqqqqqqqqqqq">#REF!</definedName>
    <definedName name="qqqqqqqqqqqqqqq">#REF!</definedName>
    <definedName name="qqqqqqqqqqqqqqqqq" hidden="1">#REF!</definedName>
    <definedName name="qqqqqqqqqqqqqqqqqq" hidden="1">#REF!</definedName>
    <definedName name="qqqqqqqqqqqqqqqqqqq" hidden="1">#REF!</definedName>
    <definedName name="qqqqqqqqqqqqqqqqqqqqq">#REF!</definedName>
    <definedName name="qqqqqqqqqqqqqqqqqqqqqq">#REF!</definedName>
    <definedName name="qqqqqqqqqqqqqqqqqqqqqqqq">#REF!</definedName>
    <definedName name="rr" hidden="1">{"'Sheet1'!$L$16"}</definedName>
    <definedName name="rrrrrrrrrr">#REF!</definedName>
    <definedName name="rrrrrrrrrrrrrrrrrrr">#REF!</definedName>
    <definedName name="rrrrrrrrrrrrrrrrrrrrrrrrrr">#REF!</definedName>
    <definedName name="s">#REF!</definedName>
    <definedName name="SFasfa" hidden="1">{"'Sheet1'!$L$16"}</definedName>
    <definedName name="son" hidden="1">{"'Sheet1'!$L$16"}</definedName>
    <definedName name="ss" hidden="1">{"'Sheet1'!$L$16"}</definedName>
    <definedName name="ssss">#REF!</definedName>
    <definedName name="sssssssss">#REF!</definedName>
    <definedName name="ssssssssss">#REF!</definedName>
    <definedName name="sssssssssssss">#REF!</definedName>
    <definedName name="sssssssssssssssss">#REF!</definedName>
    <definedName name="sssssssssssssssssssss" hidden="1">#REF!</definedName>
    <definedName name="t44444444444" hidden="1">#REF!</definedName>
    <definedName name="td">#REF!</definedName>
    <definedName name="tdtv">#REF!</definedName>
    <definedName name="temp">[7]Input!$C$29</definedName>
    <definedName name="Ten">[3]Data!$A$3:$A$12</definedName>
    <definedName name="ten_doi_tuong">#REF!</definedName>
    <definedName name="TenCB">[1]Data!$A$8:$A$18</definedName>
    <definedName name="TenCongViec">[1]Data!$E$8:$F$20</definedName>
    <definedName name="TenCV">[1]Data!$E$8:$E$20</definedName>
    <definedName name="tgggggggggggggggg" hidden="1">#REF!</definedName>
    <definedName name="THDT" hidden="1">{"'Sheet1'!$L$16"}</definedName>
    <definedName name="tins">[5]Input!$C$12</definedName>
    <definedName name="tis">[5]Input!$C$8</definedName>
    <definedName name="ttttttttttt" hidden="1">#REF!</definedName>
    <definedName name="tttttttttttttttttttt">#REF!</definedName>
    <definedName name="ttttttttttttttttttttttt">#REF!</definedName>
    <definedName name="tuam" hidden="1">{"'Sheet1'!$L$16"}</definedName>
    <definedName name="tuan03" hidden="1">{"'Sheet1'!$L$16"}</definedName>
    <definedName name="tv">#REF!</definedName>
    <definedName name="uuuuuuuuuuuuuuu" hidden="1">#REF!</definedName>
    <definedName name="v">#REF!</definedName>
    <definedName name="VC" hidden="1">{"'Sheet1'!$L$16"}</definedName>
    <definedName name="view">#REF!</definedName>
    <definedName name="vv">#REF!</definedName>
    <definedName name="vvv" hidden="1">#REF!</definedName>
    <definedName name="vvvvvvvvv" hidden="1">#REF!</definedName>
    <definedName name="vvvvvvvvvvvv" hidden="1">#REF!</definedName>
    <definedName name="vvvvvvvvvvvvvvvv">#REF!</definedName>
    <definedName name="vvvvvvvvvvvvvvvvvv" hidden="1">#REF!</definedName>
    <definedName name="vvvvvvvvvvvvvvvvvvvv">#REF!</definedName>
    <definedName name="vvvvvvvvvvvvvvvvvvvvv">#REF!</definedName>
    <definedName name="vvvvvvvvvvvvvvvvvvvvvv" hidden="1">#REF!</definedName>
    <definedName name="vvvvvvvvvvvvvvvvvvvvvvv">#REF!</definedName>
    <definedName name="VVVVVVVVVVVVVVVVVVVVVVVVV" hidden="1">#REF!</definedName>
    <definedName name="vvvvvvvvvvvvvvvvvvvvvvvvvv">#REF!</definedName>
    <definedName name="vvvvvvvvvvvvvvvvvvvvvvvvvvvvvv" hidden="1">#REF!</definedName>
    <definedName name="vvvvvvvvvvvvvvvvvvvvvvvvvvvvvvvvv">#REF!</definedName>
    <definedName name="vvvvvvvvvvvvvvvvvvvvvvvvvvvvvvvvvv" hidden="1">#REF!</definedName>
    <definedName name="wd" hidden="1">{"'Sheet1'!$L$16"}</definedName>
    <definedName name="wrn.chi._.tiÆt." hidden="1">{#N/A,#N/A,FALSE,"Chi tiÆt"}</definedName>
    <definedName name="wrn.jvreport." hidden="1">{#N/A,#N/A,TRUE,"SAS-SHEL";#N/A,#N/A,TRUE,"SAS-DECK";#N/A,#N/A,TRUE,"SAS-BHDS";#N/A,#N/A,TRUE,"SAS-TWEB";#N/A,#N/A,TRUE,"SAS-LONG";#N/A,#N/A,TRUE,"SAS-PKTK";#N/A,#N/A,TRUE,"Weighting"}</definedName>
    <definedName name="WWWWWW">#REF!</definedName>
    <definedName name="wwwwwwwwww">#REF!</definedName>
    <definedName name="wwwwwwwwwww">#REF!</definedName>
    <definedName name="wwwwwwwwwwww">#REF!</definedName>
    <definedName name="x" hidden="1">#REF!</definedName>
    <definedName name="xx">#REF!</definedName>
    <definedName name="XXXAAAA" hidden="1">{"'Sheet1'!$L$16"}</definedName>
    <definedName name="xxxx">#REF!</definedName>
    <definedName name="xxxxx" hidden="1">#REF!</definedName>
    <definedName name="xxxxxxx" hidden="1">#REF!</definedName>
    <definedName name="xxxxxxxxxxx" hidden="1">#REF!</definedName>
    <definedName name="xxxxxxxxxxxx" hidden="1">#REF!</definedName>
    <definedName name="xxxxxxxxxxxxx">#REF!</definedName>
    <definedName name="xxxxxxxxxxxxxx">#REF!</definedName>
    <definedName name="xxxxxxxxxxxxxxx">#REF!</definedName>
    <definedName name="xxxxxxxxxxxxxxxx">#REF!</definedName>
    <definedName name="xxxxxxxxxxxxxxxxxx">#REF!</definedName>
    <definedName name="xxxxxxxxxxxxxxxxxxx" hidden="1">#REF!</definedName>
    <definedName name="xxxxxxxxxxxxxxxxxxxxxxx" hidden="1">#REF!</definedName>
    <definedName name="xxxxxxxxxxxxxxxxxxxxxxxxxxxxx">#REF!</definedName>
    <definedName name="xzZsfx" hidden="1">{#N/A,#N/A,FALSE,"Chi tiÆt"}</definedName>
    <definedName name="yyyyyyyyyyyyy">#REF!</definedName>
    <definedName name="z">#REF!</definedName>
    <definedName name="zz">#REF!</definedName>
    <definedName name="zzz">#REF!</definedName>
    <definedName name="zzzz">#REF!</definedName>
    <definedName name="zzzzz" hidden="1">#REF!</definedName>
    <definedName name="zzzzzz">#REF!</definedName>
    <definedName name="zzzzzzz" hidden="1">#REF!</definedName>
    <definedName name="zzzzzzzz">#REF!</definedName>
    <definedName name="zzzzzzzzz">#REF!</definedName>
    <definedName name="zzzzzzzzzz" hidden="1">#REF!</definedName>
    <definedName name="zzzzzzzzzzz">#REF!</definedName>
    <definedName name="zzzzzzzzzzzz">#REF!</definedName>
    <definedName name="zzzzzzzzzzzzz">#REF!</definedName>
    <definedName name="zzzzzzzzzzzzzz">#REF!</definedName>
    <definedName name="zzzzzzzzzzzzzzz" hidden="1">#REF!</definedName>
    <definedName name="zzzzzzzzzzzzzzzz" hidden="1">#REF!</definedName>
    <definedName name="zzzzzzzzzzzzzzzzz" hidden="1">#REF!</definedName>
    <definedName name="zzzzzzzzzzzzzzzzzz" hidden="1">#REF!</definedName>
    <definedName name="zzzzzzzzzzzzzzzzzzz">#REF!</definedName>
    <definedName name="zzzzzzzzzzzzzzzzzzzz">#REF!</definedName>
    <definedName name="zzzzzzzzzzzzzzzzzzzzz" hidden="1">#REF!</definedName>
    <definedName name="zzzzzzzzzzzzzzzzzzzzzz">#REF!</definedName>
    <definedName name="zzzzzzzzzzzzzzzzzzzzzzz" hidden="1">#REF!</definedName>
    <definedName name="zzzzzzzzzzzzzzzzzzzzzzzzz" hidden="1">#REF!</definedName>
    <definedName name="zzzzzzzzzzzzzzzzzzzzzzzzzz">#REF!</definedName>
    <definedName name="zzzzzzzzzzzzzzzzzzzzzzzzzzzz">#REF!</definedName>
    <definedName name="zzzzzzzzzzzzzzzzzzzzzzzzzzzzzz">#REF!</definedName>
    <definedName name="zzzzzzzzzzzzzzzzzzzzzzzzzzzzzzzz">#REF!</definedName>
    <definedName name="zzzzzzzzzzzzzzzzzzzzzzzzzzzzzzzzzz" hidden="1">#REF!</definedName>
    <definedName name="zzzzzzzzzzzzzzzzzzzzzzzzzzzzzzzzzzz">#REF!</definedName>
    <definedName name="zzzzzzzzzzzzzzzzzzzzzzzzzzzzzzzzzzzzz">#REF!</definedName>
    <definedName name="zzzzzzzzzzzzzzzzzzzzzzzzzzzzzzzzzzzzzzzzz" hidden="1">#REF!</definedName>
    <definedName name="zzzzzzzzzzzzzzzzzzzzzzzzzzzzzzzzzzzzzzzzz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feature name="microsoft.com:LAMBDA_WF"/>
        <xcalcf:feature name="microsoft.com:LET_WF"/>
      </xcalcf:calcFeatures>
    </ext>
  </extLst>
</workbook>
</file>

<file path=xl/calcChain.xml><?xml version="1.0" encoding="utf-8"?>
<calcChain xmlns="http://schemas.openxmlformats.org/spreadsheetml/2006/main">
  <c r="P333" i="10" l="1"/>
  <c r="P332" i="10"/>
  <c r="P331" i="10"/>
  <c r="P328" i="10"/>
  <c r="P327" i="10"/>
  <c r="P326" i="10"/>
  <c r="P325" i="10"/>
  <c r="P324" i="10"/>
  <c r="P323" i="10"/>
  <c r="P322" i="10"/>
  <c r="P321" i="10"/>
  <c r="P320" i="10"/>
  <c r="P319" i="10"/>
  <c r="P318" i="10"/>
  <c r="P317" i="10"/>
  <c r="P316" i="10"/>
  <c r="P315" i="10"/>
  <c r="P314" i="10"/>
  <c r="P313" i="10"/>
  <c r="P312" i="10"/>
  <c r="P311" i="10"/>
  <c r="P310" i="10"/>
  <c r="P309" i="10"/>
  <c r="P308" i="10"/>
  <c r="P307" i="10"/>
  <c r="P306" i="10"/>
  <c r="P305" i="10"/>
  <c r="P304" i="10"/>
  <c r="P303" i="10"/>
  <c r="P302" i="10"/>
  <c r="P301" i="10"/>
  <c r="P300" i="10"/>
  <c r="P299" i="10"/>
  <c r="P298" i="10"/>
  <c r="P297" i="10"/>
  <c r="P296" i="10"/>
  <c r="P295" i="10"/>
  <c r="P294" i="10"/>
  <c r="P293" i="10"/>
  <c r="P292" i="10"/>
  <c r="P291" i="10"/>
  <c r="P290" i="10"/>
  <c r="P289" i="10"/>
  <c r="P288" i="10"/>
  <c r="P287" i="10"/>
  <c r="P286" i="10"/>
  <c r="P285" i="10"/>
  <c r="P284" i="10"/>
  <c r="P283" i="10"/>
  <c r="P282" i="10"/>
  <c r="P281" i="10"/>
  <c r="P280" i="10"/>
  <c r="P279" i="10"/>
  <c r="P278" i="10"/>
  <c r="P277" i="10"/>
  <c r="P276" i="10"/>
  <c r="P275" i="10"/>
  <c r="P274" i="10"/>
  <c r="P273" i="10"/>
  <c r="P272" i="10"/>
  <c r="P271" i="10"/>
  <c r="P270" i="10"/>
  <c r="P269" i="10"/>
  <c r="P268" i="10"/>
  <c r="P267" i="10"/>
  <c r="P266" i="10"/>
  <c r="P265" i="10"/>
  <c r="P264" i="10"/>
  <c r="P263" i="10"/>
  <c r="P262" i="10"/>
  <c r="P261" i="10"/>
  <c r="P260" i="10"/>
  <c r="P259" i="10"/>
  <c r="P258" i="10"/>
  <c r="P257" i="10"/>
  <c r="P256" i="10"/>
  <c r="P255" i="10"/>
  <c r="P254" i="10"/>
  <c r="P253" i="10"/>
  <c r="P252" i="10"/>
  <c r="P251" i="10"/>
  <c r="P250" i="10"/>
  <c r="P249" i="10"/>
  <c r="P248" i="10"/>
  <c r="P247" i="10"/>
  <c r="P246" i="10"/>
  <c r="P245" i="10"/>
  <c r="P244" i="10"/>
  <c r="P243" i="10"/>
  <c r="P242" i="10"/>
  <c r="P241" i="10"/>
  <c r="P240" i="10"/>
  <c r="P239" i="10"/>
  <c r="P238" i="10"/>
  <c r="P237" i="10"/>
  <c r="P236" i="10"/>
  <c r="P235" i="10"/>
  <c r="P234" i="10"/>
  <c r="P233" i="10"/>
  <c r="P232" i="10"/>
  <c r="P231" i="10"/>
  <c r="P230" i="10"/>
  <c r="P229" i="10"/>
  <c r="P228" i="10"/>
  <c r="P227" i="10"/>
  <c r="P226" i="10"/>
  <c r="P225" i="10"/>
  <c r="P224" i="10"/>
  <c r="P223" i="10"/>
  <c r="P222" i="10"/>
  <c r="P221" i="10"/>
  <c r="P220" i="10"/>
  <c r="P219" i="10"/>
  <c r="P218" i="10"/>
  <c r="P217" i="10"/>
  <c r="P216" i="10"/>
  <c r="P215" i="10"/>
  <c r="P214" i="10"/>
  <c r="P213" i="10"/>
  <c r="P212" i="10"/>
  <c r="P211" i="10"/>
  <c r="P210" i="10"/>
  <c r="P209" i="10"/>
  <c r="P208" i="10"/>
  <c r="P207" i="10"/>
  <c r="P206" i="10"/>
  <c r="P205" i="10"/>
  <c r="P204" i="10"/>
  <c r="P203" i="10"/>
  <c r="P202" i="10"/>
  <c r="P201" i="10"/>
  <c r="P200" i="10"/>
  <c r="P199" i="10"/>
  <c r="P198" i="10"/>
  <c r="P197" i="10"/>
  <c r="P196" i="10"/>
  <c r="P195" i="10"/>
  <c r="P194" i="10"/>
  <c r="P193" i="10"/>
  <c r="P192" i="10"/>
  <c r="P191" i="10"/>
  <c r="P190" i="10"/>
  <c r="P189" i="10"/>
  <c r="P188" i="10"/>
  <c r="P187" i="10"/>
  <c r="P186" i="10"/>
  <c r="P185" i="10"/>
  <c r="P184" i="10"/>
  <c r="P183" i="10"/>
  <c r="P182" i="10"/>
  <c r="P181" i="10"/>
  <c r="P180" i="10"/>
  <c r="P179" i="10"/>
  <c r="P178" i="10"/>
  <c r="P177" i="10"/>
  <c r="P176" i="10"/>
  <c r="P175" i="10"/>
  <c r="P174" i="10"/>
  <c r="P173" i="10"/>
  <c r="P172" i="10"/>
  <c r="P171" i="10"/>
  <c r="P170" i="10"/>
  <c r="P169" i="10"/>
  <c r="P168" i="10"/>
  <c r="P167" i="10"/>
  <c r="P166" i="10"/>
  <c r="P165" i="10"/>
  <c r="P164" i="10"/>
  <c r="P163" i="10"/>
  <c r="P162" i="10"/>
  <c r="P161" i="10"/>
  <c r="P160" i="10"/>
  <c r="P159" i="10"/>
  <c r="P158" i="10"/>
  <c r="P157" i="10"/>
  <c r="P156" i="10"/>
  <c r="P155" i="10"/>
  <c r="P154" i="10"/>
  <c r="P153" i="10"/>
  <c r="P152" i="10"/>
  <c r="P151" i="10"/>
  <c r="P150" i="10"/>
  <c r="P149" i="10"/>
  <c r="P148" i="10"/>
  <c r="P147" i="10"/>
  <c r="P146" i="10"/>
  <c r="P145" i="10"/>
  <c r="P144" i="10"/>
  <c r="P143" i="10"/>
  <c r="P142" i="10"/>
  <c r="P141" i="10"/>
  <c r="P140" i="10"/>
  <c r="P139" i="10"/>
  <c r="P138" i="10"/>
  <c r="P137" i="10"/>
  <c r="P136" i="10"/>
  <c r="P135" i="10"/>
  <c r="P134" i="10"/>
  <c r="P133" i="10"/>
  <c r="P132" i="10"/>
  <c r="P131" i="10"/>
  <c r="P130" i="10"/>
  <c r="P129" i="10"/>
  <c r="P128" i="10"/>
  <c r="P127" i="10"/>
  <c r="P126" i="10"/>
  <c r="P125" i="10"/>
  <c r="P124" i="10"/>
  <c r="P123" i="10"/>
  <c r="P122" i="10"/>
  <c r="P121" i="10"/>
  <c r="P120" i="10"/>
  <c r="P119" i="10"/>
  <c r="P118" i="10"/>
  <c r="P117" i="10"/>
  <c r="P116" i="10"/>
  <c r="P115" i="10"/>
  <c r="P114" i="10"/>
  <c r="P113" i="10"/>
  <c r="P112" i="10"/>
  <c r="P111" i="10"/>
  <c r="P110" i="10"/>
  <c r="P109" i="10"/>
  <c r="P108" i="10"/>
  <c r="P107" i="10"/>
  <c r="P106" i="10"/>
  <c r="P105" i="10"/>
  <c r="P104" i="10"/>
  <c r="P103" i="10"/>
  <c r="P102" i="10"/>
  <c r="P101" i="10"/>
  <c r="P100" i="10"/>
  <c r="P99" i="10"/>
  <c r="P98" i="10"/>
  <c r="P97" i="10"/>
  <c r="P96" i="10"/>
  <c r="P95" i="10"/>
  <c r="P94" i="10"/>
  <c r="P93" i="10"/>
  <c r="P92" i="10"/>
  <c r="P91" i="10"/>
  <c r="P90" i="10"/>
  <c r="P89" i="10"/>
  <c r="P88" i="10"/>
  <c r="P87" i="10"/>
  <c r="P86" i="10"/>
  <c r="P85" i="10"/>
  <c r="P84" i="10"/>
  <c r="P83" i="10"/>
  <c r="P82" i="10"/>
  <c r="P81" i="10"/>
  <c r="P80" i="10"/>
  <c r="P79" i="10"/>
  <c r="P78" i="10"/>
  <c r="P77" i="10"/>
  <c r="P76" i="10"/>
  <c r="P75" i="10"/>
  <c r="P74" i="10"/>
  <c r="P73" i="10"/>
  <c r="P72" i="10"/>
  <c r="P71" i="10"/>
  <c r="P70" i="10"/>
  <c r="P69" i="10"/>
  <c r="P68" i="10"/>
  <c r="P67" i="10"/>
  <c r="P66" i="10"/>
  <c r="P65" i="10"/>
  <c r="P64" i="10"/>
  <c r="P63" i="10"/>
  <c r="P62" i="10"/>
  <c r="P61" i="10"/>
  <c r="P60" i="10"/>
  <c r="P59" i="10"/>
  <c r="P58" i="10"/>
  <c r="P57" i="10"/>
  <c r="P56" i="10"/>
  <c r="P55" i="10"/>
  <c r="P54" i="10"/>
  <c r="P53" i="10"/>
  <c r="P52" i="10"/>
  <c r="P51" i="10"/>
  <c r="P50" i="10"/>
  <c r="P49" i="10"/>
  <c r="P48" i="10"/>
  <c r="P47" i="10"/>
  <c r="P46" i="10"/>
  <c r="P45" i="10"/>
  <c r="P44" i="10"/>
  <c r="P43" i="10"/>
  <c r="P42" i="10"/>
  <c r="P41" i="10"/>
  <c r="P40" i="10"/>
  <c r="P39" i="10"/>
  <c r="P38" i="10"/>
  <c r="P37" i="10"/>
  <c r="P36" i="10"/>
  <c r="P35" i="10"/>
  <c r="P34" i="10"/>
  <c r="P33" i="10"/>
  <c r="P32" i="10"/>
  <c r="P31" i="10"/>
  <c r="P30" i="10"/>
  <c r="P29" i="10"/>
  <c r="P28" i="10"/>
  <c r="P27" i="10"/>
  <c r="P26" i="10"/>
  <c r="P25" i="10"/>
  <c r="P24" i="10"/>
  <c r="P23" i="10"/>
  <c r="P22" i="10"/>
  <c r="P21" i="10"/>
  <c r="P20" i="10"/>
  <c r="P19" i="10"/>
  <c r="P18" i="10"/>
  <c r="P17" i="10"/>
  <c r="P16" i="10"/>
  <c r="P15" i="10"/>
  <c r="P364" i="7"/>
  <c r="P363" i="7"/>
  <c r="P362" i="7"/>
  <c r="P359" i="7"/>
  <c r="P358" i="7"/>
  <c r="P357" i="7"/>
  <c r="P356" i="7"/>
  <c r="P355" i="7"/>
  <c r="P354" i="7"/>
  <c r="P353" i="7"/>
  <c r="P352" i="7"/>
  <c r="P351" i="7"/>
  <c r="P350" i="7"/>
  <c r="P349" i="7"/>
  <c r="P348" i="7"/>
  <c r="P347" i="7"/>
  <c r="P346" i="7"/>
  <c r="P345" i="7"/>
  <c r="P344" i="7"/>
  <c r="P343" i="7"/>
  <c r="P342" i="7"/>
  <c r="P341" i="7"/>
  <c r="P340" i="7"/>
  <c r="P339" i="7"/>
  <c r="P338" i="7"/>
  <c r="P337" i="7"/>
  <c r="P336" i="7"/>
  <c r="P335" i="7"/>
  <c r="P334" i="7"/>
  <c r="P333" i="7"/>
  <c r="P332" i="7"/>
  <c r="P331" i="7"/>
  <c r="P330" i="7"/>
  <c r="P329" i="7"/>
  <c r="P328" i="7"/>
  <c r="P327" i="7"/>
  <c r="P326" i="7"/>
  <c r="P325" i="7"/>
  <c r="P324" i="7"/>
  <c r="P323" i="7"/>
  <c r="P322" i="7"/>
  <c r="P321" i="7"/>
  <c r="P320" i="7"/>
  <c r="P319" i="7"/>
  <c r="P318" i="7"/>
  <c r="P317" i="7"/>
  <c r="P316" i="7"/>
  <c r="P315" i="7"/>
  <c r="P314" i="7"/>
  <c r="P313" i="7"/>
  <c r="P312" i="7"/>
  <c r="P311" i="7"/>
  <c r="P310" i="7"/>
  <c r="P309" i="7"/>
  <c r="P308" i="7"/>
  <c r="P307" i="7"/>
  <c r="P306" i="7"/>
  <c r="P305" i="7"/>
  <c r="P304" i="7"/>
  <c r="P303" i="7"/>
  <c r="P302" i="7"/>
  <c r="P301" i="7"/>
  <c r="P300" i="7"/>
  <c r="P299" i="7"/>
  <c r="P298" i="7"/>
  <c r="P297" i="7"/>
  <c r="P296" i="7"/>
  <c r="P295" i="7"/>
  <c r="P294" i="7"/>
  <c r="P293" i="7"/>
  <c r="P292" i="7"/>
  <c r="P291" i="7"/>
  <c r="P290" i="7"/>
  <c r="P289" i="7"/>
  <c r="P288" i="7"/>
  <c r="P287" i="7"/>
  <c r="P286" i="7"/>
  <c r="P285" i="7"/>
  <c r="P284" i="7"/>
  <c r="P283" i="7"/>
  <c r="P282" i="7"/>
  <c r="P281" i="7"/>
  <c r="P280" i="7"/>
  <c r="P279" i="7"/>
  <c r="P278" i="7"/>
  <c r="P277" i="7"/>
  <c r="P276" i="7"/>
  <c r="P275" i="7"/>
  <c r="P274" i="7"/>
  <c r="P273" i="7"/>
  <c r="P272" i="7"/>
  <c r="P271" i="7"/>
  <c r="P270" i="7"/>
  <c r="P269" i="7"/>
  <c r="P268" i="7"/>
  <c r="P267" i="7"/>
  <c r="P266" i="7"/>
  <c r="P265" i="7"/>
  <c r="P264" i="7"/>
  <c r="P263" i="7"/>
  <c r="P262" i="7"/>
  <c r="P261" i="7"/>
  <c r="P260" i="7"/>
  <c r="P259" i="7"/>
  <c r="P258" i="7"/>
  <c r="P257" i="7"/>
  <c r="P256" i="7"/>
  <c r="P255" i="7"/>
  <c r="P254" i="7"/>
  <c r="P253" i="7"/>
  <c r="P252" i="7"/>
  <c r="P251" i="7"/>
  <c r="P250" i="7"/>
  <c r="P249" i="7"/>
  <c r="P248" i="7"/>
  <c r="P247" i="7"/>
  <c r="P246" i="7"/>
  <c r="P245" i="7"/>
  <c r="P244" i="7"/>
  <c r="P243" i="7"/>
  <c r="P242" i="7"/>
  <c r="P241" i="7"/>
  <c r="P240" i="7"/>
  <c r="P239" i="7"/>
  <c r="P238" i="7"/>
  <c r="P237" i="7"/>
  <c r="P236" i="7"/>
  <c r="P235" i="7"/>
  <c r="P234" i="7"/>
  <c r="P233" i="7"/>
  <c r="P232" i="7"/>
  <c r="P231" i="7"/>
  <c r="P230" i="7"/>
  <c r="P229" i="7"/>
  <c r="P228" i="7"/>
  <c r="P227" i="7"/>
  <c r="P226" i="7"/>
  <c r="P225" i="7"/>
  <c r="P224" i="7"/>
  <c r="P223" i="7"/>
  <c r="P222" i="7"/>
  <c r="P221" i="7"/>
  <c r="P220" i="7"/>
  <c r="P219" i="7"/>
  <c r="P218" i="7"/>
  <c r="P217" i="7"/>
  <c r="P216" i="7"/>
  <c r="P215" i="7"/>
  <c r="P214" i="7"/>
  <c r="G214" i="7"/>
  <c r="F214" i="7"/>
  <c r="P213" i="7"/>
  <c r="G213" i="7"/>
  <c r="F213" i="7"/>
  <c r="P212" i="7"/>
  <c r="G212" i="7"/>
  <c r="F212" i="7"/>
  <c r="P211" i="7"/>
  <c r="G211" i="7"/>
  <c r="F211" i="7"/>
  <c r="P210" i="7"/>
  <c r="G210" i="7"/>
  <c r="F210" i="7"/>
  <c r="P209" i="7"/>
  <c r="G209" i="7"/>
  <c r="F209" i="7"/>
  <c r="P208" i="7"/>
  <c r="G208" i="7"/>
  <c r="F208" i="7"/>
  <c r="P207" i="7"/>
  <c r="G207" i="7"/>
  <c r="F207" i="7"/>
  <c r="P206" i="7"/>
  <c r="G206" i="7"/>
  <c r="F206" i="7"/>
  <c r="P205" i="7"/>
  <c r="G205" i="7"/>
  <c r="F205" i="7"/>
  <c r="P204" i="7"/>
  <c r="G204" i="7"/>
  <c r="F204" i="7"/>
  <c r="P203" i="7"/>
  <c r="G203" i="7"/>
  <c r="F203" i="7"/>
  <c r="P202" i="7"/>
  <c r="G202" i="7"/>
  <c r="F202" i="7"/>
  <c r="P201" i="7"/>
  <c r="P200" i="7"/>
  <c r="P199" i="7"/>
  <c r="P198" i="7"/>
  <c r="P197" i="7"/>
  <c r="P196" i="7"/>
  <c r="P195" i="7"/>
  <c r="P194" i="7"/>
  <c r="P193" i="7"/>
  <c r="P192" i="7"/>
  <c r="P191" i="7"/>
  <c r="P190" i="7"/>
  <c r="P189" i="7"/>
  <c r="P188" i="7"/>
  <c r="P187" i="7"/>
  <c r="P186" i="7"/>
  <c r="P185" i="7"/>
  <c r="P184" i="7"/>
  <c r="P183" i="7"/>
  <c r="P182" i="7"/>
  <c r="P181" i="7"/>
  <c r="P180" i="7"/>
  <c r="P179" i="7"/>
  <c r="P178" i="7"/>
  <c r="P177" i="7"/>
  <c r="P176" i="7"/>
  <c r="P175" i="7"/>
  <c r="P174" i="7"/>
  <c r="P173" i="7"/>
  <c r="P172" i="7"/>
  <c r="P171" i="7"/>
  <c r="P170" i="7"/>
  <c r="P169" i="7"/>
  <c r="P168" i="7"/>
  <c r="P167" i="7"/>
  <c r="P166" i="7"/>
  <c r="P165" i="7"/>
  <c r="P164" i="7"/>
  <c r="P163" i="7"/>
  <c r="P162" i="7"/>
  <c r="P161" i="7"/>
  <c r="P160" i="7"/>
  <c r="P159" i="7"/>
  <c r="P158" i="7"/>
  <c r="P157" i="7"/>
  <c r="P156" i="7"/>
  <c r="P155" i="7"/>
  <c r="P154" i="7"/>
  <c r="P153" i="7"/>
  <c r="P152" i="7"/>
  <c r="P151" i="7"/>
  <c r="P150" i="7"/>
  <c r="P149" i="7"/>
  <c r="P148" i="7"/>
  <c r="P147" i="7"/>
  <c r="P146" i="7"/>
  <c r="P145" i="7"/>
  <c r="P144" i="7"/>
  <c r="P143" i="7"/>
  <c r="P142" i="7"/>
  <c r="P141" i="7"/>
  <c r="P140" i="7"/>
  <c r="P139" i="7"/>
  <c r="P138" i="7"/>
  <c r="P137" i="7"/>
  <c r="P136" i="7"/>
  <c r="P135" i="7"/>
  <c r="P134" i="7"/>
  <c r="P133" i="7"/>
  <c r="P132" i="7"/>
  <c r="P131" i="7"/>
  <c r="P130" i="7"/>
  <c r="P129" i="7"/>
  <c r="P128" i="7"/>
  <c r="P127" i="7"/>
  <c r="P126" i="7"/>
  <c r="P125" i="7"/>
  <c r="P124" i="7"/>
  <c r="P123" i="7"/>
  <c r="P122" i="7"/>
  <c r="P121" i="7"/>
  <c r="P120" i="7"/>
  <c r="P119" i="7"/>
  <c r="G119" i="7"/>
  <c r="F119" i="7"/>
  <c r="P118" i="7"/>
  <c r="G118" i="7"/>
  <c r="F118" i="7"/>
  <c r="P117" i="7"/>
  <c r="G117" i="7"/>
  <c r="F117" i="7"/>
  <c r="P116" i="7"/>
  <c r="G116" i="7"/>
  <c r="F116" i="7"/>
  <c r="P115" i="7"/>
  <c r="G115" i="7"/>
  <c r="F115" i="7"/>
  <c r="P114" i="7"/>
  <c r="G114" i="7"/>
  <c r="F114" i="7"/>
  <c r="P113" i="7"/>
  <c r="G113" i="7"/>
  <c r="F113" i="7"/>
  <c r="P112" i="7"/>
  <c r="G112" i="7"/>
  <c r="F112" i="7"/>
  <c r="P111" i="7"/>
  <c r="G111" i="7"/>
  <c r="F111" i="7"/>
  <c r="P110" i="7"/>
  <c r="G110" i="7"/>
  <c r="F110" i="7"/>
  <c r="P109" i="7"/>
  <c r="G109" i="7"/>
  <c r="F109" i="7"/>
  <c r="P108" i="7"/>
  <c r="G108" i="7"/>
  <c r="F108" i="7"/>
  <c r="P107" i="7"/>
  <c r="P106" i="7"/>
  <c r="P105" i="7"/>
  <c r="P104" i="7"/>
  <c r="P103" i="7"/>
  <c r="P102" i="7"/>
  <c r="P101" i="7"/>
  <c r="P100" i="7"/>
  <c r="P99" i="7"/>
  <c r="P98" i="7"/>
  <c r="P97" i="7"/>
  <c r="P96" i="7"/>
  <c r="P95" i="7"/>
  <c r="P94" i="7"/>
  <c r="P93" i="7"/>
  <c r="P92" i="7"/>
  <c r="P91" i="7"/>
  <c r="P90" i="7"/>
  <c r="P89" i="7"/>
  <c r="P88" i="7"/>
  <c r="P87" i="7"/>
  <c r="P86" i="7"/>
  <c r="P85" i="7"/>
  <c r="P84" i="7"/>
  <c r="P83" i="7"/>
  <c r="P82" i="7"/>
  <c r="P81" i="7"/>
  <c r="P80" i="7"/>
  <c r="P79" i="7"/>
  <c r="P78" i="7"/>
  <c r="P77" i="7"/>
  <c r="P76" i="7"/>
  <c r="P75" i="7"/>
  <c r="P74" i="7"/>
  <c r="P73" i="7"/>
  <c r="P72" i="7"/>
  <c r="P71" i="7"/>
  <c r="P70" i="7"/>
  <c r="P69" i="7"/>
  <c r="P68" i="7"/>
  <c r="P67" i="7"/>
  <c r="P66" i="7"/>
  <c r="P65" i="7"/>
  <c r="P64" i="7"/>
  <c r="P63" i="7"/>
  <c r="P62" i="7"/>
  <c r="P61" i="7"/>
  <c r="P60" i="7"/>
  <c r="P59" i="7"/>
  <c r="P58" i="7"/>
  <c r="P57" i="7"/>
  <c r="P56" i="7"/>
  <c r="P55" i="7"/>
  <c r="P54" i="7"/>
  <c r="P53" i="7"/>
  <c r="P52" i="7"/>
  <c r="P51" i="7"/>
  <c r="P50" i="7"/>
  <c r="P49" i="7"/>
  <c r="P48" i="7"/>
  <c r="P47" i="7"/>
  <c r="P46" i="7"/>
  <c r="P45" i="7"/>
  <c r="P44" i="7"/>
  <c r="P43" i="7"/>
  <c r="P42" i="7"/>
  <c r="P41" i="7"/>
  <c r="P40" i="7"/>
  <c r="P39" i="7"/>
  <c r="P38" i="7"/>
  <c r="P37" i="7"/>
  <c r="P36" i="7"/>
  <c r="P35" i="7"/>
  <c r="P34" i="7"/>
  <c r="P33" i="7"/>
  <c r="P32" i="7"/>
  <c r="P31" i="7"/>
  <c r="P30" i="7"/>
  <c r="P29" i="7"/>
  <c r="P28" i="7"/>
  <c r="P27" i="7"/>
  <c r="P26" i="7"/>
  <c r="P25" i="7"/>
  <c r="P24" i="7"/>
  <c r="P23" i="7"/>
  <c r="P22" i="7"/>
  <c r="P21" i="7"/>
  <c r="P20" i="7"/>
  <c r="P19" i="7"/>
  <c r="P18" i="7"/>
  <c r="P17" i="7"/>
  <c r="P16" i="7"/>
</calcChain>
</file>

<file path=xl/sharedStrings.xml><?xml version="1.0" encoding="utf-8"?>
<sst xmlns="http://schemas.openxmlformats.org/spreadsheetml/2006/main" count="4512" uniqueCount="429">
  <si>
    <t>TP.HCM, ngày    tháng    năm 2026</t>
  </si>
  <si>
    <t>ĐƠN ĐỀ NGHỊ BÁO GIÁ</t>
  </si>
  <si>
    <t>Kính gửi: QUÝ CÔNG TY</t>
  </si>
  <si>
    <t>Bên Mua: Công ty cổ phần điện và xây dựng Nam Việt</t>
  </si>
  <si>
    <t>Địa chỉ:</t>
  </si>
  <si>
    <t>Địa chỉ: 41 đường 34, Phường Bình Trung, Tp HCM</t>
  </si>
  <si>
    <t>Đại diện:</t>
  </si>
  <si>
    <t>Đại Diện: Ông Lê Văn</t>
  </si>
  <si>
    <t>Phụ trách báo giá:</t>
  </si>
  <si>
    <t>Phụ trách mua hàng: Bà Lê Thị Ngọc Hà</t>
  </si>
  <si>
    <t>Số điện thoại</t>
  </si>
  <si>
    <t>Số điện thoại: 0948 2500 717</t>
  </si>
  <si>
    <t>Email:</t>
  </si>
  <si>
    <t>Email: purchase@nvat.com.vn</t>
  </si>
  <si>
    <t>Công ty chúng tôi đang có nhu cầu mua các sản phẩm vật liệu để sử dụng thi công cho dự án sau:</t>
  </si>
  <si>
    <t>Kính đề nghị Quý Công ty vui lòng báo giá các loại vật liệu theo danh mục sau đây:</t>
  </si>
  <si>
    <r>
      <rPr>
        <b/>
        <u/>
        <sz val="14"/>
        <color indexed="8"/>
        <rFont val="Times New Roman"/>
        <charset val="134"/>
      </rPr>
      <t>Dự Án</t>
    </r>
    <r>
      <rPr>
        <b/>
        <sz val="14"/>
        <color indexed="8"/>
        <rFont val="Times New Roman"/>
        <charset val="134"/>
      </rPr>
      <t>:  QUẦN THỂ KHU DU LỊCH SINH THÁI BÀ NÀ-SUỐI MƠ, KHU DU LỊCH SINH THÁI BÀ NÀ</t>
    </r>
  </si>
  <si>
    <r>
      <rPr>
        <b/>
        <u/>
        <sz val="14"/>
        <color indexed="8"/>
        <rFont val="Times New Roman"/>
        <charset val="134"/>
      </rPr>
      <t>Địa chỉ:</t>
    </r>
    <r>
      <rPr>
        <b/>
        <sz val="14"/>
        <color indexed="8"/>
        <rFont val="Times New Roman"/>
        <charset val="134"/>
      </rPr>
      <t xml:space="preserve">  THÔN AN SƠN, XÃ BÀ NÀ, TP. ĐÀ NẴNG</t>
    </r>
  </si>
  <si>
    <r>
      <rPr>
        <b/>
        <u/>
        <sz val="14"/>
        <color indexed="8"/>
        <rFont val="Times New Roman"/>
        <charset val="134"/>
      </rPr>
      <t>Gói Thầu</t>
    </r>
    <r>
      <rPr>
        <b/>
        <sz val="14"/>
        <color indexed="8"/>
        <rFont val="Times New Roman"/>
        <charset val="134"/>
      </rPr>
      <t>: CUNG CẤP VÀ LẮP ĐẶT THIẾT BỊ CƠ ĐIỆN THÁP H1</t>
    </r>
  </si>
  <si>
    <r>
      <rPr>
        <b/>
        <u/>
        <sz val="14"/>
        <color indexed="8"/>
        <rFont val="Times New Roman"/>
        <charset val="134"/>
      </rPr>
      <t>Nhà Thầu:</t>
    </r>
    <r>
      <rPr>
        <b/>
        <sz val="14"/>
        <color indexed="8"/>
        <rFont val="Times New Roman"/>
        <charset val="134"/>
      </rPr>
      <t xml:space="preserve"> CÔNG TY CỔ PHẦN ĐIỆN VÀ XÂY DỰNG NAM VIỆT</t>
    </r>
  </si>
  <si>
    <t>STT</t>
  </si>
  <si>
    <t>Nội dung sản phẩm</t>
  </si>
  <si>
    <t>Thông số kỹ thuật</t>
  </si>
  <si>
    <t>Nhãn hiệu</t>
  </si>
  <si>
    <t>Xuất xứ</t>
  </si>
  <si>
    <t>Đơn vị tính</t>
  </si>
  <si>
    <t>Khối lượng</t>
  </si>
  <si>
    <t>Đơn giá</t>
  </si>
  <si>
    <t>Thành tiền</t>
  </si>
  <si>
    <t>Ghi chú</t>
  </si>
  <si>
    <t>A1.2</t>
  </si>
  <si>
    <t>Ống gió</t>
  </si>
  <si>
    <t>Tole tráng kẽm dày 0.58mm (dùng cho ống gió có a, b &lt;400mm)</t>
  </si>
  <si>
    <t>Dày 0.58mm, Nối C, Z275 (275 g/m2)</t>
  </si>
  <si>
    <t>Hoa Sen</t>
  </si>
  <si>
    <t>Việt Nam</t>
  </si>
  <si>
    <t>m2</t>
  </si>
  <si>
    <t>Tole tráng kẽm dày 0.75mm  (dùng cho ống gió có 600&lt;a, b&lt;=1000mm)</t>
  </si>
  <si>
    <t>Dày 0.75mm, Nối TDC, Z275 (275 g/m2)</t>
  </si>
  <si>
    <t>Tole tráng kẽm dày 0.95mm (dùng cho ống gió có 1000&lt;a, b&lt;=2000mm)</t>
  </si>
  <si>
    <t>Dày 0.95mm, Nối TDC, Z275 (275 g/m2)</t>
  </si>
  <si>
    <t>A2.2</t>
  </si>
  <si>
    <t>Ống gió thải thông thường</t>
  </si>
  <si>
    <t>A2.3</t>
  </si>
  <si>
    <t>Ống gió thải bếp</t>
  </si>
  <si>
    <t>Thép không gỉ dày 1.15 mm cho hút, thải khói bếp (inox 304)</t>
  </si>
  <si>
    <t>Ống gió inox 304: Dày 1.15mm</t>
  </si>
  <si>
    <t>Ống gió, ống gió mềm, canvas, cách nhiệt</t>
  </si>
  <si>
    <t>Tole</t>
  </si>
  <si>
    <t>Tole tráng kẽm dày 1.15mm  (dùng cho ống gió có a, b&gt;2000 mm)</t>
  </si>
  <si>
    <t>Dày 1.15mm, Nối V30, Z275 (275 g/m2)</t>
  </si>
  <si>
    <t>B1.2</t>
  </si>
  <si>
    <t>Ống gió chống cháy cho ống gió hút khói, tăng áp và phụ kiện EI60 kết nối nẹp TDC cấu tạo Tôn Hoa Sen mạ kẽm Z275 dày 0.75mm + 1 Tấm KHS.HF.Mpro14 dày 14mm.</t>
  </si>
  <si>
    <t>EI60
( Theo mẫu đốt NCC)</t>
  </si>
  <si>
    <t>Tole:  Hoa Sen
Tấm chống cháy  KHS
Nhà sản xuất: Swind</t>
  </si>
  <si>
    <t>Ống gió chống cháy cho ống gió hút khói, tăng áp và phụ kiện EI120 kết nối nẹp TDC cấu tạo Tôn Hoa Sen mạ kẽm Z275 dày 0.75mm + 2 Tấm KHS.HF.Mpro14 dày 14mm.</t>
  </si>
  <si>
    <t>B2.2</t>
  </si>
  <si>
    <t>B3.2</t>
  </si>
  <si>
    <t>PHẦN VẬT TƯ</t>
  </si>
  <si>
    <t>II</t>
  </si>
  <si>
    <t>Đường Ống</t>
  </si>
  <si>
    <t>A1.4</t>
  </si>
  <si>
    <t>Van, miệng gió</t>
  </si>
  <si>
    <t>Van</t>
  </si>
  <si>
    <t>Van điều chỉnh lưu lượng VCD - Kích thước 100x100</t>
  </si>
  <si>
    <t>Swind</t>
  </si>
  <si>
    <t>Cái</t>
  </si>
  <si>
    <t>Van điều chỉnh lưu lượng VCD - Kích thước 150x100</t>
  </si>
  <si>
    <t>Van điều chỉnh lưu lượng VCD - Kích thước 150x150</t>
  </si>
  <si>
    <t>Van điều chỉnh lưu lượng VCD - Kích thước 200x150</t>
  </si>
  <si>
    <t>Van điều chỉnh lưu lượng VCD - Kích thước 300x250</t>
  </si>
  <si>
    <t>Van điều chỉnh lưu lượng VCD - Kích thước 350x250</t>
  </si>
  <si>
    <t>Van điều chỉnh lưu lượng VCD - Kích thước 400x200</t>
  </si>
  <si>
    <t>Van điều chỉnh lưu lượng VCD - Kích thước 400x250</t>
  </si>
  <si>
    <t>Van điều chỉnh lưu lượng VCD - Kích thước 400x300</t>
  </si>
  <si>
    <t>Van điều chỉnh lưu lượng VCD - Kích thước 450x250</t>
  </si>
  <si>
    <t>Van điều chỉnh lưu lượng VCD - Kích thước 500x300</t>
  </si>
  <si>
    <t>Van điều chỉnh lưu lượng VCD - Kích thước 500x250</t>
  </si>
  <si>
    <t>Van điều chỉnh lưu lượng VCD - Kích thước 550x250</t>
  </si>
  <si>
    <t>Van điều chỉnh lưu lượng VCD - Kích thước 600x300</t>
  </si>
  <si>
    <t>Van điều chỉnh lưu lượng VCD - Kích thước 650x250</t>
  </si>
  <si>
    <t>Van điều chỉnh lưu lượng VCD - Kích thước 650x300</t>
  </si>
  <si>
    <t>Van điều chỉnh lưu lượng VCD - Kích thước 650x350</t>
  </si>
  <si>
    <t>Van điều chỉnh lưu lượng VCD - Kích thước 800x600</t>
  </si>
  <si>
    <t>Van điều chỉnh lưu lượng VCD - Kích thước 900x300</t>
  </si>
  <si>
    <t>Van điều chỉnh lưu lượng VCD - Kích thước 900x500</t>
  </si>
  <si>
    <t>Van điều chỉnh lưu lượng VCD - Kích thước 900x900</t>
  </si>
  <si>
    <t>Van điều chỉnh lưu lượng VCD - Kích thước 950x500</t>
  </si>
  <si>
    <t>Van điều chỉnh lưu lượng VCD - Kích thước 1000x1000</t>
  </si>
  <si>
    <t>Asia Green</t>
  </si>
  <si>
    <t>Van chặn lửa FD EI45 - Kích thước 100x100</t>
  </si>
  <si>
    <t>Van chặn lửa FD EI45 - Kích thước 150x100</t>
  </si>
  <si>
    <t>Van chặn lửa FD EI45 - Kích thước 150x150</t>
  </si>
  <si>
    <t>Van chặn lửa FD EI45 - Kích thước 300x250</t>
  </si>
  <si>
    <t>Van chặn lửa FD EI45 - Kích thước 300x300</t>
  </si>
  <si>
    <t>Van chặn lửa FD EI45 - Kích thước 350x250</t>
  </si>
  <si>
    <t>Van chặn lửa FD EI45 - Kích thước 400x200</t>
  </si>
  <si>
    <t>Van chặn lửa FD EI45 - Kích thước 400x250</t>
  </si>
  <si>
    <t>Van chặn lửa FD EI45 - Kích thước 400x300</t>
  </si>
  <si>
    <t>Van chặn lửa FD EI45 - Kích thước 400x350</t>
  </si>
  <si>
    <t>Van chặn lửa FD EI45 - Kích thước 450x250</t>
  </si>
  <si>
    <t>Van chặn lửa FD EI45 - Kích thước 550x250</t>
  </si>
  <si>
    <t>Van chặn lửa FD EI45 - Kích thước 550x350</t>
  </si>
  <si>
    <t>Van chặn lửa FD EI45 - Kích thước 600x300</t>
  </si>
  <si>
    <t>Van chặn lửa FD EI45 - Kích thước 600x450</t>
  </si>
  <si>
    <t>Van chặn lửa FD EI45 - Kích thước 650x250</t>
  </si>
  <si>
    <t>Van chặn lửa FD EI45 - Kích thước 650x300</t>
  </si>
  <si>
    <t>Van chặn lửa FD EI45 - Kích thước 650x350</t>
  </si>
  <si>
    <t>Van chặn lửa FD EI45 - Kích thước 650x400</t>
  </si>
  <si>
    <t>Van chặn lửa FD EI45 - Kích thước 700x350</t>
  </si>
  <si>
    <t>Van chặn lửa FD EI45 - Kích thước 800x600</t>
  </si>
  <si>
    <t>Van chặn lửa FD EI45 - Kích thước 800x800</t>
  </si>
  <si>
    <t>Van chặn lửa FD EI45 - Kích thước 850x450</t>
  </si>
  <si>
    <t>Van chặn lửa FD EI45 - Kích thước 1000x500</t>
  </si>
  <si>
    <t>Van chặn lửa FD EI45 - Kích thước 1000x1000</t>
  </si>
  <si>
    <t>Van chặn lửa FD EI45 - Kích thước 1800x600</t>
  </si>
  <si>
    <t>Miệng gió</t>
  </si>
  <si>
    <t>KTM 600x300 + OBD</t>
  </si>
  <si>
    <t>KTM 600x250 + OBD</t>
  </si>
  <si>
    <t>KTM 500x300 + OBD</t>
  </si>
  <si>
    <t>KTM 500x250 + OBD</t>
  </si>
  <si>
    <t>KTM 400x400 + OBD</t>
  </si>
  <si>
    <t>KTM 400x200 + OBD</t>
  </si>
  <si>
    <t>KTM 300x300 + OBD</t>
  </si>
  <si>
    <t>KTM 250x250 + OBD</t>
  </si>
  <si>
    <t>KTM 200x200 + OBD</t>
  </si>
  <si>
    <t>Bộ tiêu âm</t>
  </si>
  <si>
    <t>Bộ tiêu âm - Kích thước: 400x300</t>
  </si>
  <si>
    <t>Bộ</t>
  </si>
  <si>
    <t>Bộ tiêu âm - Kích thước: 500x…</t>
  </si>
  <si>
    <t>Bộ tiêu âm - Kích thước: 600x300</t>
  </si>
  <si>
    <t>Bộ tiêu âm - Kích thước: 650x250</t>
  </si>
  <si>
    <t>Bộ tiêu âm - Kích thước: 650x300</t>
  </si>
  <si>
    <t>Bộ tiêu âm - Kích thước: 800x600</t>
  </si>
  <si>
    <t>Bộ tiêu âm - Kích thước: 900x300</t>
  </si>
  <si>
    <t>Bộ tiêu âm - Kích thước: 900x500</t>
  </si>
  <si>
    <t>Bộ tiêu âm - Kích thước: 900x900</t>
  </si>
  <si>
    <t>Bộ tiêu âm - Kích thước: 950x500</t>
  </si>
  <si>
    <t>Bộ tiêu âm - Kích thước: 1000x1000</t>
  </si>
  <si>
    <t>Bộ tiêu âm - Kích thước: 1900x500</t>
  </si>
  <si>
    <t>Louver gió tươi - Kích thước: xxx-xxx</t>
  </si>
  <si>
    <t>A2.5</t>
  </si>
  <si>
    <t>Van điều chỉnh lưu lượng VCD - Kích thước D100</t>
  </si>
  <si>
    <t>Van điều chỉnh lưu lượng VCD - Kích thước D200</t>
  </si>
  <si>
    <t>Van điều chỉnh lưu lượng VCD - Kích thước D250</t>
  </si>
  <si>
    <t>Van điều chỉnh lưu lượng VCD - Kích thước 200x100</t>
  </si>
  <si>
    <t>Van điều chỉnh lưu lượng VCD - Kích thước 200x200</t>
  </si>
  <si>
    <t>Van điều chỉnh lưu lượng VCD - Kích thước 250x150</t>
  </si>
  <si>
    <t>Van điều chỉnh lưu lượng VCD - Kích thước 250x200</t>
  </si>
  <si>
    <t>Van điều chỉnh lưu lượng VCD - Kích thước 300x200</t>
  </si>
  <si>
    <t>Van điều chỉnh lưu lượng VCD - Kích thước 600x250</t>
  </si>
  <si>
    <t>Van điều chỉnh lưu lượng VCD - Kích thước 600x400</t>
  </si>
  <si>
    <t>Van điều chỉnh lưu lượng VCD - Kích thước 650x400</t>
  </si>
  <si>
    <t>Van điều chỉnh lưu lượng VCD - Kích thước 700x350</t>
  </si>
  <si>
    <t>Van điều chỉnh lưu lượng VCD - Kích thước 700x400</t>
  </si>
  <si>
    <t>Van điều chỉnh lưu lượng VCD - Kích thước 1900x600</t>
  </si>
  <si>
    <t>Van chặn lửa FD EI45 - Kích thước 200x100</t>
  </si>
  <si>
    <t>Van chặn lửa FD EI45 - Kích thước 200x150</t>
  </si>
  <si>
    <t>Van chặn lửa FD EI45 - Kích thước 200x200</t>
  </si>
  <si>
    <t>Van chặn lửa FD EI45 - Kích thước 250x150</t>
  </si>
  <si>
    <t>Van chặn lửa FD EI45 - Kích thước 300x200</t>
  </si>
  <si>
    <t>Van chặn lửa FD EI45 - Kích thước 350x150</t>
  </si>
  <si>
    <t>Van chặn lửa FD EI45 - Kích thước 350x200</t>
  </si>
  <si>
    <t>Van chặn lửa FD EI45 - Kích thước 350x300</t>
  </si>
  <si>
    <t>Van chặn lửa FD EI45 - Kích thước 450x350</t>
  </si>
  <si>
    <t>Van chặn lửa FD EI45 - Kích thước 500x250</t>
  </si>
  <si>
    <t>Van chặn lửa FD EI45 - Kích thước 500x300</t>
  </si>
  <si>
    <t>Van chặn lửa FD EI45 - Kích thước 500x350</t>
  </si>
  <si>
    <t>Van chặn lửa FD EI45 - Kích thước 600x250</t>
  </si>
  <si>
    <t>Van chặn lửa FD EI45 - Kích thước 600x350</t>
  </si>
  <si>
    <t>Van chặn lửa FD EI45 - Kích thước 600x400</t>
  </si>
  <si>
    <t>Van chặn lửa FD EI45 - Kích thước 600x600</t>
  </si>
  <si>
    <t>Van chặn lửa FD EI45 - Kích thước 600x…</t>
  </si>
  <si>
    <t>Van chặn lửa FD EI45 - Kích thước 700x400</t>
  </si>
  <si>
    <t>Van chặn lửa FD EI45 - Kích thước 750x500</t>
  </si>
  <si>
    <t>Van chặn lửa FD EI45 - Kích thước 750x550</t>
  </si>
  <si>
    <t>Van chặn lửa FD EI45 - Kích thước 800x400</t>
  </si>
  <si>
    <t>Van chặn lửa FD EI45 - Kích thước 800x450</t>
  </si>
  <si>
    <t>Van chặn lửa FD EI45 - Kích thước 900x300</t>
  </si>
  <si>
    <t>Van chặn lửa FD EI45 - Kích thước 900x500</t>
  </si>
  <si>
    <t>Van chặn lửa FD EI45 - Kích thước 1200x650</t>
  </si>
  <si>
    <t>Van chặn lửa FD EI45 - Kích thước 1400x600</t>
  </si>
  <si>
    <t>Van chặn lửa FD EI45 - Kích thước 1900x600</t>
  </si>
  <si>
    <t>Miệng gió thải EAG-ED-200x100</t>
  </si>
  <si>
    <t>Miệng gió thải EAG-ED-200x150</t>
  </si>
  <si>
    <t>Miệng gió thải EAG-ED-300x100</t>
  </si>
  <si>
    <t>Bô Tiêu âm</t>
  </si>
  <si>
    <t>Bộ tiêu âm - Kích thước: 350x250</t>
  </si>
  <si>
    <t>Bộ tiêu âm - Kích thước: 700x350</t>
  </si>
  <si>
    <t>Bộ tiêu âm - Kích thước: 800x450</t>
  </si>
  <si>
    <t>Bộ tiêu âm - Kích thước: 1200x650</t>
  </si>
  <si>
    <t>Bộ tiêu âm - Kích thước: 1900x600</t>
  </si>
  <si>
    <t>A3.3</t>
  </si>
  <si>
    <t>Van, Miệng gió</t>
  </si>
  <si>
    <t>Miệng gió cấp</t>
  </si>
  <si>
    <t>KTM 1500x200 + OBD</t>
  </si>
  <si>
    <t>KTM 1200x1000 + OBD</t>
  </si>
  <si>
    <t>KTM 1200x600 + OBD</t>
  </si>
  <si>
    <t>KTM 1200x300 + OBD</t>
  </si>
  <si>
    <t>KTM 1200x200 + OBD</t>
  </si>
  <si>
    <t>KTM 1200x150 + OBD</t>
  </si>
  <si>
    <t>KTM 1200x100 + OBD</t>
  </si>
  <si>
    <t>KTM 1100x300 + OBD</t>
  </si>
  <si>
    <t>KTM 1000x500 + OBD</t>
  </si>
  <si>
    <t>KTM  900x600 + OBD</t>
  </si>
  <si>
    <t>KTM  900x400 + OBD</t>
  </si>
  <si>
    <t>KTM  900x300 + OBD</t>
  </si>
  <si>
    <t>KTM 800x400 + OBD</t>
  </si>
  <si>
    <t>KTM 700x700 + OBD</t>
  </si>
  <si>
    <t>Miệng gió hồi</t>
  </si>
  <si>
    <t>KTM 1200x300 + Lưới lọc bụi</t>
  </si>
  <si>
    <t>Starduct</t>
  </si>
  <si>
    <t>KTM 1200x200 + Lưới lọc bụi</t>
  </si>
  <si>
    <t>KTM 1200x150 + Lưới lọc bụi</t>
  </si>
  <si>
    <t>KTM 1200x100 + Lưới lọc bụi</t>
  </si>
  <si>
    <t>KTM 1100x300 + Lưới lọc bụi</t>
  </si>
  <si>
    <t>KTM 1000x500 + Lưới lọc bụi</t>
  </si>
  <si>
    <t>KTM 450x300 + Lưới lọc bụi</t>
  </si>
  <si>
    <t>KTM 400x300 + Lưới lọc bụi</t>
  </si>
  <si>
    <t>KTM 500x300 + Lưới lọc bụi</t>
  </si>
  <si>
    <t>KTM 600x500 + Lưới lọc bụi</t>
  </si>
  <si>
    <t>KTM 900x550 + Lưới lọc bụi</t>
  </si>
  <si>
    <t>Van điều chỉnh lưu lượng VCD - Kích thước D300</t>
  </si>
  <si>
    <t>Van điều chỉnh lưu lượng VCD - Kích thước D400</t>
  </si>
  <si>
    <t>Van điều chỉnh lưu lượng VCD - Kích thước 300x300</t>
  </si>
  <si>
    <t>Van điều chỉnh lưu lượng VCD - Kích thước 350x300</t>
  </si>
  <si>
    <t>Van điều chỉnh lưu lượng VCD - Kích thước 350x350</t>
  </si>
  <si>
    <t>Van điều chỉnh lưu lượng VCD - Kích thước 400x350</t>
  </si>
  <si>
    <t>Van điều chỉnh lưu lượng VCD - Kích thước 450x200</t>
  </si>
  <si>
    <t>Van điều chỉnh lưu lượng VCD - Kích thước 600x200</t>
  </si>
  <si>
    <t>Van điều chỉnh lưu lượng VCD - Kích thước 1100x550</t>
  </si>
  <si>
    <t>Van điều chỉnh lưu lượng VCD - Kích thước 1200x550</t>
  </si>
  <si>
    <t>Van điều chỉnh lưu lượng VCD - Kích thước 1250x600</t>
  </si>
  <si>
    <t>Van điều chỉnh lưu lượng VCD - Kích thước 1300x650</t>
  </si>
  <si>
    <t>Van chặn lửa FD EI45 - Kích thước 350x350</t>
  </si>
  <si>
    <t>Van chặn lửa FD EI45 - Kích thước 450x200</t>
  </si>
  <si>
    <t>Van chặn lửa FD EI45 - Kích thước 600x200</t>
  </si>
  <si>
    <t>Van chặn lửa FD EI45 - Kích thước 750x450</t>
  </si>
  <si>
    <t>Van chặn lửa FD EI45 - Kích thước 1700x750</t>
  </si>
  <si>
    <t>Van chặn lửa FD EI45 - Kích thước 2000x1000</t>
  </si>
  <si>
    <t>B1.3</t>
  </si>
  <si>
    <t>Van gió MD - Kích thước 300x300</t>
  </si>
  <si>
    <t>Van gió MD - Kích thước 500x400</t>
  </si>
  <si>
    <t>Van gió MD - Kích thước 550x450</t>
  </si>
  <si>
    <t>Van gió MD - Kích thước 600x200</t>
  </si>
  <si>
    <t>Van gió MD - Kích thước 600x450</t>
  </si>
  <si>
    <t>Van gió MD - Kích thước 600x600</t>
  </si>
  <si>
    <t>Van gió MD - Kích thước 650x400</t>
  </si>
  <si>
    <t>Van gió MD - Kích thước 750x600</t>
  </si>
  <si>
    <t>Van gió MD - Kích thước: D500 (theo đường kính quạt)</t>
  </si>
  <si>
    <t>Van gió MD - Kích thước: D700 (theo đường kính quạt)</t>
  </si>
  <si>
    <t>Van gió MD - Kích thước: D800 (theo đường kính quạt)</t>
  </si>
  <si>
    <t xml:space="preserve">Van chặn lửa MFD EI45 - Kích thước 150x150 </t>
  </si>
  <si>
    <t xml:space="preserve">Van chặn lửa MFD EI45 - Kích thước 200x100 </t>
  </si>
  <si>
    <t xml:space="preserve">Van chặn lửa MFD EI90 - Kích thước 200x100 </t>
  </si>
  <si>
    <t xml:space="preserve">Van chặn lửa MFD EI120 - Kích thước 200x100 </t>
  </si>
  <si>
    <t xml:space="preserve">Van chặn lửa MFD EI45 - Kích thước 200x200 </t>
  </si>
  <si>
    <t>Van chặn lửa MFD EI90 - Kích thước 300x300</t>
  </si>
  <si>
    <t>Van chặn lửa MFD EI45 - Kích thước 500x400</t>
  </si>
  <si>
    <t>Van chặn lửa MFD EI45 - Kích thước 550x450</t>
  </si>
  <si>
    <t>Van chặn lửa MFD EI45 - Kích thước 600x200</t>
  </si>
  <si>
    <t>Van chặn lửa MFD EI90 - Kích thước 600x450</t>
  </si>
  <si>
    <t>Van chặn lửa MFD EI90 - Kích thước 600x600</t>
  </si>
  <si>
    <t>Van chặn lửa MFD EI45 - Kích thước 750x600</t>
  </si>
  <si>
    <t>Van chặn lửa MFD EI90 - Kích thước 800x700</t>
  </si>
  <si>
    <t>Van chặn lửa MFD EI120 - Kích thước 900x300</t>
  </si>
  <si>
    <t>Van chặn lửa MFD EI45 - Kích thước 900x200</t>
  </si>
  <si>
    <t>Van chặn lửa MFD EI90 - Kích thước 900x200</t>
  </si>
  <si>
    <t>Van chặn lửa MFD EI90 - Kích thước 1000x600</t>
  </si>
  <si>
    <t>Van chặn lửa MFD EI90 - Kích thước 1000x800</t>
  </si>
  <si>
    <t>Van chặn lửa MFD EI120 - Kích thước 1000x800</t>
  </si>
  <si>
    <t>KTM 450x450 + OBD</t>
  </si>
  <si>
    <t>KTM 600x600 + OBD</t>
  </si>
  <si>
    <t>Louver gió tươi FAL - Kích thước: 1400x350</t>
  </si>
  <si>
    <t>Louver gió tươi FAL - Kích thước: 1600x600</t>
  </si>
  <si>
    <t>B2.3</t>
  </si>
  <si>
    <t>Van gió MD - Kích thước 600x300</t>
  </si>
  <si>
    <t>Van gió MD - Kích thước 1000x500</t>
  </si>
  <si>
    <t>Van gió MD - Kích thước 1000x600</t>
  </si>
  <si>
    <t>Van gió MD - Kích thước 1200x900</t>
  </si>
  <si>
    <t>Van gió MD - Kích thước D600 (theo đường kính quạt)</t>
  </si>
  <si>
    <t>Van gió MD - Kích thước D750 (theo đường kính quạt)</t>
  </si>
  <si>
    <t>Van chặn lửa MFD EI45 - Kích thước 600x250</t>
  </si>
  <si>
    <t>Van chặn lửa MFD EI45 - Kích thước 600x300</t>
  </si>
  <si>
    <t>Van chặn lửa MFD EI90 - Kích thước 600x300</t>
  </si>
  <si>
    <t>Van chặn lửa MFD EI45 - Kích thước 600x400</t>
  </si>
  <si>
    <t>Van chặn lửa MFD EI45 - Kích thước 600x450</t>
  </si>
  <si>
    <t>Van chặn lửa MFD EI45 - Kích thước 750x350</t>
  </si>
  <si>
    <t>Van chặn lửa MFD EI90 - Kích thước 750x350</t>
  </si>
  <si>
    <t>Van chặn lửa MFD EI45 - Kích thước 1000x600</t>
  </si>
  <si>
    <t>Van chặn lửa MFD EI45 - Kích thước 1200x900</t>
  </si>
  <si>
    <t>KTM 200x300 + OBD</t>
  </si>
  <si>
    <t>B3.3</t>
  </si>
  <si>
    <t>Van gió, miệng gió</t>
  </si>
  <si>
    <t>Van gió MD - Kích thước 800x350</t>
  </si>
  <si>
    <t>Louver gió tươi - Kích thước: 1500x100</t>
  </si>
  <si>
    <t xml:space="preserve">Louver gió tươi - Kích thước: 2050x750 </t>
  </si>
  <si>
    <t>IV</t>
  </si>
  <si>
    <t>Van chặn lửa MFD - EI45 - Kích thước: 150x100</t>
  </si>
  <si>
    <t>Van chặn lửa MFD - EI45 - Kích thước: 150x150</t>
  </si>
  <si>
    <t>Van điều chỉnh lưu lượng VCD - Kích thước: 150x100</t>
  </si>
  <si>
    <t>Van điều chỉnh lưu lượng VCD - Kích thước: 150x150</t>
  </si>
  <si>
    <t>Van điều gió MD - Kích thước: 150x100</t>
  </si>
  <si>
    <t>Van điều gió MD - Kích thước: 150x150</t>
  </si>
  <si>
    <t>Van điều chỉnh lưu lượng VCD - Kích thước: D100</t>
  </si>
  <si>
    <t>Ghi chú:</t>
  </si>
  <si>
    <t xml:space="preserve">1. </t>
  </si>
  <si>
    <t>Bảo hành 24 tháng kể từ ngày giao hàng</t>
  </si>
  <si>
    <t>2.</t>
  </si>
  <si>
    <t>Giao hàng tại chân công trình (bên trong dự án)</t>
  </si>
  <si>
    <t xml:space="preserve">3. </t>
  </si>
  <si>
    <t>Báo giá kèm theo các tại liệu: Hình ảnh sản phẩm (đính kèm trong bảng báo giá), Bản cứng ký đóng dấu Scan và bản mềm (gửi qua email), Cataloge sản phẩm bản màu, HSNL Công ty (File mềm gửi qua Email, File in màu gửi về Văn phòng Cty Nam Việt )</t>
  </si>
  <si>
    <t xml:space="preserve">4. </t>
  </si>
  <si>
    <t>Địa chỉ nhận tài liệu: Số 41 Đường 34, Phường An Phú, Tp. Thủ Đức, Tp. Hồ Chí Minh</t>
  </si>
  <si>
    <t xml:space="preserve">5. </t>
  </si>
  <si>
    <t>Báo giá nêu rõ các điều kiện Tạm ứng - Thanh toán - Công nợ - Hậu mãi (Tạm ứng có bảo lãnh của Nhà cung cấp, Tiến độ cấp hàng)</t>
  </si>
  <si>
    <t>CÔNG TY CỔ PHẦN ĐIỆN VÀ XÂY DỰNG NAM VIỆT</t>
  </si>
  <si>
    <t>CÔNG TY CỔ PHẦN TẬP ĐOÀN QUỐC TẾ SLAND</t>
  </si>
  <si>
    <t>VPGD: SỐ 49, Ngõ 1295 Giải Phóng, Phường Hoàng Mai, TP Hà Nội</t>
  </si>
  <si>
    <t>Nhà máy: Thôn Nhân Hiền- xã Thường Tín - TP Hà Nội</t>
  </si>
  <si>
    <t>Hotline: 082 5577 999</t>
  </si>
  <si>
    <t>BẢNG BÁO GIÁ</t>
  </si>
  <si>
    <t>Khách hàng : Công ty NAM VIỆT</t>
  </si>
  <si>
    <t>Seri number
 Số hiệu</t>
  </si>
  <si>
    <t>BG01_SLAND_NAMVIET_ VAN GIÓ CỬA GIÓ_DA H1 H2 BANAHILL 21032026</t>
  </si>
  <si>
    <t>Địa chỉ :</t>
  </si>
  <si>
    <t>Sales executive
 PT Kinh doanh</t>
  </si>
  <si>
    <t>Ms Nhài</t>
  </si>
  <si>
    <t>Người nhận : Ms Hà</t>
  </si>
  <si>
    <t>Mobile
 Điện thoại</t>
  </si>
  <si>
    <t>0945588248</t>
  </si>
  <si>
    <t xml:space="preserve">Email: </t>
  </si>
  <si>
    <t>Số điện thoại :</t>
  </si>
  <si>
    <t xml:space="preserve">
Dự án</t>
  </si>
  <si>
    <t>H1 BANA HILL</t>
  </si>
  <si>
    <t xml:space="preserve">
STT</t>
  </si>
  <si>
    <t xml:space="preserve">
Danh mục sản phẩm</t>
  </si>
  <si>
    <t>Mô tả</t>
  </si>
  <si>
    <t>Model</t>
  </si>
  <si>
    <t>Thương hiệu</t>
  </si>
  <si>
    <t>Kích thước (mm)</t>
  </si>
  <si>
    <t>Modul</t>
  </si>
  <si>
    <t>L</t>
  </si>
  <si>
    <t>Độ dày
(m)</t>
  </si>
  <si>
    <t>Unit
Đơn vị</t>
  </si>
  <si>
    <t>Q'ty
Số lượng</t>
  </si>
  <si>
    <t>Price
Đơn giá</t>
  </si>
  <si>
    <t>Total price
Thành tiền</t>
  </si>
  <si>
    <t>Remarks
Ghi chú</t>
  </si>
  <si>
    <t>A1</t>
  </si>
  <si>
    <t>A2</t>
  </si>
  <si>
    <t>B1</t>
  </si>
  <si>
    <t>B2</t>
  </si>
  <si>
    <t>Face size</t>
  </si>
  <si>
    <t>Neck size</t>
  </si>
  <si>
    <t>SWIND</t>
  </si>
  <si>
    <t>- Đơn giá chỉ áp dụng cho Ống gió nguyên khổ  TDC
- Phụ  kiện nhân hệ số 1.25
- Phụ kiện Ống gió tole dày 0.58mm (nhỏ hơn 0,27m2)= 72.000 đ/cái</t>
  </si>
  <si>
    <t>Đơn giá áp dụng cho ông nguyên khổ, Phụ kiện X hệ số 1.25</t>
  </si>
  <si>
    <t>Đơn giá áp dụng cho ông nguyên khổ, Phụ kiện X hệ số 1.25
- Đơn giá chưa bao gồm mặt bích V3: Mặt bích ống gió V30x3 mạ nhúng nóng = 77000đ/m</t>
  </si>
  <si>
    <t>VCD</t>
  </si>
  <si>
    <t>Van tay gat</t>
  </si>
  <si>
    <t>SWIND-2.01- E-FD-EI120</t>
  </si>
  <si>
    <t xml:space="preserve"> Van chặn lửa SWIND-E-FD - Tiêu chuẩn EI 120
  2 đầu bích TDC - gắn cầu chì 72- 74 độ C
 Sản xuất theo BCTN số: 4761/VLXD-TBMT- kích thước tối thiểu van 150x150 ( thu bích 100x100)</t>
  </si>
  <si>
    <t xml:space="preserve"> Van chặn lửa SWIND-E-FD - Tiêu chuẩn EI 120
  2 đầu bích TDC - gắn cầu chì 72- 74 độ C
 Sản xuất theo BCTN số: 4761/VLXD-TBMT- kích thước tối thiểu van 150x150 ( thu bích 150x100)</t>
  </si>
  <si>
    <t xml:space="preserve"> Van chặn lửa SWIND-E-FD - Tiêu chuẩn EI 120
  2 đầu bích TDC - gắn cầu chì 72- 74 độ C
 Sản xuất theo BCTN số: 4761/VLXD-TBMT</t>
  </si>
  <si>
    <t xml:space="preserve"> Van chặn lửa SWIND-E-FD - Tiêu chuẩn EI 120
  2 đầu bích TDC - gắn cầu chì 72- 74 độ C
 Sản xuất theo BCTN số: 4761/VLXD-TBMT- chia 2 modul khi sản xuất</t>
  </si>
  <si>
    <t>SGD+OBD</t>
  </si>
  <si>
    <t>Cửa nan bầu dục 1 lớp kèm van OBD</t>
  </si>
  <si>
    <t>TA-V</t>
  </si>
  <si>
    <t xml:space="preserve">Tiêu âm bông thủy tinh vách dày 50mm, tôn soi lỗ 0.38mm, vải thủy tinh 1 lớp </t>
  </si>
  <si>
    <t>Van tay gạt</t>
  </si>
  <si>
    <t xml:space="preserve"> Van chặn lửa SWIND-E-FD - Tiêu chuẩn EI 120
  2 đầu bích TDC - gắn cầu chì 72- 74 độ C
 Sản xuất theo BCTN số: 4761/VLXD-TBMT- kích thước tối thiểu van 200x150 ( thu bích 200x100)</t>
  </si>
  <si>
    <t xml:space="preserve"> Van chặn lửa SWIND-E-FD - Tiêu chuẩn EI 120
  2 đầu bích TDC - gắn cầu chì 72- 74 độ C
 Sản xuất theo BCTN số: 4761/VLXD-TBMT- Chia 2 modul khi san xuat</t>
  </si>
  <si>
    <t>SGD</t>
  </si>
  <si>
    <t>Cửa nan thẳng 1 lớp cố định</t>
  </si>
  <si>
    <t>SGD+O</t>
  </si>
  <si>
    <t>Cửa nan thẳng 1 lớp cố định kèm van OBD</t>
  </si>
  <si>
    <t>SGD+LLB</t>
  </si>
  <si>
    <t>Cửa nan thẳng 1 lớp cố định kèm LLB</t>
  </si>
  <si>
    <t xml:space="preserve"> Van chặn lửa SWIND-E-FD - Tiêu chuẩn EI 120
  2 đầu bích TDC - gắn cầu chì 72- 74 độ C
 Sản xuất theo BCTN số: 4761/VLXD-TBMT- Chia 4 modul khi san xuat</t>
  </si>
  <si>
    <t>MD</t>
  </si>
  <si>
    <t>Van dùng động cơ ON/OFF 5N - 24V Belimo</t>
  </si>
  <si>
    <t>Van dùng động cơ ON/OFF 5N - 24V Belimo ( làm đầu thu về D 500)</t>
  </si>
  <si>
    <t>Van dùng động cơ ON/OFF 5N - 24V Belimo ( làm đầu thu về D 700)</t>
  </si>
  <si>
    <t>Van dùng động cơ ON/OFF 5N - 24V Belimo ( làm đầu thu về D 800)</t>
  </si>
  <si>
    <t>SWIND-1.02- MFD-EI90</t>
  </si>
  <si>
    <t xml:space="preserve"> - Van động cơ SWIND-MFD - Tiêu chuẩn EI 90
 - 2 đầu bích TDC - Gắn kèm động cơ ON-OFF 3.5Nm, 24V (Type: đóng mở nhanh) BELIMO- Model: FSLF24 US
- Sản xuất theo BCTN số 4752/VLXD-TBMT</t>
  </si>
  <si>
    <t>SWIND-1.01- MFD-EI12</t>
  </si>
  <si>
    <t xml:space="preserve"> - Van động cơ SWIND-MFSD - Tiêu chuẩn EI 120
 - 2 đầu bích TDC - Gắn kèm động cơ ON-OFF 9Nm, 24V BELIMO- Model: BFN24
- Sản xuất theo BCTN số 4751/VLXD-TBMT</t>
  </si>
  <si>
    <t>WL+LCCT</t>
  </si>
  <si>
    <t>louver nan Z +LCCT</t>
  </si>
  <si>
    <t xml:space="preserve"> - Van động cơ SWIND-MFD - Tiêu chuẩn EI 90
 - 2 đầu bích TDC- chia 2 modul - Gắn kèm động cơ ON-OFF 3.5Nm, 24V (Type: đóng mở nhanh) BELIMO- Model: FSLF24 US
- Sản xuất theo BCTN số 4752/VLXD-TBMT</t>
  </si>
  <si>
    <t>WL</t>
  </si>
  <si>
    <t>Louver nan Z</t>
  </si>
  <si>
    <t xml:space="preserve"> - Van động cơ SWIND-MFD - Tiêu chuẩn EI 90
 - 2 đầu bích TDC - Gắn kèm động cơ ON-OFF 3.5Nm, 24V (Type: đóng mở nhanh) BELIMO- Model: FSLF24 US
- Sản xuất theo BCTN số 4752/VLXD-TBMT kích thước tiêu chuẩn 150x150 ( thu về bích 150x100)</t>
  </si>
  <si>
    <t>Chi phí kiểm định</t>
  </si>
  <si>
    <t>Gói</t>
  </si>
  <si>
    <t>đã bao gồm ( xuất 1 lần ở cuối DA )</t>
  </si>
  <si>
    <t>Chi phí vận chuyển</t>
  </si>
  <si>
    <t>chưa bao gồm CPVC 12%</t>
  </si>
  <si>
    <t>Total/ Tổng Trước thuế</t>
  </si>
  <si>
    <t>VAT 10%</t>
  </si>
  <si>
    <t>Total Amount (including VAT 10%)/ Tổng sau thuế</t>
  </si>
  <si>
    <t xml:space="preserve">- Ghi chú : </t>
  </si>
  <si>
    <r>
      <rPr>
        <b/>
        <sz val="9"/>
        <color theme="1"/>
        <rFont val="Times New Roman"/>
        <charset val="134"/>
      </rPr>
      <t xml:space="preserve">* </t>
    </r>
    <r>
      <rPr>
        <sz val="9"/>
        <color theme="1"/>
        <rFont val="Times New Roman"/>
        <charset val="134"/>
      </rPr>
      <t>Thời hạn báo giá: Báo giá có giá trị trong vòng 7 ngày kể từ ngày báo.</t>
    </r>
  </si>
  <si>
    <r>
      <rPr>
        <b/>
        <sz val="9"/>
        <color theme="1"/>
        <rFont val="Times New Roman"/>
        <charset val="134"/>
      </rPr>
      <t xml:space="preserve">* </t>
    </r>
    <r>
      <rPr>
        <sz val="9"/>
        <color theme="1"/>
        <rFont val="Times New Roman"/>
        <charset val="134"/>
      </rPr>
      <t>Thời gian giao hàng: theo thực tế từng đơn hàng</t>
    </r>
  </si>
  <si>
    <r>
      <rPr>
        <sz val="9"/>
        <color theme="1"/>
        <rFont val="Times New Roman"/>
        <charset val="134"/>
      </rPr>
      <t xml:space="preserve"> - Van gió &amp; Phụ kiện : </t>
    </r>
    <r>
      <rPr>
        <b/>
        <i/>
        <sz val="10"/>
        <rFont val="Arial"/>
        <charset val="134"/>
      </rPr>
      <t>Tôn Hoa Sen Z08/Z18</t>
    </r>
  </si>
  <si>
    <r>
      <rPr>
        <sz val="9"/>
        <color theme="1"/>
        <rFont val="Times New Roman"/>
        <charset val="134"/>
      </rPr>
      <t xml:space="preserve"> - Cửa gió và Phụ kiện : </t>
    </r>
    <r>
      <rPr>
        <b/>
        <i/>
        <sz val="10"/>
        <rFont val="Arial"/>
        <charset val="134"/>
      </rPr>
      <t>Nhôm A6063 T5 - Sơn Tĩnh điện mầu trắng .</t>
    </r>
  </si>
  <si>
    <t>ĐIỀU KHOẢN THANH TOÁN VÀ GIAO HÀNG</t>
  </si>
  <si>
    <t xml:space="preserve">* Điều kiện thanh toán: Tạm ứng 30%, Thanh toán trước khi giao hàng bằng bảo lãnh thanh toán thời hạn 35 ngày </t>
  </si>
  <si>
    <t>Xin vui lòng liên hệ với chúng tôi nếu quý khách có cần thêm các yêu cầu nào khác.</t>
  </si>
  <si>
    <t xml:space="preserve"> Đơn vị thụ hưởng : </t>
  </si>
  <si>
    <t>Công ty Cổ phần tập đoàn quốc tế Sland</t>
  </si>
  <si>
    <t>Trụ sở: Thôn 1B, xã Nam Phù, TP Hà Nội</t>
  </si>
  <si>
    <t xml:space="preserve">- Số tài khoản : 1359 666 888 </t>
  </si>
  <si>
    <t>- Mở tại :  Ngân hàng TMCP Á Châu ( ACB ) chi nhánh Hà Nội</t>
  </si>
  <si>
    <t>BG01.2_SLAND_NAMVIET- CỬA GIÓ VAN GIÓ_BANA HILL H1- 08062026 VER4- van đa cánh BFN</t>
  </si>
  <si>
    <r>
      <rPr>
        <sz val="10"/>
        <rFont val="Times New Roman"/>
        <charset val="134"/>
      </rPr>
      <t xml:space="preserve"> Van chặn lửa SWIND-E-FD - Tiêu chuẩn EI 120
  2 đầu bích TDC - gắn cầu chì 72- 74 độ C
 Sản xuất theo BCTN số: 4761/VLXD-TBMT- </t>
    </r>
    <r>
      <rPr>
        <b/>
        <sz val="10"/>
        <rFont val="Times New Roman"/>
        <charset val="134"/>
      </rPr>
      <t>kích thước tối thiểu van 150x150</t>
    </r>
  </si>
  <si>
    <t xml:space="preserve"> Tạm tính Ống tiêu âm thành dày 50mm L=1110mm;Vỏ tôn Z275 dày 0.75mm; Tôn soi lỗ  Z080 dày 0.38mm; bông khoáng tỷ trọng 60kg/m3, Vải thủy tinh</t>
  </si>
  <si>
    <t xml:space="preserve"> Tạm tính Ống tiêu âm thành dày 50mm kt 500x300/ L=1110mm;Vỏ tôn Z275dày 0.75mm; Tôn soi lỗ Z080 dày 0.38mm; bông khoáng tỷ trọng 60kg/m3, Vải thủy tinh</t>
  </si>
  <si>
    <r>
      <rPr>
        <sz val="10"/>
        <rFont val="Times New Roman"/>
        <charset val="134"/>
      </rPr>
      <t xml:space="preserve"> Van chặn lửa SWIND-E-FD - Tiêu chuẩn EI 120
  2 đầu bích TDC - gắn cầu chì 72- 74 độ C
 Sản xuất theo BCTN số: 4761/VLXD-TBMT- </t>
    </r>
    <r>
      <rPr>
        <b/>
        <sz val="10"/>
        <rFont val="Times New Roman"/>
        <charset val="134"/>
      </rPr>
      <t>kích thước tối thiểu van 200x150</t>
    </r>
  </si>
  <si>
    <t>SWIND-1.05- MFD-EI120</t>
  </si>
  <si>
    <t xml:space="preserve"> - Van động cơ SWIND-MFD - Tiêu chuẩn EI 120
 - 2 đầu bích TDC - Gắn kèm động cơ ON-OFF 9Nm, 24V  BELIMO- Model: BFN 24
- Sản xuất theo BCTN số 2390/VLXD-TBMT</t>
  </si>
  <si>
    <r>
      <rPr>
        <sz val="10"/>
        <rFont val="Times New Roman"/>
        <charset val="134"/>
      </rPr>
      <t xml:space="preserve"> - Van động cơ SWIND-MFD - Tiêu chuẩn EI 120
 - 2 đầu bích TDC - Gắn kèm động cơ ON-OFF 9Nm, 24V  BELIMO- Model: BFN 24
- Sản xuất theo BCTN số 2390/VLXD-TBMT 
</t>
    </r>
    <r>
      <rPr>
        <b/>
        <sz val="10"/>
        <rFont val="Times New Roman"/>
        <charset val="134"/>
      </rPr>
      <t>kích thước tối thiểu 200x150</t>
    </r>
  </si>
  <si>
    <t xml:space="preserve"> - Van động cơ SWIND-MFD - Tiêu chuẩn EI 120
 - 2 đầu bích TDC - Gắn kèm động cơ ON-OFF 9Nm, 24V  BELIMO- Model: BFN 24
- Sản xuất theo BCTN số 2390/VLXD-TBMT </t>
  </si>
  <si>
    <r>
      <rPr>
        <sz val="10"/>
        <rFont val="Times New Roman"/>
        <charset val="134"/>
      </rPr>
      <t xml:space="preserve"> - Van động cơ SWIND-MFD - Tiêu chuẩn EI 120
 - 2 đầu bích TDC - Gắn kèm động cơ ON-OFF 9Nm, 24V  BELIMO- Model: BFN 24
- Sản xuất theo BCTN số 2390/VLXD-TBMT </t>
    </r>
    <r>
      <rPr>
        <b/>
        <sz val="10"/>
        <rFont val="Times New Roman"/>
        <charset val="134"/>
      </rPr>
      <t>van chia 2 cánh trở lên</t>
    </r>
  </si>
  <si>
    <r>
      <rPr>
        <sz val="10"/>
        <rFont val="Times New Roman"/>
        <charset val="134"/>
      </rPr>
      <t xml:space="preserve"> - Van động cơ SWIND-MFD - Tiêu chuẩn EI 120
 - 2 đầu bích TDC - Gắn kèm động cơ ON-OFF 9Nm, 24V  BELIMO- Model: BFN 24
- Sản xuất theo BCTN số 2390/VLXD-TBMT
</t>
    </r>
    <r>
      <rPr>
        <b/>
        <sz val="10"/>
        <rFont val="Times New Roman"/>
        <charset val="134"/>
      </rPr>
      <t>Kích thước tối thiểu: 150x150</t>
    </r>
  </si>
  <si>
    <t>chưa bao gồm  (Dự kiến 10%)</t>
  </si>
  <si>
    <t xml:space="preserve">* Điều kiện thanh toán: Tạm ứng 20%, Công nợ 500tr trong vòng 45 ngày, vượt hạn mức công nợ, Bên A thanh toán cho Bên B để giao hàng tiếp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</si>
</sst>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5" formatCode="[$-409]mmmm\ d\,\ yyyy;@"/>
    <numFmt numFmtId="166" formatCode="_(* #,##0_);_(* \(#,##0\);_(* &quot;-&quot;??_);_(@_)"/>
    <numFmt numFmtId="167" formatCode="0.0"/>
    <numFmt numFmtId="168" formatCode="_-* #,##0.00_-;\-* #,##0.00_-;_-* &quot;-&quot;??_-;_-@_-"/>
  </numFmts>
  <fonts count="58">
    <font>
      <sz val="11"/>
      <color theme="1"/>
      <name val="Calibri"/>
      <charset val="163"/>
      <scheme val="minor"/>
    </font>
    <font>
      <sz val="10"/>
      <color indexed="8"/>
      <name val="Calibri"/>
      <charset val="134"/>
    </font>
    <font>
      <sz val="10"/>
      <color indexed="8"/>
      <name val="Times New Roman"/>
      <charset val="134"/>
    </font>
    <font>
      <b/>
      <sz val="10"/>
      <color indexed="8"/>
      <name val="Times New Roman"/>
      <charset val="134"/>
    </font>
    <font>
      <sz val="11"/>
      <color indexed="8"/>
      <name val="Calibri"/>
      <charset val="134"/>
    </font>
    <font>
      <sz val="11"/>
      <color theme="1"/>
      <name val="Calibri"/>
      <charset val="134"/>
      <scheme val="minor"/>
    </font>
    <font>
      <sz val="9"/>
      <color theme="1"/>
      <name val="Arial"/>
      <charset val="134"/>
    </font>
    <font>
      <b/>
      <sz val="10"/>
      <color theme="1"/>
      <name val="Arial"/>
      <charset val="134"/>
    </font>
    <font>
      <b/>
      <i/>
      <sz val="9"/>
      <color theme="1"/>
      <name val="Arial"/>
      <charset val="134"/>
    </font>
    <font>
      <b/>
      <sz val="20"/>
      <color indexed="8"/>
      <name val="Arial"/>
      <charset val="134"/>
    </font>
    <font>
      <b/>
      <sz val="8"/>
      <color theme="1"/>
      <name val="Arial"/>
      <charset val="134"/>
    </font>
    <font>
      <b/>
      <sz val="10"/>
      <name val="Times New Roman"/>
      <charset val="134"/>
    </font>
    <font>
      <sz val="10"/>
      <name val="Times New Roman"/>
      <charset val="134"/>
    </font>
    <font>
      <sz val="10"/>
      <color rgb="FFFF0000"/>
      <name val="Times New Roman"/>
      <charset val="134"/>
    </font>
    <font>
      <sz val="9"/>
      <color indexed="8"/>
      <name val="Arial"/>
      <charset val="134"/>
    </font>
    <font>
      <sz val="8"/>
      <color theme="1"/>
      <name val="Arial"/>
      <charset val="134"/>
    </font>
    <font>
      <sz val="10"/>
      <color indexed="8"/>
      <name val="Arial"/>
      <charset val="134"/>
    </font>
    <font>
      <b/>
      <i/>
      <u/>
      <sz val="10"/>
      <color indexed="8"/>
      <name val="Arial"/>
      <charset val="134"/>
    </font>
    <font>
      <b/>
      <sz val="11"/>
      <name val="Times New Roman"/>
      <charset val="134"/>
    </font>
    <font>
      <sz val="10"/>
      <name val="Arial"/>
      <charset val="134"/>
    </font>
    <font>
      <sz val="9"/>
      <color theme="1"/>
      <name val="Times New Roman"/>
      <charset val="134"/>
    </font>
    <font>
      <sz val="9"/>
      <color indexed="8"/>
      <name val="Times New Roman"/>
      <charset val="134"/>
    </font>
    <font>
      <b/>
      <u/>
      <sz val="9"/>
      <color rgb="FFFF0000"/>
      <name val="Times New Roman"/>
      <charset val="134"/>
    </font>
    <font>
      <i/>
      <sz val="9"/>
      <name val="Times New Roman"/>
      <charset val="134"/>
    </font>
    <font>
      <sz val="11"/>
      <color indexed="8"/>
      <name val="Times New Roman"/>
      <charset val="163"/>
    </font>
    <font>
      <b/>
      <sz val="10"/>
      <name val="Arial"/>
      <charset val="134"/>
    </font>
    <font>
      <b/>
      <sz val="10"/>
      <color indexed="8"/>
      <name val="Arial"/>
      <charset val="134"/>
    </font>
    <font>
      <i/>
      <sz val="9.5"/>
      <name val="Arial"/>
      <charset val="134"/>
    </font>
    <font>
      <sz val="12"/>
      <color theme="1"/>
      <name val="Times New Roman"/>
      <charset val="134"/>
    </font>
    <font>
      <sz val="12"/>
      <name val="Times New Roman"/>
      <charset val="134"/>
    </font>
    <font>
      <b/>
      <sz val="12"/>
      <color theme="1"/>
      <name val="Times New Roman"/>
      <charset val="134"/>
    </font>
    <font>
      <i/>
      <sz val="12"/>
      <color theme="1"/>
      <name val="Times New Roman"/>
      <charset val="134"/>
    </font>
    <font>
      <b/>
      <sz val="16"/>
      <color theme="1"/>
      <name val="Times New Roman"/>
      <charset val="134"/>
    </font>
    <font>
      <b/>
      <u/>
      <sz val="12"/>
      <color theme="1"/>
      <name val="Times New Roman"/>
      <charset val="134"/>
    </font>
    <font>
      <b/>
      <sz val="14"/>
      <color indexed="8"/>
      <name val="Times New Roman"/>
      <charset val="134"/>
    </font>
    <font>
      <b/>
      <sz val="12"/>
      <color rgb="FFFF0000"/>
      <name val="Times New Roman"/>
      <charset val="134"/>
    </font>
    <font>
      <sz val="14"/>
      <color indexed="8"/>
      <name val="Times New Roman"/>
      <charset val="134"/>
    </font>
    <font>
      <b/>
      <sz val="14"/>
      <color theme="1"/>
      <name val="Times New Roman"/>
      <charset val="134"/>
    </font>
    <font>
      <b/>
      <sz val="12"/>
      <name val="Times New Roman"/>
      <charset val="134"/>
    </font>
    <font>
      <b/>
      <sz val="12"/>
      <name val="Times New Roman"/>
      <charset val="134"/>
    </font>
    <font>
      <sz val="12"/>
      <name val="Times New Roman"/>
      <charset val="134"/>
    </font>
    <font>
      <sz val="12"/>
      <name val="Calibri"/>
      <charset val="134"/>
      <scheme val="minor"/>
    </font>
    <font>
      <sz val="12"/>
      <color rgb="FFFF0000"/>
      <name val="Times New Roman"/>
      <charset val="134"/>
    </font>
    <font>
      <sz val="12"/>
      <name val="Calibri"/>
      <charset val="134"/>
      <scheme val="minor"/>
    </font>
    <font>
      <sz val="12"/>
      <color rgb="FFFF0000"/>
      <name val="Calibri"/>
      <charset val="134"/>
      <scheme val="minor"/>
    </font>
    <font>
      <sz val="13"/>
      <name val="Times New Roman"/>
      <charset val="134"/>
    </font>
    <font>
      <u/>
      <sz val="12"/>
      <name val="Times New Roman"/>
      <charset val="134"/>
    </font>
    <font>
      <u/>
      <sz val="11"/>
      <color theme="10"/>
      <name val="Calibri"/>
      <charset val="163"/>
      <scheme val="minor"/>
    </font>
    <font>
      <sz val="12"/>
      <name val=".VnTime"/>
      <charset val="134"/>
    </font>
    <font>
      <sz val="11"/>
      <color theme="1"/>
      <name val="Calibri"/>
      <charset val="134"/>
      <scheme val="minor"/>
    </font>
    <font>
      <u/>
      <sz val="10"/>
      <color theme="10"/>
      <name val="Arial"/>
      <charset val="134"/>
    </font>
    <font>
      <sz val="10"/>
      <name val="VNI-Times"/>
      <charset val="134"/>
    </font>
    <font>
      <sz val="10"/>
      <color rgb="FF000000"/>
      <name val="Times New Roman"/>
      <charset val="134"/>
    </font>
    <font>
      <sz val="13"/>
      <name val=".VnTime"/>
      <charset val="134"/>
    </font>
    <font>
      <b/>
      <i/>
      <sz val="10"/>
      <name val="Arial"/>
      <charset val="134"/>
    </font>
    <font>
      <b/>
      <sz val="9"/>
      <color theme="1"/>
      <name val="Times New Roman"/>
      <charset val="134"/>
    </font>
    <font>
      <b/>
      <u/>
      <sz val="14"/>
      <color indexed="8"/>
      <name val="Times New Roman"/>
      <charset val="134"/>
    </font>
    <font>
      <sz val="11"/>
      <color theme="1"/>
      <name val="Calibri"/>
      <charset val="163"/>
      <scheme val="minor"/>
    </font>
  </fonts>
  <fills count="12">
    <fill>
      <patternFill patternType="none"/>
    </fill>
    <fill>
      <patternFill patternType="gray125"/>
    </fill>
    <fill>
      <patternFill patternType="solid">
        <fgColor rgb="FFFFC000"/>
        <bgColor indexed="64"/>
      </patternFill>
    </fill>
    <fill>
      <patternFill patternType="solid">
        <fgColor theme="5" tint="0.79995117038483843"/>
        <bgColor indexed="64"/>
      </patternFill>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
      <patternFill patternType="solid">
        <fgColor theme="6" tint="0.79979857783745845"/>
        <bgColor indexed="64"/>
      </patternFill>
    </fill>
    <fill>
      <patternFill patternType="solid">
        <fgColor theme="6" tint="0.79982909634693444"/>
        <bgColor indexed="64"/>
      </patternFill>
    </fill>
    <fill>
      <patternFill patternType="solid">
        <fgColor theme="8" tint="0.79982909634693444"/>
        <bgColor indexed="64"/>
      </patternFill>
    </fill>
    <fill>
      <patternFill patternType="solid">
        <fgColor theme="8" tint="0.79985961485641044"/>
        <bgColor indexed="64"/>
      </patternFill>
    </fill>
    <fill>
      <patternFill patternType="solid">
        <fgColor theme="8" tint="0.79995117038483843"/>
        <bgColor indexed="64"/>
      </patternFill>
    </fill>
  </fills>
  <borders count="29">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right style="thin">
        <color auto="1"/>
      </right>
      <top style="thin">
        <color auto="1"/>
      </top>
      <bottom style="thin">
        <color auto="1"/>
      </bottom>
      <diagonal/>
    </border>
    <border>
      <left style="thin">
        <color auto="1"/>
      </left>
      <right/>
      <top/>
      <bottom style="hair">
        <color auto="1"/>
      </bottom>
      <diagonal/>
    </border>
    <border>
      <left/>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bottom style="hair">
        <color auto="1"/>
      </bottom>
      <diagonal/>
    </border>
    <border>
      <left style="thin">
        <color auto="1"/>
      </left>
      <right style="thin">
        <color auto="1"/>
      </right>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s>
  <cellStyleXfs count="29">
    <xf numFmtId="0" fontId="0" fillId="0" borderId="0"/>
    <xf numFmtId="43" fontId="57" fillId="0" borderId="0" applyFont="0" applyFill="0" applyBorder="0" applyAlignment="0" applyProtection="0"/>
    <xf numFmtId="9" fontId="57" fillId="0" borderId="0" applyFont="0" applyFill="0" applyBorder="0" applyAlignment="0" applyProtection="0"/>
    <xf numFmtId="0" fontId="47" fillId="0" borderId="0" applyNumberFormat="0" applyFill="0" applyBorder="0" applyAlignment="0" applyProtection="0"/>
    <xf numFmtId="43" fontId="19" fillId="0" borderId="0" applyFont="0" applyFill="0" applyBorder="0" applyAlignment="0" applyProtection="0"/>
    <xf numFmtId="43" fontId="4" fillId="0" borderId="0" applyFont="0" applyFill="0" applyBorder="0" applyAlignment="0" applyProtection="0"/>
    <xf numFmtId="43" fontId="19" fillId="0" borderId="0" applyFont="0" applyFill="0" applyBorder="0" applyAlignment="0" applyProtection="0"/>
    <xf numFmtId="43" fontId="48" fillId="0" borderId="0" applyFont="0" applyFill="0" applyBorder="0" applyAlignment="0" applyProtection="0"/>
    <xf numFmtId="43" fontId="49" fillId="0" borderId="0" applyFont="0" applyFill="0" applyBorder="0" applyAlignment="0" applyProtection="0"/>
    <xf numFmtId="0" fontId="50" fillId="0" borderId="0" applyNumberFormat="0" applyFill="0" applyBorder="0" applyAlignment="0" applyProtection="0"/>
    <xf numFmtId="0" fontId="19" fillId="0" borderId="0"/>
    <xf numFmtId="0" fontId="19" fillId="0" borderId="0"/>
    <xf numFmtId="0" fontId="19" fillId="0" borderId="0"/>
    <xf numFmtId="0" fontId="19" fillId="0" borderId="0"/>
    <xf numFmtId="0" fontId="57" fillId="0" borderId="0"/>
    <xf numFmtId="0" fontId="19" fillId="0" borderId="0"/>
    <xf numFmtId="0" fontId="19" fillId="0" borderId="0"/>
    <xf numFmtId="0" fontId="57" fillId="0" borderId="0"/>
    <xf numFmtId="0" fontId="19" fillId="0" borderId="0"/>
    <xf numFmtId="165" fontId="51" fillId="0" borderId="0"/>
    <xf numFmtId="0" fontId="49" fillId="0" borderId="0"/>
    <xf numFmtId="0" fontId="49" fillId="0" borderId="0"/>
    <xf numFmtId="0" fontId="19" fillId="0" borderId="0"/>
    <xf numFmtId="0" fontId="19" fillId="0" borderId="0"/>
    <xf numFmtId="0" fontId="19" fillId="0" borderId="0"/>
    <xf numFmtId="0" fontId="49" fillId="0" borderId="0"/>
    <xf numFmtId="0" fontId="52" fillId="0" borderId="0"/>
    <xf numFmtId="0" fontId="53" fillId="0" borderId="0"/>
    <xf numFmtId="0" fontId="19" fillId="0" borderId="0"/>
  </cellStyleXfs>
  <cellXfs count="342">
    <xf numFmtId="0" fontId="0" fillId="0" borderId="0" xfId="0"/>
    <xf numFmtId="0" fontId="1" fillId="0" borderId="0" xfId="0" applyFont="1"/>
    <xf numFmtId="0" fontId="2" fillId="0" borderId="0" xfId="17" applyFont="1"/>
    <xf numFmtId="0" fontId="3" fillId="0" borderId="0" xfId="17" applyFont="1"/>
    <xf numFmtId="0" fontId="2" fillId="0" borderId="0" xfId="17" applyFont="1" applyFill="1"/>
    <xf numFmtId="0" fontId="2" fillId="0" borderId="0" xfId="0" applyFont="1"/>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166" fontId="0" fillId="0" borderId="0" xfId="1" applyNumberFormat="1" applyFont="1" applyAlignment="1">
      <alignment horizontal="center" vertical="center"/>
    </xf>
    <xf numFmtId="166" fontId="4" fillId="0" borderId="0" xfId="7" applyNumberFormat="1" applyFont="1"/>
    <xf numFmtId="166" fontId="5" fillId="0" borderId="0" xfId="7" applyNumberFormat="1" applyFont="1"/>
    <xf numFmtId="166" fontId="5" fillId="0" borderId="0" xfId="5" applyNumberFormat="1" applyFont="1" applyAlignment="1">
      <alignment horizontal="center"/>
    </xf>
    <xf numFmtId="0" fontId="6" fillId="0" borderId="0" xfId="0" applyFont="1"/>
    <xf numFmtId="0" fontId="6" fillId="0" borderId="0" xfId="0" applyFont="1" applyAlignment="1">
      <alignment horizontal="center" wrapText="1"/>
    </xf>
    <xf numFmtId="0" fontId="6" fillId="0" borderId="0" xfId="0" applyFont="1" applyAlignment="1">
      <alignment horizontal="center"/>
    </xf>
    <xf numFmtId="0" fontId="6" fillId="0" borderId="0" xfId="0" applyFont="1" applyAlignment="1">
      <alignment wrapText="1"/>
    </xf>
    <xf numFmtId="0" fontId="6" fillId="0" borderId="1" xfId="0" applyFont="1" applyBorder="1"/>
    <xf numFmtId="0" fontId="8" fillId="0" borderId="1" xfId="0" applyFont="1" applyBorder="1" applyAlignment="1">
      <alignment horizontal="center" vertical="center" wrapText="1"/>
    </xf>
    <xf numFmtId="0" fontId="10" fillId="0" borderId="3" xfId="0" applyFont="1" applyBorder="1" applyAlignment="1">
      <alignment horizontal="left" vertical="center" wrapText="1"/>
    </xf>
    <xf numFmtId="165" fontId="10" fillId="0" borderId="5" xfId="19" applyFont="1" applyBorder="1" applyAlignment="1">
      <alignment horizontal="center" vertical="center"/>
    </xf>
    <xf numFmtId="0" fontId="10" fillId="2" borderId="6" xfId="0" applyFont="1" applyFill="1" applyBorder="1" applyAlignment="1">
      <alignment horizontal="center" vertical="center" wrapText="1"/>
    </xf>
    <xf numFmtId="0" fontId="10" fillId="2" borderId="6" xfId="18" applyFont="1" applyFill="1" applyBorder="1" applyAlignment="1">
      <alignment horizontal="center" vertical="center" wrapText="1"/>
    </xf>
    <xf numFmtId="165" fontId="10" fillId="2" borderId="6" xfId="19" applyFont="1" applyFill="1" applyBorder="1" applyAlignment="1">
      <alignment horizontal="center" vertical="center"/>
    </xf>
    <xf numFmtId="0" fontId="11" fillId="3" borderId="7" xfId="0" applyFont="1" applyFill="1" applyBorder="1" applyAlignment="1">
      <alignment horizontal="center" vertical="center" wrapText="1"/>
    </xf>
    <xf numFmtId="0" fontId="11" fillId="3" borderId="7" xfId="0" applyFont="1" applyFill="1" applyBorder="1" applyAlignment="1">
      <alignment horizontal="left" vertical="center" wrapText="1"/>
    </xf>
    <xf numFmtId="0" fontId="12" fillId="0" borderId="7" xfId="0" applyFont="1" applyBorder="1" applyAlignment="1">
      <alignment horizontal="center"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3" fillId="0" borderId="7" xfId="0" applyFont="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vertical="center"/>
    </xf>
    <xf numFmtId="166" fontId="6" fillId="0" borderId="0" xfId="1" applyNumberFormat="1" applyFont="1" applyAlignment="1">
      <alignment horizontal="center" vertical="center"/>
    </xf>
    <xf numFmtId="166" fontId="14" fillId="0" borderId="0" xfId="7" applyNumberFormat="1" applyFont="1"/>
    <xf numFmtId="166" fontId="6" fillId="0" borderId="0" xfId="7" applyNumberFormat="1" applyFont="1"/>
    <xf numFmtId="166" fontId="10" fillId="0" borderId="5" xfId="1" applyNumberFormat="1" applyFont="1" applyFill="1" applyBorder="1" applyAlignment="1">
      <alignment horizontal="left" vertical="center"/>
    </xf>
    <xf numFmtId="166" fontId="15" fillId="0" borderId="2" xfId="7" applyNumberFormat="1" applyFont="1" applyBorder="1" applyAlignment="1">
      <alignment horizontal="left" vertical="center"/>
    </xf>
    <xf numFmtId="166" fontId="15" fillId="0" borderId="8" xfId="7" applyNumberFormat="1" applyFont="1" applyBorder="1" applyAlignment="1">
      <alignment vertical="center"/>
    </xf>
    <xf numFmtId="166" fontId="15" fillId="0" borderId="5" xfId="7" applyNumberFormat="1" applyFont="1" applyBorder="1" applyAlignment="1">
      <alignment horizontal="left" vertical="center"/>
    </xf>
    <xf numFmtId="166" fontId="10" fillId="0" borderId="5" xfId="1" applyNumberFormat="1" applyFont="1" applyFill="1" applyBorder="1" applyAlignment="1">
      <alignment horizontal="center" vertical="center"/>
    </xf>
    <xf numFmtId="167" fontId="10" fillId="2" borderId="6" xfId="0" applyNumberFormat="1" applyFont="1" applyFill="1" applyBorder="1" applyAlignment="1">
      <alignment horizontal="center" vertical="center" wrapText="1"/>
    </xf>
    <xf numFmtId="166" fontId="10" fillId="2" borderId="6" xfId="1" applyNumberFormat="1" applyFont="1" applyFill="1" applyBorder="1" applyAlignment="1">
      <alignment horizontal="center" vertical="center" wrapText="1"/>
    </xf>
    <xf numFmtId="166" fontId="10" fillId="2" borderId="6" xfId="7" applyNumberFormat="1" applyFont="1" applyFill="1" applyBorder="1" applyAlignment="1">
      <alignment horizontal="center" vertical="center" wrapText="1"/>
    </xf>
    <xf numFmtId="166" fontId="11" fillId="3" borderId="7" xfId="1" applyNumberFormat="1" applyFont="1" applyFill="1" applyBorder="1" applyAlignment="1">
      <alignment horizontal="center" vertical="center" wrapText="1"/>
    </xf>
    <xf numFmtId="166" fontId="11" fillId="3" borderId="7" xfId="7" applyNumberFormat="1" applyFont="1" applyFill="1" applyBorder="1" applyAlignment="1">
      <alignment horizontal="center" vertical="center" wrapText="1"/>
    </xf>
    <xf numFmtId="166" fontId="12" fillId="0" borderId="7" xfId="1" applyNumberFormat="1" applyFont="1" applyBorder="1" applyAlignment="1">
      <alignment horizontal="center" vertical="center" wrapText="1"/>
    </xf>
    <xf numFmtId="166" fontId="12" fillId="0" borderId="7" xfId="7" applyNumberFormat="1" applyFont="1" applyBorder="1" applyAlignment="1">
      <alignment horizontal="center" vertical="center" wrapText="1"/>
    </xf>
    <xf numFmtId="166" fontId="6" fillId="0" borderId="0" xfId="5" applyNumberFormat="1" applyFont="1" applyAlignment="1">
      <alignment horizontal="center"/>
    </xf>
    <xf numFmtId="43" fontId="10" fillId="0" borderId="5" xfId="8" applyFont="1" applyFill="1" applyBorder="1" applyAlignment="1">
      <alignment horizontal="left" vertical="center" wrapText="1"/>
    </xf>
    <xf numFmtId="166" fontId="10" fillId="0" borderId="5" xfId="8" applyNumberFormat="1" applyFont="1" applyFill="1" applyBorder="1" applyAlignment="1">
      <alignment horizontal="left" vertical="center"/>
    </xf>
    <xf numFmtId="43" fontId="10" fillId="2" borderId="6" xfId="8" applyFont="1" applyFill="1" applyBorder="1" applyAlignment="1">
      <alignment horizontal="center" vertical="center" wrapText="1"/>
    </xf>
    <xf numFmtId="0" fontId="12" fillId="4" borderId="7" xfId="0" applyFont="1" applyFill="1" applyBorder="1" applyAlignment="1">
      <alignment horizontal="left" vertical="center" wrapText="1"/>
    </xf>
    <xf numFmtId="0" fontId="12" fillId="4" borderId="7" xfId="0" applyFont="1" applyFill="1" applyBorder="1" applyAlignment="1">
      <alignment horizontal="center" vertical="center" wrapText="1"/>
    </xf>
    <xf numFmtId="0" fontId="11" fillId="0" borderId="7" xfId="0" applyFont="1" applyBorder="1" applyAlignment="1">
      <alignment horizontal="center" vertical="center" wrapText="1"/>
    </xf>
    <xf numFmtId="166" fontId="11" fillId="0" borderId="7" xfId="1" applyNumberFormat="1" applyFont="1" applyBorder="1" applyAlignment="1">
      <alignment horizontal="center" vertical="center" wrapText="1"/>
    </xf>
    <xf numFmtId="166" fontId="11" fillId="0" borderId="7" xfId="7" applyNumberFormat="1" applyFont="1" applyBorder="1" applyAlignment="1">
      <alignment horizontal="center" vertical="center" wrapText="1"/>
    </xf>
    <xf numFmtId="0" fontId="12" fillId="0" borderId="7" xfId="0" applyFont="1" applyFill="1" applyBorder="1" applyAlignment="1">
      <alignment horizontal="center" vertical="center" wrapText="1"/>
    </xf>
    <xf numFmtId="0" fontId="12" fillId="0" borderId="7" xfId="0" applyFont="1" applyFill="1" applyBorder="1" applyAlignment="1">
      <alignment horizontal="left" vertical="center" wrapText="1"/>
    </xf>
    <xf numFmtId="166" fontId="2" fillId="0" borderId="0" xfId="17" applyNumberFormat="1" applyFont="1"/>
    <xf numFmtId="166" fontId="12" fillId="0" borderId="7" xfId="1" applyNumberFormat="1" applyFont="1" applyFill="1" applyBorder="1" applyAlignment="1">
      <alignment horizontal="center" vertical="center" wrapText="1"/>
    </xf>
    <xf numFmtId="166" fontId="12" fillId="0" borderId="7" xfId="7" applyNumberFormat="1" applyFont="1" applyFill="1" applyBorder="1" applyAlignment="1">
      <alignment horizontal="center" vertical="center" wrapText="1"/>
    </xf>
    <xf numFmtId="0" fontId="16" fillId="0" borderId="0" xfId="0" applyFont="1"/>
    <xf numFmtId="0" fontId="16" fillId="0" borderId="0" xfId="0" applyFont="1" applyAlignment="1">
      <alignment horizontal="center" wrapText="1"/>
    </xf>
    <xf numFmtId="0" fontId="16" fillId="0" borderId="0" xfId="0" applyFont="1" applyAlignment="1">
      <alignment horizontal="center"/>
    </xf>
    <xf numFmtId="0" fontId="17" fillId="0" borderId="0" xfId="0" applyFont="1" applyAlignment="1">
      <alignment horizontal="left" vertical="center" wrapText="1"/>
    </xf>
    <xf numFmtId="0" fontId="18" fillId="0" borderId="0" xfId="28" applyFont="1" applyAlignment="1">
      <alignment horizontal="left"/>
    </xf>
    <xf numFmtId="0" fontId="19" fillId="0" borderId="0" xfId="0" applyFont="1"/>
    <xf numFmtId="0" fontId="19" fillId="0" borderId="0" xfId="0" applyFont="1" applyAlignment="1">
      <alignment horizontal="center"/>
    </xf>
    <xf numFmtId="0" fontId="20" fillId="5" borderId="0" xfId="0" applyFont="1" applyFill="1" applyAlignment="1">
      <alignment horizontal="left" vertical="center"/>
    </xf>
    <xf numFmtId="0" fontId="21" fillId="5" borderId="0" xfId="0" applyFont="1" applyFill="1" applyAlignment="1">
      <alignment horizontal="center" vertical="center"/>
    </xf>
    <xf numFmtId="43" fontId="21" fillId="5" borderId="0" xfId="5" applyFont="1" applyFill="1" applyAlignment="1" applyProtection="1">
      <alignment horizontal="left" vertical="center"/>
    </xf>
    <xf numFmtId="49" fontId="22" fillId="5" borderId="0" xfId="0" applyNumberFormat="1" applyFont="1" applyFill="1" applyAlignment="1">
      <alignment horizontal="left" vertical="center"/>
    </xf>
    <xf numFmtId="49" fontId="22" fillId="5" borderId="0" xfId="0" applyNumberFormat="1" applyFont="1" applyFill="1" applyAlignment="1">
      <alignment horizontal="center" vertical="center"/>
    </xf>
    <xf numFmtId="43" fontId="21" fillId="5" borderId="0" xfId="5" applyFont="1" applyFill="1" applyAlignment="1" applyProtection="1">
      <alignment horizontal="right" vertical="center"/>
    </xf>
    <xf numFmtId="0" fontId="20" fillId="5" borderId="0" xfId="0" applyFont="1" applyFill="1" applyAlignment="1">
      <alignment vertical="center"/>
    </xf>
    <xf numFmtId="49" fontId="23" fillId="5" borderId="0" xfId="0" applyNumberFormat="1" applyFont="1" applyFill="1" applyAlignment="1">
      <alignment horizontal="left" vertical="center"/>
    </xf>
    <xf numFmtId="0" fontId="18" fillId="0" borderId="0" xfId="28" applyFont="1"/>
    <xf numFmtId="165" fontId="24" fillId="0" borderId="0" xfId="19" applyFont="1"/>
    <xf numFmtId="165" fontId="24" fillId="0" borderId="0" xfId="19" applyFont="1" applyAlignment="1">
      <alignment horizontal="center" vertical="center"/>
    </xf>
    <xf numFmtId="0" fontId="16" fillId="0" borderId="0" xfId="0" applyFont="1" applyAlignment="1">
      <alignment horizontal="center" vertical="center"/>
    </xf>
    <xf numFmtId="0" fontId="25" fillId="0" borderId="0" xfId="0" applyFont="1" applyAlignment="1">
      <alignment vertical="center"/>
    </xf>
    <xf numFmtId="0" fontId="26" fillId="0" borderId="0" xfId="18" applyFont="1" applyAlignment="1">
      <alignment horizontal="center" vertical="center"/>
    </xf>
    <xf numFmtId="165" fontId="24" fillId="0" borderId="0" xfId="19" applyFont="1" applyAlignment="1">
      <alignment vertical="center"/>
    </xf>
    <xf numFmtId="0" fontId="2" fillId="0" borderId="0" xfId="0" applyFont="1" applyAlignment="1">
      <alignment horizontal="center" wrapText="1"/>
    </xf>
    <xf numFmtId="0" fontId="2" fillId="0" borderId="0" xfId="0" applyFont="1" applyAlignment="1">
      <alignment horizontal="center"/>
    </xf>
    <xf numFmtId="166" fontId="3" fillId="2" borderId="16" xfId="7" applyNumberFormat="1" applyFont="1" applyFill="1" applyBorder="1" applyAlignment="1">
      <alignment horizontal="right" vertical="center"/>
    </xf>
    <xf numFmtId="166" fontId="3" fillId="2" borderId="18" xfId="7" applyNumberFormat="1" applyFont="1" applyFill="1" applyBorder="1" applyAlignment="1">
      <alignment horizontal="right" vertical="center"/>
    </xf>
    <xf numFmtId="166" fontId="3" fillId="2" borderId="20" xfId="7" applyNumberFormat="1" applyFont="1" applyFill="1" applyBorder="1" applyAlignment="1">
      <alignment horizontal="right" vertical="center"/>
    </xf>
    <xf numFmtId="0" fontId="16" fillId="0" borderId="0" xfId="0" applyFont="1" applyAlignment="1">
      <alignment vertical="center"/>
    </xf>
    <xf numFmtId="166" fontId="16" fillId="0" borderId="0" xfId="1" applyNumberFormat="1" applyFont="1" applyAlignment="1">
      <alignment horizontal="center" vertical="center"/>
    </xf>
    <xf numFmtId="166" fontId="16" fillId="0" borderId="0" xfId="7" applyNumberFormat="1" applyFont="1"/>
    <xf numFmtId="166" fontId="17" fillId="0" borderId="0" xfId="1" applyNumberFormat="1" applyFont="1" applyAlignment="1">
      <alignment vertical="center" wrapText="1"/>
    </xf>
    <xf numFmtId="0" fontId="17" fillId="0" borderId="0" xfId="0" applyFont="1" applyAlignment="1">
      <alignment vertical="center" wrapText="1"/>
    </xf>
    <xf numFmtId="166" fontId="17" fillId="0" borderId="0" xfId="7" applyNumberFormat="1" applyFont="1" applyAlignment="1">
      <alignment vertical="center" wrapText="1"/>
    </xf>
    <xf numFmtId="166" fontId="17" fillId="0" borderId="0" xfId="5" applyNumberFormat="1" applyFont="1" applyFill="1" applyBorder="1" applyAlignment="1">
      <alignment horizontal="center" vertical="center" wrapText="1"/>
    </xf>
    <xf numFmtId="3" fontId="17" fillId="0" borderId="0" xfId="0" applyNumberFormat="1" applyFont="1" applyAlignment="1">
      <alignment vertical="center" wrapText="1"/>
    </xf>
    <xf numFmtId="166" fontId="17" fillId="0" borderId="0" xfId="1" applyNumberFormat="1" applyFont="1" applyAlignment="1">
      <alignment horizontal="left" vertical="center" wrapText="1"/>
    </xf>
    <xf numFmtId="3" fontId="16" fillId="0" borderId="0" xfId="0" applyNumberFormat="1" applyFont="1" applyAlignment="1">
      <alignment vertical="center"/>
    </xf>
    <xf numFmtId="166" fontId="16" fillId="0" borderId="0" xfId="7" applyNumberFormat="1" applyFont="1" applyAlignment="1">
      <alignment vertical="center"/>
    </xf>
    <xf numFmtId="166" fontId="16" fillId="0" borderId="0" xfId="7" applyNumberFormat="1" applyFont="1" applyAlignment="1">
      <alignment horizontal="center" vertical="center"/>
    </xf>
    <xf numFmtId="0" fontId="16" fillId="0" borderId="0" xfId="0" applyFont="1" applyAlignment="1">
      <alignment horizontal="left" vertical="center"/>
    </xf>
    <xf numFmtId="1" fontId="16" fillId="0" borderId="0" xfId="19" applyNumberFormat="1" applyFont="1" applyAlignment="1">
      <alignment horizontal="center" vertical="center"/>
    </xf>
    <xf numFmtId="166" fontId="26" fillId="0" borderId="0" xfId="8" applyNumberFormat="1" applyFont="1" applyFill="1" applyBorder="1" applyAlignment="1">
      <alignment horizontal="center" vertical="center" wrapText="1"/>
    </xf>
    <xf numFmtId="0" fontId="19" fillId="0" borderId="0" xfId="11" applyAlignment="1">
      <alignment horizontal="center" vertical="center" wrapText="1"/>
    </xf>
    <xf numFmtId="166" fontId="16" fillId="0" borderId="0" xfId="5" applyNumberFormat="1" applyFont="1" applyAlignment="1">
      <alignment horizontal="center" vertical="center"/>
    </xf>
    <xf numFmtId="166" fontId="16" fillId="0" borderId="0" xfId="1" applyNumberFormat="1" applyFont="1"/>
    <xf numFmtId="3" fontId="16" fillId="0" borderId="0" xfId="5" applyNumberFormat="1" applyFont="1"/>
    <xf numFmtId="166" fontId="16" fillId="0" borderId="0" xfId="7" applyNumberFormat="1" applyFont="1" applyAlignment="1">
      <alignment horizontal="center"/>
    </xf>
    <xf numFmtId="0" fontId="2" fillId="0" borderId="0" xfId="0" applyFont="1" applyAlignment="1">
      <alignment horizontal="center" vertical="center"/>
    </xf>
    <xf numFmtId="0" fontId="2" fillId="0" borderId="0" xfId="0" applyFont="1" applyAlignment="1">
      <alignment vertical="center"/>
    </xf>
    <xf numFmtId="166" fontId="2" fillId="0" borderId="0" xfId="1" applyNumberFormat="1" applyFont="1" applyAlignment="1">
      <alignment horizontal="center" vertical="center"/>
    </xf>
    <xf numFmtId="166" fontId="2" fillId="0" borderId="0" xfId="7" applyNumberFormat="1" applyFont="1"/>
    <xf numFmtId="0" fontId="2" fillId="2" borderId="16" xfId="17" applyFont="1" applyFill="1" applyBorder="1" applyAlignment="1">
      <alignment horizontal="center" vertical="center" wrapText="1"/>
    </xf>
    <xf numFmtId="0" fontId="2" fillId="2" borderId="18" xfId="17" applyFont="1" applyFill="1" applyBorder="1" applyAlignment="1">
      <alignment horizontal="center" vertical="center" wrapText="1"/>
    </xf>
    <xf numFmtId="9" fontId="2" fillId="2" borderId="20" xfId="2" applyFont="1" applyFill="1" applyBorder="1" applyAlignment="1">
      <alignment horizontal="center" vertical="center" wrapText="1"/>
    </xf>
    <xf numFmtId="166" fontId="16" fillId="0" borderId="0" xfId="5" applyNumberFormat="1" applyFont="1" applyAlignment="1">
      <alignment horizontal="center"/>
    </xf>
    <xf numFmtId="166" fontId="1" fillId="0" borderId="0" xfId="7" applyNumberFormat="1" applyFont="1"/>
    <xf numFmtId="166" fontId="2" fillId="0" borderId="0" xfId="5" applyNumberFormat="1" applyFont="1" applyAlignment="1">
      <alignment horizontal="center"/>
    </xf>
    <xf numFmtId="166" fontId="0" fillId="0" borderId="0" xfId="5" applyNumberFormat="1" applyFont="1" applyAlignment="1">
      <alignment horizontal="center" vertical="center"/>
    </xf>
    <xf numFmtId="166" fontId="6" fillId="0" borderId="0" xfId="5" applyNumberFormat="1" applyFont="1" applyAlignment="1">
      <alignment horizontal="center" vertical="center"/>
    </xf>
    <xf numFmtId="166" fontId="10" fillId="0" borderId="5" xfId="5" applyNumberFormat="1" applyFont="1" applyFill="1" applyBorder="1" applyAlignment="1">
      <alignment horizontal="left" vertical="center"/>
    </xf>
    <xf numFmtId="166" fontId="10" fillId="0" borderId="5" xfId="5" applyNumberFormat="1" applyFont="1" applyFill="1" applyBorder="1" applyAlignment="1">
      <alignment horizontal="center" vertical="center"/>
    </xf>
    <xf numFmtId="166" fontId="10" fillId="2" borderId="6" xfId="5" applyNumberFormat="1" applyFont="1" applyFill="1" applyBorder="1" applyAlignment="1">
      <alignment horizontal="center" vertical="center" wrapText="1"/>
    </xf>
    <xf numFmtId="168" fontId="2" fillId="0" borderId="0" xfId="17" applyNumberFormat="1" applyFont="1"/>
    <xf numFmtId="3" fontId="17" fillId="0" borderId="0" xfId="0" applyNumberFormat="1" applyFont="1" applyAlignment="1">
      <alignment horizontal="left" vertical="center" wrapText="1"/>
    </xf>
    <xf numFmtId="0" fontId="2" fillId="2" borderId="20" xfId="17" applyFont="1" applyFill="1" applyBorder="1" applyAlignment="1">
      <alignment horizontal="center" vertical="center" wrapText="1"/>
    </xf>
    <xf numFmtId="166" fontId="2" fillId="0" borderId="0" xfId="5" applyNumberFormat="1" applyFont="1" applyAlignment="1">
      <alignment horizontal="center" vertical="center"/>
    </xf>
    <xf numFmtId="0" fontId="28" fillId="0" borderId="0" xfId="20" applyFont="1" applyAlignment="1">
      <alignment vertical="center"/>
    </xf>
    <xf numFmtId="0" fontId="28" fillId="0" borderId="0" xfId="0" applyFont="1" applyAlignment="1">
      <alignment vertical="center"/>
    </xf>
    <xf numFmtId="0" fontId="28" fillId="0" borderId="0" xfId="0" applyFont="1" applyAlignment="1">
      <alignment horizontal="center"/>
    </xf>
    <xf numFmtId="0" fontId="29" fillId="0" borderId="0" xfId="0" applyFont="1"/>
    <xf numFmtId="0" fontId="28" fillId="0" borderId="0" xfId="0" applyFont="1"/>
    <xf numFmtId="0" fontId="28" fillId="5" borderId="0" xfId="0" applyFont="1" applyFill="1" applyBorder="1" applyAlignment="1">
      <alignment vertical="center"/>
    </xf>
    <xf numFmtId="0" fontId="30" fillId="5" borderId="0" xfId="0" applyFont="1" applyFill="1" applyBorder="1" applyAlignment="1">
      <alignment horizontal="left" vertical="center"/>
    </xf>
    <xf numFmtId="0" fontId="28" fillId="5" borderId="0" xfId="0" applyFont="1" applyFill="1" applyBorder="1" applyAlignment="1">
      <alignment horizontal="left" vertical="center"/>
    </xf>
    <xf numFmtId="0" fontId="29" fillId="5" borderId="0" xfId="0" applyFont="1" applyFill="1" applyBorder="1" applyAlignment="1">
      <alignment horizontal="left" vertical="center"/>
    </xf>
    <xf numFmtId="3" fontId="28" fillId="5" borderId="0" xfId="1" applyNumberFormat="1" applyFont="1" applyFill="1" applyBorder="1" applyAlignment="1">
      <alignment horizontal="center" vertical="center"/>
    </xf>
    <xf numFmtId="0" fontId="31" fillId="5" borderId="0" xfId="0" applyFont="1" applyFill="1" applyBorder="1" applyAlignment="1">
      <alignment horizontal="right"/>
    </xf>
    <xf numFmtId="0" fontId="32" fillId="5" borderId="0" xfId="0" applyFont="1" applyFill="1" applyBorder="1" applyAlignment="1">
      <alignment horizontal="center" vertical="center"/>
    </xf>
    <xf numFmtId="0" fontId="30" fillId="5" borderId="22" xfId="0" applyFont="1" applyFill="1" applyBorder="1" applyAlignment="1">
      <alignment horizontal="left" vertical="center"/>
    </xf>
    <xf numFmtId="0" fontId="30" fillId="5" borderId="23" xfId="0" applyFont="1" applyFill="1" applyBorder="1" applyAlignment="1">
      <alignment horizontal="left" vertical="center"/>
    </xf>
    <xf numFmtId="0" fontId="30" fillId="5" borderId="21" xfId="0" applyFont="1" applyFill="1" applyBorder="1" applyAlignment="1">
      <alignment horizontal="left" vertical="center"/>
    </xf>
    <xf numFmtId="166" fontId="28" fillId="5" borderId="22" xfId="1" applyNumberFormat="1" applyFont="1" applyFill="1" applyBorder="1" applyAlignment="1">
      <alignment horizontal="right" vertical="center"/>
    </xf>
    <xf numFmtId="0" fontId="28" fillId="5" borderId="24" xfId="0" applyFont="1" applyFill="1" applyBorder="1" applyAlignment="1">
      <alignment horizontal="left" vertical="center"/>
    </xf>
    <xf numFmtId="0" fontId="28" fillId="5" borderId="25" xfId="0" applyFont="1" applyFill="1" applyBorder="1" applyAlignment="1">
      <alignment horizontal="left" vertical="center"/>
    </xf>
    <xf numFmtId="14" fontId="28" fillId="5" borderId="0" xfId="0" applyNumberFormat="1" applyFont="1" applyFill="1" applyBorder="1" applyAlignment="1">
      <alignment horizontal="right" vertical="center"/>
    </xf>
    <xf numFmtId="0" fontId="28" fillId="5" borderId="24" xfId="3" applyFont="1" applyFill="1" applyBorder="1" applyAlignment="1">
      <alignment horizontal="left" vertical="center"/>
    </xf>
    <xf numFmtId="0" fontId="28" fillId="5" borderId="1" xfId="3" applyFont="1" applyFill="1" applyBorder="1" applyAlignment="1">
      <alignment horizontal="left" vertical="center"/>
    </xf>
    <xf numFmtId="0" fontId="28" fillId="5" borderId="27" xfId="3" applyFont="1" applyFill="1" applyBorder="1" applyAlignment="1">
      <alignment horizontal="left" vertical="center"/>
    </xf>
    <xf numFmtId="0" fontId="30" fillId="5" borderId="26" xfId="3" applyFont="1" applyFill="1" applyBorder="1" applyAlignment="1">
      <alignment horizontal="left" vertical="center"/>
    </xf>
    <xf numFmtId="3" fontId="28" fillId="5" borderId="1" xfId="1" applyNumberFormat="1" applyFont="1" applyFill="1" applyBorder="1" applyAlignment="1">
      <alignment horizontal="center" vertical="center"/>
    </xf>
    <xf numFmtId="0" fontId="29" fillId="0" borderId="0" xfId="0" applyFont="1" applyAlignment="1">
      <alignment horizontal="left"/>
    </xf>
    <xf numFmtId="0" fontId="28" fillId="0" borderId="0" xfId="0" applyFont="1" applyAlignment="1">
      <alignment horizontal="left"/>
    </xf>
    <xf numFmtId="3" fontId="28" fillId="0" borderId="0" xfId="1" applyNumberFormat="1" applyFont="1" applyAlignment="1">
      <alignment horizontal="center" vertical="center"/>
    </xf>
    <xf numFmtId="0" fontId="34" fillId="4" borderId="0" xfId="0" applyFont="1" applyFill="1" applyAlignment="1">
      <alignment vertical="center"/>
    </xf>
    <xf numFmtId="0" fontId="28" fillId="4" borderId="0" xfId="0" applyFont="1" applyFill="1"/>
    <xf numFmtId="0" fontId="35" fillId="4" borderId="0" xfId="0" applyFont="1" applyFill="1" applyAlignment="1">
      <alignment vertical="center"/>
    </xf>
    <xf numFmtId="0" fontId="30" fillId="4" borderId="0" xfId="0" applyFont="1" applyFill="1" applyAlignment="1">
      <alignment vertical="center"/>
    </xf>
    <xf numFmtId="3" fontId="28" fillId="4" borderId="0" xfId="0" applyNumberFormat="1" applyFont="1" applyFill="1" applyAlignment="1">
      <alignment horizontal="center" vertical="center"/>
    </xf>
    <xf numFmtId="3" fontId="28" fillId="0" borderId="0" xfId="0" applyNumberFormat="1" applyFont="1" applyAlignment="1">
      <alignment horizontal="center" vertical="center"/>
    </xf>
    <xf numFmtId="0" fontId="36" fillId="4" borderId="0" xfId="0" applyFont="1" applyFill="1" applyAlignment="1">
      <alignment vertical="center"/>
    </xf>
    <xf numFmtId="0" fontId="28" fillId="4" borderId="0" xfId="0" applyFont="1" applyFill="1" applyAlignment="1"/>
    <xf numFmtId="0" fontId="37" fillId="4" borderId="0" xfId="0" applyFont="1" applyFill="1" applyAlignment="1">
      <alignment vertical="center"/>
    </xf>
    <xf numFmtId="0" fontId="28" fillId="0" borderId="0" xfId="0" applyFont="1" applyBorder="1" applyAlignment="1">
      <alignment horizontal="left" vertical="center" wrapText="1"/>
    </xf>
    <xf numFmtId="0" fontId="30" fillId="0" borderId="5" xfId="0" applyFont="1" applyBorder="1" applyAlignment="1">
      <alignment horizontal="center" vertical="center"/>
    </xf>
    <xf numFmtId="0" fontId="38" fillId="0" borderId="5" xfId="0" applyFont="1" applyBorder="1" applyAlignment="1">
      <alignment horizontal="center" vertical="center"/>
    </xf>
    <xf numFmtId="43" fontId="30" fillId="0" borderId="5" xfId="1" applyFont="1" applyBorder="1" applyAlignment="1">
      <alignment horizontal="center" vertical="center" wrapText="1"/>
    </xf>
    <xf numFmtId="43" fontId="30" fillId="0" borderId="5" xfId="1" applyFont="1" applyBorder="1" applyAlignment="1">
      <alignment horizontal="center" vertical="center"/>
    </xf>
    <xf numFmtId="0" fontId="39" fillId="6" borderId="7" xfId="0" applyFont="1" applyFill="1" applyBorder="1" applyAlignment="1">
      <alignment horizontal="center" vertical="center"/>
    </xf>
    <xf numFmtId="0" fontId="39" fillId="6" borderId="7" xfId="0" applyFont="1" applyFill="1" applyBorder="1" applyAlignment="1">
      <alignment horizontal="left" vertical="center" wrapText="1"/>
    </xf>
    <xf numFmtId="1" fontId="39" fillId="6" borderId="7" xfId="0" applyNumberFormat="1" applyFont="1" applyFill="1" applyBorder="1" applyAlignment="1">
      <alignment horizontal="center" vertical="center"/>
    </xf>
    <xf numFmtId="43" fontId="40" fillId="6" borderId="7" xfId="1" applyFont="1" applyFill="1" applyBorder="1" applyAlignment="1">
      <alignment horizontal="center" vertical="center"/>
    </xf>
    <xf numFmtId="43" fontId="30" fillId="4" borderId="4" xfId="1" applyFont="1" applyFill="1" applyBorder="1" applyAlignment="1">
      <alignment horizontal="center" vertical="center"/>
    </xf>
    <xf numFmtId="1" fontId="40" fillId="0" borderId="7" xfId="12" applyNumberFormat="1" applyFont="1" applyBorder="1" applyAlignment="1">
      <alignment horizontal="center" vertical="center"/>
    </xf>
    <xf numFmtId="0" fontId="40" fillId="0" borderId="7" xfId="0" applyFont="1" applyBorder="1" applyAlignment="1">
      <alignment vertical="center" wrapText="1"/>
    </xf>
    <xf numFmtId="0" fontId="40" fillId="0" borderId="7" xfId="0" applyFont="1" applyBorder="1" applyAlignment="1">
      <alignment horizontal="left" vertical="center" wrapText="1"/>
    </xf>
    <xf numFmtId="43" fontId="40" fillId="0" borderId="7" xfId="6" applyFont="1" applyFill="1" applyBorder="1" applyAlignment="1">
      <alignment horizontal="center" vertical="center" wrapText="1"/>
    </xf>
    <xf numFmtId="0" fontId="40" fillId="0" borderId="7" xfId="12" applyFont="1" applyBorder="1" applyAlignment="1">
      <alignment horizontal="center" vertical="center" wrapText="1"/>
    </xf>
    <xf numFmtId="0" fontId="40" fillId="0" borderId="7" xfId="13" applyFont="1" applyBorder="1" applyAlignment="1">
      <alignment horizontal="center" vertical="center" wrapText="1"/>
    </xf>
    <xf numFmtId="43" fontId="40" fillId="0" borderId="7" xfId="1" applyFont="1" applyFill="1" applyBorder="1" applyAlignment="1">
      <alignment horizontal="center" vertical="center" wrapText="1"/>
    </xf>
    <xf numFmtId="43" fontId="30" fillId="0" borderId="4" xfId="1" applyFont="1" applyFill="1" applyBorder="1" applyAlignment="1">
      <alignment horizontal="center" vertical="center"/>
    </xf>
    <xf numFmtId="43" fontId="28" fillId="0" borderId="28" xfId="1" applyFont="1" applyFill="1" applyBorder="1" applyAlignment="1">
      <alignment horizontal="center" vertical="center"/>
    </xf>
    <xf numFmtId="43" fontId="28" fillId="0" borderId="7" xfId="1" applyFont="1" applyFill="1" applyBorder="1" applyAlignment="1">
      <alignment horizontal="center" vertical="center"/>
    </xf>
    <xf numFmtId="0" fontId="40" fillId="6" borderId="7" xfId="0" applyFont="1" applyFill="1" applyBorder="1" applyAlignment="1">
      <alignment horizontal="center"/>
    </xf>
    <xf numFmtId="0" fontId="40" fillId="6" borderId="7" xfId="0" applyFont="1" applyFill="1" applyBorder="1"/>
    <xf numFmtId="0" fontId="40" fillId="0" borderId="7" xfId="0" applyFont="1" applyBorder="1" applyAlignment="1">
      <alignment horizontal="center" vertical="center" wrapText="1"/>
    </xf>
    <xf numFmtId="43" fontId="29" fillId="0" borderId="7" xfId="1" applyFont="1" applyFill="1" applyBorder="1" applyAlignment="1">
      <alignment horizontal="center" vertical="center" wrapText="1"/>
    </xf>
    <xf numFmtId="0" fontId="40" fillId="0" borderId="7" xfId="0" applyFont="1" applyBorder="1" applyAlignment="1">
      <alignment horizontal="center" vertical="center"/>
    </xf>
    <xf numFmtId="0" fontId="40" fillId="6" borderId="7" xfId="0" applyFont="1" applyFill="1" applyBorder="1" applyAlignment="1">
      <alignment horizontal="left" vertical="center" wrapText="1"/>
    </xf>
    <xf numFmtId="0" fontId="40" fillId="7" borderId="7" xfId="0" applyFont="1" applyFill="1" applyBorder="1" applyAlignment="1">
      <alignment horizontal="center" vertical="center"/>
    </xf>
    <xf numFmtId="0" fontId="40" fillId="7" borderId="7" xfId="0" applyFont="1" applyFill="1" applyBorder="1" applyAlignment="1">
      <alignment vertical="center" wrapText="1"/>
    </xf>
    <xf numFmtId="43" fontId="40" fillId="8" borderId="7" xfId="6" applyFont="1" applyFill="1" applyBorder="1" applyAlignment="1">
      <alignment horizontal="center" vertical="center" wrapText="1"/>
    </xf>
    <xf numFmtId="0" fontId="40" fillId="8" borderId="7" xfId="12" applyFont="1" applyFill="1" applyBorder="1" applyAlignment="1">
      <alignment horizontal="center" vertical="center" wrapText="1"/>
    </xf>
    <xf numFmtId="43" fontId="41" fillId="7" borderId="7" xfId="1" applyFont="1" applyFill="1" applyBorder="1" applyAlignment="1">
      <alignment horizontal="center" vertical="center"/>
    </xf>
    <xf numFmtId="43" fontId="41" fillId="0" borderId="7" xfId="1" applyFont="1" applyFill="1" applyBorder="1" applyAlignment="1">
      <alignment horizontal="center" vertical="center"/>
    </xf>
    <xf numFmtId="0" fontId="40" fillId="6" borderId="7" xfId="0" applyFont="1" applyFill="1" applyBorder="1" applyAlignment="1">
      <alignment horizontal="center" wrapText="1"/>
    </xf>
    <xf numFmtId="0" fontId="40" fillId="6" borderId="7" xfId="0" applyFont="1" applyFill="1" applyBorder="1" applyAlignment="1">
      <alignment wrapText="1"/>
    </xf>
    <xf numFmtId="41" fontId="40" fillId="0" borderId="7" xfId="0" applyNumberFormat="1" applyFont="1" applyBorder="1" applyAlignment="1">
      <alignment vertical="center" wrapText="1"/>
    </xf>
    <xf numFmtId="0" fontId="40" fillId="0" borderId="5" xfId="0" applyFont="1" applyBorder="1" applyAlignment="1">
      <alignment vertical="center" wrapText="1"/>
    </xf>
    <xf numFmtId="0" fontId="40" fillId="0" borderId="7" xfId="12" applyFont="1" applyBorder="1" applyAlignment="1">
      <alignment horizontal="center" vertical="center"/>
    </xf>
    <xf numFmtId="0" fontId="29" fillId="0" borderId="7" xfId="13" applyFont="1" applyFill="1" applyBorder="1" applyAlignment="1">
      <alignment horizontal="center" vertical="center" wrapText="1"/>
    </xf>
    <xf numFmtId="0" fontId="28" fillId="0" borderId="7" xfId="25" applyFont="1" applyFill="1" applyBorder="1" applyAlignment="1">
      <alignment horizontal="center" vertical="center" wrapText="1"/>
    </xf>
    <xf numFmtId="0" fontId="40" fillId="6" borderId="7" xfId="0" applyFont="1" applyFill="1" applyBorder="1" applyAlignment="1">
      <alignment horizontal="center" vertical="center"/>
    </xf>
    <xf numFmtId="43" fontId="28" fillId="0" borderId="7" xfId="1" applyFont="1" applyFill="1" applyBorder="1" applyAlignment="1">
      <alignment horizontal="center" vertical="center" wrapText="1"/>
    </xf>
    <xf numFmtId="43" fontId="40" fillId="0" borderId="7" xfId="1" applyFont="1" applyBorder="1" applyAlignment="1">
      <alignment horizontal="center" vertical="center"/>
    </xf>
    <xf numFmtId="0" fontId="38" fillId="6" borderId="7" xfId="0" applyFont="1" applyFill="1" applyBorder="1" applyAlignment="1">
      <alignment horizontal="center" vertical="center"/>
    </xf>
    <xf numFmtId="0" fontId="38" fillId="6" borderId="7" xfId="0" applyFont="1" applyFill="1" applyBorder="1" applyAlignment="1">
      <alignment horizontal="left" vertical="center" wrapText="1"/>
    </xf>
    <xf numFmtId="1" fontId="38" fillId="6" borderId="7" xfId="0" applyNumberFormat="1" applyFont="1" applyFill="1" applyBorder="1" applyAlignment="1">
      <alignment horizontal="center" vertical="center"/>
    </xf>
    <xf numFmtId="43" fontId="29" fillId="6" borderId="7" xfId="1" applyFont="1" applyFill="1" applyBorder="1" applyAlignment="1">
      <alignment horizontal="center" vertical="center"/>
    </xf>
    <xf numFmtId="0" fontId="29" fillId="9" borderId="7" xfId="12" applyFont="1" applyFill="1" applyBorder="1" applyAlignment="1">
      <alignment horizontal="center" vertical="center" wrapText="1"/>
    </xf>
    <xf numFmtId="0" fontId="29" fillId="9" borderId="7" xfId="0" applyFont="1" applyFill="1" applyBorder="1" applyAlignment="1">
      <alignment horizontal="left" vertical="center" wrapText="1"/>
    </xf>
    <xf numFmtId="0" fontId="29" fillId="9" borderId="7" xfId="0" applyFont="1" applyFill="1" applyBorder="1" applyAlignment="1">
      <alignment horizontal="center"/>
    </xf>
    <xf numFmtId="0" fontId="29" fillId="10" borderId="7" xfId="22" applyFont="1" applyFill="1" applyBorder="1" applyAlignment="1">
      <alignment horizontal="center" vertical="center" wrapText="1"/>
    </xf>
    <xf numFmtId="0" fontId="29" fillId="9" borderId="7" xfId="13" applyFont="1" applyFill="1" applyBorder="1" applyAlignment="1">
      <alignment horizontal="center" vertical="center" wrapText="1"/>
    </xf>
    <xf numFmtId="43" fontId="29" fillId="9" borderId="7" xfId="1" applyFont="1" applyFill="1" applyBorder="1" applyAlignment="1">
      <alignment horizontal="center" vertical="center" wrapText="1"/>
    </xf>
    <xf numFmtId="0" fontId="29" fillId="0" borderId="7" xfId="12" applyFont="1" applyBorder="1" applyAlignment="1">
      <alignment horizontal="center" vertical="center" wrapText="1"/>
    </xf>
    <xf numFmtId="0" fontId="29" fillId="0" borderId="7" xfId="0" applyFont="1" applyBorder="1" applyAlignment="1">
      <alignment horizontal="left" vertical="center" wrapText="1"/>
    </xf>
    <xf numFmtId="0" fontId="42" fillId="0" borderId="7" xfId="0" applyFont="1" applyBorder="1" applyAlignment="1">
      <alignment horizontal="center" vertical="center"/>
    </xf>
    <xf numFmtId="0" fontId="29" fillId="0" borderId="7" xfId="0" applyFont="1" applyBorder="1" applyAlignment="1">
      <alignment horizontal="center" vertical="center"/>
    </xf>
    <xf numFmtId="0" fontId="29" fillId="0" borderId="7" xfId="22" applyFont="1" applyBorder="1" applyAlignment="1">
      <alignment horizontal="center" vertical="center" wrapText="1"/>
    </xf>
    <xf numFmtId="0" fontId="29" fillId="0" borderId="7" xfId="13" applyFont="1" applyBorder="1" applyAlignment="1">
      <alignment horizontal="center" vertical="center" wrapText="1"/>
    </xf>
    <xf numFmtId="43" fontId="29" fillId="0" borderId="7" xfId="1" applyFont="1" applyBorder="1" applyAlignment="1">
      <alignment horizontal="center" vertical="center"/>
    </xf>
    <xf numFmtId="166" fontId="28" fillId="0" borderId="0" xfId="1" applyNumberFormat="1" applyFont="1" applyFill="1" applyBorder="1" applyAlignment="1">
      <alignment horizontal="center"/>
    </xf>
    <xf numFmtId="166" fontId="28" fillId="0" borderId="23" xfId="1" applyNumberFormat="1" applyFont="1" applyFill="1" applyBorder="1" applyAlignment="1">
      <alignment horizontal="center"/>
    </xf>
    <xf numFmtId="166" fontId="28" fillId="0" borderId="25" xfId="1" applyNumberFormat="1" applyFont="1" applyFill="1" applyBorder="1" applyAlignment="1">
      <alignment horizontal="center"/>
    </xf>
    <xf numFmtId="166" fontId="28" fillId="0" borderId="27" xfId="1" applyNumberFormat="1" applyFont="1" applyFill="1" applyBorder="1" applyAlignment="1">
      <alignment horizontal="center"/>
    </xf>
    <xf numFmtId="166" fontId="30" fillId="0" borderId="0" xfId="1" applyNumberFormat="1" applyFont="1" applyFill="1" applyBorder="1" applyAlignment="1">
      <alignment horizontal="center" vertical="center"/>
    </xf>
    <xf numFmtId="0" fontId="30" fillId="4" borderId="4" xfId="0" applyFont="1" applyFill="1" applyBorder="1" applyAlignment="1">
      <alignment horizontal="center" vertical="center"/>
    </xf>
    <xf numFmtId="0" fontId="30" fillId="0" borderId="4" xfId="0" applyFont="1" applyFill="1" applyBorder="1" applyAlignment="1">
      <alignment horizontal="center" vertical="center"/>
    </xf>
    <xf numFmtId="0" fontId="28" fillId="0" borderId="28" xfId="0" applyFont="1" applyFill="1" applyBorder="1" applyAlignment="1">
      <alignment horizontal="center" vertical="center"/>
    </xf>
    <xf numFmtId="166" fontId="28" fillId="0" borderId="7" xfId="1" applyNumberFormat="1" applyFont="1" applyFill="1" applyBorder="1" applyAlignment="1">
      <alignment horizontal="center" vertical="center"/>
    </xf>
    <xf numFmtId="43" fontId="29" fillId="9" borderId="7" xfId="1" applyFont="1" applyFill="1" applyBorder="1" applyAlignment="1">
      <alignment horizontal="center" vertical="center"/>
    </xf>
    <xf numFmtId="0" fontId="42" fillId="0" borderId="7" xfId="0" applyFont="1" applyBorder="1" applyAlignment="1">
      <alignment horizontal="center"/>
    </xf>
    <xf numFmtId="0" fontId="29" fillId="0" borderId="7" xfId="0" applyFont="1" applyBorder="1" applyAlignment="1">
      <alignment vertical="center" wrapText="1"/>
    </xf>
    <xf numFmtId="0" fontId="29" fillId="6" borderId="7" xfId="0" applyFont="1" applyFill="1" applyBorder="1" applyAlignment="1">
      <alignment horizontal="center"/>
    </xf>
    <xf numFmtId="0" fontId="29" fillId="6" borderId="7" xfId="0" applyFont="1" applyFill="1" applyBorder="1" applyAlignment="1">
      <alignment horizontal="center" vertical="center"/>
    </xf>
    <xf numFmtId="0" fontId="29" fillId="6" borderId="7" xfId="0" applyFont="1" applyFill="1" applyBorder="1"/>
    <xf numFmtId="0" fontId="29" fillId="0" borderId="7" xfId="0" applyFont="1" applyBorder="1" applyAlignment="1">
      <alignment horizontal="center"/>
    </xf>
    <xf numFmtId="0" fontId="42" fillId="0" borderId="7" xfId="0" applyFont="1" applyFill="1" applyBorder="1" applyAlignment="1">
      <alignment horizontal="center" vertical="center"/>
    </xf>
    <xf numFmtId="0" fontId="29" fillId="11" borderId="7" xfId="22" applyFont="1" applyFill="1" applyBorder="1" applyAlignment="1">
      <alignment horizontal="center" vertical="center" wrapText="1"/>
    </xf>
    <xf numFmtId="0" fontId="29" fillId="10" borderId="7" xfId="0" applyFont="1" applyFill="1" applyBorder="1" applyAlignment="1">
      <alignment horizontal="center" vertical="center"/>
    </xf>
    <xf numFmtId="0" fontId="29" fillId="10" borderId="7" xfId="0" applyFont="1" applyFill="1" applyBorder="1"/>
    <xf numFmtId="0" fontId="29" fillId="6" borderId="7" xfId="0" applyFont="1" applyFill="1" applyBorder="1" applyAlignment="1">
      <alignment horizontal="left" vertical="center" wrapText="1"/>
    </xf>
    <xf numFmtId="0" fontId="29" fillId="9" borderId="7" xfId="0" applyFont="1" applyFill="1" applyBorder="1" applyAlignment="1">
      <alignment horizontal="center" vertical="center"/>
    </xf>
    <xf numFmtId="0" fontId="43" fillId="9" borderId="7" xfId="0" applyFont="1" applyFill="1" applyBorder="1" applyAlignment="1">
      <alignment horizontal="center" vertical="center"/>
    </xf>
    <xf numFmtId="43" fontId="43" fillId="9" borderId="7" xfId="1" applyFont="1" applyFill="1" applyBorder="1" applyAlignment="1">
      <alignment horizontal="center" vertical="center"/>
    </xf>
    <xf numFmtId="0" fontId="43" fillId="0" borderId="7" xfId="0" applyFont="1" applyBorder="1" applyAlignment="1">
      <alignment horizontal="center" vertical="center"/>
    </xf>
    <xf numFmtId="43" fontId="43" fillId="0" borderId="7" xfId="1" applyFont="1" applyBorder="1" applyAlignment="1">
      <alignment horizontal="center" vertical="center"/>
    </xf>
    <xf numFmtId="0" fontId="43" fillId="10" borderId="7" xfId="0" applyFont="1" applyFill="1" applyBorder="1" applyAlignment="1">
      <alignment horizontal="center" vertical="center"/>
    </xf>
    <xf numFmtId="0" fontId="29" fillId="9" borderId="7" xfId="0" applyFont="1" applyFill="1" applyBorder="1" applyAlignment="1">
      <alignment vertical="center" wrapText="1"/>
    </xf>
    <xf numFmtId="43" fontId="29" fillId="0" borderId="7" xfId="1" applyFont="1" applyBorder="1" applyAlignment="1">
      <alignment horizontal="center" vertical="center" wrapText="1"/>
    </xf>
    <xf numFmtId="0" fontId="29" fillId="0" borderId="7" xfId="12" applyFont="1" applyBorder="1" applyAlignment="1">
      <alignment horizontal="center" vertical="center"/>
    </xf>
    <xf numFmtId="0" fontId="44" fillId="0" borderId="7" xfId="0" applyFont="1" applyBorder="1" applyAlignment="1">
      <alignment horizontal="center"/>
    </xf>
    <xf numFmtId="0" fontId="38" fillId="9" borderId="7" xfId="0" applyFont="1" applyFill="1" applyBorder="1" applyAlignment="1">
      <alignment horizontal="center" vertical="center"/>
    </xf>
    <xf numFmtId="0" fontId="38" fillId="9" borderId="7" xfId="0" applyFont="1" applyFill="1" applyBorder="1" applyAlignment="1">
      <alignment horizontal="left" vertical="center"/>
    </xf>
    <xf numFmtId="0" fontId="38" fillId="9" borderId="7" xfId="0" applyFont="1" applyFill="1" applyBorder="1" applyAlignment="1">
      <alignment horizontal="center" vertical="center" wrapText="1"/>
    </xf>
    <xf numFmtId="43" fontId="38" fillId="10" borderId="7" xfId="6" applyFont="1" applyFill="1" applyBorder="1" applyAlignment="1">
      <alignment horizontal="center" vertical="center" wrapText="1"/>
    </xf>
    <xf numFmtId="0" fontId="38" fillId="10" borderId="7" xfId="12" applyFont="1" applyFill="1" applyBorder="1" applyAlignment="1">
      <alignment horizontal="center" vertical="center" wrapText="1"/>
    </xf>
    <xf numFmtId="0" fontId="38" fillId="9" borderId="7" xfId="27" applyFont="1" applyFill="1" applyBorder="1" applyAlignment="1">
      <alignment horizontal="center" vertical="center" wrapText="1"/>
    </xf>
    <xf numFmtId="0" fontId="42" fillId="0" borderId="7" xfId="0" applyFont="1" applyBorder="1" applyAlignment="1">
      <alignment horizontal="center" vertical="center" wrapText="1"/>
    </xf>
    <xf numFmtId="0" fontId="38" fillId="6" borderId="7" xfId="0" applyFont="1" applyFill="1" applyBorder="1" applyAlignment="1">
      <alignment horizontal="left" vertical="center"/>
    </xf>
    <xf numFmtId="0" fontId="29" fillId="0" borderId="7" xfId="0" applyFont="1" applyBorder="1" applyAlignment="1">
      <alignment horizontal="center" vertical="center" wrapText="1"/>
    </xf>
    <xf numFmtId="0" fontId="29" fillId="0" borderId="7" xfId="0" applyFont="1" applyFill="1" applyBorder="1" applyAlignment="1">
      <alignment horizontal="center" vertical="center"/>
    </xf>
    <xf numFmtId="0" fontId="29" fillId="0" borderId="7" xfId="0" applyFont="1" applyFill="1" applyBorder="1" applyAlignment="1">
      <alignment horizontal="left" vertical="center" wrapText="1"/>
    </xf>
    <xf numFmtId="0" fontId="28" fillId="0" borderId="7" xfId="0" applyFont="1" applyFill="1" applyBorder="1" applyAlignment="1">
      <alignment horizontal="center" vertical="center" wrapText="1"/>
    </xf>
    <xf numFmtId="0" fontId="28" fillId="0" borderId="7" xfId="26" applyFont="1" applyFill="1" applyBorder="1" applyAlignment="1">
      <alignment horizontal="center" vertical="center" wrapText="1"/>
    </xf>
    <xf numFmtId="0" fontId="28" fillId="0" borderId="7" xfId="22" applyFont="1" applyFill="1" applyBorder="1" applyAlignment="1">
      <alignment horizontal="center" vertical="center" wrapText="1"/>
    </xf>
    <xf numFmtId="0" fontId="28" fillId="0" borderId="20" xfId="20" applyFont="1" applyFill="1" applyBorder="1" applyAlignment="1">
      <alignment horizontal="center" vertical="center"/>
    </xf>
    <xf numFmtId="0" fontId="45" fillId="0" borderId="20" xfId="0" applyFont="1" applyFill="1" applyBorder="1" applyAlignment="1" applyProtection="1">
      <alignment vertical="center" wrapText="1"/>
      <protection locked="0"/>
    </xf>
    <xf numFmtId="0" fontId="28" fillId="0" borderId="20" xfId="20" applyFont="1" applyFill="1" applyBorder="1" applyAlignment="1">
      <alignment vertical="center"/>
    </xf>
    <xf numFmtId="0" fontId="45" fillId="0" borderId="20" xfId="0" applyFont="1" applyFill="1" applyBorder="1" applyAlignment="1" applyProtection="1">
      <alignment horizontal="center" vertical="center" wrapText="1"/>
      <protection locked="0"/>
    </xf>
    <xf numFmtId="0" fontId="28" fillId="0" borderId="0" xfId="20" applyFont="1" applyAlignment="1">
      <alignment horizontal="center" vertical="center"/>
    </xf>
    <xf numFmtId="0" fontId="38" fillId="0" borderId="0" xfId="0" applyFont="1" applyAlignment="1" applyProtection="1">
      <alignment vertical="center" wrapText="1"/>
      <protection locked="0"/>
    </xf>
    <xf numFmtId="0" fontId="29" fillId="0" borderId="0" xfId="0" applyFont="1" applyAlignment="1" applyProtection="1">
      <alignment horizontal="center" vertical="center" wrapText="1"/>
      <protection locked="0"/>
    </xf>
    <xf numFmtId="0" fontId="46" fillId="0" borderId="0" xfId="0" applyFont="1"/>
    <xf numFmtId="43" fontId="28" fillId="0" borderId="0" xfId="1" applyFont="1" applyBorder="1" applyAlignment="1">
      <alignment horizontal="center"/>
    </xf>
    <xf numFmtId="0" fontId="28" fillId="0" borderId="0" xfId="0" applyFont="1" applyAlignment="1">
      <alignment horizontal="center" vertical="center"/>
    </xf>
    <xf numFmtId="0" fontId="29" fillId="0" borderId="0" xfId="0" applyFont="1" applyAlignment="1">
      <alignment horizontal="left" vertical="center" wrapText="1"/>
    </xf>
    <xf numFmtId="0" fontId="30" fillId="0" borderId="0" xfId="0" applyFont="1" applyAlignment="1">
      <alignment horizontal="right"/>
    </xf>
    <xf numFmtId="166" fontId="28" fillId="0" borderId="0" xfId="1" applyNumberFormat="1" applyFont="1" applyFill="1" applyBorder="1" applyAlignment="1">
      <alignment horizontal="center" vertical="center"/>
    </xf>
    <xf numFmtId="0" fontId="10" fillId="0" borderId="5" xfId="8" quotePrefix="1" applyNumberFormat="1" applyFont="1" applyFill="1" applyBorder="1" applyAlignment="1">
      <alignment horizontal="left" vertical="center"/>
    </xf>
    <xf numFmtId="0" fontId="12" fillId="0" borderId="7" xfId="0" quotePrefix="1" applyFont="1" applyBorder="1" applyAlignment="1">
      <alignment horizontal="left" vertical="center" wrapText="1"/>
    </xf>
    <xf numFmtId="0" fontId="18" fillId="0" borderId="0" xfId="28" quotePrefix="1" applyFont="1" applyAlignment="1">
      <alignment horizontal="left"/>
    </xf>
    <xf numFmtId="0" fontId="20" fillId="5" borderId="0" xfId="0" quotePrefix="1" applyFont="1" applyFill="1" applyAlignment="1">
      <alignment vertical="center"/>
    </xf>
    <xf numFmtId="0" fontId="30" fillId="5" borderId="0" xfId="0" applyFont="1" applyFill="1" applyBorder="1" applyAlignment="1">
      <alignment horizontal="left" vertical="center"/>
    </xf>
    <xf numFmtId="0" fontId="28" fillId="5" borderId="0" xfId="0" applyFont="1" applyFill="1" applyBorder="1" applyAlignment="1">
      <alignment horizontal="left" vertical="center"/>
    </xf>
    <xf numFmtId="0" fontId="31" fillId="5" borderId="0" xfId="0" applyFont="1" applyFill="1" applyBorder="1" applyAlignment="1">
      <alignment horizontal="right"/>
    </xf>
    <xf numFmtId="0" fontId="32" fillId="5" borderId="1" xfId="0" applyFont="1" applyFill="1" applyBorder="1" applyAlignment="1">
      <alignment horizontal="center" vertical="center"/>
    </xf>
    <xf numFmtId="0" fontId="32" fillId="5" borderId="0" xfId="0" applyFont="1" applyFill="1" applyBorder="1" applyAlignment="1">
      <alignment horizontal="center" vertical="center"/>
    </xf>
    <xf numFmtId="0" fontId="33" fillId="5" borderId="21" xfId="0" applyFont="1" applyFill="1" applyBorder="1" applyAlignment="1">
      <alignment horizontal="left" vertical="center"/>
    </xf>
    <xf numFmtId="0" fontId="30" fillId="5" borderId="22" xfId="0" applyFont="1" applyFill="1" applyBorder="1" applyAlignment="1">
      <alignment horizontal="left" vertical="center"/>
    </xf>
    <xf numFmtId="0" fontId="28" fillId="5" borderId="24" xfId="0" applyFont="1" applyFill="1" applyBorder="1" applyAlignment="1">
      <alignment horizontal="left" vertical="center"/>
    </xf>
    <xf numFmtId="0" fontId="28" fillId="5" borderId="26" xfId="3" applyFont="1" applyFill="1" applyBorder="1" applyAlignment="1">
      <alignment horizontal="left" vertical="center"/>
    </xf>
    <xf numFmtId="0" fontId="28" fillId="5" borderId="1" xfId="3" applyFont="1" applyFill="1" applyBorder="1" applyAlignment="1">
      <alignment horizontal="left" vertical="center"/>
    </xf>
    <xf numFmtId="0" fontId="33" fillId="0" borderId="1" xfId="0" applyFont="1" applyBorder="1" applyAlignment="1">
      <alignment horizontal="left" vertical="center" wrapText="1"/>
    </xf>
    <xf numFmtId="0" fontId="28" fillId="0" borderId="1" xfId="0" applyFont="1" applyBorder="1" applyAlignment="1">
      <alignment horizontal="left" vertical="center" wrapText="1"/>
    </xf>
    <xf numFmtId="0" fontId="29" fillId="0" borderId="0" xfId="0" applyFont="1" applyAlignment="1">
      <alignment horizontal="left" vertical="center" wrapText="1"/>
    </xf>
    <xf numFmtId="0" fontId="30" fillId="0" borderId="0" xfId="0" applyFont="1" applyAlignment="1">
      <alignment horizontal="right"/>
    </xf>
    <xf numFmtId="167" fontId="7" fillId="0" borderId="0" xfId="0" applyNumberFormat="1" applyFont="1" applyAlignment="1">
      <alignment horizontal="right" vertical="center"/>
    </xf>
    <xf numFmtId="167" fontId="6" fillId="0" borderId="0" xfId="0" applyNumberFormat="1" applyFont="1" applyAlignment="1">
      <alignment horizontal="right" vertical="center"/>
    </xf>
    <xf numFmtId="167" fontId="6" fillId="0" borderId="1" xfId="0" applyNumberFormat="1" applyFont="1" applyBorder="1" applyAlignment="1">
      <alignment horizontal="right" vertical="center"/>
    </xf>
    <xf numFmtId="0" fontId="9" fillId="0" borderId="0" xfId="0" applyFont="1" applyAlignment="1">
      <alignment horizontal="center" vertical="center"/>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8" xfId="0" applyFont="1" applyBorder="1" applyAlignment="1">
      <alignment horizontal="left" vertical="center" wrapText="1"/>
    </xf>
    <xf numFmtId="167" fontId="10" fillId="0" borderId="2" xfId="0" applyNumberFormat="1" applyFont="1" applyBorder="1" applyAlignment="1">
      <alignment horizontal="left" vertical="center" wrapText="1"/>
    </xf>
    <xf numFmtId="167" fontId="10" fillId="0" borderId="3" xfId="0" applyNumberFormat="1" applyFont="1" applyBorder="1" applyAlignment="1">
      <alignment horizontal="left" vertical="center" wrapText="1"/>
    </xf>
    <xf numFmtId="167" fontId="10" fillId="0" borderId="8" xfId="0" applyNumberFormat="1" applyFont="1" applyBorder="1" applyAlignment="1">
      <alignment horizontal="left" vertical="center" wrapText="1"/>
    </xf>
    <xf numFmtId="0" fontId="10" fillId="0" borderId="5" xfId="28" applyFont="1" applyBorder="1" applyAlignment="1">
      <alignment horizontal="center" vertical="center"/>
    </xf>
    <xf numFmtId="165" fontId="10" fillId="0" borderId="4" xfId="19" applyFont="1" applyBorder="1" applyAlignment="1">
      <alignment horizontal="center" vertical="center"/>
    </xf>
    <xf numFmtId="166" fontId="3" fillId="2" borderId="9" xfId="8" applyNumberFormat="1" applyFont="1" applyFill="1" applyBorder="1" applyAlignment="1">
      <alignment horizontal="right" vertical="center" wrapText="1"/>
    </xf>
    <xf numFmtId="166" fontId="3" fillId="2" borderId="10" xfId="8" applyNumberFormat="1" applyFont="1" applyFill="1" applyBorder="1" applyAlignment="1">
      <alignment horizontal="right" vertical="center" wrapText="1"/>
    </xf>
    <xf numFmtId="166" fontId="3" fillId="2" borderId="15" xfId="8" applyNumberFormat="1" applyFont="1" applyFill="1" applyBorder="1" applyAlignment="1">
      <alignment horizontal="right" vertical="center" wrapText="1"/>
    </xf>
    <xf numFmtId="166" fontId="3" fillId="2" borderId="11" xfId="8" applyNumberFormat="1" applyFont="1" applyFill="1" applyBorder="1" applyAlignment="1">
      <alignment horizontal="right" vertical="center" wrapText="1"/>
    </xf>
    <xf numFmtId="166" fontId="3" fillId="2" borderId="12" xfId="8" applyNumberFormat="1" applyFont="1" applyFill="1" applyBorder="1" applyAlignment="1">
      <alignment horizontal="right" vertical="center" wrapText="1"/>
    </xf>
    <xf numFmtId="166" fontId="3" fillId="2" borderId="17" xfId="8" applyNumberFormat="1" applyFont="1" applyFill="1" applyBorder="1" applyAlignment="1">
      <alignment horizontal="right" vertical="center" wrapText="1"/>
    </xf>
    <xf numFmtId="166" fontId="3" fillId="2" borderId="13" xfId="8" applyNumberFormat="1" applyFont="1" applyFill="1" applyBorder="1" applyAlignment="1">
      <alignment horizontal="right" vertical="center" wrapText="1"/>
    </xf>
    <xf numFmtId="166" fontId="3" fillId="2" borderId="14" xfId="8" applyNumberFormat="1" applyFont="1" applyFill="1" applyBorder="1" applyAlignment="1">
      <alignment horizontal="right" vertical="center" wrapText="1"/>
    </xf>
    <xf numFmtId="166" fontId="3" fillId="2" borderId="19" xfId="8" applyNumberFormat="1" applyFont="1" applyFill="1" applyBorder="1" applyAlignment="1">
      <alignment horizontal="right" vertical="center" wrapText="1"/>
    </xf>
    <xf numFmtId="0" fontId="27" fillId="0" borderId="0" xfId="0" applyFont="1" applyAlignment="1">
      <alignment horizontal="center" vertical="center"/>
    </xf>
    <xf numFmtId="166" fontId="27" fillId="0" borderId="0" xfId="7" applyNumberFormat="1" applyFont="1" applyAlignment="1">
      <alignment horizontal="center" vertical="center"/>
    </xf>
    <xf numFmtId="0" fontId="25" fillId="0" borderId="0" xfId="0" applyFont="1" applyAlignment="1">
      <alignment horizontal="left" vertical="center" indent="12"/>
    </xf>
    <xf numFmtId="166" fontId="25" fillId="0" borderId="0" xfId="7" applyNumberFormat="1" applyFont="1" applyAlignment="1">
      <alignment horizontal="left" vertical="center" indent="12"/>
    </xf>
    <xf numFmtId="166" fontId="19" fillId="0" borderId="0" xfId="5" applyNumberFormat="1" applyFont="1" applyFill="1" applyBorder="1" applyAlignment="1">
      <alignment horizontal="center" vertical="center" wrapText="1"/>
    </xf>
    <xf numFmtId="166" fontId="19" fillId="0" borderId="0" xfId="7" applyNumberFormat="1" applyFont="1" applyFill="1" applyBorder="1" applyAlignment="1">
      <alignment horizontal="center" vertical="center" wrapText="1"/>
    </xf>
    <xf numFmtId="0" fontId="10" fillId="0" borderId="4" xfId="0" applyFont="1" applyBorder="1" applyAlignment="1">
      <alignment horizontal="center" vertical="center" wrapText="1"/>
    </xf>
    <xf numFmtId="0" fontId="10" fillId="0" borderId="6" xfId="0" applyFont="1" applyBorder="1" applyAlignment="1">
      <alignment horizontal="center" vertical="center" wrapText="1"/>
    </xf>
    <xf numFmtId="0" fontId="6" fillId="0" borderId="0" xfId="0" applyFont="1" applyAlignment="1">
      <alignment horizontal="center" wrapText="1"/>
    </xf>
    <xf numFmtId="0" fontId="10" fillId="0" borderId="4" xfId="18" applyFont="1" applyBorder="1" applyAlignment="1">
      <alignment horizontal="center" vertical="center" wrapText="1"/>
    </xf>
    <xf numFmtId="0" fontId="10" fillId="0" borderId="6" xfId="18" applyFont="1" applyBorder="1" applyAlignment="1">
      <alignment horizontal="center" vertical="center" wrapText="1"/>
    </xf>
    <xf numFmtId="0" fontId="10" fillId="0" borderId="5" xfId="0" applyFont="1" applyBorder="1" applyAlignment="1">
      <alignment horizontal="center" vertical="center" wrapText="1"/>
    </xf>
    <xf numFmtId="167" fontId="10" fillId="0" borderId="4" xfId="0" applyNumberFormat="1" applyFont="1" applyBorder="1" applyAlignment="1">
      <alignment horizontal="center" vertical="center" wrapText="1"/>
    </xf>
    <xf numFmtId="167" fontId="10" fillId="0" borderId="6" xfId="0" applyNumberFormat="1" applyFont="1" applyBorder="1" applyAlignment="1">
      <alignment horizontal="center" vertical="center" wrapText="1"/>
    </xf>
    <xf numFmtId="166" fontId="10" fillId="0" borderId="4" xfId="5" applyNumberFormat="1" applyFont="1" applyFill="1" applyBorder="1" applyAlignment="1">
      <alignment horizontal="center" vertical="center" wrapText="1"/>
    </xf>
    <xf numFmtId="166" fontId="10" fillId="0" borderId="6" xfId="5" applyNumberFormat="1" applyFont="1" applyFill="1" applyBorder="1" applyAlignment="1">
      <alignment horizontal="center" vertical="center" wrapText="1"/>
    </xf>
    <xf numFmtId="166" fontId="10" fillId="0" borderId="4" xfId="7" applyNumberFormat="1" applyFont="1" applyFill="1" applyBorder="1" applyAlignment="1">
      <alignment horizontal="center" vertical="center" wrapText="1"/>
    </xf>
    <xf numFmtId="166" fontId="10" fillId="0" borderId="6" xfId="7" applyNumberFormat="1" applyFont="1" applyFill="1" applyBorder="1" applyAlignment="1">
      <alignment horizontal="center" vertical="center" wrapText="1"/>
    </xf>
    <xf numFmtId="43" fontId="10" fillId="0" borderId="4" xfId="8" applyFont="1" applyFill="1" applyBorder="1" applyAlignment="1">
      <alignment horizontal="center" vertical="center" wrapText="1"/>
    </xf>
    <xf numFmtId="43" fontId="10" fillId="0" borderId="6" xfId="8" applyFont="1" applyFill="1" applyBorder="1" applyAlignment="1">
      <alignment horizontal="center" vertical="center" wrapText="1"/>
    </xf>
    <xf numFmtId="166" fontId="10" fillId="0" borderId="4" xfId="1" applyNumberFormat="1" applyFont="1" applyFill="1" applyBorder="1" applyAlignment="1">
      <alignment horizontal="center" vertical="center" wrapText="1"/>
    </xf>
    <xf numFmtId="166" fontId="10" fillId="0" borderId="6" xfId="1" applyNumberFormat="1" applyFont="1" applyFill="1" applyBorder="1" applyAlignment="1">
      <alignment horizontal="center" vertical="center" wrapText="1"/>
    </xf>
  </cellXfs>
  <cellStyles count="29">
    <cellStyle name="Comma" xfId="1" builtinId="3"/>
    <cellStyle name="Comma 10" xfId="4" xr:uid="{00000000-0005-0000-0000-000031000000}"/>
    <cellStyle name="Comma 11 4" xfId="5" xr:uid="{00000000-0005-0000-0000-000032000000}"/>
    <cellStyle name="Comma 27" xfId="6" xr:uid="{00000000-0005-0000-0000-000033000000}"/>
    <cellStyle name="Comma 3 2 4" xfId="7" xr:uid="{00000000-0005-0000-0000-000034000000}"/>
    <cellStyle name="Comma 4 3 2" xfId="8" xr:uid="{00000000-0005-0000-0000-000035000000}"/>
    <cellStyle name="Hyperlink" xfId="3" builtinId="8"/>
    <cellStyle name="Hyperlink 3" xfId="9" xr:uid="{00000000-0005-0000-0000-000036000000}"/>
    <cellStyle name="Normal" xfId="0" builtinId="0"/>
    <cellStyle name="Normal 14" xfId="10" xr:uid="{00000000-0005-0000-0000-000037000000}"/>
    <cellStyle name="Normal 143" xfId="11" xr:uid="{00000000-0005-0000-0000-000038000000}"/>
    <cellStyle name="Normal 15" xfId="12" xr:uid="{00000000-0005-0000-0000-000039000000}"/>
    <cellStyle name="Normal 16" xfId="13" xr:uid="{00000000-0005-0000-0000-00003A000000}"/>
    <cellStyle name="Normal 197 2" xfId="14" xr:uid="{00000000-0005-0000-0000-00003B000000}"/>
    <cellStyle name="Normal 2" xfId="15" xr:uid="{00000000-0005-0000-0000-00003C000000}"/>
    <cellStyle name="Normal 2 2 2 2" xfId="16" xr:uid="{00000000-0005-0000-0000-00003D000000}"/>
    <cellStyle name="Normal 2 2 5 2 2" xfId="17" xr:uid="{00000000-0005-0000-0000-00003E000000}"/>
    <cellStyle name="Normal 3 2" xfId="18" xr:uid="{00000000-0005-0000-0000-00003F000000}"/>
    <cellStyle name="Normal 3 2 2 3" xfId="19" xr:uid="{00000000-0005-0000-0000-000040000000}"/>
    <cellStyle name="Normal 4" xfId="20" xr:uid="{00000000-0005-0000-0000-000041000000}"/>
    <cellStyle name="Normal 4 5 2" xfId="21" xr:uid="{00000000-0005-0000-0000-000042000000}"/>
    <cellStyle name="Normal 5" xfId="22" xr:uid="{00000000-0005-0000-0000-000043000000}"/>
    <cellStyle name="Normal 5 2" xfId="23" xr:uid="{00000000-0005-0000-0000-000044000000}"/>
    <cellStyle name="Normal 5 3" xfId="24" xr:uid="{00000000-0005-0000-0000-000045000000}"/>
    <cellStyle name="Normal 536 2 2 2 2" xfId="25" xr:uid="{00000000-0005-0000-0000-000046000000}"/>
    <cellStyle name="Normal 555" xfId="26" xr:uid="{00000000-0005-0000-0000-000047000000}"/>
    <cellStyle name="Normal_Busway quotation Cirputra" xfId="27" xr:uid="{00000000-0005-0000-0000-000048000000}"/>
    <cellStyle name="Normal_Sheet1" xfId="28" xr:uid="{00000000-0005-0000-0000-000049000000}"/>
    <cellStyle name="Percent" xfId="2" builtinId="5"/>
  </cellStyles>
  <dxfs count="1">
    <dxf>
      <fill>
        <patternFill patternType="solid">
          <bgColor rgb="FFFFC000"/>
        </patternFill>
      </fill>
    </dxf>
  </dxfs>
  <tableStyles count="0" defaultTableStyle="TableStyleMedium2" defaultPivotStyle="PivotStyleLight16"/>
  <colors>
    <mruColors>
      <color rgb="FFF7AD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304800" cy="301625"/>
    <xdr:sp macro="" textlink="">
      <xdr:nvSpPr>
        <xdr:cNvPr id="3" name="AutoShape 1" descr="blob:file:///92444d3b-ec6e-4e30-b18b-72897bfe5331">
          <a:extLst>
            <a:ext uri="{FF2B5EF4-FFF2-40B4-BE49-F238E27FC236}">
              <a16:creationId xmlns:a16="http://schemas.microsoft.com/office/drawing/2014/main" id="{00000000-0008-0000-0000-000003000000}"/>
            </a:ext>
          </a:extLst>
        </xdr:cNvPr>
        <xdr:cNvSpPr>
          <a:spLocks noChangeAspect="1" noChangeArrowheads="1"/>
        </xdr:cNvSpPr>
      </xdr:nvSpPr>
      <xdr:spPr>
        <a:xfrm>
          <a:off x="618490" y="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123265</xdr:colOff>
      <xdr:row>0</xdr:row>
      <xdr:rowOff>0</xdr:rowOff>
    </xdr:from>
    <xdr:to>
      <xdr:col>6</xdr:col>
      <xdr:colOff>649941</xdr:colOff>
      <xdr:row>6</xdr:row>
      <xdr:rowOff>245633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90" y="0"/>
          <a:ext cx="9495790" cy="14262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1812599</xdr:colOff>
      <xdr:row>4</xdr:row>
      <xdr:rowOff>57149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47625"/>
          <a:ext cx="2211070" cy="6470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1808789</xdr:colOff>
      <xdr:row>4</xdr:row>
      <xdr:rowOff>60959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47625"/>
          <a:ext cx="2207260" cy="650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5\DataConstruc\25.QAQC\04%20BBNT\00%20BBNT%20MAU\06%20Danh%20muc%20BB%20nghiem%20thu.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7-Mr.%20Jimmy\6-City%20Garden\4-Form%20for%20inspection\2-Barrette%20pile\4-Du%20Lieu%20Xay%20Dung\7-Forms\formnghiemthuquanlichatluong____\Mr.%20Hien%20QC-finish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253\Coteccons\Cong%20trinh\004%20Metropolis\9.%20Nghiem%20thu\Thep\003%20NThu%20VL%20THEP%20XD%20vao%20cong%20truong%20REV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7919;%20li&#7879;u%20m&#225;y%20c&#7911;\DA%20H&#7842;I%20PH&#210;NG\Qu&#7843;n%20l&#253;%20v&#7853;t%20t&#432;\file-excel-quan-ly-vat-tu-cong-trinh-vieclamvui.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Request%20for%20%20inspection\Bored%20pile\4-Du%20Lieu%20Xay%20Dung\7-Forms\formnghiemthuquanlichatluong____\Mr.%20Hien%20QC-finish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hihih\Desktop\B&#7842;NG%20T&#205;NH%20GI&#193;%20SWIND%20%20chu&#7849;n%20202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Request%20for%20%20inspection\Bored%20pile\4-Du%20Lieu%20Xay%20Dung\7-Forms\formnghiemthuquanlichatluong____\QC-Superstructur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onXuatBB"/>
      <sheetName val="Data"/>
      <sheetName val="ListPrint"/>
      <sheetName val="DanhmucBB"/>
      <sheetName val="YC"/>
      <sheetName val="NBCThep"/>
      <sheetName val="NTCThep"/>
      <sheetName val="NBVKhuon"/>
      <sheetName val="NTVKhuon"/>
      <sheetName val="NBCTVKhuon"/>
      <sheetName val="NTCTVKhuon"/>
      <sheetName val="NBCTVKhuonDUL"/>
      <sheetName val="NTCTVKhuonDUL"/>
      <sheetName val="NBSan"/>
      <sheetName val="NTSan"/>
      <sheetName val="NBCotVach"/>
      <sheetName val="NTCotVach"/>
      <sheetName val="NBBomvuaDUL"/>
      <sheetName val="NTBomVuaDul"/>
      <sheetName val="PTD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
      <sheetName val="RC"/>
      <sheetName val="Input"/>
      <sheetName val="DL"/>
      <sheetName val="RI"/>
      <sheetName val="BB1"/>
      <sheetName val="BB"/>
      <sheetName val="CR"/>
      <sheetName val="PC"/>
      <sheetName val="MR"/>
      <sheetName val="bw"/>
      <sheetName val="pw"/>
      <sheetName val="pp"/>
      <sheetName val="ce"/>
      <sheetName val="wp"/>
      <sheetName val="sf"/>
      <sheetName val="tw"/>
      <sheetName val="tww"/>
      <sheetName val="insp"/>
      <sheetName val="cts"/>
      <sheetName val="ctss"/>
      <sheetName val="glaze"/>
      <sheetName val="SF11"/>
      <sheetName val="ST1"/>
      <sheetName val="BT1"/>
      <sheetName val="BP1"/>
      <sheetName val="DI1"/>
      <sheetName val="RCE"/>
      <sheetName val="RP"/>
      <sheetName val="RTT"/>
      <sheetName val="RT"/>
      <sheetName val="RB"/>
      <sheetName val="WR"/>
      <sheetName val="TR1a"/>
      <sheetName val="TR1"/>
      <sheetName val="FTR1a"/>
      <sheetName val="FTR1"/>
      <sheetName val="ETR1a"/>
      <sheetName val="ETR1"/>
      <sheetName val="ETRE"/>
      <sheetName val="WIP1"/>
      <sheetName val="WP1"/>
      <sheetName val="TW1a"/>
      <sheetName val="TWW1"/>
      <sheetName val="TW1"/>
      <sheetName val="SF1a"/>
      <sheetName val="SF1"/>
      <sheetName val="CI1a"/>
      <sheetName val="CI1"/>
      <sheetName val="TWP1a"/>
      <sheetName val="TWP1"/>
      <sheetName val="PW1a"/>
      <sheetName val="PW1"/>
      <sheetName val="BW1a"/>
      <sheetName val="BW1"/>
      <sheetName val="BPTC (2 HẦM)"/>
      <sheetName val="RAT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YC KetQua"/>
      <sheetName val="YEU CAU"/>
      <sheetName val="NTCVXD"/>
      <sheetName val="NTNBCVXD"/>
      <sheetName val="XNKL"/>
      <sheetName val="INPUT"/>
      <sheetName val="ChiTietThepNhapVeCT"/>
      <sheetName val="Tem mau"/>
      <sheetName val="LayMauHT"/>
      <sheetName val="NTCVXD NB"/>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uongdan"/>
      <sheetName val="Danh mục"/>
      <sheetName val="NhapXuat VatTu"/>
      <sheetName val="Thekho"/>
      <sheetName val="Bảng NXT"/>
      <sheetName val="BAOCAO"/>
      <sheetName val="PXK"/>
      <sheetName val="PNK"/>
      <sheetName val="NGHIEMTHU"/>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
      <sheetName val="RC"/>
      <sheetName val="Input"/>
      <sheetName val="DL"/>
      <sheetName val="RI"/>
      <sheetName val="BB1"/>
      <sheetName val="BB"/>
      <sheetName val="CR"/>
      <sheetName val="PC"/>
      <sheetName val="MR"/>
      <sheetName val="bw"/>
      <sheetName val="pw"/>
      <sheetName val="pp"/>
      <sheetName val="ce"/>
      <sheetName val="wp"/>
      <sheetName val="sf"/>
      <sheetName val="tw"/>
      <sheetName val="tww"/>
      <sheetName val="insp"/>
      <sheetName val="cts"/>
      <sheetName val="ctss"/>
      <sheetName val="glaze"/>
      <sheetName val="SF11"/>
      <sheetName val="ST1"/>
      <sheetName val="BT1"/>
      <sheetName val="BP1"/>
      <sheetName val="DI1"/>
      <sheetName val="RCE"/>
      <sheetName val="RP"/>
      <sheetName val="RTT"/>
      <sheetName val="RT"/>
      <sheetName val="RB"/>
      <sheetName val="WR"/>
      <sheetName val="TR1a"/>
      <sheetName val="TR1"/>
      <sheetName val="FTR1a"/>
      <sheetName val="FTR1"/>
      <sheetName val="ETR1a"/>
      <sheetName val="ETR1"/>
      <sheetName val="ETRE"/>
      <sheetName val="WIP1"/>
      <sheetName val="WP1"/>
      <sheetName val="TW1a"/>
      <sheetName val="TWW1"/>
      <sheetName val="TW1"/>
      <sheetName val="SF1a"/>
      <sheetName val="SF1"/>
      <sheetName val="CI1a"/>
      <sheetName val="CI1"/>
      <sheetName val="TWP1a"/>
      <sheetName val="TWP1"/>
      <sheetName val="PW1a"/>
      <sheetName val="PW1"/>
      <sheetName val="BW1a"/>
      <sheetName val="BW1"/>
      <sheetName val="database"/>
      <sheetName val="inputcua"/>
      <sheetName val="inputslab"/>
      <sheetName val="THEPHINH"/>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G VAN "/>
      <sheetName val="Sheet3"/>
      <sheetName val="BG Cửa "/>
      <sheetName val="BG Cửa  (rút gọn)"/>
      <sheetName val="BG PKV"/>
      <sheetName val="Sheet2"/>
      <sheetName val="TINH VT PK TRON"/>
      <sheetName val="BG PKT "/>
      <sheetName val="Đơn giá theo m2"/>
      <sheetName val="BG TIEU AM"/>
      <sheetName val="BG canvas, ventcap"/>
      <sheetName val="Vat tu tôn"/>
      <sheetName val="VT van"/>
      <sheetName val="VT tiêu âm"/>
      <sheetName val="BG VAN CU"/>
      <sheetName val="Sheet1"/>
      <sheetName val="bảo ô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
      <sheetName val="Input"/>
      <sheetName val="DL"/>
      <sheetName val="BB1"/>
      <sheetName val="BB"/>
      <sheetName val="Sheet9"/>
      <sheetName val="RI"/>
      <sheetName val="B1"/>
      <sheetName val="BI1"/>
      <sheetName val="T1"/>
      <sheetName val="TI1"/>
      <sheetName val="E1"/>
      <sheetName val="EI1"/>
      <sheetName val="EX1"/>
      <sheetName val="EXI1"/>
      <sheetName val="P1b"/>
      <sheetName val="P1a"/>
      <sheetName val="PI1a"/>
      <sheetName val="PI1b"/>
      <sheetName val="P2"/>
      <sheetName val="SS"/>
      <sheetName val="WIP1"/>
      <sheetName val="WP1"/>
      <sheetName val="S1"/>
      <sheetName val="S2"/>
      <sheetName val="TR"/>
      <sheetName val="CR"/>
      <sheetName val="PC"/>
      <sheetName val="WR"/>
      <sheetName val="MR"/>
      <sheetName val="lc"/>
      <sheetName val="ex"/>
      <sheetName val="tendon"/>
      <sheetName val="sc"/>
      <sheetName val="wp"/>
      <sheetName val="mau be tong"/>
      <sheetName val="as"/>
      <sheetName val="ss1"/>
      <sheetName val="at"/>
      <sheetName val="tendonnn"/>
      <sheetName val="Sheet7"/>
      <sheetName val="Sheet8"/>
      <sheetName val="Sheet6"/>
      <sheetName val="Inspection"/>
      <sheetName val="cr3"/>
      <sheetName val="CR2"/>
      <sheetName val="Sheet3"/>
      <sheetName val="tran"/>
      <sheetName val="CR1"/>
      <sheetName val="Sheet1"/>
      <sheetName val="Parem"/>
      <sheetName val="Sbq1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380"/>
  <sheetViews>
    <sheetView topLeftCell="A160" zoomScale="85" zoomScaleNormal="85" workbookViewId="0">
      <selection activeCell="C30" sqref="C30"/>
    </sheetView>
  </sheetViews>
  <sheetFormatPr defaultColWidth="8.81640625" defaultRowHeight="15.5"/>
  <cols>
    <col min="1" max="1" width="8.81640625" style="130"/>
    <col min="2" max="2" width="42.7265625" style="131" customWidth="1"/>
    <col min="3" max="3" width="32.81640625" style="131" customWidth="1"/>
    <col min="4" max="4" width="18.26953125" style="131" customWidth="1"/>
    <col min="5" max="5" width="16" style="132" customWidth="1"/>
    <col min="6" max="6" width="9.7265625" style="132" customWidth="1"/>
    <col min="7" max="7" width="19.81640625" style="132" customWidth="1"/>
    <col min="8" max="8" width="16.26953125" style="132" customWidth="1"/>
    <col min="9" max="9" width="19.54296875" style="132" customWidth="1"/>
    <col min="10" max="10" width="24.54296875" style="132" customWidth="1"/>
    <col min="11" max="16384" width="8.81640625" style="132"/>
  </cols>
  <sheetData>
    <row r="1" spans="1:10">
      <c r="A1" s="133"/>
      <c r="B1" s="285"/>
      <c r="C1" s="285"/>
      <c r="D1" s="285"/>
      <c r="E1" s="285"/>
      <c r="F1" s="285"/>
      <c r="G1" s="285"/>
      <c r="H1" s="134"/>
      <c r="I1" s="134"/>
      <c r="J1" s="223"/>
    </row>
    <row r="2" spans="1:10">
      <c r="A2" s="133"/>
      <c r="B2" s="286"/>
      <c r="C2" s="286"/>
      <c r="D2" s="286"/>
      <c r="E2" s="286"/>
      <c r="F2" s="286"/>
      <c r="G2" s="286"/>
      <c r="H2" s="135"/>
      <c r="I2" s="135"/>
      <c r="J2" s="223"/>
    </row>
    <row r="3" spans="1:10">
      <c r="A3" s="133"/>
      <c r="B3" s="286"/>
      <c r="C3" s="286"/>
      <c r="D3" s="286"/>
      <c r="E3" s="286"/>
      <c r="F3" s="286"/>
      <c r="G3" s="286"/>
      <c r="H3" s="135"/>
      <c r="I3" s="135"/>
      <c r="J3" s="223"/>
    </row>
    <row r="4" spans="1:10">
      <c r="A4" s="133"/>
      <c r="B4" s="136"/>
      <c r="C4" s="136"/>
      <c r="D4" s="136"/>
      <c r="E4" s="135"/>
      <c r="F4" s="135"/>
      <c r="G4" s="137"/>
      <c r="H4" s="137"/>
      <c r="I4" s="137"/>
      <c r="J4" s="223"/>
    </row>
    <row r="5" spans="1:10">
      <c r="A5" s="133"/>
      <c r="B5" s="136"/>
      <c r="C5" s="136"/>
      <c r="D5" s="136"/>
      <c r="E5" s="135"/>
      <c r="F5" s="135"/>
      <c r="G5" s="137"/>
      <c r="H5" s="137"/>
      <c r="I5" s="137"/>
      <c r="J5" s="223"/>
    </row>
    <row r="6" spans="1:10">
      <c r="A6" s="287" t="s">
        <v>0</v>
      </c>
      <c r="B6" s="287"/>
      <c r="C6" s="287"/>
      <c r="D6" s="287"/>
      <c r="E6" s="287"/>
      <c r="F6" s="287"/>
      <c r="G6" s="287"/>
      <c r="H6" s="138"/>
      <c r="I6" s="138"/>
      <c r="J6" s="223"/>
    </row>
    <row r="7" spans="1:10" ht="20">
      <c r="A7" s="288" t="s">
        <v>1</v>
      </c>
      <c r="B7" s="288"/>
      <c r="C7" s="288"/>
      <c r="D7" s="289"/>
      <c r="E7" s="289"/>
      <c r="F7" s="289"/>
      <c r="G7" s="289"/>
      <c r="H7" s="139"/>
      <c r="I7" s="139"/>
      <c r="J7" s="223"/>
    </row>
    <row r="8" spans="1:10">
      <c r="A8" s="290" t="s">
        <v>2</v>
      </c>
      <c r="B8" s="291"/>
      <c r="C8" s="141"/>
      <c r="D8" s="142" t="s">
        <v>3</v>
      </c>
      <c r="E8" s="140"/>
      <c r="F8" s="140"/>
      <c r="G8" s="143"/>
      <c r="H8" s="143"/>
      <c r="I8" s="143"/>
      <c r="J8" s="224"/>
    </row>
    <row r="9" spans="1:10">
      <c r="A9" s="292" t="s">
        <v>4</v>
      </c>
      <c r="B9" s="286"/>
      <c r="C9" s="145"/>
      <c r="D9" s="144" t="s">
        <v>5</v>
      </c>
      <c r="E9" s="135"/>
      <c r="F9" s="135"/>
      <c r="G9" s="146"/>
      <c r="H9" s="146"/>
      <c r="I9" s="146"/>
      <c r="J9" s="225"/>
    </row>
    <row r="10" spans="1:10">
      <c r="A10" s="292" t="s">
        <v>6</v>
      </c>
      <c r="B10" s="286"/>
      <c r="C10" s="145"/>
      <c r="D10" s="144" t="s">
        <v>7</v>
      </c>
      <c r="E10" s="135"/>
      <c r="F10" s="135"/>
      <c r="G10" s="137"/>
      <c r="H10" s="137"/>
      <c r="I10" s="137"/>
      <c r="J10" s="225"/>
    </row>
    <row r="11" spans="1:10">
      <c r="A11" s="144" t="s">
        <v>8</v>
      </c>
      <c r="B11" s="135"/>
      <c r="C11" s="145"/>
      <c r="D11" s="147" t="s">
        <v>9</v>
      </c>
      <c r="E11" s="135"/>
      <c r="F11" s="135"/>
      <c r="G11" s="137"/>
      <c r="H11" s="137"/>
      <c r="I11" s="137"/>
      <c r="J11" s="225"/>
    </row>
    <row r="12" spans="1:10">
      <c r="A12" s="144" t="s">
        <v>10</v>
      </c>
      <c r="B12" s="135"/>
      <c r="C12" s="145"/>
      <c r="D12" s="144" t="s">
        <v>11</v>
      </c>
      <c r="E12" s="135"/>
      <c r="F12" s="135"/>
      <c r="G12" s="137"/>
      <c r="H12" s="137"/>
      <c r="I12" s="137"/>
      <c r="J12" s="225"/>
    </row>
    <row r="13" spans="1:10">
      <c r="A13" s="144" t="s">
        <v>12</v>
      </c>
      <c r="B13" s="135"/>
      <c r="C13" s="145"/>
      <c r="D13" s="144" t="s">
        <v>13</v>
      </c>
      <c r="E13" s="135"/>
      <c r="F13" s="135"/>
      <c r="G13" s="137"/>
      <c r="H13" s="137"/>
      <c r="I13" s="137"/>
      <c r="J13" s="225"/>
    </row>
    <row r="14" spans="1:10">
      <c r="A14" s="293"/>
      <c r="B14" s="294"/>
      <c r="C14" s="149"/>
      <c r="D14" s="150"/>
      <c r="E14" s="148"/>
      <c r="F14" s="148"/>
      <c r="G14" s="151"/>
      <c r="H14" s="151"/>
      <c r="I14" s="151"/>
      <c r="J14" s="226"/>
    </row>
    <row r="15" spans="1:10">
      <c r="A15" s="129" t="s">
        <v>14</v>
      </c>
      <c r="B15" s="152"/>
      <c r="C15" s="152"/>
      <c r="D15" s="152"/>
      <c r="E15" s="153"/>
      <c r="F15" s="153"/>
      <c r="G15" s="154"/>
      <c r="H15" s="154"/>
      <c r="I15" s="154"/>
      <c r="J15" s="223"/>
    </row>
    <row r="16" spans="1:10">
      <c r="A16" s="129" t="s">
        <v>15</v>
      </c>
      <c r="B16" s="152"/>
      <c r="C16" s="152"/>
      <c r="D16" s="152"/>
      <c r="E16" s="153"/>
      <c r="F16" s="153"/>
      <c r="G16" s="154"/>
      <c r="H16" s="154"/>
      <c r="I16" s="154"/>
      <c r="J16" s="223"/>
    </row>
    <row r="17" spans="1:10" ht="17.5">
      <c r="A17" s="155" t="s">
        <v>16</v>
      </c>
      <c r="B17" s="156"/>
      <c r="C17" s="157"/>
      <c r="D17" s="157"/>
      <c r="E17" s="158"/>
      <c r="F17" s="158"/>
      <c r="G17" s="159"/>
      <c r="H17" s="160"/>
      <c r="I17" s="160"/>
      <c r="J17" s="227"/>
    </row>
    <row r="18" spans="1:10" ht="17.5">
      <c r="A18" s="155" t="s">
        <v>17</v>
      </c>
      <c r="B18" s="156"/>
      <c r="C18" s="157"/>
      <c r="D18" s="157"/>
      <c r="E18" s="158"/>
      <c r="F18" s="158"/>
      <c r="G18" s="159"/>
      <c r="H18" s="160"/>
      <c r="I18" s="160"/>
      <c r="J18" s="227"/>
    </row>
    <row r="19" spans="1:10" ht="18">
      <c r="A19" s="161" t="s">
        <v>18</v>
      </c>
      <c r="B19" s="162"/>
      <c r="C19" s="157"/>
      <c r="D19" s="157"/>
      <c r="E19" s="158"/>
      <c r="F19" s="158"/>
      <c r="G19" s="159"/>
      <c r="H19" s="160"/>
      <c r="I19" s="160"/>
      <c r="J19" s="227"/>
    </row>
    <row r="20" spans="1:10" ht="17.5">
      <c r="A20" s="163" t="s">
        <v>19</v>
      </c>
      <c r="B20" s="156"/>
      <c r="C20" s="157"/>
      <c r="D20" s="157"/>
      <c r="E20" s="158"/>
      <c r="F20" s="158"/>
      <c r="G20" s="159"/>
      <c r="H20" s="160"/>
      <c r="I20" s="160"/>
      <c r="J20" s="227"/>
    </row>
    <row r="21" spans="1:10">
      <c r="A21" s="295"/>
      <c r="B21" s="296"/>
      <c r="C21" s="296"/>
      <c r="D21" s="296"/>
      <c r="E21" s="296"/>
      <c r="F21" s="296"/>
      <c r="G21" s="296"/>
      <c r="H21" s="164"/>
      <c r="I21" s="164"/>
      <c r="J21" s="223"/>
    </row>
    <row r="22" spans="1:10" ht="30">
      <c r="A22" s="165" t="s">
        <v>20</v>
      </c>
      <c r="B22" s="166" t="s">
        <v>21</v>
      </c>
      <c r="C22" s="166" t="s">
        <v>22</v>
      </c>
      <c r="D22" s="166" t="s">
        <v>23</v>
      </c>
      <c r="E22" s="166" t="s">
        <v>24</v>
      </c>
      <c r="F22" s="167" t="s">
        <v>25</v>
      </c>
      <c r="G22" s="168" t="s">
        <v>26</v>
      </c>
      <c r="H22" s="168" t="s">
        <v>27</v>
      </c>
      <c r="I22" s="168" t="s">
        <v>28</v>
      </c>
      <c r="J22" s="165" t="s">
        <v>29</v>
      </c>
    </row>
    <row r="23" spans="1:10">
      <c r="A23" s="169" t="s">
        <v>30</v>
      </c>
      <c r="B23" s="170" t="s">
        <v>31</v>
      </c>
      <c r="C23" s="171"/>
      <c r="D23" s="171"/>
      <c r="E23" s="171"/>
      <c r="F23" s="169"/>
      <c r="G23" s="172"/>
      <c r="H23" s="173"/>
      <c r="I23" s="173"/>
      <c r="J23" s="228"/>
    </row>
    <row r="24" spans="1:10" ht="31">
      <c r="A24" s="174">
        <v>1</v>
      </c>
      <c r="B24" s="175" t="s">
        <v>32</v>
      </c>
      <c r="C24" s="176" t="s">
        <v>33</v>
      </c>
      <c r="D24" s="177" t="s">
        <v>34</v>
      </c>
      <c r="E24" s="178" t="s">
        <v>35</v>
      </c>
      <c r="F24" s="179" t="s">
        <v>36</v>
      </c>
      <c r="G24" s="180">
        <v>5757.0029999999997</v>
      </c>
      <c r="H24" s="181"/>
      <c r="I24" s="181"/>
      <c r="J24" s="229"/>
    </row>
    <row r="25" spans="1:10" ht="31">
      <c r="A25" s="174">
        <v>2</v>
      </c>
      <c r="B25" s="175" t="s">
        <v>37</v>
      </c>
      <c r="C25" s="176" t="s">
        <v>38</v>
      </c>
      <c r="D25" s="177" t="s">
        <v>34</v>
      </c>
      <c r="E25" s="178" t="s">
        <v>35</v>
      </c>
      <c r="F25" s="179" t="s">
        <v>36</v>
      </c>
      <c r="G25" s="180">
        <v>2103.6067499999999</v>
      </c>
      <c r="H25" s="182"/>
      <c r="I25" s="182"/>
      <c r="J25" s="230"/>
    </row>
    <row r="26" spans="1:10" ht="31">
      <c r="A26" s="174">
        <v>3</v>
      </c>
      <c r="B26" s="175" t="s">
        <v>39</v>
      </c>
      <c r="C26" s="176" t="s">
        <v>40</v>
      </c>
      <c r="D26" s="177" t="s">
        <v>34</v>
      </c>
      <c r="E26" s="178" t="s">
        <v>35</v>
      </c>
      <c r="F26" s="179" t="s">
        <v>36</v>
      </c>
      <c r="G26" s="180">
        <v>1568.0174999999999</v>
      </c>
      <c r="H26" s="183"/>
      <c r="I26" s="183"/>
      <c r="J26" s="231"/>
    </row>
    <row r="27" spans="1:10">
      <c r="A27" s="169" t="s">
        <v>41</v>
      </c>
      <c r="B27" s="170" t="s">
        <v>42</v>
      </c>
      <c r="C27" s="184"/>
      <c r="D27" s="185"/>
      <c r="E27" s="185"/>
      <c r="F27" s="169"/>
      <c r="G27" s="172"/>
      <c r="H27" s="183"/>
      <c r="I27" s="183"/>
      <c r="J27" s="231"/>
    </row>
    <row r="28" spans="1:10" ht="31">
      <c r="A28" s="174">
        <v>1</v>
      </c>
      <c r="B28" s="175" t="s">
        <v>32</v>
      </c>
      <c r="C28" s="186" t="s">
        <v>33</v>
      </c>
      <c r="D28" s="177" t="s">
        <v>34</v>
      </c>
      <c r="E28" s="178" t="s">
        <v>35</v>
      </c>
      <c r="F28" s="179" t="s">
        <v>36</v>
      </c>
      <c r="G28" s="180">
        <v>3836.0875000000001</v>
      </c>
      <c r="H28" s="187"/>
      <c r="I28" s="187"/>
      <c r="J28" s="231"/>
    </row>
    <row r="29" spans="1:10" ht="31">
      <c r="A29" s="174">
        <v>2</v>
      </c>
      <c r="B29" s="175" t="s">
        <v>37</v>
      </c>
      <c r="C29" s="186" t="s">
        <v>38</v>
      </c>
      <c r="D29" s="177" t="s">
        <v>34</v>
      </c>
      <c r="E29" s="178" t="s">
        <v>35</v>
      </c>
      <c r="F29" s="179" t="s">
        <v>36</v>
      </c>
      <c r="G29" s="180">
        <v>347.93</v>
      </c>
      <c r="H29" s="187"/>
      <c r="I29" s="187"/>
      <c r="J29" s="231"/>
    </row>
    <row r="30" spans="1:10" ht="31">
      <c r="A30" s="174"/>
      <c r="B30" s="175" t="s">
        <v>39</v>
      </c>
      <c r="C30" s="186" t="s">
        <v>40</v>
      </c>
      <c r="D30" s="177" t="s">
        <v>34</v>
      </c>
      <c r="E30" s="178" t="s">
        <v>35</v>
      </c>
      <c r="F30" s="179"/>
      <c r="G30" s="180">
        <v>750.63750000000005</v>
      </c>
      <c r="H30" s="187"/>
      <c r="I30" s="187"/>
      <c r="J30" s="231"/>
    </row>
    <row r="31" spans="1:10">
      <c r="A31" s="169" t="s">
        <v>43</v>
      </c>
      <c r="B31" s="170" t="s">
        <v>44</v>
      </c>
      <c r="C31" s="184"/>
      <c r="D31" s="185"/>
      <c r="E31" s="185"/>
      <c r="F31" s="169"/>
      <c r="G31" s="172"/>
      <c r="H31" s="187"/>
      <c r="I31" s="187"/>
      <c r="J31" s="231"/>
    </row>
    <row r="32" spans="1:10" ht="31">
      <c r="A32" s="174">
        <v>1</v>
      </c>
      <c r="B32" s="175" t="s">
        <v>45</v>
      </c>
      <c r="C32" s="188" t="s">
        <v>46</v>
      </c>
      <c r="D32" s="177" t="s">
        <v>34</v>
      </c>
      <c r="E32" s="178" t="s">
        <v>35</v>
      </c>
      <c r="F32" s="179" t="s">
        <v>36</v>
      </c>
      <c r="G32" s="180">
        <v>189.595</v>
      </c>
      <c r="H32" s="187"/>
      <c r="I32" s="187"/>
      <c r="J32" s="231"/>
    </row>
    <row r="33" spans="1:10">
      <c r="A33" s="169">
        <v>2</v>
      </c>
      <c r="B33" s="189" t="s">
        <v>47</v>
      </c>
      <c r="C33" s="184"/>
      <c r="D33" s="185"/>
      <c r="E33" s="185"/>
      <c r="F33" s="169"/>
      <c r="G33" s="172"/>
      <c r="H33" s="187"/>
      <c r="I33" s="187"/>
      <c r="J33" s="231"/>
    </row>
    <row r="34" spans="1:10">
      <c r="A34" s="190"/>
      <c r="B34" s="191" t="s">
        <v>48</v>
      </c>
      <c r="C34" s="190"/>
      <c r="D34" s="192"/>
      <c r="E34" s="193"/>
      <c r="F34" s="190"/>
      <c r="G34" s="194"/>
      <c r="H34" s="187"/>
      <c r="I34" s="187"/>
      <c r="J34" s="231"/>
    </row>
    <row r="35" spans="1:10" ht="31">
      <c r="A35" s="188">
        <v>1</v>
      </c>
      <c r="B35" s="175" t="s">
        <v>32</v>
      </c>
      <c r="C35" s="186" t="s">
        <v>33</v>
      </c>
      <c r="D35" s="177" t="s">
        <v>34</v>
      </c>
      <c r="E35" s="178" t="s">
        <v>35</v>
      </c>
      <c r="F35" s="188" t="s">
        <v>36</v>
      </c>
      <c r="G35" s="195">
        <v>2180.8377500000001</v>
      </c>
      <c r="H35" s="187"/>
      <c r="I35" s="187"/>
      <c r="J35" s="231"/>
    </row>
    <row r="36" spans="1:10" ht="31">
      <c r="A36" s="188">
        <v>2</v>
      </c>
      <c r="B36" s="175" t="s">
        <v>37</v>
      </c>
      <c r="C36" s="186" t="s">
        <v>38</v>
      </c>
      <c r="D36" s="177" t="s">
        <v>34</v>
      </c>
      <c r="E36" s="178" t="s">
        <v>35</v>
      </c>
      <c r="F36" s="188" t="s">
        <v>36</v>
      </c>
      <c r="G36" s="195">
        <v>1705.355</v>
      </c>
      <c r="H36" s="187"/>
      <c r="I36" s="187"/>
      <c r="J36" s="231"/>
    </row>
    <row r="37" spans="1:10" ht="31">
      <c r="A37" s="188">
        <v>3</v>
      </c>
      <c r="B37" s="175" t="s">
        <v>49</v>
      </c>
      <c r="C37" s="186" t="s">
        <v>50</v>
      </c>
      <c r="D37" s="177" t="s">
        <v>34</v>
      </c>
      <c r="E37" s="178" t="s">
        <v>35</v>
      </c>
      <c r="F37" s="188" t="s">
        <v>36</v>
      </c>
      <c r="G37" s="195">
        <v>1058.4100000000001</v>
      </c>
      <c r="H37" s="187"/>
      <c r="I37" s="187"/>
      <c r="J37" s="231"/>
    </row>
    <row r="38" spans="1:10">
      <c r="A38" s="169" t="s">
        <v>51</v>
      </c>
      <c r="B38" s="170" t="s">
        <v>31</v>
      </c>
      <c r="C38" s="196"/>
      <c r="D38" s="197"/>
      <c r="E38" s="197"/>
      <c r="F38" s="169"/>
      <c r="G38" s="172"/>
      <c r="H38" s="187"/>
      <c r="I38" s="187"/>
      <c r="J38" s="231"/>
    </row>
    <row r="39" spans="1:10" ht="31">
      <c r="A39" s="174">
        <v>1</v>
      </c>
      <c r="B39" s="175" t="s">
        <v>32</v>
      </c>
      <c r="C39" s="186" t="s">
        <v>33</v>
      </c>
      <c r="D39" s="177" t="s">
        <v>34</v>
      </c>
      <c r="E39" s="178" t="s">
        <v>35</v>
      </c>
      <c r="F39" s="179" t="s">
        <v>36</v>
      </c>
      <c r="G39" s="180">
        <v>434.5</v>
      </c>
      <c r="H39" s="187"/>
      <c r="I39" s="187"/>
      <c r="J39" s="231"/>
    </row>
    <row r="40" spans="1:10" ht="31">
      <c r="A40" s="174">
        <v>2</v>
      </c>
      <c r="B40" s="175" t="s">
        <v>37</v>
      </c>
      <c r="C40" s="186" t="s">
        <v>38</v>
      </c>
      <c r="D40" s="177" t="s">
        <v>34</v>
      </c>
      <c r="E40" s="178" t="s">
        <v>35</v>
      </c>
      <c r="F40" s="179" t="s">
        <v>36</v>
      </c>
      <c r="G40" s="180">
        <v>682.18</v>
      </c>
      <c r="H40" s="187"/>
      <c r="I40" s="187"/>
      <c r="J40" s="231"/>
    </row>
    <row r="41" spans="1:10" ht="77.5">
      <c r="A41" s="174">
        <v>3</v>
      </c>
      <c r="B41" s="175" t="s">
        <v>52</v>
      </c>
      <c r="C41" s="186" t="s">
        <v>53</v>
      </c>
      <c r="D41" s="198" t="s">
        <v>54</v>
      </c>
      <c r="E41" s="178" t="s">
        <v>35</v>
      </c>
      <c r="F41" s="179" t="s">
        <v>36</v>
      </c>
      <c r="G41" s="180">
        <v>339.41</v>
      </c>
      <c r="H41" s="187"/>
      <c r="I41" s="187"/>
      <c r="J41" s="231"/>
    </row>
    <row r="42" spans="1:10" ht="77.5">
      <c r="A42" s="174">
        <v>4</v>
      </c>
      <c r="B42" s="175" t="s">
        <v>52</v>
      </c>
      <c r="C42" s="186" t="s">
        <v>53</v>
      </c>
      <c r="D42" s="198" t="s">
        <v>54</v>
      </c>
      <c r="E42" s="178" t="s">
        <v>35</v>
      </c>
      <c r="F42" s="179" t="s">
        <v>36</v>
      </c>
      <c r="G42" s="180">
        <v>147.84</v>
      </c>
      <c r="H42" s="187"/>
      <c r="I42" s="187"/>
      <c r="J42" s="231"/>
    </row>
    <row r="43" spans="1:10" ht="77.5">
      <c r="A43" s="174">
        <v>5</v>
      </c>
      <c r="B43" s="199" t="s">
        <v>55</v>
      </c>
      <c r="C43" s="186" t="s">
        <v>53</v>
      </c>
      <c r="D43" s="198" t="s">
        <v>54</v>
      </c>
      <c r="E43" s="178" t="s">
        <v>35</v>
      </c>
      <c r="F43" s="179" t="s">
        <v>36</v>
      </c>
      <c r="G43" s="180">
        <v>25.98</v>
      </c>
      <c r="H43" s="187"/>
      <c r="I43" s="187"/>
      <c r="J43" s="231"/>
    </row>
    <row r="44" spans="1:10">
      <c r="A44" s="169" t="s">
        <v>56</v>
      </c>
      <c r="B44" s="170" t="s">
        <v>31</v>
      </c>
      <c r="C44" s="184"/>
      <c r="D44" s="185"/>
      <c r="E44" s="185"/>
      <c r="F44" s="169"/>
      <c r="G44" s="172"/>
      <c r="H44" s="187"/>
      <c r="I44" s="187"/>
      <c r="J44" s="231"/>
    </row>
    <row r="45" spans="1:10" ht="31">
      <c r="A45" s="178">
        <v>1</v>
      </c>
      <c r="B45" s="175" t="s">
        <v>32</v>
      </c>
      <c r="C45" s="188" t="s">
        <v>33</v>
      </c>
      <c r="D45" s="177" t="s">
        <v>34</v>
      </c>
      <c r="E45" s="178" t="s">
        <v>35</v>
      </c>
      <c r="F45" s="179" t="s">
        <v>36</v>
      </c>
      <c r="G45" s="180">
        <v>1081.915</v>
      </c>
      <c r="H45" s="187"/>
      <c r="I45" s="187"/>
      <c r="J45" s="231"/>
    </row>
    <row r="46" spans="1:10" ht="31">
      <c r="A46" s="178">
        <v>2</v>
      </c>
      <c r="B46" s="175" t="s">
        <v>37</v>
      </c>
      <c r="C46" s="188" t="s">
        <v>38</v>
      </c>
      <c r="D46" s="177" t="s">
        <v>34</v>
      </c>
      <c r="E46" s="178" t="s">
        <v>35</v>
      </c>
      <c r="F46" s="179" t="s">
        <v>36</v>
      </c>
      <c r="G46" s="180">
        <v>1083.83</v>
      </c>
      <c r="H46" s="187"/>
      <c r="I46" s="187"/>
      <c r="J46" s="231"/>
    </row>
    <row r="47" spans="1:10" ht="77.5">
      <c r="A47" s="178">
        <v>3</v>
      </c>
      <c r="B47" s="175" t="s">
        <v>52</v>
      </c>
      <c r="C47" s="186" t="s">
        <v>53</v>
      </c>
      <c r="D47" s="198" t="s">
        <v>54</v>
      </c>
      <c r="E47" s="178" t="s">
        <v>35</v>
      </c>
      <c r="F47" s="179" t="s">
        <v>36</v>
      </c>
      <c r="G47" s="180">
        <v>105.83</v>
      </c>
      <c r="H47" s="187"/>
      <c r="I47" s="187"/>
      <c r="J47" s="231"/>
    </row>
    <row r="48" spans="1:10">
      <c r="A48" s="169" t="s">
        <v>57</v>
      </c>
      <c r="B48" s="170" t="s">
        <v>58</v>
      </c>
      <c r="C48" s="196"/>
      <c r="D48" s="185"/>
      <c r="E48" s="185"/>
      <c r="F48" s="169"/>
      <c r="G48" s="172"/>
      <c r="H48" s="187"/>
      <c r="I48" s="187"/>
      <c r="J48" s="231"/>
    </row>
    <row r="49" spans="1:10" ht="31">
      <c r="A49" s="200">
        <v>1</v>
      </c>
      <c r="B49" s="175" t="s">
        <v>32</v>
      </c>
      <c r="C49" s="186" t="s">
        <v>33</v>
      </c>
      <c r="D49" s="177" t="s">
        <v>34</v>
      </c>
      <c r="E49" s="178" t="s">
        <v>35</v>
      </c>
      <c r="F49" s="179" t="s">
        <v>36</v>
      </c>
      <c r="G49" s="180">
        <v>113.0325</v>
      </c>
      <c r="H49" s="183"/>
      <c r="I49" s="183"/>
      <c r="J49" s="231"/>
    </row>
    <row r="50" spans="1:10" ht="31">
      <c r="A50" s="200">
        <v>2</v>
      </c>
      <c r="B50" s="175" t="s">
        <v>37</v>
      </c>
      <c r="C50" s="186" t="s">
        <v>38</v>
      </c>
      <c r="D50" s="177"/>
      <c r="E50" s="178"/>
      <c r="F50" s="179" t="s">
        <v>36</v>
      </c>
      <c r="G50" s="180">
        <v>201.6</v>
      </c>
      <c r="H50" s="201"/>
      <c r="I50" s="201"/>
      <c r="J50" s="231"/>
    </row>
    <row r="51" spans="1:10" ht="77.5">
      <c r="A51" s="200">
        <v>3</v>
      </c>
      <c r="B51" s="175" t="s">
        <v>52</v>
      </c>
      <c r="C51" s="186" t="s">
        <v>53</v>
      </c>
      <c r="D51" s="198" t="s">
        <v>54</v>
      </c>
      <c r="E51" s="178" t="s">
        <v>35</v>
      </c>
      <c r="F51" s="179" t="s">
        <v>36</v>
      </c>
      <c r="G51" s="180">
        <v>12.19</v>
      </c>
      <c r="H51" s="202"/>
      <c r="I51" s="202"/>
      <c r="J51" s="231"/>
    </row>
    <row r="52" spans="1:10">
      <c r="A52" s="169" t="s">
        <v>59</v>
      </c>
      <c r="B52" s="170" t="s">
        <v>60</v>
      </c>
      <c r="C52" s="184"/>
      <c r="D52" s="185"/>
      <c r="E52" s="185"/>
      <c r="F52" s="203"/>
      <c r="G52" s="172"/>
      <c r="H52" s="204"/>
      <c r="I52" s="204"/>
      <c r="J52" s="231"/>
    </row>
    <row r="53" spans="1:10" ht="31">
      <c r="A53" s="188">
        <v>1</v>
      </c>
      <c r="B53" s="175" t="s">
        <v>32</v>
      </c>
      <c r="C53" s="186" t="s">
        <v>33</v>
      </c>
      <c r="D53" s="177" t="s">
        <v>34</v>
      </c>
      <c r="E53" s="178" t="s">
        <v>35</v>
      </c>
      <c r="F53" s="188" t="s">
        <v>36</v>
      </c>
      <c r="G53" s="205">
        <v>4115.21</v>
      </c>
      <c r="H53" s="204"/>
      <c r="I53" s="204"/>
      <c r="J53" s="231"/>
    </row>
    <row r="54" spans="1:10">
      <c r="A54" s="206" t="s">
        <v>61</v>
      </c>
      <c r="B54" s="207" t="s">
        <v>62</v>
      </c>
      <c r="C54" s="208"/>
      <c r="D54" s="208"/>
      <c r="E54" s="208"/>
      <c r="F54" s="206"/>
      <c r="G54" s="209"/>
      <c r="H54" s="183"/>
      <c r="I54" s="183"/>
      <c r="J54" s="231"/>
    </row>
    <row r="55" spans="1:10">
      <c r="A55" s="210"/>
      <c r="B55" s="211" t="s">
        <v>63</v>
      </c>
      <c r="C55" s="212"/>
      <c r="D55" s="213"/>
      <c r="E55" s="213"/>
      <c r="F55" s="214"/>
      <c r="G55" s="215"/>
      <c r="H55" s="183"/>
      <c r="I55" s="183"/>
      <c r="J55" s="231"/>
    </row>
    <row r="56" spans="1:10" ht="31">
      <c r="A56" s="216">
        <v>1</v>
      </c>
      <c r="B56" s="217" t="s">
        <v>64</v>
      </c>
      <c r="C56" s="218"/>
      <c r="D56" s="219" t="s">
        <v>65</v>
      </c>
      <c r="E56" s="220" t="s">
        <v>35</v>
      </c>
      <c r="F56" s="221" t="s">
        <v>66</v>
      </c>
      <c r="G56" s="222">
        <v>111</v>
      </c>
      <c r="H56" s="183"/>
      <c r="I56" s="183"/>
      <c r="J56" s="231"/>
    </row>
    <row r="57" spans="1:10" ht="31">
      <c r="A57" s="216">
        <v>2</v>
      </c>
      <c r="B57" s="217" t="s">
        <v>67</v>
      </c>
      <c r="C57" s="218"/>
      <c r="D57" s="219" t="s">
        <v>65</v>
      </c>
      <c r="E57" s="220" t="s">
        <v>35</v>
      </c>
      <c r="F57" s="221" t="s">
        <v>66</v>
      </c>
      <c r="G57" s="222">
        <v>23</v>
      </c>
      <c r="H57" s="183"/>
      <c r="I57" s="183"/>
      <c r="J57" s="231"/>
    </row>
    <row r="58" spans="1:10" ht="31">
      <c r="A58" s="216">
        <v>3</v>
      </c>
      <c r="B58" s="217" t="s">
        <v>68</v>
      </c>
      <c r="C58" s="218"/>
      <c r="D58" s="219" t="s">
        <v>65</v>
      </c>
      <c r="E58" s="220" t="s">
        <v>35</v>
      </c>
      <c r="F58" s="221" t="s">
        <v>66</v>
      </c>
      <c r="G58" s="222">
        <v>23</v>
      </c>
      <c r="H58" s="183"/>
      <c r="I58" s="183"/>
      <c r="J58" s="231"/>
    </row>
    <row r="59" spans="1:10" ht="31">
      <c r="A59" s="216">
        <v>4</v>
      </c>
      <c r="B59" s="217" t="s">
        <v>69</v>
      </c>
      <c r="C59" s="218"/>
      <c r="D59" s="219" t="s">
        <v>65</v>
      </c>
      <c r="E59" s="220" t="s">
        <v>35</v>
      </c>
      <c r="F59" s="221" t="s">
        <v>66</v>
      </c>
      <c r="G59" s="222">
        <v>1</v>
      </c>
      <c r="H59" s="183"/>
      <c r="I59" s="183"/>
      <c r="J59" s="231"/>
    </row>
    <row r="60" spans="1:10" ht="31">
      <c r="A60" s="216">
        <v>5</v>
      </c>
      <c r="B60" s="217" t="s">
        <v>70</v>
      </c>
      <c r="C60" s="218"/>
      <c r="D60" s="219" t="s">
        <v>65</v>
      </c>
      <c r="E60" s="220" t="s">
        <v>35</v>
      </c>
      <c r="F60" s="221" t="s">
        <v>66</v>
      </c>
      <c r="G60" s="222">
        <v>1</v>
      </c>
      <c r="H60" s="183"/>
      <c r="I60" s="183"/>
      <c r="J60" s="231"/>
    </row>
    <row r="61" spans="1:10" ht="31">
      <c r="A61" s="216">
        <v>6</v>
      </c>
      <c r="B61" s="217" t="s">
        <v>71</v>
      </c>
      <c r="C61" s="218"/>
      <c r="D61" s="219" t="s">
        <v>65</v>
      </c>
      <c r="E61" s="220" t="s">
        <v>35</v>
      </c>
      <c r="F61" s="221" t="s">
        <v>66</v>
      </c>
      <c r="G61" s="222">
        <v>1</v>
      </c>
      <c r="H61" s="183"/>
      <c r="I61" s="183"/>
      <c r="J61" s="231"/>
    </row>
    <row r="62" spans="1:10" ht="31">
      <c r="A62" s="216">
        <v>7</v>
      </c>
      <c r="B62" s="217" t="s">
        <v>72</v>
      </c>
      <c r="C62" s="218"/>
      <c r="D62" s="219" t="s">
        <v>65</v>
      </c>
      <c r="E62" s="220" t="s">
        <v>35</v>
      </c>
      <c r="F62" s="221" t="s">
        <v>66</v>
      </c>
      <c r="G62" s="222">
        <v>6</v>
      </c>
      <c r="H62" s="183"/>
      <c r="I62" s="183"/>
      <c r="J62" s="231"/>
    </row>
    <row r="63" spans="1:10" ht="31">
      <c r="A63" s="216">
        <v>8</v>
      </c>
      <c r="B63" s="217" t="s">
        <v>73</v>
      </c>
      <c r="C63" s="218"/>
      <c r="D63" s="219" t="s">
        <v>65</v>
      </c>
      <c r="E63" s="220" t="s">
        <v>35</v>
      </c>
      <c r="F63" s="221" t="s">
        <v>66</v>
      </c>
      <c r="G63" s="222">
        <v>3</v>
      </c>
      <c r="H63" s="183"/>
      <c r="I63" s="183"/>
      <c r="J63" s="231"/>
    </row>
    <row r="64" spans="1:10" ht="31">
      <c r="A64" s="216">
        <v>9</v>
      </c>
      <c r="B64" s="217" t="s">
        <v>74</v>
      </c>
      <c r="C64" s="218"/>
      <c r="D64" s="219" t="s">
        <v>65</v>
      </c>
      <c r="E64" s="220" t="s">
        <v>35</v>
      </c>
      <c r="F64" s="221" t="s">
        <v>66</v>
      </c>
      <c r="G64" s="222">
        <v>4</v>
      </c>
      <c r="H64" s="183"/>
      <c r="I64" s="183"/>
      <c r="J64" s="231"/>
    </row>
    <row r="65" spans="1:10" ht="31">
      <c r="A65" s="216">
        <v>10</v>
      </c>
      <c r="B65" s="217" t="s">
        <v>75</v>
      </c>
      <c r="C65" s="218"/>
      <c r="D65" s="219" t="s">
        <v>65</v>
      </c>
      <c r="E65" s="220" t="s">
        <v>35</v>
      </c>
      <c r="F65" s="221" t="s">
        <v>66</v>
      </c>
      <c r="G65" s="222">
        <v>2</v>
      </c>
      <c r="H65" s="183"/>
      <c r="I65" s="183"/>
      <c r="J65" s="231"/>
    </row>
    <row r="66" spans="1:10" ht="31">
      <c r="A66" s="216">
        <v>11</v>
      </c>
      <c r="B66" s="217" t="s">
        <v>76</v>
      </c>
      <c r="C66" s="218"/>
      <c r="D66" s="219" t="s">
        <v>65</v>
      </c>
      <c r="E66" s="220" t="s">
        <v>35</v>
      </c>
      <c r="F66" s="221" t="s">
        <v>66</v>
      </c>
      <c r="G66" s="222">
        <v>2</v>
      </c>
      <c r="H66" s="183"/>
      <c r="I66" s="183"/>
      <c r="J66" s="231"/>
    </row>
    <row r="67" spans="1:10" ht="31">
      <c r="A67" s="216">
        <v>12</v>
      </c>
      <c r="B67" s="217" t="s">
        <v>77</v>
      </c>
      <c r="C67" s="218"/>
      <c r="D67" s="219" t="s">
        <v>65</v>
      </c>
      <c r="E67" s="220" t="s">
        <v>35</v>
      </c>
      <c r="F67" s="221" t="s">
        <v>66</v>
      </c>
      <c r="G67" s="222">
        <v>1</v>
      </c>
      <c r="H67" s="183"/>
      <c r="I67" s="183"/>
      <c r="J67" s="231"/>
    </row>
    <row r="68" spans="1:10" ht="31">
      <c r="A68" s="216">
        <v>13</v>
      </c>
      <c r="B68" s="217" t="s">
        <v>78</v>
      </c>
      <c r="C68" s="218"/>
      <c r="D68" s="219" t="s">
        <v>65</v>
      </c>
      <c r="E68" s="220" t="s">
        <v>35</v>
      </c>
      <c r="F68" s="221" t="s">
        <v>66</v>
      </c>
      <c r="G68" s="222">
        <v>1</v>
      </c>
      <c r="H68" s="183"/>
      <c r="I68" s="183"/>
      <c r="J68" s="231"/>
    </row>
    <row r="69" spans="1:10" ht="31">
      <c r="A69" s="216">
        <v>14</v>
      </c>
      <c r="B69" s="217" t="s">
        <v>79</v>
      </c>
      <c r="C69" s="218"/>
      <c r="D69" s="219" t="s">
        <v>65</v>
      </c>
      <c r="E69" s="220" t="s">
        <v>35</v>
      </c>
      <c r="F69" s="221" t="s">
        <v>66</v>
      </c>
      <c r="G69" s="222">
        <v>3</v>
      </c>
      <c r="H69" s="183"/>
      <c r="I69" s="183"/>
      <c r="J69" s="231"/>
    </row>
    <row r="70" spans="1:10" ht="31">
      <c r="A70" s="216">
        <v>15</v>
      </c>
      <c r="B70" s="217" t="s">
        <v>80</v>
      </c>
      <c r="C70" s="218"/>
      <c r="D70" s="219" t="s">
        <v>65</v>
      </c>
      <c r="E70" s="220" t="s">
        <v>35</v>
      </c>
      <c r="F70" s="221" t="s">
        <v>66</v>
      </c>
      <c r="G70" s="222">
        <v>1</v>
      </c>
      <c r="H70" s="183"/>
      <c r="I70" s="183"/>
      <c r="J70" s="231"/>
    </row>
    <row r="71" spans="1:10" ht="31">
      <c r="A71" s="216">
        <v>16</v>
      </c>
      <c r="B71" s="217" t="s">
        <v>81</v>
      </c>
      <c r="C71" s="218"/>
      <c r="D71" s="219" t="s">
        <v>65</v>
      </c>
      <c r="E71" s="220" t="s">
        <v>35</v>
      </c>
      <c r="F71" s="221" t="s">
        <v>66</v>
      </c>
      <c r="G71" s="222">
        <v>1</v>
      </c>
      <c r="H71" s="183"/>
      <c r="I71" s="183"/>
      <c r="J71" s="231"/>
    </row>
    <row r="72" spans="1:10" ht="31">
      <c r="A72" s="216">
        <v>17</v>
      </c>
      <c r="B72" s="217" t="s">
        <v>82</v>
      </c>
      <c r="C72" s="218"/>
      <c r="D72" s="219" t="s">
        <v>65</v>
      </c>
      <c r="E72" s="220" t="s">
        <v>35</v>
      </c>
      <c r="F72" s="221" t="s">
        <v>66</v>
      </c>
      <c r="G72" s="222">
        <v>1</v>
      </c>
      <c r="H72" s="183"/>
      <c r="I72" s="183"/>
      <c r="J72" s="231"/>
    </row>
    <row r="73" spans="1:10" ht="31">
      <c r="A73" s="216">
        <v>18</v>
      </c>
      <c r="B73" s="217" t="s">
        <v>83</v>
      </c>
      <c r="C73" s="218"/>
      <c r="D73" s="219" t="s">
        <v>65</v>
      </c>
      <c r="E73" s="220" t="s">
        <v>35</v>
      </c>
      <c r="F73" s="221" t="s">
        <v>66</v>
      </c>
      <c r="G73" s="222">
        <v>1</v>
      </c>
      <c r="H73" s="183"/>
      <c r="I73" s="183"/>
      <c r="J73" s="231"/>
    </row>
    <row r="74" spans="1:10" ht="31">
      <c r="A74" s="216">
        <v>19</v>
      </c>
      <c r="B74" s="217" t="s">
        <v>84</v>
      </c>
      <c r="C74" s="218"/>
      <c r="D74" s="219" t="s">
        <v>65</v>
      </c>
      <c r="E74" s="220" t="s">
        <v>35</v>
      </c>
      <c r="F74" s="221" t="s">
        <v>66</v>
      </c>
      <c r="G74" s="222">
        <v>1</v>
      </c>
      <c r="H74" s="183"/>
      <c r="I74" s="183"/>
      <c r="J74" s="231"/>
    </row>
    <row r="75" spans="1:10" ht="31">
      <c r="A75" s="216">
        <v>20</v>
      </c>
      <c r="B75" s="217" t="s">
        <v>85</v>
      </c>
      <c r="C75" s="218"/>
      <c r="D75" s="219" t="s">
        <v>65</v>
      </c>
      <c r="E75" s="220" t="s">
        <v>35</v>
      </c>
      <c r="F75" s="221" t="s">
        <v>66</v>
      </c>
      <c r="G75" s="222">
        <v>1</v>
      </c>
      <c r="H75" s="183"/>
      <c r="I75" s="183"/>
      <c r="J75" s="231"/>
    </row>
    <row r="76" spans="1:10" ht="31">
      <c r="A76" s="216">
        <v>21</v>
      </c>
      <c r="B76" s="217" t="s">
        <v>86</v>
      </c>
      <c r="C76" s="218"/>
      <c r="D76" s="219" t="s">
        <v>65</v>
      </c>
      <c r="E76" s="220" t="s">
        <v>35</v>
      </c>
      <c r="F76" s="221" t="s">
        <v>66</v>
      </c>
      <c r="G76" s="222">
        <v>1</v>
      </c>
      <c r="H76" s="183"/>
      <c r="I76" s="183"/>
      <c r="J76" s="231"/>
    </row>
    <row r="77" spans="1:10" ht="31">
      <c r="A77" s="216">
        <v>22</v>
      </c>
      <c r="B77" s="217" t="s">
        <v>87</v>
      </c>
      <c r="C77" s="218"/>
      <c r="D77" s="219" t="s">
        <v>65</v>
      </c>
      <c r="E77" s="220" t="s">
        <v>35</v>
      </c>
      <c r="F77" s="221" t="s">
        <v>66</v>
      </c>
      <c r="G77" s="222">
        <v>1</v>
      </c>
      <c r="H77" s="183"/>
      <c r="I77" s="183"/>
      <c r="J77" s="231"/>
    </row>
    <row r="78" spans="1:10" ht="31">
      <c r="A78" s="216">
        <v>23</v>
      </c>
      <c r="B78" s="217" t="s">
        <v>88</v>
      </c>
      <c r="C78" s="218"/>
      <c r="D78" s="219" t="s">
        <v>89</v>
      </c>
      <c r="E78" s="220" t="s">
        <v>35</v>
      </c>
      <c r="F78" s="221" t="s">
        <v>66</v>
      </c>
      <c r="G78" s="222">
        <v>1</v>
      </c>
      <c r="H78" s="183"/>
      <c r="I78" s="183"/>
      <c r="J78" s="231"/>
    </row>
    <row r="79" spans="1:10">
      <c r="A79" s="216">
        <v>24</v>
      </c>
      <c r="B79" s="217" t="s">
        <v>90</v>
      </c>
      <c r="C79" s="218"/>
      <c r="D79" s="219" t="s">
        <v>89</v>
      </c>
      <c r="E79" s="220" t="s">
        <v>35</v>
      </c>
      <c r="F79" s="221" t="s">
        <v>66</v>
      </c>
      <c r="G79" s="222">
        <v>93</v>
      </c>
      <c r="H79" s="183"/>
      <c r="I79" s="183"/>
      <c r="J79" s="231"/>
    </row>
    <row r="80" spans="1:10">
      <c r="A80" s="216">
        <v>25</v>
      </c>
      <c r="B80" s="217" t="s">
        <v>91</v>
      </c>
      <c r="C80" s="218"/>
      <c r="D80" s="219" t="s">
        <v>89</v>
      </c>
      <c r="E80" s="220" t="s">
        <v>35</v>
      </c>
      <c r="F80" s="221" t="s">
        <v>66</v>
      </c>
      <c r="G80" s="222">
        <v>52</v>
      </c>
      <c r="H80" s="183"/>
      <c r="I80" s="183"/>
      <c r="J80" s="231"/>
    </row>
    <row r="81" spans="1:10">
      <c r="A81" s="216">
        <v>26</v>
      </c>
      <c r="B81" s="217" t="s">
        <v>92</v>
      </c>
      <c r="C81" s="218"/>
      <c r="D81" s="219" t="s">
        <v>89</v>
      </c>
      <c r="E81" s="220" t="s">
        <v>35</v>
      </c>
      <c r="F81" s="221" t="s">
        <v>66</v>
      </c>
      <c r="G81" s="222">
        <v>24</v>
      </c>
      <c r="H81" s="183"/>
      <c r="I81" s="183"/>
      <c r="J81" s="231"/>
    </row>
    <row r="82" spans="1:10">
      <c r="A82" s="216">
        <v>27</v>
      </c>
      <c r="B82" s="217" t="s">
        <v>93</v>
      </c>
      <c r="C82" s="218"/>
      <c r="D82" s="219" t="s">
        <v>89</v>
      </c>
      <c r="E82" s="220" t="s">
        <v>35</v>
      </c>
      <c r="F82" s="221" t="s">
        <v>66</v>
      </c>
      <c r="G82" s="222">
        <v>2</v>
      </c>
      <c r="H82" s="183"/>
      <c r="I82" s="183"/>
      <c r="J82" s="231"/>
    </row>
    <row r="83" spans="1:10">
      <c r="A83" s="216">
        <v>28</v>
      </c>
      <c r="B83" s="217" t="s">
        <v>94</v>
      </c>
      <c r="C83" s="218"/>
      <c r="D83" s="219" t="s">
        <v>89</v>
      </c>
      <c r="E83" s="220" t="s">
        <v>35</v>
      </c>
      <c r="F83" s="221" t="s">
        <v>66</v>
      </c>
      <c r="G83" s="222">
        <v>3</v>
      </c>
      <c r="H83" s="183"/>
      <c r="I83" s="183"/>
      <c r="J83" s="231"/>
    </row>
    <row r="84" spans="1:10">
      <c r="A84" s="216">
        <v>29</v>
      </c>
      <c r="B84" s="217" t="s">
        <v>95</v>
      </c>
      <c r="C84" s="218"/>
      <c r="D84" s="219" t="s">
        <v>89</v>
      </c>
      <c r="E84" s="220" t="s">
        <v>35</v>
      </c>
      <c r="F84" s="221" t="s">
        <v>66</v>
      </c>
      <c r="G84" s="222">
        <v>3</v>
      </c>
      <c r="H84" s="183"/>
      <c r="I84" s="183"/>
      <c r="J84" s="231"/>
    </row>
    <row r="85" spans="1:10">
      <c r="A85" s="216">
        <v>30</v>
      </c>
      <c r="B85" s="217" t="s">
        <v>96</v>
      </c>
      <c r="C85" s="218"/>
      <c r="D85" s="219" t="s">
        <v>89</v>
      </c>
      <c r="E85" s="220" t="s">
        <v>35</v>
      </c>
      <c r="F85" s="221" t="s">
        <v>66</v>
      </c>
      <c r="G85" s="222">
        <v>2</v>
      </c>
      <c r="H85" s="183"/>
      <c r="I85" s="183"/>
      <c r="J85" s="231"/>
    </row>
    <row r="86" spans="1:10">
      <c r="A86" s="216">
        <v>31</v>
      </c>
      <c r="B86" s="217" t="s">
        <v>97</v>
      </c>
      <c r="C86" s="218"/>
      <c r="D86" s="219" t="s">
        <v>89</v>
      </c>
      <c r="E86" s="220" t="s">
        <v>35</v>
      </c>
      <c r="F86" s="221" t="s">
        <v>66</v>
      </c>
      <c r="G86" s="222">
        <v>0</v>
      </c>
      <c r="H86" s="183"/>
      <c r="I86" s="183"/>
      <c r="J86" s="231"/>
    </row>
    <row r="87" spans="1:10">
      <c r="A87" s="216">
        <v>32</v>
      </c>
      <c r="B87" s="217" t="s">
        <v>98</v>
      </c>
      <c r="C87" s="218"/>
      <c r="D87" s="219" t="s">
        <v>89</v>
      </c>
      <c r="E87" s="220" t="s">
        <v>35</v>
      </c>
      <c r="F87" s="221" t="s">
        <v>66</v>
      </c>
      <c r="G87" s="222">
        <v>3</v>
      </c>
      <c r="H87" s="183"/>
      <c r="I87" s="183"/>
      <c r="J87" s="231"/>
    </row>
    <row r="88" spans="1:10">
      <c r="A88" s="216">
        <v>33</v>
      </c>
      <c r="B88" s="217" t="s">
        <v>99</v>
      </c>
      <c r="C88" s="218"/>
      <c r="D88" s="219" t="s">
        <v>89</v>
      </c>
      <c r="E88" s="220" t="s">
        <v>35</v>
      </c>
      <c r="F88" s="221" t="s">
        <v>66</v>
      </c>
      <c r="G88" s="222">
        <v>1</v>
      </c>
      <c r="H88" s="183"/>
      <c r="I88" s="183"/>
      <c r="J88" s="231"/>
    </row>
    <row r="89" spans="1:10">
      <c r="A89" s="216">
        <v>34</v>
      </c>
      <c r="B89" s="217" t="s">
        <v>100</v>
      </c>
      <c r="C89" s="218"/>
      <c r="D89" s="219" t="s">
        <v>89</v>
      </c>
      <c r="E89" s="220" t="s">
        <v>35</v>
      </c>
      <c r="F89" s="221" t="s">
        <v>66</v>
      </c>
      <c r="G89" s="222">
        <v>4</v>
      </c>
      <c r="H89" s="183"/>
      <c r="I89" s="183"/>
      <c r="J89" s="231"/>
    </row>
    <row r="90" spans="1:10">
      <c r="A90" s="216">
        <v>35</v>
      </c>
      <c r="B90" s="217" t="s">
        <v>101</v>
      </c>
      <c r="C90" s="218"/>
      <c r="D90" s="219" t="s">
        <v>89</v>
      </c>
      <c r="E90" s="220" t="s">
        <v>35</v>
      </c>
      <c r="F90" s="221" t="s">
        <v>66</v>
      </c>
      <c r="G90" s="222">
        <v>3</v>
      </c>
      <c r="H90" s="183"/>
      <c r="I90" s="183"/>
      <c r="J90" s="231"/>
    </row>
    <row r="91" spans="1:10">
      <c r="A91" s="216">
        <v>36</v>
      </c>
      <c r="B91" s="217" t="s">
        <v>102</v>
      </c>
      <c r="C91" s="218"/>
      <c r="D91" s="219" t="s">
        <v>89</v>
      </c>
      <c r="E91" s="220" t="s">
        <v>35</v>
      </c>
      <c r="F91" s="221" t="s">
        <v>66</v>
      </c>
      <c r="G91" s="222">
        <v>1</v>
      </c>
      <c r="H91" s="183"/>
      <c r="I91" s="183"/>
      <c r="J91" s="231"/>
    </row>
    <row r="92" spans="1:10">
      <c r="A92" s="216">
        <v>37</v>
      </c>
      <c r="B92" s="217" t="s">
        <v>103</v>
      </c>
      <c r="C92" s="218"/>
      <c r="D92" s="219" t="s">
        <v>89</v>
      </c>
      <c r="E92" s="220" t="s">
        <v>35</v>
      </c>
      <c r="F92" s="221" t="s">
        <v>66</v>
      </c>
      <c r="G92" s="222">
        <v>7</v>
      </c>
      <c r="H92" s="183"/>
      <c r="I92" s="183"/>
      <c r="J92" s="231"/>
    </row>
    <row r="93" spans="1:10">
      <c r="A93" s="216">
        <v>38</v>
      </c>
      <c r="B93" s="217" t="s">
        <v>104</v>
      </c>
      <c r="C93" s="218"/>
      <c r="D93" s="219" t="s">
        <v>89</v>
      </c>
      <c r="E93" s="220" t="s">
        <v>35</v>
      </c>
      <c r="F93" s="221" t="s">
        <v>66</v>
      </c>
      <c r="G93" s="222">
        <v>4</v>
      </c>
      <c r="H93" s="183"/>
      <c r="I93" s="183"/>
      <c r="J93" s="231"/>
    </row>
    <row r="94" spans="1:10">
      <c r="A94" s="216">
        <v>39</v>
      </c>
      <c r="B94" s="217" t="s">
        <v>105</v>
      </c>
      <c r="C94" s="218"/>
      <c r="D94" s="219" t="s">
        <v>89</v>
      </c>
      <c r="E94" s="220" t="s">
        <v>35</v>
      </c>
      <c r="F94" s="221" t="s">
        <v>66</v>
      </c>
      <c r="G94" s="222">
        <v>3</v>
      </c>
      <c r="H94" s="183"/>
      <c r="I94" s="183"/>
      <c r="J94" s="231"/>
    </row>
    <row r="95" spans="1:10">
      <c r="A95" s="216">
        <v>40</v>
      </c>
      <c r="B95" s="217" t="s">
        <v>106</v>
      </c>
      <c r="C95" s="218"/>
      <c r="D95" s="219" t="s">
        <v>89</v>
      </c>
      <c r="E95" s="220" t="s">
        <v>35</v>
      </c>
      <c r="F95" s="221" t="s">
        <v>66</v>
      </c>
      <c r="G95" s="222">
        <v>2</v>
      </c>
      <c r="H95" s="183"/>
      <c r="I95" s="183"/>
      <c r="J95" s="231"/>
    </row>
    <row r="96" spans="1:10">
      <c r="A96" s="216">
        <v>41</v>
      </c>
      <c r="B96" s="217" t="s">
        <v>107</v>
      </c>
      <c r="C96" s="218"/>
      <c r="D96" s="219" t="s">
        <v>89</v>
      </c>
      <c r="E96" s="220" t="s">
        <v>35</v>
      </c>
      <c r="F96" s="221" t="s">
        <v>66</v>
      </c>
      <c r="G96" s="222">
        <v>1</v>
      </c>
      <c r="H96" s="183"/>
      <c r="I96" s="183"/>
      <c r="J96" s="231"/>
    </row>
    <row r="97" spans="1:10">
      <c r="A97" s="216">
        <v>42</v>
      </c>
      <c r="B97" s="217" t="s">
        <v>108</v>
      </c>
      <c r="C97" s="218"/>
      <c r="D97" s="219" t="s">
        <v>89</v>
      </c>
      <c r="E97" s="220" t="s">
        <v>35</v>
      </c>
      <c r="F97" s="221" t="s">
        <v>66</v>
      </c>
      <c r="G97" s="222">
        <v>2</v>
      </c>
      <c r="H97" s="183"/>
      <c r="I97" s="183"/>
      <c r="J97" s="231"/>
    </row>
    <row r="98" spans="1:10">
      <c r="A98" s="216">
        <v>43</v>
      </c>
      <c r="B98" s="217" t="s">
        <v>109</v>
      </c>
      <c r="C98" s="218"/>
      <c r="D98" s="219" t="s">
        <v>89</v>
      </c>
      <c r="E98" s="220" t="s">
        <v>35</v>
      </c>
      <c r="F98" s="221" t="s">
        <v>66</v>
      </c>
      <c r="G98" s="222">
        <v>1</v>
      </c>
      <c r="H98" s="183"/>
      <c r="I98" s="183"/>
      <c r="J98" s="231"/>
    </row>
    <row r="99" spans="1:10">
      <c r="A99" s="216">
        <v>44</v>
      </c>
      <c r="B99" s="217" t="s">
        <v>110</v>
      </c>
      <c r="C99" s="218"/>
      <c r="D99" s="219" t="s">
        <v>89</v>
      </c>
      <c r="E99" s="220" t="s">
        <v>35</v>
      </c>
      <c r="F99" s="221" t="s">
        <v>66</v>
      </c>
      <c r="G99" s="222">
        <v>1</v>
      </c>
      <c r="H99" s="183"/>
      <c r="I99" s="183"/>
      <c r="J99" s="231"/>
    </row>
    <row r="100" spans="1:10">
      <c r="A100" s="216">
        <v>45</v>
      </c>
      <c r="B100" s="217" t="s">
        <v>111</v>
      </c>
      <c r="C100" s="218"/>
      <c r="D100" s="219" t="s">
        <v>89</v>
      </c>
      <c r="E100" s="220" t="s">
        <v>35</v>
      </c>
      <c r="F100" s="221" t="s">
        <v>66</v>
      </c>
      <c r="G100" s="222">
        <v>3</v>
      </c>
      <c r="H100" s="183"/>
      <c r="I100" s="183"/>
      <c r="J100" s="231"/>
    </row>
    <row r="101" spans="1:10">
      <c r="A101" s="216">
        <v>46</v>
      </c>
      <c r="B101" s="217" t="s">
        <v>112</v>
      </c>
      <c r="C101" s="218"/>
      <c r="D101" s="219" t="s">
        <v>89</v>
      </c>
      <c r="E101" s="220" t="s">
        <v>35</v>
      </c>
      <c r="F101" s="221" t="s">
        <v>66</v>
      </c>
      <c r="G101" s="222">
        <v>1</v>
      </c>
      <c r="H101" s="183"/>
      <c r="I101" s="183"/>
      <c r="J101" s="231"/>
    </row>
    <row r="102" spans="1:10" ht="31">
      <c r="A102" s="216">
        <v>47</v>
      </c>
      <c r="B102" s="217" t="s">
        <v>113</v>
      </c>
      <c r="C102" s="218"/>
      <c r="D102" s="219" t="s">
        <v>89</v>
      </c>
      <c r="E102" s="220" t="s">
        <v>35</v>
      </c>
      <c r="F102" s="221" t="s">
        <v>66</v>
      </c>
      <c r="G102" s="222">
        <v>2</v>
      </c>
      <c r="H102" s="183"/>
      <c r="I102" s="183"/>
      <c r="J102" s="231"/>
    </row>
    <row r="103" spans="1:10" ht="31">
      <c r="A103" s="216">
        <v>48</v>
      </c>
      <c r="B103" s="217" t="s">
        <v>114</v>
      </c>
      <c r="C103" s="218"/>
      <c r="D103" s="219" t="s">
        <v>89</v>
      </c>
      <c r="E103" s="220" t="s">
        <v>35</v>
      </c>
      <c r="F103" s="221" t="s">
        <v>66</v>
      </c>
      <c r="G103" s="222">
        <v>4</v>
      </c>
      <c r="H103" s="183"/>
      <c r="I103" s="183"/>
      <c r="J103" s="231"/>
    </row>
    <row r="104" spans="1:10" ht="31">
      <c r="A104" s="216">
        <v>49</v>
      </c>
      <c r="B104" s="217" t="s">
        <v>115</v>
      </c>
      <c r="C104" s="218"/>
      <c r="D104" s="219" t="s">
        <v>89</v>
      </c>
      <c r="E104" s="220" t="s">
        <v>35</v>
      </c>
      <c r="F104" s="221" t="s">
        <v>66</v>
      </c>
      <c r="G104" s="222">
        <v>1</v>
      </c>
      <c r="H104" s="183"/>
      <c r="I104" s="183"/>
      <c r="J104" s="231"/>
    </row>
    <row r="105" spans="1:10">
      <c r="A105" s="210"/>
      <c r="B105" s="211" t="s">
        <v>116</v>
      </c>
      <c r="C105" s="212"/>
      <c r="D105" s="213"/>
      <c r="E105" s="213"/>
      <c r="F105" s="214"/>
      <c r="G105" s="232"/>
      <c r="H105" s="183"/>
      <c r="I105" s="183"/>
      <c r="J105" s="231"/>
    </row>
    <row r="106" spans="1:10">
      <c r="A106" s="216">
        <v>1</v>
      </c>
      <c r="B106" s="217" t="s">
        <v>117</v>
      </c>
      <c r="C106" s="233"/>
      <c r="D106" s="219" t="s">
        <v>65</v>
      </c>
      <c r="E106" s="220" t="s">
        <v>35</v>
      </c>
      <c r="F106" s="221" t="s">
        <v>66</v>
      </c>
      <c r="G106" s="222">
        <v>1</v>
      </c>
      <c r="H106" s="183"/>
      <c r="I106" s="183"/>
      <c r="J106" s="231"/>
    </row>
    <row r="107" spans="1:10">
      <c r="A107" s="216">
        <v>2</v>
      </c>
      <c r="B107" s="217" t="s">
        <v>118</v>
      </c>
      <c r="C107" s="233"/>
      <c r="D107" s="219" t="s">
        <v>65</v>
      </c>
      <c r="E107" s="220" t="s">
        <v>35</v>
      </c>
      <c r="F107" s="221" t="s">
        <v>66</v>
      </c>
      <c r="G107" s="222">
        <v>2</v>
      </c>
      <c r="H107" s="183"/>
      <c r="I107" s="183"/>
      <c r="J107" s="231"/>
    </row>
    <row r="108" spans="1:10">
      <c r="A108" s="216">
        <v>3</v>
      </c>
      <c r="B108" s="217" t="s">
        <v>119</v>
      </c>
      <c r="C108" s="233"/>
      <c r="D108" s="219" t="s">
        <v>65</v>
      </c>
      <c r="E108" s="220" t="s">
        <v>35</v>
      </c>
      <c r="F108" s="221" t="s">
        <v>66</v>
      </c>
      <c r="G108" s="222">
        <v>4</v>
      </c>
      <c r="H108" s="183"/>
      <c r="I108" s="183"/>
      <c r="J108" s="231"/>
    </row>
    <row r="109" spans="1:10">
      <c r="A109" s="216">
        <v>4</v>
      </c>
      <c r="B109" s="217" t="s">
        <v>120</v>
      </c>
      <c r="C109" s="233"/>
      <c r="D109" s="219" t="s">
        <v>65</v>
      </c>
      <c r="E109" s="220" t="s">
        <v>35</v>
      </c>
      <c r="F109" s="221" t="s">
        <v>66</v>
      </c>
      <c r="G109" s="222">
        <v>6</v>
      </c>
      <c r="H109" s="183"/>
      <c r="I109" s="183"/>
      <c r="J109" s="231"/>
    </row>
    <row r="110" spans="1:10">
      <c r="A110" s="216">
        <v>5</v>
      </c>
      <c r="B110" s="217" t="s">
        <v>121</v>
      </c>
      <c r="C110" s="233"/>
      <c r="D110" s="219" t="s">
        <v>65</v>
      </c>
      <c r="E110" s="220" t="s">
        <v>35</v>
      </c>
      <c r="F110" s="221" t="s">
        <v>66</v>
      </c>
      <c r="G110" s="222">
        <v>4</v>
      </c>
      <c r="H110" s="183"/>
      <c r="I110" s="183"/>
      <c r="J110" s="231"/>
    </row>
    <row r="111" spans="1:10">
      <c r="A111" s="216">
        <v>6</v>
      </c>
      <c r="B111" s="217" t="s">
        <v>122</v>
      </c>
      <c r="C111" s="233"/>
      <c r="D111" s="219" t="s">
        <v>65</v>
      </c>
      <c r="E111" s="220" t="s">
        <v>35</v>
      </c>
      <c r="F111" s="221" t="s">
        <v>66</v>
      </c>
      <c r="G111" s="222">
        <v>5</v>
      </c>
      <c r="H111" s="183"/>
      <c r="I111" s="183"/>
      <c r="J111" s="231"/>
    </row>
    <row r="112" spans="1:10">
      <c r="A112" s="216">
        <v>7</v>
      </c>
      <c r="B112" s="234" t="s">
        <v>123</v>
      </c>
      <c r="C112" s="233"/>
      <c r="D112" s="219" t="s">
        <v>65</v>
      </c>
      <c r="E112" s="220" t="s">
        <v>35</v>
      </c>
      <c r="F112" s="221" t="s">
        <v>66</v>
      </c>
      <c r="G112" s="222">
        <v>1</v>
      </c>
      <c r="H112" s="183"/>
      <c r="I112" s="183"/>
      <c r="J112" s="231"/>
    </row>
    <row r="113" spans="1:10">
      <c r="A113" s="216">
        <v>8</v>
      </c>
      <c r="B113" s="234" t="s">
        <v>124</v>
      </c>
      <c r="C113" s="233"/>
      <c r="D113" s="219" t="s">
        <v>65</v>
      </c>
      <c r="E113" s="220" t="s">
        <v>35</v>
      </c>
      <c r="F113" s="221" t="s">
        <v>66</v>
      </c>
      <c r="G113" s="222">
        <v>4</v>
      </c>
      <c r="H113" s="183"/>
      <c r="I113" s="183"/>
      <c r="J113" s="231"/>
    </row>
    <row r="114" spans="1:10">
      <c r="A114" s="216">
        <v>9</v>
      </c>
      <c r="B114" s="234" t="s">
        <v>125</v>
      </c>
      <c r="C114" s="233"/>
      <c r="D114" s="219" t="s">
        <v>65</v>
      </c>
      <c r="E114" s="220" t="s">
        <v>35</v>
      </c>
      <c r="F114" s="221" t="s">
        <v>66</v>
      </c>
      <c r="G114" s="222">
        <v>6</v>
      </c>
      <c r="H114" s="183"/>
      <c r="I114" s="183"/>
      <c r="J114" s="231"/>
    </row>
    <row r="115" spans="1:10">
      <c r="A115" s="210"/>
      <c r="B115" s="211" t="s">
        <v>126</v>
      </c>
      <c r="C115" s="212"/>
      <c r="D115" s="213"/>
      <c r="E115" s="213"/>
      <c r="F115" s="214"/>
      <c r="G115" s="232"/>
      <c r="H115" s="183"/>
      <c r="I115" s="183"/>
      <c r="J115" s="231"/>
    </row>
    <row r="116" spans="1:10">
      <c r="A116" s="216">
        <v>1</v>
      </c>
      <c r="B116" s="217" t="s">
        <v>127</v>
      </c>
      <c r="C116" s="218"/>
      <c r="D116" s="219" t="s">
        <v>65</v>
      </c>
      <c r="E116" s="220" t="s">
        <v>35</v>
      </c>
      <c r="F116" s="221" t="s">
        <v>128</v>
      </c>
      <c r="G116" s="222">
        <v>1</v>
      </c>
      <c r="H116" s="183"/>
      <c r="I116" s="183"/>
      <c r="J116" s="231"/>
    </row>
    <row r="117" spans="1:10">
      <c r="A117" s="216">
        <v>2</v>
      </c>
      <c r="B117" s="217" t="s">
        <v>129</v>
      </c>
      <c r="C117" s="218"/>
      <c r="D117" s="219" t="s">
        <v>65</v>
      </c>
      <c r="E117" s="220" t="s">
        <v>35</v>
      </c>
      <c r="F117" s="221" t="s">
        <v>128</v>
      </c>
      <c r="G117" s="222">
        <v>1</v>
      </c>
      <c r="H117" s="183"/>
      <c r="I117" s="183"/>
      <c r="J117" s="231"/>
    </row>
    <row r="118" spans="1:10">
      <c r="A118" s="216">
        <v>3</v>
      </c>
      <c r="B118" s="217" t="s">
        <v>130</v>
      </c>
      <c r="C118" s="218"/>
      <c r="D118" s="219" t="s">
        <v>65</v>
      </c>
      <c r="E118" s="220" t="s">
        <v>35</v>
      </c>
      <c r="F118" s="221" t="s">
        <v>128</v>
      </c>
      <c r="G118" s="222">
        <v>2</v>
      </c>
      <c r="H118" s="183"/>
      <c r="I118" s="183"/>
      <c r="J118" s="231"/>
    </row>
    <row r="119" spans="1:10">
      <c r="A119" s="216">
        <v>4</v>
      </c>
      <c r="B119" s="217" t="s">
        <v>131</v>
      </c>
      <c r="C119" s="218"/>
      <c r="D119" s="219" t="s">
        <v>65</v>
      </c>
      <c r="E119" s="220" t="s">
        <v>35</v>
      </c>
      <c r="F119" s="221" t="s">
        <v>128</v>
      </c>
      <c r="G119" s="222">
        <v>1</v>
      </c>
      <c r="H119" s="183"/>
      <c r="I119" s="183"/>
      <c r="J119" s="231"/>
    </row>
    <row r="120" spans="1:10">
      <c r="A120" s="216">
        <v>5</v>
      </c>
      <c r="B120" s="217" t="s">
        <v>132</v>
      </c>
      <c r="C120" s="218"/>
      <c r="D120" s="219" t="s">
        <v>65</v>
      </c>
      <c r="E120" s="220" t="s">
        <v>35</v>
      </c>
      <c r="F120" s="221" t="s">
        <v>128</v>
      </c>
      <c r="G120" s="222">
        <v>1</v>
      </c>
      <c r="H120" s="183"/>
      <c r="I120" s="183"/>
      <c r="J120" s="231"/>
    </row>
    <row r="121" spans="1:10">
      <c r="A121" s="216">
        <v>6</v>
      </c>
      <c r="B121" s="217" t="s">
        <v>133</v>
      </c>
      <c r="C121" s="218"/>
      <c r="D121" s="219" t="s">
        <v>65</v>
      </c>
      <c r="E121" s="220" t="s">
        <v>35</v>
      </c>
      <c r="F121" s="221" t="s">
        <v>128</v>
      </c>
      <c r="G121" s="222">
        <v>2</v>
      </c>
      <c r="H121" s="183"/>
      <c r="I121" s="183"/>
      <c r="J121" s="231"/>
    </row>
    <row r="122" spans="1:10">
      <c r="A122" s="216">
        <v>7</v>
      </c>
      <c r="B122" s="217" t="s">
        <v>134</v>
      </c>
      <c r="C122" s="218"/>
      <c r="D122" s="219" t="s">
        <v>65</v>
      </c>
      <c r="E122" s="220" t="s">
        <v>35</v>
      </c>
      <c r="F122" s="221" t="s">
        <v>128</v>
      </c>
      <c r="G122" s="222">
        <v>2</v>
      </c>
      <c r="H122" s="183"/>
      <c r="I122" s="183"/>
      <c r="J122" s="231"/>
    </row>
    <row r="123" spans="1:10">
      <c r="A123" s="216">
        <v>8</v>
      </c>
      <c r="B123" s="217" t="s">
        <v>135</v>
      </c>
      <c r="C123" s="218"/>
      <c r="D123" s="219" t="s">
        <v>65</v>
      </c>
      <c r="E123" s="220" t="s">
        <v>35</v>
      </c>
      <c r="F123" s="221" t="s">
        <v>128</v>
      </c>
      <c r="G123" s="222">
        <v>1</v>
      </c>
      <c r="H123" s="183"/>
      <c r="I123" s="183"/>
      <c r="J123" s="231"/>
    </row>
    <row r="124" spans="1:10">
      <c r="A124" s="216">
        <v>9</v>
      </c>
      <c r="B124" s="217" t="s">
        <v>136</v>
      </c>
      <c r="C124" s="218"/>
      <c r="D124" s="219" t="s">
        <v>89</v>
      </c>
      <c r="E124" s="220" t="s">
        <v>35</v>
      </c>
      <c r="F124" s="221" t="s">
        <v>128</v>
      </c>
      <c r="G124" s="222">
        <v>1</v>
      </c>
      <c r="H124" s="183"/>
      <c r="I124" s="183"/>
      <c r="J124" s="231"/>
    </row>
    <row r="125" spans="1:10">
      <c r="A125" s="216">
        <v>10</v>
      </c>
      <c r="B125" s="217" t="s">
        <v>137</v>
      </c>
      <c r="C125" s="218"/>
      <c r="D125" s="219" t="s">
        <v>89</v>
      </c>
      <c r="E125" s="220" t="s">
        <v>35</v>
      </c>
      <c r="F125" s="221" t="s">
        <v>128</v>
      </c>
      <c r="G125" s="222">
        <v>1</v>
      </c>
      <c r="H125" s="183"/>
      <c r="I125" s="183"/>
      <c r="J125" s="231"/>
    </row>
    <row r="126" spans="1:10">
      <c r="A126" s="216">
        <v>11</v>
      </c>
      <c r="B126" s="217" t="s">
        <v>138</v>
      </c>
      <c r="C126" s="218"/>
      <c r="D126" s="219" t="s">
        <v>89</v>
      </c>
      <c r="E126" s="220" t="s">
        <v>35</v>
      </c>
      <c r="F126" s="221" t="s">
        <v>128</v>
      </c>
      <c r="G126" s="222">
        <v>2</v>
      </c>
      <c r="H126" s="183"/>
      <c r="I126" s="183"/>
      <c r="J126" s="231"/>
    </row>
    <row r="127" spans="1:10">
      <c r="A127" s="216">
        <v>12</v>
      </c>
      <c r="B127" s="217" t="s">
        <v>139</v>
      </c>
      <c r="C127" s="218"/>
      <c r="D127" s="219" t="s">
        <v>89</v>
      </c>
      <c r="E127" s="220" t="s">
        <v>35</v>
      </c>
      <c r="F127" s="221" t="s">
        <v>128</v>
      </c>
      <c r="G127" s="222">
        <v>1</v>
      </c>
      <c r="H127" s="183"/>
      <c r="I127" s="183"/>
      <c r="J127" s="231"/>
    </row>
    <row r="128" spans="1:10">
      <c r="A128" s="216">
        <v>13</v>
      </c>
      <c r="B128" s="217" t="s">
        <v>140</v>
      </c>
      <c r="C128" s="233"/>
      <c r="D128" s="219" t="s">
        <v>89</v>
      </c>
      <c r="E128" s="220" t="s">
        <v>35</v>
      </c>
      <c r="F128" s="221" t="s">
        <v>66</v>
      </c>
      <c r="G128" s="222">
        <v>5</v>
      </c>
      <c r="H128" s="183"/>
      <c r="I128" s="183"/>
      <c r="J128" s="231"/>
    </row>
    <row r="129" spans="1:10">
      <c r="A129" s="206" t="s">
        <v>141</v>
      </c>
      <c r="B129" s="207" t="s">
        <v>62</v>
      </c>
      <c r="C129" s="235"/>
      <c r="D129" s="236"/>
      <c r="E129" s="237"/>
      <c r="F129" s="206"/>
      <c r="G129" s="209"/>
      <c r="H129" s="183"/>
      <c r="I129" s="183"/>
      <c r="J129" s="231"/>
    </row>
    <row r="130" spans="1:10">
      <c r="A130" s="216"/>
      <c r="B130" s="217" t="s">
        <v>63</v>
      </c>
      <c r="C130" s="238"/>
      <c r="D130" s="220"/>
      <c r="E130" s="220"/>
      <c r="F130" s="221"/>
      <c r="G130" s="222"/>
      <c r="H130" s="183"/>
      <c r="I130" s="183"/>
      <c r="J130" s="231"/>
    </row>
    <row r="131" spans="1:10" ht="31">
      <c r="A131" s="216">
        <v>1</v>
      </c>
      <c r="B131" s="217" t="s">
        <v>142</v>
      </c>
      <c r="C131" s="218"/>
      <c r="D131" s="219" t="s">
        <v>89</v>
      </c>
      <c r="E131" s="220" t="s">
        <v>35</v>
      </c>
      <c r="F131" s="221" t="s">
        <v>66</v>
      </c>
      <c r="G131" s="222">
        <v>30</v>
      </c>
      <c r="H131" s="183"/>
      <c r="I131" s="183"/>
      <c r="J131" s="231"/>
    </row>
    <row r="132" spans="1:10" ht="31">
      <c r="A132" s="216">
        <v>2</v>
      </c>
      <c r="B132" s="217" t="s">
        <v>143</v>
      </c>
      <c r="C132" s="218"/>
      <c r="D132" s="219" t="s">
        <v>89</v>
      </c>
      <c r="E132" s="220" t="s">
        <v>35</v>
      </c>
      <c r="F132" s="221" t="s">
        <v>66</v>
      </c>
      <c r="G132" s="222">
        <v>578</v>
      </c>
      <c r="H132" s="183"/>
      <c r="I132" s="183"/>
      <c r="J132" s="231"/>
    </row>
    <row r="133" spans="1:10" ht="31">
      <c r="A133" s="216">
        <v>3</v>
      </c>
      <c r="B133" s="217" t="s">
        <v>144</v>
      </c>
      <c r="C133" s="218"/>
      <c r="D133" s="219" t="s">
        <v>89</v>
      </c>
      <c r="E133" s="220" t="s">
        <v>35</v>
      </c>
      <c r="F133" s="221" t="s">
        <v>66</v>
      </c>
      <c r="G133" s="222">
        <v>6</v>
      </c>
      <c r="H133" s="183"/>
      <c r="I133" s="183"/>
      <c r="J133" s="231"/>
    </row>
    <row r="134" spans="1:10" ht="31">
      <c r="A134" s="216">
        <v>4</v>
      </c>
      <c r="B134" s="217" t="s">
        <v>68</v>
      </c>
      <c r="C134" s="218"/>
      <c r="D134" s="219" t="s">
        <v>89</v>
      </c>
      <c r="E134" s="220" t="s">
        <v>35</v>
      </c>
      <c r="F134" s="221" t="s">
        <v>66</v>
      </c>
      <c r="G134" s="222">
        <v>1</v>
      </c>
      <c r="H134" s="183"/>
      <c r="I134" s="183"/>
      <c r="J134" s="231"/>
    </row>
    <row r="135" spans="1:10" ht="31">
      <c r="A135" s="216">
        <v>5</v>
      </c>
      <c r="B135" s="217" t="s">
        <v>145</v>
      </c>
      <c r="C135" s="218"/>
      <c r="D135" s="219" t="s">
        <v>89</v>
      </c>
      <c r="E135" s="220" t="s">
        <v>35</v>
      </c>
      <c r="F135" s="221" t="s">
        <v>66</v>
      </c>
      <c r="G135" s="222">
        <v>1</v>
      </c>
      <c r="H135" s="183"/>
      <c r="I135" s="183"/>
      <c r="J135" s="231"/>
    </row>
    <row r="136" spans="1:10" ht="31">
      <c r="A136" s="216">
        <v>6</v>
      </c>
      <c r="B136" s="217" t="s">
        <v>69</v>
      </c>
      <c r="C136" s="218"/>
      <c r="D136" s="219" t="s">
        <v>89</v>
      </c>
      <c r="E136" s="220" t="s">
        <v>35</v>
      </c>
      <c r="F136" s="221" t="s">
        <v>66</v>
      </c>
      <c r="G136" s="222">
        <v>1</v>
      </c>
      <c r="H136" s="183"/>
      <c r="I136" s="183"/>
      <c r="J136" s="231"/>
    </row>
    <row r="137" spans="1:10" ht="31">
      <c r="A137" s="216">
        <v>7</v>
      </c>
      <c r="B137" s="217" t="s">
        <v>146</v>
      </c>
      <c r="C137" s="218"/>
      <c r="D137" s="219" t="s">
        <v>89</v>
      </c>
      <c r="E137" s="220" t="s">
        <v>35</v>
      </c>
      <c r="F137" s="221" t="s">
        <v>66</v>
      </c>
      <c r="G137" s="222">
        <v>2</v>
      </c>
      <c r="H137" s="183"/>
      <c r="I137" s="183"/>
      <c r="J137" s="231"/>
    </row>
    <row r="138" spans="1:10" ht="31">
      <c r="A138" s="216">
        <v>8</v>
      </c>
      <c r="B138" s="217" t="s">
        <v>147</v>
      </c>
      <c r="C138" s="218"/>
      <c r="D138" s="219" t="s">
        <v>89</v>
      </c>
      <c r="E138" s="220" t="s">
        <v>35</v>
      </c>
      <c r="F138" s="221" t="s">
        <v>66</v>
      </c>
      <c r="G138" s="222">
        <v>1</v>
      </c>
      <c r="H138" s="183"/>
      <c r="I138" s="183"/>
      <c r="J138" s="231"/>
    </row>
    <row r="139" spans="1:10" ht="31">
      <c r="A139" s="216">
        <v>9</v>
      </c>
      <c r="B139" s="217" t="s">
        <v>148</v>
      </c>
      <c r="C139" s="218"/>
      <c r="D139" s="219" t="s">
        <v>89</v>
      </c>
      <c r="E139" s="220" t="s">
        <v>35</v>
      </c>
      <c r="F139" s="221" t="s">
        <v>66</v>
      </c>
      <c r="G139" s="222">
        <v>1</v>
      </c>
      <c r="H139" s="183"/>
      <c r="I139" s="183"/>
      <c r="J139" s="231"/>
    </row>
    <row r="140" spans="1:10" ht="31">
      <c r="A140" s="216">
        <v>10</v>
      </c>
      <c r="B140" s="217" t="s">
        <v>149</v>
      </c>
      <c r="C140" s="218"/>
      <c r="D140" s="219" t="s">
        <v>89</v>
      </c>
      <c r="E140" s="220" t="s">
        <v>35</v>
      </c>
      <c r="F140" s="221" t="s">
        <v>66</v>
      </c>
      <c r="G140" s="222">
        <v>5</v>
      </c>
      <c r="H140" s="183"/>
      <c r="I140" s="183"/>
      <c r="J140" s="231"/>
    </row>
    <row r="141" spans="1:10" ht="31">
      <c r="A141" s="216">
        <v>11</v>
      </c>
      <c r="B141" s="217" t="s">
        <v>70</v>
      </c>
      <c r="C141" s="218"/>
      <c r="D141" s="219" t="s">
        <v>89</v>
      </c>
      <c r="E141" s="220" t="s">
        <v>35</v>
      </c>
      <c r="F141" s="221" t="s">
        <v>66</v>
      </c>
      <c r="G141" s="222">
        <v>1</v>
      </c>
      <c r="H141" s="183"/>
      <c r="I141" s="183"/>
      <c r="J141" s="231"/>
    </row>
    <row r="142" spans="1:10" ht="31">
      <c r="A142" s="216">
        <v>12</v>
      </c>
      <c r="B142" s="217" t="s">
        <v>71</v>
      </c>
      <c r="C142" s="218"/>
      <c r="D142" s="219" t="s">
        <v>89</v>
      </c>
      <c r="E142" s="220" t="s">
        <v>35</v>
      </c>
      <c r="F142" s="221" t="s">
        <v>66</v>
      </c>
      <c r="G142" s="222">
        <v>2</v>
      </c>
      <c r="H142" s="183"/>
      <c r="I142" s="183"/>
      <c r="J142" s="231"/>
    </row>
    <row r="143" spans="1:10" ht="31">
      <c r="A143" s="216">
        <v>13</v>
      </c>
      <c r="B143" s="217" t="s">
        <v>72</v>
      </c>
      <c r="C143" s="218"/>
      <c r="D143" s="219" t="s">
        <v>89</v>
      </c>
      <c r="E143" s="220" t="s">
        <v>35</v>
      </c>
      <c r="F143" s="221" t="s">
        <v>66</v>
      </c>
      <c r="G143" s="222">
        <v>7</v>
      </c>
      <c r="H143" s="183"/>
      <c r="I143" s="183"/>
      <c r="J143" s="231"/>
    </row>
    <row r="144" spans="1:10" ht="31">
      <c r="A144" s="216">
        <v>14</v>
      </c>
      <c r="B144" s="217" t="s">
        <v>73</v>
      </c>
      <c r="C144" s="218"/>
      <c r="D144" s="219" t="s">
        <v>89</v>
      </c>
      <c r="E144" s="220" t="s">
        <v>35</v>
      </c>
      <c r="F144" s="221" t="s">
        <v>66</v>
      </c>
      <c r="G144" s="222">
        <v>1</v>
      </c>
      <c r="H144" s="183"/>
      <c r="I144" s="183"/>
      <c r="J144" s="231"/>
    </row>
    <row r="145" spans="1:10" ht="31">
      <c r="A145" s="216">
        <v>15</v>
      </c>
      <c r="B145" s="217" t="s">
        <v>74</v>
      </c>
      <c r="C145" s="218"/>
      <c r="D145" s="219" t="s">
        <v>89</v>
      </c>
      <c r="E145" s="220" t="s">
        <v>35</v>
      </c>
      <c r="F145" s="221" t="s">
        <v>66</v>
      </c>
      <c r="G145" s="222">
        <v>3</v>
      </c>
      <c r="H145" s="183"/>
      <c r="I145" s="183"/>
      <c r="J145" s="231"/>
    </row>
    <row r="146" spans="1:10" ht="31">
      <c r="A146" s="216">
        <v>16</v>
      </c>
      <c r="B146" s="217" t="s">
        <v>75</v>
      </c>
      <c r="C146" s="218"/>
      <c r="D146" s="219" t="s">
        <v>89</v>
      </c>
      <c r="E146" s="220" t="s">
        <v>35</v>
      </c>
      <c r="F146" s="221" t="s">
        <v>66</v>
      </c>
      <c r="G146" s="222">
        <v>1</v>
      </c>
      <c r="H146" s="183"/>
      <c r="I146" s="183"/>
      <c r="J146" s="231"/>
    </row>
    <row r="147" spans="1:10" ht="31">
      <c r="A147" s="216">
        <v>17</v>
      </c>
      <c r="B147" s="217" t="s">
        <v>77</v>
      </c>
      <c r="C147" s="218"/>
      <c r="D147" s="219" t="s">
        <v>89</v>
      </c>
      <c r="E147" s="220" t="s">
        <v>35</v>
      </c>
      <c r="F147" s="221" t="s">
        <v>66</v>
      </c>
      <c r="G147" s="222">
        <v>1</v>
      </c>
      <c r="H147" s="183"/>
      <c r="I147" s="183"/>
      <c r="J147" s="231"/>
    </row>
    <row r="148" spans="1:10" ht="31">
      <c r="A148" s="216">
        <v>18</v>
      </c>
      <c r="B148" s="217" t="s">
        <v>76</v>
      </c>
      <c r="C148" s="218"/>
      <c r="D148" s="219" t="s">
        <v>89</v>
      </c>
      <c r="E148" s="220" t="s">
        <v>35</v>
      </c>
      <c r="F148" s="221" t="s">
        <v>66</v>
      </c>
      <c r="G148" s="222">
        <v>1</v>
      </c>
      <c r="H148" s="183"/>
      <c r="I148" s="183"/>
      <c r="J148" s="231"/>
    </row>
    <row r="149" spans="1:10" ht="31">
      <c r="A149" s="216">
        <v>19</v>
      </c>
      <c r="B149" s="217" t="s">
        <v>150</v>
      </c>
      <c r="C149" s="218"/>
      <c r="D149" s="219" t="s">
        <v>89</v>
      </c>
      <c r="E149" s="220" t="s">
        <v>35</v>
      </c>
      <c r="F149" s="221" t="s">
        <v>66</v>
      </c>
      <c r="G149" s="222">
        <v>1</v>
      </c>
      <c r="H149" s="183"/>
      <c r="I149" s="183"/>
      <c r="J149" s="231"/>
    </row>
    <row r="150" spans="1:10" ht="31">
      <c r="A150" s="216">
        <v>20</v>
      </c>
      <c r="B150" s="217" t="s">
        <v>79</v>
      </c>
      <c r="C150" s="218"/>
      <c r="D150" s="219" t="s">
        <v>89</v>
      </c>
      <c r="E150" s="220" t="s">
        <v>35</v>
      </c>
      <c r="F150" s="221" t="s">
        <v>66</v>
      </c>
      <c r="G150" s="222">
        <v>4</v>
      </c>
      <c r="H150" s="183"/>
      <c r="I150" s="183"/>
      <c r="J150" s="231"/>
    </row>
    <row r="151" spans="1:10" ht="31">
      <c r="A151" s="216">
        <v>21</v>
      </c>
      <c r="B151" s="217" t="s">
        <v>151</v>
      </c>
      <c r="C151" s="218"/>
      <c r="D151" s="219" t="s">
        <v>89</v>
      </c>
      <c r="E151" s="220" t="s">
        <v>35</v>
      </c>
      <c r="F151" s="221" t="s">
        <v>66</v>
      </c>
      <c r="G151" s="222">
        <v>1</v>
      </c>
      <c r="H151" s="183"/>
      <c r="I151" s="183"/>
      <c r="J151" s="231"/>
    </row>
    <row r="152" spans="1:10" ht="31">
      <c r="A152" s="216">
        <v>22</v>
      </c>
      <c r="B152" s="217" t="s">
        <v>80</v>
      </c>
      <c r="C152" s="218"/>
      <c r="D152" s="219" t="s">
        <v>89</v>
      </c>
      <c r="E152" s="220" t="s">
        <v>35</v>
      </c>
      <c r="F152" s="221" t="s">
        <v>66</v>
      </c>
      <c r="G152" s="222">
        <v>2</v>
      </c>
      <c r="H152" s="183"/>
      <c r="I152" s="183"/>
      <c r="J152" s="231"/>
    </row>
    <row r="153" spans="1:10" ht="31">
      <c r="A153" s="216">
        <v>23</v>
      </c>
      <c r="B153" s="217" t="s">
        <v>81</v>
      </c>
      <c r="C153" s="218"/>
      <c r="D153" s="219" t="s">
        <v>89</v>
      </c>
      <c r="E153" s="220" t="s">
        <v>35</v>
      </c>
      <c r="F153" s="221" t="s">
        <v>66</v>
      </c>
      <c r="G153" s="222">
        <v>1</v>
      </c>
      <c r="H153" s="183"/>
      <c r="I153" s="183"/>
      <c r="J153" s="231"/>
    </row>
    <row r="154" spans="1:10" ht="31">
      <c r="A154" s="216">
        <v>24</v>
      </c>
      <c r="B154" s="217" t="s">
        <v>82</v>
      </c>
      <c r="C154" s="218"/>
      <c r="D154" s="219" t="s">
        <v>89</v>
      </c>
      <c r="E154" s="220" t="s">
        <v>35</v>
      </c>
      <c r="F154" s="221" t="s">
        <v>66</v>
      </c>
      <c r="G154" s="222">
        <v>1</v>
      </c>
      <c r="H154" s="183"/>
      <c r="I154" s="183"/>
      <c r="J154" s="231"/>
    </row>
    <row r="155" spans="1:10" ht="31">
      <c r="A155" s="216">
        <v>25</v>
      </c>
      <c r="B155" s="217" t="s">
        <v>152</v>
      </c>
      <c r="C155" s="218"/>
      <c r="D155" s="219" t="s">
        <v>89</v>
      </c>
      <c r="E155" s="220" t="s">
        <v>35</v>
      </c>
      <c r="F155" s="221" t="s">
        <v>66</v>
      </c>
      <c r="G155" s="222">
        <v>1</v>
      </c>
      <c r="H155" s="183"/>
      <c r="I155" s="183"/>
      <c r="J155" s="231"/>
    </row>
    <row r="156" spans="1:10" ht="31">
      <c r="A156" s="216">
        <v>26</v>
      </c>
      <c r="B156" s="217" t="s">
        <v>153</v>
      </c>
      <c r="C156" s="218"/>
      <c r="D156" s="219" t="s">
        <v>89</v>
      </c>
      <c r="E156" s="220" t="s">
        <v>35</v>
      </c>
      <c r="F156" s="221" t="s">
        <v>66</v>
      </c>
      <c r="G156" s="222">
        <v>1</v>
      </c>
      <c r="H156" s="183"/>
      <c r="I156" s="183"/>
      <c r="J156" s="231"/>
    </row>
    <row r="157" spans="1:10" ht="31">
      <c r="A157" s="216">
        <v>27</v>
      </c>
      <c r="B157" s="217" t="s">
        <v>154</v>
      </c>
      <c r="C157" s="218"/>
      <c r="D157" s="219" t="s">
        <v>89</v>
      </c>
      <c r="E157" s="220" t="s">
        <v>35</v>
      </c>
      <c r="F157" s="221" t="s">
        <v>66</v>
      </c>
      <c r="G157" s="222">
        <v>1</v>
      </c>
      <c r="H157" s="183"/>
      <c r="I157" s="183"/>
      <c r="J157" s="231"/>
    </row>
    <row r="158" spans="1:10" ht="31">
      <c r="A158" s="216">
        <v>28</v>
      </c>
      <c r="B158" s="217" t="s">
        <v>83</v>
      </c>
      <c r="C158" s="218"/>
      <c r="D158" s="219" t="s">
        <v>89</v>
      </c>
      <c r="E158" s="220" t="s">
        <v>35</v>
      </c>
      <c r="F158" s="221" t="s">
        <v>66</v>
      </c>
      <c r="G158" s="222">
        <v>1</v>
      </c>
      <c r="H158" s="183"/>
      <c r="I158" s="183"/>
      <c r="J158" s="239"/>
    </row>
    <row r="159" spans="1:10" ht="31">
      <c r="A159" s="216">
        <v>29</v>
      </c>
      <c r="B159" s="217" t="s">
        <v>85</v>
      </c>
      <c r="C159" s="218"/>
      <c r="D159" s="219" t="s">
        <v>89</v>
      </c>
      <c r="E159" s="220" t="s">
        <v>35</v>
      </c>
      <c r="F159" s="221" t="s">
        <v>66</v>
      </c>
      <c r="G159" s="222">
        <v>1</v>
      </c>
      <c r="H159" s="183"/>
      <c r="I159" s="183"/>
      <c r="J159" s="239"/>
    </row>
    <row r="160" spans="1:10" ht="31">
      <c r="A160" s="216">
        <v>30</v>
      </c>
      <c r="B160" s="217" t="s">
        <v>87</v>
      </c>
      <c r="C160" s="218"/>
      <c r="D160" s="219" t="s">
        <v>89</v>
      </c>
      <c r="E160" s="220" t="s">
        <v>35</v>
      </c>
      <c r="F160" s="221" t="s">
        <v>66</v>
      </c>
      <c r="G160" s="222">
        <v>1</v>
      </c>
      <c r="H160" s="183"/>
      <c r="I160" s="183"/>
      <c r="J160" s="239"/>
    </row>
    <row r="161" spans="1:10" ht="31">
      <c r="A161" s="216">
        <v>31</v>
      </c>
      <c r="B161" s="217" t="s">
        <v>88</v>
      </c>
      <c r="C161" s="218"/>
      <c r="D161" s="219" t="s">
        <v>89</v>
      </c>
      <c r="E161" s="220" t="s">
        <v>35</v>
      </c>
      <c r="F161" s="221" t="s">
        <v>66</v>
      </c>
      <c r="G161" s="222">
        <v>2</v>
      </c>
      <c r="H161" s="183"/>
      <c r="I161" s="183"/>
      <c r="J161" s="239"/>
    </row>
    <row r="162" spans="1:10" ht="31">
      <c r="A162" s="216">
        <v>32</v>
      </c>
      <c r="B162" s="217" t="s">
        <v>155</v>
      </c>
      <c r="C162" s="218"/>
      <c r="D162" s="219" t="s">
        <v>89</v>
      </c>
      <c r="E162" s="220" t="s">
        <v>35</v>
      </c>
      <c r="F162" s="221" t="s">
        <v>66</v>
      </c>
      <c r="G162" s="222">
        <v>1</v>
      </c>
      <c r="H162" s="183"/>
      <c r="I162" s="183"/>
      <c r="J162" s="239"/>
    </row>
    <row r="163" spans="1:10">
      <c r="A163" s="216">
        <v>33</v>
      </c>
      <c r="B163" s="217" t="s">
        <v>91</v>
      </c>
      <c r="C163" s="218"/>
      <c r="D163" s="219" t="s">
        <v>89</v>
      </c>
      <c r="E163" s="220" t="s">
        <v>35</v>
      </c>
      <c r="F163" s="221" t="s">
        <v>66</v>
      </c>
      <c r="G163" s="222">
        <v>76</v>
      </c>
      <c r="H163" s="183"/>
      <c r="I163" s="183"/>
      <c r="J163" s="239"/>
    </row>
    <row r="164" spans="1:10">
      <c r="A164" s="216">
        <v>34</v>
      </c>
      <c r="B164" s="217" t="s">
        <v>92</v>
      </c>
      <c r="C164" s="218"/>
      <c r="D164" s="219" t="s">
        <v>89</v>
      </c>
      <c r="E164" s="220" t="s">
        <v>35</v>
      </c>
      <c r="F164" s="221" t="s">
        <v>66</v>
      </c>
      <c r="G164" s="222">
        <v>23</v>
      </c>
      <c r="H164" s="183"/>
      <c r="I164" s="183"/>
      <c r="J164" s="239"/>
    </row>
    <row r="165" spans="1:10">
      <c r="A165" s="216">
        <v>35</v>
      </c>
      <c r="B165" s="217" t="s">
        <v>156</v>
      </c>
      <c r="C165" s="218"/>
      <c r="D165" s="219" t="s">
        <v>89</v>
      </c>
      <c r="E165" s="220" t="s">
        <v>35</v>
      </c>
      <c r="F165" s="221" t="s">
        <v>66</v>
      </c>
      <c r="G165" s="222">
        <v>29</v>
      </c>
      <c r="H165" s="183"/>
      <c r="I165" s="183"/>
      <c r="J165" s="239"/>
    </row>
    <row r="166" spans="1:10">
      <c r="A166" s="216">
        <v>36</v>
      </c>
      <c r="B166" s="217" t="s">
        <v>157</v>
      </c>
      <c r="C166" s="218"/>
      <c r="D166" s="219" t="s">
        <v>89</v>
      </c>
      <c r="E166" s="220" t="s">
        <v>35</v>
      </c>
      <c r="F166" s="221" t="s">
        <v>66</v>
      </c>
      <c r="G166" s="222">
        <v>21</v>
      </c>
      <c r="H166" s="183"/>
      <c r="I166" s="183"/>
      <c r="J166" s="239"/>
    </row>
    <row r="167" spans="1:10">
      <c r="A167" s="216">
        <v>37</v>
      </c>
      <c r="B167" s="217" t="s">
        <v>158</v>
      </c>
      <c r="C167" s="218"/>
      <c r="D167" s="219" t="s">
        <v>89</v>
      </c>
      <c r="E167" s="220" t="s">
        <v>35</v>
      </c>
      <c r="F167" s="221" t="s">
        <v>66</v>
      </c>
      <c r="G167" s="222">
        <v>2</v>
      </c>
      <c r="H167" s="183"/>
      <c r="I167" s="183"/>
      <c r="J167" s="239"/>
    </row>
    <row r="168" spans="1:10">
      <c r="A168" s="216">
        <v>38</v>
      </c>
      <c r="B168" s="217" t="s">
        <v>159</v>
      </c>
      <c r="C168" s="218"/>
      <c r="D168" s="219" t="s">
        <v>89</v>
      </c>
      <c r="E168" s="220" t="s">
        <v>35</v>
      </c>
      <c r="F168" s="221" t="s">
        <v>66</v>
      </c>
      <c r="G168" s="222">
        <v>3</v>
      </c>
      <c r="H168" s="183"/>
      <c r="I168" s="183"/>
      <c r="J168" s="239"/>
    </row>
    <row r="169" spans="1:10">
      <c r="A169" s="216">
        <v>39</v>
      </c>
      <c r="B169" s="217" t="s">
        <v>160</v>
      </c>
      <c r="C169" s="218"/>
      <c r="D169" s="219" t="s">
        <v>89</v>
      </c>
      <c r="E169" s="220" t="s">
        <v>35</v>
      </c>
      <c r="F169" s="221" t="s">
        <v>66</v>
      </c>
      <c r="G169" s="222">
        <v>8</v>
      </c>
      <c r="H169" s="183"/>
      <c r="I169" s="183"/>
      <c r="J169" s="239"/>
    </row>
    <row r="170" spans="1:10">
      <c r="A170" s="216">
        <v>40</v>
      </c>
      <c r="B170" s="217" t="s">
        <v>93</v>
      </c>
      <c r="C170" s="218"/>
      <c r="D170" s="219" t="s">
        <v>89</v>
      </c>
      <c r="E170" s="220" t="s">
        <v>35</v>
      </c>
      <c r="F170" s="221" t="s">
        <v>66</v>
      </c>
      <c r="G170" s="222">
        <v>3</v>
      </c>
      <c r="H170" s="183"/>
      <c r="I170" s="183"/>
      <c r="J170" s="239"/>
    </row>
    <row r="171" spans="1:10">
      <c r="A171" s="216">
        <v>41</v>
      </c>
      <c r="B171" s="217" t="s">
        <v>161</v>
      </c>
      <c r="C171" s="218"/>
      <c r="D171" s="219" t="s">
        <v>89</v>
      </c>
      <c r="E171" s="220" t="s">
        <v>35</v>
      </c>
      <c r="F171" s="221" t="s">
        <v>66</v>
      </c>
      <c r="G171" s="222">
        <v>2</v>
      </c>
      <c r="H171" s="183"/>
      <c r="I171" s="183"/>
      <c r="J171" s="239"/>
    </row>
    <row r="172" spans="1:10">
      <c r="A172" s="216">
        <v>42</v>
      </c>
      <c r="B172" s="217" t="s">
        <v>162</v>
      </c>
      <c r="C172" s="218"/>
      <c r="D172" s="219" t="s">
        <v>89</v>
      </c>
      <c r="E172" s="220" t="s">
        <v>35</v>
      </c>
      <c r="F172" s="221" t="s">
        <v>66</v>
      </c>
      <c r="G172" s="222">
        <v>1</v>
      </c>
      <c r="H172" s="183"/>
      <c r="I172" s="183"/>
      <c r="J172" s="239"/>
    </row>
    <row r="173" spans="1:10">
      <c r="A173" s="216">
        <v>43</v>
      </c>
      <c r="B173" s="217" t="s">
        <v>95</v>
      </c>
      <c r="C173" s="218"/>
      <c r="D173" s="219" t="s">
        <v>89</v>
      </c>
      <c r="E173" s="220" t="s">
        <v>35</v>
      </c>
      <c r="F173" s="221" t="s">
        <v>66</v>
      </c>
      <c r="G173" s="222">
        <v>4</v>
      </c>
      <c r="H173" s="183"/>
      <c r="I173" s="183"/>
      <c r="J173" s="239"/>
    </row>
    <row r="174" spans="1:10">
      <c r="A174" s="216">
        <v>44</v>
      </c>
      <c r="B174" s="217" t="s">
        <v>163</v>
      </c>
      <c r="C174" s="218"/>
      <c r="D174" s="219" t="s">
        <v>89</v>
      </c>
      <c r="E174" s="220" t="s">
        <v>35</v>
      </c>
      <c r="F174" s="221" t="s">
        <v>66</v>
      </c>
      <c r="G174" s="222">
        <v>2</v>
      </c>
      <c r="H174" s="183"/>
      <c r="I174" s="183"/>
      <c r="J174" s="239"/>
    </row>
    <row r="175" spans="1:10">
      <c r="A175" s="216">
        <v>45</v>
      </c>
      <c r="B175" s="217" t="s">
        <v>96</v>
      </c>
      <c r="C175" s="218"/>
      <c r="D175" s="219" t="s">
        <v>89</v>
      </c>
      <c r="E175" s="220" t="s">
        <v>35</v>
      </c>
      <c r="F175" s="221" t="s">
        <v>66</v>
      </c>
      <c r="G175" s="222">
        <v>3</v>
      </c>
      <c r="H175" s="183"/>
      <c r="I175" s="183"/>
      <c r="J175" s="239"/>
    </row>
    <row r="176" spans="1:10">
      <c r="A176" s="216">
        <v>46</v>
      </c>
      <c r="B176" s="217" t="s">
        <v>97</v>
      </c>
      <c r="C176" s="218"/>
      <c r="D176" s="219" t="s">
        <v>89</v>
      </c>
      <c r="E176" s="220" t="s">
        <v>35</v>
      </c>
      <c r="F176" s="221" t="s">
        <v>66</v>
      </c>
      <c r="G176" s="222">
        <v>4</v>
      </c>
      <c r="H176" s="183"/>
      <c r="I176" s="183"/>
      <c r="J176" s="239"/>
    </row>
    <row r="177" spans="1:10">
      <c r="A177" s="216">
        <v>47</v>
      </c>
      <c r="B177" s="217" t="s">
        <v>98</v>
      </c>
      <c r="C177" s="218"/>
      <c r="D177" s="219" t="s">
        <v>89</v>
      </c>
      <c r="E177" s="220" t="s">
        <v>35</v>
      </c>
      <c r="F177" s="221" t="s">
        <v>66</v>
      </c>
      <c r="G177" s="222">
        <v>5</v>
      </c>
      <c r="H177" s="183"/>
      <c r="I177" s="183"/>
      <c r="J177" s="239"/>
    </row>
    <row r="178" spans="1:10">
      <c r="A178" s="216">
        <v>48</v>
      </c>
      <c r="B178" s="217" t="s">
        <v>99</v>
      </c>
      <c r="C178" s="218"/>
      <c r="D178" s="219" t="s">
        <v>89</v>
      </c>
      <c r="E178" s="220" t="s">
        <v>35</v>
      </c>
      <c r="F178" s="221" t="s">
        <v>66</v>
      </c>
      <c r="G178" s="222">
        <v>1</v>
      </c>
      <c r="H178" s="183"/>
      <c r="I178" s="183"/>
      <c r="J178" s="239"/>
    </row>
    <row r="179" spans="1:10">
      <c r="A179" s="216">
        <v>49</v>
      </c>
      <c r="B179" s="217" t="s">
        <v>164</v>
      </c>
      <c r="C179" s="218"/>
      <c r="D179" s="219" t="s">
        <v>89</v>
      </c>
      <c r="E179" s="220" t="s">
        <v>35</v>
      </c>
      <c r="F179" s="221" t="s">
        <v>66</v>
      </c>
      <c r="G179" s="222">
        <v>2</v>
      </c>
      <c r="H179" s="183"/>
      <c r="I179" s="183"/>
      <c r="J179" s="239"/>
    </row>
    <row r="180" spans="1:10">
      <c r="A180" s="216">
        <v>50</v>
      </c>
      <c r="B180" s="217" t="s">
        <v>165</v>
      </c>
      <c r="C180" s="218"/>
      <c r="D180" s="219" t="s">
        <v>89</v>
      </c>
      <c r="E180" s="220" t="s">
        <v>35</v>
      </c>
      <c r="F180" s="221" t="s">
        <v>66</v>
      </c>
      <c r="G180" s="222">
        <v>2</v>
      </c>
      <c r="H180" s="183"/>
      <c r="I180" s="183"/>
      <c r="J180" s="239"/>
    </row>
    <row r="181" spans="1:10">
      <c r="A181" s="216">
        <v>51</v>
      </c>
      <c r="B181" s="217" t="s">
        <v>166</v>
      </c>
      <c r="C181" s="218"/>
      <c r="D181" s="219" t="s">
        <v>89</v>
      </c>
      <c r="E181" s="220" t="s">
        <v>35</v>
      </c>
      <c r="F181" s="221" t="s">
        <v>66</v>
      </c>
      <c r="G181" s="222">
        <v>3</v>
      </c>
      <c r="H181" s="183"/>
      <c r="I181" s="183"/>
      <c r="J181" s="239"/>
    </row>
    <row r="182" spans="1:10">
      <c r="A182" s="216">
        <v>52</v>
      </c>
      <c r="B182" s="217" t="s">
        <v>167</v>
      </c>
      <c r="C182" s="218"/>
      <c r="D182" s="219" t="s">
        <v>89</v>
      </c>
      <c r="E182" s="220" t="s">
        <v>35</v>
      </c>
      <c r="F182" s="221" t="s">
        <v>66</v>
      </c>
      <c r="G182" s="222">
        <v>3</v>
      </c>
      <c r="H182" s="183"/>
      <c r="I182" s="183"/>
      <c r="J182" s="239"/>
    </row>
    <row r="183" spans="1:10">
      <c r="A183" s="216">
        <v>53</v>
      </c>
      <c r="B183" s="217" t="s">
        <v>101</v>
      </c>
      <c r="C183" s="218"/>
      <c r="D183" s="219" t="s">
        <v>89</v>
      </c>
      <c r="E183" s="220" t="s">
        <v>35</v>
      </c>
      <c r="F183" s="221" t="s">
        <v>66</v>
      </c>
      <c r="G183" s="222">
        <v>3</v>
      </c>
      <c r="H183" s="183"/>
      <c r="I183" s="183"/>
      <c r="J183" s="239"/>
    </row>
    <row r="184" spans="1:10">
      <c r="A184" s="216">
        <v>54</v>
      </c>
      <c r="B184" s="217" t="s">
        <v>168</v>
      </c>
      <c r="C184" s="218"/>
      <c r="D184" s="219" t="s">
        <v>89</v>
      </c>
      <c r="E184" s="220" t="s">
        <v>35</v>
      </c>
      <c r="F184" s="221" t="s">
        <v>66</v>
      </c>
      <c r="G184" s="222">
        <v>1</v>
      </c>
      <c r="H184" s="183"/>
      <c r="I184" s="183"/>
      <c r="J184" s="239"/>
    </row>
    <row r="185" spans="1:10">
      <c r="A185" s="216">
        <v>55</v>
      </c>
      <c r="B185" s="217" t="s">
        <v>103</v>
      </c>
      <c r="C185" s="218"/>
      <c r="D185" s="219" t="s">
        <v>89</v>
      </c>
      <c r="E185" s="220" t="s">
        <v>35</v>
      </c>
      <c r="F185" s="221" t="s">
        <v>66</v>
      </c>
      <c r="G185" s="222">
        <v>8</v>
      </c>
      <c r="H185" s="183"/>
      <c r="I185" s="183"/>
      <c r="J185" s="239"/>
    </row>
    <row r="186" spans="1:10">
      <c r="A186" s="216">
        <v>56</v>
      </c>
      <c r="B186" s="217" t="s">
        <v>169</v>
      </c>
      <c r="C186" s="218"/>
      <c r="D186" s="219" t="s">
        <v>89</v>
      </c>
      <c r="E186" s="220" t="s">
        <v>35</v>
      </c>
      <c r="F186" s="221" t="s">
        <v>66</v>
      </c>
      <c r="G186" s="222">
        <v>2</v>
      </c>
      <c r="H186" s="183"/>
      <c r="I186" s="183"/>
      <c r="J186" s="239"/>
    </row>
    <row r="187" spans="1:10">
      <c r="A187" s="216">
        <v>57</v>
      </c>
      <c r="B187" s="217" t="s">
        <v>170</v>
      </c>
      <c r="C187" s="218"/>
      <c r="D187" s="219" t="s">
        <v>89</v>
      </c>
      <c r="E187" s="220" t="s">
        <v>35</v>
      </c>
      <c r="F187" s="221" t="s">
        <v>66</v>
      </c>
      <c r="G187" s="222">
        <v>3</v>
      </c>
      <c r="H187" s="183"/>
      <c r="I187" s="183"/>
      <c r="J187" s="239"/>
    </row>
    <row r="188" spans="1:10">
      <c r="A188" s="216">
        <v>58</v>
      </c>
      <c r="B188" s="217" t="s">
        <v>171</v>
      </c>
      <c r="C188" s="218"/>
      <c r="D188" s="219" t="s">
        <v>89</v>
      </c>
      <c r="E188" s="220" t="s">
        <v>35</v>
      </c>
      <c r="F188" s="221" t="s">
        <v>66</v>
      </c>
      <c r="G188" s="222">
        <v>1</v>
      </c>
      <c r="H188" s="183"/>
      <c r="I188" s="183"/>
      <c r="J188" s="239"/>
    </row>
    <row r="189" spans="1:10">
      <c r="A189" s="216">
        <v>59</v>
      </c>
      <c r="B189" s="217" t="s">
        <v>172</v>
      </c>
      <c r="C189" s="218"/>
      <c r="D189" s="219" t="s">
        <v>89</v>
      </c>
      <c r="E189" s="220" t="s">
        <v>35</v>
      </c>
      <c r="F189" s="221" t="s">
        <v>66</v>
      </c>
      <c r="G189" s="222">
        <v>1</v>
      </c>
      <c r="H189" s="183"/>
      <c r="I189" s="183"/>
      <c r="J189" s="239"/>
    </row>
    <row r="190" spans="1:10">
      <c r="A190" s="216">
        <v>60</v>
      </c>
      <c r="B190" s="217" t="s">
        <v>105</v>
      </c>
      <c r="C190" s="218"/>
      <c r="D190" s="219" t="s">
        <v>89</v>
      </c>
      <c r="E190" s="220" t="s">
        <v>35</v>
      </c>
      <c r="F190" s="221" t="s">
        <v>66</v>
      </c>
      <c r="G190" s="222">
        <v>11</v>
      </c>
      <c r="H190" s="183"/>
      <c r="I190" s="183"/>
      <c r="J190" s="239"/>
    </row>
    <row r="191" spans="1:10">
      <c r="A191" s="216">
        <v>61</v>
      </c>
      <c r="B191" s="217" t="s">
        <v>106</v>
      </c>
      <c r="C191" s="218"/>
      <c r="D191" s="219" t="s">
        <v>89</v>
      </c>
      <c r="E191" s="220" t="s">
        <v>35</v>
      </c>
      <c r="F191" s="221" t="s">
        <v>66</v>
      </c>
      <c r="G191" s="222">
        <v>2</v>
      </c>
      <c r="H191" s="183"/>
      <c r="I191" s="183"/>
      <c r="J191" s="239"/>
    </row>
    <row r="192" spans="1:10">
      <c r="A192" s="216">
        <v>62</v>
      </c>
      <c r="B192" s="217" t="s">
        <v>107</v>
      </c>
      <c r="C192" s="218"/>
      <c r="D192" s="219" t="s">
        <v>89</v>
      </c>
      <c r="E192" s="220" t="s">
        <v>35</v>
      </c>
      <c r="F192" s="221" t="s">
        <v>66</v>
      </c>
      <c r="G192" s="222">
        <v>6</v>
      </c>
      <c r="H192" s="183"/>
      <c r="I192" s="183"/>
      <c r="J192" s="239"/>
    </row>
    <row r="193" spans="1:10">
      <c r="A193" s="216">
        <v>63</v>
      </c>
      <c r="B193" s="217" t="s">
        <v>108</v>
      </c>
      <c r="C193" s="218"/>
      <c r="D193" s="219" t="s">
        <v>89</v>
      </c>
      <c r="E193" s="220" t="s">
        <v>35</v>
      </c>
      <c r="F193" s="221" t="s">
        <v>66</v>
      </c>
      <c r="G193" s="222">
        <v>1</v>
      </c>
      <c r="H193" s="183"/>
      <c r="I193" s="183"/>
      <c r="J193" s="239"/>
    </row>
    <row r="194" spans="1:10">
      <c r="A194" s="216">
        <v>64</v>
      </c>
      <c r="B194" s="217" t="s">
        <v>173</v>
      </c>
      <c r="C194" s="218"/>
      <c r="D194" s="219" t="s">
        <v>89</v>
      </c>
      <c r="E194" s="220" t="s">
        <v>35</v>
      </c>
      <c r="F194" s="221" t="s">
        <v>66</v>
      </c>
      <c r="G194" s="222">
        <v>3</v>
      </c>
      <c r="H194" s="183"/>
      <c r="I194" s="183"/>
      <c r="J194" s="239"/>
    </row>
    <row r="195" spans="1:10">
      <c r="A195" s="216">
        <v>65</v>
      </c>
      <c r="B195" s="217" t="s">
        <v>174</v>
      </c>
      <c r="C195" s="218"/>
      <c r="D195" s="219" t="s">
        <v>89</v>
      </c>
      <c r="E195" s="220" t="s">
        <v>35</v>
      </c>
      <c r="F195" s="221" t="s">
        <v>66</v>
      </c>
      <c r="G195" s="222">
        <v>2</v>
      </c>
      <c r="H195" s="183"/>
      <c r="I195" s="183"/>
      <c r="J195" s="239"/>
    </row>
    <row r="196" spans="1:10">
      <c r="A196" s="216">
        <v>66</v>
      </c>
      <c r="B196" s="217" t="s">
        <v>175</v>
      </c>
      <c r="C196" s="218"/>
      <c r="D196" s="219" t="s">
        <v>89</v>
      </c>
      <c r="E196" s="220" t="s">
        <v>35</v>
      </c>
      <c r="F196" s="221" t="s">
        <v>66</v>
      </c>
      <c r="G196" s="222">
        <v>2</v>
      </c>
      <c r="H196" s="183"/>
      <c r="I196" s="183"/>
      <c r="J196" s="239"/>
    </row>
    <row r="197" spans="1:10">
      <c r="A197" s="216">
        <v>67</v>
      </c>
      <c r="B197" s="217" t="s">
        <v>176</v>
      </c>
      <c r="C197" s="218"/>
      <c r="D197" s="219" t="s">
        <v>89</v>
      </c>
      <c r="E197" s="220" t="s">
        <v>35</v>
      </c>
      <c r="F197" s="221" t="s">
        <v>66</v>
      </c>
      <c r="G197" s="222">
        <v>1</v>
      </c>
      <c r="H197" s="183"/>
      <c r="I197" s="183"/>
      <c r="J197" s="239"/>
    </row>
    <row r="198" spans="1:10">
      <c r="A198" s="216">
        <v>68</v>
      </c>
      <c r="B198" s="217" t="s">
        <v>177</v>
      </c>
      <c r="C198" s="218"/>
      <c r="D198" s="219" t="s">
        <v>89</v>
      </c>
      <c r="E198" s="220" t="s">
        <v>35</v>
      </c>
      <c r="F198" s="221" t="s">
        <v>66</v>
      </c>
      <c r="G198" s="222">
        <v>4</v>
      </c>
      <c r="H198" s="183"/>
      <c r="I198" s="183"/>
      <c r="J198" s="239"/>
    </row>
    <row r="199" spans="1:10">
      <c r="A199" s="216">
        <v>69</v>
      </c>
      <c r="B199" s="217" t="s">
        <v>178</v>
      </c>
      <c r="C199" s="218"/>
      <c r="D199" s="219" t="s">
        <v>89</v>
      </c>
      <c r="E199" s="220" t="s">
        <v>35</v>
      </c>
      <c r="F199" s="221" t="s">
        <v>66</v>
      </c>
      <c r="G199" s="222">
        <v>2</v>
      </c>
      <c r="H199" s="183"/>
      <c r="I199" s="183"/>
      <c r="J199" s="239"/>
    </row>
    <row r="200" spans="1:10">
      <c r="A200" s="216">
        <v>70</v>
      </c>
      <c r="B200" s="217" t="s">
        <v>179</v>
      </c>
      <c r="C200" s="218"/>
      <c r="D200" s="219" t="s">
        <v>89</v>
      </c>
      <c r="E200" s="220" t="s">
        <v>35</v>
      </c>
      <c r="F200" s="221" t="s">
        <v>66</v>
      </c>
      <c r="G200" s="222">
        <v>3</v>
      </c>
      <c r="H200" s="183"/>
      <c r="I200" s="183"/>
      <c r="J200" s="239"/>
    </row>
    <row r="201" spans="1:10" ht="31">
      <c r="A201" s="216">
        <v>71</v>
      </c>
      <c r="B201" s="217" t="s">
        <v>114</v>
      </c>
      <c r="C201" s="218"/>
      <c r="D201" s="219" t="s">
        <v>89</v>
      </c>
      <c r="E201" s="220" t="s">
        <v>35</v>
      </c>
      <c r="F201" s="221" t="s">
        <v>66</v>
      </c>
      <c r="G201" s="222">
        <v>8</v>
      </c>
      <c r="H201" s="183"/>
      <c r="I201" s="183"/>
      <c r="J201" s="239"/>
    </row>
    <row r="202" spans="1:10" ht="31">
      <c r="A202" s="216">
        <v>72</v>
      </c>
      <c r="B202" s="217" t="s">
        <v>180</v>
      </c>
      <c r="C202" s="218"/>
      <c r="D202" s="219" t="s">
        <v>89</v>
      </c>
      <c r="E202" s="220" t="s">
        <v>35</v>
      </c>
      <c r="F202" s="221" t="s">
        <v>66</v>
      </c>
      <c r="G202" s="222">
        <v>4</v>
      </c>
      <c r="H202" s="183"/>
      <c r="I202" s="183"/>
      <c r="J202" s="239"/>
    </row>
    <row r="203" spans="1:10" ht="31">
      <c r="A203" s="216">
        <v>73</v>
      </c>
      <c r="B203" s="217" t="s">
        <v>181</v>
      </c>
      <c r="C203" s="218"/>
      <c r="D203" s="219" t="s">
        <v>89</v>
      </c>
      <c r="E203" s="220" t="s">
        <v>35</v>
      </c>
      <c r="F203" s="221" t="s">
        <v>66</v>
      </c>
      <c r="G203" s="222">
        <v>1</v>
      </c>
      <c r="H203" s="183"/>
      <c r="I203" s="183"/>
      <c r="J203" s="239"/>
    </row>
    <row r="204" spans="1:10" ht="31">
      <c r="A204" s="216">
        <v>74</v>
      </c>
      <c r="B204" s="217" t="s">
        <v>182</v>
      </c>
      <c r="C204" s="218"/>
      <c r="D204" s="219" t="s">
        <v>89</v>
      </c>
      <c r="E204" s="220" t="s">
        <v>35</v>
      </c>
      <c r="F204" s="221" t="s">
        <v>66</v>
      </c>
      <c r="G204" s="222">
        <v>1</v>
      </c>
      <c r="H204" s="183"/>
      <c r="I204" s="183"/>
      <c r="J204" s="239"/>
    </row>
    <row r="205" spans="1:10">
      <c r="A205" s="210"/>
      <c r="B205" s="211" t="s">
        <v>116</v>
      </c>
      <c r="C205" s="212"/>
      <c r="D205" s="240"/>
      <c r="E205" s="213"/>
      <c r="F205" s="214"/>
      <c r="G205" s="232"/>
      <c r="H205" s="183"/>
      <c r="I205" s="183"/>
      <c r="J205" s="239"/>
    </row>
    <row r="206" spans="1:10">
      <c r="A206" s="216">
        <v>75</v>
      </c>
      <c r="B206" s="217" t="s">
        <v>183</v>
      </c>
      <c r="C206" s="233"/>
      <c r="D206" s="219" t="s">
        <v>65</v>
      </c>
      <c r="E206" s="220" t="s">
        <v>35</v>
      </c>
      <c r="F206" s="221" t="s">
        <v>66</v>
      </c>
      <c r="G206" s="222">
        <v>48</v>
      </c>
      <c r="H206" s="183"/>
      <c r="I206" s="183"/>
      <c r="J206" s="239"/>
    </row>
    <row r="207" spans="1:10">
      <c r="A207" s="216">
        <v>76</v>
      </c>
      <c r="B207" s="217" t="s">
        <v>184</v>
      </c>
      <c r="C207" s="233"/>
      <c r="D207" s="219" t="s">
        <v>65</v>
      </c>
      <c r="E207" s="220" t="s">
        <v>35</v>
      </c>
      <c r="F207" s="221" t="s">
        <v>66</v>
      </c>
      <c r="G207" s="222">
        <v>2</v>
      </c>
      <c r="H207" s="183"/>
      <c r="I207" s="183"/>
      <c r="J207" s="239"/>
    </row>
    <row r="208" spans="1:10">
      <c r="A208" s="216">
        <v>77</v>
      </c>
      <c r="B208" s="217" t="s">
        <v>185</v>
      </c>
      <c r="C208" s="233"/>
      <c r="D208" s="219" t="s">
        <v>65</v>
      </c>
      <c r="E208" s="220" t="s">
        <v>35</v>
      </c>
      <c r="F208" s="221" t="s">
        <v>66</v>
      </c>
      <c r="G208" s="222">
        <v>2</v>
      </c>
      <c r="H208" s="183"/>
      <c r="I208" s="183"/>
      <c r="J208" s="239"/>
    </row>
    <row r="209" spans="1:10">
      <c r="A209" s="210"/>
      <c r="B209" s="211" t="s">
        <v>186</v>
      </c>
      <c r="C209" s="212"/>
      <c r="D209" s="241"/>
      <c r="E209" s="242"/>
      <c r="F209" s="214"/>
      <c r="G209" s="232"/>
      <c r="H209" s="183"/>
      <c r="I209" s="183"/>
      <c r="J209" s="239"/>
    </row>
    <row r="210" spans="1:10">
      <c r="A210" s="216">
        <v>95</v>
      </c>
      <c r="B210" s="217" t="s">
        <v>187</v>
      </c>
      <c r="C210" s="233"/>
      <c r="D210" s="219" t="s">
        <v>65</v>
      </c>
      <c r="E210" s="220" t="s">
        <v>35</v>
      </c>
      <c r="F210" s="221" t="s">
        <v>128</v>
      </c>
      <c r="G210" s="222">
        <v>1</v>
      </c>
      <c r="H210" s="183"/>
      <c r="I210" s="183"/>
      <c r="J210" s="239"/>
    </row>
    <row r="211" spans="1:10">
      <c r="A211" s="216">
        <v>96</v>
      </c>
      <c r="B211" s="217" t="s">
        <v>130</v>
      </c>
      <c r="C211" s="233"/>
      <c r="D211" s="219" t="s">
        <v>65</v>
      </c>
      <c r="E211" s="220" t="s">
        <v>35</v>
      </c>
      <c r="F211" s="221" t="s">
        <v>128</v>
      </c>
      <c r="G211" s="222">
        <v>2</v>
      </c>
      <c r="H211" s="183"/>
      <c r="I211" s="183"/>
      <c r="J211" s="239"/>
    </row>
    <row r="212" spans="1:10">
      <c r="A212" s="216">
        <v>97</v>
      </c>
      <c r="B212" s="217" t="s">
        <v>131</v>
      </c>
      <c r="C212" s="233"/>
      <c r="D212" s="219" t="s">
        <v>65</v>
      </c>
      <c r="E212" s="220" t="s">
        <v>35</v>
      </c>
      <c r="F212" s="221" t="s">
        <v>128</v>
      </c>
      <c r="G212" s="222">
        <v>1</v>
      </c>
      <c r="H212" s="183"/>
      <c r="I212" s="183"/>
      <c r="J212" s="239"/>
    </row>
    <row r="213" spans="1:10">
      <c r="A213" s="216">
        <v>98</v>
      </c>
      <c r="B213" s="217" t="s">
        <v>132</v>
      </c>
      <c r="C213" s="233"/>
      <c r="D213" s="219" t="s">
        <v>65</v>
      </c>
      <c r="E213" s="220" t="s">
        <v>35</v>
      </c>
      <c r="F213" s="221" t="s">
        <v>128</v>
      </c>
      <c r="G213" s="222">
        <v>1</v>
      </c>
      <c r="H213" s="183"/>
      <c r="I213" s="183"/>
      <c r="J213" s="239"/>
    </row>
    <row r="214" spans="1:10">
      <c r="A214" s="216">
        <v>99</v>
      </c>
      <c r="B214" s="217" t="s">
        <v>188</v>
      </c>
      <c r="C214" s="233"/>
      <c r="D214" s="219" t="s">
        <v>65</v>
      </c>
      <c r="E214" s="220" t="s">
        <v>35</v>
      </c>
      <c r="F214" s="221" t="s">
        <v>128</v>
      </c>
      <c r="G214" s="222">
        <v>1</v>
      </c>
      <c r="H214" s="183"/>
      <c r="I214" s="183"/>
      <c r="J214" s="239"/>
    </row>
    <row r="215" spans="1:10">
      <c r="A215" s="216">
        <v>100</v>
      </c>
      <c r="B215" s="217" t="s">
        <v>189</v>
      </c>
      <c r="C215" s="233"/>
      <c r="D215" s="219" t="s">
        <v>65</v>
      </c>
      <c r="E215" s="220" t="s">
        <v>35</v>
      </c>
      <c r="F215" s="221" t="s">
        <v>128</v>
      </c>
      <c r="G215" s="222">
        <v>2</v>
      </c>
      <c r="H215" s="183"/>
      <c r="I215" s="183"/>
      <c r="J215" s="239"/>
    </row>
    <row r="216" spans="1:10">
      <c r="A216" s="216">
        <v>101</v>
      </c>
      <c r="B216" s="217" t="s">
        <v>133</v>
      </c>
      <c r="C216" s="233"/>
      <c r="D216" s="219" t="s">
        <v>65</v>
      </c>
      <c r="E216" s="220" t="s">
        <v>35</v>
      </c>
      <c r="F216" s="221" t="s">
        <v>128</v>
      </c>
      <c r="G216" s="222">
        <v>1</v>
      </c>
      <c r="H216" s="183"/>
      <c r="I216" s="183"/>
      <c r="J216" s="239"/>
    </row>
    <row r="217" spans="1:10">
      <c r="A217" s="216">
        <v>102</v>
      </c>
      <c r="B217" s="217" t="s">
        <v>134</v>
      </c>
      <c r="C217" s="233"/>
      <c r="D217" s="219" t="s">
        <v>65</v>
      </c>
      <c r="E217" s="220" t="s">
        <v>35</v>
      </c>
      <c r="F217" s="221" t="s">
        <v>128</v>
      </c>
      <c r="G217" s="222">
        <v>2</v>
      </c>
      <c r="H217" s="183"/>
      <c r="I217" s="183"/>
      <c r="J217" s="239"/>
    </row>
    <row r="218" spans="1:10">
      <c r="A218" s="216">
        <v>103</v>
      </c>
      <c r="B218" s="217" t="s">
        <v>135</v>
      </c>
      <c r="C218" s="233"/>
      <c r="D218" s="219" t="s">
        <v>65</v>
      </c>
      <c r="E218" s="220" t="s">
        <v>35</v>
      </c>
      <c r="F218" s="221" t="s">
        <v>128</v>
      </c>
      <c r="G218" s="222">
        <v>3</v>
      </c>
      <c r="H218" s="183"/>
      <c r="I218" s="183"/>
      <c r="J218" s="239"/>
    </row>
    <row r="219" spans="1:10">
      <c r="A219" s="216">
        <v>104</v>
      </c>
      <c r="B219" s="217" t="s">
        <v>137</v>
      </c>
      <c r="C219" s="233"/>
      <c r="D219" s="219" t="s">
        <v>65</v>
      </c>
      <c r="E219" s="220" t="s">
        <v>35</v>
      </c>
      <c r="F219" s="221" t="s">
        <v>128</v>
      </c>
      <c r="G219" s="222">
        <v>1</v>
      </c>
      <c r="H219" s="183"/>
      <c r="I219" s="183"/>
      <c r="J219" s="239"/>
    </row>
    <row r="220" spans="1:10">
      <c r="A220" s="216">
        <v>105</v>
      </c>
      <c r="B220" s="217" t="s">
        <v>138</v>
      </c>
      <c r="C220" s="233"/>
      <c r="D220" s="219" t="s">
        <v>65</v>
      </c>
      <c r="E220" s="220" t="s">
        <v>35</v>
      </c>
      <c r="F220" s="221" t="s">
        <v>128</v>
      </c>
      <c r="G220" s="222">
        <v>4</v>
      </c>
      <c r="H220" s="183"/>
      <c r="I220" s="183"/>
      <c r="J220" s="239"/>
    </row>
    <row r="221" spans="1:10">
      <c r="A221" s="216">
        <v>106</v>
      </c>
      <c r="B221" s="217" t="s">
        <v>190</v>
      </c>
      <c r="C221" s="233"/>
      <c r="D221" s="219" t="s">
        <v>65</v>
      </c>
      <c r="E221" s="220" t="s">
        <v>35</v>
      </c>
      <c r="F221" s="221" t="s">
        <v>128</v>
      </c>
      <c r="G221" s="222">
        <v>2</v>
      </c>
      <c r="H221" s="183"/>
      <c r="I221" s="183"/>
      <c r="J221" s="239"/>
    </row>
    <row r="222" spans="1:10">
      <c r="A222" s="216">
        <v>107</v>
      </c>
      <c r="B222" s="217" t="s">
        <v>191</v>
      </c>
      <c r="C222" s="233"/>
      <c r="D222" s="219" t="s">
        <v>65</v>
      </c>
      <c r="E222" s="220" t="s">
        <v>35</v>
      </c>
      <c r="F222" s="221" t="s">
        <v>128</v>
      </c>
      <c r="G222" s="222">
        <v>1</v>
      </c>
      <c r="H222" s="183"/>
      <c r="I222" s="183"/>
      <c r="J222" s="239"/>
    </row>
    <row r="223" spans="1:10">
      <c r="A223" s="206" t="s">
        <v>192</v>
      </c>
      <c r="B223" s="207" t="s">
        <v>58</v>
      </c>
      <c r="C223" s="235"/>
      <c r="D223" s="236"/>
      <c r="E223" s="237"/>
      <c r="F223" s="206"/>
      <c r="G223" s="209"/>
      <c r="H223" s="183"/>
      <c r="I223" s="183"/>
      <c r="J223" s="239"/>
    </row>
    <row r="224" spans="1:10">
      <c r="A224" s="206">
        <v>1</v>
      </c>
      <c r="B224" s="243" t="s">
        <v>193</v>
      </c>
      <c r="C224" s="235"/>
      <c r="D224" s="236"/>
      <c r="E224" s="237"/>
      <c r="F224" s="206"/>
      <c r="G224" s="209"/>
      <c r="H224" s="183"/>
      <c r="I224" s="183"/>
      <c r="J224" s="239"/>
    </row>
    <row r="225" spans="1:10">
      <c r="A225" s="244">
        <v>1.1000000000000001</v>
      </c>
      <c r="B225" s="211" t="s">
        <v>194</v>
      </c>
      <c r="C225" s="212"/>
      <c r="D225" s="241"/>
      <c r="E225" s="242"/>
      <c r="F225" s="245"/>
      <c r="G225" s="246"/>
      <c r="H225" s="183"/>
      <c r="I225" s="183"/>
      <c r="J225" s="239"/>
    </row>
    <row r="226" spans="1:10">
      <c r="A226" s="219">
        <v>1</v>
      </c>
      <c r="B226" s="234" t="s">
        <v>195</v>
      </c>
      <c r="C226" s="233"/>
      <c r="D226" s="219" t="s">
        <v>65</v>
      </c>
      <c r="E226" s="220" t="s">
        <v>35</v>
      </c>
      <c r="F226" s="247" t="s">
        <v>66</v>
      </c>
      <c r="G226" s="248">
        <v>1</v>
      </c>
      <c r="H226" s="183"/>
      <c r="I226" s="183"/>
      <c r="J226" s="239"/>
    </row>
    <row r="227" spans="1:10">
      <c r="A227" s="219">
        <v>2</v>
      </c>
      <c r="B227" s="234" t="s">
        <v>196</v>
      </c>
      <c r="C227" s="233"/>
      <c r="D227" s="219" t="s">
        <v>65</v>
      </c>
      <c r="E227" s="220" t="s">
        <v>35</v>
      </c>
      <c r="F227" s="247" t="s">
        <v>66</v>
      </c>
      <c r="G227" s="248">
        <v>1</v>
      </c>
      <c r="H227" s="183"/>
      <c r="I227" s="183"/>
      <c r="J227" s="239"/>
    </row>
    <row r="228" spans="1:10">
      <c r="A228" s="219">
        <v>3</v>
      </c>
      <c r="B228" s="234" t="s">
        <v>197</v>
      </c>
      <c r="C228" s="233"/>
      <c r="D228" s="219" t="s">
        <v>65</v>
      </c>
      <c r="E228" s="220" t="s">
        <v>35</v>
      </c>
      <c r="F228" s="247" t="s">
        <v>66</v>
      </c>
      <c r="G228" s="248">
        <v>14</v>
      </c>
      <c r="H228" s="183"/>
      <c r="I228" s="183"/>
      <c r="J228" s="239"/>
    </row>
    <row r="229" spans="1:10">
      <c r="A229" s="219">
        <v>4</v>
      </c>
      <c r="B229" s="234" t="s">
        <v>198</v>
      </c>
      <c r="C229" s="233"/>
      <c r="D229" s="219" t="s">
        <v>65</v>
      </c>
      <c r="E229" s="220" t="s">
        <v>35</v>
      </c>
      <c r="F229" s="247" t="s">
        <v>66</v>
      </c>
      <c r="G229" s="248">
        <v>10</v>
      </c>
      <c r="H229" s="183"/>
      <c r="I229" s="183"/>
      <c r="J229" s="239"/>
    </row>
    <row r="230" spans="1:10">
      <c r="A230" s="219">
        <v>5</v>
      </c>
      <c r="B230" s="234" t="s">
        <v>199</v>
      </c>
      <c r="C230" s="233"/>
      <c r="D230" s="219" t="s">
        <v>65</v>
      </c>
      <c r="E230" s="220" t="s">
        <v>35</v>
      </c>
      <c r="F230" s="247" t="s">
        <v>66</v>
      </c>
      <c r="G230" s="248">
        <v>283</v>
      </c>
      <c r="H230" s="183"/>
      <c r="I230" s="183"/>
      <c r="J230" s="239"/>
    </row>
    <row r="231" spans="1:10">
      <c r="A231" s="219">
        <v>6</v>
      </c>
      <c r="B231" s="234" t="s">
        <v>200</v>
      </c>
      <c r="C231" s="233"/>
      <c r="D231" s="219" t="s">
        <v>65</v>
      </c>
      <c r="E231" s="220" t="s">
        <v>35</v>
      </c>
      <c r="F231" s="247" t="s">
        <v>66</v>
      </c>
      <c r="G231" s="248">
        <v>14</v>
      </c>
      <c r="H231" s="183"/>
      <c r="I231" s="183"/>
      <c r="J231" s="239"/>
    </row>
    <row r="232" spans="1:10">
      <c r="A232" s="219">
        <v>7</v>
      </c>
      <c r="B232" s="234" t="s">
        <v>201</v>
      </c>
      <c r="C232" s="233"/>
      <c r="D232" s="219" t="s">
        <v>65</v>
      </c>
      <c r="E232" s="220" t="s">
        <v>35</v>
      </c>
      <c r="F232" s="247" t="s">
        <v>66</v>
      </c>
      <c r="G232" s="248">
        <v>228</v>
      </c>
      <c r="H232" s="183"/>
      <c r="I232" s="183"/>
      <c r="J232" s="239"/>
    </row>
    <row r="233" spans="1:10">
      <c r="A233" s="219">
        <v>8</v>
      </c>
      <c r="B233" s="234" t="s">
        <v>202</v>
      </c>
      <c r="C233" s="233"/>
      <c r="D233" s="219" t="s">
        <v>65</v>
      </c>
      <c r="E233" s="220" t="s">
        <v>35</v>
      </c>
      <c r="F233" s="247" t="s">
        <v>66</v>
      </c>
      <c r="G233" s="248">
        <v>110</v>
      </c>
      <c r="H233" s="183"/>
      <c r="I233" s="183"/>
      <c r="J233" s="239"/>
    </row>
    <row r="234" spans="1:10">
      <c r="A234" s="219">
        <v>9</v>
      </c>
      <c r="B234" s="234" t="s">
        <v>203</v>
      </c>
      <c r="C234" s="233"/>
      <c r="D234" s="219" t="s">
        <v>65</v>
      </c>
      <c r="E234" s="220" t="s">
        <v>35</v>
      </c>
      <c r="F234" s="247" t="s">
        <v>66</v>
      </c>
      <c r="G234" s="248">
        <v>22</v>
      </c>
      <c r="H234" s="183"/>
      <c r="I234" s="183"/>
      <c r="J234" s="239"/>
    </row>
    <row r="235" spans="1:10">
      <c r="A235" s="219">
        <v>10</v>
      </c>
      <c r="B235" s="234" t="s">
        <v>204</v>
      </c>
      <c r="C235" s="233"/>
      <c r="D235" s="219" t="s">
        <v>65</v>
      </c>
      <c r="E235" s="220" t="s">
        <v>35</v>
      </c>
      <c r="F235" s="247" t="s">
        <v>66</v>
      </c>
      <c r="G235" s="248">
        <v>16</v>
      </c>
      <c r="H235" s="183"/>
      <c r="I235" s="183"/>
      <c r="J235" s="239"/>
    </row>
    <row r="236" spans="1:10">
      <c r="A236" s="219">
        <v>11</v>
      </c>
      <c r="B236" s="234" t="s">
        <v>205</v>
      </c>
      <c r="C236" s="233"/>
      <c r="D236" s="219" t="s">
        <v>65</v>
      </c>
      <c r="E236" s="220" t="s">
        <v>35</v>
      </c>
      <c r="F236" s="247" t="s">
        <v>66</v>
      </c>
      <c r="G236" s="248">
        <v>2</v>
      </c>
      <c r="H236" s="183"/>
      <c r="I236" s="183"/>
      <c r="J236" s="239"/>
    </row>
    <row r="237" spans="1:10">
      <c r="A237" s="219">
        <v>12</v>
      </c>
      <c r="B237" s="234" t="s">
        <v>206</v>
      </c>
      <c r="C237" s="233"/>
      <c r="D237" s="219" t="s">
        <v>65</v>
      </c>
      <c r="E237" s="220" t="s">
        <v>35</v>
      </c>
      <c r="F237" s="247" t="s">
        <v>66</v>
      </c>
      <c r="G237" s="248">
        <v>4</v>
      </c>
      <c r="H237" s="183"/>
      <c r="I237" s="183"/>
      <c r="J237" s="239"/>
    </row>
    <row r="238" spans="1:10">
      <c r="A238" s="219">
        <v>13</v>
      </c>
      <c r="B238" s="234" t="s">
        <v>207</v>
      </c>
      <c r="C238" s="233"/>
      <c r="D238" s="219" t="s">
        <v>65</v>
      </c>
      <c r="E238" s="220" t="s">
        <v>35</v>
      </c>
      <c r="F238" s="247" t="s">
        <v>66</v>
      </c>
      <c r="G238" s="248">
        <v>2</v>
      </c>
      <c r="H238" s="183"/>
      <c r="I238" s="183"/>
      <c r="J238" s="239"/>
    </row>
    <row r="239" spans="1:10">
      <c r="A239" s="219">
        <v>14</v>
      </c>
      <c r="B239" s="234" t="s">
        <v>208</v>
      </c>
      <c r="C239" s="233"/>
      <c r="D239" s="219" t="s">
        <v>65</v>
      </c>
      <c r="E239" s="220" t="s">
        <v>35</v>
      </c>
      <c r="F239" s="247" t="s">
        <v>66</v>
      </c>
      <c r="G239" s="248">
        <v>3</v>
      </c>
      <c r="H239" s="183"/>
      <c r="I239" s="183"/>
      <c r="J239" s="239"/>
    </row>
    <row r="240" spans="1:10">
      <c r="A240" s="244">
        <v>1.2</v>
      </c>
      <c r="B240" s="211" t="s">
        <v>209</v>
      </c>
      <c r="C240" s="212"/>
      <c r="D240" s="213"/>
      <c r="E240" s="213"/>
      <c r="F240" s="245"/>
      <c r="G240" s="246"/>
      <c r="H240" s="183"/>
      <c r="I240" s="183"/>
      <c r="J240" s="239"/>
    </row>
    <row r="241" spans="1:10">
      <c r="A241" s="219">
        <v>1</v>
      </c>
      <c r="B241" s="234" t="s">
        <v>210</v>
      </c>
      <c r="C241" s="233"/>
      <c r="D241" s="219" t="s">
        <v>211</v>
      </c>
      <c r="E241" s="220" t="s">
        <v>35</v>
      </c>
      <c r="F241" s="247" t="s">
        <v>66</v>
      </c>
      <c r="G241" s="248">
        <v>4</v>
      </c>
      <c r="H241" s="183"/>
      <c r="I241" s="183"/>
      <c r="J241" s="239"/>
    </row>
    <row r="242" spans="1:10">
      <c r="A242" s="219">
        <v>2</v>
      </c>
      <c r="B242" s="234" t="s">
        <v>212</v>
      </c>
      <c r="C242" s="233"/>
      <c r="D242" s="219" t="s">
        <v>211</v>
      </c>
      <c r="E242" s="220" t="s">
        <v>35</v>
      </c>
      <c r="F242" s="247" t="s">
        <v>66</v>
      </c>
      <c r="G242" s="248">
        <v>283</v>
      </c>
      <c r="H242" s="183"/>
      <c r="I242" s="183"/>
      <c r="J242" s="239"/>
    </row>
    <row r="243" spans="1:10">
      <c r="A243" s="219">
        <v>3</v>
      </c>
      <c r="B243" s="234" t="s">
        <v>213</v>
      </c>
      <c r="C243" s="233"/>
      <c r="D243" s="219" t="s">
        <v>211</v>
      </c>
      <c r="E243" s="220" t="s">
        <v>35</v>
      </c>
      <c r="F243" s="247" t="s">
        <v>66</v>
      </c>
      <c r="G243" s="248">
        <v>236</v>
      </c>
      <c r="H243" s="183"/>
      <c r="I243" s="183"/>
      <c r="J243" s="239"/>
    </row>
    <row r="244" spans="1:10">
      <c r="A244" s="219">
        <v>4</v>
      </c>
      <c r="B244" s="234" t="s">
        <v>214</v>
      </c>
      <c r="C244" s="233"/>
      <c r="D244" s="219" t="s">
        <v>211</v>
      </c>
      <c r="E244" s="220" t="s">
        <v>35</v>
      </c>
      <c r="F244" s="247" t="s">
        <v>66</v>
      </c>
      <c r="G244" s="248">
        <v>107</v>
      </c>
      <c r="H244" s="183"/>
      <c r="I244" s="183"/>
      <c r="J244" s="239"/>
    </row>
    <row r="245" spans="1:10">
      <c r="A245" s="219">
        <v>5</v>
      </c>
      <c r="B245" s="234" t="s">
        <v>215</v>
      </c>
      <c r="C245" s="233"/>
      <c r="D245" s="219" t="s">
        <v>65</v>
      </c>
      <c r="E245" s="220" t="s">
        <v>35</v>
      </c>
      <c r="F245" s="247" t="s">
        <v>66</v>
      </c>
      <c r="G245" s="248">
        <v>21</v>
      </c>
      <c r="H245" s="183"/>
      <c r="I245" s="183"/>
      <c r="J245" s="239"/>
    </row>
    <row r="246" spans="1:10">
      <c r="A246" s="219">
        <v>6</v>
      </c>
      <c r="B246" s="234" t="s">
        <v>216</v>
      </c>
      <c r="C246" s="233"/>
      <c r="D246" s="219" t="s">
        <v>65</v>
      </c>
      <c r="E246" s="220" t="s">
        <v>35</v>
      </c>
      <c r="F246" s="247" t="s">
        <v>66</v>
      </c>
      <c r="G246" s="248">
        <v>13</v>
      </c>
      <c r="H246" s="183"/>
      <c r="I246" s="183"/>
      <c r="J246" s="239"/>
    </row>
    <row r="247" spans="1:10">
      <c r="A247" s="219">
        <v>7</v>
      </c>
      <c r="B247" s="234" t="s">
        <v>217</v>
      </c>
      <c r="C247" s="233"/>
      <c r="D247" s="219" t="s">
        <v>65</v>
      </c>
      <c r="E247" s="220" t="s">
        <v>35</v>
      </c>
      <c r="F247" s="247" t="s">
        <v>66</v>
      </c>
      <c r="G247" s="248">
        <v>1</v>
      </c>
      <c r="H247" s="183"/>
      <c r="I247" s="183"/>
      <c r="J247" s="239"/>
    </row>
    <row r="248" spans="1:10">
      <c r="A248" s="219">
        <v>8</v>
      </c>
      <c r="B248" s="234" t="s">
        <v>218</v>
      </c>
      <c r="C248" s="233"/>
      <c r="D248" s="219" t="s">
        <v>65</v>
      </c>
      <c r="E248" s="220" t="s">
        <v>35</v>
      </c>
      <c r="F248" s="247" t="s">
        <v>66</v>
      </c>
      <c r="G248" s="248">
        <v>1</v>
      </c>
      <c r="H248" s="183"/>
      <c r="I248" s="183"/>
      <c r="J248" s="239"/>
    </row>
    <row r="249" spans="1:10">
      <c r="A249" s="219">
        <v>9</v>
      </c>
      <c r="B249" s="234" t="s">
        <v>219</v>
      </c>
      <c r="C249" s="233"/>
      <c r="D249" s="219" t="s">
        <v>65</v>
      </c>
      <c r="E249" s="220" t="s">
        <v>35</v>
      </c>
      <c r="F249" s="247" t="s">
        <v>66</v>
      </c>
      <c r="G249" s="248">
        <v>1</v>
      </c>
      <c r="H249" s="183"/>
      <c r="I249" s="183"/>
      <c r="J249" s="239"/>
    </row>
    <row r="250" spans="1:10">
      <c r="A250" s="219">
        <v>10</v>
      </c>
      <c r="B250" s="234" t="s">
        <v>220</v>
      </c>
      <c r="C250" s="233"/>
      <c r="D250" s="219" t="s">
        <v>65</v>
      </c>
      <c r="E250" s="220" t="s">
        <v>35</v>
      </c>
      <c r="F250" s="247" t="s">
        <v>66</v>
      </c>
      <c r="G250" s="248">
        <v>1</v>
      </c>
      <c r="H250" s="183"/>
      <c r="I250" s="183"/>
      <c r="J250" s="239"/>
    </row>
    <row r="251" spans="1:10">
      <c r="A251" s="219">
        <v>11</v>
      </c>
      <c r="B251" s="234" t="s">
        <v>221</v>
      </c>
      <c r="C251" s="233"/>
      <c r="D251" s="219" t="s">
        <v>65</v>
      </c>
      <c r="E251" s="220" t="s">
        <v>35</v>
      </c>
      <c r="F251" s="247" t="s">
        <v>66</v>
      </c>
      <c r="G251" s="248">
        <v>1</v>
      </c>
      <c r="H251" s="183"/>
      <c r="I251" s="183"/>
      <c r="J251" s="239"/>
    </row>
    <row r="252" spans="1:10">
      <c r="A252" s="244">
        <v>1.3</v>
      </c>
      <c r="B252" s="211" t="s">
        <v>63</v>
      </c>
      <c r="C252" s="212"/>
      <c r="D252" s="249"/>
      <c r="E252" s="249"/>
      <c r="F252" s="245"/>
      <c r="G252" s="246"/>
      <c r="H252" s="183"/>
      <c r="I252" s="183"/>
      <c r="J252" s="239"/>
    </row>
    <row r="253" spans="1:10" ht="31">
      <c r="A253" s="219">
        <v>1</v>
      </c>
      <c r="B253" s="217" t="s">
        <v>143</v>
      </c>
      <c r="C253" s="218"/>
      <c r="D253" s="219" t="s">
        <v>89</v>
      </c>
      <c r="E253" s="220" t="s">
        <v>35</v>
      </c>
      <c r="F253" s="219" t="s">
        <v>66</v>
      </c>
      <c r="G253" s="222">
        <v>416</v>
      </c>
      <c r="H253" s="183"/>
      <c r="I253" s="183"/>
      <c r="J253" s="239"/>
    </row>
    <row r="254" spans="1:10" ht="31">
      <c r="A254" s="219">
        <v>2</v>
      </c>
      <c r="B254" s="217" t="s">
        <v>144</v>
      </c>
      <c r="C254" s="218"/>
      <c r="D254" s="219" t="s">
        <v>89</v>
      </c>
      <c r="E254" s="220" t="s">
        <v>35</v>
      </c>
      <c r="F254" s="219" t="s">
        <v>66</v>
      </c>
      <c r="G254" s="222">
        <v>42</v>
      </c>
      <c r="H254" s="183"/>
      <c r="I254" s="183"/>
      <c r="J254" s="239"/>
    </row>
    <row r="255" spans="1:10" ht="31">
      <c r="A255" s="219">
        <v>3</v>
      </c>
      <c r="B255" s="217" t="s">
        <v>222</v>
      </c>
      <c r="C255" s="218"/>
      <c r="D255" s="219" t="s">
        <v>89</v>
      </c>
      <c r="E255" s="220" t="s">
        <v>35</v>
      </c>
      <c r="F255" s="219" t="s">
        <v>66</v>
      </c>
      <c r="G255" s="222">
        <v>391</v>
      </c>
      <c r="H255" s="183"/>
      <c r="I255" s="183"/>
      <c r="J255" s="239"/>
    </row>
    <row r="256" spans="1:10" ht="31">
      <c r="A256" s="219">
        <v>4</v>
      </c>
      <c r="B256" s="217" t="s">
        <v>223</v>
      </c>
      <c r="C256" s="218"/>
      <c r="D256" s="219" t="s">
        <v>89</v>
      </c>
      <c r="E256" s="220" t="s">
        <v>35</v>
      </c>
      <c r="F256" s="219" t="s">
        <v>66</v>
      </c>
      <c r="G256" s="222">
        <v>61</v>
      </c>
      <c r="H256" s="183"/>
      <c r="I256" s="183"/>
      <c r="J256" s="239"/>
    </row>
    <row r="257" spans="1:10" ht="31">
      <c r="A257" s="219">
        <v>5</v>
      </c>
      <c r="B257" s="217" t="s">
        <v>149</v>
      </c>
      <c r="C257" s="218"/>
      <c r="D257" s="219" t="s">
        <v>89</v>
      </c>
      <c r="E257" s="220" t="s">
        <v>35</v>
      </c>
      <c r="F257" s="219" t="s">
        <v>66</v>
      </c>
      <c r="G257" s="222">
        <v>12</v>
      </c>
      <c r="H257" s="183"/>
      <c r="I257" s="183"/>
      <c r="J257" s="239"/>
    </row>
    <row r="258" spans="1:10" ht="31">
      <c r="A258" s="219">
        <v>6</v>
      </c>
      <c r="B258" s="217" t="s">
        <v>224</v>
      </c>
      <c r="C258" s="218"/>
      <c r="D258" s="219" t="s">
        <v>89</v>
      </c>
      <c r="E258" s="220" t="s">
        <v>35</v>
      </c>
      <c r="F258" s="219" t="s">
        <v>66</v>
      </c>
      <c r="G258" s="222">
        <v>2</v>
      </c>
      <c r="H258" s="183"/>
      <c r="I258" s="183"/>
      <c r="J258" s="239"/>
    </row>
    <row r="259" spans="1:10" ht="31">
      <c r="A259" s="219">
        <v>7</v>
      </c>
      <c r="B259" s="217" t="s">
        <v>225</v>
      </c>
      <c r="C259" s="218"/>
      <c r="D259" s="219" t="s">
        <v>89</v>
      </c>
      <c r="E259" s="220" t="s">
        <v>35</v>
      </c>
      <c r="F259" s="219" t="s">
        <v>66</v>
      </c>
      <c r="G259" s="222">
        <v>3</v>
      </c>
      <c r="H259" s="183"/>
      <c r="I259" s="183"/>
      <c r="J259" s="239"/>
    </row>
    <row r="260" spans="1:10" ht="31">
      <c r="A260" s="219">
        <v>8</v>
      </c>
      <c r="B260" s="217" t="s">
        <v>226</v>
      </c>
      <c r="C260" s="218"/>
      <c r="D260" s="219" t="s">
        <v>89</v>
      </c>
      <c r="E260" s="220" t="s">
        <v>35</v>
      </c>
      <c r="F260" s="219" t="s">
        <v>66</v>
      </c>
      <c r="G260" s="222">
        <v>1</v>
      </c>
      <c r="H260" s="183"/>
      <c r="I260" s="183"/>
      <c r="J260" s="239"/>
    </row>
    <row r="261" spans="1:10" ht="31">
      <c r="A261" s="219">
        <v>9</v>
      </c>
      <c r="B261" s="217" t="s">
        <v>227</v>
      </c>
      <c r="C261" s="218"/>
      <c r="D261" s="219" t="s">
        <v>89</v>
      </c>
      <c r="E261" s="220" t="s">
        <v>35</v>
      </c>
      <c r="F261" s="219" t="s">
        <v>66</v>
      </c>
      <c r="G261" s="222">
        <v>1</v>
      </c>
      <c r="H261" s="183"/>
      <c r="I261" s="183"/>
      <c r="J261" s="239"/>
    </row>
    <row r="262" spans="1:10" ht="31">
      <c r="A262" s="219">
        <v>10</v>
      </c>
      <c r="B262" s="217" t="s">
        <v>228</v>
      </c>
      <c r="C262" s="218"/>
      <c r="D262" s="219" t="s">
        <v>89</v>
      </c>
      <c r="E262" s="220" t="s">
        <v>35</v>
      </c>
      <c r="F262" s="219" t="s">
        <v>66</v>
      </c>
      <c r="G262" s="222">
        <v>3</v>
      </c>
      <c r="H262" s="183"/>
      <c r="I262" s="183"/>
      <c r="J262" s="239"/>
    </row>
    <row r="263" spans="1:10" ht="31">
      <c r="A263" s="219">
        <v>11</v>
      </c>
      <c r="B263" s="217" t="s">
        <v>229</v>
      </c>
      <c r="C263" s="218"/>
      <c r="D263" s="219" t="s">
        <v>89</v>
      </c>
      <c r="E263" s="220" t="s">
        <v>35</v>
      </c>
      <c r="F263" s="219" t="s">
        <v>66</v>
      </c>
      <c r="G263" s="222">
        <v>2</v>
      </c>
      <c r="H263" s="183"/>
      <c r="I263" s="183"/>
      <c r="J263" s="239"/>
    </row>
    <row r="264" spans="1:10" ht="31">
      <c r="A264" s="219">
        <v>12</v>
      </c>
      <c r="B264" s="217" t="s">
        <v>79</v>
      </c>
      <c r="C264" s="218"/>
      <c r="D264" s="219" t="s">
        <v>89</v>
      </c>
      <c r="E264" s="220" t="s">
        <v>35</v>
      </c>
      <c r="F264" s="219" t="s">
        <v>66</v>
      </c>
      <c r="G264" s="222">
        <v>2</v>
      </c>
      <c r="H264" s="183"/>
      <c r="I264" s="183"/>
      <c r="J264" s="239"/>
    </row>
    <row r="265" spans="1:10" ht="31">
      <c r="A265" s="219">
        <v>13</v>
      </c>
      <c r="B265" s="217" t="s">
        <v>154</v>
      </c>
      <c r="C265" s="218"/>
      <c r="D265" s="219" t="s">
        <v>89</v>
      </c>
      <c r="E265" s="220" t="s">
        <v>35</v>
      </c>
      <c r="F265" s="219" t="s">
        <v>66</v>
      </c>
      <c r="G265" s="222">
        <v>2</v>
      </c>
      <c r="H265" s="183"/>
      <c r="I265" s="183"/>
      <c r="J265" s="239"/>
    </row>
    <row r="266" spans="1:10" ht="31">
      <c r="A266" s="219">
        <v>14</v>
      </c>
      <c r="B266" s="217" t="s">
        <v>85</v>
      </c>
      <c r="C266" s="218"/>
      <c r="D266" s="219" t="s">
        <v>89</v>
      </c>
      <c r="E266" s="220" t="s">
        <v>35</v>
      </c>
      <c r="F266" s="219" t="s">
        <v>66</v>
      </c>
      <c r="G266" s="222">
        <v>3</v>
      </c>
      <c r="H266" s="183"/>
      <c r="I266" s="183"/>
      <c r="J266" s="239"/>
    </row>
    <row r="267" spans="1:10" ht="31">
      <c r="A267" s="219">
        <v>15</v>
      </c>
      <c r="B267" s="217" t="s">
        <v>230</v>
      </c>
      <c r="C267" s="218"/>
      <c r="D267" s="219" t="s">
        <v>89</v>
      </c>
      <c r="E267" s="220" t="s">
        <v>35</v>
      </c>
      <c r="F267" s="219" t="s">
        <v>66</v>
      </c>
      <c r="G267" s="222">
        <v>2</v>
      </c>
      <c r="H267" s="183"/>
      <c r="I267" s="183"/>
      <c r="J267" s="239"/>
    </row>
    <row r="268" spans="1:10" ht="31">
      <c r="A268" s="219">
        <v>16</v>
      </c>
      <c r="B268" s="217" t="s">
        <v>231</v>
      </c>
      <c r="C268" s="218"/>
      <c r="D268" s="219" t="s">
        <v>89</v>
      </c>
      <c r="E268" s="220" t="s">
        <v>35</v>
      </c>
      <c r="F268" s="219" t="s">
        <v>66</v>
      </c>
      <c r="G268" s="222">
        <v>1</v>
      </c>
      <c r="H268" s="183"/>
      <c r="I268" s="183"/>
      <c r="J268" s="239"/>
    </row>
    <row r="269" spans="1:10" ht="31">
      <c r="A269" s="219">
        <v>17</v>
      </c>
      <c r="B269" s="217" t="s">
        <v>232</v>
      </c>
      <c r="C269" s="218"/>
      <c r="D269" s="219" t="s">
        <v>89</v>
      </c>
      <c r="E269" s="220" t="s">
        <v>35</v>
      </c>
      <c r="F269" s="219" t="s">
        <v>66</v>
      </c>
      <c r="G269" s="222">
        <v>2</v>
      </c>
      <c r="H269" s="183"/>
      <c r="I269" s="183"/>
      <c r="J269" s="239"/>
    </row>
    <row r="270" spans="1:10" ht="31">
      <c r="A270" s="219">
        <v>18</v>
      </c>
      <c r="B270" s="217" t="s">
        <v>233</v>
      </c>
      <c r="C270" s="218"/>
      <c r="D270" s="219" t="s">
        <v>89</v>
      </c>
      <c r="E270" s="220" t="s">
        <v>35</v>
      </c>
      <c r="F270" s="219" t="s">
        <v>66</v>
      </c>
      <c r="G270" s="222">
        <v>1</v>
      </c>
      <c r="H270" s="183"/>
      <c r="I270" s="183"/>
      <c r="J270" s="239"/>
    </row>
    <row r="271" spans="1:10">
      <c r="A271" s="219">
        <v>19</v>
      </c>
      <c r="B271" s="217" t="s">
        <v>160</v>
      </c>
      <c r="C271" s="218"/>
      <c r="D271" s="219" t="s">
        <v>89</v>
      </c>
      <c r="E271" s="220" t="s">
        <v>35</v>
      </c>
      <c r="F271" s="219" t="s">
        <v>66</v>
      </c>
      <c r="G271" s="222">
        <v>12</v>
      </c>
      <c r="H271" s="183"/>
      <c r="I271" s="183"/>
      <c r="J271" s="239"/>
    </row>
    <row r="272" spans="1:10">
      <c r="A272" s="219">
        <v>20</v>
      </c>
      <c r="B272" s="217" t="s">
        <v>163</v>
      </c>
      <c r="C272" s="218"/>
      <c r="D272" s="219" t="s">
        <v>89</v>
      </c>
      <c r="E272" s="220" t="s">
        <v>35</v>
      </c>
      <c r="F272" s="219" t="s">
        <v>66</v>
      </c>
      <c r="G272" s="222">
        <v>3</v>
      </c>
      <c r="H272" s="183"/>
      <c r="I272" s="183"/>
      <c r="J272" s="239"/>
    </row>
    <row r="273" spans="1:10">
      <c r="A273" s="219">
        <v>21</v>
      </c>
      <c r="B273" s="217" t="s">
        <v>234</v>
      </c>
      <c r="C273" s="218"/>
      <c r="D273" s="219" t="s">
        <v>89</v>
      </c>
      <c r="E273" s="220" t="s">
        <v>35</v>
      </c>
      <c r="F273" s="219" t="s">
        <v>66</v>
      </c>
      <c r="G273" s="222">
        <v>1</v>
      </c>
      <c r="H273" s="183"/>
      <c r="I273" s="183"/>
      <c r="J273" s="239"/>
    </row>
    <row r="274" spans="1:10">
      <c r="A274" s="219">
        <v>22</v>
      </c>
      <c r="B274" s="217" t="s">
        <v>99</v>
      </c>
      <c r="C274" s="218"/>
      <c r="D274" s="219" t="s">
        <v>89</v>
      </c>
      <c r="E274" s="220" t="s">
        <v>35</v>
      </c>
      <c r="F274" s="219" t="s">
        <v>66</v>
      </c>
      <c r="G274" s="222">
        <v>3</v>
      </c>
      <c r="H274" s="183"/>
      <c r="I274" s="183"/>
      <c r="J274" s="239"/>
    </row>
    <row r="275" spans="1:10">
      <c r="A275" s="219">
        <v>23</v>
      </c>
      <c r="B275" s="217" t="s">
        <v>235</v>
      </c>
      <c r="C275" s="218"/>
      <c r="D275" s="219" t="s">
        <v>89</v>
      </c>
      <c r="E275" s="220" t="s">
        <v>35</v>
      </c>
      <c r="F275" s="219" t="s">
        <v>66</v>
      </c>
      <c r="G275" s="222">
        <v>3</v>
      </c>
      <c r="H275" s="183"/>
      <c r="I275" s="183"/>
      <c r="J275" s="239"/>
    </row>
    <row r="276" spans="1:10">
      <c r="A276" s="219">
        <v>24</v>
      </c>
      <c r="B276" s="217" t="s">
        <v>236</v>
      </c>
      <c r="C276" s="218"/>
      <c r="D276" s="219" t="s">
        <v>89</v>
      </c>
      <c r="E276" s="220" t="s">
        <v>35</v>
      </c>
      <c r="F276" s="219" t="s">
        <v>66</v>
      </c>
      <c r="G276" s="222">
        <v>2</v>
      </c>
      <c r="H276" s="183"/>
      <c r="I276" s="183"/>
      <c r="J276" s="239"/>
    </row>
    <row r="277" spans="1:10">
      <c r="A277" s="219">
        <v>25</v>
      </c>
      <c r="B277" s="217" t="s">
        <v>103</v>
      </c>
      <c r="C277" s="218"/>
      <c r="D277" s="219" t="s">
        <v>89</v>
      </c>
      <c r="E277" s="220" t="s">
        <v>35</v>
      </c>
      <c r="F277" s="219" t="s">
        <v>66</v>
      </c>
      <c r="G277" s="222">
        <v>2</v>
      </c>
      <c r="H277" s="183"/>
      <c r="I277" s="183"/>
      <c r="J277" s="239"/>
    </row>
    <row r="278" spans="1:10">
      <c r="A278" s="219">
        <v>26</v>
      </c>
      <c r="B278" s="217" t="s">
        <v>237</v>
      </c>
      <c r="C278" s="218"/>
      <c r="D278" s="219" t="s">
        <v>89</v>
      </c>
      <c r="E278" s="220" t="s">
        <v>35</v>
      </c>
      <c r="F278" s="219" t="s">
        <v>66</v>
      </c>
      <c r="G278" s="222">
        <v>4</v>
      </c>
      <c r="H278" s="183"/>
      <c r="I278" s="183"/>
      <c r="J278" s="239"/>
    </row>
    <row r="279" spans="1:10">
      <c r="A279" s="219">
        <v>27</v>
      </c>
      <c r="B279" s="217" t="s">
        <v>179</v>
      </c>
      <c r="C279" s="218"/>
      <c r="D279" s="219" t="s">
        <v>89</v>
      </c>
      <c r="E279" s="220" t="s">
        <v>35</v>
      </c>
      <c r="F279" s="219" t="s">
        <v>66</v>
      </c>
      <c r="G279" s="222">
        <v>4</v>
      </c>
      <c r="H279" s="183"/>
      <c r="I279" s="183"/>
      <c r="J279" s="239"/>
    </row>
    <row r="280" spans="1:10" ht="31">
      <c r="A280" s="219">
        <v>28</v>
      </c>
      <c r="B280" s="217" t="s">
        <v>238</v>
      </c>
      <c r="C280" s="218"/>
      <c r="D280" s="219" t="s">
        <v>89</v>
      </c>
      <c r="E280" s="220" t="s">
        <v>35</v>
      </c>
      <c r="F280" s="219" t="s">
        <v>66</v>
      </c>
      <c r="G280" s="222">
        <v>2</v>
      </c>
      <c r="H280" s="183"/>
      <c r="I280" s="183"/>
      <c r="J280" s="239"/>
    </row>
    <row r="281" spans="1:10" ht="31">
      <c r="A281" s="219">
        <v>29</v>
      </c>
      <c r="B281" s="217" t="s">
        <v>239</v>
      </c>
      <c r="C281" s="218"/>
      <c r="D281" s="219" t="s">
        <v>89</v>
      </c>
      <c r="E281" s="220" t="s">
        <v>35</v>
      </c>
      <c r="F281" s="219" t="s">
        <v>66</v>
      </c>
      <c r="G281" s="222">
        <v>4</v>
      </c>
      <c r="H281" s="183"/>
      <c r="I281" s="183"/>
      <c r="J281" s="239"/>
    </row>
    <row r="282" spans="1:10">
      <c r="A282" s="206" t="s">
        <v>240</v>
      </c>
      <c r="B282" s="207" t="s">
        <v>62</v>
      </c>
      <c r="C282" s="235"/>
      <c r="D282" s="236"/>
      <c r="E282" s="237"/>
      <c r="F282" s="206"/>
      <c r="G282" s="209"/>
      <c r="H282" s="183"/>
      <c r="I282" s="183"/>
      <c r="J282" s="239"/>
    </row>
    <row r="283" spans="1:10">
      <c r="A283" s="210"/>
      <c r="B283" s="250" t="s">
        <v>63</v>
      </c>
      <c r="C283" s="212"/>
      <c r="D283" s="213"/>
      <c r="E283" s="213"/>
      <c r="F283" s="214"/>
      <c r="G283" s="215"/>
      <c r="H283" s="183"/>
      <c r="I283" s="183"/>
      <c r="J283" s="239"/>
    </row>
    <row r="284" spans="1:10">
      <c r="A284" s="216">
        <v>1</v>
      </c>
      <c r="B284" s="234" t="s">
        <v>241</v>
      </c>
      <c r="C284" s="218"/>
      <c r="D284" s="219" t="s">
        <v>65</v>
      </c>
      <c r="E284" s="220" t="s">
        <v>35</v>
      </c>
      <c r="F284" s="221" t="s">
        <v>66</v>
      </c>
      <c r="G284" s="251">
        <v>1</v>
      </c>
      <c r="H284" s="183"/>
      <c r="I284" s="183"/>
      <c r="J284" s="239"/>
    </row>
    <row r="285" spans="1:10">
      <c r="A285" s="216">
        <v>2</v>
      </c>
      <c r="B285" s="234" t="s">
        <v>242</v>
      </c>
      <c r="C285" s="218"/>
      <c r="D285" s="219" t="s">
        <v>65</v>
      </c>
      <c r="E285" s="220" t="s">
        <v>35</v>
      </c>
      <c r="F285" s="221" t="s">
        <v>66</v>
      </c>
      <c r="G285" s="251">
        <v>1</v>
      </c>
      <c r="H285" s="183"/>
      <c r="I285" s="183"/>
      <c r="J285" s="239"/>
    </row>
    <row r="286" spans="1:10">
      <c r="A286" s="216">
        <v>3</v>
      </c>
      <c r="B286" s="234" t="s">
        <v>243</v>
      </c>
      <c r="C286" s="218"/>
      <c r="D286" s="219" t="s">
        <v>65</v>
      </c>
      <c r="E286" s="220" t="s">
        <v>35</v>
      </c>
      <c r="F286" s="221" t="s">
        <v>66</v>
      </c>
      <c r="G286" s="251">
        <v>1</v>
      </c>
      <c r="H286" s="183"/>
      <c r="I286" s="183"/>
      <c r="J286" s="239"/>
    </row>
    <row r="287" spans="1:10">
      <c r="A287" s="216">
        <v>4</v>
      </c>
      <c r="B287" s="234" t="s">
        <v>244</v>
      </c>
      <c r="C287" s="218"/>
      <c r="D287" s="219" t="s">
        <v>65</v>
      </c>
      <c r="E287" s="220" t="s">
        <v>35</v>
      </c>
      <c r="F287" s="221" t="s">
        <v>66</v>
      </c>
      <c r="G287" s="251">
        <v>1</v>
      </c>
      <c r="H287" s="183"/>
      <c r="I287" s="183"/>
      <c r="J287" s="239"/>
    </row>
    <row r="288" spans="1:10">
      <c r="A288" s="216">
        <v>5</v>
      </c>
      <c r="B288" s="234" t="s">
        <v>245</v>
      </c>
      <c r="C288" s="218"/>
      <c r="D288" s="219" t="s">
        <v>65</v>
      </c>
      <c r="E288" s="220" t="s">
        <v>35</v>
      </c>
      <c r="F288" s="221" t="s">
        <v>66</v>
      </c>
      <c r="G288" s="251">
        <v>1</v>
      </c>
      <c r="H288" s="183"/>
      <c r="I288" s="183"/>
      <c r="J288" s="239"/>
    </row>
    <row r="289" spans="1:10">
      <c r="A289" s="216">
        <v>6</v>
      </c>
      <c r="B289" s="234" t="s">
        <v>246</v>
      </c>
      <c r="C289" s="218"/>
      <c r="D289" s="219" t="s">
        <v>65</v>
      </c>
      <c r="E289" s="220" t="s">
        <v>35</v>
      </c>
      <c r="F289" s="221" t="s">
        <v>66</v>
      </c>
      <c r="G289" s="251">
        <v>1</v>
      </c>
      <c r="H289" s="183"/>
      <c r="I289" s="183"/>
      <c r="J289" s="239"/>
    </row>
    <row r="290" spans="1:10">
      <c r="A290" s="216">
        <v>7</v>
      </c>
      <c r="B290" s="234" t="s">
        <v>247</v>
      </c>
      <c r="C290" s="218"/>
      <c r="D290" s="219" t="s">
        <v>65</v>
      </c>
      <c r="E290" s="220" t="s">
        <v>35</v>
      </c>
      <c r="F290" s="221" t="s">
        <v>66</v>
      </c>
      <c r="G290" s="251">
        <v>1</v>
      </c>
      <c r="H290" s="183"/>
      <c r="I290" s="183"/>
      <c r="J290" s="239"/>
    </row>
    <row r="291" spans="1:10">
      <c r="A291" s="216">
        <v>8</v>
      </c>
      <c r="B291" s="234" t="s">
        <v>248</v>
      </c>
      <c r="C291" s="218"/>
      <c r="D291" s="219" t="s">
        <v>65</v>
      </c>
      <c r="E291" s="220" t="s">
        <v>35</v>
      </c>
      <c r="F291" s="221" t="s">
        <v>66</v>
      </c>
      <c r="G291" s="251">
        <v>1</v>
      </c>
      <c r="H291" s="183"/>
      <c r="I291" s="183"/>
      <c r="J291" s="239"/>
    </row>
    <row r="292" spans="1:10" ht="31">
      <c r="A292" s="216">
        <v>9</v>
      </c>
      <c r="B292" s="234" t="s">
        <v>249</v>
      </c>
      <c r="C292" s="218"/>
      <c r="D292" s="219" t="s">
        <v>65</v>
      </c>
      <c r="E292" s="220" t="s">
        <v>35</v>
      </c>
      <c r="F292" s="221" t="s">
        <v>66</v>
      </c>
      <c r="G292" s="251">
        <v>2</v>
      </c>
      <c r="H292" s="183"/>
      <c r="I292" s="183"/>
      <c r="J292" s="239"/>
    </row>
    <row r="293" spans="1:10" ht="31">
      <c r="A293" s="216">
        <v>10</v>
      </c>
      <c r="B293" s="234" t="s">
        <v>250</v>
      </c>
      <c r="C293" s="218"/>
      <c r="D293" s="219" t="s">
        <v>65</v>
      </c>
      <c r="E293" s="220" t="s">
        <v>35</v>
      </c>
      <c r="F293" s="221" t="s">
        <v>66</v>
      </c>
      <c r="G293" s="251">
        <v>6</v>
      </c>
      <c r="H293" s="183"/>
      <c r="I293" s="183"/>
      <c r="J293" s="239"/>
    </row>
    <row r="294" spans="1:10" ht="31">
      <c r="A294" s="216">
        <v>11</v>
      </c>
      <c r="B294" s="234" t="s">
        <v>251</v>
      </c>
      <c r="C294" s="218"/>
      <c r="D294" s="219" t="s">
        <v>65</v>
      </c>
      <c r="E294" s="220" t="s">
        <v>35</v>
      </c>
      <c r="F294" s="221" t="s">
        <v>66</v>
      </c>
      <c r="G294" s="251">
        <v>12</v>
      </c>
      <c r="H294" s="183"/>
      <c r="I294" s="183"/>
      <c r="J294" s="239"/>
    </row>
    <row r="295" spans="1:10" ht="31">
      <c r="A295" s="216">
        <v>13</v>
      </c>
      <c r="B295" s="234" t="s">
        <v>252</v>
      </c>
      <c r="C295" s="218"/>
      <c r="D295" s="219" t="s">
        <v>65</v>
      </c>
      <c r="E295" s="220" t="s">
        <v>35</v>
      </c>
      <c r="F295" s="221" t="s">
        <v>66</v>
      </c>
      <c r="G295" s="251">
        <v>102</v>
      </c>
      <c r="H295" s="183"/>
      <c r="I295" s="183"/>
      <c r="J295" s="239"/>
    </row>
    <row r="296" spans="1:10" ht="31">
      <c r="A296" s="216">
        <v>15</v>
      </c>
      <c r="B296" s="234" t="s">
        <v>253</v>
      </c>
      <c r="C296" s="218"/>
      <c r="D296" s="219" t="s">
        <v>65</v>
      </c>
      <c r="E296" s="220" t="s">
        <v>35</v>
      </c>
      <c r="F296" s="221" t="s">
        <v>66</v>
      </c>
      <c r="G296" s="251">
        <v>1</v>
      </c>
      <c r="H296" s="183"/>
      <c r="I296" s="183"/>
      <c r="J296" s="239"/>
    </row>
    <row r="297" spans="1:10" ht="31">
      <c r="A297" s="216">
        <v>16</v>
      </c>
      <c r="B297" s="234" t="s">
        <v>254</v>
      </c>
      <c r="C297" s="218"/>
      <c r="D297" s="219" t="s">
        <v>65</v>
      </c>
      <c r="E297" s="220" t="s">
        <v>35</v>
      </c>
      <c r="F297" s="221" t="s">
        <v>66</v>
      </c>
      <c r="G297" s="251">
        <v>1</v>
      </c>
      <c r="H297" s="183"/>
      <c r="I297" s="183"/>
      <c r="J297" s="239"/>
    </row>
    <row r="298" spans="1:10" ht="31">
      <c r="A298" s="216">
        <v>17</v>
      </c>
      <c r="B298" s="234" t="s">
        <v>255</v>
      </c>
      <c r="C298" s="218"/>
      <c r="D298" s="219" t="s">
        <v>65</v>
      </c>
      <c r="E298" s="220" t="s">
        <v>35</v>
      </c>
      <c r="F298" s="221" t="s">
        <v>66</v>
      </c>
      <c r="G298" s="251">
        <v>45</v>
      </c>
      <c r="H298" s="183"/>
      <c r="I298" s="183"/>
      <c r="J298" s="239"/>
    </row>
    <row r="299" spans="1:10" ht="31">
      <c r="A299" s="216">
        <v>18</v>
      </c>
      <c r="B299" s="234" t="s">
        <v>256</v>
      </c>
      <c r="C299" s="218"/>
      <c r="D299" s="219" t="s">
        <v>65</v>
      </c>
      <c r="E299" s="220" t="s">
        <v>35</v>
      </c>
      <c r="F299" s="221" t="s">
        <v>66</v>
      </c>
      <c r="G299" s="251">
        <v>26</v>
      </c>
      <c r="H299" s="183"/>
      <c r="I299" s="183"/>
      <c r="J299" s="239"/>
    </row>
    <row r="300" spans="1:10" ht="31">
      <c r="A300" s="216">
        <v>19</v>
      </c>
      <c r="B300" s="234" t="s">
        <v>257</v>
      </c>
      <c r="C300" s="218"/>
      <c r="D300" s="219" t="s">
        <v>65</v>
      </c>
      <c r="E300" s="220" t="s">
        <v>35</v>
      </c>
      <c r="F300" s="221" t="s">
        <v>66</v>
      </c>
      <c r="G300" s="251">
        <v>1</v>
      </c>
      <c r="H300" s="183"/>
      <c r="I300" s="183"/>
      <c r="J300" s="239"/>
    </row>
    <row r="301" spans="1:10" ht="31">
      <c r="A301" s="216">
        <v>20</v>
      </c>
      <c r="B301" s="234" t="s">
        <v>258</v>
      </c>
      <c r="C301" s="218"/>
      <c r="D301" s="219" t="s">
        <v>65</v>
      </c>
      <c r="E301" s="220" t="s">
        <v>35</v>
      </c>
      <c r="F301" s="221" t="s">
        <v>66</v>
      </c>
      <c r="G301" s="251">
        <v>1</v>
      </c>
      <c r="H301" s="183"/>
      <c r="I301" s="183"/>
      <c r="J301" s="239"/>
    </row>
    <row r="302" spans="1:10" ht="31">
      <c r="A302" s="216">
        <v>21</v>
      </c>
      <c r="B302" s="234" t="s">
        <v>259</v>
      </c>
      <c r="C302" s="218"/>
      <c r="D302" s="219" t="s">
        <v>65</v>
      </c>
      <c r="E302" s="220" t="s">
        <v>35</v>
      </c>
      <c r="F302" s="221" t="s">
        <v>66</v>
      </c>
      <c r="G302" s="251">
        <v>1</v>
      </c>
      <c r="H302" s="183"/>
      <c r="I302" s="183"/>
      <c r="J302" s="239"/>
    </row>
    <row r="303" spans="1:10" ht="31">
      <c r="A303" s="216">
        <v>22</v>
      </c>
      <c r="B303" s="234" t="s">
        <v>260</v>
      </c>
      <c r="C303" s="218"/>
      <c r="D303" s="219" t="s">
        <v>65</v>
      </c>
      <c r="E303" s="220" t="s">
        <v>35</v>
      </c>
      <c r="F303" s="221" t="s">
        <v>66</v>
      </c>
      <c r="G303" s="251">
        <v>2</v>
      </c>
      <c r="H303" s="183"/>
      <c r="I303" s="183"/>
      <c r="J303" s="239"/>
    </row>
    <row r="304" spans="1:10" ht="31">
      <c r="A304" s="216">
        <v>23</v>
      </c>
      <c r="B304" s="234" t="s">
        <v>261</v>
      </c>
      <c r="C304" s="218"/>
      <c r="D304" s="219" t="s">
        <v>65</v>
      </c>
      <c r="E304" s="220" t="s">
        <v>35</v>
      </c>
      <c r="F304" s="221" t="s">
        <v>66</v>
      </c>
      <c r="G304" s="251">
        <v>3</v>
      </c>
      <c r="H304" s="183"/>
      <c r="I304" s="183"/>
      <c r="J304" s="239"/>
    </row>
    <row r="305" spans="1:10" ht="31">
      <c r="A305" s="216">
        <v>24</v>
      </c>
      <c r="B305" s="234" t="s">
        <v>262</v>
      </c>
      <c r="C305" s="218"/>
      <c r="D305" s="219" t="s">
        <v>65</v>
      </c>
      <c r="E305" s="220" t="s">
        <v>35</v>
      </c>
      <c r="F305" s="221" t="s">
        <v>66</v>
      </c>
      <c r="G305" s="251">
        <v>1</v>
      </c>
      <c r="H305" s="183"/>
      <c r="I305" s="183"/>
      <c r="J305" s="239"/>
    </row>
    <row r="306" spans="1:10" ht="31">
      <c r="A306" s="216">
        <v>25</v>
      </c>
      <c r="B306" s="234" t="s">
        <v>263</v>
      </c>
      <c r="C306" s="218"/>
      <c r="D306" s="219" t="s">
        <v>65</v>
      </c>
      <c r="E306" s="220" t="s">
        <v>35</v>
      </c>
      <c r="F306" s="221" t="s">
        <v>66</v>
      </c>
      <c r="G306" s="251">
        <v>2</v>
      </c>
      <c r="H306" s="183"/>
      <c r="I306" s="183"/>
      <c r="J306" s="239"/>
    </row>
    <row r="307" spans="1:10" ht="31">
      <c r="A307" s="216">
        <v>26</v>
      </c>
      <c r="B307" s="234" t="s">
        <v>264</v>
      </c>
      <c r="C307" s="218"/>
      <c r="D307" s="219" t="s">
        <v>65</v>
      </c>
      <c r="E307" s="220" t="s">
        <v>35</v>
      </c>
      <c r="F307" s="221" t="s">
        <v>66</v>
      </c>
      <c r="G307" s="251">
        <v>6</v>
      </c>
      <c r="H307" s="183"/>
      <c r="I307" s="183"/>
      <c r="J307" s="239"/>
    </row>
    <row r="308" spans="1:10" ht="31">
      <c r="A308" s="216">
        <v>27</v>
      </c>
      <c r="B308" s="234" t="s">
        <v>265</v>
      </c>
      <c r="C308" s="218"/>
      <c r="D308" s="219" t="s">
        <v>65</v>
      </c>
      <c r="E308" s="220" t="s">
        <v>35</v>
      </c>
      <c r="F308" s="221" t="s">
        <v>66</v>
      </c>
      <c r="G308" s="251">
        <v>1</v>
      </c>
      <c r="H308" s="183"/>
      <c r="I308" s="183"/>
      <c r="J308" s="239"/>
    </row>
    <row r="309" spans="1:10" ht="31">
      <c r="A309" s="216">
        <v>28</v>
      </c>
      <c r="B309" s="234" t="s">
        <v>266</v>
      </c>
      <c r="C309" s="218"/>
      <c r="D309" s="219" t="s">
        <v>65</v>
      </c>
      <c r="E309" s="220" t="s">
        <v>35</v>
      </c>
      <c r="F309" s="221" t="s">
        <v>66</v>
      </c>
      <c r="G309" s="251">
        <v>1</v>
      </c>
      <c r="H309" s="183"/>
      <c r="I309" s="183"/>
      <c r="J309" s="239"/>
    </row>
    <row r="310" spans="1:10" ht="31">
      <c r="A310" s="216">
        <v>29</v>
      </c>
      <c r="B310" s="234" t="s">
        <v>267</v>
      </c>
      <c r="C310" s="218"/>
      <c r="D310" s="219" t="s">
        <v>65</v>
      </c>
      <c r="E310" s="220" t="s">
        <v>35</v>
      </c>
      <c r="F310" s="221" t="s">
        <v>66</v>
      </c>
      <c r="G310" s="251">
        <v>1</v>
      </c>
      <c r="H310" s="183"/>
      <c r="I310" s="183"/>
      <c r="J310" s="239"/>
    </row>
    <row r="311" spans="1:10" ht="31">
      <c r="A311" s="216">
        <v>30</v>
      </c>
      <c r="B311" s="234" t="s">
        <v>268</v>
      </c>
      <c r="C311" s="218"/>
      <c r="D311" s="219" t="s">
        <v>65</v>
      </c>
      <c r="E311" s="220" t="s">
        <v>35</v>
      </c>
      <c r="F311" s="221" t="s">
        <v>66</v>
      </c>
      <c r="G311" s="251">
        <v>11</v>
      </c>
      <c r="H311" s="183"/>
      <c r="I311" s="183"/>
      <c r="J311" s="239"/>
    </row>
    <row r="312" spans="1:10" ht="31">
      <c r="A312" s="216">
        <v>31</v>
      </c>
      <c r="B312" s="234" t="s">
        <v>269</v>
      </c>
      <c r="C312" s="218"/>
      <c r="D312" s="219" t="s">
        <v>65</v>
      </c>
      <c r="E312" s="220" t="s">
        <v>35</v>
      </c>
      <c r="F312" s="221" t="s">
        <v>66</v>
      </c>
      <c r="G312" s="251">
        <v>1</v>
      </c>
      <c r="H312" s="183"/>
      <c r="I312" s="183"/>
      <c r="J312" s="239"/>
    </row>
    <row r="313" spans="1:10" ht="31">
      <c r="A313" s="216">
        <v>32</v>
      </c>
      <c r="B313" s="234" t="s">
        <v>270</v>
      </c>
      <c r="C313" s="218"/>
      <c r="D313" s="219" t="s">
        <v>65</v>
      </c>
      <c r="E313" s="220" t="s">
        <v>35</v>
      </c>
      <c r="F313" s="221" t="s">
        <v>66</v>
      </c>
      <c r="G313" s="251">
        <v>1</v>
      </c>
      <c r="H313" s="183"/>
      <c r="I313" s="183"/>
      <c r="J313" s="239"/>
    </row>
    <row r="314" spans="1:10">
      <c r="A314" s="210"/>
      <c r="B314" s="250" t="s">
        <v>116</v>
      </c>
      <c r="C314" s="212"/>
      <c r="D314" s="240"/>
      <c r="E314" s="213"/>
      <c r="F314" s="214"/>
      <c r="G314" s="215"/>
      <c r="H314" s="183"/>
      <c r="I314" s="183"/>
      <c r="J314" s="239"/>
    </row>
    <row r="315" spans="1:10">
      <c r="A315" s="216">
        <v>1</v>
      </c>
      <c r="B315" s="234" t="s">
        <v>271</v>
      </c>
      <c r="C315" s="233"/>
      <c r="D315" s="219" t="s">
        <v>89</v>
      </c>
      <c r="E315" s="220" t="s">
        <v>35</v>
      </c>
      <c r="F315" s="221" t="s">
        <v>66</v>
      </c>
      <c r="G315" s="251">
        <v>1</v>
      </c>
      <c r="H315" s="183"/>
      <c r="I315" s="183"/>
      <c r="J315" s="239"/>
    </row>
    <row r="316" spans="1:10">
      <c r="A316" s="216">
        <v>2</v>
      </c>
      <c r="B316" s="234" t="s">
        <v>272</v>
      </c>
      <c r="C316" s="233"/>
      <c r="D316" s="219" t="s">
        <v>89</v>
      </c>
      <c r="E316" s="220" t="s">
        <v>35</v>
      </c>
      <c r="F316" s="221" t="s">
        <v>66</v>
      </c>
      <c r="G316" s="251">
        <v>95</v>
      </c>
      <c r="H316" s="183"/>
      <c r="I316" s="183"/>
      <c r="J316" s="239"/>
    </row>
    <row r="317" spans="1:10">
      <c r="A317" s="216">
        <v>3</v>
      </c>
      <c r="B317" s="234" t="s">
        <v>272</v>
      </c>
      <c r="C317" s="233"/>
      <c r="D317" s="219" t="s">
        <v>89</v>
      </c>
      <c r="E317" s="220" t="s">
        <v>35</v>
      </c>
      <c r="F317" s="221" t="s">
        <v>66</v>
      </c>
      <c r="G317" s="251">
        <v>77</v>
      </c>
      <c r="H317" s="183"/>
      <c r="I317" s="183"/>
      <c r="J317" s="239"/>
    </row>
    <row r="318" spans="1:10">
      <c r="A318" s="216">
        <v>4</v>
      </c>
      <c r="B318" s="234" t="s">
        <v>272</v>
      </c>
      <c r="C318" s="233"/>
      <c r="D318" s="219" t="s">
        <v>89</v>
      </c>
      <c r="E318" s="220" t="s">
        <v>35</v>
      </c>
      <c r="F318" s="221" t="s">
        <v>66</v>
      </c>
      <c r="G318" s="251">
        <v>24</v>
      </c>
      <c r="H318" s="183"/>
      <c r="I318" s="183"/>
      <c r="J318" s="239"/>
    </row>
    <row r="319" spans="1:10">
      <c r="A319" s="216">
        <v>5</v>
      </c>
      <c r="B319" s="234" t="s">
        <v>272</v>
      </c>
      <c r="C319" s="233"/>
      <c r="D319" s="219" t="s">
        <v>89</v>
      </c>
      <c r="E319" s="220" t="s">
        <v>35</v>
      </c>
      <c r="F319" s="221" t="s">
        <v>66</v>
      </c>
      <c r="G319" s="251">
        <v>26</v>
      </c>
      <c r="H319" s="183"/>
      <c r="I319" s="183"/>
      <c r="J319" s="239"/>
    </row>
    <row r="320" spans="1:10">
      <c r="A320" s="216">
        <v>6</v>
      </c>
      <c r="B320" s="234" t="s">
        <v>273</v>
      </c>
      <c r="C320" s="233"/>
      <c r="D320" s="219" t="s">
        <v>89</v>
      </c>
      <c r="E320" s="220" t="s">
        <v>35</v>
      </c>
      <c r="F320" s="221" t="s">
        <v>66</v>
      </c>
      <c r="G320" s="251">
        <v>1</v>
      </c>
      <c r="H320" s="183"/>
      <c r="I320" s="183"/>
      <c r="J320" s="239"/>
    </row>
    <row r="321" spans="1:10">
      <c r="A321" s="216">
        <v>7</v>
      </c>
      <c r="B321" s="234" t="s">
        <v>274</v>
      </c>
      <c r="C321" s="233"/>
      <c r="D321" s="219" t="s">
        <v>89</v>
      </c>
      <c r="E321" s="220" t="s">
        <v>35</v>
      </c>
      <c r="F321" s="221" t="s">
        <v>66</v>
      </c>
      <c r="G321" s="251">
        <v>1</v>
      </c>
      <c r="H321" s="183"/>
      <c r="I321" s="183"/>
      <c r="J321" s="239"/>
    </row>
    <row r="322" spans="1:10">
      <c r="A322" s="206" t="s">
        <v>275</v>
      </c>
      <c r="B322" s="207" t="s">
        <v>62</v>
      </c>
      <c r="C322" s="235"/>
      <c r="D322" s="236"/>
      <c r="E322" s="237"/>
      <c r="F322" s="206"/>
      <c r="G322" s="209"/>
      <c r="H322" s="183"/>
      <c r="I322" s="183"/>
      <c r="J322" s="239"/>
    </row>
    <row r="323" spans="1:10">
      <c r="A323" s="244"/>
      <c r="B323" s="250" t="s">
        <v>63</v>
      </c>
      <c r="C323" s="212"/>
      <c r="D323" s="213"/>
      <c r="E323" s="213"/>
      <c r="F323" s="214"/>
      <c r="G323" s="215"/>
      <c r="H323" s="183"/>
      <c r="I323" s="183"/>
      <c r="J323" s="239"/>
    </row>
    <row r="324" spans="1:10">
      <c r="A324" s="219">
        <v>1</v>
      </c>
      <c r="B324" s="234" t="s">
        <v>276</v>
      </c>
      <c r="C324" s="218"/>
      <c r="D324" s="219" t="s">
        <v>65</v>
      </c>
      <c r="E324" s="220" t="s">
        <v>35</v>
      </c>
      <c r="F324" s="221" t="s">
        <v>66</v>
      </c>
      <c r="G324" s="251">
        <v>2</v>
      </c>
      <c r="H324" s="183"/>
      <c r="I324" s="183"/>
      <c r="J324" s="239"/>
    </row>
    <row r="325" spans="1:10">
      <c r="A325" s="219">
        <v>2</v>
      </c>
      <c r="B325" s="234" t="s">
        <v>245</v>
      </c>
      <c r="C325" s="218"/>
      <c r="D325" s="219" t="s">
        <v>65</v>
      </c>
      <c r="E325" s="220" t="s">
        <v>35</v>
      </c>
      <c r="F325" s="221" t="s">
        <v>66</v>
      </c>
      <c r="G325" s="251">
        <v>2</v>
      </c>
      <c r="H325" s="183"/>
      <c r="I325" s="183"/>
      <c r="J325" s="239"/>
    </row>
    <row r="326" spans="1:10">
      <c r="A326" s="219">
        <v>3</v>
      </c>
      <c r="B326" s="234" t="s">
        <v>277</v>
      </c>
      <c r="C326" s="218"/>
      <c r="D326" s="219" t="s">
        <v>65</v>
      </c>
      <c r="E326" s="220" t="s">
        <v>35</v>
      </c>
      <c r="F326" s="221" t="s">
        <v>66</v>
      </c>
      <c r="G326" s="251">
        <v>1</v>
      </c>
      <c r="H326" s="183"/>
      <c r="I326" s="183"/>
      <c r="J326" s="239"/>
    </row>
    <row r="327" spans="1:10">
      <c r="A327" s="219">
        <v>4</v>
      </c>
      <c r="B327" s="234" t="s">
        <v>278</v>
      </c>
      <c r="C327" s="218"/>
      <c r="D327" s="219" t="s">
        <v>65</v>
      </c>
      <c r="E327" s="220" t="s">
        <v>35</v>
      </c>
      <c r="F327" s="221" t="s">
        <v>66</v>
      </c>
      <c r="G327" s="251">
        <v>2</v>
      </c>
      <c r="H327" s="183"/>
      <c r="I327" s="183"/>
      <c r="J327" s="239"/>
    </row>
    <row r="328" spans="1:10">
      <c r="A328" s="219">
        <v>5</v>
      </c>
      <c r="B328" s="234" t="s">
        <v>279</v>
      </c>
      <c r="C328" s="218"/>
      <c r="D328" s="219" t="s">
        <v>65</v>
      </c>
      <c r="E328" s="220" t="s">
        <v>35</v>
      </c>
      <c r="F328" s="221" t="s">
        <v>66</v>
      </c>
      <c r="G328" s="251">
        <v>1</v>
      </c>
      <c r="H328" s="183"/>
      <c r="I328" s="183"/>
      <c r="J328" s="239"/>
    </row>
    <row r="329" spans="1:10" ht="31">
      <c r="A329" s="219">
        <v>6</v>
      </c>
      <c r="B329" s="234" t="s">
        <v>280</v>
      </c>
      <c r="C329" s="218"/>
      <c r="D329" s="219" t="s">
        <v>65</v>
      </c>
      <c r="E329" s="220" t="s">
        <v>35</v>
      </c>
      <c r="F329" s="221" t="s">
        <v>66</v>
      </c>
      <c r="G329" s="251">
        <v>1</v>
      </c>
      <c r="H329" s="183"/>
      <c r="I329" s="183"/>
      <c r="J329" s="239"/>
    </row>
    <row r="330" spans="1:10" ht="31">
      <c r="A330" s="219">
        <v>7</v>
      </c>
      <c r="B330" s="234" t="s">
        <v>281</v>
      </c>
      <c r="C330" s="218"/>
      <c r="D330" s="219" t="s">
        <v>65</v>
      </c>
      <c r="E330" s="220" t="s">
        <v>35</v>
      </c>
      <c r="F330" s="221" t="s">
        <v>66</v>
      </c>
      <c r="G330" s="251">
        <v>1</v>
      </c>
      <c r="H330" s="183"/>
      <c r="I330" s="183"/>
      <c r="J330" s="239"/>
    </row>
    <row r="331" spans="1:10" ht="31">
      <c r="A331" s="219">
        <v>8</v>
      </c>
      <c r="B331" s="234" t="s">
        <v>282</v>
      </c>
      <c r="C331" s="218"/>
      <c r="D331" s="219" t="s">
        <v>65</v>
      </c>
      <c r="E331" s="220" t="s">
        <v>35</v>
      </c>
      <c r="F331" s="221" t="s">
        <v>66</v>
      </c>
      <c r="G331" s="251">
        <v>97</v>
      </c>
      <c r="H331" s="183"/>
      <c r="I331" s="183"/>
      <c r="J331" s="239"/>
    </row>
    <row r="332" spans="1:10" ht="31">
      <c r="A332" s="219">
        <v>9</v>
      </c>
      <c r="B332" s="234" t="s">
        <v>283</v>
      </c>
      <c r="C332" s="218"/>
      <c r="D332" s="219" t="s">
        <v>65</v>
      </c>
      <c r="E332" s="220" t="s">
        <v>35</v>
      </c>
      <c r="F332" s="221" t="s">
        <v>66</v>
      </c>
      <c r="G332" s="251">
        <v>2</v>
      </c>
      <c r="H332" s="183"/>
      <c r="I332" s="183"/>
      <c r="J332" s="239"/>
    </row>
    <row r="333" spans="1:10" ht="31">
      <c r="A333" s="219">
        <v>10</v>
      </c>
      <c r="B333" s="234" t="s">
        <v>284</v>
      </c>
      <c r="C333" s="218"/>
      <c r="D333" s="219" t="s">
        <v>65</v>
      </c>
      <c r="E333" s="220" t="s">
        <v>35</v>
      </c>
      <c r="F333" s="221" t="s">
        <v>66</v>
      </c>
      <c r="G333" s="251">
        <v>1</v>
      </c>
      <c r="H333" s="183"/>
      <c r="I333" s="183"/>
      <c r="J333" s="239"/>
    </row>
    <row r="334" spans="1:10" ht="31">
      <c r="A334" s="219">
        <v>11</v>
      </c>
      <c r="B334" s="234" t="s">
        <v>285</v>
      </c>
      <c r="C334" s="218"/>
      <c r="D334" s="219" t="s">
        <v>65</v>
      </c>
      <c r="E334" s="220" t="s">
        <v>35</v>
      </c>
      <c r="F334" s="221" t="s">
        <v>66</v>
      </c>
      <c r="G334" s="251">
        <v>1</v>
      </c>
      <c r="H334" s="183"/>
      <c r="I334" s="183"/>
      <c r="J334" s="239"/>
    </row>
    <row r="335" spans="1:10" ht="31">
      <c r="A335" s="219">
        <v>12</v>
      </c>
      <c r="B335" s="234" t="s">
        <v>286</v>
      </c>
      <c r="C335" s="218"/>
      <c r="D335" s="219" t="s">
        <v>65</v>
      </c>
      <c r="E335" s="220" t="s">
        <v>35</v>
      </c>
      <c r="F335" s="221" t="s">
        <v>66</v>
      </c>
      <c r="G335" s="251">
        <v>2</v>
      </c>
      <c r="H335" s="183"/>
      <c r="I335" s="183"/>
      <c r="J335" s="239"/>
    </row>
    <row r="336" spans="1:10" ht="31">
      <c r="A336" s="219">
        <v>13</v>
      </c>
      <c r="B336" s="234" t="s">
        <v>261</v>
      </c>
      <c r="C336" s="218"/>
      <c r="D336" s="219" t="s">
        <v>65</v>
      </c>
      <c r="E336" s="220" t="s">
        <v>35</v>
      </c>
      <c r="F336" s="221" t="s">
        <v>66</v>
      </c>
      <c r="G336" s="251">
        <v>2</v>
      </c>
      <c r="H336" s="183"/>
      <c r="I336" s="183"/>
      <c r="J336" s="239"/>
    </row>
    <row r="337" spans="1:10" ht="31">
      <c r="A337" s="219">
        <v>14</v>
      </c>
      <c r="B337" s="234" t="s">
        <v>287</v>
      </c>
      <c r="C337" s="218"/>
      <c r="D337" s="219" t="s">
        <v>65</v>
      </c>
      <c r="E337" s="220" t="s">
        <v>35</v>
      </c>
      <c r="F337" s="221" t="s">
        <v>66</v>
      </c>
      <c r="G337" s="251">
        <v>1</v>
      </c>
      <c r="H337" s="183"/>
      <c r="I337" s="183"/>
      <c r="J337" s="239"/>
    </row>
    <row r="338" spans="1:10" ht="31">
      <c r="A338" s="219">
        <v>15</v>
      </c>
      <c r="B338" s="234" t="s">
        <v>288</v>
      </c>
      <c r="C338" s="218"/>
      <c r="D338" s="219" t="s">
        <v>65</v>
      </c>
      <c r="E338" s="220" t="s">
        <v>35</v>
      </c>
      <c r="F338" s="221" t="s">
        <v>66</v>
      </c>
      <c r="G338" s="251">
        <v>1</v>
      </c>
      <c r="H338" s="183"/>
      <c r="I338" s="183"/>
      <c r="J338" s="239"/>
    </row>
    <row r="339" spans="1:10" ht="31">
      <c r="A339" s="219">
        <v>16</v>
      </c>
      <c r="B339" s="234" t="s">
        <v>289</v>
      </c>
      <c r="C339" s="218"/>
      <c r="D339" s="219" t="s">
        <v>65</v>
      </c>
      <c r="E339" s="220" t="s">
        <v>35</v>
      </c>
      <c r="F339" s="221" t="s">
        <v>66</v>
      </c>
      <c r="G339" s="251">
        <v>3</v>
      </c>
      <c r="H339" s="183"/>
      <c r="I339" s="183"/>
      <c r="J339" s="239"/>
    </row>
    <row r="340" spans="1:10" ht="31">
      <c r="A340" s="219">
        <v>17</v>
      </c>
      <c r="B340" s="234" t="s">
        <v>290</v>
      </c>
      <c r="C340" s="218"/>
      <c r="D340" s="219" t="s">
        <v>65</v>
      </c>
      <c r="E340" s="220" t="s">
        <v>35</v>
      </c>
      <c r="F340" s="221" t="s">
        <v>66</v>
      </c>
      <c r="G340" s="251">
        <v>1</v>
      </c>
      <c r="H340" s="183"/>
      <c r="I340" s="183"/>
      <c r="J340" s="239"/>
    </row>
    <row r="341" spans="1:10">
      <c r="A341" s="244"/>
      <c r="B341" s="250" t="s">
        <v>116</v>
      </c>
      <c r="C341" s="212"/>
      <c r="D341" s="244"/>
      <c r="E341" s="212"/>
      <c r="F341" s="214"/>
      <c r="G341" s="215"/>
      <c r="H341" s="183"/>
      <c r="I341" s="183"/>
      <c r="J341" s="239"/>
    </row>
    <row r="342" spans="1:10">
      <c r="A342" s="219">
        <v>9</v>
      </c>
      <c r="B342" s="234" t="s">
        <v>291</v>
      </c>
      <c r="C342" s="233"/>
      <c r="D342" s="219" t="s">
        <v>65</v>
      </c>
      <c r="E342" s="220" t="s">
        <v>35</v>
      </c>
      <c r="F342" s="221" t="s">
        <v>66</v>
      </c>
      <c r="G342" s="251">
        <v>11</v>
      </c>
      <c r="H342" s="183"/>
      <c r="I342" s="183"/>
      <c r="J342" s="239"/>
    </row>
    <row r="343" spans="1:10">
      <c r="A343" s="219">
        <v>10</v>
      </c>
      <c r="B343" s="234" t="s">
        <v>125</v>
      </c>
      <c r="C343" s="233"/>
      <c r="D343" s="219" t="s">
        <v>65</v>
      </c>
      <c r="E343" s="220" t="s">
        <v>35</v>
      </c>
      <c r="F343" s="221" t="s">
        <v>66</v>
      </c>
      <c r="G343" s="251">
        <v>51</v>
      </c>
      <c r="H343" s="183"/>
      <c r="I343" s="183"/>
      <c r="J343" s="239"/>
    </row>
    <row r="344" spans="1:10">
      <c r="A344" s="219">
        <v>11</v>
      </c>
      <c r="B344" s="234" t="s">
        <v>123</v>
      </c>
      <c r="C344" s="233"/>
      <c r="D344" s="219" t="s">
        <v>65</v>
      </c>
      <c r="E344" s="220" t="s">
        <v>35</v>
      </c>
      <c r="F344" s="221" t="s">
        <v>66</v>
      </c>
      <c r="G344" s="251">
        <v>32</v>
      </c>
      <c r="H344" s="183"/>
      <c r="I344" s="183"/>
      <c r="J344" s="239"/>
    </row>
    <row r="345" spans="1:10">
      <c r="A345" s="206" t="s">
        <v>292</v>
      </c>
      <c r="B345" s="207" t="s">
        <v>293</v>
      </c>
      <c r="C345" s="235"/>
      <c r="D345" s="236"/>
      <c r="E345" s="237"/>
      <c r="F345" s="206"/>
      <c r="G345" s="209"/>
      <c r="H345" s="183"/>
      <c r="I345" s="183"/>
      <c r="J345" s="239"/>
    </row>
    <row r="346" spans="1:10">
      <c r="A346" s="252">
        <v>1</v>
      </c>
      <c r="B346" s="234" t="s">
        <v>245</v>
      </c>
      <c r="C346" s="218"/>
      <c r="D346" s="219" t="s">
        <v>89</v>
      </c>
      <c r="E346" s="220" t="s">
        <v>35</v>
      </c>
      <c r="F346" s="221" t="s">
        <v>66</v>
      </c>
      <c r="G346" s="251">
        <v>1</v>
      </c>
      <c r="H346" s="183"/>
      <c r="I346" s="183"/>
      <c r="J346" s="239"/>
    </row>
    <row r="347" spans="1:10">
      <c r="A347" s="252">
        <v>2</v>
      </c>
      <c r="B347" s="234" t="s">
        <v>294</v>
      </c>
      <c r="C347" s="218"/>
      <c r="D347" s="219" t="s">
        <v>89</v>
      </c>
      <c r="E347" s="220" t="s">
        <v>35</v>
      </c>
      <c r="F347" s="221" t="s">
        <v>66</v>
      </c>
      <c r="G347" s="251">
        <v>2</v>
      </c>
      <c r="H347" s="183"/>
      <c r="I347" s="183"/>
      <c r="J347" s="239"/>
    </row>
    <row r="348" spans="1:10" ht="31">
      <c r="A348" s="252">
        <v>3</v>
      </c>
      <c r="B348" s="234" t="s">
        <v>261</v>
      </c>
      <c r="C348" s="218"/>
      <c r="D348" s="219" t="s">
        <v>89</v>
      </c>
      <c r="E348" s="220" t="s">
        <v>35</v>
      </c>
      <c r="F348" s="221" t="s">
        <v>66</v>
      </c>
      <c r="G348" s="251">
        <v>14</v>
      </c>
      <c r="H348" s="183"/>
      <c r="I348" s="183"/>
      <c r="J348" s="239"/>
    </row>
    <row r="349" spans="1:10">
      <c r="A349" s="252">
        <v>5</v>
      </c>
      <c r="B349" s="217" t="s">
        <v>295</v>
      </c>
      <c r="C349" s="253"/>
      <c r="D349" s="219" t="s">
        <v>89</v>
      </c>
      <c r="E349" s="220" t="s">
        <v>35</v>
      </c>
      <c r="F349" s="221" t="s">
        <v>66</v>
      </c>
      <c r="G349" s="251">
        <v>1</v>
      </c>
      <c r="H349" s="183"/>
      <c r="I349" s="183"/>
      <c r="J349" s="239"/>
    </row>
    <row r="350" spans="1:10">
      <c r="A350" s="252">
        <v>6</v>
      </c>
      <c r="B350" s="217" t="s">
        <v>296</v>
      </c>
      <c r="C350" s="253"/>
      <c r="D350" s="219" t="s">
        <v>89</v>
      </c>
      <c r="E350" s="220" t="s">
        <v>35</v>
      </c>
      <c r="F350" s="221" t="s">
        <v>66</v>
      </c>
      <c r="G350" s="251">
        <v>1</v>
      </c>
      <c r="H350" s="183"/>
      <c r="I350" s="183"/>
      <c r="J350" s="239"/>
    </row>
    <row r="351" spans="1:10">
      <c r="A351" s="254" t="s">
        <v>297</v>
      </c>
      <c r="B351" s="255" t="s">
        <v>193</v>
      </c>
      <c r="C351" s="256"/>
      <c r="D351" s="257"/>
      <c r="E351" s="258"/>
      <c r="F351" s="259"/>
      <c r="G351" s="215"/>
      <c r="H351" s="183"/>
      <c r="I351" s="183"/>
      <c r="J351" s="239"/>
    </row>
    <row r="352" spans="1:10">
      <c r="A352" s="254"/>
      <c r="B352" s="255" t="s">
        <v>63</v>
      </c>
      <c r="C352" s="256"/>
      <c r="D352" s="257"/>
      <c r="E352" s="258"/>
      <c r="F352" s="259"/>
      <c r="G352" s="215"/>
      <c r="H352" s="183"/>
      <c r="I352" s="183"/>
      <c r="J352" s="239"/>
    </row>
    <row r="353" spans="1:10" ht="31">
      <c r="A353" s="219">
        <v>1</v>
      </c>
      <c r="B353" s="234" t="s">
        <v>298</v>
      </c>
      <c r="C353" s="218"/>
      <c r="D353" s="219" t="s">
        <v>89</v>
      </c>
      <c r="E353" s="220" t="s">
        <v>35</v>
      </c>
      <c r="F353" s="219" t="s">
        <v>66</v>
      </c>
      <c r="G353" s="222">
        <v>550</v>
      </c>
      <c r="H353" s="183"/>
      <c r="I353" s="183"/>
      <c r="J353" s="239"/>
    </row>
    <row r="354" spans="1:10" ht="31">
      <c r="A354" s="219">
        <v>2</v>
      </c>
      <c r="B354" s="234" t="s">
        <v>299</v>
      </c>
      <c r="C354" s="218"/>
      <c r="D354" s="219" t="s">
        <v>89</v>
      </c>
      <c r="E354" s="220" t="s">
        <v>35</v>
      </c>
      <c r="F354" s="219" t="s">
        <v>66</v>
      </c>
      <c r="G354" s="222">
        <v>593</v>
      </c>
      <c r="H354" s="183"/>
      <c r="I354" s="183"/>
      <c r="J354" s="239"/>
    </row>
    <row r="355" spans="1:10" ht="31">
      <c r="A355" s="219">
        <v>3</v>
      </c>
      <c r="B355" s="234" t="s">
        <v>300</v>
      </c>
      <c r="C355" s="260"/>
      <c r="D355" s="219" t="s">
        <v>89</v>
      </c>
      <c r="E355" s="220" t="s">
        <v>35</v>
      </c>
      <c r="F355" s="219" t="s">
        <v>66</v>
      </c>
      <c r="G355" s="222">
        <v>636</v>
      </c>
      <c r="H355" s="183"/>
      <c r="I355" s="183"/>
      <c r="J355" s="239"/>
    </row>
    <row r="356" spans="1:10" ht="31">
      <c r="A356" s="219">
        <v>4</v>
      </c>
      <c r="B356" s="234" t="s">
        <v>301</v>
      </c>
      <c r="C356" s="260"/>
      <c r="D356" s="219" t="s">
        <v>89</v>
      </c>
      <c r="E356" s="220" t="s">
        <v>35</v>
      </c>
      <c r="F356" s="219" t="s">
        <v>66</v>
      </c>
      <c r="G356" s="222">
        <v>39</v>
      </c>
      <c r="H356" s="183"/>
      <c r="I356" s="183"/>
      <c r="J356" s="239"/>
    </row>
    <row r="357" spans="1:10">
      <c r="A357" s="219">
        <v>5</v>
      </c>
      <c r="B357" s="234" t="s">
        <v>302</v>
      </c>
      <c r="C357" s="260"/>
      <c r="D357" s="219" t="s">
        <v>89</v>
      </c>
      <c r="E357" s="220" t="s">
        <v>35</v>
      </c>
      <c r="F357" s="219" t="s">
        <v>66</v>
      </c>
      <c r="G357" s="222">
        <v>558</v>
      </c>
      <c r="H357" s="183"/>
      <c r="I357" s="183"/>
      <c r="J357" s="239"/>
    </row>
    <row r="358" spans="1:10">
      <c r="A358" s="219">
        <v>6</v>
      </c>
      <c r="B358" s="234" t="s">
        <v>303</v>
      </c>
      <c r="C358" s="260"/>
      <c r="D358" s="219" t="s">
        <v>89</v>
      </c>
      <c r="E358" s="220" t="s">
        <v>35</v>
      </c>
      <c r="F358" s="219" t="s">
        <v>66</v>
      </c>
      <c r="G358" s="222">
        <v>593</v>
      </c>
      <c r="H358" s="183"/>
      <c r="I358" s="183"/>
      <c r="J358" s="239"/>
    </row>
    <row r="359" spans="1:10">
      <c r="A359" s="206">
        <v>2</v>
      </c>
      <c r="B359" s="261" t="s">
        <v>293</v>
      </c>
      <c r="C359" s="235"/>
      <c r="D359" s="236"/>
      <c r="E359" s="237"/>
      <c r="F359" s="261"/>
      <c r="G359" s="209"/>
      <c r="H359" s="183"/>
      <c r="I359" s="183"/>
      <c r="J359" s="239"/>
    </row>
    <row r="360" spans="1:10">
      <c r="A360" s="262">
        <v>1</v>
      </c>
      <c r="B360" s="234" t="s">
        <v>272</v>
      </c>
      <c r="C360" s="233"/>
      <c r="D360" s="219" t="s">
        <v>65</v>
      </c>
      <c r="E360" s="220" t="s">
        <v>35</v>
      </c>
      <c r="F360" s="219" t="s">
        <v>66</v>
      </c>
      <c r="G360" s="222">
        <v>1302</v>
      </c>
      <c r="H360" s="183"/>
      <c r="I360" s="183"/>
      <c r="J360" s="239"/>
    </row>
    <row r="361" spans="1:10" ht="31">
      <c r="A361" s="262">
        <v>2</v>
      </c>
      <c r="B361" s="234" t="s">
        <v>298</v>
      </c>
      <c r="C361" s="233"/>
      <c r="D361" s="219" t="s">
        <v>65</v>
      </c>
      <c r="E361" s="220" t="s">
        <v>35</v>
      </c>
      <c r="F361" s="219" t="s">
        <v>66</v>
      </c>
      <c r="G361" s="222">
        <v>550</v>
      </c>
      <c r="H361" s="183"/>
      <c r="I361" s="183"/>
      <c r="J361" s="239"/>
    </row>
    <row r="362" spans="1:10" ht="31">
      <c r="A362" s="262">
        <v>3</v>
      </c>
      <c r="B362" s="234" t="s">
        <v>299</v>
      </c>
      <c r="C362" s="233"/>
      <c r="D362" s="219" t="s">
        <v>65</v>
      </c>
      <c r="E362" s="220" t="s">
        <v>35</v>
      </c>
      <c r="F362" s="219" t="s">
        <v>66</v>
      </c>
      <c r="G362" s="222">
        <v>43</v>
      </c>
      <c r="H362" s="183"/>
      <c r="I362" s="183"/>
      <c r="J362" s="239"/>
    </row>
    <row r="363" spans="1:10" ht="31">
      <c r="A363" s="262">
        <v>4</v>
      </c>
      <c r="B363" s="234" t="s">
        <v>304</v>
      </c>
      <c r="C363" s="233"/>
      <c r="D363" s="219" t="s">
        <v>65</v>
      </c>
      <c r="E363" s="220" t="s">
        <v>35</v>
      </c>
      <c r="F363" s="219" t="s">
        <v>66</v>
      </c>
      <c r="G363" s="222">
        <v>1229</v>
      </c>
      <c r="H363" s="183"/>
      <c r="I363" s="183"/>
      <c r="J363" s="239"/>
    </row>
    <row r="364" spans="1:10" ht="31">
      <c r="A364" s="262">
        <v>5</v>
      </c>
      <c r="B364" s="234" t="s">
        <v>300</v>
      </c>
      <c r="C364" s="233"/>
      <c r="D364" s="219" t="s">
        <v>65</v>
      </c>
      <c r="E364" s="220" t="s">
        <v>35</v>
      </c>
      <c r="F364" s="219" t="s">
        <v>66</v>
      </c>
      <c r="G364" s="222">
        <v>118</v>
      </c>
      <c r="H364" s="183"/>
      <c r="I364" s="183"/>
      <c r="J364" s="239"/>
    </row>
    <row r="365" spans="1:10" ht="31">
      <c r="A365" s="262">
        <v>6</v>
      </c>
      <c r="B365" s="234" t="s">
        <v>301</v>
      </c>
      <c r="C365" s="233"/>
      <c r="D365" s="219" t="s">
        <v>65</v>
      </c>
      <c r="E365" s="220" t="s">
        <v>35</v>
      </c>
      <c r="F365" s="219" t="s">
        <v>66</v>
      </c>
      <c r="G365" s="222">
        <v>39</v>
      </c>
      <c r="H365" s="183"/>
      <c r="I365" s="183"/>
      <c r="J365" s="239"/>
    </row>
    <row r="366" spans="1:10">
      <c r="A366" s="262">
        <v>7</v>
      </c>
      <c r="B366" s="234" t="s">
        <v>302</v>
      </c>
      <c r="C366" s="233"/>
      <c r="D366" s="219" t="s">
        <v>65</v>
      </c>
      <c r="E366" s="220" t="s">
        <v>35</v>
      </c>
      <c r="F366" s="219" t="s">
        <v>66</v>
      </c>
      <c r="G366" s="222">
        <v>63</v>
      </c>
      <c r="H366" s="183"/>
      <c r="I366" s="183"/>
      <c r="J366" s="239"/>
    </row>
    <row r="367" spans="1:10">
      <c r="A367" s="262">
        <v>8</v>
      </c>
      <c r="B367" s="234" t="s">
        <v>303</v>
      </c>
      <c r="C367" s="233"/>
      <c r="D367" s="219" t="s">
        <v>65</v>
      </c>
      <c r="E367" s="220" t="s">
        <v>35</v>
      </c>
      <c r="F367" s="219" t="s">
        <v>66</v>
      </c>
      <c r="G367" s="222">
        <v>43</v>
      </c>
      <c r="H367" s="183"/>
      <c r="I367" s="183"/>
      <c r="J367" s="239"/>
    </row>
    <row r="368" spans="1:10">
      <c r="A368" s="263"/>
      <c r="B368" s="264"/>
      <c r="C368" s="265"/>
      <c r="D368" s="266"/>
      <c r="E368" s="267"/>
      <c r="F368" s="202"/>
      <c r="G368" s="183"/>
      <c r="H368" s="183"/>
      <c r="I368" s="183"/>
      <c r="J368" s="239"/>
    </row>
    <row r="369" spans="1:16383">
      <c r="A369" s="263"/>
      <c r="B369" s="264"/>
      <c r="C369" s="265"/>
      <c r="D369" s="266"/>
      <c r="E369" s="267"/>
      <c r="F369" s="202"/>
      <c r="G369" s="183"/>
      <c r="H369" s="183"/>
      <c r="I369" s="183"/>
      <c r="J369" s="239"/>
    </row>
    <row r="370" spans="1:16383">
      <c r="A370" s="263"/>
      <c r="B370" s="264"/>
      <c r="C370" s="265"/>
      <c r="D370" s="266"/>
      <c r="E370" s="267"/>
      <c r="F370" s="202"/>
      <c r="G370" s="183"/>
      <c r="H370" s="183"/>
      <c r="I370" s="183"/>
      <c r="J370" s="239"/>
    </row>
    <row r="371" spans="1:16383" s="128" customFormat="1" ht="16.5">
      <c r="A371" s="268"/>
      <c r="B371" s="269"/>
      <c r="C371" s="269"/>
      <c r="D371" s="269"/>
      <c r="E371" s="270"/>
      <c r="F371" s="271"/>
      <c r="G371" s="271"/>
      <c r="H371" s="271"/>
      <c r="I371" s="271"/>
      <c r="J371" s="270"/>
      <c r="K371" s="132"/>
      <c r="L371" s="132"/>
      <c r="M371" s="132"/>
      <c r="N371" s="132"/>
      <c r="O371" s="132"/>
      <c r="P371" s="132"/>
      <c r="Q371" s="132"/>
      <c r="R371" s="132"/>
      <c r="S371" s="132"/>
      <c r="T371" s="132"/>
      <c r="U371" s="132"/>
      <c r="V371" s="132"/>
      <c r="W371" s="132"/>
      <c r="X371" s="132"/>
      <c r="Y371" s="132"/>
      <c r="Z371" s="132"/>
      <c r="AA371" s="132"/>
      <c r="AB371" s="132"/>
      <c r="AC371" s="132"/>
      <c r="AD371" s="132"/>
      <c r="AE371" s="132"/>
      <c r="AF371" s="132"/>
      <c r="AG371" s="132"/>
      <c r="AH371" s="132"/>
      <c r="AI371" s="132"/>
      <c r="AJ371" s="132"/>
      <c r="AK371" s="132"/>
      <c r="AL371" s="132"/>
      <c r="AM371" s="132"/>
      <c r="AN371" s="132"/>
      <c r="AO371" s="132"/>
      <c r="AP371" s="132"/>
      <c r="AQ371" s="132"/>
      <c r="AR371" s="132"/>
      <c r="AS371" s="132"/>
      <c r="AT371" s="132"/>
      <c r="AU371" s="132"/>
      <c r="AV371" s="132"/>
      <c r="AW371" s="132"/>
      <c r="AX371" s="132"/>
      <c r="AY371" s="132"/>
      <c r="AZ371" s="132"/>
      <c r="BA371" s="132"/>
      <c r="BB371" s="132"/>
      <c r="BC371" s="132"/>
      <c r="BD371" s="132"/>
      <c r="BE371" s="132"/>
      <c r="BF371" s="132"/>
      <c r="BG371" s="132"/>
      <c r="BH371" s="132"/>
      <c r="BI371" s="132"/>
      <c r="BJ371" s="132"/>
      <c r="BK371" s="132"/>
      <c r="BL371" s="132"/>
      <c r="BM371" s="132"/>
      <c r="BN371" s="132"/>
      <c r="BO371" s="132"/>
      <c r="BP371" s="132"/>
      <c r="BQ371" s="132"/>
      <c r="BR371" s="132"/>
      <c r="BS371" s="132"/>
      <c r="BT371" s="132"/>
      <c r="BU371" s="132"/>
      <c r="BV371" s="132"/>
      <c r="BW371" s="132"/>
      <c r="BX371" s="132"/>
      <c r="BY371" s="132"/>
      <c r="BZ371" s="132"/>
      <c r="CA371" s="132"/>
      <c r="CB371" s="132"/>
      <c r="CC371" s="132"/>
      <c r="CD371" s="132"/>
      <c r="CE371" s="132"/>
      <c r="CF371" s="132"/>
      <c r="CG371" s="132"/>
      <c r="CH371" s="132"/>
      <c r="CI371" s="132"/>
      <c r="CJ371" s="132"/>
      <c r="CK371" s="132"/>
      <c r="CL371" s="132"/>
      <c r="CM371" s="132"/>
      <c r="CN371" s="132"/>
      <c r="CO371" s="132"/>
      <c r="CP371" s="132"/>
      <c r="CQ371" s="132"/>
      <c r="CR371" s="132"/>
      <c r="CS371" s="132"/>
      <c r="CT371" s="132"/>
      <c r="CU371" s="132"/>
      <c r="CV371" s="132"/>
      <c r="CW371" s="132"/>
      <c r="CX371" s="132"/>
      <c r="CY371" s="132"/>
      <c r="CZ371" s="132"/>
      <c r="DA371" s="132"/>
      <c r="DB371" s="132"/>
      <c r="DC371" s="132"/>
      <c r="DD371" s="132"/>
      <c r="DE371" s="132"/>
      <c r="DF371" s="132"/>
      <c r="DG371" s="132"/>
      <c r="DH371" s="132"/>
      <c r="DI371" s="132"/>
      <c r="DJ371" s="132"/>
      <c r="DK371" s="132"/>
      <c r="DL371" s="132"/>
      <c r="DM371" s="132"/>
      <c r="DN371" s="132"/>
      <c r="DO371" s="132"/>
      <c r="DP371" s="132"/>
      <c r="DQ371" s="132"/>
      <c r="DR371" s="132"/>
      <c r="DS371" s="132"/>
      <c r="DT371" s="132"/>
      <c r="DU371" s="132"/>
      <c r="DV371" s="132"/>
      <c r="DW371" s="132"/>
      <c r="DX371" s="132"/>
      <c r="DY371" s="132"/>
      <c r="DZ371" s="132"/>
      <c r="EA371" s="132"/>
      <c r="EB371" s="132"/>
      <c r="EC371" s="132"/>
      <c r="ED371" s="132"/>
      <c r="EE371" s="132"/>
      <c r="EF371" s="132"/>
      <c r="EG371" s="132"/>
      <c r="EH371" s="132"/>
      <c r="EI371" s="132"/>
      <c r="EJ371" s="132"/>
      <c r="EK371" s="132"/>
      <c r="EL371" s="132"/>
      <c r="EM371" s="132"/>
      <c r="EN371" s="132"/>
      <c r="EO371" s="132"/>
      <c r="EP371" s="132"/>
      <c r="EQ371" s="132"/>
      <c r="ER371" s="132"/>
      <c r="ES371" s="132"/>
      <c r="ET371" s="132"/>
      <c r="EU371" s="132"/>
      <c r="EV371" s="132"/>
      <c r="EW371" s="132"/>
      <c r="EX371" s="132"/>
      <c r="EY371" s="132"/>
      <c r="EZ371" s="132"/>
      <c r="FA371" s="132"/>
      <c r="FB371" s="132"/>
      <c r="FC371" s="132"/>
      <c r="FD371" s="132"/>
      <c r="FE371" s="132"/>
      <c r="FF371" s="132"/>
      <c r="FG371" s="132"/>
      <c r="FH371" s="132"/>
      <c r="FI371" s="132"/>
      <c r="FJ371" s="132"/>
      <c r="FK371" s="132"/>
      <c r="FL371" s="132"/>
      <c r="FM371" s="132"/>
      <c r="FN371" s="132"/>
      <c r="FO371" s="132"/>
      <c r="FP371" s="132"/>
      <c r="FQ371" s="132"/>
      <c r="FR371" s="132"/>
      <c r="FS371" s="132"/>
      <c r="FT371" s="132"/>
      <c r="FU371" s="132"/>
      <c r="FV371" s="132"/>
      <c r="FW371" s="132"/>
      <c r="FX371" s="132"/>
      <c r="FY371" s="132"/>
      <c r="FZ371" s="132"/>
      <c r="GA371" s="132"/>
      <c r="GB371" s="132"/>
      <c r="GC371" s="132"/>
      <c r="GD371" s="132"/>
      <c r="GE371" s="132"/>
      <c r="GF371" s="132"/>
      <c r="GG371" s="132"/>
      <c r="GH371" s="132"/>
      <c r="GI371" s="132"/>
      <c r="GJ371" s="132"/>
      <c r="GK371" s="132"/>
      <c r="GL371" s="132"/>
      <c r="GM371" s="132"/>
      <c r="GN371" s="132"/>
      <c r="GO371" s="132"/>
      <c r="GP371" s="132"/>
      <c r="GQ371" s="132"/>
      <c r="GR371" s="132"/>
      <c r="GS371" s="132"/>
      <c r="GT371" s="132"/>
      <c r="GU371" s="132"/>
      <c r="GV371" s="132"/>
      <c r="GW371" s="132"/>
      <c r="GX371" s="132"/>
      <c r="GY371" s="132"/>
      <c r="GZ371" s="132"/>
      <c r="HA371" s="132"/>
      <c r="HB371" s="132"/>
      <c r="HC371" s="132"/>
      <c r="HD371" s="132"/>
      <c r="HE371" s="132"/>
      <c r="HF371" s="132"/>
      <c r="HG371" s="132"/>
      <c r="HH371" s="132"/>
      <c r="HI371" s="132"/>
      <c r="HJ371" s="132"/>
      <c r="HK371" s="132"/>
      <c r="HL371" s="132"/>
      <c r="HM371" s="132"/>
      <c r="HN371" s="132"/>
      <c r="HO371" s="132"/>
      <c r="HP371" s="132"/>
      <c r="HQ371" s="132"/>
      <c r="HR371" s="132"/>
      <c r="HS371" s="132"/>
      <c r="HT371" s="132"/>
      <c r="HU371" s="132"/>
      <c r="HV371" s="132"/>
      <c r="HW371" s="132"/>
      <c r="HX371" s="132"/>
      <c r="HY371" s="132"/>
      <c r="HZ371" s="132"/>
      <c r="IA371" s="132"/>
      <c r="IB371" s="132"/>
      <c r="IC371" s="132"/>
      <c r="ID371" s="132"/>
      <c r="IE371" s="132"/>
      <c r="IF371" s="132"/>
      <c r="IG371" s="132"/>
      <c r="IH371" s="132"/>
      <c r="II371" s="132"/>
      <c r="IJ371" s="132"/>
      <c r="IK371" s="132"/>
      <c r="IL371" s="132"/>
      <c r="IM371" s="132"/>
      <c r="IN371" s="132"/>
      <c r="IO371" s="132"/>
      <c r="IP371" s="132"/>
      <c r="IQ371" s="132"/>
      <c r="IR371" s="132"/>
      <c r="IS371" s="132"/>
      <c r="IT371" s="132"/>
      <c r="IU371" s="132"/>
      <c r="IV371" s="132"/>
      <c r="IW371" s="132"/>
      <c r="IX371" s="132"/>
      <c r="IY371" s="132"/>
      <c r="IZ371" s="132"/>
      <c r="JA371" s="132"/>
      <c r="JB371" s="132"/>
      <c r="JC371" s="132"/>
      <c r="JD371" s="132"/>
      <c r="JE371" s="132"/>
      <c r="JF371" s="132"/>
      <c r="JG371" s="132"/>
      <c r="JH371" s="132"/>
      <c r="JI371" s="132"/>
      <c r="JJ371" s="132"/>
      <c r="JK371" s="132"/>
      <c r="JL371" s="132"/>
      <c r="JM371" s="132"/>
      <c r="JN371" s="132"/>
      <c r="JO371" s="132"/>
      <c r="JP371" s="132"/>
      <c r="JQ371" s="132"/>
      <c r="JR371" s="132"/>
      <c r="JS371" s="132"/>
      <c r="JT371" s="132"/>
      <c r="JU371" s="132"/>
      <c r="JV371" s="132"/>
      <c r="JW371" s="132"/>
      <c r="JX371" s="132"/>
      <c r="JY371" s="132"/>
      <c r="JZ371" s="132"/>
      <c r="KA371" s="132"/>
      <c r="KB371" s="132"/>
      <c r="KC371" s="132"/>
      <c r="KD371" s="132"/>
      <c r="KE371" s="132"/>
      <c r="KF371" s="132"/>
      <c r="KG371" s="132"/>
      <c r="KH371" s="132"/>
      <c r="KI371" s="132"/>
      <c r="KJ371" s="132"/>
      <c r="KK371" s="132"/>
      <c r="KL371" s="132"/>
      <c r="KM371" s="132"/>
      <c r="KN371" s="132"/>
      <c r="KO371" s="132"/>
      <c r="KP371" s="132"/>
      <c r="KQ371" s="132"/>
      <c r="KR371" s="132"/>
      <c r="KS371" s="132"/>
      <c r="KT371" s="132"/>
      <c r="KU371" s="132"/>
      <c r="KV371" s="132"/>
      <c r="KW371" s="132"/>
      <c r="KX371" s="132"/>
      <c r="KY371" s="132"/>
      <c r="KZ371" s="132"/>
      <c r="LA371" s="132"/>
      <c r="LB371" s="132"/>
      <c r="LC371" s="132"/>
      <c r="LD371" s="132"/>
      <c r="LE371" s="132"/>
      <c r="LF371" s="132"/>
      <c r="LG371" s="132"/>
      <c r="LH371" s="132"/>
      <c r="LI371" s="132"/>
      <c r="LJ371" s="132"/>
      <c r="LK371" s="132"/>
      <c r="LL371" s="132"/>
      <c r="LM371" s="132"/>
      <c r="LN371" s="132"/>
      <c r="LO371" s="132"/>
      <c r="LP371" s="132"/>
      <c r="LQ371" s="132"/>
      <c r="LR371" s="132"/>
      <c r="LS371" s="132"/>
      <c r="LT371" s="132"/>
      <c r="LU371" s="132"/>
      <c r="LV371" s="132"/>
      <c r="LW371" s="132"/>
      <c r="LX371" s="132"/>
      <c r="LY371" s="132"/>
      <c r="LZ371" s="132"/>
      <c r="MA371" s="132"/>
      <c r="MB371" s="132"/>
      <c r="MC371" s="132"/>
      <c r="MD371" s="132"/>
      <c r="ME371" s="132"/>
      <c r="MF371" s="132"/>
      <c r="MG371" s="132"/>
      <c r="MH371" s="132"/>
      <c r="MI371" s="132"/>
      <c r="MJ371" s="132"/>
      <c r="MK371" s="132"/>
      <c r="ML371" s="132"/>
      <c r="MM371" s="132"/>
      <c r="MN371" s="132"/>
      <c r="MO371" s="132"/>
      <c r="MP371" s="132"/>
      <c r="MQ371" s="132"/>
      <c r="MR371" s="132"/>
      <c r="MS371" s="132"/>
      <c r="MT371" s="132"/>
      <c r="MU371" s="132"/>
      <c r="MV371" s="132"/>
      <c r="MW371" s="132"/>
      <c r="MX371" s="132"/>
      <c r="MY371" s="132"/>
      <c r="MZ371" s="132"/>
      <c r="NA371" s="132"/>
      <c r="NB371" s="132"/>
      <c r="NC371" s="132"/>
      <c r="ND371" s="132"/>
      <c r="NE371" s="132"/>
      <c r="NF371" s="132"/>
      <c r="NG371" s="132"/>
      <c r="NH371" s="132"/>
      <c r="NI371" s="132"/>
      <c r="NJ371" s="132"/>
      <c r="NK371" s="132"/>
      <c r="NL371" s="132"/>
      <c r="NM371" s="132"/>
      <c r="NN371" s="132"/>
      <c r="NO371" s="132"/>
      <c r="NP371" s="132"/>
      <c r="NQ371" s="132"/>
      <c r="NR371" s="132"/>
      <c r="NS371" s="132"/>
      <c r="NT371" s="132"/>
      <c r="NU371" s="132"/>
      <c r="NV371" s="132"/>
      <c r="NW371" s="132"/>
      <c r="NX371" s="132"/>
      <c r="NY371" s="132"/>
      <c r="NZ371" s="132"/>
      <c r="OA371" s="132"/>
      <c r="OB371" s="132"/>
      <c r="OC371" s="132"/>
      <c r="OD371" s="132"/>
      <c r="OE371" s="132"/>
      <c r="OF371" s="132"/>
      <c r="OG371" s="132"/>
      <c r="OH371" s="132"/>
      <c r="OI371" s="132"/>
      <c r="OJ371" s="132"/>
      <c r="OK371" s="132"/>
      <c r="OL371" s="132"/>
      <c r="OM371" s="132"/>
      <c r="ON371" s="132"/>
      <c r="OO371" s="132"/>
      <c r="OP371" s="132"/>
      <c r="OQ371" s="132"/>
      <c r="OR371" s="132"/>
      <c r="OS371" s="132"/>
      <c r="OT371" s="132"/>
      <c r="OU371" s="132"/>
      <c r="OV371" s="132"/>
      <c r="OW371" s="132"/>
      <c r="OX371" s="132"/>
      <c r="OY371" s="132"/>
      <c r="OZ371" s="132"/>
      <c r="PA371" s="132"/>
      <c r="PB371" s="132"/>
      <c r="PC371" s="132"/>
      <c r="PD371" s="132"/>
      <c r="PE371" s="132"/>
      <c r="PF371" s="132"/>
      <c r="PG371" s="132"/>
      <c r="PH371" s="132"/>
      <c r="PI371" s="132"/>
      <c r="PJ371" s="132"/>
      <c r="PK371" s="132"/>
      <c r="PL371" s="132"/>
      <c r="PM371" s="132"/>
      <c r="PN371" s="132"/>
      <c r="PO371" s="132"/>
      <c r="PP371" s="132"/>
      <c r="PQ371" s="132"/>
      <c r="PR371" s="132"/>
      <c r="PS371" s="132"/>
      <c r="PT371" s="132"/>
      <c r="PU371" s="132"/>
      <c r="PV371" s="132"/>
      <c r="PW371" s="132"/>
      <c r="PX371" s="132"/>
      <c r="PY371" s="132"/>
      <c r="PZ371" s="132"/>
      <c r="QA371" s="132"/>
      <c r="QB371" s="132"/>
      <c r="QC371" s="132"/>
      <c r="QD371" s="132"/>
      <c r="QE371" s="132"/>
      <c r="QF371" s="132"/>
      <c r="QG371" s="132"/>
      <c r="QH371" s="132"/>
      <c r="QI371" s="132"/>
      <c r="QJ371" s="132"/>
      <c r="QK371" s="132"/>
      <c r="QL371" s="132"/>
      <c r="QM371" s="132"/>
      <c r="QN371" s="132"/>
      <c r="QO371" s="132"/>
      <c r="QP371" s="132"/>
      <c r="QQ371" s="132"/>
      <c r="QR371" s="132"/>
      <c r="QS371" s="132"/>
      <c r="QT371" s="132"/>
      <c r="QU371" s="132"/>
      <c r="QV371" s="132"/>
      <c r="QW371" s="132"/>
      <c r="QX371" s="132"/>
      <c r="QY371" s="132"/>
      <c r="QZ371" s="132"/>
      <c r="RA371" s="132"/>
      <c r="RB371" s="132"/>
      <c r="RC371" s="132"/>
      <c r="RD371" s="132"/>
      <c r="RE371" s="132"/>
      <c r="RF371" s="132"/>
      <c r="RG371" s="132"/>
      <c r="RH371" s="132"/>
      <c r="RI371" s="132"/>
      <c r="RJ371" s="132"/>
      <c r="RK371" s="132"/>
      <c r="RL371" s="132"/>
      <c r="RM371" s="132"/>
      <c r="RN371" s="132"/>
      <c r="RO371" s="132"/>
      <c r="RP371" s="132"/>
      <c r="RQ371" s="132"/>
      <c r="RR371" s="132"/>
      <c r="RS371" s="132"/>
      <c r="RT371" s="132"/>
      <c r="RU371" s="132"/>
      <c r="RV371" s="132"/>
      <c r="RW371" s="132"/>
      <c r="RX371" s="132"/>
      <c r="RY371" s="132"/>
      <c r="RZ371" s="132"/>
      <c r="SA371" s="132"/>
      <c r="SB371" s="132"/>
      <c r="SC371" s="132"/>
      <c r="SD371" s="132"/>
      <c r="SE371" s="132"/>
      <c r="SF371" s="132"/>
      <c r="SG371" s="132"/>
      <c r="SH371" s="132"/>
      <c r="SI371" s="132"/>
      <c r="SJ371" s="132"/>
      <c r="SK371" s="132"/>
      <c r="SL371" s="132"/>
      <c r="SM371" s="132"/>
      <c r="SN371" s="132"/>
      <c r="SO371" s="132"/>
      <c r="SP371" s="132"/>
      <c r="SQ371" s="132"/>
      <c r="SR371" s="132"/>
      <c r="SS371" s="132"/>
      <c r="ST371" s="132"/>
      <c r="SU371" s="132"/>
      <c r="SV371" s="132"/>
      <c r="SW371" s="132"/>
      <c r="SX371" s="132"/>
      <c r="SY371" s="132"/>
      <c r="SZ371" s="132"/>
      <c r="TA371" s="132"/>
      <c r="TB371" s="132"/>
      <c r="TC371" s="132"/>
      <c r="TD371" s="132"/>
      <c r="TE371" s="132"/>
      <c r="TF371" s="132"/>
      <c r="TG371" s="132"/>
      <c r="TH371" s="132"/>
      <c r="TI371" s="132"/>
      <c r="TJ371" s="132"/>
      <c r="TK371" s="132"/>
      <c r="TL371" s="132"/>
      <c r="TM371" s="132"/>
      <c r="TN371" s="132"/>
      <c r="TO371" s="132"/>
      <c r="TP371" s="132"/>
      <c r="TQ371" s="132"/>
      <c r="TR371" s="132"/>
      <c r="TS371" s="132"/>
      <c r="TT371" s="132"/>
      <c r="TU371" s="132"/>
      <c r="TV371" s="132"/>
      <c r="TW371" s="132"/>
      <c r="TX371" s="132"/>
      <c r="TY371" s="132"/>
      <c r="TZ371" s="132"/>
      <c r="UA371" s="132"/>
      <c r="UB371" s="132"/>
      <c r="UC371" s="132"/>
      <c r="UD371" s="132"/>
      <c r="UE371" s="132"/>
      <c r="UF371" s="132"/>
      <c r="UG371" s="132"/>
      <c r="UH371" s="132"/>
      <c r="UI371" s="132"/>
      <c r="UJ371" s="132"/>
      <c r="UK371" s="132"/>
      <c r="UL371" s="132"/>
      <c r="UM371" s="132"/>
      <c r="UN371" s="132"/>
      <c r="UO371" s="132"/>
      <c r="UP371" s="132"/>
      <c r="UQ371" s="132"/>
      <c r="UR371" s="132"/>
      <c r="US371" s="132"/>
      <c r="UT371" s="132"/>
      <c r="UU371" s="132"/>
      <c r="UV371" s="132"/>
      <c r="UW371" s="132"/>
      <c r="UX371" s="132"/>
      <c r="UY371" s="132"/>
      <c r="UZ371" s="132"/>
      <c r="VA371" s="132"/>
      <c r="VB371" s="132"/>
      <c r="VC371" s="132"/>
      <c r="VD371" s="132"/>
      <c r="VE371" s="132"/>
      <c r="VF371" s="132"/>
      <c r="VG371" s="132"/>
      <c r="VH371" s="132"/>
      <c r="VI371" s="132"/>
      <c r="VJ371" s="132"/>
      <c r="VK371" s="132"/>
      <c r="VL371" s="132"/>
      <c r="VM371" s="132"/>
      <c r="VN371" s="132"/>
      <c r="VO371" s="132"/>
      <c r="VP371" s="132"/>
      <c r="VQ371" s="132"/>
      <c r="VR371" s="132"/>
      <c r="VS371" s="132"/>
      <c r="VT371" s="132"/>
      <c r="VU371" s="132"/>
      <c r="VV371" s="132"/>
      <c r="VW371" s="132"/>
      <c r="VX371" s="132"/>
      <c r="VY371" s="132"/>
      <c r="VZ371" s="132"/>
      <c r="WA371" s="132"/>
      <c r="WB371" s="132"/>
      <c r="WC371" s="132"/>
      <c r="WD371" s="132"/>
      <c r="WE371" s="132"/>
      <c r="WF371" s="132"/>
      <c r="WG371" s="132"/>
      <c r="WH371" s="132"/>
      <c r="WI371" s="132"/>
      <c r="WJ371" s="132"/>
      <c r="WK371" s="132"/>
      <c r="WL371" s="132"/>
      <c r="WM371" s="132"/>
      <c r="WN371" s="132"/>
      <c r="WO371" s="132"/>
      <c r="WP371" s="132"/>
      <c r="WQ371" s="132"/>
      <c r="WR371" s="132"/>
      <c r="WS371" s="132"/>
      <c r="WT371" s="132"/>
      <c r="WU371" s="132"/>
      <c r="WV371" s="132"/>
      <c r="WW371" s="132"/>
      <c r="WX371" s="132"/>
      <c r="WY371" s="132"/>
      <c r="WZ371" s="132"/>
      <c r="XA371" s="132"/>
      <c r="XB371" s="132"/>
      <c r="XC371" s="132"/>
      <c r="XD371" s="132"/>
      <c r="XE371" s="132"/>
      <c r="XF371" s="132"/>
      <c r="XG371" s="132"/>
      <c r="XH371" s="132"/>
      <c r="XI371" s="132"/>
      <c r="XJ371" s="132"/>
      <c r="XK371" s="132"/>
      <c r="XL371" s="132"/>
      <c r="XM371" s="132"/>
      <c r="XN371" s="132"/>
      <c r="XO371" s="132"/>
      <c r="XP371" s="132"/>
      <c r="XQ371" s="132"/>
      <c r="XR371" s="132"/>
      <c r="XS371" s="132"/>
      <c r="XT371" s="132"/>
      <c r="XU371" s="132"/>
      <c r="XV371" s="132"/>
      <c r="XW371" s="132"/>
      <c r="XX371" s="132"/>
      <c r="XY371" s="132"/>
      <c r="XZ371" s="132"/>
      <c r="YA371" s="132"/>
      <c r="YB371" s="132"/>
      <c r="YC371" s="132"/>
      <c r="YD371" s="132"/>
      <c r="YE371" s="132"/>
      <c r="YF371" s="132"/>
      <c r="YG371" s="132"/>
      <c r="YH371" s="132"/>
      <c r="YI371" s="132"/>
      <c r="YJ371" s="132"/>
      <c r="YK371" s="132"/>
      <c r="YL371" s="132"/>
      <c r="YM371" s="132"/>
      <c r="YN371" s="132"/>
      <c r="YO371" s="132"/>
      <c r="YP371" s="132"/>
      <c r="YQ371" s="132"/>
      <c r="YR371" s="132"/>
      <c r="YS371" s="132"/>
      <c r="YT371" s="132"/>
      <c r="YU371" s="132"/>
      <c r="YV371" s="132"/>
      <c r="YW371" s="132"/>
      <c r="YX371" s="132"/>
      <c r="YY371" s="132"/>
      <c r="YZ371" s="132"/>
      <c r="ZA371" s="132"/>
      <c r="ZB371" s="132"/>
      <c r="ZC371" s="132"/>
      <c r="ZD371" s="132"/>
      <c r="ZE371" s="132"/>
      <c r="ZF371" s="132"/>
      <c r="ZG371" s="132"/>
      <c r="ZH371" s="132"/>
      <c r="ZI371" s="132"/>
      <c r="ZJ371" s="132"/>
      <c r="ZK371" s="132"/>
      <c r="ZL371" s="132"/>
      <c r="ZM371" s="132"/>
      <c r="ZN371" s="132"/>
      <c r="ZO371" s="132"/>
      <c r="ZP371" s="132"/>
      <c r="ZQ371" s="132"/>
      <c r="ZR371" s="132"/>
      <c r="ZS371" s="132"/>
      <c r="ZT371" s="132"/>
      <c r="ZU371" s="132"/>
      <c r="ZV371" s="132"/>
      <c r="ZW371" s="132"/>
      <c r="ZX371" s="132"/>
      <c r="ZY371" s="132"/>
      <c r="ZZ371" s="132"/>
      <c r="AAA371" s="132"/>
      <c r="AAB371" s="132"/>
      <c r="AAC371" s="132"/>
      <c r="AAD371" s="132"/>
      <c r="AAE371" s="132"/>
      <c r="AAF371" s="132"/>
      <c r="AAG371" s="132"/>
      <c r="AAH371" s="132"/>
      <c r="AAI371" s="132"/>
      <c r="AAJ371" s="132"/>
      <c r="AAK371" s="132"/>
      <c r="AAL371" s="132"/>
      <c r="AAM371" s="132"/>
      <c r="AAN371" s="132"/>
      <c r="AAO371" s="132"/>
      <c r="AAP371" s="132"/>
      <c r="AAQ371" s="132"/>
      <c r="AAR371" s="132"/>
      <c r="AAS371" s="132"/>
      <c r="AAT371" s="132"/>
      <c r="AAU371" s="132"/>
      <c r="AAV371" s="132"/>
      <c r="AAW371" s="132"/>
      <c r="AAX371" s="132"/>
      <c r="AAY371" s="132"/>
      <c r="AAZ371" s="132"/>
      <c r="ABA371" s="132"/>
      <c r="ABB371" s="132"/>
      <c r="ABC371" s="132"/>
      <c r="ABD371" s="132"/>
      <c r="ABE371" s="132"/>
      <c r="ABF371" s="132"/>
      <c r="ABG371" s="132"/>
      <c r="ABH371" s="132"/>
      <c r="ABI371" s="132"/>
      <c r="ABJ371" s="132"/>
      <c r="ABK371" s="132"/>
      <c r="ABL371" s="132"/>
      <c r="ABM371" s="132"/>
      <c r="ABN371" s="132"/>
      <c r="ABO371" s="132"/>
      <c r="ABP371" s="132"/>
      <c r="ABQ371" s="132"/>
      <c r="ABR371" s="132"/>
      <c r="ABS371" s="132"/>
      <c r="ABT371" s="132"/>
      <c r="ABU371" s="132"/>
      <c r="ABV371" s="132"/>
      <c r="ABW371" s="132"/>
      <c r="ABX371" s="132"/>
      <c r="ABY371" s="132"/>
      <c r="ABZ371" s="132"/>
      <c r="ACA371" s="132"/>
      <c r="ACB371" s="132"/>
      <c r="ACC371" s="132"/>
      <c r="ACD371" s="132"/>
      <c r="ACE371" s="132"/>
      <c r="ACF371" s="132"/>
      <c r="ACG371" s="132"/>
      <c r="ACH371" s="132"/>
      <c r="ACI371" s="132"/>
      <c r="ACJ371" s="132"/>
      <c r="ACK371" s="132"/>
      <c r="ACL371" s="132"/>
      <c r="ACM371" s="132"/>
      <c r="ACN371" s="132"/>
      <c r="ACO371" s="132"/>
      <c r="ACP371" s="132"/>
      <c r="ACQ371" s="132"/>
      <c r="ACR371" s="132"/>
      <c r="ACS371" s="132"/>
      <c r="ACT371" s="132"/>
      <c r="ACU371" s="132"/>
      <c r="ACV371" s="132"/>
      <c r="ACW371" s="132"/>
      <c r="ACX371" s="132"/>
      <c r="ACY371" s="132"/>
      <c r="ACZ371" s="132"/>
      <c r="ADA371" s="132"/>
      <c r="ADB371" s="132"/>
      <c r="ADC371" s="132"/>
      <c r="ADD371" s="132"/>
      <c r="ADE371" s="132"/>
      <c r="ADF371" s="132"/>
      <c r="ADG371" s="132"/>
      <c r="ADH371" s="132"/>
      <c r="ADI371" s="132"/>
      <c r="ADJ371" s="132"/>
      <c r="ADK371" s="132"/>
      <c r="ADL371" s="132"/>
      <c r="ADM371" s="132"/>
      <c r="ADN371" s="132"/>
      <c r="ADO371" s="132"/>
      <c r="ADP371" s="132"/>
      <c r="ADQ371" s="132"/>
      <c r="ADR371" s="132"/>
      <c r="ADS371" s="132"/>
      <c r="ADT371" s="132"/>
      <c r="ADU371" s="132"/>
      <c r="ADV371" s="132"/>
      <c r="ADW371" s="132"/>
      <c r="ADX371" s="132"/>
      <c r="ADY371" s="132"/>
      <c r="ADZ371" s="132"/>
      <c r="AEA371" s="132"/>
      <c r="AEB371" s="132"/>
      <c r="AEC371" s="132"/>
      <c r="AED371" s="132"/>
      <c r="AEE371" s="132"/>
      <c r="AEF371" s="132"/>
      <c r="AEG371" s="132"/>
      <c r="AEH371" s="132"/>
      <c r="AEI371" s="132"/>
      <c r="AEJ371" s="132"/>
      <c r="AEK371" s="132"/>
      <c r="AEL371" s="132"/>
      <c r="AEM371" s="132"/>
      <c r="AEN371" s="132"/>
      <c r="AEO371" s="132"/>
      <c r="AEP371" s="132"/>
      <c r="AEQ371" s="132"/>
      <c r="AER371" s="132"/>
      <c r="AES371" s="132"/>
      <c r="AET371" s="132"/>
      <c r="AEU371" s="132"/>
      <c r="AEV371" s="132"/>
      <c r="AEW371" s="132"/>
      <c r="AEX371" s="132"/>
      <c r="AEY371" s="132"/>
      <c r="AEZ371" s="132"/>
      <c r="AFA371" s="132"/>
      <c r="AFB371" s="132"/>
      <c r="AFC371" s="132"/>
      <c r="AFD371" s="132"/>
      <c r="AFE371" s="132"/>
      <c r="AFF371" s="132"/>
      <c r="AFG371" s="132"/>
      <c r="AFH371" s="132"/>
      <c r="AFI371" s="132"/>
      <c r="AFJ371" s="132"/>
      <c r="AFK371" s="132"/>
      <c r="AFL371" s="132"/>
      <c r="AFM371" s="132"/>
      <c r="AFN371" s="132"/>
      <c r="AFO371" s="132"/>
      <c r="AFP371" s="132"/>
      <c r="AFQ371" s="132"/>
      <c r="AFR371" s="132"/>
      <c r="AFS371" s="132"/>
      <c r="AFT371" s="132"/>
      <c r="AFU371" s="132"/>
      <c r="AFV371" s="132"/>
      <c r="AFW371" s="132"/>
      <c r="AFX371" s="132"/>
      <c r="AFY371" s="132"/>
      <c r="AFZ371" s="132"/>
      <c r="AGA371" s="132"/>
      <c r="AGB371" s="132"/>
      <c r="AGC371" s="132"/>
      <c r="AGD371" s="132"/>
      <c r="AGE371" s="132"/>
      <c r="AGF371" s="132"/>
      <c r="AGG371" s="132"/>
      <c r="AGH371" s="132"/>
      <c r="AGI371" s="132"/>
      <c r="AGJ371" s="132"/>
      <c r="AGK371" s="132"/>
      <c r="AGL371" s="132"/>
      <c r="AGM371" s="132"/>
      <c r="AGN371" s="132"/>
      <c r="AGO371" s="132"/>
      <c r="AGP371" s="132"/>
      <c r="AGQ371" s="132"/>
      <c r="AGR371" s="132"/>
      <c r="AGS371" s="132"/>
      <c r="AGT371" s="132"/>
      <c r="AGU371" s="132"/>
      <c r="AGV371" s="132"/>
      <c r="AGW371" s="132"/>
      <c r="AGX371" s="132"/>
      <c r="AGY371" s="132"/>
      <c r="AGZ371" s="132"/>
      <c r="AHA371" s="132"/>
      <c r="AHB371" s="132"/>
      <c r="AHC371" s="132"/>
      <c r="AHD371" s="132"/>
      <c r="AHE371" s="132"/>
      <c r="AHF371" s="132"/>
      <c r="AHG371" s="132"/>
      <c r="AHH371" s="132"/>
      <c r="AHI371" s="132"/>
      <c r="AHJ371" s="132"/>
      <c r="AHK371" s="132"/>
      <c r="AHL371" s="132"/>
      <c r="AHM371" s="132"/>
      <c r="AHN371" s="132"/>
      <c r="AHO371" s="132"/>
      <c r="AHP371" s="132"/>
      <c r="AHQ371" s="132"/>
      <c r="AHR371" s="132"/>
      <c r="AHS371" s="132"/>
      <c r="AHT371" s="132"/>
      <c r="AHU371" s="132"/>
      <c r="AHV371" s="132"/>
      <c r="AHW371" s="132"/>
      <c r="AHX371" s="132"/>
      <c r="AHY371" s="132"/>
      <c r="AHZ371" s="132"/>
      <c r="AIA371" s="132"/>
      <c r="AIB371" s="132"/>
      <c r="AIC371" s="132"/>
      <c r="AID371" s="132"/>
      <c r="AIE371" s="132"/>
      <c r="AIF371" s="132"/>
      <c r="AIG371" s="132"/>
      <c r="AIH371" s="132"/>
      <c r="AII371" s="132"/>
      <c r="AIJ371" s="132"/>
      <c r="AIK371" s="132"/>
      <c r="AIL371" s="132"/>
      <c r="AIM371" s="132"/>
      <c r="AIN371" s="132"/>
      <c r="AIO371" s="132"/>
      <c r="AIP371" s="132"/>
      <c r="AIQ371" s="132"/>
      <c r="AIR371" s="132"/>
      <c r="AIS371" s="132"/>
      <c r="AIT371" s="132"/>
      <c r="AIU371" s="132"/>
      <c r="AIV371" s="132"/>
      <c r="AIW371" s="132"/>
      <c r="AIX371" s="132"/>
      <c r="AIY371" s="132"/>
      <c r="AIZ371" s="132"/>
      <c r="AJA371" s="132"/>
      <c r="AJB371" s="132"/>
      <c r="AJC371" s="132"/>
      <c r="AJD371" s="132"/>
      <c r="AJE371" s="132"/>
      <c r="AJF371" s="132"/>
      <c r="AJG371" s="132"/>
      <c r="AJH371" s="132"/>
      <c r="AJI371" s="132"/>
      <c r="AJJ371" s="132"/>
      <c r="AJK371" s="132"/>
      <c r="AJL371" s="132"/>
      <c r="AJM371" s="132"/>
      <c r="AJN371" s="132"/>
      <c r="AJO371" s="132"/>
      <c r="AJP371" s="132"/>
      <c r="AJQ371" s="132"/>
      <c r="AJR371" s="132"/>
      <c r="AJS371" s="132"/>
      <c r="AJT371" s="132"/>
      <c r="AJU371" s="132"/>
      <c r="AJV371" s="132"/>
      <c r="AJW371" s="132"/>
      <c r="AJX371" s="132"/>
      <c r="AJY371" s="132"/>
      <c r="AJZ371" s="132"/>
      <c r="AKA371" s="132"/>
      <c r="AKB371" s="132"/>
      <c r="AKC371" s="132"/>
      <c r="AKD371" s="132"/>
      <c r="AKE371" s="132"/>
      <c r="AKF371" s="132"/>
      <c r="AKG371" s="132"/>
      <c r="AKH371" s="132"/>
      <c r="AKI371" s="132"/>
      <c r="AKJ371" s="132"/>
      <c r="AKK371" s="132"/>
      <c r="AKL371" s="132"/>
      <c r="AKM371" s="132"/>
      <c r="AKN371" s="132"/>
      <c r="AKO371" s="132"/>
      <c r="AKP371" s="132"/>
      <c r="AKQ371" s="132"/>
      <c r="AKR371" s="132"/>
      <c r="AKS371" s="132"/>
      <c r="AKT371" s="132"/>
      <c r="AKU371" s="132"/>
      <c r="AKV371" s="132"/>
      <c r="AKW371" s="132"/>
      <c r="AKX371" s="132"/>
      <c r="AKY371" s="132"/>
      <c r="AKZ371" s="132"/>
      <c r="ALA371" s="132"/>
      <c r="ALB371" s="132"/>
      <c r="ALC371" s="132"/>
      <c r="ALD371" s="132"/>
      <c r="ALE371" s="132"/>
      <c r="ALF371" s="132"/>
      <c r="ALG371" s="132"/>
      <c r="ALH371" s="132"/>
      <c r="ALI371" s="132"/>
      <c r="ALJ371" s="132"/>
      <c r="ALK371" s="132"/>
      <c r="ALL371" s="132"/>
      <c r="ALM371" s="132"/>
      <c r="ALN371" s="132"/>
      <c r="ALO371" s="132"/>
      <c r="ALP371" s="132"/>
      <c r="ALQ371" s="132"/>
      <c r="ALR371" s="132"/>
      <c r="ALS371" s="132"/>
      <c r="ALT371" s="132"/>
      <c r="ALU371" s="132"/>
      <c r="ALV371" s="132"/>
      <c r="ALW371" s="132"/>
      <c r="ALX371" s="132"/>
      <c r="ALY371" s="132"/>
      <c r="ALZ371" s="132"/>
      <c r="AMA371" s="132"/>
      <c r="AMB371" s="132"/>
      <c r="AMC371" s="132"/>
      <c r="AMD371" s="132"/>
      <c r="AME371" s="132"/>
      <c r="AMF371" s="132"/>
      <c r="AMG371" s="132"/>
      <c r="AMH371" s="132"/>
      <c r="AMI371" s="132"/>
      <c r="AMJ371" s="132"/>
      <c r="AMK371" s="132"/>
      <c r="AML371" s="132"/>
      <c r="AMM371" s="132"/>
      <c r="AMN371" s="132"/>
      <c r="AMO371" s="132"/>
      <c r="AMP371" s="132"/>
      <c r="AMQ371" s="132"/>
      <c r="AMR371" s="132"/>
      <c r="AMS371" s="132"/>
      <c r="AMT371" s="132"/>
      <c r="AMU371" s="132"/>
      <c r="AMV371" s="132"/>
      <c r="AMW371" s="132"/>
      <c r="AMX371" s="132"/>
      <c r="AMY371" s="132"/>
      <c r="AMZ371" s="132"/>
      <c r="ANA371" s="132"/>
      <c r="ANB371" s="132"/>
      <c r="ANC371" s="132"/>
      <c r="AND371" s="132"/>
      <c r="ANE371" s="132"/>
      <c r="ANF371" s="132"/>
      <c r="ANG371" s="132"/>
      <c r="ANH371" s="132"/>
      <c r="ANI371" s="132"/>
      <c r="ANJ371" s="132"/>
      <c r="ANK371" s="132"/>
      <c r="ANL371" s="132"/>
      <c r="ANM371" s="132"/>
      <c r="ANN371" s="132"/>
      <c r="ANO371" s="132"/>
      <c r="ANP371" s="132"/>
      <c r="ANQ371" s="132"/>
      <c r="ANR371" s="132"/>
      <c r="ANS371" s="132"/>
      <c r="ANT371" s="132"/>
      <c r="ANU371" s="132"/>
      <c r="ANV371" s="132"/>
      <c r="ANW371" s="132"/>
      <c r="ANX371" s="132"/>
      <c r="ANY371" s="132"/>
      <c r="ANZ371" s="132"/>
      <c r="AOA371" s="132"/>
      <c r="AOB371" s="132"/>
      <c r="AOC371" s="132"/>
      <c r="AOD371" s="132"/>
      <c r="AOE371" s="132"/>
      <c r="AOF371" s="132"/>
      <c r="AOG371" s="132"/>
      <c r="AOH371" s="132"/>
      <c r="AOI371" s="132"/>
      <c r="AOJ371" s="132"/>
      <c r="AOK371" s="132"/>
      <c r="AOL371" s="132"/>
      <c r="AOM371" s="132"/>
      <c r="AON371" s="132"/>
      <c r="AOO371" s="132"/>
      <c r="AOP371" s="132"/>
      <c r="AOQ371" s="132"/>
      <c r="AOR371" s="132"/>
      <c r="AOS371" s="132"/>
      <c r="AOT371" s="132"/>
      <c r="AOU371" s="132"/>
      <c r="AOV371" s="132"/>
      <c r="AOW371" s="132"/>
      <c r="AOX371" s="132"/>
      <c r="AOY371" s="132"/>
      <c r="AOZ371" s="132"/>
      <c r="APA371" s="132"/>
      <c r="APB371" s="132"/>
      <c r="APC371" s="132"/>
      <c r="APD371" s="132"/>
      <c r="APE371" s="132"/>
      <c r="APF371" s="132"/>
      <c r="APG371" s="132"/>
      <c r="APH371" s="132"/>
      <c r="API371" s="132"/>
      <c r="APJ371" s="132"/>
      <c r="APK371" s="132"/>
      <c r="APL371" s="132"/>
      <c r="APM371" s="132"/>
      <c r="APN371" s="132"/>
      <c r="APO371" s="132"/>
      <c r="APP371" s="132"/>
      <c r="APQ371" s="132"/>
      <c r="APR371" s="132"/>
      <c r="APS371" s="132"/>
      <c r="APT371" s="132"/>
      <c r="APU371" s="132"/>
      <c r="APV371" s="132"/>
      <c r="APW371" s="132"/>
      <c r="APX371" s="132"/>
      <c r="APY371" s="132"/>
      <c r="APZ371" s="132"/>
      <c r="AQA371" s="132"/>
      <c r="AQB371" s="132"/>
      <c r="AQC371" s="132"/>
      <c r="AQD371" s="132"/>
      <c r="AQE371" s="132"/>
      <c r="AQF371" s="132"/>
      <c r="AQG371" s="132"/>
      <c r="AQH371" s="132"/>
      <c r="AQI371" s="132"/>
      <c r="AQJ371" s="132"/>
      <c r="AQK371" s="132"/>
      <c r="AQL371" s="132"/>
      <c r="AQM371" s="132"/>
      <c r="AQN371" s="132"/>
      <c r="AQO371" s="132"/>
      <c r="AQP371" s="132"/>
      <c r="AQQ371" s="132"/>
      <c r="AQR371" s="132"/>
      <c r="AQS371" s="132"/>
      <c r="AQT371" s="132"/>
      <c r="AQU371" s="132"/>
      <c r="AQV371" s="132"/>
      <c r="AQW371" s="132"/>
      <c r="AQX371" s="132"/>
      <c r="AQY371" s="132"/>
      <c r="AQZ371" s="132"/>
      <c r="ARA371" s="132"/>
      <c r="ARB371" s="132"/>
      <c r="ARC371" s="132"/>
      <c r="ARD371" s="132"/>
      <c r="ARE371" s="132"/>
      <c r="ARF371" s="132"/>
      <c r="ARG371" s="132"/>
      <c r="ARH371" s="132"/>
      <c r="ARI371" s="132"/>
      <c r="ARJ371" s="132"/>
      <c r="ARK371" s="132"/>
      <c r="ARL371" s="132"/>
      <c r="ARM371" s="132"/>
      <c r="ARN371" s="132"/>
      <c r="ARO371" s="132"/>
      <c r="ARP371" s="132"/>
      <c r="ARQ371" s="132"/>
      <c r="ARR371" s="132"/>
      <c r="ARS371" s="132"/>
      <c r="ART371" s="132"/>
      <c r="ARU371" s="132"/>
      <c r="ARV371" s="132"/>
      <c r="ARW371" s="132"/>
      <c r="ARX371" s="132"/>
      <c r="ARY371" s="132"/>
      <c r="ARZ371" s="132"/>
      <c r="ASA371" s="132"/>
      <c r="ASB371" s="132"/>
      <c r="ASC371" s="132"/>
      <c r="ASD371" s="132"/>
      <c r="ASE371" s="132"/>
      <c r="ASF371" s="132"/>
      <c r="ASG371" s="132"/>
      <c r="ASH371" s="132"/>
      <c r="ASI371" s="132"/>
      <c r="ASJ371" s="132"/>
      <c r="ASK371" s="132"/>
      <c r="ASL371" s="132"/>
      <c r="ASM371" s="132"/>
      <c r="ASN371" s="132"/>
      <c r="ASO371" s="132"/>
      <c r="ASP371" s="132"/>
      <c r="ASQ371" s="132"/>
      <c r="ASR371" s="132"/>
      <c r="ASS371" s="132"/>
      <c r="AST371" s="132"/>
      <c r="ASU371" s="132"/>
      <c r="ASV371" s="132"/>
      <c r="ASW371" s="132"/>
      <c r="ASX371" s="132"/>
      <c r="ASY371" s="132"/>
      <c r="ASZ371" s="132"/>
      <c r="ATA371" s="132"/>
      <c r="ATB371" s="132"/>
      <c r="ATC371" s="132"/>
      <c r="ATD371" s="132"/>
      <c r="ATE371" s="132"/>
      <c r="ATF371" s="132"/>
      <c r="ATG371" s="132"/>
      <c r="ATH371" s="132"/>
      <c r="ATI371" s="132"/>
      <c r="ATJ371" s="132"/>
      <c r="ATK371" s="132"/>
      <c r="ATL371" s="132"/>
      <c r="ATM371" s="132"/>
      <c r="ATN371" s="132"/>
      <c r="ATO371" s="132"/>
      <c r="ATP371" s="132"/>
      <c r="ATQ371" s="132"/>
      <c r="ATR371" s="132"/>
      <c r="ATS371" s="132"/>
      <c r="ATT371" s="132"/>
      <c r="ATU371" s="132"/>
      <c r="ATV371" s="132"/>
      <c r="ATW371" s="132"/>
      <c r="ATX371" s="132"/>
      <c r="ATY371" s="132"/>
      <c r="ATZ371" s="132"/>
      <c r="AUA371" s="132"/>
      <c r="AUB371" s="132"/>
      <c r="AUC371" s="132"/>
      <c r="AUD371" s="132"/>
      <c r="AUE371" s="132"/>
      <c r="AUF371" s="132"/>
      <c r="AUG371" s="132"/>
      <c r="AUH371" s="132"/>
      <c r="AUI371" s="132"/>
      <c r="AUJ371" s="132"/>
      <c r="AUK371" s="132"/>
      <c r="AUL371" s="132"/>
      <c r="AUM371" s="132"/>
      <c r="AUN371" s="132"/>
      <c r="AUO371" s="132"/>
      <c r="AUP371" s="132"/>
      <c r="AUQ371" s="132"/>
      <c r="AUR371" s="132"/>
      <c r="AUS371" s="132"/>
      <c r="AUT371" s="132"/>
      <c r="AUU371" s="132"/>
      <c r="AUV371" s="132"/>
      <c r="AUW371" s="132"/>
      <c r="AUX371" s="132"/>
      <c r="AUY371" s="132"/>
      <c r="AUZ371" s="132"/>
      <c r="AVA371" s="132"/>
      <c r="AVB371" s="132"/>
      <c r="AVC371" s="132"/>
      <c r="AVD371" s="132"/>
      <c r="AVE371" s="132"/>
      <c r="AVF371" s="132"/>
      <c r="AVG371" s="132"/>
      <c r="AVH371" s="132"/>
      <c r="AVI371" s="132"/>
      <c r="AVJ371" s="132"/>
      <c r="AVK371" s="132"/>
      <c r="AVL371" s="132"/>
      <c r="AVM371" s="132"/>
      <c r="AVN371" s="132"/>
      <c r="AVO371" s="132"/>
      <c r="AVP371" s="132"/>
      <c r="AVQ371" s="132"/>
      <c r="AVR371" s="132"/>
      <c r="AVS371" s="132"/>
      <c r="AVT371" s="132"/>
      <c r="AVU371" s="132"/>
      <c r="AVV371" s="132"/>
      <c r="AVW371" s="132"/>
      <c r="AVX371" s="132"/>
      <c r="AVY371" s="132"/>
      <c r="AVZ371" s="132"/>
      <c r="AWA371" s="132"/>
      <c r="AWB371" s="132"/>
      <c r="AWC371" s="132"/>
      <c r="AWD371" s="132"/>
      <c r="AWE371" s="132"/>
      <c r="AWF371" s="132"/>
      <c r="AWG371" s="132"/>
      <c r="AWH371" s="132"/>
      <c r="AWI371" s="132"/>
      <c r="AWJ371" s="132"/>
      <c r="AWK371" s="132"/>
      <c r="AWL371" s="132"/>
      <c r="AWM371" s="132"/>
      <c r="AWN371" s="132"/>
      <c r="AWO371" s="132"/>
      <c r="AWP371" s="132"/>
      <c r="AWQ371" s="132"/>
      <c r="AWR371" s="132"/>
      <c r="AWS371" s="132"/>
      <c r="AWT371" s="132"/>
      <c r="AWU371" s="132"/>
      <c r="AWV371" s="132"/>
      <c r="AWW371" s="132"/>
      <c r="AWX371" s="132"/>
      <c r="AWY371" s="132"/>
      <c r="AWZ371" s="132"/>
      <c r="AXA371" s="132"/>
      <c r="AXB371" s="132"/>
      <c r="AXC371" s="132"/>
      <c r="AXD371" s="132"/>
      <c r="AXE371" s="132"/>
      <c r="AXF371" s="132"/>
      <c r="AXG371" s="132"/>
      <c r="AXH371" s="132"/>
      <c r="AXI371" s="132"/>
      <c r="AXJ371" s="132"/>
      <c r="AXK371" s="132"/>
      <c r="AXL371" s="132"/>
      <c r="AXM371" s="132"/>
      <c r="AXN371" s="132"/>
      <c r="AXO371" s="132"/>
      <c r="AXP371" s="132"/>
      <c r="AXQ371" s="132"/>
      <c r="AXR371" s="132"/>
      <c r="AXS371" s="132"/>
      <c r="AXT371" s="132"/>
      <c r="AXU371" s="132"/>
      <c r="AXV371" s="132"/>
      <c r="AXW371" s="132"/>
      <c r="AXX371" s="132"/>
      <c r="AXY371" s="132"/>
      <c r="AXZ371" s="132"/>
      <c r="AYA371" s="132"/>
      <c r="AYB371" s="132"/>
      <c r="AYC371" s="132"/>
      <c r="AYD371" s="132"/>
      <c r="AYE371" s="132"/>
      <c r="AYF371" s="132"/>
      <c r="AYG371" s="132"/>
      <c r="AYH371" s="132"/>
      <c r="AYI371" s="132"/>
      <c r="AYJ371" s="132"/>
      <c r="AYK371" s="132"/>
      <c r="AYL371" s="132"/>
      <c r="AYM371" s="132"/>
      <c r="AYN371" s="132"/>
      <c r="AYO371" s="132"/>
      <c r="AYP371" s="132"/>
      <c r="AYQ371" s="132"/>
      <c r="AYR371" s="132"/>
      <c r="AYS371" s="132"/>
      <c r="AYT371" s="132"/>
      <c r="AYU371" s="132"/>
      <c r="AYV371" s="132"/>
      <c r="AYW371" s="132"/>
      <c r="AYX371" s="132"/>
      <c r="AYY371" s="132"/>
      <c r="AYZ371" s="132"/>
      <c r="AZA371" s="132"/>
      <c r="AZB371" s="132"/>
      <c r="AZC371" s="132"/>
      <c r="AZD371" s="132"/>
      <c r="AZE371" s="132"/>
      <c r="AZF371" s="132"/>
      <c r="AZG371" s="132"/>
      <c r="AZH371" s="132"/>
      <c r="AZI371" s="132"/>
      <c r="AZJ371" s="132"/>
      <c r="AZK371" s="132"/>
      <c r="AZL371" s="132"/>
      <c r="AZM371" s="132"/>
      <c r="AZN371" s="132"/>
      <c r="AZO371" s="132"/>
      <c r="AZP371" s="132"/>
      <c r="AZQ371" s="132"/>
      <c r="AZR371" s="132"/>
      <c r="AZS371" s="132"/>
      <c r="AZT371" s="132"/>
      <c r="AZU371" s="132"/>
      <c r="AZV371" s="132"/>
      <c r="AZW371" s="132"/>
      <c r="AZX371" s="132"/>
      <c r="AZY371" s="132"/>
      <c r="AZZ371" s="132"/>
      <c r="BAA371" s="132"/>
      <c r="BAB371" s="132"/>
      <c r="BAC371" s="132"/>
      <c r="BAD371" s="132"/>
      <c r="BAE371" s="132"/>
      <c r="BAF371" s="132"/>
      <c r="BAG371" s="132"/>
      <c r="BAH371" s="132"/>
      <c r="BAI371" s="132"/>
      <c r="BAJ371" s="132"/>
      <c r="BAK371" s="132"/>
      <c r="BAL371" s="132"/>
      <c r="BAM371" s="132"/>
      <c r="BAN371" s="132"/>
      <c r="BAO371" s="132"/>
      <c r="BAP371" s="132"/>
      <c r="BAQ371" s="132"/>
      <c r="BAR371" s="132"/>
      <c r="BAS371" s="132"/>
      <c r="BAT371" s="132"/>
      <c r="BAU371" s="132"/>
      <c r="BAV371" s="132"/>
      <c r="BAW371" s="132"/>
      <c r="BAX371" s="132"/>
      <c r="BAY371" s="132"/>
      <c r="BAZ371" s="132"/>
      <c r="BBA371" s="132"/>
      <c r="BBB371" s="132"/>
      <c r="BBC371" s="132"/>
      <c r="BBD371" s="132"/>
      <c r="BBE371" s="132"/>
      <c r="BBF371" s="132"/>
      <c r="BBG371" s="132"/>
      <c r="BBH371" s="132"/>
      <c r="BBI371" s="132"/>
      <c r="BBJ371" s="132"/>
      <c r="BBK371" s="132"/>
      <c r="BBL371" s="132"/>
      <c r="BBM371" s="132"/>
      <c r="BBN371" s="132"/>
      <c r="BBO371" s="132"/>
      <c r="BBP371" s="132"/>
      <c r="BBQ371" s="132"/>
      <c r="BBR371" s="132"/>
      <c r="BBS371" s="132"/>
      <c r="BBT371" s="132"/>
      <c r="BBU371" s="132"/>
      <c r="BBV371" s="132"/>
      <c r="BBW371" s="132"/>
      <c r="BBX371" s="132"/>
      <c r="BBY371" s="132"/>
      <c r="BBZ371" s="132"/>
      <c r="BCA371" s="132"/>
      <c r="BCB371" s="132"/>
      <c r="BCC371" s="132"/>
      <c r="BCD371" s="132"/>
      <c r="BCE371" s="132"/>
      <c r="BCF371" s="132"/>
      <c r="BCG371" s="132"/>
      <c r="BCH371" s="132"/>
      <c r="BCI371" s="132"/>
      <c r="BCJ371" s="132"/>
      <c r="BCK371" s="132"/>
      <c r="BCL371" s="132"/>
      <c r="BCM371" s="132"/>
      <c r="BCN371" s="132"/>
      <c r="BCO371" s="132"/>
      <c r="BCP371" s="132"/>
      <c r="BCQ371" s="132"/>
      <c r="BCR371" s="132"/>
      <c r="BCS371" s="132"/>
      <c r="BCT371" s="132"/>
      <c r="BCU371" s="132"/>
      <c r="BCV371" s="132"/>
      <c r="BCW371" s="132"/>
      <c r="BCX371" s="132"/>
      <c r="BCY371" s="132"/>
      <c r="BCZ371" s="132"/>
      <c r="BDA371" s="132"/>
      <c r="BDB371" s="132"/>
      <c r="BDC371" s="132"/>
      <c r="BDD371" s="132"/>
      <c r="BDE371" s="132"/>
      <c r="BDF371" s="132"/>
      <c r="BDG371" s="132"/>
      <c r="BDH371" s="132"/>
      <c r="BDI371" s="132"/>
      <c r="BDJ371" s="132"/>
      <c r="BDK371" s="132"/>
      <c r="BDL371" s="132"/>
      <c r="BDM371" s="132"/>
      <c r="BDN371" s="132"/>
      <c r="BDO371" s="132"/>
      <c r="BDP371" s="132"/>
      <c r="BDQ371" s="132"/>
      <c r="BDR371" s="132"/>
      <c r="BDS371" s="132"/>
      <c r="BDT371" s="132"/>
      <c r="BDU371" s="132"/>
      <c r="BDV371" s="132"/>
      <c r="BDW371" s="132"/>
      <c r="BDX371" s="132"/>
      <c r="BDY371" s="132"/>
      <c r="BDZ371" s="132"/>
      <c r="BEA371" s="132"/>
      <c r="BEB371" s="132"/>
      <c r="BEC371" s="132"/>
      <c r="BED371" s="132"/>
      <c r="BEE371" s="132"/>
      <c r="BEF371" s="132"/>
      <c r="BEG371" s="132"/>
      <c r="BEH371" s="132"/>
      <c r="BEI371" s="132"/>
      <c r="BEJ371" s="132"/>
      <c r="BEK371" s="132"/>
      <c r="BEL371" s="132"/>
      <c r="BEM371" s="132"/>
      <c r="BEN371" s="132"/>
      <c r="BEO371" s="132"/>
      <c r="BEP371" s="132"/>
      <c r="BEQ371" s="132"/>
      <c r="BER371" s="132"/>
      <c r="BES371" s="132"/>
      <c r="BET371" s="132"/>
      <c r="BEU371" s="132"/>
      <c r="BEV371" s="132"/>
      <c r="BEW371" s="132"/>
      <c r="BEX371" s="132"/>
      <c r="BEY371" s="132"/>
      <c r="BEZ371" s="132"/>
      <c r="BFA371" s="132"/>
      <c r="BFB371" s="132"/>
      <c r="BFC371" s="132"/>
      <c r="BFD371" s="132"/>
      <c r="BFE371" s="132"/>
      <c r="BFF371" s="132"/>
      <c r="BFG371" s="132"/>
      <c r="BFH371" s="132"/>
      <c r="BFI371" s="132"/>
      <c r="BFJ371" s="132"/>
      <c r="BFK371" s="132"/>
      <c r="BFL371" s="132"/>
      <c r="BFM371" s="132"/>
      <c r="BFN371" s="132"/>
      <c r="BFO371" s="132"/>
      <c r="BFP371" s="132"/>
      <c r="BFQ371" s="132"/>
      <c r="BFR371" s="132"/>
      <c r="BFS371" s="132"/>
      <c r="BFT371" s="132"/>
      <c r="BFU371" s="132"/>
      <c r="BFV371" s="132"/>
      <c r="BFW371" s="132"/>
      <c r="BFX371" s="132"/>
      <c r="BFY371" s="132"/>
      <c r="BFZ371" s="132"/>
      <c r="BGA371" s="132"/>
      <c r="BGB371" s="132"/>
      <c r="BGC371" s="132"/>
      <c r="BGD371" s="132"/>
      <c r="BGE371" s="132"/>
      <c r="BGF371" s="132"/>
      <c r="BGG371" s="132"/>
      <c r="BGH371" s="132"/>
      <c r="BGI371" s="132"/>
      <c r="BGJ371" s="132"/>
      <c r="BGK371" s="132"/>
      <c r="BGL371" s="132"/>
      <c r="BGM371" s="132"/>
      <c r="BGN371" s="132"/>
      <c r="BGO371" s="132"/>
      <c r="BGP371" s="132"/>
      <c r="BGQ371" s="132"/>
      <c r="BGR371" s="132"/>
      <c r="BGS371" s="132"/>
      <c r="BGT371" s="132"/>
      <c r="BGU371" s="132"/>
      <c r="BGV371" s="132"/>
      <c r="BGW371" s="132"/>
      <c r="BGX371" s="132"/>
      <c r="BGY371" s="132"/>
      <c r="BGZ371" s="132"/>
      <c r="BHA371" s="132"/>
      <c r="BHB371" s="132"/>
      <c r="BHC371" s="132"/>
      <c r="BHD371" s="132"/>
      <c r="BHE371" s="132"/>
      <c r="BHF371" s="132"/>
      <c r="BHG371" s="132"/>
      <c r="BHH371" s="132"/>
      <c r="BHI371" s="132"/>
      <c r="BHJ371" s="132"/>
      <c r="BHK371" s="132"/>
      <c r="BHL371" s="132"/>
      <c r="BHM371" s="132"/>
      <c r="BHN371" s="132"/>
      <c r="BHO371" s="132"/>
      <c r="BHP371" s="132"/>
      <c r="BHQ371" s="132"/>
      <c r="BHR371" s="132"/>
      <c r="BHS371" s="132"/>
      <c r="BHT371" s="132"/>
      <c r="BHU371" s="132"/>
      <c r="BHV371" s="132"/>
      <c r="BHW371" s="132"/>
      <c r="BHX371" s="132"/>
      <c r="BHY371" s="132"/>
      <c r="BHZ371" s="132"/>
      <c r="BIA371" s="132"/>
      <c r="BIB371" s="132"/>
      <c r="BIC371" s="132"/>
      <c r="BID371" s="132"/>
      <c r="BIE371" s="132"/>
      <c r="BIF371" s="132"/>
      <c r="BIG371" s="132"/>
      <c r="BIH371" s="132"/>
      <c r="BII371" s="132"/>
      <c r="BIJ371" s="132"/>
      <c r="BIK371" s="132"/>
      <c r="BIL371" s="132"/>
      <c r="BIM371" s="132"/>
      <c r="BIN371" s="132"/>
      <c r="BIO371" s="132"/>
      <c r="BIP371" s="132"/>
      <c r="BIQ371" s="132"/>
      <c r="BIR371" s="132"/>
      <c r="BIS371" s="132"/>
      <c r="BIT371" s="132"/>
      <c r="BIU371" s="132"/>
      <c r="BIV371" s="132"/>
      <c r="BIW371" s="132"/>
      <c r="BIX371" s="132"/>
      <c r="BIY371" s="132"/>
      <c r="BIZ371" s="132"/>
      <c r="BJA371" s="132"/>
      <c r="BJB371" s="132"/>
      <c r="BJC371" s="132"/>
      <c r="BJD371" s="132"/>
      <c r="BJE371" s="132"/>
      <c r="BJF371" s="132"/>
      <c r="BJG371" s="132"/>
      <c r="BJH371" s="132"/>
      <c r="BJI371" s="132"/>
      <c r="BJJ371" s="132"/>
      <c r="BJK371" s="132"/>
      <c r="BJL371" s="132"/>
      <c r="BJM371" s="132"/>
      <c r="BJN371" s="132"/>
      <c r="BJO371" s="132"/>
      <c r="BJP371" s="132"/>
      <c r="BJQ371" s="132"/>
      <c r="BJR371" s="132"/>
      <c r="BJS371" s="132"/>
      <c r="BJT371" s="132"/>
      <c r="BJU371" s="132"/>
      <c r="BJV371" s="132"/>
      <c r="BJW371" s="132"/>
      <c r="BJX371" s="132"/>
      <c r="BJY371" s="132"/>
      <c r="BJZ371" s="132"/>
      <c r="BKA371" s="132"/>
      <c r="BKB371" s="132"/>
      <c r="BKC371" s="132"/>
      <c r="BKD371" s="132"/>
      <c r="BKE371" s="132"/>
      <c r="BKF371" s="132"/>
      <c r="BKG371" s="132"/>
      <c r="BKH371" s="132"/>
      <c r="BKI371" s="132"/>
      <c r="BKJ371" s="132"/>
      <c r="BKK371" s="132"/>
      <c r="BKL371" s="132"/>
      <c r="BKM371" s="132"/>
      <c r="BKN371" s="132"/>
      <c r="BKO371" s="132"/>
      <c r="BKP371" s="132"/>
      <c r="BKQ371" s="132"/>
      <c r="BKR371" s="132"/>
      <c r="BKS371" s="132"/>
      <c r="BKT371" s="132"/>
      <c r="BKU371" s="132"/>
      <c r="BKV371" s="132"/>
      <c r="BKW371" s="132"/>
      <c r="BKX371" s="132"/>
      <c r="BKY371" s="132"/>
      <c r="BKZ371" s="132"/>
      <c r="BLA371" s="132"/>
      <c r="BLB371" s="132"/>
      <c r="BLC371" s="132"/>
      <c r="BLD371" s="132"/>
      <c r="BLE371" s="132"/>
      <c r="BLF371" s="132"/>
      <c r="BLG371" s="132"/>
      <c r="BLH371" s="132"/>
      <c r="BLI371" s="132"/>
      <c r="BLJ371" s="132"/>
      <c r="BLK371" s="132"/>
      <c r="BLL371" s="132"/>
      <c r="BLM371" s="132"/>
      <c r="BLN371" s="132"/>
      <c r="BLO371" s="132"/>
      <c r="BLP371" s="132"/>
      <c r="BLQ371" s="132"/>
      <c r="BLR371" s="132"/>
      <c r="BLS371" s="132"/>
      <c r="BLT371" s="132"/>
      <c r="BLU371" s="132"/>
      <c r="BLV371" s="132"/>
      <c r="BLW371" s="132"/>
      <c r="BLX371" s="132"/>
      <c r="BLY371" s="132"/>
      <c r="BLZ371" s="132"/>
      <c r="BMA371" s="132"/>
      <c r="BMB371" s="132"/>
      <c r="BMC371" s="132"/>
      <c r="BMD371" s="132"/>
      <c r="BME371" s="132"/>
      <c r="BMF371" s="132"/>
      <c r="BMG371" s="132"/>
      <c r="BMH371" s="132"/>
      <c r="BMI371" s="132"/>
      <c r="BMJ371" s="132"/>
      <c r="BMK371" s="132"/>
      <c r="BML371" s="132"/>
      <c r="BMM371" s="132"/>
      <c r="BMN371" s="132"/>
      <c r="BMO371" s="132"/>
      <c r="BMP371" s="132"/>
      <c r="BMQ371" s="132"/>
      <c r="BMR371" s="132"/>
      <c r="BMS371" s="132"/>
      <c r="BMT371" s="132"/>
      <c r="BMU371" s="132"/>
      <c r="BMV371" s="132"/>
      <c r="BMW371" s="132"/>
      <c r="BMX371" s="132"/>
      <c r="BMY371" s="132"/>
      <c r="BMZ371" s="132"/>
      <c r="BNA371" s="132"/>
      <c r="BNB371" s="132"/>
      <c r="BNC371" s="132"/>
      <c r="BND371" s="132"/>
      <c r="BNE371" s="132"/>
      <c r="BNF371" s="132"/>
      <c r="BNG371" s="132"/>
      <c r="BNH371" s="132"/>
      <c r="BNI371" s="132"/>
      <c r="BNJ371" s="132"/>
      <c r="BNK371" s="132"/>
      <c r="BNL371" s="132"/>
      <c r="BNM371" s="132"/>
      <c r="BNN371" s="132"/>
      <c r="BNO371" s="132"/>
      <c r="BNP371" s="132"/>
      <c r="BNQ371" s="132"/>
      <c r="BNR371" s="132"/>
      <c r="BNS371" s="132"/>
      <c r="BNT371" s="132"/>
      <c r="BNU371" s="132"/>
      <c r="BNV371" s="132"/>
      <c r="BNW371" s="132"/>
      <c r="BNX371" s="132"/>
      <c r="BNY371" s="132"/>
      <c r="BNZ371" s="132"/>
      <c r="BOA371" s="132"/>
      <c r="BOB371" s="132"/>
      <c r="BOC371" s="132"/>
      <c r="BOD371" s="132"/>
      <c r="BOE371" s="132"/>
      <c r="BOF371" s="132"/>
      <c r="BOG371" s="132"/>
      <c r="BOH371" s="132"/>
      <c r="BOI371" s="132"/>
      <c r="BOJ371" s="132"/>
      <c r="BOK371" s="132"/>
      <c r="BOL371" s="132"/>
      <c r="BOM371" s="132"/>
      <c r="BON371" s="132"/>
      <c r="BOO371" s="132"/>
      <c r="BOP371" s="132"/>
      <c r="BOQ371" s="132"/>
      <c r="BOR371" s="132"/>
      <c r="BOS371" s="132"/>
      <c r="BOT371" s="132"/>
      <c r="BOU371" s="132"/>
      <c r="BOV371" s="132"/>
      <c r="BOW371" s="132"/>
      <c r="BOX371" s="132"/>
      <c r="BOY371" s="132"/>
      <c r="BOZ371" s="132"/>
      <c r="BPA371" s="132"/>
      <c r="BPB371" s="132"/>
      <c r="BPC371" s="132"/>
      <c r="BPD371" s="132"/>
      <c r="BPE371" s="132"/>
      <c r="BPF371" s="132"/>
      <c r="BPG371" s="132"/>
      <c r="BPH371" s="132"/>
      <c r="BPI371" s="132"/>
      <c r="BPJ371" s="132"/>
      <c r="BPK371" s="132"/>
      <c r="BPL371" s="132"/>
      <c r="BPM371" s="132"/>
      <c r="BPN371" s="132"/>
      <c r="BPO371" s="132"/>
      <c r="BPP371" s="132"/>
      <c r="BPQ371" s="132"/>
      <c r="BPR371" s="132"/>
      <c r="BPS371" s="132"/>
      <c r="BPT371" s="132"/>
      <c r="BPU371" s="132"/>
      <c r="BPV371" s="132"/>
      <c r="BPW371" s="132"/>
      <c r="BPX371" s="132"/>
      <c r="BPY371" s="132"/>
      <c r="BPZ371" s="132"/>
      <c r="BQA371" s="132"/>
      <c r="BQB371" s="132"/>
      <c r="BQC371" s="132"/>
      <c r="BQD371" s="132"/>
      <c r="BQE371" s="132"/>
      <c r="BQF371" s="132"/>
      <c r="BQG371" s="132"/>
      <c r="BQH371" s="132"/>
      <c r="BQI371" s="132"/>
      <c r="BQJ371" s="132"/>
      <c r="BQK371" s="132"/>
      <c r="BQL371" s="132"/>
      <c r="BQM371" s="132"/>
      <c r="BQN371" s="132"/>
      <c r="BQO371" s="132"/>
      <c r="BQP371" s="132"/>
      <c r="BQQ371" s="132"/>
      <c r="BQR371" s="132"/>
      <c r="BQS371" s="132"/>
      <c r="BQT371" s="132"/>
      <c r="BQU371" s="132"/>
      <c r="BQV371" s="132"/>
      <c r="BQW371" s="132"/>
      <c r="BQX371" s="132"/>
      <c r="BQY371" s="132"/>
      <c r="BQZ371" s="132"/>
      <c r="BRA371" s="132"/>
      <c r="BRB371" s="132"/>
      <c r="BRC371" s="132"/>
      <c r="BRD371" s="132"/>
      <c r="BRE371" s="132"/>
      <c r="BRF371" s="132"/>
      <c r="BRG371" s="132"/>
      <c r="BRH371" s="132"/>
      <c r="BRI371" s="132"/>
      <c r="BRJ371" s="132"/>
      <c r="BRK371" s="132"/>
      <c r="BRL371" s="132"/>
      <c r="BRM371" s="132"/>
      <c r="BRN371" s="132"/>
      <c r="BRO371" s="132"/>
      <c r="BRP371" s="132"/>
      <c r="BRQ371" s="132"/>
      <c r="BRR371" s="132"/>
      <c r="BRS371" s="132"/>
      <c r="BRT371" s="132"/>
      <c r="BRU371" s="132"/>
      <c r="BRV371" s="132"/>
      <c r="BRW371" s="132"/>
      <c r="BRX371" s="132"/>
      <c r="BRY371" s="132"/>
      <c r="BRZ371" s="132"/>
      <c r="BSA371" s="132"/>
      <c r="BSB371" s="132"/>
      <c r="BSC371" s="132"/>
      <c r="BSD371" s="132"/>
      <c r="BSE371" s="132"/>
      <c r="BSF371" s="132"/>
      <c r="BSG371" s="132"/>
      <c r="BSH371" s="132"/>
      <c r="BSI371" s="132"/>
      <c r="BSJ371" s="132"/>
      <c r="BSK371" s="132"/>
      <c r="BSL371" s="132"/>
      <c r="BSM371" s="132"/>
      <c r="BSN371" s="132"/>
      <c r="BSO371" s="132"/>
      <c r="BSP371" s="132"/>
      <c r="BSQ371" s="132"/>
      <c r="BSR371" s="132"/>
      <c r="BSS371" s="132"/>
      <c r="BST371" s="132"/>
      <c r="BSU371" s="132"/>
      <c r="BSV371" s="132"/>
      <c r="BSW371" s="132"/>
      <c r="BSX371" s="132"/>
      <c r="BSY371" s="132"/>
      <c r="BSZ371" s="132"/>
      <c r="BTA371" s="132"/>
      <c r="BTB371" s="132"/>
      <c r="BTC371" s="132"/>
      <c r="BTD371" s="132"/>
      <c r="BTE371" s="132"/>
      <c r="BTF371" s="132"/>
      <c r="BTG371" s="132"/>
      <c r="BTH371" s="132"/>
      <c r="BTI371" s="132"/>
      <c r="BTJ371" s="132"/>
      <c r="BTK371" s="132"/>
      <c r="BTL371" s="132"/>
      <c r="BTM371" s="132"/>
      <c r="BTN371" s="132"/>
      <c r="BTO371" s="132"/>
      <c r="BTP371" s="132"/>
      <c r="BTQ371" s="132"/>
      <c r="BTR371" s="132"/>
      <c r="BTS371" s="132"/>
      <c r="BTT371" s="132"/>
      <c r="BTU371" s="132"/>
      <c r="BTV371" s="132"/>
      <c r="BTW371" s="132"/>
      <c r="BTX371" s="132"/>
      <c r="BTY371" s="132"/>
      <c r="BTZ371" s="132"/>
      <c r="BUA371" s="132"/>
      <c r="BUB371" s="132"/>
      <c r="BUC371" s="132"/>
      <c r="BUD371" s="132"/>
      <c r="BUE371" s="132"/>
      <c r="BUF371" s="132"/>
      <c r="BUG371" s="132"/>
      <c r="BUH371" s="132"/>
      <c r="BUI371" s="132"/>
      <c r="BUJ371" s="132"/>
      <c r="BUK371" s="132"/>
      <c r="BUL371" s="132"/>
      <c r="BUM371" s="132"/>
      <c r="BUN371" s="132"/>
      <c r="BUO371" s="132"/>
      <c r="BUP371" s="132"/>
      <c r="BUQ371" s="132"/>
      <c r="BUR371" s="132"/>
      <c r="BUS371" s="132"/>
      <c r="BUT371" s="132"/>
      <c r="BUU371" s="132"/>
      <c r="BUV371" s="132"/>
      <c r="BUW371" s="132"/>
      <c r="BUX371" s="132"/>
      <c r="BUY371" s="132"/>
      <c r="BUZ371" s="132"/>
      <c r="BVA371" s="132"/>
      <c r="BVB371" s="132"/>
      <c r="BVC371" s="132"/>
      <c r="BVD371" s="132"/>
      <c r="BVE371" s="132"/>
      <c r="BVF371" s="132"/>
      <c r="BVG371" s="132"/>
      <c r="BVH371" s="132"/>
      <c r="BVI371" s="132"/>
      <c r="BVJ371" s="132"/>
      <c r="BVK371" s="132"/>
      <c r="BVL371" s="132"/>
      <c r="BVM371" s="132"/>
      <c r="BVN371" s="132"/>
      <c r="BVO371" s="132"/>
      <c r="BVP371" s="132"/>
      <c r="BVQ371" s="132"/>
      <c r="BVR371" s="132"/>
      <c r="BVS371" s="132"/>
      <c r="BVT371" s="132"/>
      <c r="BVU371" s="132"/>
      <c r="BVV371" s="132"/>
      <c r="BVW371" s="132"/>
      <c r="BVX371" s="132"/>
      <c r="BVY371" s="132"/>
      <c r="BVZ371" s="132"/>
      <c r="BWA371" s="132"/>
      <c r="BWB371" s="132"/>
      <c r="BWC371" s="132"/>
      <c r="BWD371" s="132"/>
      <c r="BWE371" s="132"/>
      <c r="BWF371" s="132"/>
      <c r="BWG371" s="132"/>
      <c r="BWH371" s="132"/>
      <c r="BWI371" s="132"/>
      <c r="BWJ371" s="132"/>
      <c r="BWK371" s="132"/>
      <c r="BWL371" s="132"/>
      <c r="BWM371" s="132"/>
      <c r="BWN371" s="132"/>
      <c r="BWO371" s="132"/>
      <c r="BWP371" s="132"/>
      <c r="BWQ371" s="132"/>
      <c r="BWR371" s="132"/>
      <c r="BWS371" s="132"/>
      <c r="BWT371" s="132"/>
      <c r="BWU371" s="132"/>
      <c r="BWV371" s="132"/>
      <c r="BWW371" s="132"/>
      <c r="BWX371" s="132"/>
      <c r="BWY371" s="132"/>
      <c r="BWZ371" s="132"/>
      <c r="BXA371" s="132"/>
      <c r="BXB371" s="132"/>
      <c r="BXC371" s="132"/>
      <c r="BXD371" s="132"/>
      <c r="BXE371" s="132"/>
      <c r="BXF371" s="132"/>
      <c r="BXG371" s="132"/>
      <c r="BXH371" s="132"/>
      <c r="BXI371" s="132"/>
      <c r="BXJ371" s="132"/>
      <c r="BXK371" s="132"/>
      <c r="BXL371" s="132"/>
      <c r="BXM371" s="132"/>
      <c r="BXN371" s="132"/>
      <c r="BXO371" s="132"/>
      <c r="BXP371" s="132"/>
      <c r="BXQ371" s="132"/>
      <c r="BXR371" s="132"/>
      <c r="BXS371" s="132"/>
      <c r="BXT371" s="132"/>
      <c r="BXU371" s="132"/>
      <c r="BXV371" s="132"/>
      <c r="BXW371" s="132"/>
      <c r="BXX371" s="132"/>
      <c r="BXY371" s="132"/>
      <c r="BXZ371" s="132"/>
      <c r="BYA371" s="132"/>
      <c r="BYB371" s="132"/>
      <c r="BYC371" s="132"/>
      <c r="BYD371" s="132"/>
      <c r="BYE371" s="132"/>
      <c r="BYF371" s="132"/>
      <c r="BYG371" s="132"/>
      <c r="BYH371" s="132"/>
      <c r="BYI371" s="132"/>
      <c r="BYJ371" s="132"/>
      <c r="BYK371" s="132"/>
      <c r="BYL371" s="132"/>
      <c r="BYM371" s="132"/>
      <c r="BYN371" s="132"/>
      <c r="BYO371" s="132"/>
      <c r="BYP371" s="132"/>
      <c r="BYQ371" s="132"/>
      <c r="BYR371" s="132"/>
      <c r="BYS371" s="132"/>
      <c r="BYT371" s="132"/>
      <c r="BYU371" s="132"/>
      <c r="BYV371" s="132"/>
      <c r="BYW371" s="132"/>
      <c r="BYX371" s="132"/>
      <c r="BYY371" s="132"/>
      <c r="BYZ371" s="132"/>
      <c r="BZA371" s="132"/>
      <c r="BZB371" s="132"/>
      <c r="BZC371" s="132"/>
      <c r="BZD371" s="132"/>
      <c r="BZE371" s="132"/>
      <c r="BZF371" s="132"/>
      <c r="BZG371" s="132"/>
      <c r="BZH371" s="132"/>
      <c r="BZI371" s="132"/>
      <c r="BZJ371" s="132"/>
      <c r="BZK371" s="132"/>
      <c r="BZL371" s="132"/>
      <c r="BZM371" s="132"/>
      <c r="BZN371" s="132"/>
      <c r="BZO371" s="132"/>
      <c r="BZP371" s="132"/>
      <c r="BZQ371" s="132"/>
      <c r="BZR371" s="132"/>
      <c r="BZS371" s="132"/>
      <c r="BZT371" s="132"/>
      <c r="BZU371" s="132"/>
      <c r="BZV371" s="132"/>
      <c r="BZW371" s="132"/>
      <c r="BZX371" s="132"/>
      <c r="BZY371" s="132"/>
      <c r="BZZ371" s="132"/>
      <c r="CAA371" s="132"/>
      <c r="CAB371" s="132"/>
      <c r="CAC371" s="132"/>
      <c r="CAD371" s="132"/>
      <c r="CAE371" s="132"/>
      <c r="CAF371" s="132"/>
      <c r="CAG371" s="132"/>
      <c r="CAH371" s="132"/>
      <c r="CAI371" s="132"/>
      <c r="CAJ371" s="132"/>
      <c r="CAK371" s="132"/>
      <c r="CAL371" s="132"/>
      <c r="CAM371" s="132"/>
      <c r="CAN371" s="132"/>
      <c r="CAO371" s="132"/>
      <c r="CAP371" s="132"/>
      <c r="CAQ371" s="132"/>
      <c r="CAR371" s="132"/>
      <c r="CAS371" s="132"/>
      <c r="CAT371" s="132"/>
      <c r="CAU371" s="132"/>
      <c r="CAV371" s="132"/>
      <c r="CAW371" s="132"/>
      <c r="CAX371" s="132"/>
      <c r="CAY371" s="132"/>
      <c r="CAZ371" s="132"/>
      <c r="CBA371" s="132"/>
      <c r="CBB371" s="132"/>
      <c r="CBC371" s="132"/>
      <c r="CBD371" s="132"/>
      <c r="CBE371" s="132"/>
      <c r="CBF371" s="132"/>
      <c r="CBG371" s="132"/>
      <c r="CBH371" s="132"/>
      <c r="CBI371" s="132"/>
      <c r="CBJ371" s="132"/>
      <c r="CBK371" s="132"/>
      <c r="CBL371" s="132"/>
      <c r="CBM371" s="132"/>
      <c r="CBN371" s="132"/>
      <c r="CBO371" s="132"/>
      <c r="CBP371" s="132"/>
      <c r="CBQ371" s="132"/>
      <c r="CBR371" s="132"/>
      <c r="CBS371" s="132"/>
      <c r="CBT371" s="132"/>
      <c r="CBU371" s="132"/>
      <c r="CBV371" s="132"/>
      <c r="CBW371" s="132"/>
      <c r="CBX371" s="132"/>
      <c r="CBY371" s="132"/>
      <c r="CBZ371" s="132"/>
      <c r="CCA371" s="132"/>
      <c r="CCB371" s="132"/>
      <c r="CCC371" s="132"/>
      <c r="CCD371" s="132"/>
      <c r="CCE371" s="132"/>
      <c r="CCF371" s="132"/>
      <c r="CCG371" s="132"/>
      <c r="CCH371" s="132"/>
      <c r="CCI371" s="132"/>
      <c r="CCJ371" s="132"/>
      <c r="CCK371" s="132"/>
      <c r="CCL371" s="132"/>
      <c r="CCM371" s="132"/>
      <c r="CCN371" s="132"/>
      <c r="CCO371" s="132"/>
      <c r="CCP371" s="132"/>
      <c r="CCQ371" s="132"/>
      <c r="CCR371" s="132"/>
      <c r="CCS371" s="132"/>
      <c r="CCT371" s="132"/>
      <c r="CCU371" s="132"/>
      <c r="CCV371" s="132"/>
      <c r="CCW371" s="132"/>
      <c r="CCX371" s="132"/>
      <c r="CCY371" s="132"/>
      <c r="CCZ371" s="132"/>
      <c r="CDA371" s="132"/>
      <c r="CDB371" s="132"/>
      <c r="CDC371" s="132"/>
      <c r="CDD371" s="132"/>
      <c r="CDE371" s="132"/>
      <c r="CDF371" s="132"/>
      <c r="CDG371" s="132"/>
      <c r="CDH371" s="132"/>
      <c r="CDI371" s="132"/>
      <c r="CDJ371" s="132"/>
      <c r="CDK371" s="132"/>
      <c r="CDL371" s="132"/>
      <c r="CDM371" s="132"/>
      <c r="CDN371" s="132"/>
      <c r="CDO371" s="132"/>
      <c r="CDP371" s="132"/>
      <c r="CDQ371" s="132"/>
      <c r="CDR371" s="132"/>
      <c r="CDS371" s="132"/>
      <c r="CDT371" s="132"/>
      <c r="CDU371" s="132"/>
      <c r="CDV371" s="132"/>
      <c r="CDW371" s="132"/>
      <c r="CDX371" s="132"/>
      <c r="CDY371" s="132"/>
      <c r="CDZ371" s="132"/>
      <c r="CEA371" s="132"/>
      <c r="CEB371" s="132"/>
      <c r="CEC371" s="132"/>
      <c r="CED371" s="132"/>
      <c r="CEE371" s="132"/>
      <c r="CEF371" s="132"/>
      <c r="CEG371" s="132"/>
      <c r="CEH371" s="132"/>
      <c r="CEI371" s="132"/>
      <c r="CEJ371" s="132"/>
      <c r="CEK371" s="132"/>
      <c r="CEL371" s="132"/>
      <c r="CEM371" s="132"/>
      <c r="CEN371" s="132"/>
      <c r="CEO371" s="132"/>
      <c r="CEP371" s="132"/>
      <c r="CEQ371" s="132"/>
      <c r="CER371" s="132"/>
      <c r="CES371" s="132"/>
      <c r="CET371" s="132"/>
      <c r="CEU371" s="132"/>
      <c r="CEV371" s="132"/>
      <c r="CEW371" s="132"/>
      <c r="CEX371" s="132"/>
      <c r="CEY371" s="132"/>
      <c r="CEZ371" s="132"/>
      <c r="CFA371" s="132"/>
      <c r="CFB371" s="132"/>
      <c r="CFC371" s="132"/>
      <c r="CFD371" s="132"/>
      <c r="CFE371" s="132"/>
      <c r="CFF371" s="132"/>
      <c r="CFG371" s="132"/>
      <c r="CFH371" s="132"/>
      <c r="CFI371" s="132"/>
      <c r="CFJ371" s="132"/>
      <c r="CFK371" s="132"/>
      <c r="CFL371" s="132"/>
      <c r="CFM371" s="132"/>
      <c r="CFN371" s="132"/>
      <c r="CFO371" s="132"/>
      <c r="CFP371" s="132"/>
      <c r="CFQ371" s="132"/>
      <c r="CFR371" s="132"/>
      <c r="CFS371" s="132"/>
      <c r="CFT371" s="132"/>
      <c r="CFU371" s="132"/>
      <c r="CFV371" s="132"/>
      <c r="CFW371" s="132"/>
      <c r="CFX371" s="132"/>
      <c r="CFY371" s="132"/>
      <c r="CFZ371" s="132"/>
      <c r="CGA371" s="132"/>
      <c r="CGB371" s="132"/>
      <c r="CGC371" s="132"/>
      <c r="CGD371" s="132"/>
      <c r="CGE371" s="132"/>
      <c r="CGF371" s="132"/>
      <c r="CGG371" s="132"/>
      <c r="CGH371" s="132"/>
      <c r="CGI371" s="132"/>
      <c r="CGJ371" s="132"/>
      <c r="CGK371" s="132"/>
      <c r="CGL371" s="132"/>
      <c r="CGM371" s="132"/>
      <c r="CGN371" s="132"/>
      <c r="CGO371" s="132"/>
      <c r="CGP371" s="132"/>
      <c r="CGQ371" s="132"/>
      <c r="CGR371" s="132"/>
      <c r="CGS371" s="132"/>
      <c r="CGT371" s="132"/>
      <c r="CGU371" s="132"/>
      <c r="CGV371" s="132"/>
      <c r="CGW371" s="132"/>
      <c r="CGX371" s="132"/>
      <c r="CGY371" s="132"/>
      <c r="CGZ371" s="132"/>
      <c r="CHA371" s="132"/>
      <c r="CHB371" s="132"/>
      <c r="CHC371" s="132"/>
      <c r="CHD371" s="132"/>
      <c r="CHE371" s="132"/>
      <c r="CHF371" s="132"/>
      <c r="CHG371" s="132"/>
      <c r="CHH371" s="132"/>
      <c r="CHI371" s="132"/>
      <c r="CHJ371" s="132"/>
      <c r="CHK371" s="132"/>
      <c r="CHL371" s="132"/>
      <c r="CHM371" s="132"/>
      <c r="CHN371" s="132"/>
      <c r="CHO371" s="132"/>
      <c r="CHP371" s="132"/>
      <c r="CHQ371" s="132"/>
      <c r="CHR371" s="132"/>
      <c r="CHS371" s="132"/>
      <c r="CHT371" s="132"/>
      <c r="CHU371" s="132"/>
      <c r="CHV371" s="132"/>
      <c r="CHW371" s="132"/>
      <c r="CHX371" s="132"/>
      <c r="CHY371" s="132"/>
      <c r="CHZ371" s="132"/>
      <c r="CIA371" s="132"/>
      <c r="CIB371" s="132"/>
      <c r="CIC371" s="132"/>
      <c r="CID371" s="132"/>
      <c r="CIE371" s="132"/>
      <c r="CIF371" s="132"/>
      <c r="CIG371" s="132"/>
      <c r="CIH371" s="132"/>
      <c r="CII371" s="132"/>
      <c r="CIJ371" s="132"/>
      <c r="CIK371" s="132"/>
      <c r="CIL371" s="132"/>
      <c r="CIM371" s="132"/>
      <c r="CIN371" s="132"/>
      <c r="CIO371" s="132"/>
      <c r="CIP371" s="132"/>
      <c r="CIQ371" s="132"/>
      <c r="CIR371" s="132"/>
      <c r="CIS371" s="132"/>
      <c r="CIT371" s="132"/>
      <c r="CIU371" s="132"/>
      <c r="CIV371" s="132"/>
      <c r="CIW371" s="132"/>
      <c r="CIX371" s="132"/>
      <c r="CIY371" s="132"/>
      <c r="CIZ371" s="132"/>
      <c r="CJA371" s="132"/>
      <c r="CJB371" s="132"/>
      <c r="CJC371" s="132"/>
      <c r="CJD371" s="132"/>
      <c r="CJE371" s="132"/>
      <c r="CJF371" s="132"/>
      <c r="CJG371" s="132"/>
      <c r="CJH371" s="132"/>
      <c r="CJI371" s="132"/>
      <c r="CJJ371" s="132"/>
      <c r="CJK371" s="132"/>
      <c r="CJL371" s="132"/>
      <c r="CJM371" s="132"/>
      <c r="CJN371" s="132"/>
      <c r="CJO371" s="132"/>
      <c r="CJP371" s="132"/>
      <c r="CJQ371" s="132"/>
      <c r="CJR371" s="132"/>
      <c r="CJS371" s="132"/>
      <c r="CJT371" s="132"/>
      <c r="CJU371" s="132"/>
      <c r="CJV371" s="132"/>
      <c r="CJW371" s="132"/>
      <c r="CJX371" s="132"/>
      <c r="CJY371" s="132"/>
      <c r="CJZ371" s="132"/>
      <c r="CKA371" s="132"/>
      <c r="CKB371" s="132"/>
      <c r="CKC371" s="132"/>
      <c r="CKD371" s="132"/>
      <c r="CKE371" s="132"/>
      <c r="CKF371" s="132"/>
      <c r="CKG371" s="132"/>
      <c r="CKH371" s="132"/>
      <c r="CKI371" s="132"/>
      <c r="CKJ371" s="132"/>
      <c r="CKK371" s="132"/>
      <c r="CKL371" s="132"/>
      <c r="CKM371" s="132"/>
      <c r="CKN371" s="132"/>
      <c r="CKO371" s="132"/>
      <c r="CKP371" s="132"/>
      <c r="CKQ371" s="132"/>
      <c r="CKR371" s="132"/>
      <c r="CKS371" s="132"/>
      <c r="CKT371" s="132"/>
      <c r="CKU371" s="132"/>
      <c r="CKV371" s="132"/>
      <c r="CKW371" s="132"/>
      <c r="CKX371" s="132"/>
      <c r="CKY371" s="132"/>
      <c r="CKZ371" s="132"/>
      <c r="CLA371" s="132"/>
      <c r="CLB371" s="132"/>
      <c r="CLC371" s="132"/>
      <c r="CLD371" s="132"/>
      <c r="CLE371" s="132"/>
      <c r="CLF371" s="132"/>
      <c r="CLG371" s="132"/>
      <c r="CLH371" s="132"/>
      <c r="CLI371" s="132"/>
      <c r="CLJ371" s="132"/>
      <c r="CLK371" s="132"/>
      <c r="CLL371" s="132"/>
      <c r="CLM371" s="132"/>
      <c r="CLN371" s="132"/>
      <c r="CLO371" s="132"/>
      <c r="CLP371" s="132"/>
      <c r="CLQ371" s="132"/>
      <c r="CLR371" s="132"/>
      <c r="CLS371" s="132"/>
      <c r="CLT371" s="132"/>
      <c r="CLU371" s="132"/>
      <c r="CLV371" s="132"/>
      <c r="CLW371" s="132"/>
      <c r="CLX371" s="132"/>
      <c r="CLY371" s="132"/>
      <c r="CLZ371" s="132"/>
      <c r="CMA371" s="132"/>
      <c r="CMB371" s="132"/>
      <c r="CMC371" s="132"/>
      <c r="CMD371" s="132"/>
      <c r="CME371" s="132"/>
      <c r="CMF371" s="132"/>
      <c r="CMG371" s="132"/>
      <c r="CMH371" s="132"/>
      <c r="CMI371" s="132"/>
      <c r="CMJ371" s="132"/>
      <c r="CMK371" s="132"/>
      <c r="CML371" s="132"/>
      <c r="CMM371" s="132"/>
      <c r="CMN371" s="132"/>
      <c r="CMO371" s="132"/>
      <c r="CMP371" s="132"/>
      <c r="CMQ371" s="132"/>
      <c r="CMR371" s="132"/>
      <c r="CMS371" s="132"/>
      <c r="CMT371" s="132"/>
      <c r="CMU371" s="132"/>
      <c r="CMV371" s="132"/>
      <c r="CMW371" s="132"/>
      <c r="CMX371" s="132"/>
      <c r="CMY371" s="132"/>
      <c r="CMZ371" s="132"/>
      <c r="CNA371" s="132"/>
      <c r="CNB371" s="132"/>
      <c r="CNC371" s="132"/>
      <c r="CND371" s="132"/>
      <c r="CNE371" s="132"/>
      <c r="CNF371" s="132"/>
      <c r="CNG371" s="132"/>
      <c r="CNH371" s="132"/>
      <c r="CNI371" s="132"/>
      <c r="CNJ371" s="132"/>
      <c r="CNK371" s="132"/>
      <c r="CNL371" s="132"/>
      <c r="CNM371" s="132"/>
      <c r="CNN371" s="132"/>
      <c r="CNO371" s="132"/>
      <c r="CNP371" s="132"/>
      <c r="CNQ371" s="132"/>
      <c r="CNR371" s="132"/>
      <c r="CNS371" s="132"/>
      <c r="CNT371" s="132"/>
      <c r="CNU371" s="132"/>
      <c r="CNV371" s="132"/>
      <c r="CNW371" s="132"/>
      <c r="CNX371" s="132"/>
      <c r="CNY371" s="132"/>
      <c r="CNZ371" s="132"/>
      <c r="COA371" s="132"/>
      <c r="COB371" s="132"/>
      <c r="COC371" s="132"/>
      <c r="COD371" s="132"/>
      <c r="COE371" s="132"/>
      <c r="COF371" s="132"/>
      <c r="COG371" s="132"/>
      <c r="COH371" s="132"/>
      <c r="COI371" s="132"/>
      <c r="COJ371" s="132"/>
      <c r="COK371" s="132"/>
      <c r="COL371" s="132"/>
      <c r="COM371" s="132"/>
      <c r="CON371" s="132"/>
      <c r="COO371" s="132"/>
      <c r="COP371" s="132"/>
      <c r="COQ371" s="132"/>
      <c r="COR371" s="132"/>
      <c r="COS371" s="132"/>
      <c r="COT371" s="132"/>
      <c r="COU371" s="132"/>
      <c r="COV371" s="132"/>
      <c r="COW371" s="132"/>
      <c r="COX371" s="132"/>
      <c r="COY371" s="132"/>
      <c r="COZ371" s="132"/>
      <c r="CPA371" s="132"/>
      <c r="CPB371" s="132"/>
      <c r="CPC371" s="132"/>
      <c r="CPD371" s="132"/>
      <c r="CPE371" s="132"/>
      <c r="CPF371" s="132"/>
      <c r="CPG371" s="132"/>
      <c r="CPH371" s="132"/>
      <c r="CPI371" s="132"/>
      <c r="CPJ371" s="132"/>
      <c r="CPK371" s="132"/>
      <c r="CPL371" s="132"/>
      <c r="CPM371" s="132"/>
      <c r="CPN371" s="132"/>
      <c r="CPO371" s="132"/>
      <c r="CPP371" s="132"/>
      <c r="CPQ371" s="132"/>
      <c r="CPR371" s="132"/>
      <c r="CPS371" s="132"/>
      <c r="CPT371" s="132"/>
      <c r="CPU371" s="132"/>
      <c r="CPV371" s="132"/>
      <c r="CPW371" s="132"/>
      <c r="CPX371" s="132"/>
      <c r="CPY371" s="132"/>
      <c r="CPZ371" s="132"/>
      <c r="CQA371" s="132"/>
      <c r="CQB371" s="132"/>
      <c r="CQC371" s="132"/>
      <c r="CQD371" s="132"/>
      <c r="CQE371" s="132"/>
      <c r="CQF371" s="132"/>
      <c r="CQG371" s="132"/>
      <c r="CQH371" s="132"/>
      <c r="CQI371" s="132"/>
      <c r="CQJ371" s="132"/>
      <c r="CQK371" s="132"/>
      <c r="CQL371" s="132"/>
      <c r="CQM371" s="132"/>
      <c r="CQN371" s="132"/>
      <c r="CQO371" s="132"/>
      <c r="CQP371" s="132"/>
      <c r="CQQ371" s="132"/>
      <c r="CQR371" s="132"/>
      <c r="CQS371" s="132"/>
      <c r="CQT371" s="132"/>
      <c r="CQU371" s="132"/>
      <c r="CQV371" s="132"/>
      <c r="CQW371" s="132"/>
      <c r="CQX371" s="132"/>
      <c r="CQY371" s="132"/>
      <c r="CQZ371" s="132"/>
      <c r="CRA371" s="132"/>
      <c r="CRB371" s="132"/>
      <c r="CRC371" s="132"/>
      <c r="CRD371" s="132"/>
      <c r="CRE371" s="132"/>
      <c r="CRF371" s="132"/>
      <c r="CRG371" s="132"/>
      <c r="CRH371" s="132"/>
      <c r="CRI371" s="132"/>
      <c r="CRJ371" s="132"/>
      <c r="CRK371" s="132"/>
      <c r="CRL371" s="132"/>
      <c r="CRM371" s="132"/>
      <c r="CRN371" s="132"/>
      <c r="CRO371" s="132"/>
      <c r="CRP371" s="132"/>
      <c r="CRQ371" s="132"/>
      <c r="CRR371" s="132"/>
      <c r="CRS371" s="132"/>
      <c r="CRT371" s="132"/>
      <c r="CRU371" s="132"/>
      <c r="CRV371" s="132"/>
      <c r="CRW371" s="132"/>
      <c r="CRX371" s="132"/>
      <c r="CRY371" s="132"/>
      <c r="CRZ371" s="132"/>
      <c r="CSA371" s="132"/>
      <c r="CSB371" s="132"/>
      <c r="CSC371" s="132"/>
      <c r="CSD371" s="132"/>
      <c r="CSE371" s="132"/>
      <c r="CSF371" s="132"/>
      <c r="CSG371" s="132"/>
      <c r="CSH371" s="132"/>
      <c r="CSI371" s="132"/>
      <c r="CSJ371" s="132"/>
      <c r="CSK371" s="132"/>
      <c r="CSL371" s="132"/>
      <c r="CSM371" s="132"/>
      <c r="CSN371" s="132"/>
      <c r="CSO371" s="132"/>
      <c r="CSP371" s="132"/>
      <c r="CSQ371" s="132"/>
      <c r="CSR371" s="132"/>
      <c r="CSS371" s="132"/>
      <c r="CST371" s="132"/>
      <c r="CSU371" s="132"/>
      <c r="CSV371" s="132"/>
      <c r="CSW371" s="132"/>
      <c r="CSX371" s="132"/>
      <c r="CSY371" s="132"/>
      <c r="CSZ371" s="132"/>
      <c r="CTA371" s="132"/>
      <c r="CTB371" s="132"/>
      <c r="CTC371" s="132"/>
      <c r="CTD371" s="132"/>
      <c r="CTE371" s="132"/>
      <c r="CTF371" s="132"/>
      <c r="CTG371" s="132"/>
      <c r="CTH371" s="132"/>
      <c r="CTI371" s="132"/>
      <c r="CTJ371" s="132"/>
      <c r="CTK371" s="132"/>
      <c r="CTL371" s="132"/>
      <c r="CTM371" s="132"/>
      <c r="CTN371" s="132"/>
      <c r="CTO371" s="132"/>
      <c r="CTP371" s="132"/>
      <c r="CTQ371" s="132"/>
      <c r="CTR371" s="132"/>
      <c r="CTS371" s="132"/>
      <c r="CTT371" s="132"/>
      <c r="CTU371" s="132"/>
      <c r="CTV371" s="132"/>
      <c r="CTW371" s="132"/>
      <c r="CTX371" s="132"/>
      <c r="CTY371" s="132"/>
      <c r="CTZ371" s="132"/>
      <c r="CUA371" s="132"/>
      <c r="CUB371" s="132"/>
      <c r="CUC371" s="132"/>
      <c r="CUD371" s="132"/>
      <c r="CUE371" s="132"/>
      <c r="CUF371" s="132"/>
      <c r="CUG371" s="132"/>
      <c r="CUH371" s="132"/>
      <c r="CUI371" s="132"/>
      <c r="CUJ371" s="132"/>
      <c r="CUK371" s="132"/>
      <c r="CUL371" s="132"/>
      <c r="CUM371" s="132"/>
      <c r="CUN371" s="132"/>
      <c r="CUO371" s="132"/>
      <c r="CUP371" s="132"/>
      <c r="CUQ371" s="132"/>
      <c r="CUR371" s="132"/>
      <c r="CUS371" s="132"/>
      <c r="CUT371" s="132"/>
      <c r="CUU371" s="132"/>
      <c r="CUV371" s="132"/>
      <c r="CUW371" s="132"/>
      <c r="CUX371" s="132"/>
      <c r="CUY371" s="132"/>
      <c r="CUZ371" s="132"/>
      <c r="CVA371" s="132"/>
      <c r="CVB371" s="132"/>
      <c r="CVC371" s="132"/>
      <c r="CVD371" s="132"/>
      <c r="CVE371" s="132"/>
      <c r="CVF371" s="132"/>
      <c r="CVG371" s="132"/>
      <c r="CVH371" s="132"/>
      <c r="CVI371" s="132"/>
      <c r="CVJ371" s="132"/>
      <c r="CVK371" s="132"/>
      <c r="CVL371" s="132"/>
      <c r="CVM371" s="132"/>
      <c r="CVN371" s="132"/>
      <c r="CVO371" s="132"/>
      <c r="CVP371" s="132"/>
      <c r="CVQ371" s="132"/>
      <c r="CVR371" s="132"/>
      <c r="CVS371" s="132"/>
      <c r="CVT371" s="132"/>
      <c r="CVU371" s="132"/>
      <c r="CVV371" s="132"/>
      <c r="CVW371" s="132"/>
      <c r="CVX371" s="132"/>
      <c r="CVY371" s="132"/>
      <c r="CVZ371" s="132"/>
      <c r="CWA371" s="132"/>
      <c r="CWB371" s="132"/>
      <c r="CWC371" s="132"/>
      <c r="CWD371" s="132"/>
      <c r="CWE371" s="132"/>
      <c r="CWF371" s="132"/>
      <c r="CWG371" s="132"/>
      <c r="CWH371" s="132"/>
      <c r="CWI371" s="132"/>
      <c r="CWJ371" s="132"/>
      <c r="CWK371" s="132"/>
      <c r="CWL371" s="132"/>
      <c r="CWM371" s="132"/>
      <c r="CWN371" s="132"/>
      <c r="CWO371" s="132"/>
      <c r="CWP371" s="132"/>
      <c r="CWQ371" s="132"/>
      <c r="CWR371" s="132"/>
      <c r="CWS371" s="132"/>
      <c r="CWT371" s="132"/>
      <c r="CWU371" s="132"/>
      <c r="CWV371" s="132"/>
      <c r="CWW371" s="132"/>
      <c r="CWX371" s="132"/>
      <c r="CWY371" s="132"/>
      <c r="CWZ371" s="132"/>
      <c r="CXA371" s="132"/>
      <c r="CXB371" s="132"/>
      <c r="CXC371" s="132"/>
      <c r="CXD371" s="132"/>
      <c r="CXE371" s="132"/>
      <c r="CXF371" s="132"/>
      <c r="CXG371" s="132"/>
      <c r="CXH371" s="132"/>
      <c r="CXI371" s="132"/>
      <c r="CXJ371" s="132"/>
      <c r="CXK371" s="132"/>
      <c r="CXL371" s="132"/>
      <c r="CXM371" s="132"/>
      <c r="CXN371" s="132"/>
      <c r="CXO371" s="132"/>
      <c r="CXP371" s="132"/>
      <c r="CXQ371" s="132"/>
      <c r="CXR371" s="132"/>
      <c r="CXS371" s="132"/>
      <c r="CXT371" s="132"/>
      <c r="CXU371" s="132"/>
      <c r="CXV371" s="132"/>
      <c r="CXW371" s="132"/>
      <c r="CXX371" s="132"/>
      <c r="CXY371" s="132"/>
      <c r="CXZ371" s="132"/>
      <c r="CYA371" s="132"/>
      <c r="CYB371" s="132"/>
      <c r="CYC371" s="132"/>
      <c r="CYD371" s="132"/>
      <c r="CYE371" s="132"/>
      <c r="CYF371" s="132"/>
      <c r="CYG371" s="132"/>
      <c r="CYH371" s="132"/>
      <c r="CYI371" s="132"/>
      <c r="CYJ371" s="132"/>
      <c r="CYK371" s="132"/>
      <c r="CYL371" s="132"/>
      <c r="CYM371" s="132"/>
      <c r="CYN371" s="132"/>
      <c r="CYO371" s="132"/>
      <c r="CYP371" s="132"/>
      <c r="CYQ371" s="132"/>
      <c r="CYR371" s="132"/>
      <c r="CYS371" s="132"/>
      <c r="CYT371" s="132"/>
      <c r="CYU371" s="132"/>
      <c r="CYV371" s="132"/>
      <c r="CYW371" s="132"/>
      <c r="CYX371" s="132"/>
      <c r="CYY371" s="132"/>
      <c r="CYZ371" s="132"/>
      <c r="CZA371" s="132"/>
      <c r="CZB371" s="132"/>
      <c r="CZC371" s="132"/>
      <c r="CZD371" s="132"/>
      <c r="CZE371" s="132"/>
      <c r="CZF371" s="132"/>
      <c r="CZG371" s="132"/>
      <c r="CZH371" s="132"/>
      <c r="CZI371" s="132"/>
      <c r="CZJ371" s="132"/>
      <c r="CZK371" s="132"/>
      <c r="CZL371" s="132"/>
      <c r="CZM371" s="132"/>
      <c r="CZN371" s="132"/>
      <c r="CZO371" s="132"/>
      <c r="CZP371" s="132"/>
      <c r="CZQ371" s="132"/>
      <c r="CZR371" s="132"/>
      <c r="CZS371" s="132"/>
      <c r="CZT371" s="132"/>
      <c r="CZU371" s="132"/>
      <c r="CZV371" s="132"/>
      <c r="CZW371" s="132"/>
      <c r="CZX371" s="132"/>
      <c r="CZY371" s="132"/>
      <c r="CZZ371" s="132"/>
      <c r="DAA371" s="132"/>
      <c r="DAB371" s="132"/>
      <c r="DAC371" s="132"/>
      <c r="DAD371" s="132"/>
      <c r="DAE371" s="132"/>
      <c r="DAF371" s="132"/>
      <c r="DAG371" s="132"/>
      <c r="DAH371" s="132"/>
      <c r="DAI371" s="132"/>
      <c r="DAJ371" s="132"/>
      <c r="DAK371" s="132"/>
      <c r="DAL371" s="132"/>
      <c r="DAM371" s="132"/>
      <c r="DAN371" s="132"/>
      <c r="DAO371" s="132"/>
      <c r="DAP371" s="132"/>
      <c r="DAQ371" s="132"/>
      <c r="DAR371" s="132"/>
      <c r="DAS371" s="132"/>
      <c r="DAT371" s="132"/>
      <c r="DAU371" s="132"/>
      <c r="DAV371" s="132"/>
      <c r="DAW371" s="132"/>
      <c r="DAX371" s="132"/>
      <c r="DAY371" s="132"/>
      <c r="DAZ371" s="132"/>
      <c r="DBA371" s="132"/>
      <c r="DBB371" s="132"/>
      <c r="DBC371" s="132"/>
      <c r="DBD371" s="132"/>
      <c r="DBE371" s="132"/>
      <c r="DBF371" s="132"/>
      <c r="DBG371" s="132"/>
      <c r="DBH371" s="132"/>
      <c r="DBI371" s="132"/>
      <c r="DBJ371" s="132"/>
      <c r="DBK371" s="132"/>
      <c r="DBL371" s="132"/>
      <c r="DBM371" s="132"/>
      <c r="DBN371" s="132"/>
      <c r="DBO371" s="132"/>
      <c r="DBP371" s="132"/>
      <c r="DBQ371" s="132"/>
      <c r="DBR371" s="132"/>
      <c r="DBS371" s="132"/>
      <c r="DBT371" s="132"/>
      <c r="DBU371" s="132"/>
      <c r="DBV371" s="132"/>
      <c r="DBW371" s="132"/>
      <c r="DBX371" s="132"/>
      <c r="DBY371" s="132"/>
      <c r="DBZ371" s="132"/>
      <c r="DCA371" s="132"/>
      <c r="DCB371" s="132"/>
      <c r="DCC371" s="132"/>
      <c r="DCD371" s="132"/>
      <c r="DCE371" s="132"/>
      <c r="DCF371" s="132"/>
      <c r="DCG371" s="132"/>
      <c r="DCH371" s="132"/>
      <c r="DCI371" s="132"/>
      <c r="DCJ371" s="132"/>
      <c r="DCK371" s="132"/>
      <c r="DCL371" s="132"/>
      <c r="DCM371" s="132"/>
      <c r="DCN371" s="132"/>
      <c r="DCO371" s="132"/>
      <c r="DCP371" s="132"/>
      <c r="DCQ371" s="132"/>
      <c r="DCR371" s="132"/>
      <c r="DCS371" s="132"/>
      <c r="DCT371" s="132"/>
      <c r="DCU371" s="132"/>
      <c r="DCV371" s="132"/>
      <c r="DCW371" s="132"/>
      <c r="DCX371" s="132"/>
      <c r="DCY371" s="132"/>
      <c r="DCZ371" s="132"/>
      <c r="DDA371" s="132"/>
      <c r="DDB371" s="132"/>
      <c r="DDC371" s="132"/>
      <c r="DDD371" s="132"/>
      <c r="DDE371" s="132"/>
      <c r="DDF371" s="132"/>
      <c r="DDG371" s="132"/>
      <c r="DDH371" s="132"/>
      <c r="DDI371" s="132"/>
      <c r="DDJ371" s="132"/>
      <c r="DDK371" s="132"/>
      <c r="DDL371" s="132"/>
      <c r="DDM371" s="132"/>
      <c r="DDN371" s="132"/>
      <c r="DDO371" s="132"/>
      <c r="DDP371" s="132"/>
      <c r="DDQ371" s="132"/>
      <c r="DDR371" s="132"/>
      <c r="DDS371" s="132"/>
      <c r="DDT371" s="132"/>
      <c r="DDU371" s="132"/>
      <c r="DDV371" s="132"/>
      <c r="DDW371" s="132"/>
      <c r="DDX371" s="132"/>
      <c r="DDY371" s="132"/>
      <c r="DDZ371" s="132"/>
      <c r="DEA371" s="132"/>
      <c r="DEB371" s="132"/>
      <c r="DEC371" s="132"/>
      <c r="DED371" s="132"/>
      <c r="DEE371" s="132"/>
      <c r="DEF371" s="132"/>
      <c r="DEG371" s="132"/>
      <c r="DEH371" s="132"/>
      <c r="DEI371" s="132"/>
      <c r="DEJ371" s="132"/>
      <c r="DEK371" s="132"/>
      <c r="DEL371" s="132"/>
      <c r="DEM371" s="132"/>
      <c r="DEN371" s="132"/>
      <c r="DEO371" s="132"/>
      <c r="DEP371" s="132"/>
      <c r="DEQ371" s="132"/>
      <c r="DER371" s="132"/>
      <c r="DES371" s="132"/>
      <c r="DET371" s="132"/>
      <c r="DEU371" s="132"/>
      <c r="DEV371" s="132"/>
      <c r="DEW371" s="132"/>
      <c r="DEX371" s="132"/>
      <c r="DEY371" s="132"/>
      <c r="DEZ371" s="132"/>
      <c r="DFA371" s="132"/>
      <c r="DFB371" s="132"/>
      <c r="DFC371" s="132"/>
      <c r="DFD371" s="132"/>
      <c r="DFE371" s="132"/>
      <c r="DFF371" s="132"/>
      <c r="DFG371" s="132"/>
      <c r="DFH371" s="132"/>
      <c r="DFI371" s="132"/>
      <c r="DFJ371" s="132"/>
      <c r="DFK371" s="132"/>
      <c r="DFL371" s="132"/>
      <c r="DFM371" s="132"/>
      <c r="DFN371" s="132"/>
      <c r="DFO371" s="132"/>
      <c r="DFP371" s="132"/>
      <c r="DFQ371" s="132"/>
      <c r="DFR371" s="132"/>
      <c r="DFS371" s="132"/>
      <c r="DFT371" s="132"/>
      <c r="DFU371" s="132"/>
      <c r="DFV371" s="132"/>
      <c r="DFW371" s="132"/>
      <c r="DFX371" s="132"/>
      <c r="DFY371" s="132"/>
      <c r="DFZ371" s="132"/>
      <c r="DGA371" s="132"/>
      <c r="DGB371" s="132"/>
      <c r="DGC371" s="132"/>
      <c r="DGD371" s="132"/>
      <c r="DGE371" s="132"/>
      <c r="DGF371" s="132"/>
      <c r="DGG371" s="132"/>
      <c r="DGH371" s="132"/>
      <c r="DGI371" s="132"/>
      <c r="DGJ371" s="132"/>
      <c r="DGK371" s="132"/>
      <c r="DGL371" s="132"/>
      <c r="DGM371" s="132"/>
      <c r="DGN371" s="132"/>
      <c r="DGO371" s="132"/>
      <c r="DGP371" s="132"/>
      <c r="DGQ371" s="132"/>
      <c r="DGR371" s="132"/>
      <c r="DGS371" s="132"/>
      <c r="DGT371" s="132"/>
      <c r="DGU371" s="132"/>
      <c r="DGV371" s="132"/>
      <c r="DGW371" s="132"/>
      <c r="DGX371" s="132"/>
      <c r="DGY371" s="132"/>
      <c r="DGZ371" s="132"/>
      <c r="DHA371" s="132"/>
      <c r="DHB371" s="132"/>
      <c r="DHC371" s="132"/>
      <c r="DHD371" s="132"/>
      <c r="DHE371" s="132"/>
      <c r="DHF371" s="132"/>
      <c r="DHG371" s="132"/>
      <c r="DHH371" s="132"/>
      <c r="DHI371" s="132"/>
      <c r="DHJ371" s="132"/>
      <c r="DHK371" s="132"/>
      <c r="DHL371" s="132"/>
      <c r="DHM371" s="132"/>
      <c r="DHN371" s="132"/>
      <c r="DHO371" s="132"/>
      <c r="DHP371" s="132"/>
      <c r="DHQ371" s="132"/>
      <c r="DHR371" s="132"/>
      <c r="DHS371" s="132"/>
      <c r="DHT371" s="132"/>
      <c r="DHU371" s="132"/>
      <c r="DHV371" s="132"/>
      <c r="DHW371" s="132"/>
      <c r="DHX371" s="132"/>
      <c r="DHY371" s="132"/>
      <c r="DHZ371" s="132"/>
      <c r="DIA371" s="132"/>
      <c r="DIB371" s="132"/>
      <c r="DIC371" s="132"/>
      <c r="DID371" s="132"/>
      <c r="DIE371" s="132"/>
      <c r="DIF371" s="132"/>
      <c r="DIG371" s="132"/>
      <c r="DIH371" s="132"/>
      <c r="DII371" s="132"/>
      <c r="DIJ371" s="132"/>
      <c r="DIK371" s="132"/>
      <c r="DIL371" s="132"/>
      <c r="DIM371" s="132"/>
      <c r="DIN371" s="132"/>
      <c r="DIO371" s="132"/>
      <c r="DIP371" s="132"/>
      <c r="DIQ371" s="132"/>
      <c r="DIR371" s="132"/>
      <c r="DIS371" s="132"/>
      <c r="DIT371" s="132"/>
      <c r="DIU371" s="132"/>
      <c r="DIV371" s="132"/>
      <c r="DIW371" s="132"/>
      <c r="DIX371" s="132"/>
      <c r="DIY371" s="132"/>
      <c r="DIZ371" s="132"/>
      <c r="DJA371" s="132"/>
      <c r="DJB371" s="132"/>
      <c r="DJC371" s="132"/>
      <c r="DJD371" s="132"/>
      <c r="DJE371" s="132"/>
      <c r="DJF371" s="132"/>
      <c r="DJG371" s="132"/>
      <c r="DJH371" s="132"/>
      <c r="DJI371" s="132"/>
      <c r="DJJ371" s="132"/>
      <c r="DJK371" s="132"/>
      <c r="DJL371" s="132"/>
      <c r="DJM371" s="132"/>
      <c r="DJN371" s="132"/>
      <c r="DJO371" s="132"/>
      <c r="DJP371" s="132"/>
      <c r="DJQ371" s="132"/>
      <c r="DJR371" s="132"/>
      <c r="DJS371" s="132"/>
      <c r="DJT371" s="132"/>
      <c r="DJU371" s="132"/>
      <c r="DJV371" s="132"/>
      <c r="DJW371" s="132"/>
      <c r="DJX371" s="132"/>
      <c r="DJY371" s="132"/>
      <c r="DJZ371" s="132"/>
      <c r="DKA371" s="132"/>
      <c r="DKB371" s="132"/>
      <c r="DKC371" s="132"/>
      <c r="DKD371" s="132"/>
      <c r="DKE371" s="132"/>
      <c r="DKF371" s="132"/>
      <c r="DKG371" s="132"/>
      <c r="DKH371" s="132"/>
      <c r="DKI371" s="132"/>
      <c r="DKJ371" s="132"/>
      <c r="DKK371" s="132"/>
      <c r="DKL371" s="132"/>
      <c r="DKM371" s="132"/>
      <c r="DKN371" s="132"/>
      <c r="DKO371" s="132"/>
      <c r="DKP371" s="132"/>
      <c r="DKQ371" s="132"/>
      <c r="DKR371" s="132"/>
      <c r="DKS371" s="132"/>
      <c r="DKT371" s="132"/>
      <c r="DKU371" s="132"/>
      <c r="DKV371" s="132"/>
      <c r="DKW371" s="132"/>
      <c r="DKX371" s="132"/>
      <c r="DKY371" s="132"/>
      <c r="DKZ371" s="132"/>
      <c r="DLA371" s="132"/>
      <c r="DLB371" s="132"/>
      <c r="DLC371" s="132"/>
      <c r="DLD371" s="132"/>
      <c r="DLE371" s="132"/>
      <c r="DLF371" s="132"/>
      <c r="DLG371" s="132"/>
      <c r="DLH371" s="132"/>
      <c r="DLI371" s="132"/>
      <c r="DLJ371" s="132"/>
      <c r="DLK371" s="132"/>
      <c r="DLL371" s="132"/>
      <c r="DLM371" s="132"/>
      <c r="DLN371" s="132"/>
      <c r="DLO371" s="132"/>
      <c r="DLP371" s="132"/>
      <c r="DLQ371" s="132"/>
      <c r="DLR371" s="132"/>
      <c r="DLS371" s="132"/>
      <c r="DLT371" s="132"/>
      <c r="DLU371" s="132"/>
      <c r="DLV371" s="132"/>
      <c r="DLW371" s="132"/>
      <c r="DLX371" s="132"/>
      <c r="DLY371" s="132"/>
      <c r="DLZ371" s="132"/>
      <c r="DMA371" s="132"/>
      <c r="DMB371" s="132"/>
      <c r="DMC371" s="132"/>
      <c r="DMD371" s="132"/>
      <c r="DME371" s="132"/>
      <c r="DMF371" s="132"/>
      <c r="DMG371" s="132"/>
      <c r="DMH371" s="132"/>
      <c r="DMI371" s="132"/>
      <c r="DMJ371" s="132"/>
      <c r="DMK371" s="132"/>
      <c r="DML371" s="132"/>
      <c r="DMM371" s="132"/>
      <c r="DMN371" s="132"/>
      <c r="DMO371" s="132"/>
      <c r="DMP371" s="132"/>
      <c r="DMQ371" s="132"/>
      <c r="DMR371" s="132"/>
      <c r="DMS371" s="132"/>
      <c r="DMT371" s="132"/>
      <c r="DMU371" s="132"/>
      <c r="DMV371" s="132"/>
      <c r="DMW371" s="132"/>
      <c r="DMX371" s="132"/>
      <c r="DMY371" s="132"/>
      <c r="DMZ371" s="132"/>
      <c r="DNA371" s="132"/>
      <c r="DNB371" s="132"/>
      <c r="DNC371" s="132"/>
      <c r="DND371" s="132"/>
      <c r="DNE371" s="132"/>
      <c r="DNF371" s="132"/>
      <c r="DNG371" s="132"/>
      <c r="DNH371" s="132"/>
      <c r="DNI371" s="132"/>
      <c r="DNJ371" s="132"/>
      <c r="DNK371" s="132"/>
      <c r="DNL371" s="132"/>
      <c r="DNM371" s="132"/>
      <c r="DNN371" s="132"/>
      <c r="DNO371" s="132"/>
      <c r="DNP371" s="132"/>
      <c r="DNQ371" s="132"/>
      <c r="DNR371" s="132"/>
      <c r="DNS371" s="132"/>
      <c r="DNT371" s="132"/>
      <c r="DNU371" s="132"/>
      <c r="DNV371" s="132"/>
      <c r="DNW371" s="132"/>
      <c r="DNX371" s="132"/>
      <c r="DNY371" s="132"/>
      <c r="DNZ371" s="132"/>
      <c r="DOA371" s="132"/>
      <c r="DOB371" s="132"/>
      <c r="DOC371" s="132"/>
      <c r="DOD371" s="132"/>
      <c r="DOE371" s="132"/>
      <c r="DOF371" s="132"/>
      <c r="DOG371" s="132"/>
      <c r="DOH371" s="132"/>
      <c r="DOI371" s="132"/>
      <c r="DOJ371" s="132"/>
      <c r="DOK371" s="132"/>
      <c r="DOL371" s="132"/>
      <c r="DOM371" s="132"/>
      <c r="DON371" s="132"/>
      <c r="DOO371" s="132"/>
      <c r="DOP371" s="132"/>
      <c r="DOQ371" s="132"/>
      <c r="DOR371" s="132"/>
      <c r="DOS371" s="132"/>
      <c r="DOT371" s="132"/>
      <c r="DOU371" s="132"/>
      <c r="DOV371" s="132"/>
      <c r="DOW371" s="132"/>
      <c r="DOX371" s="132"/>
      <c r="DOY371" s="132"/>
      <c r="DOZ371" s="132"/>
      <c r="DPA371" s="132"/>
      <c r="DPB371" s="132"/>
      <c r="DPC371" s="132"/>
      <c r="DPD371" s="132"/>
      <c r="DPE371" s="132"/>
      <c r="DPF371" s="132"/>
      <c r="DPG371" s="132"/>
      <c r="DPH371" s="132"/>
      <c r="DPI371" s="132"/>
      <c r="DPJ371" s="132"/>
      <c r="DPK371" s="132"/>
      <c r="DPL371" s="132"/>
      <c r="DPM371" s="132"/>
      <c r="DPN371" s="132"/>
      <c r="DPO371" s="132"/>
      <c r="DPP371" s="132"/>
      <c r="DPQ371" s="132"/>
      <c r="DPR371" s="132"/>
      <c r="DPS371" s="132"/>
      <c r="DPT371" s="132"/>
      <c r="DPU371" s="132"/>
      <c r="DPV371" s="132"/>
      <c r="DPW371" s="132"/>
      <c r="DPX371" s="132"/>
      <c r="DPY371" s="132"/>
      <c r="DPZ371" s="132"/>
      <c r="DQA371" s="132"/>
      <c r="DQB371" s="132"/>
      <c r="DQC371" s="132"/>
      <c r="DQD371" s="132"/>
      <c r="DQE371" s="132"/>
      <c r="DQF371" s="132"/>
      <c r="DQG371" s="132"/>
      <c r="DQH371" s="132"/>
      <c r="DQI371" s="132"/>
      <c r="DQJ371" s="132"/>
      <c r="DQK371" s="132"/>
      <c r="DQL371" s="132"/>
      <c r="DQM371" s="132"/>
      <c r="DQN371" s="132"/>
      <c r="DQO371" s="132"/>
      <c r="DQP371" s="132"/>
      <c r="DQQ371" s="132"/>
      <c r="DQR371" s="132"/>
      <c r="DQS371" s="132"/>
      <c r="DQT371" s="132"/>
      <c r="DQU371" s="132"/>
      <c r="DQV371" s="132"/>
      <c r="DQW371" s="132"/>
      <c r="DQX371" s="132"/>
      <c r="DQY371" s="132"/>
      <c r="DQZ371" s="132"/>
      <c r="DRA371" s="132"/>
      <c r="DRB371" s="132"/>
      <c r="DRC371" s="132"/>
      <c r="DRD371" s="132"/>
      <c r="DRE371" s="132"/>
      <c r="DRF371" s="132"/>
      <c r="DRG371" s="132"/>
      <c r="DRH371" s="132"/>
      <c r="DRI371" s="132"/>
      <c r="DRJ371" s="132"/>
      <c r="DRK371" s="132"/>
      <c r="DRL371" s="132"/>
      <c r="DRM371" s="132"/>
      <c r="DRN371" s="132"/>
      <c r="DRO371" s="132"/>
      <c r="DRP371" s="132"/>
      <c r="DRQ371" s="132"/>
      <c r="DRR371" s="132"/>
      <c r="DRS371" s="132"/>
      <c r="DRT371" s="132"/>
      <c r="DRU371" s="132"/>
      <c r="DRV371" s="132"/>
      <c r="DRW371" s="132"/>
      <c r="DRX371" s="132"/>
      <c r="DRY371" s="132"/>
      <c r="DRZ371" s="132"/>
      <c r="DSA371" s="132"/>
      <c r="DSB371" s="132"/>
      <c r="DSC371" s="132"/>
      <c r="DSD371" s="132"/>
      <c r="DSE371" s="132"/>
      <c r="DSF371" s="132"/>
      <c r="DSG371" s="132"/>
      <c r="DSH371" s="132"/>
      <c r="DSI371" s="132"/>
      <c r="DSJ371" s="132"/>
      <c r="DSK371" s="132"/>
      <c r="DSL371" s="132"/>
      <c r="DSM371" s="132"/>
      <c r="DSN371" s="132"/>
      <c r="DSO371" s="132"/>
      <c r="DSP371" s="132"/>
      <c r="DSQ371" s="132"/>
      <c r="DSR371" s="132"/>
      <c r="DSS371" s="132"/>
      <c r="DST371" s="132"/>
      <c r="DSU371" s="132"/>
      <c r="DSV371" s="132"/>
      <c r="DSW371" s="132"/>
      <c r="DSX371" s="132"/>
      <c r="DSY371" s="132"/>
      <c r="DSZ371" s="132"/>
      <c r="DTA371" s="132"/>
      <c r="DTB371" s="132"/>
      <c r="DTC371" s="132"/>
      <c r="DTD371" s="132"/>
      <c r="DTE371" s="132"/>
      <c r="DTF371" s="132"/>
      <c r="DTG371" s="132"/>
      <c r="DTH371" s="132"/>
      <c r="DTI371" s="132"/>
      <c r="DTJ371" s="132"/>
      <c r="DTK371" s="132"/>
      <c r="DTL371" s="132"/>
      <c r="DTM371" s="132"/>
      <c r="DTN371" s="132"/>
      <c r="DTO371" s="132"/>
      <c r="DTP371" s="132"/>
      <c r="DTQ371" s="132"/>
      <c r="DTR371" s="132"/>
      <c r="DTS371" s="132"/>
      <c r="DTT371" s="132"/>
      <c r="DTU371" s="132"/>
      <c r="DTV371" s="132"/>
      <c r="DTW371" s="132"/>
      <c r="DTX371" s="132"/>
      <c r="DTY371" s="132"/>
      <c r="DTZ371" s="132"/>
      <c r="DUA371" s="132"/>
      <c r="DUB371" s="132"/>
      <c r="DUC371" s="132"/>
      <c r="DUD371" s="132"/>
      <c r="DUE371" s="132"/>
      <c r="DUF371" s="132"/>
      <c r="DUG371" s="132"/>
      <c r="DUH371" s="132"/>
      <c r="DUI371" s="132"/>
      <c r="DUJ371" s="132"/>
      <c r="DUK371" s="132"/>
      <c r="DUL371" s="132"/>
      <c r="DUM371" s="132"/>
      <c r="DUN371" s="132"/>
      <c r="DUO371" s="132"/>
      <c r="DUP371" s="132"/>
      <c r="DUQ371" s="132"/>
      <c r="DUR371" s="132"/>
      <c r="DUS371" s="132"/>
      <c r="DUT371" s="132"/>
      <c r="DUU371" s="132"/>
      <c r="DUV371" s="132"/>
      <c r="DUW371" s="132"/>
      <c r="DUX371" s="132"/>
      <c r="DUY371" s="132"/>
      <c r="DUZ371" s="132"/>
      <c r="DVA371" s="132"/>
      <c r="DVB371" s="132"/>
      <c r="DVC371" s="132"/>
      <c r="DVD371" s="132"/>
      <c r="DVE371" s="132"/>
      <c r="DVF371" s="132"/>
      <c r="DVG371" s="132"/>
      <c r="DVH371" s="132"/>
      <c r="DVI371" s="132"/>
      <c r="DVJ371" s="132"/>
      <c r="DVK371" s="132"/>
      <c r="DVL371" s="132"/>
      <c r="DVM371" s="132"/>
      <c r="DVN371" s="132"/>
      <c r="DVO371" s="132"/>
      <c r="DVP371" s="132"/>
      <c r="DVQ371" s="132"/>
      <c r="DVR371" s="132"/>
      <c r="DVS371" s="132"/>
      <c r="DVT371" s="132"/>
      <c r="DVU371" s="132"/>
      <c r="DVV371" s="132"/>
      <c r="DVW371" s="132"/>
      <c r="DVX371" s="132"/>
      <c r="DVY371" s="132"/>
      <c r="DVZ371" s="132"/>
      <c r="DWA371" s="132"/>
      <c r="DWB371" s="132"/>
      <c r="DWC371" s="132"/>
      <c r="DWD371" s="132"/>
      <c r="DWE371" s="132"/>
      <c r="DWF371" s="132"/>
      <c r="DWG371" s="132"/>
      <c r="DWH371" s="132"/>
      <c r="DWI371" s="132"/>
      <c r="DWJ371" s="132"/>
      <c r="DWK371" s="132"/>
      <c r="DWL371" s="132"/>
      <c r="DWM371" s="132"/>
      <c r="DWN371" s="132"/>
      <c r="DWO371" s="132"/>
      <c r="DWP371" s="132"/>
      <c r="DWQ371" s="132"/>
      <c r="DWR371" s="132"/>
      <c r="DWS371" s="132"/>
      <c r="DWT371" s="132"/>
      <c r="DWU371" s="132"/>
      <c r="DWV371" s="132"/>
      <c r="DWW371" s="132"/>
      <c r="DWX371" s="132"/>
      <c r="DWY371" s="132"/>
      <c r="DWZ371" s="132"/>
      <c r="DXA371" s="132"/>
      <c r="DXB371" s="132"/>
      <c r="DXC371" s="132"/>
      <c r="DXD371" s="132"/>
      <c r="DXE371" s="132"/>
      <c r="DXF371" s="132"/>
      <c r="DXG371" s="132"/>
      <c r="DXH371" s="132"/>
      <c r="DXI371" s="132"/>
      <c r="DXJ371" s="132"/>
      <c r="DXK371" s="132"/>
      <c r="DXL371" s="132"/>
      <c r="DXM371" s="132"/>
      <c r="DXN371" s="132"/>
      <c r="DXO371" s="132"/>
      <c r="DXP371" s="132"/>
      <c r="DXQ371" s="132"/>
      <c r="DXR371" s="132"/>
      <c r="DXS371" s="132"/>
      <c r="DXT371" s="132"/>
      <c r="DXU371" s="132"/>
      <c r="DXV371" s="132"/>
      <c r="DXW371" s="132"/>
      <c r="DXX371" s="132"/>
      <c r="DXY371" s="132"/>
      <c r="DXZ371" s="132"/>
      <c r="DYA371" s="132"/>
      <c r="DYB371" s="132"/>
      <c r="DYC371" s="132"/>
      <c r="DYD371" s="132"/>
      <c r="DYE371" s="132"/>
      <c r="DYF371" s="132"/>
      <c r="DYG371" s="132"/>
      <c r="DYH371" s="132"/>
      <c r="DYI371" s="132"/>
      <c r="DYJ371" s="132"/>
      <c r="DYK371" s="132"/>
      <c r="DYL371" s="132"/>
      <c r="DYM371" s="132"/>
      <c r="DYN371" s="132"/>
      <c r="DYO371" s="132"/>
      <c r="DYP371" s="132"/>
      <c r="DYQ371" s="132"/>
      <c r="DYR371" s="132"/>
      <c r="DYS371" s="132"/>
      <c r="DYT371" s="132"/>
      <c r="DYU371" s="132"/>
      <c r="DYV371" s="132"/>
      <c r="DYW371" s="132"/>
      <c r="DYX371" s="132"/>
      <c r="DYY371" s="132"/>
      <c r="DYZ371" s="132"/>
      <c r="DZA371" s="132"/>
      <c r="DZB371" s="132"/>
      <c r="DZC371" s="132"/>
      <c r="DZD371" s="132"/>
      <c r="DZE371" s="132"/>
      <c r="DZF371" s="132"/>
      <c r="DZG371" s="132"/>
      <c r="DZH371" s="132"/>
      <c r="DZI371" s="132"/>
      <c r="DZJ371" s="132"/>
      <c r="DZK371" s="132"/>
      <c r="DZL371" s="132"/>
      <c r="DZM371" s="132"/>
      <c r="DZN371" s="132"/>
      <c r="DZO371" s="132"/>
      <c r="DZP371" s="132"/>
      <c r="DZQ371" s="132"/>
      <c r="DZR371" s="132"/>
      <c r="DZS371" s="132"/>
      <c r="DZT371" s="132"/>
      <c r="DZU371" s="132"/>
      <c r="DZV371" s="132"/>
      <c r="DZW371" s="132"/>
      <c r="DZX371" s="132"/>
      <c r="DZY371" s="132"/>
      <c r="DZZ371" s="132"/>
      <c r="EAA371" s="132"/>
      <c r="EAB371" s="132"/>
      <c r="EAC371" s="132"/>
      <c r="EAD371" s="132"/>
      <c r="EAE371" s="132"/>
      <c r="EAF371" s="132"/>
      <c r="EAG371" s="132"/>
      <c r="EAH371" s="132"/>
      <c r="EAI371" s="132"/>
      <c r="EAJ371" s="132"/>
      <c r="EAK371" s="132"/>
      <c r="EAL371" s="132"/>
      <c r="EAM371" s="132"/>
      <c r="EAN371" s="132"/>
      <c r="EAO371" s="132"/>
      <c r="EAP371" s="132"/>
      <c r="EAQ371" s="132"/>
      <c r="EAR371" s="132"/>
      <c r="EAS371" s="132"/>
      <c r="EAT371" s="132"/>
      <c r="EAU371" s="132"/>
      <c r="EAV371" s="132"/>
      <c r="EAW371" s="132"/>
      <c r="EAX371" s="132"/>
      <c r="EAY371" s="132"/>
      <c r="EAZ371" s="132"/>
      <c r="EBA371" s="132"/>
      <c r="EBB371" s="132"/>
      <c r="EBC371" s="132"/>
      <c r="EBD371" s="132"/>
      <c r="EBE371" s="132"/>
      <c r="EBF371" s="132"/>
      <c r="EBG371" s="132"/>
      <c r="EBH371" s="132"/>
      <c r="EBI371" s="132"/>
      <c r="EBJ371" s="132"/>
      <c r="EBK371" s="132"/>
      <c r="EBL371" s="132"/>
      <c r="EBM371" s="132"/>
      <c r="EBN371" s="132"/>
      <c r="EBO371" s="132"/>
      <c r="EBP371" s="132"/>
      <c r="EBQ371" s="132"/>
      <c r="EBR371" s="132"/>
      <c r="EBS371" s="132"/>
      <c r="EBT371" s="132"/>
      <c r="EBU371" s="132"/>
      <c r="EBV371" s="132"/>
      <c r="EBW371" s="132"/>
      <c r="EBX371" s="132"/>
      <c r="EBY371" s="132"/>
      <c r="EBZ371" s="132"/>
      <c r="ECA371" s="132"/>
      <c r="ECB371" s="132"/>
      <c r="ECC371" s="132"/>
      <c r="ECD371" s="132"/>
      <c r="ECE371" s="132"/>
      <c r="ECF371" s="132"/>
      <c r="ECG371" s="132"/>
      <c r="ECH371" s="132"/>
      <c r="ECI371" s="132"/>
      <c r="ECJ371" s="132"/>
      <c r="ECK371" s="132"/>
      <c r="ECL371" s="132"/>
      <c r="ECM371" s="132"/>
      <c r="ECN371" s="132"/>
      <c r="ECO371" s="132"/>
      <c r="ECP371" s="132"/>
      <c r="ECQ371" s="132"/>
      <c r="ECR371" s="132"/>
      <c r="ECS371" s="132"/>
      <c r="ECT371" s="132"/>
      <c r="ECU371" s="132"/>
      <c r="ECV371" s="132"/>
      <c r="ECW371" s="132"/>
      <c r="ECX371" s="132"/>
      <c r="ECY371" s="132"/>
      <c r="ECZ371" s="132"/>
      <c r="EDA371" s="132"/>
      <c r="EDB371" s="132"/>
      <c r="EDC371" s="132"/>
      <c r="EDD371" s="132"/>
      <c r="EDE371" s="132"/>
      <c r="EDF371" s="132"/>
      <c r="EDG371" s="132"/>
      <c r="EDH371" s="132"/>
      <c r="EDI371" s="132"/>
      <c r="EDJ371" s="132"/>
      <c r="EDK371" s="132"/>
      <c r="EDL371" s="132"/>
      <c r="EDM371" s="132"/>
      <c r="EDN371" s="132"/>
      <c r="EDO371" s="132"/>
      <c r="EDP371" s="132"/>
      <c r="EDQ371" s="132"/>
      <c r="EDR371" s="132"/>
      <c r="EDS371" s="132"/>
      <c r="EDT371" s="132"/>
      <c r="EDU371" s="132"/>
      <c r="EDV371" s="132"/>
      <c r="EDW371" s="132"/>
      <c r="EDX371" s="132"/>
      <c r="EDY371" s="132"/>
      <c r="EDZ371" s="132"/>
      <c r="EEA371" s="132"/>
      <c r="EEB371" s="132"/>
      <c r="EEC371" s="132"/>
      <c r="EED371" s="132"/>
      <c r="EEE371" s="132"/>
      <c r="EEF371" s="132"/>
      <c r="EEG371" s="132"/>
      <c r="EEH371" s="132"/>
      <c r="EEI371" s="132"/>
      <c r="EEJ371" s="132"/>
      <c r="EEK371" s="132"/>
      <c r="EEL371" s="132"/>
      <c r="EEM371" s="132"/>
      <c r="EEN371" s="132"/>
      <c r="EEO371" s="132"/>
      <c r="EEP371" s="132"/>
      <c r="EEQ371" s="132"/>
      <c r="EER371" s="132"/>
      <c r="EES371" s="132"/>
      <c r="EET371" s="132"/>
      <c r="EEU371" s="132"/>
      <c r="EEV371" s="132"/>
      <c r="EEW371" s="132"/>
      <c r="EEX371" s="132"/>
      <c r="EEY371" s="132"/>
      <c r="EEZ371" s="132"/>
      <c r="EFA371" s="132"/>
      <c r="EFB371" s="132"/>
      <c r="EFC371" s="132"/>
      <c r="EFD371" s="132"/>
      <c r="EFE371" s="132"/>
      <c r="EFF371" s="132"/>
      <c r="EFG371" s="132"/>
      <c r="EFH371" s="132"/>
      <c r="EFI371" s="132"/>
      <c r="EFJ371" s="132"/>
      <c r="EFK371" s="132"/>
      <c r="EFL371" s="132"/>
      <c r="EFM371" s="132"/>
      <c r="EFN371" s="132"/>
      <c r="EFO371" s="132"/>
      <c r="EFP371" s="132"/>
      <c r="EFQ371" s="132"/>
      <c r="EFR371" s="132"/>
      <c r="EFS371" s="132"/>
      <c r="EFT371" s="132"/>
      <c r="EFU371" s="132"/>
      <c r="EFV371" s="132"/>
      <c r="EFW371" s="132"/>
      <c r="EFX371" s="132"/>
      <c r="EFY371" s="132"/>
      <c r="EFZ371" s="132"/>
      <c r="EGA371" s="132"/>
      <c r="EGB371" s="132"/>
      <c r="EGC371" s="132"/>
      <c r="EGD371" s="132"/>
      <c r="EGE371" s="132"/>
      <c r="EGF371" s="132"/>
      <c r="EGG371" s="132"/>
      <c r="EGH371" s="132"/>
      <c r="EGI371" s="132"/>
      <c r="EGJ371" s="132"/>
      <c r="EGK371" s="132"/>
      <c r="EGL371" s="132"/>
      <c r="EGM371" s="132"/>
      <c r="EGN371" s="132"/>
      <c r="EGO371" s="132"/>
      <c r="EGP371" s="132"/>
      <c r="EGQ371" s="132"/>
      <c r="EGR371" s="132"/>
      <c r="EGS371" s="132"/>
      <c r="EGT371" s="132"/>
      <c r="EGU371" s="132"/>
      <c r="EGV371" s="132"/>
      <c r="EGW371" s="132"/>
      <c r="EGX371" s="132"/>
      <c r="EGY371" s="132"/>
      <c r="EGZ371" s="132"/>
      <c r="EHA371" s="132"/>
      <c r="EHB371" s="132"/>
      <c r="EHC371" s="132"/>
      <c r="EHD371" s="132"/>
      <c r="EHE371" s="132"/>
      <c r="EHF371" s="132"/>
      <c r="EHG371" s="132"/>
      <c r="EHH371" s="132"/>
      <c r="EHI371" s="132"/>
      <c r="EHJ371" s="132"/>
      <c r="EHK371" s="132"/>
      <c r="EHL371" s="132"/>
      <c r="EHM371" s="132"/>
      <c r="EHN371" s="132"/>
      <c r="EHO371" s="132"/>
      <c r="EHP371" s="132"/>
      <c r="EHQ371" s="132"/>
      <c r="EHR371" s="132"/>
      <c r="EHS371" s="132"/>
      <c r="EHT371" s="132"/>
      <c r="EHU371" s="132"/>
      <c r="EHV371" s="132"/>
      <c r="EHW371" s="132"/>
      <c r="EHX371" s="132"/>
      <c r="EHY371" s="132"/>
      <c r="EHZ371" s="132"/>
      <c r="EIA371" s="132"/>
      <c r="EIB371" s="132"/>
      <c r="EIC371" s="132"/>
      <c r="EID371" s="132"/>
      <c r="EIE371" s="132"/>
      <c r="EIF371" s="132"/>
      <c r="EIG371" s="132"/>
      <c r="EIH371" s="132"/>
      <c r="EII371" s="132"/>
      <c r="EIJ371" s="132"/>
      <c r="EIK371" s="132"/>
      <c r="EIL371" s="132"/>
      <c r="EIM371" s="132"/>
      <c r="EIN371" s="132"/>
      <c r="EIO371" s="132"/>
      <c r="EIP371" s="132"/>
      <c r="EIQ371" s="132"/>
      <c r="EIR371" s="132"/>
      <c r="EIS371" s="132"/>
      <c r="EIT371" s="132"/>
      <c r="EIU371" s="132"/>
      <c r="EIV371" s="132"/>
      <c r="EIW371" s="132"/>
      <c r="EIX371" s="132"/>
      <c r="EIY371" s="132"/>
      <c r="EIZ371" s="132"/>
      <c r="EJA371" s="132"/>
      <c r="EJB371" s="132"/>
      <c r="EJC371" s="132"/>
      <c r="EJD371" s="132"/>
      <c r="EJE371" s="132"/>
      <c r="EJF371" s="132"/>
      <c r="EJG371" s="132"/>
      <c r="EJH371" s="132"/>
      <c r="EJI371" s="132"/>
      <c r="EJJ371" s="132"/>
      <c r="EJK371" s="132"/>
      <c r="EJL371" s="132"/>
      <c r="EJM371" s="132"/>
      <c r="EJN371" s="132"/>
      <c r="EJO371" s="132"/>
      <c r="EJP371" s="132"/>
      <c r="EJQ371" s="132"/>
      <c r="EJR371" s="132"/>
      <c r="EJS371" s="132"/>
      <c r="EJT371" s="132"/>
      <c r="EJU371" s="132"/>
      <c r="EJV371" s="132"/>
      <c r="EJW371" s="132"/>
      <c r="EJX371" s="132"/>
      <c r="EJY371" s="132"/>
      <c r="EJZ371" s="132"/>
      <c r="EKA371" s="132"/>
      <c r="EKB371" s="132"/>
      <c r="EKC371" s="132"/>
      <c r="EKD371" s="132"/>
      <c r="EKE371" s="132"/>
      <c r="EKF371" s="132"/>
      <c r="EKG371" s="132"/>
      <c r="EKH371" s="132"/>
      <c r="EKI371" s="132"/>
      <c r="EKJ371" s="132"/>
      <c r="EKK371" s="132"/>
      <c r="EKL371" s="132"/>
      <c r="EKM371" s="132"/>
      <c r="EKN371" s="132"/>
      <c r="EKO371" s="132"/>
      <c r="EKP371" s="132"/>
      <c r="EKQ371" s="132"/>
      <c r="EKR371" s="132"/>
      <c r="EKS371" s="132"/>
      <c r="EKT371" s="132"/>
      <c r="EKU371" s="132"/>
      <c r="EKV371" s="132"/>
      <c r="EKW371" s="132"/>
      <c r="EKX371" s="132"/>
      <c r="EKY371" s="132"/>
      <c r="EKZ371" s="132"/>
      <c r="ELA371" s="132"/>
      <c r="ELB371" s="132"/>
      <c r="ELC371" s="132"/>
      <c r="ELD371" s="132"/>
      <c r="ELE371" s="132"/>
      <c r="ELF371" s="132"/>
      <c r="ELG371" s="132"/>
      <c r="ELH371" s="132"/>
      <c r="ELI371" s="132"/>
      <c r="ELJ371" s="132"/>
      <c r="ELK371" s="132"/>
      <c r="ELL371" s="132"/>
      <c r="ELM371" s="132"/>
      <c r="ELN371" s="132"/>
      <c r="ELO371" s="132"/>
      <c r="ELP371" s="132"/>
      <c r="ELQ371" s="132"/>
      <c r="ELR371" s="132"/>
      <c r="ELS371" s="132"/>
      <c r="ELT371" s="132"/>
      <c r="ELU371" s="132"/>
      <c r="ELV371" s="132"/>
      <c r="ELW371" s="132"/>
      <c r="ELX371" s="132"/>
      <c r="ELY371" s="132"/>
      <c r="ELZ371" s="132"/>
      <c r="EMA371" s="132"/>
      <c r="EMB371" s="132"/>
      <c r="EMC371" s="132"/>
      <c r="EMD371" s="132"/>
      <c r="EME371" s="132"/>
      <c r="EMF371" s="132"/>
      <c r="EMG371" s="132"/>
      <c r="EMH371" s="132"/>
      <c r="EMI371" s="132"/>
      <c r="EMJ371" s="132"/>
      <c r="EMK371" s="132"/>
      <c r="EML371" s="132"/>
      <c r="EMM371" s="132"/>
      <c r="EMN371" s="132"/>
      <c r="EMO371" s="132"/>
      <c r="EMP371" s="132"/>
      <c r="EMQ371" s="132"/>
      <c r="EMR371" s="132"/>
      <c r="EMS371" s="132"/>
      <c r="EMT371" s="132"/>
      <c r="EMU371" s="132"/>
      <c r="EMV371" s="132"/>
      <c r="EMW371" s="132"/>
      <c r="EMX371" s="132"/>
      <c r="EMY371" s="132"/>
      <c r="EMZ371" s="132"/>
      <c r="ENA371" s="132"/>
      <c r="ENB371" s="132"/>
      <c r="ENC371" s="132"/>
      <c r="END371" s="132"/>
      <c r="ENE371" s="132"/>
      <c r="ENF371" s="132"/>
      <c r="ENG371" s="132"/>
      <c r="ENH371" s="132"/>
      <c r="ENI371" s="132"/>
      <c r="ENJ371" s="132"/>
      <c r="ENK371" s="132"/>
      <c r="ENL371" s="132"/>
      <c r="ENM371" s="132"/>
      <c r="ENN371" s="132"/>
      <c r="ENO371" s="132"/>
      <c r="ENP371" s="132"/>
      <c r="ENQ371" s="132"/>
      <c r="ENR371" s="132"/>
      <c r="ENS371" s="132"/>
      <c r="ENT371" s="132"/>
      <c r="ENU371" s="132"/>
      <c r="ENV371" s="132"/>
      <c r="ENW371" s="132"/>
      <c r="ENX371" s="132"/>
      <c r="ENY371" s="132"/>
      <c r="ENZ371" s="132"/>
      <c r="EOA371" s="132"/>
      <c r="EOB371" s="132"/>
      <c r="EOC371" s="132"/>
      <c r="EOD371" s="132"/>
      <c r="EOE371" s="132"/>
      <c r="EOF371" s="132"/>
      <c r="EOG371" s="132"/>
      <c r="EOH371" s="132"/>
      <c r="EOI371" s="132"/>
      <c r="EOJ371" s="132"/>
      <c r="EOK371" s="132"/>
      <c r="EOL371" s="132"/>
      <c r="EOM371" s="132"/>
      <c r="EON371" s="132"/>
      <c r="EOO371" s="132"/>
      <c r="EOP371" s="132"/>
      <c r="EOQ371" s="132"/>
      <c r="EOR371" s="132"/>
      <c r="EOS371" s="132"/>
      <c r="EOT371" s="132"/>
      <c r="EOU371" s="132"/>
      <c r="EOV371" s="132"/>
      <c r="EOW371" s="132"/>
      <c r="EOX371" s="132"/>
      <c r="EOY371" s="132"/>
      <c r="EOZ371" s="132"/>
      <c r="EPA371" s="132"/>
      <c r="EPB371" s="132"/>
      <c r="EPC371" s="132"/>
      <c r="EPD371" s="132"/>
      <c r="EPE371" s="132"/>
      <c r="EPF371" s="132"/>
      <c r="EPG371" s="132"/>
      <c r="EPH371" s="132"/>
      <c r="EPI371" s="132"/>
      <c r="EPJ371" s="132"/>
      <c r="EPK371" s="132"/>
      <c r="EPL371" s="132"/>
      <c r="EPM371" s="132"/>
      <c r="EPN371" s="132"/>
      <c r="EPO371" s="132"/>
      <c r="EPP371" s="132"/>
      <c r="EPQ371" s="132"/>
      <c r="EPR371" s="132"/>
      <c r="EPS371" s="132"/>
      <c r="EPT371" s="132"/>
      <c r="EPU371" s="132"/>
      <c r="EPV371" s="132"/>
      <c r="EPW371" s="132"/>
      <c r="EPX371" s="132"/>
      <c r="EPY371" s="132"/>
      <c r="EPZ371" s="132"/>
      <c r="EQA371" s="132"/>
      <c r="EQB371" s="132"/>
      <c r="EQC371" s="132"/>
      <c r="EQD371" s="132"/>
      <c r="EQE371" s="132"/>
      <c r="EQF371" s="132"/>
      <c r="EQG371" s="132"/>
      <c r="EQH371" s="132"/>
      <c r="EQI371" s="132"/>
      <c r="EQJ371" s="132"/>
      <c r="EQK371" s="132"/>
      <c r="EQL371" s="132"/>
      <c r="EQM371" s="132"/>
      <c r="EQN371" s="132"/>
      <c r="EQO371" s="132"/>
      <c r="EQP371" s="132"/>
      <c r="EQQ371" s="132"/>
      <c r="EQR371" s="132"/>
      <c r="EQS371" s="132"/>
      <c r="EQT371" s="132"/>
      <c r="EQU371" s="132"/>
      <c r="EQV371" s="132"/>
      <c r="EQW371" s="132"/>
      <c r="EQX371" s="132"/>
      <c r="EQY371" s="132"/>
      <c r="EQZ371" s="132"/>
      <c r="ERA371" s="132"/>
      <c r="ERB371" s="132"/>
      <c r="ERC371" s="132"/>
      <c r="ERD371" s="132"/>
      <c r="ERE371" s="132"/>
      <c r="ERF371" s="132"/>
      <c r="ERG371" s="132"/>
      <c r="ERH371" s="132"/>
      <c r="ERI371" s="132"/>
      <c r="ERJ371" s="132"/>
      <c r="ERK371" s="132"/>
      <c r="ERL371" s="132"/>
      <c r="ERM371" s="132"/>
      <c r="ERN371" s="132"/>
      <c r="ERO371" s="132"/>
      <c r="ERP371" s="132"/>
      <c r="ERQ371" s="132"/>
      <c r="ERR371" s="132"/>
      <c r="ERS371" s="132"/>
      <c r="ERT371" s="132"/>
      <c r="ERU371" s="132"/>
      <c r="ERV371" s="132"/>
      <c r="ERW371" s="132"/>
      <c r="ERX371" s="132"/>
      <c r="ERY371" s="132"/>
      <c r="ERZ371" s="132"/>
      <c r="ESA371" s="132"/>
      <c r="ESB371" s="132"/>
      <c r="ESC371" s="132"/>
      <c r="ESD371" s="132"/>
      <c r="ESE371" s="132"/>
      <c r="ESF371" s="132"/>
      <c r="ESG371" s="132"/>
      <c r="ESH371" s="132"/>
      <c r="ESI371" s="132"/>
      <c r="ESJ371" s="132"/>
      <c r="ESK371" s="132"/>
      <c r="ESL371" s="132"/>
      <c r="ESM371" s="132"/>
      <c r="ESN371" s="132"/>
      <c r="ESO371" s="132"/>
      <c r="ESP371" s="132"/>
      <c r="ESQ371" s="132"/>
      <c r="ESR371" s="132"/>
      <c r="ESS371" s="132"/>
      <c r="EST371" s="132"/>
      <c r="ESU371" s="132"/>
      <c r="ESV371" s="132"/>
      <c r="ESW371" s="132"/>
      <c r="ESX371" s="132"/>
      <c r="ESY371" s="132"/>
      <c r="ESZ371" s="132"/>
      <c r="ETA371" s="132"/>
      <c r="ETB371" s="132"/>
      <c r="ETC371" s="132"/>
      <c r="ETD371" s="132"/>
      <c r="ETE371" s="132"/>
      <c r="ETF371" s="132"/>
      <c r="ETG371" s="132"/>
      <c r="ETH371" s="132"/>
      <c r="ETI371" s="132"/>
      <c r="ETJ371" s="132"/>
      <c r="ETK371" s="132"/>
      <c r="ETL371" s="132"/>
      <c r="ETM371" s="132"/>
      <c r="ETN371" s="132"/>
      <c r="ETO371" s="132"/>
      <c r="ETP371" s="132"/>
      <c r="ETQ371" s="132"/>
      <c r="ETR371" s="132"/>
      <c r="ETS371" s="132"/>
      <c r="ETT371" s="132"/>
      <c r="ETU371" s="132"/>
      <c r="ETV371" s="132"/>
      <c r="ETW371" s="132"/>
      <c r="ETX371" s="132"/>
      <c r="ETY371" s="132"/>
      <c r="ETZ371" s="132"/>
      <c r="EUA371" s="132"/>
      <c r="EUB371" s="132"/>
      <c r="EUC371" s="132"/>
      <c r="EUD371" s="132"/>
      <c r="EUE371" s="132"/>
      <c r="EUF371" s="132"/>
      <c r="EUG371" s="132"/>
      <c r="EUH371" s="132"/>
      <c r="EUI371" s="132"/>
      <c r="EUJ371" s="132"/>
      <c r="EUK371" s="132"/>
      <c r="EUL371" s="132"/>
      <c r="EUM371" s="132"/>
      <c r="EUN371" s="132"/>
      <c r="EUO371" s="132"/>
      <c r="EUP371" s="132"/>
      <c r="EUQ371" s="132"/>
      <c r="EUR371" s="132"/>
      <c r="EUS371" s="132"/>
      <c r="EUT371" s="132"/>
      <c r="EUU371" s="132"/>
      <c r="EUV371" s="132"/>
      <c r="EUW371" s="132"/>
      <c r="EUX371" s="132"/>
      <c r="EUY371" s="132"/>
      <c r="EUZ371" s="132"/>
      <c r="EVA371" s="132"/>
      <c r="EVB371" s="132"/>
      <c r="EVC371" s="132"/>
      <c r="EVD371" s="132"/>
      <c r="EVE371" s="132"/>
      <c r="EVF371" s="132"/>
      <c r="EVG371" s="132"/>
      <c r="EVH371" s="132"/>
      <c r="EVI371" s="132"/>
      <c r="EVJ371" s="132"/>
      <c r="EVK371" s="132"/>
      <c r="EVL371" s="132"/>
      <c r="EVM371" s="132"/>
      <c r="EVN371" s="132"/>
      <c r="EVO371" s="132"/>
      <c r="EVP371" s="132"/>
      <c r="EVQ371" s="132"/>
      <c r="EVR371" s="132"/>
      <c r="EVS371" s="132"/>
      <c r="EVT371" s="132"/>
      <c r="EVU371" s="132"/>
      <c r="EVV371" s="132"/>
      <c r="EVW371" s="132"/>
      <c r="EVX371" s="132"/>
      <c r="EVY371" s="132"/>
      <c r="EVZ371" s="132"/>
      <c r="EWA371" s="132"/>
      <c r="EWB371" s="132"/>
      <c r="EWC371" s="132"/>
      <c r="EWD371" s="132"/>
      <c r="EWE371" s="132"/>
      <c r="EWF371" s="132"/>
      <c r="EWG371" s="132"/>
      <c r="EWH371" s="132"/>
      <c r="EWI371" s="132"/>
      <c r="EWJ371" s="132"/>
      <c r="EWK371" s="132"/>
      <c r="EWL371" s="132"/>
      <c r="EWM371" s="132"/>
      <c r="EWN371" s="132"/>
      <c r="EWO371" s="132"/>
      <c r="EWP371" s="132"/>
      <c r="EWQ371" s="132"/>
      <c r="EWR371" s="132"/>
      <c r="EWS371" s="132"/>
      <c r="EWT371" s="132"/>
      <c r="EWU371" s="132"/>
      <c r="EWV371" s="132"/>
      <c r="EWW371" s="132"/>
      <c r="EWX371" s="132"/>
      <c r="EWY371" s="132"/>
      <c r="EWZ371" s="132"/>
      <c r="EXA371" s="132"/>
      <c r="EXB371" s="132"/>
      <c r="EXC371" s="132"/>
      <c r="EXD371" s="132"/>
      <c r="EXE371" s="132"/>
      <c r="EXF371" s="132"/>
      <c r="EXG371" s="132"/>
      <c r="EXH371" s="132"/>
      <c r="EXI371" s="132"/>
      <c r="EXJ371" s="132"/>
      <c r="EXK371" s="132"/>
      <c r="EXL371" s="132"/>
      <c r="EXM371" s="132"/>
      <c r="EXN371" s="132"/>
      <c r="EXO371" s="132"/>
      <c r="EXP371" s="132"/>
      <c r="EXQ371" s="132"/>
      <c r="EXR371" s="132"/>
      <c r="EXS371" s="132"/>
      <c r="EXT371" s="132"/>
      <c r="EXU371" s="132"/>
      <c r="EXV371" s="132"/>
      <c r="EXW371" s="132"/>
      <c r="EXX371" s="132"/>
      <c r="EXY371" s="132"/>
      <c r="EXZ371" s="132"/>
      <c r="EYA371" s="132"/>
      <c r="EYB371" s="132"/>
      <c r="EYC371" s="132"/>
      <c r="EYD371" s="132"/>
      <c r="EYE371" s="132"/>
      <c r="EYF371" s="132"/>
      <c r="EYG371" s="132"/>
      <c r="EYH371" s="132"/>
      <c r="EYI371" s="132"/>
      <c r="EYJ371" s="132"/>
      <c r="EYK371" s="132"/>
      <c r="EYL371" s="132"/>
      <c r="EYM371" s="132"/>
      <c r="EYN371" s="132"/>
      <c r="EYO371" s="132"/>
      <c r="EYP371" s="132"/>
      <c r="EYQ371" s="132"/>
      <c r="EYR371" s="132"/>
      <c r="EYS371" s="132"/>
      <c r="EYT371" s="132"/>
      <c r="EYU371" s="132"/>
      <c r="EYV371" s="132"/>
      <c r="EYW371" s="132"/>
      <c r="EYX371" s="132"/>
      <c r="EYY371" s="132"/>
      <c r="EYZ371" s="132"/>
      <c r="EZA371" s="132"/>
      <c r="EZB371" s="132"/>
      <c r="EZC371" s="132"/>
      <c r="EZD371" s="132"/>
      <c r="EZE371" s="132"/>
      <c r="EZF371" s="132"/>
      <c r="EZG371" s="132"/>
      <c r="EZH371" s="132"/>
      <c r="EZI371" s="132"/>
      <c r="EZJ371" s="132"/>
      <c r="EZK371" s="132"/>
      <c r="EZL371" s="132"/>
      <c r="EZM371" s="132"/>
      <c r="EZN371" s="132"/>
      <c r="EZO371" s="132"/>
      <c r="EZP371" s="132"/>
      <c r="EZQ371" s="132"/>
      <c r="EZR371" s="132"/>
      <c r="EZS371" s="132"/>
      <c r="EZT371" s="132"/>
      <c r="EZU371" s="132"/>
      <c r="EZV371" s="132"/>
      <c r="EZW371" s="132"/>
      <c r="EZX371" s="132"/>
      <c r="EZY371" s="132"/>
      <c r="EZZ371" s="132"/>
      <c r="FAA371" s="132"/>
      <c r="FAB371" s="132"/>
      <c r="FAC371" s="132"/>
      <c r="FAD371" s="132"/>
      <c r="FAE371" s="132"/>
      <c r="FAF371" s="132"/>
      <c r="FAG371" s="132"/>
      <c r="FAH371" s="132"/>
      <c r="FAI371" s="132"/>
      <c r="FAJ371" s="132"/>
      <c r="FAK371" s="132"/>
      <c r="FAL371" s="132"/>
      <c r="FAM371" s="132"/>
      <c r="FAN371" s="132"/>
      <c r="FAO371" s="132"/>
      <c r="FAP371" s="132"/>
      <c r="FAQ371" s="132"/>
      <c r="FAR371" s="132"/>
      <c r="FAS371" s="132"/>
      <c r="FAT371" s="132"/>
      <c r="FAU371" s="132"/>
      <c r="FAV371" s="132"/>
      <c r="FAW371" s="132"/>
      <c r="FAX371" s="132"/>
      <c r="FAY371" s="132"/>
      <c r="FAZ371" s="132"/>
      <c r="FBA371" s="132"/>
      <c r="FBB371" s="132"/>
      <c r="FBC371" s="132"/>
      <c r="FBD371" s="132"/>
      <c r="FBE371" s="132"/>
      <c r="FBF371" s="132"/>
      <c r="FBG371" s="132"/>
      <c r="FBH371" s="132"/>
      <c r="FBI371" s="132"/>
      <c r="FBJ371" s="132"/>
      <c r="FBK371" s="132"/>
      <c r="FBL371" s="132"/>
      <c r="FBM371" s="132"/>
      <c r="FBN371" s="132"/>
      <c r="FBO371" s="132"/>
      <c r="FBP371" s="132"/>
      <c r="FBQ371" s="132"/>
      <c r="FBR371" s="132"/>
      <c r="FBS371" s="132"/>
      <c r="FBT371" s="132"/>
      <c r="FBU371" s="132"/>
      <c r="FBV371" s="132"/>
      <c r="FBW371" s="132"/>
      <c r="FBX371" s="132"/>
      <c r="FBY371" s="132"/>
      <c r="FBZ371" s="132"/>
      <c r="FCA371" s="132"/>
      <c r="FCB371" s="132"/>
      <c r="FCC371" s="132"/>
      <c r="FCD371" s="132"/>
      <c r="FCE371" s="132"/>
      <c r="FCF371" s="132"/>
      <c r="FCG371" s="132"/>
      <c r="FCH371" s="132"/>
      <c r="FCI371" s="132"/>
      <c r="FCJ371" s="132"/>
      <c r="FCK371" s="132"/>
      <c r="FCL371" s="132"/>
      <c r="FCM371" s="132"/>
      <c r="FCN371" s="132"/>
      <c r="FCO371" s="132"/>
      <c r="FCP371" s="132"/>
      <c r="FCQ371" s="132"/>
      <c r="FCR371" s="132"/>
      <c r="FCS371" s="132"/>
      <c r="FCT371" s="132"/>
      <c r="FCU371" s="132"/>
      <c r="FCV371" s="132"/>
      <c r="FCW371" s="132"/>
      <c r="FCX371" s="132"/>
      <c r="FCY371" s="132"/>
      <c r="FCZ371" s="132"/>
      <c r="FDA371" s="132"/>
      <c r="FDB371" s="132"/>
      <c r="FDC371" s="132"/>
      <c r="FDD371" s="132"/>
      <c r="FDE371" s="132"/>
      <c r="FDF371" s="132"/>
      <c r="FDG371" s="132"/>
      <c r="FDH371" s="132"/>
      <c r="FDI371" s="132"/>
      <c r="FDJ371" s="132"/>
      <c r="FDK371" s="132"/>
      <c r="FDL371" s="132"/>
      <c r="FDM371" s="132"/>
      <c r="FDN371" s="132"/>
      <c r="FDO371" s="132"/>
      <c r="FDP371" s="132"/>
      <c r="FDQ371" s="132"/>
      <c r="FDR371" s="132"/>
      <c r="FDS371" s="132"/>
      <c r="FDT371" s="132"/>
      <c r="FDU371" s="132"/>
      <c r="FDV371" s="132"/>
      <c r="FDW371" s="132"/>
      <c r="FDX371" s="132"/>
      <c r="FDY371" s="132"/>
      <c r="FDZ371" s="132"/>
      <c r="FEA371" s="132"/>
      <c r="FEB371" s="132"/>
      <c r="FEC371" s="132"/>
      <c r="FED371" s="132"/>
      <c r="FEE371" s="132"/>
      <c r="FEF371" s="132"/>
      <c r="FEG371" s="132"/>
      <c r="FEH371" s="132"/>
      <c r="FEI371" s="132"/>
      <c r="FEJ371" s="132"/>
      <c r="FEK371" s="132"/>
      <c r="FEL371" s="132"/>
      <c r="FEM371" s="132"/>
      <c r="FEN371" s="132"/>
      <c r="FEO371" s="132"/>
      <c r="FEP371" s="132"/>
      <c r="FEQ371" s="132"/>
      <c r="FER371" s="132"/>
      <c r="FES371" s="132"/>
      <c r="FET371" s="132"/>
      <c r="FEU371" s="132"/>
      <c r="FEV371" s="132"/>
      <c r="FEW371" s="132"/>
      <c r="FEX371" s="132"/>
      <c r="FEY371" s="132"/>
      <c r="FEZ371" s="132"/>
      <c r="FFA371" s="132"/>
      <c r="FFB371" s="132"/>
      <c r="FFC371" s="132"/>
      <c r="FFD371" s="132"/>
      <c r="FFE371" s="132"/>
      <c r="FFF371" s="132"/>
      <c r="FFG371" s="132"/>
      <c r="FFH371" s="132"/>
      <c r="FFI371" s="132"/>
      <c r="FFJ371" s="132"/>
      <c r="FFK371" s="132"/>
      <c r="FFL371" s="132"/>
      <c r="FFM371" s="132"/>
      <c r="FFN371" s="132"/>
      <c r="FFO371" s="132"/>
      <c r="FFP371" s="132"/>
      <c r="FFQ371" s="132"/>
      <c r="FFR371" s="132"/>
      <c r="FFS371" s="132"/>
      <c r="FFT371" s="132"/>
      <c r="FFU371" s="132"/>
      <c r="FFV371" s="132"/>
      <c r="FFW371" s="132"/>
      <c r="FFX371" s="132"/>
      <c r="FFY371" s="132"/>
      <c r="FFZ371" s="132"/>
      <c r="FGA371" s="132"/>
      <c r="FGB371" s="132"/>
      <c r="FGC371" s="132"/>
      <c r="FGD371" s="132"/>
      <c r="FGE371" s="132"/>
      <c r="FGF371" s="132"/>
      <c r="FGG371" s="132"/>
      <c r="FGH371" s="132"/>
      <c r="FGI371" s="132"/>
      <c r="FGJ371" s="132"/>
      <c r="FGK371" s="132"/>
      <c r="FGL371" s="132"/>
      <c r="FGM371" s="132"/>
      <c r="FGN371" s="132"/>
      <c r="FGO371" s="132"/>
      <c r="FGP371" s="132"/>
      <c r="FGQ371" s="132"/>
      <c r="FGR371" s="132"/>
      <c r="FGS371" s="132"/>
      <c r="FGT371" s="132"/>
      <c r="FGU371" s="132"/>
      <c r="FGV371" s="132"/>
      <c r="FGW371" s="132"/>
      <c r="FGX371" s="132"/>
      <c r="FGY371" s="132"/>
      <c r="FGZ371" s="132"/>
      <c r="FHA371" s="132"/>
      <c r="FHB371" s="132"/>
      <c r="FHC371" s="132"/>
      <c r="FHD371" s="132"/>
      <c r="FHE371" s="132"/>
      <c r="FHF371" s="132"/>
      <c r="FHG371" s="132"/>
      <c r="FHH371" s="132"/>
      <c r="FHI371" s="132"/>
      <c r="FHJ371" s="132"/>
      <c r="FHK371" s="132"/>
      <c r="FHL371" s="132"/>
      <c r="FHM371" s="132"/>
      <c r="FHN371" s="132"/>
      <c r="FHO371" s="132"/>
      <c r="FHP371" s="132"/>
      <c r="FHQ371" s="132"/>
      <c r="FHR371" s="132"/>
      <c r="FHS371" s="132"/>
      <c r="FHT371" s="132"/>
      <c r="FHU371" s="132"/>
      <c r="FHV371" s="132"/>
      <c r="FHW371" s="132"/>
      <c r="FHX371" s="132"/>
      <c r="FHY371" s="132"/>
      <c r="FHZ371" s="132"/>
      <c r="FIA371" s="132"/>
      <c r="FIB371" s="132"/>
      <c r="FIC371" s="132"/>
      <c r="FID371" s="132"/>
      <c r="FIE371" s="132"/>
      <c r="FIF371" s="132"/>
      <c r="FIG371" s="132"/>
      <c r="FIH371" s="132"/>
      <c r="FII371" s="132"/>
      <c r="FIJ371" s="132"/>
      <c r="FIK371" s="132"/>
      <c r="FIL371" s="132"/>
      <c r="FIM371" s="132"/>
      <c r="FIN371" s="132"/>
      <c r="FIO371" s="132"/>
      <c r="FIP371" s="132"/>
      <c r="FIQ371" s="132"/>
      <c r="FIR371" s="132"/>
      <c r="FIS371" s="132"/>
      <c r="FIT371" s="132"/>
      <c r="FIU371" s="132"/>
      <c r="FIV371" s="132"/>
      <c r="FIW371" s="132"/>
      <c r="FIX371" s="132"/>
      <c r="FIY371" s="132"/>
      <c r="FIZ371" s="132"/>
      <c r="FJA371" s="132"/>
      <c r="FJB371" s="132"/>
      <c r="FJC371" s="132"/>
      <c r="FJD371" s="132"/>
      <c r="FJE371" s="132"/>
      <c r="FJF371" s="132"/>
      <c r="FJG371" s="132"/>
      <c r="FJH371" s="132"/>
      <c r="FJI371" s="132"/>
      <c r="FJJ371" s="132"/>
      <c r="FJK371" s="132"/>
      <c r="FJL371" s="132"/>
      <c r="FJM371" s="132"/>
      <c r="FJN371" s="132"/>
      <c r="FJO371" s="132"/>
      <c r="FJP371" s="132"/>
      <c r="FJQ371" s="132"/>
      <c r="FJR371" s="132"/>
      <c r="FJS371" s="132"/>
      <c r="FJT371" s="132"/>
      <c r="FJU371" s="132"/>
      <c r="FJV371" s="132"/>
      <c r="FJW371" s="132"/>
      <c r="FJX371" s="132"/>
      <c r="FJY371" s="132"/>
      <c r="FJZ371" s="132"/>
      <c r="FKA371" s="132"/>
      <c r="FKB371" s="132"/>
      <c r="FKC371" s="132"/>
      <c r="FKD371" s="132"/>
      <c r="FKE371" s="132"/>
      <c r="FKF371" s="132"/>
      <c r="FKG371" s="132"/>
      <c r="FKH371" s="132"/>
      <c r="FKI371" s="132"/>
      <c r="FKJ371" s="132"/>
      <c r="FKK371" s="132"/>
      <c r="FKL371" s="132"/>
      <c r="FKM371" s="132"/>
      <c r="FKN371" s="132"/>
      <c r="FKO371" s="132"/>
      <c r="FKP371" s="132"/>
      <c r="FKQ371" s="132"/>
      <c r="FKR371" s="132"/>
      <c r="FKS371" s="132"/>
      <c r="FKT371" s="132"/>
      <c r="FKU371" s="132"/>
      <c r="FKV371" s="132"/>
      <c r="FKW371" s="132"/>
      <c r="FKX371" s="132"/>
      <c r="FKY371" s="132"/>
      <c r="FKZ371" s="132"/>
      <c r="FLA371" s="132"/>
      <c r="FLB371" s="132"/>
      <c r="FLC371" s="132"/>
      <c r="FLD371" s="132"/>
      <c r="FLE371" s="132"/>
      <c r="FLF371" s="132"/>
      <c r="FLG371" s="132"/>
      <c r="FLH371" s="132"/>
      <c r="FLI371" s="132"/>
      <c r="FLJ371" s="132"/>
      <c r="FLK371" s="132"/>
      <c r="FLL371" s="132"/>
      <c r="FLM371" s="132"/>
      <c r="FLN371" s="132"/>
      <c r="FLO371" s="132"/>
      <c r="FLP371" s="132"/>
      <c r="FLQ371" s="132"/>
      <c r="FLR371" s="132"/>
      <c r="FLS371" s="132"/>
      <c r="FLT371" s="132"/>
      <c r="FLU371" s="132"/>
      <c r="FLV371" s="132"/>
      <c r="FLW371" s="132"/>
      <c r="FLX371" s="132"/>
      <c r="FLY371" s="132"/>
      <c r="FLZ371" s="132"/>
      <c r="FMA371" s="132"/>
      <c r="FMB371" s="132"/>
      <c r="FMC371" s="132"/>
      <c r="FMD371" s="132"/>
      <c r="FME371" s="132"/>
      <c r="FMF371" s="132"/>
      <c r="FMG371" s="132"/>
      <c r="FMH371" s="132"/>
      <c r="FMI371" s="132"/>
      <c r="FMJ371" s="132"/>
      <c r="FMK371" s="132"/>
      <c r="FML371" s="132"/>
      <c r="FMM371" s="132"/>
      <c r="FMN371" s="132"/>
      <c r="FMO371" s="132"/>
      <c r="FMP371" s="132"/>
      <c r="FMQ371" s="132"/>
      <c r="FMR371" s="132"/>
      <c r="FMS371" s="132"/>
      <c r="FMT371" s="132"/>
      <c r="FMU371" s="132"/>
      <c r="FMV371" s="132"/>
      <c r="FMW371" s="132"/>
      <c r="FMX371" s="132"/>
      <c r="FMY371" s="132"/>
      <c r="FMZ371" s="132"/>
      <c r="FNA371" s="132"/>
      <c r="FNB371" s="132"/>
      <c r="FNC371" s="132"/>
      <c r="FND371" s="132"/>
      <c r="FNE371" s="132"/>
      <c r="FNF371" s="132"/>
      <c r="FNG371" s="132"/>
      <c r="FNH371" s="132"/>
      <c r="FNI371" s="132"/>
      <c r="FNJ371" s="132"/>
      <c r="FNK371" s="132"/>
      <c r="FNL371" s="132"/>
      <c r="FNM371" s="132"/>
      <c r="FNN371" s="132"/>
      <c r="FNO371" s="132"/>
      <c r="FNP371" s="132"/>
      <c r="FNQ371" s="132"/>
      <c r="FNR371" s="132"/>
      <c r="FNS371" s="132"/>
      <c r="FNT371" s="132"/>
      <c r="FNU371" s="132"/>
      <c r="FNV371" s="132"/>
      <c r="FNW371" s="132"/>
      <c r="FNX371" s="132"/>
      <c r="FNY371" s="132"/>
      <c r="FNZ371" s="132"/>
      <c r="FOA371" s="132"/>
      <c r="FOB371" s="132"/>
      <c r="FOC371" s="132"/>
      <c r="FOD371" s="132"/>
      <c r="FOE371" s="132"/>
      <c r="FOF371" s="132"/>
      <c r="FOG371" s="132"/>
      <c r="FOH371" s="132"/>
      <c r="FOI371" s="132"/>
      <c r="FOJ371" s="132"/>
      <c r="FOK371" s="132"/>
      <c r="FOL371" s="132"/>
      <c r="FOM371" s="132"/>
      <c r="FON371" s="132"/>
      <c r="FOO371" s="132"/>
      <c r="FOP371" s="132"/>
      <c r="FOQ371" s="132"/>
      <c r="FOR371" s="132"/>
      <c r="FOS371" s="132"/>
      <c r="FOT371" s="132"/>
      <c r="FOU371" s="132"/>
      <c r="FOV371" s="132"/>
      <c r="FOW371" s="132"/>
      <c r="FOX371" s="132"/>
      <c r="FOY371" s="132"/>
      <c r="FOZ371" s="132"/>
      <c r="FPA371" s="132"/>
      <c r="FPB371" s="132"/>
      <c r="FPC371" s="132"/>
      <c r="FPD371" s="132"/>
      <c r="FPE371" s="132"/>
      <c r="FPF371" s="132"/>
      <c r="FPG371" s="132"/>
      <c r="FPH371" s="132"/>
      <c r="FPI371" s="132"/>
      <c r="FPJ371" s="132"/>
      <c r="FPK371" s="132"/>
      <c r="FPL371" s="132"/>
      <c r="FPM371" s="132"/>
      <c r="FPN371" s="132"/>
      <c r="FPO371" s="132"/>
      <c r="FPP371" s="132"/>
      <c r="FPQ371" s="132"/>
      <c r="FPR371" s="132"/>
      <c r="FPS371" s="132"/>
      <c r="FPT371" s="132"/>
      <c r="FPU371" s="132"/>
      <c r="FPV371" s="132"/>
      <c r="FPW371" s="132"/>
      <c r="FPX371" s="132"/>
      <c r="FPY371" s="132"/>
      <c r="FPZ371" s="132"/>
      <c r="FQA371" s="132"/>
      <c r="FQB371" s="132"/>
      <c r="FQC371" s="132"/>
      <c r="FQD371" s="132"/>
      <c r="FQE371" s="132"/>
      <c r="FQF371" s="132"/>
      <c r="FQG371" s="132"/>
      <c r="FQH371" s="132"/>
      <c r="FQI371" s="132"/>
      <c r="FQJ371" s="132"/>
      <c r="FQK371" s="132"/>
      <c r="FQL371" s="132"/>
      <c r="FQM371" s="132"/>
      <c r="FQN371" s="132"/>
      <c r="FQO371" s="132"/>
      <c r="FQP371" s="132"/>
      <c r="FQQ371" s="132"/>
      <c r="FQR371" s="132"/>
      <c r="FQS371" s="132"/>
      <c r="FQT371" s="132"/>
      <c r="FQU371" s="132"/>
      <c r="FQV371" s="132"/>
      <c r="FQW371" s="132"/>
      <c r="FQX371" s="132"/>
      <c r="FQY371" s="132"/>
      <c r="FQZ371" s="132"/>
      <c r="FRA371" s="132"/>
      <c r="FRB371" s="132"/>
      <c r="FRC371" s="132"/>
      <c r="FRD371" s="132"/>
      <c r="FRE371" s="132"/>
      <c r="FRF371" s="132"/>
      <c r="FRG371" s="132"/>
      <c r="FRH371" s="132"/>
      <c r="FRI371" s="132"/>
      <c r="FRJ371" s="132"/>
      <c r="FRK371" s="132"/>
      <c r="FRL371" s="132"/>
      <c r="FRM371" s="132"/>
      <c r="FRN371" s="132"/>
      <c r="FRO371" s="132"/>
      <c r="FRP371" s="132"/>
      <c r="FRQ371" s="132"/>
      <c r="FRR371" s="132"/>
      <c r="FRS371" s="132"/>
      <c r="FRT371" s="132"/>
      <c r="FRU371" s="132"/>
      <c r="FRV371" s="132"/>
      <c r="FRW371" s="132"/>
      <c r="FRX371" s="132"/>
      <c r="FRY371" s="132"/>
      <c r="FRZ371" s="132"/>
      <c r="FSA371" s="132"/>
      <c r="FSB371" s="132"/>
      <c r="FSC371" s="132"/>
      <c r="FSD371" s="132"/>
      <c r="FSE371" s="132"/>
      <c r="FSF371" s="132"/>
      <c r="FSG371" s="132"/>
      <c r="FSH371" s="132"/>
      <c r="FSI371" s="132"/>
      <c r="FSJ371" s="132"/>
      <c r="FSK371" s="132"/>
      <c r="FSL371" s="132"/>
      <c r="FSM371" s="132"/>
      <c r="FSN371" s="132"/>
      <c r="FSO371" s="132"/>
      <c r="FSP371" s="132"/>
      <c r="FSQ371" s="132"/>
      <c r="FSR371" s="132"/>
      <c r="FSS371" s="132"/>
      <c r="FST371" s="132"/>
      <c r="FSU371" s="132"/>
      <c r="FSV371" s="132"/>
      <c r="FSW371" s="132"/>
      <c r="FSX371" s="132"/>
      <c r="FSY371" s="132"/>
      <c r="FSZ371" s="132"/>
      <c r="FTA371" s="132"/>
      <c r="FTB371" s="132"/>
      <c r="FTC371" s="132"/>
      <c r="FTD371" s="132"/>
      <c r="FTE371" s="132"/>
      <c r="FTF371" s="132"/>
      <c r="FTG371" s="132"/>
      <c r="FTH371" s="132"/>
      <c r="FTI371" s="132"/>
      <c r="FTJ371" s="132"/>
      <c r="FTK371" s="132"/>
      <c r="FTL371" s="132"/>
      <c r="FTM371" s="132"/>
      <c r="FTN371" s="132"/>
      <c r="FTO371" s="132"/>
      <c r="FTP371" s="132"/>
      <c r="FTQ371" s="132"/>
      <c r="FTR371" s="132"/>
      <c r="FTS371" s="132"/>
      <c r="FTT371" s="132"/>
      <c r="FTU371" s="132"/>
      <c r="FTV371" s="132"/>
      <c r="FTW371" s="132"/>
      <c r="FTX371" s="132"/>
      <c r="FTY371" s="132"/>
      <c r="FTZ371" s="132"/>
      <c r="FUA371" s="132"/>
      <c r="FUB371" s="132"/>
      <c r="FUC371" s="132"/>
      <c r="FUD371" s="132"/>
      <c r="FUE371" s="132"/>
      <c r="FUF371" s="132"/>
      <c r="FUG371" s="132"/>
      <c r="FUH371" s="132"/>
      <c r="FUI371" s="132"/>
      <c r="FUJ371" s="132"/>
      <c r="FUK371" s="132"/>
      <c r="FUL371" s="132"/>
      <c r="FUM371" s="132"/>
      <c r="FUN371" s="132"/>
      <c r="FUO371" s="132"/>
      <c r="FUP371" s="132"/>
      <c r="FUQ371" s="132"/>
      <c r="FUR371" s="132"/>
      <c r="FUS371" s="132"/>
      <c r="FUT371" s="132"/>
      <c r="FUU371" s="132"/>
      <c r="FUV371" s="132"/>
      <c r="FUW371" s="132"/>
      <c r="FUX371" s="132"/>
      <c r="FUY371" s="132"/>
      <c r="FUZ371" s="132"/>
      <c r="FVA371" s="132"/>
      <c r="FVB371" s="132"/>
      <c r="FVC371" s="132"/>
      <c r="FVD371" s="132"/>
      <c r="FVE371" s="132"/>
      <c r="FVF371" s="132"/>
      <c r="FVG371" s="132"/>
      <c r="FVH371" s="132"/>
      <c r="FVI371" s="132"/>
      <c r="FVJ371" s="132"/>
      <c r="FVK371" s="132"/>
      <c r="FVL371" s="132"/>
      <c r="FVM371" s="132"/>
      <c r="FVN371" s="132"/>
      <c r="FVO371" s="132"/>
      <c r="FVP371" s="132"/>
      <c r="FVQ371" s="132"/>
      <c r="FVR371" s="132"/>
      <c r="FVS371" s="132"/>
      <c r="FVT371" s="132"/>
      <c r="FVU371" s="132"/>
      <c r="FVV371" s="132"/>
      <c r="FVW371" s="132"/>
      <c r="FVX371" s="132"/>
      <c r="FVY371" s="132"/>
      <c r="FVZ371" s="132"/>
      <c r="FWA371" s="132"/>
      <c r="FWB371" s="132"/>
      <c r="FWC371" s="132"/>
      <c r="FWD371" s="132"/>
      <c r="FWE371" s="132"/>
      <c r="FWF371" s="132"/>
      <c r="FWG371" s="132"/>
      <c r="FWH371" s="132"/>
      <c r="FWI371" s="132"/>
      <c r="FWJ371" s="132"/>
      <c r="FWK371" s="132"/>
      <c r="FWL371" s="132"/>
      <c r="FWM371" s="132"/>
      <c r="FWN371" s="132"/>
      <c r="FWO371" s="132"/>
      <c r="FWP371" s="132"/>
      <c r="FWQ371" s="132"/>
      <c r="FWR371" s="132"/>
      <c r="FWS371" s="132"/>
      <c r="FWT371" s="132"/>
      <c r="FWU371" s="132"/>
      <c r="FWV371" s="132"/>
      <c r="FWW371" s="132"/>
      <c r="FWX371" s="132"/>
      <c r="FWY371" s="132"/>
      <c r="FWZ371" s="132"/>
      <c r="FXA371" s="132"/>
      <c r="FXB371" s="132"/>
      <c r="FXC371" s="132"/>
      <c r="FXD371" s="132"/>
      <c r="FXE371" s="132"/>
      <c r="FXF371" s="132"/>
      <c r="FXG371" s="132"/>
      <c r="FXH371" s="132"/>
      <c r="FXI371" s="132"/>
      <c r="FXJ371" s="132"/>
      <c r="FXK371" s="132"/>
      <c r="FXL371" s="132"/>
      <c r="FXM371" s="132"/>
      <c r="FXN371" s="132"/>
      <c r="FXO371" s="132"/>
      <c r="FXP371" s="132"/>
      <c r="FXQ371" s="132"/>
      <c r="FXR371" s="132"/>
      <c r="FXS371" s="132"/>
      <c r="FXT371" s="132"/>
      <c r="FXU371" s="132"/>
      <c r="FXV371" s="132"/>
      <c r="FXW371" s="132"/>
      <c r="FXX371" s="132"/>
      <c r="FXY371" s="132"/>
      <c r="FXZ371" s="132"/>
      <c r="FYA371" s="132"/>
      <c r="FYB371" s="132"/>
      <c r="FYC371" s="132"/>
      <c r="FYD371" s="132"/>
      <c r="FYE371" s="132"/>
      <c r="FYF371" s="132"/>
      <c r="FYG371" s="132"/>
      <c r="FYH371" s="132"/>
      <c r="FYI371" s="132"/>
      <c r="FYJ371" s="132"/>
      <c r="FYK371" s="132"/>
      <c r="FYL371" s="132"/>
      <c r="FYM371" s="132"/>
      <c r="FYN371" s="132"/>
      <c r="FYO371" s="132"/>
      <c r="FYP371" s="132"/>
      <c r="FYQ371" s="132"/>
      <c r="FYR371" s="132"/>
      <c r="FYS371" s="132"/>
      <c r="FYT371" s="132"/>
      <c r="FYU371" s="132"/>
      <c r="FYV371" s="132"/>
      <c r="FYW371" s="132"/>
      <c r="FYX371" s="132"/>
      <c r="FYY371" s="132"/>
      <c r="FYZ371" s="132"/>
      <c r="FZA371" s="132"/>
      <c r="FZB371" s="132"/>
      <c r="FZC371" s="132"/>
      <c r="FZD371" s="132"/>
      <c r="FZE371" s="132"/>
      <c r="FZF371" s="132"/>
      <c r="FZG371" s="132"/>
      <c r="FZH371" s="132"/>
      <c r="FZI371" s="132"/>
      <c r="FZJ371" s="132"/>
      <c r="FZK371" s="132"/>
      <c r="FZL371" s="132"/>
      <c r="FZM371" s="132"/>
      <c r="FZN371" s="132"/>
      <c r="FZO371" s="132"/>
      <c r="FZP371" s="132"/>
      <c r="FZQ371" s="132"/>
      <c r="FZR371" s="132"/>
      <c r="FZS371" s="132"/>
      <c r="FZT371" s="132"/>
      <c r="FZU371" s="132"/>
      <c r="FZV371" s="132"/>
      <c r="FZW371" s="132"/>
      <c r="FZX371" s="132"/>
      <c r="FZY371" s="132"/>
      <c r="FZZ371" s="132"/>
      <c r="GAA371" s="132"/>
      <c r="GAB371" s="132"/>
      <c r="GAC371" s="132"/>
      <c r="GAD371" s="132"/>
      <c r="GAE371" s="132"/>
      <c r="GAF371" s="132"/>
      <c r="GAG371" s="132"/>
      <c r="GAH371" s="132"/>
      <c r="GAI371" s="132"/>
      <c r="GAJ371" s="132"/>
      <c r="GAK371" s="132"/>
      <c r="GAL371" s="132"/>
      <c r="GAM371" s="132"/>
      <c r="GAN371" s="132"/>
      <c r="GAO371" s="132"/>
      <c r="GAP371" s="132"/>
      <c r="GAQ371" s="132"/>
      <c r="GAR371" s="132"/>
      <c r="GAS371" s="132"/>
      <c r="GAT371" s="132"/>
      <c r="GAU371" s="132"/>
      <c r="GAV371" s="132"/>
      <c r="GAW371" s="132"/>
      <c r="GAX371" s="132"/>
      <c r="GAY371" s="132"/>
      <c r="GAZ371" s="132"/>
      <c r="GBA371" s="132"/>
      <c r="GBB371" s="132"/>
      <c r="GBC371" s="132"/>
      <c r="GBD371" s="132"/>
      <c r="GBE371" s="132"/>
      <c r="GBF371" s="132"/>
      <c r="GBG371" s="132"/>
      <c r="GBH371" s="132"/>
      <c r="GBI371" s="132"/>
      <c r="GBJ371" s="132"/>
      <c r="GBK371" s="132"/>
      <c r="GBL371" s="132"/>
      <c r="GBM371" s="132"/>
      <c r="GBN371" s="132"/>
      <c r="GBO371" s="132"/>
      <c r="GBP371" s="132"/>
      <c r="GBQ371" s="132"/>
      <c r="GBR371" s="132"/>
      <c r="GBS371" s="132"/>
      <c r="GBT371" s="132"/>
      <c r="GBU371" s="132"/>
      <c r="GBV371" s="132"/>
      <c r="GBW371" s="132"/>
      <c r="GBX371" s="132"/>
      <c r="GBY371" s="132"/>
      <c r="GBZ371" s="132"/>
      <c r="GCA371" s="132"/>
      <c r="GCB371" s="132"/>
      <c r="GCC371" s="132"/>
      <c r="GCD371" s="132"/>
      <c r="GCE371" s="132"/>
      <c r="GCF371" s="132"/>
      <c r="GCG371" s="132"/>
      <c r="GCH371" s="132"/>
      <c r="GCI371" s="132"/>
      <c r="GCJ371" s="132"/>
      <c r="GCK371" s="132"/>
      <c r="GCL371" s="132"/>
      <c r="GCM371" s="132"/>
      <c r="GCN371" s="132"/>
      <c r="GCO371" s="132"/>
      <c r="GCP371" s="132"/>
      <c r="GCQ371" s="132"/>
      <c r="GCR371" s="132"/>
      <c r="GCS371" s="132"/>
      <c r="GCT371" s="132"/>
      <c r="GCU371" s="132"/>
      <c r="GCV371" s="132"/>
      <c r="GCW371" s="132"/>
      <c r="GCX371" s="132"/>
      <c r="GCY371" s="132"/>
      <c r="GCZ371" s="132"/>
      <c r="GDA371" s="132"/>
      <c r="GDB371" s="132"/>
      <c r="GDC371" s="132"/>
      <c r="GDD371" s="132"/>
      <c r="GDE371" s="132"/>
      <c r="GDF371" s="132"/>
      <c r="GDG371" s="132"/>
      <c r="GDH371" s="132"/>
      <c r="GDI371" s="132"/>
      <c r="GDJ371" s="132"/>
      <c r="GDK371" s="132"/>
      <c r="GDL371" s="132"/>
      <c r="GDM371" s="132"/>
      <c r="GDN371" s="132"/>
      <c r="GDO371" s="132"/>
      <c r="GDP371" s="132"/>
      <c r="GDQ371" s="132"/>
      <c r="GDR371" s="132"/>
      <c r="GDS371" s="132"/>
      <c r="GDT371" s="132"/>
      <c r="GDU371" s="132"/>
      <c r="GDV371" s="132"/>
      <c r="GDW371" s="132"/>
      <c r="GDX371" s="132"/>
      <c r="GDY371" s="132"/>
      <c r="GDZ371" s="132"/>
      <c r="GEA371" s="132"/>
      <c r="GEB371" s="132"/>
      <c r="GEC371" s="132"/>
      <c r="GED371" s="132"/>
      <c r="GEE371" s="132"/>
      <c r="GEF371" s="132"/>
      <c r="GEG371" s="132"/>
      <c r="GEH371" s="132"/>
      <c r="GEI371" s="132"/>
      <c r="GEJ371" s="132"/>
      <c r="GEK371" s="132"/>
      <c r="GEL371" s="132"/>
      <c r="GEM371" s="132"/>
      <c r="GEN371" s="132"/>
      <c r="GEO371" s="132"/>
      <c r="GEP371" s="132"/>
      <c r="GEQ371" s="132"/>
      <c r="GER371" s="132"/>
      <c r="GES371" s="132"/>
      <c r="GET371" s="132"/>
      <c r="GEU371" s="132"/>
      <c r="GEV371" s="132"/>
      <c r="GEW371" s="132"/>
      <c r="GEX371" s="132"/>
      <c r="GEY371" s="132"/>
      <c r="GEZ371" s="132"/>
      <c r="GFA371" s="132"/>
      <c r="GFB371" s="132"/>
      <c r="GFC371" s="132"/>
      <c r="GFD371" s="132"/>
      <c r="GFE371" s="132"/>
      <c r="GFF371" s="132"/>
      <c r="GFG371" s="132"/>
      <c r="GFH371" s="132"/>
      <c r="GFI371" s="132"/>
      <c r="GFJ371" s="132"/>
      <c r="GFK371" s="132"/>
      <c r="GFL371" s="132"/>
      <c r="GFM371" s="132"/>
      <c r="GFN371" s="132"/>
      <c r="GFO371" s="132"/>
      <c r="GFP371" s="132"/>
      <c r="GFQ371" s="132"/>
      <c r="GFR371" s="132"/>
      <c r="GFS371" s="132"/>
      <c r="GFT371" s="132"/>
      <c r="GFU371" s="132"/>
      <c r="GFV371" s="132"/>
      <c r="GFW371" s="132"/>
      <c r="GFX371" s="132"/>
      <c r="GFY371" s="132"/>
      <c r="GFZ371" s="132"/>
      <c r="GGA371" s="132"/>
      <c r="GGB371" s="132"/>
      <c r="GGC371" s="132"/>
      <c r="GGD371" s="132"/>
      <c r="GGE371" s="132"/>
      <c r="GGF371" s="132"/>
      <c r="GGG371" s="132"/>
      <c r="GGH371" s="132"/>
      <c r="GGI371" s="132"/>
      <c r="GGJ371" s="132"/>
      <c r="GGK371" s="132"/>
      <c r="GGL371" s="132"/>
      <c r="GGM371" s="132"/>
      <c r="GGN371" s="132"/>
      <c r="GGO371" s="132"/>
      <c r="GGP371" s="132"/>
      <c r="GGQ371" s="132"/>
      <c r="GGR371" s="132"/>
      <c r="GGS371" s="132"/>
      <c r="GGT371" s="132"/>
      <c r="GGU371" s="132"/>
      <c r="GGV371" s="132"/>
      <c r="GGW371" s="132"/>
      <c r="GGX371" s="132"/>
      <c r="GGY371" s="132"/>
      <c r="GGZ371" s="132"/>
      <c r="GHA371" s="132"/>
      <c r="GHB371" s="132"/>
      <c r="GHC371" s="132"/>
      <c r="GHD371" s="132"/>
      <c r="GHE371" s="132"/>
      <c r="GHF371" s="132"/>
      <c r="GHG371" s="132"/>
      <c r="GHH371" s="132"/>
      <c r="GHI371" s="132"/>
      <c r="GHJ371" s="132"/>
      <c r="GHK371" s="132"/>
      <c r="GHL371" s="132"/>
      <c r="GHM371" s="132"/>
      <c r="GHN371" s="132"/>
      <c r="GHO371" s="132"/>
      <c r="GHP371" s="132"/>
      <c r="GHQ371" s="132"/>
      <c r="GHR371" s="132"/>
      <c r="GHS371" s="132"/>
      <c r="GHT371" s="132"/>
      <c r="GHU371" s="132"/>
      <c r="GHV371" s="132"/>
      <c r="GHW371" s="132"/>
      <c r="GHX371" s="132"/>
      <c r="GHY371" s="132"/>
      <c r="GHZ371" s="132"/>
      <c r="GIA371" s="132"/>
      <c r="GIB371" s="132"/>
      <c r="GIC371" s="132"/>
      <c r="GID371" s="132"/>
      <c r="GIE371" s="132"/>
      <c r="GIF371" s="132"/>
      <c r="GIG371" s="132"/>
      <c r="GIH371" s="132"/>
      <c r="GII371" s="132"/>
      <c r="GIJ371" s="132"/>
      <c r="GIK371" s="132"/>
      <c r="GIL371" s="132"/>
      <c r="GIM371" s="132"/>
      <c r="GIN371" s="132"/>
      <c r="GIO371" s="132"/>
      <c r="GIP371" s="132"/>
      <c r="GIQ371" s="132"/>
      <c r="GIR371" s="132"/>
      <c r="GIS371" s="132"/>
      <c r="GIT371" s="132"/>
      <c r="GIU371" s="132"/>
      <c r="GIV371" s="132"/>
      <c r="GIW371" s="132"/>
      <c r="GIX371" s="132"/>
      <c r="GIY371" s="132"/>
      <c r="GIZ371" s="132"/>
      <c r="GJA371" s="132"/>
      <c r="GJB371" s="132"/>
      <c r="GJC371" s="132"/>
      <c r="GJD371" s="132"/>
      <c r="GJE371" s="132"/>
      <c r="GJF371" s="132"/>
      <c r="GJG371" s="132"/>
      <c r="GJH371" s="132"/>
      <c r="GJI371" s="132"/>
      <c r="GJJ371" s="132"/>
      <c r="GJK371" s="132"/>
      <c r="GJL371" s="132"/>
      <c r="GJM371" s="132"/>
      <c r="GJN371" s="132"/>
      <c r="GJO371" s="132"/>
      <c r="GJP371" s="132"/>
      <c r="GJQ371" s="132"/>
      <c r="GJR371" s="132"/>
      <c r="GJS371" s="132"/>
      <c r="GJT371" s="132"/>
      <c r="GJU371" s="132"/>
      <c r="GJV371" s="132"/>
      <c r="GJW371" s="132"/>
      <c r="GJX371" s="132"/>
      <c r="GJY371" s="132"/>
      <c r="GJZ371" s="132"/>
      <c r="GKA371" s="132"/>
      <c r="GKB371" s="132"/>
      <c r="GKC371" s="132"/>
      <c r="GKD371" s="132"/>
      <c r="GKE371" s="132"/>
      <c r="GKF371" s="132"/>
      <c r="GKG371" s="132"/>
      <c r="GKH371" s="132"/>
      <c r="GKI371" s="132"/>
      <c r="GKJ371" s="132"/>
      <c r="GKK371" s="132"/>
      <c r="GKL371" s="132"/>
      <c r="GKM371" s="132"/>
      <c r="GKN371" s="132"/>
      <c r="GKO371" s="132"/>
      <c r="GKP371" s="132"/>
      <c r="GKQ371" s="132"/>
      <c r="GKR371" s="132"/>
      <c r="GKS371" s="132"/>
      <c r="GKT371" s="132"/>
      <c r="GKU371" s="132"/>
      <c r="GKV371" s="132"/>
      <c r="GKW371" s="132"/>
      <c r="GKX371" s="132"/>
      <c r="GKY371" s="132"/>
      <c r="GKZ371" s="132"/>
      <c r="GLA371" s="132"/>
      <c r="GLB371" s="132"/>
      <c r="GLC371" s="132"/>
      <c r="GLD371" s="132"/>
      <c r="GLE371" s="132"/>
      <c r="GLF371" s="132"/>
      <c r="GLG371" s="132"/>
      <c r="GLH371" s="132"/>
      <c r="GLI371" s="132"/>
      <c r="GLJ371" s="132"/>
      <c r="GLK371" s="132"/>
      <c r="GLL371" s="132"/>
      <c r="GLM371" s="132"/>
      <c r="GLN371" s="132"/>
      <c r="GLO371" s="132"/>
      <c r="GLP371" s="132"/>
      <c r="GLQ371" s="132"/>
      <c r="GLR371" s="132"/>
      <c r="GLS371" s="132"/>
      <c r="GLT371" s="132"/>
      <c r="GLU371" s="132"/>
      <c r="GLV371" s="132"/>
      <c r="GLW371" s="132"/>
      <c r="GLX371" s="132"/>
      <c r="GLY371" s="132"/>
      <c r="GLZ371" s="132"/>
      <c r="GMA371" s="132"/>
      <c r="GMB371" s="132"/>
      <c r="GMC371" s="132"/>
      <c r="GMD371" s="132"/>
      <c r="GME371" s="132"/>
      <c r="GMF371" s="132"/>
      <c r="GMG371" s="132"/>
      <c r="GMH371" s="132"/>
      <c r="GMI371" s="132"/>
      <c r="GMJ371" s="132"/>
      <c r="GMK371" s="132"/>
      <c r="GML371" s="132"/>
      <c r="GMM371" s="132"/>
      <c r="GMN371" s="132"/>
      <c r="GMO371" s="132"/>
      <c r="GMP371" s="132"/>
      <c r="GMQ371" s="132"/>
      <c r="GMR371" s="132"/>
      <c r="GMS371" s="132"/>
      <c r="GMT371" s="132"/>
      <c r="GMU371" s="132"/>
      <c r="GMV371" s="132"/>
      <c r="GMW371" s="132"/>
      <c r="GMX371" s="132"/>
      <c r="GMY371" s="132"/>
      <c r="GMZ371" s="132"/>
      <c r="GNA371" s="132"/>
      <c r="GNB371" s="132"/>
      <c r="GNC371" s="132"/>
      <c r="GND371" s="132"/>
      <c r="GNE371" s="132"/>
      <c r="GNF371" s="132"/>
      <c r="GNG371" s="132"/>
      <c r="GNH371" s="132"/>
      <c r="GNI371" s="132"/>
      <c r="GNJ371" s="132"/>
      <c r="GNK371" s="132"/>
      <c r="GNL371" s="132"/>
      <c r="GNM371" s="132"/>
      <c r="GNN371" s="132"/>
      <c r="GNO371" s="132"/>
      <c r="GNP371" s="132"/>
      <c r="GNQ371" s="132"/>
      <c r="GNR371" s="132"/>
      <c r="GNS371" s="132"/>
      <c r="GNT371" s="132"/>
      <c r="GNU371" s="132"/>
      <c r="GNV371" s="132"/>
      <c r="GNW371" s="132"/>
      <c r="GNX371" s="132"/>
      <c r="GNY371" s="132"/>
      <c r="GNZ371" s="132"/>
      <c r="GOA371" s="132"/>
      <c r="GOB371" s="132"/>
      <c r="GOC371" s="132"/>
      <c r="GOD371" s="132"/>
      <c r="GOE371" s="132"/>
      <c r="GOF371" s="132"/>
      <c r="GOG371" s="132"/>
      <c r="GOH371" s="132"/>
      <c r="GOI371" s="132"/>
      <c r="GOJ371" s="132"/>
      <c r="GOK371" s="132"/>
      <c r="GOL371" s="132"/>
      <c r="GOM371" s="132"/>
      <c r="GON371" s="132"/>
      <c r="GOO371" s="132"/>
      <c r="GOP371" s="132"/>
      <c r="GOQ371" s="132"/>
      <c r="GOR371" s="132"/>
      <c r="GOS371" s="132"/>
      <c r="GOT371" s="132"/>
      <c r="GOU371" s="132"/>
      <c r="GOV371" s="132"/>
      <c r="GOW371" s="132"/>
      <c r="GOX371" s="132"/>
      <c r="GOY371" s="132"/>
      <c r="GOZ371" s="132"/>
      <c r="GPA371" s="132"/>
      <c r="GPB371" s="132"/>
      <c r="GPC371" s="132"/>
      <c r="GPD371" s="132"/>
      <c r="GPE371" s="132"/>
      <c r="GPF371" s="132"/>
      <c r="GPG371" s="132"/>
      <c r="GPH371" s="132"/>
      <c r="GPI371" s="132"/>
      <c r="GPJ371" s="132"/>
      <c r="GPK371" s="132"/>
      <c r="GPL371" s="132"/>
      <c r="GPM371" s="132"/>
      <c r="GPN371" s="132"/>
      <c r="GPO371" s="132"/>
      <c r="GPP371" s="132"/>
      <c r="GPQ371" s="132"/>
      <c r="GPR371" s="132"/>
      <c r="GPS371" s="132"/>
      <c r="GPT371" s="132"/>
      <c r="GPU371" s="132"/>
      <c r="GPV371" s="132"/>
      <c r="GPW371" s="132"/>
      <c r="GPX371" s="132"/>
      <c r="GPY371" s="132"/>
      <c r="GPZ371" s="132"/>
      <c r="GQA371" s="132"/>
      <c r="GQB371" s="132"/>
      <c r="GQC371" s="132"/>
      <c r="GQD371" s="132"/>
      <c r="GQE371" s="132"/>
      <c r="GQF371" s="132"/>
      <c r="GQG371" s="132"/>
      <c r="GQH371" s="132"/>
      <c r="GQI371" s="132"/>
      <c r="GQJ371" s="132"/>
      <c r="GQK371" s="132"/>
      <c r="GQL371" s="132"/>
      <c r="GQM371" s="132"/>
      <c r="GQN371" s="132"/>
      <c r="GQO371" s="132"/>
      <c r="GQP371" s="132"/>
      <c r="GQQ371" s="132"/>
      <c r="GQR371" s="132"/>
      <c r="GQS371" s="132"/>
      <c r="GQT371" s="132"/>
      <c r="GQU371" s="132"/>
      <c r="GQV371" s="132"/>
      <c r="GQW371" s="132"/>
      <c r="GQX371" s="132"/>
      <c r="GQY371" s="132"/>
      <c r="GQZ371" s="132"/>
      <c r="GRA371" s="132"/>
      <c r="GRB371" s="132"/>
      <c r="GRC371" s="132"/>
      <c r="GRD371" s="132"/>
      <c r="GRE371" s="132"/>
      <c r="GRF371" s="132"/>
      <c r="GRG371" s="132"/>
      <c r="GRH371" s="132"/>
      <c r="GRI371" s="132"/>
      <c r="GRJ371" s="132"/>
      <c r="GRK371" s="132"/>
      <c r="GRL371" s="132"/>
      <c r="GRM371" s="132"/>
      <c r="GRN371" s="132"/>
      <c r="GRO371" s="132"/>
      <c r="GRP371" s="132"/>
      <c r="GRQ371" s="132"/>
      <c r="GRR371" s="132"/>
      <c r="GRS371" s="132"/>
      <c r="GRT371" s="132"/>
      <c r="GRU371" s="132"/>
      <c r="GRV371" s="132"/>
      <c r="GRW371" s="132"/>
      <c r="GRX371" s="132"/>
      <c r="GRY371" s="132"/>
      <c r="GRZ371" s="132"/>
      <c r="GSA371" s="132"/>
      <c r="GSB371" s="132"/>
      <c r="GSC371" s="132"/>
      <c r="GSD371" s="132"/>
      <c r="GSE371" s="132"/>
      <c r="GSF371" s="132"/>
      <c r="GSG371" s="132"/>
      <c r="GSH371" s="132"/>
      <c r="GSI371" s="132"/>
      <c r="GSJ371" s="132"/>
      <c r="GSK371" s="132"/>
      <c r="GSL371" s="132"/>
      <c r="GSM371" s="132"/>
      <c r="GSN371" s="132"/>
      <c r="GSO371" s="132"/>
      <c r="GSP371" s="132"/>
      <c r="GSQ371" s="132"/>
      <c r="GSR371" s="132"/>
      <c r="GSS371" s="132"/>
      <c r="GST371" s="132"/>
      <c r="GSU371" s="132"/>
      <c r="GSV371" s="132"/>
      <c r="GSW371" s="132"/>
      <c r="GSX371" s="132"/>
      <c r="GSY371" s="132"/>
      <c r="GSZ371" s="132"/>
      <c r="GTA371" s="132"/>
      <c r="GTB371" s="132"/>
      <c r="GTC371" s="132"/>
      <c r="GTD371" s="132"/>
      <c r="GTE371" s="132"/>
      <c r="GTF371" s="132"/>
      <c r="GTG371" s="132"/>
      <c r="GTH371" s="132"/>
      <c r="GTI371" s="132"/>
      <c r="GTJ371" s="132"/>
      <c r="GTK371" s="132"/>
      <c r="GTL371" s="132"/>
      <c r="GTM371" s="132"/>
      <c r="GTN371" s="132"/>
      <c r="GTO371" s="132"/>
      <c r="GTP371" s="132"/>
      <c r="GTQ371" s="132"/>
      <c r="GTR371" s="132"/>
      <c r="GTS371" s="132"/>
      <c r="GTT371" s="132"/>
      <c r="GTU371" s="132"/>
      <c r="GTV371" s="132"/>
      <c r="GTW371" s="132"/>
      <c r="GTX371" s="132"/>
      <c r="GTY371" s="132"/>
      <c r="GTZ371" s="132"/>
      <c r="GUA371" s="132"/>
      <c r="GUB371" s="132"/>
      <c r="GUC371" s="132"/>
      <c r="GUD371" s="132"/>
      <c r="GUE371" s="132"/>
      <c r="GUF371" s="132"/>
      <c r="GUG371" s="132"/>
      <c r="GUH371" s="132"/>
      <c r="GUI371" s="132"/>
      <c r="GUJ371" s="132"/>
      <c r="GUK371" s="132"/>
      <c r="GUL371" s="132"/>
      <c r="GUM371" s="132"/>
      <c r="GUN371" s="132"/>
      <c r="GUO371" s="132"/>
      <c r="GUP371" s="132"/>
      <c r="GUQ371" s="132"/>
      <c r="GUR371" s="132"/>
      <c r="GUS371" s="132"/>
      <c r="GUT371" s="132"/>
      <c r="GUU371" s="132"/>
      <c r="GUV371" s="132"/>
      <c r="GUW371" s="132"/>
      <c r="GUX371" s="132"/>
      <c r="GUY371" s="132"/>
      <c r="GUZ371" s="132"/>
      <c r="GVA371" s="132"/>
      <c r="GVB371" s="132"/>
      <c r="GVC371" s="132"/>
      <c r="GVD371" s="132"/>
      <c r="GVE371" s="132"/>
      <c r="GVF371" s="132"/>
      <c r="GVG371" s="132"/>
      <c r="GVH371" s="132"/>
      <c r="GVI371" s="132"/>
      <c r="GVJ371" s="132"/>
      <c r="GVK371" s="132"/>
      <c r="GVL371" s="132"/>
      <c r="GVM371" s="132"/>
      <c r="GVN371" s="132"/>
      <c r="GVO371" s="132"/>
      <c r="GVP371" s="132"/>
      <c r="GVQ371" s="132"/>
      <c r="GVR371" s="132"/>
      <c r="GVS371" s="132"/>
      <c r="GVT371" s="132"/>
      <c r="GVU371" s="132"/>
      <c r="GVV371" s="132"/>
      <c r="GVW371" s="132"/>
      <c r="GVX371" s="132"/>
      <c r="GVY371" s="132"/>
      <c r="GVZ371" s="132"/>
      <c r="GWA371" s="132"/>
      <c r="GWB371" s="132"/>
      <c r="GWC371" s="132"/>
      <c r="GWD371" s="132"/>
      <c r="GWE371" s="132"/>
      <c r="GWF371" s="132"/>
      <c r="GWG371" s="132"/>
      <c r="GWH371" s="132"/>
      <c r="GWI371" s="132"/>
      <c r="GWJ371" s="132"/>
      <c r="GWK371" s="132"/>
      <c r="GWL371" s="132"/>
      <c r="GWM371" s="132"/>
      <c r="GWN371" s="132"/>
      <c r="GWO371" s="132"/>
      <c r="GWP371" s="132"/>
      <c r="GWQ371" s="132"/>
      <c r="GWR371" s="132"/>
      <c r="GWS371" s="132"/>
      <c r="GWT371" s="132"/>
      <c r="GWU371" s="132"/>
      <c r="GWV371" s="132"/>
      <c r="GWW371" s="132"/>
      <c r="GWX371" s="132"/>
      <c r="GWY371" s="132"/>
      <c r="GWZ371" s="132"/>
      <c r="GXA371" s="132"/>
      <c r="GXB371" s="132"/>
      <c r="GXC371" s="132"/>
      <c r="GXD371" s="132"/>
      <c r="GXE371" s="132"/>
      <c r="GXF371" s="132"/>
      <c r="GXG371" s="132"/>
      <c r="GXH371" s="132"/>
      <c r="GXI371" s="132"/>
      <c r="GXJ371" s="132"/>
      <c r="GXK371" s="132"/>
      <c r="GXL371" s="132"/>
      <c r="GXM371" s="132"/>
      <c r="GXN371" s="132"/>
      <c r="GXO371" s="132"/>
      <c r="GXP371" s="132"/>
      <c r="GXQ371" s="132"/>
      <c r="GXR371" s="132"/>
      <c r="GXS371" s="132"/>
      <c r="GXT371" s="132"/>
      <c r="GXU371" s="132"/>
      <c r="GXV371" s="132"/>
      <c r="GXW371" s="132"/>
      <c r="GXX371" s="132"/>
      <c r="GXY371" s="132"/>
      <c r="GXZ371" s="132"/>
      <c r="GYA371" s="132"/>
      <c r="GYB371" s="132"/>
      <c r="GYC371" s="132"/>
      <c r="GYD371" s="132"/>
      <c r="GYE371" s="132"/>
      <c r="GYF371" s="132"/>
      <c r="GYG371" s="132"/>
      <c r="GYH371" s="132"/>
      <c r="GYI371" s="132"/>
      <c r="GYJ371" s="132"/>
      <c r="GYK371" s="132"/>
      <c r="GYL371" s="132"/>
      <c r="GYM371" s="132"/>
      <c r="GYN371" s="132"/>
      <c r="GYO371" s="132"/>
      <c r="GYP371" s="132"/>
      <c r="GYQ371" s="132"/>
      <c r="GYR371" s="132"/>
      <c r="GYS371" s="132"/>
      <c r="GYT371" s="132"/>
      <c r="GYU371" s="132"/>
      <c r="GYV371" s="132"/>
      <c r="GYW371" s="132"/>
      <c r="GYX371" s="132"/>
      <c r="GYY371" s="132"/>
      <c r="GYZ371" s="132"/>
      <c r="GZA371" s="132"/>
      <c r="GZB371" s="132"/>
      <c r="GZC371" s="132"/>
      <c r="GZD371" s="132"/>
      <c r="GZE371" s="132"/>
      <c r="GZF371" s="132"/>
      <c r="GZG371" s="132"/>
      <c r="GZH371" s="132"/>
      <c r="GZI371" s="132"/>
      <c r="GZJ371" s="132"/>
      <c r="GZK371" s="132"/>
      <c r="GZL371" s="132"/>
      <c r="GZM371" s="132"/>
      <c r="GZN371" s="132"/>
      <c r="GZO371" s="132"/>
      <c r="GZP371" s="132"/>
      <c r="GZQ371" s="132"/>
      <c r="GZR371" s="132"/>
      <c r="GZS371" s="132"/>
      <c r="GZT371" s="132"/>
      <c r="GZU371" s="132"/>
      <c r="GZV371" s="132"/>
      <c r="GZW371" s="132"/>
      <c r="GZX371" s="132"/>
      <c r="GZY371" s="132"/>
      <c r="GZZ371" s="132"/>
      <c r="HAA371" s="132"/>
      <c r="HAB371" s="132"/>
      <c r="HAC371" s="132"/>
      <c r="HAD371" s="132"/>
      <c r="HAE371" s="132"/>
      <c r="HAF371" s="132"/>
      <c r="HAG371" s="132"/>
      <c r="HAH371" s="132"/>
      <c r="HAI371" s="132"/>
      <c r="HAJ371" s="132"/>
      <c r="HAK371" s="132"/>
      <c r="HAL371" s="132"/>
      <c r="HAM371" s="132"/>
      <c r="HAN371" s="132"/>
      <c r="HAO371" s="132"/>
      <c r="HAP371" s="132"/>
      <c r="HAQ371" s="132"/>
      <c r="HAR371" s="132"/>
      <c r="HAS371" s="132"/>
      <c r="HAT371" s="132"/>
      <c r="HAU371" s="132"/>
      <c r="HAV371" s="132"/>
      <c r="HAW371" s="132"/>
      <c r="HAX371" s="132"/>
      <c r="HAY371" s="132"/>
      <c r="HAZ371" s="132"/>
      <c r="HBA371" s="132"/>
      <c r="HBB371" s="132"/>
      <c r="HBC371" s="132"/>
      <c r="HBD371" s="132"/>
      <c r="HBE371" s="132"/>
      <c r="HBF371" s="132"/>
      <c r="HBG371" s="132"/>
      <c r="HBH371" s="132"/>
      <c r="HBI371" s="132"/>
      <c r="HBJ371" s="132"/>
      <c r="HBK371" s="132"/>
      <c r="HBL371" s="132"/>
      <c r="HBM371" s="132"/>
      <c r="HBN371" s="132"/>
      <c r="HBO371" s="132"/>
      <c r="HBP371" s="132"/>
      <c r="HBQ371" s="132"/>
      <c r="HBR371" s="132"/>
      <c r="HBS371" s="132"/>
      <c r="HBT371" s="132"/>
      <c r="HBU371" s="132"/>
      <c r="HBV371" s="132"/>
      <c r="HBW371" s="132"/>
      <c r="HBX371" s="132"/>
      <c r="HBY371" s="132"/>
      <c r="HBZ371" s="132"/>
      <c r="HCA371" s="132"/>
      <c r="HCB371" s="132"/>
      <c r="HCC371" s="132"/>
      <c r="HCD371" s="132"/>
      <c r="HCE371" s="132"/>
      <c r="HCF371" s="132"/>
      <c r="HCG371" s="132"/>
      <c r="HCH371" s="132"/>
      <c r="HCI371" s="132"/>
      <c r="HCJ371" s="132"/>
      <c r="HCK371" s="132"/>
      <c r="HCL371" s="132"/>
      <c r="HCM371" s="132"/>
      <c r="HCN371" s="132"/>
      <c r="HCO371" s="132"/>
      <c r="HCP371" s="132"/>
      <c r="HCQ371" s="132"/>
      <c r="HCR371" s="132"/>
      <c r="HCS371" s="132"/>
      <c r="HCT371" s="132"/>
      <c r="HCU371" s="132"/>
      <c r="HCV371" s="132"/>
      <c r="HCW371" s="132"/>
      <c r="HCX371" s="132"/>
      <c r="HCY371" s="132"/>
      <c r="HCZ371" s="132"/>
      <c r="HDA371" s="132"/>
      <c r="HDB371" s="132"/>
      <c r="HDC371" s="132"/>
      <c r="HDD371" s="132"/>
      <c r="HDE371" s="132"/>
      <c r="HDF371" s="132"/>
      <c r="HDG371" s="132"/>
      <c r="HDH371" s="132"/>
      <c r="HDI371" s="132"/>
      <c r="HDJ371" s="132"/>
      <c r="HDK371" s="132"/>
      <c r="HDL371" s="132"/>
      <c r="HDM371" s="132"/>
      <c r="HDN371" s="132"/>
      <c r="HDO371" s="132"/>
      <c r="HDP371" s="132"/>
      <c r="HDQ371" s="132"/>
      <c r="HDR371" s="132"/>
      <c r="HDS371" s="132"/>
      <c r="HDT371" s="132"/>
      <c r="HDU371" s="132"/>
      <c r="HDV371" s="132"/>
      <c r="HDW371" s="132"/>
      <c r="HDX371" s="132"/>
      <c r="HDY371" s="132"/>
      <c r="HDZ371" s="132"/>
      <c r="HEA371" s="132"/>
      <c r="HEB371" s="132"/>
      <c r="HEC371" s="132"/>
      <c r="HED371" s="132"/>
      <c r="HEE371" s="132"/>
      <c r="HEF371" s="132"/>
      <c r="HEG371" s="132"/>
      <c r="HEH371" s="132"/>
      <c r="HEI371" s="132"/>
      <c r="HEJ371" s="132"/>
      <c r="HEK371" s="132"/>
      <c r="HEL371" s="132"/>
      <c r="HEM371" s="132"/>
      <c r="HEN371" s="132"/>
      <c r="HEO371" s="132"/>
      <c r="HEP371" s="132"/>
      <c r="HEQ371" s="132"/>
      <c r="HER371" s="132"/>
      <c r="HES371" s="132"/>
      <c r="HET371" s="132"/>
      <c r="HEU371" s="132"/>
      <c r="HEV371" s="132"/>
      <c r="HEW371" s="132"/>
      <c r="HEX371" s="132"/>
      <c r="HEY371" s="132"/>
      <c r="HEZ371" s="132"/>
      <c r="HFA371" s="132"/>
      <c r="HFB371" s="132"/>
      <c r="HFC371" s="132"/>
      <c r="HFD371" s="132"/>
      <c r="HFE371" s="132"/>
      <c r="HFF371" s="132"/>
      <c r="HFG371" s="132"/>
      <c r="HFH371" s="132"/>
      <c r="HFI371" s="132"/>
      <c r="HFJ371" s="132"/>
      <c r="HFK371" s="132"/>
      <c r="HFL371" s="132"/>
      <c r="HFM371" s="132"/>
      <c r="HFN371" s="132"/>
      <c r="HFO371" s="132"/>
      <c r="HFP371" s="132"/>
      <c r="HFQ371" s="132"/>
      <c r="HFR371" s="132"/>
      <c r="HFS371" s="132"/>
      <c r="HFT371" s="132"/>
      <c r="HFU371" s="132"/>
      <c r="HFV371" s="132"/>
      <c r="HFW371" s="132"/>
      <c r="HFX371" s="132"/>
      <c r="HFY371" s="132"/>
      <c r="HFZ371" s="132"/>
      <c r="HGA371" s="132"/>
      <c r="HGB371" s="132"/>
      <c r="HGC371" s="132"/>
      <c r="HGD371" s="132"/>
      <c r="HGE371" s="132"/>
      <c r="HGF371" s="132"/>
      <c r="HGG371" s="132"/>
      <c r="HGH371" s="132"/>
      <c r="HGI371" s="132"/>
      <c r="HGJ371" s="132"/>
      <c r="HGK371" s="132"/>
      <c r="HGL371" s="132"/>
      <c r="HGM371" s="132"/>
      <c r="HGN371" s="132"/>
      <c r="HGO371" s="132"/>
      <c r="HGP371" s="132"/>
      <c r="HGQ371" s="132"/>
      <c r="HGR371" s="132"/>
      <c r="HGS371" s="132"/>
      <c r="HGT371" s="132"/>
      <c r="HGU371" s="132"/>
      <c r="HGV371" s="132"/>
      <c r="HGW371" s="132"/>
      <c r="HGX371" s="132"/>
      <c r="HGY371" s="132"/>
      <c r="HGZ371" s="132"/>
      <c r="HHA371" s="132"/>
      <c r="HHB371" s="132"/>
      <c r="HHC371" s="132"/>
      <c r="HHD371" s="132"/>
      <c r="HHE371" s="132"/>
      <c r="HHF371" s="132"/>
      <c r="HHG371" s="132"/>
      <c r="HHH371" s="132"/>
      <c r="HHI371" s="132"/>
      <c r="HHJ371" s="132"/>
      <c r="HHK371" s="132"/>
      <c r="HHL371" s="132"/>
      <c r="HHM371" s="132"/>
      <c r="HHN371" s="132"/>
      <c r="HHO371" s="132"/>
      <c r="HHP371" s="132"/>
      <c r="HHQ371" s="132"/>
      <c r="HHR371" s="132"/>
      <c r="HHS371" s="132"/>
      <c r="HHT371" s="132"/>
      <c r="HHU371" s="132"/>
      <c r="HHV371" s="132"/>
      <c r="HHW371" s="132"/>
      <c r="HHX371" s="132"/>
      <c r="HHY371" s="132"/>
      <c r="HHZ371" s="132"/>
      <c r="HIA371" s="132"/>
      <c r="HIB371" s="132"/>
      <c r="HIC371" s="132"/>
      <c r="HID371" s="132"/>
      <c r="HIE371" s="132"/>
      <c r="HIF371" s="132"/>
      <c r="HIG371" s="132"/>
      <c r="HIH371" s="132"/>
      <c r="HII371" s="132"/>
      <c r="HIJ371" s="132"/>
      <c r="HIK371" s="132"/>
      <c r="HIL371" s="132"/>
      <c r="HIM371" s="132"/>
      <c r="HIN371" s="132"/>
      <c r="HIO371" s="132"/>
      <c r="HIP371" s="132"/>
      <c r="HIQ371" s="132"/>
      <c r="HIR371" s="132"/>
      <c r="HIS371" s="132"/>
      <c r="HIT371" s="132"/>
      <c r="HIU371" s="132"/>
      <c r="HIV371" s="132"/>
      <c r="HIW371" s="132"/>
      <c r="HIX371" s="132"/>
      <c r="HIY371" s="132"/>
      <c r="HIZ371" s="132"/>
      <c r="HJA371" s="132"/>
      <c r="HJB371" s="132"/>
      <c r="HJC371" s="132"/>
      <c r="HJD371" s="132"/>
      <c r="HJE371" s="132"/>
      <c r="HJF371" s="132"/>
      <c r="HJG371" s="132"/>
      <c r="HJH371" s="132"/>
      <c r="HJI371" s="132"/>
      <c r="HJJ371" s="132"/>
      <c r="HJK371" s="132"/>
      <c r="HJL371" s="132"/>
      <c r="HJM371" s="132"/>
      <c r="HJN371" s="132"/>
      <c r="HJO371" s="132"/>
      <c r="HJP371" s="132"/>
      <c r="HJQ371" s="132"/>
      <c r="HJR371" s="132"/>
      <c r="HJS371" s="132"/>
      <c r="HJT371" s="132"/>
      <c r="HJU371" s="132"/>
      <c r="HJV371" s="132"/>
      <c r="HJW371" s="132"/>
      <c r="HJX371" s="132"/>
      <c r="HJY371" s="132"/>
      <c r="HJZ371" s="132"/>
      <c r="HKA371" s="132"/>
      <c r="HKB371" s="132"/>
      <c r="HKC371" s="132"/>
      <c r="HKD371" s="132"/>
      <c r="HKE371" s="132"/>
      <c r="HKF371" s="132"/>
      <c r="HKG371" s="132"/>
      <c r="HKH371" s="132"/>
      <c r="HKI371" s="132"/>
      <c r="HKJ371" s="132"/>
      <c r="HKK371" s="132"/>
      <c r="HKL371" s="132"/>
      <c r="HKM371" s="132"/>
      <c r="HKN371" s="132"/>
      <c r="HKO371" s="132"/>
      <c r="HKP371" s="132"/>
      <c r="HKQ371" s="132"/>
      <c r="HKR371" s="132"/>
      <c r="HKS371" s="132"/>
      <c r="HKT371" s="132"/>
      <c r="HKU371" s="132"/>
      <c r="HKV371" s="132"/>
      <c r="HKW371" s="132"/>
      <c r="HKX371" s="132"/>
      <c r="HKY371" s="132"/>
      <c r="HKZ371" s="132"/>
      <c r="HLA371" s="132"/>
      <c r="HLB371" s="132"/>
      <c r="HLC371" s="132"/>
      <c r="HLD371" s="132"/>
      <c r="HLE371" s="132"/>
      <c r="HLF371" s="132"/>
      <c r="HLG371" s="132"/>
      <c r="HLH371" s="132"/>
      <c r="HLI371" s="132"/>
      <c r="HLJ371" s="132"/>
      <c r="HLK371" s="132"/>
      <c r="HLL371" s="132"/>
      <c r="HLM371" s="132"/>
      <c r="HLN371" s="132"/>
      <c r="HLO371" s="132"/>
      <c r="HLP371" s="132"/>
      <c r="HLQ371" s="132"/>
      <c r="HLR371" s="132"/>
      <c r="HLS371" s="132"/>
      <c r="HLT371" s="132"/>
      <c r="HLU371" s="132"/>
      <c r="HLV371" s="132"/>
      <c r="HLW371" s="132"/>
      <c r="HLX371" s="132"/>
      <c r="HLY371" s="132"/>
      <c r="HLZ371" s="132"/>
      <c r="HMA371" s="132"/>
      <c r="HMB371" s="132"/>
      <c r="HMC371" s="132"/>
      <c r="HMD371" s="132"/>
      <c r="HME371" s="132"/>
      <c r="HMF371" s="132"/>
      <c r="HMG371" s="132"/>
      <c r="HMH371" s="132"/>
      <c r="HMI371" s="132"/>
      <c r="HMJ371" s="132"/>
      <c r="HMK371" s="132"/>
      <c r="HML371" s="132"/>
      <c r="HMM371" s="132"/>
      <c r="HMN371" s="132"/>
      <c r="HMO371" s="132"/>
      <c r="HMP371" s="132"/>
      <c r="HMQ371" s="132"/>
      <c r="HMR371" s="132"/>
      <c r="HMS371" s="132"/>
      <c r="HMT371" s="132"/>
      <c r="HMU371" s="132"/>
      <c r="HMV371" s="132"/>
      <c r="HMW371" s="132"/>
      <c r="HMX371" s="132"/>
      <c r="HMY371" s="132"/>
      <c r="HMZ371" s="132"/>
      <c r="HNA371" s="132"/>
      <c r="HNB371" s="132"/>
      <c r="HNC371" s="132"/>
      <c r="HND371" s="132"/>
      <c r="HNE371" s="132"/>
      <c r="HNF371" s="132"/>
      <c r="HNG371" s="132"/>
      <c r="HNH371" s="132"/>
      <c r="HNI371" s="132"/>
      <c r="HNJ371" s="132"/>
      <c r="HNK371" s="132"/>
      <c r="HNL371" s="132"/>
      <c r="HNM371" s="132"/>
      <c r="HNN371" s="132"/>
      <c r="HNO371" s="132"/>
      <c r="HNP371" s="132"/>
      <c r="HNQ371" s="132"/>
      <c r="HNR371" s="132"/>
      <c r="HNS371" s="132"/>
      <c r="HNT371" s="132"/>
      <c r="HNU371" s="132"/>
      <c r="HNV371" s="132"/>
      <c r="HNW371" s="132"/>
      <c r="HNX371" s="132"/>
      <c r="HNY371" s="132"/>
      <c r="HNZ371" s="132"/>
      <c r="HOA371" s="132"/>
      <c r="HOB371" s="132"/>
      <c r="HOC371" s="132"/>
      <c r="HOD371" s="132"/>
      <c r="HOE371" s="132"/>
      <c r="HOF371" s="132"/>
      <c r="HOG371" s="132"/>
      <c r="HOH371" s="132"/>
      <c r="HOI371" s="132"/>
      <c r="HOJ371" s="132"/>
      <c r="HOK371" s="132"/>
      <c r="HOL371" s="132"/>
      <c r="HOM371" s="132"/>
      <c r="HON371" s="132"/>
      <c r="HOO371" s="132"/>
      <c r="HOP371" s="132"/>
      <c r="HOQ371" s="132"/>
      <c r="HOR371" s="132"/>
      <c r="HOS371" s="132"/>
      <c r="HOT371" s="132"/>
      <c r="HOU371" s="132"/>
      <c r="HOV371" s="132"/>
      <c r="HOW371" s="132"/>
      <c r="HOX371" s="132"/>
      <c r="HOY371" s="132"/>
      <c r="HOZ371" s="132"/>
      <c r="HPA371" s="132"/>
      <c r="HPB371" s="132"/>
      <c r="HPC371" s="132"/>
      <c r="HPD371" s="132"/>
      <c r="HPE371" s="132"/>
      <c r="HPF371" s="132"/>
      <c r="HPG371" s="132"/>
      <c r="HPH371" s="132"/>
      <c r="HPI371" s="132"/>
      <c r="HPJ371" s="132"/>
      <c r="HPK371" s="132"/>
      <c r="HPL371" s="132"/>
      <c r="HPM371" s="132"/>
      <c r="HPN371" s="132"/>
      <c r="HPO371" s="132"/>
      <c r="HPP371" s="132"/>
      <c r="HPQ371" s="132"/>
      <c r="HPR371" s="132"/>
      <c r="HPS371" s="132"/>
      <c r="HPT371" s="132"/>
      <c r="HPU371" s="132"/>
      <c r="HPV371" s="132"/>
      <c r="HPW371" s="132"/>
      <c r="HPX371" s="132"/>
      <c r="HPY371" s="132"/>
      <c r="HPZ371" s="132"/>
      <c r="HQA371" s="132"/>
      <c r="HQB371" s="132"/>
      <c r="HQC371" s="132"/>
      <c r="HQD371" s="132"/>
      <c r="HQE371" s="132"/>
      <c r="HQF371" s="132"/>
      <c r="HQG371" s="132"/>
      <c r="HQH371" s="132"/>
      <c r="HQI371" s="132"/>
      <c r="HQJ371" s="132"/>
      <c r="HQK371" s="132"/>
      <c r="HQL371" s="132"/>
      <c r="HQM371" s="132"/>
      <c r="HQN371" s="132"/>
      <c r="HQO371" s="132"/>
      <c r="HQP371" s="132"/>
      <c r="HQQ371" s="132"/>
      <c r="HQR371" s="132"/>
      <c r="HQS371" s="132"/>
      <c r="HQT371" s="132"/>
      <c r="HQU371" s="132"/>
      <c r="HQV371" s="132"/>
      <c r="HQW371" s="132"/>
      <c r="HQX371" s="132"/>
      <c r="HQY371" s="132"/>
      <c r="HQZ371" s="132"/>
      <c r="HRA371" s="132"/>
      <c r="HRB371" s="132"/>
      <c r="HRC371" s="132"/>
      <c r="HRD371" s="132"/>
      <c r="HRE371" s="132"/>
      <c r="HRF371" s="132"/>
      <c r="HRG371" s="132"/>
      <c r="HRH371" s="132"/>
      <c r="HRI371" s="132"/>
      <c r="HRJ371" s="132"/>
      <c r="HRK371" s="132"/>
      <c r="HRL371" s="132"/>
      <c r="HRM371" s="132"/>
      <c r="HRN371" s="132"/>
      <c r="HRO371" s="132"/>
      <c r="HRP371" s="132"/>
      <c r="HRQ371" s="132"/>
      <c r="HRR371" s="132"/>
      <c r="HRS371" s="132"/>
      <c r="HRT371" s="132"/>
      <c r="HRU371" s="132"/>
      <c r="HRV371" s="132"/>
      <c r="HRW371" s="132"/>
      <c r="HRX371" s="132"/>
      <c r="HRY371" s="132"/>
      <c r="HRZ371" s="132"/>
      <c r="HSA371" s="132"/>
      <c r="HSB371" s="132"/>
      <c r="HSC371" s="132"/>
      <c r="HSD371" s="132"/>
      <c r="HSE371" s="132"/>
      <c r="HSF371" s="132"/>
      <c r="HSG371" s="132"/>
      <c r="HSH371" s="132"/>
      <c r="HSI371" s="132"/>
      <c r="HSJ371" s="132"/>
      <c r="HSK371" s="132"/>
      <c r="HSL371" s="132"/>
      <c r="HSM371" s="132"/>
      <c r="HSN371" s="132"/>
      <c r="HSO371" s="132"/>
      <c r="HSP371" s="132"/>
      <c r="HSQ371" s="132"/>
      <c r="HSR371" s="132"/>
      <c r="HSS371" s="132"/>
      <c r="HST371" s="132"/>
      <c r="HSU371" s="132"/>
      <c r="HSV371" s="132"/>
      <c r="HSW371" s="132"/>
      <c r="HSX371" s="132"/>
      <c r="HSY371" s="132"/>
      <c r="HSZ371" s="132"/>
      <c r="HTA371" s="132"/>
      <c r="HTB371" s="132"/>
      <c r="HTC371" s="132"/>
      <c r="HTD371" s="132"/>
      <c r="HTE371" s="132"/>
      <c r="HTF371" s="132"/>
      <c r="HTG371" s="132"/>
      <c r="HTH371" s="132"/>
      <c r="HTI371" s="132"/>
      <c r="HTJ371" s="132"/>
      <c r="HTK371" s="132"/>
      <c r="HTL371" s="132"/>
      <c r="HTM371" s="132"/>
      <c r="HTN371" s="132"/>
      <c r="HTO371" s="132"/>
      <c r="HTP371" s="132"/>
      <c r="HTQ371" s="132"/>
      <c r="HTR371" s="132"/>
      <c r="HTS371" s="132"/>
      <c r="HTT371" s="132"/>
      <c r="HTU371" s="132"/>
      <c r="HTV371" s="132"/>
      <c r="HTW371" s="132"/>
      <c r="HTX371" s="132"/>
      <c r="HTY371" s="132"/>
      <c r="HTZ371" s="132"/>
      <c r="HUA371" s="132"/>
      <c r="HUB371" s="132"/>
      <c r="HUC371" s="132"/>
      <c r="HUD371" s="132"/>
      <c r="HUE371" s="132"/>
      <c r="HUF371" s="132"/>
      <c r="HUG371" s="132"/>
      <c r="HUH371" s="132"/>
      <c r="HUI371" s="132"/>
      <c r="HUJ371" s="132"/>
      <c r="HUK371" s="132"/>
      <c r="HUL371" s="132"/>
      <c r="HUM371" s="132"/>
      <c r="HUN371" s="132"/>
      <c r="HUO371" s="132"/>
      <c r="HUP371" s="132"/>
      <c r="HUQ371" s="132"/>
      <c r="HUR371" s="132"/>
      <c r="HUS371" s="132"/>
      <c r="HUT371" s="132"/>
      <c r="HUU371" s="132"/>
      <c r="HUV371" s="132"/>
      <c r="HUW371" s="132"/>
      <c r="HUX371" s="132"/>
      <c r="HUY371" s="132"/>
      <c r="HUZ371" s="132"/>
      <c r="HVA371" s="132"/>
      <c r="HVB371" s="132"/>
      <c r="HVC371" s="132"/>
      <c r="HVD371" s="132"/>
      <c r="HVE371" s="132"/>
      <c r="HVF371" s="132"/>
      <c r="HVG371" s="132"/>
      <c r="HVH371" s="132"/>
      <c r="HVI371" s="132"/>
      <c r="HVJ371" s="132"/>
      <c r="HVK371" s="132"/>
      <c r="HVL371" s="132"/>
      <c r="HVM371" s="132"/>
      <c r="HVN371" s="132"/>
      <c r="HVO371" s="132"/>
      <c r="HVP371" s="132"/>
      <c r="HVQ371" s="132"/>
      <c r="HVR371" s="132"/>
      <c r="HVS371" s="132"/>
      <c r="HVT371" s="132"/>
      <c r="HVU371" s="132"/>
      <c r="HVV371" s="132"/>
      <c r="HVW371" s="132"/>
      <c r="HVX371" s="132"/>
      <c r="HVY371" s="132"/>
      <c r="HVZ371" s="132"/>
      <c r="HWA371" s="132"/>
      <c r="HWB371" s="132"/>
      <c r="HWC371" s="132"/>
      <c r="HWD371" s="132"/>
      <c r="HWE371" s="132"/>
      <c r="HWF371" s="132"/>
      <c r="HWG371" s="132"/>
      <c r="HWH371" s="132"/>
      <c r="HWI371" s="132"/>
      <c r="HWJ371" s="132"/>
      <c r="HWK371" s="132"/>
      <c r="HWL371" s="132"/>
      <c r="HWM371" s="132"/>
      <c r="HWN371" s="132"/>
      <c r="HWO371" s="132"/>
      <c r="HWP371" s="132"/>
      <c r="HWQ371" s="132"/>
      <c r="HWR371" s="132"/>
      <c r="HWS371" s="132"/>
      <c r="HWT371" s="132"/>
      <c r="HWU371" s="132"/>
      <c r="HWV371" s="132"/>
      <c r="HWW371" s="132"/>
      <c r="HWX371" s="132"/>
      <c r="HWY371" s="132"/>
      <c r="HWZ371" s="132"/>
      <c r="HXA371" s="132"/>
      <c r="HXB371" s="132"/>
      <c r="HXC371" s="132"/>
      <c r="HXD371" s="132"/>
      <c r="HXE371" s="132"/>
      <c r="HXF371" s="132"/>
      <c r="HXG371" s="132"/>
      <c r="HXH371" s="132"/>
      <c r="HXI371" s="132"/>
      <c r="HXJ371" s="132"/>
      <c r="HXK371" s="132"/>
      <c r="HXL371" s="132"/>
      <c r="HXM371" s="132"/>
      <c r="HXN371" s="132"/>
      <c r="HXO371" s="132"/>
      <c r="HXP371" s="132"/>
      <c r="HXQ371" s="132"/>
      <c r="HXR371" s="132"/>
      <c r="HXS371" s="132"/>
      <c r="HXT371" s="132"/>
      <c r="HXU371" s="132"/>
      <c r="HXV371" s="132"/>
      <c r="HXW371" s="132"/>
      <c r="HXX371" s="132"/>
      <c r="HXY371" s="132"/>
      <c r="HXZ371" s="132"/>
      <c r="HYA371" s="132"/>
      <c r="HYB371" s="132"/>
      <c r="HYC371" s="132"/>
      <c r="HYD371" s="132"/>
      <c r="HYE371" s="132"/>
      <c r="HYF371" s="132"/>
      <c r="HYG371" s="132"/>
      <c r="HYH371" s="132"/>
      <c r="HYI371" s="132"/>
      <c r="HYJ371" s="132"/>
      <c r="HYK371" s="132"/>
      <c r="HYL371" s="132"/>
      <c r="HYM371" s="132"/>
      <c r="HYN371" s="132"/>
      <c r="HYO371" s="132"/>
      <c r="HYP371" s="132"/>
      <c r="HYQ371" s="132"/>
      <c r="HYR371" s="132"/>
      <c r="HYS371" s="132"/>
      <c r="HYT371" s="132"/>
      <c r="HYU371" s="132"/>
      <c r="HYV371" s="132"/>
      <c r="HYW371" s="132"/>
      <c r="HYX371" s="132"/>
      <c r="HYY371" s="132"/>
      <c r="HYZ371" s="132"/>
      <c r="HZA371" s="132"/>
      <c r="HZB371" s="132"/>
      <c r="HZC371" s="132"/>
      <c r="HZD371" s="132"/>
      <c r="HZE371" s="132"/>
      <c r="HZF371" s="132"/>
      <c r="HZG371" s="132"/>
      <c r="HZH371" s="132"/>
      <c r="HZI371" s="132"/>
      <c r="HZJ371" s="132"/>
      <c r="HZK371" s="132"/>
      <c r="HZL371" s="132"/>
      <c r="HZM371" s="132"/>
      <c r="HZN371" s="132"/>
      <c r="HZO371" s="132"/>
      <c r="HZP371" s="132"/>
      <c r="HZQ371" s="132"/>
      <c r="HZR371" s="132"/>
      <c r="HZS371" s="132"/>
      <c r="HZT371" s="132"/>
      <c r="HZU371" s="132"/>
      <c r="HZV371" s="132"/>
      <c r="HZW371" s="132"/>
      <c r="HZX371" s="132"/>
      <c r="HZY371" s="132"/>
      <c r="HZZ371" s="132"/>
      <c r="IAA371" s="132"/>
      <c r="IAB371" s="132"/>
      <c r="IAC371" s="132"/>
      <c r="IAD371" s="132"/>
      <c r="IAE371" s="132"/>
      <c r="IAF371" s="132"/>
      <c r="IAG371" s="132"/>
      <c r="IAH371" s="132"/>
      <c r="IAI371" s="132"/>
      <c r="IAJ371" s="132"/>
      <c r="IAK371" s="132"/>
      <c r="IAL371" s="132"/>
      <c r="IAM371" s="132"/>
      <c r="IAN371" s="132"/>
      <c r="IAO371" s="132"/>
      <c r="IAP371" s="132"/>
      <c r="IAQ371" s="132"/>
      <c r="IAR371" s="132"/>
      <c r="IAS371" s="132"/>
      <c r="IAT371" s="132"/>
      <c r="IAU371" s="132"/>
      <c r="IAV371" s="132"/>
      <c r="IAW371" s="132"/>
      <c r="IAX371" s="132"/>
      <c r="IAY371" s="132"/>
      <c r="IAZ371" s="132"/>
      <c r="IBA371" s="132"/>
      <c r="IBB371" s="132"/>
      <c r="IBC371" s="132"/>
      <c r="IBD371" s="132"/>
      <c r="IBE371" s="132"/>
      <c r="IBF371" s="132"/>
      <c r="IBG371" s="132"/>
      <c r="IBH371" s="132"/>
      <c r="IBI371" s="132"/>
      <c r="IBJ371" s="132"/>
      <c r="IBK371" s="132"/>
      <c r="IBL371" s="132"/>
      <c r="IBM371" s="132"/>
      <c r="IBN371" s="132"/>
      <c r="IBO371" s="132"/>
      <c r="IBP371" s="132"/>
      <c r="IBQ371" s="132"/>
      <c r="IBR371" s="132"/>
      <c r="IBS371" s="132"/>
      <c r="IBT371" s="132"/>
      <c r="IBU371" s="132"/>
      <c r="IBV371" s="132"/>
      <c r="IBW371" s="132"/>
      <c r="IBX371" s="132"/>
      <c r="IBY371" s="132"/>
      <c r="IBZ371" s="132"/>
      <c r="ICA371" s="132"/>
      <c r="ICB371" s="132"/>
      <c r="ICC371" s="132"/>
      <c r="ICD371" s="132"/>
      <c r="ICE371" s="132"/>
      <c r="ICF371" s="132"/>
      <c r="ICG371" s="132"/>
      <c r="ICH371" s="132"/>
      <c r="ICI371" s="132"/>
      <c r="ICJ371" s="132"/>
      <c r="ICK371" s="132"/>
      <c r="ICL371" s="132"/>
      <c r="ICM371" s="132"/>
      <c r="ICN371" s="132"/>
      <c r="ICO371" s="132"/>
      <c r="ICP371" s="132"/>
      <c r="ICQ371" s="132"/>
      <c r="ICR371" s="132"/>
      <c r="ICS371" s="132"/>
      <c r="ICT371" s="132"/>
      <c r="ICU371" s="132"/>
      <c r="ICV371" s="132"/>
      <c r="ICW371" s="132"/>
      <c r="ICX371" s="132"/>
      <c r="ICY371" s="132"/>
      <c r="ICZ371" s="132"/>
      <c r="IDA371" s="132"/>
      <c r="IDB371" s="132"/>
      <c r="IDC371" s="132"/>
      <c r="IDD371" s="132"/>
      <c r="IDE371" s="132"/>
      <c r="IDF371" s="132"/>
      <c r="IDG371" s="132"/>
      <c r="IDH371" s="132"/>
      <c r="IDI371" s="132"/>
      <c r="IDJ371" s="132"/>
      <c r="IDK371" s="132"/>
      <c r="IDL371" s="132"/>
      <c r="IDM371" s="132"/>
      <c r="IDN371" s="132"/>
      <c r="IDO371" s="132"/>
      <c r="IDP371" s="132"/>
      <c r="IDQ371" s="132"/>
      <c r="IDR371" s="132"/>
      <c r="IDS371" s="132"/>
      <c r="IDT371" s="132"/>
      <c r="IDU371" s="132"/>
      <c r="IDV371" s="132"/>
      <c r="IDW371" s="132"/>
      <c r="IDX371" s="132"/>
      <c r="IDY371" s="132"/>
      <c r="IDZ371" s="132"/>
      <c r="IEA371" s="132"/>
      <c r="IEB371" s="132"/>
      <c r="IEC371" s="132"/>
      <c r="IED371" s="132"/>
      <c r="IEE371" s="132"/>
      <c r="IEF371" s="132"/>
      <c r="IEG371" s="132"/>
      <c r="IEH371" s="132"/>
      <c r="IEI371" s="132"/>
      <c r="IEJ371" s="132"/>
      <c r="IEK371" s="132"/>
      <c r="IEL371" s="132"/>
      <c r="IEM371" s="132"/>
      <c r="IEN371" s="132"/>
      <c r="IEO371" s="132"/>
      <c r="IEP371" s="132"/>
      <c r="IEQ371" s="132"/>
      <c r="IER371" s="132"/>
      <c r="IES371" s="132"/>
      <c r="IET371" s="132"/>
      <c r="IEU371" s="132"/>
      <c r="IEV371" s="132"/>
      <c r="IEW371" s="132"/>
      <c r="IEX371" s="132"/>
      <c r="IEY371" s="132"/>
      <c r="IEZ371" s="132"/>
      <c r="IFA371" s="132"/>
      <c r="IFB371" s="132"/>
      <c r="IFC371" s="132"/>
      <c r="IFD371" s="132"/>
      <c r="IFE371" s="132"/>
      <c r="IFF371" s="132"/>
      <c r="IFG371" s="132"/>
      <c r="IFH371" s="132"/>
      <c r="IFI371" s="132"/>
      <c r="IFJ371" s="132"/>
      <c r="IFK371" s="132"/>
      <c r="IFL371" s="132"/>
      <c r="IFM371" s="132"/>
      <c r="IFN371" s="132"/>
      <c r="IFO371" s="132"/>
      <c r="IFP371" s="132"/>
      <c r="IFQ371" s="132"/>
      <c r="IFR371" s="132"/>
      <c r="IFS371" s="132"/>
      <c r="IFT371" s="132"/>
      <c r="IFU371" s="132"/>
      <c r="IFV371" s="132"/>
      <c r="IFW371" s="132"/>
      <c r="IFX371" s="132"/>
      <c r="IFY371" s="132"/>
      <c r="IFZ371" s="132"/>
      <c r="IGA371" s="132"/>
      <c r="IGB371" s="132"/>
      <c r="IGC371" s="132"/>
      <c r="IGD371" s="132"/>
      <c r="IGE371" s="132"/>
      <c r="IGF371" s="132"/>
      <c r="IGG371" s="132"/>
      <c r="IGH371" s="132"/>
      <c r="IGI371" s="132"/>
      <c r="IGJ371" s="132"/>
      <c r="IGK371" s="132"/>
      <c r="IGL371" s="132"/>
      <c r="IGM371" s="132"/>
      <c r="IGN371" s="132"/>
      <c r="IGO371" s="132"/>
      <c r="IGP371" s="132"/>
      <c r="IGQ371" s="132"/>
      <c r="IGR371" s="132"/>
      <c r="IGS371" s="132"/>
      <c r="IGT371" s="132"/>
      <c r="IGU371" s="132"/>
      <c r="IGV371" s="132"/>
      <c r="IGW371" s="132"/>
      <c r="IGX371" s="132"/>
      <c r="IGY371" s="132"/>
      <c r="IGZ371" s="132"/>
      <c r="IHA371" s="132"/>
      <c r="IHB371" s="132"/>
      <c r="IHC371" s="132"/>
      <c r="IHD371" s="132"/>
      <c r="IHE371" s="132"/>
      <c r="IHF371" s="132"/>
      <c r="IHG371" s="132"/>
      <c r="IHH371" s="132"/>
      <c r="IHI371" s="132"/>
      <c r="IHJ371" s="132"/>
      <c r="IHK371" s="132"/>
      <c r="IHL371" s="132"/>
      <c r="IHM371" s="132"/>
      <c r="IHN371" s="132"/>
      <c r="IHO371" s="132"/>
      <c r="IHP371" s="132"/>
      <c r="IHQ371" s="132"/>
      <c r="IHR371" s="132"/>
      <c r="IHS371" s="132"/>
      <c r="IHT371" s="132"/>
      <c r="IHU371" s="132"/>
      <c r="IHV371" s="132"/>
      <c r="IHW371" s="132"/>
      <c r="IHX371" s="132"/>
      <c r="IHY371" s="132"/>
      <c r="IHZ371" s="132"/>
      <c r="IIA371" s="132"/>
      <c r="IIB371" s="132"/>
      <c r="IIC371" s="132"/>
      <c r="IID371" s="132"/>
      <c r="IIE371" s="132"/>
      <c r="IIF371" s="132"/>
      <c r="IIG371" s="132"/>
      <c r="IIH371" s="132"/>
      <c r="III371" s="132"/>
      <c r="IIJ371" s="132"/>
      <c r="IIK371" s="132"/>
      <c r="IIL371" s="132"/>
      <c r="IIM371" s="132"/>
      <c r="IIN371" s="132"/>
      <c r="IIO371" s="132"/>
      <c r="IIP371" s="132"/>
      <c r="IIQ371" s="132"/>
      <c r="IIR371" s="132"/>
      <c r="IIS371" s="132"/>
      <c r="IIT371" s="132"/>
      <c r="IIU371" s="132"/>
      <c r="IIV371" s="132"/>
      <c r="IIW371" s="132"/>
      <c r="IIX371" s="132"/>
      <c r="IIY371" s="132"/>
      <c r="IIZ371" s="132"/>
      <c r="IJA371" s="132"/>
      <c r="IJB371" s="132"/>
      <c r="IJC371" s="132"/>
      <c r="IJD371" s="132"/>
      <c r="IJE371" s="132"/>
      <c r="IJF371" s="132"/>
      <c r="IJG371" s="132"/>
      <c r="IJH371" s="132"/>
      <c r="IJI371" s="132"/>
      <c r="IJJ371" s="132"/>
      <c r="IJK371" s="132"/>
      <c r="IJL371" s="132"/>
      <c r="IJM371" s="132"/>
      <c r="IJN371" s="132"/>
      <c r="IJO371" s="132"/>
      <c r="IJP371" s="132"/>
      <c r="IJQ371" s="132"/>
      <c r="IJR371" s="132"/>
      <c r="IJS371" s="132"/>
      <c r="IJT371" s="132"/>
      <c r="IJU371" s="132"/>
      <c r="IJV371" s="132"/>
      <c r="IJW371" s="132"/>
      <c r="IJX371" s="132"/>
      <c r="IJY371" s="132"/>
      <c r="IJZ371" s="132"/>
      <c r="IKA371" s="132"/>
      <c r="IKB371" s="132"/>
      <c r="IKC371" s="132"/>
      <c r="IKD371" s="132"/>
      <c r="IKE371" s="132"/>
      <c r="IKF371" s="132"/>
      <c r="IKG371" s="132"/>
      <c r="IKH371" s="132"/>
      <c r="IKI371" s="132"/>
      <c r="IKJ371" s="132"/>
      <c r="IKK371" s="132"/>
      <c r="IKL371" s="132"/>
      <c r="IKM371" s="132"/>
      <c r="IKN371" s="132"/>
      <c r="IKO371" s="132"/>
      <c r="IKP371" s="132"/>
      <c r="IKQ371" s="132"/>
      <c r="IKR371" s="132"/>
      <c r="IKS371" s="132"/>
      <c r="IKT371" s="132"/>
      <c r="IKU371" s="132"/>
      <c r="IKV371" s="132"/>
      <c r="IKW371" s="132"/>
      <c r="IKX371" s="132"/>
      <c r="IKY371" s="132"/>
      <c r="IKZ371" s="132"/>
      <c r="ILA371" s="132"/>
      <c r="ILB371" s="132"/>
      <c r="ILC371" s="132"/>
      <c r="ILD371" s="132"/>
      <c r="ILE371" s="132"/>
      <c r="ILF371" s="132"/>
      <c r="ILG371" s="132"/>
      <c r="ILH371" s="132"/>
      <c r="ILI371" s="132"/>
      <c r="ILJ371" s="132"/>
      <c r="ILK371" s="132"/>
      <c r="ILL371" s="132"/>
      <c r="ILM371" s="132"/>
      <c r="ILN371" s="132"/>
      <c r="ILO371" s="132"/>
      <c r="ILP371" s="132"/>
      <c r="ILQ371" s="132"/>
      <c r="ILR371" s="132"/>
      <c r="ILS371" s="132"/>
      <c r="ILT371" s="132"/>
      <c r="ILU371" s="132"/>
      <c r="ILV371" s="132"/>
      <c r="ILW371" s="132"/>
      <c r="ILX371" s="132"/>
      <c r="ILY371" s="132"/>
      <c r="ILZ371" s="132"/>
      <c r="IMA371" s="132"/>
      <c r="IMB371" s="132"/>
      <c r="IMC371" s="132"/>
      <c r="IMD371" s="132"/>
      <c r="IME371" s="132"/>
      <c r="IMF371" s="132"/>
      <c r="IMG371" s="132"/>
      <c r="IMH371" s="132"/>
      <c r="IMI371" s="132"/>
      <c r="IMJ371" s="132"/>
      <c r="IMK371" s="132"/>
      <c r="IML371" s="132"/>
      <c r="IMM371" s="132"/>
      <c r="IMN371" s="132"/>
      <c r="IMO371" s="132"/>
      <c r="IMP371" s="132"/>
      <c r="IMQ371" s="132"/>
      <c r="IMR371" s="132"/>
      <c r="IMS371" s="132"/>
      <c r="IMT371" s="132"/>
      <c r="IMU371" s="132"/>
      <c r="IMV371" s="132"/>
      <c r="IMW371" s="132"/>
      <c r="IMX371" s="132"/>
      <c r="IMY371" s="132"/>
      <c r="IMZ371" s="132"/>
      <c r="INA371" s="132"/>
      <c r="INB371" s="132"/>
      <c r="INC371" s="132"/>
      <c r="IND371" s="132"/>
      <c r="INE371" s="132"/>
      <c r="INF371" s="132"/>
      <c r="ING371" s="132"/>
      <c r="INH371" s="132"/>
      <c r="INI371" s="132"/>
      <c r="INJ371" s="132"/>
      <c r="INK371" s="132"/>
      <c r="INL371" s="132"/>
      <c r="INM371" s="132"/>
      <c r="INN371" s="132"/>
      <c r="INO371" s="132"/>
      <c r="INP371" s="132"/>
      <c r="INQ371" s="132"/>
      <c r="INR371" s="132"/>
      <c r="INS371" s="132"/>
      <c r="INT371" s="132"/>
      <c r="INU371" s="132"/>
      <c r="INV371" s="132"/>
      <c r="INW371" s="132"/>
      <c r="INX371" s="132"/>
      <c r="INY371" s="132"/>
      <c r="INZ371" s="132"/>
      <c r="IOA371" s="132"/>
      <c r="IOB371" s="132"/>
      <c r="IOC371" s="132"/>
      <c r="IOD371" s="132"/>
      <c r="IOE371" s="132"/>
      <c r="IOF371" s="132"/>
      <c r="IOG371" s="132"/>
      <c r="IOH371" s="132"/>
      <c r="IOI371" s="132"/>
      <c r="IOJ371" s="132"/>
      <c r="IOK371" s="132"/>
      <c r="IOL371" s="132"/>
      <c r="IOM371" s="132"/>
      <c r="ION371" s="132"/>
      <c r="IOO371" s="132"/>
      <c r="IOP371" s="132"/>
      <c r="IOQ371" s="132"/>
      <c r="IOR371" s="132"/>
      <c r="IOS371" s="132"/>
      <c r="IOT371" s="132"/>
      <c r="IOU371" s="132"/>
      <c r="IOV371" s="132"/>
      <c r="IOW371" s="132"/>
      <c r="IOX371" s="132"/>
      <c r="IOY371" s="132"/>
      <c r="IOZ371" s="132"/>
      <c r="IPA371" s="132"/>
      <c r="IPB371" s="132"/>
      <c r="IPC371" s="132"/>
      <c r="IPD371" s="132"/>
      <c r="IPE371" s="132"/>
      <c r="IPF371" s="132"/>
      <c r="IPG371" s="132"/>
      <c r="IPH371" s="132"/>
      <c r="IPI371" s="132"/>
      <c r="IPJ371" s="132"/>
      <c r="IPK371" s="132"/>
      <c r="IPL371" s="132"/>
      <c r="IPM371" s="132"/>
      <c r="IPN371" s="132"/>
      <c r="IPO371" s="132"/>
      <c r="IPP371" s="132"/>
      <c r="IPQ371" s="132"/>
      <c r="IPR371" s="132"/>
      <c r="IPS371" s="132"/>
      <c r="IPT371" s="132"/>
      <c r="IPU371" s="132"/>
      <c r="IPV371" s="132"/>
      <c r="IPW371" s="132"/>
      <c r="IPX371" s="132"/>
      <c r="IPY371" s="132"/>
      <c r="IPZ371" s="132"/>
      <c r="IQA371" s="132"/>
      <c r="IQB371" s="132"/>
      <c r="IQC371" s="132"/>
      <c r="IQD371" s="132"/>
      <c r="IQE371" s="132"/>
      <c r="IQF371" s="132"/>
      <c r="IQG371" s="132"/>
      <c r="IQH371" s="132"/>
      <c r="IQI371" s="132"/>
      <c r="IQJ371" s="132"/>
      <c r="IQK371" s="132"/>
      <c r="IQL371" s="132"/>
      <c r="IQM371" s="132"/>
      <c r="IQN371" s="132"/>
      <c r="IQO371" s="132"/>
      <c r="IQP371" s="132"/>
      <c r="IQQ371" s="132"/>
      <c r="IQR371" s="132"/>
      <c r="IQS371" s="132"/>
      <c r="IQT371" s="132"/>
      <c r="IQU371" s="132"/>
      <c r="IQV371" s="132"/>
      <c r="IQW371" s="132"/>
      <c r="IQX371" s="132"/>
      <c r="IQY371" s="132"/>
      <c r="IQZ371" s="132"/>
      <c r="IRA371" s="132"/>
      <c r="IRB371" s="132"/>
      <c r="IRC371" s="132"/>
      <c r="IRD371" s="132"/>
      <c r="IRE371" s="132"/>
      <c r="IRF371" s="132"/>
      <c r="IRG371" s="132"/>
      <c r="IRH371" s="132"/>
      <c r="IRI371" s="132"/>
      <c r="IRJ371" s="132"/>
      <c r="IRK371" s="132"/>
      <c r="IRL371" s="132"/>
      <c r="IRM371" s="132"/>
      <c r="IRN371" s="132"/>
      <c r="IRO371" s="132"/>
      <c r="IRP371" s="132"/>
      <c r="IRQ371" s="132"/>
      <c r="IRR371" s="132"/>
      <c r="IRS371" s="132"/>
      <c r="IRT371" s="132"/>
      <c r="IRU371" s="132"/>
      <c r="IRV371" s="132"/>
      <c r="IRW371" s="132"/>
      <c r="IRX371" s="132"/>
      <c r="IRY371" s="132"/>
      <c r="IRZ371" s="132"/>
      <c r="ISA371" s="132"/>
      <c r="ISB371" s="132"/>
      <c r="ISC371" s="132"/>
      <c r="ISD371" s="132"/>
      <c r="ISE371" s="132"/>
      <c r="ISF371" s="132"/>
      <c r="ISG371" s="132"/>
      <c r="ISH371" s="132"/>
      <c r="ISI371" s="132"/>
      <c r="ISJ371" s="132"/>
      <c r="ISK371" s="132"/>
      <c r="ISL371" s="132"/>
      <c r="ISM371" s="132"/>
      <c r="ISN371" s="132"/>
      <c r="ISO371" s="132"/>
      <c r="ISP371" s="132"/>
      <c r="ISQ371" s="132"/>
      <c r="ISR371" s="132"/>
      <c r="ISS371" s="132"/>
      <c r="IST371" s="132"/>
      <c r="ISU371" s="132"/>
      <c r="ISV371" s="132"/>
      <c r="ISW371" s="132"/>
      <c r="ISX371" s="132"/>
      <c r="ISY371" s="132"/>
      <c r="ISZ371" s="132"/>
      <c r="ITA371" s="132"/>
      <c r="ITB371" s="132"/>
      <c r="ITC371" s="132"/>
      <c r="ITD371" s="132"/>
      <c r="ITE371" s="132"/>
      <c r="ITF371" s="132"/>
      <c r="ITG371" s="132"/>
      <c r="ITH371" s="132"/>
      <c r="ITI371" s="132"/>
      <c r="ITJ371" s="132"/>
      <c r="ITK371" s="132"/>
      <c r="ITL371" s="132"/>
      <c r="ITM371" s="132"/>
      <c r="ITN371" s="132"/>
      <c r="ITO371" s="132"/>
      <c r="ITP371" s="132"/>
      <c r="ITQ371" s="132"/>
      <c r="ITR371" s="132"/>
      <c r="ITS371" s="132"/>
      <c r="ITT371" s="132"/>
      <c r="ITU371" s="132"/>
      <c r="ITV371" s="132"/>
      <c r="ITW371" s="132"/>
      <c r="ITX371" s="132"/>
      <c r="ITY371" s="132"/>
      <c r="ITZ371" s="132"/>
      <c r="IUA371" s="132"/>
      <c r="IUB371" s="132"/>
      <c r="IUC371" s="132"/>
      <c r="IUD371" s="132"/>
      <c r="IUE371" s="132"/>
      <c r="IUF371" s="132"/>
      <c r="IUG371" s="132"/>
      <c r="IUH371" s="132"/>
      <c r="IUI371" s="132"/>
      <c r="IUJ371" s="132"/>
      <c r="IUK371" s="132"/>
      <c r="IUL371" s="132"/>
      <c r="IUM371" s="132"/>
      <c r="IUN371" s="132"/>
      <c r="IUO371" s="132"/>
      <c r="IUP371" s="132"/>
      <c r="IUQ371" s="132"/>
      <c r="IUR371" s="132"/>
      <c r="IUS371" s="132"/>
      <c r="IUT371" s="132"/>
      <c r="IUU371" s="132"/>
      <c r="IUV371" s="132"/>
      <c r="IUW371" s="132"/>
      <c r="IUX371" s="132"/>
      <c r="IUY371" s="132"/>
      <c r="IUZ371" s="132"/>
      <c r="IVA371" s="132"/>
      <c r="IVB371" s="132"/>
      <c r="IVC371" s="132"/>
      <c r="IVD371" s="132"/>
      <c r="IVE371" s="132"/>
      <c r="IVF371" s="132"/>
      <c r="IVG371" s="132"/>
      <c r="IVH371" s="132"/>
      <c r="IVI371" s="132"/>
      <c r="IVJ371" s="132"/>
      <c r="IVK371" s="132"/>
      <c r="IVL371" s="132"/>
      <c r="IVM371" s="132"/>
      <c r="IVN371" s="132"/>
      <c r="IVO371" s="132"/>
      <c r="IVP371" s="132"/>
      <c r="IVQ371" s="132"/>
      <c r="IVR371" s="132"/>
      <c r="IVS371" s="132"/>
      <c r="IVT371" s="132"/>
      <c r="IVU371" s="132"/>
      <c r="IVV371" s="132"/>
      <c r="IVW371" s="132"/>
      <c r="IVX371" s="132"/>
      <c r="IVY371" s="132"/>
      <c r="IVZ371" s="132"/>
      <c r="IWA371" s="132"/>
      <c r="IWB371" s="132"/>
      <c r="IWC371" s="132"/>
      <c r="IWD371" s="132"/>
      <c r="IWE371" s="132"/>
      <c r="IWF371" s="132"/>
      <c r="IWG371" s="132"/>
      <c r="IWH371" s="132"/>
      <c r="IWI371" s="132"/>
      <c r="IWJ371" s="132"/>
      <c r="IWK371" s="132"/>
      <c r="IWL371" s="132"/>
      <c r="IWM371" s="132"/>
      <c r="IWN371" s="132"/>
      <c r="IWO371" s="132"/>
      <c r="IWP371" s="132"/>
      <c r="IWQ371" s="132"/>
      <c r="IWR371" s="132"/>
      <c r="IWS371" s="132"/>
      <c r="IWT371" s="132"/>
      <c r="IWU371" s="132"/>
      <c r="IWV371" s="132"/>
      <c r="IWW371" s="132"/>
      <c r="IWX371" s="132"/>
      <c r="IWY371" s="132"/>
      <c r="IWZ371" s="132"/>
      <c r="IXA371" s="132"/>
      <c r="IXB371" s="132"/>
      <c r="IXC371" s="132"/>
      <c r="IXD371" s="132"/>
      <c r="IXE371" s="132"/>
      <c r="IXF371" s="132"/>
      <c r="IXG371" s="132"/>
      <c r="IXH371" s="132"/>
      <c r="IXI371" s="132"/>
      <c r="IXJ371" s="132"/>
      <c r="IXK371" s="132"/>
      <c r="IXL371" s="132"/>
      <c r="IXM371" s="132"/>
      <c r="IXN371" s="132"/>
      <c r="IXO371" s="132"/>
      <c r="IXP371" s="132"/>
      <c r="IXQ371" s="132"/>
      <c r="IXR371" s="132"/>
      <c r="IXS371" s="132"/>
      <c r="IXT371" s="132"/>
      <c r="IXU371" s="132"/>
      <c r="IXV371" s="132"/>
      <c r="IXW371" s="132"/>
      <c r="IXX371" s="132"/>
      <c r="IXY371" s="132"/>
      <c r="IXZ371" s="132"/>
      <c r="IYA371" s="132"/>
      <c r="IYB371" s="132"/>
      <c r="IYC371" s="132"/>
      <c r="IYD371" s="132"/>
      <c r="IYE371" s="132"/>
      <c r="IYF371" s="132"/>
      <c r="IYG371" s="132"/>
      <c r="IYH371" s="132"/>
      <c r="IYI371" s="132"/>
      <c r="IYJ371" s="132"/>
      <c r="IYK371" s="132"/>
      <c r="IYL371" s="132"/>
      <c r="IYM371" s="132"/>
      <c r="IYN371" s="132"/>
      <c r="IYO371" s="132"/>
      <c r="IYP371" s="132"/>
      <c r="IYQ371" s="132"/>
      <c r="IYR371" s="132"/>
      <c r="IYS371" s="132"/>
      <c r="IYT371" s="132"/>
      <c r="IYU371" s="132"/>
      <c r="IYV371" s="132"/>
      <c r="IYW371" s="132"/>
      <c r="IYX371" s="132"/>
      <c r="IYY371" s="132"/>
      <c r="IYZ371" s="132"/>
      <c r="IZA371" s="132"/>
      <c r="IZB371" s="132"/>
      <c r="IZC371" s="132"/>
      <c r="IZD371" s="132"/>
      <c r="IZE371" s="132"/>
      <c r="IZF371" s="132"/>
      <c r="IZG371" s="132"/>
      <c r="IZH371" s="132"/>
      <c r="IZI371" s="132"/>
      <c r="IZJ371" s="132"/>
      <c r="IZK371" s="132"/>
      <c r="IZL371" s="132"/>
      <c r="IZM371" s="132"/>
      <c r="IZN371" s="132"/>
      <c r="IZO371" s="132"/>
      <c r="IZP371" s="132"/>
      <c r="IZQ371" s="132"/>
      <c r="IZR371" s="132"/>
      <c r="IZS371" s="132"/>
      <c r="IZT371" s="132"/>
      <c r="IZU371" s="132"/>
      <c r="IZV371" s="132"/>
      <c r="IZW371" s="132"/>
      <c r="IZX371" s="132"/>
      <c r="IZY371" s="132"/>
      <c r="IZZ371" s="132"/>
      <c r="JAA371" s="132"/>
      <c r="JAB371" s="132"/>
      <c r="JAC371" s="132"/>
      <c r="JAD371" s="132"/>
      <c r="JAE371" s="132"/>
      <c r="JAF371" s="132"/>
      <c r="JAG371" s="132"/>
      <c r="JAH371" s="132"/>
      <c r="JAI371" s="132"/>
      <c r="JAJ371" s="132"/>
      <c r="JAK371" s="132"/>
      <c r="JAL371" s="132"/>
      <c r="JAM371" s="132"/>
      <c r="JAN371" s="132"/>
      <c r="JAO371" s="132"/>
      <c r="JAP371" s="132"/>
      <c r="JAQ371" s="132"/>
      <c r="JAR371" s="132"/>
      <c r="JAS371" s="132"/>
      <c r="JAT371" s="132"/>
      <c r="JAU371" s="132"/>
      <c r="JAV371" s="132"/>
      <c r="JAW371" s="132"/>
      <c r="JAX371" s="132"/>
      <c r="JAY371" s="132"/>
      <c r="JAZ371" s="132"/>
      <c r="JBA371" s="132"/>
      <c r="JBB371" s="132"/>
      <c r="JBC371" s="132"/>
      <c r="JBD371" s="132"/>
      <c r="JBE371" s="132"/>
      <c r="JBF371" s="132"/>
      <c r="JBG371" s="132"/>
      <c r="JBH371" s="132"/>
      <c r="JBI371" s="132"/>
      <c r="JBJ371" s="132"/>
      <c r="JBK371" s="132"/>
      <c r="JBL371" s="132"/>
      <c r="JBM371" s="132"/>
      <c r="JBN371" s="132"/>
      <c r="JBO371" s="132"/>
      <c r="JBP371" s="132"/>
      <c r="JBQ371" s="132"/>
      <c r="JBR371" s="132"/>
      <c r="JBS371" s="132"/>
      <c r="JBT371" s="132"/>
      <c r="JBU371" s="132"/>
      <c r="JBV371" s="132"/>
      <c r="JBW371" s="132"/>
      <c r="JBX371" s="132"/>
      <c r="JBY371" s="132"/>
      <c r="JBZ371" s="132"/>
      <c r="JCA371" s="132"/>
      <c r="JCB371" s="132"/>
      <c r="JCC371" s="132"/>
      <c r="JCD371" s="132"/>
      <c r="JCE371" s="132"/>
      <c r="JCF371" s="132"/>
      <c r="JCG371" s="132"/>
      <c r="JCH371" s="132"/>
      <c r="JCI371" s="132"/>
      <c r="JCJ371" s="132"/>
      <c r="JCK371" s="132"/>
      <c r="JCL371" s="132"/>
      <c r="JCM371" s="132"/>
      <c r="JCN371" s="132"/>
      <c r="JCO371" s="132"/>
      <c r="JCP371" s="132"/>
      <c r="JCQ371" s="132"/>
      <c r="JCR371" s="132"/>
      <c r="JCS371" s="132"/>
      <c r="JCT371" s="132"/>
      <c r="JCU371" s="132"/>
      <c r="JCV371" s="132"/>
      <c r="JCW371" s="132"/>
      <c r="JCX371" s="132"/>
      <c r="JCY371" s="132"/>
      <c r="JCZ371" s="132"/>
      <c r="JDA371" s="132"/>
      <c r="JDB371" s="132"/>
      <c r="JDC371" s="132"/>
      <c r="JDD371" s="132"/>
      <c r="JDE371" s="132"/>
      <c r="JDF371" s="132"/>
      <c r="JDG371" s="132"/>
      <c r="JDH371" s="132"/>
      <c r="JDI371" s="132"/>
      <c r="JDJ371" s="132"/>
      <c r="JDK371" s="132"/>
      <c r="JDL371" s="132"/>
      <c r="JDM371" s="132"/>
      <c r="JDN371" s="132"/>
      <c r="JDO371" s="132"/>
      <c r="JDP371" s="132"/>
      <c r="JDQ371" s="132"/>
      <c r="JDR371" s="132"/>
      <c r="JDS371" s="132"/>
      <c r="JDT371" s="132"/>
      <c r="JDU371" s="132"/>
      <c r="JDV371" s="132"/>
      <c r="JDW371" s="132"/>
      <c r="JDX371" s="132"/>
      <c r="JDY371" s="132"/>
      <c r="JDZ371" s="132"/>
      <c r="JEA371" s="132"/>
      <c r="JEB371" s="132"/>
      <c r="JEC371" s="132"/>
      <c r="JED371" s="132"/>
      <c r="JEE371" s="132"/>
      <c r="JEF371" s="132"/>
      <c r="JEG371" s="132"/>
      <c r="JEH371" s="132"/>
      <c r="JEI371" s="132"/>
      <c r="JEJ371" s="132"/>
      <c r="JEK371" s="132"/>
      <c r="JEL371" s="132"/>
      <c r="JEM371" s="132"/>
      <c r="JEN371" s="132"/>
      <c r="JEO371" s="132"/>
      <c r="JEP371" s="132"/>
      <c r="JEQ371" s="132"/>
      <c r="JER371" s="132"/>
      <c r="JES371" s="132"/>
      <c r="JET371" s="132"/>
      <c r="JEU371" s="132"/>
      <c r="JEV371" s="132"/>
      <c r="JEW371" s="132"/>
      <c r="JEX371" s="132"/>
      <c r="JEY371" s="132"/>
      <c r="JEZ371" s="132"/>
      <c r="JFA371" s="132"/>
      <c r="JFB371" s="132"/>
      <c r="JFC371" s="132"/>
      <c r="JFD371" s="132"/>
      <c r="JFE371" s="132"/>
      <c r="JFF371" s="132"/>
      <c r="JFG371" s="132"/>
      <c r="JFH371" s="132"/>
      <c r="JFI371" s="132"/>
      <c r="JFJ371" s="132"/>
      <c r="JFK371" s="132"/>
      <c r="JFL371" s="132"/>
      <c r="JFM371" s="132"/>
      <c r="JFN371" s="132"/>
      <c r="JFO371" s="132"/>
      <c r="JFP371" s="132"/>
      <c r="JFQ371" s="132"/>
      <c r="JFR371" s="132"/>
      <c r="JFS371" s="132"/>
      <c r="JFT371" s="132"/>
      <c r="JFU371" s="132"/>
      <c r="JFV371" s="132"/>
      <c r="JFW371" s="132"/>
      <c r="JFX371" s="132"/>
      <c r="JFY371" s="132"/>
      <c r="JFZ371" s="132"/>
      <c r="JGA371" s="132"/>
      <c r="JGB371" s="132"/>
      <c r="JGC371" s="132"/>
      <c r="JGD371" s="132"/>
      <c r="JGE371" s="132"/>
      <c r="JGF371" s="132"/>
      <c r="JGG371" s="132"/>
      <c r="JGH371" s="132"/>
      <c r="JGI371" s="132"/>
      <c r="JGJ371" s="132"/>
      <c r="JGK371" s="132"/>
      <c r="JGL371" s="132"/>
      <c r="JGM371" s="132"/>
      <c r="JGN371" s="132"/>
      <c r="JGO371" s="132"/>
      <c r="JGP371" s="132"/>
      <c r="JGQ371" s="132"/>
      <c r="JGR371" s="132"/>
      <c r="JGS371" s="132"/>
      <c r="JGT371" s="132"/>
      <c r="JGU371" s="132"/>
      <c r="JGV371" s="132"/>
      <c r="JGW371" s="132"/>
      <c r="JGX371" s="132"/>
      <c r="JGY371" s="132"/>
      <c r="JGZ371" s="132"/>
      <c r="JHA371" s="132"/>
      <c r="JHB371" s="132"/>
      <c r="JHC371" s="132"/>
      <c r="JHD371" s="132"/>
      <c r="JHE371" s="132"/>
      <c r="JHF371" s="132"/>
      <c r="JHG371" s="132"/>
      <c r="JHH371" s="132"/>
      <c r="JHI371" s="132"/>
      <c r="JHJ371" s="132"/>
      <c r="JHK371" s="132"/>
      <c r="JHL371" s="132"/>
      <c r="JHM371" s="132"/>
      <c r="JHN371" s="132"/>
      <c r="JHO371" s="132"/>
      <c r="JHP371" s="132"/>
      <c r="JHQ371" s="132"/>
      <c r="JHR371" s="132"/>
      <c r="JHS371" s="132"/>
      <c r="JHT371" s="132"/>
      <c r="JHU371" s="132"/>
      <c r="JHV371" s="132"/>
      <c r="JHW371" s="132"/>
      <c r="JHX371" s="132"/>
      <c r="JHY371" s="132"/>
      <c r="JHZ371" s="132"/>
      <c r="JIA371" s="132"/>
      <c r="JIB371" s="132"/>
      <c r="JIC371" s="132"/>
      <c r="JID371" s="132"/>
      <c r="JIE371" s="132"/>
      <c r="JIF371" s="132"/>
      <c r="JIG371" s="132"/>
      <c r="JIH371" s="132"/>
      <c r="JII371" s="132"/>
      <c r="JIJ371" s="132"/>
      <c r="JIK371" s="132"/>
      <c r="JIL371" s="132"/>
      <c r="JIM371" s="132"/>
      <c r="JIN371" s="132"/>
      <c r="JIO371" s="132"/>
      <c r="JIP371" s="132"/>
      <c r="JIQ371" s="132"/>
      <c r="JIR371" s="132"/>
      <c r="JIS371" s="132"/>
      <c r="JIT371" s="132"/>
      <c r="JIU371" s="132"/>
      <c r="JIV371" s="132"/>
      <c r="JIW371" s="132"/>
      <c r="JIX371" s="132"/>
      <c r="JIY371" s="132"/>
      <c r="JIZ371" s="132"/>
      <c r="JJA371" s="132"/>
      <c r="JJB371" s="132"/>
      <c r="JJC371" s="132"/>
      <c r="JJD371" s="132"/>
      <c r="JJE371" s="132"/>
      <c r="JJF371" s="132"/>
      <c r="JJG371" s="132"/>
      <c r="JJH371" s="132"/>
      <c r="JJI371" s="132"/>
      <c r="JJJ371" s="132"/>
      <c r="JJK371" s="132"/>
      <c r="JJL371" s="132"/>
      <c r="JJM371" s="132"/>
      <c r="JJN371" s="132"/>
      <c r="JJO371" s="132"/>
      <c r="JJP371" s="132"/>
      <c r="JJQ371" s="132"/>
      <c r="JJR371" s="132"/>
      <c r="JJS371" s="132"/>
      <c r="JJT371" s="132"/>
      <c r="JJU371" s="132"/>
      <c r="JJV371" s="132"/>
      <c r="JJW371" s="132"/>
      <c r="JJX371" s="132"/>
      <c r="JJY371" s="132"/>
      <c r="JJZ371" s="132"/>
      <c r="JKA371" s="132"/>
      <c r="JKB371" s="132"/>
      <c r="JKC371" s="132"/>
      <c r="JKD371" s="132"/>
      <c r="JKE371" s="132"/>
      <c r="JKF371" s="132"/>
      <c r="JKG371" s="132"/>
      <c r="JKH371" s="132"/>
      <c r="JKI371" s="132"/>
      <c r="JKJ371" s="132"/>
      <c r="JKK371" s="132"/>
      <c r="JKL371" s="132"/>
      <c r="JKM371" s="132"/>
      <c r="JKN371" s="132"/>
      <c r="JKO371" s="132"/>
      <c r="JKP371" s="132"/>
      <c r="JKQ371" s="132"/>
      <c r="JKR371" s="132"/>
      <c r="JKS371" s="132"/>
      <c r="JKT371" s="132"/>
      <c r="JKU371" s="132"/>
      <c r="JKV371" s="132"/>
      <c r="JKW371" s="132"/>
      <c r="JKX371" s="132"/>
      <c r="JKY371" s="132"/>
      <c r="JKZ371" s="132"/>
      <c r="JLA371" s="132"/>
      <c r="JLB371" s="132"/>
      <c r="JLC371" s="132"/>
      <c r="JLD371" s="132"/>
      <c r="JLE371" s="132"/>
      <c r="JLF371" s="132"/>
      <c r="JLG371" s="132"/>
      <c r="JLH371" s="132"/>
      <c r="JLI371" s="132"/>
      <c r="JLJ371" s="132"/>
      <c r="JLK371" s="132"/>
      <c r="JLL371" s="132"/>
      <c r="JLM371" s="132"/>
      <c r="JLN371" s="132"/>
      <c r="JLO371" s="132"/>
      <c r="JLP371" s="132"/>
      <c r="JLQ371" s="132"/>
      <c r="JLR371" s="132"/>
      <c r="JLS371" s="132"/>
      <c r="JLT371" s="132"/>
      <c r="JLU371" s="132"/>
      <c r="JLV371" s="132"/>
      <c r="JLW371" s="132"/>
      <c r="JLX371" s="132"/>
      <c r="JLY371" s="132"/>
      <c r="JLZ371" s="132"/>
      <c r="JMA371" s="132"/>
      <c r="JMB371" s="132"/>
      <c r="JMC371" s="132"/>
      <c r="JMD371" s="132"/>
      <c r="JME371" s="132"/>
      <c r="JMF371" s="132"/>
      <c r="JMG371" s="132"/>
      <c r="JMH371" s="132"/>
      <c r="JMI371" s="132"/>
      <c r="JMJ371" s="132"/>
      <c r="JMK371" s="132"/>
      <c r="JML371" s="132"/>
      <c r="JMM371" s="132"/>
      <c r="JMN371" s="132"/>
      <c r="JMO371" s="132"/>
      <c r="JMP371" s="132"/>
      <c r="JMQ371" s="132"/>
      <c r="JMR371" s="132"/>
      <c r="JMS371" s="132"/>
      <c r="JMT371" s="132"/>
      <c r="JMU371" s="132"/>
      <c r="JMV371" s="132"/>
      <c r="JMW371" s="132"/>
      <c r="JMX371" s="132"/>
      <c r="JMY371" s="132"/>
      <c r="JMZ371" s="132"/>
      <c r="JNA371" s="132"/>
      <c r="JNB371" s="132"/>
      <c r="JNC371" s="132"/>
      <c r="JND371" s="132"/>
      <c r="JNE371" s="132"/>
      <c r="JNF371" s="132"/>
      <c r="JNG371" s="132"/>
      <c r="JNH371" s="132"/>
      <c r="JNI371" s="132"/>
      <c r="JNJ371" s="132"/>
      <c r="JNK371" s="132"/>
      <c r="JNL371" s="132"/>
      <c r="JNM371" s="132"/>
      <c r="JNN371" s="132"/>
      <c r="JNO371" s="132"/>
      <c r="JNP371" s="132"/>
      <c r="JNQ371" s="132"/>
      <c r="JNR371" s="132"/>
      <c r="JNS371" s="132"/>
      <c r="JNT371" s="132"/>
      <c r="JNU371" s="132"/>
      <c r="JNV371" s="132"/>
      <c r="JNW371" s="132"/>
      <c r="JNX371" s="132"/>
      <c r="JNY371" s="132"/>
      <c r="JNZ371" s="132"/>
      <c r="JOA371" s="132"/>
      <c r="JOB371" s="132"/>
      <c r="JOC371" s="132"/>
      <c r="JOD371" s="132"/>
      <c r="JOE371" s="132"/>
      <c r="JOF371" s="132"/>
      <c r="JOG371" s="132"/>
      <c r="JOH371" s="132"/>
      <c r="JOI371" s="132"/>
      <c r="JOJ371" s="132"/>
      <c r="JOK371" s="132"/>
      <c r="JOL371" s="132"/>
      <c r="JOM371" s="132"/>
      <c r="JON371" s="132"/>
      <c r="JOO371" s="132"/>
      <c r="JOP371" s="132"/>
      <c r="JOQ371" s="132"/>
      <c r="JOR371" s="132"/>
      <c r="JOS371" s="132"/>
      <c r="JOT371" s="132"/>
      <c r="JOU371" s="132"/>
      <c r="JOV371" s="132"/>
      <c r="JOW371" s="132"/>
      <c r="JOX371" s="132"/>
      <c r="JOY371" s="132"/>
      <c r="JOZ371" s="132"/>
      <c r="JPA371" s="132"/>
      <c r="JPB371" s="132"/>
      <c r="JPC371" s="132"/>
      <c r="JPD371" s="132"/>
      <c r="JPE371" s="132"/>
      <c r="JPF371" s="132"/>
      <c r="JPG371" s="132"/>
      <c r="JPH371" s="132"/>
      <c r="JPI371" s="132"/>
      <c r="JPJ371" s="132"/>
      <c r="JPK371" s="132"/>
      <c r="JPL371" s="132"/>
      <c r="JPM371" s="132"/>
      <c r="JPN371" s="132"/>
      <c r="JPO371" s="132"/>
      <c r="JPP371" s="132"/>
      <c r="JPQ371" s="132"/>
      <c r="JPR371" s="132"/>
      <c r="JPS371" s="132"/>
      <c r="JPT371" s="132"/>
      <c r="JPU371" s="132"/>
      <c r="JPV371" s="132"/>
      <c r="JPW371" s="132"/>
      <c r="JPX371" s="132"/>
      <c r="JPY371" s="132"/>
      <c r="JPZ371" s="132"/>
      <c r="JQA371" s="132"/>
      <c r="JQB371" s="132"/>
      <c r="JQC371" s="132"/>
      <c r="JQD371" s="132"/>
      <c r="JQE371" s="132"/>
      <c r="JQF371" s="132"/>
      <c r="JQG371" s="132"/>
      <c r="JQH371" s="132"/>
      <c r="JQI371" s="132"/>
      <c r="JQJ371" s="132"/>
      <c r="JQK371" s="132"/>
      <c r="JQL371" s="132"/>
      <c r="JQM371" s="132"/>
      <c r="JQN371" s="132"/>
      <c r="JQO371" s="132"/>
      <c r="JQP371" s="132"/>
      <c r="JQQ371" s="132"/>
      <c r="JQR371" s="132"/>
      <c r="JQS371" s="132"/>
      <c r="JQT371" s="132"/>
      <c r="JQU371" s="132"/>
      <c r="JQV371" s="132"/>
      <c r="JQW371" s="132"/>
      <c r="JQX371" s="132"/>
      <c r="JQY371" s="132"/>
      <c r="JQZ371" s="132"/>
      <c r="JRA371" s="132"/>
      <c r="JRB371" s="132"/>
      <c r="JRC371" s="132"/>
      <c r="JRD371" s="132"/>
      <c r="JRE371" s="132"/>
      <c r="JRF371" s="132"/>
      <c r="JRG371" s="132"/>
      <c r="JRH371" s="132"/>
      <c r="JRI371" s="132"/>
      <c r="JRJ371" s="132"/>
      <c r="JRK371" s="132"/>
      <c r="JRL371" s="132"/>
      <c r="JRM371" s="132"/>
      <c r="JRN371" s="132"/>
      <c r="JRO371" s="132"/>
      <c r="JRP371" s="132"/>
      <c r="JRQ371" s="132"/>
      <c r="JRR371" s="132"/>
      <c r="JRS371" s="132"/>
      <c r="JRT371" s="132"/>
      <c r="JRU371" s="132"/>
      <c r="JRV371" s="132"/>
      <c r="JRW371" s="132"/>
      <c r="JRX371" s="132"/>
      <c r="JRY371" s="132"/>
      <c r="JRZ371" s="132"/>
      <c r="JSA371" s="132"/>
      <c r="JSB371" s="132"/>
      <c r="JSC371" s="132"/>
      <c r="JSD371" s="132"/>
      <c r="JSE371" s="132"/>
      <c r="JSF371" s="132"/>
      <c r="JSG371" s="132"/>
      <c r="JSH371" s="132"/>
      <c r="JSI371" s="132"/>
      <c r="JSJ371" s="132"/>
      <c r="JSK371" s="132"/>
      <c r="JSL371" s="132"/>
      <c r="JSM371" s="132"/>
      <c r="JSN371" s="132"/>
      <c r="JSO371" s="132"/>
      <c r="JSP371" s="132"/>
      <c r="JSQ371" s="132"/>
      <c r="JSR371" s="132"/>
      <c r="JSS371" s="132"/>
      <c r="JST371" s="132"/>
      <c r="JSU371" s="132"/>
      <c r="JSV371" s="132"/>
      <c r="JSW371" s="132"/>
      <c r="JSX371" s="132"/>
      <c r="JSY371" s="132"/>
      <c r="JSZ371" s="132"/>
      <c r="JTA371" s="132"/>
      <c r="JTB371" s="132"/>
      <c r="JTC371" s="132"/>
      <c r="JTD371" s="132"/>
      <c r="JTE371" s="132"/>
      <c r="JTF371" s="132"/>
      <c r="JTG371" s="132"/>
      <c r="JTH371" s="132"/>
      <c r="JTI371" s="132"/>
      <c r="JTJ371" s="132"/>
      <c r="JTK371" s="132"/>
      <c r="JTL371" s="132"/>
      <c r="JTM371" s="132"/>
      <c r="JTN371" s="132"/>
      <c r="JTO371" s="132"/>
      <c r="JTP371" s="132"/>
      <c r="JTQ371" s="132"/>
      <c r="JTR371" s="132"/>
      <c r="JTS371" s="132"/>
      <c r="JTT371" s="132"/>
      <c r="JTU371" s="132"/>
      <c r="JTV371" s="132"/>
      <c r="JTW371" s="132"/>
      <c r="JTX371" s="132"/>
      <c r="JTY371" s="132"/>
      <c r="JTZ371" s="132"/>
      <c r="JUA371" s="132"/>
      <c r="JUB371" s="132"/>
      <c r="JUC371" s="132"/>
      <c r="JUD371" s="132"/>
      <c r="JUE371" s="132"/>
      <c r="JUF371" s="132"/>
      <c r="JUG371" s="132"/>
      <c r="JUH371" s="132"/>
      <c r="JUI371" s="132"/>
      <c r="JUJ371" s="132"/>
      <c r="JUK371" s="132"/>
      <c r="JUL371" s="132"/>
      <c r="JUM371" s="132"/>
      <c r="JUN371" s="132"/>
      <c r="JUO371" s="132"/>
      <c r="JUP371" s="132"/>
      <c r="JUQ371" s="132"/>
      <c r="JUR371" s="132"/>
      <c r="JUS371" s="132"/>
      <c r="JUT371" s="132"/>
      <c r="JUU371" s="132"/>
      <c r="JUV371" s="132"/>
      <c r="JUW371" s="132"/>
      <c r="JUX371" s="132"/>
      <c r="JUY371" s="132"/>
      <c r="JUZ371" s="132"/>
      <c r="JVA371" s="132"/>
      <c r="JVB371" s="132"/>
      <c r="JVC371" s="132"/>
      <c r="JVD371" s="132"/>
      <c r="JVE371" s="132"/>
      <c r="JVF371" s="132"/>
      <c r="JVG371" s="132"/>
      <c r="JVH371" s="132"/>
      <c r="JVI371" s="132"/>
      <c r="JVJ371" s="132"/>
      <c r="JVK371" s="132"/>
      <c r="JVL371" s="132"/>
      <c r="JVM371" s="132"/>
      <c r="JVN371" s="132"/>
      <c r="JVO371" s="132"/>
      <c r="JVP371" s="132"/>
      <c r="JVQ371" s="132"/>
      <c r="JVR371" s="132"/>
      <c r="JVS371" s="132"/>
      <c r="JVT371" s="132"/>
      <c r="JVU371" s="132"/>
      <c r="JVV371" s="132"/>
      <c r="JVW371" s="132"/>
      <c r="JVX371" s="132"/>
      <c r="JVY371" s="132"/>
      <c r="JVZ371" s="132"/>
      <c r="JWA371" s="132"/>
      <c r="JWB371" s="132"/>
      <c r="JWC371" s="132"/>
      <c r="JWD371" s="132"/>
      <c r="JWE371" s="132"/>
      <c r="JWF371" s="132"/>
      <c r="JWG371" s="132"/>
      <c r="JWH371" s="132"/>
      <c r="JWI371" s="132"/>
      <c r="JWJ371" s="132"/>
      <c r="JWK371" s="132"/>
      <c r="JWL371" s="132"/>
      <c r="JWM371" s="132"/>
      <c r="JWN371" s="132"/>
      <c r="JWO371" s="132"/>
      <c r="JWP371" s="132"/>
      <c r="JWQ371" s="132"/>
      <c r="JWR371" s="132"/>
      <c r="JWS371" s="132"/>
      <c r="JWT371" s="132"/>
      <c r="JWU371" s="132"/>
      <c r="JWV371" s="132"/>
      <c r="JWW371" s="132"/>
      <c r="JWX371" s="132"/>
      <c r="JWY371" s="132"/>
      <c r="JWZ371" s="132"/>
      <c r="JXA371" s="132"/>
      <c r="JXB371" s="132"/>
      <c r="JXC371" s="132"/>
      <c r="JXD371" s="132"/>
      <c r="JXE371" s="132"/>
      <c r="JXF371" s="132"/>
      <c r="JXG371" s="132"/>
      <c r="JXH371" s="132"/>
      <c r="JXI371" s="132"/>
      <c r="JXJ371" s="132"/>
      <c r="JXK371" s="132"/>
      <c r="JXL371" s="132"/>
      <c r="JXM371" s="132"/>
      <c r="JXN371" s="132"/>
      <c r="JXO371" s="132"/>
      <c r="JXP371" s="132"/>
      <c r="JXQ371" s="132"/>
      <c r="JXR371" s="132"/>
      <c r="JXS371" s="132"/>
      <c r="JXT371" s="132"/>
      <c r="JXU371" s="132"/>
      <c r="JXV371" s="132"/>
      <c r="JXW371" s="132"/>
      <c r="JXX371" s="132"/>
      <c r="JXY371" s="132"/>
      <c r="JXZ371" s="132"/>
      <c r="JYA371" s="132"/>
      <c r="JYB371" s="132"/>
      <c r="JYC371" s="132"/>
      <c r="JYD371" s="132"/>
      <c r="JYE371" s="132"/>
      <c r="JYF371" s="132"/>
      <c r="JYG371" s="132"/>
      <c r="JYH371" s="132"/>
      <c r="JYI371" s="132"/>
      <c r="JYJ371" s="132"/>
      <c r="JYK371" s="132"/>
      <c r="JYL371" s="132"/>
      <c r="JYM371" s="132"/>
      <c r="JYN371" s="132"/>
      <c r="JYO371" s="132"/>
      <c r="JYP371" s="132"/>
      <c r="JYQ371" s="132"/>
      <c r="JYR371" s="132"/>
      <c r="JYS371" s="132"/>
      <c r="JYT371" s="132"/>
      <c r="JYU371" s="132"/>
      <c r="JYV371" s="132"/>
      <c r="JYW371" s="132"/>
      <c r="JYX371" s="132"/>
      <c r="JYY371" s="132"/>
      <c r="JYZ371" s="132"/>
      <c r="JZA371" s="132"/>
      <c r="JZB371" s="132"/>
      <c r="JZC371" s="132"/>
      <c r="JZD371" s="132"/>
      <c r="JZE371" s="132"/>
      <c r="JZF371" s="132"/>
      <c r="JZG371" s="132"/>
      <c r="JZH371" s="132"/>
      <c r="JZI371" s="132"/>
      <c r="JZJ371" s="132"/>
      <c r="JZK371" s="132"/>
      <c r="JZL371" s="132"/>
      <c r="JZM371" s="132"/>
      <c r="JZN371" s="132"/>
      <c r="JZO371" s="132"/>
      <c r="JZP371" s="132"/>
      <c r="JZQ371" s="132"/>
      <c r="JZR371" s="132"/>
      <c r="JZS371" s="132"/>
      <c r="JZT371" s="132"/>
      <c r="JZU371" s="132"/>
      <c r="JZV371" s="132"/>
      <c r="JZW371" s="132"/>
      <c r="JZX371" s="132"/>
      <c r="JZY371" s="132"/>
      <c r="JZZ371" s="132"/>
      <c r="KAA371" s="132"/>
      <c r="KAB371" s="132"/>
      <c r="KAC371" s="132"/>
      <c r="KAD371" s="132"/>
      <c r="KAE371" s="132"/>
      <c r="KAF371" s="132"/>
      <c r="KAG371" s="132"/>
      <c r="KAH371" s="132"/>
      <c r="KAI371" s="132"/>
      <c r="KAJ371" s="132"/>
      <c r="KAK371" s="132"/>
      <c r="KAL371" s="132"/>
      <c r="KAM371" s="132"/>
      <c r="KAN371" s="132"/>
      <c r="KAO371" s="132"/>
      <c r="KAP371" s="132"/>
      <c r="KAQ371" s="132"/>
      <c r="KAR371" s="132"/>
      <c r="KAS371" s="132"/>
      <c r="KAT371" s="132"/>
      <c r="KAU371" s="132"/>
      <c r="KAV371" s="132"/>
      <c r="KAW371" s="132"/>
      <c r="KAX371" s="132"/>
      <c r="KAY371" s="132"/>
      <c r="KAZ371" s="132"/>
      <c r="KBA371" s="132"/>
      <c r="KBB371" s="132"/>
      <c r="KBC371" s="132"/>
      <c r="KBD371" s="132"/>
      <c r="KBE371" s="132"/>
      <c r="KBF371" s="132"/>
      <c r="KBG371" s="132"/>
      <c r="KBH371" s="132"/>
      <c r="KBI371" s="132"/>
      <c r="KBJ371" s="132"/>
      <c r="KBK371" s="132"/>
      <c r="KBL371" s="132"/>
      <c r="KBM371" s="132"/>
      <c r="KBN371" s="132"/>
      <c r="KBO371" s="132"/>
      <c r="KBP371" s="132"/>
      <c r="KBQ371" s="132"/>
      <c r="KBR371" s="132"/>
      <c r="KBS371" s="132"/>
      <c r="KBT371" s="132"/>
      <c r="KBU371" s="132"/>
      <c r="KBV371" s="132"/>
      <c r="KBW371" s="132"/>
      <c r="KBX371" s="132"/>
      <c r="KBY371" s="132"/>
      <c r="KBZ371" s="132"/>
      <c r="KCA371" s="132"/>
      <c r="KCB371" s="132"/>
      <c r="KCC371" s="132"/>
      <c r="KCD371" s="132"/>
      <c r="KCE371" s="132"/>
      <c r="KCF371" s="132"/>
      <c r="KCG371" s="132"/>
      <c r="KCH371" s="132"/>
      <c r="KCI371" s="132"/>
      <c r="KCJ371" s="132"/>
      <c r="KCK371" s="132"/>
      <c r="KCL371" s="132"/>
      <c r="KCM371" s="132"/>
      <c r="KCN371" s="132"/>
      <c r="KCO371" s="132"/>
      <c r="KCP371" s="132"/>
      <c r="KCQ371" s="132"/>
      <c r="KCR371" s="132"/>
      <c r="KCS371" s="132"/>
      <c r="KCT371" s="132"/>
      <c r="KCU371" s="132"/>
      <c r="KCV371" s="132"/>
      <c r="KCW371" s="132"/>
      <c r="KCX371" s="132"/>
      <c r="KCY371" s="132"/>
      <c r="KCZ371" s="132"/>
      <c r="KDA371" s="132"/>
      <c r="KDB371" s="132"/>
      <c r="KDC371" s="132"/>
      <c r="KDD371" s="132"/>
      <c r="KDE371" s="132"/>
      <c r="KDF371" s="132"/>
      <c r="KDG371" s="132"/>
      <c r="KDH371" s="132"/>
      <c r="KDI371" s="132"/>
      <c r="KDJ371" s="132"/>
      <c r="KDK371" s="132"/>
      <c r="KDL371" s="132"/>
      <c r="KDM371" s="132"/>
      <c r="KDN371" s="132"/>
      <c r="KDO371" s="132"/>
      <c r="KDP371" s="132"/>
      <c r="KDQ371" s="132"/>
      <c r="KDR371" s="132"/>
      <c r="KDS371" s="132"/>
      <c r="KDT371" s="132"/>
      <c r="KDU371" s="132"/>
      <c r="KDV371" s="132"/>
      <c r="KDW371" s="132"/>
      <c r="KDX371" s="132"/>
      <c r="KDY371" s="132"/>
      <c r="KDZ371" s="132"/>
      <c r="KEA371" s="132"/>
      <c r="KEB371" s="132"/>
      <c r="KEC371" s="132"/>
      <c r="KED371" s="132"/>
      <c r="KEE371" s="132"/>
      <c r="KEF371" s="132"/>
      <c r="KEG371" s="132"/>
      <c r="KEH371" s="132"/>
      <c r="KEI371" s="132"/>
      <c r="KEJ371" s="132"/>
      <c r="KEK371" s="132"/>
      <c r="KEL371" s="132"/>
      <c r="KEM371" s="132"/>
      <c r="KEN371" s="132"/>
      <c r="KEO371" s="132"/>
      <c r="KEP371" s="132"/>
      <c r="KEQ371" s="132"/>
      <c r="KER371" s="132"/>
      <c r="KES371" s="132"/>
      <c r="KET371" s="132"/>
      <c r="KEU371" s="132"/>
      <c r="KEV371" s="132"/>
      <c r="KEW371" s="132"/>
      <c r="KEX371" s="132"/>
      <c r="KEY371" s="132"/>
      <c r="KEZ371" s="132"/>
      <c r="KFA371" s="132"/>
      <c r="KFB371" s="132"/>
      <c r="KFC371" s="132"/>
      <c r="KFD371" s="132"/>
      <c r="KFE371" s="132"/>
      <c r="KFF371" s="132"/>
      <c r="KFG371" s="132"/>
      <c r="KFH371" s="132"/>
      <c r="KFI371" s="132"/>
      <c r="KFJ371" s="132"/>
      <c r="KFK371" s="132"/>
      <c r="KFL371" s="132"/>
      <c r="KFM371" s="132"/>
      <c r="KFN371" s="132"/>
      <c r="KFO371" s="132"/>
      <c r="KFP371" s="132"/>
      <c r="KFQ371" s="132"/>
      <c r="KFR371" s="132"/>
      <c r="KFS371" s="132"/>
      <c r="KFT371" s="132"/>
      <c r="KFU371" s="132"/>
      <c r="KFV371" s="132"/>
      <c r="KFW371" s="132"/>
      <c r="KFX371" s="132"/>
      <c r="KFY371" s="132"/>
      <c r="KFZ371" s="132"/>
      <c r="KGA371" s="132"/>
      <c r="KGB371" s="132"/>
      <c r="KGC371" s="132"/>
      <c r="KGD371" s="132"/>
      <c r="KGE371" s="132"/>
      <c r="KGF371" s="132"/>
      <c r="KGG371" s="132"/>
      <c r="KGH371" s="132"/>
      <c r="KGI371" s="132"/>
      <c r="KGJ371" s="132"/>
      <c r="KGK371" s="132"/>
      <c r="KGL371" s="132"/>
      <c r="KGM371" s="132"/>
      <c r="KGN371" s="132"/>
      <c r="KGO371" s="132"/>
      <c r="KGP371" s="132"/>
      <c r="KGQ371" s="132"/>
      <c r="KGR371" s="132"/>
      <c r="KGS371" s="132"/>
      <c r="KGT371" s="132"/>
      <c r="KGU371" s="132"/>
      <c r="KGV371" s="132"/>
      <c r="KGW371" s="132"/>
      <c r="KGX371" s="132"/>
      <c r="KGY371" s="132"/>
      <c r="KGZ371" s="132"/>
      <c r="KHA371" s="132"/>
      <c r="KHB371" s="132"/>
      <c r="KHC371" s="132"/>
      <c r="KHD371" s="132"/>
      <c r="KHE371" s="132"/>
      <c r="KHF371" s="132"/>
      <c r="KHG371" s="132"/>
      <c r="KHH371" s="132"/>
      <c r="KHI371" s="132"/>
      <c r="KHJ371" s="132"/>
      <c r="KHK371" s="132"/>
      <c r="KHL371" s="132"/>
      <c r="KHM371" s="132"/>
      <c r="KHN371" s="132"/>
      <c r="KHO371" s="132"/>
      <c r="KHP371" s="132"/>
      <c r="KHQ371" s="132"/>
      <c r="KHR371" s="132"/>
      <c r="KHS371" s="132"/>
      <c r="KHT371" s="132"/>
      <c r="KHU371" s="132"/>
      <c r="KHV371" s="132"/>
      <c r="KHW371" s="132"/>
      <c r="KHX371" s="132"/>
      <c r="KHY371" s="132"/>
      <c r="KHZ371" s="132"/>
      <c r="KIA371" s="132"/>
      <c r="KIB371" s="132"/>
      <c r="KIC371" s="132"/>
      <c r="KID371" s="132"/>
      <c r="KIE371" s="132"/>
      <c r="KIF371" s="132"/>
      <c r="KIG371" s="132"/>
      <c r="KIH371" s="132"/>
      <c r="KII371" s="132"/>
      <c r="KIJ371" s="132"/>
      <c r="KIK371" s="132"/>
      <c r="KIL371" s="132"/>
      <c r="KIM371" s="132"/>
      <c r="KIN371" s="132"/>
      <c r="KIO371" s="132"/>
      <c r="KIP371" s="132"/>
      <c r="KIQ371" s="132"/>
      <c r="KIR371" s="132"/>
      <c r="KIS371" s="132"/>
      <c r="KIT371" s="132"/>
      <c r="KIU371" s="132"/>
      <c r="KIV371" s="132"/>
      <c r="KIW371" s="132"/>
      <c r="KIX371" s="132"/>
      <c r="KIY371" s="132"/>
      <c r="KIZ371" s="132"/>
      <c r="KJA371" s="132"/>
      <c r="KJB371" s="132"/>
      <c r="KJC371" s="132"/>
      <c r="KJD371" s="132"/>
      <c r="KJE371" s="132"/>
      <c r="KJF371" s="132"/>
      <c r="KJG371" s="132"/>
      <c r="KJH371" s="132"/>
      <c r="KJI371" s="132"/>
      <c r="KJJ371" s="132"/>
      <c r="KJK371" s="132"/>
      <c r="KJL371" s="132"/>
      <c r="KJM371" s="132"/>
      <c r="KJN371" s="132"/>
      <c r="KJO371" s="132"/>
      <c r="KJP371" s="132"/>
      <c r="KJQ371" s="132"/>
      <c r="KJR371" s="132"/>
      <c r="KJS371" s="132"/>
      <c r="KJT371" s="132"/>
      <c r="KJU371" s="132"/>
      <c r="KJV371" s="132"/>
      <c r="KJW371" s="132"/>
      <c r="KJX371" s="132"/>
      <c r="KJY371" s="132"/>
      <c r="KJZ371" s="132"/>
      <c r="KKA371" s="132"/>
      <c r="KKB371" s="132"/>
      <c r="KKC371" s="132"/>
      <c r="KKD371" s="132"/>
      <c r="KKE371" s="132"/>
      <c r="KKF371" s="132"/>
      <c r="KKG371" s="132"/>
      <c r="KKH371" s="132"/>
      <c r="KKI371" s="132"/>
      <c r="KKJ371" s="132"/>
      <c r="KKK371" s="132"/>
      <c r="KKL371" s="132"/>
      <c r="KKM371" s="132"/>
      <c r="KKN371" s="132"/>
      <c r="KKO371" s="132"/>
      <c r="KKP371" s="132"/>
      <c r="KKQ371" s="132"/>
      <c r="KKR371" s="132"/>
      <c r="KKS371" s="132"/>
      <c r="KKT371" s="132"/>
      <c r="KKU371" s="132"/>
      <c r="KKV371" s="132"/>
      <c r="KKW371" s="132"/>
      <c r="KKX371" s="132"/>
      <c r="KKY371" s="132"/>
      <c r="KKZ371" s="132"/>
      <c r="KLA371" s="132"/>
      <c r="KLB371" s="132"/>
      <c r="KLC371" s="132"/>
      <c r="KLD371" s="132"/>
      <c r="KLE371" s="132"/>
      <c r="KLF371" s="132"/>
      <c r="KLG371" s="132"/>
      <c r="KLH371" s="132"/>
      <c r="KLI371" s="132"/>
      <c r="KLJ371" s="132"/>
      <c r="KLK371" s="132"/>
      <c r="KLL371" s="132"/>
      <c r="KLM371" s="132"/>
      <c r="KLN371" s="132"/>
      <c r="KLO371" s="132"/>
      <c r="KLP371" s="132"/>
      <c r="KLQ371" s="132"/>
      <c r="KLR371" s="132"/>
      <c r="KLS371" s="132"/>
      <c r="KLT371" s="132"/>
      <c r="KLU371" s="132"/>
      <c r="KLV371" s="132"/>
      <c r="KLW371" s="132"/>
      <c r="KLX371" s="132"/>
      <c r="KLY371" s="132"/>
      <c r="KLZ371" s="132"/>
      <c r="KMA371" s="132"/>
      <c r="KMB371" s="132"/>
      <c r="KMC371" s="132"/>
      <c r="KMD371" s="132"/>
      <c r="KME371" s="132"/>
      <c r="KMF371" s="132"/>
      <c r="KMG371" s="132"/>
      <c r="KMH371" s="132"/>
      <c r="KMI371" s="132"/>
      <c r="KMJ371" s="132"/>
      <c r="KMK371" s="132"/>
      <c r="KML371" s="132"/>
      <c r="KMM371" s="132"/>
      <c r="KMN371" s="132"/>
      <c r="KMO371" s="132"/>
      <c r="KMP371" s="132"/>
      <c r="KMQ371" s="132"/>
      <c r="KMR371" s="132"/>
      <c r="KMS371" s="132"/>
      <c r="KMT371" s="132"/>
      <c r="KMU371" s="132"/>
      <c r="KMV371" s="132"/>
      <c r="KMW371" s="132"/>
      <c r="KMX371" s="132"/>
      <c r="KMY371" s="132"/>
      <c r="KMZ371" s="132"/>
      <c r="KNA371" s="132"/>
      <c r="KNB371" s="132"/>
      <c r="KNC371" s="132"/>
      <c r="KND371" s="132"/>
      <c r="KNE371" s="132"/>
      <c r="KNF371" s="132"/>
      <c r="KNG371" s="132"/>
      <c r="KNH371" s="132"/>
      <c r="KNI371" s="132"/>
      <c r="KNJ371" s="132"/>
      <c r="KNK371" s="132"/>
      <c r="KNL371" s="132"/>
      <c r="KNM371" s="132"/>
      <c r="KNN371" s="132"/>
      <c r="KNO371" s="132"/>
      <c r="KNP371" s="132"/>
      <c r="KNQ371" s="132"/>
      <c r="KNR371" s="132"/>
      <c r="KNS371" s="132"/>
      <c r="KNT371" s="132"/>
      <c r="KNU371" s="132"/>
      <c r="KNV371" s="132"/>
      <c r="KNW371" s="132"/>
      <c r="KNX371" s="132"/>
      <c r="KNY371" s="132"/>
      <c r="KNZ371" s="132"/>
      <c r="KOA371" s="132"/>
      <c r="KOB371" s="132"/>
      <c r="KOC371" s="132"/>
      <c r="KOD371" s="132"/>
      <c r="KOE371" s="132"/>
      <c r="KOF371" s="132"/>
      <c r="KOG371" s="132"/>
      <c r="KOH371" s="132"/>
      <c r="KOI371" s="132"/>
      <c r="KOJ371" s="132"/>
      <c r="KOK371" s="132"/>
      <c r="KOL371" s="132"/>
      <c r="KOM371" s="132"/>
      <c r="KON371" s="132"/>
      <c r="KOO371" s="132"/>
      <c r="KOP371" s="132"/>
      <c r="KOQ371" s="132"/>
      <c r="KOR371" s="132"/>
      <c r="KOS371" s="132"/>
      <c r="KOT371" s="132"/>
      <c r="KOU371" s="132"/>
      <c r="KOV371" s="132"/>
      <c r="KOW371" s="132"/>
      <c r="KOX371" s="132"/>
      <c r="KOY371" s="132"/>
      <c r="KOZ371" s="132"/>
      <c r="KPA371" s="132"/>
      <c r="KPB371" s="132"/>
      <c r="KPC371" s="132"/>
      <c r="KPD371" s="132"/>
      <c r="KPE371" s="132"/>
      <c r="KPF371" s="132"/>
      <c r="KPG371" s="132"/>
      <c r="KPH371" s="132"/>
      <c r="KPI371" s="132"/>
      <c r="KPJ371" s="132"/>
      <c r="KPK371" s="132"/>
      <c r="KPL371" s="132"/>
      <c r="KPM371" s="132"/>
      <c r="KPN371" s="132"/>
      <c r="KPO371" s="132"/>
      <c r="KPP371" s="132"/>
      <c r="KPQ371" s="132"/>
      <c r="KPR371" s="132"/>
      <c r="KPS371" s="132"/>
      <c r="KPT371" s="132"/>
      <c r="KPU371" s="132"/>
      <c r="KPV371" s="132"/>
      <c r="KPW371" s="132"/>
      <c r="KPX371" s="132"/>
      <c r="KPY371" s="132"/>
      <c r="KPZ371" s="132"/>
      <c r="KQA371" s="132"/>
      <c r="KQB371" s="132"/>
      <c r="KQC371" s="132"/>
      <c r="KQD371" s="132"/>
      <c r="KQE371" s="132"/>
      <c r="KQF371" s="132"/>
      <c r="KQG371" s="132"/>
      <c r="KQH371" s="132"/>
      <c r="KQI371" s="132"/>
      <c r="KQJ371" s="132"/>
      <c r="KQK371" s="132"/>
      <c r="KQL371" s="132"/>
      <c r="KQM371" s="132"/>
      <c r="KQN371" s="132"/>
      <c r="KQO371" s="132"/>
      <c r="KQP371" s="132"/>
      <c r="KQQ371" s="132"/>
      <c r="KQR371" s="132"/>
      <c r="KQS371" s="132"/>
      <c r="KQT371" s="132"/>
      <c r="KQU371" s="132"/>
      <c r="KQV371" s="132"/>
      <c r="KQW371" s="132"/>
      <c r="KQX371" s="132"/>
      <c r="KQY371" s="132"/>
      <c r="KQZ371" s="132"/>
      <c r="KRA371" s="132"/>
      <c r="KRB371" s="132"/>
      <c r="KRC371" s="132"/>
      <c r="KRD371" s="132"/>
      <c r="KRE371" s="132"/>
      <c r="KRF371" s="132"/>
      <c r="KRG371" s="132"/>
      <c r="KRH371" s="132"/>
      <c r="KRI371" s="132"/>
      <c r="KRJ371" s="132"/>
      <c r="KRK371" s="132"/>
      <c r="KRL371" s="132"/>
      <c r="KRM371" s="132"/>
      <c r="KRN371" s="132"/>
      <c r="KRO371" s="132"/>
      <c r="KRP371" s="132"/>
      <c r="KRQ371" s="132"/>
      <c r="KRR371" s="132"/>
      <c r="KRS371" s="132"/>
      <c r="KRT371" s="132"/>
      <c r="KRU371" s="132"/>
      <c r="KRV371" s="132"/>
      <c r="KRW371" s="132"/>
      <c r="KRX371" s="132"/>
      <c r="KRY371" s="132"/>
      <c r="KRZ371" s="132"/>
      <c r="KSA371" s="132"/>
      <c r="KSB371" s="132"/>
      <c r="KSC371" s="132"/>
      <c r="KSD371" s="132"/>
      <c r="KSE371" s="132"/>
      <c r="KSF371" s="132"/>
      <c r="KSG371" s="132"/>
      <c r="KSH371" s="132"/>
      <c r="KSI371" s="132"/>
      <c r="KSJ371" s="132"/>
      <c r="KSK371" s="132"/>
      <c r="KSL371" s="132"/>
      <c r="KSM371" s="132"/>
      <c r="KSN371" s="132"/>
      <c r="KSO371" s="132"/>
      <c r="KSP371" s="132"/>
      <c r="KSQ371" s="132"/>
      <c r="KSR371" s="132"/>
      <c r="KSS371" s="132"/>
      <c r="KST371" s="132"/>
      <c r="KSU371" s="132"/>
      <c r="KSV371" s="132"/>
      <c r="KSW371" s="132"/>
      <c r="KSX371" s="132"/>
      <c r="KSY371" s="132"/>
      <c r="KSZ371" s="132"/>
      <c r="KTA371" s="132"/>
      <c r="KTB371" s="132"/>
      <c r="KTC371" s="132"/>
      <c r="KTD371" s="132"/>
      <c r="KTE371" s="132"/>
      <c r="KTF371" s="132"/>
      <c r="KTG371" s="132"/>
      <c r="KTH371" s="132"/>
      <c r="KTI371" s="132"/>
      <c r="KTJ371" s="132"/>
      <c r="KTK371" s="132"/>
      <c r="KTL371" s="132"/>
      <c r="KTM371" s="132"/>
      <c r="KTN371" s="132"/>
      <c r="KTO371" s="132"/>
      <c r="KTP371" s="132"/>
      <c r="KTQ371" s="132"/>
      <c r="KTR371" s="132"/>
      <c r="KTS371" s="132"/>
      <c r="KTT371" s="132"/>
      <c r="KTU371" s="132"/>
      <c r="KTV371" s="132"/>
      <c r="KTW371" s="132"/>
      <c r="KTX371" s="132"/>
      <c r="KTY371" s="132"/>
      <c r="KTZ371" s="132"/>
      <c r="KUA371" s="132"/>
      <c r="KUB371" s="132"/>
      <c r="KUC371" s="132"/>
      <c r="KUD371" s="132"/>
      <c r="KUE371" s="132"/>
      <c r="KUF371" s="132"/>
      <c r="KUG371" s="132"/>
      <c r="KUH371" s="132"/>
      <c r="KUI371" s="132"/>
      <c r="KUJ371" s="132"/>
      <c r="KUK371" s="132"/>
      <c r="KUL371" s="132"/>
      <c r="KUM371" s="132"/>
      <c r="KUN371" s="132"/>
      <c r="KUO371" s="132"/>
      <c r="KUP371" s="132"/>
      <c r="KUQ371" s="132"/>
      <c r="KUR371" s="132"/>
      <c r="KUS371" s="132"/>
      <c r="KUT371" s="132"/>
      <c r="KUU371" s="132"/>
      <c r="KUV371" s="132"/>
      <c r="KUW371" s="132"/>
      <c r="KUX371" s="132"/>
      <c r="KUY371" s="132"/>
      <c r="KUZ371" s="132"/>
      <c r="KVA371" s="132"/>
      <c r="KVB371" s="132"/>
      <c r="KVC371" s="132"/>
      <c r="KVD371" s="132"/>
      <c r="KVE371" s="132"/>
      <c r="KVF371" s="132"/>
      <c r="KVG371" s="132"/>
      <c r="KVH371" s="132"/>
      <c r="KVI371" s="132"/>
      <c r="KVJ371" s="132"/>
      <c r="KVK371" s="132"/>
      <c r="KVL371" s="132"/>
      <c r="KVM371" s="132"/>
      <c r="KVN371" s="132"/>
      <c r="KVO371" s="132"/>
      <c r="KVP371" s="132"/>
      <c r="KVQ371" s="132"/>
      <c r="KVR371" s="132"/>
      <c r="KVS371" s="132"/>
      <c r="KVT371" s="132"/>
      <c r="KVU371" s="132"/>
      <c r="KVV371" s="132"/>
      <c r="KVW371" s="132"/>
      <c r="KVX371" s="132"/>
      <c r="KVY371" s="132"/>
      <c r="KVZ371" s="132"/>
      <c r="KWA371" s="132"/>
      <c r="KWB371" s="132"/>
      <c r="KWC371" s="132"/>
      <c r="KWD371" s="132"/>
      <c r="KWE371" s="132"/>
      <c r="KWF371" s="132"/>
      <c r="KWG371" s="132"/>
      <c r="KWH371" s="132"/>
      <c r="KWI371" s="132"/>
      <c r="KWJ371" s="132"/>
      <c r="KWK371" s="132"/>
      <c r="KWL371" s="132"/>
      <c r="KWM371" s="132"/>
      <c r="KWN371" s="132"/>
      <c r="KWO371" s="132"/>
      <c r="KWP371" s="132"/>
      <c r="KWQ371" s="132"/>
      <c r="KWR371" s="132"/>
      <c r="KWS371" s="132"/>
      <c r="KWT371" s="132"/>
      <c r="KWU371" s="132"/>
      <c r="KWV371" s="132"/>
      <c r="KWW371" s="132"/>
      <c r="KWX371" s="132"/>
      <c r="KWY371" s="132"/>
      <c r="KWZ371" s="132"/>
      <c r="KXA371" s="132"/>
      <c r="KXB371" s="132"/>
      <c r="KXC371" s="132"/>
      <c r="KXD371" s="132"/>
      <c r="KXE371" s="132"/>
      <c r="KXF371" s="132"/>
      <c r="KXG371" s="132"/>
      <c r="KXH371" s="132"/>
      <c r="KXI371" s="132"/>
      <c r="KXJ371" s="132"/>
      <c r="KXK371" s="132"/>
      <c r="KXL371" s="132"/>
      <c r="KXM371" s="132"/>
      <c r="KXN371" s="132"/>
      <c r="KXO371" s="132"/>
      <c r="KXP371" s="132"/>
      <c r="KXQ371" s="132"/>
      <c r="KXR371" s="132"/>
      <c r="KXS371" s="132"/>
      <c r="KXT371" s="132"/>
      <c r="KXU371" s="132"/>
      <c r="KXV371" s="132"/>
      <c r="KXW371" s="132"/>
      <c r="KXX371" s="132"/>
      <c r="KXY371" s="132"/>
      <c r="KXZ371" s="132"/>
      <c r="KYA371" s="132"/>
      <c r="KYB371" s="132"/>
      <c r="KYC371" s="132"/>
      <c r="KYD371" s="132"/>
      <c r="KYE371" s="132"/>
      <c r="KYF371" s="132"/>
      <c r="KYG371" s="132"/>
      <c r="KYH371" s="132"/>
      <c r="KYI371" s="132"/>
      <c r="KYJ371" s="132"/>
      <c r="KYK371" s="132"/>
      <c r="KYL371" s="132"/>
      <c r="KYM371" s="132"/>
      <c r="KYN371" s="132"/>
      <c r="KYO371" s="132"/>
      <c r="KYP371" s="132"/>
      <c r="KYQ371" s="132"/>
      <c r="KYR371" s="132"/>
      <c r="KYS371" s="132"/>
      <c r="KYT371" s="132"/>
      <c r="KYU371" s="132"/>
      <c r="KYV371" s="132"/>
      <c r="KYW371" s="132"/>
      <c r="KYX371" s="132"/>
      <c r="KYY371" s="132"/>
      <c r="KYZ371" s="132"/>
      <c r="KZA371" s="132"/>
      <c r="KZB371" s="132"/>
      <c r="KZC371" s="132"/>
      <c r="KZD371" s="132"/>
      <c r="KZE371" s="132"/>
      <c r="KZF371" s="132"/>
      <c r="KZG371" s="132"/>
      <c r="KZH371" s="132"/>
      <c r="KZI371" s="132"/>
      <c r="KZJ371" s="132"/>
      <c r="KZK371" s="132"/>
      <c r="KZL371" s="132"/>
      <c r="KZM371" s="132"/>
      <c r="KZN371" s="132"/>
      <c r="KZO371" s="132"/>
      <c r="KZP371" s="132"/>
      <c r="KZQ371" s="132"/>
      <c r="KZR371" s="132"/>
      <c r="KZS371" s="132"/>
      <c r="KZT371" s="132"/>
      <c r="KZU371" s="132"/>
      <c r="KZV371" s="132"/>
      <c r="KZW371" s="132"/>
      <c r="KZX371" s="132"/>
      <c r="KZY371" s="132"/>
      <c r="KZZ371" s="132"/>
      <c r="LAA371" s="132"/>
      <c r="LAB371" s="132"/>
      <c r="LAC371" s="132"/>
      <c r="LAD371" s="132"/>
      <c r="LAE371" s="132"/>
      <c r="LAF371" s="132"/>
      <c r="LAG371" s="132"/>
      <c r="LAH371" s="132"/>
      <c r="LAI371" s="132"/>
      <c r="LAJ371" s="132"/>
      <c r="LAK371" s="132"/>
      <c r="LAL371" s="132"/>
      <c r="LAM371" s="132"/>
      <c r="LAN371" s="132"/>
      <c r="LAO371" s="132"/>
      <c r="LAP371" s="132"/>
      <c r="LAQ371" s="132"/>
      <c r="LAR371" s="132"/>
      <c r="LAS371" s="132"/>
      <c r="LAT371" s="132"/>
      <c r="LAU371" s="132"/>
      <c r="LAV371" s="132"/>
      <c r="LAW371" s="132"/>
      <c r="LAX371" s="132"/>
      <c r="LAY371" s="132"/>
      <c r="LAZ371" s="132"/>
      <c r="LBA371" s="132"/>
      <c r="LBB371" s="132"/>
      <c r="LBC371" s="132"/>
      <c r="LBD371" s="132"/>
      <c r="LBE371" s="132"/>
      <c r="LBF371" s="132"/>
      <c r="LBG371" s="132"/>
      <c r="LBH371" s="132"/>
      <c r="LBI371" s="132"/>
      <c r="LBJ371" s="132"/>
      <c r="LBK371" s="132"/>
      <c r="LBL371" s="132"/>
      <c r="LBM371" s="132"/>
      <c r="LBN371" s="132"/>
      <c r="LBO371" s="132"/>
      <c r="LBP371" s="132"/>
      <c r="LBQ371" s="132"/>
      <c r="LBR371" s="132"/>
      <c r="LBS371" s="132"/>
      <c r="LBT371" s="132"/>
      <c r="LBU371" s="132"/>
      <c r="LBV371" s="132"/>
      <c r="LBW371" s="132"/>
      <c r="LBX371" s="132"/>
      <c r="LBY371" s="132"/>
      <c r="LBZ371" s="132"/>
      <c r="LCA371" s="132"/>
      <c r="LCB371" s="132"/>
      <c r="LCC371" s="132"/>
      <c r="LCD371" s="132"/>
      <c r="LCE371" s="132"/>
      <c r="LCF371" s="132"/>
      <c r="LCG371" s="132"/>
      <c r="LCH371" s="132"/>
      <c r="LCI371" s="132"/>
      <c r="LCJ371" s="132"/>
      <c r="LCK371" s="132"/>
      <c r="LCL371" s="132"/>
      <c r="LCM371" s="132"/>
      <c r="LCN371" s="132"/>
      <c r="LCO371" s="132"/>
      <c r="LCP371" s="132"/>
      <c r="LCQ371" s="132"/>
      <c r="LCR371" s="132"/>
      <c r="LCS371" s="132"/>
      <c r="LCT371" s="132"/>
      <c r="LCU371" s="132"/>
      <c r="LCV371" s="132"/>
      <c r="LCW371" s="132"/>
      <c r="LCX371" s="132"/>
      <c r="LCY371" s="132"/>
      <c r="LCZ371" s="132"/>
      <c r="LDA371" s="132"/>
      <c r="LDB371" s="132"/>
      <c r="LDC371" s="132"/>
      <c r="LDD371" s="132"/>
      <c r="LDE371" s="132"/>
      <c r="LDF371" s="132"/>
      <c r="LDG371" s="132"/>
      <c r="LDH371" s="132"/>
      <c r="LDI371" s="132"/>
      <c r="LDJ371" s="132"/>
      <c r="LDK371" s="132"/>
      <c r="LDL371" s="132"/>
      <c r="LDM371" s="132"/>
      <c r="LDN371" s="132"/>
      <c r="LDO371" s="132"/>
      <c r="LDP371" s="132"/>
      <c r="LDQ371" s="132"/>
      <c r="LDR371" s="132"/>
      <c r="LDS371" s="132"/>
      <c r="LDT371" s="132"/>
      <c r="LDU371" s="132"/>
      <c r="LDV371" s="132"/>
      <c r="LDW371" s="132"/>
      <c r="LDX371" s="132"/>
      <c r="LDY371" s="132"/>
      <c r="LDZ371" s="132"/>
      <c r="LEA371" s="132"/>
      <c r="LEB371" s="132"/>
      <c r="LEC371" s="132"/>
      <c r="LED371" s="132"/>
      <c r="LEE371" s="132"/>
      <c r="LEF371" s="132"/>
      <c r="LEG371" s="132"/>
      <c r="LEH371" s="132"/>
      <c r="LEI371" s="132"/>
      <c r="LEJ371" s="132"/>
      <c r="LEK371" s="132"/>
      <c r="LEL371" s="132"/>
      <c r="LEM371" s="132"/>
      <c r="LEN371" s="132"/>
      <c r="LEO371" s="132"/>
      <c r="LEP371" s="132"/>
      <c r="LEQ371" s="132"/>
      <c r="LER371" s="132"/>
      <c r="LES371" s="132"/>
      <c r="LET371" s="132"/>
      <c r="LEU371" s="132"/>
      <c r="LEV371" s="132"/>
      <c r="LEW371" s="132"/>
      <c r="LEX371" s="132"/>
      <c r="LEY371" s="132"/>
      <c r="LEZ371" s="132"/>
      <c r="LFA371" s="132"/>
      <c r="LFB371" s="132"/>
      <c r="LFC371" s="132"/>
      <c r="LFD371" s="132"/>
      <c r="LFE371" s="132"/>
      <c r="LFF371" s="132"/>
      <c r="LFG371" s="132"/>
      <c r="LFH371" s="132"/>
      <c r="LFI371" s="132"/>
      <c r="LFJ371" s="132"/>
      <c r="LFK371" s="132"/>
      <c r="LFL371" s="132"/>
      <c r="LFM371" s="132"/>
      <c r="LFN371" s="132"/>
      <c r="LFO371" s="132"/>
      <c r="LFP371" s="132"/>
      <c r="LFQ371" s="132"/>
      <c r="LFR371" s="132"/>
      <c r="LFS371" s="132"/>
      <c r="LFT371" s="132"/>
      <c r="LFU371" s="132"/>
      <c r="LFV371" s="132"/>
      <c r="LFW371" s="132"/>
      <c r="LFX371" s="132"/>
      <c r="LFY371" s="132"/>
      <c r="LFZ371" s="132"/>
      <c r="LGA371" s="132"/>
      <c r="LGB371" s="132"/>
      <c r="LGC371" s="132"/>
      <c r="LGD371" s="132"/>
      <c r="LGE371" s="132"/>
      <c r="LGF371" s="132"/>
      <c r="LGG371" s="132"/>
      <c r="LGH371" s="132"/>
      <c r="LGI371" s="132"/>
      <c r="LGJ371" s="132"/>
      <c r="LGK371" s="132"/>
      <c r="LGL371" s="132"/>
      <c r="LGM371" s="132"/>
      <c r="LGN371" s="132"/>
      <c r="LGO371" s="132"/>
      <c r="LGP371" s="132"/>
      <c r="LGQ371" s="132"/>
      <c r="LGR371" s="132"/>
      <c r="LGS371" s="132"/>
      <c r="LGT371" s="132"/>
      <c r="LGU371" s="132"/>
      <c r="LGV371" s="132"/>
      <c r="LGW371" s="132"/>
      <c r="LGX371" s="132"/>
      <c r="LGY371" s="132"/>
      <c r="LGZ371" s="132"/>
      <c r="LHA371" s="132"/>
      <c r="LHB371" s="132"/>
      <c r="LHC371" s="132"/>
      <c r="LHD371" s="132"/>
      <c r="LHE371" s="132"/>
      <c r="LHF371" s="132"/>
      <c r="LHG371" s="132"/>
      <c r="LHH371" s="132"/>
      <c r="LHI371" s="132"/>
      <c r="LHJ371" s="132"/>
      <c r="LHK371" s="132"/>
      <c r="LHL371" s="132"/>
      <c r="LHM371" s="132"/>
      <c r="LHN371" s="132"/>
      <c r="LHO371" s="132"/>
      <c r="LHP371" s="132"/>
      <c r="LHQ371" s="132"/>
      <c r="LHR371" s="132"/>
      <c r="LHS371" s="132"/>
      <c r="LHT371" s="132"/>
      <c r="LHU371" s="132"/>
      <c r="LHV371" s="132"/>
      <c r="LHW371" s="132"/>
      <c r="LHX371" s="132"/>
      <c r="LHY371" s="132"/>
      <c r="LHZ371" s="132"/>
      <c r="LIA371" s="132"/>
      <c r="LIB371" s="132"/>
      <c r="LIC371" s="132"/>
      <c r="LID371" s="132"/>
      <c r="LIE371" s="132"/>
      <c r="LIF371" s="132"/>
      <c r="LIG371" s="132"/>
      <c r="LIH371" s="132"/>
      <c r="LII371" s="132"/>
      <c r="LIJ371" s="132"/>
      <c r="LIK371" s="132"/>
      <c r="LIL371" s="132"/>
      <c r="LIM371" s="132"/>
      <c r="LIN371" s="132"/>
      <c r="LIO371" s="132"/>
      <c r="LIP371" s="132"/>
      <c r="LIQ371" s="132"/>
      <c r="LIR371" s="132"/>
      <c r="LIS371" s="132"/>
      <c r="LIT371" s="132"/>
      <c r="LIU371" s="132"/>
      <c r="LIV371" s="132"/>
      <c r="LIW371" s="132"/>
      <c r="LIX371" s="132"/>
      <c r="LIY371" s="132"/>
      <c r="LIZ371" s="132"/>
      <c r="LJA371" s="132"/>
      <c r="LJB371" s="132"/>
      <c r="LJC371" s="132"/>
      <c r="LJD371" s="132"/>
      <c r="LJE371" s="132"/>
      <c r="LJF371" s="132"/>
      <c r="LJG371" s="132"/>
      <c r="LJH371" s="132"/>
      <c r="LJI371" s="132"/>
      <c r="LJJ371" s="132"/>
      <c r="LJK371" s="132"/>
      <c r="LJL371" s="132"/>
      <c r="LJM371" s="132"/>
      <c r="LJN371" s="132"/>
      <c r="LJO371" s="132"/>
      <c r="LJP371" s="132"/>
      <c r="LJQ371" s="132"/>
      <c r="LJR371" s="132"/>
      <c r="LJS371" s="132"/>
      <c r="LJT371" s="132"/>
      <c r="LJU371" s="132"/>
      <c r="LJV371" s="132"/>
      <c r="LJW371" s="132"/>
      <c r="LJX371" s="132"/>
      <c r="LJY371" s="132"/>
      <c r="LJZ371" s="132"/>
      <c r="LKA371" s="132"/>
      <c r="LKB371" s="132"/>
      <c r="LKC371" s="132"/>
      <c r="LKD371" s="132"/>
      <c r="LKE371" s="132"/>
      <c r="LKF371" s="132"/>
      <c r="LKG371" s="132"/>
      <c r="LKH371" s="132"/>
      <c r="LKI371" s="132"/>
      <c r="LKJ371" s="132"/>
      <c r="LKK371" s="132"/>
      <c r="LKL371" s="132"/>
      <c r="LKM371" s="132"/>
      <c r="LKN371" s="132"/>
      <c r="LKO371" s="132"/>
      <c r="LKP371" s="132"/>
      <c r="LKQ371" s="132"/>
      <c r="LKR371" s="132"/>
      <c r="LKS371" s="132"/>
      <c r="LKT371" s="132"/>
      <c r="LKU371" s="132"/>
      <c r="LKV371" s="132"/>
      <c r="LKW371" s="132"/>
      <c r="LKX371" s="132"/>
      <c r="LKY371" s="132"/>
      <c r="LKZ371" s="132"/>
      <c r="LLA371" s="132"/>
      <c r="LLB371" s="132"/>
      <c r="LLC371" s="132"/>
      <c r="LLD371" s="132"/>
      <c r="LLE371" s="132"/>
      <c r="LLF371" s="132"/>
      <c r="LLG371" s="132"/>
      <c r="LLH371" s="132"/>
      <c r="LLI371" s="132"/>
      <c r="LLJ371" s="132"/>
      <c r="LLK371" s="132"/>
      <c r="LLL371" s="132"/>
      <c r="LLM371" s="132"/>
      <c r="LLN371" s="132"/>
      <c r="LLO371" s="132"/>
      <c r="LLP371" s="132"/>
      <c r="LLQ371" s="132"/>
      <c r="LLR371" s="132"/>
      <c r="LLS371" s="132"/>
      <c r="LLT371" s="132"/>
      <c r="LLU371" s="132"/>
      <c r="LLV371" s="132"/>
      <c r="LLW371" s="132"/>
      <c r="LLX371" s="132"/>
      <c r="LLY371" s="132"/>
      <c r="LLZ371" s="132"/>
      <c r="LMA371" s="132"/>
      <c r="LMB371" s="132"/>
      <c r="LMC371" s="132"/>
      <c r="LMD371" s="132"/>
      <c r="LME371" s="132"/>
      <c r="LMF371" s="132"/>
      <c r="LMG371" s="132"/>
      <c r="LMH371" s="132"/>
      <c r="LMI371" s="132"/>
      <c r="LMJ371" s="132"/>
      <c r="LMK371" s="132"/>
      <c r="LML371" s="132"/>
      <c r="LMM371" s="132"/>
      <c r="LMN371" s="132"/>
      <c r="LMO371" s="132"/>
      <c r="LMP371" s="132"/>
      <c r="LMQ371" s="132"/>
      <c r="LMR371" s="132"/>
      <c r="LMS371" s="132"/>
      <c r="LMT371" s="132"/>
      <c r="LMU371" s="132"/>
      <c r="LMV371" s="132"/>
      <c r="LMW371" s="132"/>
      <c r="LMX371" s="132"/>
      <c r="LMY371" s="132"/>
      <c r="LMZ371" s="132"/>
      <c r="LNA371" s="132"/>
      <c r="LNB371" s="132"/>
      <c r="LNC371" s="132"/>
      <c r="LND371" s="132"/>
      <c r="LNE371" s="132"/>
      <c r="LNF371" s="132"/>
      <c r="LNG371" s="132"/>
      <c r="LNH371" s="132"/>
      <c r="LNI371" s="132"/>
      <c r="LNJ371" s="132"/>
      <c r="LNK371" s="132"/>
      <c r="LNL371" s="132"/>
      <c r="LNM371" s="132"/>
      <c r="LNN371" s="132"/>
      <c r="LNO371" s="132"/>
      <c r="LNP371" s="132"/>
      <c r="LNQ371" s="132"/>
      <c r="LNR371" s="132"/>
      <c r="LNS371" s="132"/>
      <c r="LNT371" s="132"/>
      <c r="LNU371" s="132"/>
      <c r="LNV371" s="132"/>
      <c r="LNW371" s="132"/>
      <c r="LNX371" s="132"/>
      <c r="LNY371" s="132"/>
      <c r="LNZ371" s="132"/>
      <c r="LOA371" s="132"/>
      <c r="LOB371" s="132"/>
      <c r="LOC371" s="132"/>
      <c r="LOD371" s="132"/>
      <c r="LOE371" s="132"/>
      <c r="LOF371" s="132"/>
      <c r="LOG371" s="132"/>
      <c r="LOH371" s="132"/>
      <c r="LOI371" s="132"/>
      <c r="LOJ371" s="132"/>
      <c r="LOK371" s="132"/>
      <c r="LOL371" s="132"/>
      <c r="LOM371" s="132"/>
      <c r="LON371" s="132"/>
      <c r="LOO371" s="132"/>
      <c r="LOP371" s="132"/>
      <c r="LOQ371" s="132"/>
      <c r="LOR371" s="132"/>
      <c r="LOS371" s="132"/>
      <c r="LOT371" s="132"/>
      <c r="LOU371" s="132"/>
      <c r="LOV371" s="132"/>
      <c r="LOW371" s="132"/>
      <c r="LOX371" s="132"/>
      <c r="LOY371" s="132"/>
      <c r="LOZ371" s="132"/>
      <c r="LPA371" s="132"/>
      <c r="LPB371" s="132"/>
      <c r="LPC371" s="132"/>
      <c r="LPD371" s="132"/>
      <c r="LPE371" s="132"/>
      <c r="LPF371" s="132"/>
      <c r="LPG371" s="132"/>
      <c r="LPH371" s="132"/>
      <c r="LPI371" s="132"/>
      <c r="LPJ371" s="132"/>
      <c r="LPK371" s="132"/>
      <c r="LPL371" s="132"/>
      <c r="LPM371" s="132"/>
      <c r="LPN371" s="132"/>
      <c r="LPO371" s="132"/>
      <c r="LPP371" s="132"/>
      <c r="LPQ371" s="132"/>
      <c r="LPR371" s="132"/>
      <c r="LPS371" s="132"/>
      <c r="LPT371" s="132"/>
      <c r="LPU371" s="132"/>
      <c r="LPV371" s="132"/>
      <c r="LPW371" s="132"/>
      <c r="LPX371" s="132"/>
      <c r="LPY371" s="132"/>
      <c r="LPZ371" s="132"/>
      <c r="LQA371" s="132"/>
      <c r="LQB371" s="132"/>
      <c r="LQC371" s="132"/>
      <c r="LQD371" s="132"/>
      <c r="LQE371" s="132"/>
      <c r="LQF371" s="132"/>
      <c r="LQG371" s="132"/>
      <c r="LQH371" s="132"/>
      <c r="LQI371" s="132"/>
      <c r="LQJ371" s="132"/>
      <c r="LQK371" s="132"/>
      <c r="LQL371" s="132"/>
      <c r="LQM371" s="132"/>
      <c r="LQN371" s="132"/>
      <c r="LQO371" s="132"/>
      <c r="LQP371" s="132"/>
      <c r="LQQ371" s="132"/>
      <c r="LQR371" s="132"/>
      <c r="LQS371" s="132"/>
      <c r="LQT371" s="132"/>
      <c r="LQU371" s="132"/>
      <c r="LQV371" s="132"/>
      <c r="LQW371" s="132"/>
      <c r="LQX371" s="132"/>
      <c r="LQY371" s="132"/>
      <c r="LQZ371" s="132"/>
      <c r="LRA371" s="132"/>
      <c r="LRB371" s="132"/>
      <c r="LRC371" s="132"/>
      <c r="LRD371" s="132"/>
      <c r="LRE371" s="132"/>
      <c r="LRF371" s="132"/>
      <c r="LRG371" s="132"/>
      <c r="LRH371" s="132"/>
      <c r="LRI371" s="132"/>
      <c r="LRJ371" s="132"/>
      <c r="LRK371" s="132"/>
      <c r="LRL371" s="132"/>
      <c r="LRM371" s="132"/>
      <c r="LRN371" s="132"/>
      <c r="LRO371" s="132"/>
      <c r="LRP371" s="132"/>
      <c r="LRQ371" s="132"/>
      <c r="LRR371" s="132"/>
      <c r="LRS371" s="132"/>
      <c r="LRT371" s="132"/>
      <c r="LRU371" s="132"/>
      <c r="LRV371" s="132"/>
      <c r="LRW371" s="132"/>
      <c r="LRX371" s="132"/>
      <c r="LRY371" s="132"/>
      <c r="LRZ371" s="132"/>
      <c r="LSA371" s="132"/>
      <c r="LSB371" s="132"/>
      <c r="LSC371" s="132"/>
      <c r="LSD371" s="132"/>
      <c r="LSE371" s="132"/>
      <c r="LSF371" s="132"/>
      <c r="LSG371" s="132"/>
      <c r="LSH371" s="132"/>
      <c r="LSI371" s="132"/>
      <c r="LSJ371" s="132"/>
      <c r="LSK371" s="132"/>
      <c r="LSL371" s="132"/>
      <c r="LSM371" s="132"/>
      <c r="LSN371" s="132"/>
      <c r="LSO371" s="132"/>
      <c r="LSP371" s="132"/>
      <c r="LSQ371" s="132"/>
      <c r="LSR371" s="132"/>
      <c r="LSS371" s="132"/>
      <c r="LST371" s="132"/>
      <c r="LSU371" s="132"/>
      <c r="LSV371" s="132"/>
      <c r="LSW371" s="132"/>
      <c r="LSX371" s="132"/>
      <c r="LSY371" s="132"/>
      <c r="LSZ371" s="132"/>
      <c r="LTA371" s="132"/>
      <c r="LTB371" s="132"/>
      <c r="LTC371" s="132"/>
      <c r="LTD371" s="132"/>
      <c r="LTE371" s="132"/>
      <c r="LTF371" s="132"/>
      <c r="LTG371" s="132"/>
      <c r="LTH371" s="132"/>
      <c r="LTI371" s="132"/>
      <c r="LTJ371" s="132"/>
      <c r="LTK371" s="132"/>
      <c r="LTL371" s="132"/>
      <c r="LTM371" s="132"/>
      <c r="LTN371" s="132"/>
      <c r="LTO371" s="132"/>
      <c r="LTP371" s="132"/>
      <c r="LTQ371" s="132"/>
      <c r="LTR371" s="132"/>
      <c r="LTS371" s="132"/>
      <c r="LTT371" s="132"/>
      <c r="LTU371" s="132"/>
      <c r="LTV371" s="132"/>
      <c r="LTW371" s="132"/>
      <c r="LTX371" s="132"/>
      <c r="LTY371" s="132"/>
      <c r="LTZ371" s="132"/>
      <c r="LUA371" s="132"/>
      <c r="LUB371" s="132"/>
      <c r="LUC371" s="132"/>
      <c r="LUD371" s="132"/>
      <c r="LUE371" s="132"/>
      <c r="LUF371" s="132"/>
      <c r="LUG371" s="132"/>
      <c r="LUH371" s="132"/>
      <c r="LUI371" s="132"/>
      <c r="LUJ371" s="132"/>
      <c r="LUK371" s="132"/>
      <c r="LUL371" s="132"/>
      <c r="LUM371" s="132"/>
      <c r="LUN371" s="132"/>
      <c r="LUO371" s="132"/>
      <c r="LUP371" s="132"/>
      <c r="LUQ371" s="132"/>
      <c r="LUR371" s="132"/>
      <c r="LUS371" s="132"/>
      <c r="LUT371" s="132"/>
      <c r="LUU371" s="132"/>
      <c r="LUV371" s="132"/>
      <c r="LUW371" s="132"/>
      <c r="LUX371" s="132"/>
      <c r="LUY371" s="132"/>
      <c r="LUZ371" s="132"/>
      <c r="LVA371" s="132"/>
      <c r="LVB371" s="132"/>
      <c r="LVC371" s="132"/>
      <c r="LVD371" s="132"/>
      <c r="LVE371" s="132"/>
      <c r="LVF371" s="132"/>
      <c r="LVG371" s="132"/>
      <c r="LVH371" s="132"/>
      <c r="LVI371" s="132"/>
      <c r="LVJ371" s="132"/>
      <c r="LVK371" s="132"/>
      <c r="LVL371" s="132"/>
      <c r="LVM371" s="132"/>
      <c r="LVN371" s="132"/>
      <c r="LVO371" s="132"/>
      <c r="LVP371" s="132"/>
      <c r="LVQ371" s="132"/>
      <c r="LVR371" s="132"/>
      <c r="LVS371" s="132"/>
      <c r="LVT371" s="132"/>
      <c r="LVU371" s="132"/>
      <c r="LVV371" s="132"/>
      <c r="LVW371" s="132"/>
      <c r="LVX371" s="132"/>
      <c r="LVY371" s="132"/>
      <c r="LVZ371" s="132"/>
      <c r="LWA371" s="132"/>
      <c r="LWB371" s="132"/>
      <c r="LWC371" s="132"/>
      <c r="LWD371" s="132"/>
      <c r="LWE371" s="132"/>
      <c r="LWF371" s="132"/>
      <c r="LWG371" s="132"/>
      <c r="LWH371" s="132"/>
      <c r="LWI371" s="132"/>
      <c r="LWJ371" s="132"/>
      <c r="LWK371" s="132"/>
      <c r="LWL371" s="132"/>
      <c r="LWM371" s="132"/>
      <c r="LWN371" s="132"/>
      <c r="LWO371" s="132"/>
      <c r="LWP371" s="132"/>
      <c r="LWQ371" s="132"/>
      <c r="LWR371" s="132"/>
      <c r="LWS371" s="132"/>
      <c r="LWT371" s="132"/>
      <c r="LWU371" s="132"/>
      <c r="LWV371" s="132"/>
      <c r="LWW371" s="132"/>
      <c r="LWX371" s="132"/>
      <c r="LWY371" s="132"/>
      <c r="LWZ371" s="132"/>
      <c r="LXA371" s="132"/>
      <c r="LXB371" s="132"/>
      <c r="LXC371" s="132"/>
      <c r="LXD371" s="132"/>
      <c r="LXE371" s="132"/>
      <c r="LXF371" s="132"/>
      <c r="LXG371" s="132"/>
      <c r="LXH371" s="132"/>
      <c r="LXI371" s="132"/>
      <c r="LXJ371" s="132"/>
      <c r="LXK371" s="132"/>
      <c r="LXL371" s="132"/>
      <c r="LXM371" s="132"/>
      <c r="LXN371" s="132"/>
      <c r="LXO371" s="132"/>
      <c r="LXP371" s="132"/>
      <c r="LXQ371" s="132"/>
      <c r="LXR371" s="132"/>
      <c r="LXS371" s="132"/>
      <c r="LXT371" s="132"/>
      <c r="LXU371" s="132"/>
      <c r="LXV371" s="132"/>
      <c r="LXW371" s="132"/>
      <c r="LXX371" s="132"/>
      <c r="LXY371" s="132"/>
      <c r="LXZ371" s="132"/>
      <c r="LYA371" s="132"/>
      <c r="LYB371" s="132"/>
      <c r="LYC371" s="132"/>
      <c r="LYD371" s="132"/>
      <c r="LYE371" s="132"/>
      <c r="LYF371" s="132"/>
      <c r="LYG371" s="132"/>
      <c r="LYH371" s="132"/>
      <c r="LYI371" s="132"/>
      <c r="LYJ371" s="132"/>
      <c r="LYK371" s="132"/>
      <c r="LYL371" s="132"/>
      <c r="LYM371" s="132"/>
      <c r="LYN371" s="132"/>
      <c r="LYO371" s="132"/>
      <c r="LYP371" s="132"/>
      <c r="LYQ371" s="132"/>
      <c r="LYR371" s="132"/>
      <c r="LYS371" s="132"/>
      <c r="LYT371" s="132"/>
      <c r="LYU371" s="132"/>
      <c r="LYV371" s="132"/>
      <c r="LYW371" s="132"/>
      <c r="LYX371" s="132"/>
      <c r="LYY371" s="132"/>
      <c r="LYZ371" s="132"/>
      <c r="LZA371" s="132"/>
      <c r="LZB371" s="132"/>
      <c r="LZC371" s="132"/>
      <c r="LZD371" s="132"/>
      <c r="LZE371" s="132"/>
      <c r="LZF371" s="132"/>
      <c r="LZG371" s="132"/>
      <c r="LZH371" s="132"/>
      <c r="LZI371" s="132"/>
      <c r="LZJ371" s="132"/>
      <c r="LZK371" s="132"/>
      <c r="LZL371" s="132"/>
      <c r="LZM371" s="132"/>
      <c r="LZN371" s="132"/>
      <c r="LZO371" s="132"/>
      <c r="LZP371" s="132"/>
      <c r="LZQ371" s="132"/>
      <c r="LZR371" s="132"/>
      <c r="LZS371" s="132"/>
      <c r="LZT371" s="132"/>
      <c r="LZU371" s="132"/>
      <c r="LZV371" s="132"/>
      <c r="LZW371" s="132"/>
      <c r="LZX371" s="132"/>
      <c r="LZY371" s="132"/>
      <c r="LZZ371" s="132"/>
      <c r="MAA371" s="132"/>
      <c r="MAB371" s="132"/>
      <c r="MAC371" s="132"/>
      <c r="MAD371" s="132"/>
      <c r="MAE371" s="132"/>
      <c r="MAF371" s="132"/>
      <c r="MAG371" s="132"/>
      <c r="MAH371" s="132"/>
      <c r="MAI371" s="132"/>
      <c r="MAJ371" s="132"/>
      <c r="MAK371" s="132"/>
      <c r="MAL371" s="132"/>
      <c r="MAM371" s="132"/>
      <c r="MAN371" s="132"/>
      <c r="MAO371" s="132"/>
      <c r="MAP371" s="132"/>
      <c r="MAQ371" s="132"/>
      <c r="MAR371" s="132"/>
      <c r="MAS371" s="132"/>
      <c r="MAT371" s="132"/>
      <c r="MAU371" s="132"/>
      <c r="MAV371" s="132"/>
      <c r="MAW371" s="132"/>
      <c r="MAX371" s="132"/>
      <c r="MAY371" s="132"/>
      <c r="MAZ371" s="132"/>
      <c r="MBA371" s="132"/>
      <c r="MBB371" s="132"/>
      <c r="MBC371" s="132"/>
      <c r="MBD371" s="132"/>
      <c r="MBE371" s="132"/>
      <c r="MBF371" s="132"/>
      <c r="MBG371" s="132"/>
      <c r="MBH371" s="132"/>
      <c r="MBI371" s="132"/>
      <c r="MBJ371" s="132"/>
      <c r="MBK371" s="132"/>
      <c r="MBL371" s="132"/>
      <c r="MBM371" s="132"/>
      <c r="MBN371" s="132"/>
      <c r="MBO371" s="132"/>
      <c r="MBP371" s="132"/>
      <c r="MBQ371" s="132"/>
      <c r="MBR371" s="132"/>
      <c r="MBS371" s="132"/>
      <c r="MBT371" s="132"/>
      <c r="MBU371" s="132"/>
      <c r="MBV371" s="132"/>
      <c r="MBW371" s="132"/>
      <c r="MBX371" s="132"/>
      <c r="MBY371" s="132"/>
      <c r="MBZ371" s="132"/>
      <c r="MCA371" s="132"/>
      <c r="MCB371" s="132"/>
      <c r="MCC371" s="132"/>
      <c r="MCD371" s="132"/>
      <c r="MCE371" s="132"/>
      <c r="MCF371" s="132"/>
      <c r="MCG371" s="132"/>
      <c r="MCH371" s="132"/>
      <c r="MCI371" s="132"/>
      <c r="MCJ371" s="132"/>
      <c r="MCK371" s="132"/>
      <c r="MCL371" s="132"/>
      <c r="MCM371" s="132"/>
      <c r="MCN371" s="132"/>
      <c r="MCO371" s="132"/>
      <c r="MCP371" s="132"/>
      <c r="MCQ371" s="132"/>
      <c r="MCR371" s="132"/>
      <c r="MCS371" s="132"/>
      <c r="MCT371" s="132"/>
      <c r="MCU371" s="132"/>
      <c r="MCV371" s="132"/>
      <c r="MCW371" s="132"/>
      <c r="MCX371" s="132"/>
      <c r="MCY371" s="132"/>
      <c r="MCZ371" s="132"/>
      <c r="MDA371" s="132"/>
      <c r="MDB371" s="132"/>
      <c r="MDC371" s="132"/>
      <c r="MDD371" s="132"/>
      <c r="MDE371" s="132"/>
      <c r="MDF371" s="132"/>
      <c r="MDG371" s="132"/>
      <c r="MDH371" s="132"/>
      <c r="MDI371" s="132"/>
      <c r="MDJ371" s="132"/>
      <c r="MDK371" s="132"/>
      <c r="MDL371" s="132"/>
      <c r="MDM371" s="132"/>
      <c r="MDN371" s="132"/>
      <c r="MDO371" s="132"/>
      <c r="MDP371" s="132"/>
      <c r="MDQ371" s="132"/>
      <c r="MDR371" s="132"/>
      <c r="MDS371" s="132"/>
      <c r="MDT371" s="132"/>
      <c r="MDU371" s="132"/>
      <c r="MDV371" s="132"/>
      <c r="MDW371" s="132"/>
      <c r="MDX371" s="132"/>
      <c r="MDY371" s="132"/>
      <c r="MDZ371" s="132"/>
      <c r="MEA371" s="132"/>
      <c r="MEB371" s="132"/>
      <c r="MEC371" s="132"/>
      <c r="MED371" s="132"/>
      <c r="MEE371" s="132"/>
      <c r="MEF371" s="132"/>
      <c r="MEG371" s="132"/>
      <c r="MEH371" s="132"/>
      <c r="MEI371" s="132"/>
      <c r="MEJ371" s="132"/>
      <c r="MEK371" s="132"/>
      <c r="MEL371" s="132"/>
      <c r="MEM371" s="132"/>
      <c r="MEN371" s="132"/>
      <c r="MEO371" s="132"/>
      <c r="MEP371" s="132"/>
      <c r="MEQ371" s="132"/>
      <c r="MER371" s="132"/>
      <c r="MES371" s="132"/>
      <c r="MET371" s="132"/>
      <c r="MEU371" s="132"/>
      <c r="MEV371" s="132"/>
      <c r="MEW371" s="132"/>
      <c r="MEX371" s="132"/>
      <c r="MEY371" s="132"/>
      <c r="MEZ371" s="132"/>
      <c r="MFA371" s="132"/>
      <c r="MFB371" s="132"/>
      <c r="MFC371" s="132"/>
      <c r="MFD371" s="132"/>
      <c r="MFE371" s="132"/>
      <c r="MFF371" s="132"/>
      <c r="MFG371" s="132"/>
      <c r="MFH371" s="132"/>
      <c r="MFI371" s="132"/>
      <c r="MFJ371" s="132"/>
      <c r="MFK371" s="132"/>
      <c r="MFL371" s="132"/>
      <c r="MFM371" s="132"/>
      <c r="MFN371" s="132"/>
      <c r="MFO371" s="132"/>
      <c r="MFP371" s="132"/>
      <c r="MFQ371" s="132"/>
      <c r="MFR371" s="132"/>
      <c r="MFS371" s="132"/>
      <c r="MFT371" s="132"/>
      <c r="MFU371" s="132"/>
      <c r="MFV371" s="132"/>
      <c r="MFW371" s="132"/>
      <c r="MFX371" s="132"/>
      <c r="MFY371" s="132"/>
      <c r="MFZ371" s="132"/>
      <c r="MGA371" s="132"/>
      <c r="MGB371" s="132"/>
      <c r="MGC371" s="132"/>
      <c r="MGD371" s="132"/>
      <c r="MGE371" s="132"/>
      <c r="MGF371" s="132"/>
      <c r="MGG371" s="132"/>
      <c r="MGH371" s="132"/>
      <c r="MGI371" s="132"/>
      <c r="MGJ371" s="132"/>
      <c r="MGK371" s="132"/>
      <c r="MGL371" s="132"/>
      <c r="MGM371" s="132"/>
      <c r="MGN371" s="132"/>
      <c r="MGO371" s="132"/>
      <c r="MGP371" s="132"/>
      <c r="MGQ371" s="132"/>
      <c r="MGR371" s="132"/>
      <c r="MGS371" s="132"/>
      <c r="MGT371" s="132"/>
      <c r="MGU371" s="132"/>
      <c r="MGV371" s="132"/>
      <c r="MGW371" s="132"/>
      <c r="MGX371" s="132"/>
      <c r="MGY371" s="132"/>
      <c r="MGZ371" s="132"/>
      <c r="MHA371" s="132"/>
      <c r="MHB371" s="132"/>
      <c r="MHC371" s="132"/>
      <c r="MHD371" s="132"/>
      <c r="MHE371" s="132"/>
      <c r="MHF371" s="132"/>
      <c r="MHG371" s="132"/>
      <c r="MHH371" s="132"/>
      <c r="MHI371" s="132"/>
      <c r="MHJ371" s="132"/>
      <c r="MHK371" s="132"/>
      <c r="MHL371" s="132"/>
      <c r="MHM371" s="132"/>
      <c r="MHN371" s="132"/>
      <c r="MHO371" s="132"/>
      <c r="MHP371" s="132"/>
      <c r="MHQ371" s="132"/>
      <c r="MHR371" s="132"/>
      <c r="MHS371" s="132"/>
      <c r="MHT371" s="132"/>
      <c r="MHU371" s="132"/>
      <c r="MHV371" s="132"/>
      <c r="MHW371" s="132"/>
      <c r="MHX371" s="132"/>
      <c r="MHY371" s="132"/>
      <c r="MHZ371" s="132"/>
      <c r="MIA371" s="132"/>
      <c r="MIB371" s="132"/>
      <c r="MIC371" s="132"/>
      <c r="MID371" s="132"/>
      <c r="MIE371" s="132"/>
      <c r="MIF371" s="132"/>
      <c r="MIG371" s="132"/>
      <c r="MIH371" s="132"/>
      <c r="MII371" s="132"/>
      <c r="MIJ371" s="132"/>
      <c r="MIK371" s="132"/>
      <c r="MIL371" s="132"/>
      <c r="MIM371" s="132"/>
      <c r="MIN371" s="132"/>
      <c r="MIO371" s="132"/>
      <c r="MIP371" s="132"/>
      <c r="MIQ371" s="132"/>
      <c r="MIR371" s="132"/>
      <c r="MIS371" s="132"/>
      <c r="MIT371" s="132"/>
      <c r="MIU371" s="132"/>
      <c r="MIV371" s="132"/>
      <c r="MIW371" s="132"/>
      <c r="MIX371" s="132"/>
      <c r="MIY371" s="132"/>
      <c r="MIZ371" s="132"/>
      <c r="MJA371" s="132"/>
      <c r="MJB371" s="132"/>
      <c r="MJC371" s="132"/>
      <c r="MJD371" s="132"/>
      <c r="MJE371" s="132"/>
      <c r="MJF371" s="132"/>
      <c r="MJG371" s="132"/>
      <c r="MJH371" s="132"/>
      <c r="MJI371" s="132"/>
      <c r="MJJ371" s="132"/>
      <c r="MJK371" s="132"/>
      <c r="MJL371" s="132"/>
      <c r="MJM371" s="132"/>
      <c r="MJN371" s="132"/>
      <c r="MJO371" s="132"/>
      <c r="MJP371" s="132"/>
      <c r="MJQ371" s="132"/>
      <c r="MJR371" s="132"/>
      <c r="MJS371" s="132"/>
      <c r="MJT371" s="132"/>
      <c r="MJU371" s="132"/>
      <c r="MJV371" s="132"/>
      <c r="MJW371" s="132"/>
      <c r="MJX371" s="132"/>
      <c r="MJY371" s="132"/>
      <c r="MJZ371" s="132"/>
      <c r="MKA371" s="132"/>
      <c r="MKB371" s="132"/>
      <c r="MKC371" s="132"/>
      <c r="MKD371" s="132"/>
      <c r="MKE371" s="132"/>
      <c r="MKF371" s="132"/>
      <c r="MKG371" s="132"/>
      <c r="MKH371" s="132"/>
      <c r="MKI371" s="132"/>
      <c r="MKJ371" s="132"/>
      <c r="MKK371" s="132"/>
      <c r="MKL371" s="132"/>
      <c r="MKM371" s="132"/>
      <c r="MKN371" s="132"/>
      <c r="MKO371" s="132"/>
      <c r="MKP371" s="132"/>
      <c r="MKQ371" s="132"/>
      <c r="MKR371" s="132"/>
      <c r="MKS371" s="132"/>
      <c r="MKT371" s="132"/>
      <c r="MKU371" s="132"/>
      <c r="MKV371" s="132"/>
      <c r="MKW371" s="132"/>
      <c r="MKX371" s="132"/>
      <c r="MKY371" s="132"/>
      <c r="MKZ371" s="132"/>
      <c r="MLA371" s="132"/>
      <c r="MLB371" s="132"/>
      <c r="MLC371" s="132"/>
      <c r="MLD371" s="132"/>
      <c r="MLE371" s="132"/>
      <c r="MLF371" s="132"/>
      <c r="MLG371" s="132"/>
      <c r="MLH371" s="132"/>
      <c r="MLI371" s="132"/>
      <c r="MLJ371" s="132"/>
      <c r="MLK371" s="132"/>
      <c r="MLL371" s="132"/>
      <c r="MLM371" s="132"/>
      <c r="MLN371" s="132"/>
      <c r="MLO371" s="132"/>
      <c r="MLP371" s="132"/>
      <c r="MLQ371" s="132"/>
      <c r="MLR371" s="132"/>
      <c r="MLS371" s="132"/>
      <c r="MLT371" s="132"/>
      <c r="MLU371" s="132"/>
      <c r="MLV371" s="132"/>
      <c r="MLW371" s="132"/>
      <c r="MLX371" s="132"/>
      <c r="MLY371" s="132"/>
      <c r="MLZ371" s="132"/>
      <c r="MMA371" s="132"/>
      <c r="MMB371" s="132"/>
      <c r="MMC371" s="132"/>
      <c r="MMD371" s="132"/>
      <c r="MME371" s="132"/>
      <c r="MMF371" s="132"/>
      <c r="MMG371" s="132"/>
      <c r="MMH371" s="132"/>
      <c r="MMI371" s="132"/>
      <c r="MMJ371" s="132"/>
      <c r="MMK371" s="132"/>
      <c r="MML371" s="132"/>
      <c r="MMM371" s="132"/>
      <c r="MMN371" s="132"/>
      <c r="MMO371" s="132"/>
      <c r="MMP371" s="132"/>
      <c r="MMQ371" s="132"/>
      <c r="MMR371" s="132"/>
      <c r="MMS371" s="132"/>
      <c r="MMT371" s="132"/>
      <c r="MMU371" s="132"/>
      <c r="MMV371" s="132"/>
      <c r="MMW371" s="132"/>
      <c r="MMX371" s="132"/>
      <c r="MMY371" s="132"/>
      <c r="MMZ371" s="132"/>
      <c r="MNA371" s="132"/>
      <c r="MNB371" s="132"/>
      <c r="MNC371" s="132"/>
      <c r="MND371" s="132"/>
      <c r="MNE371" s="132"/>
      <c r="MNF371" s="132"/>
      <c r="MNG371" s="132"/>
      <c r="MNH371" s="132"/>
      <c r="MNI371" s="132"/>
      <c r="MNJ371" s="132"/>
      <c r="MNK371" s="132"/>
      <c r="MNL371" s="132"/>
      <c r="MNM371" s="132"/>
      <c r="MNN371" s="132"/>
      <c r="MNO371" s="132"/>
      <c r="MNP371" s="132"/>
      <c r="MNQ371" s="132"/>
      <c r="MNR371" s="132"/>
      <c r="MNS371" s="132"/>
      <c r="MNT371" s="132"/>
      <c r="MNU371" s="132"/>
      <c r="MNV371" s="132"/>
      <c r="MNW371" s="132"/>
      <c r="MNX371" s="132"/>
      <c r="MNY371" s="132"/>
      <c r="MNZ371" s="132"/>
      <c r="MOA371" s="132"/>
      <c r="MOB371" s="132"/>
      <c r="MOC371" s="132"/>
      <c r="MOD371" s="132"/>
      <c r="MOE371" s="132"/>
      <c r="MOF371" s="132"/>
      <c r="MOG371" s="132"/>
      <c r="MOH371" s="132"/>
      <c r="MOI371" s="132"/>
      <c r="MOJ371" s="132"/>
      <c r="MOK371" s="132"/>
      <c r="MOL371" s="132"/>
      <c r="MOM371" s="132"/>
      <c r="MON371" s="132"/>
      <c r="MOO371" s="132"/>
      <c r="MOP371" s="132"/>
      <c r="MOQ371" s="132"/>
      <c r="MOR371" s="132"/>
      <c r="MOS371" s="132"/>
      <c r="MOT371" s="132"/>
      <c r="MOU371" s="132"/>
      <c r="MOV371" s="132"/>
      <c r="MOW371" s="132"/>
      <c r="MOX371" s="132"/>
      <c r="MOY371" s="132"/>
      <c r="MOZ371" s="132"/>
      <c r="MPA371" s="132"/>
      <c r="MPB371" s="132"/>
      <c r="MPC371" s="132"/>
      <c r="MPD371" s="132"/>
      <c r="MPE371" s="132"/>
      <c r="MPF371" s="132"/>
      <c r="MPG371" s="132"/>
      <c r="MPH371" s="132"/>
      <c r="MPI371" s="132"/>
      <c r="MPJ371" s="132"/>
      <c r="MPK371" s="132"/>
      <c r="MPL371" s="132"/>
      <c r="MPM371" s="132"/>
      <c r="MPN371" s="132"/>
      <c r="MPO371" s="132"/>
      <c r="MPP371" s="132"/>
      <c r="MPQ371" s="132"/>
      <c r="MPR371" s="132"/>
      <c r="MPS371" s="132"/>
      <c r="MPT371" s="132"/>
      <c r="MPU371" s="132"/>
      <c r="MPV371" s="132"/>
      <c r="MPW371" s="132"/>
      <c r="MPX371" s="132"/>
      <c r="MPY371" s="132"/>
      <c r="MPZ371" s="132"/>
      <c r="MQA371" s="132"/>
      <c r="MQB371" s="132"/>
      <c r="MQC371" s="132"/>
      <c r="MQD371" s="132"/>
      <c r="MQE371" s="132"/>
      <c r="MQF371" s="132"/>
      <c r="MQG371" s="132"/>
      <c r="MQH371" s="132"/>
      <c r="MQI371" s="132"/>
      <c r="MQJ371" s="132"/>
      <c r="MQK371" s="132"/>
      <c r="MQL371" s="132"/>
      <c r="MQM371" s="132"/>
      <c r="MQN371" s="132"/>
      <c r="MQO371" s="132"/>
      <c r="MQP371" s="132"/>
      <c r="MQQ371" s="132"/>
      <c r="MQR371" s="132"/>
      <c r="MQS371" s="132"/>
      <c r="MQT371" s="132"/>
      <c r="MQU371" s="132"/>
      <c r="MQV371" s="132"/>
      <c r="MQW371" s="132"/>
      <c r="MQX371" s="132"/>
      <c r="MQY371" s="132"/>
      <c r="MQZ371" s="132"/>
      <c r="MRA371" s="132"/>
      <c r="MRB371" s="132"/>
      <c r="MRC371" s="132"/>
      <c r="MRD371" s="132"/>
      <c r="MRE371" s="132"/>
      <c r="MRF371" s="132"/>
      <c r="MRG371" s="132"/>
      <c r="MRH371" s="132"/>
      <c r="MRI371" s="132"/>
      <c r="MRJ371" s="132"/>
      <c r="MRK371" s="132"/>
      <c r="MRL371" s="132"/>
      <c r="MRM371" s="132"/>
      <c r="MRN371" s="132"/>
      <c r="MRO371" s="132"/>
      <c r="MRP371" s="132"/>
      <c r="MRQ371" s="132"/>
      <c r="MRR371" s="132"/>
      <c r="MRS371" s="132"/>
      <c r="MRT371" s="132"/>
      <c r="MRU371" s="132"/>
      <c r="MRV371" s="132"/>
      <c r="MRW371" s="132"/>
      <c r="MRX371" s="132"/>
      <c r="MRY371" s="132"/>
      <c r="MRZ371" s="132"/>
      <c r="MSA371" s="132"/>
      <c r="MSB371" s="132"/>
      <c r="MSC371" s="132"/>
      <c r="MSD371" s="132"/>
      <c r="MSE371" s="132"/>
      <c r="MSF371" s="132"/>
      <c r="MSG371" s="132"/>
      <c r="MSH371" s="132"/>
      <c r="MSI371" s="132"/>
      <c r="MSJ371" s="132"/>
      <c r="MSK371" s="132"/>
      <c r="MSL371" s="132"/>
      <c r="MSM371" s="132"/>
      <c r="MSN371" s="132"/>
      <c r="MSO371" s="132"/>
      <c r="MSP371" s="132"/>
      <c r="MSQ371" s="132"/>
      <c r="MSR371" s="132"/>
      <c r="MSS371" s="132"/>
      <c r="MST371" s="132"/>
      <c r="MSU371" s="132"/>
      <c r="MSV371" s="132"/>
      <c r="MSW371" s="132"/>
      <c r="MSX371" s="132"/>
      <c r="MSY371" s="132"/>
      <c r="MSZ371" s="132"/>
      <c r="MTA371" s="132"/>
      <c r="MTB371" s="132"/>
      <c r="MTC371" s="132"/>
      <c r="MTD371" s="132"/>
      <c r="MTE371" s="132"/>
      <c r="MTF371" s="132"/>
      <c r="MTG371" s="132"/>
      <c r="MTH371" s="132"/>
      <c r="MTI371" s="132"/>
      <c r="MTJ371" s="132"/>
      <c r="MTK371" s="132"/>
      <c r="MTL371" s="132"/>
      <c r="MTM371" s="132"/>
      <c r="MTN371" s="132"/>
      <c r="MTO371" s="132"/>
      <c r="MTP371" s="132"/>
      <c r="MTQ371" s="132"/>
      <c r="MTR371" s="132"/>
      <c r="MTS371" s="132"/>
      <c r="MTT371" s="132"/>
      <c r="MTU371" s="132"/>
      <c r="MTV371" s="132"/>
      <c r="MTW371" s="132"/>
      <c r="MTX371" s="132"/>
      <c r="MTY371" s="132"/>
      <c r="MTZ371" s="132"/>
      <c r="MUA371" s="132"/>
      <c r="MUB371" s="132"/>
      <c r="MUC371" s="132"/>
      <c r="MUD371" s="132"/>
      <c r="MUE371" s="132"/>
      <c r="MUF371" s="132"/>
      <c r="MUG371" s="132"/>
      <c r="MUH371" s="132"/>
      <c r="MUI371" s="132"/>
      <c r="MUJ371" s="132"/>
      <c r="MUK371" s="132"/>
      <c r="MUL371" s="132"/>
      <c r="MUM371" s="132"/>
      <c r="MUN371" s="132"/>
      <c r="MUO371" s="132"/>
      <c r="MUP371" s="132"/>
      <c r="MUQ371" s="132"/>
      <c r="MUR371" s="132"/>
      <c r="MUS371" s="132"/>
      <c r="MUT371" s="132"/>
      <c r="MUU371" s="132"/>
      <c r="MUV371" s="132"/>
      <c r="MUW371" s="132"/>
      <c r="MUX371" s="132"/>
      <c r="MUY371" s="132"/>
      <c r="MUZ371" s="132"/>
      <c r="MVA371" s="132"/>
      <c r="MVB371" s="132"/>
      <c r="MVC371" s="132"/>
      <c r="MVD371" s="132"/>
      <c r="MVE371" s="132"/>
      <c r="MVF371" s="132"/>
      <c r="MVG371" s="132"/>
      <c r="MVH371" s="132"/>
      <c r="MVI371" s="132"/>
      <c r="MVJ371" s="132"/>
      <c r="MVK371" s="132"/>
      <c r="MVL371" s="132"/>
      <c r="MVM371" s="132"/>
      <c r="MVN371" s="132"/>
      <c r="MVO371" s="132"/>
      <c r="MVP371" s="132"/>
      <c r="MVQ371" s="132"/>
      <c r="MVR371" s="132"/>
      <c r="MVS371" s="132"/>
      <c r="MVT371" s="132"/>
      <c r="MVU371" s="132"/>
      <c r="MVV371" s="132"/>
      <c r="MVW371" s="132"/>
      <c r="MVX371" s="132"/>
      <c r="MVY371" s="132"/>
      <c r="MVZ371" s="132"/>
      <c r="MWA371" s="132"/>
      <c r="MWB371" s="132"/>
      <c r="MWC371" s="132"/>
      <c r="MWD371" s="132"/>
      <c r="MWE371" s="132"/>
      <c r="MWF371" s="132"/>
      <c r="MWG371" s="132"/>
      <c r="MWH371" s="132"/>
      <c r="MWI371" s="132"/>
      <c r="MWJ371" s="132"/>
      <c r="MWK371" s="132"/>
      <c r="MWL371" s="132"/>
      <c r="MWM371" s="132"/>
      <c r="MWN371" s="132"/>
      <c r="MWO371" s="132"/>
      <c r="MWP371" s="132"/>
      <c r="MWQ371" s="132"/>
      <c r="MWR371" s="132"/>
      <c r="MWS371" s="132"/>
      <c r="MWT371" s="132"/>
      <c r="MWU371" s="132"/>
      <c r="MWV371" s="132"/>
      <c r="MWW371" s="132"/>
      <c r="MWX371" s="132"/>
      <c r="MWY371" s="132"/>
      <c r="MWZ371" s="132"/>
      <c r="MXA371" s="132"/>
      <c r="MXB371" s="132"/>
      <c r="MXC371" s="132"/>
      <c r="MXD371" s="132"/>
      <c r="MXE371" s="132"/>
      <c r="MXF371" s="132"/>
      <c r="MXG371" s="132"/>
      <c r="MXH371" s="132"/>
      <c r="MXI371" s="132"/>
      <c r="MXJ371" s="132"/>
      <c r="MXK371" s="132"/>
      <c r="MXL371" s="132"/>
      <c r="MXM371" s="132"/>
      <c r="MXN371" s="132"/>
      <c r="MXO371" s="132"/>
      <c r="MXP371" s="132"/>
      <c r="MXQ371" s="132"/>
      <c r="MXR371" s="132"/>
      <c r="MXS371" s="132"/>
      <c r="MXT371" s="132"/>
      <c r="MXU371" s="132"/>
      <c r="MXV371" s="132"/>
      <c r="MXW371" s="132"/>
      <c r="MXX371" s="132"/>
      <c r="MXY371" s="132"/>
      <c r="MXZ371" s="132"/>
      <c r="MYA371" s="132"/>
      <c r="MYB371" s="132"/>
      <c r="MYC371" s="132"/>
      <c r="MYD371" s="132"/>
      <c r="MYE371" s="132"/>
      <c r="MYF371" s="132"/>
      <c r="MYG371" s="132"/>
      <c r="MYH371" s="132"/>
      <c r="MYI371" s="132"/>
      <c r="MYJ371" s="132"/>
      <c r="MYK371" s="132"/>
      <c r="MYL371" s="132"/>
      <c r="MYM371" s="132"/>
      <c r="MYN371" s="132"/>
      <c r="MYO371" s="132"/>
      <c r="MYP371" s="132"/>
      <c r="MYQ371" s="132"/>
      <c r="MYR371" s="132"/>
      <c r="MYS371" s="132"/>
      <c r="MYT371" s="132"/>
      <c r="MYU371" s="132"/>
      <c r="MYV371" s="132"/>
      <c r="MYW371" s="132"/>
      <c r="MYX371" s="132"/>
      <c r="MYY371" s="132"/>
      <c r="MYZ371" s="132"/>
      <c r="MZA371" s="132"/>
      <c r="MZB371" s="132"/>
      <c r="MZC371" s="132"/>
      <c r="MZD371" s="132"/>
      <c r="MZE371" s="132"/>
      <c r="MZF371" s="132"/>
      <c r="MZG371" s="132"/>
      <c r="MZH371" s="132"/>
      <c r="MZI371" s="132"/>
      <c r="MZJ371" s="132"/>
      <c r="MZK371" s="132"/>
      <c r="MZL371" s="132"/>
      <c r="MZM371" s="132"/>
      <c r="MZN371" s="132"/>
      <c r="MZO371" s="132"/>
      <c r="MZP371" s="132"/>
      <c r="MZQ371" s="132"/>
      <c r="MZR371" s="132"/>
      <c r="MZS371" s="132"/>
      <c r="MZT371" s="132"/>
      <c r="MZU371" s="132"/>
      <c r="MZV371" s="132"/>
      <c r="MZW371" s="132"/>
      <c r="MZX371" s="132"/>
      <c r="MZY371" s="132"/>
      <c r="MZZ371" s="132"/>
      <c r="NAA371" s="132"/>
      <c r="NAB371" s="132"/>
      <c r="NAC371" s="132"/>
      <c r="NAD371" s="132"/>
      <c r="NAE371" s="132"/>
      <c r="NAF371" s="132"/>
      <c r="NAG371" s="132"/>
      <c r="NAH371" s="132"/>
      <c r="NAI371" s="132"/>
      <c r="NAJ371" s="132"/>
      <c r="NAK371" s="132"/>
      <c r="NAL371" s="132"/>
      <c r="NAM371" s="132"/>
      <c r="NAN371" s="132"/>
      <c r="NAO371" s="132"/>
      <c r="NAP371" s="132"/>
      <c r="NAQ371" s="132"/>
      <c r="NAR371" s="132"/>
      <c r="NAS371" s="132"/>
      <c r="NAT371" s="132"/>
      <c r="NAU371" s="132"/>
      <c r="NAV371" s="132"/>
      <c r="NAW371" s="132"/>
      <c r="NAX371" s="132"/>
      <c r="NAY371" s="132"/>
      <c r="NAZ371" s="132"/>
      <c r="NBA371" s="132"/>
      <c r="NBB371" s="132"/>
      <c r="NBC371" s="132"/>
      <c r="NBD371" s="132"/>
      <c r="NBE371" s="132"/>
      <c r="NBF371" s="132"/>
      <c r="NBG371" s="132"/>
      <c r="NBH371" s="132"/>
      <c r="NBI371" s="132"/>
      <c r="NBJ371" s="132"/>
      <c r="NBK371" s="132"/>
      <c r="NBL371" s="132"/>
      <c r="NBM371" s="132"/>
      <c r="NBN371" s="132"/>
      <c r="NBO371" s="132"/>
      <c r="NBP371" s="132"/>
      <c r="NBQ371" s="132"/>
      <c r="NBR371" s="132"/>
      <c r="NBS371" s="132"/>
      <c r="NBT371" s="132"/>
      <c r="NBU371" s="132"/>
      <c r="NBV371" s="132"/>
      <c r="NBW371" s="132"/>
      <c r="NBX371" s="132"/>
      <c r="NBY371" s="132"/>
      <c r="NBZ371" s="132"/>
      <c r="NCA371" s="132"/>
      <c r="NCB371" s="132"/>
      <c r="NCC371" s="132"/>
      <c r="NCD371" s="132"/>
      <c r="NCE371" s="132"/>
      <c r="NCF371" s="132"/>
      <c r="NCG371" s="132"/>
      <c r="NCH371" s="132"/>
      <c r="NCI371" s="132"/>
      <c r="NCJ371" s="132"/>
      <c r="NCK371" s="132"/>
      <c r="NCL371" s="132"/>
      <c r="NCM371" s="132"/>
      <c r="NCN371" s="132"/>
      <c r="NCO371" s="132"/>
      <c r="NCP371" s="132"/>
      <c r="NCQ371" s="132"/>
      <c r="NCR371" s="132"/>
      <c r="NCS371" s="132"/>
      <c r="NCT371" s="132"/>
      <c r="NCU371" s="132"/>
      <c r="NCV371" s="132"/>
      <c r="NCW371" s="132"/>
      <c r="NCX371" s="132"/>
      <c r="NCY371" s="132"/>
      <c r="NCZ371" s="132"/>
      <c r="NDA371" s="132"/>
      <c r="NDB371" s="132"/>
      <c r="NDC371" s="132"/>
      <c r="NDD371" s="132"/>
      <c r="NDE371" s="132"/>
      <c r="NDF371" s="132"/>
      <c r="NDG371" s="132"/>
      <c r="NDH371" s="132"/>
      <c r="NDI371" s="132"/>
      <c r="NDJ371" s="132"/>
      <c r="NDK371" s="132"/>
      <c r="NDL371" s="132"/>
      <c r="NDM371" s="132"/>
      <c r="NDN371" s="132"/>
      <c r="NDO371" s="132"/>
      <c r="NDP371" s="132"/>
      <c r="NDQ371" s="132"/>
      <c r="NDR371" s="132"/>
      <c r="NDS371" s="132"/>
      <c r="NDT371" s="132"/>
      <c r="NDU371" s="132"/>
      <c r="NDV371" s="132"/>
      <c r="NDW371" s="132"/>
      <c r="NDX371" s="132"/>
      <c r="NDY371" s="132"/>
      <c r="NDZ371" s="132"/>
      <c r="NEA371" s="132"/>
      <c r="NEB371" s="132"/>
      <c r="NEC371" s="132"/>
      <c r="NED371" s="132"/>
      <c r="NEE371" s="132"/>
      <c r="NEF371" s="132"/>
      <c r="NEG371" s="132"/>
      <c r="NEH371" s="132"/>
      <c r="NEI371" s="132"/>
      <c r="NEJ371" s="132"/>
      <c r="NEK371" s="132"/>
      <c r="NEL371" s="132"/>
      <c r="NEM371" s="132"/>
      <c r="NEN371" s="132"/>
      <c r="NEO371" s="132"/>
      <c r="NEP371" s="132"/>
      <c r="NEQ371" s="132"/>
      <c r="NER371" s="132"/>
      <c r="NES371" s="132"/>
      <c r="NET371" s="132"/>
      <c r="NEU371" s="132"/>
      <c r="NEV371" s="132"/>
      <c r="NEW371" s="132"/>
      <c r="NEX371" s="132"/>
      <c r="NEY371" s="132"/>
      <c r="NEZ371" s="132"/>
      <c r="NFA371" s="132"/>
      <c r="NFB371" s="132"/>
      <c r="NFC371" s="132"/>
      <c r="NFD371" s="132"/>
      <c r="NFE371" s="132"/>
      <c r="NFF371" s="132"/>
      <c r="NFG371" s="132"/>
      <c r="NFH371" s="132"/>
      <c r="NFI371" s="132"/>
      <c r="NFJ371" s="132"/>
      <c r="NFK371" s="132"/>
      <c r="NFL371" s="132"/>
      <c r="NFM371" s="132"/>
      <c r="NFN371" s="132"/>
      <c r="NFO371" s="132"/>
      <c r="NFP371" s="132"/>
      <c r="NFQ371" s="132"/>
      <c r="NFR371" s="132"/>
      <c r="NFS371" s="132"/>
      <c r="NFT371" s="132"/>
      <c r="NFU371" s="132"/>
      <c r="NFV371" s="132"/>
      <c r="NFW371" s="132"/>
      <c r="NFX371" s="132"/>
      <c r="NFY371" s="132"/>
      <c r="NFZ371" s="132"/>
      <c r="NGA371" s="132"/>
      <c r="NGB371" s="132"/>
      <c r="NGC371" s="132"/>
      <c r="NGD371" s="132"/>
      <c r="NGE371" s="132"/>
      <c r="NGF371" s="132"/>
      <c r="NGG371" s="132"/>
      <c r="NGH371" s="132"/>
      <c r="NGI371" s="132"/>
      <c r="NGJ371" s="132"/>
      <c r="NGK371" s="132"/>
      <c r="NGL371" s="132"/>
      <c r="NGM371" s="132"/>
      <c r="NGN371" s="132"/>
      <c r="NGO371" s="132"/>
      <c r="NGP371" s="132"/>
      <c r="NGQ371" s="132"/>
      <c r="NGR371" s="132"/>
      <c r="NGS371" s="132"/>
      <c r="NGT371" s="132"/>
      <c r="NGU371" s="132"/>
      <c r="NGV371" s="132"/>
      <c r="NGW371" s="132"/>
      <c r="NGX371" s="132"/>
      <c r="NGY371" s="132"/>
      <c r="NGZ371" s="132"/>
      <c r="NHA371" s="132"/>
      <c r="NHB371" s="132"/>
      <c r="NHC371" s="132"/>
      <c r="NHD371" s="132"/>
      <c r="NHE371" s="132"/>
      <c r="NHF371" s="132"/>
      <c r="NHG371" s="132"/>
      <c r="NHH371" s="132"/>
      <c r="NHI371" s="132"/>
      <c r="NHJ371" s="132"/>
      <c r="NHK371" s="132"/>
      <c r="NHL371" s="132"/>
      <c r="NHM371" s="132"/>
      <c r="NHN371" s="132"/>
      <c r="NHO371" s="132"/>
      <c r="NHP371" s="132"/>
      <c r="NHQ371" s="132"/>
      <c r="NHR371" s="132"/>
      <c r="NHS371" s="132"/>
      <c r="NHT371" s="132"/>
      <c r="NHU371" s="132"/>
      <c r="NHV371" s="132"/>
      <c r="NHW371" s="132"/>
      <c r="NHX371" s="132"/>
      <c r="NHY371" s="132"/>
      <c r="NHZ371" s="132"/>
      <c r="NIA371" s="132"/>
      <c r="NIB371" s="132"/>
      <c r="NIC371" s="132"/>
      <c r="NID371" s="132"/>
      <c r="NIE371" s="132"/>
      <c r="NIF371" s="132"/>
      <c r="NIG371" s="132"/>
      <c r="NIH371" s="132"/>
      <c r="NII371" s="132"/>
      <c r="NIJ371" s="132"/>
      <c r="NIK371" s="132"/>
      <c r="NIL371" s="132"/>
      <c r="NIM371" s="132"/>
      <c r="NIN371" s="132"/>
      <c r="NIO371" s="132"/>
      <c r="NIP371" s="132"/>
      <c r="NIQ371" s="132"/>
      <c r="NIR371" s="132"/>
      <c r="NIS371" s="132"/>
      <c r="NIT371" s="132"/>
      <c r="NIU371" s="132"/>
      <c r="NIV371" s="132"/>
      <c r="NIW371" s="132"/>
      <c r="NIX371" s="132"/>
      <c r="NIY371" s="132"/>
      <c r="NIZ371" s="132"/>
      <c r="NJA371" s="132"/>
      <c r="NJB371" s="132"/>
      <c r="NJC371" s="132"/>
      <c r="NJD371" s="132"/>
      <c r="NJE371" s="132"/>
      <c r="NJF371" s="132"/>
      <c r="NJG371" s="132"/>
      <c r="NJH371" s="132"/>
      <c r="NJI371" s="132"/>
      <c r="NJJ371" s="132"/>
      <c r="NJK371" s="132"/>
      <c r="NJL371" s="132"/>
      <c r="NJM371" s="132"/>
      <c r="NJN371" s="132"/>
      <c r="NJO371" s="132"/>
      <c r="NJP371" s="132"/>
      <c r="NJQ371" s="132"/>
      <c r="NJR371" s="132"/>
      <c r="NJS371" s="132"/>
      <c r="NJT371" s="132"/>
      <c r="NJU371" s="132"/>
      <c r="NJV371" s="132"/>
      <c r="NJW371" s="132"/>
      <c r="NJX371" s="132"/>
      <c r="NJY371" s="132"/>
      <c r="NJZ371" s="132"/>
      <c r="NKA371" s="132"/>
      <c r="NKB371" s="132"/>
      <c r="NKC371" s="132"/>
      <c r="NKD371" s="132"/>
      <c r="NKE371" s="132"/>
      <c r="NKF371" s="132"/>
      <c r="NKG371" s="132"/>
      <c r="NKH371" s="132"/>
      <c r="NKI371" s="132"/>
      <c r="NKJ371" s="132"/>
      <c r="NKK371" s="132"/>
      <c r="NKL371" s="132"/>
      <c r="NKM371" s="132"/>
      <c r="NKN371" s="132"/>
      <c r="NKO371" s="132"/>
      <c r="NKP371" s="132"/>
      <c r="NKQ371" s="132"/>
      <c r="NKR371" s="132"/>
      <c r="NKS371" s="132"/>
      <c r="NKT371" s="132"/>
      <c r="NKU371" s="132"/>
      <c r="NKV371" s="132"/>
      <c r="NKW371" s="132"/>
      <c r="NKX371" s="132"/>
      <c r="NKY371" s="132"/>
      <c r="NKZ371" s="132"/>
      <c r="NLA371" s="132"/>
      <c r="NLB371" s="132"/>
      <c r="NLC371" s="132"/>
      <c r="NLD371" s="132"/>
      <c r="NLE371" s="132"/>
      <c r="NLF371" s="132"/>
      <c r="NLG371" s="132"/>
      <c r="NLH371" s="132"/>
      <c r="NLI371" s="132"/>
      <c r="NLJ371" s="132"/>
      <c r="NLK371" s="132"/>
      <c r="NLL371" s="132"/>
      <c r="NLM371" s="132"/>
      <c r="NLN371" s="132"/>
      <c r="NLO371" s="132"/>
      <c r="NLP371" s="132"/>
      <c r="NLQ371" s="132"/>
      <c r="NLR371" s="132"/>
      <c r="NLS371" s="132"/>
      <c r="NLT371" s="132"/>
      <c r="NLU371" s="132"/>
      <c r="NLV371" s="132"/>
      <c r="NLW371" s="132"/>
      <c r="NLX371" s="132"/>
      <c r="NLY371" s="132"/>
      <c r="NLZ371" s="132"/>
      <c r="NMA371" s="132"/>
      <c r="NMB371" s="132"/>
      <c r="NMC371" s="132"/>
      <c r="NMD371" s="132"/>
      <c r="NME371" s="132"/>
      <c r="NMF371" s="132"/>
      <c r="NMG371" s="132"/>
      <c r="NMH371" s="132"/>
      <c r="NMI371" s="132"/>
      <c r="NMJ371" s="132"/>
      <c r="NMK371" s="132"/>
      <c r="NML371" s="132"/>
      <c r="NMM371" s="132"/>
      <c r="NMN371" s="132"/>
      <c r="NMO371" s="132"/>
      <c r="NMP371" s="132"/>
      <c r="NMQ371" s="132"/>
      <c r="NMR371" s="132"/>
      <c r="NMS371" s="132"/>
      <c r="NMT371" s="132"/>
      <c r="NMU371" s="132"/>
      <c r="NMV371" s="132"/>
      <c r="NMW371" s="132"/>
      <c r="NMX371" s="132"/>
      <c r="NMY371" s="132"/>
      <c r="NMZ371" s="132"/>
      <c r="NNA371" s="132"/>
      <c r="NNB371" s="132"/>
      <c r="NNC371" s="132"/>
      <c r="NND371" s="132"/>
      <c r="NNE371" s="132"/>
      <c r="NNF371" s="132"/>
      <c r="NNG371" s="132"/>
      <c r="NNH371" s="132"/>
      <c r="NNI371" s="132"/>
      <c r="NNJ371" s="132"/>
      <c r="NNK371" s="132"/>
      <c r="NNL371" s="132"/>
      <c r="NNM371" s="132"/>
      <c r="NNN371" s="132"/>
      <c r="NNO371" s="132"/>
      <c r="NNP371" s="132"/>
      <c r="NNQ371" s="132"/>
      <c r="NNR371" s="132"/>
      <c r="NNS371" s="132"/>
      <c r="NNT371" s="132"/>
      <c r="NNU371" s="132"/>
      <c r="NNV371" s="132"/>
      <c r="NNW371" s="132"/>
      <c r="NNX371" s="132"/>
      <c r="NNY371" s="132"/>
      <c r="NNZ371" s="132"/>
      <c r="NOA371" s="132"/>
      <c r="NOB371" s="132"/>
      <c r="NOC371" s="132"/>
      <c r="NOD371" s="132"/>
      <c r="NOE371" s="132"/>
      <c r="NOF371" s="132"/>
      <c r="NOG371" s="132"/>
      <c r="NOH371" s="132"/>
      <c r="NOI371" s="132"/>
      <c r="NOJ371" s="132"/>
      <c r="NOK371" s="132"/>
      <c r="NOL371" s="132"/>
      <c r="NOM371" s="132"/>
      <c r="NON371" s="132"/>
      <c r="NOO371" s="132"/>
      <c r="NOP371" s="132"/>
      <c r="NOQ371" s="132"/>
      <c r="NOR371" s="132"/>
      <c r="NOS371" s="132"/>
      <c r="NOT371" s="132"/>
      <c r="NOU371" s="132"/>
      <c r="NOV371" s="132"/>
      <c r="NOW371" s="132"/>
      <c r="NOX371" s="132"/>
      <c r="NOY371" s="132"/>
      <c r="NOZ371" s="132"/>
      <c r="NPA371" s="132"/>
      <c r="NPB371" s="132"/>
      <c r="NPC371" s="132"/>
      <c r="NPD371" s="132"/>
      <c r="NPE371" s="132"/>
      <c r="NPF371" s="132"/>
      <c r="NPG371" s="132"/>
      <c r="NPH371" s="132"/>
      <c r="NPI371" s="132"/>
      <c r="NPJ371" s="132"/>
      <c r="NPK371" s="132"/>
      <c r="NPL371" s="132"/>
      <c r="NPM371" s="132"/>
      <c r="NPN371" s="132"/>
      <c r="NPO371" s="132"/>
      <c r="NPP371" s="132"/>
      <c r="NPQ371" s="132"/>
      <c r="NPR371" s="132"/>
      <c r="NPS371" s="132"/>
      <c r="NPT371" s="132"/>
      <c r="NPU371" s="132"/>
      <c r="NPV371" s="132"/>
      <c r="NPW371" s="132"/>
      <c r="NPX371" s="132"/>
      <c r="NPY371" s="132"/>
      <c r="NPZ371" s="132"/>
      <c r="NQA371" s="132"/>
      <c r="NQB371" s="132"/>
      <c r="NQC371" s="132"/>
      <c r="NQD371" s="132"/>
      <c r="NQE371" s="132"/>
      <c r="NQF371" s="132"/>
      <c r="NQG371" s="132"/>
      <c r="NQH371" s="132"/>
      <c r="NQI371" s="132"/>
      <c r="NQJ371" s="132"/>
      <c r="NQK371" s="132"/>
      <c r="NQL371" s="132"/>
      <c r="NQM371" s="132"/>
      <c r="NQN371" s="132"/>
      <c r="NQO371" s="132"/>
      <c r="NQP371" s="132"/>
      <c r="NQQ371" s="132"/>
      <c r="NQR371" s="132"/>
      <c r="NQS371" s="132"/>
      <c r="NQT371" s="132"/>
      <c r="NQU371" s="132"/>
      <c r="NQV371" s="132"/>
      <c r="NQW371" s="132"/>
      <c r="NQX371" s="132"/>
      <c r="NQY371" s="132"/>
      <c r="NQZ371" s="132"/>
      <c r="NRA371" s="132"/>
      <c r="NRB371" s="132"/>
      <c r="NRC371" s="132"/>
      <c r="NRD371" s="132"/>
      <c r="NRE371" s="132"/>
      <c r="NRF371" s="132"/>
      <c r="NRG371" s="132"/>
      <c r="NRH371" s="132"/>
      <c r="NRI371" s="132"/>
      <c r="NRJ371" s="132"/>
      <c r="NRK371" s="132"/>
      <c r="NRL371" s="132"/>
      <c r="NRM371" s="132"/>
      <c r="NRN371" s="132"/>
      <c r="NRO371" s="132"/>
      <c r="NRP371" s="132"/>
      <c r="NRQ371" s="132"/>
      <c r="NRR371" s="132"/>
      <c r="NRS371" s="132"/>
      <c r="NRT371" s="132"/>
      <c r="NRU371" s="132"/>
      <c r="NRV371" s="132"/>
      <c r="NRW371" s="132"/>
      <c r="NRX371" s="132"/>
      <c r="NRY371" s="132"/>
      <c r="NRZ371" s="132"/>
      <c r="NSA371" s="132"/>
      <c r="NSB371" s="132"/>
      <c r="NSC371" s="132"/>
      <c r="NSD371" s="132"/>
      <c r="NSE371" s="132"/>
      <c r="NSF371" s="132"/>
      <c r="NSG371" s="132"/>
      <c r="NSH371" s="132"/>
      <c r="NSI371" s="132"/>
      <c r="NSJ371" s="132"/>
      <c r="NSK371" s="132"/>
      <c r="NSL371" s="132"/>
      <c r="NSM371" s="132"/>
      <c r="NSN371" s="132"/>
      <c r="NSO371" s="132"/>
      <c r="NSP371" s="132"/>
      <c r="NSQ371" s="132"/>
      <c r="NSR371" s="132"/>
      <c r="NSS371" s="132"/>
      <c r="NST371" s="132"/>
      <c r="NSU371" s="132"/>
      <c r="NSV371" s="132"/>
      <c r="NSW371" s="132"/>
      <c r="NSX371" s="132"/>
      <c r="NSY371" s="132"/>
      <c r="NSZ371" s="132"/>
      <c r="NTA371" s="132"/>
      <c r="NTB371" s="132"/>
      <c r="NTC371" s="132"/>
      <c r="NTD371" s="132"/>
      <c r="NTE371" s="132"/>
      <c r="NTF371" s="132"/>
      <c r="NTG371" s="132"/>
      <c r="NTH371" s="132"/>
      <c r="NTI371" s="132"/>
      <c r="NTJ371" s="132"/>
      <c r="NTK371" s="132"/>
      <c r="NTL371" s="132"/>
      <c r="NTM371" s="132"/>
      <c r="NTN371" s="132"/>
      <c r="NTO371" s="132"/>
      <c r="NTP371" s="132"/>
      <c r="NTQ371" s="132"/>
      <c r="NTR371" s="132"/>
      <c r="NTS371" s="132"/>
      <c r="NTT371" s="132"/>
      <c r="NTU371" s="132"/>
      <c r="NTV371" s="132"/>
      <c r="NTW371" s="132"/>
      <c r="NTX371" s="132"/>
      <c r="NTY371" s="132"/>
      <c r="NTZ371" s="132"/>
      <c r="NUA371" s="132"/>
      <c r="NUB371" s="132"/>
      <c r="NUC371" s="132"/>
      <c r="NUD371" s="132"/>
      <c r="NUE371" s="132"/>
      <c r="NUF371" s="132"/>
      <c r="NUG371" s="132"/>
      <c r="NUH371" s="132"/>
      <c r="NUI371" s="132"/>
      <c r="NUJ371" s="132"/>
      <c r="NUK371" s="132"/>
      <c r="NUL371" s="132"/>
      <c r="NUM371" s="132"/>
      <c r="NUN371" s="132"/>
      <c r="NUO371" s="132"/>
      <c r="NUP371" s="132"/>
      <c r="NUQ371" s="132"/>
      <c r="NUR371" s="132"/>
      <c r="NUS371" s="132"/>
      <c r="NUT371" s="132"/>
      <c r="NUU371" s="132"/>
      <c r="NUV371" s="132"/>
      <c r="NUW371" s="132"/>
      <c r="NUX371" s="132"/>
      <c r="NUY371" s="132"/>
      <c r="NUZ371" s="132"/>
      <c r="NVA371" s="132"/>
      <c r="NVB371" s="132"/>
      <c r="NVC371" s="132"/>
      <c r="NVD371" s="132"/>
      <c r="NVE371" s="132"/>
      <c r="NVF371" s="132"/>
      <c r="NVG371" s="132"/>
      <c r="NVH371" s="132"/>
      <c r="NVI371" s="132"/>
      <c r="NVJ371" s="132"/>
      <c r="NVK371" s="132"/>
      <c r="NVL371" s="132"/>
      <c r="NVM371" s="132"/>
      <c r="NVN371" s="132"/>
      <c r="NVO371" s="132"/>
      <c r="NVP371" s="132"/>
      <c r="NVQ371" s="132"/>
      <c r="NVR371" s="132"/>
      <c r="NVS371" s="132"/>
      <c r="NVT371" s="132"/>
      <c r="NVU371" s="132"/>
      <c r="NVV371" s="132"/>
      <c r="NVW371" s="132"/>
      <c r="NVX371" s="132"/>
      <c r="NVY371" s="132"/>
      <c r="NVZ371" s="132"/>
      <c r="NWA371" s="132"/>
      <c r="NWB371" s="132"/>
      <c r="NWC371" s="132"/>
      <c r="NWD371" s="132"/>
      <c r="NWE371" s="132"/>
      <c r="NWF371" s="132"/>
      <c r="NWG371" s="132"/>
      <c r="NWH371" s="132"/>
      <c r="NWI371" s="132"/>
      <c r="NWJ371" s="132"/>
      <c r="NWK371" s="132"/>
      <c r="NWL371" s="132"/>
      <c r="NWM371" s="132"/>
      <c r="NWN371" s="132"/>
      <c r="NWO371" s="132"/>
      <c r="NWP371" s="132"/>
      <c r="NWQ371" s="132"/>
      <c r="NWR371" s="132"/>
      <c r="NWS371" s="132"/>
      <c r="NWT371" s="132"/>
      <c r="NWU371" s="132"/>
      <c r="NWV371" s="132"/>
      <c r="NWW371" s="132"/>
      <c r="NWX371" s="132"/>
      <c r="NWY371" s="132"/>
      <c r="NWZ371" s="132"/>
      <c r="NXA371" s="132"/>
      <c r="NXB371" s="132"/>
      <c r="NXC371" s="132"/>
      <c r="NXD371" s="132"/>
      <c r="NXE371" s="132"/>
      <c r="NXF371" s="132"/>
      <c r="NXG371" s="132"/>
      <c r="NXH371" s="132"/>
      <c r="NXI371" s="132"/>
      <c r="NXJ371" s="132"/>
      <c r="NXK371" s="132"/>
      <c r="NXL371" s="132"/>
      <c r="NXM371" s="132"/>
      <c r="NXN371" s="132"/>
      <c r="NXO371" s="132"/>
      <c r="NXP371" s="132"/>
      <c r="NXQ371" s="132"/>
      <c r="NXR371" s="132"/>
      <c r="NXS371" s="132"/>
      <c r="NXT371" s="132"/>
      <c r="NXU371" s="132"/>
      <c r="NXV371" s="132"/>
      <c r="NXW371" s="132"/>
      <c r="NXX371" s="132"/>
      <c r="NXY371" s="132"/>
      <c r="NXZ371" s="132"/>
      <c r="NYA371" s="132"/>
      <c r="NYB371" s="132"/>
      <c r="NYC371" s="132"/>
      <c r="NYD371" s="132"/>
      <c r="NYE371" s="132"/>
      <c r="NYF371" s="132"/>
      <c r="NYG371" s="132"/>
      <c r="NYH371" s="132"/>
      <c r="NYI371" s="132"/>
      <c r="NYJ371" s="132"/>
      <c r="NYK371" s="132"/>
      <c r="NYL371" s="132"/>
      <c r="NYM371" s="132"/>
      <c r="NYN371" s="132"/>
      <c r="NYO371" s="132"/>
      <c r="NYP371" s="132"/>
      <c r="NYQ371" s="132"/>
      <c r="NYR371" s="132"/>
      <c r="NYS371" s="132"/>
      <c r="NYT371" s="132"/>
      <c r="NYU371" s="132"/>
      <c r="NYV371" s="132"/>
      <c r="NYW371" s="132"/>
      <c r="NYX371" s="132"/>
      <c r="NYY371" s="132"/>
      <c r="NYZ371" s="132"/>
      <c r="NZA371" s="132"/>
      <c r="NZB371" s="132"/>
      <c r="NZC371" s="132"/>
      <c r="NZD371" s="132"/>
      <c r="NZE371" s="132"/>
      <c r="NZF371" s="132"/>
      <c r="NZG371" s="132"/>
      <c r="NZH371" s="132"/>
      <c r="NZI371" s="132"/>
      <c r="NZJ371" s="132"/>
      <c r="NZK371" s="132"/>
      <c r="NZL371" s="132"/>
      <c r="NZM371" s="132"/>
      <c r="NZN371" s="132"/>
      <c r="NZO371" s="132"/>
      <c r="NZP371" s="132"/>
      <c r="NZQ371" s="132"/>
      <c r="NZR371" s="132"/>
      <c r="NZS371" s="132"/>
      <c r="NZT371" s="132"/>
      <c r="NZU371" s="132"/>
      <c r="NZV371" s="132"/>
      <c r="NZW371" s="132"/>
      <c r="NZX371" s="132"/>
      <c r="NZY371" s="132"/>
      <c r="NZZ371" s="132"/>
      <c r="OAA371" s="132"/>
      <c r="OAB371" s="132"/>
      <c r="OAC371" s="132"/>
      <c r="OAD371" s="132"/>
      <c r="OAE371" s="132"/>
      <c r="OAF371" s="132"/>
      <c r="OAG371" s="132"/>
      <c r="OAH371" s="132"/>
      <c r="OAI371" s="132"/>
      <c r="OAJ371" s="132"/>
      <c r="OAK371" s="132"/>
      <c r="OAL371" s="132"/>
      <c r="OAM371" s="132"/>
      <c r="OAN371" s="132"/>
      <c r="OAO371" s="132"/>
      <c r="OAP371" s="132"/>
      <c r="OAQ371" s="132"/>
      <c r="OAR371" s="132"/>
      <c r="OAS371" s="132"/>
      <c r="OAT371" s="132"/>
      <c r="OAU371" s="132"/>
      <c r="OAV371" s="132"/>
      <c r="OAW371" s="132"/>
      <c r="OAX371" s="132"/>
      <c r="OAY371" s="132"/>
      <c r="OAZ371" s="132"/>
      <c r="OBA371" s="132"/>
      <c r="OBB371" s="132"/>
      <c r="OBC371" s="132"/>
      <c r="OBD371" s="132"/>
      <c r="OBE371" s="132"/>
      <c r="OBF371" s="132"/>
      <c r="OBG371" s="132"/>
      <c r="OBH371" s="132"/>
      <c r="OBI371" s="132"/>
      <c r="OBJ371" s="132"/>
      <c r="OBK371" s="132"/>
      <c r="OBL371" s="132"/>
      <c r="OBM371" s="132"/>
      <c r="OBN371" s="132"/>
      <c r="OBO371" s="132"/>
      <c r="OBP371" s="132"/>
      <c r="OBQ371" s="132"/>
      <c r="OBR371" s="132"/>
      <c r="OBS371" s="132"/>
      <c r="OBT371" s="132"/>
      <c r="OBU371" s="132"/>
      <c r="OBV371" s="132"/>
      <c r="OBW371" s="132"/>
      <c r="OBX371" s="132"/>
      <c r="OBY371" s="132"/>
      <c r="OBZ371" s="132"/>
      <c r="OCA371" s="132"/>
      <c r="OCB371" s="132"/>
      <c r="OCC371" s="132"/>
      <c r="OCD371" s="132"/>
      <c r="OCE371" s="132"/>
      <c r="OCF371" s="132"/>
      <c r="OCG371" s="132"/>
      <c r="OCH371" s="132"/>
      <c r="OCI371" s="132"/>
      <c r="OCJ371" s="132"/>
      <c r="OCK371" s="132"/>
      <c r="OCL371" s="132"/>
      <c r="OCM371" s="132"/>
      <c r="OCN371" s="132"/>
      <c r="OCO371" s="132"/>
      <c r="OCP371" s="132"/>
      <c r="OCQ371" s="132"/>
      <c r="OCR371" s="132"/>
      <c r="OCS371" s="132"/>
      <c r="OCT371" s="132"/>
      <c r="OCU371" s="132"/>
      <c r="OCV371" s="132"/>
      <c r="OCW371" s="132"/>
      <c r="OCX371" s="132"/>
      <c r="OCY371" s="132"/>
      <c r="OCZ371" s="132"/>
      <c r="ODA371" s="132"/>
      <c r="ODB371" s="132"/>
      <c r="ODC371" s="132"/>
      <c r="ODD371" s="132"/>
      <c r="ODE371" s="132"/>
      <c r="ODF371" s="132"/>
      <c r="ODG371" s="132"/>
      <c r="ODH371" s="132"/>
      <c r="ODI371" s="132"/>
      <c r="ODJ371" s="132"/>
      <c r="ODK371" s="132"/>
      <c r="ODL371" s="132"/>
      <c r="ODM371" s="132"/>
      <c r="ODN371" s="132"/>
      <c r="ODO371" s="132"/>
      <c r="ODP371" s="132"/>
      <c r="ODQ371" s="132"/>
      <c r="ODR371" s="132"/>
      <c r="ODS371" s="132"/>
      <c r="ODT371" s="132"/>
      <c r="ODU371" s="132"/>
      <c r="ODV371" s="132"/>
      <c r="ODW371" s="132"/>
      <c r="ODX371" s="132"/>
      <c r="ODY371" s="132"/>
      <c r="ODZ371" s="132"/>
      <c r="OEA371" s="132"/>
      <c r="OEB371" s="132"/>
      <c r="OEC371" s="132"/>
      <c r="OED371" s="132"/>
      <c r="OEE371" s="132"/>
      <c r="OEF371" s="132"/>
      <c r="OEG371" s="132"/>
      <c r="OEH371" s="132"/>
      <c r="OEI371" s="132"/>
      <c r="OEJ371" s="132"/>
      <c r="OEK371" s="132"/>
      <c r="OEL371" s="132"/>
      <c r="OEM371" s="132"/>
      <c r="OEN371" s="132"/>
      <c r="OEO371" s="132"/>
      <c r="OEP371" s="132"/>
      <c r="OEQ371" s="132"/>
      <c r="OER371" s="132"/>
      <c r="OES371" s="132"/>
      <c r="OET371" s="132"/>
      <c r="OEU371" s="132"/>
      <c r="OEV371" s="132"/>
      <c r="OEW371" s="132"/>
      <c r="OEX371" s="132"/>
      <c r="OEY371" s="132"/>
      <c r="OEZ371" s="132"/>
      <c r="OFA371" s="132"/>
      <c r="OFB371" s="132"/>
      <c r="OFC371" s="132"/>
      <c r="OFD371" s="132"/>
      <c r="OFE371" s="132"/>
      <c r="OFF371" s="132"/>
      <c r="OFG371" s="132"/>
      <c r="OFH371" s="132"/>
      <c r="OFI371" s="132"/>
      <c r="OFJ371" s="132"/>
      <c r="OFK371" s="132"/>
      <c r="OFL371" s="132"/>
      <c r="OFM371" s="132"/>
      <c r="OFN371" s="132"/>
      <c r="OFO371" s="132"/>
      <c r="OFP371" s="132"/>
      <c r="OFQ371" s="132"/>
      <c r="OFR371" s="132"/>
      <c r="OFS371" s="132"/>
      <c r="OFT371" s="132"/>
      <c r="OFU371" s="132"/>
      <c r="OFV371" s="132"/>
      <c r="OFW371" s="132"/>
      <c r="OFX371" s="132"/>
      <c r="OFY371" s="132"/>
      <c r="OFZ371" s="132"/>
      <c r="OGA371" s="132"/>
      <c r="OGB371" s="132"/>
      <c r="OGC371" s="132"/>
      <c r="OGD371" s="132"/>
      <c r="OGE371" s="132"/>
      <c r="OGF371" s="132"/>
      <c r="OGG371" s="132"/>
      <c r="OGH371" s="132"/>
      <c r="OGI371" s="132"/>
      <c r="OGJ371" s="132"/>
      <c r="OGK371" s="132"/>
      <c r="OGL371" s="132"/>
      <c r="OGM371" s="132"/>
      <c r="OGN371" s="132"/>
      <c r="OGO371" s="132"/>
      <c r="OGP371" s="132"/>
      <c r="OGQ371" s="132"/>
      <c r="OGR371" s="132"/>
      <c r="OGS371" s="132"/>
      <c r="OGT371" s="132"/>
      <c r="OGU371" s="132"/>
      <c r="OGV371" s="132"/>
      <c r="OGW371" s="132"/>
      <c r="OGX371" s="132"/>
      <c r="OGY371" s="132"/>
      <c r="OGZ371" s="132"/>
      <c r="OHA371" s="132"/>
      <c r="OHB371" s="132"/>
      <c r="OHC371" s="132"/>
      <c r="OHD371" s="132"/>
      <c r="OHE371" s="132"/>
      <c r="OHF371" s="132"/>
      <c r="OHG371" s="132"/>
      <c r="OHH371" s="132"/>
      <c r="OHI371" s="132"/>
      <c r="OHJ371" s="132"/>
      <c r="OHK371" s="132"/>
      <c r="OHL371" s="132"/>
      <c r="OHM371" s="132"/>
      <c r="OHN371" s="132"/>
      <c r="OHO371" s="132"/>
      <c r="OHP371" s="132"/>
      <c r="OHQ371" s="132"/>
      <c r="OHR371" s="132"/>
      <c r="OHS371" s="132"/>
      <c r="OHT371" s="132"/>
      <c r="OHU371" s="132"/>
      <c r="OHV371" s="132"/>
      <c r="OHW371" s="132"/>
      <c r="OHX371" s="132"/>
      <c r="OHY371" s="132"/>
      <c r="OHZ371" s="132"/>
      <c r="OIA371" s="132"/>
      <c r="OIB371" s="132"/>
      <c r="OIC371" s="132"/>
      <c r="OID371" s="132"/>
      <c r="OIE371" s="132"/>
      <c r="OIF371" s="132"/>
      <c r="OIG371" s="132"/>
      <c r="OIH371" s="132"/>
      <c r="OII371" s="132"/>
      <c r="OIJ371" s="132"/>
      <c r="OIK371" s="132"/>
      <c r="OIL371" s="132"/>
      <c r="OIM371" s="132"/>
      <c r="OIN371" s="132"/>
      <c r="OIO371" s="132"/>
      <c r="OIP371" s="132"/>
      <c r="OIQ371" s="132"/>
      <c r="OIR371" s="132"/>
      <c r="OIS371" s="132"/>
      <c r="OIT371" s="132"/>
      <c r="OIU371" s="132"/>
      <c r="OIV371" s="132"/>
      <c r="OIW371" s="132"/>
      <c r="OIX371" s="132"/>
      <c r="OIY371" s="132"/>
      <c r="OIZ371" s="132"/>
      <c r="OJA371" s="132"/>
      <c r="OJB371" s="132"/>
      <c r="OJC371" s="132"/>
      <c r="OJD371" s="132"/>
      <c r="OJE371" s="132"/>
      <c r="OJF371" s="132"/>
      <c r="OJG371" s="132"/>
      <c r="OJH371" s="132"/>
      <c r="OJI371" s="132"/>
      <c r="OJJ371" s="132"/>
      <c r="OJK371" s="132"/>
      <c r="OJL371" s="132"/>
      <c r="OJM371" s="132"/>
      <c r="OJN371" s="132"/>
      <c r="OJO371" s="132"/>
      <c r="OJP371" s="132"/>
      <c r="OJQ371" s="132"/>
      <c r="OJR371" s="132"/>
      <c r="OJS371" s="132"/>
      <c r="OJT371" s="132"/>
      <c r="OJU371" s="132"/>
      <c r="OJV371" s="132"/>
      <c r="OJW371" s="132"/>
      <c r="OJX371" s="132"/>
      <c r="OJY371" s="132"/>
      <c r="OJZ371" s="132"/>
      <c r="OKA371" s="132"/>
      <c r="OKB371" s="132"/>
      <c r="OKC371" s="132"/>
      <c r="OKD371" s="132"/>
      <c r="OKE371" s="132"/>
      <c r="OKF371" s="132"/>
      <c r="OKG371" s="132"/>
      <c r="OKH371" s="132"/>
      <c r="OKI371" s="132"/>
      <c r="OKJ371" s="132"/>
      <c r="OKK371" s="132"/>
      <c r="OKL371" s="132"/>
      <c r="OKM371" s="132"/>
      <c r="OKN371" s="132"/>
      <c r="OKO371" s="132"/>
      <c r="OKP371" s="132"/>
      <c r="OKQ371" s="132"/>
      <c r="OKR371" s="132"/>
      <c r="OKS371" s="132"/>
      <c r="OKT371" s="132"/>
      <c r="OKU371" s="132"/>
      <c r="OKV371" s="132"/>
      <c r="OKW371" s="132"/>
      <c r="OKX371" s="132"/>
      <c r="OKY371" s="132"/>
      <c r="OKZ371" s="132"/>
      <c r="OLA371" s="132"/>
      <c r="OLB371" s="132"/>
      <c r="OLC371" s="132"/>
      <c r="OLD371" s="132"/>
      <c r="OLE371" s="132"/>
      <c r="OLF371" s="132"/>
      <c r="OLG371" s="132"/>
      <c r="OLH371" s="132"/>
      <c r="OLI371" s="132"/>
      <c r="OLJ371" s="132"/>
      <c r="OLK371" s="132"/>
      <c r="OLL371" s="132"/>
      <c r="OLM371" s="132"/>
      <c r="OLN371" s="132"/>
      <c r="OLO371" s="132"/>
      <c r="OLP371" s="132"/>
      <c r="OLQ371" s="132"/>
      <c r="OLR371" s="132"/>
      <c r="OLS371" s="132"/>
      <c r="OLT371" s="132"/>
      <c r="OLU371" s="132"/>
      <c r="OLV371" s="132"/>
      <c r="OLW371" s="132"/>
      <c r="OLX371" s="132"/>
      <c r="OLY371" s="132"/>
      <c r="OLZ371" s="132"/>
      <c r="OMA371" s="132"/>
      <c r="OMB371" s="132"/>
      <c r="OMC371" s="132"/>
      <c r="OMD371" s="132"/>
      <c r="OME371" s="132"/>
      <c r="OMF371" s="132"/>
      <c r="OMG371" s="132"/>
      <c r="OMH371" s="132"/>
      <c r="OMI371" s="132"/>
      <c r="OMJ371" s="132"/>
      <c r="OMK371" s="132"/>
      <c r="OML371" s="132"/>
      <c r="OMM371" s="132"/>
      <c r="OMN371" s="132"/>
      <c r="OMO371" s="132"/>
      <c r="OMP371" s="132"/>
      <c r="OMQ371" s="132"/>
      <c r="OMR371" s="132"/>
      <c r="OMS371" s="132"/>
      <c r="OMT371" s="132"/>
      <c r="OMU371" s="132"/>
      <c r="OMV371" s="132"/>
      <c r="OMW371" s="132"/>
      <c r="OMX371" s="132"/>
      <c r="OMY371" s="132"/>
      <c r="OMZ371" s="132"/>
      <c r="ONA371" s="132"/>
      <c r="ONB371" s="132"/>
      <c r="ONC371" s="132"/>
      <c r="OND371" s="132"/>
      <c r="ONE371" s="132"/>
      <c r="ONF371" s="132"/>
      <c r="ONG371" s="132"/>
      <c r="ONH371" s="132"/>
      <c r="ONI371" s="132"/>
      <c r="ONJ371" s="132"/>
      <c r="ONK371" s="132"/>
      <c r="ONL371" s="132"/>
      <c r="ONM371" s="132"/>
      <c r="ONN371" s="132"/>
      <c r="ONO371" s="132"/>
      <c r="ONP371" s="132"/>
      <c r="ONQ371" s="132"/>
      <c r="ONR371" s="132"/>
      <c r="ONS371" s="132"/>
      <c r="ONT371" s="132"/>
      <c r="ONU371" s="132"/>
      <c r="ONV371" s="132"/>
      <c r="ONW371" s="132"/>
      <c r="ONX371" s="132"/>
      <c r="ONY371" s="132"/>
      <c r="ONZ371" s="132"/>
      <c r="OOA371" s="132"/>
      <c r="OOB371" s="132"/>
      <c r="OOC371" s="132"/>
      <c r="OOD371" s="132"/>
      <c r="OOE371" s="132"/>
      <c r="OOF371" s="132"/>
      <c r="OOG371" s="132"/>
      <c r="OOH371" s="132"/>
      <c r="OOI371" s="132"/>
      <c r="OOJ371" s="132"/>
      <c r="OOK371" s="132"/>
      <c r="OOL371" s="132"/>
      <c r="OOM371" s="132"/>
      <c r="OON371" s="132"/>
      <c r="OOO371" s="132"/>
      <c r="OOP371" s="132"/>
      <c r="OOQ371" s="132"/>
      <c r="OOR371" s="132"/>
      <c r="OOS371" s="132"/>
      <c r="OOT371" s="132"/>
      <c r="OOU371" s="132"/>
      <c r="OOV371" s="132"/>
      <c r="OOW371" s="132"/>
      <c r="OOX371" s="132"/>
      <c r="OOY371" s="132"/>
      <c r="OOZ371" s="132"/>
      <c r="OPA371" s="132"/>
      <c r="OPB371" s="132"/>
      <c r="OPC371" s="132"/>
      <c r="OPD371" s="132"/>
      <c r="OPE371" s="132"/>
      <c r="OPF371" s="132"/>
      <c r="OPG371" s="132"/>
      <c r="OPH371" s="132"/>
      <c r="OPI371" s="132"/>
      <c r="OPJ371" s="132"/>
      <c r="OPK371" s="132"/>
      <c r="OPL371" s="132"/>
      <c r="OPM371" s="132"/>
      <c r="OPN371" s="132"/>
      <c r="OPO371" s="132"/>
      <c r="OPP371" s="132"/>
      <c r="OPQ371" s="132"/>
      <c r="OPR371" s="132"/>
      <c r="OPS371" s="132"/>
      <c r="OPT371" s="132"/>
      <c r="OPU371" s="132"/>
      <c r="OPV371" s="132"/>
      <c r="OPW371" s="132"/>
      <c r="OPX371" s="132"/>
      <c r="OPY371" s="132"/>
      <c r="OPZ371" s="132"/>
      <c r="OQA371" s="132"/>
      <c r="OQB371" s="132"/>
      <c r="OQC371" s="132"/>
      <c r="OQD371" s="132"/>
      <c r="OQE371" s="132"/>
      <c r="OQF371" s="132"/>
      <c r="OQG371" s="132"/>
      <c r="OQH371" s="132"/>
      <c r="OQI371" s="132"/>
      <c r="OQJ371" s="132"/>
      <c r="OQK371" s="132"/>
      <c r="OQL371" s="132"/>
      <c r="OQM371" s="132"/>
      <c r="OQN371" s="132"/>
      <c r="OQO371" s="132"/>
      <c r="OQP371" s="132"/>
      <c r="OQQ371" s="132"/>
      <c r="OQR371" s="132"/>
      <c r="OQS371" s="132"/>
      <c r="OQT371" s="132"/>
      <c r="OQU371" s="132"/>
      <c r="OQV371" s="132"/>
      <c r="OQW371" s="132"/>
      <c r="OQX371" s="132"/>
      <c r="OQY371" s="132"/>
      <c r="OQZ371" s="132"/>
      <c r="ORA371" s="132"/>
      <c r="ORB371" s="132"/>
      <c r="ORC371" s="132"/>
      <c r="ORD371" s="132"/>
      <c r="ORE371" s="132"/>
      <c r="ORF371" s="132"/>
      <c r="ORG371" s="132"/>
      <c r="ORH371" s="132"/>
      <c r="ORI371" s="132"/>
      <c r="ORJ371" s="132"/>
      <c r="ORK371" s="132"/>
      <c r="ORL371" s="132"/>
      <c r="ORM371" s="132"/>
      <c r="ORN371" s="132"/>
      <c r="ORO371" s="132"/>
      <c r="ORP371" s="132"/>
      <c r="ORQ371" s="132"/>
      <c r="ORR371" s="132"/>
      <c r="ORS371" s="132"/>
      <c r="ORT371" s="132"/>
      <c r="ORU371" s="132"/>
      <c r="ORV371" s="132"/>
      <c r="ORW371" s="132"/>
      <c r="ORX371" s="132"/>
      <c r="ORY371" s="132"/>
      <c r="ORZ371" s="132"/>
      <c r="OSA371" s="132"/>
      <c r="OSB371" s="132"/>
      <c r="OSC371" s="132"/>
      <c r="OSD371" s="132"/>
      <c r="OSE371" s="132"/>
      <c r="OSF371" s="132"/>
      <c r="OSG371" s="132"/>
      <c r="OSH371" s="132"/>
      <c r="OSI371" s="132"/>
      <c r="OSJ371" s="132"/>
      <c r="OSK371" s="132"/>
      <c r="OSL371" s="132"/>
      <c r="OSM371" s="132"/>
      <c r="OSN371" s="132"/>
      <c r="OSO371" s="132"/>
      <c r="OSP371" s="132"/>
      <c r="OSQ371" s="132"/>
      <c r="OSR371" s="132"/>
      <c r="OSS371" s="132"/>
      <c r="OST371" s="132"/>
      <c r="OSU371" s="132"/>
      <c r="OSV371" s="132"/>
      <c r="OSW371" s="132"/>
      <c r="OSX371" s="132"/>
      <c r="OSY371" s="132"/>
      <c r="OSZ371" s="132"/>
      <c r="OTA371" s="132"/>
      <c r="OTB371" s="132"/>
      <c r="OTC371" s="132"/>
      <c r="OTD371" s="132"/>
      <c r="OTE371" s="132"/>
      <c r="OTF371" s="132"/>
      <c r="OTG371" s="132"/>
      <c r="OTH371" s="132"/>
      <c r="OTI371" s="132"/>
      <c r="OTJ371" s="132"/>
      <c r="OTK371" s="132"/>
      <c r="OTL371" s="132"/>
      <c r="OTM371" s="132"/>
      <c r="OTN371" s="132"/>
      <c r="OTO371" s="132"/>
      <c r="OTP371" s="132"/>
      <c r="OTQ371" s="132"/>
      <c r="OTR371" s="132"/>
      <c r="OTS371" s="132"/>
      <c r="OTT371" s="132"/>
      <c r="OTU371" s="132"/>
      <c r="OTV371" s="132"/>
      <c r="OTW371" s="132"/>
      <c r="OTX371" s="132"/>
      <c r="OTY371" s="132"/>
      <c r="OTZ371" s="132"/>
      <c r="OUA371" s="132"/>
      <c r="OUB371" s="132"/>
      <c r="OUC371" s="132"/>
      <c r="OUD371" s="132"/>
      <c r="OUE371" s="132"/>
      <c r="OUF371" s="132"/>
      <c r="OUG371" s="132"/>
      <c r="OUH371" s="132"/>
      <c r="OUI371" s="132"/>
      <c r="OUJ371" s="132"/>
      <c r="OUK371" s="132"/>
      <c r="OUL371" s="132"/>
      <c r="OUM371" s="132"/>
      <c r="OUN371" s="132"/>
      <c r="OUO371" s="132"/>
      <c r="OUP371" s="132"/>
      <c r="OUQ371" s="132"/>
      <c r="OUR371" s="132"/>
      <c r="OUS371" s="132"/>
      <c r="OUT371" s="132"/>
      <c r="OUU371" s="132"/>
      <c r="OUV371" s="132"/>
      <c r="OUW371" s="132"/>
      <c r="OUX371" s="132"/>
      <c r="OUY371" s="132"/>
      <c r="OUZ371" s="132"/>
      <c r="OVA371" s="132"/>
      <c r="OVB371" s="132"/>
      <c r="OVC371" s="132"/>
      <c r="OVD371" s="132"/>
      <c r="OVE371" s="132"/>
      <c r="OVF371" s="132"/>
      <c r="OVG371" s="132"/>
      <c r="OVH371" s="132"/>
      <c r="OVI371" s="132"/>
      <c r="OVJ371" s="132"/>
      <c r="OVK371" s="132"/>
      <c r="OVL371" s="132"/>
      <c r="OVM371" s="132"/>
      <c r="OVN371" s="132"/>
      <c r="OVO371" s="132"/>
      <c r="OVP371" s="132"/>
      <c r="OVQ371" s="132"/>
      <c r="OVR371" s="132"/>
      <c r="OVS371" s="132"/>
      <c r="OVT371" s="132"/>
      <c r="OVU371" s="132"/>
      <c r="OVV371" s="132"/>
      <c r="OVW371" s="132"/>
      <c r="OVX371" s="132"/>
      <c r="OVY371" s="132"/>
      <c r="OVZ371" s="132"/>
      <c r="OWA371" s="132"/>
      <c r="OWB371" s="132"/>
      <c r="OWC371" s="132"/>
      <c r="OWD371" s="132"/>
      <c r="OWE371" s="132"/>
      <c r="OWF371" s="132"/>
      <c r="OWG371" s="132"/>
      <c r="OWH371" s="132"/>
      <c r="OWI371" s="132"/>
      <c r="OWJ371" s="132"/>
      <c r="OWK371" s="132"/>
      <c r="OWL371" s="132"/>
      <c r="OWM371" s="132"/>
      <c r="OWN371" s="132"/>
      <c r="OWO371" s="132"/>
      <c r="OWP371" s="132"/>
      <c r="OWQ371" s="132"/>
      <c r="OWR371" s="132"/>
      <c r="OWS371" s="132"/>
      <c r="OWT371" s="132"/>
      <c r="OWU371" s="132"/>
      <c r="OWV371" s="132"/>
      <c r="OWW371" s="132"/>
      <c r="OWX371" s="132"/>
      <c r="OWY371" s="132"/>
      <c r="OWZ371" s="132"/>
      <c r="OXA371" s="132"/>
      <c r="OXB371" s="132"/>
      <c r="OXC371" s="132"/>
      <c r="OXD371" s="132"/>
      <c r="OXE371" s="132"/>
      <c r="OXF371" s="132"/>
      <c r="OXG371" s="132"/>
      <c r="OXH371" s="132"/>
      <c r="OXI371" s="132"/>
      <c r="OXJ371" s="132"/>
      <c r="OXK371" s="132"/>
      <c r="OXL371" s="132"/>
      <c r="OXM371" s="132"/>
      <c r="OXN371" s="132"/>
      <c r="OXO371" s="132"/>
      <c r="OXP371" s="132"/>
      <c r="OXQ371" s="132"/>
      <c r="OXR371" s="132"/>
      <c r="OXS371" s="132"/>
      <c r="OXT371" s="132"/>
      <c r="OXU371" s="132"/>
      <c r="OXV371" s="132"/>
      <c r="OXW371" s="132"/>
      <c r="OXX371" s="132"/>
      <c r="OXY371" s="132"/>
      <c r="OXZ371" s="132"/>
      <c r="OYA371" s="132"/>
      <c r="OYB371" s="132"/>
      <c r="OYC371" s="132"/>
      <c r="OYD371" s="132"/>
      <c r="OYE371" s="132"/>
      <c r="OYF371" s="132"/>
      <c r="OYG371" s="132"/>
      <c r="OYH371" s="132"/>
      <c r="OYI371" s="132"/>
      <c r="OYJ371" s="132"/>
      <c r="OYK371" s="132"/>
      <c r="OYL371" s="132"/>
      <c r="OYM371" s="132"/>
      <c r="OYN371" s="132"/>
      <c r="OYO371" s="132"/>
      <c r="OYP371" s="132"/>
      <c r="OYQ371" s="132"/>
      <c r="OYR371" s="132"/>
      <c r="OYS371" s="132"/>
      <c r="OYT371" s="132"/>
      <c r="OYU371" s="132"/>
      <c r="OYV371" s="132"/>
      <c r="OYW371" s="132"/>
      <c r="OYX371" s="132"/>
      <c r="OYY371" s="132"/>
      <c r="OYZ371" s="132"/>
      <c r="OZA371" s="132"/>
      <c r="OZB371" s="132"/>
      <c r="OZC371" s="132"/>
      <c r="OZD371" s="132"/>
      <c r="OZE371" s="132"/>
      <c r="OZF371" s="132"/>
      <c r="OZG371" s="132"/>
      <c r="OZH371" s="132"/>
      <c r="OZI371" s="132"/>
      <c r="OZJ371" s="132"/>
      <c r="OZK371" s="132"/>
      <c r="OZL371" s="132"/>
      <c r="OZM371" s="132"/>
      <c r="OZN371" s="132"/>
      <c r="OZO371" s="132"/>
      <c r="OZP371" s="132"/>
      <c r="OZQ371" s="132"/>
      <c r="OZR371" s="132"/>
      <c r="OZS371" s="132"/>
      <c r="OZT371" s="132"/>
      <c r="OZU371" s="132"/>
      <c r="OZV371" s="132"/>
      <c r="OZW371" s="132"/>
      <c r="OZX371" s="132"/>
      <c r="OZY371" s="132"/>
      <c r="OZZ371" s="132"/>
      <c r="PAA371" s="132"/>
      <c r="PAB371" s="132"/>
      <c r="PAC371" s="132"/>
      <c r="PAD371" s="132"/>
      <c r="PAE371" s="132"/>
      <c r="PAF371" s="132"/>
      <c r="PAG371" s="132"/>
      <c r="PAH371" s="132"/>
      <c r="PAI371" s="132"/>
      <c r="PAJ371" s="132"/>
      <c r="PAK371" s="132"/>
      <c r="PAL371" s="132"/>
      <c r="PAM371" s="132"/>
      <c r="PAN371" s="132"/>
      <c r="PAO371" s="132"/>
      <c r="PAP371" s="132"/>
      <c r="PAQ371" s="132"/>
      <c r="PAR371" s="132"/>
      <c r="PAS371" s="132"/>
      <c r="PAT371" s="132"/>
      <c r="PAU371" s="132"/>
      <c r="PAV371" s="132"/>
      <c r="PAW371" s="132"/>
      <c r="PAX371" s="132"/>
      <c r="PAY371" s="132"/>
      <c r="PAZ371" s="132"/>
      <c r="PBA371" s="132"/>
      <c r="PBB371" s="132"/>
      <c r="PBC371" s="132"/>
      <c r="PBD371" s="132"/>
      <c r="PBE371" s="132"/>
      <c r="PBF371" s="132"/>
      <c r="PBG371" s="132"/>
      <c r="PBH371" s="132"/>
      <c r="PBI371" s="132"/>
      <c r="PBJ371" s="132"/>
      <c r="PBK371" s="132"/>
      <c r="PBL371" s="132"/>
      <c r="PBM371" s="132"/>
      <c r="PBN371" s="132"/>
      <c r="PBO371" s="132"/>
      <c r="PBP371" s="132"/>
      <c r="PBQ371" s="132"/>
      <c r="PBR371" s="132"/>
      <c r="PBS371" s="132"/>
      <c r="PBT371" s="132"/>
      <c r="PBU371" s="132"/>
      <c r="PBV371" s="132"/>
      <c r="PBW371" s="132"/>
      <c r="PBX371" s="132"/>
      <c r="PBY371" s="132"/>
      <c r="PBZ371" s="132"/>
      <c r="PCA371" s="132"/>
      <c r="PCB371" s="132"/>
      <c r="PCC371" s="132"/>
      <c r="PCD371" s="132"/>
      <c r="PCE371" s="132"/>
      <c r="PCF371" s="132"/>
      <c r="PCG371" s="132"/>
      <c r="PCH371" s="132"/>
      <c r="PCI371" s="132"/>
      <c r="PCJ371" s="132"/>
      <c r="PCK371" s="132"/>
      <c r="PCL371" s="132"/>
      <c r="PCM371" s="132"/>
      <c r="PCN371" s="132"/>
      <c r="PCO371" s="132"/>
      <c r="PCP371" s="132"/>
      <c r="PCQ371" s="132"/>
      <c r="PCR371" s="132"/>
      <c r="PCS371" s="132"/>
      <c r="PCT371" s="132"/>
      <c r="PCU371" s="132"/>
      <c r="PCV371" s="132"/>
      <c r="PCW371" s="132"/>
      <c r="PCX371" s="132"/>
      <c r="PCY371" s="132"/>
      <c r="PCZ371" s="132"/>
      <c r="PDA371" s="132"/>
      <c r="PDB371" s="132"/>
      <c r="PDC371" s="132"/>
      <c r="PDD371" s="132"/>
      <c r="PDE371" s="132"/>
      <c r="PDF371" s="132"/>
      <c r="PDG371" s="132"/>
      <c r="PDH371" s="132"/>
      <c r="PDI371" s="132"/>
      <c r="PDJ371" s="132"/>
      <c r="PDK371" s="132"/>
      <c r="PDL371" s="132"/>
      <c r="PDM371" s="132"/>
      <c r="PDN371" s="132"/>
      <c r="PDO371" s="132"/>
      <c r="PDP371" s="132"/>
      <c r="PDQ371" s="132"/>
      <c r="PDR371" s="132"/>
      <c r="PDS371" s="132"/>
      <c r="PDT371" s="132"/>
      <c r="PDU371" s="132"/>
      <c r="PDV371" s="132"/>
      <c r="PDW371" s="132"/>
      <c r="PDX371" s="132"/>
      <c r="PDY371" s="132"/>
      <c r="PDZ371" s="132"/>
      <c r="PEA371" s="132"/>
      <c r="PEB371" s="132"/>
      <c r="PEC371" s="132"/>
      <c r="PED371" s="132"/>
      <c r="PEE371" s="132"/>
      <c r="PEF371" s="132"/>
      <c r="PEG371" s="132"/>
      <c r="PEH371" s="132"/>
      <c r="PEI371" s="132"/>
      <c r="PEJ371" s="132"/>
      <c r="PEK371" s="132"/>
      <c r="PEL371" s="132"/>
      <c r="PEM371" s="132"/>
      <c r="PEN371" s="132"/>
      <c r="PEO371" s="132"/>
      <c r="PEP371" s="132"/>
      <c r="PEQ371" s="132"/>
      <c r="PER371" s="132"/>
      <c r="PES371" s="132"/>
      <c r="PET371" s="132"/>
      <c r="PEU371" s="132"/>
      <c r="PEV371" s="132"/>
      <c r="PEW371" s="132"/>
      <c r="PEX371" s="132"/>
      <c r="PEY371" s="132"/>
      <c r="PEZ371" s="132"/>
      <c r="PFA371" s="132"/>
      <c r="PFB371" s="132"/>
      <c r="PFC371" s="132"/>
      <c r="PFD371" s="132"/>
      <c r="PFE371" s="132"/>
      <c r="PFF371" s="132"/>
      <c r="PFG371" s="132"/>
      <c r="PFH371" s="132"/>
      <c r="PFI371" s="132"/>
      <c r="PFJ371" s="132"/>
      <c r="PFK371" s="132"/>
      <c r="PFL371" s="132"/>
      <c r="PFM371" s="132"/>
      <c r="PFN371" s="132"/>
      <c r="PFO371" s="132"/>
      <c r="PFP371" s="132"/>
      <c r="PFQ371" s="132"/>
      <c r="PFR371" s="132"/>
      <c r="PFS371" s="132"/>
      <c r="PFT371" s="132"/>
      <c r="PFU371" s="132"/>
      <c r="PFV371" s="132"/>
      <c r="PFW371" s="132"/>
      <c r="PFX371" s="132"/>
      <c r="PFY371" s="132"/>
      <c r="PFZ371" s="132"/>
      <c r="PGA371" s="132"/>
      <c r="PGB371" s="132"/>
      <c r="PGC371" s="132"/>
      <c r="PGD371" s="132"/>
      <c r="PGE371" s="132"/>
      <c r="PGF371" s="132"/>
      <c r="PGG371" s="132"/>
      <c r="PGH371" s="132"/>
      <c r="PGI371" s="132"/>
      <c r="PGJ371" s="132"/>
      <c r="PGK371" s="132"/>
      <c r="PGL371" s="132"/>
      <c r="PGM371" s="132"/>
      <c r="PGN371" s="132"/>
      <c r="PGO371" s="132"/>
      <c r="PGP371" s="132"/>
      <c r="PGQ371" s="132"/>
      <c r="PGR371" s="132"/>
      <c r="PGS371" s="132"/>
      <c r="PGT371" s="132"/>
      <c r="PGU371" s="132"/>
      <c r="PGV371" s="132"/>
      <c r="PGW371" s="132"/>
      <c r="PGX371" s="132"/>
      <c r="PGY371" s="132"/>
      <c r="PGZ371" s="132"/>
      <c r="PHA371" s="132"/>
      <c r="PHB371" s="132"/>
      <c r="PHC371" s="132"/>
      <c r="PHD371" s="132"/>
      <c r="PHE371" s="132"/>
      <c r="PHF371" s="132"/>
      <c r="PHG371" s="132"/>
      <c r="PHH371" s="132"/>
      <c r="PHI371" s="132"/>
      <c r="PHJ371" s="132"/>
      <c r="PHK371" s="132"/>
      <c r="PHL371" s="132"/>
      <c r="PHM371" s="132"/>
      <c r="PHN371" s="132"/>
      <c r="PHO371" s="132"/>
      <c r="PHP371" s="132"/>
      <c r="PHQ371" s="132"/>
      <c r="PHR371" s="132"/>
      <c r="PHS371" s="132"/>
      <c r="PHT371" s="132"/>
      <c r="PHU371" s="132"/>
      <c r="PHV371" s="132"/>
      <c r="PHW371" s="132"/>
      <c r="PHX371" s="132"/>
      <c r="PHY371" s="132"/>
      <c r="PHZ371" s="132"/>
      <c r="PIA371" s="132"/>
      <c r="PIB371" s="132"/>
      <c r="PIC371" s="132"/>
      <c r="PID371" s="132"/>
      <c r="PIE371" s="132"/>
      <c r="PIF371" s="132"/>
      <c r="PIG371" s="132"/>
      <c r="PIH371" s="132"/>
      <c r="PII371" s="132"/>
      <c r="PIJ371" s="132"/>
      <c r="PIK371" s="132"/>
      <c r="PIL371" s="132"/>
      <c r="PIM371" s="132"/>
      <c r="PIN371" s="132"/>
      <c r="PIO371" s="132"/>
      <c r="PIP371" s="132"/>
      <c r="PIQ371" s="132"/>
      <c r="PIR371" s="132"/>
      <c r="PIS371" s="132"/>
      <c r="PIT371" s="132"/>
      <c r="PIU371" s="132"/>
      <c r="PIV371" s="132"/>
      <c r="PIW371" s="132"/>
      <c r="PIX371" s="132"/>
      <c r="PIY371" s="132"/>
      <c r="PIZ371" s="132"/>
      <c r="PJA371" s="132"/>
      <c r="PJB371" s="132"/>
      <c r="PJC371" s="132"/>
      <c r="PJD371" s="132"/>
      <c r="PJE371" s="132"/>
      <c r="PJF371" s="132"/>
      <c r="PJG371" s="132"/>
      <c r="PJH371" s="132"/>
      <c r="PJI371" s="132"/>
      <c r="PJJ371" s="132"/>
      <c r="PJK371" s="132"/>
      <c r="PJL371" s="132"/>
      <c r="PJM371" s="132"/>
      <c r="PJN371" s="132"/>
      <c r="PJO371" s="132"/>
      <c r="PJP371" s="132"/>
      <c r="PJQ371" s="132"/>
      <c r="PJR371" s="132"/>
      <c r="PJS371" s="132"/>
      <c r="PJT371" s="132"/>
      <c r="PJU371" s="132"/>
      <c r="PJV371" s="132"/>
      <c r="PJW371" s="132"/>
      <c r="PJX371" s="132"/>
      <c r="PJY371" s="132"/>
      <c r="PJZ371" s="132"/>
      <c r="PKA371" s="132"/>
      <c r="PKB371" s="132"/>
      <c r="PKC371" s="132"/>
      <c r="PKD371" s="132"/>
      <c r="PKE371" s="132"/>
      <c r="PKF371" s="132"/>
      <c r="PKG371" s="132"/>
      <c r="PKH371" s="132"/>
      <c r="PKI371" s="132"/>
      <c r="PKJ371" s="132"/>
      <c r="PKK371" s="132"/>
      <c r="PKL371" s="132"/>
      <c r="PKM371" s="132"/>
      <c r="PKN371" s="132"/>
      <c r="PKO371" s="132"/>
      <c r="PKP371" s="132"/>
      <c r="PKQ371" s="132"/>
      <c r="PKR371" s="132"/>
      <c r="PKS371" s="132"/>
      <c r="PKT371" s="132"/>
      <c r="PKU371" s="132"/>
      <c r="PKV371" s="132"/>
      <c r="PKW371" s="132"/>
      <c r="PKX371" s="132"/>
      <c r="PKY371" s="132"/>
      <c r="PKZ371" s="132"/>
      <c r="PLA371" s="132"/>
      <c r="PLB371" s="132"/>
      <c r="PLC371" s="132"/>
      <c r="PLD371" s="132"/>
      <c r="PLE371" s="132"/>
      <c r="PLF371" s="132"/>
      <c r="PLG371" s="132"/>
      <c r="PLH371" s="132"/>
      <c r="PLI371" s="132"/>
      <c r="PLJ371" s="132"/>
      <c r="PLK371" s="132"/>
      <c r="PLL371" s="132"/>
      <c r="PLM371" s="132"/>
      <c r="PLN371" s="132"/>
      <c r="PLO371" s="132"/>
      <c r="PLP371" s="132"/>
      <c r="PLQ371" s="132"/>
      <c r="PLR371" s="132"/>
      <c r="PLS371" s="132"/>
      <c r="PLT371" s="132"/>
      <c r="PLU371" s="132"/>
      <c r="PLV371" s="132"/>
      <c r="PLW371" s="132"/>
      <c r="PLX371" s="132"/>
      <c r="PLY371" s="132"/>
      <c r="PLZ371" s="132"/>
      <c r="PMA371" s="132"/>
      <c r="PMB371" s="132"/>
      <c r="PMC371" s="132"/>
      <c r="PMD371" s="132"/>
      <c r="PME371" s="132"/>
      <c r="PMF371" s="132"/>
      <c r="PMG371" s="132"/>
      <c r="PMH371" s="132"/>
      <c r="PMI371" s="132"/>
      <c r="PMJ371" s="132"/>
      <c r="PMK371" s="132"/>
      <c r="PML371" s="132"/>
      <c r="PMM371" s="132"/>
      <c r="PMN371" s="132"/>
      <c r="PMO371" s="132"/>
      <c r="PMP371" s="132"/>
      <c r="PMQ371" s="132"/>
      <c r="PMR371" s="132"/>
      <c r="PMS371" s="132"/>
      <c r="PMT371" s="132"/>
      <c r="PMU371" s="132"/>
      <c r="PMV371" s="132"/>
      <c r="PMW371" s="132"/>
      <c r="PMX371" s="132"/>
      <c r="PMY371" s="132"/>
      <c r="PMZ371" s="132"/>
      <c r="PNA371" s="132"/>
      <c r="PNB371" s="132"/>
      <c r="PNC371" s="132"/>
      <c r="PND371" s="132"/>
      <c r="PNE371" s="132"/>
      <c r="PNF371" s="132"/>
      <c r="PNG371" s="132"/>
      <c r="PNH371" s="132"/>
      <c r="PNI371" s="132"/>
      <c r="PNJ371" s="132"/>
      <c r="PNK371" s="132"/>
      <c r="PNL371" s="132"/>
      <c r="PNM371" s="132"/>
      <c r="PNN371" s="132"/>
      <c r="PNO371" s="132"/>
      <c r="PNP371" s="132"/>
      <c r="PNQ371" s="132"/>
      <c r="PNR371" s="132"/>
      <c r="PNS371" s="132"/>
      <c r="PNT371" s="132"/>
      <c r="PNU371" s="132"/>
      <c r="PNV371" s="132"/>
      <c r="PNW371" s="132"/>
      <c r="PNX371" s="132"/>
      <c r="PNY371" s="132"/>
      <c r="PNZ371" s="132"/>
      <c r="POA371" s="132"/>
      <c r="POB371" s="132"/>
      <c r="POC371" s="132"/>
      <c r="POD371" s="132"/>
      <c r="POE371" s="132"/>
      <c r="POF371" s="132"/>
      <c r="POG371" s="132"/>
      <c r="POH371" s="132"/>
      <c r="POI371" s="132"/>
      <c r="POJ371" s="132"/>
      <c r="POK371" s="132"/>
      <c r="POL371" s="132"/>
      <c r="POM371" s="132"/>
      <c r="PON371" s="132"/>
      <c r="POO371" s="132"/>
      <c r="POP371" s="132"/>
      <c r="POQ371" s="132"/>
      <c r="POR371" s="132"/>
      <c r="POS371" s="132"/>
      <c r="POT371" s="132"/>
      <c r="POU371" s="132"/>
      <c r="POV371" s="132"/>
      <c r="POW371" s="132"/>
      <c r="POX371" s="132"/>
      <c r="POY371" s="132"/>
      <c r="POZ371" s="132"/>
      <c r="PPA371" s="132"/>
      <c r="PPB371" s="132"/>
      <c r="PPC371" s="132"/>
      <c r="PPD371" s="132"/>
      <c r="PPE371" s="132"/>
      <c r="PPF371" s="132"/>
      <c r="PPG371" s="132"/>
      <c r="PPH371" s="132"/>
      <c r="PPI371" s="132"/>
      <c r="PPJ371" s="132"/>
      <c r="PPK371" s="132"/>
      <c r="PPL371" s="132"/>
      <c r="PPM371" s="132"/>
      <c r="PPN371" s="132"/>
      <c r="PPO371" s="132"/>
      <c r="PPP371" s="132"/>
      <c r="PPQ371" s="132"/>
      <c r="PPR371" s="132"/>
      <c r="PPS371" s="132"/>
      <c r="PPT371" s="132"/>
      <c r="PPU371" s="132"/>
      <c r="PPV371" s="132"/>
      <c r="PPW371" s="132"/>
      <c r="PPX371" s="132"/>
      <c r="PPY371" s="132"/>
      <c r="PPZ371" s="132"/>
      <c r="PQA371" s="132"/>
      <c r="PQB371" s="132"/>
      <c r="PQC371" s="132"/>
      <c r="PQD371" s="132"/>
      <c r="PQE371" s="132"/>
      <c r="PQF371" s="132"/>
      <c r="PQG371" s="132"/>
      <c r="PQH371" s="132"/>
      <c r="PQI371" s="132"/>
      <c r="PQJ371" s="132"/>
      <c r="PQK371" s="132"/>
      <c r="PQL371" s="132"/>
      <c r="PQM371" s="132"/>
      <c r="PQN371" s="132"/>
      <c r="PQO371" s="132"/>
      <c r="PQP371" s="132"/>
      <c r="PQQ371" s="132"/>
      <c r="PQR371" s="132"/>
      <c r="PQS371" s="132"/>
      <c r="PQT371" s="132"/>
      <c r="PQU371" s="132"/>
      <c r="PQV371" s="132"/>
      <c r="PQW371" s="132"/>
      <c r="PQX371" s="132"/>
      <c r="PQY371" s="132"/>
      <c r="PQZ371" s="132"/>
      <c r="PRA371" s="132"/>
      <c r="PRB371" s="132"/>
      <c r="PRC371" s="132"/>
      <c r="PRD371" s="132"/>
      <c r="PRE371" s="132"/>
      <c r="PRF371" s="132"/>
      <c r="PRG371" s="132"/>
      <c r="PRH371" s="132"/>
      <c r="PRI371" s="132"/>
      <c r="PRJ371" s="132"/>
      <c r="PRK371" s="132"/>
      <c r="PRL371" s="132"/>
      <c r="PRM371" s="132"/>
      <c r="PRN371" s="132"/>
      <c r="PRO371" s="132"/>
      <c r="PRP371" s="132"/>
      <c r="PRQ371" s="132"/>
      <c r="PRR371" s="132"/>
      <c r="PRS371" s="132"/>
      <c r="PRT371" s="132"/>
      <c r="PRU371" s="132"/>
      <c r="PRV371" s="132"/>
      <c r="PRW371" s="132"/>
      <c r="PRX371" s="132"/>
      <c r="PRY371" s="132"/>
      <c r="PRZ371" s="132"/>
      <c r="PSA371" s="132"/>
      <c r="PSB371" s="132"/>
      <c r="PSC371" s="132"/>
      <c r="PSD371" s="132"/>
      <c r="PSE371" s="132"/>
      <c r="PSF371" s="132"/>
      <c r="PSG371" s="132"/>
      <c r="PSH371" s="132"/>
      <c r="PSI371" s="132"/>
      <c r="PSJ371" s="132"/>
      <c r="PSK371" s="132"/>
      <c r="PSL371" s="132"/>
      <c r="PSM371" s="132"/>
      <c r="PSN371" s="132"/>
      <c r="PSO371" s="132"/>
      <c r="PSP371" s="132"/>
      <c r="PSQ371" s="132"/>
      <c r="PSR371" s="132"/>
      <c r="PSS371" s="132"/>
      <c r="PST371" s="132"/>
      <c r="PSU371" s="132"/>
      <c r="PSV371" s="132"/>
      <c r="PSW371" s="132"/>
      <c r="PSX371" s="132"/>
      <c r="PSY371" s="132"/>
      <c r="PSZ371" s="132"/>
      <c r="PTA371" s="132"/>
      <c r="PTB371" s="132"/>
      <c r="PTC371" s="132"/>
      <c r="PTD371" s="132"/>
      <c r="PTE371" s="132"/>
      <c r="PTF371" s="132"/>
      <c r="PTG371" s="132"/>
      <c r="PTH371" s="132"/>
      <c r="PTI371" s="132"/>
      <c r="PTJ371" s="132"/>
      <c r="PTK371" s="132"/>
      <c r="PTL371" s="132"/>
      <c r="PTM371" s="132"/>
      <c r="PTN371" s="132"/>
      <c r="PTO371" s="132"/>
      <c r="PTP371" s="132"/>
      <c r="PTQ371" s="132"/>
      <c r="PTR371" s="132"/>
      <c r="PTS371" s="132"/>
      <c r="PTT371" s="132"/>
      <c r="PTU371" s="132"/>
      <c r="PTV371" s="132"/>
      <c r="PTW371" s="132"/>
      <c r="PTX371" s="132"/>
      <c r="PTY371" s="132"/>
      <c r="PTZ371" s="132"/>
      <c r="PUA371" s="132"/>
      <c r="PUB371" s="132"/>
      <c r="PUC371" s="132"/>
      <c r="PUD371" s="132"/>
      <c r="PUE371" s="132"/>
      <c r="PUF371" s="132"/>
      <c r="PUG371" s="132"/>
      <c r="PUH371" s="132"/>
      <c r="PUI371" s="132"/>
      <c r="PUJ371" s="132"/>
      <c r="PUK371" s="132"/>
      <c r="PUL371" s="132"/>
      <c r="PUM371" s="132"/>
      <c r="PUN371" s="132"/>
      <c r="PUO371" s="132"/>
      <c r="PUP371" s="132"/>
      <c r="PUQ371" s="132"/>
      <c r="PUR371" s="132"/>
      <c r="PUS371" s="132"/>
      <c r="PUT371" s="132"/>
      <c r="PUU371" s="132"/>
      <c r="PUV371" s="132"/>
      <c r="PUW371" s="132"/>
      <c r="PUX371" s="132"/>
      <c r="PUY371" s="132"/>
      <c r="PUZ371" s="132"/>
      <c r="PVA371" s="132"/>
      <c r="PVB371" s="132"/>
      <c r="PVC371" s="132"/>
      <c r="PVD371" s="132"/>
      <c r="PVE371" s="132"/>
      <c r="PVF371" s="132"/>
      <c r="PVG371" s="132"/>
      <c r="PVH371" s="132"/>
      <c r="PVI371" s="132"/>
      <c r="PVJ371" s="132"/>
      <c r="PVK371" s="132"/>
      <c r="PVL371" s="132"/>
      <c r="PVM371" s="132"/>
      <c r="PVN371" s="132"/>
      <c r="PVO371" s="132"/>
      <c r="PVP371" s="132"/>
      <c r="PVQ371" s="132"/>
      <c r="PVR371" s="132"/>
      <c r="PVS371" s="132"/>
      <c r="PVT371" s="132"/>
      <c r="PVU371" s="132"/>
      <c r="PVV371" s="132"/>
      <c r="PVW371" s="132"/>
      <c r="PVX371" s="132"/>
      <c r="PVY371" s="132"/>
      <c r="PVZ371" s="132"/>
      <c r="PWA371" s="132"/>
      <c r="PWB371" s="132"/>
      <c r="PWC371" s="132"/>
      <c r="PWD371" s="132"/>
      <c r="PWE371" s="132"/>
      <c r="PWF371" s="132"/>
      <c r="PWG371" s="132"/>
      <c r="PWH371" s="132"/>
      <c r="PWI371" s="132"/>
      <c r="PWJ371" s="132"/>
      <c r="PWK371" s="132"/>
      <c r="PWL371" s="132"/>
      <c r="PWM371" s="132"/>
      <c r="PWN371" s="132"/>
      <c r="PWO371" s="132"/>
      <c r="PWP371" s="132"/>
      <c r="PWQ371" s="132"/>
      <c r="PWR371" s="132"/>
      <c r="PWS371" s="132"/>
      <c r="PWT371" s="132"/>
      <c r="PWU371" s="132"/>
      <c r="PWV371" s="132"/>
      <c r="PWW371" s="132"/>
      <c r="PWX371" s="132"/>
      <c r="PWY371" s="132"/>
      <c r="PWZ371" s="132"/>
      <c r="PXA371" s="132"/>
      <c r="PXB371" s="132"/>
      <c r="PXC371" s="132"/>
      <c r="PXD371" s="132"/>
      <c r="PXE371" s="132"/>
      <c r="PXF371" s="132"/>
      <c r="PXG371" s="132"/>
      <c r="PXH371" s="132"/>
      <c r="PXI371" s="132"/>
      <c r="PXJ371" s="132"/>
      <c r="PXK371" s="132"/>
      <c r="PXL371" s="132"/>
      <c r="PXM371" s="132"/>
      <c r="PXN371" s="132"/>
      <c r="PXO371" s="132"/>
      <c r="PXP371" s="132"/>
      <c r="PXQ371" s="132"/>
      <c r="PXR371" s="132"/>
      <c r="PXS371" s="132"/>
      <c r="PXT371" s="132"/>
      <c r="PXU371" s="132"/>
      <c r="PXV371" s="132"/>
      <c r="PXW371" s="132"/>
      <c r="PXX371" s="132"/>
      <c r="PXY371" s="132"/>
      <c r="PXZ371" s="132"/>
      <c r="PYA371" s="132"/>
      <c r="PYB371" s="132"/>
      <c r="PYC371" s="132"/>
      <c r="PYD371" s="132"/>
      <c r="PYE371" s="132"/>
      <c r="PYF371" s="132"/>
      <c r="PYG371" s="132"/>
      <c r="PYH371" s="132"/>
      <c r="PYI371" s="132"/>
      <c r="PYJ371" s="132"/>
      <c r="PYK371" s="132"/>
      <c r="PYL371" s="132"/>
      <c r="PYM371" s="132"/>
      <c r="PYN371" s="132"/>
      <c r="PYO371" s="132"/>
      <c r="PYP371" s="132"/>
      <c r="PYQ371" s="132"/>
      <c r="PYR371" s="132"/>
      <c r="PYS371" s="132"/>
      <c r="PYT371" s="132"/>
      <c r="PYU371" s="132"/>
      <c r="PYV371" s="132"/>
      <c r="PYW371" s="132"/>
      <c r="PYX371" s="132"/>
      <c r="PYY371" s="132"/>
      <c r="PYZ371" s="132"/>
      <c r="PZA371" s="132"/>
      <c r="PZB371" s="132"/>
      <c r="PZC371" s="132"/>
      <c r="PZD371" s="132"/>
      <c r="PZE371" s="132"/>
      <c r="PZF371" s="132"/>
      <c r="PZG371" s="132"/>
      <c r="PZH371" s="132"/>
      <c r="PZI371" s="132"/>
      <c r="PZJ371" s="132"/>
      <c r="PZK371" s="132"/>
      <c r="PZL371" s="132"/>
      <c r="PZM371" s="132"/>
      <c r="PZN371" s="132"/>
      <c r="PZO371" s="132"/>
      <c r="PZP371" s="132"/>
      <c r="PZQ371" s="132"/>
      <c r="PZR371" s="132"/>
      <c r="PZS371" s="132"/>
      <c r="PZT371" s="132"/>
      <c r="PZU371" s="132"/>
      <c r="PZV371" s="132"/>
      <c r="PZW371" s="132"/>
      <c r="PZX371" s="132"/>
      <c r="PZY371" s="132"/>
      <c r="PZZ371" s="132"/>
      <c r="QAA371" s="132"/>
      <c r="QAB371" s="132"/>
      <c r="QAC371" s="132"/>
      <c r="QAD371" s="132"/>
      <c r="QAE371" s="132"/>
      <c r="QAF371" s="132"/>
      <c r="QAG371" s="132"/>
      <c r="QAH371" s="132"/>
      <c r="QAI371" s="132"/>
      <c r="QAJ371" s="132"/>
      <c r="QAK371" s="132"/>
      <c r="QAL371" s="132"/>
      <c r="QAM371" s="132"/>
      <c r="QAN371" s="132"/>
      <c r="QAO371" s="132"/>
      <c r="QAP371" s="132"/>
      <c r="QAQ371" s="132"/>
      <c r="QAR371" s="132"/>
      <c r="QAS371" s="132"/>
      <c r="QAT371" s="132"/>
      <c r="QAU371" s="132"/>
      <c r="QAV371" s="132"/>
      <c r="QAW371" s="132"/>
      <c r="QAX371" s="132"/>
      <c r="QAY371" s="132"/>
      <c r="QAZ371" s="132"/>
      <c r="QBA371" s="132"/>
      <c r="QBB371" s="132"/>
      <c r="QBC371" s="132"/>
      <c r="QBD371" s="132"/>
      <c r="QBE371" s="132"/>
      <c r="QBF371" s="132"/>
      <c r="QBG371" s="132"/>
      <c r="QBH371" s="132"/>
      <c r="QBI371" s="132"/>
      <c r="QBJ371" s="132"/>
      <c r="QBK371" s="132"/>
      <c r="QBL371" s="132"/>
      <c r="QBM371" s="132"/>
      <c r="QBN371" s="132"/>
      <c r="QBO371" s="132"/>
      <c r="QBP371" s="132"/>
      <c r="QBQ371" s="132"/>
      <c r="QBR371" s="132"/>
      <c r="QBS371" s="132"/>
      <c r="QBT371" s="132"/>
      <c r="QBU371" s="132"/>
      <c r="QBV371" s="132"/>
      <c r="QBW371" s="132"/>
      <c r="QBX371" s="132"/>
      <c r="QBY371" s="132"/>
      <c r="QBZ371" s="132"/>
      <c r="QCA371" s="132"/>
      <c r="QCB371" s="132"/>
      <c r="QCC371" s="132"/>
      <c r="QCD371" s="132"/>
      <c r="QCE371" s="132"/>
      <c r="QCF371" s="132"/>
      <c r="QCG371" s="132"/>
      <c r="QCH371" s="132"/>
      <c r="QCI371" s="132"/>
      <c r="QCJ371" s="132"/>
      <c r="QCK371" s="132"/>
      <c r="QCL371" s="132"/>
      <c r="QCM371" s="132"/>
      <c r="QCN371" s="132"/>
      <c r="QCO371" s="132"/>
      <c r="QCP371" s="132"/>
      <c r="QCQ371" s="132"/>
      <c r="QCR371" s="132"/>
      <c r="QCS371" s="132"/>
      <c r="QCT371" s="132"/>
      <c r="QCU371" s="132"/>
      <c r="QCV371" s="132"/>
      <c r="QCW371" s="132"/>
      <c r="QCX371" s="132"/>
      <c r="QCY371" s="132"/>
      <c r="QCZ371" s="132"/>
      <c r="QDA371" s="132"/>
      <c r="QDB371" s="132"/>
      <c r="QDC371" s="132"/>
      <c r="QDD371" s="132"/>
      <c r="QDE371" s="132"/>
      <c r="QDF371" s="132"/>
      <c r="QDG371" s="132"/>
      <c r="QDH371" s="132"/>
      <c r="QDI371" s="132"/>
      <c r="QDJ371" s="132"/>
      <c r="QDK371" s="132"/>
      <c r="QDL371" s="132"/>
      <c r="QDM371" s="132"/>
      <c r="QDN371" s="132"/>
      <c r="QDO371" s="132"/>
      <c r="QDP371" s="132"/>
      <c r="QDQ371" s="132"/>
      <c r="QDR371" s="132"/>
      <c r="QDS371" s="132"/>
      <c r="QDT371" s="132"/>
      <c r="QDU371" s="132"/>
      <c r="QDV371" s="132"/>
      <c r="QDW371" s="132"/>
      <c r="QDX371" s="132"/>
      <c r="QDY371" s="132"/>
      <c r="QDZ371" s="132"/>
      <c r="QEA371" s="132"/>
      <c r="QEB371" s="132"/>
      <c r="QEC371" s="132"/>
      <c r="QED371" s="132"/>
      <c r="QEE371" s="132"/>
      <c r="QEF371" s="132"/>
      <c r="QEG371" s="132"/>
      <c r="QEH371" s="132"/>
      <c r="QEI371" s="132"/>
      <c r="QEJ371" s="132"/>
      <c r="QEK371" s="132"/>
      <c r="QEL371" s="132"/>
      <c r="QEM371" s="132"/>
      <c r="QEN371" s="132"/>
      <c r="QEO371" s="132"/>
      <c r="QEP371" s="132"/>
      <c r="QEQ371" s="132"/>
      <c r="QER371" s="132"/>
      <c r="QES371" s="132"/>
      <c r="QET371" s="132"/>
      <c r="QEU371" s="132"/>
      <c r="QEV371" s="132"/>
      <c r="QEW371" s="132"/>
      <c r="QEX371" s="132"/>
      <c r="QEY371" s="132"/>
      <c r="QEZ371" s="132"/>
      <c r="QFA371" s="132"/>
      <c r="QFB371" s="132"/>
      <c r="QFC371" s="132"/>
      <c r="QFD371" s="132"/>
      <c r="QFE371" s="132"/>
      <c r="QFF371" s="132"/>
      <c r="QFG371" s="132"/>
      <c r="QFH371" s="132"/>
      <c r="QFI371" s="132"/>
      <c r="QFJ371" s="132"/>
      <c r="QFK371" s="132"/>
      <c r="QFL371" s="132"/>
      <c r="QFM371" s="132"/>
      <c r="QFN371" s="132"/>
      <c r="QFO371" s="132"/>
      <c r="QFP371" s="132"/>
      <c r="QFQ371" s="132"/>
      <c r="QFR371" s="132"/>
      <c r="QFS371" s="132"/>
      <c r="QFT371" s="132"/>
      <c r="QFU371" s="132"/>
      <c r="QFV371" s="132"/>
      <c r="QFW371" s="132"/>
      <c r="QFX371" s="132"/>
      <c r="QFY371" s="132"/>
      <c r="QFZ371" s="132"/>
      <c r="QGA371" s="132"/>
      <c r="QGB371" s="132"/>
      <c r="QGC371" s="132"/>
      <c r="QGD371" s="132"/>
      <c r="QGE371" s="132"/>
      <c r="QGF371" s="132"/>
      <c r="QGG371" s="132"/>
      <c r="QGH371" s="132"/>
      <c r="QGI371" s="132"/>
      <c r="QGJ371" s="132"/>
      <c r="QGK371" s="132"/>
      <c r="QGL371" s="132"/>
      <c r="QGM371" s="132"/>
      <c r="QGN371" s="132"/>
      <c r="QGO371" s="132"/>
      <c r="QGP371" s="132"/>
      <c r="QGQ371" s="132"/>
      <c r="QGR371" s="132"/>
      <c r="QGS371" s="132"/>
      <c r="QGT371" s="132"/>
      <c r="QGU371" s="132"/>
      <c r="QGV371" s="132"/>
      <c r="QGW371" s="132"/>
      <c r="QGX371" s="132"/>
      <c r="QGY371" s="132"/>
      <c r="QGZ371" s="132"/>
      <c r="QHA371" s="132"/>
      <c r="QHB371" s="132"/>
      <c r="QHC371" s="132"/>
      <c r="QHD371" s="132"/>
      <c r="QHE371" s="132"/>
      <c r="QHF371" s="132"/>
      <c r="QHG371" s="132"/>
      <c r="QHH371" s="132"/>
      <c r="QHI371" s="132"/>
      <c r="QHJ371" s="132"/>
      <c r="QHK371" s="132"/>
      <c r="QHL371" s="132"/>
      <c r="QHM371" s="132"/>
      <c r="QHN371" s="132"/>
      <c r="QHO371" s="132"/>
      <c r="QHP371" s="132"/>
      <c r="QHQ371" s="132"/>
      <c r="QHR371" s="132"/>
      <c r="QHS371" s="132"/>
      <c r="QHT371" s="132"/>
      <c r="QHU371" s="132"/>
      <c r="QHV371" s="132"/>
      <c r="QHW371" s="132"/>
      <c r="QHX371" s="132"/>
      <c r="QHY371" s="132"/>
      <c r="QHZ371" s="132"/>
      <c r="QIA371" s="132"/>
      <c r="QIB371" s="132"/>
      <c r="QIC371" s="132"/>
      <c r="QID371" s="132"/>
      <c r="QIE371" s="132"/>
      <c r="QIF371" s="132"/>
      <c r="QIG371" s="132"/>
      <c r="QIH371" s="132"/>
      <c r="QII371" s="132"/>
      <c r="QIJ371" s="132"/>
      <c r="QIK371" s="132"/>
      <c r="QIL371" s="132"/>
      <c r="QIM371" s="132"/>
      <c r="QIN371" s="132"/>
      <c r="QIO371" s="132"/>
      <c r="QIP371" s="132"/>
      <c r="QIQ371" s="132"/>
      <c r="QIR371" s="132"/>
      <c r="QIS371" s="132"/>
      <c r="QIT371" s="132"/>
      <c r="QIU371" s="132"/>
      <c r="QIV371" s="132"/>
      <c r="QIW371" s="132"/>
      <c r="QIX371" s="132"/>
      <c r="QIY371" s="132"/>
      <c r="QIZ371" s="132"/>
      <c r="QJA371" s="132"/>
      <c r="QJB371" s="132"/>
      <c r="QJC371" s="132"/>
      <c r="QJD371" s="132"/>
      <c r="QJE371" s="132"/>
      <c r="QJF371" s="132"/>
      <c r="QJG371" s="132"/>
      <c r="QJH371" s="132"/>
      <c r="QJI371" s="132"/>
      <c r="QJJ371" s="132"/>
      <c r="QJK371" s="132"/>
      <c r="QJL371" s="132"/>
      <c r="QJM371" s="132"/>
      <c r="QJN371" s="132"/>
      <c r="QJO371" s="132"/>
      <c r="QJP371" s="132"/>
      <c r="QJQ371" s="132"/>
      <c r="QJR371" s="132"/>
      <c r="QJS371" s="132"/>
      <c r="QJT371" s="132"/>
      <c r="QJU371" s="132"/>
      <c r="QJV371" s="132"/>
      <c r="QJW371" s="132"/>
      <c r="QJX371" s="132"/>
      <c r="QJY371" s="132"/>
      <c r="QJZ371" s="132"/>
      <c r="QKA371" s="132"/>
      <c r="QKB371" s="132"/>
      <c r="QKC371" s="132"/>
      <c r="QKD371" s="132"/>
      <c r="QKE371" s="132"/>
      <c r="QKF371" s="132"/>
      <c r="QKG371" s="132"/>
      <c r="QKH371" s="132"/>
      <c r="QKI371" s="132"/>
      <c r="QKJ371" s="132"/>
      <c r="QKK371" s="132"/>
      <c r="QKL371" s="132"/>
      <c r="QKM371" s="132"/>
      <c r="QKN371" s="132"/>
      <c r="QKO371" s="132"/>
      <c r="QKP371" s="132"/>
      <c r="QKQ371" s="132"/>
      <c r="QKR371" s="132"/>
      <c r="QKS371" s="132"/>
      <c r="QKT371" s="132"/>
      <c r="QKU371" s="132"/>
      <c r="QKV371" s="132"/>
      <c r="QKW371" s="132"/>
      <c r="QKX371" s="132"/>
      <c r="QKY371" s="132"/>
      <c r="QKZ371" s="132"/>
      <c r="QLA371" s="132"/>
      <c r="QLB371" s="132"/>
      <c r="QLC371" s="132"/>
      <c r="QLD371" s="132"/>
      <c r="QLE371" s="132"/>
      <c r="QLF371" s="132"/>
      <c r="QLG371" s="132"/>
      <c r="QLH371" s="132"/>
      <c r="QLI371" s="132"/>
      <c r="QLJ371" s="132"/>
      <c r="QLK371" s="132"/>
      <c r="QLL371" s="132"/>
      <c r="QLM371" s="132"/>
      <c r="QLN371" s="132"/>
      <c r="QLO371" s="132"/>
      <c r="QLP371" s="132"/>
      <c r="QLQ371" s="132"/>
      <c r="QLR371" s="132"/>
      <c r="QLS371" s="132"/>
      <c r="QLT371" s="132"/>
      <c r="QLU371" s="132"/>
      <c r="QLV371" s="132"/>
      <c r="QLW371" s="132"/>
      <c r="QLX371" s="132"/>
      <c r="QLY371" s="132"/>
      <c r="QLZ371" s="132"/>
      <c r="QMA371" s="132"/>
      <c r="QMB371" s="132"/>
      <c r="QMC371" s="132"/>
      <c r="QMD371" s="132"/>
      <c r="QME371" s="132"/>
      <c r="QMF371" s="132"/>
      <c r="QMG371" s="132"/>
      <c r="QMH371" s="132"/>
      <c r="QMI371" s="132"/>
      <c r="QMJ371" s="132"/>
      <c r="QMK371" s="132"/>
      <c r="QML371" s="132"/>
      <c r="QMM371" s="132"/>
      <c r="QMN371" s="132"/>
      <c r="QMO371" s="132"/>
      <c r="QMP371" s="132"/>
      <c r="QMQ371" s="132"/>
      <c r="QMR371" s="132"/>
      <c r="QMS371" s="132"/>
      <c r="QMT371" s="132"/>
      <c r="QMU371" s="132"/>
      <c r="QMV371" s="132"/>
      <c r="QMW371" s="132"/>
      <c r="QMX371" s="132"/>
      <c r="QMY371" s="132"/>
      <c r="QMZ371" s="132"/>
      <c r="QNA371" s="132"/>
      <c r="QNB371" s="132"/>
      <c r="QNC371" s="132"/>
      <c r="QND371" s="132"/>
      <c r="QNE371" s="132"/>
      <c r="QNF371" s="132"/>
      <c r="QNG371" s="132"/>
      <c r="QNH371" s="132"/>
      <c r="QNI371" s="132"/>
      <c r="QNJ371" s="132"/>
      <c r="QNK371" s="132"/>
      <c r="QNL371" s="132"/>
      <c r="QNM371" s="132"/>
      <c r="QNN371" s="132"/>
      <c r="QNO371" s="132"/>
      <c r="QNP371" s="132"/>
      <c r="QNQ371" s="132"/>
      <c r="QNR371" s="132"/>
      <c r="QNS371" s="132"/>
      <c r="QNT371" s="132"/>
      <c r="QNU371" s="132"/>
      <c r="QNV371" s="132"/>
      <c r="QNW371" s="132"/>
      <c r="QNX371" s="132"/>
      <c r="QNY371" s="132"/>
      <c r="QNZ371" s="132"/>
      <c r="QOA371" s="132"/>
      <c r="QOB371" s="132"/>
      <c r="QOC371" s="132"/>
      <c r="QOD371" s="132"/>
      <c r="QOE371" s="132"/>
      <c r="QOF371" s="132"/>
      <c r="QOG371" s="132"/>
      <c r="QOH371" s="132"/>
      <c r="QOI371" s="132"/>
      <c r="QOJ371" s="132"/>
      <c r="QOK371" s="132"/>
      <c r="QOL371" s="132"/>
      <c r="QOM371" s="132"/>
      <c r="QON371" s="132"/>
      <c r="QOO371" s="132"/>
      <c r="QOP371" s="132"/>
      <c r="QOQ371" s="132"/>
      <c r="QOR371" s="132"/>
      <c r="QOS371" s="132"/>
      <c r="QOT371" s="132"/>
      <c r="QOU371" s="132"/>
      <c r="QOV371" s="132"/>
      <c r="QOW371" s="132"/>
      <c r="QOX371" s="132"/>
      <c r="QOY371" s="132"/>
      <c r="QOZ371" s="132"/>
      <c r="QPA371" s="132"/>
      <c r="QPB371" s="132"/>
      <c r="QPC371" s="132"/>
      <c r="QPD371" s="132"/>
      <c r="QPE371" s="132"/>
      <c r="QPF371" s="132"/>
      <c r="QPG371" s="132"/>
      <c r="QPH371" s="132"/>
      <c r="QPI371" s="132"/>
      <c r="QPJ371" s="132"/>
      <c r="QPK371" s="132"/>
      <c r="QPL371" s="132"/>
      <c r="QPM371" s="132"/>
      <c r="QPN371" s="132"/>
      <c r="QPO371" s="132"/>
      <c r="QPP371" s="132"/>
      <c r="QPQ371" s="132"/>
      <c r="QPR371" s="132"/>
      <c r="QPS371" s="132"/>
      <c r="QPT371" s="132"/>
      <c r="QPU371" s="132"/>
      <c r="QPV371" s="132"/>
      <c r="QPW371" s="132"/>
      <c r="QPX371" s="132"/>
      <c r="QPY371" s="132"/>
      <c r="QPZ371" s="132"/>
      <c r="QQA371" s="132"/>
      <c r="QQB371" s="132"/>
      <c r="QQC371" s="132"/>
      <c r="QQD371" s="132"/>
      <c r="QQE371" s="132"/>
      <c r="QQF371" s="132"/>
      <c r="QQG371" s="132"/>
      <c r="QQH371" s="132"/>
      <c r="QQI371" s="132"/>
      <c r="QQJ371" s="132"/>
      <c r="QQK371" s="132"/>
      <c r="QQL371" s="132"/>
      <c r="QQM371" s="132"/>
      <c r="QQN371" s="132"/>
      <c r="QQO371" s="132"/>
      <c r="QQP371" s="132"/>
      <c r="QQQ371" s="132"/>
      <c r="QQR371" s="132"/>
      <c r="QQS371" s="132"/>
      <c r="QQT371" s="132"/>
      <c r="QQU371" s="132"/>
      <c r="QQV371" s="132"/>
      <c r="QQW371" s="132"/>
      <c r="QQX371" s="132"/>
      <c r="QQY371" s="132"/>
      <c r="QQZ371" s="132"/>
      <c r="QRA371" s="132"/>
      <c r="QRB371" s="132"/>
      <c r="QRC371" s="132"/>
      <c r="QRD371" s="132"/>
      <c r="QRE371" s="132"/>
      <c r="QRF371" s="132"/>
      <c r="QRG371" s="132"/>
      <c r="QRH371" s="132"/>
      <c r="QRI371" s="132"/>
      <c r="QRJ371" s="132"/>
      <c r="QRK371" s="132"/>
      <c r="QRL371" s="132"/>
      <c r="QRM371" s="132"/>
      <c r="QRN371" s="132"/>
      <c r="QRO371" s="132"/>
      <c r="QRP371" s="132"/>
      <c r="QRQ371" s="132"/>
      <c r="QRR371" s="132"/>
      <c r="QRS371" s="132"/>
      <c r="QRT371" s="132"/>
      <c r="QRU371" s="132"/>
      <c r="QRV371" s="132"/>
      <c r="QRW371" s="132"/>
      <c r="QRX371" s="132"/>
      <c r="QRY371" s="132"/>
      <c r="QRZ371" s="132"/>
      <c r="QSA371" s="132"/>
      <c r="QSB371" s="132"/>
      <c r="QSC371" s="132"/>
      <c r="QSD371" s="132"/>
      <c r="QSE371" s="132"/>
      <c r="QSF371" s="132"/>
      <c r="QSG371" s="132"/>
      <c r="QSH371" s="132"/>
      <c r="QSI371" s="132"/>
      <c r="QSJ371" s="132"/>
      <c r="QSK371" s="132"/>
      <c r="QSL371" s="132"/>
      <c r="QSM371" s="132"/>
      <c r="QSN371" s="132"/>
      <c r="QSO371" s="132"/>
      <c r="QSP371" s="132"/>
      <c r="QSQ371" s="132"/>
      <c r="QSR371" s="132"/>
      <c r="QSS371" s="132"/>
      <c r="QST371" s="132"/>
      <c r="QSU371" s="132"/>
      <c r="QSV371" s="132"/>
      <c r="QSW371" s="132"/>
      <c r="QSX371" s="132"/>
      <c r="QSY371" s="132"/>
      <c r="QSZ371" s="132"/>
      <c r="QTA371" s="132"/>
      <c r="QTB371" s="132"/>
      <c r="QTC371" s="132"/>
      <c r="QTD371" s="132"/>
      <c r="QTE371" s="132"/>
      <c r="QTF371" s="132"/>
      <c r="QTG371" s="132"/>
      <c r="QTH371" s="132"/>
      <c r="QTI371" s="132"/>
      <c r="QTJ371" s="132"/>
      <c r="QTK371" s="132"/>
      <c r="QTL371" s="132"/>
      <c r="QTM371" s="132"/>
      <c r="QTN371" s="132"/>
      <c r="QTO371" s="132"/>
      <c r="QTP371" s="132"/>
      <c r="QTQ371" s="132"/>
      <c r="QTR371" s="132"/>
      <c r="QTS371" s="132"/>
      <c r="QTT371" s="132"/>
      <c r="QTU371" s="132"/>
      <c r="QTV371" s="132"/>
      <c r="QTW371" s="132"/>
      <c r="QTX371" s="132"/>
      <c r="QTY371" s="132"/>
      <c r="QTZ371" s="132"/>
      <c r="QUA371" s="132"/>
      <c r="QUB371" s="132"/>
      <c r="QUC371" s="132"/>
      <c r="QUD371" s="132"/>
      <c r="QUE371" s="132"/>
      <c r="QUF371" s="132"/>
      <c r="QUG371" s="132"/>
      <c r="QUH371" s="132"/>
      <c r="QUI371" s="132"/>
      <c r="QUJ371" s="132"/>
      <c r="QUK371" s="132"/>
      <c r="QUL371" s="132"/>
      <c r="QUM371" s="132"/>
      <c r="QUN371" s="132"/>
      <c r="QUO371" s="132"/>
      <c r="QUP371" s="132"/>
      <c r="QUQ371" s="132"/>
      <c r="QUR371" s="132"/>
      <c r="QUS371" s="132"/>
      <c r="QUT371" s="132"/>
      <c r="QUU371" s="132"/>
      <c r="QUV371" s="132"/>
      <c r="QUW371" s="132"/>
      <c r="QUX371" s="132"/>
      <c r="QUY371" s="132"/>
      <c r="QUZ371" s="132"/>
      <c r="QVA371" s="132"/>
      <c r="QVB371" s="132"/>
      <c r="QVC371" s="132"/>
      <c r="QVD371" s="132"/>
      <c r="QVE371" s="132"/>
      <c r="QVF371" s="132"/>
      <c r="QVG371" s="132"/>
      <c r="QVH371" s="132"/>
      <c r="QVI371" s="132"/>
      <c r="QVJ371" s="132"/>
      <c r="QVK371" s="132"/>
      <c r="QVL371" s="132"/>
      <c r="QVM371" s="132"/>
      <c r="QVN371" s="132"/>
      <c r="QVO371" s="132"/>
      <c r="QVP371" s="132"/>
      <c r="QVQ371" s="132"/>
      <c r="QVR371" s="132"/>
      <c r="QVS371" s="132"/>
      <c r="QVT371" s="132"/>
      <c r="QVU371" s="132"/>
      <c r="QVV371" s="132"/>
      <c r="QVW371" s="132"/>
      <c r="QVX371" s="132"/>
      <c r="QVY371" s="132"/>
      <c r="QVZ371" s="132"/>
      <c r="QWA371" s="132"/>
      <c r="QWB371" s="132"/>
      <c r="QWC371" s="132"/>
      <c r="QWD371" s="132"/>
      <c r="QWE371" s="132"/>
      <c r="QWF371" s="132"/>
      <c r="QWG371" s="132"/>
      <c r="QWH371" s="132"/>
      <c r="QWI371" s="132"/>
      <c r="QWJ371" s="132"/>
      <c r="QWK371" s="132"/>
      <c r="QWL371" s="132"/>
      <c r="QWM371" s="132"/>
      <c r="QWN371" s="132"/>
      <c r="QWO371" s="132"/>
      <c r="QWP371" s="132"/>
      <c r="QWQ371" s="132"/>
      <c r="QWR371" s="132"/>
      <c r="QWS371" s="132"/>
      <c r="QWT371" s="132"/>
      <c r="QWU371" s="132"/>
      <c r="QWV371" s="132"/>
      <c r="QWW371" s="132"/>
      <c r="QWX371" s="132"/>
      <c r="QWY371" s="132"/>
      <c r="QWZ371" s="132"/>
      <c r="QXA371" s="132"/>
      <c r="QXB371" s="132"/>
      <c r="QXC371" s="132"/>
      <c r="QXD371" s="132"/>
      <c r="QXE371" s="132"/>
      <c r="QXF371" s="132"/>
      <c r="QXG371" s="132"/>
      <c r="QXH371" s="132"/>
      <c r="QXI371" s="132"/>
      <c r="QXJ371" s="132"/>
      <c r="QXK371" s="132"/>
      <c r="QXL371" s="132"/>
      <c r="QXM371" s="132"/>
      <c r="QXN371" s="132"/>
      <c r="QXO371" s="132"/>
      <c r="QXP371" s="132"/>
      <c r="QXQ371" s="132"/>
      <c r="QXR371" s="132"/>
      <c r="QXS371" s="132"/>
      <c r="QXT371" s="132"/>
      <c r="QXU371" s="132"/>
      <c r="QXV371" s="132"/>
      <c r="QXW371" s="132"/>
      <c r="QXX371" s="132"/>
      <c r="QXY371" s="132"/>
      <c r="QXZ371" s="132"/>
      <c r="QYA371" s="132"/>
      <c r="QYB371" s="132"/>
      <c r="QYC371" s="132"/>
      <c r="QYD371" s="132"/>
      <c r="QYE371" s="132"/>
      <c r="QYF371" s="132"/>
      <c r="QYG371" s="132"/>
      <c r="QYH371" s="132"/>
      <c r="QYI371" s="132"/>
      <c r="QYJ371" s="132"/>
      <c r="QYK371" s="132"/>
      <c r="QYL371" s="132"/>
      <c r="QYM371" s="132"/>
      <c r="QYN371" s="132"/>
      <c r="QYO371" s="132"/>
      <c r="QYP371" s="132"/>
      <c r="QYQ371" s="132"/>
      <c r="QYR371" s="132"/>
      <c r="QYS371" s="132"/>
      <c r="QYT371" s="132"/>
      <c r="QYU371" s="132"/>
      <c r="QYV371" s="132"/>
      <c r="QYW371" s="132"/>
      <c r="QYX371" s="132"/>
      <c r="QYY371" s="132"/>
      <c r="QYZ371" s="132"/>
      <c r="QZA371" s="132"/>
      <c r="QZB371" s="132"/>
      <c r="QZC371" s="132"/>
      <c r="QZD371" s="132"/>
      <c r="QZE371" s="132"/>
      <c r="QZF371" s="132"/>
      <c r="QZG371" s="132"/>
      <c r="QZH371" s="132"/>
      <c r="QZI371" s="132"/>
      <c r="QZJ371" s="132"/>
      <c r="QZK371" s="132"/>
      <c r="QZL371" s="132"/>
      <c r="QZM371" s="132"/>
      <c r="QZN371" s="132"/>
      <c r="QZO371" s="132"/>
      <c r="QZP371" s="132"/>
      <c r="QZQ371" s="132"/>
      <c r="QZR371" s="132"/>
      <c r="QZS371" s="132"/>
      <c r="QZT371" s="132"/>
      <c r="QZU371" s="132"/>
      <c r="QZV371" s="132"/>
      <c r="QZW371" s="132"/>
      <c r="QZX371" s="132"/>
      <c r="QZY371" s="132"/>
      <c r="QZZ371" s="132"/>
      <c r="RAA371" s="132"/>
      <c r="RAB371" s="132"/>
      <c r="RAC371" s="132"/>
      <c r="RAD371" s="132"/>
      <c r="RAE371" s="132"/>
      <c r="RAF371" s="132"/>
      <c r="RAG371" s="132"/>
      <c r="RAH371" s="132"/>
      <c r="RAI371" s="132"/>
      <c r="RAJ371" s="132"/>
      <c r="RAK371" s="132"/>
      <c r="RAL371" s="132"/>
      <c r="RAM371" s="132"/>
      <c r="RAN371" s="132"/>
      <c r="RAO371" s="132"/>
      <c r="RAP371" s="132"/>
      <c r="RAQ371" s="132"/>
      <c r="RAR371" s="132"/>
      <c r="RAS371" s="132"/>
      <c r="RAT371" s="132"/>
      <c r="RAU371" s="132"/>
      <c r="RAV371" s="132"/>
      <c r="RAW371" s="132"/>
      <c r="RAX371" s="132"/>
      <c r="RAY371" s="132"/>
      <c r="RAZ371" s="132"/>
      <c r="RBA371" s="132"/>
      <c r="RBB371" s="132"/>
      <c r="RBC371" s="132"/>
      <c r="RBD371" s="132"/>
      <c r="RBE371" s="132"/>
      <c r="RBF371" s="132"/>
      <c r="RBG371" s="132"/>
      <c r="RBH371" s="132"/>
      <c r="RBI371" s="132"/>
      <c r="RBJ371" s="132"/>
      <c r="RBK371" s="132"/>
      <c r="RBL371" s="132"/>
      <c r="RBM371" s="132"/>
      <c r="RBN371" s="132"/>
      <c r="RBO371" s="132"/>
      <c r="RBP371" s="132"/>
      <c r="RBQ371" s="132"/>
      <c r="RBR371" s="132"/>
      <c r="RBS371" s="132"/>
      <c r="RBT371" s="132"/>
      <c r="RBU371" s="132"/>
      <c r="RBV371" s="132"/>
      <c r="RBW371" s="132"/>
      <c r="RBX371" s="132"/>
      <c r="RBY371" s="132"/>
      <c r="RBZ371" s="132"/>
      <c r="RCA371" s="132"/>
      <c r="RCB371" s="132"/>
      <c r="RCC371" s="132"/>
      <c r="RCD371" s="132"/>
      <c r="RCE371" s="132"/>
      <c r="RCF371" s="132"/>
      <c r="RCG371" s="132"/>
      <c r="RCH371" s="132"/>
      <c r="RCI371" s="132"/>
      <c r="RCJ371" s="132"/>
      <c r="RCK371" s="132"/>
      <c r="RCL371" s="132"/>
      <c r="RCM371" s="132"/>
      <c r="RCN371" s="132"/>
      <c r="RCO371" s="132"/>
      <c r="RCP371" s="132"/>
      <c r="RCQ371" s="132"/>
      <c r="RCR371" s="132"/>
      <c r="RCS371" s="132"/>
      <c r="RCT371" s="132"/>
      <c r="RCU371" s="132"/>
      <c r="RCV371" s="132"/>
      <c r="RCW371" s="132"/>
      <c r="RCX371" s="132"/>
      <c r="RCY371" s="132"/>
      <c r="RCZ371" s="132"/>
      <c r="RDA371" s="132"/>
      <c r="RDB371" s="132"/>
      <c r="RDC371" s="132"/>
      <c r="RDD371" s="132"/>
      <c r="RDE371" s="132"/>
      <c r="RDF371" s="132"/>
      <c r="RDG371" s="132"/>
      <c r="RDH371" s="132"/>
      <c r="RDI371" s="132"/>
      <c r="RDJ371" s="132"/>
      <c r="RDK371" s="132"/>
      <c r="RDL371" s="132"/>
      <c r="RDM371" s="132"/>
      <c r="RDN371" s="132"/>
      <c r="RDO371" s="132"/>
      <c r="RDP371" s="132"/>
      <c r="RDQ371" s="132"/>
      <c r="RDR371" s="132"/>
      <c r="RDS371" s="132"/>
      <c r="RDT371" s="132"/>
      <c r="RDU371" s="132"/>
      <c r="RDV371" s="132"/>
      <c r="RDW371" s="132"/>
      <c r="RDX371" s="132"/>
      <c r="RDY371" s="132"/>
      <c r="RDZ371" s="132"/>
      <c r="REA371" s="132"/>
      <c r="REB371" s="132"/>
      <c r="REC371" s="132"/>
      <c r="RED371" s="132"/>
      <c r="REE371" s="132"/>
      <c r="REF371" s="132"/>
      <c r="REG371" s="132"/>
      <c r="REH371" s="132"/>
      <c r="REI371" s="132"/>
      <c r="REJ371" s="132"/>
      <c r="REK371" s="132"/>
      <c r="REL371" s="132"/>
      <c r="REM371" s="132"/>
      <c r="REN371" s="132"/>
      <c r="REO371" s="132"/>
      <c r="REP371" s="132"/>
      <c r="REQ371" s="132"/>
      <c r="RER371" s="132"/>
      <c r="RES371" s="132"/>
      <c r="RET371" s="132"/>
      <c r="REU371" s="132"/>
      <c r="REV371" s="132"/>
      <c r="REW371" s="132"/>
      <c r="REX371" s="132"/>
      <c r="REY371" s="132"/>
      <c r="REZ371" s="132"/>
      <c r="RFA371" s="132"/>
      <c r="RFB371" s="132"/>
      <c r="RFC371" s="132"/>
      <c r="RFD371" s="132"/>
      <c r="RFE371" s="132"/>
      <c r="RFF371" s="132"/>
      <c r="RFG371" s="132"/>
      <c r="RFH371" s="132"/>
      <c r="RFI371" s="132"/>
      <c r="RFJ371" s="132"/>
      <c r="RFK371" s="132"/>
      <c r="RFL371" s="132"/>
      <c r="RFM371" s="132"/>
      <c r="RFN371" s="132"/>
      <c r="RFO371" s="132"/>
      <c r="RFP371" s="132"/>
      <c r="RFQ371" s="132"/>
      <c r="RFR371" s="132"/>
      <c r="RFS371" s="132"/>
      <c r="RFT371" s="132"/>
      <c r="RFU371" s="132"/>
      <c r="RFV371" s="132"/>
      <c r="RFW371" s="132"/>
      <c r="RFX371" s="132"/>
      <c r="RFY371" s="132"/>
      <c r="RFZ371" s="132"/>
      <c r="RGA371" s="132"/>
      <c r="RGB371" s="132"/>
      <c r="RGC371" s="132"/>
      <c r="RGD371" s="132"/>
      <c r="RGE371" s="132"/>
      <c r="RGF371" s="132"/>
      <c r="RGG371" s="132"/>
      <c r="RGH371" s="132"/>
      <c r="RGI371" s="132"/>
      <c r="RGJ371" s="132"/>
      <c r="RGK371" s="132"/>
      <c r="RGL371" s="132"/>
      <c r="RGM371" s="132"/>
      <c r="RGN371" s="132"/>
      <c r="RGO371" s="132"/>
      <c r="RGP371" s="132"/>
      <c r="RGQ371" s="132"/>
      <c r="RGR371" s="132"/>
      <c r="RGS371" s="132"/>
      <c r="RGT371" s="132"/>
      <c r="RGU371" s="132"/>
      <c r="RGV371" s="132"/>
      <c r="RGW371" s="132"/>
      <c r="RGX371" s="132"/>
      <c r="RGY371" s="132"/>
      <c r="RGZ371" s="132"/>
      <c r="RHA371" s="132"/>
      <c r="RHB371" s="132"/>
      <c r="RHC371" s="132"/>
      <c r="RHD371" s="132"/>
      <c r="RHE371" s="132"/>
      <c r="RHF371" s="132"/>
      <c r="RHG371" s="132"/>
      <c r="RHH371" s="132"/>
      <c r="RHI371" s="132"/>
      <c r="RHJ371" s="132"/>
      <c r="RHK371" s="132"/>
      <c r="RHL371" s="132"/>
      <c r="RHM371" s="132"/>
      <c r="RHN371" s="132"/>
      <c r="RHO371" s="132"/>
      <c r="RHP371" s="132"/>
      <c r="RHQ371" s="132"/>
      <c r="RHR371" s="132"/>
      <c r="RHS371" s="132"/>
      <c r="RHT371" s="132"/>
      <c r="RHU371" s="132"/>
      <c r="RHV371" s="132"/>
      <c r="RHW371" s="132"/>
      <c r="RHX371" s="132"/>
      <c r="RHY371" s="132"/>
      <c r="RHZ371" s="132"/>
      <c r="RIA371" s="132"/>
      <c r="RIB371" s="132"/>
      <c r="RIC371" s="132"/>
      <c r="RID371" s="132"/>
      <c r="RIE371" s="132"/>
      <c r="RIF371" s="132"/>
      <c r="RIG371" s="132"/>
      <c r="RIH371" s="132"/>
      <c r="RII371" s="132"/>
      <c r="RIJ371" s="132"/>
      <c r="RIK371" s="132"/>
      <c r="RIL371" s="132"/>
      <c r="RIM371" s="132"/>
      <c r="RIN371" s="132"/>
      <c r="RIO371" s="132"/>
      <c r="RIP371" s="132"/>
      <c r="RIQ371" s="132"/>
      <c r="RIR371" s="132"/>
      <c r="RIS371" s="132"/>
      <c r="RIT371" s="132"/>
      <c r="RIU371" s="132"/>
      <c r="RIV371" s="132"/>
      <c r="RIW371" s="132"/>
      <c r="RIX371" s="132"/>
      <c r="RIY371" s="132"/>
      <c r="RIZ371" s="132"/>
      <c r="RJA371" s="132"/>
      <c r="RJB371" s="132"/>
      <c r="RJC371" s="132"/>
      <c r="RJD371" s="132"/>
      <c r="RJE371" s="132"/>
      <c r="RJF371" s="132"/>
      <c r="RJG371" s="132"/>
      <c r="RJH371" s="132"/>
      <c r="RJI371" s="132"/>
      <c r="RJJ371" s="132"/>
      <c r="RJK371" s="132"/>
      <c r="RJL371" s="132"/>
      <c r="RJM371" s="132"/>
      <c r="RJN371" s="132"/>
      <c r="RJO371" s="132"/>
      <c r="RJP371" s="132"/>
      <c r="RJQ371" s="132"/>
      <c r="RJR371" s="132"/>
      <c r="RJS371" s="132"/>
      <c r="RJT371" s="132"/>
      <c r="RJU371" s="132"/>
      <c r="RJV371" s="132"/>
      <c r="RJW371" s="132"/>
      <c r="RJX371" s="132"/>
      <c r="RJY371" s="132"/>
      <c r="RJZ371" s="132"/>
      <c r="RKA371" s="132"/>
      <c r="RKB371" s="132"/>
      <c r="RKC371" s="132"/>
      <c r="RKD371" s="132"/>
      <c r="RKE371" s="132"/>
      <c r="RKF371" s="132"/>
      <c r="RKG371" s="132"/>
      <c r="RKH371" s="132"/>
      <c r="RKI371" s="132"/>
      <c r="RKJ371" s="132"/>
      <c r="RKK371" s="132"/>
      <c r="RKL371" s="132"/>
      <c r="RKM371" s="132"/>
      <c r="RKN371" s="132"/>
      <c r="RKO371" s="132"/>
      <c r="RKP371" s="132"/>
      <c r="RKQ371" s="132"/>
      <c r="RKR371" s="132"/>
      <c r="RKS371" s="132"/>
      <c r="RKT371" s="132"/>
      <c r="RKU371" s="132"/>
      <c r="RKV371" s="132"/>
      <c r="RKW371" s="132"/>
      <c r="RKX371" s="132"/>
      <c r="RKY371" s="132"/>
      <c r="RKZ371" s="132"/>
      <c r="RLA371" s="132"/>
      <c r="RLB371" s="132"/>
      <c r="RLC371" s="132"/>
      <c r="RLD371" s="132"/>
      <c r="RLE371" s="132"/>
      <c r="RLF371" s="132"/>
      <c r="RLG371" s="132"/>
      <c r="RLH371" s="132"/>
      <c r="RLI371" s="132"/>
      <c r="RLJ371" s="132"/>
      <c r="RLK371" s="132"/>
      <c r="RLL371" s="132"/>
      <c r="RLM371" s="132"/>
      <c r="RLN371" s="132"/>
      <c r="RLO371" s="132"/>
      <c r="RLP371" s="132"/>
      <c r="RLQ371" s="132"/>
      <c r="RLR371" s="132"/>
      <c r="RLS371" s="132"/>
      <c r="RLT371" s="132"/>
      <c r="RLU371" s="132"/>
      <c r="RLV371" s="132"/>
      <c r="RLW371" s="132"/>
      <c r="RLX371" s="132"/>
      <c r="RLY371" s="132"/>
      <c r="RLZ371" s="132"/>
      <c r="RMA371" s="132"/>
      <c r="RMB371" s="132"/>
      <c r="RMC371" s="132"/>
      <c r="RMD371" s="132"/>
      <c r="RME371" s="132"/>
      <c r="RMF371" s="132"/>
      <c r="RMG371" s="132"/>
      <c r="RMH371" s="132"/>
      <c r="RMI371" s="132"/>
      <c r="RMJ371" s="132"/>
      <c r="RMK371" s="132"/>
      <c r="RML371" s="132"/>
      <c r="RMM371" s="132"/>
      <c r="RMN371" s="132"/>
      <c r="RMO371" s="132"/>
      <c r="RMP371" s="132"/>
      <c r="RMQ371" s="132"/>
      <c r="RMR371" s="132"/>
      <c r="RMS371" s="132"/>
      <c r="RMT371" s="132"/>
      <c r="RMU371" s="132"/>
      <c r="RMV371" s="132"/>
      <c r="RMW371" s="132"/>
      <c r="RMX371" s="132"/>
      <c r="RMY371" s="132"/>
      <c r="RMZ371" s="132"/>
      <c r="RNA371" s="132"/>
      <c r="RNB371" s="132"/>
      <c r="RNC371" s="132"/>
      <c r="RND371" s="132"/>
      <c r="RNE371" s="132"/>
      <c r="RNF371" s="132"/>
      <c r="RNG371" s="132"/>
      <c r="RNH371" s="132"/>
      <c r="RNI371" s="132"/>
      <c r="RNJ371" s="132"/>
      <c r="RNK371" s="132"/>
      <c r="RNL371" s="132"/>
      <c r="RNM371" s="132"/>
      <c r="RNN371" s="132"/>
      <c r="RNO371" s="132"/>
      <c r="RNP371" s="132"/>
      <c r="RNQ371" s="132"/>
      <c r="RNR371" s="132"/>
      <c r="RNS371" s="132"/>
      <c r="RNT371" s="132"/>
      <c r="RNU371" s="132"/>
      <c r="RNV371" s="132"/>
      <c r="RNW371" s="132"/>
      <c r="RNX371" s="132"/>
      <c r="RNY371" s="132"/>
      <c r="RNZ371" s="132"/>
      <c r="ROA371" s="132"/>
      <c r="ROB371" s="132"/>
      <c r="ROC371" s="132"/>
      <c r="ROD371" s="132"/>
      <c r="ROE371" s="132"/>
      <c r="ROF371" s="132"/>
      <c r="ROG371" s="132"/>
      <c r="ROH371" s="132"/>
      <c r="ROI371" s="132"/>
      <c r="ROJ371" s="132"/>
      <c r="ROK371" s="132"/>
      <c r="ROL371" s="132"/>
      <c r="ROM371" s="132"/>
      <c r="RON371" s="132"/>
      <c r="ROO371" s="132"/>
      <c r="ROP371" s="132"/>
      <c r="ROQ371" s="132"/>
      <c r="ROR371" s="132"/>
      <c r="ROS371" s="132"/>
      <c r="ROT371" s="132"/>
      <c r="ROU371" s="132"/>
      <c r="ROV371" s="132"/>
      <c r="ROW371" s="132"/>
      <c r="ROX371" s="132"/>
      <c r="ROY371" s="132"/>
      <c r="ROZ371" s="132"/>
      <c r="RPA371" s="132"/>
      <c r="RPB371" s="132"/>
      <c r="RPC371" s="132"/>
      <c r="RPD371" s="132"/>
      <c r="RPE371" s="132"/>
      <c r="RPF371" s="132"/>
      <c r="RPG371" s="132"/>
      <c r="RPH371" s="132"/>
      <c r="RPI371" s="132"/>
      <c r="RPJ371" s="132"/>
      <c r="RPK371" s="132"/>
      <c r="RPL371" s="132"/>
      <c r="RPM371" s="132"/>
      <c r="RPN371" s="132"/>
      <c r="RPO371" s="132"/>
      <c r="RPP371" s="132"/>
      <c r="RPQ371" s="132"/>
      <c r="RPR371" s="132"/>
      <c r="RPS371" s="132"/>
      <c r="RPT371" s="132"/>
      <c r="RPU371" s="132"/>
      <c r="RPV371" s="132"/>
      <c r="RPW371" s="132"/>
      <c r="RPX371" s="132"/>
      <c r="RPY371" s="132"/>
      <c r="RPZ371" s="132"/>
      <c r="RQA371" s="132"/>
      <c r="RQB371" s="132"/>
      <c r="RQC371" s="132"/>
      <c r="RQD371" s="132"/>
      <c r="RQE371" s="132"/>
      <c r="RQF371" s="132"/>
      <c r="RQG371" s="132"/>
      <c r="RQH371" s="132"/>
      <c r="RQI371" s="132"/>
      <c r="RQJ371" s="132"/>
      <c r="RQK371" s="132"/>
      <c r="RQL371" s="132"/>
      <c r="RQM371" s="132"/>
      <c r="RQN371" s="132"/>
      <c r="RQO371" s="132"/>
      <c r="RQP371" s="132"/>
      <c r="RQQ371" s="132"/>
      <c r="RQR371" s="132"/>
      <c r="RQS371" s="132"/>
      <c r="RQT371" s="132"/>
      <c r="RQU371" s="132"/>
      <c r="RQV371" s="132"/>
      <c r="RQW371" s="132"/>
      <c r="RQX371" s="132"/>
      <c r="RQY371" s="132"/>
      <c r="RQZ371" s="132"/>
      <c r="RRA371" s="132"/>
      <c r="RRB371" s="132"/>
      <c r="RRC371" s="132"/>
      <c r="RRD371" s="132"/>
      <c r="RRE371" s="132"/>
      <c r="RRF371" s="132"/>
      <c r="RRG371" s="132"/>
      <c r="RRH371" s="132"/>
      <c r="RRI371" s="132"/>
      <c r="RRJ371" s="132"/>
      <c r="RRK371" s="132"/>
      <c r="RRL371" s="132"/>
      <c r="RRM371" s="132"/>
      <c r="RRN371" s="132"/>
      <c r="RRO371" s="132"/>
      <c r="RRP371" s="132"/>
      <c r="RRQ371" s="132"/>
      <c r="RRR371" s="132"/>
      <c r="RRS371" s="132"/>
      <c r="RRT371" s="132"/>
      <c r="RRU371" s="132"/>
      <c r="RRV371" s="132"/>
      <c r="RRW371" s="132"/>
      <c r="RRX371" s="132"/>
      <c r="RRY371" s="132"/>
      <c r="RRZ371" s="132"/>
      <c r="RSA371" s="132"/>
      <c r="RSB371" s="132"/>
      <c r="RSC371" s="132"/>
      <c r="RSD371" s="132"/>
      <c r="RSE371" s="132"/>
      <c r="RSF371" s="132"/>
      <c r="RSG371" s="132"/>
      <c r="RSH371" s="132"/>
      <c r="RSI371" s="132"/>
      <c r="RSJ371" s="132"/>
      <c r="RSK371" s="132"/>
      <c r="RSL371" s="132"/>
      <c r="RSM371" s="132"/>
      <c r="RSN371" s="132"/>
      <c r="RSO371" s="132"/>
      <c r="RSP371" s="132"/>
      <c r="RSQ371" s="132"/>
      <c r="RSR371" s="132"/>
      <c r="RSS371" s="132"/>
      <c r="RST371" s="132"/>
      <c r="RSU371" s="132"/>
      <c r="RSV371" s="132"/>
      <c r="RSW371" s="132"/>
      <c r="RSX371" s="132"/>
      <c r="RSY371" s="132"/>
      <c r="RSZ371" s="132"/>
      <c r="RTA371" s="132"/>
      <c r="RTB371" s="132"/>
      <c r="RTC371" s="132"/>
      <c r="RTD371" s="132"/>
      <c r="RTE371" s="132"/>
      <c r="RTF371" s="132"/>
      <c r="RTG371" s="132"/>
      <c r="RTH371" s="132"/>
      <c r="RTI371" s="132"/>
      <c r="RTJ371" s="132"/>
      <c r="RTK371" s="132"/>
      <c r="RTL371" s="132"/>
      <c r="RTM371" s="132"/>
      <c r="RTN371" s="132"/>
      <c r="RTO371" s="132"/>
      <c r="RTP371" s="132"/>
      <c r="RTQ371" s="132"/>
      <c r="RTR371" s="132"/>
      <c r="RTS371" s="132"/>
      <c r="RTT371" s="132"/>
      <c r="RTU371" s="132"/>
      <c r="RTV371" s="132"/>
      <c r="RTW371" s="132"/>
      <c r="RTX371" s="132"/>
      <c r="RTY371" s="132"/>
      <c r="RTZ371" s="132"/>
      <c r="RUA371" s="132"/>
      <c r="RUB371" s="132"/>
      <c r="RUC371" s="132"/>
      <c r="RUD371" s="132"/>
      <c r="RUE371" s="132"/>
      <c r="RUF371" s="132"/>
      <c r="RUG371" s="132"/>
      <c r="RUH371" s="132"/>
      <c r="RUI371" s="132"/>
      <c r="RUJ371" s="132"/>
      <c r="RUK371" s="132"/>
      <c r="RUL371" s="132"/>
      <c r="RUM371" s="132"/>
      <c r="RUN371" s="132"/>
      <c r="RUO371" s="132"/>
      <c r="RUP371" s="132"/>
      <c r="RUQ371" s="132"/>
      <c r="RUR371" s="132"/>
      <c r="RUS371" s="132"/>
      <c r="RUT371" s="132"/>
      <c r="RUU371" s="132"/>
      <c r="RUV371" s="132"/>
      <c r="RUW371" s="132"/>
      <c r="RUX371" s="132"/>
      <c r="RUY371" s="132"/>
      <c r="RUZ371" s="132"/>
      <c r="RVA371" s="132"/>
      <c r="RVB371" s="132"/>
      <c r="RVC371" s="132"/>
      <c r="RVD371" s="132"/>
      <c r="RVE371" s="132"/>
      <c r="RVF371" s="132"/>
      <c r="RVG371" s="132"/>
      <c r="RVH371" s="132"/>
      <c r="RVI371" s="132"/>
      <c r="RVJ371" s="132"/>
      <c r="RVK371" s="132"/>
      <c r="RVL371" s="132"/>
      <c r="RVM371" s="132"/>
      <c r="RVN371" s="132"/>
      <c r="RVO371" s="132"/>
      <c r="RVP371" s="132"/>
      <c r="RVQ371" s="132"/>
      <c r="RVR371" s="132"/>
      <c r="RVS371" s="132"/>
      <c r="RVT371" s="132"/>
      <c r="RVU371" s="132"/>
      <c r="RVV371" s="132"/>
      <c r="RVW371" s="132"/>
      <c r="RVX371" s="132"/>
      <c r="RVY371" s="132"/>
      <c r="RVZ371" s="132"/>
      <c r="RWA371" s="132"/>
      <c r="RWB371" s="132"/>
      <c r="RWC371" s="132"/>
      <c r="RWD371" s="132"/>
      <c r="RWE371" s="132"/>
      <c r="RWF371" s="132"/>
      <c r="RWG371" s="132"/>
      <c r="RWH371" s="132"/>
      <c r="RWI371" s="132"/>
      <c r="RWJ371" s="132"/>
      <c r="RWK371" s="132"/>
      <c r="RWL371" s="132"/>
      <c r="RWM371" s="132"/>
      <c r="RWN371" s="132"/>
      <c r="RWO371" s="132"/>
      <c r="RWP371" s="132"/>
      <c r="RWQ371" s="132"/>
      <c r="RWR371" s="132"/>
      <c r="RWS371" s="132"/>
      <c r="RWT371" s="132"/>
      <c r="RWU371" s="132"/>
      <c r="RWV371" s="132"/>
      <c r="RWW371" s="132"/>
      <c r="RWX371" s="132"/>
      <c r="RWY371" s="132"/>
      <c r="RWZ371" s="132"/>
      <c r="RXA371" s="132"/>
      <c r="RXB371" s="132"/>
      <c r="RXC371" s="132"/>
      <c r="RXD371" s="132"/>
      <c r="RXE371" s="132"/>
      <c r="RXF371" s="132"/>
      <c r="RXG371" s="132"/>
      <c r="RXH371" s="132"/>
      <c r="RXI371" s="132"/>
      <c r="RXJ371" s="132"/>
      <c r="RXK371" s="132"/>
      <c r="RXL371" s="132"/>
      <c r="RXM371" s="132"/>
      <c r="RXN371" s="132"/>
      <c r="RXO371" s="132"/>
      <c r="RXP371" s="132"/>
      <c r="RXQ371" s="132"/>
      <c r="RXR371" s="132"/>
      <c r="RXS371" s="132"/>
      <c r="RXT371" s="132"/>
      <c r="RXU371" s="132"/>
      <c r="RXV371" s="132"/>
      <c r="RXW371" s="132"/>
      <c r="RXX371" s="132"/>
      <c r="RXY371" s="132"/>
      <c r="RXZ371" s="132"/>
      <c r="RYA371" s="132"/>
      <c r="RYB371" s="132"/>
      <c r="RYC371" s="132"/>
      <c r="RYD371" s="132"/>
      <c r="RYE371" s="132"/>
      <c r="RYF371" s="132"/>
      <c r="RYG371" s="132"/>
      <c r="RYH371" s="132"/>
      <c r="RYI371" s="132"/>
      <c r="RYJ371" s="132"/>
      <c r="RYK371" s="132"/>
      <c r="RYL371" s="132"/>
      <c r="RYM371" s="132"/>
      <c r="RYN371" s="132"/>
      <c r="RYO371" s="132"/>
      <c r="RYP371" s="132"/>
      <c r="RYQ371" s="132"/>
      <c r="RYR371" s="132"/>
      <c r="RYS371" s="132"/>
      <c r="RYT371" s="132"/>
      <c r="RYU371" s="132"/>
      <c r="RYV371" s="132"/>
      <c r="RYW371" s="132"/>
      <c r="RYX371" s="132"/>
      <c r="RYY371" s="132"/>
      <c r="RYZ371" s="132"/>
      <c r="RZA371" s="132"/>
      <c r="RZB371" s="132"/>
      <c r="RZC371" s="132"/>
      <c r="RZD371" s="132"/>
      <c r="RZE371" s="132"/>
      <c r="RZF371" s="132"/>
      <c r="RZG371" s="132"/>
      <c r="RZH371" s="132"/>
      <c r="RZI371" s="132"/>
      <c r="RZJ371" s="132"/>
      <c r="RZK371" s="132"/>
      <c r="RZL371" s="132"/>
      <c r="RZM371" s="132"/>
      <c r="RZN371" s="132"/>
      <c r="RZO371" s="132"/>
      <c r="RZP371" s="132"/>
      <c r="RZQ371" s="132"/>
      <c r="RZR371" s="132"/>
      <c r="RZS371" s="132"/>
      <c r="RZT371" s="132"/>
      <c r="RZU371" s="132"/>
      <c r="RZV371" s="132"/>
      <c r="RZW371" s="132"/>
      <c r="RZX371" s="132"/>
      <c r="RZY371" s="132"/>
      <c r="RZZ371" s="132"/>
      <c r="SAA371" s="132"/>
      <c r="SAB371" s="132"/>
      <c r="SAC371" s="132"/>
      <c r="SAD371" s="132"/>
      <c r="SAE371" s="132"/>
      <c r="SAF371" s="132"/>
      <c r="SAG371" s="132"/>
      <c r="SAH371" s="132"/>
      <c r="SAI371" s="132"/>
      <c r="SAJ371" s="132"/>
      <c r="SAK371" s="132"/>
      <c r="SAL371" s="132"/>
      <c r="SAM371" s="132"/>
      <c r="SAN371" s="132"/>
      <c r="SAO371" s="132"/>
      <c r="SAP371" s="132"/>
      <c r="SAQ371" s="132"/>
      <c r="SAR371" s="132"/>
      <c r="SAS371" s="132"/>
      <c r="SAT371" s="132"/>
      <c r="SAU371" s="132"/>
      <c r="SAV371" s="132"/>
      <c r="SAW371" s="132"/>
      <c r="SAX371" s="132"/>
      <c r="SAY371" s="132"/>
      <c r="SAZ371" s="132"/>
      <c r="SBA371" s="132"/>
      <c r="SBB371" s="132"/>
      <c r="SBC371" s="132"/>
      <c r="SBD371" s="132"/>
      <c r="SBE371" s="132"/>
      <c r="SBF371" s="132"/>
      <c r="SBG371" s="132"/>
      <c r="SBH371" s="132"/>
      <c r="SBI371" s="132"/>
      <c r="SBJ371" s="132"/>
      <c r="SBK371" s="132"/>
      <c r="SBL371" s="132"/>
      <c r="SBM371" s="132"/>
      <c r="SBN371" s="132"/>
      <c r="SBO371" s="132"/>
      <c r="SBP371" s="132"/>
      <c r="SBQ371" s="132"/>
      <c r="SBR371" s="132"/>
      <c r="SBS371" s="132"/>
      <c r="SBT371" s="132"/>
      <c r="SBU371" s="132"/>
      <c r="SBV371" s="132"/>
      <c r="SBW371" s="132"/>
      <c r="SBX371" s="132"/>
      <c r="SBY371" s="132"/>
      <c r="SBZ371" s="132"/>
      <c r="SCA371" s="132"/>
      <c r="SCB371" s="132"/>
      <c r="SCC371" s="132"/>
      <c r="SCD371" s="132"/>
      <c r="SCE371" s="132"/>
      <c r="SCF371" s="132"/>
      <c r="SCG371" s="132"/>
      <c r="SCH371" s="132"/>
      <c r="SCI371" s="132"/>
      <c r="SCJ371" s="132"/>
      <c r="SCK371" s="132"/>
      <c r="SCL371" s="132"/>
      <c r="SCM371" s="132"/>
      <c r="SCN371" s="132"/>
      <c r="SCO371" s="132"/>
      <c r="SCP371" s="132"/>
      <c r="SCQ371" s="132"/>
      <c r="SCR371" s="132"/>
      <c r="SCS371" s="132"/>
      <c r="SCT371" s="132"/>
      <c r="SCU371" s="132"/>
      <c r="SCV371" s="132"/>
      <c r="SCW371" s="132"/>
      <c r="SCX371" s="132"/>
      <c r="SCY371" s="132"/>
      <c r="SCZ371" s="132"/>
      <c r="SDA371" s="132"/>
      <c r="SDB371" s="132"/>
      <c r="SDC371" s="132"/>
      <c r="SDD371" s="132"/>
      <c r="SDE371" s="132"/>
      <c r="SDF371" s="132"/>
      <c r="SDG371" s="132"/>
      <c r="SDH371" s="132"/>
      <c r="SDI371" s="132"/>
      <c r="SDJ371" s="132"/>
      <c r="SDK371" s="132"/>
      <c r="SDL371" s="132"/>
      <c r="SDM371" s="132"/>
      <c r="SDN371" s="132"/>
      <c r="SDO371" s="132"/>
      <c r="SDP371" s="132"/>
      <c r="SDQ371" s="132"/>
      <c r="SDR371" s="132"/>
      <c r="SDS371" s="132"/>
      <c r="SDT371" s="132"/>
      <c r="SDU371" s="132"/>
      <c r="SDV371" s="132"/>
      <c r="SDW371" s="132"/>
      <c r="SDX371" s="132"/>
      <c r="SDY371" s="132"/>
      <c r="SDZ371" s="132"/>
      <c r="SEA371" s="132"/>
      <c r="SEB371" s="132"/>
      <c r="SEC371" s="132"/>
      <c r="SED371" s="132"/>
      <c r="SEE371" s="132"/>
      <c r="SEF371" s="132"/>
      <c r="SEG371" s="132"/>
      <c r="SEH371" s="132"/>
      <c r="SEI371" s="132"/>
      <c r="SEJ371" s="132"/>
      <c r="SEK371" s="132"/>
      <c r="SEL371" s="132"/>
      <c r="SEM371" s="132"/>
      <c r="SEN371" s="132"/>
      <c r="SEO371" s="132"/>
      <c r="SEP371" s="132"/>
      <c r="SEQ371" s="132"/>
      <c r="SER371" s="132"/>
      <c r="SES371" s="132"/>
      <c r="SET371" s="132"/>
      <c r="SEU371" s="132"/>
      <c r="SEV371" s="132"/>
      <c r="SEW371" s="132"/>
      <c r="SEX371" s="132"/>
      <c r="SEY371" s="132"/>
      <c r="SEZ371" s="132"/>
      <c r="SFA371" s="132"/>
      <c r="SFB371" s="132"/>
      <c r="SFC371" s="132"/>
      <c r="SFD371" s="132"/>
      <c r="SFE371" s="132"/>
      <c r="SFF371" s="132"/>
      <c r="SFG371" s="132"/>
      <c r="SFH371" s="132"/>
      <c r="SFI371" s="132"/>
      <c r="SFJ371" s="132"/>
      <c r="SFK371" s="132"/>
      <c r="SFL371" s="132"/>
      <c r="SFM371" s="132"/>
      <c r="SFN371" s="132"/>
      <c r="SFO371" s="132"/>
      <c r="SFP371" s="132"/>
      <c r="SFQ371" s="132"/>
      <c r="SFR371" s="132"/>
      <c r="SFS371" s="132"/>
      <c r="SFT371" s="132"/>
      <c r="SFU371" s="132"/>
      <c r="SFV371" s="132"/>
      <c r="SFW371" s="132"/>
      <c r="SFX371" s="132"/>
      <c r="SFY371" s="132"/>
      <c r="SFZ371" s="132"/>
      <c r="SGA371" s="132"/>
      <c r="SGB371" s="132"/>
      <c r="SGC371" s="132"/>
      <c r="SGD371" s="132"/>
      <c r="SGE371" s="132"/>
      <c r="SGF371" s="132"/>
      <c r="SGG371" s="132"/>
      <c r="SGH371" s="132"/>
      <c r="SGI371" s="132"/>
      <c r="SGJ371" s="132"/>
      <c r="SGK371" s="132"/>
      <c r="SGL371" s="132"/>
      <c r="SGM371" s="132"/>
      <c r="SGN371" s="132"/>
      <c r="SGO371" s="132"/>
      <c r="SGP371" s="132"/>
      <c r="SGQ371" s="132"/>
      <c r="SGR371" s="132"/>
      <c r="SGS371" s="132"/>
      <c r="SGT371" s="132"/>
      <c r="SGU371" s="132"/>
      <c r="SGV371" s="132"/>
      <c r="SGW371" s="132"/>
      <c r="SGX371" s="132"/>
      <c r="SGY371" s="132"/>
      <c r="SGZ371" s="132"/>
      <c r="SHA371" s="132"/>
      <c r="SHB371" s="132"/>
      <c r="SHC371" s="132"/>
      <c r="SHD371" s="132"/>
      <c r="SHE371" s="132"/>
      <c r="SHF371" s="132"/>
      <c r="SHG371" s="132"/>
      <c r="SHH371" s="132"/>
      <c r="SHI371" s="132"/>
      <c r="SHJ371" s="132"/>
      <c r="SHK371" s="132"/>
      <c r="SHL371" s="132"/>
      <c r="SHM371" s="132"/>
      <c r="SHN371" s="132"/>
      <c r="SHO371" s="132"/>
      <c r="SHP371" s="132"/>
      <c r="SHQ371" s="132"/>
      <c r="SHR371" s="132"/>
      <c r="SHS371" s="132"/>
      <c r="SHT371" s="132"/>
      <c r="SHU371" s="132"/>
      <c r="SHV371" s="132"/>
      <c r="SHW371" s="132"/>
      <c r="SHX371" s="132"/>
      <c r="SHY371" s="132"/>
      <c r="SHZ371" s="132"/>
      <c r="SIA371" s="132"/>
      <c r="SIB371" s="132"/>
      <c r="SIC371" s="132"/>
      <c r="SID371" s="132"/>
      <c r="SIE371" s="132"/>
      <c r="SIF371" s="132"/>
      <c r="SIG371" s="132"/>
      <c r="SIH371" s="132"/>
      <c r="SII371" s="132"/>
      <c r="SIJ371" s="132"/>
      <c r="SIK371" s="132"/>
      <c r="SIL371" s="132"/>
      <c r="SIM371" s="132"/>
      <c r="SIN371" s="132"/>
      <c r="SIO371" s="132"/>
      <c r="SIP371" s="132"/>
      <c r="SIQ371" s="132"/>
      <c r="SIR371" s="132"/>
      <c r="SIS371" s="132"/>
      <c r="SIT371" s="132"/>
      <c r="SIU371" s="132"/>
      <c r="SIV371" s="132"/>
      <c r="SIW371" s="132"/>
      <c r="SIX371" s="132"/>
      <c r="SIY371" s="132"/>
      <c r="SIZ371" s="132"/>
      <c r="SJA371" s="132"/>
      <c r="SJB371" s="132"/>
      <c r="SJC371" s="132"/>
      <c r="SJD371" s="132"/>
      <c r="SJE371" s="132"/>
      <c r="SJF371" s="132"/>
      <c r="SJG371" s="132"/>
      <c r="SJH371" s="132"/>
      <c r="SJI371" s="132"/>
      <c r="SJJ371" s="132"/>
      <c r="SJK371" s="132"/>
      <c r="SJL371" s="132"/>
      <c r="SJM371" s="132"/>
      <c r="SJN371" s="132"/>
      <c r="SJO371" s="132"/>
      <c r="SJP371" s="132"/>
      <c r="SJQ371" s="132"/>
      <c r="SJR371" s="132"/>
      <c r="SJS371" s="132"/>
      <c r="SJT371" s="132"/>
      <c r="SJU371" s="132"/>
      <c r="SJV371" s="132"/>
      <c r="SJW371" s="132"/>
      <c r="SJX371" s="132"/>
      <c r="SJY371" s="132"/>
      <c r="SJZ371" s="132"/>
      <c r="SKA371" s="132"/>
      <c r="SKB371" s="132"/>
      <c r="SKC371" s="132"/>
      <c r="SKD371" s="132"/>
      <c r="SKE371" s="132"/>
      <c r="SKF371" s="132"/>
      <c r="SKG371" s="132"/>
      <c r="SKH371" s="132"/>
      <c r="SKI371" s="132"/>
      <c r="SKJ371" s="132"/>
      <c r="SKK371" s="132"/>
      <c r="SKL371" s="132"/>
      <c r="SKM371" s="132"/>
      <c r="SKN371" s="132"/>
      <c r="SKO371" s="132"/>
      <c r="SKP371" s="132"/>
      <c r="SKQ371" s="132"/>
      <c r="SKR371" s="132"/>
      <c r="SKS371" s="132"/>
      <c r="SKT371" s="132"/>
      <c r="SKU371" s="132"/>
      <c r="SKV371" s="132"/>
      <c r="SKW371" s="132"/>
      <c r="SKX371" s="132"/>
      <c r="SKY371" s="132"/>
      <c r="SKZ371" s="132"/>
      <c r="SLA371" s="132"/>
      <c r="SLB371" s="132"/>
      <c r="SLC371" s="132"/>
      <c r="SLD371" s="132"/>
      <c r="SLE371" s="132"/>
      <c r="SLF371" s="132"/>
      <c r="SLG371" s="132"/>
      <c r="SLH371" s="132"/>
      <c r="SLI371" s="132"/>
      <c r="SLJ371" s="132"/>
      <c r="SLK371" s="132"/>
      <c r="SLL371" s="132"/>
      <c r="SLM371" s="132"/>
      <c r="SLN371" s="132"/>
      <c r="SLO371" s="132"/>
      <c r="SLP371" s="132"/>
      <c r="SLQ371" s="132"/>
      <c r="SLR371" s="132"/>
      <c r="SLS371" s="132"/>
      <c r="SLT371" s="132"/>
      <c r="SLU371" s="132"/>
      <c r="SLV371" s="132"/>
      <c r="SLW371" s="132"/>
      <c r="SLX371" s="132"/>
      <c r="SLY371" s="132"/>
      <c r="SLZ371" s="132"/>
      <c r="SMA371" s="132"/>
      <c r="SMB371" s="132"/>
      <c r="SMC371" s="132"/>
      <c r="SMD371" s="132"/>
      <c r="SME371" s="132"/>
      <c r="SMF371" s="132"/>
      <c r="SMG371" s="132"/>
      <c r="SMH371" s="132"/>
      <c r="SMI371" s="132"/>
      <c r="SMJ371" s="132"/>
      <c r="SMK371" s="132"/>
      <c r="SML371" s="132"/>
      <c r="SMM371" s="132"/>
      <c r="SMN371" s="132"/>
      <c r="SMO371" s="132"/>
      <c r="SMP371" s="132"/>
      <c r="SMQ371" s="132"/>
      <c r="SMR371" s="132"/>
      <c r="SMS371" s="132"/>
      <c r="SMT371" s="132"/>
      <c r="SMU371" s="132"/>
      <c r="SMV371" s="132"/>
      <c r="SMW371" s="132"/>
      <c r="SMX371" s="132"/>
      <c r="SMY371" s="132"/>
      <c r="SMZ371" s="132"/>
      <c r="SNA371" s="132"/>
      <c r="SNB371" s="132"/>
      <c r="SNC371" s="132"/>
      <c r="SND371" s="132"/>
      <c r="SNE371" s="132"/>
      <c r="SNF371" s="132"/>
      <c r="SNG371" s="132"/>
      <c r="SNH371" s="132"/>
      <c r="SNI371" s="132"/>
      <c r="SNJ371" s="132"/>
      <c r="SNK371" s="132"/>
      <c r="SNL371" s="132"/>
      <c r="SNM371" s="132"/>
      <c r="SNN371" s="132"/>
      <c r="SNO371" s="132"/>
      <c r="SNP371" s="132"/>
      <c r="SNQ371" s="132"/>
      <c r="SNR371" s="132"/>
      <c r="SNS371" s="132"/>
      <c r="SNT371" s="132"/>
      <c r="SNU371" s="132"/>
      <c r="SNV371" s="132"/>
      <c r="SNW371" s="132"/>
      <c r="SNX371" s="132"/>
      <c r="SNY371" s="132"/>
      <c r="SNZ371" s="132"/>
      <c r="SOA371" s="132"/>
      <c r="SOB371" s="132"/>
      <c r="SOC371" s="132"/>
      <c r="SOD371" s="132"/>
      <c r="SOE371" s="132"/>
      <c r="SOF371" s="132"/>
      <c r="SOG371" s="132"/>
      <c r="SOH371" s="132"/>
      <c r="SOI371" s="132"/>
      <c r="SOJ371" s="132"/>
      <c r="SOK371" s="132"/>
      <c r="SOL371" s="132"/>
      <c r="SOM371" s="132"/>
      <c r="SON371" s="132"/>
      <c r="SOO371" s="132"/>
      <c r="SOP371" s="132"/>
      <c r="SOQ371" s="132"/>
      <c r="SOR371" s="132"/>
      <c r="SOS371" s="132"/>
      <c r="SOT371" s="132"/>
      <c r="SOU371" s="132"/>
      <c r="SOV371" s="132"/>
      <c r="SOW371" s="132"/>
      <c r="SOX371" s="132"/>
      <c r="SOY371" s="132"/>
      <c r="SOZ371" s="132"/>
      <c r="SPA371" s="132"/>
      <c r="SPB371" s="132"/>
      <c r="SPC371" s="132"/>
      <c r="SPD371" s="132"/>
      <c r="SPE371" s="132"/>
      <c r="SPF371" s="132"/>
      <c r="SPG371" s="132"/>
      <c r="SPH371" s="132"/>
      <c r="SPI371" s="132"/>
      <c r="SPJ371" s="132"/>
      <c r="SPK371" s="132"/>
      <c r="SPL371" s="132"/>
      <c r="SPM371" s="132"/>
      <c r="SPN371" s="132"/>
      <c r="SPO371" s="132"/>
      <c r="SPP371" s="132"/>
      <c r="SPQ371" s="132"/>
      <c r="SPR371" s="132"/>
      <c r="SPS371" s="132"/>
      <c r="SPT371" s="132"/>
      <c r="SPU371" s="132"/>
      <c r="SPV371" s="132"/>
      <c r="SPW371" s="132"/>
      <c r="SPX371" s="132"/>
      <c r="SPY371" s="132"/>
      <c r="SPZ371" s="132"/>
      <c r="SQA371" s="132"/>
      <c r="SQB371" s="132"/>
      <c r="SQC371" s="132"/>
      <c r="SQD371" s="132"/>
      <c r="SQE371" s="132"/>
      <c r="SQF371" s="132"/>
      <c r="SQG371" s="132"/>
      <c r="SQH371" s="132"/>
      <c r="SQI371" s="132"/>
      <c r="SQJ371" s="132"/>
      <c r="SQK371" s="132"/>
      <c r="SQL371" s="132"/>
      <c r="SQM371" s="132"/>
      <c r="SQN371" s="132"/>
      <c r="SQO371" s="132"/>
      <c r="SQP371" s="132"/>
      <c r="SQQ371" s="132"/>
      <c r="SQR371" s="132"/>
      <c r="SQS371" s="132"/>
      <c r="SQT371" s="132"/>
      <c r="SQU371" s="132"/>
      <c r="SQV371" s="132"/>
      <c r="SQW371" s="132"/>
      <c r="SQX371" s="132"/>
      <c r="SQY371" s="132"/>
      <c r="SQZ371" s="132"/>
      <c r="SRA371" s="132"/>
      <c r="SRB371" s="132"/>
      <c r="SRC371" s="132"/>
      <c r="SRD371" s="132"/>
      <c r="SRE371" s="132"/>
      <c r="SRF371" s="132"/>
      <c r="SRG371" s="132"/>
      <c r="SRH371" s="132"/>
      <c r="SRI371" s="132"/>
      <c r="SRJ371" s="132"/>
      <c r="SRK371" s="132"/>
      <c r="SRL371" s="132"/>
      <c r="SRM371" s="132"/>
      <c r="SRN371" s="132"/>
      <c r="SRO371" s="132"/>
      <c r="SRP371" s="132"/>
      <c r="SRQ371" s="132"/>
      <c r="SRR371" s="132"/>
      <c r="SRS371" s="132"/>
      <c r="SRT371" s="132"/>
      <c r="SRU371" s="132"/>
      <c r="SRV371" s="132"/>
      <c r="SRW371" s="132"/>
      <c r="SRX371" s="132"/>
      <c r="SRY371" s="132"/>
      <c r="SRZ371" s="132"/>
      <c r="SSA371" s="132"/>
      <c r="SSB371" s="132"/>
      <c r="SSC371" s="132"/>
      <c r="SSD371" s="132"/>
      <c r="SSE371" s="132"/>
      <c r="SSF371" s="132"/>
      <c r="SSG371" s="132"/>
      <c r="SSH371" s="132"/>
      <c r="SSI371" s="132"/>
      <c r="SSJ371" s="132"/>
      <c r="SSK371" s="132"/>
      <c r="SSL371" s="132"/>
      <c r="SSM371" s="132"/>
      <c r="SSN371" s="132"/>
      <c r="SSO371" s="132"/>
      <c r="SSP371" s="132"/>
      <c r="SSQ371" s="132"/>
      <c r="SSR371" s="132"/>
      <c r="SSS371" s="132"/>
      <c r="SST371" s="132"/>
      <c r="SSU371" s="132"/>
      <c r="SSV371" s="132"/>
      <c r="SSW371" s="132"/>
      <c r="SSX371" s="132"/>
      <c r="SSY371" s="132"/>
      <c r="SSZ371" s="132"/>
      <c r="STA371" s="132"/>
      <c r="STB371" s="132"/>
      <c r="STC371" s="132"/>
      <c r="STD371" s="132"/>
      <c r="STE371" s="132"/>
      <c r="STF371" s="132"/>
      <c r="STG371" s="132"/>
      <c r="STH371" s="132"/>
      <c r="STI371" s="132"/>
      <c r="STJ371" s="132"/>
      <c r="STK371" s="132"/>
      <c r="STL371" s="132"/>
      <c r="STM371" s="132"/>
      <c r="STN371" s="132"/>
      <c r="STO371" s="132"/>
      <c r="STP371" s="132"/>
      <c r="STQ371" s="132"/>
      <c r="STR371" s="132"/>
      <c r="STS371" s="132"/>
      <c r="STT371" s="132"/>
      <c r="STU371" s="132"/>
      <c r="STV371" s="132"/>
      <c r="STW371" s="132"/>
      <c r="STX371" s="132"/>
      <c r="STY371" s="132"/>
      <c r="STZ371" s="132"/>
      <c r="SUA371" s="132"/>
      <c r="SUB371" s="132"/>
      <c r="SUC371" s="132"/>
      <c r="SUD371" s="132"/>
      <c r="SUE371" s="132"/>
      <c r="SUF371" s="132"/>
      <c r="SUG371" s="132"/>
      <c r="SUH371" s="132"/>
      <c r="SUI371" s="132"/>
      <c r="SUJ371" s="132"/>
      <c r="SUK371" s="132"/>
      <c r="SUL371" s="132"/>
      <c r="SUM371" s="132"/>
      <c r="SUN371" s="132"/>
      <c r="SUO371" s="132"/>
      <c r="SUP371" s="132"/>
      <c r="SUQ371" s="132"/>
      <c r="SUR371" s="132"/>
      <c r="SUS371" s="132"/>
      <c r="SUT371" s="132"/>
      <c r="SUU371" s="132"/>
      <c r="SUV371" s="132"/>
      <c r="SUW371" s="132"/>
      <c r="SUX371" s="132"/>
      <c r="SUY371" s="132"/>
      <c r="SUZ371" s="132"/>
      <c r="SVA371" s="132"/>
      <c r="SVB371" s="132"/>
      <c r="SVC371" s="132"/>
      <c r="SVD371" s="132"/>
      <c r="SVE371" s="132"/>
      <c r="SVF371" s="132"/>
      <c r="SVG371" s="132"/>
      <c r="SVH371" s="132"/>
      <c r="SVI371" s="132"/>
      <c r="SVJ371" s="132"/>
      <c r="SVK371" s="132"/>
      <c r="SVL371" s="132"/>
      <c r="SVM371" s="132"/>
      <c r="SVN371" s="132"/>
      <c r="SVO371" s="132"/>
      <c r="SVP371" s="132"/>
      <c r="SVQ371" s="132"/>
      <c r="SVR371" s="132"/>
      <c r="SVS371" s="132"/>
      <c r="SVT371" s="132"/>
      <c r="SVU371" s="132"/>
      <c r="SVV371" s="132"/>
      <c r="SVW371" s="132"/>
      <c r="SVX371" s="132"/>
      <c r="SVY371" s="132"/>
      <c r="SVZ371" s="132"/>
      <c r="SWA371" s="132"/>
      <c r="SWB371" s="132"/>
      <c r="SWC371" s="132"/>
      <c r="SWD371" s="132"/>
      <c r="SWE371" s="132"/>
      <c r="SWF371" s="132"/>
      <c r="SWG371" s="132"/>
      <c r="SWH371" s="132"/>
      <c r="SWI371" s="132"/>
      <c r="SWJ371" s="132"/>
      <c r="SWK371" s="132"/>
      <c r="SWL371" s="132"/>
      <c r="SWM371" s="132"/>
      <c r="SWN371" s="132"/>
      <c r="SWO371" s="132"/>
      <c r="SWP371" s="132"/>
      <c r="SWQ371" s="132"/>
      <c r="SWR371" s="132"/>
      <c r="SWS371" s="132"/>
      <c r="SWT371" s="132"/>
      <c r="SWU371" s="132"/>
      <c r="SWV371" s="132"/>
      <c r="SWW371" s="132"/>
      <c r="SWX371" s="132"/>
      <c r="SWY371" s="132"/>
      <c r="SWZ371" s="132"/>
      <c r="SXA371" s="132"/>
      <c r="SXB371" s="132"/>
      <c r="SXC371" s="132"/>
      <c r="SXD371" s="132"/>
      <c r="SXE371" s="132"/>
      <c r="SXF371" s="132"/>
      <c r="SXG371" s="132"/>
      <c r="SXH371" s="132"/>
      <c r="SXI371" s="132"/>
      <c r="SXJ371" s="132"/>
      <c r="SXK371" s="132"/>
      <c r="SXL371" s="132"/>
      <c r="SXM371" s="132"/>
      <c r="SXN371" s="132"/>
      <c r="SXO371" s="132"/>
      <c r="SXP371" s="132"/>
      <c r="SXQ371" s="132"/>
      <c r="SXR371" s="132"/>
      <c r="SXS371" s="132"/>
      <c r="SXT371" s="132"/>
      <c r="SXU371" s="132"/>
      <c r="SXV371" s="132"/>
      <c r="SXW371" s="132"/>
      <c r="SXX371" s="132"/>
      <c r="SXY371" s="132"/>
      <c r="SXZ371" s="132"/>
      <c r="SYA371" s="132"/>
      <c r="SYB371" s="132"/>
      <c r="SYC371" s="132"/>
      <c r="SYD371" s="132"/>
      <c r="SYE371" s="132"/>
      <c r="SYF371" s="132"/>
      <c r="SYG371" s="132"/>
      <c r="SYH371" s="132"/>
      <c r="SYI371" s="132"/>
      <c r="SYJ371" s="132"/>
      <c r="SYK371" s="132"/>
      <c r="SYL371" s="132"/>
      <c r="SYM371" s="132"/>
      <c r="SYN371" s="132"/>
      <c r="SYO371" s="132"/>
      <c r="SYP371" s="132"/>
      <c r="SYQ371" s="132"/>
      <c r="SYR371" s="132"/>
      <c r="SYS371" s="132"/>
      <c r="SYT371" s="132"/>
      <c r="SYU371" s="132"/>
      <c r="SYV371" s="132"/>
      <c r="SYW371" s="132"/>
      <c r="SYX371" s="132"/>
      <c r="SYY371" s="132"/>
      <c r="SYZ371" s="132"/>
      <c r="SZA371" s="132"/>
      <c r="SZB371" s="132"/>
      <c r="SZC371" s="132"/>
      <c r="SZD371" s="132"/>
      <c r="SZE371" s="132"/>
      <c r="SZF371" s="132"/>
      <c r="SZG371" s="132"/>
      <c r="SZH371" s="132"/>
      <c r="SZI371" s="132"/>
      <c r="SZJ371" s="132"/>
      <c r="SZK371" s="132"/>
      <c r="SZL371" s="132"/>
      <c r="SZM371" s="132"/>
      <c r="SZN371" s="132"/>
      <c r="SZO371" s="132"/>
      <c r="SZP371" s="132"/>
      <c r="SZQ371" s="132"/>
      <c r="SZR371" s="132"/>
      <c r="SZS371" s="132"/>
      <c r="SZT371" s="132"/>
      <c r="SZU371" s="132"/>
      <c r="SZV371" s="132"/>
      <c r="SZW371" s="132"/>
      <c r="SZX371" s="132"/>
      <c r="SZY371" s="132"/>
      <c r="SZZ371" s="132"/>
      <c r="TAA371" s="132"/>
      <c r="TAB371" s="132"/>
      <c r="TAC371" s="132"/>
      <c r="TAD371" s="132"/>
      <c r="TAE371" s="132"/>
      <c r="TAF371" s="132"/>
      <c r="TAG371" s="132"/>
      <c r="TAH371" s="132"/>
      <c r="TAI371" s="132"/>
      <c r="TAJ371" s="132"/>
      <c r="TAK371" s="132"/>
      <c r="TAL371" s="132"/>
      <c r="TAM371" s="132"/>
      <c r="TAN371" s="132"/>
      <c r="TAO371" s="132"/>
      <c r="TAP371" s="132"/>
      <c r="TAQ371" s="132"/>
      <c r="TAR371" s="132"/>
      <c r="TAS371" s="132"/>
      <c r="TAT371" s="132"/>
      <c r="TAU371" s="132"/>
      <c r="TAV371" s="132"/>
      <c r="TAW371" s="132"/>
      <c r="TAX371" s="132"/>
      <c r="TAY371" s="132"/>
      <c r="TAZ371" s="132"/>
      <c r="TBA371" s="132"/>
      <c r="TBB371" s="132"/>
      <c r="TBC371" s="132"/>
      <c r="TBD371" s="132"/>
      <c r="TBE371" s="132"/>
      <c r="TBF371" s="132"/>
      <c r="TBG371" s="132"/>
      <c r="TBH371" s="132"/>
      <c r="TBI371" s="132"/>
      <c r="TBJ371" s="132"/>
      <c r="TBK371" s="132"/>
      <c r="TBL371" s="132"/>
      <c r="TBM371" s="132"/>
      <c r="TBN371" s="132"/>
      <c r="TBO371" s="132"/>
      <c r="TBP371" s="132"/>
      <c r="TBQ371" s="132"/>
      <c r="TBR371" s="132"/>
      <c r="TBS371" s="132"/>
      <c r="TBT371" s="132"/>
      <c r="TBU371" s="132"/>
      <c r="TBV371" s="132"/>
      <c r="TBW371" s="132"/>
      <c r="TBX371" s="132"/>
      <c r="TBY371" s="132"/>
      <c r="TBZ371" s="132"/>
      <c r="TCA371" s="132"/>
      <c r="TCB371" s="132"/>
      <c r="TCC371" s="132"/>
      <c r="TCD371" s="132"/>
      <c r="TCE371" s="132"/>
      <c r="TCF371" s="132"/>
      <c r="TCG371" s="132"/>
      <c r="TCH371" s="132"/>
      <c r="TCI371" s="132"/>
      <c r="TCJ371" s="132"/>
      <c r="TCK371" s="132"/>
      <c r="TCL371" s="132"/>
      <c r="TCM371" s="132"/>
      <c r="TCN371" s="132"/>
      <c r="TCO371" s="132"/>
      <c r="TCP371" s="132"/>
      <c r="TCQ371" s="132"/>
      <c r="TCR371" s="132"/>
      <c r="TCS371" s="132"/>
      <c r="TCT371" s="132"/>
      <c r="TCU371" s="132"/>
      <c r="TCV371" s="132"/>
      <c r="TCW371" s="132"/>
      <c r="TCX371" s="132"/>
      <c r="TCY371" s="132"/>
      <c r="TCZ371" s="132"/>
      <c r="TDA371" s="132"/>
      <c r="TDB371" s="132"/>
      <c r="TDC371" s="132"/>
      <c r="TDD371" s="132"/>
      <c r="TDE371" s="132"/>
      <c r="TDF371" s="132"/>
      <c r="TDG371" s="132"/>
      <c r="TDH371" s="132"/>
      <c r="TDI371" s="132"/>
      <c r="TDJ371" s="132"/>
      <c r="TDK371" s="132"/>
      <c r="TDL371" s="132"/>
      <c r="TDM371" s="132"/>
      <c r="TDN371" s="132"/>
      <c r="TDO371" s="132"/>
      <c r="TDP371" s="132"/>
      <c r="TDQ371" s="132"/>
      <c r="TDR371" s="132"/>
      <c r="TDS371" s="132"/>
      <c r="TDT371" s="132"/>
      <c r="TDU371" s="132"/>
      <c r="TDV371" s="132"/>
      <c r="TDW371" s="132"/>
      <c r="TDX371" s="132"/>
      <c r="TDY371" s="132"/>
      <c r="TDZ371" s="132"/>
      <c r="TEA371" s="132"/>
      <c r="TEB371" s="132"/>
      <c r="TEC371" s="132"/>
      <c r="TED371" s="132"/>
      <c r="TEE371" s="132"/>
      <c r="TEF371" s="132"/>
      <c r="TEG371" s="132"/>
      <c r="TEH371" s="132"/>
      <c r="TEI371" s="132"/>
      <c r="TEJ371" s="132"/>
      <c r="TEK371" s="132"/>
      <c r="TEL371" s="132"/>
      <c r="TEM371" s="132"/>
      <c r="TEN371" s="132"/>
      <c r="TEO371" s="132"/>
      <c r="TEP371" s="132"/>
      <c r="TEQ371" s="132"/>
      <c r="TER371" s="132"/>
      <c r="TES371" s="132"/>
      <c r="TET371" s="132"/>
      <c r="TEU371" s="132"/>
      <c r="TEV371" s="132"/>
      <c r="TEW371" s="132"/>
      <c r="TEX371" s="132"/>
      <c r="TEY371" s="132"/>
      <c r="TEZ371" s="132"/>
      <c r="TFA371" s="132"/>
      <c r="TFB371" s="132"/>
      <c r="TFC371" s="132"/>
      <c r="TFD371" s="132"/>
      <c r="TFE371" s="132"/>
      <c r="TFF371" s="132"/>
      <c r="TFG371" s="132"/>
      <c r="TFH371" s="132"/>
      <c r="TFI371" s="132"/>
      <c r="TFJ371" s="132"/>
      <c r="TFK371" s="132"/>
      <c r="TFL371" s="132"/>
      <c r="TFM371" s="132"/>
      <c r="TFN371" s="132"/>
      <c r="TFO371" s="132"/>
      <c r="TFP371" s="132"/>
      <c r="TFQ371" s="132"/>
      <c r="TFR371" s="132"/>
      <c r="TFS371" s="132"/>
      <c r="TFT371" s="132"/>
      <c r="TFU371" s="132"/>
      <c r="TFV371" s="132"/>
      <c r="TFW371" s="132"/>
      <c r="TFX371" s="132"/>
      <c r="TFY371" s="132"/>
      <c r="TFZ371" s="132"/>
      <c r="TGA371" s="132"/>
      <c r="TGB371" s="132"/>
      <c r="TGC371" s="132"/>
      <c r="TGD371" s="132"/>
      <c r="TGE371" s="132"/>
      <c r="TGF371" s="132"/>
      <c r="TGG371" s="132"/>
      <c r="TGH371" s="132"/>
      <c r="TGI371" s="132"/>
      <c r="TGJ371" s="132"/>
      <c r="TGK371" s="132"/>
      <c r="TGL371" s="132"/>
      <c r="TGM371" s="132"/>
      <c r="TGN371" s="132"/>
      <c r="TGO371" s="132"/>
      <c r="TGP371" s="132"/>
      <c r="TGQ371" s="132"/>
      <c r="TGR371" s="132"/>
      <c r="TGS371" s="132"/>
      <c r="TGT371" s="132"/>
      <c r="TGU371" s="132"/>
      <c r="TGV371" s="132"/>
      <c r="TGW371" s="132"/>
      <c r="TGX371" s="132"/>
      <c r="TGY371" s="132"/>
      <c r="TGZ371" s="132"/>
      <c r="THA371" s="132"/>
      <c r="THB371" s="132"/>
      <c r="THC371" s="132"/>
      <c r="THD371" s="132"/>
      <c r="THE371" s="132"/>
      <c r="THF371" s="132"/>
      <c r="THG371" s="132"/>
      <c r="THH371" s="132"/>
      <c r="THI371" s="132"/>
      <c r="THJ371" s="132"/>
      <c r="THK371" s="132"/>
      <c r="THL371" s="132"/>
      <c r="THM371" s="132"/>
      <c r="THN371" s="132"/>
      <c r="THO371" s="132"/>
      <c r="THP371" s="132"/>
      <c r="THQ371" s="132"/>
      <c r="THR371" s="132"/>
      <c r="THS371" s="132"/>
      <c r="THT371" s="132"/>
      <c r="THU371" s="132"/>
      <c r="THV371" s="132"/>
      <c r="THW371" s="132"/>
      <c r="THX371" s="132"/>
      <c r="THY371" s="132"/>
      <c r="THZ371" s="132"/>
      <c r="TIA371" s="132"/>
      <c r="TIB371" s="132"/>
      <c r="TIC371" s="132"/>
      <c r="TID371" s="132"/>
      <c r="TIE371" s="132"/>
      <c r="TIF371" s="132"/>
      <c r="TIG371" s="132"/>
      <c r="TIH371" s="132"/>
      <c r="TII371" s="132"/>
      <c r="TIJ371" s="132"/>
      <c r="TIK371" s="132"/>
      <c r="TIL371" s="132"/>
      <c r="TIM371" s="132"/>
      <c r="TIN371" s="132"/>
      <c r="TIO371" s="132"/>
      <c r="TIP371" s="132"/>
      <c r="TIQ371" s="132"/>
      <c r="TIR371" s="132"/>
      <c r="TIS371" s="132"/>
      <c r="TIT371" s="132"/>
      <c r="TIU371" s="132"/>
      <c r="TIV371" s="132"/>
      <c r="TIW371" s="132"/>
      <c r="TIX371" s="132"/>
      <c r="TIY371" s="132"/>
      <c r="TIZ371" s="132"/>
      <c r="TJA371" s="132"/>
      <c r="TJB371" s="132"/>
      <c r="TJC371" s="132"/>
      <c r="TJD371" s="132"/>
      <c r="TJE371" s="132"/>
      <c r="TJF371" s="132"/>
      <c r="TJG371" s="132"/>
      <c r="TJH371" s="132"/>
      <c r="TJI371" s="132"/>
      <c r="TJJ371" s="132"/>
      <c r="TJK371" s="132"/>
      <c r="TJL371" s="132"/>
      <c r="TJM371" s="132"/>
      <c r="TJN371" s="132"/>
      <c r="TJO371" s="132"/>
      <c r="TJP371" s="132"/>
      <c r="TJQ371" s="132"/>
      <c r="TJR371" s="132"/>
      <c r="TJS371" s="132"/>
      <c r="TJT371" s="132"/>
      <c r="TJU371" s="132"/>
      <c r="TJV371" s="132"/>
      <c r="TJW371" s="132"/>
      <c r="TJX371" s="132"/>
      <c r="TJY371" s="132"/>
      <c r="TJZ371" s="132"/>
      <c r="TKA371" s="132"/>
      <c r="TKB371" s="132"/>
      <c r="TKC371" s="132"/>
      <c r="TKD371" s="132"/>
      <c r="TKE371" s="132"/>
      <c r="TKF371" s="132"/>
      <c r="TKG371" s="132"/>
      <c r="TKH371" s="132"/>
      <c r="TKI371" s="132"/>
      <c r="TKJ371" s="132"/>
      <c r="TKK371" s="132"/>
      <c r="TKL371" s="132"/>
      <c r="TKM371" s="132"/>
      <c r="TKN371" s="132"/>
      <c r="TKO371" s="132"/>
      <c r="TKP371" s="132"/>
      <c r="TKQ371" s="132"/>
      <c r="TKR371" s="132"/>
      <c r="TKS371" s="132"/>
      <c r="TKT371" s="132"/>
      <c r="TKU371" s="132"/>
      <c r="TKV371" s="132"/>
      <c r="TKW371" s="132"/>
      <c r="TKX371" s="132"/>
      <c r="TKY371" s="132"/>
      <c r="TKZ371" s="132"/>
      <c r="TLA371" s="132"/>
      <c r="TLB371" s="132"/>
      <c r="TLC371" s="132"/>
      <c r="TLD371" s="132"/>
      <c r="TLE371" s="132"/>
      <c r="TLF371" s="132"/>
      <c r="TLG371" s="132"/>
      <c r="TLH371" s="132"/>
      <c r="TLI371" s="132"/>
      <c r="TLJ371" s="132"/>
      <c r="TLK371" s="132"/>
      <c r="TLL371" s="132"/>
      <c r="TLM371" s="132"/>
      <c r="TLN371" s="132"/>
      <c r="TLO371" s="132"/>
      <c r="TLP371" s="132"/>
      <c r="TLQ371" s="132"/>
      <c r="TLR371" s="132"/>
      <c r="TLS371" s="132"/>
      <c r="TLT371" s="132"/>
      <c r="TLU371" s="132"/>
      <c r="TLV371" s="132"/>
      <c r="TLW371" s="132"/>
      <c r="TLX371" s="132"/>
      <c r="TLY371" s="132"/>
      <c r="TLZ371" s="132"/>
      <c r="TMA371" s="132"/>
      <c r="TMB371" s="132"/>
      <c r="TMC371" s="132"/>
      <c r="TMD371" s="132"/>
      <c r="TME371" s="132"/>
      <c r="TMF371" s="132"/>
      <c r="TMG371" s="132"/>
      <c r="TMH371" s="132"/>
      <c r="TMI371" s="132"/>
      <c r="TMJ371" s="132"/>
      <c r="TMK371" s="132"/>
      <c r="TML371" s="132"/>
      <c r="TMM371" s="132"/>
      <c r="TMN371" s="132"/>
      <c r="TMO371" s="132"/>
      <c r="TMP371" s="132"/>
      <c r="TMQ371" s="132"/>
      <c r="TMR371" s="132"/>
      <c r="TMS371" s="132"/>
      <c r="TMT371" s="132"/>
      <c r="TMU371" s="132"/>
      <c r="TMV371" s="132"/>
      <c r="TMW371" s="132"/>
      <c r="TMX371" s="132"/>
      <c r="TMY371" s="132"/>
      <c r="TMZ371" s="132"/>
      <c r="TNA371" s="132"/>
      <c r="TNB371" s="132"/>
      <c r="TNC371" s="132"/>
      <c r="TND371" s="132"/>
      <c r="TNE371" s="132"/>
      <c r="TNF371" s="132"/>
      <c r="TNG371" s="132"/>
      <c r="TNH371" s="132"/>
      <c r="TNI371" s="132"/>
      <c r="TNJ371" s="132"/>
      <c r="TNK371" s="132"/>
      <c r="TNL371" s="132"/>
      <c r="TNM371" s="132"/>
      <c r="TNN371" s="132"/>
      <c r="TNO371" s="132"/>
      <c r="TNP371" s="132"/>
      <c r="TNQ371" s="132"/>
      <c r="TNR371" s="132"/>
      <c r="TNS371" s="132"/>
      <c r="TNT371" s="132"/>
      <c r="TNU371" s="132"/>
      <c r="TNV371" s="132"/>
      <c r="TNW371" s="132"/>
      <c r="TNX371" s="132"/>
      <c r="TNY371" s="132"/>
      <c r="TNZ371" s="132"/>
      <c r="TOA371" s="132"/>
      <c r="TOB371" s="132"/>
      <c r="TOC371" s="132"/>
      <c r="TOD371" s="132"/>
      <c r="TOE371" s="132"/>
      <c r="TOF371" s="132"/>
      <c r="TOG371" s="132"/>
      <c r="TOH371" s="132"/>
      <c r="TOI371" s="132"/>
      <c r="TOJ371" s="132"/>
      <c r="TOK371" s="132"/>
      <c r="TOL371" s="132"/>
      <c r="TOM371" s="132"/>
      <c r="TON371" s="132"/>
      <c r="TOO371" s="132"/>
      <c r="TOP371" s="132"/>
      <c r="TOQ371" s="132"/>
      <c r="TOR371" s="132"/>
      <c r="TOS371" s="132"/>
      <c r="TOT371" s="132"/>
      <c r="TOU371" s="132"/>
      <c r="TOV371" s="132"/>
      <c r="TOW371" s="132"/>
      <c r="TOX371" s="132"/>
      <c r="TOY371" s="132"/>
      <c r="TOZ371" s="132"/>
      <c r="TPA371" s="132"/>
      <c r="TPB371" s="132"/>
      <c r="TPC371" s="132"/>
      <c r="TPD371" s="132"/>
      <c r="TPE371" s="132"/>
      <c r="TPF371" s="132"/>
      <c r="TPG371" s="132"/>
      <c r="TPH371" s="132"/>
      <c r="TPI371" s="132"/>
      <c r="TPJ371" s="132"/>
      <c r="TPK371" s="132"/>
      <c r="TPL371" s="132"/>
      <c r="TPM371" s="132"/>
      <c r="TPN371" s="132"/>
      <c r="TPO371" s="132"/>
      <c r="TPP371" s="132"/>
      <c r="TPQ371" s="132"/>
      <c r="TPR371" s="132"/>
      <c r="TPS371" s="132"/>
      <c r="TPT371" s="132"/>
      <c r="TPU371" s="132"/>
      <c r="TPV371" s="132"/>
      <c r="TPW371" s="132"/>
      <c r="TPX371" s="132"/>
      <c r="TPY371" s="132"/>
      <c r="TPZ371" s="132"/>
      <c r="TQA371" s="132"/>
      <c r="TQB371" s="132"/>
      <c r="TQC371" s="132"/>
      <c r="TQD371" s="132"/>
      <c r="TQE371" s="132"/>
      <c r="TQF371" s="132"/>
      <c r="TQG371" s="132"/>
      <c r="TQH371" s="132"/>
      <c r="TQI371" s="132"/>
      <c r="TQJ371" s="132"/>
      <c r="TQK371" s="132"/>
      <c r="TQL371" s="132"/>
      <c r="TQM371" s="132"/>
      <c r="TQN371" s="132"/>
      <c r="TQO371" s="132"/>
      <c r="TQP371" s="132"/>
      <c r="TQQ371" s="132"/>
      <c r="TQR371" s="132"/>
      <c r="TQS371" s="132"/>
      <c r="TQT371" s="132"/>
      <c r="TQU371" s="132"/>
      <c r="TQV371" s="132"/>
      <c r="TQW371" s="132"/>
      <c r="TQX371" s="132"/>
      <c r="TQY371" s="132"/>
      <c r="TQZ371" s="132"/>
      <c r="TRA371" s="132"/>
      <c r="TRB371" s="132"/>
      <c r="TRC371" s="132"/>
      <c r="TRD371" s="132"/>
      <c r="TRE371" s="132"/>
      <c r="TRF371" s="132"/>
      <c r="TRG371" s="132"/>
      <c r="TRH371" s="132"/>
      <c r="TRI371" s="132"/>
      <c r="TRJ371" s="132"/>
      <c r="TRK371" s="132"/>
      <c r="TRL371" s="132"/>
      <c r="TRM371" s="132"/>
      <c r="TRN371" s="132"/>
      <c r="TRO371" s="132"/>
      <c r="TRP371" s="132"/>
      <c r="TRQ371" s="132"/>
      <c r="TRR371" s="132"/>
      <c r="TRS371" s="132"/>
      <c r="TRT371" s="132"/>
      <c r="TRU371" s="132"/>
      <c r="TRV371" s="132"/>
      <c r="TRW371" s="132"/>
      <c r="TRX371" s="132"/>
      <c r="TRY371" s="132"/>
      <c r="TRZ371" s="132"/>
      <c r="TSA371" s="132"/>
      <c r="TSB371" s="132"/>
      <c r="TSC371" s="132"/>
      <c r="TSD371" s="132"/>
      <c r="TSE371" s="132"/>
      <c r="TSF371" s="132"/>
      <c r="TSG371" s="132"/>
      <c r="TSH371" s="132"/>
      <c r="TSI371" s="132"/>
      <c r="TSJ371" s="132"/>
      <c r="TSK371" s="132"/>
      <c r="TSL371" s="132"/>
      <c r="TSM371" s="132"/>
      <c r="TSN371" s="132"/>
      <c r="TSO371" s="132"/>
      <c r="TSP371" s="132"/>
      <c r="TSQ371" s="132"/>
      <c r="TSR371" s="132"/>
      <c r="TSS371" s="132"/>
      <c r="TST371" s="132"/>
      <c r="TSU371" s="132"/>
      <c r="TSV371" s="132"/>
      <c r="TSW371" s="132"/>
      <c r="TSX371" s="132"/>
      <c r="TSY371" s="132"/>
      <c r="TSZ371" s="132"/>
      <c r="TTA371" s="132"/>
      <c r="TTB371" s="132"/>
      <c r="TTC371" s="132"/>
      <c r="TTD371" s="132"/>
      <c r="TTE371" s="132"/>
      <c r="TTF371" s="132"/>
      <c r="TTG371" s="132"/>
      <c r="TTH371" s="132"/>
      <c r="TTI371" s="132"/>
      <c r="TTJ371" s="132"/>
      <c r="TTK371" s="132"/>
      <c r="TTL371" s="132"/>
      <c r="TTM371" s="132"/>
      <c r="TTN371" s="132"/>
      <c r="TTO371" s="132"/>
      <c r="TTP371" s="132"/>
      <c r="TTQ371" s="132"/>
      <c r="TTR371" s="132"/>
      <c r="TTS371" s="132"/>
      <c r="TTT371" s="132"/>
      <c r="TTU371" s="132"/>
      <c r="TTV371" s="132"/>
      <c r="TTW371" s="132"/>
      <c r="TTX371" s="132"/>
      <c r="TTY371" s="132"/>
      <c r="TTZ371" s="132"/>
      <c r="TUA371" s="132"/>
      <c r="TUB371" s="132"/>
      <c r="TUC371" s="132"/>
      <c r="TUD371" s="132"/>
      <c r="TUE371" s="132"/>
      <c r="TUF371" s="132"/>
      <c r="TUG371" s="132"/>
      <c r="TUH371" s="132"/>
      <c r="TUI371" s="132"/>
      <c r="TUJ371" s="132"/>
      <c r="TUK371" s="132"/>
      <c r="TUL371" s="132"/>
      <c r="TUM371" s="132"/>
      <c r="TUN371" s="132"/>
      <c r="TUO371" s="132"/>
      <c r="TUP371" s="132"/>
      <c r="TUQ371" s="132"/>
      <c r="TUR371" s="132"/>
      <c r="TUS371" s="132"/>
      <c r="TUT371" s="132"/>
      <c r="TUU371" s="132"/>
      <c r="TUV371" s="132"/>
      <c r="TUW371" s="132"/>
      <c r="TUX371" s="132"/>
      <c r="TUY371" s="132"/>
      <c r="TUZ371" s="132"/>
      <c r="TVA371" s="132"/>
      <c r="TVB371" s="132"/>
      <c r="TVC371" s="132"/>
      <c r="TVD371" s="132"/>
      <c r="TVE371" s="132"/>
      <c r="TVF371" s="132"/>
      <c r="TVG371" s="132"/>
      <c r="TVH371" s="132"/>
      <c r="TVI371" s="132"/>
      <c r="TVJ371" s="132"/>
      <c r="TVK371" s="132"/>
      <c r="TVL371" s="132"/>
      <c r="TVM371" s="132"/>
      <c r="TVN371" s="132"/>
      <c r="TVO371" s="132"/>
      <c r="TVP371" s="132"/>
      <c r="TVQ371" s="132"/>
      <c r="TVR371" s="132"/>
      <c r="TVS371" s="132"/>
      <c r="TVT371" s="132"/>
      <c r="TVU371" s="132"/>
      <c r="TVV371" s="132"/>
      <c r="TVW371" s="132"/>
      <c r="TVX371" s="132"/>
      <c r="TVY371" s="132"/>
      <c r="TVZ371" s="132"/>
      <c r="TWA371" s="132"/>
      <c r="TWB371" s="132"/>
      <c r="TWC371" s="132"/>
      <c r="TWD371" s="132"/>
      <c r="TWE371" s="132"/>
      <c r="TWF371" s="132"/>
      <c r="TWG371" s="132"/>
      <c r="TWH371" s="132"/>
      <c r="TWI371" s="132"/>
      <c r="TWJ371" s="132"/>
      <c r="TWK371" s="132"/>
      <c r="TWL371" s="132"/>
      <c r="TWM371" s="132"/>
      <c r="TWN371" s="132"/>
      <c r="TWO371" s="132"/>
      <c r="TWP371" s="132"/>
      <c r="TWQ371" s="132"/>
      <c r="TWR371" s="132"/>
      <c r="TWS371" s="132"/>
      <c r="TWT371" s="132"/>
      <c r="TWU371" s="132"/>
      <c r="TWV371" s="132"/>
      <c r="TWW371" s="132"/>
      <c r="TWX371" s="132"/>
      <c r="TWY371" s="132"/>
      <c r="TWZ371" s="132"/>
      <c r="TXA371" s="132"/>
      <c r="TXB371" s="132"/>
      <c r="TXC371" s="132"/>
      <c r="TXD371" s="132"/>
      <c r="TXE371" s="132"/>
      <c r="TXF371" s="132"/>
      <c r="TXG371" s="132"/>
      <c r="TXH371" s="132"/>
      <c r="TXI371" s="132"/>
      <c r="TXJ371" s="132"/>
      <c r="TXK371" s="132"/>
      <c r="TXL371" s="132"/>
      <c r="TXM371" s="132"/>
      <c r="TXN371" s="132"/>
      <c r="TXO371" s="132"/>
      <c r="TXP371" s="132"/>
      <c r="TXQ371" s="132"/>
      <c r="TXR371" s="132"/>
      <c r="TXS371" s="132"/>
      <c r="TXT371" s="132"/>
      <c r="TXU371" s="132"/>
      <c r="TXV371" s="132"/>
      <c r="TXW371" s="132"/>
      <c r="TXX371" s="132"/>
      <c r="TXY371" s="132"/>
      <c r="TXZ371" s="132"/>
      <c r="TYA371" s="132"/>
      <c r="TYB371" s="132"/>
      <c r="TYC371" s="132"/>
      <c r="TYD371" s="132"/>
      <c r="TYE371" s="132"/>
      <c r="TYF371" s="132"/>
      <c r="TYG371" s="132"/>
      <c r="TYH371" s="132"/>
      <c r="TYI371" s="132"/>
      <c r="TYJ371" s="132"/>
      <c r="TYK371" s="132"/>
      <c r="TYL371" s="132"/>
      <c r="TYM371" s="132"/>
      <c r="TYN371" s="132"/>
      <c r="TYO371" s="132"/>
      <c r="TYP371" s="132"/>
      <c r="TYQ371" s="132"/>
      <c r="TYR371" s="132"/>
      <c r="TYS371" s="132"/>
      <c r="TYT371" s="132"/>
      <c r="TYU371" s="132"/>
      <c r="TYV371" s="132"/>
      <c r="TYW371" s="132"/>
      <c r="TYX371" s="132"/>
      <c r="TYY371" s="132"/>
      <c r="TYZ371" s="132"/>
      <c r="TZA371" s="132"/>
      <c r="TZB371" s="132"/>
      <c r="TZC371" s="132"/>
      <c r="TZD371" s="132"/>
      <c r="TZE371" s="132"/>
      <c r="TZF371" s="132"/>
      <c r="TZG371" s="132"/>
      <c r="TZH371" s="132"/>
      <c r="TZI371" s="132"/>
      <c r="TZJ371" s="132"/>
      <c r="TZK371" s="132"/>
      <c r="TZL371" s="132"/>
      <c r="TZM371" s="132"/>
      <c r="TZN371" s="132"/>
      <c r="TZO371" s="132"/>
      <c r="TZP371" s="132"/>
      <c r="TZQ371" s="132"/>
      <c r="TZR371" s="132"/>
      <c r="TZS371" s="132"/>
      <c r="TZT371" s="132"/>
      <c r="TZU371" s="132"/>
      <c r="TZV371" s="132"/>
      <c r="TZW371" s="132"/>
      <c r="TZX371" s="132"/>
      <c r="TZY371" s="132"/>
      <c r="TZZ371" s="132"/>
      <c r="UAA371" s="132"/>
      <c r="UAB371" s="132"/>
      <c r="UAC371" s="132"/>
      <c r="UAD371" s="132"/>
      <c r="UAE371" s="132"/>
      <c r="UAF371" s="132"/>
      <c r="UAG371" s="132"/>
      <c r="UAH371" s="132"/>
      <c r="UAI371" s="132"/>
      <c r="UAJ371" s="132"/>
      <c r="UAK371" s="132"/>
      <c r="UAL371" s="132"/>
      <c r="UAM371" s="132"/>
      <c r="UAN371" s="132"/>
      <c r="UAO371" s="132"/>
      <c r="UAP371" s="132"/>
      <c r="UAQ371" s="132"/>
      <c r="UAR371" s="132"/>
      <c r="UAS371" s="132"/>
      <c r="UAT371" s="132"/>
      <c r="UAU371" s="132"/>
      <c r="UAV371" s="132"/>
      <c r="UAW371" s="132"/>
      <c r="UAX371" s="132"/>
      <c r="UAY371" s="132"/>
      <c r="UAZ371" s="132"/>
      <c r="UBA371" s="132"/>
      <c r="UBB371" s="132"/>
      <c r="UBC371" s="132"/>
      <c r="UBD371" s="132"/>
      <c r="UBE371" s="132"/>
      <c r="UBF371" s="132"/>
      <c r="UBG371" s="132"/>
      <c r="UBH371" s="132"/>
      <c r="UBI371" s="132"/>
      <c r="UBJ371" s="132"/>
      <c r="UBK371" s="132"/>
      <c r="UBL371" s="132"/>
      <c r="UBM371" s="132"/>
      <c r="UBN371" s="132"/>
      <c r="UBO371" s="132"/>
      <c r="UBP371" s="132"/>
      <c r="UBQ371" s="132"/>
      <c r="UBR371" s="132"/>
      <c r="UBS371" s="132"/>
      <c r="UBT371" s="132"/>
      <c r="UBU371" s="132"/>
      <c r="UBV371" s="132"/>
      <c r="UBW371" s="132"/>
      <c r="UBX371" s="132"/>
      <c r="UBY371" s="132"/>
      <c r="UBZ371" s="132"/>
      <c r="UCA371" s="132"/>
      <c r="UCB371" s="132"/>
      <c r="UCC371" s="132"/>
      <c r="UCD371" s="132"/>
      <c r="UCE371" s="132"/>
      <c r="UCF371" s="132"/>
      <c r="UCG371" s="132"/>
      <c r="UCH371" s="132"/>
      <c r="UCI371" s="132"/>
      <c r="UCJ371" s="132"/>
      <c r="UCK371" s="132"/>
      <c r="UCL371" s="132"/>
      <c r="UCM371" s="132"/>
      <c r="UCN371" s="132"/>
      <c r="UCO371" s="132"/>
      <c r="UCP371" s="132"/>
      <c r="UCQ371" s="132"/>
      <c r="UCR371" s="132"/>
      <c r="UCS371" s="132"/>
      <c r="UCT371" s="132"/>
      <c r="UCU371" s="132"/>
      <c r="UCV371" s="132"/>
      <c r="UCW371" s="132"/>
      <c r="UCX371" s="132"/>
      <c r="UCY371" s="132"/>
      <c r="UCZ371" s="132"/>
      <c r="UDA371" s="132"/>
      <c r="UDB371" s="132"/>
      <c r="UDC371" s="132"/>
      <c r="UDD371" s="132"/>
      <c r="UDE371" s="132"/>
      <c r="UDF371" s="132"/>
      <c r="UDG371" s="132"/>
      <c r="UDH371" s="132"/>
      <c r="UDI371" s="132"/>
      <c r="UDJ371" s="132"/>
      <c r="UDK371" s="132"/>
      <c r="UDL371" s="132"/>
      <c r="UDM371" s="132"/>
      <c r="UDN371" s="132"/>
      <c r="UDO371" s="132"/>
      <c r="UDP371" s="132"/>
      <c r="UDQ371" s="132"/>
      <c r="UDR371" s="132"/>
      <c r="UDS371" s="132"/>
      <c r="UDT371" s="132"/>
      <c r="UDU371" s="132"/>
      <c r="UDV371" s="132"/>
      <c r="UDW371" s="132"/>
      <c r="UDX371" s="132"/>
      <c r="UDY371" s="132"/>
      <c r="UDZ371" s="132"/>
      <c r="UEA371" s="132"/>
      <c r="UEB371" s="132"/>
      <c r="UEC371" s="132"/>
      <c r="UED371" s="132"/>
      <c r="UEE371" s="132"/>
      <c r="UEF371" s="132"/>
      <c r="UEG371" s="132"/>
      <c r="UEH371" s="132"/>
      <c r="UEI371" s="132"/>
      <c r="UEJ371" s="132"/>
      <c r="UEK371" s="132"/>
      <c r="UEL371" s="132"/>
      <c r="UEM371" s="132"/>
      <c r="UEN371" s="132"/>
      <c r="UEO371" s="132"/>
      <c r="UEP371" s="132"/>
      <c r="UEQ371" s="132"/>
      <c r="UER371" s="132"/>
      <c r="UES371" s="132"/>
      <c r="UET371" s="132"/>
      <c r="UEU371" s="132"/>
      <c r="UEV371" s="132"/>
      <c r="UEW371" s="132"/>
      <c r="UEX371" s="132"/>
      <c r="UEY371" s="132"/>
      <c r="UEZ371" s="132"/>
      <c r="UFA371" s="132"/>
      <c r="UFB371" s="132"/>
      <c r="UFC371" s="132"/>
      <c r="UFD371" s="132"/>
      <c r="UFE371" s="132"/>
      <c r="UFF371" s="132"/>
      <c r="UFG371" s="132"/>
      <c r="UFH371" s="132"/>
      <c r="UFI371" s="132"/>
      <c r="UFJ371" s="132"/>
      <c r="UFK371" s="132"/>
      <c r="UFL371" s="132"/>
      <c r="UFM371" s="132"/>
      <c r="UFN371" s="132"/>
      <c r="UFO371" s="132"/>
      <c r="UFP371" s="132"/>
      <c r="UFQ371" s="132"/>
      <c r="UFR371" s="132"/>
      <c r="UFS371" s="132"/>
      <c r="UFT371" s="132"/>
      <c r="UFU371" s="132"/>
      <c r="UFV371" s="132"/>
      <c r="UFW371" s="132"/>
      <c r="UFX371" s="132"/>
      <c r="UFY371" s="132"/>
      <c r="UFZ371" s="132"/>
      <c r="UGA371" s="132"/>
      <c r="UGB371" s="132"/>
      <c r="UGC371" s="132"/>
      <c r="UGD371" s="132"/>
      <c r="UGE371" s="132"/>
      <c r="UGF371" s="132"/>
      <c r="UGG371" s="132"/>
      <c r="UGH371" s="132"/>
      <c r="UGI371" s="132"/>
      <c r="UGJ371" s="132"/>
      <c r="UGK371" s="132"/>
      <c r="UGL371" s="132"/>
      <c r="UGM371" s="132"/>
      <c r="UGN371" s="132"/>
      <c r="UGO371" s="132"/>
      <c r="UGP371" s="132"/>
      <c r="UGQ371" s="132"/>
      <c r="UGR371" s="132"/>
      <c r="UGS371" s="132"/>
      <c r="UGT371" s="132"/>
      <c r="UGU371" s="132"/>
      <c r="UGV371" s="132"/>
      <c r="UGW371" s="132"/>
      <c r="UGX371" s="132"/>
      <c r="UGY371" s="132"/>
      <c r="UGZ371" s="132"/>
      <c r="UHA371" s="132"/>
      <c r="UHB371" s="132"/>
      <c r="UHC371" s="132"/>
      <c r="UHD371" s="132"/>
      <c r="UHE371" s="132"/>
      <c r="UHF371" s="132"/>
      <c r="UHG371" s="132"/>
      <c r="UHH371" s="132"/>
      <c r="UHI371" s="132"/>
      <c r="UHJ371" s="132"/>
      <c r="UHK371" s="132"/>
      <c r="UHL371" s="132"/>
      <c r="UHM371" s="132"/>
      <c r="UHN371" s="132"/>
      <c r="UHO371" s="132"/>
      <c r="UHP371" s="132"/>
      <c r="UHQ371" s="132"/>
      <c r="UHR371" s="132"/>
      <c r="UHS371" s="132"/>
      <c r="UHT371" s="132"/>
      <c r="UHU371" s="132"/>
      <c r="UHV371" s="132"/>
      <c r="UHW371" s="132"/>
      <c r="UHX371" s="132"/>
      <c r="UHY371" s="132"/>
      <c r="UHZ371" s="132"/>
      <c r="UIA371" s="132"/>
      <c r="UIB371" s="132"/>
      <c r="UIC371" s="132"/>
      <c r="UID371" s="132"/>
      <c r="UIE371" s="132"/>
      <c r="UIF371" s="132"/>
      <c r="UIG371" s="132"/>
      <c r="UIH371" s="132"/>
      <c r="UII371" s="132"/>
      <c r="UIJ371" s="132"/>
      <c r="UIK371" s="132"/>
      <c r="UIL371" s="132"/>
      <c r="UIM371" s="132"/>
      <c r="UIN371" s="132"/>
      <c r="UIO371" s="132"/>
      <c r="UIP371" s="132"/>
      <c r="UIQ371" s="132"/>
      <c r="UIR371" s="132"/>
      <c r="UIS371" s="132"/>
      <c r="UIT371" s="132"/>
      <c r="UIU371" s="132"/>
      <c r="UIV371" s="132"/>
      <c r="UIW371" s="132"/>
      <c r="UIX371" s="132"/>
      <c r="UIY371" s="132"/>
      <c r="UIZ371" s="132"/>
      <c r="UJA371" s="132"/>
      <c r="UJB371" s="132"/>
      <c r="UJC371" s="132"/>
      <c r="UJD371" s="132"/>
      <c r="UJE371" s="132"/>
      <c r="UJF371" s="132"/>
      <c r="UJG371" s="132"/>
      <c r="UJH371" s="132"/>
      <c r="UJI371" s="132"/>
      <c r="UJJ371" s="132"/>
      <c r="UJK371" s="132"/>
      <c r="UJL371" s="132"/>
      <c r="UJM371" s="132"/>
      <c r="UJN371" s="132"/>
      <c r="UJO371" s="132"/>
      <c r="UJP371" s="132"/>
      <c r="UJQ371" s="132"/>
      <c r="UJR371" s="132"/>
      <c r="UJS371" s="132"/>
      <c r="UJT371" s="132"/>
      <c r="UJU371" s="132"/>
      <c r="UJV371" s="132"/>
      <c r="UJW371" s="132"/>
      <c r="UJX371" s="132"/>
      <c r="UJY371" s="132"/>
      <c r="UJZ371" s="132"/>
      <c r="UKA371" s="132"/>
      <c r="UKB371" s="132"/>
      <c r="UKC371" s="132"/>
      <c r="UKD371" s="132"/>
      <c r="UKE371" s="132"/>
      <c r="UKF371" s="132"/>
      <c r="UKG371" s="132"/>
      <c r="UKH371" s="132"/>
      <c r="UKI371" s="132"/>
      <c r="UKJ371" s="132"/>
      <c r="UKK371" s="132"/>
      <c r="UKL371" s="132"/>
      <c r="UKM371" s="132"/>
      <c r="UKN371" s="132"/>
      <c r="UKO371" s="132"/>
      <c r="UKP371" s="132"/>
      <c r="UKQ371" s="132"/>
      <c r="UKR371" s="132"/>
      <c r="UKS371" s="132"/>
      <c r="UKT371" s="132"/>
      <c r="UKU371" s="132"/>
      <c r="UKV371" s="132"/>
      <c r="UKW371" s="132"/>
      <c r="UKX371" s="132"/>
      <c r="UKY371" s="132"/>
      <c r="UKZ371" s="132"/>
      <c r="ULA371" s="132"/>
      <c r="ULB371" s="132"/>
      <c r="ULC371" s="132"/>
      <c r="ULD371" s="132"/>
      <c r="ULE371" s="132"/>
      <c r="ULF371" s="132"/>
      <c r="ULG371" s="132"/>
      <c r="ULH371" s="132"/>
      <c r="ULI371" s="132"/>
      <c r="ULJ371" s="132"/>
      <c r="ULK371" s="132"/>
      <c r="ULL371" s="132"/>
      <c r="ULM371" s="132"/>
      <c r="ULN371" s="132"/>
      <c r="ULO371" s="132"/>
      <c r="ULP371" s="132"/>
      <c r="ULQ371" s="132"/>
      <c r="ULR371" s="132"/>
      <c r="ULS371" s="132"/>
      <c r="ULT371" s="132"/>
      <c r="ULU371" s="132"/>
      <c r="ULV371" s="132"/>
      <c r="ULW371" s="132"/>
      <c r="ULX371" s="132"/>
      <c r="ULY371" s="132"/>
      <c r="ULZ371" s="132"/>
      <c r="UMA371" s="132"/>
      <c r="UMB371" s="132"/>
      <c r="UMC371" s="132"/>
      <c r="UMD371" s="132"/>
      <c r="UME371" s="132"/>
      <c r="UMF371" s="132"/>
      <c r="UMG371" s="132"/>
      <c r="UMH371" s="132"/>
      <c r="UMI371" s="132"/>
      <c r="UMJ371" s="132"/>
      <c r="UMK371" s="132"/>
      <c r="UML371" s="132"/>
      <c r="UMM371" s="132"/>
      <c r="UMN371" s="132"/>
      <c r="UMO371" s="132"/>
      <c r="UMP371" s="132"/>
      <c r="UMQ371" s="132"/>
      <c r="UMR371" s="132"/>
      <c r="UMS371" s="132"/>
      <c r="UMT371" s="132"/>
      <c r="UMU371" s="132"/>
      <c r="UMV371" s="132"/>
      <c r="UMW371" s="132"/>
      <c r="UMX371" s="132"/>
      <c r="UMY371" s="132"/>
      <c r="UMZ371" s="132"/>
      <c r="UNA371" s="132"/>
      <c r="UNB371" s="132"/>
      <c r="UNC371" s="132"/>
      <c r="UND371" s="132"/>
      <c r="UNE371" s="132"/>
      <c r="UNF371" s="132"/>
      <c r="UNG371" s="132"/>
      <c r="UNH371" s="132"/>
      <c r="UNI371" s="132"/>
      <c r="UNJ371" s="132"/>
      <c r="UNK371" s="132"/>
      <c r="UNL371" s="132"/>
      <c r="UNM371" s="132"/>
      <c r="UNN371" s="132"/>
      <c r="UNO371" s="132"/>
      <c r="UNP371" s="132"/>
      <c r="UNQ371" s="132"/>
      <c r="UNR371" s="132"/>
      <c r="UNS371" s="132"/>
      <c r="UNT371" s="132"/>
      <c r="UNU371" s="132"/>
      <c r="UNV371" s="132"/>
      <c r="UNW371" s="132"/>
      <c r="UNX371" s="132"/>
      <c r="UNY371" s="132"/>
      <c r="UNZ371" s="132"/>
      <c r="UOA371" s="132"/>
      <c r="UOB371" s="132"/>
      <c r="UOC371" s="132"/>
      <c r="UOD371" s="132"/>
      <c r="UOE371" s="132"/>
      <c r="UOF371" s="132"/>
      <c r="UOG371" s="132"/>
      <c r="UOH371" s="132"/>
      <c r="UOI371" s="132"/>
      <c r="UOJ371" s="132"/>
      <c r="UOK371" s="132"/>
      <c r="UOL371" s="132"/>
      <c r="UOM371" s="132"/>
      <c r="UON371" s="132"/>
      <c r="UOO371" s="132"/>
      <c r="UOP371" s="132"/>
      <c r="UOQ371" s="132"/>
      <c r="UOR371" s="132"/>
      <c r="UOS371" s="132"/>
      <c r="UOT371" s="132"/>
      <c r="UOU371" s="132"/>
      <c r="UOV371" s="132"/>
      <c r="UOW371" s="132"/>
      <c r="UOX371" s="132"/>
      <c r="UOY371" s="132"/>
      <c r="UOZ371" s="132"/>
      <c r="UPA371" s="132"/>
      <c r="UPB371" s="132"/>
      <c r="UPC371" s="132"/>
      <c r="UPD371" s="132"/>
      <c r="UPE371" s="132"/>
      <c r="UPF371" s="132"/>
      <c r="UPG371" s="132"/>
      <c r="UPH371" s="132"/>
      <c r="UPI371" s="132"/>
      <c r="UPJ371" s="132"/>
      <c r="UPK371" s="132"/>
      <c r="UPL371" s="132"/>
      <c r="UPM371" s="132"/>
      <c r="UPN371" s="132"/>
      <c r="UPO371" s="132"/>
      <c r="UPP371" s="132"/>
      <c r="UPQ371" s="132"/>
      <c r="UPR371" s="132"/>
      <c r="UPS371" s="132"/>
      <c r="UPT371" s="132"/>
      <c r="UPU371" s="132"/>
      <c r="UPV371" s="132"/>
      <c r="UPW371" s="132"/>
      <c r="UPX371" s="132"/>
      <c r="UPY371" s="132"/>
      <c r="UPZ371" s="132"/>
      <c r="UQA371" s="132"/>
      <c r="UQB371" s="132"/>
      <c r="UQC371" s="132"/>
      <c r="UQD371" s="132"/>
      <c r="UQE371" s="132"/>
      <c r="UQF371" s="132"/>
      <c r="UQG371" s="132"/>
      <c r="UQH371" s="132"/>
      <c r="UQI371" s="132"/>
      <c r="UQJ371" s="132"/>
      <c r="UQK371" s="132"/>
      <c r="UQL371" s="132"/>
      <c r="UQM371" s="132"/>
      <c r="UQN371" s="132"/>
      <c r="UQO371" s="132"/>
      <c r="UQP371" s="132"/>
      <c r="UQQ371" s="132"/>
      <c r="UQR371" s="132"/>
      <c r="UQS371" s="132"/>
      <c r="UQT371" s="132"/>
      <c r="UQU371" s="132"/>
      <c r="UQV371" s="132"/>
      <c r="UQW371" s="132"/>
      <c r="UQX371" s="132"/>
      <c r="UQY371" s="132"/>
      <c r="UQZ371" s="132"/>
      <c r="URA371" s="132"/>
      <c r="URB371" s="132"/>
      <c r="URC371" s="132"/>
      <c r="URD371" s="132"/>
      <c r="URE371" s="132"/>
      <c r="URF371" s="132"/>
      <c r="URG371" s="132"/>
      <c r="URH371" s="132"/>
      <c r="URI371" s="132"/>
      <c r="URJ371" s="132"/>
      <c r="URK371" s="132"/>
      <c r="URL371" s="132"/>
      <c r="URM371" s="132"/>
      <c r="URN371" s="132"/>
      <c r="URO371" s="132"/>
      <c r="URP371" s="132"/>
      <c r="URQ371" s="132"/>
      <c r="URR371" s="132"/>
      <c r="URS371" s="132"/>
      <c r="URT371" s="132"/>
      <c r="URU371" s="132"/>
      <c r="URV371" s="132"/>
      <c r="URW371" s="132"/>
      <c r="URX371" s="132"/>
      <c r="URY371" s="132"/>
      <c r="URZ371" s="132"/>
      <c r="USA371" s="132"/>
      <c r="USB371" s="132"/>
      <c r="USC371" s="132"/>
      <c r="USD371" s="132"/>
      <c r="USE371" s="132"/>
      <c r="USF371" s="132"/>
      <c r="USG371" s="132"/>
      <c r="USH371" s="132"/>
      <c r="USI371" s="132"/>
      <c r="USJ371" s="132"/>
      <c r="USK371" s="132"/>
      <c r="USL371" s="132"/>
      <c r="USM371" s="132"/>
      <c r="USN371" s="132"/>
      <c r="USO371" s="132"/>
      <c r="USP371" s="132"/>
      <c r="USQ371" s="132"/>
      <c r="USR371" s="132"/>
      <c r="USS371" s="132"/>
      <c r="UST371" s="132"/>
      <c r="USU371" s="132"/>
      <c r="USV371" s="132"/>
      <c r="USW371" s="132"/>
      <c r="USX371" s="132"/>
      <c r="USY371" s="132"/>
      <c r="USZ371" s="132"/>
      <c r="UTA371" s="132"/>
      <c r="UTB371" s="132"/>
      <c r="UTC371" s="132"/>
      <c r="UTD371" s="132"/>
      <c r="UTE371" s="132"/>
      <c r="UTF371" s="132"/>
      <c r="UTG371" s="132"/>
      <c r="UTH371" s="132"/>
      <c r="UTI371" s="132"/>
      <c r="UTJ371" s="132"/>
      <c r="UTK371" s="132"/>
      <c r="UTL371" s="132"/>
      <c r="UTM371" s="132"/>
      <c r="UTN371" s="132"/>
      <c r="UTO371" s="132"/>
      <c r="UTP371" s="132"/>
      <c r="UTQ371" s="132"/>
      <c r="UTR371" s="132"/>
      <c r="UTS371" s="132"/>
      <c r="UTT371" s="132"/>
      <c r="UTU371" s="132"/>
      <c r="UTV371" s="132"/>
      <c r="UTW371" s="132"/>
      <c r="UTX371" s="132"/>
      <c r="UTY371" s="132"/>
      <c r="UTZ371" s="132"/>
      <c r="UUA371" s="132"/>
      <c r="UUB371" s="132"/>
      <c r="UUC371" s="132"/>
      <c r="UUD371" s="132"/>
      <c r="UUE371" s="132"/>
      <c r="UUF371" s="132"/>
      <c r="UUG371" s="132"/>
      <c r="UUH371" s="132"/>
      <c r="UUI371" s="132"/>
      <c r="UUJ371" s="132"/>
      <c r="UUK371" s="132"/>
      <c r="UUL371" s="132"/>
      <c r="UUM371" s="132"/>
      <c r="UUN371" s="132"/>
      <c r="UUO371" s="132"/>
      <c r="UUP371" s="132"/>
      <c r="UUQ371" s="132"/>
      <c r="UUR371" s="132"/>
      <c r="UUS371" s="132"/>
      <c r="UUT371" s="132"/>
      <c r="UUU371" s="132"/>
      <c r="UUV371" s="132"/>
      <c r="UUW371" s="132"/>
      <c r="UUX371" s="132"/>
      <c r="UUY371" s="132"/>
      <c r="UUZ371" s="132"/>
      <c r="UVA371" s="132"/>
      <c r="UVB371" s="132"/>
      <c r="UVC371" s="132"/>
      <c r="UVD371" s="132"/>
      <c r="UVE371" s="132"/>
      <c r="UVF371" s="132"/>
      <c r="UVG371" s="132"/>
      <c r="UVH371" s="132"/>
      <c r="UVI371" s="132"/>
      <c r="UVJ371" s="132"/>
      <c r="UVK371" s="132"/>
      <c r="UVL371" s="132"/>
      <c r="UVM371" s="132"/>
      <c r="UVN371" s="132"/>
      <c r="UVO371" s="132"/>
      <c r="UVP371" s="132"/>
      <c r="UVQ371" s="132"/>
      <c r="UVR371" s="132"/>
      <c r="UVS371" s="132"/>
      <c r="UVT371" s="132"/>
      <c r="UVU371" s="132"/>
      <c r="UVV371" s="132"/>
      <c r="UVW371" s="132"/>
      <c r="UVX371" s="132"/>
      <c r="UVY371" s="132"/>
      <c r="UVZ371" s="132"/>
      <c r="UWA371" s="132"/>
      <c r="UWB371" s="132"/>
      <c r="UWC371" s="132"/>
      <c r="UWD371" s="132"/>
      <c r="UWE371" s="132"/>
      <c r="UWF371" s="132"/>
      <c r="UWG371" s="132"/>
      <c r="UWH371" s="132"/>
      <c r="UWI371" s="132"/>
      <c r="UWJ371" s="132"/>
      <c r="UWK371" s="132"/>
      <c r="UWL371" s="132"/>
      <c r="UWM371" s="132"/>
      <c r="UWN371" s="132"/>
      <c r="UWO371" s="132"/>
      <c r="UWP371" s="132"/>
      <c r="UWQ371" s="132"/>
      <c r="UWR371" s="132"/>
      <c r="UWS371" s="132"/>
      <c r="UWT371" s="132"/>
      <c r="UWU371" s="132"/>
      <c r="UWV371" s="132"/>
      <c r="UWW371" s="132"/>
      <c r="UWX371" s="132"/>
      <c r="UWY371" s="132"/>
      <c r="UWZ371" s="132"/>
      <c r="UXA371" s="132"/>
      <c r="UXB371" s="132"/>
      <c r="UXC371" s="132"/>
      <c r="UXD371" s="132"/>
      <c r="UXE371" s="132"/>
      <c r="UXF371" s="132"/>
      <c r="UXG371" s="132"/>
      <c r="UXH371" s="132"/>
      <c r="UXI371" s="132"/>
      <c r="UXJ371" s="132"/>
      <c r="UXK371" s="132"/>
      <c r="UXL371" s="132"/>
      <c r="UXM371" s="132"/>
      <c r="UXN371" s="132"/>
      <c r="UXO371" s="132"/>
      <c r="UXP371" s="132"/>
      <c r="UXQ371" s="132"/>
      <c r="UXR371" s="132"/>
      <c r="UXS371" s="132"/>
      <c r="UXT371" s="132"/>
      <c r="UXU371" s="132"/>
      <c r="UXV371" s="132"/>
      <c r="UXW371" s="132"/>
      <c r="UXX371" s="132"/>
      <c r="UXY371" s="132"/>
      <c r="UXZ371" s="132"/>
      <c r="UYA371" s="132"/>
      <c r="UYB371" s="132"/>
      <c r="UYC371" s="132"/>
      <c r="UYD371" s="132"/>
      <c r="UYE371" s="132"/>
      <c r="UYF371" s="132"/>
      <c r="UYG371" s="132"/>
      <c r="UYH371" s="132"/>
      <c r="UYI371" s="132"/>
      <c r="UYJ371" s="132"/>
      <c r="UYK371" s="132"/>
      <c r="UYL371" s="132"/>
      <c r="UYM371" s="132"/>
      <c r="UYN371" s="132"/>
      <c r="UYO371" s="132"/>
      <c r="UYP371" s="132"/>
      <c r="UYQ371" s="132"/>
      <c r="UYR371" s="132"/>
      <c r="UYS371" s="132"/>
      <c r="UYT371" s="132"/>
      <c r="UYU371" s="132"/>
      <c r="UYV371" s="132"/>
      <c r="UYW371" s="132"/>
      <c r="UYX371" s="132"/>
      <c r="UYY371" s="132"/>
      <c r="UYZ371" s="132"/>
      <c r="UZA371" s="132"/>
      <c r="UZB371" s="132"/>
      <c r="UZC371" s="132"/>
      <c r="UZD371" s="132"/>
      <c r="UZE371" s="132"/>
      <c r="UZF371" s="132"/>
      <c r="UZG371" s="132"/>
      <c r="UZH371" s="132"/>
      <c r="UZI371" s="132"/>
      <c r="UZJ371" s="132"/>
      <c r="UZK371" s="132"/>
      <c r="UZL371" s="132"/>
      <c r="UZM371" s="132"/>
      <c r="UZN371" s="132"/>
      <c r="UZO371" s="132"/>
      <c r="UZP371" s="132"/>
      <c r="UZQ371" s="132"/>
      <c r="UZR371" s="132"/>
      <c r="UZS371" s="132"/>
      <c r="UZT371" s="132"/>
      <c r="UZU371" s="132"/>
      <c r="UZV371" s="132"/>
      <c r="UZW371" s="132"/>
      <c r="UZX371" s="132"/>
      <c r="UZY371" s="132"/>
      <c r="UZZ371" s="132"/>
      <c r="VAA371" s="132"/>
      <c r="VAB371" s="132"/>
      <c r="VAC371" s="132"/>
      <c r="VAD371" s="132"/>
      <c r="VAE371" s="132"/>
      <c r="VAF371" s="132"/>
      <c r="VAG371" s="132"/>
      <c r="VAH371" s="132"/>
      <c r="VAI371" s="132"/>
      <c r="VAJ371" s="132"/>
      <c r="VAK371" s="132"/>
      <c r="VAL371" s="132"/>
      <c r="VAM371" s="132"/>
      <c r="VAN371" s="132"/>
      <c r="VAO371" s="132"/>
      <c r="VAP371" s="132"/>
      <c r="VAQ371" s="132"/>
      <c r="VAR371" s="132"/>
      <c r="VAS371" s="132"/>
      <c r="VAT371" s="132"/>
      <c r="VAU371" s="132"/>
      <c r="VAV371" s="132"/>
      <c r="VAW371" s="132"/>
      <c r="VAX371" s="132"/>
      <c r="VAY371" s="132"/>
      <c r="VAZ371" s="132"/>
      <c r="VBA371" s="132"/>
      <c r="VBB371" s="132"/>
      <c r="VBC371" s="132"/>
      <c r="VBD371" s="132"/>
      <c r="VBE371" s="132"/>
      <c r="VBF371" s="132"/>
      <c r="VBG371" s="132"/>
      <c r="VBH371" s="132"/>
      <c r="VBI371" s="132"/>
      <c r="VBJ371" s="132"/>
      <c r="VBK371" s="132"/>
      <c r="VBL371" s="132"/>
      <c r="VBM371" s="132"/>
      <c r="VBN371" s="132"/>
      <c r="VBO371" s="132"/>
      <c r="VBP371" s="132"/>
      <c r="VBQ371" s="132"/>
      <c r="VBR371" s="132"/>
      <c r="VBS371" s="132"/>
      <c r="VBT371" s="132"/>
      <c r="VBU371" s="132"/>
      <c r="VBV371" s="132"/>
      <c r="VBW371" s="132"/>
      <c r="VBX371" s="132"/>
      <c r="VBY371" s="132"/>
      <c r="VBZ371" s="132"/>
      <c r="VCA371" s="132"/>
      <c r="VCB371" s="132"/>
      <c r="VCC371" s="132"/>
      <c r="VCD371" s="132"/>
      <c r="VCE371" s="132"/>
      <c r="VCF371" s="132"/>
      <c r="VCG371" s="132"/>
      <c r="VCH371" s="132"/>
      <c r="VCI371" s="132"/>
      <c r="VCJ371" s="132"/>
      <c r="VCK371" s="132"/>
      <c r="VCL371" s="132"/>
      <c r="VCM371" s="132"/>
      <c r="VCN371" s="132"/>
      <c r="VCO371" s="132"/>
      <c r="VCP371" s="132"/>
      <c r="VCQ371" s="132"/>
      <c r="VCR371" s="132"/>
      <c r="VCS371" s="132"/>
      <c r="VCT371" s="132"/>
      <c r="VCU371" s="132"/>
      <c r="VCV371" s="132"/>
      <c r="VCW371" s="132"/>
      <c r="VCX371" s="132"/>
      <c r="VCY371" s="132"/>
      <c r="VCZ371" s="132"/>
      <c r="VDA371" s="132"/>
      <c r="VDB371" s="132"/>
      <c r="VDC371" s="132"/>
      <c r="VDD371" s="132"/>
      <c r="VDE371" s="132"/>
      <c r="VDF371" s="132"/>
      <c r="VDG371" s="132"/>
      <c r="VDH371" s="132"/>
      <c r="VDI371" s="132"/>
      <c r="VDJ371" s="132"/>
      <c r="VDK371" s="132"/>
      <c r="VDL371" s="132"/>
      <c r="VDM371" s="132"/>
      <c r="VDN371" s="132"/>
      <c r="VDO371" s="132"/>
      <c r="VDP371" s="132"/>
      <c r="VDQ371" s="132"/>
      <c r="VDR371" s="132"/>
      <c r="VDS371" s="132"/>
      <c r="VDT371" s="132"/>
      <c r="VDU371" s="132"/>
      <c r="VDV371" s="132"/>
      <c r="VDW371" s="132"/>
      <c r="VDX371" s="132"/>
      <c r="VDY371" s="132"/>
      <c r="VDZ371" s="132"/>
      <c r="VEA371" s="132"/>
      <c r="VEB371" s="132"/>
      <c r="VEC371" s="132"/>
      <c r="VED371" s="132"/>
      <c r="VEE371" s="132"/>
      <c r="VEF371" s="132"/>
      <c r="VEG371" s="132"/>
      <c r="VEH371" s="132"/>
      <c r="VEI371" s="132"/>
      <c r="VEJ371" s="132"/>
      <c r="VEK371" s="132"/>
      <c r="VEL371" s="132"/>
      <c r="VEM371" s="132"/>
      <c r="VEN371" s="132"/>
      <c r="VEO371" s="132"/>
      <c r="VEP371" s="132"/>
      <c r="VEQ371" s="132"/>
      <c r="VER371" s="132"/>
      <c r="VES371" s="132"/>
      <c r="VET371" s="132"/>
      <c r="VEU371" s="132"/>
      <c r="VEV371" s="132"/>
      <c r="VEW371" s="132"/>
      <c r="VEX371" s="132"/>
      <c r="VEY371" s="132"/>
      <c r="VEZ371" s="132"/>
      <c r="VFA371" s="132"/>
      <c r="VFB371" s="132"/>
      <c r="VFC371" s="132"/>
      <c r="VFD371" s="132"/>
      <c r="VFE371" s="132"/>
      <c r="VFF371" s="132"/>
      <c r="VFG371" s="132"/>
      <c r="VFH371" s="132"/>
      <c r="VFI371" s="132"/>
      <c r="VFJ371" s="132"/>
      <c r="VFK371" s="132"/>
      <c r="VFL371" s="132"/>
      <c r="VFM371" s="132"/>
      <c r="VFN371" s="132"/>
      <c r="VFO371" s="132"/>
      <c r="VFP371" s="132"/>
      <c r="VFQ371" s="132"/>
      <c r="VFR371" s="132"/>
      <c r="VFS371" s="132"/>
      <c r="VFT371" s="132"/>
      <c r="VFU371" s="132"/>
      <c r="VFV371" s="132"/>
      <c r="VFW371" s="132"/>
      <c r="VFX371" s="132"/>
      <c r="VFY371" s="132"/>
      <c r="VFZ371" s="132"/>
      <c r="VGA371" s="132"/>
      <c r="VGB371" s="132"/>
      <c r="VGC371" s="132"/>
      <c r="VGD371" s="132"/>
      <c r="VGE371" s="132"/>
      <c r="VGF371" s="132"/>
      <c r="VGG371" s="132"/>
      <c r="VGH371" s="132"/>
      <c r="VGI371" s="132"/>
      <c r="VGJ371" s="132"/>
      <c r="VGK371" s="132"/>
      <c r="VGL371" s="132"/>
      <c r="VGM371" s="132"/>
      <c r="VGN371" s="132"/>
      <c r="VGO371" s="132"/>
      <c r="VGP371" s="132"/>
      <c r="VGQ371" s="132"/>
      <c r="VGR371" s="132"/>
      <c r="VGS371" s="132"/>
      <c r="VGT371" s="132"/>
      <c r="VGU371" s="132"/>
      <c r="VGV371" s="132"/>
      <c r="VGW371" s="132"/>
      <c r="VGX371" s="132"/>
      <c r="VGY371" s="132"/>
      <c r="VGZ371" s="132"/>
      <c r="VHA371" s="132"/>
      <c r="VHB371" s="132"/>
      <c r="VHC371" s="132"/>
      <c r="VHD371" s="132"/>
      <c r="VHE371" s="132"/>
      <c r="VHF371" s="132"/>
      <c r="VHG371" s="132"/>
      <c r="VHH371" s="132"/>
      <c r="VHI371" s="132"/>
      <c r="VHJ371" s="132"/>
      <c r="VHK371" s="132"/>
      <c r="VHL371" s="132"/>
      <c r="VHM371" s="132"/>
      <c r="VHN371" s="132"/>
      <c r="VHO371" s="132"/>
      <c r="VHP371" s="132"/>
      <c r="VHQ371" s="132"/>
      <c r="VHR371" s="132"/>
      <c r="VHS371" s="132"/>
      <c r="VHT371" s="132"/>
      <c r="VHU371" s="132"/>
      <c r="VHV371" s="132"/>
      <c r="VHW371" s="132"/>
      <c r="VHX371" s="132"/>
      <c r="VHY371" s="132"/>
      <c r="VHZ371" s="132"/>
      <c r="VIA371" s="132"/>
      <c r="VIB371" s="132"/>
      <c r="VIC371" s="132"/>
      <c r="VID371" s="132"/>
      <c r="VIE371" s="132"/>
      <c r="VIF371" s="132"/>
      <c r="VIG371" s="132"/>
      <c r="VIH371" s="132"/>
      <c r="VII371" s="132"/>
      <c r="VIJ371" s="132"/>
      <c r="VIK371" s="132"/>
      <c r="VIL371" s="132"/>
      <c r="VIM371" s="132"/>
      <c r="VIN371" s="132"/>
      <c r="VIO371" s="132"/>
      <c r="VIP371" s="132"/>
      <c r="VIQ371" s="132"/>
      <c r="VIR371" s="132"/>
      <c r="VIS371" s="132"/>
      <c r="VIT371" s="132"/>
      <c r="VIU371" s="132"/>
      <c r="VIV371" s="132"/>
      <c r="VIW371" s="132"/>
      <c r="VIX371" s="132"/>
      <c r="VIY371" s="132"/>
      <c r="VIZ371" s="132"/>
      <c r="VJA371" s="132"/>
      <c r="VJB371" s="132"/>
      <c r="VJC371" s="132"/>
      <c r="VJD371" s="132"/>
      <c r="VJE371" s="132"/>
      <c r="VJF371" s="132"/>
      <c r="VJG371" s="132"/>
      <c r="VJH371" s="132"/>
      <c r="VJI371" s="132"/>
      <c r="VJJ371" s="132"/>
      <c r="VJK371" s="132"/>
      <c r="VJL371" s="132"/>
      <c r="VJM371" s="132"/>
      <c r="VJN371" s="132"/>
      <c r="VJO371" s="132"/>
      <c r="VJP371" s="132"/>
      <c r="VJQ371" s="132"/>
      <c r="VJR371" s="132"/>
      <c r="VJS371" s="132"/>
      <c r="VJT371" s="132"/>
      <c r="VJU371" s="132"/>
      <c r="VJV371" s="132"/>
      <c r="VJW371" s="132"/>
      <c r="VJX371" s="132"/>
      <c r="VJY371" s="132"/>
      <c r="VJZ371" s="132"/>
      <c r="VKA371" s="132"/>
      <c r="VKB371" s="132"/>
      <c r="VKC371" s="132"/>
      <c r="VKD371" s="132"/>
      <c r="VKE371" s="132"/>
      <c r="VKF371" s="132"/>
      <c r="VKG371" s="132"/>
      <c r="VKH371" s="132"/>
      <c r="VKI371" s="132"/>
      <c r="VKJ371" s="132"/>
      <c r="VKK371" s="132"/>
      <c r="VKL371" s="132"/>
      <c r="VKM371" s="132"/>
      <c r="VKN371" s="132"/>
      <c r="VKO371" s="132"/>
      <c r="VKP371" s="132"/>
      <c r="VKQ371" s="132"/>
      <c r="VKR371" s="132"/>
      <c r="VKS371" s="132"/>
      <c r="VKT371" s="132"/>
      <c r="VKU371" s="132"/>
      <c r="VKV371" s="132"/>
      <c r="VKW371" s="132"/>
      <c r="VKX371" s="132"/>
      <c r="VKY371" s="132"/>
      <c r="VKZ371" s="132"/>
      <c r="VLA371" s="132"/>
      <c r="VLB371" s="132"/>
      <c r="VLC371" s="132"/>
      <c r="VLD371" s="132"/>
      <c r="VLE371" s="132"/>
      <c r="VLF371" s="132"/>
      <c r="VLG371" s="132"/>
      <c r="VLH371" s="132"/>
      <c r="VLI371" s="132"/>
      <c r="VLJ371" s="132"/>
      <c r="VLK371" s="132"/>
      <c r="VLL371" s="132"/>
      <c r="VLM371" s="132"/>
      <c r="VLN371" s="132"/>
      <c r="VLO371" s="132"/>
      <c r="VLP371" s="132"/>
      <c r="VLQ371" s="132"/>
      <c r="VLR371" s="132"/>
      <c r="VLS371" s="132"/>
      <c r="VLT371" s="132"/>
      <c r="VLU371" s="132"/>
      <c r="VLV371" s="132"/>
      <c r="VLW371" s="132"/>
      <c r="VLX371" s="132"/>
      <c r="VLY371" s="132"/>
      <c r="VLZ371" s="132"/>
      <c r="VMA371" s="132"/>
      <c r="VMB371" s="132"/>
      <c r="VMC371" s="132"/>
      <c r="VMD371" s="132"/>
      <c r="VME371" s="132"/>
      <c r="VMF371" s="132"/>
      <c r="VMG371" s="132"/>
      <c r="VMH371" s="132"/>
      <c r="VMI371" s="132"/>
      <c r="VMJ371" s="132"/>
      <c r="VMK371" s="132"/>
      <c r="VML371" s="132"/>
      <c r="VMM371" s="132"/>
      <c r="VMN371" s="132"/>
      <c r="VMO371" s="132"/>
      <c r="VMP371" s="132"/>
      <c r="VMQ371" s="132"/>
      <c r="VMR371" s="132"/>
      <c r="VMS371" s="132"/>
      <c r="VMT371" s="132"/>
      <c r="VMU371" s="132"/>
      <c r="VMV371" s="132"/>
      <c r="VMW371" s="132"/>
      <c r="VMX371" s="132"/>
      <c r="VMY371" s="132"/>
      <c r="VMZ371" s="132"/>
      <c r="VNA371" s="132"/>
      <c r="VNB371" s="132"/>
      <c r="VNC371" s="132"/>
      <c r="VND371" s="132"/>
      <c r="VNE371" s="132"/>
      <c r="VNF371" s="132"/>
      <c r="VNG371" s="132"/>
      <c r="VNH371" s="132"/>
      <c r="VNI371" s="132"/>
      <c r="VNJ371" s="132"/>
      <c r="VNK371" s="132"/>
      <c r="VNL371" s="132"/>
      <c r="VNM371" s="132"/>
      <c r="VNN371" s="132"/>
      <c r="VNO371" s="132"/>
      <c r="VNP371" s="132"/>
      <c r="VNQ371" s="132"/>
      <c r="VNR371" s="132"/>
      <c r="VNS371" s="132"/>
      <c r="VNT371" s="132"/>
      <c r="VNU371" s="132"/>
      <c r="VNV371" s="132"/>
      <c r="VNW371" s="132"/>
      <c r="VNX371" s="132"/>
      <c r="VNY371" s="132"/>
      <c r="VNZ371" s="132"/>
      <c r="VOA371" s="132"/>
      <c r="VOB371" s="132"/>
      <c r="VOC371" s="132"/>
      <c r="VOD371" s="132"/>
      <c r="VOE371" s="132"/>
      <c r="VOF371" s="132"/>
      <c r="VOG371" s="132"/>
      <c r="VOH371" s="132"/>
      <c r="VOI371" s="132"/>
      <c r="VOJ371" s="132"/>
      <c r="VOK371" s="132"/>
      <c r="VOL371" s="132"/>
      <c r="VOM371" s="132"/>
      <c r="VON371" s="132"/>
      <c r="VOO371" s="132"/>
      <c r="VOP371" s="132"/>
      <c r="VOQ371" s="132"/>
      <c r="VOR371" s="132"/>
      <c r="VOS371" s="132"/>
      <c r="VOT371" s="132"/>
      <c r="VOU371" s="132"/>
      <c r="VOV371" s="132"/>
      <c r="VOW371" s="132"/>
      <c r="VOX371" s="132"/>
      <c r="VOY371" s="132"/>
      <c r="VOZ371" s="132"/>
      <c r="VPA371" s="132"/>
      <c r="VPB371" s="132"/>
      <c r="VPC371" s="132"/>
      <c r="VPD371" s="132"/>
      <c r="VPE371" s="132"/>
      <c r="VPF371" s="132"/>
      <c r="VPG371" s="132"/>
      <c r="VPH371" s="132"/>
      <c r="VPI371" s="132"/>
      <c r="VPJ371" s="132"/>
      <c r="VPK371" s="132"/>
      <c r="VPL371" s="132"/>
      <c r="VPM371" s="132"/>
      <c r="VPN371" s="132"/>
      <c r="VPO371" s="132"/>
      <c r="VPP371" s="132"/>
      <c r="VPQ371" s="132"/>
      <c r="VPR371" s="132"/>
      <c r="VPS371" s="132"/>
      <c r="VPT371" s="132"/>
      <c r="VPU371" s="132"/>
      <c r="VPV371" s="132"/>
      <c r="VPW371" s="132"/>
      <c r="VPX371" s="132"/>
      <c r="VPY371" s="132"/>
      <c r="VPZ371" s="132"/>
      <c r="VQA371" s="132"/>
      <c r="VQB371" s="132"/>
      <c r="VQC371" s="132"/>
      <c r="VQD371" s="132"/>
      <c r="VQE371" s="132"/>
      <c r="VQF371" s="132"/>
      <c r="VQG371" s="132"/>
      <c r="VQH371" s="132"/>
      <c r="VQI371" s="132"/>
      <c r="VQJ371" s="132"/>
      <c r="VQK371" s="132"/>
      <c r="VQL371" s="132"/>
      <c r="VQM371" s="132"/>
      <c r="VQN371" s="132"/>
      <c r="VQO371" s="132"/>
      <c r="VQP371" s="132"/>
      <c r="VQQ371" s="132"/>
      <c r="VQR371" s="132"/>
      <c r="VQS371" s="132"/>
      <c r="VQT371" s="132"/>
      <c r="VQU371" s="132"/>
      <c r="VQV371" s="132"/>
      <c r="VQW371" s="132"/>
      <c r="VQX371" s="132"/>
      <c r="VQY371" s="132"/>
      <c r="VQZ371" s="132"/>
      <c r="VRA371" s="132"/>
      <c r="VRB371" s="132"/>
      <c r="VRC371" s="132"/>
      <c r="VRD371" s="132"/>
      <c r="VRE371" s="132"/>
      <c r="VRF371" s="132"/>
      <c r="VRG371" s="132"/>
      <c r="VRH371" s="132"/>
      <c r="VRI371" s="132"/>
      <c r="VRJ371" s="132"/>
      <c r="VRK371" s="132"/>
      <c r="VRL371" s="132"/>
      <c r="VRM371" s="132"/>
      <c r="VRN371" s="132"/>
      <c r="VRO371" s="132"/>
      <c r="VRP371" s="132"/>
      <c r="VRQ371" s="132"/>
      <c r="VRR371" s="132"/>
      <c r="VRS371" s="132"/>
      <c r="VRT371" s="132"/>
      <c r="VRU371" s="132"/>
      <c r="VRV371" s="132"/>
      <c r="VRW371" s="132"/>
      <c r="VRX371" s="132"/>
      <c r="VRY371" s="132"/>
      <c r="VRZ371" s="132"/>
      <c r="VSA371" s="132"/>
      <c r="VSB371" s="132"/>
      <c r="VSC371" s="132"/>
      <c r="VSD371" s="132"/>
      <c r="VSE371" s="132"/>
      <c r="VSF371" s="132"/>
      <c r="VSG371" s="132"/>
      <c r="VSH371" s="132"/>
      <c r="VSI371" s="132"/>
      <c r="VSJ371" s="132"/>
      <c r="VSK371" s="132"/>
      <c r="VSL371" s="132"/>
      <c r="VSM371" s="132"/>
      <c r="VSN371" s="132"/>
      <c r="VSO371" s="132"/>
      <c r="VSP371" s="132"/>
      <c r="VSQ371" s="132"/>
      <c r="VSR371" s="132"/>
      <c r="VSS371" s="132"/>
      <c r="VST371" s="132"/>
      <c r="VSU371" s="132"/>
      <c r="VSV371" s="132"/>
      <c r="VSW371" s="132"/>
      <c r="VSX371" s="132"/>
      <c r="VSY371" s="132"/>
      <c r="VSZ371" s="132"/>
      <c r="VTA371" s="132"/>
      <c r="VTB371" s="132"/>
      <c r="VTC371" s="132"/>
      <c r="VTD371" s="132"/>
      <c r="VTE371" s="132"/>
      <c r="VTF371" s="132"/>
      <c r="VTG371" s="132"/>
      <c r="VTH371" s="132"/>
      <c r="VTI371" s="132"/>
      <c r="VTJ371" s="132"/>
      <c r="VTK371" s="132"/>
      <c r="VTL371" s="132"/>
      <c r="VTM371" s="132"/>
      <c r="VTN371" s="132"/>
      <c r="VTO371" s="132"/>
      <c r="VTP371" s="132"/>
      <c r="VTQ371" s="132"/>
      <c r="VTR371" s="132"/>
      <c r="VTS371" s="132"/>
      <c r="VTT371" s="132"/>
      <c r="VTU371" s="132"/>
      <c r="VTV371" s="132"/>
      <c r="VTW371" s="132"/>
      <c r="VTX371" s="132"/>
      <c r="VTY371" s="132"/>
      <c r="VTZ371" s="132"/>
      <c r="VUA371" s="132"/>
      <c r="VUB371" s="132"/>
      <c r="VUC371" s="132"/>
      <c r="VUD371" s="132"/>
      <c r="VUE371" s="132"/>
      <c r="VUF371" s="132"/>
      <c r="VUG371" s="132"/>
      <c r="VUH371" s="132"/>
      <c r="VUI371" s="132"/>
      <c r="VUJ371" s="132"/>
      <c r="VUK371" s="132"/>
      <c r="VUL371" s="132"/>
      <c r="VUM371" s="132"/>
      <c r="VUN371" s="132"/>
      <c r="VUO371" s="132"/>
      <c r="VUP371" s="132"/>
      <c r="VUQ371" s="132"/>
      <c r="VUR371" s="132"/>
      <c r="VUS371" s="132"/>
      <c r="VUT371" s="132"/>
      <c r="VUU371" s="132"/>
      <c r="VUV371" s="132"/>
      <c r="VUW371" s="132"/>
      <c r="VUX371" s="132"/>
      <c r="VUY371" s="132"/>
      <c r="VUZ371" s="132"/>
      <c r="VVA371" s="132"/>
      <c r="VVB371" s="132"/>
      <c r="VVC371" s="132"/>
      <c r="VVD371" s="132"/>
      <c r="VVE371" s="132"/>
      <c r="VVF371" s="132"/>
      <c r="VVG371" s="132"/>
      <c r="VVH371" s="132"/>
      <c r="VVI371" s="132"/>
      <c r="VVJ371" s="132"/>
      <c r="VVK371" s="132"/>
      <c r="VVL371" s="132"/>
      <c r="VVM371" s="132"/>
      <c r="VVN371" s="132"/>
      <c r="VVO371" s="132"/>
      <c r="VVP371" s="132"/>
      <c r="VVQ371" s="132"/>
      <c r="VVR371" s="132"/>
      <c r="VVS371" s="132"/>
      <c r="VVT371" s="132"/>
      <c r="VVU371" s="132"/>
      <c r="VVV371" s="132"/>
      <c r="VVW371" s="132"/>
      <c r="VVX371" s="132"/>
      <c r="VVY371" s="132"/>
      <c r="VVZ371" s="132"/>
      <c r="VWA371" s="132"/>
      <c r="VWB371" s="132"/>
      <c r="VWC371" s="132"/>
      <c r="VWD371" s="132"/>
      <c r="VWE371" s="132"/>
      <c r="VWF371" s="132"/>
      <c r="VWG371" s="132"/>
      <c r="VWH371" s="132"/>
      <c r="VWI371" s="132"/>
      <c r="VWJ371" s="132"/>
      <c r="VWK371" s="132"/>
      <c r="VWL371" s="132"/>
      <c r="VWM371" s="132"/>
      <c r="VWN371" s="132"/>
      <c r="VWO371" s="132"/>
      <c r="VWP371" s="132"/>
      <c r="VWQ371" s="132"/>
      <c r="VWR371" s="132"/>
      <c r="VWS371" s="132"/>
      <c r="VWT371" s="132"/>
      <c r="VWU371" s="132"/>
      <c r="VWV371" s="132"/>
      <c r="VWW371" s="132"/>
      <c r="VWX371" s="132"/>
      <c r="VWY371" s="132"/>
      <c r="VWZ371" s="132"/>
      <c r="VXA371" s="132"/>
      <c r="VXB371" s="132"/>
      <c r="VXC371" s="132"/>
      <c r="VXD371" s="132"/>
      <c r="VXE371" s="132"/>
      <c r="VXF371" s="132"/>
      <c r="VXG371" s="132"/>
      <c r="VXH371" s="132"/>
      <c r="VXI371" s="132"/>
      <c r="VXJ371" s="132"/>
      <c r="VXK371" s="132"/>
      <c r="VXL371" s="132"/>
      <c r="VXM371" s="132"/>
      <c r="VXN371" s="132"/>
      <c r="VXO371" s="132"/>
      <c r="VXP371" s="132"/>
      <c r="VXQ371" s="132"/>
      <c r="VXR371" s="132"/>
      <c r="VXS371" s="132"/>
      <c r="VXT371" s="132"/>
      <c r="VXU371" s="132"/>
      <c r="VXV371" s="132"/>
      <c r="VXW371" s="132"/>
      <c r="VXX371" s="132"/>
      <c r="VXY371" s="132"/>
      <c r="VXZ371" s="132"/>
      <c r="VYA371" s="132"/>
      <c r="VYB371" s="132"/>
      <c r="VYC371" s="132"/>
      <c r="VYD371" s="132"/>
      <c r="VYE371" s="132"/>
      <c r="VYF371" s="132"/>
      <c r="VYG371" s="132"/>
      <c r="VYH371" s="132"/>
      <c r="VYI371" s="132"/>
      <c r="VYJ371" s="132"/>
      <c r="VYK371" s="132"/>
      <c r="VYL371" s="132"/>
      <c r="VYM371" s="132"/>
      <c r="VYN371" s="132"/>
      <c r="VYO371" s="132"/>
      <c r="VYP371" s="132"/>
      <c r="VYQ371" s="132"/>
      <c r="VYR371" s="132"/>
      <c r="VYS371" s="132"/>
      <c r="VYT371" s="132"/>
      <c r="VYU371" s="132"/>
      <c r="VYV371" s="132"/>
      <c r="VYW371" s="132"/>
      <c r="VYX371" s="132"/>
      <c r="VYY371" s="132"/>
      <c r="VYZ371" s="132"/>
      <c r="VZA371" s="132"/>
      <c r="VZB371" s="132"/>
      <c r="VZC371" s="132"/>
      <c r="VZD371" s="132"/>
      <c r="VZE371" s="132"/>
      <c r="VZF371" s="132"/>
      <c r="VZG371" s="132"/>
      <c r="VZH371" s="132"/>
      <c r="VZI371" s="132"/>
      <c r="VZJ371" s="132"/>
      <c r="VZK371" s="132"/>
      <c r="VZL371" s="132"/>
      <c r="VZM371" s="132"/>
      <c r="VZN371" s="132"/>
      <c r="VZO371" s="132"/>
      <c r="VZP371" s="132"/>
      <c r="VZQ371" s="132"/>
      <c r="VZR371" s="132"/>
      <c r="VZS371" s="132"/>
      <c r="VZT371" s="132"/>
      <c r="VZU371" s="132"/>
      <c r="VZV371" s="132"/>
      <c r="VZW371" s="132"/>
      <c r="VZX371" s="132"/>
      <c r="VZY371" s="132"/>
      <c r="VZZ371" s="132"/>
      <c r="WAA371" s="132"/>
      <c r="WAB371" s="132"/>
      <c r="WAC371" s="132"/>
      <c r="WAD371" s="132"/>
      <c r="WAE371" s="132"/>
      <c r="WAF371" s="132"/>
      <c r="WAG371" s="132"/>
      <c r="WAH371" s="132"/>
      <c r="WAI371" s="132"/>
      <c r="WAJ371" s="132"/>
      <c r="WAK371" s="132"/>
      <c r="WAL371" s="132"/>
      <c r="WAM371" s="132"/>
      <c r="WAN371" s="132"/>
      <c r="WAO371" s="132"/>
      <c r="WAP371" s="132"/>
      <c r="WAQ371" s="132"/>
      <c r="WAR371" s="132"/>
      <c r="WAS371" s="132"/>
      <c r="WAT371" s="132"/>
      <c r="WAU371" s="132"/>
      <c r="WAV371" s="132"/>
      <c r="WAW371" s="132"/>
      <c r="WAX371" s="132"/>
      <c r="WAY371" s="132"/>
      <c r="WAZ371" s="132"/>
      <c r="WBA371" s="132"/>
      <c r="WBB371" s="132"/>
      <c r="WBC371" s="132"/>
      <c r="WBD371" s="132"/>
      <c r="WBE371" s="132"/>
      <c r="WBF371" s="132"/>
      <c r="WBG371" s="132"/>
      <c r="WBH371" s="132"/>
      <c r="WBI371" s="132"/>
      <c r="WBJ371" s="132"/>
      <c r="WBK371" s="132"/>
      <c r="WBL371" s="132"/>
      <c r="WBM371" s="132"/>
      <c r="WBN371" s="132"/>
      <c r="WBO371" s="132"/>
      <c r="WBP371" s="132"/>
      <c r="WBQ371" s="132"/>
      <c r="WBR371" s="132"/>
      <c r="WBS371" s="132"/>
      <c r="WBT371" s="132"/>
      <c r="WBU371" s="132"/>
      <c r="WBV371" s="132"/>
      <c r="WBW371" s="132"/>
      <c r="WBX371" s="132"/>
      <c r="WBY371" s="132"/>
      <c r="WBZ371" s="132"/>
      <c r="WCA371" s="132"/>
      <c r="WCB371" s="132"/>
      <c r="WCC371" s="132"/>
      <c r="WCD371" s="132"/>
      <c r="WCE371" s="132"/>
      <c r="WCF371" s="132"/>
      <c r="WCG371" s="132"/>
      <c r="WCH371" s="132"/>
      <c r="WCI371" s="132"/>
      <c r="WCJ371" s="132"/>
      <c r="WCK371" s="132"/>
      <c r="WCL371" s="132"/>
      <c r="WCM371" s="132"/>
      <c r="WCN371" s="132"/>
      <c r="WCO371" s="132"/>
      <c r="WCP371" s="132"/>
      <c r="WCQ371" s="132"/>
      <c r="WCR371" s="132"/>
      <c r="WCS371" s="132"/>
      <c r="WCT371" s="132"/>
      <c r="WCU371" s="132"/>
      <c r="WCV371" s="132"/>
      <c r="WCW371" s="132"/>
      <c r="WCX371" s="132"/>
      <c r="WCY371" s="132"/>
      <c r="WCZ371" s="132"/>
      <c r="WDA371" s="132"/>
      <c r="WDB371" s="132"/>
      <c r="WDC371" s="132"/>
      <c r="WDD371" s="132"/>
      <c r="WDE371" s="132"/>
      <c r="WDF371" s="132"/>
      <c r="WDG371" s="132"/>
      <c r="WDH371" s="132"/>
      <c r="WDI371" s="132"/>
      <c r="WDJ371" s="132"/>
      <c r="WDK371" s="132"/>
      <c r="WDL371" s="132"/>
      <c r="WDM371" s="132"/>
      <c r="WDN371" s="132"/>
      <c r="WDO371" s="132"/>
      <c r="WDP371" s="132"/>
      <c r="WDQ371" s="132"/>
      <c r="WDR371" s="132"/>
      <c r="WDS371" s="132"/>
      <c r="WDT371" s="132"/>
      <c r="WDU371" s="132"/>
      <c r="WDV371" s="132"/>
      <c r="WDW371" s="132"/>
      <c r="WDX371" s="132"/>
      <c r="WDY371" s="132"/>
      <c r="WDZ371" s="132"/>
      <c r="WEA371" s="132"/>
      <c r="WEB371" s="132"/>
      <c r="WEC371" s="132"/>
      <c r="WED371" s="132"/>
      <c r="WEE371" s="132"/>
      <c r="WEF371" s="132"/>
      <c r="WEG371" s="132"/>
      <c r="WEH371" s="132"/>
      <c r="WEI371" s="132"/>
      <c r="WEJ371" s="132"/>
      <c r="WEK371" s="132"/>
      <c r="WEL371" s="132"/>
      <c r="WEM371" s="132"/>
      <c r="WEN371" s="132"/>
      <c r="WEO371" s="132"/>
      <c r="WEP371" s="132"/>
      <c r="WEQ371" s="132"/>
      <c r="WER371" s="132"/>
      <c r="WES371" s="132"/>
      <c r="WET371" s="132"/>
      <c r="WEU371" s="132"/>
      <c r="WEV371" s="132"/>
      <c r="WEW371" s="132"/>
      <c r="WEX371" s="132"/>
      <c r="WEY371" s="132"/>
      <c r="WEZ371" s="132"/>
      <c r="WFA371" s="132"/>
      <c r="WFB371" s="132"/>
      <c r="WFC371" s="132"/>
      <c r="WFD371" s="132"/>
      <c r="WFE371" s="132"/>
      <c r="WFF371" s="132"/>
      <c r="WFG371" s="132"/>
      <c r="WFH371" s="132"/>
      <c r="WFI371" s="132"/>
      <c r="WFJ371" s="132"/>
      <c r="WFK371" s="132"/>
      <c r="WFL371" s="132"/>
      <c r="WFM371" s="132"/>
      <c r="WFN371" s="132"/>
      <c r="WFO371" s="132"/>
      <c r="WFP371" s="132"/>
      <c r="WFQ371" s="132"/>
      <c r="WFR371" s="132"/>
      <c r="WFS371" s="132"/>
      <c r="WFT371" s="132"/>
      <c r="WFU371" s="132"/>
      <c r="WFV371" s="132"/>
      <c r="WFW371" s="132"/>
      <c r="WFX371" s="132"/>
      <c r="WFY371" s="132"/>
      <c r="WFZ371" s="132"/>
      <c r="WGA371" s="132"/>
      <c r="WGB371" s="132"/>
      <c r="WGC371" s="132"/>
      <c r="WGD371" s="132"/>
      <c r="WGE371" s="132"/>
      <c r="WGF371" s="132"/>
      <c r="WGG371" s="132"/>
      <c r="WGH371" s="132"/>
      <c r="WGI371" s="132"/>
      <c r="WGJ371" s="132"/>
      <c r="WGK371" s="132"/>
      <c r="WGL371" s="132"/>
      <c r="WGM371" s="132"/>
      <c r="WGN371" s="132"/>
      <c r="WGO371" s="132"/>
      <c r="WGP371" s="132"/>
      <c r="WGQ371" s="132"/>
      <c r="WGR371" s="132"/>
      <c r="WGS371" s="132"/>
      <c r="WGT371" s="132"/>
      <c r="WGU371" s="132"/>
      <c r="WGV371" s="132"/>
      <c r="WGW371" s="132"/>
      <c r="WGX371" s="132"/>
      <c r="WGY371" s="132"/>
      <c r="WGZ371" s="132"/>
      <c r="WHA371" s="132"/>
      <c r="WHB371" s="132"/>
      <c r="WHC371" s="132"/>
      <c r="WHD371" s="132"/>
      <c r="WHE371" s="132"/>
      <c r="WHF371" s="132"/>
      <c r="WHG371" s="132"/>
      <c r="WHH371" s="132"/>
      <c r="WHI371" s="132"/>
      <c r="WHJ371" s="132"/>
      <c r="WHK371" s="132"/>
      <c r="WHL371" s="132"/>
      <c r="WHM371" s="132"/>
      <c r="WHN371" s="132"/>
      <c r="WHO371" s="132"/>
      <c r="WHP371" s="132"/>
      <c r="WHQ371" s="132"/>
      <c r="WHR371" s="132"/>
      <c r="WHS371" s="132"/>
      <c r="WHT371" s="132"/>
      <c r="WHU371" s="132"/>
      <c r="WHV371" s="132"/>
      <c r="WHW371" s="132"/>
      <c r="WHX371" s="132"/>
      <c r="WHY371" s="132"/>
      <c r="WHZ371" s="132"/>
      <c r="WIA371" s="132"/>
      <c r="WIB371" s="132"/>
      <c r="WIC371" s="132"/>
      <c r="WID371" s="132"/>
      <c r="WIE371" s="132"/>
      <c r="WIF371" s="132"/>
      <c r="WIG371" s="132"/>
      <c r="WIH371" s="132"/>
      <c r="WII371" s="132"/>
      <c r="WIJ371" s="132"/>
      <c r="WIK371" s="132"/>
      <c r="WIL371" s="132"/>
      <c r="WIM371" s="132"/>
      <c r="WIN371" s="132"/>
      <c r="WIO371" s="132"/>
      <c r="WIP371" s="132"/>
      <c r="WIQ371" s="132"/>
      <c r="WIR371" s="132"/>
      <c r="WIS371" s="132"/>
      <c r="WIT371" s="132"/>
      <c r="WIU371" s="132"/>
      <c r="WIV371" s="132"/>
      <c r="WIW371" s="132"/>
      <c r="WIX371" s="132"/>
      <c r="WIY371" s="132"/>
      <c r="WIZ371" s="132"/>
      <c r="WJA371" s="132"/>
      <c r="WJB371" s="132"/>
      <c r="WJC371" s="132"/>
      <c r="WJD371" s="132"/>
      <c r="WJE371" s="132"/>
      <c r="WJF371" s="132"/>
      <c r="WJG371" s="132"/>
      <c r="WJH371" s="132"/>
      <c r="WJI371" s="132"/>
      <c r="WJJ371" s="132"/>
      <c r="WJK371" s="132"/>
      <c r="WJL371" s="132"/>
      <c r="WJM371" s="132"/>
      <c r="WJN371" s="132"/>
      <c r="WJO371" s="132"/>
      <c r="WJP371" s="132"/>
      <c r="WJQ371" s="132"/>
      <c r="WJR371" s="132"/>
      <c r="WJS371" s="132"/>
      <c r="WJT371" s="132"/>
      <c r="WJU371" s="132"/>
      <c r="WJV371" s="132"/>
      <c r="WJW371" s="132"/>
      <c r="WJX371" s="132"/>
      <c r="WJY371" s="132"/>
      <c r="WJZ371" s="132"/>
      <c r="WKA371" s="132"/>
      <c r="WKB371" s="132"/>
      <c r="WKC371" s="132"/>
      <c r="WKD371" s="132"/>
      <c r="WKE371" s="132"/>
      <c r="WKF371" s="132"/>
      <c r="WKG371" s="132"/>
      <c r="WKH371" s="132"/>
      <c r="WKI371" s="132"/>
      <c r="WKJ371" s="132"/>
      <c r="WKK371" s="132"/>
      <c r="WKL371" s="132"/>
      <c r="WKM371" s="132"/>
      <c r="WKN371" s="132"/>
      <c r="WKO371" s="132"/>
      <c r="WKP371" s="132"/>
      <c r="WKQ371" s="132"/>
      <c r="WKR371" s="132"/>
      <c r="WKS371" s="132"/>
      <c r="WKT371" s="132"/>
      <c r="WKU371" s="132"/>
      <c r="WKV371" s="132"/>
      <c r="WKW371" s="132"/>
      <c r="WKX371" s="132"/>
      <c r="WKY371" s="132"/>
      <c r="WKZ371" s="132"/>
      <c r="WLA371" s="132"/>
      <c r="WLB371" s="132"/>
      <c r="WLC371" s="132"/>
      <c r="WLD371" s="132"/>
      <c r="WLE371" s="132"/>
      <c r="WLF371" s="132"/>
      <c r="WLG371" s="132"/>
      <c r="WLH371" s="132"/>
      <c r="WLI371" s="132"/>
      <c r="WLJ371" s="132"/>
      <c r="WLK371" s="132"/>
      <c r="WLL371" s="132"/>
      <c r="WLM371" s="132"/>
      <c r="WLN371" s="132"/>
      <c r="WLO371" s="132"/>
      <c r="WLP371" s="132"/>
      <c r="WLQ371" s="132"/>
      <c r="WLR371" s="132"/>
      <c r="WLS371" s="132"/>
      <c r="WLT371" s="132"/>
      <c r="WLU371" s="132"/>
      <c r="WLV371" s="132"/>
      <c r="WLW371" s="132"/>
      <c r="WLX371" s="132"/>
      <c r="WLY371" s="132"/>
      <c r="WLZ371" s="132"/>
      <c r="WMA371" s="132"/>
      <c r="WMB371" s="132"/>
      <c r="WMC371" s="132"/>
      <c r="WMD371" s="132"/>
      <c r="WME371" s="132"/>
      <c r="WMF371" s="132"/>
      <c r="WMG371" s="132"/>
      <c r="WMH371" s="132"/>
      <c r="WMI371" s="132"/>
      <c r="WMJ371" s="132"/>
      <c r="WMK371" s="132"/>
      <c r="WML371" s="132"/>
      <c r="WMM371" s="132"/>
      <c r="WMN371" s="132"/>
      <c r="WMO371" s="132"/>
      <c r="WMP371" s="132"/>
      <c r="WMQ371" s="132"/>
      <c r="WMR371" s="132"/>
      <c r="WMS371" s="132"/>
      <c r="WMT371" s="132"/>
      <c r="WMU371" s="132"/>
      <c r="WMV371" s="132"/>
      <c r="WMW371" s="132"/>
      <c r="WMX371" s="132"/>
      <c r="WMY371" s="132"/>
      <c r="WMZ371" s="132"/>
      <c r="WNA371" s="132"/>
      <c r="WNB371" s="132"/>
      <c r="WNC371" s="132"/>
      <c r="WND371" s="132"/>
      <c r="WNE371" s="132"/>
      <c r="WNF371" s="132"/>
      <c r="WNG371" s="132"/>
      <c r="WNH371" s="132"/>
      <c r="WNI371" s="132"/>
      <c r="WNJ371" s="132"/>
      <c r="WNK371" s="132"/>
      <c r="WNL371" s="132"/>
      <c r="WNM371" s="132"/>
      <c r="WNN371" s="132"/>
      <c r="WNO371" s="132"/>
      <c r="WNP371" s="132"/>
      <c r="WNQ371" s="132"/>
      <c r="WNR371" s="132"/>
      <c r="WNS371" s="132"/>
      <c r="WNT371" s="132"/>
      <c r="WNU371" s="132"/>
      <c r="WNV371" s="132"/>
      <c r="WNW371" s="132"/>
      <c r="WNX371" s="132"/>
      <c r="WNY371" s="132"/>
      <c r="WNZ371" s="132"/>
      <c r="WOA371" s="132"/>
      <c r="WOB371" s="132"/>
      <c r="WOC371" s="132"/>
      <c r="WOD371" s="132"/>
      <c r="WOE371" s="132"/>
      <c r="WOF371" s="132"/>
      <c r="WOG371" s="132"/>
      <c r="WOH371" s="132"/>
      <c r="WOI371" s="132"/>
      <c r="WOJ371" s="132"/>
      <c r="WOK371" s="132"/>
      <c r="WOL371" s="132"/>
      <c r="WOM371" s="132"/>
      <c r="WON371" s="132"/>
      <c r="WOO371" s="132"/>
      <c r="WOP371" s="132"/>
      <c r="WOQ371" s="132"/>
      <c r="WOR371" s="132"/>
      <c r="WOS371" s="132"/>
      <c r="WOT371" s="132"/>
      <c r="WOU371" s="132"/>
      <c r="WOV371" s="132"/>
      <c r="WOW371" s="132"/>
      <c r="WOX371" s="132"/>
      <c r="WOY371" s="132"/>
      <c r="WOZ371" s="132"/>
      <c r="WPA371" s="132"/>
      <c r="WPB371" s="132"/>
      <c r="WPC371" s="132"/>
      <c r="WPD371" s="132"/>
      <c r="WPE371" s="132"/>
      <c r="WPF371" s="132"/>
      <c r="WPG371" s="132"/>
      <c r="WPH371" s="132"/>
      <c r="WPI371" s="132"/>
      <c r="WPJ371" s="132"/>
      <c r="WPK371" s="132"/>
      <c r="WPL371" s="132"/>
      <c r="WPM371" s="132"/>
      <c r="WPN371" s="132"/>
      <c r="WPO371" s="132"/>
      <c r="WPP371" s="132"/>
      <c r="WPQ371" s="132"/>
      <c r="WPR371" s="132"/>
      <c r="WPS371" s="132"/>
      <c r="WPT371" s="132"/>
      <c r="WPU371" s="132"/>
      <c r="WPV371" s="132"/>
      <c r="WPW371" s="132"/>
      <c r="WPX371" s="132"/>
      <c r="WPY371" s="132"/>
      <c r="WPZ371" s="132"/>
      <c r="WQA371" s="132"/>
      <c r="WQB371" s="132"/>
      <c r="WQC371" s="132"/>
      <c r="WQD371" s="132"/>
      <c r="WQE371" s="132"/>
      <c r="WQF371" s="132"/>
      <c r="WQG371" s="132"/>
      <c r="WQH371" s="132"/>
      <c r="WQI371" s="132"/>
      <c r="WQJ371" s="132"/>
      <c r="WQK371" s="132"/>
      <c r="WQL371" s="132"/>
      <c r="WQM371" s="132"/>
      <c r="WQN371" s="132"/>
      <c r="WQO371" s="132"/>
      <c r="WQP371" s="132"/>
      <c r="WQQ371" s="132"/>
      <c r="WQR371" s="132"/>
      <c r="WQS371" s="132"/>
      <c r="WQT371" s="132"/>
      <c r="WQU371" s="132"/>
      <c r="WQV371" s="132"/>
      <c r="WQW371" s="132"/>
      <c r="WQX371" s="132"/>
      <c r="WQY371" s="132"/>
      <c r="WQZ371" s="132"/>
      <c r="WRA371" s="132"/>
      <c r="WRB371" s="132"/>
      <c r="WRC371" s="132"/>
      <c r="WRD371" s="132"/>
      <c r="WRE371" s="132"/>
      <c r="WRF371" s="132"/>
      <c r="WRG371" s="132"/>
      <c r="WRH371" s="132"/>
      <c r="WRI371" s="132"/>
      <c r="WRJ371" s="132"/>
      <c r="WRK371" s="132"/>
      <c r="WRL371" s="132"/>
      <c r="WRM371" s="132"/>
      <c r="WRN371" s="132"/>
      <c r="WRO371" s="132"/>
      <c r="WRP371" s="132"/>
      <c r="WRQ371" s="132"/>
      <c r="WRR371" s="132"/>
      <c r="WRS371" s="132"/>
      <c r="WRT371" s="132"/>
      <c r="WRU371" s="132"/>
      <c r="WRV371" s="132"/>
      <c r="WRW371" s="132"/>
      <c r="WRX371" s="132"/>
      <c r="WRY371" s="132"/>
      <c r="WRZ371" s="132"/>
      <c r="WSA371" s="132"/>
      <c r="WSB371" s="132"/>
      <c r="WSC371" s="132"/>
      <c r="WSD371" s="132"/>
      <c r="WSE371" s="132"/>
      <c r="WSF371" s="132"/>
      <c r="WSG371" s="132"/>
      <c r="WSH371" s="132"/>
      <c r="WSI371" s="132"/>
      <c r="WSJ371" s="132"/>
      <c r="WSK371" s="132"/>
      <c r="WSL371" s="132"/>
      <c r="WSM371" s="132"/>
      <c r="WSN371" s="132"/>
      <c r="WSO371" s="132"/>
      <c r="WSP371" s="132"/>
      <c r="WSQ371" s="132"/>
      <c r="WSR371" s="132"/>
      <c r="WSS371" s="132"/>
      <c r="WST371" s="132"/>
      <c r="WSU371" s="132"/>
      <c r="WSV371" s="132"/>
      <c r="WSW371" s="132"/>
      <c r="WSX371" s="132"/>
      <c r="WSY371" s="132"/>
      <c r="WSZ371" s="132"/>
      <c r="WTA371" s="132"/>
      <c r="WTB371" s="132"/>
      <c r="WTC371" s="132"/>
      <c r="WTD371" s="132"/>
      <c r="WTE371" s="132"/>
      <c r="WTF371" s="132"/>
      <c r="WTG371" s="132"/>
      <c r="WTH371" s="132"/>
      <c r="WTI371" s="132"/>
      <c r="WTJ371" s="132"/>
      <c r="WTK371" s="132"/>
      <c r="WTL371" s="132"/>
      <c r="WTM371" s="132"/>
      <c r="WTN371" s="132"/>
      <c r="WTO371" s="132"/>
      <c r="WTP371" s="132"/>
      <c r="WTQ371" s="132"/>
      <c r="WTR371" s="132"/>
      <c r="WTS371" s="132"/>
      <c r="WTT371" s="132"/>
      <c r="WTU371" s="132"/>
      <c r="WTV371" s="132"/>
      <c r="WTW371" s="132"/>
      <c r="WTX371" s="132"/>
      <c r="WTY371" s="132"/>
      <c r="WTZ371" s="132"/>
      <c r="WUA371" s="132"/>
      <c r="WUB371" s="132"/>
      <c r="WUC371" s="132"/>
      <c r="WUD371" s="132"/>
      <c r="WUE371" s="132"/>
      <c r="WUF371" s="132"/>
      <c r="WUG371" s="132"/>
      <c r="WUH371" s="132"/>
      <c r="WUI371" s="132"/>
      <c r="WUJ371" s="132"/>
      <c r="WUK371" s="132"/>
      <c r="WUL371" s="132"/>
      <c r="WUM371" s="132"/>
      <c r="WUN371" s="132"/>
      <c r="WUO371" s="132"/>
      <c r="WUP371" s="132"/>
      <c r="WUQ371" s="132"/>
      <c r="WUR371" s="132"/>
      <c r="WUS371" s="132"/>
      <c r="WUT371" s="132"/>
      <c r="WUU371" s="132"/>
      <c r="WUV371" s="132"/>
      <c r="WUW371" s="132"/>
      <c r="WUX371" s="132"/>
      <c r="WUY371" s="132"/>
      <c r="WUZ371" s="132"/>
      <c r="WVA371" s="132"/>
      <c r="WVB371" s="132"/>
      <c r="WVC371" s="132"/>
      <c r="WVD371" s="132"/>
      <c r="WVE371" s="132"/>
      <c r="WVF371" s="132"/>
      <c r="WVG371" s="132"/>
      <c r="WVH371" s="132"/>
      <c r="WVI371" s="132"/>
      <c r="WVJ371" s="132"/>
      <c r="WVK371" s="132"/>
      <c r="WVL371" s="132"/>
      <c r="WVM371" s="132"/>
      <c r="WVN371" s="132"/>
      <c r="WVO371" s="132"/>
      <c r="WVP371" s="132"/>
      <c r="WVQ371" s="132"/>
      <c r="WVR371" s="132"/>
      <c r="WVS371" s="132"/>
      <c r="WVT371" s="132"/>
      <c r="WVU371" s="132"/>
      <c r="WVV371" s="132"/>
      <c r="WVW371" s="132"/>
      <c r="WVX371" s="132"/>
      <c r="WVY371" s="132"/>
      <c r="WVZ371" s="132"/>
      <c r="WWA371" s="132"/>
      <c r="WWB371" s="132"/>
      <c r="WWC371" s="132"/>
      <c r="WWD371" s="132"/>
      <c r="WWE371" s="132"/>
      <c r="WWF371" s="132"/>
      <c r="WWG371" s="132"/>
      <c r="WWH371" s="132"/>
      <c r="WWI371" s="132"/>
      <c r="WWJ371" s="132"/>
      <c r="WWK371" s="132"/>
      <c r="WWL371" s="132"/>
      <c r="WWM371" s="132"/>
      <c r="WWN371" s="132"/>
      <c r="WWO371" s="132"/>
      <c r="WWP371" s="132"/>
      <c r="WWQ371" s="132"/>
      <c r="WWR371" s="132"/>
      <c r="WWS371" s="132"/>
      <c r="WWT371" s="132"/>
      <c r="WWU371" s="132"/>
      <c r="WWV371" s="132"/>
      <c r="WWW371" s="132"/>
      <c r="WWX371" s="132"/>
      <c r="WWY371" s="132"/>
      <c r="WWZ371" s="132"/>
      <c r="WXA371" s="132"/>
      <c r="WXB371" s="132"/>
      <c r="WXC371" s="132"/>
      <c r="WXD371" s="132"/>
      <c r="WXE371" s="132"/>
      <c r="WXF371" s="132"/>
      <c r="WXG371" s="132"/>
      <c r="WXH371" s="132"/>
      <c r="WXI371" s="132"/>
      <c r="WXJ371" s="132"/>
      <c r="WXK371" s="132"/>
      <c r="WXL371" s="132"/>
      <c r="WXM371" s="132"/>
      <c r="WXN371" s="132"/>
      <c r="WXO371" s="132"/>
      <c r="WXP371" s="132"/>
      <c r="WXQ371" s="132"/>
      <c r="WXR371" s="132"/>
      <c r="WXS371" s="132"/>
      <c r="WXT371" s="132"/>
      <c r="WXU371" s="132"/>
      <c r="WXV371" s="132"/>
      <c r="WXW371" s="132"/>
      <c r="WXX371" s="132"/>
      <c r="WXY371" s="132"/>
      <c r="WXZ371" s="132"/>
      <c r="WYA371" s="132"/>
      <c r="WYB371" s="132"/>
      <c r="WYC371" s="132"/>
      <c r="WYD371" s="132"/>
      <c r="WYE371" s="132"/>
      <c r="WYF371" s="132"/>
      <c r="WYG371" s="132"/>
      <c r="WYH371" s="132"/>
      <c r="WYI371" s="132"/>
      <c r="WYJ371" s="132"/>
      <c r="WYK371" s="132"/>
      <c r="WYL371" s="132"/>
      <c r="WYM371" s="132"/>
      <c r="WYN371" s="132"/>
      <c r="WYO371" s="132"/>
      <c r="WYP371" s="132"/>
      <c r="WYQ371" s="132"/>
      <c r="WYR371" s="132"/>
      <c r="WYS371" s="132"/>
      <c r="WYT371" s="132"/>
      <c r="WYU371" s="132"/>
      <c r="WYV371" s="132"/>
      <c r="WYW371" s="132"/>
      <c r="WYX371" s="132"/>
      <c r="WYY371" s="132"/>
      <c r="WYZ371" s="132"/>
      <c r="WZA371" s="132"/>
      <c r="WZB371" s="132"/>
      <c r="WZC371" s="132"/>
      <c r="WZD371" s="132"/>
      <c r="WZE371" s="132"/>
      <c r="WZF371" s="132"/>
      <c r="WZG371" s="132"/>
      <c r="WZH371" s="132"/>
      <c r="WZI371" s="132"/>
      <c r="WZJ371" s="132"/>
      <c r="WZK371" s="132"/>
      <c r="WZL371" s="132"/>
      <c r="WZM371" s="132"/>
      <c r="WZN371" s="132"/>
      <c r="WZO371" s="132"/>
      <c r="WZP371" s="132"/>
      <c r="WZQ371" s="132"/>
      <c r="WZR371" s="132"/>
      <c r="WZS371" s="132"/>
      <c r="WZT371" s="132"/>
      <c r="WZU371" s="132"/>
      <c r="WZV371" s="132"/>
      <c r="WZW371" s="132"/>
      <c r="WZX371" s="132"/>
      <c r="WZY371" s="132"/>
      <c r="WZZ371" s="132"/>
      <c r="XAA371" s="132"/>
      <c r="XAB371" s="132"/>
      <c r="XAC371" s="132"/>
      <c r="XAD371" s="132"/>
      <c r="XAE371" s="132"/>
      <c r="XAF371" s="132"/>
      <c r="XAG371" s="132"/>
      <c r="XAH371" s="132"/>
      <c r="XAI371" s="132"/>
      <c r="XAJ371" s="132"/>
      <c r="XAK371" s="132"/>
      <c r="XAL371" s="132"/>
      <c r="XAM371" s="132"/>
      <c r="XAN371" s="132"/>
      <c r="XAO371" s="132"/>
      <c r="XAP371" s="132"/>
      <c r="XAQ371" s="132"/>
      <c r="XAR371" s="132"/>
      <c r="XAS371" s="132"/>
      <c r="XAT371" s="132"/>
      <c r="XAU371" s="132"/>
      <c r="XAV371" s="132"/>
      <c r="XAW371" s="132"/>
      <c r="XAX371" s="132"/>
      <c r="XAY371" s="132"/>
      <c r="XAZ371" s="132"/>
      <c r="XBA371" s="132"/>
      <c r="XBB371" s="132"/>
      <c r="XBC371" s="132"/>
      <c r="XBD371" s="132"/>
      <c r="XBE371" s="132"/>
      <c r="XBF371" s="132"/>
      <c r="XBG371" s="132"/>
      <c r="XBH371" s="132"/>
      <c r="XBI371" s="132"/>
      <c r="XBJ371" s="132"/>
      <c r="XBK371" s="132"/>
      <c r="XBL371" s="132"/>
      <c r="XBM371" s="132"/>
      <c r="XBN371" s="132"/>
      <c r="XBO371" s="132"/>
      <c r="XBP371" s="132"/>
      <c r="XBQ371" s="132"/>
      <c r="XBR371" s="132"/>
      <c r="XBS371" s="132"/>
      <c r="XBT371" s="132"/>
      <c r="XBU371" s="132"/>
      <c r="XBV371" s="132"/>
      <c r="XBW371" s="132"/>
      <c r="XBX371" s="132"/>
      <c r="XBY371" s="132"/>
      <c r="XBZ371" s="132"/>
      <c r="XCA371" s="132"/>
      <c r="XCB371" s="132"/>
      <c r="XCC371" s="132"/>
      <c r="XCD371" s="132"/>
      <c r="XCE371" s="132"/>
      <c r="XCF371" s="132"/>
      <c r="XCG371" s="132"/>
      <c r="XCH371" s="132"/>
      <c r="XCI371" s="132"/>
      <c r="XCJ371" s="132"/>
      <c r="XCK371" s="132"/>
      <c r="XCL371" s="132"/>
      <c r="XCM371" s="132"/>
      <c r="XCN371" s="132"/>
      <c r="XCO371" s="132"/>
      <c r="XCP371" s="132"/>
      <c r="XCQ371" s="132"/>
      <c r="XCR371" s="132"/>
      <c r="XCS371" s="132"/>
      <c r="XCT371" s="132"/>
      <c r="XCU371" s="132"/>
      <c r="XCV371" s="132"/>
      <c r="XCW371" s="132"/>
      <c r="XCX371" s="132"/>
      <c r="XCY371" s="132"/>
      <c r="XCZ371" s="132"/>
      <c r="XDA371" s="132"/>
      <c r="XDB371" s="132"/>
      <c r="XDC371" s="132"/>
      <c r="XDD371" s="132"/>
      <c r="XDE371" s="132"/>
      <c r="XDF371" s="132"/>
      <c r="XDG371" s="132"/>
      <c r="XDH371" s="132"/>
      <c r="XDI371" s="132"/>
      <c r="XDJ371" s="132"/>
      <c r="XDK371" s="132"/>
      <c r="XDL371" s="132"/>
      <c r="XDM371" s="132"/>
      <c r="XDN371" s="132"/>
      <c r="XDO371" s="132"/>
      <c r="XDP371" s="132"/>
      <c r="XDQ371" s="132"/>
      <c r="XDR371" s="132"/>
      <c r="XDS371" s="132"/>
      <c r="XDT371" s="132"/>
      <c r="XDU371" s="132"/>
      <c r="XDV371" s="132"/>
      <c r="XDW371" s="132"/>
      <c r="XDX371" s="132"/>
      <c r="XDY371" s="132"/>
      <c r="XDZ371" s="132"/>
      <c r="XEA371" s="132"/>
      <c r="XEB371" s="132"/>
      <c r="XEC371" s="132"/>
      <c r="XED371" s="132"/>
      <c r="XEE371" s="132"/>
      <c r="XEF371" s="132"/>
      <c r="XEG371" s="132"/>
      <c r="XEH371" s="132"/>
      <c r="XEI371" s="132"/>
      <c r="XEJ371" s="132"/>
      <c r="XEK371" s="132"/>
      <c r="XEL371" s="132"/>
      <c r="XEM371" s="132"/>
      <c r="XEN371" s="132"/>
      <c r="XEO371" s="132"/>
      <c r="XEP371" s="132"/>
      <c r="XEQ371" s="132"/>
      <c r="XER371" s="132"/>
      <c r="XES371" s="132"/>
      <c r="XET371" s="132"/>
      <c r="XEU371" s="132"/>
      <c r="XEV371" s="132"/>
      <c r="XEW371" s="132"/>
      <c r="XEX371" s="132"/>
      <c r="XEY371" s="132"/>
      <c r="XEZ371" s="132"/>
      <c r="XFA371" s="132"/>
      <c r="XFB371" s="132"/>
      <c r="XFC371" s="132"/>
    </row>
    <row r="372" spans="1:16383" s="128" customFormat="1">
      <c r="A372" s="272"/>
      <c r="B372" s="273"/>
      <c r="C372" s="273"/>
      <c r="D372" s="273"/>
      <c r="E372" s="274"/>
      <c r="F372" s="274"/>
      <c r="J372" s="280"/>
      <c r="K372" s="132"/>
      <c r="L372" s="132"/>
      <c r="M372" s="132"/>
      <c r="N372" s="132"/>
      <c r="O372" s="132"/>
      <c r="P372" s="132"/>
      <c r="Q372" s="132"/>
      <c r="R372" s="132"/>
      <c r="S372" s="132"/>
      <c r="T372" s="132"/>
      <c r="U372" s="132"/>
      <c r="V372" s="132"/>
      <c r="W372" s="132"/>
      <c r="X372" s="132"/>
      <c r="Y372" s="132"/>
      <c r="Z372" s="132"/>
      <c r="AA372" s="132"/>
      <c r="AB372" s="132"/>
      <c r="AC372" s="132"/>
      <c r="AD372" s="132"/>
      <c r="AE372" s="132"/>
      <c r="AF372" s="132"/>
      <c r="AG372" s="132"/>
      <c r="AH372" s="132"/>
      <c r="AI372" s="132"/>
      <c r="AJ372" s="132"/>
      <c r="AK372" s="132"/>
      <c r="AL372" s="132"/>
      <c r="AM372" s="132"/>
      <c r="AN372" s="132"/>
      <c r="AO372" s="132"/>
      <c r="AP372" s="132"/>
      <c r="AQ372" s="132"/>
      <c r="AR372" s="132"/>
      <c r="AS372" s="132"/>
      <c r="AT372" s="132"/>
      <c r="AU372" s="132"/>
      <c r="AV372" s="132"/>
      <c r="AW372" s="132"/>
      <c r="AX372" s="132"/>
      <c r="AY372" s="132"/>
      <c r="AZ372" s="132"/>
      <c r="BA372" s="132"/>
      <c r="BB372" s="132"/>
      <c r="BC372" s="132"/>
      <c r="BD372" s="132"/>
      <c r="BE372" s="132"/>
      <c r="BF372" s="132"/>
      <c r="BG372" s="132"/>
      <c r="BH372" s="132"/>
      <c r="BI372" s="132"/>
      <c r="BJ372" s="132"/>
      <c r="BK372" s="132"/>
      <c r="BL372" s="132"/>
      <c r="BM372" s="132"/>
      <c r="BN372" s="132"/>
      <c r="BO372" s="132"/>
      <c r="BP372" s="132"/>
      <c r="BQ372" s="132"/>
      <c r="BR372" s="132"/>
      <c r="BS372" s="132"/>
      <c r="BT372" s="132"/>
      <c r="BU372" s="132"/>
      <c r="BV372" s="132"/>
      <c r="BW372" s="132"/>
      <c r="BX372" s="132"/>
      <c r="BY372" s="132"/>
      <c r="BZ372" s="132"/>
      <c r="CA372" s="132"/>
      <c r="CB372" s="132"/>
      <c r="CC372" s="132"/>
      <c r="CD372" s="132"/>
      <c r="CE372" s="132"/>
      <c r="CF372" s="132"/>
      <c r="CG372" s="132"/>
      <c r="CH372" s="132"/>
      <c r="CI372" s="132"/>
      <c r="CJ372" s="132"/>
      <c r="CK372" s="132"/>
      <c r="CL372" s="132"/>
      <c r="CM372" s="132"/>
      <c r="CN372" s="132"/>
      <c r="CO372" s="132"/>
      <c r="CP372" s="132"/>
      <c r="CQ372" s="132"/>
      <c r="CR372" s="132"/>
      <c r="CS372" s="132"/>
      <c r="CT372" s="132"/>
      <c r="CU372" s="132"/>
      <c r="CV372" s="132"/>
      <c r="CW372" s="132"/>
      <c r="CX372" s="132"/>
      <c r="CY372" s="132"/>
      <c r="CZ372" s="132"/>
      <c r="DA372" s="132"/>
      <c r="DB372" s="132"/>
      <c r="DC372" s="132"/>
      <c r="DD372" s="132"/>
      <c r="DE372" s="132"/>
      <c r="DF372" s="132"/>
      <c r="DG372" s="132"/>
      <c r="DH372" s="132"/>
      <c r="DI372" s="132"/>
      <c r="DJ372" s="132"/>
      <c r="DK372" s="132"/>
      <c r="DL372" s="132"/>
      <c r="DM372" s="132"/>
      <c r="DN372" s="132"/>
      <c r="DO372" s="132"/>
      <c r="DP372" s="132"/>
      <c r="DQ372" s="132"/>
      <c r="DR372" s="132"/>
      <c r="DS372" s="132"/>
      <c r="DT372" s="132"/>
      <c r="DU372" s="132"/>
      <c r="DV372" s="132"/>
      <c r="DW372" s="132"/>
      <c r="DX372" s="132"/>
      <c r="DY372" s="132"/>
      <c r="DZ372" s="132"/>
      <c r="EA372" s="132"/>
      <c r="EB372" s="132"/>
      <c r="EC372" s="132"/>
      <c r="ED372" s="132"/>
      <c r="EE372" s="132"/>
      <c r="EF372" s="132"/>
      <c r="EG372" s="132"/>
      <c r="EH372" s="132"/>
      <c r="EI372" s="132"/>
      <c r="EJ372" s="132"/>
      <c r="EK372" s="132"/>
      <c r="EL372" s="132"/>
      <c r="EM372" s="132"/>
      <c r="EN372" s="132"/>
      <c r="EO372" s="132"/>
      <c r="EP372" s="132"/>
      <c r="EQ372" s="132"/>
      <c r="ER372" s="132"/>
      <c r="ES372" s="132"/>
      <c r="ET372" s="132"/>
      <c r="EU372" s="132"/>
      <c r="EV372" s="132"/>
      <c r="EW372" s="132"/>
      <c r="EX372" s="132"/>
      <c r="EY372" s="132"/>
      <c r="EZ372" s="132"/>
      <c r="FA372" s="132"/>
      <c r="FB372" s="132"/>
      <c r="FC372" s="132"/>
      <c r="FD372" s="132"/>
      <c r="FE372" s="132"/>
      <c r="FF372" s="132"/>
      <c r="FG372" s="132"/>
      <c r="FH372" s="132"/>
      <c r="FI372" s="132"/>
      <c r="FJ372" s="132"/>
      <c r="FK372" s="132"/>
      <c r="FL372" s="132"/>
      <c r="FM372" s="132"/>
      <c r="FN372" s="132"/>
      <c r="FO372" s="132"/>
      <c r="FP372" s="132"/>
      <c r="FQ372" s="132"/>
      <c r="FR372" s="132"/>
      <c r="FS372" s="132"/>
      <c r="FT372" s="132"/>
      <c r="FU372" s="132"/>
      <c r="FV372" s="132"/>
      <c r="FW372" s="132"/>
      <c r="FX372" s="132"/>
      <c r="FY372" s="132"/>
      <c r="FZ372" s="132"/>
      <c r="GA372" s="132"/>
      <c r="GB372" s="132"/>
      <c r="GC372" s="132"/>
      <c r="GD372" s="132"/>
      <c r="GE372" s="132"/>
      <c r="GF372" s="132"/>
      <c r="GG372" s="132"/>
      <c r="GH372" s="132"/>
      <c r="GI372" s="132"/>
      <c r="GJ372" s="132"/>
      <c r="GK372" s="132"/>
      <c r="GL372" s="132"/>
      <c r="GM372" s="132"/>
      <c r="GN372" s="132"/>
      <c r="GO372" s="132"/>
      <c r="GP372" s="132"/>
      <c r="GQ372" s="132"/>
      <c r="GR372" s="132"/>
      <c r="GS372" s="132"/>
      <c r="GT372" s="132"/>
      <c r="GU372" s="132"/>
      <c r="GV372" s="132"/>
      <c r="GW372" s="132"/>
      <c r="GX372" s="132"/>
      <c r="GY372" s="132"/>
      <c r="GZ372" s="132"/>
      <c r="HA372" s="132"/>
      <c r="HB372" s="132"/>
      <c r="HC372" s="132"/>
      <c r="HD372" s="132"/>
      <c r="HE372" s="132"/>
      <c r="HF372" s="132"/>
      <c r="HG372" s="132"/>
      <c r="HH372" s="132"/>
      <c r="HI372" s="132"/>
      <c r="HJ372" s="132"/>
      <c r="HK372" s="132"/>
      <c r="HL372" s="132"/>
      <c r="HM372" s="132"/>
      <c r="HN372" s="132"/>
      <c r="HO372" s="132"/>
      <c r="HP372" s="132"/>
      <c r="HQ372" s="132"/>
      <c r="HR372" s="132"/>
      <c r="HS372" s="132"/>
      <c r="HT372" s="132"/>
      <c r="HU372" s="132"/>
      <c r="HV372" s="132"/>
      <c r="HW372" s="132"/>
      <c r="HX372" s="132"/>
      <c r="HY372" s="132"/>
      <c r="HZ372" s="132"/>
      <c r="IA372" s="132"/>
      <c r="IB372" s="132"/>
      <c r="IC372" s="132"/>
      <c r="ID372" s="132"/>
      <c r="IE372" s="132"/>
      <c r="IF372" s="132"/>
      <c r="IG372" s="132"/>
      <c r="IH372" s="132"/>
      <c r="II372" s="132"/>
      <c r="IJ372" s="132"/>
      <c r="IK372" s="132"/>
      <c r="IL372" s="132"/>
      <c r="IM372" s="132"/>
      <c r="IN372" s="132"/>
      <c r="IO372" s="132"/>
      <c r="IP372" s="132"/>
      <c r="IQ372" s="132"/>
      <c r="IR372" s="132"/>
      <c r="IS372" s="132"/>
      <c r="IT372" s="132"/>
      <c r="IU372" s="132"/>
      <c r="IV372" s="132"/>
      <c r="IW372" s="132"/>
      <c r="IX372" s="132"/>
      <c r="IY372" s="132"/>
      <c r="IZ372" s="132"/>
      <c r="JA372" s="132"/>
      <c r="JB372" s="132"/>
      <c r="JC372" s="132"/>
      <c r="JD372" s="132"/>
      <c r="JE372" s="132"/>
      <c r="JF372" s="132"/>
      <c r="JG372" s="132"/>
      <c r="JH372" s="132"/>
      <c r="JI372" s="132"/>
      <c r="JJ372" s="132"/>
      <c r="JK372" s="132"/>
      <c r="JL372" s="132"/>
      <c r="JM372" s="132"/>
      <c r="JN372" s="132"/>
      <c r="JO372" s="132"/>
      <c r="JP372" s="132"/>
      <c r="JQ372" s="132"/>
      <c r="JR372" s="132"/>
      <c r="JS372" s="132"/>
      <c r="JT372" s="132"/>
      <c r="JU372" s="132"/>
      <c r="JV372" s="132"/>
      <c r="JW372" s="132"/>
      <c r="JX372" s="132"/>
      <c r="JY372" s="132"/>
      <c r="JZ372" s="132"/>
      <c r="KA372" s="132"/>
      <c r="KB372" s="132"/>
      <c r="KC372" s="132"/>
      <c r="KD372" s="132"/>
      <c r="KE372" s="132"/>
      <c r="KF372" s="132"/>
      <c r="KG372" s="132"/>
      <c r="KH372" s="132"/>
      <c r="KI372" s="132"/>
      <c r="KJ372" s="132"/>
      <c r="KK372" s="132"/>
      <c r="KL372" s="132"/>
      <c r="KM372" s="132"/>
      <c r="KN372" s="132"/>
      <c r="KO372" s="132"/>
      <c r="KP372" s="132"/>
      <c r="KQ372" s="132"/>
      <c r="KR372" s="132"/>
      <c r="KS372" s="132"/>
      <c r="KT372" s="132"/>
      <c r="KU372" s="132"/>
      <c r="KV372" s="132"/>
      <c r="KW372" s="132"/>
      <c r="KX372" s="132"/>
      <c r="KY372" s="132"/>
      <c r="KZ372" s="132"/>
      <c r="LA372" s="132"/>
      <c r="LB372" s="132"/>
      <c r="LC372" s="132"/>
      <c r="LD372" s="132"/>
      <c r="LE372" s="132"/>
      <c r="LF372" s="132"/>
      <c r="LG372" s="132"/>
      <c r="LH372" s="132"/>
      <c r="LI372" s="132"/>
      <c r="LJ372" s="132"/>
      <c r="LK372" s="132"/>
      <c r="LL372" s="132"/>
      <c r="LM372" s="132"/>
      <c r="LN372" s="132"/>
      <c r="LO372" s="132"/>
      <c r="LP372" s="132"/>
      <c r="LQ372" s="132"/>
      <c r="LR372" s="132"/>
      <c r="LS372" s="132"/>
      <c r="LT372" s="132"/>
      <c r="LU372" s="132"/>
      <c r="LV372" s="132"/>
      <c r="LW372" s="132"/>
      <c r="LX372" s="132"/>
      <c r="LY372" s="132"/>
      <c r="LZ372" s="132"/>
      <c r="MA372" s="132"/>
      <c r="MB372" s="132"/>
      <c r="MC372" s="132"/>
      <c r="MD372" s="132"/>
      <c r="ME372" s="132"/>
      <c r="MF372" s="132"/>
      <c r="MG372" s="132"/>
      <c r="MH372" s="132"/>
      <c r="MI372" s="132"/>
      <c r="MJ372" s="132"/>
      <c r="MK372" s="132"/>
      <c r="ML372" s="132"/>
      <c r="MM372" s="132"/>
      <c r="MN372" s="132"/>
      <c r="MO372" s="132"/>
      <c r="MP372" s="132"/>
      <c r="MQ372" s="132"/>
      <c r="MR372" s="132"/>
      <c r="MS372" s="132"/>
      <c r="MT372" s="132"/>
      <c r="MU372" s="132"/>
      <c r="MV372" s="132"/>
      <c r="MW372" s="132"/>
      <c r="MX372" s="132"/>
      <c r="MY372" s="132"/>
      <c r="MZ372" s="132"/>
      <c r="NA372" s="132"/>
      <c r="NB372" s="132"/>
      <c r="NC372" s="132"/>
      <c r="ND372" s="132"/>
      <c r="NE372" s="132"/>
      <c r="NF372" s="132"/>
      <c r="NG372" s="132"/>
      <c r="NH372" s="132"/>
      <c r="NI372" s="132"/>
      <c r="NJ372" s="132"/>
      <c r="NK372" s="132"/>
      <c r="NL372" s="132"/>
      <c r="NM372" s="132"/>
      <c r="NN372" s="132"/>
      <c r="NO372" s="132"/>
      <c r="NP372" s="132"/>
      <c r="NQ372" s="132"/>
      <c r="NR372" s="132"/>
      <c r="NS372" s="132"/>
      <c r="NT372" s="132"/>
      <c r="NU372" s="132"/>
      <c r="NV372" s="132"/>
      <c r="NW372" s="132"/>
      <c r="NX372" s="132"/>
      <c r="NY372" s="132"/>
      <c r="NZ372" s="132"/>
      <c r="OA372" s="132"/>
      <c r="OB372" s="132"/>
      <c r="OC372" s="132"/>
      <c r="OD372" s="132"/>
      <c r="OE372" s="132"/>
      <c r="OF372" s="132"/>
      <c r="OG372" s="132"/>
      <c r="OH372" s="132"/>
      <c r="OI372" s="132"/>
      <c r="OJ372" s="132"/>
      <c r="OK372" s="132"/>
      <c r="OL372" s="132"/>
      <c r="OM372" s="132"/>
      <c r="ON372" s="132"/>
      <c r="OO372" s="132"/>
      <c r="OP372" s="132"/>
      <c r="OQ372" s="132"/>
      <c r="OR372" s="132"/>
      <c r="OS372" s="132"/>
      <c r="OT372" s="132"/>
      <c r="OU372" s="132"/>
      <c r="OV372" s="132"/>
      <c r="OW372" s="132"/>
      <c r="OX372" s="132"/>
      <c r="OY372" s="132"/>
      <c r="OZ372" s="132"/>
      <c r="PA372" s="132"/>
      <c r="PB372" s="132"/>
      <c r="PC372" s="132"/>
      <c r="PD372" s="132"/>
      <c r="PE372" s="132"/>
      <c r="PF372" s="132"/>
      <c r="PG372" s="132"/>
      <c r="PH372" s="132"/>
      <c r="PI372" s="132"/>
      <c r="PJ372" s="132"/>
      <c r="PK372" s="132"/>
      <c r="PL372" s="132"/>
      <c r="PM372" s="132"/>
      <c r="PN372" s="132"/>
      <c r="PO372" s="132"/>
      <c r="PP372" s="132"/>
      <c r="PQ372" s="132"/>
      <c r="PR372" s="132"/>
      <c r="PS372" s="132"/>
      <c r="PT372" s="132"/>
      <c r="PU372" s="132"/>
      <c r="PV372" s="132"/>
      <c r="PW372" s="132"/>
      <c r="PX372" s="132"/>
      <c r="PY372" s="132"/>
      <c r="PZ372" s="132"/>
      <c r="QA372" s="132"/>
      <c r="QB372" s="132"/>
      <c r="QC372" s="132"/>
      <c r="QD372" s="132"/>
      <c r="QE372" s="132"/>
      <c r="QF372" s="132"/>
      <c r="QG372" s="132"/>
      <c r="QH372" s="132"/>
      <c r="QI372" s="132"/>
      <c r="QJ372" s="132"/>
      <c r="QK372" s="132"/>
      <c r="QL372" s="132"/>
      <c r="QM372" s="132"/>
      <c r="QN372" s="132"/>
      <c r="QO372" s="132"/>
      <c r="QP372" s="132"/>
      <c r="QQ372" s="132"/>
      <c r="QR372" s="132"/>
      <c r="QS372" s="132"/>
      <c r="QT372" s="132"/>
      <c r="QU372" s="132"/>
      <c r="QV372" s="132"/>
      <c r="QW372" s="132"/>
      <c r="QX372" s="132"/>
      <c r="QY372" s="132"/>
      <c r="QZ372" s="132"/>
      <c r="RA372" s="132"/>
      <c r="RB372" s="132"/>
      <c r="RC372" s="132"/>
      <c r="RD372" s="132"/>
      <c r="RE372" s="132"/>
      <c r="RF372" s="132"/>
      <c r="RG372" s="132"/>
      <c r="RH372" s="132"/>
      <c r="RI372" s="132"/>
      <c r="RJ372" s="132"/>
      <c r="RK372" s="132"/>
      <c r="RL372" s="132"/>
      <c r="RM372" s="132"/>
      <c r="RN372" s="132"/>
      <c r="RO372" s="132"/>
      <c r="RP372" s="132"/>
      <c r="RQ372" s="132"/>
      <c r="RR372" s="132"/>
      <c r="RS372" s="132"/>
      <c r="RT372" s="132"/>
      <c r="RU372" s="132"/>
      <c r="RV372" s="132"/>
      <c r="RW372" s="132"/>
      <c r="RX372" s="132"/>
      <c r="RY372" s="132"/>
      <c r="RZ372" s="132"/>
      <c r="SA372" s="132"/>
      <c r="SB372" s="132"/>
      <c r="SC372" s="132"/>
      <c r="SD372" s="132"/>
      <c r="SE372" s="132"/>
      <c r="SF372" s="132"/>
      <c r="SG372" s="132"/>
      <c r="SH372" s="132"/>
      <c r="SI372" s="132"/>
      <c r="SJ372" s="132"/>
      <c r="SK372" s="132"/>
      <c r="SL372" s="132"/>
      <c r="SM372" s="132"/>
      <c r="SN372" s="132"/>
      <c r="SO372" s="132"/>
      <c r="SP372" s="132"/>
      <c r="SQ372" s="132"/>
      <c r="SR372" s="132"/>
      <c r="SS372" s="132"/>
      <c r="ST372" s="132"/>
      <c r="SU372" s="132"/>
      <c r="SV372" s="132"/>
      <c r="SW372" s="132"/>
      <c r="SX372" s="132"/>
      <c r="SY372" s="132"/>
      <c r="SZ372" s="132"/>
      <c r="TA372" s="132"/>
      <c r="TB372" s="132"/>
      <c r="TC372" s="132"/>
      <c r="TD372" s="132"/>
      <c r="TE372" s="132"/>
      <c r="TF372" s="132"/>
      <c r="TG372" s="132"/>
      <c r="TH372" s="132"/>
      <c r="TI372" s="132"/>
      <c r="TJ372" s="132"/>
      <c r="TK372" s="132"/>
      <c r="TL372" s="132"/>
      <c r="TM372" s="132"/>
      <c r="TN372" s="132"/>
      <c r="TO372" s="132"/>
      <c r="TP372" s="132"/>
      <c r="TQ372" s="132"/>
      <c r="TR372" s="132"/>
      <c r="TS372" s="132"/>
      <c r="TT372" s="132"/>
      <c r="TU372" s="132"/>
      <c r="TV372" s="132"/>
      <c r="TW372" s="132"/>
      <c r="TX372" s="132"/>
      <c r="TY372" s="132"/>
      <c r="TZ372" s="132"/>
      <c r="UA372" s="132"/>
      <c r="UB372" s="132"/>
      <c r="UC372" s="132"/>
      <c r="UD372" s="132"/>
      <c r="UE372" s="132"/>
      <c r="UF372" s="132"/>
      <c r="UG372" s="132"/>
      <c r="UH372" s="132"/>
      <c r="UI372" s="132"/>
      <c r="UJ372" s="132"/>
      <c r="UK372" s="132"/>
      <c r="UL372" s="132"/>
      <c r="UM372" s="132"/>
      <c r="UN372" s="132"/>
      <c r="UO372" s="132"/>
      <c r="UP372" s="132"/>
      <c r="UQ372" s="132"/>
      <c r="UR372" s="132"/>
      <c r="US372" s="132"/>
      <c r="UT372" s="132"/>
      <c r="UU372" s="132"/>
      <c r="UV372" s="132"/>
      <c r="UW372" s="132"/>
      <c r="UX372" s="132"/>
      <c r="UY372" s="132"/>
      <c r="UZ372" s="132"/>
      <c r="VA372" s="132"/>
      <c r="VB372" s="132"/>
      <c r="VC372" s="132"/>
      <c r="VD372" s="132"/>
      <c r="VE372" s="132"/>
      <c r="VF372" s="132"/>
      <c r="VG372" s="132"/>
      <c r="VH372" s="132"/>
      <c r="VI372" s="132"/>
      <c r="VJ372" s="132"/>
      <c r="VK372" s="132"/>
      <c r="VL372" s="132"/>
      <c r="VM372" s="132"/>
      <c r="VN372" s="132"/>
      <c r="VO372" s="132"/>
      <c r="VP372" s="132"/>
      <c r="VQ372" s="132"/>
      <c r="VR372" s="132"/>
      <c r="VS372" s="132"/>
      <c r="VT372" s="132"/>
      <c r="VU372" s="132"/>
      <c r="VV372" s="132"/>
      <c r="VW372" s="132"/>
      <c r="VX372" s="132"/>
      <c r="VY372" s="132"/>
      <c r="VZ372" s="132"/>
      <c r="WA372" s="132"/>
      <c r="WB372" s="132"/>
      <c r="WC372" s="132"/>
      <c r="WD372" s="132"/>
      <c r="WE372" s="132"/>
      <c r="WF372" s="132"/>
      <c r="WG372" s="132"/>
      <c r="WH372" s="132"/>
      <c r="WI372" s="132"/>
      <c r="WJ372" s="132"/>
      <c r="WK372" s="132"/>
      <c r="WL372" s="132"/>
      <c r="WM372" s="132"/>
      <c r="WN372" s="132"/>
      <c r="WO372" s="132"/>
      <c r="WP372" s="132"/>
      <c r="WQ372" s="132"/>
      <c r="WR372" s="132"/>
      <c r="WS372" s="132"/>
      <c r="WT372" s="132"/>
      <c r="WU372" s="132"/>
      <c r="WV372" s="132"/>
      <c r="WW372" s="132"/>
      <c r="WX372" s="132"/>
      <c r="WY372" s="132"/>
      <c r="WZ372" s="132"/>
      <c r="XA372" s="132"/>
      <c r="XB372" s="132"/>
      <c r="XC372" s="132"/>
      <c r="XD372" s="132"/>
      <c r="XE372" s="132"/>
      <c r="XF372" s="132"/>
      <c r="XG372" s="132"/>
      <c r="XH372" s="132"/>
      <c r="XI372" s="132"/>
      <c r="XJ372" s="132"/>
      <c r="XK372" s="132"/>
      <c r="XL372" s="132"/>
      <c r="XM372" s="132"/>
      <c r="XN372" s="132"/>
      <c r="XO372" s="132"/>
      <c r="XP372" s="132"/>
      <c r="XQ372" s="132"/>
      <c r="XR372" s="132"/>
      <c r="XS372" s="132"/>
      <c r="XT372" s="132"/>
      <c r="XU372" s="132"/>
      <c r="XV372" s="132"/>
      <c r="XW372" s="132"/>
      <c r="XX372" s="132"/>
      <c r="XY372" s="132"/>
      <c r="XZ372" s="132"/>
      <c r="YA372" s="132"/>
      <c r="YB372" s="132"/>
      <c r="YC372" s="132"/>
      <c r="YD372" s="132"/>
      <c r="YE372" s="132"/>
      <c r="YF372" s="132"/>
      <c r="YG372" s="132"/>
      <c r="YH372" s="132"/>
      <c r="YI372" s="132"/>
      <c r="YJ372" s="132"/>
      <c r="YK372" s="132"/>
      <c r="YL372" s="132"/>
      <c r="YM372" s="132"/>
      <c r="YN372" s="132"/>
      <c r="YO372" s="132"/>
      <c r="YP372" s="132"/>
      <c r="YQ372" s="132"/>
      <c r="YR372" s="132"/>
      <c r="YS372" s="132"/>
      <c r="YT372" s="132"/>
      <c r="YU372" s="132"/>
      <c r="YV372" s="132"/>
      <c r="YW372" s="132"/>
      <c r="YX372" s="132"/>
      <c r="YY372" s="132"/>
      <c r="YZ372" s="132"/>
      <c r="ZA372" s="132"/>
      <c r="ZB372" s="132"/>
      <c r="ZC372" s="132"/>
      <c r="ZD372" s="132"/>
      <c r="ZE372" s="132"/>
      <c r="ZF372" s="132"/>
      <c r="ZG372" s="132"/>
      <c r="ZH372" s="132"/>
      <c r="ZI372" s="132"/>
      <c r="ZJ372" s="132"/>
      <c r="ZK372" s="132"/>
      <c r="ZL372" s="132"/>
      <c r="ZM372" s="132"/>
      <c r="ZN372" s="132"/>
      <c r="ZO372" s="132"/>
      <c r="ZP372" s="132"/>
      <c r="ZQ372" s="132"/>
      <c r="ZR372" s="132"/>
      <c r="ZS372" s="132"/>
      <c r="ZT372" s="132"/>
      <c r="ZU372" s="132"/>
      <c r="ZV372" s="132"/>
      <c r="ZW372" s="132"/>
      <c r="ZX372" s="132"/>
      <c r="ZY372" s="132"/>
      <c r="ZZ372" s="132"/>
      <c r="AAA372" s="132"/>
      <c r="AAB372" s="132"/>
      <c r="AAC372" s="132"/>
      <c r="AAD372" s="132"/>
      <c r="AAE372" s="132"/>
      <c r="AAF372" s="132"/>
      <c r="AAG372" s="132"/>
      <c r="AAH372" s="132"/>
      <c r="AAI372" s="132"/>
      <c r="AAJ372" s="132"/>
      <c r="AAK372" s="132"/>
      <c r="AAL372" s="132"/>
      <c r="AAM372" s="132"/>
      <c r="AAN372" s="132"/>
      <c r="AAO372" s="132"/>
      <c r="AAP372" s="132"/>
      <c r="AAQ372" s="132"/>
      <c r="AAR372" s="132"/>
      <c r="AAS372" s="132"/>
      <c r="AAT372" s="132"/>
      <c r="AAU372" s="132"/>
      <c r="AAV372" s="132"/>
      <c r="AAW372" s="132"/>
      <c r="AAX372" s="132"/>
      <c r="AAY372" s="132"/>
      <c r="AAZ372" s="132"/>
      <c r="ABA372" s="132"/>
      <c r="ABB372" s="132"/>
      <c r="ABC372" s="132"/>
      <c r="ABD372" s="132"/>
      <c r="ABE372" s="132"/>
      <c r="ABF372" s="132"/>
      <c r="ABG372" s="132"/>
      <c r="ABH372" s="132"/>
      <c r="ABI372" s="132"/>
      <c r="ABJ372" s="132"/>
      <c r="ABK372" s="132"/>
      <c r="ABL372" s="132"/>
      <c r="ABM372" s="132"/>
      <c r="ABN372" s="132"/>
      <c r="ABO372" s="132"/>
      <c r="ABP372" s="132"/>
      <c r="ABQ372" s="132"/>
      <c r="ABR372" s="132"/>
      <c r="ABS372" s="132"/>
      <c r="ABT372" s="132"/>
      <c r="ABU372" s="132"/>
      <c r="ABV372" s="132"/>
      <c r="ABW372" s="132"/>
      <c r="ABX372" s="132"/>
      <c r="ABY372" s="132"/>
      <c r="ABZ372" s="132"/>
      <c r="ACA372" s="132"/>
      <c r="ACB372" s="132"/>
      <c r="ACC372" s="132"/>
      <c r="ACD372" s="132"/>
      <c r="ACE372" s="132"/>
      <c r="ACF372" s="132"/>
      <c r="ACG372" s="132"/>
      <c r="ACH372" s="132"/>
      <c r="ACI372" s="132"/>
      <c r="ACJ372" s="132"/>
      <c r="ACK372" s="132"/>
      <c r="ACL372" s="132"/>
      <c r="ACM372" s="132"/>
      <c r="ACN372" s="132"/>
      <c r="ACO372" s="132"/>
      <c r="ACP372" s="132"/>
      <c r="ACQ372" s="132"/>
      <c r="ACR372" s="132"/>
      <c r="ACS372" s="132"/>
      <c r="ACT372" s="132"/>
      <c r="ACU372" s="132"/>
      <c r="ACV372" s="132"/>
      <c r="ACW372" s="132"/>
      <c r="ACX372" s="132"/>
      <c r="ACY372" s="132"/>
      <c r="ACZ372" s="132"/>
      <c r="ADA372" s="132"/>
      <c r="ADB372" s="132"/>
      <c r="ADC372" s="132"/>
      <c r="ADD372" s="132"/>
      <c r="ADE372" s="132"/>
      <c r="ADF372" s="132"/>
      <c r="ADG372" s="132"/>
      <c r="ADH372" s="132"/>
      <c r="ADI372" s="132"/>
      <c r="ADJ372" s="132"/>
      <c r="ADK372" s="132"/>
      <c r="ADL372" s="132"/>
      <c r="ADM372" s="132"/>
      <c r="ADN372" s="132"/>
      <c r="ADO372" s="132"/>
      <c r="ADP372" s="132"/>
      <c r="ADQ372" s="132"/>
      <c r="ADR372" s="132"/>
      <c r="ADS372" s="132"/>
      <c r="ADT372" s="132"/>
      <c r="ADU372" s="132"/>
      <c r="ADV372" s="132"/>
      <c r="ADW372" s="132"/>
      <c r="ADX372" s="132"/>
      <c r="ADY372" s="132"/>
      <c r="ADZ372" s="132"/>
      <c r="AEA372" s="132"/>
      <c r="AEB372" s="132"/>
      <c r="AEC372" s="132"/>
      <c r="AED372" s="132"/>
      <c r="AEE372" s="132"/>
      <c r="AEF372" s="132"/>
      <c r="AEG372" s="132"/>
      <c r="AEH372" s="132"/>
      <c r="AEI372" s="132"/>
      <c r="AEJ372" s="132"/>
      <c r="AEK372" s="132"/>
      <c r="AEL372" s="132"/>
      <c r="AEM372" s="132"/>
      <c r="AEN372" s="132"/>
      <c r="AEO372" s="132"/>
      <c r="AEP372" s="132"/>
      <c r="AEQ372" s="132"/>
      <c r="AER372" s="132"/>
      <c r="AES372" s="132"/>
      <c r="AET372" s="132"/>
      <c r="AEU372" s="132"/>
      <c r="AEV372" s="132"/>
      <c r="AEW372" s="132"/>
      <c r="AEX372" s="132"/>
      <c r="AEY372" s="132"/>
      <c r="AEZ372" s="132"/>
      <c r="AFA372" s="132"/>
      <c r="AFB372" s="132"/>
      <c r="AFC372" s="132"/>
      <c r="AFD372" s="132"/>
      <c r="AFE372" s="132"/>
      <c r="AFF372" s="132"/>
      <c r="AFG372" s="132"/>
      <c r="AFH372" s="132"/>
      <c r="AFI372" s="132"/>
      <c r="AFJ372" s="132"/>
      <c r="AFK372" s="132"/>
      <c r="AFL372" s="132"/>
      <c r="AFM372" s="132"/>
      <c r="AFN372" s="132"/>
      <c r="AFO372" s="132"/>
      <c r="AFP372" s="132"/>
      <c r="AFQ372" s="132"/>
      <c r="AFR372" s="132"/>
      <c r="AFS372" s="132"/>
      <c r="AFT372" s="132"/>
      <c r="AFU372" s="132"/>
      <c r="AFV372" s="132"/>
      <c r="AFW372" s="132"/>
      <c r="AFX372" s="132"/>
      <c r="AFY372" s="132"/>
      <c r="AFZ372" s="132"/>
      <c r="AGA372" s="132"/>
      <c r="AGB372" s="132"/>
      <c r="AGC372" s="132"/>
      <c r="AGD372" s="132"/>
      <c r="AGE372" s="132"/>
      <c r="AGF372" s="132"/>
      <c r="AGG372" s="132"/>
      <c r="AGH372" s="132"/>
      <c r="AGI372" s="132"/>
      <c r="AGJ372" s="132"/>
      <c r="AGK372" s="132"/>
      <c r="AGL372" s="132"/>
      <c r="AGM372" s="132"/>
      <c r="AGN372" s="132"/>
      <c r="AGO372" s="132"/>
      <c r="AGP372" s="132"/>
      <c r="AGQ372" s="132"/>
      <c r="AGR372" s="132"/>
      <c r="AGS372" s="132"/>
      <c r="AGT372" s="132"/>
      <c r="AGU372" s="132"/>
      <c r="AGV372" s="132"/>
      <c r="AGW372" s="132"/>
      <c r="AGX372" s="132"/>
      <c r="AGY372" s="132"/>
      <c r="AGZ372" s="132"/>
      <c r="AHA372" s="132"/>
      <c r="AHB372" s="132"/>
      <c r="AHC372" s="132"/>
      <c r="AHD372" s="132"/>
      <c r="AHE372" s="132"/>
      <c r="AHF372" s="132"/>
      <c r="AHG372" s="132"/>
      <c r="AHH372" s="132"/>
      <c r="AHI372" s="132"/>
      <c r="AHJ372" s="132"/>
      <c r="AHK372" s="132"/>
      <c r="AHL372" s="132"/>
      <c r="AHM372" s="132"/>
      <c r="AHN372" s="132"/>
      <c r="AHO372" s="132"/>
      <c r="AHP372" s="132"/>
      <c r="AHQ372" s="132"/>
      <c r="AHR372" s="132"/>
      <c r="AHS372" s="132"/>
      <c r="AHT372" s="132"/>
      <c r="AHU372" s="132"/>
      <c r="AHV372" s="132"/>
      <c r="AHW372" s="132"/>
      <c r="AHX372" s="132"/>
      <c r="AHY372" s="132"/>
      <c r="AHZ372" s="132"/>
      <c r="AIA372" s="132"/>
      <c r="AIB372" s="132"/>
      <c r="AIC372" s="132"/>
      <c r="AID372" s="132"/>
      <c r="AIE372" s="132"/>
      <c r="AIF372" s="132"/>
      <c r="AIG372" s="132"/>
      <c r="AIH372" s="132"/>
      <c r="AII372" s="132"/>
      <c r="AIJ372" s="132"/>
      <c r="AIK372" s="132"/>
      <c r="AIL372" s="132"/>
      <c r="AIM372" s="132"/>
      <c r="AIN372" s="132"/>
      <c r="AIO372" s="132"/>
      <c r="AIP372" s="132"/>
      <c r="AIQ372" s="132"/>
      <c r="AIR372" s="132"/>
      <c r="AIS372" s="132"/>
      <c r="AIT372" s="132"/>
      <c r="AIU372" s="132"/>
      <c r="AIV372" s="132"/>
      <c r="AIW372" s="132"/>
      <c r="AIX372" s="132"/>
      <c r="AIY372" s="132"/>
      <c r="AIZ372" s="132"/>
      <c r="AJA372" s="132"/>
      <c r="AJB372" s="132"/>
      <c r="AJC372" s="132"/>
      <c r="AJD372" s="132"/>
      <c r="AJE372" s="132"/>
      <c r="AJF372" s="132"/>
      <c r="AJG372" s="132"/>
      <c r="AJH372" s="132"/>
      <c r="AJI372" s="132"/>
      <c r="AJJ372" s="132"/>
      <c r="AJK372" s="132"/>
      <c r="AJL372" s="132"/>
      <c r="AJM372" s="132"/>
      <c r="AJN372" s="132"/>
      <c r="AJO372" s="132"/>
      <c r="AJP372" s="132"/>
      <c r="AJQ372" s="132"/>
      <c r="AJR372" s="132"/>
      <c r="AJS372" s="132"/>
      <c r="AJT372" s="132"/>
      <c r="AJU372" s="132"/>
      <c r="AJV372" s="132"/>
      <c r="AJW372" s="132"/>
      <c r="AJX372" s="132"/>
      <c r="AJY372" s="132"/>
      <c r="AJZ372" s="132"/>
      <c r="AKA372" s="132"/>
      <c r="AKB372" s="132"/>
      <c r="AKC372" s="132"/>
      <c r="AKD372" s="132"/>
      <c r="AKE372" s="132"/>
      <c r="AKF372" s="132"/>
      <c r="AKG372" s="132"/>
      <c r="AKH372" s="132"/>
      <c r="AKI372" s="132"/>
      <c r="AKJ372" s="132"/>
      <c r="AKK372" s="132"/>
      <c r="AKL372" s="132"/>
      <c r="AKM372" s="132"/>
      <c r="AKN372" s="132"/>
      <c r="AKO372" s="132"/>
      <c r="AKP372" s="132"/>
      <c r="AKQ372" s="132"/>
      <c r="AKR372" s="132"/>
      <c r="AKS372" s="132"/>
      <c r="AKT372" s="132"/>
      <c r="AKU372" s="132"/>
      <c r="AKV372" s="132"/>
      <c r="AKW372" s="132"/>
      <c r="AKX372" s="132"/>
      <c r="AKY372" s="132"/>
      <c r="AKZ372" s="132"/>
      <c r="ALA372" s="132"/>
      <c r="ALB372" s="132"/>
      <c r="ALC372" s="132"/>
      <c r="ALD372" s="132"/>
      <c r="ALE372" s="132"/>
      <c r="ALF372" s="132"/>
      <c r="ALG372" s="132"/>
      <c r="ALH372" s="132"/>
      <c r="ALI372" s="132"/>
      <c r="ALJ372" s="132"/>
      <c r="ALK372" s="132"/>
      <c r="ALL372" s="132"/>
      <c r="ALM372" s="132"/>
      <c r="ALN372" s="132"/>
      <c r="ALO372" s="132"/>
      <c r="ALP372" s="132"/>
      <c r="ALQ372" s="132"/>
      <c r="ALR372" s="132"/>
      <c r="ALS372" s="132"/>
      <c r="ALT372" s="132"/>
      <c r="ALU372" s="132"/>
      <c r="ALV372" s="132"/>
      <c r="ALW372" s="132"/>
      <c r="ALX372" s="132"/>
      <c r="ALY372" s="132"/>
      <c r="ALZ372" s="132"/>
      <c r="AMA372" s="132"/>
      <c r="AMB372" s="132"/>
      <c r="AMC372" s="132"/>
      <c r="AMD372" s="132"/>
      <c r="AME372" s="132"/>
      <c r="AMF372" s="132"/>
      <c r="AMG372" s="132"/>
      <c r="AMH372" s="132"/>
      <c r="AMI372" s="132"/>
      <c r="AMJ372" s="132"/>
      <c r="AMK372" s="132"/>
      <c r="AML372" s="132"/>
      <c r="AMM372" s="132"/>
      <c r="AMN372" s="132"/>
      <c r="AMO372" s="132"/>
      <c r="AMP372" s="132"/>
      <c r="AMQ372" s="132"/>
      <c r="AMR372" s="132"/>
      <c r="AMS372" s="132"/>
      <c r="AMT372" s="132"/>
      <c r="AMU372" s="132"/>
      <c r="AMV372" s="132"/>
      <c r="AMW372" s="132"/>
      <c r="AMX372" s="132"/>
      <c r="AMY372" s="132"/>
      <c r="AMZ372" s="132"/>
      <c r="ANA372" s="132"/>
      <c r="ANB372" s="132"/>
      <c r="ANC372" s="132"/>
      <c r="AND372" s="132"/>
      <c r="ANE372" s="132"/>
      <c r="ANF372" s="132"/>
      <c r="ANG372" s="132"/>
      <c r="ANH372" s="132"/>
      <c r="ANI372" s="132"/>
      <c r="ANJ372" s="132"/>
      <c r="ANK372" s="132"/>
      <c r="ANL372" s="132"/>
      <c r="ANM372" s="132"/>
      <c r="ANN372" s="132"/>
      <c r="ANO372" s="132"/>
      <c r="ANP372" s="132"/>
      <c r="ANQ372" s="132"/>
      <c r="ANR372" s="132"/>
      <c r="ANS372" s="132"/>
      <c r="ANT372" s="132"/>
      <c r="ANU372" s="132"/>
      <c r="ANV372" s="132"/>
      <c r="ANW372" s="132"/>
      <c r="ANX372" s="132"/>
      <c r="ANY372" s="132"/>
      <c r="ANZ372" s="132"/>
      <c r="AOA372" s="132"/>
      <c r="AOB372" s="132"/>
      <c r="AOC372" s="132"/>
      <c r="AOD372" s="132"/>
      <c r="AOE372" s="132"/>
      <c r="AOF372" s="132"/>
      <c r="AOG372" s="132"/>
      <c r="AOH372" s="132"/>
      <c r="AOI372" s="132"/>
      <c r="AOJ372" s="132"/>
      <c r="AOK372" s="132"/>
      <c r="AOL372" s="132"/>
      <c r="AOM372" s="132"/>
      <c r="AON372" s="132"/>
      <c r="AOO372" s="132"/>
      <c r="AOP372" s="132"/>
      <c r="AOQ372" s="132"/>
      <c r="AOR372" s="132"/>
      <c r="AOS372" s="132"/>
      <c r="AOT372" s="132"/>
      <c r="AOU372" s="132"/>
      <c r="AOV372" s="132"/>
      <c r="AOW372" s="132"/>
      <c r="AOX372" s="132"/>
      <c r="AOY372" s="132"/>
      <c r="AOZ372" s="132"/>
      <c r="APA372" s="132"/>
      <c r="APB372" s="132"/>
      <c r="APC372" s="132"/>
      <c r="APD372" s="132"/>
      <c r="APE372" s="132"/>
      <c r="APF372" s="132"/>
      <c r="APG372" s="132"/>
      <c r="APH372" s="132"/>
      <c r="API372" s="132"/>
      <c r="APJ372" s="132"/>
      <c r="APK372" s="132"/>
      <c r="APL372" s="132"/>
      <c r="APM372" s="132"/>
      <c r="APN372" s="132"/>
      <c r="APO372" s="132"/>
      <c r="APP372" s="132"/>
      <c r="APQ372" s="132"/>
      <c r="APR372" s="132"/>
      <c r="APS372" s="132"/>
      <c r="APT372" s="132"/>
      <c r="APU372" s="132"/>
      <c r="APV372" s="132"/>
      <c r="APW372" s="132"/>
      <c r="APX372" s="132"/>
      <c r="APY372" s="132"/>
      <c r="APZ372" s="132"/>
      <c r="AQA372" s="132"/>
      <c r="AQB372" s="132"/>
      <c r="AQC372" s="132"/>
      <c r="AQD372" s="132"/>
      <c r="AQE372" s="132"/>
      <c r="AQF372" s="132"/>
      <c r="AQG372" s="132"/>
      <c r="AQH372" s="132"/>
      <c r="AQI372" s="132"/>
      <c r="AQJ372" s="132"/>
      <c r="AQK372" s="132"/>
      <c r="AQL372" s="132"/>
      <c r="AQM372" s="132"/>
      <c r="AQN372" s="132"/>
      <c r="AQO372" s="132"/>
      <c r="AQP372" s="132"/>
      <c r="AQQ372" s="132"/>
      <c r="AQR372" s="132"/>
      <c r="AQS372" s="132"/>
      <c r="AQT372" s="132"/>
      <c r="AQU372" s="132"/>
      <c r="AQV372" s="132"/>
      <c r="AQW372" s="132"/>
      <c r="AQX372" s="132"/>
      <c r="AQY372" s="132"/>
      <c r="AQZ372" s="132"/>
      <c r="ARA372" s="132"/>
      <c r="ARB372" s="132"/>
      <c r="ARC372" s="132"/>
      <c r="ARD372" s="132"/>
      <c r="ARE372" s="132"/>
      <c r="ARF372" s="132"/>
      <c r="ARG372" s="132"/>
      <c r="ARH372" s="132"/>
      <c r="ARI372" s="132"/>
      <c r="ARJ372" s="132"/>
      <c r="ARK372" s="132"/>
      <c r="ARL372" s="132"/>
      <c r="ARM372" s="132"/>
      <c r="ARN372" s="132"/>
      <c r="ARO372" s="132"/>
      <c r="ARP372" s="132"/>
      <c r="ARQ372" s="132"/>
      <c r="ARR372" s="132"/>
      <c r="ARS372" s="132"/>
      <c r="ART372" s="132"/>
      <c r="ARU372" s="132"/>
      <c r="ARV372" s="132"/>
      <c r="ARW372" s="132"/>
      <c r="ARX372" s="132"/>
      <c r="ARY372" s="132"/>
      <c r="ARZ372" s="132"/>
      <c r="ASA372" s="132"/>
      <c r="ASB372" s="132"/>
      <c r="ASC372" s="132"/>
      <c r="ASD372" s="132"/>
      <c r="ASE372" s="132"/>
      <c r="ASF372" s="132"/>
      <c r="ASG372" s="132"/>
      <c r="ASH372" s="132"/>
      <c r="ASI372" s="132"/>
      <c r="ASJ372" s="132"/>
      <c r="ASK372" s="132"/>
      <c r="ASL372" s="132"/>
      <c r="ASM372" s="132"/>
      <c r="ASN372" s="132"/>
      <c r="ASO372" s="132"/>
      <c r="ASP372" s="132"/>
      <c r="ASQ372" s="132"/>
      <c r="ASR372" s="132"/>
      <c r="ASS372" s="132"/>
      <c r="AST372" s="132"/>
      <c r="ASU372" s="132"/>
      <c r="ASV372" s="132"/>
      <c r="ASW372" s="132"/>
      <c r="ASX372" s="132"/>
      <c r="ASY372" s="132"/>
      <c r="ASZ372" s="132"/>
      <c r="ATA372" s="132"/>
      <c r="ATB372" s="132"/>
      <c r="ATC372" s="132"/>
      <c r="ATD372" s="132"/>
      <c r="ATE372" s="132"/>
      <c r="ATF372" s="132"/>
      <c r="ATG372" s="132"/>
      <c r="ATH372" s="132"/>
      <c r="ATI372" s="132"/>
      <c r="ATJ372" s="132"/>
      <c r="ATK372" s="132"/>
      <c r="ATL372" s="132"/>
      <c r="ATM372" s="132"/>
      <c r="ATN372" s="132"/>
      <c r="ATO372" s="132"/>
      <c r="ATP372" s="132"/>
      <c r="ATQ372" s="132"/>
      <c r="ATR372" s="132"/>
      <c r="ATS372" s="132"/>
      <c r="ATT372" s="132"/>
      <c r="ATU372" s="132"/>
      <c r="ATV372" s="132"/>
      <c r="ATW372" s="132"/>
      <c r="ATX372" s="132"/>
      <c r="ATY372" s="132"/>
      <c r="ATZ372" s="132"/>
      <c r="AUA372" s="132"/>
      <c r="AUB372" s="132"/>
      <c r="AUC372" s="132"/>
      <c r="AUD372" s="132"/>
      <c r="AUE372" s="132"/>
      <c r="AUF372" s="132"/>
      <c r="AUG372" s="132"/>
      <c r="AUH372" s="132"/>
      <c r="AUI372" s="132"/>
      <c r="AUJ372" s="132"/>
      <c r="AUK372" s="132"/>
      <c r="AUL372" s="132"/>
      <c r="AUM372" s="132"/>
      <c r="AUN372" s="132"/>
      <c r="AUO372" s="132"/>
      <c r="AUP372" s="132"/>
      <c r="AUQ372" s="132"/>
      <c r="AUR372" s="132"/>
      <c r="AUS372" s="132"/>
      <c r="AUT372" s="132"/>
      <c r="AUU372" s="132"/>
      <c r="AUV372" s="132"/>
      <c r="AUW372" s="132"/>
      <c r="AUX372" s="132"/>
      <c r="AUY372" s="132"/>
      <c r="AUZ372" s="132"/>
      <c r="AVA372" s="132"/>
      <c r="AVB372" s="132"/>
      <c r="AVC372" s="132"/>
      <c r="AVD372" s="132"/>
      <c r="AVE372" s="132"/>
      <c r="AVF372" s="132"/>
      <c r="AVG372" s="132"/>
      <c r="AVH372" s="132"/>
      <c r="AVI372" s="132"/>
      <c r="AVJ372" s="132"/>
      <c r="AVK372" s="132"/>
      <c r="AVL372" s="132"/>
      <c r="AVM372" s="132"/>
      <c r="AVN372" s="132"/>
      <c r="AVO372" s="132"/>
      <c r="AVP372" s="132"/>
      <c r="AVQ372" s="132"/>
      <c r="AVR372" s="132"/>
      <c r="AVS372" s="132"/>
      <c r="AVT372" s="132"/>
      <c r="AVU372" s="132"/>
      <c r="AVV372" s="132"/>
      <c r="AVW372" s="132"/>
      <c r="AVX372" s="132"/>
      <c r="AVY372" s="132"/>
      <c r="AVZ372" s="132"/>
      <c r="AWA372" s="132"/>
      <c r="AWB372" s="132"/>
      <c r="AWC372" s="132"/>
      <c r="AWD372" s="132"/>
      <c r="AWE372" s="132"/>
      <c r="AWF372" s="132"/>
      <c r="AWG372" s="132"/>
      <c r="AWH372" s="132"/>
      <c r="AWI372" s="132"/>
      <c r="AWJ372" s="132"/>
      <c r="AWK372" s="132"/>
      <c r="AWL372" s="132"/>
      <c r="AWM372" s="132"/>
      <c r="AWN372" s="132"/>
      <c r="AWO372" s="132"/>
      <c r="AWP372" s="132"/>
      <c r="AWQ372" s="132"/>
      <c r="AWR372" s="132"/>
      <c r="AWS372" s="132"/>
      <c r="AWT372" s="132"/>
      <c r="AWU372" s="132"/>
      <c r="AWV372" s="132"/>
      <c r="AWW372" s="132"/>
      <c r="AWX372" s="132"/>
      <c r="AWY372" s="132"/>
      <c r="AWZ372" s="132"/>
      <c r="AXA372" s="132"/>
      <c r="AXB372" s="132"/>
      <c r="AXC372" s="132"/>
      <c r="AXD372" s="132"/>
      <c r="AXE372" s="132"/>
      <c r="AXF372" s="132"/>
      <c r="AXG372" s="132"/>
      <c r="AXH372" s="132"/>
      <c r="AXI372" s="132"/>
      <c r="AXJ372" s="132"/>
      <c r="AXK372" s="132"/>
      <c r="AXL372" s="132"/>
      <c r="AXM372" s="132"/>
      <c r="AXN372" s="132"/>
      <c r="AXO372" s="132"/>
      <c r="AXP372" s="132"/>
      <c r="AXQ372" s="132"/>
      <c r="AXR372" s="132"/>
      <c r="AXS372" s="132"/>
      <c r="AXT372" s="132"/>
      <c r="AXU372" s="132"/>
      <c r="AXV372" s="132"/>
      <c r="AXW372" s="132"/>
      <c r="AXX372" s="132"/>
      <c r="AXY372" s="132"/>
      <c r="AXZ372" s="132"/>
      <c r="AYA372" s="132"/>
      <c r="AYB372" s="132"/>
      <c r="AYC372" s="132"/>
      <c r="AYD372" s="132"/>
      <c r="AYE372" s="132"/>
      <c r="AYF372" s="132"/>
      <c r="AYG372" s="132"/>
      <c r="AYH372" s="132"/>
      <c r="AYI372" s="132"/>
      <c r="AYJ372" s="132"/>
      <c r="AYK372" s="132"/>
      <c r="AYL372" s="132"/>
      <c r="AYM372" s="132"/>
      <c r="AYN372" s="132"/>
      <c r="AYO372" s="132"/>
      <c r="AYP372" s="132"/>
      <c r="AYQ372" s="132"/>
      <c r="AYR372" s="132"/>
      <c r="AYS372" s="132"/>
      <c r="AYT372" s="132"/>
      <c r="AYU372" s="132"/>
      <c r="AYV372" s="132"/>
      <c r="AYW372" s="132"/>
      <c r="AYX372" s="132"/>
      <c r="AYY372" s="132"/>
      <c r="AYZ372" s="132"/>
      <c r="AZA372" s="132"/>
      <c r="AZB372" s="132"/>
      <c r="AZC372" s="132"/>
      <c r="AZD372" s="132"/>
      <c r="AZE372" s="132"/>
      <c r="AZF372" s="132"/>
      <c r="AZG372" s="132"/>
      <c r="AZH372" s="132"/>
      <c r="AZI372" s="132"/>
      <c r="AZJ372" s="132"/>
      <c r="AZK372" s="132"/>
      <c r="AZL372" s="132"/>
      <c r="AZM372" s="132"/>
      <c r="AZN372" s="132"/>
      <c r="AZO372" s="132"/>
      <c r="AZP372" s="132"/>
      <c r="AZQ372" s="132"/>
      <c r="AZR372" s="132"/>
      <c r="AZS372" s="132"/>
      <c r="AZT372" s="132"/>
      <c r="AZU372" s="132"/>
      <c r="AZV372" s="132"/>
      <c r="AZW372" s="132"/>
      <c r="AZX372" s="132"/>
      <c r="AZY372" s="132"/>
      <c r="AZZ372" s="132"/>
      <c r="BAA372" s="132"/>
      <c r="BAB372" s="132"/>
      <c r="BAC372" s="132"/>
      <c r="BAD372" s="132"/>
      <c r="BAE372" s="132"/>
      <c r="BAF372" s="132"/>
      <c r="BAG372" s="132"/>
      <c r="BAH372" s="132"/>
      <c r="BAI372" s="132"/>
      <c r="BAJ372" s="132"/>
      <c r="BAK372" s="132"/>
      <c r="BAL372" s="132"/>
      <c r="BAM372" s="132"/>
      <c r="BAN372" s="132"/>
      <c r="BAO372" s="132"/>
      <c r="BAP372" s="132"/>
      <c r="BAQ372" s="132"/>
      <c r="BAR372" s="132"/>
      <c r="BAS372" s="132"/>
      <c r="BAT372" s="132"/>
      <c r="BAU372" s="132"/>
      <c r="BAV372" s="132"/>
      <c r="BAW372" s="132"/>
      <c r="BAX372" s="132"/>
      <c r="BAY372" s="132"/>
      <c r="BAZ372" s="132"/>
      <c r="BBA372" s="132"/>
      <c r="BBB372" s="132"/>
      <c r="BBC372" s="132"/>
      <c r="BBD372" s="132"/>
      <c r="BBE372" s="132"/>
      <c r="BBF372" s="132"/>
      <c r="BBG372" s="132"/>
      <c r="BBH372" s="132"/>
      <c r="BBI372" s="132"/>
      <c r="BBJ372" s="132"/>
      <c r="BBK372" s="132"/>
      <c r="BBL372" s="132"/>
      <c r="BBM372" s="132"/>
      <c r="BBN372" s="132"/>
      <c r="BBO372" s="132"/>
      <c r="BBP372" s="132"/>
      <c r="BBQ372" s="132"/>
      <c r="BBR372" s="132"/>
      <c r="BBS372" s="132"/>
      <c r="BBT372" s="132"/>
      <c r="BBU372" s="132"/>
      <c r="BBV372" s="132"/>
      <c r="BBW372" s="132"/>
      <c r="BBX372" s="132"/>
      <c r="BBY372" s="132"/>
      <c r="BBZ372" s="132"/>
      <c r="BCA372" s="132"/>
      <c r="BCB372" s="132"/>
      <c r="BCC372" s="132"/>
      <c r="BCD372" s="132"/>
      <c r="BCE372" s="132"/>
      <c r="BCF372" s="132"/>
      <c r="BCG372" s="132"/>
      <c r="BCH372" s="132"/>
      <c r="BCI372" s="132"/>
      <c r="BCJ372" s="132"/>
      <c r="BCK372" s="132"/>
      <c r="BCL372" s="132"/>
      <c r="BCM372" s="132"/>
      <c r="BCN372" s="132"/>
      <c r="BCO372" s="132"/>
      <c r="BCP372" s="132"/>
      <c r="BCQ372" s="132"/>
      <c r="BCR372" s="132"/>
      <c r="BCS372" s="132"/>
      <c r="BCT372" s="132"/>
      <c r="BCU372" s="132"/>
      <c r="BCV372" s="132"/>
      <c r="BCW372" s="132"/>
      <c r="BCX372" s="132"/>
      <c r="BCY372" s="132"/>
      <c r="BCZ372" s="132"/>
      <c r="BDA372" s="132"/>
      <c r="BDB372" s="132"/>
      <c r="BDC372" s="132"/>
      <c r="BDD372" s="132"/>
      <c r="BDE372" s="132"/>
      <c r="BDF372" s="132"/>
      <c r="BDG372" s="132"/>
      <c r="BDH372" s="132"/>
      <c r="BDI372" s="132"/>
      <c r="BDJ372" s="132"/>
      <c r="BDK372" s="132"/>
      <c r="BDL372" s="132"/>
      <c r="BDM372" s="132"/>
      <c r="BDN372" s="132"/>
      <c r="BDO372" s="132"/>
      <c r="BDP372" s="132"/>
      <c r="BDQ372" s="132"/>
      <c r="BDR372" s="132"/>
      <c r="BDS372" s="132"/>
      <c r="BDT372" s="132"/>
      <c r="BDU372" s="132"/>
      <c r="BDV372" s="132"/>
      <c r="BDW372" s="132"/>
      <c r="BDX372" s="132"/>
      <c r="BDY372" s="132"/>
      <c r="BDZ372" s="132"/>
      <c r="BEA372" s="132"/>
      <c r="BEB372" s="132"/>
      <c r="BEC372" s="132"/>
      <c r="BED372" s="132"/>
      <c r="BEE372" s="132"/>
      <c r="BEF372" s="132"/>
      <c r="BEG372" s="132"/>
      <c r="BEH372" s="132"/>
      <c r="BEI372" s="132"/>
      <c r="BEJ372" s="132"/>
      <c r="BEK372" s="132"/>
      <c r="BEL372" s="132"/>
      <c r="BEM372" s="132"/>
      <c r="BEN372" s="132"/>
      <c r="BEO372" s="132"/>
      <c r="BEP372" s="132"/>
      <c r="BEQ372" s="132"/>
      <c r="BER372" s="132"/>
      <c r="BES372" s="132"/>
      <c r="BET372" s="132"/>
      <c r="BEU372" s="132"/>
      <c r="BEV372" s="132"/>
      <c r="BEW372" s="132"/>
      <c r="BEX372" s="132"/>
      <c r="BEY372" s="132"/>
      <c r="BEZ372" s="132"/>
      <c r="BFA372" s="132"/>
      <c r="BFB372" s="132"/>
      <c r="BFC372" s="132"/>
      <c r="BFD372" s="132"/>
      <c r="BFE372" s="132"/>
      <c r="BFF372" s="132"/>
      <c r="BFG372" s="132"/>
      <c r="BFH372" s="132"/>
      <c r="BFI372" s="132"/>
      <c r="BFJ372" s="132"/>
      <c r="BFK372" s="132"/>
      <c r="BFL372" s="132"/>
      <c r="BFM372" s="132"/>
      <c r="BFN372" s="132"/>
      <c r="BFO372" s="132"/>
      <c r="BFP372" s="132"/>
      <c r="BFQ372" s="132"/>
      <c r="BFR372" s="132"/>
      <c r="BFS372" s="132"/>
      <c r="BFT372" s="132"/>
      <c r="BFU372" s="132"/>
      <c r="BFV372" s="132"/>
      <c r="BFW372" s="132"/>
      <c r="BFX372" s="132"/>
      <c r="BFY372" s="132"/>
      <c r="BFZ372" s="132"/>
      <c r="BGA372" s="132"/>
      <c r="BGB372" s="132"/>
      <c r="BGC372" s="132"/>
      <c r="BGD372" s="132"/>
      <c r="BGE372" s="132"/>
      <c r="BGF372" s="132"/>
      <c r="BGG372" s="132"/>
      <c r="BGH372" s="132"/>
      <c r="BGI372" s="132"/>
      <c r="BGJ372" s="132"/>
      <c r="BGK372" s="132"/>
      <c r="BGL372" s="132"/>
      <c r="BGM372" s="132"/>
      <c r="BGN372" s="132"/>
      <c r="BGO372" s="132"/>
      <c r="BGP372" s="132"/>
      <c r="BGQ372" s="132"/>
      <c r="BGR372" s="132"/>
      <c r="BGS372" s="132"/>
      <c r="BGT372" s="132"/>
      <c r="BGU372" s="132"/>
      <c r="BGV372" s="132"/>
      <c r="BGW372" s="132"/>
      <c r="BGX372" s="132"/>
      <c r="BGY372" s="132"/>
      <c r="BGZ372" s="132"/>
      <c r="BHA372" s="132"/>
      <c r="BHB372" s="132"/>
      <c r="BHC372" s="132"/>
      <c r="BHD372" s="132"/>
      <c r="BHE372" s="132"/>
      <c r="BHF372" s="132"/>
      <c r="BHG372" s="132"/>
      <c r="BHH372" s="132"/>
      <c r="BHI372" s="132"/>
      <c r="BHJ372" s="132"/>
      <c r="BHK372" s="132"/>
      <c r="BHL372" s="132"/>
      <c r="BHM372" s="132"/>
      <c r="BHN372" s="132"/>
      <c r="BHO372" s="132"/>
      <c r="BHP372" s="132"/>
      <c r="BHQ372" s="132"/>
      <c r="BHR372" s="132"/>
      <c r="BHS372" s="132"/>
      <c r="BHT372" s="132"/>
      <c r="BHU372" s="132"/>
      <c r="BHV372" s="132"/>
      <c r="BHW372" s="132"/>
      <c r="BHX372" s="132"/>
      <c r="BHY372" s="132"/>
      <c r="BHZ372" s="132"/>
      <c r="BIA372" s="132"/>
      <c r="BIB372" s="132"/>
      <c r="BIC372" s="132"/>
      <c r="BID372" s="132"/>
      <c r="BIE372" s="132"/>
      <c r="BIF372" s="132"/>
      <c r="BIG372" s="132"/>
      <c r="BIH372" s="132"/>
      <c r="BII372" s="132"/>
      <c r="BIJ372" s="132"/>
      <c r="BIK372" s="132"/>
      <c r="BIL372" s="132"/>
      <c r="BIM372" s="132"/>
      <c r="BIN372" s="132"/>
      <c r="BIO372" s="132"/>
      <c r="BIP372" s="132"/>
      <c r="BIQ372" s="132"/>
      <c r="BIR372" s="132"/>
      <c r="BIS372" s="132"/>
      <c r="BIT372" s="132"/>
      <c r="BIU372" s="132"/>
      <c r="BIV372" s="132"/>
      <c r="BIW372" s="132"/>
      <c r="BIX372" s="132"/>
      <c r="BIY372" s="132"/>
      <c r="BIZ372" s="132"/>
      <c r="BJA372" s="132"/>
      <c r="BJB372" s="132"/>
      <c r="BJC372" s="132"/>
      <c r="BJD372" s="132"/>
      <c r="BJE372" s="132"/>
      <c r="BJF372" s="132"/>
      <c r="BJG372" s="132"/>
      <c r="BJH372" s="132"/>
      <c r="BJI372" s="132"/>
      <c r="BJJ372" s="132"/>
      <c r="BJK372" s="132"/>
      <c r="BJL372" s="132"/>
      <c r="BJM372" s="132"/>
      <c r="BJN372" s="132"/>
      <c r="BJO372" s="132"/>
      <c r="BJP372" s="132"/>
      <c r="BJQ372" s="132"/>
      <c r="BJR372" s="132"/>
      <c r="BJS372" s="132"/>
      <c r="BJT372" s="132"/>
      <c r="BJU372" s="132"/>
      <c r="BJV372" s="132"/>
      <c r="BJW372" s="132"/>
      <c r="BJX372" s="132"/>
      <c r="BJY372" s="132"/>
      <c r="BJZ372" s="132"/>
      <c r="BKA372" s="132"/>
      <c r="BKB372" s="132"/>
      <c r="BKC372" s="132"/>
      <c r="BKD372" s="132"/>
      <c r="BKE372" s="132"/>
      <c r="BKF372" s="132"/>
      <c r="BKG372" s="132"/>
      <c r="BKH372" s="132"/>
      <c r="BKI372" s="132"/>
      <c r="BKJ372" s="132"/>
      <c r="BKK372" s="132"/>
      <c r="BKL372" s="132"/>
      <c r="BKM372" s="132"/>
      <c r="BKN372" s="132"/>
      <c r="BKO372" s="132"/>
      <c r="BKP372" s="132"/>
      <c r="BKQ372" s="132"/>
      <c r="BKR372" s="132"/>
      <c r="BKS372" s="132"/>
      <c r="BKT372" s="132"/>
      <c r="BKU372" s="132"/>
      <c r="BKV372" s="132"/>
      <c r="BKW372" s="132"/>
      <c r="BKX372" s="132"/>
      <c r="BKY372" s="132"/>
      <c r="BKZ372" s="132"/>
      <c r="BLA372" s="132"/>
      <c r="BLB372" s="132"/>
      <c r="BLC372" s="132"/>
      <c r="BLD372" s="132"/>
      <c r="BLE372" s="132"/>
      <c r="BLF372" s="132"/>
      <c r="BLG372" s="132"/>
      <c r="BLH372" s="132"/>
      <c r="BLI372" s="132"/>
      <c r="BLJ372" s="132"/>
      <c r="BLK372" s="132"/>
      <c r="BLL372" s="132"/>
      <c r="BLM372" s="132"/>
      <c r="BLN372" s="132"/>
      <c r="BLO372" s="132"/>
      <c r="BLP372" s="132"/>
      <c r="BLQ372" s="132"/>
      <c r="BLR372" s="132"/>
      <c r="BLS372" s="132"/>
      <c r="BLT372" s="132"/>
      <c r="BLU372" s="132"/>
      <c r="BLV372" s="132"/>
      <c r="BLW372" s="132"/>
      <c r="BLX372" s="132"/>
      <c r="BLY372" s="132"/>
      <c r="BLZ372" s="132"/>
      <c r="BMA372" s="132"/>
      <c r="BMB372" s="132"/>
      <c r="BMC372" s="132"/>
      <c r="BMD372" s="132"/>
      <c r="BME372" s="132"/>
      <c r="BMF372" s="132"/>
      <c r="BMG372" s="132"/>
      <c r="BMH372" s="132"/>
      <c r="BMI372" s="132"/>
      <c r="BMJ372" s="132"/>
      <c r="BMK372" s="132"/>
      <c r="BML372" s="132"/>
      <c r="BMM372" s="132"/>
      <c r="BMN372" s="132"/>
      <c r="BMO372" s="132"/>
      <c r="BMP372" s="132"/>
      <c r="BMQ372" s="132"/>
      <c r="BMR372" s="132"/>
      <c r="BMS372" s="132"/>
      <c r="BMT372" s="132"/>
      <c r="BMU372" s="132"/>
      <c r="BMV372" s="132"/>
      <c r="BMW372" s="132"/>
      <c r="BMX372" s="132"/>
      <c r="BMY372" s="132"/>
      <c r="BMZ372" s="132"/>
      <c r="BNA372" s="132"/>
      <c r="BNB372" s="132"/>
      <c r="BNC372" s="132"/>
      <c r="BND372" s="132"/>
      <c r="BNE372" s="132"/>
      <c r="BNF372" s="132"/>
      <c r="BNG372" s="132"/>
      <c r="BNH372" s="132"/>
      <c r="BNI372" s="132"/>
      <c r="BNJ372" s="132"/>
      <c r="BNK372" s="132"/>
      <c r="BNL372" s="132"/>
      <c r="BNM372" s="132"/>
      <c r="BNN372" s="132"/>
      <c r="BNO372" s="132"/>
      <c r="BNP372" s="132"/>
      <c r="BNQ372" s="132"/>
      <c r="BNR372" s="132"/>
      <c r="BNS372" s="132"/>
      <c r="BNT372" s="132"/>
      <c r="BNU372" s="132"/>
      <c r="BNV372" s="132"/>
      <c r="BNW372" s="132"/>
      <c r="BNX372" s="132"/>
      <c r="BNY372" s="132"/>
      <c r="BNZ372" s="132"/>
      <c r="BOA372" s="132"/>
      <c r="BOB372" s="132"/>
      <c r="BOC372" s="132"/>
      <c r="BOD372" s="132"/>
      <c r="BOE372" s="132"/>
      <c r="BOF372" s="132"/>
      <c r="BOG372" s="132"/>
      <c r="BOH372" s="132"/>
      <c r="BOI372" s="132"/>
      <c r="BOJ372" s="132"/>
      <c r="BOK372" s="132"/>
      <c r="BOL372" s="132"/>
      <c r="BOM372" s="132"/>
      <c r="BON372" s="132"/>
      <c r="BOO372" s="132"/>
      <c r="BOP372" s="132"/>
      <c r="BOQ372" s="132"/>
      <c r="BOR372" s="132"/>
      <c r="BOS372" s="132"/>
      <c r="BOT372" s="132"/>
      <c r="BOU372" s="132"/>
      <c r="BOV372" s="132"/>
      <c r="BOW372" s="132"/>
      <c r="BOX372" s="132"/>
      <c r="BOY372" s="132"/>
      <c r="BOZ372" s="132"/>
      <c r="BPA372" s="132"/>
      <c r="BPB372" s="132"/>
      <c r="BPC372" s="132"/>
      <c r="BPD372" s="132"/>
      <c r="BPE372" s="132"/>
      <c r="BPF372" s="132"/>
      <c r="BPG372" s="132"/>
      <c r="BPH372" s="132"/>
      <c r="BPI372" s="132"/>
      <c r="BPJ372" s="132"/>
      <c r="BPK372" s="132"/>
      <c r="BPL372" s="132"/>
      <c r="BPM372" s="132"/>
      <c r="BPN372" s="132"/>
      <c r="BPO372" s="132"/>
      <c r="BPP372" s="132"/>
      <c r="BPQ372" s="132"/>
      <c r="BPR372" s="132"/>
      <c r="BPS372" s="132"/>
      <c r="BPT372" s="132"/>
      <c r="BPU372" s="132"/>
      <c r="BPV372" s="132"/>
      <c r="BPW372" s="132"/>
      <c r="BPX372" s="132"/>
      <c r="BPY372" s="132"/>
      <c r="BPZ372" s="132"/>
      <c r="BQA372" s="132"/>
      <c r="BQB372" s="132"/>
      <c r="BQC372" s="132"/>
      <c r="BQD372" s="132"/>
      <c r="BQE372" s="132"/>
      <c r="BQF372" s="132"/>
      <c r="BQG372" s="132"/>
      <c r="BQH372" s="132"/>
      <c r="BQI372" s="132"/>
      <c r="BQJ372" s="132"/>
      <c r="BQK372" s="132"/>
      <c r="BQL372" s="132"/>
      <c r="BQM372" s="132"/>
      <c r="BQN372" s="132"/>
      <c r="BQO372" s="132"/>
      <c r="BQP372" s="132"/>
      <c r="BQQ372" s="132"/>
      <c r="BQR372" s="132"/>
      <c r="BQS372" s="132"/>
      <c r="BQT372" s="132"/>
      <c r="BQU372" s="132"/>
      <c r="BQV372" s="132"/>
      <c r="BQW372" s="132"/>
      <c r="BQX372" s="132"/>
      <c r="BQY372" s="132"/>
      <c r="BQZ372" s="132"/>
      <c r="BRA372" s="132"/>
      <c r="BRB372" s="132"/>
      <c r="BRC372" s="132"/>
      <c r="BRD372" s="132"/>
      <c r="BRE372" s="132"/>
      <c r="BRF372" s="132"/>
      <c r="BRG372" s="132"/>
      <c r="BRH372" s="132"/>
      <c r="BRI372" s="132"/>
      <c r="BRJ372" s="132"/>
      <c r="BRK372" s="132"/>
      <c r="BRL372" s="132"/>
      <c r="BRM372" s="132"/>
      <c r="BRN372" s="132"/>
      <c r="BRO372" s="132"/>
      <c r="BRP372" s="132"/>
      <c r="BRQ372" s="132"/>
      <c r="BRR372" s="132"/>
      <c r="BRS372" s="132"/>
      <c r="BRT372" s="132"/>
      <c r="BRU372" s="132"/>
      <c r="BRV372" s="132"/>
      <c r="BRW372" s="132"/>
      <c r="BRX372" s="132"/>
      <c r="BRY372" s="132"/>
      <c r="BRZ372" s="132"/>
      <c r="BSA372" s="132"/>
      <c r="BSB372" s="132"/>
      <c r="BSC372" s="132"/>
      <c r="BSD372" s="132"/>
      <c r="BSE372" s="132"/>
      <c r="BSF372" s="132"/>
      <c r="BSG372" s="132"/>
      <c r="BSH372" s="132"/>
      <c r="BSI372" s="132"/>
      <c r="BSJ372" s="132"/>
      <c r="BSK372" s="132"/>
      <c r="BSL372" s="132"/>
      <c r="BSM372" s="132"/>
      <c r="BSN372" s="132"/>
      <c r="BSO372" s="132"/>
      <c r="BSP372" s="132"/>
      <c r="BSQ372" s="132"/>
      <c r="BSR372" s="132"/>
      <c r="BSS372" s="132"/>
      <c r="BST372" s="132"/>
      <c r="BSU372" s="132"/>
      <c r="BSV372" s="132"/>
      <c r="BSW372" s="132"/>
      <c r="BSX372" s="132"/>
      <c r="BSY372" s="132"/>
      <c r="BSZ372" s="132"/>
      <c r="BTA372" s="132"/>
      <c r="BTB372" s="132"/>
      <c r="BTC372" s="132"/>
      <c r="BTD372" s="132"/>
      <c r="BTE372" s="132"/>
      <c r="BTF372" s="132"/>
      <c r="BTG372" s="132"/>
      <c r="BTH372" s="132"/>
      <c r="BTI372" s="132"/>
      <c r="BTJ372" s="132"/>
      <c r="BTK372" s="132"/>
      <c r="BTL372" s="132"/>
      <c r="BTM372" s="132"/>
      <c r="BTN372" s="132"/>
      <c r="BTO372" s="132"/>
      <c r="BTP372" s="132"/>
      <c r="BTQ372" s="132"/>
      <c r="BTR372" s="132"/>
      <c r="BTS372" s="132"/>
      <c r="BTT372" s="132"/>
      <c r="BTU372" s="132"/>
      <c r="BTV372" s="132"/>
      <c r="BTW372" s="132"/>
      <c r="BTX372" s="132"/>
      <c r="BTY372" s="132"/>
      <c r="BTZ372" s="132"/>
      <c r="BUA372" s="132"/>
      <c r="BUB372" s="132"/>
      <c r="BUC372" s="132"/>
      <c r="BUD372" s="132"/>
      <c r="BUE372" s="132"/>
      <c r="BUF372" s="132"/>
      <c r="BUG372" s="132"/>
      <c r="BUH372" s="132"/>
      <c r="BUI372" s="132"/>
      <c r="BUJ372" s="132"/>
      <c r="BUK372" s="132"/>
      <c r="BUL372" s="132"/>
      <c r="BUM372" s="132"/>
      <c r="BUN372" s="132"/>
      <c r="BUO372" s="132"/>
      <c r="BUP372" s="132"/>
      <c r="BUQ372" s="132"/>
      <c r="BUR372" s="132"/>
      <c r="BUS372" s="132"/>
      <c r="BUT372" s="132"/>
      <c r="BUU372" s="132"/>
      <c r="BUV372" s="132"/>
      <c r="BUW372" s="132"/>
      <c r="BUX372" s="132"/>
      <c r="BUY372" s="132"/>
      <c r="BUZ372" s="132"/>
      <c r="BVA372" s="132"/>
      <c r="BVB372" s="132"/>
      <c r="BVC372" s="132"/>
      <c r="BVD372" s="132"/>
      <c r="BVE372" s="132"/>
      <c r="BVF372" s="132"/>
      <c r="BVG372" s="132"/>
      <c r="BVH372" s="132"/>
      <c r="BVI372" s="132"/>
      <c r="BVJ372" s="132"/>
      <c r="BVK372" s="132"/>
      <c r="BVL372" s="132"/>
      <c r="BVM372" s="132"/>
      <c r="BVN372" s="132"/>
      <c r="BVO372" s="132"/>
      <c r="BVP372" s="132"/>
      <c r="BVQ372" s="132"/>
      <c r="BVR372" s="132"/>
      <c r="BVS372" s="132"/>
      <c r="BVT372" s="132"/>
      <c r="BVU372" s="132"/>
      <c r="BVV372" s="132"/>
      <c r="BVW372" s="132"/>
      <c r="BVX372" s="132"/>
      <c r="BVY372" s="132"/>
      <c r="BVZ372" s="132"/>
      <c r="BWA372" s="132"/>
      <c r="BWB372" s="132"/>
      <c r="BWC372" s="132"/>
      <c r="BWD372" s="132"/>
      <c r="BWE372" s="132"/>
      <c r="BWF372" s="132"/>
      <c r="BWG372" s="132"/>
      <c r="BWH372" s="132"/>
      <c r="BWI372" s="132"/>
      <c r="BWJ372" s="132"/>
      <c r="BWK372" s="132"/>
      <c r="BWL372" s="132"/>
      <c r="BWM372" s="132"/>
      <c r="BWN372" s="132"/>
      <c r="BWO372" s="132"/>
      <c r="BWP372" s="132"/>
      <c r="BWQ372" s="132"/>
      <c r="BWR372" s="132"/>
      <c r="BWS372" s="132"/>
      <c r="BWT372" s="132"/>
      <c r="BWU372" s="132"/>
      <c r="BWV372" s="132"/>
      <c r="BWW372" s="132"/>
      <c r="BWX372" s="132"/>
      <c r="BWY372" s="132"/>
      <c r="BWZ372" s="132"/>
      <c r="BXA372" s="132"/>
      <c r="BXB372" s="132"/>
      <c r="BXC372" s="132"/>
      <c r="BXD372" s="132"/>
      <c r="BXE372" s="132"/>
      <c r="BXF372" s="132"/>
      <c r="BXG372" s="132"/>
      <c r="BXH372" s="132"/>
      <c r="BXI372" s="132"/>
      <c r="BXJ372" s="132"/>
      <c r="BXK372" s="132"/>
      <c r="BXL372" s="132"/>
      <c r="BXM372" s="132"/>
      <c r="BXN372" s="132"/>
      <c r="BXO372" s="132"/>
      <c r="BXP372" s="132"/>
      <c r="BXQ372" s="132"/>
      <c r="BXR372" s="132"/>
      <c r="BXS372" s="132"/>
      <c r="BXT372" s="132"/>
      <c r="BXU372" s="132"/>
      <c r="BXV372" s="132"/>
      <c r="BXW372" s="132"/>
      <c r="BXX372" s="132"/>
      <c r="BXY372" s="132"/>
      <c r="BXZ372" s="132"/>
      <c r="BYA372" s="132"/>
      <c r="BYB372" s="132"/>
      <c r="BYC372" s="132"/>
      <c r="BYD372" s="132"/>
      <c r="BYE372" s="132"/>
      <c r="BYF372" s="132"/>
      <c r="BYG372" s="132"/>
      <c r="BYH372" s="132"/>
      <c r="BYI372" s="132"/>
      <c r="BYJ372" s="132"/>
      <c r="BYK372" s="132"/>
      <c r="BYL372" s="132"/>
      <c r="BYM372" s="132"/>
      <c r="BYN372" s="132"/>
      <c r="BYO372" s="132"/>
      <c r="BYP372" s="132"/>
      <c r="BYQ372" s="132"/>
      <c r="BYR372" s="132"/>
      <c r="BYS372" s="132"/>
      <c r="BYT372" s="132"/>
      <c r="BYU372" s="132"/>
      <c r="BYV372" s="132"/>
      <c r="BYW372" s="132"/>
      <c r="BYX372" s="132"/>
      <c r="BYY372" s="132"/>
      <c r="BYZ372" s="132"/>
      <c r="BZA372" s="132"/>
      <c r="BZB372" s="132"/>
      <c r="BZC372" s="132"/>
      <c r="BZD372" s="132"/>
      <c r="BZE372" s="132"/>
      <c r="BZF372" s="132"/>
      <c r="BZG372" s="132"/>
      <c r="BZH372" s="132"/>
      <c r="BZI372" s="132"/>
      <c r="BZJ372" s="132"/>
      <c r="BZK372" s="132"/>
      <c r="BZL372" s="132"/>
      <c r="BZM372" s="132"/>
      <c r="BZN372" s="132"/>
      <c r="BZO372" s="132"/>
      <c r="BZP372" s="132"/>
      <c r="BZQ372" s="132"/>
      <c r="BZR372" s="132"/>
      <c r="BZS372" s="132"/>
      <c r="BZT372" s="132"/>
      <c r="BZU372" s="132"/>
      <c r="BZV372" s="132"/>
      <c r="BZW372" s="132"/>
      <c r="BZX372" s="132"/>
      <c r="BZY372" s="132"/>
      <c r="BZZ372" s="132"/>
      <c r="CAA372" s="132"/>
      <c r="CAB372" s="132"/>
      <c r="CAC372" s="132"/>
      <c r="CAD372" s="132"/>
      <c r="CAE372" s="132"/>
      <c r="CAF372" s="132"/>
      <c r="CAG372" s="132"/>
      <c r="CAH372" s="132"/>
      <c r="CAI372" s="132"/>
      <c r="CAJ372" s="132"/>
      <c r="CAK372" s="132"/>
      <c r="CAL372" s="132"/>
      <c r="CAM372" s="132"/>
      <c r="CAN372" s="132"/>
      <c r="CAO372" s="132"/>
      <c r="CAP372" s="132"/>
      <c r="CAQ372" s="132"/>
      <c r="CAR372" s="132"/>
      <c r="CAS372" s="132"/>
      <c r="CAT372" s="132"/>
      <c r="CAU372" s="132"/>
      <c r="CAV372" s="132"/>
      <c r="CAW372" s="132"/>
      <c r="CAX372" s="132"/>
      <c r="CAY372" s="132"/>
      <c r="CAZ372" s="132"/>
      <c r="CBA372" s="132"/>
      <c r="CBB372" s="132"/>
      <c r="CBC372" s="132"/>
      <c r="CBD372" s="132"/>
      <c r="CBE372" s="132"/>
      <c r="CBF372" s="132"/>
      <c r="CBG372" s="132"/>
      <c r="CBH372" s="132"/>
      <c r="CBI372" s="132"/>
      <c r="CBJ372" s="132"/>
      <c r="CBK372" s="132"/>
      <c r="CBL372" s="132"/>
      <c r="CBM372" s="132"/>
      <c r="CBN372" s="132"/>
      <c r="CBO372" s="132"/>
      <c r="CBP372" s="132"/>
      <c r="CBQ372" s="132"/>
      <c r="CBR372" s="132"/>
      <c r="CBS372" s="132"/>
      <c r="CBT372" s="132"/>
      <c r="CBU372" s="132"/>
      <c r="CBV372" s="132"/>
      <c r="CBW372" s="132"/>
      <c r="CBX372" s="132"/>
      <c r="CBY372" s="132"/>
      <c r="CBZ372" s="132"/>
      <c r="CCA372" s="132"/>
      <c r="CCB372" s="132"/>
      <c r="CCC372" s="132"/>
      <c r="CCD372" s="132"/>
      <c r="CCE372" s="132"/>
      <c r="CCF372" s="132"/>
      <c r="CCG372" s="132"/>
      <c r="CCH372" s="132"/>
      <c r="CCI372" s="132"/>
      <c r="CCJ372" s="132"/>
      <c r="CCK372" s="132"/>
      <c r="CCL372" s="132"/>
      <c r="CCM372" s="132"/>
      <c r="CCN372" s="132"/>
      <c r="CCO372" s="132"/>
      <c r="CCP372" s="132"/>
      <c r="CCQ372" s="132"/>
      <c r="CCR372" s="132"/>
      <c r="CCS372" s="132"/>
      <c r="CCT372" s="132"/>
      <c r="CCU372" s="132"/>
      <c r="CCV372" s="132"/>
      <c r="CCW372" s="132"/>
      <c r="CCX372" s="132"/>
      <c r="CCY372" s="132"/>
      <c r="CCZ372" s="132"/>
      <c r="CDA372" s="132"/>
      <c r="CDB372" s="132"/>
      <c r="CDC372" s="132"/>
      <c r="CDD372" s="132"/>
      <c r="CDE372" s="132"/>
      <c r="CDF372" s="132"/>
      <c r="CDG372" s="132"/>
      <c r="CDH372" s="132"/>
      <c r="CDI372" s="132"/>
      <c r="CDJ372" s="132"/>
      <c r="CDK372" s="132"/>
      <c r="CDL372" s="132"/>
      <c r="CDM372" s="132"/>
      <c r="CDN372" s="132"/>
      <c r="CDO372" s="132"/>
      <c r="CDP372" s="132"/>
      <c r="CDQ372" s="132"/>
      <c r="CDR372" s="132"/>
      <c r="CDS372" s="132"/>
      <c r="CDT372" s="132"/>
      <c r="CDU372" s="132"/>
      <c r="CDV372" s="132"/>
      <c r="CDW372" s="132"/>
      <c r="CDX372" s="132"/>
      <c r="CDY372" s="132"/>
      <c r="CDZ372" s="132"/>
      <c r="CEA372" s="132"/>
      <c r="CEB372" s="132"/>
      <c r="CEC372" s="132"/>
      <c r="CED372" s="132"/>
      <c r="CEE372" s="132"/>
      <c r="CEF372" s="132"/>
      <c r="CEG372" s="132"/>
      <c r="CEH372" s="132"/>
      <c r="CEI372" s="132"/>
      <c r="CEJ372" s="132"/>
      <c r="CEK372" s="132"/>
      <c r="CEL372" s="132"/>
      <c r="CEM372" s="132"/>
      <c r="CEN372" s="132"/>
      <c r="CEO372" s="132"/>
      <c r="CEP372" s="132"/>
      <c r="CEQ372" s="132"/>
      <c r="CER372" s="132"/>
      <c r="CES372" s="132"/>
      <c r="CET372" s="132"/>
      <c r="CEU372" s="132"/>
      <c r="CEV372" s="132"/>
      <c r="CEW372" s="132"/>
      <c r="CEX372" s="132"/>
      <c r="CEY372" s="132"/>
      <c r="CEZ372" s="132"/>
      <c r="CFA372" s="132"/>
      <c r="CFB372" s="132"/>
      <c r="CFC372" s="132"/>
      <c r="CFD372" s="132"/>
      <c r="CFE372" s="132"/>
      <c r="CFF372" s="132"/>
      <c r="CFG372" s="132"/>
      <c r="CFH372" s="132"/>
      <c r="CFI372" s="132"/>
      <c r="CFJ372" s="132"/>
      <c r="CFK372" s="132"/>
      <c r="CFL372" s="132"/>
      <c r="CFM372" s="132"/>
      <c r="CFN372" s="132"/>
      <c r="CFO372" s="132"/>
      <c r="CFP372" s="132"/>
      <c r="CFQ372" s="132"/>
      <c r="CFR372" s="132"/>
      <c r="CFS372" s="132"/>
      <c r="CFT372" s="132"/>
      <c r="CFU372" s="132"/>
      <c r="CFV372" s="132"/>
      <c r="CFW372" s="132"/>
      <c r="CFX372" s="132"/>
      <c r="CFY372" s="132"/>
      <c r="CFZ372" s="132"/>
      <c r="CGA372" s="132"/>
      <c r="CGB372" s="132"/>
      <c r="CGC372" s="132"/>
      <c r="CGD372" s="132"/>
      <c r="CGE372" s="132"/>
      <c r="CGF372" s="132"/>
      <c r="CGG372" s="132"/>
      <c r="CGH372" s="132"/>
      <c r="CGI372" s="132"/>
      <c r="CGJ372" s="132"/>
      <c r="CGK372" s="132"/>
      <c r="CGL372" s="132"/>
      <c r="CGM372" s="132"/>
      <c r="CGN372" s="132"/>
      <c r="CGO372" s="132"/>
      <c r="CGP372" s="132"/>
      <c r="CGQ372" s="132"/>
      <c r="CGR372" s="132"/>
      <c r="CGS372" s="132"/>
      <c r="CGT372" s="132"/>
      <c r="CGU372" s="132"/>
      <c r="CGV372" s="132"/>
      <c r="CGW372" s="132"/>
      <c r="CGX372" s="132"/>
      <c r="CGY372" s="132"/>
      <c r="CGZ372" s="132"/>
      <c r="CHA372" s="132"/>
      <c r="CHB372" s="132"/>
      <c r="CHC372" s="132"/>
      <c r="CHD372" s="132"/>
      <c r="CHE372" s="132"/>
      <c r="CHF372" s="132"/>
      <c r="CHG372" s="132"/>
      <c r="CHH372" s="132"/>
      <c r="CHI372" s="132"/>
      <c r="CHJ372" s="132"/>
      <c r="CHK372" s="132"/>
      <c r="CHL372" s="132"/>
      <c r="CHM372" s="132"/>
      <c r="CHN372" s="132"/>
      <c r="CHO372" s="132"/>
      <c r="CHP372" s="132"/>
      <c r="CHQ372" s="132"/>
      <c r="CHR372" s="132"/>
      <c r="CHS372" s="132"/>
      <c r="CHT372" s="132"/>
      <c r="CHU372" s="132"/>
      <c r="CHV372" s="132"/>
      <c r="CHW372" s="132"/>
      <c r="CHX372" s="132"/>
      <c r="CHY372" s="132"/>
      <c r="CHZ372" s="132"/>
      <c r="CIA372" s="132"/>
      <c r="CIB372" s="132"/>
      <c r="CIC372" s="132"/>
      <c r="CID372" s="132"/>
      <c r="CIE372" s="132"/>
      <c r="CIF372" s="132"/>
      <c r="CIG372" s="132"/>
      <c r="CIH372" s="132"/>
      <c r="CII372" s="132"/>
      <c r="CIJ372" s="132"/>
      <c r="CIK372" s="132"/>
      <c r="CIL372" s="132"/>
      <c r="CIM372" s="132"/>
      <c r="CIN372" s="132"/>
      <c r="CIO372" s="132"/>
      <c r="CIP372" s="132"/>
      <c r="CIQ372" s="132"/>
      <c r="CIR372" s="132"/>
      <c r="CIS372" s="132"/>
      <c r="CIT372" s="132"/>
      <c r="CIU372" s="132"/>
      <c r="CIV372" s="132"/>
      <c r="CIW372" s="132"/>
      <c r="CIX372" s="132"/>
      <c r="CIY372" s="132"/>
      <c r="CIZ372" s="132"/>
      <c r="CJA372" s="132"/>
      <c r="CJB372" s="132"/>
      <c r="CJC372" s="132"/>
      <c r="CJD372" s="132"/>
      <c r="CJE372" s="132"/>
      <c r="CJF372" s="132"/>
      <c r="CJG372" s="132"/>
      <c r="CJH372" s="132"/>
      <c r="CJI372" s="132"/>
      <c r="CJJ372" s="132"/>
      <c r="CJK372" s="132"/>
      <c r="CJL372" s="132"/>
      <c r="CJM372" s="132"/>
      <c r="CJN372" s="132"/>
      <c r="CJO372" s="132"/>
      <c r="CJP372" s="132"/>
      <c r="CJQ372" s="132"/>
      <c r="CJR372" s="132"/>
      <c r="CJS372" s="132"/>
      <c r="CJT372" s="132"/>
      <c r="CJU372" s="132"/>
      <c r="CJV372" s="132"/>
      <c r="CJW372" s="132"/>
      <c r="CJX372" s="132"/>
      <c r="CJY372" s="132"/>
      <c r="CJZ372" s="132"/>
      <c r="CKA372" s="132"/>
      <c r="CKB372" s="132"/>
      <c r="CKC372" s="132"/>
      <c r="CKD372" s="132"/>
      <c r="CKE372" s="132"/>
      <c r="CKF372" s="132"/>
      <c r="CKG372" s="132"/>
      <c r="CKH372" s="132"/>
      <c r="CKI372" s="132"/>
      <c r="CKJ372" s="132"/>
      <c r="CKK372" s="132"/>
      <c r="CKL372" s="132"/>
      <c r="CKM372" s="132"/>
      <c r="CKN372" s="132"/>
      <c r="CKO372" s="132"/>
      <c r="CKP372" s="132"/>
      <c r="CKQ372" s="132"/>
      <c r="CKR372" s="132"/>
      <c r="CKS372" s="132"/>
      <c r="CKT372" s="132"/>
      <c r="CKU372" s="132"/>
      <c r="CKV372" s="132"/>
      <c r="CKW372" s="132"/>
      <c r="CKX372" s="132"/>
      <c r="CKY372" s="132"/>
      <c r="CKZ372" s="132"/>
      <c r="CLA372" s="132"/>
      <c r="CLB372" s="132"/>
      <c r="CLC372" s="132"/>
      <c r="CLD372" s="132"/>
      <c r="CLE372" s="132"/>
      <c r="CLF372" s="132"/>
      <c r="CLG372" s="132"/>
      <c r="CLH372" s="132"/>
      <c r="CLI372" s="132"/>
      <c r="CLJ372" s="132"/>
      <c r="CLK372" s="132"/>
      <c r="CLL372" s="132"/>
      <c r="CLM372" s="132"/>
      <c r="CLN372" s="132"/>
      <c r="CLO372" s="132"/>
      <c r="CLP372" s="132"/>
      <c r="CLQ372" s="132"/>
      <c r="CLR372" s="132"/>
      <c r="CLS372" s="132"/>
      <c r="CLT372" s="132"/>
      <c r="CLU372" s="132"/>
      <c r="CLV372" s="132"/>
      <c r="CLW372" s="132"/>
      <c r="CLX372" s="132"/>
      <c r="CLY372" s="132"/>
      <c r="CLZ372" s="132"/>
      <c r="CMA372" s="132"/>
      <c r="CMB372" s="132"/>
      <c r="CMC372" s="132"/>
      <c r="CMD372" s="132"/>
      <c r="CME372" s="132"/>
      <c r="CMF372" s="132"/>
      <c r="CMG372" s="132"/>
      <c r="CMH372" s="132"/>
      <c r="CMI372" s="132"/>
      <c r="CMJ372" s="132"/>
      <c r="CMK372" s="132"/>
      <c r="CML372" s="132"/>
      <c r="CMM372" s="132"/>
      <c r="CMN372" s="132"/>
      <c r="CMO372" s="132"/>
      <c r="CMP372" s="132"/>
      <c r="CMQ372" s="132"/>
      <c r="CMR372" s="132"/>
      <c r="CMS372" s="132"/>
      <c r="CMT372" s="132"/>
      <c r="CMU372" s="132"/>
      <c r="CMV372" s="132"/>
      <c r="CMW372" s="132"/>
      <c r="CMX372" s="132"/>
      <c r="CMY372" s="132"/>
      <c r="CMZ372" s="132"/>
      <c r="CNA372" s="132"/>
      <c r="CNB372" s="132"/>
      <c r="CNC372" s="132"/>
      <c r="CND372" s="132"/>
      <c r="CNE372" s="132"/>
      <c r="CNF372" s="132"/>
      <c r="CNG372" s="132"/>
      <c r="CNH372" s="132"/>
      <c r="CNI372" s="132"/>
      <c r="CNJ372" s="132"/>
      <c r="CNK372" s="132"/>
      <c r="CNL372" s="132"/>
      <c r="CNM372" s="132"/>
      <c r="CNN372" s="132"/>
      <c r="CNO372" s="132"/>
      <c r="CNP372" s="132"/>
      <c r="CNQ372" s="132"/>
      <c r="CNR372" s="132"/>
      <c r="CNS372" s="132"/>
      <c r="CNT372" s="132"/>
      <c r="CNU372" s="132"/>
      <c r="CNV372" s="132"/>
      <c r="CNW372" s="132"/>
      <c r="CNX372" s="132"/>
      <c r="CNY372" s="132"/>
      <c r="CNZ372" s="132"/>
      <c r="COA372" s="132"/>
      <c r="COB372" s="132"/>
      <c r="COC372" s="132"/>
      <c r="COD372" s="132"/>
      <c r="COE372" s="132"/>
      <c r="COF372" s="132"/>
      <c r="COG372" s="132"/>
      <c r="COH372" s="132"/>
      <c r="COI372" s="132"/>
      <c r="COJ372" s="132"/>
      <c r="COK372" s="132"/>
      <c r="COL372" s="132"/>
      <c r="COM372" s="132"/>
      <c r="CON372" s="132"/>
      <c r="COO372" s="132"/>
      <c r="COP372" s="132"/>
      <c r="COQ372" s="132"/>
      <c r="COR372" s="132"/>
      <c r="COS372" s="132"/>
      <c r="COT372" s="132"/>
      <c r="COU372" s="132"/>
      <c r="COV372" s="132"/>
      <c r="COW372" s="132"/>
      <c r="COX372" s="132"/>
      <c r="COY372" s="132"/>
      <c r="COZ372" s="132"/>
      <c r="CPA372" s="132"/>
      <c r="CPB372" s="132"/>
      <c r="CPC372" s="132"/>
      <c r="CPD372" s="132"/>
      <c r="CPE372" s="132"/>
      <c r="CPF372" s="132"/>
      <c r="CPG372" s="132"/>
      <c r="CPH372" s="132"/>
      <c r="CPI372" s="132"/>
      <c r="CPJ372" s="132"/>
      <c r="CPK372" s="132"/>
      <c r="CPL372" s="132"/>
      <c r="CPM372" s="132"/>
      <c r="CPN372" s="132"/>
      <c r="CPO372" s="132"/>
      <c r="CPP372" s="132"/>
      <c r="CPQ372" s="132"/>
      <c r="CPR372" s="132"/>
      <c r="CPS372" s="132"/>
      <c r="CPT372" s="132"/>
      <c r="CPU372" s="132"/>
      <c r="CPV372" s="132"/>
      <c r="CPW372" s="132"/>
      <c r="CPX372" s="132"/>
      <c r="CPY372" s="132"/>
      <c r="CPZ372" s="132"/>
      <c r="CQA372" s="132"/>
      <c r="CQB372" s="132"/>
      <c r="CQC372" s="132"/>
      <c r="CQD372" s="132"/>
      <c r="CQE372" s="132"/>
      <c r="CQF372" s="132"/>
      <c r="CQG372" s="132"/>
      <c r="CQH372" s="132"/>
      <c r="CQI372" s="132"/>
      <c r="CQJ372" s="132"/>
      <c r="CQK372" s="132"/>
      <c r="CQL372" s="132"/>
      <c r="CQM372" s="132"/>
      <c r="CQN372" s="132"/>
      <c r="CQO372" s="132"/>
      <c r="CQP372" s="132"/>
      <c r="CQQ372" s="132"/>
      <c r="CQR372" s="132"/>
      <c r="CQS372" s="132"/>
      <c r="CQT372" s="132"/>
      <c r="CQU372" s="132"/>
      <c r="CQV372" s="132"/>
      <c r="CQW372" s="132"/>
      <c r="CQX372" s="132"/>
      <c r="CQY372" s="132"/>
      <c r="CQZ372" s="132"/>
      <c r="CRA372" s="132"/>
      <c r="CRB372" s="132"/>
      <c r="CRC372" s="132"/>
      <c r="CRD372" s="132"/>
      <c r="CRE372" s="132"/>
      <c r="CRF372" s="132"/>
      <c r="CRG372" s="132"/>
      <c r="CRH372" s="132"/>
      <c r="CRI372" s="132"/>
      <c r="CRJ372" s="132"/>
      <c r="CRK372" s="132"/>
      <c r="CRL372" s="132"/>
      <c r="CRM372" s="132"/>
      <c r="CRN372" s="132"/>
      <c r="CRO372" s="132"/>
      <c r="CRP372" s="132"/>
      <c r="CRQ372" s="132"/>
      <c r="CRR372" s="132"/>
      <c r="CRS372" s="132"/>
      <c r="CRT372" s="132"/>
      <c r="CRU372" s="132"/>
      <c r="CRV372" s="132"/>
      <c r="CRW372" s="132"/>
      <c r="CRX372" s="132"/>
      <c r="CRY372" s="132"/>
      <c r="CRZ372" s="132"/>
      <c r="CSA372" s="132"/>
      <c r="CSB372" s="132"/>
      <c r="CSC372" s="132"/>
      <c r="CSD372" s="132"/>
      <c r="CSE372" s="132"/>
      <c r="CSF372" s="132"/>
      <c r="CSG372" s="132"/>
      <c r="CSH372" s="132"/>
      <c r="CSI372" s="132"/>
      <c r="CSJ372" s="132"/>
      <c r="CSK372" s="132"/>
      <c r="CSL372" s="132"/>
      <c r="CSM372" s="132"/>
      <c r="CSN372" s="132"/>
      <c r="CSO372" s="132"/>
      <c r="CSP372" s="132"/>
      <c r="CSQ372" s="132"/>
      <c r="CSR372" s="132"/>
      <c r="CSS372" s="132"/>
      <c r="CST372" s="132"/>
      <c r="CSU372" s="132"/>
      <c r="CSV372" s="132"/>
      <c r="CSW372" s="132"/>
      <c r="CSX372" s="132"/>
      <c r="CSY372" s="132"/>
      <c r="CSZ372" s="132"/>
      <c r="CTA372" s="132"/>
      <c r="CTB372" s="132"/>
      <c r="CTC372" s="132"/>
      <c r="CTD372" s="132"/>
      <c r="CTE372" s="132"/>
      <c r="CTF372" s="132"/>
      <c r="CTG372" s="132"/>
      <c r="CTH372" s="132"/>
      <c r="CTI372" s="132"/>
      <c r="CTJ372" s="132"/>
      <c r="CTK372" s="132"/>
      <c r="CTL372" s="132"/>
      <c r="CTM372" s="132"/>
      <c r="CTN372" s="132"/>
      <c r="CTO372" s="132"/>
      <c r="CTP372" s="132"/>
      <c r="CTQ372" s="132"/>
      <c r="CTR372" s="132"/>
      <c r="CTS372" s="132"/>
      <c r="CTT372" s="132"/>
      <c r="CTU372" s="132"/>
      <c r="CTV372" s="132"/>
      <c r="CTW372" s="132"/>
      <c r="CTX372" s="132"/>
      <c r="CTY372" s="132"/>
      <c r="CTZ372" s="132"/>
      <c r="CUA372" s="132"/>
      <c r="CUB372" s="132"/>
      <c r="CUC372" s="132"/>
      <c r="CUD372" s="132"/>
      <c r="CUE372" s="132"/>
      <c r="CUF372" s="132"/>
      <c r="CUG372" s="132"/>
      <c r="CUH372" s="132"/>
      <c r="CUI372" s="132"/>
      <c r="CUJ372" s="132"/>
      <c r="CUK372" s="132"/>
      <c r="CUL372" s="132"/>
      <c r="CUM372" s="132"/>
      <c r="CUN372" s="132"/>
      <c r="CUO372" s="132"/>
      <c r="CUP372" s="132"/>
      <c r="CUQ372" s="132"/>
      <c r="CUR372" s="132"/>
      <c r="CUS372" s="132"/>
      <c r="CUT372" s="132"/>
      <c r="CUU372" s="132"/>
      <c r="CUV372" s="132"/>
      <c r="CUW372" s="132"/>
      <c r="CUX372" s="132"/>
      <c r="CUY372" s="132"/>
      <c r="CUZ372" s="132"/>
      <c r="CVA372" s="132"/>
      <c r="CVB372" s="132"/>
      <c r="CVC372" s="132"/>
      <c r="CVD372" s="132"/>
      <c r="CVE372" s="132"/>
      <c r="CVF372" s="132"/>
      <c r="CVG372" s="132"/>
      <c r="CVH372" s="132"/>
      <c r="CVI372" s="132"/>
      <c r="CVJ372" s="132"/>
      <c r="CVK372" s="132"/>
      <c r="CVL372" s="132"/>
      <c r="CVM372" s="132"/>
      <c r="CVN372" s="132"/>
      <c r="CVO372" s="132"/>
      <c r="CVP372" s="132"/>
      <c r="CVQ372" s="132"/>
      <c r="CVR372" s="132"/>
      <c r="CVS372" s="132"/>
      <c r="CVT372" s="132"/>
      <c r="CVU372" s="132"/>
      <c r="CVV372" s="132"/>
      <c r="CVW372" s="132"/>
      <c r="CVX372" s="132"/>
      <c r="CVY372" s="132"/>
      <c r="CVZ372" s="132"/>
      <c r="CWA372" s="132"/>
      <c r="CWB372" s="132"/>
      <c r="CWC372" s="132"/>
      <c r="CWD372" s="132"/>
      <c r="CWE372" s="132"/>
      <c r="CWF372" s="132"/>
      <c r="CWG372" s="132"/>
      <c r="CWH372" s="132"/>
      <c r="CWI372" s="132"/>
      <c r="CWJ372" s="132"/>
      <c r="CWK372" s="132"/>
      <c r="CWL372" s="132"/>
      <c r="CWM372" s="132"/>
      <c r="CWN372" s="132"/>
      <c r="CWO372" s="132"/>
      <c r="CWP372" s="132"/>
      <c r="CWQ372" s="132"/>
      <c r="CWR372" s="132"/>
      <c r="CWS372" s="132"/>
      <c r="CWT372" s="132"/>
      <c r="CWU372" s="132"/>
      <c r="CWV372" s="132"/>
      <c r="CWW372" s="132"/>
      <c r="CWX372" s="132"/>
      <c r="CWY372" s="132"/>
      <c r="CWZ372" s="132"/>
      <c r="CXA372" s="132"/>
      <c r="CXB372" s="132"/>
      <c r="CXC372" s="132"/>
      <c r="CXD372" s="132"/>
      <c r="CXE372" s="132"/>
      <c r="CXF372" s="132"/>
      <c r="CXG372" s="132"/>
      <c r="CXH372" s="132"/>
      <c r="CXI372" s="132"/>
      <c r="CXJ372" s="132"/>
      <c r="CXK372" s="132"/>
      <c r="CXL372" s="132"/>
      <c r="CXM372" s="132"/>
      <c r="CXN372" s="132"/>
      <c r="CXO372" s="132"/>
      <c r="CXP372" s="132"/>
      <c r="CXQ372" s="132"/>
      <c r="CXR372" s="132"/>
      <c r="CXS372" s="132"/>
      <c r="CXT372" s="132"/>
      <c r="CXU372" s="132"/>
      <c r="CXV372" s="132"/>
      <c r="CXW372" s="132"/>
      <c r="CXX372" s="132"/>
      <c r="CXY372" s="132"/>
      <c r="CXZ372" s="132"/>
      <c r="CYA372" s="132"/>
      <c r="CYB372" s="132"/>
      <c r="CYC372" s="132"/>
      <c r="CYD372" s="132"/>
      <c r="CYE372" s="132"/>
      <c r="CYF372" s="132"/>
      <c r="CYG372" s="132"/>
      <c r="CYH372" s="132"/>
      <c r="CYI372" s="132"/>
      <c r="CYJ372" s="132"/>
      <c r="CYK372" s="132"/>
      <c r="CYL372" s="132"/>
      <c r="CYM372" s="132"/>
      <c r="CYN372" s="132"/>
      <c r="CYO372" s="132"/>
      <c r="CYP372" s="132"/>
      <c r="CYQ372" s="132"/>
      <c r="CYR372" s="132"/>
      <c r="CYS372" s="132"/>
      <c r="CYT372" s="132"/>
      <c r="CYU372" s="132"/>
      <c r="CYV372" s="132"/>
      <c r="CYW372" s="132"/>
      <c r="CYX372" s="132"/>
      <c r="CYY372" s="132"/>
      <c r="CYZ372" s="132"/>
      <c r="CZA372" s="132"/>
      <c r="CZB372" s="132"/>
      <c r="CZC372" s="132"/>
      <c r="CZD372" s="132"/>
      <c r="CZE372" s="132"/>
      <c r="CZF372" s="132"/>
      <c r="CZG372" s="132"/>
      <c r="CZH372" s="132"/>
      <c r="CZI372" s="132"/>
      <c r="CZJ372" s="132"/>
      <c r="CZK372" s="132"/>
      <c r="CZL372" s="132"/>
      <c r="CZM372" s="132"/>
      <c r="CZN372" s="132"/>
      <c r="CZO372" s="132"/>
      <c r="CZP372" s="132"/>
      <c r="CZQ372" s="132"/>
      <c r="CZR372" s="132"/>
      <c r="CZS372" s="132"/>
      <c r="CZT372" s="132"/>
      <c r="CZU372" s="132"/>
      <c r="CZV372" s="132"/>
      <c r="CZW372" s="132"/>
      <c r="CZX372" s="132"/>
      <c r="CZY372" s="132"/>
      <c r="CZZ372" s="132"/>
      <c r="DAA372" s="132"/>
      <c r="DAB372" s="132"/>
      <c r="DAC372" s="132"/>
      <c r="DAD372" s="132"/>
      <c r="DAE372" s="132"/>
      <c r="DAF372" s="132"/>
      <c r="DAG372" s="132"/>
      <c r="DAH372" s="132"/>
      <c r="DAI372" s="132"/>
      <c r="DAJ372" s="132"/>
      <c r="DAK372" s="132"/>
      <c r="DAL372" s="132"/>
      <c r="DAM372" s="132"/>
      <c r="DAN372" s="132"/>
      <c r="DAO372" s="132"/>
      <c r="DAP372" s="132"/>
      <c r="DAQ372" s="132"/>
      <c r="DAR372" s="132"/>
      <c r="DAS372" s="132"/>
      <c r="DAT372" s="132"/>
      <c r="DAU372" s="132"/>
      <c r="DAV372" s="132"/>
      <c r="DAW372" s="132"/>
      <c r="DAX372" s="132"/>
      <c r="DAY372" s="132"/>
      <c r="DAZ372" s="132"/>
      <c r="DBA372" s="132"/>
      <c r="DBB372" s="132"/>
      <c r="DBC372" s="132"/>
      <c r="DBD372" s="132"/>
      <c r="DBE372" s="132"/>
      <c r="DBF372" s="132"/>
      <c r="DBG372" s="132"/>
      <c r="DBH372" s="132"/>
      <c r="DBI372" s="132"/>
      <c r="DBJ372" s="132"/>
      <c r="DBK372" s="132"/>
      <c r="DBL372" s="132"/>
      <c r="DBM372" s="132"/>
      <c r="DBN372" s="132"/>
      <c r="DBO372" s="132"/>
      <c r="DBP372" s="132"/>
      <c r="DBQ372" s="132"/>
      <c r="DBR372" s="132"/>
      <c r="DBS372" s="132"/>
      <c r="DBT372" s="132"/>
      <c r="DBU372" s="132"/>
      <c r="DBV372" s="132"/>
      <c r="DBW372" s="132"/>
      <c r="DBX372" s="132"/>
      <c r="DBY372" s="132"/>
      <c r="DBZ372" s="132"/>
      <c r="DCA372" s="132"/>
      <c r="DCB372" s="132"/>
      <c r="DCC372" s="132"/>
      <c r="DCD372" s="132"/>
      <c r="DCE372" s="132"/>
      <c r="DCF372" s="132"/>
      <c r="DCG372" s="132"/>
      <c r="DCH372" s="132"/>
      <c r="DCI372" s="132"/>
      <c r="DCJ372" s="132"/>
      <c r="DCK372" s="132"/>
      <c r="DCL372" s="132"/>
      <c r="DCM372" s="132"/>
      <c r="DCN372" s="132"/>
      <c r="DCO372" s="132"/>
      <c r="DCP372" s="132"/>
      <c r="DCQ372" s="132"/>
      <c r="DCR372" s="132"/>
      <c r="DCS372" s="132"/>
      <c r="DCT372" s="132"/>
      <c r="DCU372" s="132"/>
      <c r="DCV372" s="132"/>
      <c r="DCW372" s="132"/>
      <c r="DCX372" s="132"/>
      <c r="DCY372" s="132"/>
      <c r="DCZ372" s="132"/>
      <c r="DDA372" s="132"/>
      <c r="DDB372" s="132"/>
      <c r="DDC372" s="132"/>
      <c r="DDD372" s="132"/>
      <c r="DDE372" s="132"/>
      <c r="DDF372" s="132"/>
      <c r="DDG372" s="132"/>
      <c r="DDH372" s="132"/>
      <c r="DDI372" s="132"/>
      <c r="DDJ372" s="132"/>
      <c r="DDK372" s="132"/>
      <c r="DDL372" s="132"/>
      <c r="DDM372" s="132"/>
      <c r="DDN372" s="132"/>
      <c r="DDO372" s="132"/>
      <c r="DDP372" s="132"/>
      <c r="DDQ372" s="132"/>
      <c r="DDR372" s="132"/>
      <c r="DDS372" s="132"/>
      <c r="DDT372" s="132"/>
      <c r="DDU372" s="132"/>
      <c r="DDV372" s="132"/>
      <c r="DDW372" s="132"/>
      <c r="DDX372" s="132"/>
      <c r="DDY372" s="132"/>
      <c r="DDZ372" s="132"/>
      <c r="DEA372" s="132"/>
      <c r="DEB372" s="132"/>
      <c r="DEC372" s="132"/>
      <c r="DED372" s="132"/>
      <c r="DEE372" s="132"/>
      <c r="DEF372" s="132"/>
      <c r="DEG372" s="132"/>
      <c r="DEH372" s="132"/>
      <c r="DEI372" s="132"/>
      <c r="DEJ372" s="132"/>
      <c r="DEK372" s="132"/>
      <c r="DEL372" s="132"/>
      <c r="DEM372" s="132"/>
      <c r="DEN372" s="132"/>
      <c r="DEO372" s="132"/>
      <c r="DEP372" s="132"/>
      <c r="DEQ372" s="132"/>
      <c r="DER372" s="132"/>
      <c r="DES372" s="132"/>
      <c r="DET372" s="132"/>
      <c r="DEU372" s="132"/>
      <c r="DEV372" s="132"/>
      <c r="DEW372" s="132"/>
      <c r="DEX372" s="132"/>
      <c r="DEY372" s="132"/>
      <c r="DEZ372" s="132"/>
      <c r="DFA372" s="132"/>
      <c r="DFB372" s="132"/>
      <c r="DFC372" s="132"/>
      <c r="DFD372" s="132"/>
      <c r="DFE372" s="132"/>
      <c r="DFF372" s="132"/>
      <c r="DFG372" s="132"/>
      <c r="DFH372" s="132"/>
      <c r="DFI372" s="132"/>
      <c r="DFJ372" s="132"/>
      <c r="DFK372" s="132"/>
      <c r="DFL372" s="132"/>
      <c r="DFM372" s="132"/>
      <c r="DFN372" s="132"/>
      <c r="DFO372" s="132"/>
      <c r="DFP372" s="132"/>
      <c r="DFQ372" s="132"/>
      <c r="DFR372" s="132"/>
      <c r="DFS372" s="132"/>
      <c r="DFT372" s="132"/>
      <c r="DFU372" s="132"/>
      <c r="DFV372" s="132"/>
      <c r="DFW372" s="132"/>
      <c r="DFX372" s="132"/>
      <c r="DFY372" s="132"/>
      <c r="DFZ372" s="132"/>
      <c r="DGA372" s="132"/>
      <c r="DGB372" s="132"/>
      <c r="DGC372" s="132"/>
      <c r="DGD372" s="132"/>
      <c r="DGE372" s="132"/>
      <c r="DGF372" s="132"/>
      <c r="DGG372" s="132"/>
      <c r="DGH372" s="132"/>
      <c r="DGI372" s="132"/>
      <c r="DGJ372" s="132"/>
      <c r="DGK372" s="132"/>
      <c r="DGL372" s="132"/>
      <c r="DGM372" s="132"/>
      <c r="DGN372" s="132"/>
      <c r="DGO372" s="132"/>
      <c r="DGP372" s="132"/>
      <c r="DGQ372" s="132"/>
      <c r="DGR372" s="132"/>
      <c r="DGS372" s="132"/>
      <c r="DGT372" s="132"/>
      <c r="DGU372" s="132"/>
      <c r="DGV372" s="132"/>
      <c r="DGW372" s="132"/>
      <c r="DGX372" s="132"/>
      <c r="DGY372" s="132"/>
      <c r="DGZ372" s="132"/>
      <c r="DHA372" s="132"/>
      <c r="DHB372" s="132"/>
      <c r="DHC372" s="132"/>
      <c r="DHD372" s="132"/>
      <c r="DHE372" s="132"/>
      <c r="DHF372" s="132"/>
      <c r="DHG372" s="132"/>
      <c r="DHH372" s="132"/>
      <c r="DHI372" s="132"/>
      <c r="DHJ372" s="132"/>
      <c r="DHK372" s="132"/>
      <c r="DHL372" s="132"/>
      <c r="DHM372" s="132"/>
      <c r="DHN372" s="132"/>
      <c r="DHO372" s="132"/>
      <c r="DHP372" s="132"/>
      <c r="DHQ372" s="132"/>
      <c r="DHR372" s="132"/>
      <c r="DHS372" s="132"/>
      <c r="DHT372" s="132"/>
      <c r="DHU372" s="132"/>
      <c r="DHV372" s="132"/>
      <c r="DHW372" s="132"/>
      <c r="DHX372" s="132"/>
      <c r="DHY372" s="132"/>
      <c r="DHZ372" s="132"/>
      <c r="DIA372" s="132"/>
      <c r="DIB372" s="132"/>
      <c r="DIC372" s="132"/>
      <c r="DID372" s="132"/>
      <c r="DIE372" s="132"/>
      <c r="DIF372" s="132"/>
      <c r="DIG372" s="132"/>
      <c r="DIH372" s="132"/>
      <c r="DII372" s="132"/>
      <c r="DIJ372" s="132"/>
      <c r="DIK372" s="132"/>
      <c r="DIL372" s="132"/>
      <c r="DIM372" s="132"/>
      <c r="DIN372" s="132"/>
      <c r="DIO372" s="132"/>
      <c r="DIP372" s="132"/>
      <c r="DIQ372" s="132"/>
      <c r="DIR372" s="132"/>
      <c r="DIS372" s="132"/>
      <c r="DIT372" s="132"/>
      <c r="DIU372" s="132"/>
      <c r="DIV372" s="132"/>
      <c r="DIW372" s="132"/>
      <c r="DIX372" s="132"/>
      <c r="DIY372" s="132"/>
      <c r="DIZ372" s="132"/>
      <c r="DJA372" s="132"/>
      <c r="DJB372" s="132"/>
      <c r="DJC372" s="132"/>
      <c r="DJD372" s="132"/>
      <c r="DJE372" s="132"/>
      <c r="DJF372" s="132"/>
      <c r="DJG372" s="132"/>
      <c r="DJH372" s="132"/>
      <c r="DJI372" s="132"/>
      <c r="DJJ372" s="132"/>
      <c r="DJK372" s="132"/>
      <c r="DJL372" s="132"/>
      <c r="DJM372" s="132"/>
      <c r="DJN372" s="132"/>
      <c r="DJO372" s="132"/>
      <c r="DJP372" s="132"/>
      <c r="DJQ372" s="132"/>
      <c r="DJR372" s="132"/>
      <c r="DJS372" s="132"/>
      <c r="DJT372" s="132"/>
      <c r="DJU372" s="132"/>
      <c r="DJV372" s="132"/>
      <c r="DJW372" s="132"/>
      <c r="DJX372" s="132"/>
      <c r="DJY372" s="132"/>
      <c r="DJZ372" s="132"/>
      <c r="DKA372" s="132"/>
      <c r="DKB372" s="132"/>
      <c r="DKC372" s="132"/>
      <c r="DKD372" s="132"/>
      <c r="DKE372" s="132"/>
      <c r="DKF372" s="132"/>
      <c r="DKG372" s="132"/>
      <c r="DKH372" s="132"/>
      <c r="DKI372" s="132"/>
      <c r="DKJ372" s="132"/>
      <c r="DKK372" s="132"/>
      <c r="DKL372" s="132"/>
      <c r="DKM372" s="132"/>
      <c r="DKN372" s="132"/>
      <c r="DKO372" s="132"/>
      <c r="DKP372" s="132"/>
      <c r="DKQ372" s="132"/>
      <c r="DKR372" s="132"/>
      <c r="DKS372" s="132"/>
      <c r="DKT372" s="132"/>
      <c r="DKU372" s="132"/>
      <c r="DKV372" s="132"/>
      <c r="DKW372" s="132"/>
      <c r="DKX372" s="132"/>
      <c r="DKY372" s="132"/>
      <c r="DKZ372" s="132"/>
      <c r="DLA372" s="132"/>
      <c r="DLB372" s="132"/>
      <c r="DLC372" s="132"/>
      <c r="DLD372" s="132"/>
      <c r="DLE372" s="132"/>
      <c r="DLF372" s="132"/>
      <c r="DLG372" s="132"/>
      <c r="DLH372" s="132"/>
      <c r="DLI372" s="132"/>
      <c r="DLJ372" s="132"/>
      <c r="DLK372" s="132"/>
      <c r="DLL372" s="132"/>
      <c r="DLM372" s="132"/>
      <c r="DLN372" s="132"/>
      <c r="DLO372" s="132"/>
      <c r="DLP372" s="132"/>
      <c r="DLQ372" s="132"/>
      <c r="DLR372" s="132"/>
      <c r="DLS372" s="132"/>
      <c r="DLT372" s="132"/>
      <c r="DLU372" s="132"/>
      <c r="DLV372" s="132"/>
      <c r="DLW372" s="132"/>
      <c r="DLX372" s="132"/>
      <c r="DLY372" s="132"/>
      <c r="DLZ372" s="132"/>
      <c r="DMA372" s="132"/>
      <c r="DMB372" s="132"/>
      <c r="DMC372" s="132"/>
      <c r="DMD372" s="132"/>
      <c r="DME372" s="132"/>
      <c r="DMF372" s="132"/>
      <c r="DMG372" s="132"/>
      <c r="DMH372" s="132"/>
      <c r="DMI372" s="132"/>
      <c r="DMJ372" s="132"/>
      <c r="DMK372" s="132"/>
      <c r="DML372" s="132"/>
      <c r="DMM372" s="132"/>
      <c r="DMN372" s="132"/>
      <c r="DMO372" s="132"/>
      <c r="DMP372" s="132"/>
      <c r="DMQ372" s="132"/>
      <c r="DMR372" s="132"/>
      <c r="DMS372" s="132"/>
      <c r="DMT372" s="132"/>
      <c r="DMU372" s="132"/>
      <c r="DMV372" s="132"/>
      <c r="DMW372" s="132"/>
      <c r="DMX372" s="132"/>
      <c r="DMY372" s="132"/>
      <c r="DMZ372" s="132"/>
      <c r="DNA372" s="132"/>
      <c r="DNB372" s="132"/>
      <c r="DNC372" s="132"/>
      <c r="DND372" s="132"/>
      <c r="DNE372" s="132"/>
      <c r="DNF372" s="132"/>
      <c r="DNG372" s="132"/>
      <c r="DNH372" s="132"/>
      <c r="DNI372" s="132"/>
      <c r="DNJ372" s="132"/>
      <c r="DNK372" s="132"/>
      <c r="DNL372" s="132"/>
      <c r="DNM372" s="132"/>
      <c r="DNN372" s="132"/>
      <c r="DNO372" s="132"/>
      <c r="DNP372" s="132"/>
      <c r="DNQ372" s="132"/>
      <c r="DNR372" s="132"/>
      <c r="DNS372" s="132"/>
      <c r="DNT372" s="132"/>
      <c r="DNU372" s="132"/>
      <c r="DNV372" s="132"/>
      <c r="DNW372" s="132"/>
      <c r="DNX372" s="132"/>
      <c r="DNY372" s="132"/>
      <c r="DNZ372" s="132"/>
      <c r="DOA372" s="132"/>
      <c r="DOB372" s="132"/>
      <c r="DOC372" s="132"/>
      <c r="DOD372" s="132"/>
      <c r="DOE372" s="132"/>
      <c r="DOF372" s="132"/>
      <c r="DOG372" s="132"/>
      <c r="DOH372" s="132"/>
      <c r="DOI372" s="132"/>
      <c r="DOJ372" s="132"/>
      <c r="DOK372" s="132"/>
      <c r="DOL372" s="132"/>
      <c r="DOM372" s="132"/>
      <c r="DON372" s="132"/>
      <c r="DOO372" s="132"/>
      <c r="DOP372" s="132"/>
      <c r="DOQ372" s="132"/>
      <c r="DOR372" s="132"/>
      <c r="DOS372" s="132"/>
      <c r="DOT372" s="132"/>
      <c r="DOU372" s="132"/>
      <c r="DOV372" s="132"/>
      <c r="DOW372" s="132"/>
      <c r="DOX372" s="132"/>
      <c r="DOY372" s="132"/>
      <c r="DOZ372" s="132"/>
      <c r="DPA372" s="132"/>
      <c r="DPB372" s="132"/>
      <c r="DPC372" s="132"/>
      <c r="DPD372" s="132"/>
      <c r="DPE372" s="132"/>
      <c r="DPF372" s="132"/>
      <c r="DPG372" s="132"/>
      <c r="DPH372" s="132"/>
      <c r="DPI372" s="132"/>
      <c r="DPJ372" s="132"/>
      <c r="DPK372" s="132"/>
      <c r="DPL372" s="132"/>
      <c r="DPM372" s="132"/>
      <c r="DPN372" s="132"/>
      <c r="DPO372" s="132"/>
      <c r="DPP372" s="132"/>
      <c r="DPQ372" s="132"/>
      <c r="DPR372" s="132"/>
      <c r="DPS372" s="132"/>
      <c r="DPT372" s="132"/>
      <c r="DPU372" s="132"/>
      <c r="DPV372" s="132"/>
      <c r="DPW372" s="132"/>
      <c r="DPX372" s="132"/>
      <c r="DPY372" s="132"/>
      <c r="DPZ372" s="132"/>
      <c r="DQA372" s="132"/>
      <c r="DQB372" s="132"/>
      <c r="DQC372" s="132"/>
      <c r="DQD372" s="132"/>
      <c r="DQE372" s="132"/>
      <c r="DQF372" s="132"/>
      <c r="DQG372" s="132"/>
      <c r="DQH372" s="132"/>
      <c r="DQI372" s="132"/>
      <c r="DQJ372" s="132"/>
      <c r="DQK372" s="132"/>
      <c r="DQL372" s="132"/>
      <c r="DQM372" s="132"/>
      <c r="DQN372" s="132"/>
      <c r="DQO372" s="132"/>
      <c r="DQP372" s="132"/>
      <c r="DQQ372" s="132"/>
      <c r="DQR372" s="132"/>
      <c r="DQS372" s="132"/>
      <c r="DQT372" s="132"/>
      <c r="DQU372" s="132"/>
      <c r="DQV372" s="132"/>
      <c r="DQW372" s="132"/>
      <c r="DQX372" s="132"/>
      <c r="DQY372" s="132"/>
      <c r="DQZ372" s="132"/>
      <c r="DRA372" s="132"/>
      <c r="DRB372" s="132"/>
      <c r="DRC372" s="132"/>
      <c r="DRD372" s="132"/>
      <c r="DRE372" s="132"/>
      <c r="DRF372" s="132"/>
      <c r="DRG372" s="132"/>
      <c r="DRH372" s="132"/>
      <c r="DRI372" s="132"/>
      <c r="DRJ372" s="132"/>
      <c r="DRK372" s="132"/>
      <c r="DRL372" s="132"/>
      <c r="DRM372" s="132"/>
      <c r="DRN372" s="132"/>
      <c r="DRO372" s="132"/>
      <c r="DRP372" s="132"/>
      <c r="DRQ372" s="132"/>
      <c r="DRR372" s="132"/>
      <c r="DRS372" s="132"/>
      <c r="DRT372" s="132"/>
      <c r="DRU372" s="132"/>
      <c r="DRV372" s="132"/>
      <c r="DRW372" s="132"/>
      <c r="DRX372" s="132"/>
      <c r="DRY372" s="132"/>
      <c r="DRZ372" s="132"/>
      <c r="DSA372" s="132"/>
      <c r="DSB372" s="132"/>
      <c r="DSC372" s="132"/>
      <c r="DSD372" s="132"/>
      <c r="DSE372" s="132"/>
      <c r="DSF372" s="132"/>
      <c r="DSG372" s="132"/>
      <c r="DSH372" s="132"/>
      <c r="DSI372" s="132"/>
      <c r="DSJ372" s="132"/>
      <c r="DSK372" s="132"/>
      <c r="DSL372" s="132"/>
      <c r="DSM372" s="132"/>
      <c r="DSN372" s="132"/>
      <c r="DSO372" s="132"/>
      <c r="DSP372" s="132"/>
      <c r="DSQ372" s="132"/>
      <c r="DSR372" s="132"/>
      <c r="DSS372" s="132"/>
      <c r="DST372" s="132"/>
      <c r="DSU372" s="132"/>
      <c r="DSV372" s="132"/>
      <c r="DSW372" s="132"/>
      <c r="DSX372" s="132"/>
      <c r="DSY372" s="132"/>
      <c r="DSZ372" s="132"/>
      <c r="DTA372" s="132"/>
      <c r="DTB372" s="132"/>
      <c r="DTC372" s="132"/>
      <c r="DTD372" s="132"/>
      <c r="DTE372" s="132"/>
      <c r="DTF372" s="132"/>
      <c r="DTG372" s="132"/>
      <c r="DTH372" s="132"/>
      <c r="DTI372" s="132"/>
      <c r="DTJ372" s="132"/>
      <c r="DTK372" s="132"/>
      <c r="DTL372" s="132"/>
      <c r="DTM372" s="132"/>
      <c r="DTN372" s="132"/>
      <c r="DTO372" s="132"/>
      <c r="DTP372" s="132"/>
      <c r="DTQ372" s="132"/>
      <c r="DTR372" s="132"/>
      <c r="DTS372" s="132"/>
      <c r="DTT372" s="132"/>
      <c r="DTU372" s="132"/>
      <c r="DTV372" s="132"/>
      <c r="DTW372" s="132"/>
      <c r="DTX372" s="132"/>
      <c r="DTY372" s="132"/>
      <c r="DTZ372" s="132"/>
      <c r="DUA372" s="132"/>
      <c r="DUB372" s="132"/>
      <c r="DUC372" s="132"/>
      <c r="DUD372" s="132"/>
      <c r="DUE372" s="132"/>
      <c r="DUF372" s="132"/>
      <c r="DUG372" s="132"/>
      <c r="DUH372" s="132"/>
      <c r="DUI372" s="132"/>
      <c r="DUJ372" s="132"/>
      <c r="DUK372" s="132"/>
      <c r="DUL372" s="132"/>
      <c r="DUM372" s="132"/>
      <c r="DUN372" s="132"/>
      <c r="DUO372" s="132"/>
      <c r="DUP372" s="132"/>
      <c r="DUQ372" s="132"/>
      <c r="DUR372" s="132"/>
      <c r="DUS372" s="132"/>
      <c r="DUT372" s="132"/>
      <c r="DUU372" s="132"/>
      <c r="DUV372" s="132"/>
      <c r="DUW372" s="132"/>
      <c r="DUX372" s="132"/>
      <c r="DUY372" s="132"/>
      <c r="DUZ372" s="132"/>
      <c r="DVA372" s="132"/>
      <c r="DVB372" s="132"/>
      <c r="DVC372" s="132"/>
      <c r="DVD372" s="132"/>
      <c r="DVE372" s="132"/>
      <c r="DVF372" s="132"/>
      <c r="DVG372" s="132"/>
      <c r="DVH372" s="132"/>
      <c r="DVI372" s="132"/>
      <c r="DVJ372" s="132"/>
      <c r="DVK372" s="132"/>
      <c r="DVL372" s="132"/>
      <c r="DVM372" s="132"/>
      <c r="DVN372" s="132"/>
      <c r="DVO372" s="132"/>
      <c r="DVP372" s="132"/>
      <c r="DVQ372" s="132"/>
      <c r="DVR372" s="132"/>
      <c r="DVS372" s="132"/>
      <c r="DVT372" s="132"/>
      <c r="DVU372" s="132"/>
      <c r="DVV372" s="132"/>
      <c r="DVW372" s="132"/>
      <c r="DVX372" s="132"/>
      <c r="DVY372" s="132"/>
      <c r="DVZ372" s="132"/>
      <c r="DWA372" s="132"/>
      <c r="DWB372" s="132"/>
      <c r="DWC372" s="132"/>
      <c r="DWD372" s="132"/>
      <c r="DWE372" s="132"/>
      <c r="DWF372" s="132"/>
      <c r="DWG372" s="132"/>
      <c r="DWH372" s="132"/>
      <c r="DWI372" s="132"/>
      <c r="DWJ372" s="132"/>
      <c r="DWK372" s="132"/>
      <c r="DWL372" s="132"/>
      <c r="DWM372" s="132"/>
      <c r="DWN372" s="132"/>
      <c r="DWO372" s="132"/>
      <c r="DWP372" s="132"/>
      <c r="DWQ372" s="132"/>
      <c r="DWR372" s="132"/>
      <c r="DWS372" s="132"/>
      <c r="DWT372" s="132"/>
      <c r="DWU372" s="132"/>
      <c r="DWV372" s="132"/>
      <c r="DWW372" s="132"/>
      <c r="DWX372" s="132"/>
      <c r="DWY372" s="132"/>
      <c r="DWZ372" s="132"/>
      <c r="DXA372" s="132"/>
      <c r="DXB372" s="132"/>
      <c r="DXC372" s="132"/>
      <c r="DXD372" s="132"/>
      <c r="DXE372" s="132"/>
      <c r="DXF372" s="132"/>
      <c r="DXG372" s="132"/>
      <c r="DXH372" s="132"/>
      <c r="DXI372" s="132"/>
      <c r="DXJ372" s="132"/>
      <c r="DXK372" s="132"/>
      <c r="DXL372" s="132"/>
      <c r="DXM372" s="132"/>
      <c r="DXN372" s="132"/>
      <c r="DXO372" s="132"/>
      <c r="DXP372" s="132"/>
      <c r="DXQ372" s="132"/>
      <c r="DXR372" s="132"/>
      <c r="DXS372" s="132"/>
      <c r="DXT372" s="132"/>
      <c r="DXU372" s="132"/>
      <c r="DXV372" s="132"/>
      <c r="DXW372" s="132"/>
      <c r="DXX372" s="132"/>
      <c r="DXY372" s="132"/>
      <c r="DXZ372" s="132"/>
      <c r="DYA372" s="132"/>
      <c r="DYB372" s="132"/>
      <c r="DYC372" s="132"/>
      <c r="DYD372" s="132"/>
      <c r="DYE372" s="132"/>
      <c r="DYF372" s="132"/>
      <c r="DYG372" s="132"/>
      <c r="DYH372" s="132"/>
      <c r="DYI372" s="132"/>
      <c r="DYJ372" s="132"/>
      <c r="DYK372" s="132"/>
      <c r="DYL372" s="132"/>
      <c r="DYM372" s="132"/>
      <c r="DYN372" s="132"/>
      <c r="DYO372" s="132"/>
      <c r="DYP372" s="132"/>
      <c r="DYQ372" s="132"/>
      <c r="DYR372" s="132"/>
      <c r="DYS372" s="132"/>
      <c r="DYT372" s="132"/>
      <c r="DYU372" s="132"/>
      <c r="DYV372" s="132"/>
      <c r="DYW372" s="132"/>
      <c r="DYX372" s="132"/>
      <c r="DYY372" s="132"/>
      <c r="DYZ372" s="132"/>
      <c r="DZA372" s="132"/>
      <c r="DZB372" s="132"/>
      <c r="DZC372" s="132"/>
      <c r="DZD372" s="132"/>
      <c r="DZE372" s="132"/>
      <c r="DZF372" s="132"/>
      <c r="DZG372" s="132"/>
      <c r="DZH372" s="132"/>
      <c r="DZI372" s="132"/>
      <c r="DZJ372" s="132"/>
      <c r="DZK372" s="132"/>
      <c r="DZL372" s="132"/>
      <c r="DZM372" s="132"/>
      <c r="DZN372" s="132"/>
      <c r="DZO372" s="132"/>
      <c r="DZP372" s="132"/>
      <c r="DZQ372" s="132"/>
      <c r="DZR372" s="132"/>
      <c r="DZS372" s="132"/>
      <c r="DZT372" s="132"/>
      <c r="DZU372" s="132"/>
      <c r="DZV372" s="132"/>
      <c r="DZW372" s="132"/>
      <c r="DZX372" s="132"/>
      <c r="DZY372" s="132"/>
      <c r="DZZ372" s="132"/>
      <c r="EAA372" s="132"/>
      <c r="EAB372" s="132"/>
      <c r="EAC372" s="132"/>
      <c r="EAD372" s="132"/>
      <c r="EAE372" s="132"/>
      <c r="EAF372" s="132"/>
      <c r="EAG372" s="132"/>
      <c r="EAH372" s="132"/>
      <c r="EAI372" s="132"/>
      <c r="EAJ372" s="132"/>
      <c r="EAK372" s="132"/>
      <c r="EAL372" s="132"/>
      <c r="EAM372" s="132"/>
      <c r="EAN372" s="132"/>
      <c r="EAO372" s="132"/>
      <c r="EAP372" s="132"/>
      <c r="EAQ372" s="132"/>
      <c r="EAR372" s="132"/>
      <c r="EAS372" s="132"/>
      <c r="EAT372" s="132"/>
      <c r="EAU372" s="132"/>
      <c r="EAV372" s="132"/>
      <c r="EAW372" s="132"/>
      <c r="EAX372" s="132"/>
      <c r="EAY372" s="132"/>
      <c r="EAZ372" s="132"/>
      <c r="EBA372" s="132"/>
      <c r="EBB372" s="132"/>
      <c r="EBC372" s="132"/>
      <c r="EBD372" s="132"/>
      <c r="EBE372" s="132"/>
      <c r="EBF372" s="132"/>
      <c r="EBG372" s="132"/>
      <c r="EBH372" s="132"/>
      <c r="EBI372" s="132"/>
      <c r="EBJ372" s="132"/>
      <c r="EBK372" s="132"/>
      <c r="EBL372" s="132"/>
      <c r="EBM372" s="132"/>
      <c r="EBN372" s="132"/>
      <c r="EBO372" s="132"/>
      <c r="EBP372" s="132"/>
      <c r="EBQ372" s="132"/>
      <c r="EBR372" s="132"/>
      <c r="EBS372" s="132"/>
      <c r="EBT372" s="132"/>
      <c r="EBU372" s="132"/>
      <c r="EBV372" s="132"/>
      <c r="EBW372" s="132"/>
      <c r="EBX372" s="132"/>
      <c r="EBY372" s="132"/>
      <c r="EBZ372" s="132"/>
      <c r="ECA372" s="132"/>
      <c r="ECB372" s="132"/>
      <c r="ECC372" s="132"/>
      <c r="ECD372" s="132"/>
      <c r="ECE372" s="132"/>
      <c r="ECF372" s="132"/>
      <c r="ECG372" s="132"/>
      <c r="ECH372" s="132"/>
      <c r="ECI372" s="132"/>
      <c r="ECJ372" s="132"/>
      <c r="ECK372" s="132"/>
      <c r="ECL372" s="132"/>
      <c r="ECM372" s="132"/>
      <c r="ECN372" s="132"/>
      <c r="ECO372" s="132"/>
      <c r="ECP372" s="132"/>
      <c r="ECQ372" s="132"/>
      <c r="ECR372" s="132"/>
      <c r="ECS372" s="132"/>
      <c r="ECT372" s="132"/>
      <c r="ECU372" s="132"/>
      <c r="ECV372" s="132"/>
      <c r="ECW372" s="132"/>
      <c r="ECX372" s="132"/>
      <c r="ECY372" s="132"/>
      <c r="ECZ372" s="132"/>
      <c r="EDA372" s="132"/>
      <c r="EDB372" s="132"/>
      <c r="EDC372" s="132"/>
      <c r="EDD372" s="132"/>
      <c r="EDE372" s="132"/>
      <c r="EDF372" s="132"/>
      <c r="EDG372" s="132"/>
      <c r="EDH372" s="132"/>
      <c r="EDI372" s="132"/>
      <c r="EDJ372" s="132"/>
      <c r="EDK372" s="132"/>
      <c r="EDL372" s="132"/>
      <c r="EDM372" s="132"/>
      <c r="EDN372" s="132"/>
      <c r="EDO372" s="132"/>
      <c r="EDP372" s="132"/>
      <c r="EDQ372" s="132"/>
      <c r="EDR372" s="132"/>
      <c r="EDS372" s="132"/>
      <c r="EDT372" s="132"/>
      <c r="EDU372" s="132"/>
      <c r="EDV372" s="132"/>
      <c r="EDW372" s="132"/>
      <c r="EDX372" s="132"/>
      <c r="EDY372" s="132"/>
      <c r="EDZ372" s="132"/>
      <c r="EEA372" s="132"/>
      <c r="EEB372" s="132"/>
      <c r="EEC372" s="132"/>
      <c r="EED372" s="132"/>
      <c r="EEE372" s="132"/>
      <c r="EEF372" s="132"/>
      <c r="EEG372" s="132"/>
      <c r="EEH372" s="132"/>
      <c r="EEI372" s="132"/>
      <c r="EEJ372" s="132"/>
      <c r="EEK372" s="132"/>
      <c r="EEL372" s="132"/>
      <c r="EEM372" s="132"/>
      <c r="EEN372" s="132"/>
      <c r="EEO372" s="132"/>
      <c r="EEP372" s="132"/>
      <c r="EEQ372" s="132"/>
      <c r="EER372" s="132"/>
      <c r="EES372" s="132"/>
      <c r="EET372" s="132"/>
      <c r="EEU372" s="132"/>
      <c r="EEV372" s="132"/>
      <c r="EEW372" s="132"/>
      <c r="EEX372" s="132"/>
      <c r="EEY372" s="132"/>
      <c r="EEZ372" s="132"/>
      <c r="EFA372" s="132"/>
      <c r="EFB372" s="132"/>
      <c r="EFC372" s="132"/>
      <c r="EFD372" s="132"/>
      <c r="EFE372" s="132"/>
      <c r="EFF372" s="132"/>
      <c r="EFG372" s="132"/>
      <c r="EFH372" s="132"/>
      <c r="EFI372" s="132"/>
      <c r="EFJ372" s="132"/>
      <c r="EFK372" s="132"/>
      <c r="EFL372" s="132"/>
      <c r="EFM372" s="132"/>
      <c r="EFN372" s="132"/>
      <c r="EFO372" s="132"/>
      <c r="EFP372" s="132"/>
      <c r="EFQ372" s="132"/>
      <c r="EFR372" s="132"/>
      <c r="EFS372" s="132"/>
      <c r="EFT372" s="132"/>
      <c r="EFU372" s="132"/>
      <c r="EFV372" s="132"/>
      <c r="EFW372" s="132"/>
      <c r="EFX372" s="132"/>
      <c r="EFY372" s="132"/>
      <c r="EFZ372" s="132"/>
      <c r="EGA372" s="132"/>
      <c r="EGB372" s="132"/>
      <c r="EGC372" s="132"/>
      <c r="EGD372" s="132"/>
      <c r="EGE372" s="132"/>
      <c r="EGF372" s="132"/>
      <c r="EGG372" s="132"/>
      <c r="EGH372" s="132"/>
      <c r="EGI372" s="132"/>
      <c r="EGJ372" s="132"/>
      <c r="EGK372" s="132"/>
      <c r="EGL372" s="132"/>
      <c r="EGM372" s="132"/>
      <c r="EGN372" s="132"/>
      <c r="EGO372" s="132"/>
      <c r="EGP372" s="132"/>
      <c r="EGQ372" s="132"/>
      <c r="EGR372" s="132"/>
      <c r="EGS372" s="132"/>
      <c r="EGT372" s="132"/>
      <c r="EGU372" s="132"/>
      <c r="EGV372" s="132"/>
      <c r="EGW372" s="132"/>
      <c r="EGX372" s="132"/>
      <c r="EGY372" s="132"/>
      <c r="EGZ372" s="132"/>
      <c r="EHA372" s="132"/>
      <c r="EHB372" s="132"/>
      <c r="EHC372" s="132"/>
      <c r="EHD372" s="132"/>
      <c r="EHE372" s="132"/>
      <c r="EHF372" s="132"/>
      <c r="EHG372" s="132"/>
      <c r="EHH372" s="132"/>
      <c r="EHI372" s="132"/>
      <c r="EHJ372" s="132"/>
      <c r="EHK372" s="132"/>
      <c r="EHL372" s="132"/>
      <c r="EHM372" s="132"/>
      <c r="EHN372" s="132"/>
      <c r="EHO372" s="132"/>
      <c r="EHP372" s="132"/>
      <c r="EHQ372" s="132"/>
      <c r="EHR372" s="132"/>
      <c r="EHS372" s="132"/>
      <c r="EHT372" s="132"/>
      <c r="EHU372" s="132"/>
      <c r="EHV372" s="132"/>
      <c r="EHW372" s="132"/>
      <c r="EHX372" s="132"/>
      <c r="EHY372" s="132"/>
      <c r="EHZ372" s="132"/>
      <c r="EIA372" s="132"/>
      <c r="EIB372" s="132"/>
      <c r="EIC372" s="132"/>
      <c r="EID372" s="132"/>
      <c r="EIE372" s="132"/>
      <c r="EIF372" s="132"/>
      <c r="EIG372" s="132"/>
      <c r="EIH372" s="132"/>
      <c r="EII372" s="132"/>
      <c r="EIJ372" s="132"/>
      <c r="EIK372" s="132"/>
      <c r="EIL372" s="132"/>
      <c r="EIM372" s="132"/>
      <c r="EIN372" s="132"/>
      <c r="EIO372" s="132"/>
      <c r="EIP372" s="132"/>
      <c r="EIQ372" s="132"/>
      <c r="EIR372" s="132"/>
      <c r="EIS372" s="132"/>
      <c r="EIT372" s="132"/>
      <c r="EIU372" s="132"/>
      <c r="EIV372" s="132"/>
      <c r="EIW372" s="132"/>
      <c r="EIX372" s="132"/>
      <c r="EIY372" s="132"/>
      <c r="EIZ372" s="132"/>
      <c r="EJA372" s="132"/>
      <c r="EJB372" s="132"/>
      <c r="EJC372" s="132"/>
      <c r="EJD372" s="132"/>
      <c r="EJE372" s="132"/>
      <c r="EJF372" s="132"/>
      <c r="EJG372" s="132"/>
      <c r="EJH372" s="132"/>
      <c r="EJI372" s="132"/>
      <c r="EJJ372" s="132"/>
      <c r="EJK372" s="132"/>
      <c r="EJL372" s="132"/>
      <c r="EJM372" s="132"/>
      <c r="EJN372" s="132"/>
      <c r="EJO372" s="132"/>
      <c r="EJP372" s="132"/>
      <c r="EJQ372" s="132"/>
      <c r="EJR372" s="132"/>
      <c r="EJS372" s="132"/>
      <c r="EJT372" s="132"/>
      <c r="EJU372" s="132"/>
      <c r="EJV372" s="132"/>
      <c r="EJW372" s="132"/>
      <c r="EJX372" s="132"/>
      <c r="EJY372" s="132"/>
      <c r="EJZ372" s="132"/>
      <c r="EKA372" s="132"/>
      <c r="EKB372" s="132"/>
      <c r="EKC372" s="132"/>
      <c r="EKD372" s="132"/>
      <c r="EKE372" s="132"/>
      <c r="EKF372" s="132"/>
      <c r="EKG372" s="132"/>
      <c r="EKH372" s="132"/>
      <c r="EKI372" s="132"/>
      <c r="EKJ372" s="132"/>
      <c r="EKK372" s="132"/>
      <c r="EKL372" s="132"/>
      <c r="EKM372" s="132"/>
      <c r="EKN372" s="132"/>
      <c r="EKO372" s="132"/>
      <c r="EKP372" s="132"/>
      <c r="EKQ372" s="132"/>
      <c r="EKR372" s="132"/>
      <c r="EKS372" s="132"/>
      <c r="EKT372" s="132"/>
      <c r="EKU372" s="132"/>
      <c r="EKV372" s="132"/>
      <c r="EKW372" s="132"/>
      <c r="EKX372" s="132"/>
      <c r="EKY372" s="132"/>
      <c r="EKZ372" s="132"/>
      <c r="ELA372" s="132"/>
      <c r="ELB372" s="132"/>
      <c r="ELC372" s="132"/>
      <c r="ELD372" s="132"/>
      <c r="ELE372" s="132"/>
      <c r="ELF372" s="132"/>
      <c r="ELG372" s="132"/>
      <c r="ELH372" s="132"/>
      <c r="ELI372" s="132"/>
      <c r="ELJ372" s="132"/>
      <c r="ELK372" s="132"/>
      <c r="ELL372" s="132"/>
      <c r="ELM372" s="132"/>
      <c r="ELN372" s="132"/>
      <c r="ELO372" s="132"/>
      <c r="ELP372" s="132"/>
      <c r="ELQ372" s="132"/>
      <c r="ELR372" s="132"/>
      <c r="ELS372" s="132"/>
      <c r="ELT372" s="132"/>
      <c r="ELU372" s="132"/>
      <c r="ELV372" s="132"/>
      <c r="ELW372" s="132"/>
      <c r="ELX372" s="132"/>
      <c r="ELY372" s="132"/>
      <c r="ELZ372" s="132"/>
      <c r="EMA372" s="132"/>
      <c r="EMB372" s="132"/>
      <c r="EMC372" s="132"/>
      <c r="EMD372" s="132"/>
      <c r="EME372" s="132"/>
      <c r="EMF372" s="132"/>
      <c r="EMG372" s="132"/>
      <c r="EMH372" s="132"/>
      <c r="EMI372" s="132"/>
      <c r="EMJ372" s="132"/>
      <c r="EMK372" s="132"/>
      <c r="EML372" s="132"/>
      <c r="EMM372" s="132"/>
      <c r="EMN372" s="132"/>
      <c r="EMO372" s="132"/>
      <c r="EMP372" s="132"/>
      <c r="EMQ372" s="132"/>
      <c r="EMR372" s="132"/>
      <c r="EMS372" s="132"/>
      <c r="EMT372" s="132"/>
      <c r="EMU372" s="132"/>
      <c r="EMV372" s="132"/>
      <c r="EMW372" s="132"/>
      <c r="EMX372" s="132"/>
      <c r="EMY372" s="132"/>
      <c r="EMZ372" s="132"/>
      <c r="ENA372" s="132"/>
      <c r="ENB372" s="132"/>
      <c r="ENC372" s="132"/>
      <c r="END372" s="132"/>
      <c r="ENE372" s="132"/>
      <c r="ENF372" s="132"/>
      <c r="ENG372" s="132"/>
      <c r="ENH372" s="132"/>
      <c r="ENI372" s="132"/>
      <c r="ENJ372" s="132"/>
      <c r="ENK372" s="132"/>
      <c r="ENL372" s="132"/>
      <c r="ENM372" s="132"/>
      <c r="ENN372" s="132"/>
      <c r="ENO372" s="132"/>
      <c r="ENP372" s="132"/>
      <c r="ENQ372" s="132"/>
      <c r="ENR372" s="132"/>
      <c r="ENS372" s="132"/>
      <c r="ENT372" s="132"/>
      <c r="ENU372" s="132"/>
      <c r="ENV372" s="132"/>
      <c r="ENW372" s="132"/>
      <c r="ENX372" s="132"/>
      <c r="ENY372" s="132"/>
      <c r="ENZ372" s="132"/>
      <c r="EOA372" s="132"/>
      <c r="EOB372" s="132"/>
      <c r="EOC372" s="132"/>
      <c r="EOD372" s="132"/>
      <c r="EOE372" s="132"/>
      <c r="EOF372" s="132"/>
      <c r="EOG372" s="132"/>
      <c r="EOH372" s="132"/>
      <c r="EOI372" s="132"/>
      <c r="EOJ372" s="132"/>
      <c r="EOK372" s="132"/>
      <c r="EOL372" s="132"/>
      <c r="EOM372" s="132"/>
      <c r="EON372" s="132"/>
      <c r="EOO372" s="132"/>
      <c r="EOP372" s="132"/>
      <c r="EOQ372" s="132"/>
      <c r="EOR372" s="132"/>
      <c r="EOS372" s="132"/>
      <c r="EOT372" s="132"/>
      <c r="EOU372" s="132"/>
      <c r="EOV372" s="132"/>
      <c r="EOW372" s="132"/>
      <c r="EOX372" s="132"/>
      <c r="EOY372" s="132"/>
      <c r="EOZ372" s="132"/>
      <c r="EPA372" s="132"/>
      <c r="EPB372" s="132"/>
      <c r="EPC372" s="132"/>
      <c r="EPD372" s="132"/>
      <c r="EPE372" s="132"/>
      <c r="EPF372" s="132"/>
      <c r="EPG372" s="132"/>
      <c r="EPH372" s="132"/>
      <c r="EPI372" s="132"/>
      <c r="EPJ372" s="132"/>
      <c r="EPK372" s="132"/>
      <c r="EPL372" s="132"/>
      <c r="EPM372" s="132"/>
      <c r="EPN372" s="132"/>
      <c r="EPO372" s="132"/>
      <c r="EPP372" s="132"/>
      <c r="EPQ372" s="132"/>
      <c r="EPR372" s="132"/>
      <c r="EPS372" s="132"/>
      <c r="EPT372" s="132"/>
      <c r="EPU372" s="132"/>
      <c r="EPV372" s="132"/>
      <c r="EPW372" s="132"/>
      <c r="EPX372" s="132"/>
      <c r="EPY372" s="132"/>
      <c r="EPZ372" s="132"/>
      <c r="EQA372" s="132"/>
      <c r="EQB372" s="132"/>
      <c r="EQC372" s="132"/>
      <c r="EQD372" s="132"/>
      <c r="EQE372" s="132"/>
      <c r="EQF372" s="132"/>
      <c r="EQG372" s="132"/>
      <c r="EQH372" s="132"/>
      <c r="EQI372" s="132"/>
      <c r="EQJ372" s="132"/>
      <c r="EQK372" s="132"/>
      <c r="EQL372" s="132"/>
      <c r="EQM372" s="132"/>
      <c r="EQN372" s="132"/>
      <c r="EQO372" s="132"/>
      <c r="EQP372" s="132"/>
      <c r="EQQ372" s="132"/>
      <c r="EQR372" s="132"/>
      <c r="EQS372" s="132"/>
      <c r="EQT372" s="132"/>
      <c r="EQU372" s="132"/>
      <c r="EQV372" s="132"/>
      <c r="EQW372" s="132"/>
      <c r="EQX372" s="132"/>
      <c r="EQY372" s="132"/>
      <c r="EQZ372" s="132"/>
      <c r="ERA372" s="132"/>
      <c r="ERB372" s="132"/>
      <c r="ERC372" s="132"/>
      <c r="ERD372" s="132"/>
      <c r="ERE372" s="132"/>
      <c r="ERF372" s="132"/>
      <c r="ERG372" s="132"/>
      <c r="ERH372" s="132"/>
      <c r="ERI372" s="132"/>
      <c r="ERJ372" s="132"/>
      <c r="ERK372" s="132"/>
      <c r="ERL372" s="132"/>
      <c r="ERM372" s="132"/>
      <c r="ERN372" s="132"/>
      <c r="ERO372" s="132"/>
      <c r="ERP372" s="132"/>
      <c r="ERQ372" s="132"/>
      <c r="ERR372" s="132"/>
      <c r="ERS372" s="132"/>
      <c r="ERT372" s="132"/>
      <c r="ERU372" s="132"/>
      <c r="ERV372" s="132"/>
      <c r="ERW372" s="132"/>
      <c r="ERX372" s="132"/>
      <c r="ERY372" s="132"/>
      <c r="ERZ372" s="132"/>
      <c r="ESA372" s="132"/>
      <c r="ESB372" s="132"/>
      <c r="ESC372" s="132"/>
      <c r="ESD372" s="132"/>
      <c r="ESE372" s="132"/>
      <c r="ESF372" s="132"/>
      <c r="ESG372" s="132"/>
      <c r="ESH372" s="132"/>
      <c r="ESI372" s="132"/>
      <c r="ESJ372" s="132"/>
      <c r="ESK372" s="132"/>
      <c r="ESL372" s="132"/>
      <c r="ESM372" s="132"/>
      <c r="ESN372" s="132"/>
      <c r="ESO372" s="132"/>
      <c r="ESP372" s="132"/>
      <c r="ESQ372" s="132"/>
      <c r="ESR372" s="132"/>
      <c r="ESS372" s="132"/>
      <c r="EST372" s="132"/>
      <c r="ESU372" s="132"/>
      <c r="ESV372" s="132"/>
      <c r="ESW372" s="132"/>
      <c r="ESX372" s="132"/>
      <c r="ESY372" s="132"/>
      <c r="ESZ372" s="132"/>
      <c r="ETA372" s="132"/>
      <c r="ETB372" s="132"/>
      <c r="ETC372" s="132"/>
      <c r="ETD372" s="132"/>
      <c r="ETE372" s="132"/>
      <c r="ETF372" s="132"/>
      <c r="ETG372" s="132"/>
      <c r="ETH372" s="132"/>
      <c r="ETI372" s="132"/>
      <c r="ETJ372" s="132"/>
      <c r="ETK372" s="132"/>
      <c r="ETL372" s="132"/>
      <c r="ETM372" s="132"/>
      <c r="ETN372" s="132"/>
      <c r="ETO372" s="132"/>
      <c r="ETP372" s="132"/>
      <c r="ETQ372" s="132"/>
      <c r="ETR372" s="132"/>
      <c r="ETS372" s="132"/>
      <c r="ETT372" s="132"/>
      <c r="ETU372" s="132"/>
      <c r="ETV372" s="132"/>
      <c r="ETW372" s="132"/>
      <c r="ETX372" s="132"/>
      <c r="ETY372" s="132"/>
      <c r="ETZ372" s="132"/>
      <c r="EUA372" s="132"/>
      <c r="EUB372" s="132"/>
      <c r="EUC372" s="132"/>
      <c r="EUD372" s="132"/>
      <c r="EUE372" s="132"/>
      <c r="EUF372" s="132"/>
      <c r="EUG372" s="132"/>
      <c r="EUH372" s="132"/>
      <c r="EUI372" s="132"/>
      <c r="EUJ372" s="132"/>
      <c r="EUK372" s="132"/>
      <c r="EUL372" s="132"/>
      <c r="EUM372" s="132"/>
      <c r="EUN372" s="132"/>
      <c r="EUO372" s="132"/>
      <c r="EUP372" s="132"/>
      <c r="EUQ372" s="132"/>
      <c r="EUR372" s="132"/>
      <c r="EUS372" s="132"/>
      <c r="EUT372" s="132"/>
      <c r="EUU372" s="132"/>
      <c r="EUV372" s="132"/>
      <c r="EUW372" s="132"/>
      <c r="EUX372" s="132"/>
      <c r="EUY372" s="132"/>
      <c r="EUZ372" s="132"/>
      <c r="EVA372" s="132"/>
      <c r="EVB372" s="132"/>
      <c r="EVC372" s="132"/>
      <c r="EVD372" s="132"/>
      <c r="EVE372" s="132"/>
      <c r="EVF372" s="132"/>
      <c r="EVG372" s="132"/>
      <c r="EVH372" s="132"/>
      <c r="EVI372" s="132"/>
      <c r="EVJ372" s="132"/>
      <c r="EVK372" s="132"/>
      <c r="EVL372" s="132"/>
      <c r="EVM372" s="132"/>
      <c r="EVN372" s="132"/>
      <c r="EVO372" s="132"/>
      <c r="EVP372" s="132"/>
      <c r="EVQ372" s="132"/>
      <c r="EVR372" s="132"/>
      <c r="EVS372" s="132"/>
      <c r="EVT372" s="132"/>
      <c r="EVU372" s="132"/>
      <c r="EVV372" s="132"/>
      <c r="EVW372" s="132"/>
      <c r="EVX372" s="132"/>
      <c r="EVY372" s="132"/>
      <c r="EVZ372" s="132"/>
      <c r="EWA372" s="132"/>
      <c r="EWB372" s="132"/>
      <c r="EWC372" s="132"/>
      <c r="EWD372" s="132"/>
      <c r="EWE372" s="132"/>
      <c r="EWF372" s="132"/>
      <c r="EWG372" s="132"/>
      <c r="EWH372" s="132"/>
      <c r="EWI372" s="132"/>
      <c r="EWJ372" s="132"/>
      <c r="EWK372" s="132"/>
      <c r="EWL372" s="132"/>
      <c r="EWM372" s="132"/>
      <c r="EWN372" s="132"/>
      <c r="EWO372" s="132"/>
      <c r="EWP372" s="132"/>
      <c r="EWQ372" s="132"/>
      <c r="EWR372" s="132"/>
      <c r="EWS372" s="132"/>
      <c r="EWT372" s="132"/>
      <c r="EWU372" s="132"/>
      <c r="EWV372" s="132"/>
      <c r="EWW372" s="132"/>
      <c r="EWX372" s="132"/>
      <c r="EWY372" s="132"/>
      <c r="EWZ372" s="132"/>
      <c r="EXA372" s="132"/>
      <c r="EXB372" s="132"/>
      <c r="EXC372" s="132"/>
      <c r="EXD372" s="132"/>
      <c r="EXE372" s="132"/>
      <c r="EXF372" s="132"/>
      <c r="EXG372" s="132"/>
      <c r="EXH372" s="132"/>
      <c r="EXI372" s="132"/>
      <c r="EXJ372" s="132"/>
      <c r="EXK372" s="132"/>
      <c r="EXL372" s="132"/>
      <c r="EXM372" s="132"/>
      <c r="EXN372" s="132"/>
      <c r="EXO372" s="132"/>
      <c r="EXP372" s="132"/>
      <c r="EXQ372" s="132"/>
      <c r="EXR372" s="132"/>
      <c r="EXS372" s="132"/>
      <c r="EXT372" s="132"/>
      <c r="EXU372" s="132"/>
      <c r="EXV372" s="132"/>
      <c r="EXW372" s="132"/>
      <c r="EXX372" s="132"/>
      <c r="EXY372" s="132"/>
      <c r="EXZ372" s="132"/>
      <c r="EYA372" s="132"/>
      <c r="EYB372" s="132"/>
      <c r="EYC372" s="132"/>
      <c r="EYD372" s="132"/>
      <c r="EYE372" s="132"/>
      <c r="EYF372" s="132"/>
      <c r="EYG372" s="132"/>
      <c r="EYH372" s="132"/>
      <c r="EYI372" s="132"/>
      <c r="EYJ372" s="132"/>
      <c r="EYK372" s="132"/>
      <c r="EYL372" s="132"/>
      <c r="EYM372" s="132"/>
      <c r="EYN372" s="132"/>
      <c r="EYO372" s="132"/>
      <c r="EYP372" s="132"/>
      <c r="EYQ372" s="132"/>
      <c r="EYR372" s="132"/>
      <c r="EYS372" s="132"/>
      <c r="EYT372" s="132"/>
      <c r="EYU372" s="132"/>
      <c r="EYV372" s="132"/>
      <c r="EYW372" s="132"/>
      <c r="EYX372" s="132"/>
      <c r="EYY372" s="132"/>
      <c r="EYZ372" s="132"/>
      <c r="EZA372" s="132"/>
      <c r="EZB372" s="132"/>
      <c r="EZC372" s="132"/>
      <c r="EZD372" s="132"/>
      <c r="EZE372" s="132"/>
      <c r="EZF372" s="132"/>
      <c r="EZG372" s="132"/>
      <c r="EZH372" s="132"/>
      <c r="EZI372" s="132"/>
      <c r="EZJ372" s="132"/>
      <c r="EZK372" s="132"/>
      <c r="EZL372" s="132"/>
      <c r="EZM372" s="132"/>
      <c r="EZN372" s="132"/>
      <c r="EZO372" s="132"/>
      <c r="EZP372" s="132"/>
      <c r="EZQ372" s="132"/>
      <c r="EZR372" s="132"/>
      <c r="EZS372" s="132"/>
      <c r="EZT372" s="132"/>
      <c r="EZU372" s="132"/>
      <c r="EZV372" s="132"/>
      <c r="EZW372" s="132"/>
      <c r="EZX372" s="132"/>
      <c r="EZY372" s="132"/>
      <c r="EZZ372" s="132"/>
      <c r="FAA372" s="132"/>
      <c r="FAB372" s="132"/>
      <c r="FAC372" s="132"/>
      <c r="FAD372" s="132"/>
      <c r="FAE372" s="132"/>
      <c r="FAF372" s="132"/>
      <c r="FAG372" s="132"/>
      <c r="FAH372" s="132"/>
      <c r="FAI372" s="132"/>
      <c r="FAJ372" s="132"/>
      <c r="FAK372" s="132"/>
      <c r="FAL372" s="132"/>
      <c r="FAM372" s="132"/>
      <c r="FAN372" s="132"/>
      <c r="FAO372" s="132"/>
      <c r="FAP372" s="132"/>
      <c r="FAQ372" s="132"/>
      <c r="FAR372" s="132"/>
      <c r="FAS372" s="132"/>
      <c r="FAT372" s="132"/>
      <c r="FAU372" s="132"/>
      <c r="FAV372" s="132"/>
      <c r="FAW372" s="132"/>
      <c r="FAX372" s="132"/>
      <c r="FAY372" s="132"/>
      <c r="FAZ372" s="132"/>
      <c r="FBA372" s="132"/>
      <c r="FBB372" s="132"/>
      <c r="FBC372" s="132"/>
      <c r="FBD372" s="132"/>
      <c r="FBE372" s="132"/>
      <c r="FBF372" s="132"/>
      <c r="FBG372" s="132"/>
      <c r="FBH372" s="132"/>
      <c r="FBI372" s="132"/>
      <c r="FBJ372" s="132"/>
      <c r="FBK372" s="132"/>
      <c r="FBL372" s="132"/>
      <c r="FBM372" s="132"/>
      <c r="FBN372" s="132"/>
      <c r="FBO372" s="132"/>
      <c r="FBP372" s="132"/>
      <c r="FBQ372" s="132"/>
      <c r="FBR372" s="132"/>
      <c r="FBS372" s="132"/>
      <c r="FBT372" s="132"/>
      <c r="FBU372" s="132"/>
      <c r="FBV372" s="132"/>
      <c r="FBW372" s="132"/>
      <c r="FBX372" s="132"/>
      <c r="FBY372" s="132"/>
      <c r="FBZ372" s="132"/>
      <c r="FCA372" s="132"/>
      <c r="FCB372" s="132"/>
      <c r="FCC372" s="132"/>
      <c r="FCD372" s="132"/>
      <c r="FCE372" s="132"/>
      <c r="FCF372" s="132"/>
      <c r="FCG372" s="132"/>
      <c r="FCH372" s="132"/>
      <c r="FCI372" s="132"/>
      <c r="FCJ372" s="132"/>
      <c r="FCK372" s="132"/>
      <c r="FCL372" s="132"/>
      <c r="FCM372" s="132"/>
      <c r="FCN372" s="132"/>
      <c r="FCO372" s="132"/>
      <c r="FCP372" s="132"/>
      <c r="FCQ372" s="132"/>
      <c r="FCR372" s="132"/>
      <c r="FCS372" s="132"/>
      <c r="FCT372" s="132"/>
      <c r="FCU372" s="132"/>
      <c r="FCV372" s="132"/>
      <c r="FCW372" s="132"/>
      <c r="FCX372" s="132"/>
      <c r="FCY372" s="132"/>
      <c r="FCZ372" s="132"/>
      <c r="FDA372" s="132"/>
      <c r="FDB372" s="132"/>
      <c r="FDC372" s="132"/>
      <c r="FDD372" s="132"/>
      <c r="FDE372" s="132"/>
      <c r="FDF372" s="132"/>
      <c r="FDG372" s="132"/>
      <c r="FDH372" s="132"/>
      <c r="FDI372" s="132"/>
      <c r="FDJ372" s="132"/>
      <c r="FDK372" s="132"/>
      <c r="FDL372" s="132"/>
      <c r="FDM372" s="132"/>
      <c r="FDN372" s="132"/>
      <c r="FDO372" s="132"/>
      <c r="FDP372" s="132"/>
      <c r="FDQ372" s="132"/>
      <c r="FDR372" s="132"/>
      <c r="FDS372" s="132"/>
      <c r="FDT372" s="132"/>
      <c r="FDU372" s="132"/>
      <c r="FDV372" s="132"/>
      <c r="FDW372" s="132"/>
      <c r="FDX372" s="132"/>
      <c r="FDY372" s="132"/>
      <c r="FDZ372" s="132"/>
      <c r="FEA372" s="132"/>
      <c r="FEB372" s="132"/>
      <c r="FEC372" s="132"/>
      <c r="FED372" s="132"/>
      <c r="FEE372" s="132"/>
      <c r="FEF372" s="132"/>
      <c r="FEG372" s="132"/>
      <c r="FEH372" s="132"/>
      <c r="FEI372" s="132"/>
      <c r="FEJ372" s="132"/>
      <c r="FEK372" s="132"/>
      <c r="FEL372" s="132"/>
      <c r="FEM372" s="132"/>
      <c r="FEN372" s="132"/>
      <c r="FEO372" s="132"/>
      <c r="FEP372" s="132"/>
      <c r="FEQ372" s="132"/>
      <c r="FER372" s="132"/>
      <c r="FES372" s="132"/>
      <c r="FET372" s="132"/>
      <c r="FEU372" s="132"/>
      <c r="FEV372" s="132"/>
      <c r="FEW372" s="132"/>
      <c r="FEX372" s="132"/>
      <c r="FEY372" s="132"/>
      <c r="FEZ372" s="132"/>
      <c r="FFA372" s="132"/>
      <c r="FFB372" s="132"/>
      <c r="FFC372" s="132"/>
      <c r="FFD372" s="132"/>
      <c r="FFE372" s="132"/>
      <c r="FFF372" s="132"/>
      <c r="FFG372" s="132"/>
      <c r="FFH372" s="132"/>
      <c r="FFI372" s="132"/>
      <c r="FFJ372" s="132"/>
      <c r="FFK372" s="132"/>
      <c r="FFL372" s="132"/>
      <c r="FFM372" s="132"/>
      <c r="FFN372" s="132"/>
      <c r="FFO372" s="132"/>
      <c r="FFP372" s="132"/>
      <c r="FFQ372" s="132"/>
      <c r="FFR372" s="132"/>
      <c r="FFS372" s="132"/>
      <c r="FFT372" s="132"/>
      <c r="FFU372" s="132"/>
      <c r="FFV372" s="132"/>
      <c r="FFW372" s="132"/>
      <c r="FFX372" s="132"/>
      <c r="FFY372" s="132"/>
      <c r="FFZ372" s="132"/>
      <c r="FGA372" s="132"/>
      <c r="FGB372" s="132"/>
      <c r="FGC372" s="132"/>
      <c r="FGD372" s="132"/>
      <c r="FGE372" s="132"/>
      <c r="FGF372" s="132"/>
      <c r="FGG372" s="132"/>
      <c r="FGH372" s="132"/>
      <c r="FGI372" s="132"/>
      <c r="FGJ372" s="132"/>
      <c r="FGK372" s="132"/>
      <c r="FGL372" s="132"/>
      <c r="FGM372" s="132"/>
      <c r="FGN372" s="132"/>
      <c r="FGO372" s="132"/>
      <c r="FGP372" s="132"/>
      <c r="FGQ372" s="132"/>
      <c r="FGR372" s="132"/>
      <c r="FGS372" s="132"/>
      <c r="FGT372" s="132"/>
      <c r="FGU372" s="132"/>
      <c r="FGV372" s="132"/>
      <c r="FGW372" s="132"/>
      <c r="FGX372" s="132"/>
      <c r="FGY372" s="132"/>
      <c r="FGZ372" s="132"/>
      <c r="FHA372" s="132"/>
      <c r="FHB372" s="132"/>
      <c r="FHC372" s="132"/>
      <c r="FHD372" s="132"/>
      <c r="FHE372" s="132"/>
      <c r="FHF372" s="132"/>
      <c r="FHG372" s="132"/>
      <c r="FHH372" s="132"/>
      <c r="FHI372" s="132"/>
      <c r="FHJ372" s="132"/>
      <c r="FHK372" s="132"/>
      <c r="FHL372" s="132"/>
      <c r="FHM372" s="132"/>
      <c r="FHN372" s="132"/>
      <c r="FHO372" s="132"/>
      <c r="FHP372" s="132"/>
      <c r="FHQ372" s="132"/>
      <c r="FHR372" s="132"/>
      <c r="FHS372" s="132"/>
      <c r="FHT372" s="132"/>
      <c r="FHU372" s="132"/>
      <c r="FHV372" s="132"/>
      <c r="FHW372" s="132"/>
      <c r="FHX372" s="132"/>
      <c r="FHY372" s="132"/>
      <c r="FHZ372" s="132"/>
      <c r="FIA372" s="132"/>
      <c r="FIB372" s="132"/>
      <c r="FIC372" s="132"/>
      <c r="FID372" s="132"/>
      <c r="FIE372" s="132"/>
      <c r="FIF372" s="132"/>
      <c r="FIG372" s="132"/>
      <c r="FIH372" s="132"/>
      <c r="FII372" s="132"/>
      <c r="FIJ372" s="132"/>
      <c r="FIK372" s="132"/>
      <c r="FIL372" s="132"/>
      <c r="FIM372" s="132"/>
      <c r="FIN372" s="132"/>
      <c r="FIO372" s="132"/>
      <c r="FIP372" s="132"/>
      <c r="FIQ372" s="132"/>
      <c r="FIR372" s="132"/>
      <c r="FIS372" s="132"/>
      <c r="FIT372" s="132"/>
      <c r="FIU372" s="132"/>
      <c r="FIV372" s="132"/>
      <c r="FIW372" s="132"/>
      <c r="FIX372" s="132"/>
      <c r="FIY372" s="132"/>
      <c r="FIZ372" s="132"/>
      <c r="FJA372" s="132"/>
      <c r="FJB372" s="132"/>
      <c r="FJC372" s="132"/>
      <c r="FJD372" s="132"/>
      <c r="FJE372" s="132"/>
      <c r="FJF372" s="132"/>
      <c r="FJG372" s="132"/>
      <c r="FJH372" s="132"/>
      <c r="FJI372" s="132"/>
      <c r="FJJ372" s="132"/>
      <c r="FJK372" s="132"/>
      <c r="FJL372" s="132"/>
      <c r="FJM372" s="132"/>
      <c r="FJN372" s="132"/>
      <c r="FJO372" s="132"/>
      <c r="FJP372" s="132"/>
      <c r="FJQ372" s="132"/>
      <c r="FJR372" s="132"/>
      <c r="FJS372" s="132"/>
      <c r="FJT372" s="132"/>
      <c r="FJU372" s="132"/>
      <c r="FJV372" s="132"/>
      <c r="FJW372" s="132"/>
      <c r="FJX372" s="132"/>
      <c r="FJY372" s="132"/>
      <c r="FJZ372" s="132"/>
      <c r="FKA372" s="132"/>
      <c r="FKB372" s="132"/>
      <c r="FKC372" s="132"/>
      <c r="FKD372" s="132"/>
      <c r="FKE372" s="132"/>
      <c r="FKF372" s="132"/>
      <c r="FKG372" s="132"/>
      <c r="FKH372" s="132"/>
      <c r="FKI372" s="132"/>
      <c r="FKJ372" s="132"/>
      <c r="FKK372" s="132"/>
      <c r="FKL372" s="132"/>
      <c r="FKM372" s="132"/>
      <c r="FKN372" s="132"/>
      <c r="FKO372" s="132"/>
      <c r="FKP372" s="132"/>
      <c r="FKQ372" s="132"/>
      <c r="FKR372" s="132"/>
      <c r="FKS372" s="132"/>
      <c r="FKT372" s="132"/>
      <c r="FKU372" s="132"/>
      <c r="FKV372" s="132"/>
      <c r="FKW372" s="132"/>
      <c r="FKX372" s="132"/>
      <c r="FKY372" s="132"/>
      <c r="FKZ372" s="132"/>
      <c r="FLA372" s="132"/>
      <c r="FLB372" s="132"/>
      <c r="FLC372" s="132"/>
      <c r="FLD372" s="132"/>
      <c r="FLE372" s="132"/>
      <c r="FLF372" s="132"/>
      <c r="FLG372" s="132"/>
      <c r="FLH372" s="132"/>
      <c r="FLI372" s="132"/>
      <c r="FLJ372" s="132"/>
      <c r="FLK372" s="132"/>
      <c r="FLL372" s="132"/>
      <c r="FLM372" s="132"/>
      <c r="FLN372" s="132"/>
      <c r="FLO372" s="132"/>
      <c r="FLP372" s="132"/>
      <c r="FLQ372" s="132"/>
      <c r="FLR372" s="132"/>
      <c r="FLS372" s="132"/>
      <c r="FLT372" s="132"/>
      <c r="FLU372" s="132"/>
      <c r="FLV372" s="132"/>
      <c r="FLW372" s="132"/>
      <c r="FLX372" s="132"/>
      <c r="FLY372" s="132"/>
      <c r="FLZ372" s="132"/>
      <c r="FMA372" s="132"/>
      <c r="FMB372" s="132"/>
      <c r="FMC372" s="132"/>
      <c r="FMD372" s="132"/>
      <c r="FME372" s="132"/>
      <c r="FMF372" s="132"/>
      <c r="FMG372" s="132"/>
      <c r="FMH372" s="132"/>
      <c r="FMI372" s="132"/>
      <c r="FMJ372" s="132"/>
      <c r="FMK372" s="132"/>
      <c r="FML372" s="132"/>
      <c r="FMM372" s="132"/>
      <c r="FMN372" s="132"/>
      <c r="FMO372" s="132"/>
      <c r="FMP372" s="132"/>
      <c r="FMQ372" s="132"/>
      <c r="FMR372" s="132"/>
      <c r="FMS372" s="132"/>
      <c r="FMT372" s="132"/>
      <c r="FMU372" s="132"/>
      <c r="FMV372" s="132"/>
      <c r="FMW372" s="132"/>
      <c r="FMX372" s="132"/>
      <c r="FMY372" s="132"/>
      <c r="FMZ372" s="132"/>
      <c r="FNA372" s="132"/>
      <c r="FNB372" s="132"/>
      <c r="FNC372" s="132"/>
      <c r="FND372" s="132"/>
      <c r="FNE372" s="132"/>
      <c r="FNF372" s="132"/>
      <c r="FNG372" s="132"/>
      <c r="FNH372" s="132"/>
      <c r="FNI372" s="132"/>
      <c r="FNJ372" s="132"/>
      <c r="FNK372" s="132"/>
      <c r="FNL372" s="132"/>
      <c r="FNM372" s="132"/>
      <c r="FNN372" s="132"/>
      <c r="FNO372" s="132"/>
      <c r="FNP372" s="132"/>
      <c r="FNQ372" s="132"/>
      <c r="FNR372" s="132"/>
      <c r="FNS372" s="132"/>
      <c r="FNT372" s="132"/>
      <c r="FNU372" s="132"/>
      <c r="FNV372" s="132"/>
      <c r="FNW372" s="132"/>
      <c r="FNX372" s="132"/>
      <c r="FNY372" s="132"/>
      <c r="FNZ372" s="132"/>
      <c r="FOA372" s="132"/>
      <c r="FOB372" s="132"/>
      <c r="FOC372" s="132"/>
      <c r="FOD372" s="132"/>
      <c r="FOE372" s="132"/>
      <c r="FOF372" s="132"/>
      <c r="FOG372" s="132"/>
      <c r="FOH372" s="132"/>
      <c r="FOI372" s="132"/>
      <c r="FOJ372" s="132"/>
      <c r="FOK372" s="132"/>
      <c r="FOL372" s="132"/>
      <c r="FOM372" s="132"/>
      <c r="FON372" s="132"/>
      <c r="FOO372" s="132"/>
      <c r="FOP372" s="132"/>
      <c r="FOQ372" s="132"/>
      <c r="FOR372" s="132"/>
      <c r="FOS372" s="132"/>
      <c r="FOT372" s="132"/>
      <c r="FOU372" s="132"/>
      <c r="FOV372" s="132"/>
      <c r="FOW372" s="132"/>
      <c r="FOX372" s="132"/>
      <c r="FOY372" s="132"/>
      <c r="FOZ372" s="132"/>
      <c r="FPA372" s="132"/>
      <c r="FPB372" s="132"/>
      <c r="FPC372" s="132"/>
      <c r="FPD372" s="132"/>
      <c r="FPE372" s="132"/>
      <c r="FPF372" s="132"/>
      <c r="FPG372" s="132"/>
      <c r="FPH372" s="132"/>
      <c r="FPI372" s="132"/>
      <c r="FPJ372" s="132"/>
      <c r="FPK372" s="132"/>
      <c r="FPL372" s="132"/>
      <c r="FPM372" s="132"/>
      <c r="FPN372" s="132"/>
      <c r="FPO372" s="132"/>
      <c r="FPP372" s="132"/>
      <c r="FPQ372" s="132"/>
      <c r="FPR372" s="132"/>
      <c r="FPS372" s="132"/>
      <c r="FPT372" s="132"/>
      <c r="FPU372" s="132"/>
      <c r="FPV372" s="132"/>
      <c r="FPW372" s="132"/>
      <c r="FPX372" s="132"/>
      <c r="FPY372" s="132"/>
      <c r="FPZ372" s="132"/>
      <c r="FQA372" s="132"/>
      <c r="FQB372" s="132"/>
      <c r="FQC372" s="132"/>
      <c r="FQD372" s="132"/>
      <c r="FQE372" s="132"/>
      <c r="FQF372" s="132"/>
      <c r="FQG372" s="132"/>
      <c r="FQH372" s="132"/>
      <c r="FQI372" s="132"/>
      <c r="FQJ372" s="132"/>
      <c r="FQK372" s="132"/>
      <c r="FQL372" s="132"/>
      <c r="FQM372" s="132"/>
      <c r="FQN372" s="132"/>
      <c r="FQO372" s="132"/>
      <c r="FQP372" s="132"/>
      <c r="FQQ372" s="132"/>
      <c r="FQR372" s="132"/>
      <c r="FQS372" s="132"/>
      <c r="FQT372" s="132"/>
      <c r="FQU372" s="132"/>
      <c r="FQV372" s="132"/>
      <c r="FQW372" s="132"/>
      <c r="FQX372" s="132"/>
      <c r="FQY372" s="132"/>
      <c r="FQZ372" s="132"/>
      <c r="FRA372" s="132"/>
      <c r="FRB372" s="132"/>
      <c r="FRC372" s="132"/>
      <c r="FRD372" s="132"/>
      <c r="FRE372" s="132"/>
      <c r="FRF372" s="132"/>
      <c r="FRG372" s="132"/>
      <c r="FRH372" s="132"/>
      <c r="FRI372" s="132"/>
      <c r="FRJ372" s="132"/>
      <c r="FRK372" s="132"/>
      <c r="FRL372" s="132"/>
      <c r="FRM372" s="132"/>
      <c r="FRN372" s="132"/>
      <c r="FRO372" s="132"/>
      <c r="FRP372" s="132"/>
      <c r="FRQ372" s="132"/>
      <c r="FRR372" s="132"/>
      <c r="FRS372" s="132"/>
      <c r="FRT372" s="132"/>
      <c r="FRU372" s="132"/>
      <c r="FRV372" s="132"/>
      <c r="FRW372" s="132"/>
      <c r="FRX372" s="132"/>
      <c r="FRY372" s="132"/>
      <c r="FRZ372" s="132"/>
      <c r="FSA372" s="132"/>
      <c r="FSB372" s="132"/>
      <c r="FSC372" s="132"/>
      <c r="FSD372" s="132"/>
      <c r="FSE372" s="132"/>
      <c r="FSF372" s="132"/>
      <c r="FSG372" s="132"/>
      <c r="FSH372" s="132"/>
      <c r="FSI372" s="132"/>
      <c r="FSJ372" s="132"/>
      <c r="FSK372" s="132"/>
      <c r="FSL372" s="132"/>
      <c r="FSM372" s="132"/>
      <c r="FSN372" s="132"/>
      <c r="FSO372" s="132"/>
      <c r="FSP372" s="132"/>
      <c r="FSQ372" s="132"/>
      <c r="FSR372" s="132"/>
      <c r="FSS372" s="132"/>
      <c r="FST372" s="132"/>
      <c r="FSU372" s="132"/>
      <c r="FSV372" s="132"/>
      <c r="FSW372" s="132"/>
      <c r="FSX372" s="132"/>
      <c r="FSY372" s="132"/>
      <c r="FSZ372" s="132"/>
      <c r="FTA372" s="132"/>
      <c r="FTB372" s="132"/>
      <c r="FTC372" s="132"/>
      <c r="FTD372" s="132"/>
      <c r="FTE372" s="132"/>
      <c r="FTF372" s="132"/>
      <c r="FTG372" s="132"/>
      <c r="FTH372" s="132"/>
      <c r="FTI372" s="132"/>
      <c r="FTJ372" s="132"/>
      <c r="FTK372" s="132"/>
      <c r="FTL372" s="132"/>
      <c r="FTM372" s="132"/>
      <c r="FTN372" s="132"/>
      <c r="FTO372" s="132"/>
      <c r="FTP372" s="132"/>
      <c r="FTQ372" s="132"/>
      <c r="FTR372" s="132"/>
      <c r="FTS372" s="132"/>
      <c r="FTT372" s="132"/>
      <c r="FTU372" s="132"/>
      <c r="FTV372" s="132"/>
      <c r="FTW372" s="132"/>
      <c r="FTX372" s="132"/>
      <c r="FTY372" s="132"/>
      <c r="FTZ372" s="132"/>
      <c r="FUA372" s="132"/>
      <c r="FUB372" s="132"/>
      <c r="FUC372" s="132"/>
      <c r="FUD372" s="132"/>
      <c r="FUE372" s="132"/>
      <c r="FUF372" s="132"/>
      <c r="FUG372" s="132"/>
      <c r="FUH372" s="132"/>
      <c r="FUI372" s="132"/>
      <c r="FUJ372" s="132"/>
      <c r="FUK372" s="132"/>
      <c r="FUL372" s="132"/>
      <c r="FUM372" s="132"/>
      <c r="FUN372" s="132"/>
      <c r="FUO372" s="132"/>
      <c r="FUP372" s="132"/>
      <c r="FUQ372" s="132"/>
      <c r="FUR372" s="132"/>
      <c r="FUS372" s="132"/>
      <c r="FUT372" s="132"/>
      <c r="FUU372" s="132"/>
      <c r="FUV372" s="132"/>
      <c r="FUW372" s="132"/>
      <c r="FUX372" s="132"/>
      <c r="FUY372" s="132"/>
      <c r="FUZ372" s="132"/>
      <c r="FVA372" s="132"/>
      <c r="FVB372" s="132"/>
      <c r="FVC372" s="132"/>
      <c r="FVD372" s="132"/>
      <c r="FVE372" s="132"/>
      <c r="FVF372" s="132"/>
      <c r="FVG372" s="132"/>
      <c r="FVH372" s="132"/>
      <c r="FVI372" s="132"/>
      <c r="FVJ372" s="132"/>
      <c r="FVK372" s="132"/>
      <c r="FVL372" s="132"/>
      <c r="FVM372" s="132"/>
      <c r="FVN372" s="132"/>
      <c r="FVO372" s="132"/>
      <c r="FVP372" s="132"/>
      <c r="FVQ372" s="132"/>
      <c r="FVR372" s="132"/>
      <c r="FVS372" s="132"/>
      <c r="FVT372" s="132"/>
      <c r="FVU372" s="132"/>
      <c r="FVV372" s="132"/>
      <c r="FVW372" s="132"/>
      <c r="FVX372" s="132"/>
      <c r="FVY372" s="132"/>
      <c r="FVZ372" s="132"/>
      <c r="FWA372" s="132"/>
      <c r="FWB372" s="132"/>
      <c r="FWC372" s="132"/>
      <c r="FWD372" s="132"/>
      <c r="FWE372" s="132"/>
      <c r="FWF372" s="132"/>
      <c r="FWG372" s="132"/>
      <c r="FWH372" s="132"/>
      <c r="FWI372" s="132"/>
      <c r="FWJ372" s="132"/>
      <c r="FWK372" s="132"/>
      <c r="FWL372" s="132"/>
      <c r="FWM372" s="132"/>
      <c r="FWN372" s="132"/>
      <c r="FWO372" s="132"/>
      <c r="FWP372" s="132"/>
      <c r="FWQ372" s="132"/>
      <c r="FWR372" s="132"/>
      <c r="FWS372" s="132"/>
      <c r="FWT372" s="132"/>
      <c r="FWU372" s="132"/>
      <c r="FWV372" s="132"/>
      <c r="FWW372" s="132"/>
      <c r="FWX372" s="132"/>
      <c r="FWY372" s="132"/>
      <c r="FWZ372" s="132"/>
      <c r="FXA372" s="132"/>
      <c r="FXB372" s="132"/>
      <c r="FXC372" s="132"/>
      <c r="FXD372" s="132"/>
      <c r="FXE372" s="132"/>
      <c r="FXF372" s="132"/>
      <c r="FXG372" s="132"/>
      <c r="FXH372" s="132"/>
      <c r="FXI372" s="132"/>
      <c r="FXJ372" s="132"/>
      <c r="FXK372" s="132"/>
      <c r="FXL372" s="132"/>
      <c r="FXM372" s="132"/>
      <c r="FXN372" s="132"/>
      <c r="FXO372" s="132"/>
      <c r="FXP372" s="132"/>
      <c r="FXQ372" s="132"/>
      <c r="FXR372" s="132"/>
      <c r="FXS372" s="132"/>
      <c r="FXT372" s="132"/>
      <c r="FXU372" s="132"/>
      <c r="FXV372" s="132"/>
      <c r="FXW372" s="132"/>
      <c r="FXX372" s="132"/>
      <c r="FXY372" s="132"/>
      <c r="FXZ372" s="132"/>
      <c r="FYA372" s="132"/>
      <c r="FYB372" s="132"/>
      <c r="FYC372" s="132"/>
      <c r="FYD372" s="132"/>
      <c r="FYE372" s="132"/>
      <c r="FYF372" s="132"/>
      <c r="FYG372" s="132"/>
      <c r="FYH372" s="132"/>
      <c r="FYI372" s="132"/>
      <c r="FYJ372" s="132"/>
      <c r="FYK372" s="132"/>
      <c r="FYL372" s="132"/>
      <c r="FYM372" s="132"/>
      <c r="FYN372" s="132"/>
      <c r="FYO372" s="132"/>
      <c r="FYP372" s="132"/>
      <c r="FYQ372" s="132"/>
      <c r="FYR372" s="132"/>
      <c r="FYS372" s="132"/>
      <c r="FYT372" s="132"/>
      <c r="FYU372" s="132"/>
      <c r="FYV372" s="132"/>
      <c r="FYW372" s="132"/>
      <c r="FYX372" s="132"/>
      <c r="FYY372" s="132"/>
      <c r="FYZ372" s="132"/>
      <c r="FZA372" s="132"/>
      <c r="FZB372" s="132"/>
      <c r="FZC372" s="132"/>
      <c r="FZD372" s="132"/>
      <c r="FZE372" s="132"/>
      <c r="FZF372" s="132"/>
      <c r="FZG372" s="132"/>
      <c r="FZH372" s="132"/>
      <c r="FZI372" s="132"/>
      <c r="FZJ372" s="132"/>
      <c r="FZK372" s="132"/>
      <c r="FZL372" s="132"/>
      <c r="FZM372" s="132"/>
      <c r="FZN372" s="132"/>
      <c r="FZO372" s="132"/>
      <c r="FZP372" s="132"/>
      <c r="FZQ372" s="132"/>
      <c r="FZR372" s="132"/>
      <c r="FZS372" s="132"/>
      <c r="FZT372" s="132"/>
      <c r="FZU372" s="132"/>
      <c r="FZV372" s="132"/>
      <c r="FZW372" s="132"/>
      <c r="FZX372" s="132"/>
      <c r="FZY372" s="132"/>
      <c r="FZZ372" s="132"/>
      <c r="GAA372" s="132"/>
      <c r="GAB372" s="132"/>
      <c r="GAC372" s="132"/>
      <c r="GAD372" s="132"/>
      <c r="GAE372" s="132"/>
      <c r="GAF372" s="132"/>
      <c r="GAG372" s="132"/>
      <c r="GAH372" s="132"/>
      <c r="GAI372" s="132"/>
      <c r="GAJ372" s="132"/>
      <c r="GAK372" s="132"/>
      <c r="GAL372" s="132"/>
      <c r="GAM372" s="132"/>
      <c r="GAN372" s="132"/>
      <c r="GAO372" s="132"/>
      <c r="GAP372" s="132"/>
      <c r="GAQ372" s="132"/>
      <c r="GAR372" s="132"/>
      <c r="GAS372" s="132"/>
      <c r="GAT372" s="132"/>
      <c r="GAU372" s="132"/>
      <c r="GAV372" s="132"/>
      <c r="GAW372" s="132"/>
      <c r="GAX372" s="132"/>
      <c r="GAY372" s="132"/>
      <c r="GAZ372" s="132"/>
      <c r="GBA372" s="132"/>
      <c r="GBB372" s="132"/>
      <c r="GBC372" s="132"/>
      <c r="GBD372" s="132"/>
      <c r="GBE372" s="132"/>
      <c r="GBF372" s="132"/>
      <c r="GBG372" s="132"/>
      <c r="GBH372" s="132"/>
      <c r="GBI372" s="132"/>
      <c r="GBJ372" s="132"/>
      <c r="GBK372" s="132"/>
      <c r="GBL372" s="132"/>
      <c r="GBM372" s="132"/>
      <c r="GBN372" s="132"/>
      <c r="GBO372" s="132"/>
      <c r="GBP372" s="132"/>
      <c r="GBQ372" s="132"/>
      <c r="GBR372" s="132"/>
      <c r="GBS372" s="132"/>
      <c r="GBT372" s="132"/>
      <c r="GBU372" s="132"/>
      <c r="GBV372" s="132"/>
      <c r="GBW372" s="132"/>
      <c r="GBX372" s="132"/>
      <c r="GBY372" s="132"/>
      <c r="GBZ372" s="132"/>
      <c r="GCA372" s="132"/>
      <c r="GCB372" s="132"/>
      <c r="GCC372" s="132"/>
      <c r="GCD372" s="132"/>
      <c r="GCE372" s="132"/>
      <c r="GCF372" s="132"/>
      <c r="GCG372" s="132"/>
      <c r="GCH372" s="132"/>
      <c r="GCI372" s="132"/>
      <c r="GCJ372" s="132"/>
      <c r="GCK372" s="132"/>
      <c r="GCL372" s="132"/>
      <c r="GCM372" s="132"/>
      <c r="GCN372" s="132"/>
      <c r="GCO372" s="132"/>
      <c r="GCP372" s="132"/>
      <c r="GCQ372" s="132"/>
      <c r="GCR372" s="132"/>
      <c r="GCS372" s="132"/>
      <c r="GCT372" s="132"/>
      <c r="GCU372" s="132"/>
      <c r="GCV372" s="132"/>
      <c r="GCW372" s="132"/>
      <c r="GCX372" s="132"/>
      <c r="GCY372" s="132"/>
      <c r="GCZ372" s="132"/>
      <c r="GDA372" s="132"/>
      <c r="GDB372" s="132"/>
      <c r="GDC372" s="132"/>
      <c r="GDD372" s="132"/>
      <c r="GDE372" s="132"/>
      <c r="GDF372" s="132"/>
      <c r="GDG372" s="132"/>
      <c r="GDH372" s="132"/>
      <c r="GDI372" s="132"/>
      <c r="GDJ372" s="132"/>
      <c r="GDK372" s="132"/>
      <c r="GDL372" s="132"/>
      <c r="GDM372" s="132"/>
      <c r="GDN372" s="132"/>
      <c r="GDO372" s="132"/>
      <c r="GDP372" s="132"/>
      <c r="GDQ372" s="132"/>
      <c r="GDR372" s="132"/>
      <c r="GDS372" s="132"/>
      <c r="GDT372" s="132"/>
      <c r="GDU372" s="132"/>
      <c r="GDV372" s="132"/>
      <c r="GDW372" s="132"/>
      <c r="GDX372" s="132"/>
      <c r="GDY372" s="132"/>
      <c r="GDZ372" s="132"/>
      <c r="GEA372" s="132"/>
      <c r="GEB372" s="132"/>
      <c r="GEC372" s="132"/>
      <c r="GED372" s="132"/>
      <c r="GEE372" s="132"/>
      <c r="GEF372" s="132"/>
      <c r="GEG372" s="132"/>
      <c r="GEH372" s="132"/>
      <c r="GEI372" s="132"/>
      <c r="GEJ372" s="132"/>
      <c r="GEK372" s="132"/>
      <c r="GEL372" s="132"/>
      <c r="GEM372" s="132"/>
      <c r="GEN372" s="132"/>
      <c r="GEO372" s="132"/>
      <c r="GEP372" s="132"/>
      <c r="GEQ372" s="132"/>
      <c r="GER372" s="132"/>
      <c r="GES372" s="132"/>
      <c r="GET372" s="132"/>
      <c r="GEU372" s="132"/>
      <c r="GEV372" s="132"/>
      <c r="GEW372" s="132"/>
      <c r="GEX372" s="132"/>
      <c r="GEY372" s="132"/>
      <c r="GEZ372" s="132"/>
      <c r="GFA372" s="132"/>
      <c r="GFB372" s="132"/>
      <c r="GFC372" s="132"/>
      <c r="GFD372" s="132"/>
      <c r="GFE372" s="132"/>
      <c r="GFF372" s="132"/>
      <c r="GFG372" s="132"/>
      <c r="GFH372" s="132"/>
      <c r="GFI372" s="132"/>
      <c r="GFJ372" s="132"/>
      <c r="GFK372" s="132"/>
      <c r="GFL372" s="132"/>
      <c r="GFM372" s="132"/>
      <c r="GFN372" s="132"/>
      <c r="GFO372" s="132"/>
      <c r="GFP372" s="132"/>
      <c r="GFQ372" s="132"/>
      <c r="GFR372" s="132"/>
      <c r="GFS372" s="132"/>
      <c r="GFT372" s="132"/>
      <c r="GFU372" s="132"/>
      <c r="GFV372" s="132"/>
      <c r="GFW372" s="132"/>
      <c r="GFX372" s="132"/>
      <c r="GFY372" s="132"/>
      <c r="GFZ372" s="132"/>
      <c r="GGA372" s="132"/>
      <c r="GGB372" s="132"/>
      <c r="GGC372" s="132"/>
      <c r="GGD372" s="132"/>
      <c r="GGE372" s="132"/>
      <c r="GGF372" s="132"/>
      <c r="GGG372" s="132"/>
      <c r="GGH372" s="132"/>
      <c r="GGI372" s="132"/>
      <c r="GGJ372" s="132"/>
      <c r="GGK372" s="132"/>
      <c r="GGL372" s="132"/>
      <c r="GGM372" s="132"/>
      <c r="GGN372" s="132"/>
      <c r="GGO372" s="132"/>
      <c r="GGP372" s="132"/>
      <c r="GGQ372" s="132"/>
      <c r="GGR372" s="132"/>
      <c r="GGS372" s="132"/>
      <c r="GGT372" s="132"/>
      <c r="GGU372" s="132"/>
      <c r="GGV372" s="132"/>
      <c r="GGW372" s="132"/>
      <c r="GGX372" s="132"/>
      <c r="GGY372" s="132"/>
      <c r="GGZ372" s="132"/>
      <c r="GHA372" s="132"/>
      <c r="GHB372" s="132"/>
      <c r="GHC372" s="132"/>
      <c r="GHD372" s="132"/>
      <c r="GHE372" s="132"/>
      <c r="GHF372" s="132"/>
      <c r="GHG372" s="132"/>
      <c r="GHH372" s="132"/>
      <c r="GHI372" s="132"/>
      <c r="GHJ372" s="132"/>
      <c r="GHK372" s="132"/>
      <c r="GHL372" s="132"/>
      <c r="GHM372" s="132"/>
      <c r="GHN372" s="132"/>
      <c r="GHO372" s="132"/>
      <c r="GHP372" s="132"/>
      <c r="GHQ372" s="132"/>
      <c r="GHR372" s="132"/>
      <c r="GHS372" s="132"/>
      <c r="GHT372" s="132"/>
      <c r="GHU372" s="132"/>
      <c r="GHV372" s="132"/>
      <c r="GHW372" s="132"/>
      <c r="GHX372" s="132"/>
      <c r="GHY372" s="132"/>
      <c r="GHZ372" s="132"/>
      <c r="GIA372" s="132"/>
      <c r="GIB372" s="132"/>
      <c r="GIC372" s="132"/>
      <c r="GID372" s="132"/>
      <c r="GIE372" s="132"/>
      <c r="GIF372" s="132"/>
      <c r="GIG372" s="132"/>
      <c r="GIH372" s="132"/>
      <c r="GII372" s="132"/>
      <c r="GIJ372" s="132"/>
      <c r="GIK372" s="132"/>
      <c r="GIL372" s="132"/>
      <c r="GIM372" s="132"/>
      <c r="GIN372" s="132"/>
      <c r="GIO372" s="132"/>
      <c r="GIP372" s="132"/>
      <c r="GIQ372" s="132"/>
      <c r="GIR372" s="132"/>
      <c r="GIS372" s="132"/>
      <c r="GIT372" s="132"/>
      <c r="GIU372" s="132"/>
      <c r="GIV372" s="132"/>
      <c r="GIW372" s="132"/>
      <c r="GIX372" s="132"/>
      <c r="GIY372" s="132"/>
      <c r="GIZ372" s="132"/>
      <c r="GJA372" s="132"/>
      <c r="GJB372" s="132"/>
      <c r="GJC372" s="132"/>
      <c r="GJD372" s="132"/>
      <c r="GJE372" s="132"/>
      <c r="GJF372" s="132"/>
      <c r="GJG372" s="132"/>
      <c r="GJH372" s="132"/>
      <c r="GJI372" s="132"/>
      <c r="GJJ372" s="132"/>
      <c r="GJK372" s="132"/>
      <c r="GJL372" s="132"/>
      <c r="GJM372" s="132"/>
      <c r="GJN372" s="132"/>
      <c r="GJO372" s="132"/>
      <c r="GJP372" s="132"/>
      <c r="GJQ372" s="132"/>
      <c r="GJR372" s="132"/>
      <c r="GJS372" s="132"/>
      <c r="GJT372" s="132"/>
      <c r="GJU372" s="132"/>
      <c r="GJV372" s="132"/>
      <c r="GJW372" s="132"/>
      <c r="GJX372" s="132"/>
      <c r="GJY372" s="132"/>
      <c r="GJZ372" s="132"/>
      <c r="GKA372" s="132"/>
      <c r="GKB372" s="132"/>
      <c r="GKC372" s="132"/>
      <c r="GKD372" s="132"/>
      <c r="GKE372" s="132"/>
      <c r="GKF372" s="132"/>
      <c r="GKG372" s="132"/>
      <c r="GKH372" s="132"/>
      <c r="GKI372" s="132"/>
      <c r="GKJ372" s="132"/>
      <c r="GKK372" s="132"/>
      <c r="GKL372" s="132"/>
      <c r="GKM372" s="132"/>
      <c r="GKN372" s="132"/>
      <c r="GKO372" s="132"/>
      <c r="GKP372" s="132"/>
      <c r="GKQ372" s="132"/>
      <c r="GKR372" s="132"/>
      <c r="GKS372" s="132"/>
      <c r="GKT372" s="132"/>
      <c r="GKU372" s="132"/>
      <c r="GKV372" s="132"/>
      <c r="GKW372" s="132"/>
      <c r="GKX372" s="132"/>
      <c r="GKY372" s="132"/>
      <c r="GKZ372" s="132"/>
      <c r="GLA372" s="132"/>
      <c r="GLB372" s="132"/>
      <c r="GLC372" s="132"/>
      <c r="GLD372" s="132"/>
      <c r="GLE372" s="132"/>
      <c r="GLF372" s="132"/>
      <c r="GLG372" s="132"/>
      <c r="GLH372" s="132"/>
      <c r="GLI372" s="132"/>
      <c r="GLJ372" s="132"/>
      <c r="GLK372" s="132"/>
      <c r="GLL372" s="132"/>
      <c r="GLM372" s="132"/>
      <c r="GLN372" s="132"/>
      <c r="GLO372" s="132"/>
      <c r="GLP372" s="132"/>
      <c r="GLQ372" s="132"/>
      <c r="GLR372" s="132"/>
      <c r="GLS372" s="132"/>
      <c r="GLT372" s="132"/>
      <c r="GLU372" s="132"/>
      <c r="GLV372" s="132"/>
      <c r="GLW372" s="132"/>
      <c r="GLX372" s="132"/>
      <c r="GLY372" s="132"/>
      <c r="GLZ372" s="132"/>
      <c r="GMA372" s="132"/>
      <c r="GMB372" s="132"/>
      <c r="GMC372" s="132"/>
      <c r="GMD372" s="132"/>
      <c r="GME372" s="132"/>
      <c r="GMF372" s="132"/>
      <c r="GMG372" s="132"/>
      <c r="GMH372" s="132"/>
      <c r="GMI372" s="132"/>
      <c r="GMJ372" s="132"/>
      <c r="GMK372" s="132"/>
      <c r="GML372" s="132"/>
      <c r="GMM372" s="132"/>
      <c r="GMN372" s="132"/>
      <c r="GMO372" s="132"/>
      <c r="GMP372" s="132"/>
      <c r="GMQ372" s="132"/>
      <c r="GMR372" s="132"/>
      <c r="GMS372" s="132"/>
      <c r="GMT372" s="132"/>
      <c r="GMU372" s="132"/>
      <c r="GMV372" s="132"/>
      <c r="GMW372" s="132"/>
      <c r="GMX372" s="132"/>
      <c r="GMY372" s="132"/>
      <c r="GMZ372" s="132"/>
      <c r="GNA372" s="132"/>
      <c r="GNB372" s="132"/>
      <c r="GNC372" s="132"/>
      <c r="GND372" s="132"/>
      <c r="GNE372" s="132"/>
      <c r="GNF372" s="132"/>
      <c r="GNG372" s="132"/>
      <c r="GNH372" s="132"/>
      <c r="GNI372" s="132"/>
      <c r="GNJ372" s="132"/>
      <c r="GNK372" s="132"/>
      <c r="GNL372" s="132"/>
      <c r="GNM372" s="132"/>
      <c r="GNN372" s="132"/>
      <c r="GNO372" s="132"/>
      <c r="GNP372" s="132"/>
      <c r="GNQ372" s="132"/>
      <c r="GNR372" s="132"/>
      <c r="GNS372" s="132"/>
      <c r="GNT372" s="132"/>
      <c r="GNU372" s="132"/>
      <c r="GNV372" s="132"/>
      <c r="GNW372" s="132"/>
      <c r="GNX372" s="132"/>
      <c r="GNY372" s="132"/>
      <c r="GNZ372" s="132"/>
      <c r="GOA372" s="132"/>
      <c r="GOB372" s="132"/>
      <c r="GOC372" s="132"/>
      <c r="GOD372" s="132"/>
      <c r="GOE372" s="132"/>
      <c r="GOF372" s="132"/>
      <c r="GOG372" s="132"/>
      <c r="GOH372" s="132"/>
      <c r="GOI372" s="132"/>
      <c r="GOJ372" s="132"/>
      <c r="GOK372" s="132"/>
      <c r="GOL372" s="132"/>
      <c r="GOM372" s="132"/>
      <c r="GON372" s="132"/>
      <c r="GOO372" s="132"/>
      <c r="GOP372" s="132"/>
      <c r="GOQ372" s="132"/>
      <c r="GOR372" s="132"/>
      <c r="GOS372" s="132"/>
      <c r="GOT372" s="132"/>
      <c r="GOU372" s="132"/>
      <c r="GOV372" s="132"/>
      <c r="GOW372" s="132"/>
      <c r="GOX372" s="132"/>
      <c r="GOY372" s="132"/>
      <c r="GOZ372" s="132"/>
      <c r="GPA372" s="132"/>
      <c r="GPB372" s="132"/>
      <c r="GPC372" s="132"/>
      <c r="GPD372" s="132"/>
      <c r="GPE372" s="132"/>
      <c r="GPF372" s="132"/>
      <c r="GPG372" s="132"/>
      <c r="GPH372" s="132"/>
      <c r="GPI372" s="132"/>
      <c r="GPJ372" s="132"/>
      <c r="GPK372" s="132"/>
      <c r="GPL372" s="132"/>
      <c r="GPM372" s="132"/>
      <c r="GPN372" s="132"/>
      <c r="GPO372" s="132"/>
      <c r="GPP372" s="132"/>
      <c r="GPQ372" s="132"/>
      <c r="GPR372" s="132"/>
      <c r="GPS372" s="132"/>
      <c r="GPT372" s="132"/>
      <c r="GPU372" s="132"/>
      <c r="GPV372" s="132"/>
      <c r="GPW372" s="132"/>
      <c r="GPX372" s="132"/>
      <c r="GPY372" s="132"/>
      <c r="GPZ372" s="132"/>
      <c r="GQA372" s="132"/>
      <c r="GQB372" s="132"/>
      <c r="GQC372" s="132"/>
      <c r="GQD372" s="132"/>
      <c r="GQE372" s="132"/>
      <c r="GQF372" s="132"/>
      <c r="GQG372" s="132"/>
      <c r="GQH372" s="132"/>
      <c r="GQI372" s="132"/>
      <c r="GQJ372" s="132"/>
      <c r="GQK372" s="132"/>
      <c r="GQL372" s="132"/>
      <c r="GQM372" s="132"/>
      <c r="GQN372" s="132"/>
      <c r="GQO372" s="132"/>
      <c r="GQP372" s="132"/>
      <c r="GQQ372" s="132"/>
      <c r="GQR372" s="132"/>
      <c r="GQS372" s="132"/>
      <c r="GQT372" s="132"/>
      <c r="GQU372" s="132"/>
      <c r="GQV372" s="132"/>
      <c r="GQW372" s="132"/>
      <c r="GQX372" s="132"/>
      <c r="GQY372" s="132"/>
      <c r="GQZ372" s="132"/>
      <c r="GRA372" s="132"/>
      <c r="GRB372" s="132"/>
      <c r="GRC372" s="132"/>
      <c r="GRD372" s="132"/>
      <c r="GRE372" s="132"/>
      <c r="GRF372" s="132"/>
      <c r="GRG372" s="132"/>
      <c r="GRH372" s="132"/>
      <c r="GRI372" s="132"/>
      <c r="GRJ372" s="132"/>
      <c r="GRK372" s="132"/>
      <c r="GRL372" s="132"/>
      <c r="GRM372" s="132"/>
      <c r="GRN372" s="132"/>
      <c r="GRO372" s="132"/>
      <c r="GRP372" s="132"/>
      <c r="GRQ372" s="132"/>
      <c r="GRR372" s="132"/>
      <c r="GRS372" s="132"/>
      <c r="GRT372" s="132"/>
      <c r="GRU372" s="132"/>
      <c r="GRV372" s="132"/>
      <c r="GRW372" s="132"/>
      <c r="GRX372" s="132"/>
      <c r="GRY372" s="132"/>
      <c r="GRZ372" s="132"/>
      <c r="GSA372" s="132"/>
      <c r="GSB372" s="132"/>
      <c r="GSC372" s="132"/>
      <c r="GSD372" s="132"/>
      <c r="GSE372" s="132"/>
      <c r="GSF372" s="132"/>
      <c r="GSG372" s="132"/>
      <c r="GSH372" s="132"/>
      <c r="GSI372" s="132"/>
      <c r="GSJ372" s="132"/>
      <c r="GSK372" s="132"/>
      <c r="GSL372" s="132"/>
      <c r="GSM372" s="132"/>
      <c r="GSN372" s="132"/>
      <c r="GSO372" s="132"/>
      <c r="GSP372" s="132"/>
      <c r="GSQ372" s="132"/>
      <c r="GSR372" s="132"/>
      <c r="GSS372" s="132"/>
      <c r="GST372" s="132"/>
      <c r="GSU372" s="132"/>
      <c r="GSV372" s="132"/>
      <c r="GSW372" s="132"/>
      <c r="GSX372" s="132"/>
      <c r="GSY372" s="132"/>
      <c r="GSZ372" s="132"/>
      <c r="GTA372" s="132"/>
      <c r="GTB372" s="132"/>
      <c r="GTC372" s="132"/>
      <c r="GTD372" s="132"/>
      <c r="GTE372" s="132"/>
      <c r="GTF372" s="132"/>
      <c r="GTG372" s="132"/>
      <c r="GTH372" s="132"/>
      <c r="GTI372" s="132"/>
      <c r="GTJ372" s="132"/>
      <c r="GTK372" s="132"/>
      <c r="GTL372" s="132"/>
      <c r="GTM372" s="132"/>
      <c r="GTN372" s="132"/>
      <c r="GTO372" s="132"/>
      <c r="GTP372" s="132"/>
      <c r="GTQ372" s="132"/>
      <c r="GTR372" s="132"/>
      <c r="GTS372" s="132"/>
      <c r="GTT372" s="132"/>
      <c r="GTU372" s="132"/>
      <c r="GTV372" s="132"/>
      <c r="GTW372" s="132"/>
      <c r="GTX372" s="132"/>
      <c r="GTY372" s="132"/>
      <c r="GTZ372" s="132"/>
      <c r="GUA372" s="132"/>
      <c r="GUB372" s="132"/>
      <c r="GUC372" s="132"/>
      <c r="GUD372" s="132"/>
      <c r="GUE372" s="132"/>
      <c r="GUF372" s="132"/>
      <c r="GUG372" s="132"/>
      <c r="GUH372" s="132"/>
      <c r="GUI372" s="132"/>
      <c r="GUJ372" s="132"/>
      <c r="GUK372" s="132"/>
      <c r="GUL372" s="132"/>
      <c r="GUM372" s="132"/>
      <c r="GUN372" s="132"/>
      <c r="GUO372" s="132"/>
      <c r="GUP372" s="132"/>
      <c r="GUQ372" s="132"/>
      <c r="GUR372" s="132"/>
      <c r="GUS372" s="132"/>
      <c r="GUT372" s="132"/>
      <c r="GUU372" s="132"/>
      <c r="GUV372" s="132"/>
      <c r="GUW372" s="132"/>
      <c r="GUX372" s="132"/>
      <c r="GUY372" s="132"/>
      <c r="GUZ372" s="132"/>
      <c r="GVA372" s="132"/>
      <c r="GVB372" s="132"/>
      <c r="GVC372" s="132"/>
      <c r="GVD372" s="132"/>
      <c r="GVE372" s="132"/>
      <c r="GVF372" s="132"/>
      <c r="GVG372" s="132"/>
      <c r="GVH372" s="132"/>
      <c r="GVI372" s="132"/>
      <c r="GVJ372" s="132"/>
      <c r="GVK372" s="132"/>
      <c r="GVL372" s="132"/>
      <c r="GVM372" s="132"/>
      <c r="GVN372" s="132"/>
      <c r="GVO372" s="132"/>
      <c r="GVP372" s="132"/>
      <c r="GVQ372" s="132"/>
      <c r="GVR372" s="132"/>
      <c r="GVS372" s="132"/>
      <c r="GVT372" s="132"/>
      <c r="GVU372" s="132"/>
      <c r="GVV372" s="132"/>
      <c r="GVW372" s="132"/>
      <c r="GVX372" s="132"/>
      <c r="GVY372" s="132"/>
      <c r="GVZ372" s="132"/>
      <c r="GWA372" s="132"/>
      <c r="GWB372" s="132"/>
      <c r="GWC372" s="132"/>
      <c r="GWD372" s="132"/>
      <c r="GWE372" s="132"/>
      <c r="GWF372" s="132"/>
      <c r="GWG372" s="132"/>
      <c r="GWH372" s="132"/>
      <c r="GWI372" s="132"/>
      <c r="GWJ372" s="132"/>
      <c r="GWK372" s="132"/>
      <c r="GWL372" s="132"/>
      <c r="GWM372" s="132"/>
      <c r="GWN372" s="132"/>
      <c r="GWO372" s="132"/>
      <c r="GWP372" s="132"/>
      <c r="GWQ372" s="132"/>
      <c r="GWR372" s="132"/>
      <c r="GWS372" s="132"/>
      <c r="GWT372" s="132"/>
      <c r="GWU372" s="132"/>
      <c r="GWV372" s="132"/>
      <c r="GWW372" s="132"/>
      <c r="GWX372" s="132"/>
      <c r="GWY372" s="132"/>
      <c r="GWZ372" s="132"/>
      <c r="GXA372" s="132"/>
      <c r="GXB372" s="132"/>
      <c r="GXC372" s="132"/>
      <c r="GXD372" s="132"/>
      <c r="GXE372" s="132"/>
      <c r="GXF372" s="132"/>
      <c r="GXG372" s="132"/>
      <c r="GXH372" s="132"/>
      <c r="GXI372" s="132"/>
      <c r="GXJ372" s="132"/>
      <c r="GXK372" s="132"/>
      <c r="GXL372" s="132"/>
      <c r="GXM372" s="132"/>
      <c r="GXN372" s="132"/>
      <c r="GXO372" s="132"/>
      <c r="GXP372" s="132"/>
      <c r="GXQ372" s="132"/>
      <c r="GXR372" s="132"/>
      <c r="GXS372" s="132"/>
      <c r="GXT372" s="132"/>
      <c r="GXU372" s="132"/>
      <c r="GXV372" s="132"/>
      <c r="GXW372" s="132"/>
      <c r="GXX372" s="132"/>
      <c r="GXY372" s="132"/>
      <c r="GXZ372" s="132"/>
      <c r="GYA372" s="132"/>
      <c r="GYB372" s="132"/>
      <c r="GYC372" s="132"/>
      <c r="GYD372" s="132"/>
      <c r="GYE372" s="132"/>
      <c r="GYF372" s="132"/>
      <c r="GYG372" s="132"/>
      <c r="GYH372" s="132"/>
      <c r="GYI372" s="132"/>
      <c r="GYJ372" s="132"/>
      <c r="GYK372" s="132"/>
      <c r="GYL372" s="132"/>
      <c r="GYM372" s="132"/>
      <c r="GYN372" s="132"/>
      <c r="GYO372" s="132"/>
      <c r="GYP372" s="132"/>
      <c r="GYQ372" s="132"/>
      <c r="GYR372" s="132"/>
      <c r="GYS372" s="132"/>
      <c r="GYT372" s="132"/>
      <c r="GYU372" s="132"/>
      <c r="GYV372" s="132"/>
      <c r="GYW372" s="132"/>
      <c r="GYX372" s="132"/>
      <c r="GYY372" s="132"/>
      <c r="GYZ372" s="132"/>
      <c r="GZA372" s="132"/>
      <c r="GZB372" s="132"/>
      <c r="GZC372" s="132"/>
      <c r="GZD372" s="132"/>
      <c r="GZE372" s="132"/>
      <c r="GZF372" s="132"/>
      <c r="GZG372" s="132"/>
      <c r="GZH372" s="132"/>
      <c r="GZI372" s="132"/>
      <c r="GZJ372" s="132"/>
      <c r="GZK372" s="132"/>
      <c r="GZL372" s="132"/>
      <c r="GZM372" s="132"/>
      <c r="GZN372" s="132"/>
      <c r="GZO372" s="132"/>
      <c r="GZP372" s="132"/>
      <c r="GZQ372" s="132"/>
      <c r="GZR372" s="132"/>
      <c r="GZS372" s="132"/>
      <c r="GZT372" s="132"/>
      <c r="GZU372" s="132"/>
      <c r="GZV372" s="132"/>
      <c r="GZW372" s="132"/>
      <c r="GZX372" s="132"/>
      <c r="GZY372" s="132"/>
      <c r="GZZ372" s="132"/>
      <c r="HAA372" s="132"/>
      <c r="HAB372" s="132"/>
      <c r="HAC372" s="132"/>
      <c r="HAD372" s="132"/>
      <c r="HAE372" s="132"/>
      <c r="HAF372" s="132"/>
      <c r="HAG372" s="132"/>
      <c r="HAH372" s="132"/>
      <c r="HAI372" s="132"/>
      <c r="HAJ372" s="132"/>
      <c r="HAK372" s="132"/>
      <c r="HAL372" s="132"/>
      <c r="HAM372" s="132"/>
      <c r="HAN372" s="132"/>
      <c r="HAO372" s="132"/>
      <c r="HAP372" s="132"/>
      <c r="HAQ372" s="132"/>
      <c r="HAR372" s="132"/>
      <c r="HAS372" s="132"/>
      <c r="HAT372" s="132"/>
      <c r="HAU372" s="132"/>
      <c r="HAV372" s="132"/>
      <c r="HAW372" s="132"/>
      <c r="HAX372" s="132"/>
      <c r="HAY372" s="132"/>
      <c r="HAZ372" s="132"/>
      <c r="HBA372" s="132"/>
      <c r="HBB372" s="132"/>
      <c r="HBC372" s="132"/>
      <c r="HBD372" s="132"/>
      <c r="HBE372" s="132"/>
      <c r="HBF372" s="132"/>
      <c r="HBG372" s="132"/>
      <c r="HBH372" s="132"/>
      <c r="HBI372" s="132"/>
      <c r="HBJ372" s="132"/>
      <c r="HBK372" s="132"/>
      <c r="HBL372" s="132"/>
      <c r="HBM372" s="132"/>
      <c r="HBN372" s="132"/>
      <c r="HBO372" s="132"/>
      <c r="HBP372" s="132"/>
      <c r="HBQ372" s="132"/>
      <c r="HBR372" s="132"/>
      <c r="HBS372" s="132"/>
      <c r="HBT372" s="132"/>
      <c r="HBU372" s="132"/>
      <c r="HBV372" s="132"/>
      <c r="HBW372" s="132"/>
      <c r="HBX372" s="132"/>
      <c r="HBY372" s="132"/>
      <c r="HBZ372" s="132"/>
      <c r="HCA372" s="132"/>
      <c r="HCB372" s="132"/>
      <c r="HCC372" s="132"/>
      <c r="HCD372" s="132"/>
      <c r="HCE372" s="132"/>
      <c r="HCF372" s="132"/>
      <c r="HCG372" s="132"/>
      <c r="HCH372" s="132"/>
      <c r="HCI372" s="132"/>
      <c r="HCJ372" s="132"/>
      <c r="HCK372" s="132"/>
      <c r="HCL372" s="132"/>
      <c r="HCM372" s="132"/>
      <c r="HCN372" s="132"/>
      <c r="HCO372" s="132"/>
      <c r="HCP372" s="132"/>
      <c r="HCQ372" s="132"/>
      <c r="HCR372" s="132"/>
      <c r="HCS372" s="132"/>
      <c r="HCT372" s="132"/>
      <c r="HCU372" s="132"/>
      <c r="HCV372" s="132"/>
      <c r="HCW372" s="132"/>
      <c r="HCX372" s="132"/>
      <c r="HCY372" s="132"/>
      <c r="HCZ372" s="132"/>
      <c r="HDA372" s="132"/>
      <c r="HDB372" s="132"/>
      <c r="HDC372" s="132"/>
      <c r="HDD372" s="132"/>
      <c r="HDE372" s="132"/>
      <c r="HDF372" s="132"/>
      <c r="HDG372" s="132"/>
      <c r="HDH372" s="132"/>
      <c r="HDI372" s="132"/>
      <c r="HDJ372" s="132"/>
      <c r="HDK372" s="132"/>
      <c r="HDL372" s="132"/>
      <c r="HDM372" s="132"/>
      <c r="HDN372" s="132"/>
      <c r="HDO372" s="132"/>
      <c r="HDP372" s="132"/>
      <c r="HDQ372" s="132"/>
      <c r="HDR372" s="132"/>
      <c r="HDS372" s="132"/>
      <c r="HDT372" s="132"/>
      <c r="HDU372" s="132"/>
      <c r="HDV372" s="132"/>
      <c r="HDW372" s="132"/>
      <c r="HDX372" s="132"/>
      <c r="HDY372" s="132"/>
      <c r="HDZ372" s="132"/>
      <c r="HEA372" s="132"/>
      <c r="HEB372" s="132"/>
      <c r="HEC372" s="132"/>
      <c r="HED372" s="132"/>
      <c r="HEE372" s="132"/>
      <c r="HEF372" s="132"/>
      <c r="HEG372" s="132"/>
      <c r="HEH372" s="132"/>
      <c r="HEI372" s="132"/>
      <c r="HEJ372" s="132"/>
      <c r="HEK372" s="132"/>
      <c r="HEL372" s="132"/>
      <c r="HEM372" s="132"/>
      <c r="HEN372" s="132"/>
      <c r="HEO372" s="132"/>
      <c r="HEP372" s="132"/>
      <c r="HEQ372" s="132"/>
      <c r="HER372" s="132"/>
      <c r="HES372" s="132"/>
      <c r="HET372" s="132"/>
      <c r="HEU372" s="132"/>
      <c r="HEV372" s="132"/>
      <c r="HEW372" s="132"/>
      <c r="HEX372" s="132"/>
      <c r="HEY372" s="132"/>
      <c r="HEZ372" s="132"/>
      <c r="HFA372" s="132"/>
      <c r="HFB372" s="132"/>
      <c r="HFC372" s="132"/>
      <c r="HFD372" s="132"/>
      <c r="HFE372" s="132"/>
      <c r="HFF372" s="132"/>
      <c r="HFG372" s="132"/>
      <c r="HFH372" s="132"/>
      <c r="HFI372" s="132"/>
      <c r="HFJ372" s="132"/>
      <c r="HFK372" s="132"/>
      <c r="HFL372" s="132"/>
      <c r="HFM372" s="132"/>
      <c r="HFN372" s="132"/>
      <c r="HFO372" s="132"/>
      <c r="HFP372" s="132"/>
      <c r="HFQ372" s="132"/>
      <c r="HFR372" s="132"/>
      <c r="HFS372" s="132"/>
      <c r="HFT372" s="132"/>
      <c r="HFU372" s="132"/>
      <c r="HFV372" s="132"/>
      <c r="HFW372" s="132"/>
      <c r="HFX372" s="132"/>
      <c r="HFY372" s="132"/>
      <c r="HFZ372" s="132"/>
      <c r="HGA372" s="132"/>
      <c r="HGB372" s="132"/>
      <c r="HGC372" s="132"/>
      <c r="HGD372" s="132"/>
      <c r="HGE372" s="132"/>
      <c r="HGF372" s="132"/>
      <c r="HGG372" s="132"/>
      <c r="HGH372" s="132"/>
      <c r="HGI372" s="132"/>
      <c r="HGJ372" s="132"/>
      <c r="HGK372" s="132"/>
      <c r="HGL372" s="132"/>
      <c r="HGM372" s="132"/>
      <c r="HGN372" s="132"/>
      <c r="HGO372" s="132"/>
      <c r="HGP372" s="132"/>
      <c r="HGQ372" s="132"/>
      <c r="HGR372" s="132"/>
      <c r="HGS372" s="132"/>
      <c r="HGT372" s="132"/>
      <c r="HGU372" s="132"/>
      <c r="HGV372" s="132"/>
      <c r="HGW372" s="132"/>
      <c r="HGX372" s="132"/>
      <c r="HGY372" s="132"/>
      <c r="HGZ372" s="132"/>
      <c r="HHA372" s="132"/>
      <c r="HHB372" s="132"/>
      <c r="HHC372" s="132"/>
      <c r="HHD372" s="132"/>
      <c r="HHE372" s="132"/>
      <c r="HHF372" s="132"/>
      <c r="HHG372" s="132"/>
      <c r="HHH372" s="132"/>
      <c r="HHI372" s="132"/>
      <c r="HHJ372" s="132"/>
      <c r="HHK372" s="132"/>
      <c r="HHL372" s="132"/>
      <c r="HHM372" s="132"/>
      <c r="HHN372" s="132"/>
      <c r="HHO372" s="132"/>
      <c r="HHP372" s="132"/>
      <c r="HHQ372" s="132"/>
      <c r="HHR372" s="132"/>
      <c r="HHS372" s="132"/>
      <c r="HHT372" s="132"/>
      <c r="HHU372" s="132"/>
      <c r="HHV372" s="132"/>
      <c r="HHW372" s="132"/>
      <c r="HHX372" s="132"/>
      <c r="HHY372" s="132"/>
      <c r="HHZ372" s="132"/>
      <c r="HIA372" s="132"/>
      <c r="HIB372" s="132"/>
      <c r="HIC372" s="132"/>
      <c r="HID372" s="132"/>
      <c r="HIE372" s="132"/>
      <c r="HIF372" s="132"/>
      <c r="HIG372" s="132"/>
      <c r="HIH372" s="132"/>
      <c r="HII372" s="132"/>
      <c r="HIJ372" s="132"/>
      <c r="HIK372" s="132"/>
      <c r="HIL372" s="132"/>
      <c r="HIM372" s="132"/>
      <c r="HIN372" s="132"/>
      <c r="HIO372" s="132"/>
      <c r="HIP372" s="132"/>
      <c r="HIQ372" s="132"/>
      <c r="HIR372" s="132"/>
      <c r="HIS372" s="132"/>
      <c r="HIT372" s="132"/>
      <c r="HIU372" s="132"/>
      <c r="HIV372" s="132"/>
      <c r="HIW372" s="132"/>
      <c r="HIX372" s="132"/>
      <c r="HIY372" s="132"/>
      <c r="HIZ372" s="132"/>
      <c r="HJA372" s="132"/>
      <c r="HJB372" s="132"/>
      <c r="HJC372" s="132"/>
      <c r="HJD372" s="132"/>
      <c r="HJE372" s="132"/>
      <c r="HJF372" s="132"/>
      <c r="HJG372" s="132"/>
      <c r="HJH372" s="132"/>
      <c r="HJI372" s="132"/>
      <c r="HJJ372" s="132"/>
      <c r="HJK372" s="132"/>
      <c r="HJL372" s="132"/>
      <c r="HJM372" s="132"/>
      <c r="HJN372" s="132"/>
      <c r="HJO372" s="132"/>
      <c r="HJP372" s="132"/>
      <c r="HJQ372" s="132"/>
      <c r="HJR372" s="132"/>
      <c r="HJS372" s="132"/>
      <c r="HJT372" s="132"/>
      <c r="HJU372" s="132"/>
      <c r="HJV372" s="132"/>
      <c r="HJW372" s="132"/>
      <c r="HJX372" s="132"/>
      <c r="HJY372" s="132"/>
      <c r="HJZ372" s="132"/>
      <c r="HKA372" s="132"/>
      <c r="HKB372" s="132"/>
      <c r="HKC372" s="132"/>
      <c r="HKD372" s="132"/>
      <c r="HKE372" s="132"/>
      <c r="HKF372" s="132"/>
      <c r="HKG372" s="132"/>
      <c r="HKH372" s="132"/>
      <c r="HKI372" s="132"/>
      <c r="HKJ372" s="132"/>
      <c r="HKK372" s="132"/>
      <c r="HKL372" s="132"/>
      <c r="HKM372" s="132"/>
      <c r="HKN372" s="132"/>
      <c r="HKO372" s="132"/>
      <c r="HKP372" s="132"/>
      <c r="HKQ372" s="132"/>
      <c r="HKR372" s="132"/>
      <c r="HKS372" s="132"/>
      <c r="HKT372" s="132"/>
      <c r="HKU372" s="132"/>
      <c r="HKV372" s="132"/>
      <c r="HKW372" s="132"/>
      <c r="HKX372" s="132"/>
      <c r="HKY372" s="132"/>
      <c r="HKZ372" s="132"/>
      <c r="HLA372" s="132"/>
      <c r="HLB372" s="132"/>
      <c r="HLC372" s="132"/>
      <c r="HLD372" s="132"/>
      <c r="HLE372" s="132"/>
      <c r="HLF372" s="132"/>
      <c r="HLG372" s="132"/>
      <c r="HLH372" s="132"/>
      <c r="HLI372" s="132"/>
      <c r="HLJ372" s="132"/>
      <c r="HLK372" s="132"/>
      <c r="HLL372" s="132"/>
      <c r="HLM372" s="132"/>
      <c r="HLN372" s="132"/>
      <c r="HLO372" s="132"/>
      <c r="HLP372" s="132"/>
      <c r="HLQ372" s="132"/>
      <c r="HLR372" s="132"/>
      <c r="HLS372" s="132"/>
      <c r="HLT372" s="132"/>
      <c r="HLU372" s="132"/>
      <c r="HLV372" s="132"/>
      <c r="HLW372" s="132"/>
      <c r="HLX372" s="132"/>
      <c r="HLY372" s="132"/>
      <c r="HLZ372" s="132"/>
      <c r="HMA372" s="132"/>
      <c r="HMB372" s="132"/>
      <c r="HMC372" s="132"/>
      <c r="HMD372" s="132"/>
      <c r="HME372" s="132"/>
      <c r="HMF372" s="132"/>
      <c r="HMG372" s="132"/>
      <c r="HMH372" s="132"/>
      <c r="HMI372" s="132"/>
      <c r="HMJ372" s="132"/>
      <c r="HMK372" s="132"/>
      <c r="HML372" s="132"/>
      <c r="HMM372" s="132"/>
      <c r="HMN372" s="132"/>
      <c r="HMO372" s="132"/>
      <c r="HMP372" s="132"/>
      <c r="HMQ372" s="132"/>
      <c r="HMR372" s="132"/>
      <c r="HMS372" s="132"/>
      <c r="HMT372" s="132"/>
      <c r="HMU372" s="132"/>
      <c r="HMV372" s="132"/>
      <c r="HMW372" s="132"/>
      <c r="HMX372" s="132"/>
      <c r="HMY372" s="132"/>
      <c r="HMZ372" s="132"/>
      <c r="HNA372" s="132"/>
      <c r="HNB372" s="132"/>
      <c r="HNC372" s="132"/>
      <c r="HND372" s="132"/>
      <c r="HNE372" s="132"/>
      <c r="HNF372" s="132"/>
      <c r="HNG372" s="132"/>
      <c r="HNH372" s="132"/>
      <c r="HNI372" s="132"/>
      <c r="HNJ372" s="132"/>
      <c r="HNK372" s="132"/>
      <c r="HNL372" s="132"/>
      <c r="HNM372" s="132"/>
      <c r="HNN372" s="132"/>
      <c r="HNO372" s="132"/>
      <c r="HNP372" s="132"/>
      <c r="HNQ372" s="132"/>
      <c r="HNR372" s="132"/>
      <c r="HNS372" s="132"/>
      <c r="HNT372" s="132"/>
      <c r="HNU372" s="132"/>
      <c r="HNV372" s="132"/>
      <c r="HNW372" s="132"/>
      <c r="HNX372" s="132"/>
      <c r="HNY372" s="132"/>
      <c r="HNZ372" s="132"/>
      <c r="HOA372" s="132"/>
      <c r="HOB372" s="132"/>
      <c r="HOC372" s="132"/>
      <c r="HOD372" s="132"/>
      <c r="HOE372" s="132"/>
      <c r="HOF372" s="132"/>
      <c r="HOG372" s="132"/>
      <c r="HOH372" s="132"/>
      <c r="HOI372" s="132"/>
      <c r="HOJ372" s="132"/>
      <c r="HOK372" s="132"/>
      <c r="HOL372" s="132"/>
      <c r="HOM372" s="132"/>
      <c r="HON372" s="132"/>
      <c r="HOO372" s="132"/>
      <c r="HOP372" s="132"/>
      <c r="HOQ372" s="132"/>
      <c r="HOR372" s="132"/>
      <c r="HOS372" s="132"/>
      <c r="HOT372" s="132"/>
      <c r="HOU372" s="132"/>
      <c r="HOV372" s="132"/>
      <c r="HOW372" s="132"/>
      <c r="HOX372" s="132"/>
      <c r="HOY372" s="132"/>
      <c r="HOZ372" s="132"/>
      <c r="HPA372" s="132"/>
      <c r="HPB372" s="132"/>
      <c r="HPC372" s="132"/>
      <c r="HPD372" s="132"/>
      <c r="HPE372" s="132"/>
      <c r="HPF372" s="132"/>
      <c r="HPG372" s="132"/>
      <c r="HPH372" s="132"/>
      <c r="HPI372" s="132"/>
      <c r="HPJ372" s="132"/>
      <c r="HPK372" s="132"/>
      <c r="HPL372" s="132"/>
      <c r="HPM372" s="132"/>
      <c r="HPN372" s="132"/>
      <c r="HPO372" s="132"/>
      <c r="HPP372" s="132"/>
      <c r="HPQ372" s="132"/>
      <c r="HPR372" s="132"/>
      <c r="HPS372" s="132"/>
      <c r="HPT372" s="132"/>
      <c r="HPU372" s="132"/>
      <c r="HPV372" s="132"/>
      <c r="HPW372" s="132"/>
      <c r="HPX372" s="132"/>
      <c r="HPY372" s="132"/>
      <c r="HPZ372" s="132"/>
      <c r="HQA372" s="132"/>
      <c r="HQB372" s="132"/>
      <c r="HQC372" s="132"/>
      <c r="HQD372" s="132"/>
      <c r="HQE372" s="132"/>
      <c r="HQF372" s="132"/>
      <c r="HQG372" s="132"/>
      <c r="HQH372" s="132"/>
      <c r="HQI372" s="132"/>
      <c r="HQJ372" s="132"/>
      <c r="HQK372" s="132"/>
      <c r="HQL372" s="132"/>
      <c r="HQM372" s="132"/>
      <c r="HQN372" s="132"/>
      <c r="HQO372" s="132"/>
      <c r="HQP372" s="132"/>
      <c r="HQQ372" s="132"/>
      <c r="HQR372" s="132"/>
      <c r="HQS372" s="132"/>
      <c r="HQT372" s="132"/>
      <c r="HQU372" s="132"/>
      <c r="HQV372" s="132"/>
      <c r="HQW372" s="132"/>
      <c r="HQX372" s="132"/>
      <c r="HQY372" s="132"/>
      <c r="HQZ372" s="132"/>
      <c r="HRA372" s="132"/>
      <c r="HRB372" s="132"/>
      <c r="HRC372" s="132"/>
      <c r="HRD372" s="132"/>
      <c r="HRE372" s="132"/>
      <c r="HRF372" s="132"/>
      <c r="HRG372" s="132"/>
      <c r="HRH372" s="132"/>
      <c r="HRI372" s="132"/>
      <c r="HRJ372" s="132"/>
      <c r="HRK372" s="132"/>
      <c r="HRL372" s="132"/>
      <c r="HRM372" s="132"/>
      <c r="HRN372" s="132"/>
      <c r="HRO372" s="132"/>
      <c r="HRP372" s="132"/>
      <c r="HRQ372" s="132"/>
      <c r="HRR372" s="132"/>
      <c r="HRS372" s="132"/>
      <c r="HRT372" s="132"/>
      <c r="HRU372" s="132"/>
      <c r="HRV372" s="132"/>
      <c r="HRW372" s="132"/>
      <c r="HRX372" s="132"/>
      <c r="HRY372" s="132"/>
      <c r="HRZ372" s="132"/>
      <c r="HSA372" s="132"/>
      <c r="HSB372" s="132"/>
      <c r="HSC372" s="132"/>
      <c r="HSD372" s="132"/>
      <c r="HSE372" s="132"/>
      <c r="HSF372" s="132"/>
      <c r="HSG372" s="132"/>
      <c r="HSH372" s="132"/>
      <c r="HSI372" s="132"/>
      <c r="HSJ372" s="132"/>
      <c r="HSK372" s="132"/>
      <c r="HSL372" s="132"/>
      <c r="HSM372" s="132"/>
      <c r="HSN372" s="132"/>
      <c r="HSO372" s="132"/>
      <c r="HSP372" s="132"/>
      <c r="HSQ372" s="132"/>
      <c r="HSR372" s="132"/>
      <c r="HSS372" s="132"/>
      <c r="HST372" s="132"/>
      <c r="HSU372" s="132"/>
      <c r="HSV372" s="132"/>
      <c r="HSW372" s="132"/>
      <c r="HSX372" s="132"/>
      <c r="HSY372" s="132"/>
      <c r="HSZ372" s="132"/>
      <c r="HTA372" s="132"/>
      <c r="HTB372" s="132"/>
      <c r="HTC372" s="132"/>
      <c r="HTD372" s="132"/>
      <c r="HTE372" s="132"/>
      <c r="HTF372" s="132"/>
      <c r="HTG372" s="132"/>
      <c r="HTH372" s="132"/>
      <c r="HTI372" s="132"/>
      <c r="HTJ372" s="132"/>
      <c r="HTK372" s="132"/>
      <c r="HTL372" s="132"/>
      <c r="HTM372" s="132"/>
      <c r="HTN372" s="132"/>
      <c r="HTO372" s="132"/>
      <c r="HTP372" s="132"/>
      <c r="HTQ372" s="132"/>
      <c r="HTR372" s="132"/>
      <c r="HTS372" s="132"/>
      <c r="HTT372" s="132"/>
      <c r="HTU372" s="132"/>
      <c r="HTV372" s="132"/>
      <c r="HTW372" s="132"/>
      <c r="HTX372" s="132"/>
      <c r="HTY372" s="132"/>
      <c r="HTZ372" s="132"/>
      <c r="HUA372" s="132"/>
      <c r="HUB372" s="132"/>
      <c r="HUC372" s="132"/>
      <c r="HUD372" s="132"/>
      <c r="HUE372" s="132"/>
      <c r="HUF372" s="132"/>
      <c r="HUG372" s="132"/>
      <c r="HUH372" s="132"/>
      <c r="HUI372" s="132"/>
      <c r="HUJ372" s="132"/>
      <c r="HUK372" s="132"/>
      <c r="HUL372" s="132"/>
      <c r="HUM372" s="132"/>
      <c r="HUN372" s="132"/>
      <c r="HUO372" s="132"/>
      <c r="HUP372" s="132"/>
      <c r="HUQ372" s="132"/>
      <c r="HUR372" s="132"/>
      <c r="HUS372" s="132"/>
      <c r="HUT372" s="132"/>
      <c r="HUU372" s="132"/>
      <c r="HUV372" s="132"/>
      <c r="HUW372" s="132"/>
      <c r="HUX372" s="132"/>
      <c r="HUY372" s="132"/>
      <c r="HUZ372" s="132"/>
      <c r="HVA372" s="132"/>
      <c r="HVB372" s="132"/>
      <c r="HVC372" s="132"/>
      <c r="HVD372" s="132"/>
      <c r="HVE372" s="132"/>
      <c r="HVF372" s="132"/>
      <c r="HVG372" s="132"/>
      <c r="HVH372" s="132"/>
      <c r="HVI372" s="132"/>
      <c r="HVJ372" s="132"/>
      <c r="HVK372" s="132"/>
      <c r="HVL372" s="132"/>
      <c r="HVM372" s="132"/>
      <c r="HVN372" s="132"/>
      <c r="HVO372" s="132"/>
      <c r="HVP372" s="132"/>
      <c r="HVQ372" s="132"/>
      <c r="HVR372" s="132"/>
      <c r="HVS372" s="132"/>
      <c r="HVT372" s="132"/>
      <c r="HVU372" s="132"/>
      <c r="HVV372" s="132"/>
      <c r="HVW372" s="132"/>
      <c r="HVX372" s="132"/>
      <c r="HVY372" s="132"/>
      <c r="HVZ372" s="132"/>
      <c r="HWA372" s="132"/>
      <c r="HWB372" s="132"/>
      <c r="HWC372" s="132"/>
      <c r="HWD372" s="132"/>
      <c r="HWE372" s="132"/>
      <c r="HWF372" s="132"/>
      <c r="HWG372" s="132"/>
      <c r="HWH372" s="132"/>
      <c r="HWI372" s="132"/>
      <c r="HWJ372" s="132"/>
      <c r="HWK372" s="132"/>
      <c r="HWL372" s="132"/>
      <c r="HWM372" s="132"/>
      <c r="HWN372" s="132"/>
      <c r="HWO372" s="132"/>
      <c r="HWP372" s="132"/>
      <c r="HWQ372" s="132"/>
      <c r="HWR372" s="132"/>
      <c r="HWS372" s="132"/>
      <c r="HWT372" s="132"/>
      <c r="HWU372" s="132"/>
      <c r="HWV372" s="132"/>
      <c r="HWW372" s="132"/>
      <c r="HWX372" s="132"/>
      <c r="HWY372" s="132"/>
      <c r="HWZ372" s="132"/>
      <c r="HXA372" s="132"/>
      <c r="HXB372" s="132"/>
      <c r="HXC372" s="132"/>
      <c r="HXD372" s="132"/>
      <c r="HXE372" s="132"/>
      <c r="HXF372" s="132"/>
      <c r="HXG372" s="132"/>
      <c r="HXH372" s="132"/>
      <c r="HXI372" s="132"/>
      <c r="HXJ372" s="132"/>
      <c r="HXK372" s="132"/>
      <c r="HXL372" s="132"/>
      <c r="HXM372" s="132"/>
      <c r="HXN372" s="132"/>
      <c r="HXO372" s="132"/>
      <c r="HXP372" s="132"/>
      <c r="HXQ372" s="132"/>
      <c r="HXR372" s="132"/>
      <c r="HXS372" s="132"/>
      <c r="HXT372" s="132"/>
      <c r="HXU372" s="132"/>
      <c r="HXV372" s="132"/>
      <c r="HXW372" s="132"/>
      <c r="HXX372" s="132"/>
      <c r="HXY372" s="132"/>
      <c r="HXZ372" s="132"/>
      <c r="HYA372" s="132"/>
      <c r="HYB372" s="132"/>
      <c r="HYC372" s="132"/>
      <c r="HYD372" s="132"/>
      <c r="HYE372" s="132"/>
      <c r="HYF372" s="132"/>
      <c r="HYG372" s="132"/>
      <c r="HYH372" s="132"/>
      <c r="HYI372" s="132"/>
      <c r="HYJ372" s="132"/>
      <c r="HYK372" s="132"/>
      <c r="HYL372" s="132"/>
      <c r="HYM372" s="132"/>
      <c r="HYN372" s="132"/>
      <c r="HYO372" s="132"/>
      <c r="HYP372" s="132"/>
      <c r="HYQ372" s="132"/>
      <c r="HYR372" s="132"/>
      <c r="HYS372" s="132"/>
      <c r="HYT372" s="132"/>
      <c r="HYU372" s="132"/>
      <c r="HYV372" s="132"/>
      <c r="HYW372" s="132"/>
      <c r="HYX372" s="132"/>
      <c r="HYY372" s="132"/>
      <c r="HYZ372" s="132"/>
      <c r="HZA372" s="132"/>
      <c r="HZB372" s="132"/>
      <c r="HZC372" s="132"/>
      <c r="HZD372" s="132"/>
      <c r="HZE372" s="132"/>
      <c r="HZF372" s="132"/>
      <c r="HZG372" s="132"/>
      <c r="HZH372" s="132"/>
      <c r="HZI372" s="132"/>
      <c r="HZJ372" s="132"/>
      <c r="HZK372" s="132"/>
      <c r="HZL372" s="132"/>
      <c r="HZM372" s="132"/>
      <c r="HZN372" s="132"/>
      <c r="HZO372" s="132"/>
      <c r="HZP372" s="132"/>
      <c r="HZQ372" s="132"/>
      <c r="HZR372" s="132"/>
      <c r="HZS372" s="132"/>
      <c r="HZT372" s="132"/>
      <c r="HZU372" s="132"/>
      <c r="HZV372" s="132"/>
      <c r="HZW372" s="132"/>
      <c r="HZX372" s="132"/>
      <c r="HZY372" s="132"/>
      <c r="HZZ372" s="132"/>
      <c r="IAA372" s="132"/>
      <c r="IAB372" s="132"/>
      <c r="IAC372" s="132"/>
      <c r="IAD372" s="132"/>
      <c r="IAE372" s="132"/>
      <c r="IAF372" s="132"/>
      <c r="IAG372" s="132"/>
      <c r="IAH372" s="132"/>
      <c r="IAI372" s="132"/>
      <c r="IAJ372" s="132"/>
      <c r="IAK372" s="132"/>
      <c r="IAL372" s="132"/>
      <c r="IAM372" s="132"/>
      <c r="IAN372" s="132"/>
      <c r="IAO372" s="132"/>
      <c r="IAP372" s="132"/>
      <c r="IAQ372" s="132"/>
      <c r="IAR372" s="132"/>
      <c r="IAS372" s="132"/>
      <c r="IAT372" s="132"/>
      <c r="IAU372" s="132"/>
      <c r="IAV372" s="132"/>
      <c r="IAW372" s="132"/>
      <c r="IAX372" s="132"/>
      <c r="IAY372" s="132"/>
      <c r="IAZ372" s="132"/>
      <c r="IBA372" s="132"/>
      <c r="IBB372" s="132"/>
      <c r="IBC372" s="132"/>
      <c r="IBD372" s="132"/>
      <c r="IBE372" s="132"/>
      <c r="IBF372" s="132"/>
      <c r="IBG372" s="132"/>
      <c r="IBH372" s="132"/>
      <c r="IBI372" s="132"/>
      <c r="IBJ372" s="132"/>
      <c r="IBK372" s="132"/>
      <c r="IBL372" s="132"/>
      <c r="IBM372" s="132"/>
      <c r="IBN372" s="132"/>
      <c r="IBO372" s="132"/>
      <c r="IBP372" s="132"/>
      <c r="IBQ372" s="132"/>
      <c r="IBR372" s="132"/>
      <c r="IBS372" s="132"/>
      <c r="IBT372" s="132"/>
      <c r="IBU372" s="132"/>
      <c r="IBV372" s="132"/>
      <c r="IBW372" s="132"/>
      <c r="IBX372" s="132"/>
      <c r="IBY372" s="132"/>
      <c r="IBZ372" s="132"/>
      <c r="ICA372" s="132"/>
      <c r="ICB372" s="132"/>
      <c r="ICC372" s="132"/>
      <c r="ICD372" s="132"/>
      <c r="ICE372" s="132"/>
      <c r="ICF372" s="132"/>
      <c r="ICG372" s="132"/>
      <c r="ICH372" s="132"/>
      <c r="ICI372" s="132"/>
      <c r="ICJ372" s="132"/>
      <c r="ICK372" s="132"/>
      <c r="ICL372" s="132"/>
      <c r="ICM372" s="132"/>
      <c r="ICN372" s="132"/>
      <c r="ICO372" s="132"/>
      <c r="ICP372" s="132"/>
      <c r="ICQ372" s="132"/>
      <c r="ICR372" s="132"/>
      <c r="ICS372" s="132"/>
      <c r="ICT372" s="132"/>
      <c r="ICU372" s="132"/>
      <c r="ICV372" s="132"/>
      <c r="ICW372" s="132"/>
      <c r="ICX372" s="132"/>
      <c r="ICY372" s="132"/>
      <c r="ICZ372" s="132"/>
      <c r="IDA372" s="132"/>
      <c r="IDB372" s="132"/>
      <c r="IDC372" s="132"/>
      <c r="IDD372" s="132"/>
      <c r="IDE372" s="132"/>
      <c r="IDF372" s="132"/>
      <c r="IDG372" s="132"/>
      <c r="IDH372" s="132"/>
      <c r="IDI372" s="132"/>
      <c r="IDJ372" s="132"/>
      <c r="IDK372" s="132"/>
      <c r="IDL372" s="132"/>
      <c r="IDM372" s="132"/>
      <c r="IDN372" s="132"/>
      <c r="IDO372" s="132"/>
      <c r="IDP372" s="132"/>
      <c r="IDQ372" s="132"/>
      <c r="IDR372" s="132"/>
      <c r="IDS372" s="132"/>
      <c r="IDT372" s="132"/>
      <c r="IDU372" s="132"/>
      <c r="IDV372" s="132"/>
      <c r="IDW372" s="132"/>
      <c r="IDX372" s="132"/>
      <c r="IDY372" s="132"/>
      <c r="IDZ372" s="132"/>
      <c r="IEA372" s="132"/>
      <c r="IEB372" s="132"/>
      <c r="IEC372" s="132"/>
      <c r="IED372" s="132"/>
      <c r="IEE372" s="132"/>
      <c r="IEF372" s="132"/>
      <c r="IEG372" s="132"/>
      <c r="IEH372" s="132"/>
      <c r="IEI372" s="132"/>
      <c r="IEJ372" s="132"/>
      <c r="IEK372" s="132"/>
      <c r="IEL372" s="132"/>
      <c r="IEM372" s="132"/>
      <c r="IEN372" s="132"/>
      <c r="IEO372" s="132"/>
      <c r="IEP372" s="132"/>
      <c r="IEQ372" s="132"/>
      <c r="IER372" s="132"/>
      <c r="IES372" s="132"/>
      <c r="IET372" s="132"/>
      <c r="IEU372" s="132"/>
      <c r="IEV372" s="132"/>
      <c r="IEW372" s="132"/>
      <c r="IEX372" s="132"/>
      <c r="IEY372" s="132"/>
      <c r="IEZ372" s="132"/>
      <c r="IFA372" s="132"/>
      <c r="IFB372" s="132"/>
      <c r="IFC372" s="132"/>
      <c r="IFD372" s="132"/>
      <c r="IFE372" s="132"/>
      <c r="IFF372" s="132"/>
      <c r="IFG372" s="132"/>
      <c r="IFH372" s="132"/>
      <c r="IFI372" s="132"/>
      <c r="IFJ372" s="132"/>
      <c r="IFK372" s="132"/>
      <c r="IFL372" s="132"/>
      <c r="IFM372" s="132"/>
      <c r="IFN372" s="132"/>
      <c r="IFO372" s="132"/>
      <c r="IFP372" s="132"/>
      <c r="IFQ372" s="132"/>
      <c r="IFR372" s="132"/>
      <c r="IFS372" s="132"/>
      <c r="IFT372" s="132"/>
      <c r="IFU372" s="132"/>
      <c r="IFV372" s="132"/>
      <c r="IFW372" s="132"/>
      <c r="IFX372" s="132"/>
      <c r="IFY372" s="132"/>
      <c r="IFZ372" s="132"/>
      <c r="IGA372" s="132"/>
      <c r="IGB372" s="132"/>
      <c r="IGC372" s="132"/>
      <c r="IGD372" s="132"/>
      <c r="IGE372" s="132"/>
      <c r="IGF372" s="132"/>
      <c r="IGG372" s="132"/>
      <c r="IGH372" s="132"/>
      <c r="IGI372" s="132"/>
      <c r="IGJ372" s="132"/>
      <c r="IGK372" s="132"/>
      <c r="IGL372" s="132"/>
      <c r="IGM372" s="132"/>
      <c r="IGN372" s="132"/>
      <c r="IGO372" s="132"/>
      <c r="IGP372" s="132"/>
      <c r="IGQ372" s="132"/>
      <c r="IGR372" s="132"/>
      <c r="IGS372" s="132"/>
      <c r="IGT372" s="132"/>
      <c r="IGU372" s="132"/>
      <c r="IGV372" s="132"/>
      <c r="IGW372" s="132"/>
      <c r="IGX372" s="132"/>
      <c r="IGY372" s="132"/>
      <c r="IGZ372" s="132"/>
      <c r="IHA372" s="132"/>
      <c r="IHB372" s="132"/>
      <c r="IHC372" s="132"/>
      <c r="IHD372" s="132"/>
      <c r="IHE372" s="132"/>
      <c r="IHF372" s="132"/>
      <c r="IHG372" s="132"/>
      <c r="IHH372" s="132"/>
      <c r="IHI372" s="132"/>
      <c r="IHJ372" s="132"/>
      <c r="IHK372" s="132"/>
      <c r="IHL372" s="132"/>
      <c r="IHM372" s="132"/>
      <c r="IHN372" s="132"/>
      <c r="IHO372" s="132"/>
      <c r="IHP372" s="132"/>
      <c r="IHQ372" s="132"/>
      <c r="IHR372" s="132"/>
      <c r="IHS372" s="132"/>
      <c r="IHT372" s="132"/>
      <c r="IHU372" s="132"/>
      <c r="IHV372" s="132"/>
      <c r="IHW372" s="132"/>
      <c r="IHX372" s="132"/>
      <c r="IHY372" s="132"/>
      <c r="IHZ372" s="132"/>
      <c r="IIA372" s="132"/>
      <c r="IIB372" s="132"/>
      <c r="IIC372" s="132"/>
      <c r="IID372" s="132"/>
      <c r="IIE372" s="132"/>
      <c r="IIF372" s="132"/>
      <c r="IIG372" s="132"/>
      <c r="IIH372" s="132"/>
      <c r="III372" s="132"/>
      <c r="IIJ372" s="132"/>
      <c r="IIK372" s="132"/>
      <c r="IIL372" s="132"/>
      <c r="IIM372" s="132"/>
      <c r="IIN372" s="132"/>
      <c r="IIO372" s="132"/>
      <c r="IIP372" s="132"/>
      <c r="IIQ372" s="132"/>
      <c r="IIR372" s="132"/>
      <c r="IIS372" s="132"/>
      <c r="IIT372" s="132"/>
      <c r="IIU372" s="132"/>
      <c r="IIV372" s="132"/>
      <c r="IIW372" s="132"/>
      <c r="IIX372" s="132"/>
      <c r="IIY372" s="132"/>
      <c r="IIZ372" s="132"/>
      <c r="IJA372" s="132"/>
      <c r="IJB372" s="132"/>
      <c r="IJC372" s="132"/>
      <c r="IJD372" s="132"/>
      <c r="IJE372" s="132"/>
      <c r="IJF372" s="132"/>
      <c r="IJG372" s="132"/>
      <c r="IJH372" s="132"/>
      <c r="IJI372" s="132"/>
      <c r="IJJ372" s="132"/>
      <c r="IJK372" s="132"/>
      <c r="IJL372" s="132"/>
      <c r="IJM372" s="132"/>
      <c r="IJN372" s="132"/>
      <c r="IJO372" s="132"/>
      <c r="IJP372" s="132"/>
      <c r="IJQ372" s="132"/>
      <c r="IJR372" s="132"/>
      <c r="IJS372" s="132"/>
      <c r="IJT372" s="132"/>
      <c r="IJU372" s="132"/>
      <c r="IJV372" s="132"/>
      <c r="IJW372" s="132"/>
      <c r="IJX372" s="132"/>
      <c r="IJY372" s="132"/>
      <c r="IJZ372" s="132"/>
      <c r="IKA372" s="132"/>
      <c r="IKB372" s="132"/>
      <c r="IKC372" s="132"/>
      <c r="IKD372" s="132"/>
      <c r="IKE372" s="132"/>
      <c r="IKF372" s="132"/>
      <c r="IKG372" s="132"/>
      <c r="IKH372" s="132"/>
      <c r="IKI372" s="132"/>
      <c r="IKJ372" s="132"/>
      <c r="IKK372" s="132"/>
      <c r="IKL372" s="132"/>
      <c r="IKM372" s="132"/>
      <c r="IKN372" s="132"/>
      <c r="IKO372" s="132"/>
      <c r="IKP372" s="132"/>
      <c r="IKQ372" s="132"/>
      <c r="IKR372" s="132"/>
      <c r="IKS372" s="132"/>
      <c r="IKT372" s="132"/>
      <c r="IKU372" s="132"/>
      <c r="IKV372" s="132"/>
      <c r="IKW372" s="132"/>
      <c r="IKX372" s="132"/>
      <c r="IKY372" s="132"/>
      <c r="IKZ372" s="132"/>
      <c r="ILA372" s="132"/>
      <c r="ILB372" s="132"/>
      <c r="ILC372" s="132"/>
      <c r="ILD372" s="132"/>
      <c r="ILE372" s="132"/>
      <c r="ILF372" s="132"/>
      <c r="ILG372" s="132"/>
      <c r="ILH372" s="132"/>
      <c r="ILI372" s="132"/>
      <c r="ILJ372" s="132"/>
      <c r="ILK372" s="132"/>
      <c r="ILL372" s="132"/>
      <c r="ILM372" s="132"/>
      <c r="ILN372" s="132"/>
      <c r="ILO372" s="132"/>
      <c r="ILP372" s="132"/>
      <c r="ILQ372" s="132"/>
      <c r="ILR372" s="132"/>
      <c r="ILS372" s="132"/>
      <c r="ILT372" s="132"/>
      <c r="ILU372" s="132"/>
      <c r="ILV372" s="132"/>
      <c r="ILW372" s="132"/>
      <c r="ILX372" s="132"/>
      <c r="ILY372" s="132"/>
      <c r="ILZ372" s="132"/>
      <c r="IMA372" s="132"/>
      <c r="IMB372" s="132"/>
      <c r="IMC372" s="132"/>
      <c r="IMD372" s="132"/>
      <c r="IME372" s="132"/>
      <c r="IMF372" s="132"/>
      <c r="IMG372" s="132"/>
      <c r="IMH372" s="132"/>
      <c r="IMI372" s="132"/>
      <c r="IMJ372" s="132"/>
      <c r="IMK372" s="132"/>
      <c r="IML372" s="132"/>
      <c r="IMM372" s="132"/>
      <c r="IMN372" s="132"/>
      <c r="IMO372" s="132"/>
      <c r="IMP372" s="132"/>
      <c r="IMQ372" s="132"/>
      <c r="IMR372" s="132"/>
      <c r="IMS372" s="132"/>
      <c r="IMT372" s="132"/>
      <c r="IMU372" s="132"/>
      <c r="IMV372" s="132"/>
      <c r="IMW372" s="132"/>
      <c r="IMX372" s="132"/>
      <c r="IMY372" s="132"/>
      <c r="IMZ372" s="132"/>
      <c r="INA372" s="132"/>
      <c r="INB372" s="132"/>
      <c r="INC372" s="132"/>
      <c r="IND372" s="132"/>
      <c r="INE372" s="132"/>
      <c r="INF372" s="132"/>
      <c r="ING372" s="132"/>
      <c r="INH372" s="132"/>
      <c r="INI372" s="132"/>
      <c r="INJ372" s="132"/>
      <c r="INK372" s="132"/>
      <c r="INL372" s="132"/>
      <c r="INM372" s="132"/>
      <c r="INN372" s="132"/>
      <c r="INO372" s="132"/>
      <c r="INP372" s="132"/>
      <c r="INQ372" s="132"/>
      <c r="INR372" s="132"/>
      <c r="INS372" s="132"/>
      <c r="INT372" s="132"/>
      <c r="INU372" s="132"/>
      <c r="INV372" s="132"/>
      <c r="INW372" s="132"/>
      <c r="INX372" s="132"/>
      <c r="INY372" s="132"/>
      <c r="INZ372" s="132"/>
      <c r="IOA372" s="132"/>
      <c r="IOB372" s="132"/>
      <c r="IOC372" s="132"/>
      <c r="IOD372" s="132"/>
      <c r="IOE372" s="132"/>
      <c r="IOF372" s="132"/>
      <c r="IOG372" s="132"/>
      <c r="IOH372" s="132"/>
      <c r="IOI372" s="132"/>
      <c r="IOJ372" s="132"/>
      <c r="IOK372" s="132"/>
      <c r="IOL372" s="132"/>
      <c r="IOM372" s="132"/>
      <c r="ION372" s="132"/>
      <c r="IOO372" s="132"/>
      <c r="IOP372" s="132"/>
      <c r="IOQ372" s="132"/>
      <c r="IOR372" s="132"/>
      <c r="IOS372" s="132"/>
      <c r="IOT372" s="132"/>
      <c r="IOU372" s="132"/>
      <c r="IOV372" s="132"/>
      <c r="IOW372" s="132"/>
      <c r="IOX372" s="132"/>
      <c r="IOY372" s="132"/>
      <c r="IOZ372" s="132"/>
      <c r="IPA372" s="132"/>
      <c r="IPB372" s="132"/>
      <c r="IPC372" s="132"/>
      <c r="IPD372" s="132"/>
      <c r="IPE372" s="132"/>
      <c r="IPF372" s="132"/>
      <c r="IPG372" s="132"/>
      <c r="IPH372" s="132"/>
      <c r="IPI372" s="132"/>
      <c r="IPJ372" s="132"/>
      <c r="IPK372" s="132"/>
      <c r="IPL372" s="132"/>
      <c r="IPM372" s="132"/>
      <c r="IPN372" s="132"/>
      <c r="IPO372" s="132"/>
      <c r="IPP372" s="132"/>
      <c r="IPQ372" s="132"/>
      <c r="IPR372" s="132"/>
      <c r="IPS372" s="132"/>
      <c r="IPT372" s="132"/>
      <c r="IPU372" s="132"/>
      <c r="IPV372" s="132"/>
      <c r="IPW372" s="132"/>
      <c r="IPX372" s="132"/>
      <c r="IPY372" s="132"/>
      <c r="IPZ372" s="132"/>
      <c r="IQA372" s="132"/>
      <c r="IQB372" s="132"/>
      <c r="IQC372" s="132"/>
      <c r="IQD372" s="132"/>
      <c r="IQE372" s="132"/>
      <c r="IQF372" s="132"/>
      <c r="IQG372" s="132"/>
      <c r="IQH372" s="132"/>
      <c r="IQI372" s="132"/>
      <c r="IQJ372" s="132"/>
      <c r="IQK372" s="132"/>
      <c r="IQL372" s="132"/>
      <c r="IQM372" s="132"/>
      <c r="IQN372" s="132"/>
      <c r="IQO372" s="132"/>
      <c r="IQP372" s="132"/>
      <c r="IQQ372" s="132"/>
      <c r="IQR372" s="132"/>
      <c r="IQS372" s="132"/>
      <c r="IQT372" s="132"/>
      <c r="IQU372" s="132"/>
      <c r="IQV372" s="132"/>
      <c r="IQW372" s="132"/>
      <c r="IQX372" s="132"/>
      <c r="IQY372" s="132"/>
      <c r="IQZ372" s="132"/>
      <c r="IRA372" s="132"/>
      <c r="IRB372" s="132"/>
      <c r="IRC372" s="132"/>
      <c r="IRD372" s="132"/>
      <c r="IRE372" s="132"/>
      <c r="IRF372" s="132"/>
      <c r="IRG372" s="132"/>
      <c r="IRH372" s="132"/>
      <c r="IRI372" s="132"/>
      <c r="IRJ372" s="132"/>
      <c r="IRK372" s="132"/>
      <c r="IRL372" s="132"/>
      <c r="IRM372" s="132"/>
      <c r="IRN372" s="132"/>
      <c r="IRO372" s="132"/>
      <c r="IRP372" s="132"/>
      <c r="IRQ372" s="132"/>
      <c r="IRR372" s="132"/>
      <c r="IRS372" s="132"/>
      <c r="IRT372" s="132"/>
      <c r="IRU372" s="132"/>
      <c r="IRV372" s="132"/>
      <c r="IRW372" s="132"/>
      <c r="IRX372" s="132"/>
      <c r="IRY372" s="132"/>
      <c r="IRZ372" s="132"/>
      <c r="ISA372" s="132"/>
      <c r="ISB372" s="132"/>
      <c r="ISC372" s="132"/>
      <c r="ISD372" s="132"/>
      <c r="ISE372" s="132"/>
      <c r="ISF372" s="132"/>
      <c r="ISG372" s="132"/>
      <c r="ISH372" s="132"/>
      <c r="ISI372" s="132"/>
      <c r="ISJ372" s="132"/>
      <c r="ISK372" s="132"/>
      <c r="ISL372" s="132"/>
      <c r="ISM372" s="132"/>
      <c r="ISN372" s="132"/>
      <c r="ISO372" s="132"/>
      <c r="ISP372" s="132"/>
      <c r="ISQ372" s="132"/>
      <c r="ISR372" s="132"/>
      <c r="ISS372" s="132"/>
      <c r="IST372" s="132"/>
      <c r="ISU372" s="132"/>
      <c r="ISV372" s="132"/>
      <c r="ISW372" s="132"/>
      <c r="ISX372" s="132"/>
      <c r="ISY372" s="132"/>
      <c r="ISZ372" s="132"/>
      <c r="ITA372" s="132"/>
      <c r="ITB372" s="132"/>
      <c r="ITC372" s="132"/>
      <c r="ITD372" s="132"/>
      <c r="ITE372" s="132"/>
      <c r="ITF372" s="132"/>
      <c r="ITG372" s="132"/>
      <c r="ITH372" s="132"/>
      <c r="ITI372" s="132"/>
      <c r="ITJ372" s="132"/>
      <c r="ITK372" s="132"/>
      <c r="ITL372" s="132"/>
      <c r="ITM372" s="132"/>
      <c r="ITN372" s="132"/>
      <c r="ITO372" s="132"/>
      <c r="ITP372" s="132"/>
      <c r="ITQ372" s="132"/>
      <c r="ITR372" s="132"/>
      <c r="ITS372" s="132"/>
      <c r="ITT372" s="132"/>
      <c r="ITU372" s="132"/>
      <c r="ITV372" s="132"/>
      <c r="ITW372" s="132"/>
      <c r="ITX372" s="132"/>
      <c r="ITY372" s="132"/>
      <c r="ITZ372" s="132"/>
      <c r="IUA372" s="132"/>
      <c r="IUB372" s="132"/>
      <c r="IUC372" s="132"/>
      <c r="IUD372" s="132"/>
      <c r="IUE372" s="132"/>
      <c r="IUF372" s="132"/>
      <c r="IUG372" s="132"/>
      <c r="IUH372" s="132"/>
      <c r="IUI372" s="132"/>
      <c r="IUJ372" s="132"/>
      <c r="IUK372" s="132"/>
      <c r="IUL372" s="132"/>
      <c r="IUM372" s="132"/>
      <c r="IUN372" s="132"/>
      <c r="IUO372" s="132"/>
      <c r="IUP372" s="132"/>
      <c r="IUQ372" s="132"/>
      <c r="IUR372" s="132"/>
      <c r="IUS372" s="132"/>
      <c r="IUT372" s="132"/>
      <c r="IUU372" s="132"/>
      <c r="IUV372" s="132"/>
      <c r="IUW372" s="132"/>
      <c r="IUX372" s="132"/>
      <c r="IUY372" s="132"/>
      <c r="IUZ372" s="132"/>
      <c r="IVA372" s="132"/>
      <c r="IVB372" s="132"/>
      <c r="IVC372" s="132"/>
      <c r="IVD372" s="132"/>
      <c r="IVE372" s="132"/>
      <c r="IVF372" s="132"/>
      <c r="IVG372" s="132"/>
      <c r="IVH372" s="132"/>
      <c r="IVI372" s="132"/>
      <c r="IVJ372" s="132"/>
      <c r="IVK372" s="132"/>
      <c r="IVL372" s="132"/>
      <c r="IVM372" s="132"/>
      <c r="IVN372" s="132"/>
      <c r="IVO372" s="132"/>
      <c r="IVP372" s="132"/>
      <c r="IVQ372" s="132"/>
      <c r="IVR372" s="132"/>
      <c r="IVS372" s="132"/>
      <c r="IVT372" s="132"/>
      <c r="IVU372" s="132"/>
      <c r="IVV372" s="132"/>
      <c r="IVW372" s="132"/>
      <c r="IVX372" s="132"/>
      <c r="IVY372" s="132"/>
      <c r="IVZ372" s="132"/>
      <c r="IWA372" s="132"/>
      <c r="IWB372" s="132"/>
      <c r="IWC372" s="132"/>
      <c r="IWD372" s="132"/>
      <c r="IWE372" s="132"/>
      <c r="IWF372" s="132"/>
      <c r="IWG372" s="132"/>
      <c r="IWH372" s="132"/>
      <c r="IWI372" s="132"/>
      <c r="IWJ372" s="132"/>
      <c r="IWK372" s="132"/>
      <c r="IWL372" s="132"/>
      <c r="IWM372" s="132"/>
      <c r="IWN372" s="132"/>
      <c r="IWO372" s="132"/>
      <c r="IWP372" s="132"/>
      <c r="IWQ372" s="132"/>
      <c r="IWR372" s="132"/>
      <c r="IWS372" s="132"/>
      <c r="IWT372" s="132"/>
      <c r="IWU372" s="132"/>
      <c r="IWV372" s="132"/>
      <c r="IWW372" s="132"/>
      <c r="IWX372" s="132"/>
      <c r="IWY372" s="132"/>
      <c r="IWZ372" s="132"/>
      <c r="IXA372" s="132"/>
      <c r="IXB372" s="132"/>
      <c r="IXC372" s="132"/>
      <c r="IXD372" s="132"/>
      <c r="IXE372" s="132"/>
      <c r="IXF372" s="132"/>
      <c r="IXG372" s="132"/>
      <c r="IXH372" s="132"/>
      <c r="IXI372" s="132"/>
      <c r="IXJ372" s="132"/>
      <c r="IXK372" s="132"/>
      <c r="IXL372" s="132"/>
      <c r="IXM372" s="132"/>
      <c r="IXN372" s="132"/>
      <c r="IXO372" s="132"/>
      <c r="IXP372" s="132"/>
      <c r="IXQ372" s="132"/>
      <c r="IXR372" s="132"/>
      <c r="IXS372" s="132"/>
      <c r="IXT372" s="132"/>
      <c r="IXU372" s="132"/>
      <c r="IXV372" s="132"/>
      <c r="IXW372" s="132"/>
      <c r="IXX372" s="132"/>
      <c r="IXY372" s="132"/>
      <c r="IXZ372" s="132"/>
      <c r="IYA372" s="132"/>
      <c r="IYB372" s="132"/>
      <c r="IYC372" s="132"/>
      <c r="IYD372" s="132"/>
      <c r="IYE372" s="132"/>
      <c r="IYF372" s="132"/>
      <c r="IYG372" s="132"/>
      <c r="IYH372" s="132"/>
      <c r="IYI372" s="132"/>
      <c r="IYJ372" s="132"/>
      <c r="IYK372" s="132"/>
      <c r="IYL372" s="132"/>
      <c r="IYM372" s="132"/>
      <c r="IYN372" s="132"/>
      <c r="IYO372" s="132"/>
      <c r="IYP372" s="132"/>
      <c r="IYQ372" s="132"/>
      <c r="IYR372" s="132"/>
      <c r="IYS372" s="132"/>
      <c r="IYT372" s="132"/>
      <c r="IYU372" s="132"/>
      <c r="IYV372" s="132"/>
      <c r="IYW372" s="132"/>
      <c r="IYX372" s="132"/>
      <c r="IYY372" s="132"/>
      <c r="IYZ372" s="132"/>
      <c r="IZA372" s="132"/>
      <c r="IZB372" s="132"/>
      <c r="IZC372" s="132"/>
      <c r="IZD372" s="132"/>
      <c r="IZE372" s="132"/>
      <c r="IZF372" s="132"/>
      <c r="IZG372" s="132"/>
      <c r="IZH372" s="132"/>
      <c r="IZI372" s="132"/>
      <c r="IZJ372" s="132"/>
      <c r="IZK372" s="132"/>
      <c r="IZL372" s="132"/>
      <c r="IZM372" s="132"/>
      <c r="IZN372" s="132"/>
      <c r="IZO372" s="132"/>
      <c r="IZP372" s="132"/>
      <c r="IZQ372" s="132"/>
      <c r="IZR372" s="132"/>
      <c r="IZS372" s="132"/>
      <c r="IZT372" s="132"/>
      <c r="IZU372" s="132"/>
      <c r="IZV372" s="132"/>
      <c r="IZW372" s="132"/>
      <c r="IZX372" s="132"/>
      <c r="IZY372" s="132"/>
      <c r="IZZ372" s="132"/>
      <c r="JAA372" s="132"/>
      <c r="JAB372" s="132"/>
      <c r="JAC372" s="132"/>
      <c r="JAD372" s="132"/>
      <c r="JAE372" s="132"/>
      <c r="JAF372" s="132"/>
      <c r="JAG372" s="132"/>
      <c r="JAH372" s="132"/>
      <c r="JAI372" s="132"/>
      <c r="JAJ372" s="132"/>
      <c r="JAK372" s="132"/>
      <c r="JAL372" s="132"/>
      <c r="JAM372" s="132"/>
      <c r="JAN372" s="132"/>
      <c r="JAO372" s="132"/>
      <c r="JAP372" s="132"/>
      <c r="JAQ372" s="132"/>
      <c r="JAR372" s="132"/>
      <c r="JAS372" s="132"/>
      <c r="JAT372" s="132"/>
      <c r="JAU372" s="132"/>
      <c r="JAV372" s="132"/>
      <c r="JAW372" s="132"/>
      <c r="JAX372" s="132"/>
      <c r="JAY372" s="132"/>
      <c r="JAZ372" s="132"/>
      <c r="JBA372" s="132"/>
      <c r="JBB372" s="132"/>
      <c r="JBC372" s="132"/>
      <c r="JBD372" s="132"/>
      <c r="JBE372" s="132"/>
      <c r="JBF372" s="132"/>
      <c r="JBG372" s="132"/>
      <c r="JBH372" s="132"/>
      <c r="JBI372" s="132"/>
      <c r="JBJ372" s="132"/>
      <c r="JBK372" s="132"/>
      <c r="JBL372" s="132"/>
      <c r="JBM372" s="132"/>
      <c r="JBN372" s="132"/>
      <c r="JBO372" s="132"/>
      <c r="JBP372" s="132"/>
      <c r="JBQ372" s="132"/>
      <c r="JBR372" s="132"/>
      <c r="JBS372" s="132"/>
      <c r="JBT372" s="132"/>
      <c r="JBU372" s="132"/>
      <c r="JBV372" s="132"/>
      <c r="JBW372" s="132"/>
      <c r="JBX372" s="132"/>
      <c r="JBY372" s="132"/>
      <c r="JBZ372" s="132"/>
      <c r="JCA372" s="132"/>
      <c r="JCB372" s="132"/>
      <c r="JCC372" s="132"/>
      <c r="JCD372" s="132"/>
      <c r="JCE372" s="132"/>
      <c r="JCF372" s="132"/>
      <c r="JCG372" s="132"/>
      <c r="JCH372" s="132"/>
      <c r="JCI372" s="132"/>
      <c r="JCJ372" s="132"/>
      <c r="JCK372" s="132"/>
      <c r="JCL372" s="132"/>
      <c r="JCM372" s="132"/>
      <c r="JCN372" s="132"/>
      <c r="JCO372" s="132"/>
      <c r="JCP372" s="132"/>
      <c r="JCQ372" s="132"/>
      <c r="JCR372" s="132"/>
      <c r="JCS372" s="132"/>
      <c r="JCT372" s="132"/>
      <c r="JCU372" s="132"/>
      <c r="JCV372" s="132"/>
      <c r="JCW372" s="132"/>
      <c r="JCX372" s="132"/>
      <c r="JCY372" s="132"/>
      <c r="JCZ372" s="132"/>
      <c r="JDA372" s="132"/>
      <c r="JDB372" s="132"/>
      <c r="JDC372" s="132"/>
      <c r="JDD372" s="132"/>
      <c r="JDE372" s="132"/>
      <c r="JDF372" s="132"/>
      <c r="JDG372" s="132"/>
      <c r="JDH372" s="132"/>
      <c r="JDI372" s="132"/>
      <c r="JDJ372" s="132"/>
      <c r="JDK372" s="132"/>
      <c r="JDL372" s="132"/>
      <c r="JDM372" s="132"/>
      <c r="JDN372" s="132"/>
      <c r="JDO372" s="132"/>
      <c r="JDP372" s="132"/>
      <c r="JDQ372" s="132"/>
      <c r="JDR372" s="132"/>
      <c r="JDS372" s="132"/>
      <c r="JDT372" s="132"/>
      <c r="JDU372" s="132"/>
      <c r="JDV372" s="132"/>
      <c r="JDW372" s="132"/>
      <c r="JDX372" s="132"/>
      <c r="JDY372" s="132"/>
      <c r="JDZ372" s="132"/>
      <c r="JEA372" s="132"/>
      <c r="JEB372" s="132"/>
      <c r="JEC372" s="132"/>
      <c r="JED372" s="132"/>
      <c r="JEE372" s="132"/>
      <c r="JEF372" s="132"/>
      <c r="JEG372" s="132"/>
      <c r="JEH372" s="132"/>
      <c r="JEI372" s="132"/>
      <c r="JEJ372" s="132"/>
      <c r="JEK372" s="132"/>
      <c r="JEL372" s="132"/>
      <c r="JEM372" s="132"/>
      <c r="JEN372" s="132"/>
      <c r="JEO372" s="132"/>
      <c r="JEP372" s="132"/>
      <c r="JEQ372" s="132"/>
      <c r="JER372" s="132"/>
      <c r="JES372" s="132"/>
      <c r="JET372" s="132"/>
      <c r="JEU372" s="132"/>
      <c r="JEV372" s="132"/>
      <c r="JEW372" s="132"/>
      <c r="JEX372" s="132"/>
      <c r="JEY372" s="132"/>
      <c r="JEZ372" s="132"/>
      <c r="JFA372" s="132"/>
      <c r="JFB372" s="132"/>
      <c r="JFC372" s="132"/>
      <c r="JFD372" s="132"/>
      <c r="JFE372" s="132"/>
      <c r="JFF372" s="132"/>
      <c r="JFG372" s="132"/>
      <c r="JFH372" s="132"/>
      <c r="JFI372" s="132"/>
      <c r="JFJ372" s="132"/>
      <c r="JFK372" s="132"/>
      <c r="JFL372" s="132"/>
      <c r="JFM372" s="132"/>
      <c r="JFN372" s="132"/>
      <c r="JFO372" s="132"/>
      <c r="JFP372" s="132"/>
      <c r="JFQ372" s="132"/>
      <c r="JFR372" s="132"/>
      <c r="JFS372" s="132"/>
      <c r="JFT372" s="132"/>
      <c r="JFU372" s="132"/>
      <c r="JFV372" s="132"/>
      <c r="JFW372" s="132"/>
      <c r="JFX372" s="132"/>
      <c r="JFY372" s="132"/>
      <c r="JFZ372" s="132"/>
      <c r="JGA372" s="132"/>
      <c r="JGB372" s="132"/>
      <c r="JGC372" s="132"/>
      <c r="JGD372" s="132"/>
      <c r="JGE372" s="132"/>
      <c r="JGF372" s="132"/>
      <c r="JGG372" s="132"/>
      <c r="JGH372" s="132"/>
      <c r="JGI372" s="132"/>
      <c r="JGJ372" s="132"/>
      <c r="JGK372" s="132"/>
      <c r="JGL372" s="132"/>
      <c r="JGM372" s="132"/>
      <c r="JGN372" s="132"/>
      <c r="JGO372" s="132"/>
      <c r="JGP372" s="132"/>
      <c r="JGQ372" s="132"/>
      <c r="JGR372" s="132"/>
      <c r="JGS372" s="132"/>
      <c r="JGT372" s="132"/>
      <c r="JGU372" s="132"/>
      <c r="JGV372" s="132"/>
      <c r="JGW372" s="132"/>
      <c r="JGX372" s="132"/>
      <c r="JGY372" s="132"/>
      <c r="JGZ372" s="132"/>
      <c r="JHA372" s="132"/>
      <c r="JHB372" s="132"/>
      <c r="JHC372" s="132"/>
      <c r="JHD372" s="132"/>
      <c r="JHE372" s="132"/>
      <c r="JHF372" s="132"/>
      <c r="JHG372" s="132"/>
      <c r="JHH372" s="132"/>
      <c r="JHI372" s="132"/>
      <c r="JHJ372" s="132"/>
      <c r="JHK372" s="132"/>
      <c r="JHL372" s="132"/>
      <c r="JHM372" s="132"/>
      <c r="JHN372" s="132"/>
      <c r="JHO372" s="132"/>
      <c r="JHP372" s="132"/>
      <c r="JHQ372" s="132"/>
      <c r="JHR372" s="132"/>
      <c r="JHS372" s="132"/>
      <c r="JHT372" s="132"/>
      <c r="JHU372" s="132"/>
      <c r="JHV372" s="132"/>
      <c r="JHW372" s="132"/>
      <c r="JHX372" s="132"/>
      <c r="JHY372" s="132"/>
      <c r="JHZ372" s="132"/>
      <c r="JIA372" s="132"/>
      <c r="JIB372" s="132"/>
      <c r="JIC372" s="132"/>
      <c r="JID372" s="132"/>
      <c r="JIE372" s="132"/>
      <c r="JIF372" s="132"/>
      <c r="JIG372" s="132"/>
      <c r="JIH372" s="132"/>
      <c r="JII372" s="132"/>
      <c r="JIJ372" s="132"/>
      <c r="JIK372" s="132"/>
      <c r="JIL372" s="132"/>
      <c r="JIM372" s="132"/>
      <c r="JIN372" s="132"/>
      <c r="JIO372" s="132"/>
      <c r="JIP372" s="132"/>
      <c r="JIQ372" s="132"/>
      <c r="JIR372" s="132"/>
      <c r="JIS372" s="132"/>
      <c r="JIT372" s="132"/>
      <c r="JIU372" s="132"/>
      <c r="JIV372" s="132"/>
      <c r="JIW372" s="132"/>
      <c r="JIX372" s="132"/>
      <c r="JIY372" s="132"/>
      <c r="JIZ372" s="132"/>
      <c r="JJA372" s="132"/>
      <c r="JJB372" s="132"/>
      <c r="JJC372" s="132"/>
      <c r="JJD372" s="132"/>
      <c r="JJE372" s="132"/>
      <c r="JJF372" s="132"/>
      <c r="JJG372" s="132"/>
      <c r="JJH372" s="132"/>
      <c r="JJI372" s="132"/>
      <c r="JJJ372" s="132"/>
      <c r="JJK372" s="132"/>
      <c r="JJL372" s="132"/>
      <c r="JJM372" s="132"/>
      <c r="JJN372" s="132"/>
      <c r="JJO372" s="132"/>
      <c r="JJP372" s="132"/>
      <c r="JJQ372" s="132"/>
      <c r="JJR372" s="132"/>
      <c r="JJS372" s="132"/>
      <c r="JJT372" s="132"/>
      <c r="JJU372" s="132"/>
      <c r="JJV372" s="132"/>
      <c r="JJW372" s="132"/>
      <c r="JJX372" s="132"/>
      <c r="JJY372" s="132"/>
      <c r="JJZ372" s="132"/>
      <c r="JKA372" s="132"/>
      <c r="JKB372" s="132"/>
      <c r="JKC372" s="132"/>
      <c r="JKD372" s="132"/>
      <c r="JKE372" s="132"/>
      <c r="JKF372" s="132"/>
      <c r="JKG372" s="132"/>
      <c r="JKH372" s="132"/>
      <c r="JKI372" s="132"/>
      <c r="JKJ372" s="132"/>
      <c r="JKK372" s="132"/>
      <c r="JKL372" s="132"/>
      <c r="JKM372" s="132"/>
      <c r="JKN372" s="132"/>
      <c r="JKO372" s="132"/>
      <c r="JKP372" s="132"/>
      <c r="JKQ372" s="132"/>
      <c r="JKR372" s="132"/>
      <c r="JKS372" s="132"/>
      <c r="JKT372" s="132"/>
      <c r="JKU372" s="132"/>
      <c r="JKV372" s="132"/>
      <c r="JKW372" s="132"/>
      <c r="JKX372" s="132"/>
      <c r="JKY372" s="132"/>
      <c r="JKZ372" s="132"/>
      <c r="JLA372" s="132"/>
      <c r="JLB372" s="132"/>
      <c r="JLC372" s="132"/>
      <c r="JLD372" s="132"/>
      <c r="JLE372" s="132"/>
      <c r="JLF372" s="132"/>
      <c r="JLG372" s="132"/>
      <c r="JLH372" s="132"/>
      <c r="JLI372" s="132"/>
      <c r="JLJ372" s="132"/>
      <c r="JLK372" s="132"/>
      <c r="JLL372" s="132"/>
      <c r="JLM372" s="132"/>
      <c r="JLN372" s="132"/>
      <c r="JLO372" s="132"/>
      <c r="JLP372" s="132"/>
      <c r="JLQ372" s="132"/>
      <c r="JLR372" s="132"/>
      <c r="JLS372" s="132"/>
      <c r="JLT372" s="132"/>
      <c r="JLU372" s="132"/>
      <c r="JLV372" s="132"/>
      <c r="JLW372" s="132"/>
      <c r="JLX372" s="132"/>
      <c r="JLY372" s="132"/>
      <c r="JLZ372" s="132"/>
      <c r="JMA372" s="132"/>
      <c r="JMB372" s="132"/>
      <c r="JMC372" s="132"/>
      <c r="JMD372" s="132"/>
      <c r="JME372" s="132"/>
      <c r="JMF372" s="132"/>
      <c r="JMG372" s="132"/>
      <c r="JMH372" s="132"/>
      <c r="JMI372" s="132"/>
      <c r="JMJ372" s="132"/>
      <c r="JMK372" s="132"/>
      <c r="JML372" s="132"/>
      <c r="JMM372" s="132"/>
      <c r="JMN372" s="132"/>
      <c r="JMO372" s="132"/>
      <c r="JMP372" s="132"/>
      <c r="JMQ372" s="132"/>
      <c r="JMR372" s="132"/>
      <c r="JMS372" s="132"/>
      <c r="JMT372" s="132"/>
      <c r="JMU372" s="132"/>
      <c r="JMV372" s="132"/>
      <c r="JMW372" s="132"/>
      <c r="JMX372" s="132"/>
      <c r="JMY372" s="132"/>
      <c r="JMZ372" s="132"/>
      <c r="JNA372" s="132"/>
      <c r="JNB372" s="132"/>
      <c r="JNC372" s="132"/>
      <c r="JND372" s="132"/>
      <c r="JNE372" s="132"/>
      <c r="JNF372" s="132"/>
      <c r="JNG372" s="132"/>
      <c r="JNH372" s="132"/>
      <c r="JNI372" s="132"/>
      <c r="JNJ372" s="132"/>
      <c r="JNK372" s="132"/>
      <c r="JNL372" s="132"/>
      <c r="JNM372" s="132"/>
      <c r="JNN372" s="132"/>
      <c r="JNO372" s="132"/>
      <c r="JNP372" s="132"/>
      <c r="JNQ372" s="132"/>
      <c r="JNR372" s="132"/>
      <c r="JNS372" s="132"/>
      <c r="JNT372" s="132"/>
      <c r="JNU372" s="132"/>
      <c r="JNV372" s="132"/>
      <c r="JNW372" s="132"/>
      <c r="JNX372" s="132"/>
      <c r="JNY372" s="132"/>
      <c r="JNZ372" s="132"/>
      <c r="JOA372" s="132"/>
      <c r="JOB372" s="132"/>
      <c r="JOC372" s="132"/>
      <c r="JOD372" s="132"/>
      <c r="JOE372" s="132"/>
      <c r="JOF372" s="132"/>
      <c r="JOG372" s="132"/>
      <c r="JOH372" s="132"/>
      <c r="JOI372" s="132"/>
      <c r="JOJ372" s="132"/>
      <c r="JOK372" s="132"/>
      <c r="JOL372" s="132"/>
      <c r="JOM372" s="132"/>
      <c r="JON372" s="132"/>
      <c r="JOO372" s="132"/>
      <c r="JOP372" s="132"/>
      <c r="JOQ372" s="132"/>
      <c r="JOR372" s="132"/>
      <c r="JOS372" s="132"/>
      <c r="JOT372" s="132"/>
      <c r="JOU372" s="132"/>
      <c r="JOV372" s="132"/>
      <c r="JOW372" s="132"/>
      <c r="JOX372" s="132"/>
      <c r="JOY372" s="132"/>
      <c r="JOZ372" s="132"/>
      <c r="JPA372" s="132"/>
      <c r="JPB372" s="132"/>
      <c r="JPC372" s="132"/>
      <c r="JPD372" s="132"/>
      <c r="JPE372" s="132"/>
      <c r="JPF372" s="132"/>
      <c r="JPG372" s="132"/>
      <c r="JPH372" s="132"/>
      <c r="JPI372" s="132"/>
      <c r="JPJ372" s="132"/>
      <c r="JPK372" s="132"/>
      <c r="JPL372" s="132"/>
      <c r="JPM372" s="132"/>
      <c r="JPN372" s="132"/>
      <c r="JPO372" s="132"/>
      <c r="JPP372" s="132"/>
      <c r="JPQ372" s="132"/>
      <c r="JPR372" s="132"/>
      <c r="JPS372" s="132"/>
      <c r="JPT372" s="132"/>
      <c r="JPU372" s="132"/>
      <c r="JPV372" s="132"/>
      <c r="JPW372" s="132"/>
      <c r="JPX372" s="132"/>
      <c r="JPY372" s="132"/>
      <c r="JPZ372" s="132"/>
      <c r="JQA372" s="132"/>
      <c r="JQB372" s="132"/>
      <c r="JQC372" s="132"/>
      <c r="JQD372" s="132"/>
      <c r="JQE372" s="132"/>
      <c r="JQF372" s="132"/>
      <c r="JQG372" s="132"/>
      <c r="JQH372" s="132"/>
      <c r="JQI372" s="132"/>
      <c r="JQJ372" s="132"/>
      <c r="JQK372" s="132"/>
      <c r="JQL372" s="132"/>
      <c r="JQM372" s="132"/>
      <c r="JQN372" s="132"/>
      <c r="JQO372" s="132"/>
      <c r="JQP372" s="132"/>
      <c r="JQQ372" s="132"/>
      <c r="JQR372" s="132"/>
      <c r="JQS372" s="132"/>
      <c r="JQT372" s="132"/>
      <c r="JQU372" s="132"/>
      <c r="JQV372" s="132"/>
      <c r="JQW372" s="132"/>
      <c r="JQX372" s="132"/>
      <c r="JQY372" s="132"/>
      <c r="JQZ372" s="132"/>
      <c r="JRA372" s="132"/>
      <c r="JRB372" s="132"/>
      <c r="JRC372" s="132"/>
      <c r="JRD372" s="132"/>
      <c r="JRE372" s="132"/>
      <c r="JRF372" s="132"/>
      <c r="JRG372" s="132"/>
      <c r="JRH372" s="132"/>
      <c r="JRI372" s="132"/>
      <c r="JRJ372" s="132"/>
      <c r="JRK372" s="132"/>
      <c r="JRL372" s="132"/>
      <c r="JRM372" s="132"/>
      <c r="JRN372" s="132"/>
      <c r="JRO372" s="132"/>
      <c r="JRP372" s="132"/>
      <c r="JRQ372" s="132"/>
      <c r="JRR372" s="132"/>
      <c r="JRS372" s="132"/>
      <c r="JRT372" s="132"/>
      <c r="JRU372" s="132"/>
      <c r="JRV372" s="132"/>
      <c r="JRW372" s="132"/>
      <c r="JRX372" s="132"/>
      <c r="JRY372" s="132"/>
      <c r="JRZ372" s="132"/>
      <c r="JSA372" s="132"/>
      <c r="JSB372" s="132"/>
      <c r="JSC372" s="132"/>
      <c r="JSD372" s="132"/>
      <c r="JSE372" s="132"/>
      <c r="JSF372" s="132"/>
      <c r="JSG372" s="132"/>
      <c r="JSH372" s="132"/>
      <c r="JSI372" s="132"/>
      <c r="JSJ372" s="132"/>
      <c r="JSK372" s="132"/>
      <c r="JSL372" s="132"/>
      <c r="JSM372" s="132"/>
      <c r="JSN372" s="132"/>
      <c r="JSO372" s="132"/>
      <c r="JSP372" s="132"/>
      <c r="JSQ372" s="132"/>
      <c r="JSR372" s="132"/>
      <c r="JSS372" s="132"/>
      <c r="JST372" s="132"/>
      <c r="JSU372" s="132"/>
      <c r="JSV372" s="132"/>
      <c r="JSW372" s="132"/>
      <c r="JSX372" s="132"/>
      <c r="JSY372" s="132"/>
      <c r="JSZ372" s="132"/>
      <c r="JTA372" s="132"/>
      <c r="JTB372" s="132"/>
      <c r="JTC372" s="132"/>
      <c r="JTD372" s="132"/>
      <c r="JTE372" s="132"/>
      <c r="JTF372" s="132"/>
      <c r="JTG372" s="132"/>
      <c r="JTH372" s="132"/>
      <c r="JTI372" s="132"/>
      <c r="JTJ372" s="132"/>
      <c r="JTK372" s="132"/>
      <c r="JTL372" s="132"/>
      <c r="JTM372" s="132"/>
      <c r="JTN372" s="132"/>
      <c r="JTO372" s="132"/>
      <c r="JTP372" s="132"/>
      <c r="JTQ372" s="132"/>
      <c r="JTR372" s="132"/>
      <c r="JTS372" s="132"/>
      <c r="JTT372" s="132"/>
      <c r="JTU372" s="132"/>
      <c r="JTV372" s="132"/>
      <c r="JTW372" s="132"/>
      <c r="JTX372" s="132"/>
      <c r="JTY372" s="132"/>
      <c r="JTZ372" s="132"/>
      <c r="JUA372" s="132"/>
      <c r="JUB372" s="132"/>
      <c r="JUC372" s="132"/>
      <c r="JUD372" s="132"/>
      <c r="JUE372" s="132"/>
      <c r="JUF372" s="132"/>
      <c r="JUG372" s="132"/>
      <c r="JUH372" s="132"/>
      <c r="JUI372" s="132"/>
      <c r="JUJ372" s="132"/>
      <c r="JUK372" s="132"/>
      <c r="JUL372" s="132"/>
      <c r="JUM372" s="132"/>
      <c r="JUN372" s="132"/>
      <c r="JUO372" s="132"/>
      <c r="JUP372" s="132"/>
      <c r="JUQ372" s="132"/>
      <c r="JUR372" s="132"/>
      <c r="JUS372" s="132"/>
      <c r="JUT372" s="132"/>
      <c r="JUU372" s="132"/>
      <c r="JUV372" s="132"/>
      <c r="JUW372" s="132"/>
      <c r="JUX372" s="132"/>
      <c r="JUY372" s="132"/>
      <c r="JUZ372" s="132"/>
      <c r="JVA372" s="132"/>
      <c r="JVB372" s="132"/>
      <c r="JVC372" s="132"/>
      <c r="JVD372" s="132"/>
      <c r="JVE372" s="132"/>
      <c r="JVF372" s="132"/>
      <c r="JVG372" s="132"/>
      <c r="JVH372" s="132"/>
      <c r="JVI372" s="132"/>
      <c r="JVJ372" s="132"/>
      <c r="JVK372" s="132"/>
      <c r="JVL372" s="132"/>
      <c r="JVM372" s="132"/>
      <c r="JVN372" s="132"/>
      <c r="JVO372" s="132"/>
      <c r="JVP372" s="132"/>
      <c r="JVQ372" s="132"/>
      <c r="JVR372" s="132"/>
      <c r="JVS372" s="132"/>
      <c r="JVT372" s="132"/>
      <c r="JVU372" s="132"/>
      <c r="JVV372" s="132"/>
      <c r="JVW372" s="132"/>
      <c r="JVX372" s="132"/>
      <c r="JVY372" s="132"/>
      <c r="JVZ372" s="132"/>
      <c r="JWA372" s="132"/>
      <c r="JWB372" s="132"/>
      <c r="JWC372" s="132"/>
      <c r="JWD372" s="132"/>
      <c r="JWE372" s="132"/>
      <c r="JWF372" s="132"/>
      <c r="JWG372" s="132"/>
      <c r="JWH372" s="132"/>
      <c r="JWI372" s="132"/>
      <c r="JWJ372" s="132"/>
      <c r="JWK372" s="132"/>
      <c r="JWL372" s="132"/>
      <c r="JWM372" s="132"/>
      <c r="JWN372" s="132"/>
      <c r="JWO372" s="132"/>
      <c r="JWP372" s="132"/>
      <c r="JWQ372" s="132"/>
      <c r="JWR372" s="132"/>
      <c r="JWS372" s="132"/>
      <c r="JWT372" s="132"/>
      <c r="JWU372" s="132"/>
      <c r="JWV372" s="132"/>
      <c r="JWW372" s="132"/>
      <c r="JWX372" s="132"/>
      <c r="JWY372" s="132"/>
      <c r="JWZ372" s="132"/>
      <c r="JXA372" s="132"/>
      <c r="JXB372" s="132"/>
      <c r="JXC372" s="132"/>
      <c r="JXD372" s="132"/>
      <c r="JXE372" s="132"/>
      <c r="JXF372" s="132"/>
      <c r="JXG372" s="132"/>
      <c r="JXH372" s="132"/>
      <c r="JXI372" s="132"/>
      <c r="JXJ372" s="132"/>
      <c r="JXK372" s="132"/>
      <c r="JXL372" s="132"/>
      <c r="JXM372" s="132"/>
      <c r="JXN372" s="132"/>
      <c r="JXO372" s="132"/>
      <c r="JXP372" s="132"/>
      <c r="JXQ372" s="132"/>
      <c r="JXR372" s="132"/>
      <c r="JXS372" s="132"/>
      <c r="JXT372" s="132"/>
      <c r="JXU372" s="132"/>
      <c r="JXV372" s="132"/>
      <c r="JXW372" s="132"/>
      <c r="JXX372" s="132"/>
      <c r="JXY372" s="132"/>
      <c r="JXZ372" s="132"/>
      <c r="JYA372" s="132"/>
      <c r="JYB372" s="132"/>
      <c r="JYC372" s="132"/>
      <c r="JYD372" s="132"/>
      <c r="JYE372" s="132"/>
      <c r="JYF372" s="132"/>
      <c r="JYG372" s="132"/>
      <c r="JYH372" s="132"/>
      <c r="JYI372" s="132"/>
      <c r="JYJ372" s="132"/>
      <c r="JYK372" s="132"/>
      <c r="JYL372" s="132"/>
      <c r="JYM372" s="132"/>
      <c r="JYN372" s="132"/>
      <c r="JYO372" s="132"/>
      <c r="JYP372" s="132"/>
      <c r="JYQ372" s="132"/>
      <c r="JYR372" s="132"/>
      <c r="JYS372" s="132"/>
      <c r="JYT372" s="132"/>
      <c r="JYU372" s="132"/>
      <c r="JYV372" s="132"/>
      <c r="JYW372" s="132"/>
      <c r="JYX372" s="132"/>
      <c r="JYY372" s="132"/>
      <c r="JYZ372" s="132"/>
      <c r="JZA372" s="132"/>
      <c r="JZB372" s="132"/>
      <c r="JZC372" s="132"/>
      <c r="JZD372" s="132"/>
      <c r="JZE372" s="132"/>
      <c r="JZF372" s="132"/>
      <c r="JZG372" s="132"/>
      <c r="JZH372" s="132"/>
      <c r="JZI372" s="132"/>
      <c r="JZJ372" s="132"/>
      <c r="JZK372" s="132"/>
      <c r="JZL372" s="132"/>
      <c r="JZM372" s="132"/>
      <c r="JZN372" s="132"/>
      <c r="JZO372" s="132"/>
      <c r="JZP372" s="132"/>
      <c r="JZQ372" s="132"/>
      <c r="JZR372" s="132"/>
      <c r="JZS372" s="132"/>
      <c r="JZT372" s="132"/>
      <c r="JZU372" s="132"/>
      <c r="JZV372" s="132"/>
      <c r="JZW372" s="132"/>
      <c r="JZX372" s="132"/>
      <c r="JZY372" s="132"/>
      <c r="JZZ372" s="132"/>
      <c r="KAA372" s="132"/>
      <c r="KAB372" s="132"/>
      <c r="KAC372" s="132"/>
      <c r="KAD372" s="132"/>
      <c r="KAE372" s="132"/>
      <c r="KAF372" s="132"/>
      <c r="KAG372" s="132"/>
      <c r="KAH372" s="132"/>
      <c r="KAI372" s="132"/>
      <c r="KAJ372" s="132"/>
      <c r="KAK372" s="132"/>
      <c r="KAL372" s="132"/>
      <c r="KAM372" s="132"/>
      <c r="KAN372" s="132"/>
      <c r="KAO372" s="132"/>
      <c r="KAP372" s="132"/>
      <c r="KAQ372" s="132"/>
      <c r="KAR372" s="132"/>
      <c r="KAS372" s="132"/>
      <c r="KAT372" s="132"/>
      <c r="KAU372" s="132"/>
      <c r="KAV372" s="132"/>
      <c r="KAW372" s="132"/>
      <c r="KAX372" s="132"/>
      <c r="KAY372" s="132"/>
      <c r="KAZ372" s="132"/>
      <c r="KBA372" s="132"/>
      <c r="KBB372" s="132"/>
      <c r="KBC372" s="132"/>
      <c r="KBD372" s="132"/>
      <c r="KBE372" s="132"/>
      <c r="KBF372" s="132"/>
      <c r="KBG372" s="132"/>
      <c r="KBH372" s="132"/>
      <c r="KBI372" s="132"/>
      <c r="KBJ372" s="132"/>
      <c r="KBK372" s="132"/>
      <c r="KBL372" s="132"/>
      <c r="KBM372" s="132"/>
      <c r="KBN372" s="132"/>
      <c r="KBO372" s="132"/>
      <c r="KBP372" s="132"/>
      <c r="KBQ372" s="132"/>
      <c r="KBR372" s="132"/>
      <c r="KBS372" s="132"/>
      <c r="KBT372" s="132"/>
      <c r="KBU372" s="132"/>
      <c r="KBV372" s="132"/>
      <c r="KBW372" s="132"/>
      <c r="KBX372" s="132"/>
      <c r="KBY372" s="132"/>
      <c r="KBZ372" s="132"/>
      <c r="KCA372" s="132"/>
      <c r="KCB372" s="132"/>
      <c r="KCC372" s="132"/>
      <c r="KCD372" s="132"/>
      <c r="KCE372" s="132"/>
      <c r="KCF372" s="132"/>
      <c r="KCG372" s="132"/>
      <c r="KCH372" s="132"/>
      <c r="KCI372" s="132"/>
      <c r="KCJ372" s="132"/>
      <c r="KCK372" s="132"/>
      <c r="KCL372" s="132"/>
      <c r="KCM372" s="132"/>
      <c r="KCN372" s="132"/>
      <c r="KCO372" s="132"/>
      <c r="KCP372" s="132"/>
      <c r="KCQ372" s="132"/>
      <c r="KCR372" s="132"/>
      <c r="KCS372" s="132"/>
      <c r="KCT372" s="132"/>
      <c r="KCU372" s="132"/>
      <c r="KCV372" s="132"/>
      <c r="KCW372" s="132"/>
      <c r="KCX372" s="132"/>
      <c r="KCY372" s="132"/>
      <c r="KCZ372" s="132"/>
      <c r="KDA372" s="132"/>
      <c r="KDB372" s="132"/>
      <c r="KDC372" s="132"/>
      <c r="KDD372" s="132"/>
      <c r="KDE372" s="132"/>
      <c r="KDF372" s="132"/>
      <c r="KDG372" s="132"/>
      <c r="KDH372" s="132"/>
      <c r="KDI372" s="132"/>
      <c r="KDJ372" s="132"/>
      <c r="KDK372" s="132"/>
      <c r="KDL372" s="132"/>
      <c r="KDM372" s="132"/>
      <c r="KDN372" s="132"/>
      <c r="KDO372" s="132"/>
      <c r="KDP372" s="132"/>
      <c r="KDQ372" s="132"/>
      <c r="KDR372" s="132"/>
      <c r="KDS372" s="132"/>
      <c r="KDT372" s="132"/>
      <c r="KDU372" s="132"/>
      <c r="KDV372" s="132"/>
      <c r="KDW372" s="132"/>
      <c r="KDX372" s="132"/>
      <c r="KDY372" s="132"/>
      <c r="KDZ372" s="132"/>
      <c r="KEA372" s="132"/>
      <c r="KEB372" s="132"/>
      <c r="KEC372" s="132"/>
      <c r="KED372" s="132"/>
      <c r="KEE372" s="132"/>
      <c r="KEF372" s="132"/>
      <c r="KEG372" s="132"/>
      <c r="KEH372" s="132"/>
      <c r="KEI372" s="132"/>
      <c r="KEJ372" s="132"/>
      <c r="KEK372" s="132"/>
      <c r="KEL372" s="132"/>
      <c r="KEM372" s="132"/>
      <c r="KEN372" s="132"/>
      <c r="KEO372" s="132"/>
      <c r="KEP372" s="132"/>
      <c r="KEQ372" s="132"/>
      <c r="KER372" s="132"/>
      <c r="KES372" s="132"/>
      <c r="KET372" s="132"/>
      <c r="KEU372" s="132"/>
      <c r="KEV372" s="132"/>
      <c r="KEW372" s="132"/>
      <c r="KEX372" s="132"/>
      <c r="KEY372" s="132"/>
      <c r="KEZ372" s="132"/>
      <c r="KFA372" s="132"/>
      <c r="KFB372" s="132"/>
      <c r="KFC372" s="132"/>
      <c r="KFD372" s="132"/>
      <c r="KFE372" s="132"/>
      <c r="KFF372" s="132"/>
      <c r="KFG372" s="132"/>
      <c r="KFH372" s="132"/>
      <c r="KFI372" s="132"/>
      <c r="KFJ372" s="132"/>
      <c r="KFK372" s="132"/>
      <c r="KFL372" s="132"/>
      <c r="KFM372" s="132"/>
      <c r="KFN372" s="132"/>
      <c r="KFO372" s="132"/>
      <c r="KFP372" s="132"/>
      <c r="KFQ372" s="132"/>
      <c r="KFR372" s="132"/>
      <c r="KFS372" s="132"/>
      <c r="KFT372" s="132"/>
      <c r="KFU372" s="132"/>
      <c r="KFV372" s="132"/>
      <c r="KFW372" s="132"/>
      <c r="KFX372" s="132"/>
      <c r="KFY372" s="132"/>
      <c r="KFZ372" s="132"/>
      <c r="KGA372" s="132"/>
      <c r="KGB372" s="132"/>
      <c r="KGC372" s="132"/>
      <c r="KGD372" s="132"/>
      <c r="KGE372" s="132"/>
      <c r="KGF372" s="132"/>
      <c r="KGG372" s="132"/>
      <c r="KGH372" s="132"/>
      <c r="KGI372" s="132"/>
      <c r="KGJ372" s="132"/>
      <c r="KGK372" s="132"/>
      <c r="KGL372" s="132"/>
      <c r="KGM372" s="132"/>
      <c r="KGN372" s="132"/>
      <c r="KGO372" s="132"/>
      <c r="KGP372" s="132"/>
      <c r="KGQ372" s="132"/>
      <c r="KGR372" s="132"/>
      <c r="KGS372" s="132"/>
      <c r="KGT372" s="132"/>
      <c r="KGU372" s="132"/>
      <c r="KGV372" s="132"/>
      <c r="KGW372" s="132"/>
      <c r="KGX372" s="132"/>
      <c r="KGY372" s="132"/>
      <c r="KGZ372" s="132"/>
      <c r="KHA372" s="132"/>
      <c r="KHB372" s="132"/>
      <c r="KHC372" s="132"/>
      <c r="KHD372" s="132"/>
      <c r="KHE372" s="132"/>
      <c r="KHF372" s="132"/>
      <c r="KHG372" s="132"/>
      <c r="KHH372" s="132"/>
      <c r="KHI372" s="132"/>
      <c r="KHJ372" s="132"/>
      <c r="KHK372" s="132"/>
      <c r="KHL372" s="132"/>
      <c r="KHM372" s="132"/>
      <c r="KHN372" s="132"/>
      <c r="KHO372" s="132"/>
      <c r="KHP372" s="132"/>
      <c r="KHQ372" s="132"/>
      <c r="KHR372" s="132"/>
      <c r="KHS372" s="132"/>
      <c r="KHT372" s="132"/>
      <c r="KHU372" s="132"/>
      <c r="KHV372" s="132"/>
      <c r="KHW372" s="132"/>
      <c r="KHX372" s="132"/>
      <c r="KHY372" s="132"/>
      <c r="KHZ372" s="132"/>
      <c r="KIA372" s="132"/>
      <c r="KIB372" s="132"/>
      <c r="KIC372" s="132"/>
      <c r="KID372" s="132"/>
      <c r="KIE372" s="132"/>
      <c r="KIF372" s="132"/>
      <c r="KIG372" s="132"/>
      <c r="KIH372" s="132"/>
      <c r="KII372" s="132"/>
      <c r="KIJ372" s="132"/>
      <c r="KIK372" s="132"/>
      <c r="KIL372" s="132"/>
      <c r="KIM372" s="132"/>
      <c r="KIN372" s="132"/>
      <c r="KIO372" s="132"/>
      <c r="KIP372" s="132"/>
      <c r="KIQ372" s="132"/>
      <c r="KIR372" s="132"/>
      <c r="KIS372" s="132"/>
      <c r="KIT372" s="132"/>
      <c r="KIU372" s="132"/>
      <c r="KIV372" s="132"/>
      <c r="KIW372" s="132"/>
      <c r="KIX372" s="132"/>
      <c r="KIY372" s="132"/>
      <c r="KIZ372" s="132"/>
      <c r="KJA372" s="132"/>
      <c r="KJB372" s="132"/>
      <c r="KJC372" s="132"/>
      <c r="KJD372" s="132"/>
      <c r="KJE372" s="132"/>
      <c r="KJF372" s="132"/>
      <c r="KJG372" s="132"/>
      <c r="KJH372" s="132"/>
      <c r="KJI372" s="132"/>
      <c r="KJJ372" s="132"/>
      <c r="KJK372" s="132"/>
      <c r="KJL372" s="132"/>
      <c r="KJM372" s="132"/>
      <c r="KJN372" s="132"/>
      <c r="KJO372" s="132"/>
      <c r="KJP372" s="132"/>
      <c r="KJQ372" s="132"/>
      <c r="KJR372" s="132"/>
      <c r="KJS372" s="132"/>
      <c r="KJT372" s="132"/>
      <c r="KJU372" s="132"/>
      <c r="KJV372" s="132"/>
      <c r="KJW372" s="132"/>
      <c r="KJX372" s="132"/>
      <c r="KJY372" s="132"/>
      <c r="KJZ372" s="132"/>
      <c r="KKA372" s="132"/>
      <c r="KKB372" s="132"/>
      <c r="KKC372" s="132"/>
      <c r="KKD372" s="132"/>
      <c r="KKE372" s="132"/>
      <c r="KKF372" s="132"/>
      <c r="KKG372" s="132"/>
      <c r="KKH372" s="132"/>
      <c r="KKI372" s="132"/>
      <c r="KKJ372" s="132"/>
      <c r="KKK372" s="132"/>
      <c r="KKL372" s="132"/>
      <c r="KKM372" s="132"/>
      <c r="KKN372" s="132"/>
      <c r="KKO372" s="132"/>
      <c r="KKP372" s="132"/>
      <c r="KKQ372" s="132"/>
      <c r="KKR372" s="132"/>
      <c r="KKS372" s="132"/>
      <c r="KKT372" s="132"/>
      <c r="KKU372" s="132"/>
      <c r="KKV372" s="132"/>
      <c r="KKW372" s="132"/>
      <c r="KKX372" s="132"/>
      <c r="KKY372" s="132"/>
      <c r="KKZ372" s="132"/>
      <c r="KLA372" s="132"/>
      <c r="KLB372" s="132"/>
      <c r="KLC372" s="132"/>
      <c r="KLD372" s="132"/>
      <c r="KLE372" s="132"/>
      <c r="KLF372" s="132"/>
      <c r="KLG372" s="132"/>
      <c r="KLH372" s="132"/>
      <c r="KLI372" s="132"/>
      <c r="KLJ372" s="132"/>
      <c r="KLK372" s="132"/>
      <c r="KLL372" s="132"/>
      <c r="KLM372" s="132"/>
      <c r="KLN372" s="132"/>
      <c r="KLO372" s="132"/>
      <c r="KLP372" s="132"/>
      <c r="KLQ372" s="132"/>
      <c r="KLR372" s="132"/>
      <c r="KLS372" s="132"/>
      <c r="KLT372" s="132"/>
      <c r="KLU372" s="132"/>
      <c r="KLV372" s="132"/>
      <c r="KLW372" s="132"/>
      <c r="KLX372" s="132"/>
      <c r="KLY372" s="132"/>
      <c r="KLZ372" s="132"/>
      <c r="KMA372" s="132"/>
      <c r="KMB372" s="132"/>
      <c r="KMC372" s="132"/>
      <c r="KMD372" s="132"/>
      <c r="KME372" s="132"/>
      <c r="KMF372" s="132"/>
      <c r="KMG372" s="132"/>
      <c r="KMH372" s="132"/>
      <c r="KMI372" s="132"/>
      <c r="KMJ372" s="132"/>
      <c r="KMK372" s="132"/>
      <c r="KML372" s="132"/>
      <c r="KMM372" s="132"/>
      <c r="KMN372" s="132"/>
      <c r="KMO372" s="132"/>
      <c r="KMP372" s="132"/>
      <c r="KMQ372" s="132"/>
      <c r="KMR372" s="132"/>
      <c r="KMS372" s="132"/>
      <c r="KMT372" s="132"/>
      <c r="KMU372" s="132"/>
      <c r="KMV372" s="132"/>
      <c r="KMW372" s="132"/>
      <c r="KMX372" s="132"/>
      <c r="KMY372" s="132"/>
      <c r="KMZ372" s="132"/>
      <c r="KNA372" s="132"/>
      <c r="KNB372" s="132"/>
      <c r="KNC372" s="132"/>
      <c r="KND372" s="132"/>
      <c r="KNE372" s="132"/>
      <c r="KNF372" s="132"/>
      <c r="KNG372" s="132"/>
      <c r="KNH372" s="132"/>
      <c r="KNI372" s="132"/>
      <c r="KNJ372" s="132"/>
      <c r="KNK372" s="132"/>
      <c r="KNL372" s="132"/>
      <c r="KNM372" s="132"/>
      <c r="KNN372" s="132"/>
      <c r="KNO372" s="132"/>
      <c r="KNP372" s="132"/>
      <c r="KNQ372" s="132"/>
      <c r="KNR372" s="132"/>
      <c r="KNS372" s="132"/>
      <c r="KNT372" s="132"/>
      <c r="KNU372" s="132"/>
      <c r="KNV372" s="132"/>
      <c r="KNW372" s="132"/>
      <c r="KNX372" s="132"/>
      <c r="KNY372" s="132"/>
      <c r="KNZ372" s="132"/>
      <c r="KOA372" s="132"/>
      <c r="KOB372" s="132"/>
      <c r="KOC372" s="132"/>
      <c r="KOD372" s="132"/>
      <c r="KOE372" s="132"/>
      <c r="KOF372" s="132"/>
      <c r="KOG372" s="132"/>
      <c r="KOH372" s="132"/>
      <c r="KOI372" s="132"/>
      <c r="KOJ372" s="132"/>
      <c r="KOK372" s="132"/>
      <c r="KOL372" s="132"/>
      <c r="KOM372" s="132"/>
      <c r="KON372" s="132"/>
      <c r="KOO372" s="132"/>
      <c r="KOP372" s="132"/>
      <c r="KOQ372" s="132"/>
      <c r="KOR372" s="132"/>
      <c r="KOS372" s="132"/>
      <c r="KOT372" s="132"/>
      <c r="KOU372" s="132"/>
      <c r="KOV372" s="132"/>
      <c r="KOW372" s="132"/>
      <c r="KOX372" s="132"/>
      <c r="KOY372" s="132"/>
      <c r="KOZ372" s="132"/>
      <c r="KPA372" s="132"/>
      <c r="KPB372" s="132"/>
      <c r="KPC372" s="132"/>
      <c r="KPD372" s="132"/>
      <c r="KPE372" s="132"/>
      <c r="KPF372" s="132"/>
      <c r="KPG372" s="132"/>
      <c r="KPH372" s="132"/>
      <c r="KPI372" s="132"/>
      <c r="KPJ372" s="132"/>
      <c r="KPK372" s="132"/>
      <c r="KPL372" s="132"/>
      <c r="KPM372" s="132"/>
      <c r="KPN372" s="132"/>
      <c r="KPO372" s="132"/>
      <c r="KPP372" s="132"/>
      <c r="KPQ372" s="132"/>
      <c r="KPR372" s="132"/>
      <c r="KPS372" s="132"/>
      <c r="KPT372" s="132"/>
      <c r="KPU372" s="132"/>
      <c r="KPV372" s="132"/>
      <c r="KPW372" s="132"/>
      <c r="KPX372" s="132"/>
      <c r="KPY372" s="132"/>
      <c r="KPZ372" s="132"/>
      <c r="KQA372" s="132"/>
      <c r="KQB372" s="132"/>
      <c r="KQC372" s="132"/>
      <c r="KQD372" s="132"/>
      <c r="KQE372" s="132"/>
      <c r="KQF372" s="132"/>
      <c r="KQG372" s="132"/>
      <c r="KQH372" s="132"/>
      <c r="KQI372" s="132"/>
      <c r="KQJ372" s="132"/>
      <c r="KQK372" s="132"/>
      <c r="KQL372" s="132"/>
      <c r="KQM372" s="132"/>
      <c r="KQN372" s="132"/>
      <c r="KQO372" s="132"/>
      <c r="KQP372" s="132"/>
      <c r="KQQ372" s="132"/>
      <c r="KQR372" s="132"/>
      <c r="KQS372" s="132"/>
      <c r="KQT372" s="132"/>
      <c r="KQU372" s="132"/>
      <c r="KQV372" s="132"/>
      <c r="KQW372" s="132"/>
      <c r="KQX372" s="132"/>
      <c r="KQY372" s="132"/>
      <c r="KQZ372" s="132"/>
      <c r="KRA372" s="132"/>
      <c r="KRB372" s="132"/>
      <c r="KRC372" s="132"/>
      <c r="KRD372" s="132"/>
      <c r="KRE372" s="132"/>
      <c r="KRF372" s="132"/>
      <c r="KRG372" s="132"/>
      <c r="KRH372" s="132"/>
      <c r="KRI372" s="132"/>
      <c r="KRJ372" s="132"/>
      <c r="KRK372" s="132"/>
      <c r="KRL372" s="132"/>
      <c r="KRM372" s="132"/>
      <c r="KRN372" s="132"/>
      <c r="KRO372" s="132"/>
      <c r="KRP372" s="132"/>
      <c r="KRQ372" s="132"/>
      <c r="KRR372" s="132"/>
      <c r="KRS372" s="132"/>
      <c r="KRT372" s="132"/>
      <c r="KRU372" s="132"/>
      <c r="KRV372" s="132"/>
      <c r="KRW372" s="132"/>
      <c r="KRX372" s="132"/>
      <c r="KRY372" s="132"/>
      <c r="KRZ372" s="132"/>
      <c r="KSA372" s="132"/>
      <c r="KSB372" s="132"/>
      <c r="KSC372" s="132"/>
      <c r="KSD372" s="132"/>
      <c r="KSE372" s="132"/>
      <c r="KSF372" s="132"/>
      <c r="KSG372" s="132"/>
      <c r="KSH372" s="132"/>
      <c r="KSI372" s="132"/>
      <c r="KSJ372" s="132"/>
      <c r="KSK372" s="132"/>
      <c r="KSL372" s="132"/>
      <c r="KSM372" s="132"/>
      <c r="KSN372" s="132"/>
      <c r="KSO372" s="132"/>
      <c r="KSP372" s="132"/>
      <c r="KSQ372" s="132"/>
      <c r="KSR372" s="132"/>
      <c r="KSS372" s="132"/>
      <c r="KST372" s="132"/>
      <c r="KSU372" s="132"/>
      <c r="KSV372" s="132"/>
      <c r="KSW372" s="132"/>
      <c r="KSX372" s="132"/>
      <c r="KSY372" s="132"/>
      <c r="KSZ372" s="132"/>
      <c r="KTA372" s="132"/>
      <c r="KTB372" s="132"/>
      <c r="KTC372" s="132"/>
      <c r="KTD372" s="132"/>
      <c r="KTE372" s="132"/>
      <c r="KTF372" s="132"/>
      <c r="KTG372" s="132"/>
      <c r="KTH372" s="132"/>
      <c r="KTI372" s="132"/>
      <c r="KTJ372" s="132"/>
      <c r="KTK372" s="132"/>
      <c r="KTL372" s="132"/>
      <c r="KTM372" s="132"/>
      <c r="KTN372" s="132"/>
      <c r="KTO372" s="132"/>
      <c r="KTP372" s="132"/>
      <c r="KTQ372" s="132"/>
      <c r="KTR372" s="132"/>
      <c r="KTS372" s="132"/>
      <c r="KTT372" s="132"/>
      <c r="KTU372" s="132"/>
      <c r="KTV372" s="132"/>
      <c r="KTW372" s="132"/>
      <c r="KTX372" s="132"/>
      <c r="KTY372" s="132"/>
      <c r="KTZ372" s="132"/>
      <c r="KUA372" s="132"/>
      <c r="KUB372" s="132"/>
      <c r="KUC372" s="132"/>
      <c r="KUD372" s="132"/>
      <c r="KUE372" s="132"/>
      <c r="KUF372" s="132"/>
      <c r="KUG372" s="132"/>
      <c r="KUH372" s="132"/>
      <c r="KUI372" s="132"/>
      <c r="KUJ372" s="132"/>
      <c r="KUK372" s="132"/>
      <c r="KUL372" s="132"/>
      <c r="KUM372" s="132"/>
      <c r="KUN372" s="132"/>
      <c r="KUO372" s="132"/>
      <c r="KUP372" s="132"/>
      <c r="KUQ372" s="132"/>
      <c r="KUR372" s="132"/>
      <c r="KUS372" s="132"/>
      <c r="KUT372" s="132"/>
      <c r="KUU372" s="132"/>
      <c r="KUV372" s="132"/>
      <c r="KUW372" s="132"/>
      <c r="KUX372" s="132"/>
      <c r="KUY372" s="132"/>
      <c r="KUZ372" s="132"/>
      <c r="KVA372" s="132"/>
      <c r="KVB372" s="132"/>
      <c r="KVC372" s="132"/>
      <c r="KVD372" s="132"/>
      <c r="KVE372" s="132"/>
      <c r="KVF372" s="132"/>
      <c r="KVG372" s="132"/>
      <c r="KVH372" s="132"/>
      <c r="KVI372" s="132"/>
      <c r="KVJ372" s="132"/>
      <c r="KVK372" s="132"/>
      <c r="KVL372" s="132"/>
      <c r="KVM372" s="132"/>
      <c r="KVN372" s="132"/>
      <c r="KVO372" s="132"/>
      <c r="KVP372" s="132"/>
      <c r="KVQ372" s="132"/>
      <c r="KVR372" s="132"/>
      <c r="KVS372" s="132"/>
      <c r="KVT372" s="132"/>
      <c r="KVU372" s="132"/>
      <c r="KVV372" s="132"/>
      <c r="KVW372" s="132"/>
      <c r="KVX372" s="132"/>
      <c r="KVY372" s="132"/>
      <c r="KVZ372" s="132"/>
      <c r="KWA372" s="132"/>
      <c r="KWB372" s="132"/>
      <c r="KWC372" s="132"/>
      <c r="KWD372" s="132"/>
      <c r="KWE372" s="132"/>
      <c r="KWF372" s="132"/>
      <c r="KWG372" s="132"/>
      <c r="KWH372" s="132"/>
      <c r="KWI372" s="132"/>
      <c r="KWJ372" s="132"/>
      <c r="KWK372" s="132"/>
      <c r="KWL372" s="132"/>
      <c r="KWM372" s="132"/>
      <c r="KWN372" s="132"/>
      <c r="KWO372" s="132"/>
      <c r="KWP372" s="132"/>
      <c r="KWQ372" s="132"/>
      <c r="KWR372" s="132"/>
      <c r="KWS372" s="132"/>
      <c r="KWT372" s="132"/>
      <c r="KWU372" s="132"/>
      <c r="KWV372" s="132"/>
      <c r="KWW372" s="132"/>
      <c r="KWX372" s="132"/>
      <c r="KWY372" s="132"/>
      <c r="KWZ372" s="132"/>
      <c r="KXA372" s="132"/>
      <c r="KXB372" s="132"/>
      <c r="KXC372" s="132"/>
      <c r="KXD372" s="132"/>
      <c r="KXE372" s="132"/>
      <c r="KXF372" s="132"/>
      <c r="KXG372" s="132"/>
      <c r="KXH372" s="132"/>
      <c r="KXI372" s="132"/>
      <c r="KXJ372" s="132"/>
      <c r="KXK372" s="132"/>
      <c r="KXL372" s="132"/>
      <c r="KXM372" s="132"/>
      <c r="KXN372" s="132"/>
      <c r="KXO372" s="132"/>
      <c r="KXP372" s="132"/>
      <c r="KXQ372" s="132"/>
      <c r="KXR372" s="132"/>
      <c r="KXS372" s="132"/>
      <c r="KXT372" s="132"/>
      <c r="KXU372" s="132"/>
      <c r="KXV372" s="132"/>
      <c r="KXW372" s="132"/>
      <c r="KXX372" s="132"/>
      <c r="KXY372" s="132"/>
      <c r="KXZ372" s="132"/>
      <c r="KYA372" s="132"/>
      <c r="KYB372" s="132"/>
      <c r="KYC372" s="132"/>
      <c r="KYD372" s="132"/>
      <c r="KYE372" s="132"/>
      <c r="KYF372" s="132"/>
      <c r="KYG372" s="132"/>
      <c r="KYH372" s="132"/>
      <c r="KYI372" s="132"/>
      <c r="KYJ372" s="132"/>
      <c r="KYK372" s="132"/>
      <c r="KYL372" s="132"/>
      <c r="KYM372" s="132"/>
      <c r="KYN372" s="132"/>
      <c r="KYO372" s="132"/>
      <c r="KYP372" s="132"/>
      <c r="KYQ372" s="132"/>
      <c r="KYR372" s="132"/>
      <c r="KYS372" s="132"/>
      <c r="KYT372" s="132"/>
      <c r="KYU372" s="132"/>
      <c r="KYV372" s="132"/>
      <c r="KYW372" s="132"/>
      <c r="KYX372" s="132"/>
      <c r="KYY372" s="132"/>
      <c r="KYZ372" s="132"/>
      <c r="KZA372" s="132"/>
      <c r="KZB372" s="132"/>
      <c r="KZC372" s="132"/>
      <c r="KZD372" s="132"/>
      <c r="KZE372" s="132"/>
      <c r="KZF372" s="132"/>
      <c r="KZG372" s="132"/>
      <c r="KZH372" s="132"/>
      <c r="KZI372" s="132"/>
      <c r="KZJ372" s="132"/>
      <c r="KZK372" s="132"/>
      <c r="KZL372" s="132"/>
      <c r="KZM372" s="132"/>
      <c r="KZN372" s="132"/>
      <c r="KZO372" s="132"/>
      <c r="KZP372" s="132"/>
      <c r="KZQ372" s="132"/>
      <c r="KZR372" s="132"/>
      <c r="KZS372" s="132"/>
      <c r="KZT372" s="132"/>
      <c r="KZU372" s="132"/>
      <c r="KZV372" s="132"/>
      <c r="KZW372" s="132"/>
      <c r="KZX372" s="132"/>
      <c r="KZY372" s="132"/>
      <c r="KZZ372" s="132"/>
      <c r="LAA372" s="132"/>
      <c r="LAB372" s="132"/>
      <c r="LAC372" s="132"/>
      <c r="LAD372" s="132"/>
      <c r="LAE372" s="132"/>
      <c r="LAF372" s="132"/>
      <c r="LAG372" s="132"/>
      <c r="LAH372" s="132"/>
      <c r="LAI372" s="132"/>
      <c r="LAJ372" s="132"/>
      <c r="LAK372" s="132"/>
      <c r="LAL372" s="132"/>
      <c r="LAM372" s="132"/>
      <c r="LAN372" s="132"/>
      <c r="LAO372" s="132"/>
      <c r="LAP372" s="132"/>
      <c r="LAQ372" s="132"/>
      <c r="LAR372" s="132"/>
      <c r="LAS372" s="132"/>
      <c r="LAT372" s="132"/>
      <c r="LAU372" s="132"/>
      <c r="LAV372" s="132"/>
      <c r="LAW372" s="132"/>
      <c r="LAX372" s="132"/>
      <c r="LAY372" s="132"/>
      <c r="LAZ372" s="132"/>
      <c r="LBA372" s="132"/>
      <c r="LBB372" s="132"/>
      <c r="LBC372" s="132"/>
      <c r="LBD372" s="132"/>
      <c r="LBE372" s="132"/>
      <c r="LBF372" s="132"/>
      <c r="LBG372" s="132"/>
      <c r="LBH372" s="132"/>
      <c r="LBI372" s="132"/>
      <c r="LBJ372" s="132"/>
      <c r="LBK372" s="132"/>
      <c r="LBL372" s="132"/>
      <c r="LBM372" s="132"/>
      <c r="LBN372" s="132"/>
      <c r="LBO372" s="132"/>
      <c r="LBP372" s="132"/>
      <c r="LBQ372" s="132"/>
      <c r="LBR372" s="132"/>
      <c r="LBS372" s="132"/>
      <c r="LBT372" s="132"/>
      <c r="LBU372" s="132"/>
      <c r="LBV372" s="132"/>
      <c r="LBW372" s="132"/>
      <c r="LBX372" s="132"/>
      <c r="LBY372" s="132"/>
      <c r="LBZ372" s="132"/>
      <c r="LCA372" s="132"/>
      <c r="LCB372" s="132"/>
      <c r="LCC372" s="132"/>
      <c r="LCD372" s="132"/>
      <c r="LCE372" s="132"/>
      <c r="LCF372" s="132"/>
      <c r="LCG372" s="132"/>
      <c r="LCH372" s="132"/>
      <c r="LCI372" s="132"/>
      <c r="LCJ372" s="132"/>
      <c r="LCK372" s="132"/>
      <c r="LCL372" s="132"/>
      <c r="LCM372" s="132"/>
      <c r="LCN372" s="132"/>
      <c r="LCO372" s="132"/>
      <c r="LCP372" s="132"/>
      <c r="LCQ372" s="132"/>
      <c r="LCR372" s="132"/>
      <c r="LCS372" s="132"/>
      <c r="LCT372" s="132"/>
      <c r="LCU372" s="132"/>
      <c r="LCV372" s="132"/>
      <c r="LCW372" s="132"/>
      <c r="LCX372" s="132"/>
      <c r="LCY372" s="132"/>
      <c r="LCZ372" s="132"/>
      <c r="LDA372" s="132"/>
      <c r="LDB372" s="132"/>
      <c r="LDC372" s="132"/>
      <c r="LDD372" s="132"/>
      <c r="LDE372" s="132"/>
      <c r="LDF372" s="132"/>
      <c r="LDG372" s="132"/>
      <c r="LDH372" s="132"/>
      <c r="LDI372" s="132"/>
      <c r="LDJ372" s="132"/>
      <c r="LDK372" s="132"/>
      <c r="LDL372" s="132"/>
      <c r="LDM372" s="132"/>
      <c r="LDN372" s="132"/>
      <c r="LDO372" s="132"/>
      <c r="LDP372" s="132"/>
      <c r="LDQ372" s="132"/>
      <c r="LDR372" s="132"/>
      <c r="LDS372" s="132"/>
      <c r="LDT372" s="132"/>
      <c r="LDU372" s="132"/>
      <c r="LDV372" s="132"/>
      <c r="LDW372" s="132"/>
      <c r="LDX372" s="132"/>
      <c r="LDY372" s="132"/>
      <c r="LDZ372" s="132"/>
      <c r="LEA372" s="132"/>
      <c r="LEB372" s="132"/>
      <c r="LEC372" s="132"/>
      <c r="LED372" s="132"/>
      <c r="LEE372" s="132"/>
      <c r="LEF372" s="132"/>
      <c r="LEG372" s="132"/>
      <c r="LEH372" s="132"/>
      <c r="LEI372" s="132"/>
      <c r="LEJ372" s="132"/>
      <c r="LEK372" s="132"/>
      <c r="LEL372" s="132"/>
      <c r="LEM372" s="132"/>
      <c r="LEN372" s="132"/>
      <c r="LEO372" s="132"/>
      <c r="LEP372" s="132"/>
      <c r="LEQ372" s="132"/>
      <c r="LER372" s="132"/>
      <c r="LES372" s="132"/>
      <c r="LET372" s="132"/>
      <c r="LEU372" s="132"/>
      <c r="LEV372" s="132"/>
      <c r="LEW372" s="132"/>
      <c r="LEX372" s="132"/>
      <c r="LEY372" s="132"/>
      <c r="LEZ372" s="132"/>
      <c r="LFA372" s="132"/>
      <c r="LFB372" s="132"/>
      <c r="LFC372" s="132"/>
      <c r="LFD372" s="132"/>
      <c r="LFE372" s="132"/>
      <c r="LFF372" s="132"/>
      <c r="LFG372" s="132"/>
      <c r="LFH372" s="132"/>
      <c r="LFI372" s="132"/>
      <c r="LFJ372" s="132"/>
      <c r="LFK372" s="132"/>
      <c r="LFL372" s="132"/>
      <c r="LFM372" s="132"/>
      <c r="LFN372" s="132"/>
      <c r="LFO372" s="132"/>
      <c r="LFP372" s="132"/>
      <c r="LFQ372" s="132"/>
      <c r="LFR372" s="132"/>
      <c r="LFS372" s="132"/>
      <c r="LFT372" s="132"/>
      <c r="LFU372" s="132"/>
      <c r="LFV372" s="132"/>
      <c r="LFW372" s="132"/>
      <c r="LFX372" s="132"/>
      <c r="LFY372" s="132"/>
      <c r="LFZ372" s="132"/>
      <c r="LGA372" s="132"/>
      <c r="LGB372" s="132"/>
      <c r="LGC372" s="132"/>
      <c r="LGD372" s="132"/>
      <c r="LGE372" s="132"/>
      <c r="LGF372" s="132"/>
      <c r="LGG372" s="132"/>
      <c r="LGH372" s="132"/>
      <c r="LGI372" s="132"/>
      <c r="LGJ372" s="132"/>
      <c r="LGK372" s="132"/>
      <c r="LGL372" s="132"/>
      <c r="LGM372" s="132"/>
      <c r="LGN372" s="132"/>
      <c r="LGO372" s="132"/>
      <c r="LGP372" s="132"/>
      <c r="LGQ372" s="132"/>
      <c r="LGR372" s="132"/>
      <c r="LGS372" s="132"/>
      <c r="LGT372" s="132"/>
      <c r="LGU372" s="132"/>
      <c r="LGV372" s="132"/>
      <c r="LGW372" s="132"/>
      <c r="LGX372" s="132"/>
      <c r="LGY372" s="132"/>
      <c r="LGZ372" s="132"/>
      <c r="LHA372" s="132"/>
      <c r="LHB372" s="132"/>
      <c r="LHC372" s="132"/>
      <c r="LHD372" s="132"/>
      <c r="LHE372" s="132"/>
      <c r="LHF372" s="132"/>
      <c r="LHG372" s="132"/>
      <c r="LHH372" s="132"/>
      <c r="LHI372" s="132"/>
      <c r="LHJ372" s="132"/>
      <c r="LHK372" s="132"/>
      <c r="LHL372" s="132"/>
      <c r="LHM372" s="132"/>
      <c r="LHN372" s="132"/>
      <c r="LHO372" s="132"/>
      <c r="LHP372" s="132"/>
      <c r="LHQ372" s="132"/>
      <c r="LHR372" s="132"/>
      <c r="LHS372" s="132"/>
      <c r="LHT372" s="132"/>
      <c r="LHU372" s="132"/>
      <c r="LHV372" s="132"/>
      <c r="LHW372" s="132"/>
      <c r="LHX372" s="132"/>
      <c r="LHY372" s="132"/>
      <c r="LHZ372" s="132"/>
      <c r="LIA372" s="132"/>
      <c r="LIB372" s="132"/>
      <c r="LIC372" s="132"/>
      <c r="LID372" s="132"/>
      <c r="LIE372" s="132"/>
      <c r="LIF372" s="132"/>
      <c r="LIG372" s="132"/>
      <c r="LIH372" s="132"/>
      <c r="LII372" s="132"/>
      <c r="LIJ372" s="132"/>
      <c r="LIK372" s="132"/>
      <c r="LIL372" s="132"/>
      <c r="LIM372" s="132"/>
      <c r="LIN372" s="132"/>
      <c r="LIO372" s="132"/>
      <c r="LIP372" s="132"/>
      <c r="LIQ372" s="132"/>
      <c r="LIR372" s="132"/>
      <c r="LIS372" s="132"/>
      <c r="LIT372" s="132"/>
      <c r="LIU372" s="132"/>
      <c r="LIV372" s="132"/>
      <c r="LIW372" s="132"/>
      <c r="LIX372" s="132"/>
      <c r="LIY372" s="132"/>
      <c r="LIZ372" s="132"/>
      <c r="LJA372" s="132"/>
      <c r="LJB372" s="132"/>
      <c r="LJC372" s="132"/>
      <c r="LJD372" s="132"/>
      <c r="LJE372" s="132"/>
      <c r="LJF372" s="132"/>
      <c r="LJG372" s="132"/>
      <c r="LJH372" s="132"/>
      <c r="LJI372" s="132"/>
      <c r="LJJ372" s="132"/>
      <c r="LJK372" s="132"/>
      <c r="LJL372" s="132"/>
      <c r="LJM372" s="132"/>
      <c r="LJN372" s="132"/>
      <c r="LJO372" s="132"/>
      <c r="LJP372" s="132"/>
      <c r="LJQ372" s="132"/>
      <c r="LJR372" s="132"/>
      <c r="LJS372" s="132"/>
      <c r="LJT372" s="132"/>
      <c r="LJU372" s="132"/>
      <c r="LJV372" s="132"/>
      <c r="LJW372" s="132"/>
      <c r="LJX372" s="132"/>
      <c r="LJY372" s="132"/>
      <c r="LJZ372" s="132"/>
      <c r="LKA372" s="132"/>
      <c r="LKB372" s="132"/>
      <c r="LKC372" s="132"/>
      <c r="LKD372" s="132"/>
      <c r="LKE372" s="132"/>
      <c r="LKF372" s="132"/>
      <c r="LKG372" s="132"/>
      <c r="LKH372" s="132"/>
      <c r="LKI372" s="132"/>
      <c r="LKJ372" s="132"/>
      <c r="LKK372" s="132"/>
      <c r="LKL372" s="132"/>
      <c r="LKM372" s="132"/>
      <c r="LKN372" s="132"/>
      <c r="LKO372" s="132"/>
      <c r="LKP372" s="132"/>
      <c r="LKQ372" s="132"/>
      <c r="LKR372" s="132"/>
      <c r="LKS372" s="132"/>
      <c r="LKT372" s="132"/>
      <c r="LKU372" s="132"/>
      <c r="LKV372" s="132"/>
      <c r="LKW372" s="132"/>
      <c r="LKX372" s="132"/>
      <c r="LKY372" s="132"/>
      <c r="LKZ372" s="132"/>
      <c r="LLA372" s="132"/>
      <c r="LLB372" s="132"/>
      <c r="LLC372" s="132"/>
      <c r="LLD372" s="132"/>
      <c r="LLE372" s="132"/>
      <c r="LLF372" s="132"/>
      <c r="LLG372" s="132"/>
      <c r="LLH372" s="132"/>
      <c r="LLI372" s="132"/>
      <c r="LLJ372" s="132"/>
      <c r="LLK372" s="132"/>
      <c r="LLL372" s="132"/>
      <c r="LLM372" s="132"/>
      <c r="LLN372" s="132"/>
      <c r="LLO372" s="132"/>
      <c r="LLP372" s="132"/>
      <c r="LLQ372" s="132"/>
      <c r="LLR372" s="132"/>
      <c r="LLS372" s="132"/>
      <c r="LLT372" s="132"/>
      <c r="LLU372" s="132"/>
      <c r="LLV372" s="132"/>
      <c r="LLW372" s="132"/>
      <c r="LLX372" s="132"/>
      <c r="LLY372" s="132"/>
      <c r="LLZ372" s="132"/>
      <c r="LMA372" s="132"/>
      <c r="LMB372" s="132"/>
      <c r="LMC372" s="132"/>
      <c r="LMD372" s="132"/>
      <c r="LME372" s="132"/>
      <c r="LMF372" s="132"/>
      <c r="LMG372" s="132"/>
      <c r="LMH372" s="132"/>
      <c r="LMI372" s="132"/>
      <c r="LMJ372" s="132"/>
      <c r="LMK372" s="132"/>
      <c r="LML372" s="132"/>
      <c r="LMM372" s="132"/>
      <c r="LMN372" s="132"/>
      <c r="LMO372" s="132"/>
      <c r="LMP372" s="132"/>
      <c r="LMQ372" s="132"/>
      <c r="LMR372" s="132"/>
      <c r="LMS372" s="132"/>
      <c r="LMT372" s="132"/>
      <c r="LMU372" s="132"/>
      <c r="LMV372" s="132"/>
      <c r="LMW372" s="132"/>
      <c r="LMX372" s="132"/>
      <c r="LMY372" s="132"/>
      <c r="LMZ372" s="132"/>
      <c r="LNA372" s="132"/>
      <c r="LNB372" s="132"/>
      <c r="LNC372" s="132"/>
      <c r="LND372" s="132"/>
      <c r="LNE372" s="132"/>
      <c r="LNF372" s="132"/>
      <c r="LNG372" s="132"/>
      <c r="LNH372" s="132"/>
      <c r="LNI372" s="132"/>
      <c r="LNJ372" s="132"/>
      <c r="LNK372" s="132"/>
      <c r="LNL372" s="132"/>
      <c r="LNM372" s="132"/>
      <c r="LNN372" s="132"/>
      <c r="LNO372" s="132"/>
      <c r="LNP372" s="132"/>
      <c r="LNQ372" s="132"/>
      <c r="LNR372" s="132"/>
      <c r="LNS372" s="132"/>
      <c r="LNT372" s="132"/>
      <c r="LNU372" s="132"/>
      <c r="LNV372" s="132"/>
      <c r="LNW372" s="132"/>
      <c r="LNX372" s="132"/>
      <c r="LNY372" s="132"/>
      <c r="LNZ372" s="132"/>
      <c r="LOA372" s="132"/>
      <c r="LOB372" s="132"/>
      <c r="LOC372" s="132"/>
      <c r="LOD372" s="132"/>
      <c r="LOE372" s="132"/>
      <c r="LOF372" s="132"/>
      <c r="LOG372" s="132"/>
      <c r="LOH372" s="132"/>
      <c r="LOI372" s="132"/>
      <c r="LOJ372" s="132"/>
      <c r="LOK372" s="132"/>
      <c r="LOL372" s="132"/>
      <c r="LOM372" s="132"/>
      <c r="LON372" s="132"/>
      <c r="LOO372" s="132"/>
      <c r="LOP372" s="132"/>
      <c r="LOQ372" s="132"/>
      <c r="LOR372" s="132"/>
      <c r="LOS372" s="132"/>
      <c r="LOT372" s="132"/>
      <c r="LOU372" s="132"/>
      <c r="LOV372" s="132"/>
      <c r="LOW372" s="132"/>
      <c r="LOX372" s="132"/>
      <c r="LOY372" s="132"/>
      <c r="LOZ372" s="132"/>
      <c r="LPA372" s="132"/>
      <c r="LPB372" s="132"/>
      <c r="LPC372" s="132"/>
      <c r="LPD372" s="132"/>
      <c r="LPE372" s="132"/>
      <c r="LPF372" s="132"/>
      <c r="LPG372" s="132"/>
      <c r="LPH372" s="132"/>
      <c r="LPI372" s="132"/>
      <c r="LPJ372" s="132"/>
      <c r="LPK372" s="132"/>
      <c r="LPL372" s="132"/>
      <c r="LPM372" s="132"/>
      <c r="LPN372" s="132"/>
      <c r="LPO372" s="132"/>
      <c r="LPP372" s="132"/>
      <c r="LPQ372" s="132"/>
      <c r="LPR372" s="132"/>
      <c r="LPS372" s="132"/>
      <c r="LPT372" s="132"/>
      <c r="LPU372" s="132"/>
      <c r="LPV372" s="132"/>
      <c r="LPW372" s="132"/>
      <c r="LPX372" s="132"/>
      <c r="LPY372" s="132"/>
      <c r="LPZ372" s="132"/>
      <c r="LQA372" s="132"/>
      <c r="LQB372" s="132"/>
      <c r="LQC372" s="132"/>
      <c r="LQD372" s="132"/>
      <c r="LQE372" s="132"/>
      <c r="LQF372" s="132"/>
      <c r="LQG372" s="132"/>
      <c r="LQH372" s="132"/>
      <c r="LQI372" s="132"/>
      <c r="LQJ372" s="132"/>
      <c r="LQK372" s="132"/>
      <c r="LQL372" s="132"/>
      <c r="LQM372" s="132"/>
      <c r="LQN372" s="132"/>
      <c r="LQO372" s="132"/>
      <c r="LQP372" s="132"/>
      <c r="LQQ372" s="132"/>
      <c r="LQR372" s="132"/>
      <c r="LQS372" s="132"/>
      <c r="LQT372" s="132"/>
      <c r="LQU372" s="132"/>
      <c r="LQV372" s="132"/>
      <c r="LQW372" s="132"/>
      <c r="LQX372" s="132"/>
      <c r="LQY372" s="132"/>
      <c r="LQZ372" s="132"/>
      <c r="LRA372" s="132"/>
      <c r="LRB372" s="132"/>
      <c r="LRC372" s="132"/>
      <c r="LRD372" s="132"/>
      <c r="LRE372" s="132"/>
      <c r="LRF372" s="132"/>
      <c r="LRG372" s="132"/>
      <c r="LRH372" s="132"/>
      <c r="LRI372" s="132"/>
      <c r="LRJ372" s="132"/>
      <c r="LRK372" s="132"/>
      <c r="LRL372" s="132"/>
      <c r="LRM372" s="132"/>
      <c r="LRN372" s="132"/>
      <c r="LRO372" s="132"/>
      <c r="LRP372" s="132"/>
      <c r="LRQ372" s="132"/>
      <c r="LRR372" s="132"/>
      <c r="LRS372" s="132"/>
      <c r="LRT372" s="132"/>
      <c r="LRU372" s="132"/>
      <c r="LRV372" s="132"/>
      <c r="LRW372" s="132"/>
      <c r="LRX372" s="132"/>
      <c r="LRY372" s="132"/>
      <c r="LRZ372" s="132"/>
      <c r="LSA372" s="132"/>
      <c r="LSB372" s="132"/>
      <c r="LSC372" s="132"/>
      <c r="LSD372" s="132"/>
      <c r="LSE372" s="132"/>
      <c r="LSF372" s="132"/>
      <c r="LSG372" s="132"/>
      <c r="LSH372" s="132"/>
      <c r="LSI372" s="132"/>
      <c r="LSJ372" s="132"/>
      <c r="LSK372" s="132"/>
      <c r="LSL372" s="132"/>
      <c r="LSM372" s="132"/>
      <c r="LSN372" s="132"/>
      <c r="LSO372" s="132"/>
      <c r="LSP372" s="132"/>
      <c r="LSQ372" s="132"/>
      <c r="LSR372" s="132"/>
      <c r="LSS372" s="132"/>
      <c r="LST372" s="132"/>
      <c r="LSU372" s="132"/>
      <c r="LSV372" s="132"/>
      <c r="LSW372" s="132"/>
      <c r="LSX372" s="132"/>
      <c r="LSY372" s="132"/>
      <c r="LSZ372" s="132"/>
      <c r="LTA372" s="132"/>
      <c r="LTB372" s="132"/>
      <c r="LTC372" s="132"/>
      <c r="LTD372" s="132"/>
      <c r="LTE372" s="132"/>
      <c r="LTF372" s="132"/>
      <c r="LTG372" s="132"/>
      <c r="LTH372" s="132"/>
      <c r="LTI372" s="132"/>
      <c r="LTJ372" s="132"/>
      <c r="LTK372" s="132"/>
      <c r="LTL372" s="132"/>
      <c r="LTM372" s="132"/>
      <c r="LTN372" s="132"/>
      <c r="LTO372" s="132"/>
      <c r="LTP372" s="132"/>
      <c r="LTQ372" s="132"/>
      <c r="LTR372" s="132"/>
      <c r="LTS372" s="132"/>
      <c r="LTT372" s="132"/>
      <c r="LTU372" s="132"/>
      <c r="LTV372" s="132"/>
      <c r="LTW372" s="132"/>
      <c r="LTX372" s="132"/>
      <c r="LTY372" s="132"/>
      <c r="LTZ372" s="132"/>
      <c r="LUA372" s="132"/>
      <c r="LUB372" s="132"/>
      <c r="LUC372" s="132"/>
      <c r="LUD372" s="132"/>
      <c r="LUE372" s="132"/>
      <c r="LUF372" s="132"/>
      <c r="LUG372" s="132"/>
      <c r="LUH372" s="132"/>
      <c r="LUI372" s="132"/>
      <c r="LUJ372" s="132"/>
      <c r="LUK372" s="132"/>
      <c r="LUL372" s="132"/>
      <c r="LUM372" s="132"/>
      <c r="LUN372" s="132"/>
      <c r="LUO372" s="132"/>
      <c r="LUP372" s="132"/>
      <c r="LUQ372" s="132"/>
      <c r="LUR372" s="132"/>
      <c r="LUS372" s="132"/>
      <c r="LUT372" s="132"/>
      <c r="LUU372" s="132"/>
      <c r="LUV372" s="132"/>
      <c r="LUW372" s="132"/>
      <c r="LUX372" s="132"/>
      <c r="LUY372" s="132"/>
      <c r="LUZ372" s="132"/>
      <c r="LVA372" s="132"/>
      <c r="LVB372" s="132"/>
      <c r="LVC372" s="132"/>
      <c r="LVD372" s="132"/>
      <c r="LVE372" s="132"/>
      <c r="LVF372" s="132"/>
      <c r="LVG372" s="132"/>
      <c r="LVH372" s="132"/>
      <c r="LVI372" s="132"/>
      <c r="LVJ372" s="132"/>
      <c r="LVK372" s="132"/>
      <c r="LVL372" s="132"/>
      <c r="LVM372" s="132"/>
      <c r="LVN372" s="132"/>
      <c r="LVO372" s="132"/>
      <c r="LVP372" s="132"/>
      <c r="LVQ372" s="132"/>
      <c r="LVR372" s="132"/>
      <c r="LVS372" s="132"/>
      <c r="LVT372" s="132"/>
      <c r="LVU372" s="132"/>
      <c r="LVV372" s="132"/>
      <c r="LVW372" s="132"/>
      <c r="LVX372" s="132"/>
      <c r="LVY372" s="132"/>
      <c r="LVZ372" s="132"/>
      <c r="LWA372" s="132"/>
      <c r="LWB372" s="132"/>
      <c r="LWC372" s="132"/>
      <c r="LWD372" s="132"/>
      <c r="LWE372" s="132"/>
      <c r="LWF372" s="132"/>
      <c r="LWG372" s="132"/>
      <c r="LWH372" s="132"/>
      <c r="LWI372" s="132"/>
      <c r="LWJ372" s="132"/>
      <c r="LWK372" s="132"/>
      <c r="LWL372" s="132"/>
      <c r="LWM372" s="132"/>
      <c r="LWN372" s="132"/>
      <c r="LWO372" s="132"/>
      <c r="LWP372" s="132"/>
      <c r="LWQ372" s="132"/>
      <c r="LWR372" s="132"/>
      <c r="LWS372" s="132"/>
      <c r="LWT372" s="132"/>
      <c r="LWU372" s="132"/>
      <c r="LWV372" s="132"/>
      <c r="LWW372" s="132"/>
      <c r="LWX372" s="132"/>
      <c r="LWY372" s="132"/>
      <c r="LWZ372" s="132"/>
      <c r="LXA372" s="132"/>
      <c r="LXB372" s="132"/>
      <c r="LXC372" s="132"/>
      <c r="LXD372" s="132"/>
      <c r="LXE372" s="132"/>
      <c r="LXF372" s="132"/>
      <c r="LXG372" s="132"/>
      <c r="LXH372" s="132"/>
      <c r="LXI372" s="132"/>
      <c r="LXJ372" s="132"/>
      <c r="LXK372" s="132"/>
      <c r="LXL372" s="132"/>
      <c r="LXM372" s="132"/>
      <c r="LXN372" s="132"/>
      <c r="LXO372" s="132"/>
      <c r="LXP372" s="132"/>
      <c r="LXQ372" s="132"/>
      <c r="LXR372" s="132"/>
      <c r="LXS372" s="132"/>
      <c r="LXT372" s="132"/>
      <c r="LXU372" s="132"/>
      <c r="LXV372" s="132"/>
      <c r="LXW372" s="132"/>
      <c r="LXX372" s="132"/>
      <c r="LXY372" s="132"/>
      <c r="LXZ372" s="132"/>
      <c r="LYA372" s="132"/>
      <c r="LYB372" s="132"/>
      <c r="LYC372" s="132"/>
      <c r="LYD372" s="132"/>
      <c r="LYE372" s="132"/>
      <c r="LYF372" s="132"/>
      <c r="LYG372" s="132"/>
      <c r="LYH372" s="132"/>
      <c r="LYI372" s="132"/>
      <c r="LYJ372" s="132"/>
      <c r="LYK372" s="132"/>
      <c r="LYL372" s="132"/>
      <c r="LYM372" s="132"/>
      <c r="LYN372" s="132"/>
      <c r="LYO372" s="132"/>
      <c r="LYP372" s="132"/>
      <c r="LYQ372" s="132"/>
      <c r="LYR372" s="132"/>
      <c r="LYS372" s="132"/>
      <c r="LYT372" s="132"/>
      <c r="LYU372" s="132"/>
      <c r="LYV372" s="132"/>
      <c r="LYW372" s="132"/>
      <c r="LYX372" s="132"/>
      <c r="LYY372" s="132"/>
      <c r="LYZ372" s="132"/>
      <c r="LZA372" s="132"/>
      <c r="LZB372" s="132"/>
      <c r="LZC372" s="132"/>
      <c r="LZD372" s="132"/>
      <c r="LZE372" s="132"/>
      <c r="LZF372" s="132"/>
      <c r="LZG372" s="132"/>
      <c r="LZH372" s="132"/>
      <c r="LZI372" s="132"/>
      <c r="LZJ372" s="132"/>
      <c r="LZK372" s="132"/>
      <c r="LZL372" s="132"/>
      <c r="LZM372" s="132"/>
      <c r="LZN372" s="132"/>
      <c r="LZO372" s="132"/>
      <c r="LZP372" s="132"/>
      <c r="LZQ372" s="132"/>
      <c r="LZR372" s="132"/>
      <c r="LZS372" s="132"/>
      <c r="LZT372" s="132"/>
      <c r="LZU372" s="132"/>
      <c r="LZV372" s="132"/>
      <c r="LZW372" s="132"/>
      <c r="LZX372" s="132"/>
      <c r="LZY372" s="132"/>
      <c r="LZZ372" s="132"/>
      <c r="MAA372" s="132"/>
      <c r="MAB372" s="132"/>
      <c r="MAC372" s="132"/>
      <c r="MAD372" s="132"/>
      <c r="MAE372" s="132"/>
      <c r="MAF372" s="132"/>
      <c r="MAG372" s="132"/>
      <c r="MAH372" s="132"/>
      <c r="MAI372" s="132"/>
      <c r="MAJ372" s="132"/>
      <c r="MAK372" s="132"/>
      <c r="MAL372" s="132"/>
      <c r="MAM372" s="132"/>
      <c r="MAN372" s="132"/>
      <c r="MAO372" s="132"/>
      <c r="MAP372" s="132"/>
      <c r="MAQ372" s="132"/>
      <c r="MAR372" s="132"/>
      <c r="MAS372" s="132"/>
      <c r="MAT372" s="132"/>
      <c r="MAU372" s="132"/>
      <c r="MAV372" s="132"/>
      <c r="MAW372" s="132"/>
      <c r="MAX372" s="132"/>
      <c r="MAY372" s="132"/>
      <c r="MAZ372" s="132"/>
      <c r="MBA372" s="132"/>
      <c r="MBB372" s="132"/>
      <c r="MBC372" s="132"/>
      <c r="MBD372" s="132"/>
      <c r="MBE372" s="132"/>
      <c r="MBF372" s="132"/>
      <c r="MBG372" s="132"/>
      <c r="MBH372" s="132"/>
      <c r="MBI372" s="132"/>
      <c r="MBJ372" s="132"/>
      <c r="MBK372" s="132"/>
      <c r="MBL372" s="132"/>
      <c r="MBM372" s="132"/>
      <c r="MBN372" s="132"/>
      <c r="MBO372" s="132"/>
      <c r="MBP372" s="132"/>
      <c r="MBQ372" s="132"/>
      <c r="MBR372" s="132"/>
      <c r="MBS372" s="132"/>
      <c r="MBT372" s="132"/>
      <c r="MBU372" s="132"/>
      <c r="MBV372" s="132"/>
      <c r="MBW372" s="132"/>
      <c r="MBX372" s="132"/>
      <c r="MBY372" s="132"/>
      <c r="MBZ372" s="132"/>
      <c r="MCA372" s="132"/>
      <c r="MCB372" s="132"/>
      <c r="MCC372" s="132"/>
      <c r="MCD372" s="132"/>
      <c r="MCE372" s="132"/>
      <c r="MCF372" s="132"/>
      <c r="MCG372" s="132"/>
      <c r="MCH372" s="132"/>
      <c r="MCI372" s="132"/>
      <c r="MCJ372" s="132"/>
      <c r="MCK372" s="132"/>
      <c r="MCL372" s="132"/>
      <c r="MCM372" s="132"/>
      <c r="MCN372" s="132"/>
      <c r="MCO372" s="132"/>
      <c r="MCP372" s="132"/>
      <c r="MCQ372" s="132"/>
      <c r="MCR372" s="132"/>
      <c r="MCS372" s="132"/>
      <c r="MCT372" s="132"/>
      <c r="MCU372" s="132"/>
      <c r="MCV372" s="132"/>
      <c r="MCW372" s="132"/>
      <c r="MCX372" s="132"/>
      <c r="MCY372" s="132"/>
      <c r="MCZ372" s="132"/>
      <c r="MDA372" s="132"/>
      <c r="MDB372" s="132"/>
      <c r="MDC372" s="132"/>
      <c r="MDD372" s="132"/>
      <c r="MDE372" s="132"/>
      <c r="MDF372" s="132"/>
      <c r="MDG372" s="132"/>
      <c r="MDH372" s="132"/>
      <c r="MDI372" s="132"/>
      <c r="MDJ372" s="132"/>
      <c r="MDK372" s="132"/>
      <c r="MDL372" s="132"/>
      <c r="MDM372" s="132"/>
      <c r="MDN372" s="132"/>
      <c r="MDO372" s="132"/>
      <c r="MDP372" s="132"/>
      <c r="MDQ372" s="132"/>
      <c r="MDR372" s="132"/>
      <c r="MDS372" s="132"/>
      <c r="MDT372" s="132"/>
      <c r="MDU372" s="132"/>
      <c r="MDV372" s="132"/>
      <c r="MDW372" s="132"/>
      <c r="MDX372" s="132"/>
      <c r="MDY372" s="132"/>
      <c r="MDZ372" s="132"/>
      <c r="MEA372" s="132"/>
      <c r="MEB372" s="132"/>
      <c r="MEC372" s="132"/>
      <c r="MED372" s="132"/>
      <c r="MEE372" s="132"/>
      <c r="MEF372" s="132"/>
      <c r="MEG372" s="132"/>
      <c r="MEH372" s="132"/>
      <c r="MEI372" s="132"/>
      <c r="MEJ372" s="132"/>
      <c r="MEK372" s="132"/>
      <c r="MEL372" s="132"/>
      <c r="MEM372" s="132"/>
      <c r="MEN372" s="132"/>
      <c r="MEO372" s="132"/>
      <c r="MEP372" s="132"/>
      <c r="MEQ372" s="132"/>
      <c r="MER372" s="132"/>
      <c r="MES372" s="132"/>
      <c r="MET372" s="132"/>
      <c r="MEU372" s="132"/>
      <c r="MEV372" s="132"/>
      <c r="MEW372" s="132"/>
      <c r="MEX372" s="132"/>
      <c r="MEY372" s="132"/>
      <c r="MEZ372" s="132"/>
      <c r="MFA372" s="132"/>
      <c r="MFB372" s="132"/>
      <c r="MFC372" s="132"/>
      <c r="MFD372" s="132"/>
      <c r="MFE372" s="132"/>
      <c r="MFF372" s="132"/>
      <c r="MFG372" s="132"/>
      <c r="MFH372" s="132"/>
      <c r="MFI372" s="132"/>
      <c r="MFJ372" s="132"/>
      <c r="MFK372" s="132"/>
      <c r="MFL372" s="132"/>
      <c r="MFM372" s="132"/>
      <c r="MFN372" s="132"/>
      <c r="MFO372" s="132"/>
      <c r="MFP372" s="132"/>
      <c r="MFQ372" s="132"/>
      <c r="MFR372" s="132"/>
      <c r="MFS372" s="132"/>
      <c r="MFT372" s="132"/>
      <c r="MFU372" s="132"/>
      <c r="MFV372" s="132"/>
      <c r="MFW372" s="132"/>
      <c r="MFX372" s="132"/>
      <c r="MFY372" s="132"/>
      <c r="MFZ372" s="132"/>
      <c r="MGA372" s="132"/>
      <c r="MGB372" s="132"/>
      <c r="MGC372" s="132"/>
      <c r="MGD372" s="132"/>
      <c r="MGE372" s="132"/>
      <c r="MGF372" s="132"/>
      <c r="MGG372" s="132"/>
      <c r="MGH372" s="132"/>
      <c r="MGI372" s="132"/>
      <c r="MGJ372" s="132"/>
      <c r="MGK372" s="132"/>
      <c r="MGL372" s="132"/>
      <c r="MGM372" s="132"/>
      <c r="MGN372" s="132"/>
      <c r="MGO372" s="132"/>
      <c r="MGP372" s="132"/>
      <c r="MGQ372" s="132"/>
      <c r="MGR372" s="132"/>
      <c r="MGS372" s="132"/>
      <c r="MGT372" s="132"/>
      <c r="MGU372" s="132"/>
      <c r="MGV372" s="132"/>
      <c r="MGW372" s="132"/>
      <c r="MGX372" s="132"/>
      <c r="MGY372" s="132"/>
      <c r="MGZ372" s="132"/>
      <c r="MHA372" s="132"/>
      <c r="MHB372" s="132"/>
      <c r="MHC372" s="132"/>
      <c r="MHD372" s="132"/>
      <c r="MHE372" s="132"/>
      <c r="MHF372" s="132"/>
      <c r="MHG372" s="132"/>
      <c r="MHH372" s="132"/>
      <c r="MHI372" s="132"/>
      <c r="MHJ372" s="132"/>
      <c r="MHK372" s="132"/>
      <c r="MHL372" s="132"/>
      <c r="MHM372" s="132"/>
      <c r="MHN372" s="132"/>
      <c r="MHO372" s="132"/>
      <c r="MHP372" s="132"/>
      <c r="MHQ372" s="132"/>
      <c r="MHR372" s="132"/>
      <c r="MHS372" s="132"/>
      <c r="MHT372" s="132"/>
      <c r="MHU372" s="132"/>
      <c r="MHV372" s="132"/>
      <c r="MHW372" s="132"/>
      <c r="MHX372" s="132"/>
      <c r="MHY372" s="132"/>
      <c r="MHZ372" s="132"/>
      <c r="MIA372" s="132"/>
      <c r="MIB372" s="132"/>
      <c r="MIC372" s="132"/>
      <c r="MID372" s="132"/>
      <c r="MIE372" s="132"/>
      <c r="MIF372" s="132"/>
      <c r="MIG372" s="132"/>
      <c r="MIH372" s="132"/>
      <c r="MII372" s="132"/>
      <c r="MIJ372" s="132"/>
      <c r="MIK372" s="132"/>
      <c r="MIL372" s="132"/>
      <c r="MIM372" s="132"/>
      <c r="MIN372" s="132"/>
      <c r="MIO372" s="132"/>
      <c r="MIP372" s="132"/>
      <c r="MIQ372" s="132"/>
      <c r="MIR372" s="132"/>
      <c r="MIS372" s="132"/>
      <c r="MIT372" s="132"/>
      <c r="MIU372" s="132"/>
      <c r="MIV372" s="132"/>
      <c r="MIW372" s="132"/>
      <c r="MIX372" s="132"/>
      <c r="MIY372" s="132"/>
      <c r="MIZ372" s="132"/>
      <c r="MJA372" s="132"/>
      <c r="MJB372" s="132"/>
      <c r="MJC372" s="132"/>
      <c r="MJD372" s="132"/>
      <c r="MJE372" s="132"/>
      <c r="MJF372" s="132"/>
      <c r="MJG372" s="132"/>
      <c r="MJH372" s="132"/>
      <c r="MJI372" s="132"/>
      <c r="MJJ372" s="132"/>
      <c r="MJK372" s="132"/>
      <c r="MJL372" s="132"/>
      <c r="MJM372" s="132"/>
      <c r="MJN372" s="132"/>
      <c r="MJO372" s="132"/>
      <c r="MJP372" s="132"/>
      <c r="MJQ372" s="132"/>
      <c r="MJR372" s="132"/>
      <c r="MJS372" s="132"/>
      <c r="MJT372" s="132"/>
      <c r="MJU372" s="132"/>
      <c r="MJV372" s="132"/>
      <c r="MJW372" s="132"/>
      <c r="MJX372" s="132"/>
      <c r="MJY372" s="132"/>
      <c r="MJZ372" s="132"/>
      <c r="MKA372" s="132"/>
      <c r="MKB372" s="132"/>
      <c r="MKC372" s="132"/>
      <c r="MKD372" s="132"/>
      <c r="MKE372" s="132"/>
      <c r="MKF372" s="132"/>
      <c r="MKG372" s="132"/>
      <c r="MKH372" s="132"/>
      <c r="MKI372" s="132"/>
      <c r="MKJ372" s="132"/>
      <c r="MKK372" s="132"/>
      <c r="MKL372" s="132"/>
      <c r="MKM372" s="132"/>
      <c r="MKN372" s="132"/>
      <c r="MKO372" s="132"/>
      <c r="MKP372" s="132"/>
      <c r="MKQ372" s="132"/>
      <c r="MKR372" s="132"/>
      <c r="MKS372" s="132"/>
      <c r="MKT372" s="132"/>
      <c r="MKU372" s="132"/>
      <c r="MKV372" s="132"/>
      <c r="MKW372" s="132"/>
      <c r="MKX372" s="132"/>
      <c r="MKY372" s="132"/>
      <c r="MKZ372" s="132"/>
      <c r="MLA372" s="132"/>
      <c r="MLB372" s="132"/>
      <c r="MLC372" s="132"/>
      <c r="MLD372" s="132"/>
      <c r="MLE372" s="132"/>
      <c r="MLF372" s="132"/>
      <c r="MLG372" s="132"/>
      <c r="MLH372" s="132"/>
      <c r="MLI372" s="132"/>
      <c r="MLJ372" s="132"/>
      <c r="MLK372" s="132"/>
      <c r="MLL372" s="132"/>
      <c r="MLM372" s="132"/>
      <c r="MLN372" s="132"/>
      <c r="MLO372" s="132"/>
      <c r="MLP372" s="132"/>
      <c r="MLQ372" s="132"/>
      <c r="MLR372" s="132"/>
      <c r="MLS372" s="132"/>
      <c r="MLT372" s="132"/>
      <c r="MLU372" s="132"/>
      <c r="MLV372" s="132"/>
      <c r="MLW372" s="132"/>
      <c r="MLX372" s="132"/>
      <c r="MLY372" s="132"/>
      <c r="MLZ372" s="132"/>
      <c r="MMA372" s="132"/>
      <c r="MMB372" s="132"/>
      <c r="MMC372" s="132"/>
      <c r="MMD372" s="132"/>
      <c r="MME372" s="132"/>
      <c r="MMF372" s="132"/>
      <c r="MMG372" s="132"/>
      <c r="MMH372" s="132"/>
      <c r="MMI372" s="132"/>
      <c r="MMJ372" s="132"/>
      <c r="MMK372" s="132"/>
      <c r="MML372" s="132"/>
      <c r="MMM372" s="132"/>
      <c r="MMN372" s="132"/>
      <c r="MMO372" s="132"/>
      <c r="MMP372" s="132"/>
      <c r="MMQ372" s="132"/>
      <c r="MMR372" s="132"/>
      <c r="MMS372" s="132"/>
      <c r="MMT372" s="132"/>
      <c r="MMU372" s="132"/>
      <c r="MMV372" s="132"/>
      <c r="MMW372" s="132"/>
      <c r="MMX372" s="132"/>
      <c r="MMY372" s="132"/>
      <c r="MMZ372" s="132"/>
      <c r="MNA372" s="132"/>
      <c r="MNB372" s="132"/>
      <c r="MNC372" s="132"/>
      <c r="MND372" s="132"/>
      <c r="MNE372" s="132"/>
      <c r="MNF372" s="132"/>
      <c r="MNG372" s="132"/>
      <c r="MNH372" s="132"/>
      <c r="MNI372" s="132"/>
      <c r="MNJ372" s="132"/>
      <c r="MNK372" s="132"/>
      <c r="MNL372" s="132"/>
      <c r="MNM372" s="132"/>
      <c r="MNN372" s="132"/>
      <c r="MNO372" s="132"/>
      <c r="MNP372" s="132"/>
      <c r="MNQ372" s="132"/>
      <c r="MNR372" s="132"/>
      <c r="MNS372" s="132"/>
      <c r="MNT372" s="132"/>
      <c r="MNU372" s="132"/>
      <c r="MNV372" s="132"/>
      <c r="MNW372" s="132"/>
      <c r="MNX372" s="132"/>
      <c r="MNY372" s="132"/>
      <c r="MNZ372" s="132"/>
      <c r="MOA372" s="132"/>
      <c r="MOB372" s="132"/>
      <c r="MOC372" s="132"/>
      <c r="MOD372" s="132"/>
      <c r="MOE372" s="132"/>
      <c r="MOF372" s="132"/>
      <c r="MOG372" s="132"/>
      <c r="MOH372" s="132"/>
      <c r="MOI372" s="132"/>
      <c r="MOJ372" s="132"/>
      <c r="MOK372" s="132"/>
      <c r="MOL372" s="132"/>
      <c r="MOM372" s="132"/>
      <c r="MON372" s="132"/>
      <c r="MOO372" s="132"/>
      <c r="MOP372" s="132"/>
      <c r="MOQ372" s="132"/>
      <c r="MOR372" s="132"/>
      <c r="MOS372" s="132"/>
      <c r="MOT372" s="132"/>
      <c r="MOU372" s="132"/>
      <c r="MOV372" s="132"/>
      <c r="MOW372" s="132"/>
      <c r="MOX372" s="132"/>
      <c r="MOY372" s="132"/>
      <c r="MOZ372" s="132"/>
      <c r="MPA372" s="132"/>
      <c r="MPB372" s="132"/>
      <c r="MPC372" s="132"/>
      <c r="MPD372" s="132"/>
      <c r="MPE372" s="132"/>
      <c r="MPF372" s="132"/>
      <c r="MPG372" s="132"/>
      <c r="MPH372" s="132"/>
      <c r="MPI372" s="132"/>
      <c r="MPJ372" s="132"/>
      <c r="MPK372" s="132"/>
      <c r="MPL372" s="132"/>
      <c r="MPM372" s="132"/>
      <c r="MPN372" s="132"/>
      <c r="MPO372" s="132"/>
      <c r="MPP372" s="132"/>
      <c r="MPQ372" s="132"/>
      <c r="MPR372" s="132"/>
      <c r="MPS372" s="132"/>
      <c r="MPT372" s="132"/>
      <c r="MPU372" s="132"/>
      <c r="MPV372" s="132"/>
      <c r="MPW372" s="132"/>
      <c r="MPX372" s="132"/>
      <c r="MPY372" s="132"/>
      <c r="MPZ372" s="132"/>
      <c r="MQA372" s="132"/>
      <c r="MQB372" s="132"/>
      <c r="MQC372" s="132"/>
      <c r="MQD372" s="132"/>
      <c r="MQE372" s="132"/>
      <c r="MQF372" s="132"/>
      <c r="MQG372" s="132"/>
      <c r="MQH372" s="132"/>
      <c r="MQI372" s="132"/>
      <c r="MQJ372" s="132"/>
      <c r="MQK372" s="132"/>
      <c r="MQL372" s="132"/>
      <c r="MQM372" s="132"/>
      <c r="MQN372" s="132"/>
      <c r="MQO372" s="132"/>
      <c r="MQP372" s="132"/>
      <c r="MQQ372" s="132"/>
      <c r="MQR372" s="132"/>
      <c r="MQS372" s="132"/>
      <c r="MQT372" s="132"/>
      <c r="MQU372" s="132"/>
      <c r="MQV372" s="132"/>
      <c r="MQW372" s="132"/>
      <c r="MQX372" s="132"/>
      <c r="MQY372" s="132"/>
      <c r="MQZ372" s="132"/>
      <c r="MRA372" s="132"/>
      <c r="MRB372" s="132"/>
      <c r="MRC372" s="132"/>
      <c r="MRD372" s="132"/>
      <c r="MRE372" s="132"/>
      <c r="MRF372" s="132"/>
      <c r="MRG372" s="132"/>
      <c r="MRH372" s="132"/>
      <c r="MRI372" s="132"/>
      <c r="MRJ372" s="132"/>
      <c r="MRK372" s="132"/>
      <c r="MRL372" s="132"/>
      <c r="MRM372" s="132"/>
      <c r="MRN372" s="132"/>
      <c r="MRO372" s="132"/>
      <c r="MRP372" s="132"/>
      <c r="MRQ372" s="132"/>
      <c r="MRR372" s="132"/>
      <c r="MRS372" s="132"/>
      <c r="MRT372" s="132"/>
      <c r="MRU372" s="132"/>
      <c r="MRV372" s="132"/>
      <c r="MRW372" s="132"/>
      <c r="MRX372" s="132"/>
      <c r="MRY372" s="132"/>
      <c r="MRZ372" s="132"/>
      <c r="MSA372" s="132"/>
      <c r="MSB372" s="132"/>
      <c r="MSC372" s="132"/>
      <c r="MSD372" s="132"/>
      <c r="MSE372" s="132"/>
      <c r="MSF372" s="132"/>
      <c r="MSG372" s="132"/>
      <c r="MSH372" s="132"/>
      <c r="MSI372" s="132"/>
      <c r="MSJ372" s="132"/>
      <c r="MSK372" s="132"/>
      <c r="MSL372" s="132"/>
      <c r="MSM372" s="132"/>
      <c r="MSN372" s="132"/>
      <c r="MSO372" s="132"/>
      <c r="MSP372" s="132"/>
      <c r="MSQ372" s="132"/>
      <c r="MSR372" s="132"/>
      <c r="MSS372" s="132"/>
      <c r="MST372" s="132"/>
      <c r="MSU372" s="132"/>
      <c r="MSV372" s="132"/>
      <c r="MSW372" s="132"/>
      <c r="MSX372" s="132"/>
      <c r="MSY372" s="132"/>
      <c r="MSZ372" s="132"/>
      <c r="MTA372" s="132"/>
      <c r="MTB372" s="132"/>
      <c r="MTC372" s="132"/>
      <c r="MTD372" s="132"/>
      <c r="MTE372" s="132"/>
      <c r="MTF372" s="132"/>
      <c r="MTG372" s="132"/>
      <c r="MTH372" s="132"/>
      <c r="MTI372" s="132"/>
      <c r="MTJ372" s="132"/>
      <c r="MTK372" s="132"/>
      <c r="MTL372" s="132"/>
      <c r="MTM372" s="132"/>
      <c r="MTN372" s="132"/>
      <c r="MTO372" s="132"/>
      <c r="MTP372" s="132"/>
      <c r="MTQ372" s="132"/>
      <c r="MTR372" s="132"/>
      <c r="MTS372" s="132"/>
      <c r="MTT372" s="132"/>
      <c r="MTU372" s="132"/>
      <c r="MTV372" s="132"/>
      <c r="MTW372" s="132"/>
      <c r="MTX372" s="132"/>
      <c r="MTY372" s="132"/>
      <c r="MTZ372" s="132"/>
      <c r="MUA372" s="132"/>
      <c r="MUB372" s="132"/>
      <c r="MUC372" s="132"/>
      <c r="MUD372" s="132"/>
      <c r="MUE372" s="132"/>
      <c r="MUF372" s="132"/>
      <c r="MUG372" s="132"/>
      <c r="MUH372" s="132"/>
      <c r="MUI372" s="132"/>
      <c r="MUJ372" s="132"/>
      <c r="MUK372" s="132"/>
      <c r="MUL372" s="132"/>
      <c r="MUM372" s="132"/>
      <c r="MUN372" s="132"/>
      <c r="MUO372" s="132"/>
      <c r="MUP372" s="132"/>
      <c r="MUQ372" s="132"/>
      <c r="MUR372" s="132"/>
      <c r="MUS372" s="132"/>
      <c r="MUT372" s="132"/>
      <c r="MUU372" s="132"/>
      <c r="MUV372" s="132"/>
      <c r="MUW372" s="132"/>
      <c r="MUX372" s="132"/>
      <c r="MUY372" s="132"/>
      <c r="MUZ372" s="132"/>
      <c r="MVA372" s="132"/>
      <c r="MVB372" s="132"/>
      <c r="MVC372" s="132"/>
      <c r="MVD372" s="132"/>
      <c r="MVE372" s="132"/>
      <c r="MVF372" s="132"/>
      <c r="MVG372" s="132"/>
      <c r="MVH372" s="132"/>
      <c r="MVI372" s="132"/>
      <c r="MVJ372" s="132"/>
      <c r="MVK372" s="132"/>
      <c r="MVL372" s="132"/>
      <c r="MVM372" s="132"/>
      <c r="MVN372" s="132"/>
      <c r="MVO372" s="132"/>
      <c r="MVP372" s="132"/>
      <c r="MVQ372" s="132"/>
      <c r="MVR372" s="132"/>
      <c r="MVS372" s="132"/>
      <c r="MVT372" s="132"/>
      <c r="MVU372" s="132"/>
      <c r="MVV372" s="132"/>
      <c r="MVW372" s="132"/>
      <c r="MVX372" s="132"/>
      <c r="MVY372" s="132"/>
      <c r="MVZ372" s="132"/>
      <c r="MWA372" s="132"/>
      <c r="MWB372" s="132"/>
      <c r="MWC372" s="132"/>
      <c r="MWD372" s="132"/>
      <c r="MWE372" s="132"/>
      <c r="MWF372" s="132"/>
      <c r="MWG372" s="132"/>
      <c r="MWH372" s="132"/>
      <c r="MWI372" s="132"/>
      <c r="MWJ372" s="132"/>
      <c r="MWK372" s="132"/>
      <c r="MWL372" s="132"/>
      <c r="MWM372" s="132"/>
      <c r="MWN372" s="132"/>
      <c r="MWO372" s="132"/>
      <c r="MWP372" s="132"/>
      <c r="MWQ372" s="132"/>
      <c r="MWR372" s="132"/>
      <c r="MWS372" s="132"/>
      <c r="MWT372" s="132"/>
      <c r="MWU372" s="132"/>
      <c r="MWV372" s="132"/>
      <c r="MWW372" s="132"/>
      <c r="MWX372" s="132"/>
      <c r="MWY372" s="132"/>
      <c r="MWZ372" s="132"/>
      <c r="MXA372" s="132"/>
      <c r="MXB372" s="132"/>
      <c r="MXC372" s="132"/>
      <c r="MXD372" s="132"/>
      <c r="MXE372" s="132"/>
      <c r="MXF372" s="132"/>
      <c r="MXG372" s="132"/>
      <c r="MXH372" s="132"/>
      <c r="MXI372" s="132"/>
      <c r="MXJ372" s="132"/>
      <c r="MXK372" s="132"/>
      <c r="MXL372" s="132"/>
      <c r="MXM372" s="132"/>
      <c r="MXN372" s="132"/>
      <c r="MXO372" s="132"/>
      <c r="MXP372" s="132"/>
      <c r="MXQ372" s="132"/>
      <c r="MXR372" s="132"/>
      <c r="MXS372" s="132"/>
      <c r="MXT372" s="132"/>
      <c r="MXU372" s="132"/>
      <c r="MXV372" s="132"/>
      <c r="MXW372" s="132"/>
      <c r="MXX372" s="132"/>
      <c r="MXY372" s="132"/>
      <c r="MXZ372" s="132"/>
      <c r="MYA372" s="132"/>
      <c r="MYB372" s="132"/>
      <c r="MYC372" s="132"/>
      <c r="MYD372" s="132"/>
      <c r="MYE372" s="132"/>
      <c r="MYF372" s="132"/>
      <c r="MYG372" s="132"/>
      <c r="MYH372" s="132"/>
      <c r="MYI372" s="132"/>
      <c r="MYJ372" s="132"/>
      <c r="MYK372" s="132"/>
      <c r="MYL372" s="132"/>
      <c r="MYM372" s="132"/>
      <c r="MYN372" s="132"/>
      <c r="MYO372" s="132"/>
      <c r="MYP372" s="132"/>
      <c r="MYQ372" s="132"/>
      <c r="MYR372" s="132"/>
      <c r="MYS372" s="132"/>
      <c r="MYT372" s="132"/>
      <c r="MYU372" s="132"/>
      <c r="MYV372" s="132"/>
      <c r="MYW372" s="132"/>
      <c r="MYX372" s="132"/>
      <c r="MYY372" s="132"/>
      <c r="MYZ372" s="132"/>
      <c r="MZA372" s="132"/>
      <c r="MZB372" s="132"/>
      <c r="MZC372" s="132"/>
      <c r="MZD372" s="132"/>
      <c r="MZE372" s="132"/>
      <c r="MZF372" s="132"/>
      <c r="MZG372" s="132"/>
      <c r="MZH372" s="132"/>
      <c r="MZI372" s="132"/>
      <c r="MZJ372" s="132"/>
      <c r="MZK372" s="132"/>
      <c r="MZL372" s="132"/>
      <c r="MZM372" s="132"/>
      <c r="MZN372" s="132"/>
      <c r="MZO372" s="132"/>
      <c r="MZP372" s="132"/>
      <c r="MZQ372" s="132"/>
      <c r="MZR372" s="132"/>
      <c r="MZS372" s="132"/>
      <c r="MZT372" s="132"/>
      <c r="MZU372" s="132"/>
      <c r="MZV372" s="132"/>
      <c r="MZW372" s="132"/>
      <c r="MZX372" s="132"/>
      <c r="MZY372" s="132"/>
      <c r="MZZ372" s="132"/>
      <c r="NAA372" s="132"/>
      <c r="NAB372" s="132"/>
      <c r="NAC372" s="132"/>
      <c r="NAD372" s="132"/>
      <c r="NAE372" s="132"/>
      <c r="NAF372" s="132"/>
      <c r="NAG372" s="132"/>
      <c r="NAH372" s="132"/>
      <c r="NAI372" s="132"/>
      <c r="NAJ372" s="132"/>
      <c r="NAK372" s="132"/>
      <c r="NAL372" s="132"/>
      <c r="NAM372" s="132"/>
      <c r="NAN372" s="132"/>
      <c r="NAO372" s="132"/>
      <c r="NAP372" s="132"/>
      <c r="NAQ372" s="132"/>
      <c r="NAR372" s="132"/>
      <c r="NAS372" s="132"/>
      <c r="NAT372" s="132"/>
      <c r="NAU372" s="132"/>
      <c r="NAV372" s="132"/>
      <c r="NAW372" s="132"/>
      <c r="NAX372" s="132"/>
      <c r="NAY372" s="132"/>
      <c r="NAZ372" s="132"/>
      <c r="NBA372" s="132"/>
      <c r="NBB372" s="132"/>
      <c r="NBC372" s="132"/>
      <c r="NBD372" s="132"/>
      <c r="NBE372" s="132"/>
      <c r="NBF372" s="132"/>
      <c r="NBG372" s="132"/>
      <c r="NBH372" s="132"/>
      <c r="NBI372" s="132"/>
      <c r="NBJ372" s="132"/>
      <c r="NBK372" s="132"/>
      <c r="NBL372" s="132"/>
      <c r="NBM372" s="132"/>
      <c r="NBN372" s="132"/>
      <c r="NBO372" s="132"/>
      <c r="NBP372" s="132"/>
      <c r="NBQ372" s="132"/>
      <c r="NBR372" s="132"/>
      <c r="NBS372" s="132"/>
      <c r="NBT372" s="132"/>
      <c r="NBU372" s="132"/>
      <c r="NBV372" s="132"/>
      <c r="NBW372" s="132"/>
      <c r="NBX372" s="132"/>
      <c r="NBY372" s="132"/>
      <c r="NBZ372" s="132"/>
      <c r="NCA372" s="132"/>
      <c r="NCB372" s="132"/>
      <c r="NCC372" s="132"/>
      <c r="NCD372" s="132"/>
      <c r="NCE372" s="132"/>
      <c r="NCF372" s="132"/>
      <c r="NCG372" s="132"/>
      <c r="NCH372" s="132"/>
      <c r="NCI372" s="132"/>
      <c r="NCJ372" s="132"/>
      <c r="NCK372" s="132"/>
      <c r="NCL372" s="132"/>
      <c r="NCM372" s="132"/>
      <c r="NCN372" s="132"/>
      <c r="NCO372" s="132"/>
      <c r="NCP372" s="132"/>
      <c r="NCQ372" s="132"/>
      <c r="NCR372" s="132"/>
      <c r="NCS372" s="132"/>
      <c r="NCT372" s="132"/>
      <c r="NCU372" s="132"/>
      <c r="NCV372" s="132"/>
      <c r="NCW372" s="132"/>
      <c r="NCX372" s="132"/>
      <c r="NCY372" s="132"/>
      <c r="NCZ372" s="132"/>
      <c r="NDA372" s="132"/>
      <c r="NDB372" s="132"/>
      <c r="NDC372" s="132"/>
      <c r="NDD372" s="132"/>
      <c r="NDE372" s="132"/>
      <c r="NDF372" s="132"/>
      <c r="NDG372" s="132"/>
      <c r="NDH372" s="132"/>
      <c r="NDI372" s="132"/>
      <c r="NDJ372" s="132"/>
      <c r="NDK372" s="132"/>
      <c r="NDL372" s="132"/>
      <c r="NDM372" s="132"/>
      <c r="NDN372" s="132"/>
      <c r="NDO372" s="132"/>
      <c r="NDP372" s="132"/>
      <c r="NDQ372" s="132"/>
      <c r="NDR372" s="132"/>
      <c r="NDS372" s="132"/>
      <c r="NDT372" s="132"/>
      <c r="NDU372" s="132"/>
      <c r="NDV372" s="132"/>
      <c r="NDW372" s="132"/>
      <c r="NDX372" s="132"/>
      <c r="NDY372" s="132"/>
      <c r="NDZ372" s="132"/>
      <c r="NEA372" s="132"/>
      <c r="NEB372" s="132"/>
      <c r="NEC372" s="132"/>
      <c r="NED372" s="132"/>
      <c r="NEE372" s="132"/>
      <c r="NEF372" s="132"/>
      <c r="NEG372" s="132"/>
      <c r="NEH372" s="132"/>
      <c r="NEI372" s="132"/>
      <c r="NEJ372" s="132"/>
      <c r="NEK372" s="132"/>
      <c r="NEL372" s="132"/>
      <c r="NEM372" s="132"/>
      <c r="NEN372" s="132"/>
      <c r="NEO372" s="132"/>
      <c r="NEP372" s="132"/>
      <c r="NEQ372" s="132"/>
      <c r="NER372" s="132"/>
      <c r="NES372" s="132"/>
      <c r="NET372" s="132"/>
      <c r="NEU372" s="132"/>
      <c r="NEV372" s="132"/>
      <c r="NEW372" s="132"/>
      <c r="NEX372" s="132"/>
      <c r="NEY372" s="132"/>
      <c r="NEZ372" s="132"/>
      <c r="NFA372" s="132"/>
      <c r="NFB372" s="132"/>
      <c r="NFC372" s="132"/>
      <c r="NFD372" s="132"/>
      <c r="NFE372" s="132"/>
      <c r="NFF372" s="132"/>
      <c r="NFG372" s="132"/>
      <c r="NFH372" s="132"/>
      <c r="NFI372" s="132"/>
      <c r="NFJ372" s="132"/>
      <c r="NFK372" s="132"/>
      <c r="NFL372" s="132"/>
      <c r="NFM372" s="132"/>
      <c r="NFN372" s="132"/>
      <c r="NFO372" s="132"/>
      <c r="NFP372" s="132"/>
      <c r="NFQ372" s="132"/>
      <c r="NFR372" s="132"/>
      <c r="NFS372" s="132"/>
      <c r="NFT372" s="132"/>
      <c r="NFU372" s="132"/>
      <c r="NFV372" s="132"/>
      <c r="NFW372" s="132"/>
      <c r="NFX372" s="132"/>
      <c r="NFY372" s="132"/>
      <c r="NFZ372" s="132"/>
      <c r="NGA372" s="132"/>
      <c r="NGB372" s="132"/>
      <c r="NGC372" s="132"/>
      <c r="NGD372" s="132"/>
      <c r="NGE372" s="132"/>
      <c r="NGF372" s="132"/>
      <c r="NGG372" s="132"/>
      <c r="NGH372" s="132"/>
      <c r="NGI372" s="132"/>
      <c r="NGJ372" s="132"/>
      <c r="NGK372" s="132"/>
      <c r="NGL372" s="132"/>
      <c r="NGM372" s="132"/>
      <c r="NGN372" s="132"/>
      <c r="NGO372" s="132"/>
      <c r="NGP372" s="132"/>
      <c r="NGQ372" s="132"/>
      <c r="NGR372" s="132"/>
      <c r="NGS372" s="132"/>
      <c r="NGT372" s="132"/>
      <c r="NGU372" s="132"/>
      <c r="NGV372" s="132"/>
      <c r="NGW372" s="132"/>
      <c r="NGX372" s="132"/>
      <c r="NGY372" s="132"/>
      <c r="NGZ372" s="132"/>
      <c r="NHA372" s="132"/>
      <c r="NHB372" s="132"/>
      <c r="NHC372" s="132"/>
      <c r="NHD372" s="132"/>
      <c r="NHE372" s="132"/>
      <c r="NHF372" s="132"/>
      <c r="NHG372" s="132"/>
      <c r="NHH372" s="132"/>
      <c r="NHI372" s="132"/>
      <c r="NHJ372" s="132"/>
      <c r="NHK372" s="132"/>
      <c r="NHL372" s="132"/>
      <c r="NHM372" s="132"/>
      <c r="NHN372" s="132"/>
      <c r="NHO372" s="132"/>
      <c r="NHP372" s="132"/>
      <c r="NHQ372" s="132"/>
      <c r="NHR372" s="132"/>
      <c r="NHS372" s="132"/>
      <c r="NHT372" s="132"/>
      <c r="NHU372" s="132"/>
      <c r="NHV372" s="132"/>
      <c r="NHW372" s="132"/>
      <c r="NHX372" s="132"/>
      <c r="NHY372" s="132"/>
      <c r="NHZ372" s="132"/>
      <c r="NIA372" s="132"/>
      <c r="NIB372" s="132"/>
      <c r="NIC372" s="132"/>
      <c r="NID372" s="132"/>
      <c r="NIE372" s="132"/>
      <c r="NIF372" s="132"/>
      <c r="NIG372" s="132"/>
      <c r="NIH372" s="132"/>
      <c r="NII372" s="132"/>
      <c r="NIJ372" s="132"/>
      <c r="NIK372" s="132"/>
      <c r="NIL372" s="132"/>
      <c r="NIM372" s="132"/>
      <c r="NIN372" s="132"/>
      <c r="NIO372" s="132"/>
      <c r="NIP372" s="132"/>
      <c r="NIQ372" s="132"/>
      <c r="NIR372" s="132"/>
      <c r="NIS372" s="132"/>
      <c r="NIT372" s="132"/>
      <c r="NIU372" s="132"/>
      <c r="NIV372" s="132"/>
      <c r="NIW372" s="132"/>
      <c r="NIX372" s="132"/>
      <c r="NIY372" s="132"/>
      <c r="NIZ372" s="132"/>
      <c r="NJA372" s="132"/>
      <c r="NJB372" s="132"/>
      <c r="NJC372" s="132"/>
      <c r="NJD372" s="132"/>
      <c r="NJE372" s="132"/>
      <c r="NJF372" s="132"/>
      <c r="NJG372" s="132"/>
      <c r="NJH372" s="132"/>
      <c r="NJI372" s="132"/>
      <c r="NJJ372" s="132"/>
      <c r="NJK372" s="132"/>
      <c r="NJL372" s="132"/>
      <c r="NJM372" s="132"/>
      <c r="NJN372" s="132"/>
      <c r="NJO372" s="132"/>
      <c r="NJP372" s="132"/>
      <c r="NJQ372" s="132"/>
      <c r="NJR372" s="132"/>
      <c r="NJS372" s="132"/>
      <c r="NJT372" s="132"/>
      <c r="NJU372" s="132"/>
      <c r="NJV372" s="132"/>
      <c r="NJW372" s="132"/>
      <c r="NJX372" s="132"/>
      <c r="NJY372" s="132"/>
      <c r="NJZ372" s="132"/>
      <c r="NKA372" s="132"/>
      <c r="NKB372" s="132"/>
      <c r="NKC372" s="132"/>
      <c r="NKD372" s="132"/>
      <c r="NKE372" s="132"/>
      <c r="NKF372" s="132"/>
      <c r="NKG372" s="132"/>
      <c r="NKH372" s="132"/>
      <c r="NKI372" s="132"/>
      <c r="NKJ372" s="132"/>
      <c r="NKK372" s="132"/>
      <c r="NKL372" s="132"/>
      <c r="NKM372" s="132"/>
      <c r="NKN372" s="132"/>
      <c r="NKO372" s="132"/>
      <c r="NKP372" s="132"/>
      <c r="NKQ372" s="132"/>
      <c r="NKR372" s="132"/>
      <c r="NKS372" s="132"/>
      <c r="NKT372" s="132"/>
      <c r="NKU372" s="132"/>
      <c r="NKV372" s="132"/>
      <c r="NKW372" s="132"/>
      <c r="NKX372" s="132"/>
      <c r="NKY372" s="132"/>
      <c r="NKZ372" s="132"/>
      <c r="NLA372" s="132"/>
      <c r="NLB372" s="132"/>
      <c r="NLC372" s="132"/>
      <c r="NLD372" s="132"/>
      <c r="NLE372" s="132"/>
      <c r="NLF372" s="132"/>
      <c r="NLG372" s="132"/>
      <c r="NLH372" s="132"/>
      <c r="NLI372" s="132"/>
      <c r="NLJ372" s="132"/>
      <c r="NLK372" s="132"/>
      <c r="NLL372" s="132"/>
      <c r="NLM372" s="132"/>
      <c r="NLN372" s="132"/>
      <c r="NLO372" s="132"/>
      <c r="NLP372" s="132"/>
      <c r="NLQ372" s="132"/>
      <c r="NLR372" s="132"/>
      <c r="NLS372" s="132"/>
      <c r="NLT372" s="132"/>
      <c r="NLU372" s="132"/>
      <c r="NLV372" s="132"/>
      <c r="NLW372" s="132"/>
      <c r="NLX372" s="132"/>
      <c r="NLY372" s="132"/>
      <c r="NLZ372" s="132"/>
      <c r="NMA372" s="132"/>
      <c r="NMB372" s="132"/>
      <c r="NMC372" s="132"/>
      <c r="NMD372" s="132"/>
      <c r="NME372" s="132"/>
      <c r="NMF372" s="132"/>
      <c r="NMG372" s="132"/>
      <c r="NMH372" s="132"/>
      <c r="NMI372" s="132"/>
      <c r="NMJ372" s="132"/>
      <c r="NMK372" s="132"/>
      <c r="NML372" s="132"/>
      <c r="NMM372" s="132"/>
      <c r="NMN372" s="132"/>
      <c r="NMO372" s="132"/>
      <c r="NMP372" s="132"/>
      <c r="NMQ372" s="132"/>
      <c r="NMR372" s="132"/>
      <c r="NMS372" s="132"/>
      <c r="NMT372" s="132"/>
      <c r="NMU372" s="132"/>
      <c r="NMV372" s="132"/>
      <c r="NMW372" s="132"/>
      <c r="NMX372" s="132"/>
      <c r="NMY372" s="132"/>
      <c r="NMZ372" s="132"/>
      <c r="NNA372" s="132"/>
      <c r="NNB372" s="132"/>
      <c r="NNC372" s="132"/>
      <c r="NND372" s="132"/>
      <c r="NNE372" s="132"/>
      <c r="NNF372" s="132"/>
      <c r="NNG372" s="132"/>
      <c r="NNH372" s="132"/>
      <c r="NNI372" s="132"/>
      <c r="NNJ372" s="132"/>
      <c r="NNK372" s="132"/>
      <c r="NNL372" s="132"/>
      <c r="NNM372" s="132"/>
      <c r="NNN372" s="132"/>
      <c r="NNO372" s="132"/>
      <c r="NNP372" s="132"/>
      <c r="NNQ372" s="132"/>
      <c r="NNR372" s="132"/>
      <c r="NNS372" s="132"/>
      <c r="NNT372" s="132"/>
      <c r="NNU372" s="132"/>
      <c r="NNV372" s="132"/>
      <c r="NNW372" s="132"/>
      <c r="NNX372" s="132"/>
      <c r="NNY372" s="132"/>
      <c r="NNZ372" s="132"/>
      <c r="NOA372" s="132"/>
      <c r="NOB372" s="132"/>
      <c r="NOC372" s="132"/>
      <c r="NOD372" s="132"/>
      <c r="NOE372" s="132"/>
      <c r="NOF372" s="132"/>
      <c r="NOG372" s="132"/>
      <c r="NOH372" s="132"/>
      <c r="NOI372" s="132"/>
      <c r="NOJ372" s="132"/>
      <c r="NOK372" s="132"/>
      <c r="NOL372" s="132"/>
      <c r="NOM372" s="132"/>
      <c r="NON372" s="132"/>
      <c r="NOO372" s="132"/>
      <c r="NOP372" s="132"/>
      <c r="NOQ372" s="132"/>
      <c r="NOR372" s="132"/>
      <c r="NOS372" s="132"/>
      <c r="NOT372" s="132"/>
      <c r="NOU372" s="132"/>
      <c r="NOV372" s="132"/>
      <c r="NOW372" s="132"/>
      <c r="NOX372" s="132"/>
      <c r="NOY372" s="132"/>
      <c r="NOZ372" s="132"/>
      <c r="NPA372" s="132"/>
      <c r="NPB372" s="132"/>
      <c r="NPC372" s="132"/>
      <c r="NPD372" s="132"/>
      <c r="NPE372" s="132"/>
      <c r="NPF372" s="132"/>
      <c r="NPG372" s="132"/>
      <c r="NPH372" s="132"/>
      <c r="NPI372" s="132"/>
      <c r="NPJ372" s="132"/>
      <c r="NPK372" s="132"/>
      <c r="NPL372" s="132"/>
      <c r="NPM372" s="132"/>
      <c r="NPN372" s="132"/>
      <c r="NPO372" s="132"/>
      <c r="NPP372" s="132"/>
      <c r="NPQ372" s="132"/>
      <c r="NPR372" s="132"/>
      <c r="NPS372" s="132"/>
      <c r="NPT372" s="132"/>
      <c r="NPU372" s="132"/>
      <c r="NPV372" s="132"/>
      <c r="NPW372" s="132"/>
      <c r="NPX372" s="132"/>
      <c r="NPY372" s="132"/>
      <c r="NPZ372" s="132"/>
      <c r="NQA372" s="132"/>
      <c r="NQB372" s="132"/>
      <c r="NQC372" s="132"/>
      <c r="NQD372" s="132"/>
      <c r="NQE372" s="132"/>
      <c r="NQF372" s="132"/>
      <c r="NQG372" s="132"/>
      <c r="NQH372" s="132"/>
      <c r="NQI372" s="132"/>
      <c r="NQJ372" s="132"/>
      <c r="NQK372" s="132"/>
      <c r="NQL372" s="132"/>
      <c r="NQM372" s="132"/>
      <c r="NQN372" s="132"/>
      <c r="NQO372" s="132"/>
      <c r="NQP372" s="132"/>
      <c r="NQQ372" s="132"/>
      <c r="NQR372" s="132"/>
      <c r="NQS372" s="132"/>
      <c r="NQT372" s="132"/>
      <c r="NQU372" s="132"/>
      <c r="NQV372" s="132"/>
      <c r="NQW372" s="132"/>
      <c r="NQX372" s="132"/>
      <c r="NQY372" s="132"/>
      <c r="NQZ372" s="132"/>
      <c r="NRA372" s="132"/>
      <c r="NRB372" s="132"/>
      <c r="NRC372" s="132"/>
      <c r="NRD372" s="132"/>
      <c r="NRE372" s="132"/>
      <c r="NRF372" s="132"/>
      <c r="NRG372" s="132"/>
      <c r="NRH372" s="132"/>
      <c r="NRI372" s="132"/>
      <c r="NRJ372" s="132"/>
      <c r="NRK372" s="132"/>
      <c r="NRL372" s="132"/>
      <c r="NRM372" s="132"/>
      <c r="NRN372" s="132"/>
      <c r="NRO372" s="132"/>
      <c r="NRP372" s="132"/>
      <c r="NRQ372" s="132"/>
      <c r="NRR372" s="132"/>
      <c r="NRS372" s="132"/>
      <c r="NRT372" s="132"/>
      <c r="NRU372" s="132"/>
      <c r="NRV372" s="132"/>
      <c r="NRW372" s="132"/>
      <c r="NRX372" s="132"/>
      <c r="NRY372" s="132"/>
      <c r="NRZ372" s="132"/>
      <c r="NSA372" s="132"/>
      <c r="NSB372" s="132"/>
      <c r="NSC372" s="132"/>
      <c r="NSD372" s="132"/>
      <c r="NSE372" s="132"/>
      <c r="NSF372" s="132"/>
      <c r="NSG372" s="132"/>
      <c r="NSH372" s="132"/>
      <c r="NSI372" s="132"/>
      <c r="NSJ372" s="132"/>
      <c r="NSK372" s="132"/>
      <c r="NSL372" s="132"/>
      <c r="NSM372" s="132"/>
      <c r="NSN372" s="132"/>
      <c r="NSO372" s="132"/>
      <c r="NSP372" s="132"/>
      <c r="NSQ372" s="132"/>
      <c r="NSR372" s="132"/>
      <c r="NSS372" s="132"/>
      <c r="NST372" s="132"/>
      <c r="NSU372" s="132"/>
      <c r="NSV372" s="132"/>
      <c r="NSW372" s="132"/>
      <c r="NSX372" s="132"/>
      <c r="NSY372" s="132"/>
      <c r="NSZ372" s="132"/>
      <c r="NTA372" s="132"/>
      <c r="NTB372" s="132"/>
      <c r="NTC372" s="132"/>
      <c r="NTD372" s="132"/>
      <c r="NTE372" s="132"/>
      <c r="NTF372" s="132"/>
      <c r="NTG372" s="132"/>
      <c r="NTH372" s="132"/>
      <c r="NTI372" s="132"/>
      <c r="NTJ372" s="132"/>
      <c r="NTK372" s="132"/>
      <c r="NTL372" s="132"/>
      <c r="NTM372" s="132"/>
      <c r="NTN372" s="132"/>
      <c r="NTO372" s="132"/>
      <c r="NTP372" s="132"/>
      <c r="NTQ372" s="132"/>
      <c r="NTR372" s="132"/>
      <c r="NTS372" s="132"/>
      <c r="NTT372" s="132"/>
      <c r="NTU372" s="132"/>
      <c r="NTV372" s="132"/>
      <c r="NTW372" s="132"/>
      <c r="NTX372" s="132"/>
      <c r="NTY372" s="132"/>
      <c r="NTZ372" s="132"/>
      <c r="NUA372" s="132"/>
      <c r="NUB372" s="132"/>
      <c r="NUC372" s="132"/>
      <c r="NUD372" s="132"/>
      <c r="NUE372" s="132"/>
      <c r="NUF372" s="132"/>
      <c r="NUG372" s="132"/>
      <c r="NUH372" s="132"/>
      <c r="NUI372" s="132"/>
      <c r="NUJ372" s="132"/>
      <c r="NUK372" s="132"/>
      <c r="NUL372" s="132"/>
      <c r="NUM372" s="132"/>
      <c r="NUN372" s="132"/>
      <c r="NUO372" s="132"/>
      <c r="NUP372" s="132"/>
      <c r="NUQ372" s="132"/>
      <c r="NUR372" s="132"/>
      <c r="NUS372" s="132"/>
      <c r="NUT372" s="132"/>
      <c r="NUU372" s="132"/>
      <c r="NUV372" s="132"/>
      <c r="NUW372" s="132"/>
      <c r="NUX372" s="132"/>
      <c r="NUY372" s="132"/>
      <c r="NUZ372" s="132"/>
      <c r="NVA372" s="132"/>
      <c r="NVB372" s="132"/>
      <c r="NVC372" s="132"/>
      <c r="NVD372" s="132"/>
      <c r="NVE372" s="132"/>
      <c r="NVF372" s="132"/>
      <c r="NVG372" s="132"/>
      <c r="NVH372" s="132"/>
      <c r="NVI372" s="132"/>
      <c r="NVJ372" s="132"/>
      <c r="NVK372" s="132"/>
      <c r="NVL372" s="132"/>
      <c r="NVM372" s="132"/>
      <c r="NVN372" s="132"/>
      <c r="NVO372" s="132"/>
      <c r="NVP372" s="132"/>
      <c r="NVQ372" s="132"/>
      <c r="NVR372" s="132"/>
      <c r="NVS372" s="132"/>
      <c r="NVT372" s="132"/>
      <c r="NVU372" s="132"/>
      <c r="NVV372" s="132"/>
      <c r="NVW372" s="132"/>
      <c r="NVX372" s="132"/>
      <c r="NVY372" s="132"/>
      <c r="NVZ372" s="132"/>
      <c r="NWA372" s="132"/>
      <c r="NWB372" s="132"/>
      <c r="NWC372" s="132"/>
      <c r="NWD372" s="132"/>
      <c r="NWE372" s="132"/>
      <c r="NWF372" s="132"/>
      <c r="NWG372" s="132"/>
      <c r="NWH372" s="132"/>
      <c r="NWI372" s="132"/>
      <c r="NWJ372" s="132"/>
      <c r="NWK372" s="132"/>
      <c r="NWL372" s="132"/>
      <c r="NWM372" s="132"/>
      <c r="NWN372" s="132"/>
      <c r="NWO372" s="132"/>
      <c r="NWP372" s="132"/>
      <c r="NWQ372" s="132"/>
      <c r="NWR372" s="132"/>
      <c r="NWS372" s="132"/>
      <c r="NWT372" s="132"/>
      <c r="NWU372" s="132"/>
      <c r="NWV372" s="132"/>
      <c r="NWW372" s="132"/>
      <c r="NWX372" s="132"/>
      <c r="NWY372" s="132"/>
      <c r="NWZ372" s="132"/>
      <c r="NXA372" s="132"/>
      <c r="NXB372" s="132"/>
      <c r="NXC372" s="132"/>
      <c r="NXD372" s="132"/>
      <c r="NXE372" s="132"/>
      <c r="NXF372" s="132"/>
      <c r="NXG372" s="132"/>
      <c r="NXH372" s="132"/>
      <c r="NXI372" s="132"/>
      <c r="NXJ372" s="132"/>
      <c r="NXK372" s="132"/>
      <c r="NXL372" s="132"/>
      <c r="NXM372" s="132"/>
      <c r="NXN372" s="132"/>
      <c r="NXO372" s="132"/>
      <c r="NXP372" s="132"/>
      <c r="NXQ372" s="132"/>
      <c r="NXR372" s="132"/>
      <c r="NXS372" s="132"/>
      <c r="NXT372" s="132"/>
      <c r="NXU372" s="132"/>
      <c r="NXV372" s="132"/>
      <c r="NXW372" s="132"/>
      <c r="NXX372" s="132"/>
      <c r="NXY372" s="132"/>
      <c r="NXZ372" s="132"/>
      <c r="NYA372" s="132"/>
      <c r="NYB372" s="132"/>
      <c r="NYC372" s="132"/>
      <c r="NYD372" s="132"/>
      <c r="NYE372" s="132"/>
      <c r="NYF372" s="132"/>
      <c r="NYG372" s="132"/>
      <c r="NYH372" s="132"/>
      <c r="NYI372" s="132"/>
      <c r="NYJ372" s="132"/>
      <c r="NYK372" s="132"/>
      <c r="NYL372" s="132"/>
      <c r="NYM372" s="132"/>
      <c r="NYN372" s="132"/>
      <c r="NYO372" s="132"/>
      <c r="NYP372" s="132"/>
      <c r="NYQ372" s="132"/>
      <c r="NYR372" s="132"/>
      <c r="NYS372" s="132"/>
      <c r="NYT372" s="132"/>
      <c r="NYU372" s="132"/>
      <c r="NYV372" s="132"/>
      <c r="NYW372" s="132"/>
      <c r="NYX372" s="132"/>
      <c r="NYY372" s="132"/>
      <c r="NYZ372" s="132"/>
      <c r="NZA372" s="132"/>
      <c r="NZB372" s="132"/>
      <c r="NZC372" s="132"/>
      <c r="NZD372" s="132"/>
      <c r="NZE372" s="132"/>
      <c r="NZF372" s="132"/>
      <c r="NZG372" s="132"/>
      <c r="NZH372" s="132"/>
      <c r="NZI372" s="132"/>
      <c r="NZJ372" s="132"/>
      <c r="NZK372" s="132"/>
      <c r="NZL372" s="132"/>
      <c r="NZM372" s="132"/>
      <c r="NZN372" s="132"/>
      <c r="NZO372" s="132"/>
      <c r="NZP372" s="132"/>
      <c r="NZQ372" s="132"/>
      <c r="NZR372" s="132"/>
      <c r="NZS372" s="132"/>
      <c r="NZT372" s="132"/>
      <c r="NZU372" s="132"/>
      <c r="NZV372" s="132"/>
      <c r="NZW372" s="132"/>
      <c r="NZX372" s="132"/>
      <c r="NZY372" s="132"/>
      <c r="NZZ372" s="132"/>
      <c r="OAA372" s="132"/>
      <c r="OAB372" s="132"/>
      <c r="OAC372" s="132"/>
      <c r="OAD372" s="132"/>
      <c r="OAE372" s="132"/>
      <c r="OAF372" s="132"/>
      <c r="OAG372" s="132"/>
      <c r="OAH372" s="132"/>
      <c r="OAI372" s="132"/>
      <c r="OAJ372" s="132"/>
      <c r="OAK372" s="132"/>
      <c r="OAL372" s="132"/>
      <c r="OAM372" s="132"/>
      <c r="OAN372" s="132"/>
      <c r="OAO372" s="132"/>
      <c r="OAP372" s="132"/>
      <c r="OAQ372" s="132"/>
      <c r="OAR372" s="132"/>
      <c r="OAS372" s="132"/>
      <c r="OAT372" s="132"/>
      <c r="OAU372" s="132"/>
      <c r="OAV372" s="132"/>
      <c r="OAW372" s="132"/>
      <c r="OAX372" s="132"/>
      <c r="OAY372" s="132"/>
      <c r="OAZ372" s="132"/>
      <c r="OBA372" s="132"/>
      <c r="OBB372" s="132"/>
      <c r="OBC372" s="132"/>
      <c r="OBD372" s="132"/>
      <c r="OBE372" s="132"/>
      <c r="OBF372" s="132"/>
      <c r="OBG372" s="132"/>
      <c r="OBH372" s="132"/>
      <c r="OBI372" s="132"/>
      <c r="OBJ372" s="132"/>
      <c r="OBK372" s="132"/>
      <c r="OBL372" s="132"/>
      <c r="OBM372" s="132"/>
      <c r="OBN372" s="132"/>
      <c r="OBO372" s="132"/>
      <c r="OBP372" s="132"/>
      <c r="OBQ372" s="132"/>
      <c r="OBR372" s="132"/>
      <c r="OBS372" s="132"/>
      <c r="OBT372" s="132"/>
      <c r="OBU372" s="132"/>
      <c r="OBV372" s="132"/>
      <c r="OBW372" s="132"/>
      <c r="OBX372" s="132"/>
      <c r="OBY372" s="132"/>
      <c r="OBZ372" s="132"/>
      <c r="OCA372" s="132"/>
      <c r="OCB372" s="132"/>
      <c r="OCC372" s="132"/>
      <c r="OCD372" s="132"/>
      <c r="OCE372" s="132"/>
      <c r="OCF372" s="132"/>
      <c r="OCG372" s="132"/>
      <c r="OCH372" s="132"/>
      <c r="OCI372" s="132"/>
      <c r="OCJ372" s="132"/>
      <c r="OCK372" s="132"/>
      <c r="OCL372" s="132"/>
      <c r="OCM372" s="132"/>
      <c r="OCN372" s="132"/>
      <c r="OCO372" s="132"/>
      <c r="OCP372" s="132"/>
      <c r="OCQ372" s="132"/>
      <c r="OCR372" s="132"/>
      <c r="OCS372" s="132"/>
      <c r="OCT372" s="132"/>
      <c r="OCU372" s="132"/>
      <c r="OCV372" s="132"/>
      <c r="OCW372" s="132"/>
      <c r="OCX372" s="132"/>
      <c r="OCY372" s="132"/>
      <c r="OCZ372" s="132"/>
      <c r="ODA372" s="132"/>
      <c r="ODB372" s="132"/>
      <c r="ODC372" s="132"/>
      <c r="ODD372" s="132"/>
      <c r="ODE372" s="132"/>
      <c r="ODF372" s="132"/>
      <c r="ODG372" s="132"/>
      <c r="ODH372" s="132"/>
      <c r="ODI372" s="132"/>
      <c r="ODJ372" s="132"/>
      <c r="ODK372" s="132"/>
      <c r="ODL372" s="132"/>
      <c r="ODM372" s="132"/>
      <c r="ODN372" s="132"/>
      <c r="ODO372" s="132"/>
      <c r="ODP372" s="132"/>
      <c r="ODQ372" s="132"/>
      <c r="ODR372" s="132"/>
      <c r="ODS372" s="132"/>
      <c r="ODT372" s="132"/>
      <c r="ODU372" s="132"/>
      <c r="ODV372" s="132"/>
      <c r="ODW372" s="132"/>
      <c r="ODX372" s="132"/>
      <c r="ODY372" s="132"/>
      <c r="ODZ372" s="132"/>
      <c r="OEA372" s="132"/>
      <c r="OEB372" s="132"/>
      <c r="OEC372" s="132"/>
      <c r="OED372" s="132"/>
      <c r="OEE372" s="132"/>
      <c r="OEF372" s="132"/>
      <c r="OEG372" s="132"/>
      <c r="OEH372" s="132"/>
      <c r="OEI372" s="132"/>
      <c r="OEJ372" s="132"/>
      <c r="OEK372" s="132"/>
      <c r="OEL372" s="132"/>
      <c r="OEM372" s="132"/>
      <c r="OEN372" s="132"/>
      <c r="OEO372" s="132"/>
      <c r="OEP372" s="132"/>
      <c r="OEQ372" s="132"/>
      <c r="OER372" s="132"/>
      <c r="OES372" s="132"/>
      <c r="OET372" s="132"/>
      <c r="OEU372" s="132"/>
      <c r="OEV372" s="132"/>
      <c r="OEW372" s="132"/>
      <c r="OEX372" s="132"/>
      <c r="OEY372" s="132"/>
      <c r="OEZ372" s="132"/>
      <c r="OFA372" s="132"/>
      <c r="OFB372" s="132"/>
      <c r="OFC372" s="132"/>
      <c r="OFD372" s="132"/>
      <c r="OFE372" s="132"/>
      <c r="OFF372" s="132"/>
      <c r="OFG372" s="132"/>
      <c r="OFH372" s="132"/>
      <c r="OFI372" s="132"/>
      <c r="OFJ372" s="132"/>
      <c r="OFK372" s="132"/>
      <c r="OFL372" s="132"/>
      <c r="OFM372" s="132"/>
      <c r="OFN372" s="132"/>
      <c r="OFO372" s="132"/>
      <c r="OFP372" s="132"/>
      <c r="OFQ372" s="132"/>
      <c r="OFR372" s="132"/>
      <c r="OFS372" s="132"/>
      <c r="OFT372" s="132"/>
      <c r="OFU372" s="132"/>
      <c r="OFV372" s="132"/>
      <c r="OFW372" s="132"/>
      <c r="OFX372" s="132"/>
      <c r="OFY372" s="132"/>
      <c r="OFZ372" s="132"/>
      <c r="OGA372" s="132"/>
      <c r="OGB372" s="132"/>
      <c r="OGC372" s="132"/>
      <c r="OGD372" s="132"/>
      <c r="OGE372" s="132"/>
      <c r="OGF372" s="132"/>
      <c r="OGG372" s="132"/>
      <c r="OGH372" s="132"/>
      <c r="OGI372" s="132"/>
      <c r="OGJ372" s="132"/>
      <c r="OGK372" s="132"/>
      <c r="OGL372" s="132"/>
      <c r="OGM372" s="132"/>
      <c r="OGN372" s="132"/>
      <c r="OGO372" s="132"/>
      <c r="OGP372" s="132"/>
      <c r="OGQ372" s="132"/>
      <c r="OGR372" s="132"/>
      <c r="OGS372" s="132"/>
      <c r="OGT372" s="132"/>
      <c r="OGU372" s="132"/>
      <c r="OGV372" s="132"/>
      <c r="OGW372" s="132"/>
      <c r="OGX372" s="132"/>
      <c r="OGY372" s="132"/>
      <c r="OGZ372" s="132"/>
      <c r="OHA372" s="132"/>
      <c r="OHB372" s="132"/>
      <c r="OHC372" s="132"/>
      <c r="OHD372" s="132"/>
      <c r="OHE372" s="132"/>
      <c r="OHF372" s="132"/>
      <c r="OHG372" s="132"/>
      <c r="OHH372" s="132"/>
      <c r="OHI372" s="132"/>
      <c r="OHJ372" s="132"/>
      <c r="OHK372" s="132"/>
      <c r="OHL372" s="132"/>
      <c r="OHM372" s="132"/>
      <c r="OHN372" s="132"/>
      <c r="OHO372" s="132"/>
      <c r="OHP372" s="132"/>
      <c r="OHQ372" s="132"/>
      <c r="OHR372" s="132"/>
      <c r="OHS372" s="132"/>
      <c r="OHT372" s="132"/>
      <c r="OHU372" s="132"/>
      <c r="OHV372" s="132"/>
      <c r="OHW372" s="132"/>
      <c r="OHX372" s="132"/>
      <c r="OHY372" s="132"/>
      <c r="OHZ372" s="132"/>
      <c r="OIA372" s="132"/>
      <c r="OIB372" s="132"/>
      <c r="OIC372" s="132"/>
      <c r="OID372" s="132"/>
      <c r="OIE372" s="132"/>
      <c r="OIF372" s="132"/>
      <c r="OIG372" s="132"/>
      <c r="OIH372" s="132"/>
      <c r="OII372" s="132"/>
      <c r="OIJ372" s="132"/>
      <c r="OIK372" s="132"/>
      <c r="OIL372" s="132"/>
      <c r="OIM372" s="132"/>
      <c r="OIN372" s="132"/>
      <c r="OIO372" s="132"/>
      <c r="OIP372" s="132"/>
      <c r="OIQ372" s="132"/>
      <c r="OIR372" s="132"/>
      <c r="OIS372" s="132"/>
      <c r="OIT372" s="132"/>
      <c r="OIU372" s="132"/>
      <c r="OIV372" s="132"/>
      <c r="OIW372" s="132"/>
      <c r="OIX372" s="132"/>
      <c r="OIY372" s="132"/>
      <c r="OIZ372" s="132"/>
      <c r="OJA372" s="132"/>
      <c r="OJB372" s="132"/>
      <c r="OJC372" s="132"/>
      <c r="OJD372" s="132"/>
      <c r="OJE372" s="132"/>
      <c r="OJF372" s="132"/>
      <c r="OJG372" s="132"/>
      <c r="OJH372" s="132"/>
      <c r="OJI372" s="132"/>
      <c r="OJJ372" s="132"/>
      <c r="OJK372" s="132"/>
      <c r="OJL372" s="132"/>
      <c r="OJM372" s="132"/>
      <c r="OJN372" s="132"/>
      <c r="OJO372" s="132"/>
      <c r="OJP372" s="132"/>
      <c r="OJQ372" s="132"/>
      <c r="OJR372" s="132"/>
      <c r="OJS372" s="132"/>
      <c r="OJT372" s="132"/>
      <c r="OJU372" s="132"/>
      <c r="OJV372" s="132"/>
      <c r="OJW372" s="132"/>
      <c r="OJX372" s="132"/>
      <c r="OJY372" s="132"/>
      <c r="OJZ372" s="132"/>
      <c r="OKA372" s="132"/>
      <c r="OKB372" s="132"/>
      <c r="OKC372" s="132"/>
      <c r="OKD372" s="132"/>
      <c r="OKE372" s="132"/>
      <c r="OKF372" s="132"/>
      <c r="OKG372" s="132"/>
      <c r="OKH372" s="132"/>
      <c r="OKI372" s="132"/>
      <c r="OKJ372" s="132"/>
      <c r="OKK372" s="132"/>
      <c r="OKL372" s="132"/>
      <c r="OKM372" s="132"/>
      <c r="OKN372" s="132"/>
      <c r="OKO372" s="132"/>
      <c r="OKP372" s="132"/>
      <c r="OKQ372" s="132"/>
      <c r="OKR372" s="132"/>
      <c r="OKS372" s="132"/>
      <c r="OKT372" s="132"/>
      <c r="OKU372" s="132"/>
      <c r="OKV372" s="132"/>
      <c r="OKW372" s="132"/>
      <c r="OKX372" s="132"/>
      <c r="OKY372" s="132"/>
      <c r="OKZ372" s="132"/>
      <c r="OLA372" s="132"/>
      <c r="OLB372" s="132"/>
      <c r="OLC372" s="132"/>
      <c r="OLD372" s="132"/>
      <c r="OLE372" s="132"/>
      <c r="OLF372" s="132"/>
      <c r="OLG372" s="132"/>
      <c r="OLH372" s="132"/>
      <c r="OLI372" s="132"/>
      <c r="OLJ372" s="132"/>
      <c r="OLK372" s="132"/>
      <c r="OLL372" s="132"/>
      <c r="OLM372" s="132"/>
      <c r="OLN372" s="132"/>
      <c r="OLO372" s="132"/>
      <c r="OLP372" s="132"/>
      <c r="OLQ372" s="132"/>
      <c r="OLR372" s="132"/>
      <c r="OLS372" s="132"/>
      <c r="OLT372" s="132"/>
      <c r="OLU372" s="132"/>
      <c r="OLV372" s="132"/>
      <c r="OLW372" s="132"/>
      <c r="OLX372" s="132"/>
      <c r="OLY372" s="132"/>
      <c r="OLZ372" s="132"/>
      <c r="OMA372" s="132"/>
      <c r="OMB372" s="132"/>
      <c r="OMC372" s="132"/>
      <c r="OMD372" s="132"/>
      <c r="OME372" s="132"/>
      <c r="OMF372" s="132"/>
      <c r="OMG372" s="132"/>
      <c r="OMH372" s="132"/>
      <c r="OMI372" s="132"/>
      <c r="OMJ372" s="132"/>
      <c r="OMK372" s="132"/>
      <c r="OML372" s="132"/>
      <c r="OMM372" s="132"/>
      <c r="OMN372" s="132"/>
      <c r="OMO372" s="132"/>
      <c r="OMP372" s="132"/>
      <c r="OMQ372" s="132"/>
      <c r="OMR372" s="132"/>
      <c r="OMS372" s="132"/>
      <c r="OMT372" s="132"/>
      <c r="OMU372" s="132"/>
      <c r="OMV372" s="132"/>
      <c r="OMW372" s="132"/>
      <c r="OMX372" s="132"/>
      <c r="OMY372" s="132"/>
      <c r="OMZ372" s="132"/>
      <c r="ONA372" s="132"/>
      <c r="ONB372" s="132"/>
      <c r="ONC372" s="132"/>
      <c r="OND372" s="132"/>
      <c r="ONE372" s="132"/>
      <c r="ONF372" s="132"/>
      <c r="ONG372" s="132"/>
      <c r="ONH372" s="132"/>
      <c r="ONI372" s="132"/>
      <c r="ONJ372" s="132"/>
      <c r="ONK372" s="132"/>
      <c r="ONL372" s="132"/>
      <c r="ONM372" s="132"/>
      <c r="ONN372" s="132"/>
      <c r="ONO372" s="132"/>
      <c r="ONP372" s="132"/>
      <c r="ONQ372" s="132"/>
      <c r="ONR372" s="132"/>
      <c r="ONS372" s="132"/>
      <c r="ONT372" s="132"/>
      <c r="ONU372" s="132"/>
      <c r="ONV372" s="132"/>
      <c r="ONW372" s="132"/>
      <c r="ONX372" s="132"/>
      <c r="ONY372" s="132"/>
      <c r="ONZ372" s="132"/>
      <c r="OOA372" s="132"/>
      <c r="OOB372" s="132"/>
      <c r="OOC372" s="132"/>
      <c r="OOD372" s="132"/>
      <c r="OOE372" s="132"/>
      <c r="OOF372" s="132"/>
      <c r="OOG372" s="132"/>
      <c r="OOH372" s="132"/>
      <c r="OOI372" s="132"/>
      <c r="OOJ372" s="132"/>
      <c r="OOK372" s="132"/>
      <c r="OOL372" s="132"/>
      <c r="OOM372" s="132"/>
      <c r="OON372" s="132"/>
      <c r="OOO372" s="132"/>
      <c r="OOP372" s="132"/>
      <c r="OOQ372" s="132"/>
      <c r="OOR372" s="132"/>
      <c r="OOS372" s="132"/>
      <c r="OOT372" s="132"/>
      <c r="OOU372" s="132"/>
      <c r="OOV372" s="132"/>
      <c r="OOW372" s="132"/>
      <c r="OOX372" s="132"/>
      <c r="OOY372" s="132"/>
      <c r="OOZ372" s="132"/>
      <c r="OPA372" s="132"/>
      <c r="OPB372" s="132"/>
      <c r="OPC372" s="132"/>
      <c r="OPD372" s="132"/>
      <c r="OPE372" s="132"/>
      <c r="OPF372" s="132"/>
      <c r="OPG372" s="132"/>
      <c r="OPH372" s="132"/>
      <c r="OPI372" s="132"/>
      <c r="OPJ372" s="132"/>
      <c r="OPK372" s="132"/>
      <c r="OPL372" s="132"/>
      <c r="OPM372" s="132"/>
      <c r="OPN372" s="132"/>
      <c r="OPO372" s="132"/>
      <c r="OPP372" s="132"/>
      <c r="OPQ372" s="132"/>
      <c r="OPR372" s="132"/>
      <c r="OPS372" s="132"/>
      <c r="OPT372" s="132"/>
      <c r="OPU372" s="132"/>
      <c r="OPV372" s="132"/>
      <c r="OPW372" s="132"/>
      <c r="OPX372" s="132"/>
      <c r="OPY372" s="132"/>
      <c r="OPZ372" s="132"/>
      <c r="OQA372" s="132"/>
      <c r="OQB372" s="132"/>
      <c r="OQC372" s="132"/>
      <c r="OQD372" s="132"/>
      <c r="OQE372" s="132"/>
      <c r="OQF372" s="132"/>
      <c r="OQG372" s="132"/>
      <c r="OQH372" s="132"/>
      <c r="OQI372" s="132"/>
      <c r="OQJ372" s="132"/>
      <c r="OQK372" s="132"/>
      <c r="OQL372" s="132"/>
      <c r="OQM372" s="132"/>
      <c r="OQN372" s="132"/>
      <c r="OQO372" s="132"/>
      <c r="OQP372" s="132"/>
      <c r="OQQ372" s="132"/>
      <c r="OQR372" s="132"/>
      <c r="OQS372" s="132"/>
      <c r="OQT372" s="132"/>
      <c r="OQU372" s="132"/>
      <c r="OQV372" s="132"/>
      <c r="OQW372" s="132"/>
      <c r="OQX372" s="132"/>
      <c r="OQY372" s="132"/>
      <c r="OQZ372" s="132"/>
      <c r="ORA372" s="132"/>
      <c r="ORB372" s="132"/>
      <c r="ORC372" s="132"/>
      <c r="ORD372" s="132"/>
      <c r="ORE372" s="132"/>
      <c r="ORF372" s="132"/>
      <c r="ORG372" s="132"/>
      <c r="ORH372" s="132"/>
      <c r="ORI372" s="132"/>
      <c r="ORJ372" s="132"/>
      <c r="ORK372" s="132"/>
      <c r="ORL372" s="132"/>
      <c r="ORM372" s="132"/>
      <c r="ORN372" s="132"/>
      <c r="ORO372" s="132"/>
      <c r="ORP372" s="132"/>
      <c r="ORQ372" s="132"/>
      <c r="ORR372" s="132"/>
      <c r="ORS372" s="132"/>
      <c r="ORT372" s="132"/>
      <c r="ORU372" s="132"/>
      <c r="ORV372" s="132"/>
      <c r="ORW372" s="132"/>
      <c r="ORX372" s="132"/>
      <c r="ORY372" s="132"/>
      <c r="ORZ372" s="132"/>
      <c r="OSA372" s="132"/>
      <c r="OSB372" s="132"/>
      <c r="OSC372" s="132"/>
      <c r="OSD372" s="132"/>
      <c r="OSE372" s="132"/>
      <c r="OSF372" s="132"/>
      <c r="OSG372" s="132"/>
      <c r="OSH372" s="132"/>
      <c r="OSI372" s="132"/>
      <c r="OSJ372" s="132"/>
      <c r="OSK372" s="132"/>
      <c r="OSL372" s="132"/>
      <c r="OSM372" s="132"/>
      <c r="OSN372" s="132"/>
      <c r="OSO372" s="132"/>
      <c r="OSP372" s="132"/>
      <c r="OSQ372" s="132"/>
      <c r="OSR372" s="132"/>
      <c r="OSS372" s="132"/>
      <c r="OST372" s="132"/>
      <c r="OSU372" s="132"/>
      <c r="OSV372" s="132"/>
      <c r="OSW372" s="132"/>
      <c r="OSX372" s="132"/>
      <c r="OSY372" s="132"/>
      <c r="OSZ372" s="132"/>
      <c r="OTA372" s="132"/>
      <c r="OTB372" s="132"/>
      <c r="OTC372" s="132"/>
      <c r="OTD372" s="132"/>
      <c r="OTE372" s="132"/>
      <c r="OTF372" s="132"/>
      <c r="OTG372" s="132"/>
      <c r="OTH372" s="132"/>
      <c r="OTI372" s="132"/>
      <c r="OTJ372" s="132"/>
      <c r="OTK372" s="132"/>
      <c r="OTL372" s="132"/>
      <c r="OTM372" s="132"/>
      <c r="OTN372" s="132"/>
      <c r="OTO372" s="132"/>
      <c r="OTP372" s="132"/>
      <c r="OTQ372" s="132"/>
      <c r="OTR372" s="132"/>
      <c r="OTS372" s="132"/>
      <c r="OTT372" s="132"/>
      <c r="OTU372" s="132"/>
      <c r="OTV372" s="132"/>
      <c r="OTW372" s="132"/>
      <c r="OTX372" s="132"/>
      <c r="OTY372" s="132"/>
      <c r="OTZ372" s="132"/>
      <c r="OUA372" s="132"/>
      <c r="OUB372" s="132"/>
      <c r="OUC372" s="132"/>
      <c r="OUD372" s="132"/>
      <c r="OUE372" s="132"/>
      <c r="OUF372" s="132"/>
      <c r="OUG372" s="132"/>
      <c r="OUH372" s="132"/>
      <c r="OUI372" s="132"/>
      <c r="OUJ372" s="132"/>
      <c r="OUK372" s="132"/>
      <c r="OUL372" s="132"/>
      <c r="OUM372" s="132"/>
      <c r="OUN372" s="132"/>
      <c r="OUO372" s="132"/>
      <c r="OUP372" s="132"/>
      <c r="OUQ372" s="132"/>
      <c r="OUR372" s="132"/>
      <c r="OUS372" s="132"/>
      <c r="OUT372" s="132"/>
      <c r="OUU372" s="132"/>
      <c r="OUV372" s="132"/>
      <c r="OUW372" s="132"/>
      <c r="OUX372" s="132"/>
      <c r="OUY372" s="132"/>
      <c r="OUZ372" s="132"/>
      <c r="OVA372" s="132"/>
      <c r="OVB372" s="132"/>
      <c r="OVC372" s="132"/>
      <c r="OVD372" s="132"/>
      <c r="OVE372" s="132"/>
      <c r="OVF372" s="132"/>
      <c r="OVG372" s="132"/>
      <c r="OVH372" s="132"/>
      <c r="OVI372" s="132"/>
      <c r="OVJ372" s="132"/>
      <c r="OVK372" s="132"/>
      <c r="OVL372" s="132"/>
      <c r="OVM372" s="132"/>
      <c r="OVN372" s="132"/>
      <c r="OVO372" s="132"/>
      <c r="OVP372" s="132"/>
      <c r="OVQ372" s="132"/>
      <c r="OVR372" s="132"/>
      <c r="OVS372" s="132"/>
      <c r="OVT372" s="132"/>
      <c r="OVU372" s="132"/>
      <c r="OVV372" s="132"/>
      <c r="OVW372" s="132"/>
      <c r="OVX372" s="132"/>
      <c r="OVY372" s="132"/>
      <c r="OVZ372" s="132"/>
      <c r="OWA372" s="132"/>
      <c r="OWB372" s="132"/>
      <c r="OWC372" s="132"/>
      <c r="OWD372" s="132"/>
      <c r="OWE372" s="132"/>
      <c r="OWF372" s="132"/>
      <c r="OWG372" s="132"/>
      <c r="OWH372" s="132"/>
      <c r="OWI372" s="132"/>
      <c r="OWJ372" s="132"/>
      <c r="OWK372" s="132"/>
      <c r="OWL372" s="132"/>
      <c r="OWM372" s="132"/>
      <c r="OWN372" s="132"/>
      <c r="OWO372" s="132"/>
      <c r="OWP372" s="132"/>
      <c r="OWQ372" s="132"/>
      <c r="OWR372" s="132"/>
      <c r="OWS372" s="132"/>
      <c r="OWT372" s="132"/>
      <c r="OWU372" s="132"/>
      <c r="OWV372" s="132"/>
      <c r="OWW372" s="132"/>
      <c r="OWX372" s="132"/>
      <c r="OWY372" s="132"/>
      <c r="OWZ372" s="132"/>
      <c r="OXA372" s="132"/>
      <c r="OXB372" s="132"/>
      <c r="OXC372" s="132"/>
      <c r="OXD372" s="132"/>
      <c r="OXE372" s="132"/>
      <c r="OXF372" s="132"/>
      <c r="OXG372" s="132"/>
      <c r="OXH372" s="132"/>
      <c r="OXI372" s="132"/>
      <c r="OXJ372" s="132"/>
      <c r="OXK372" s="132"/>
      <c r="OXL372" s="132"/>
      <c r="OXM372" s="132"/>
      <c r="OXN372" s="132"/>
      <c r="OXO372" s="132"/>
      <c r="OXP372" s="132"/>
      <c r="OXQ372" s="132"/>
      <c r="OXR372" s="132"/>
      <c r="OXS372" s="132"/>
      <c r="OXT372" s="132"/>
      <c r="OXU372" s="132"/>
      <c r="OXV372" s="132"/>
      <c r="OXW372" s="132"/>
      <c r="OXX372" s="132"/>
      <c r="OXY372" s="132"/>
      <c r="OXZ372" s="132"/>
      <c r="OYA372" s="132"/>
      <c r="OYB372" s="132"/>
      <c r="OYC372" s="132"/>
      <c r="OYD372" s="132"/>
      <c r="OYE372" s="132"/>
      <c r="OYF372" s="132"/>
      <c r="OYG372" s="132"/>
      <c r="OYH372" s="132"/>
      <c r="OYI372" s="132"/>
      <c r="OYJ372" s="132"/>
      <c r="OYK372" s="132"/>
      <c r="OYL372" s="132"/>
      <c r="OYM372" s="132"/>
      <c r="OYN372" s="132"/>
      <c r="OYO372" s="132"/>
      <c r="OYP372" s="132"/>
      <c r="OYQ372" s="132"/>
      <c r="OYR372" s="132"/>
      <c r="OYS372" s="132"/>
      <c r="OYT372" s="132"/>
      <c r="OYU372" s="132"/>
      <c r="OYV372" s="132"/>
      <c r="OYW372" s="132"/>
      <c r="OYX372" s="132"/>
      <c r="OYY372" s="132"/>
      <c r="OYZ372" s="132"/>
      <c r="OZA372" s="132"/>
      <c r="OZB372" s="132"/>
      <c r="OZC372" s="132"/>
      <c r="OZD372" s="132"/>
      <c r="OZE372" s="132"/>
      <c r="OZF372" s="132"/>
      <c r="OZG372" s="132"/>
      <c r="OZH372" s="132"/>
      <c r="OZI372" s="132"/>
      <c r="OZJ372" s="132"/>
      <c r="OZK372" s="132"/>
      <c r="OZL372" s="132"/>
      <c r="OZM372" s="132"/>
      <c r="OZN372" s="132"/>
      <c r="OZO372" s="132"/>
      <c r="OZP372" s="132"/>
      <c r="OZQ372" s="132"/>
      <c r="OZR372" s="132"/>
      <c r="OZS372" s="132"/>
      <c r="OZT372" s="132"/>
      <c r="OZU372" s="132"/>
      <c r="OZV372" s="132"/>
      <c r="OZW372" s="132"/>
      <c r="OZX372" s="132"/>
      <c r="OZY372" s="132"/>
      <c r="OZZ372" s="132"/>
      <c r="PAA372" s="132"/>
      <c r="PAB372" s="132"/>
      <c r="PAC372" s="132"/>
      <c r="PAD372" s="132"/>
      <c r="PAE372" s="132"/>
      <c r="PAF372" s="132"/>
      <c r="PAG372" s="132"/>
      <c r="PAH372" s="132"/>
      <c r="PAI372" s="132"/>
      <c r="PAJ372" s="132"/>
      <c r="PAK372" s="132"/>
      <c r="PAL372" s="132"/>
      <c r="PAM372" s="132"/>
      <c r="PAN372" s="132"/>
      <c r="PAO372" s="132"/>
      <c r="PAP372" s="132"/>
      <c r="PAQ372" s="132"/>
      <c r="PAR372" s="132"/>
      <c r="PAS372" s="132"/>
      <c r="PAT372" s="132"/>
      <c r="PAU372" s="132"/>
      <c r="PAV372" s="132"/>
      <c r="PAW372" s="132"/>
      <c r="PAX372" s="132"/>
      <c r="PAY372" s="132"/>
      <c r="PAZ372" s="132"/>
      <c r="PBA372" s="132"/>
      <c r="PBB372" s="132"/>
      <c r="PBC372" s="132"/>
      <c r="PBD372" s="132"/>
      <c r="PBE372" s="132"/>
      <c r="PBF372" s="132"/>
      <c r="PBG372" s="132"/>
      <c r="PBH372" s="132"/>
      <c r="PBI372" s="132"/>
      <c r="PBJ372" s="132"/>
      <c r="PBK372" s="132"/>
      <c r="PBL372" s="132"/>
      <c r="PBM372" s="132"/>
      <c r="PBN372" s="132"/>
      <c r="PBO372" s="132"/>
      <c r="PBP372" s="132"/>
      <c r="PBQ372" s="132"/>
      <c r="PBR372" s="132"/>
      <c r="PBS372" s="132"/>
      <c r="PBT372" s="132"/>
      <c r="PBU372" s="132"/>
      <c r="PBV372" s="132"/>
      <c r="PBW372" s="132"/>
      <c r="PBX372" s="132"/>
      <c r="PBY372" s="132"/>
      <c r="PBZ372" s="132"/>
      <c r="PCA372" s="132"/>
      <c r="PCB372" s="132"/>
      <c r="PCC372" s="132"/>
      <c r="PCD372" s="132"/>
      <c r="PCE372" s="132"/>
      <c r="PCF372" s="132"/>
      <c r="PCG372" s="132"/>
      <c r="PCH372" s="132"/>
      <c r="PCI372" s="132"/>
      <c r="PCJ372" s="132"/>
      <c r="PCK372" s="132"/>
      <c r="PCL372" s="132"/>
      <c r="PCM372" s="132"/>
      <c r="PCN372" s="132"/>
      <c r="PCO372" s="132"/>
      <c r="PCP372" s="132"/>
      <c r="PCQ372" s="132"/>
      <c r="PCR372" s="132"/>
      <c r="PCS372" s="132"/>
      <c r="PCT372" s="132"/>
      <c r="PCU372" s="132"/>
      <c r="PCV372" s="132"/>
      <c r="PCW372" s="132"/>
      <c r="PCX372" s="132"/>
      <c r="PCY372" s="132"/>
      <c r="PCZ372" s="132"/>
      <c r="PDA372" s="132"/>
      <c r="PDB372" s="132"/>
      <c r="PDC372" s="132"/>
      <c r="PDD372" s="132"/>
      <c r="PDE372" s="132"/>
      <c r="PDF372" s="132"/>
      <c r="PDG372" s="132"/>
      <c r="PDH372" s="132"/>
      <c r="PDI372" s="132"/>
      <c r="PDJ372" s="132"/>
      <c r="PDK372" s="132"/>
      <c r="PDL372" s="132"/>
      <c r="PDM372" s="132"/>
      <c r="PDN372" s="132"/>
      <c r="PDO372" s="132"/>
      <c r="PDP372" s="132"/>
      <c r="PDQ372" s="132"/>
      <c r="PDR372" s="132"/>
      <c r="PDS372" s="132"/>
      <c r="PDT372" s="132"/>
      <c r="PDU372" s="132"/>
      <c r="PDV372" s="132"/>
      <c r="PDW372" s="132"/>
      <c r="PDX372" s="132"/>
      <c r="PDY372" s="132"/>
      <c r="PDZ372" s="132"/>
      <c r="PEA372" s="132"/>
      <c r="PEB372" s="132"/>
      <c r="PEC372" s="132"/>
      <c r="PED372" s="132"/>
      <c r="PEE372" s="132"/>
      <c r="PEF372" s="132"/>
      <c r="PEG372" s="132"/>
      <c r="PEH372" s="132"/>
      <c r="PEI372" s="132"/>
      <c r="PEJ372" s="132"/>
      <c r="PEK372" s="132"/>
      <c r="PEL372" s="132"/>
      <c r="PEM372" s="132"/>
      <c r="PEN372" s="132"/>
      <c r="PEO372" s="132"/>
      <c r="PEP372" s="132"/>
      <c r="PEQ372" s="132"/>
      <c r="PER372" s="132"/>
      <c r="PES372" s="132"/>
      <c r="PET372" s="132"/>
      <c r="PEU372" s="132"/>
      <c r="PEV372" s="132"/>
      <c r="PEW372" s="132"/>
      <c r="PEX372" s="132"/>
      <c r="PEY372" s="132"/>
      <c r="PEZ372" s="132"/>
      <c r="PFA372" s="132"/>
      <c r="PFB372" s="132"/>
      <c r="PFC372" s="132"/>
      <c r="PFD372" s="132"/>
      <c r="PFE372" s="132"/>
      <c r="PFF372" s="132"/>
      <c r="PFG372" s="132"/>
      <c r="PFH372" s="132"/>
      <c r="PFI372" s="132"/>
      <c r="PFJ372" s="132"/>
      <c r="PFK372" s="132"/>
      <c r="PFL372" s="132"/>
      <c r="PFM372" s="132"/>
      <c r="PFN372" s="132"/>
      <c r="PFO372" s="132"/>
      <c r="PFP372" s="132"/>
      <c r="PFQ372" s="132"/>
      <c r="PFR372" s="132"/>
      <c r="PFS372" s="132"/>
      <c r="PFT372" s="132"/>
      <c r="PFU372" s="132"/>
      <c r="PFV372" s="132"/>
      <c r="PFW372" s="132"/>
      <c r="PFX372" s="132"/>
      <c r="PFY372" s="132"/>
      <c r="PFZ372" s="132"/>
      <c r="PGA372" s="132"/>
      <c r="PGB372" s="132"/>
      <c r="PGC372" s="132"/>
      <c r="PGD372" s="132"/>
      <c r="PGE372" s="132"/>
      <c r="PGF372" s="132"/>
      <c r="PGG372" s="132"/>
      <c r="PGH372" s="132"/>
      <c r="PGI372" s="132"/>
      <c r="PGJ372" s="132"/>
      <c r="PGK372" s="132"/>
      <c r="PGL372" s="132"/>
      <c r="PGM372" s="132"/>
      <c r="PGN372" s="132"/>
      <c r="PGO372" s="132"/>
      <c r="PGP372" s="132"/>
      <c r="PGQ372" s="132"/>
      <c r="PGR372" s="132"/>
      <c r="PGS372" s="132"/>
      <c r="PGT372" s="132"/>
      <c r="PGU372" s="132"/>
      <c r="PGV372" s="132"/>
      <c r="PGW372" s="132"/>
      <c r="PGX372" s="132"/>
      <c r="PGY372" s="132"/>
      <c r="PGZ372" s="132"/>
      <c r="PHA372" s="132"/>
      <c r="PHB372" s="132"/>
      <c r="PHC372" s="132"/>
      <c r="PHD372" s="132"/>
      <c r="PHE372" s="132"/>
      <c r="PHF372" s="132"/>
      <c r="PHG372" s="132"/>
      <c r="PHH372" s="132"/>
      <c r="PHI372" s="132"/>
      <c r="PHJ372" s="132"/>
      <c r="PHK372" s="132"/>
      <c r="PHL372" s="132"/>
      <c r="PHM372" s="132"/>
      <c r="PHN372" s="132"/>
      <c r="PHO372" s="132"/>
      <c r="PHP372" s="132"/>
      <c r="PHQ372" s="132"/>
      <c r="PHR372" s="132"/>
      <c r="PHS372" s="132"/>
      <c r="PHT372" s="132"/>
      <c r="PHU372" s="132"/>
      <c r="PHV372" s="132"/>
      <c r="PHW372" s="132"/>
      <c r="PHX372" s="132"/>
      <c r="PHY372" s="132"/>
      <c r="PHZ372" s="132"/>
      <c r="PIA372" s="132"/>
      <c r="PIB372" s="132"/>
      <c r="PIC372" s="132"/>
      <c r="PID372" s="132"/>
      <c r="PIE372" s="132"/>
      <c r="PIF372" s="132"/>
      <c r="PIG372" s="132"/>
      <c r="PIH372" s="132"/>
      <c r="PII372" s="132"/>
      <c r="PIJ372" s="132"/>
      <c r="PIK372" s="132"/>
      <c r="PIL372" s="132"/>
      <c r="PIM372" s="132"/>
      <c r="PIN372" s="132"/>
      <c r="PIO372" s="132"/>
      <c r="PIP372" s="132"/>
      <c r="PIQ372" s="132"/>
      <c r="PIR372" s="132"/>
      <c r="PIS372" s="132"/>
      <c r="PIT372" s="132"/>
      <c r="PIU372" s="132"/>
      <c r="PIV372" s="132"/>
      <c r="PIW372" s="132"/>
      <c r="PIX372" s="132"/>
      <c r="PIY372" s="132"/>
      <c r="PIZ372" s="132"/>
      <c r="PJA372" s="132"/>
      <c r="PJB372" s="132"/>
      <c r="PJC372" s="132"/>
      <c r="PJD372" s="132"/>
      <c r="PJE372" s="132"/>
      <c r="PJF372" s="132"/>
      <c r="PJG372" s="132"/>
      <c r="PJH372" s="132"/>
      <c r="PJI372" s="132"/>
      <c r="PJJ372" s="132"/>
      <c r="PJK372" s="132"/>
      <c r="PJL372" s="132"/>
      <c r="PJM372" s="132"/>
      <c r="PJN372" s="132"/>
      <c r="PJO372" s="132"/>
      <c r="PJP372" s="132"/>
      <c r="PJQ372" s="132"/>
      <c r="PJR372" s="132"/>
      <c r="PJS372" s="132"/>
      <c r="PJT372" s="132"/>
      <c r="PJU372" s="132"/>
      <c r="PJV372" s="132"/>
      <c r="PJW372" s="132"/>
      <c r="PJX372" s="132"/>
      <c r="PJY372" s="132"/>
      <c r="PJZ372" s="132"/>
      <c r="PKA372" s="132"/>
      <c r="PKB372" s="132"/>
      <c r="PKC372" s="132"/>
      <c r="PKD372" s="132"/>
      <c r="PKE372" s="132"/>
      <c r="PKF372" s="132"/>
      <c r="PKG372" s="132"/>
      <c r="PKH372" s="132"/>
      <c r="PKI372" s="132"/>
      <c r="PKJ372" s="132"/>
      <c r="PKK372" s="132"/>
      <c r="PKL372" s="132"/>
      <c r="PKM372" s="132"/>
      <c r="PKN372" s="132"/>
      <c r="PKO372" s="132"/>
      <c r="PKP372" s="132"/>
      <c r="PKQ372" s="132"/>
      <c r="PKR372" s="132"/>
      <c r="PKS372" s="132"/>
      <c r="PKT372" s="132"/>
      <c r="PKU372" s="132"/>
      <c r="PKV372" s="132"/>
      <c r="PKW372" s="132"/>
      <c r="PKX372" s="132"/>
      <c r="PKY372" s="132"/>
      <c r="PKZ372" s="132"/>
      <c r="PLA372" s="132"/>
      <c r="PLB372" s="132"/>
      <c r="PLC372" s="132"/>
      <c r="PLD372" s="132"/>
      <c r="PLE372" s="132"/>
      <c r="PLF372" s="132"/>
      <c r="PLG372" s="132"/>
      <c r="PLH372" s="132"/>
      <c r="PLI372" s="132"/>
      <c r="PLJ372" s="132"/>
      <c r="PLK372" s="132"/>
      <c r="PLL372" s="132"/>
      <c r="PLM372" s="132"/>
      <c r="PLN372" s="132"/>
      <c r="PLO372" s="132"/>
      <c r="PLP372" s="132"/>
      <c r="PLQ372" s="132"/>
      <c r="PLR372" s="132"/>
      <c r="PLS372" s="132"/>
      <c r="PLT372" s="132"/>
      <c r="PLU372" s="132"/>
      <c r="PLV372" s="132"/>
      <c r="PLW372" s="132"/>
      <c r="PLX372" s="132"/>
      <c r="PLY372" s="132"/>
      <c r="PLZ372" s="132"/>
      <c r="PMA372" s="132"/>
      <c r="PMB372" s="132"/>
      <c r="PMC372" s="132"/>
      <c r="PMD372" s="132"/>
      <c r="PME372" s="132"/>
      <c r="PMF372" s="132"/>
      <c r="PMG372" s="132"/>
      <c r="PMH372" s="132"/>
      <c r="PMI372" s="132"/>
      <c r="PMJ372" s="132"/>
      <c r="PMK372" s="132"/>
      <c r="PML372" s="132"/>
      <c r="PMM372" s="132"/>
      <c r="PMN372" s="132"/>
      <c r="PMO372" s="132"/>
      <c r="PMP372" s="132"/>
      <c r="PMQ372" s="132"/>
      <c r="PMR372" s="132"/>
      <c r="PMS372" s="132"/>
      <c r="PMT372" s="132"/>
      <c r="PMU372" s="132"/>
      <c r="PMV372" s="132"/>
      <c r="PMW372" s="132"/>
      <c r="PMX372" s="132"/>
      <c r="PMY372" s="132"/>
      <c r="PMZ372" s="132"/>
      <c r="PNA372" s="132"/>
      <c r="PNB372" s="132"/>
      <c r="PNC372" s="132"/>
      <c r="PND372" s="132"/>
      <c r="PNE372" s="132"/>
      <c r="PNF372" s="132"/>
      <c r="PNG372" s="132"/>
      <c r="PNH372" s="132"/>
      <c r="PNI372" s="132"/>
      <c r="PNJ372" s="132"/>
      <c r="PNK372" s="132"/>
      <c r="PNL372" s="132"/>
      <c r="PNM372" s="132"/>
      <c r="PNN372" s="132"/>
      <c r="PNO372" s="132"/>
      <c r="PNP372" s="132"/>
      <c r="PNQ372" s="132"/>
      <c r="PNR372" s="132"/>
      <c r="PNS372" s="132"/>
      <c r="PNT372" s="132"/>
      <c r="PNU372" s="132"/>
      <c r="PNV372" s="132"/>
      <c r="PNW372" s="132"/>
      <c r="PNX372" s="132"/>
      <c r="PNY372" s="132"/>
      <c r="PNZ372" s="132"/>
      <c r="POA372" s="132"/>
      <c r="POB372" s="132"/>
      <c r="POC372" s="132"/>
      <c r="POD372" s="132"/>
      <c r="POE372" s="132"/>
      <c r="POF372" s="132"/>
      <c r="POG372" s="132"/>
      <c r="POH372" s="132"/>
      <c r="POI372" s="132"/>
      <c r="POJ372" s="132"/>
      <c r="POK372" s="132"/>
      <c r="POL372" s="132"/>
      <c r="POM372" s="132"/>
      <c r="PON372" s="132"/>
      <c r="POO372" s="132"/>
      <c r="POP372" s="132"/>
      <c r="POQ372" s="132"/>
      <c r="POR372" s="132"/>
      <c r="POS372" s="132"/>
      <c r="POT372" s="132"/>
      <c r="POU372" s="132"/>
      <c r="POV372" s="132"/>
      <c r="POW372" s="132"/>
      <c r="POX372" s="132"/>
      <c r="POY372" s="132"/>
      <c r="POZ372" s="132"/>
      <c r="PPA372" s="132"/>
      <c r="PPB372" s="132"/>
      <c r="PPC372" s="132"/>
      <c r="PPD372" s="132"/>
      <c r="PPE372" s="132"/>
      <c r="PPF372" s="132"/>
      <c r="PPG372" s="132"/>
      <c r="PPH372" s="132"/>
      <c r="PPI372" s="132"/>
      <c r="PPJ372" s="132"/>
      <c r="PPK372" s="132"/>
      <c r="PPL372" s="132"/>
      <c r="PPM372" s="132"/>
      <c r="PPN372" s="132"/>
      <c r="PPO372" s="132"/>
      <c r="PPP372" s="132"/>
      <c r="PPQ372" s="132"/>
      <c r="PPR372" s="132"/>
      <c r="PPS372" s="132"/>
      <c r="PPT372" s="132"/>
      <c r="PPU372" s="132"/>
      <c r="PPV372" s="132"/>
      <c r="PPW372" s="132"/>
      <c r="PPX372" s="132"/>
      <c r="PPY372" s="132"/>
      <c r="PPZ372" s="132"/>
      <c r="PQA372" s="132"/>
      <c r="PQB372" s="132"/>
      <c r="PQC372" s="132"/>
      <c r="PQD372" s="132"/>
      <c r="PQE372" s="132"/>
      <c r="PQF372" s="132"/>
      <c r="PQG372" s="132"/>
      <c r="PQH372" s="132"/>
      <c r="PQI372" s="132"/>
      <c r="PQJ372" s="132"/>
      <c r="PQK372" s="132"/>
      <c r="PQL372" s="132"/>
      <c r="PQM372" s="132"/>
      <c r="PQN372" s="132"/>
      <c r="PQO372" s="132"/>
      <c r="PQP372" s="132"/>
      <c r="PQQ372" s="132"/>
      <c r="PQR372" s="132"/>
      <c r="PQS372" s="132"/>
      <c r="PQT372" s="132"/>
      <c r="PQU372" s="132"/>
      <c r="PQV372" s="132"/>
      <c r="PQW372" s="132"/>
      <c r="PQX372" s="132"/>
      <c r="PQY372" s="132"/>
      <c r="PQZ372" s="132"/>
      <c r="PRA372" s="132"/>
      <c r="PRB372" s="132"/>
      <c r="PRC372" s="132"/>
      <c r="PRD372" s="132"/>
      <c r="PRE372" s="132"/>
      <c r="PRF372" s="132"/>
      <c r="PRG372" s="132"/>
      <c r="PRH372" s="132"/>
      <c r="PRI372" s="132"/>
      <c r="PRJ372" s="132"/>
      <c r="PRK372" s="132"/>
      <c r="PRL372" s="132"/>
      <c r="PRM372" s="132"/>
      <c r="PRN372" s="132"/>
      <c r="PRO372" s="132"/>
      <c r="PRP372" s="132"/>
      <c r="PRQ372" s="132"/>
      <c r="PRR372" s="132"/>
      <c r="PRS372" s="132"/>
      <c r="PRT372" s="132"/>
      <c r="PRU372" s="132"/>
      <c r="PRV372" s="132"/>
      <c r="PRW372" s="132"/>
      <c r="PRX372" s="132"/>
      <c r="PRY372" s="132"/>
      <c r="PRZ372" s="132"/>
      <c r="PSA372" s="132"/>
      <c r="PSB372" s="132"/>
      <c r="PSC372" s="132"/>
      <c r="PSD372" s="132"/>
      <c r="PSE372" s="132"/>
      <c r="PSF372" s="132"/>
      <c r="PSG372" s="132"/>
      <c r="PSH372" s="132"/>
      <c r="PSI372" s="132"/>
      <c r="PSJ372" s="132"/>
      <c r="PSK372" s="132"/>
      <c r="PSL372" s="132"/>
      <c r="PSM372" s="132"/>
      <c r="PSN372" s="132"/>
      <c r="PSO372" s="132"/>
      <c r="PSP372" s="132"/>
      <c r="PSQ372" s="132"/>
      <c r="PSR372" s="132"/>
      <c r="PSS372" s="132"/>
      <c r="PST372" s="132"/>
      <c r="PSU372" s="132"/>
      <c r="PSV372" s="132"/>
      <c r="PSW372" s="132"/>
      <c r="PSX372" s="132"/>
      <c r="PSY372" s="132"/>
      <c r="PSZ372" s="132"/>
      <c r="PTA372" s="132"/>
      <c r="PTB372" s="132"/>
      <c r="PTC372" s="132"/>
      <c r="PTD372" s="132"/>
      <c r="PTE372" s="132"/>
      <c r="PTF372" s="132"/>
      <c r="PTG372" s="132"/>
      <c r="PTH372" s="132"/>
      <c r="PTI372" s="132"/>
      <c r="PTJ372" s="132"/>
      <c r="PTK372" s="132"/>
      <c r="PTL372" s="132"/>
      <c r="PTM372" s="132"/>
      <c r="PTN372" s="132"/>
      <c r="PTO372" s="132"/>
      <c r="PTP372" s="132"/>
      <c r="PTQ372" s="132"/>
      <c r="PTR372" s="132"/>
      <c r="PTS372" s="132"/>
      <c r="PTT372" s="132"/>
      <c r="PTU372" s="132"/>
      <c r="PTV372" s="132"/>
      <c r="PTW372" s="132"/>
      <c r="PTX372" s="132"/>
      <c r="PTY372" s="132"/>
      <c r="PTZ372" s="132"/>
      <c r="PUA372" s="132"/>
      <c r="PUB372" s="132"/>
      <c r="PUC372" s="132"/>
      <c r="PUD372" s="132"/>
      <c r="PUE372" s="132"/>
      <c r="PUF372" s="132"/>
      <c r="PUG372" s="132"/>
      <c r="PUH372" s="132"/>
      <c r="PUI372" s="132"/>
      <c r="PUJ372" s="132"/>
      <c r="PUK372" s="132"/>
      <c r="PUL372" s="132"/>
      <c r="PUM372" s="132"/>
      <c r="PUN372" s="132"/>
      <c r="PUO372" s="132"/>
      <c r="PUP372" s="132"/>
      <c r="PUQ372" s="132"/>
      <c r="PUR372" s="132"/>
      <c r="PUS372" s="132"/>
      <c r="PUT372" s="132"/>
      <c r="PUU372" s="132"/>
      <c r="PUV372" s="132"/>
      <c r="PUW372" s="132"/>
      <c r="PUX372" s="132"/>
      <c r="PUY372" s="132"/>
      <c r="PUZ372" s="132"/>
      <c r="PVA372" s="132"/>
      <c r="PVB372" s="132"/>
      <c r="PVC372" s="132"/>
      <c r="PVD372" s="132"/>
      <c r="PVE372" s="132"/>
      <c r="PVF372" s="132"/>
      <c r="PVG372" s="132"/>
      <c r="PVH372" s="132"/>
      <c r="PVI372" s="132"/>
      <c r="PVJ372" s="132"/>
      <c r="PVK372" s="132"/>
      <c r="PVL372" s="132"/>
      <c r="PVM372" s="132"/>
      <c r="PVN372" s="132"/>
      <c r="PVO372" s="132"/>
      <c r="PVP372" s="132"/>
      <c r="PVQ372" s="132"/>
      <c r="PVR372" s="132"/>
      <c r="PVS372" s="132"/>
      <c r="PVT372" s="132"/>
      <c r="PVU372" s="132"/>
      <c r="PVV372" s="132"/>
      <c r="PVW372" s="132"/>
      <c r="PVX372" s="132"/>
      <c r="PVY372" s="132"/>
      <c r="PVZ372" s="132"/>
      <c r="PWA372" s="132"/>
      <c r="PWB372" s="132"/>
      <c r="PWC372" s="132"/>
      <c r="PWD372" s="132"/>
      <c r="PWE372" s="132"/>
      <c r="PWF372" s="132"/>
      <c r="PWG372" s="132"/>
      <c r="PWH372" s="132"/>
      <c r="PWI372" s="132"/>
      <c r="PWJ372" s="132"/>
      <c r="PWK372" s="132"/>
      <c r="PWL372" s="132"/>
      <c r="PWM372" s="132"/>
      <c r="PWN372" s="132"/>
      <c r="PWO372" s="132"/>
      <c r="PWP372" s="132"/>
      <c r="PWQ372" s="132"/>
      <c r="PWR372" s="132"/>
      <c r="PWS372" s="132"/>
      <c r="PWT372" s="132"/>
      <c r="PWU372" s="132"/>
      <c r="PWV372" s="132"/>
      <c r="PWW372" s="132"/>
      <c r="PWX372" s="132"/>
      <c r="PWY372" s="132"/>
      <c r="PWZ372" s="132"/>
      <c r="PXA372" s="132"/>
      <c r="PXB372" s="132"/>
      <c r="PXC372" s="132"/>
      <c r="PXD372" s="132"/>
      <c r="PXE372" s="132"/>
      <c r="PXF372" s="132"/>
      <c r="PXG372" s="132"/>
      <c r="PXH372" s="132"/>
      <c r="PXI372" s="132"/>
      <c r="PXJ372" s="132"/>
      <c r="PXK372" s="132"/>
      <c r="PXL372" s="132"/>
      <c r="PXM372" s="132"/>
      <c r="PXN372" s="132"/>
      <c r="PXO372" s="132"/>
      <c r="PXP372" s="132"/>
      <c r="PXQ372" s="132"/>
      <c r="PXR372" s="132"/>
      <c r="PXS372" s="132"/>
      <c r="PXT372" s="132"/>
      <c r="PXU372" s="132"/>
      <c r="PXV372" s="132"/>
      <c r="PXW372" s="132"/>
      <c r="PXX372" s="132"/>
      <c r="PXY372" s="132"/>
      <c r="PXZ372" s="132"/>
      <c r="PYA372" s="132"/>
      <c r="PYB372" s="132"/>
      <c r="PYC372" s="132"/>
      <c r="PYD372" s="132"/>
      <c r="PYE372" s="132"/>
      <c r="PYF372" s="132"/>
      <c r="PYG372" s="132"/>
      <c r="PYH372" s="132"/>
      <c r="PYI372" s="132"/>
      <c r="PYJ372" s="132"/>
      <c r="PYK372" s="132"/>
      <c r="PYL372" s="132"/>
      <c r="PYM372" s="132"/>
      <c r="PYN372" s="132"/>
      <c r="PYO372" s="132"/>
      <c r="PYP372" s="132"/>
      <c r="PYQ372" s="132"/>
      <c r="PYR372" s="132"/>
      <c r="PYS372" s="132"/>
      <c r="PYT372" s="132"/>
      <c r="PYU372" s="132"/>
      <c r="PYV372" s="132"/>
      <c r="PYW372" s="132"/>
      <c r="PYX372" s="132"/>
      <c r="PYY372" s="132"/>
      <c r="PYZ372" s="132"/>
      <c r="PZA372" s="132"/>
      <c r="PZB372" s="132"/>
      <c r="PZC372" s="132"/>
      <c r="PZD372" s="132"/>
      <c r="PZE372" s="132"/>
      <c r="PZF372" s="132"/>
      <c r="PZG372" s="132"/>
      <c r="PZH372" s="132"/>
      <c r="PZI372" s="132"/>
      <c r="PZJ372" s="132"/>
      <c r="PZK372" s="132"/>
      <c r="PZL372" s="132"/>
      <c r="PZM372" s="132"/>
      <c r="PZN372" s="132"/>
      <c r="PZO372" s="132"/>
      <c r="PZP372" s="132"/>
      <c r="PZQ372" s="132"/>
      <c r="PZR372" s="132"/>
      <c r="PZS372" s="132"/>
      <c r="PZT372" s="132"/>
      <c r="PZU372" s="132"/>
      <c r="PZV372" s="132"/>
      <c r="PZW372" s="132"/>
      <c r="PZX372" s="132"/>
      <c r="PZY372" s="132"/>
      <c r="PZZ372" s="132"/>
      <c r="QAA372" s="132"/>
      <c r="QAB372" s="132"/>
      <c r="QAC372" s="132"/>
      <c r="QAD372" s="132"/>
      <c r="QAE372" s="132"/>
      <c r="QAF372" s="132"/>
      <c r="QAG372" s="132"/>
      <c r="QAH372" s="132"/>
      <c r="QAI372" s="132"/>
      <c r="QAJ372" s="132"/>
      <c r="QAK372" s="132"/>
      <c r="QAL372" s="132"/>
      <c r="QAM372" s="132"/>
      <c r="QAN372" s="132"/>
      <c r="QAO372" s="132"/>
      <c r="QAP372" s="132"/>
      <c r="QAQ372" s="132"/>
      <c r="QAR372" s="132"/>
      <c r="QAS372" s="132"/>
      <c r="QAT372" s="132"/>
      <c r="QAU372" s="132"/>
      <c r="QAV372" s="132"/>
      <c r="QAW372" s="132"/>
      <c r="QAX372" s="132"/>
      <c r="QAY372" s="132"/>
      <c r="QAZ372" s="132"/>
      <c r="QBA372" s="132"/>
      <c r="QBB372" s="132"/>
      <c r="QBC372" s="132"/>
      <c r="QBD372" s="132"/>
      <c r="QBE372" s="132"/>
      <c r="QBF372" s="132"/>
      <c r="QBG372" s="132"/>
      <c r="QBH372" s="132"/>
      <c r="QBI372" s="132"/>
      <c r="QBJ372" s="132"/>
      <c r="QBK372" s="132"/>
      <c r="QBL372" s="132"/>
      <c r="QBM372" s="132"/>
      <c r="QBN372" s="132"/>
      <c r="QBO372" s="132"/>
      <c r="QBP372" s="132"/>
      <c r="QBQ372" s="132"/>
      <c r="QBR372" s="132"/>
      <c r="QBS372" s="132"/>
      <c r="QBT372" s="132"/>
      <c r="QBU372" s="132"/>
      <c r="QBV372" s="132"/>
      <c r="QBW372" s="132"/>
      <c r="QBX372" s="132"/>
      <c r="QBY372" s="132"/>
      <c r="QBZ372" s="132"/>
      <c r="QCA372" s="132"/>
      <c r="QCB372" s="132"/>
      <c r="QCC372" s="132"/>
      <c r="QCD372" s="132"/>
      <c r="QCE372" s="132"/>
      <c r="QCF372" s="132"/>
      <c r="QCG372" s="132"/>
      <c r="QCH372" s="132"/>
      <c r="QCI372" s="132"/>
      <c r="QCJ372" s="132"/>
      <c r="QCK372" s="132"/>
      <c r="QCL372" s="132"/>
      <c r="QCM372" s="132"/>
      <c r="QCN372" s="132"/>
      <c r="QCO372" s="132"/>
      <c r="QCP372" s="132"/>
      <c r="QCQ372" s="132"/>
      <c r="QCR372" s="132"/>
      <c r="QCS372" s="132"/>
      <c r="QCT372" s="132"/>
      <c r="QCU372" s="132"/>
      <c r="QCV372" s="132"/>
      <c r="QCW372" s="132"/>
      <c r="QCX372" s="132"/>
      <c r="QCY372" s="132"/>
      <c r="QCZ372" s="132"/>
      <c r="QDA372" s="132"/>
      <c r="QDB372" s="132"/>
      <c r="QDC372" s="132"/>
      <c r="QDD372" s="132"/>
      <c r="QDE372" s="132"/>
      <c r="QDF372" s="132"/>
      <c r="QDG372" s="132"/>
      <c r="QDH372" s="132"/>
      <c r="QDI372" s="132"/>
      <c r="QDJ372" s="132"/>
      <c r="QDK372" s="132"/>
      <c r="QDL372" s="132"/>
      <c r="QDM372" s="132"/>
      <c r="QDN372" s="132"/>
      <c r="QDO372" s="132"/>
      <c r="QDP372" s="132"/>
      <c r="QDQ372" s="132"/>
      <c r="QDR372" s="132"/>
      <c r="QDS372" s="132"/>
      <c r="QDT372" s="132"/>
      <c r="QDU372" s="132"/>
      <c r="QDV372" s="132"/>
      <c r="QDW372" s="132"/>
      <c r="QDX372" s="132"/>
      <c r="QDY372" s="132"/>
      <c r="QDZ372" s="132"/>
      <c r="QEA372" s="132"/>
      <c r="QEB372" s="132"/>
      <c r="QEC372" s="132"/>
      <c r="QED372" s="132"/>
      <c r="QEE372" s="132"/>
      <c r="QEF372" s="132"/>
      <c r="QEG372" s="132"/>
      <c r="QEH372" s="132"/>
      <c r="QEI372" s="132"/>
      <c r="QEJ372" s="132"/>
      <c r="QEK372" s="132"/>
      <c r="QEL372" s="132"/>
      <c r="QEM372" s="132"/>
      <c r="QEN372" s="132"/>
      <c r="QEO372" s="132"/>
      <c r="QEP372" s="132"/>
      <c r="QEQ372" s="132"/>
      <c r="QER372" s="132"/>
      <c r="QES372" s="132"/>
      <c r="QET372" s="132"/>
      <c r="QEU372" s="132"/>
      <c r="QEV372" s="132"/>
      <c r="QEW372" s="132"/>
      <c r="QEX372" s="132"/>
      <c r="QEY372" s="132"/>
      <c r="QEZ372" s="132"/>
      <c r="QFA372" s="132"/>
      <c r="QFB372" s="132"/>
      <c r="QFC372" s="132"/>
      <c r="QFD372" s="132"/>
      <c r="QFE372" s="132"/>
      <c r="QFF372" s="132"/>
      <c r="QFG372" s="132"/>
      <c r="QFH372" s="132"/>
      <c r="QFI372" s="132"/>
      <c r="QFJ372" s="132"/>
      <c r="QFK372" s="132"/>
      <c r="QFL372" s="132"/>
      <c r="QFM372" s="132"/>
      <c r="QFN372" s="132"/>
      <c r="QFO372" s="132"/>
      <c r="QFP372" s="132"/>
      <c r="QFQ372" s="132"/>
      <c r="QFR372" s="132"/>
      <c r="QFS372" s="132"/>
      <c r="QFT372" s="132"/>
      <c r="QFU372" s="132"/>
      <c r="QFV372" s="132"/>
      <c r="QFW372" s="132"/>
      <c r="QFX372" s="132"/>
      <c r="QFY372" s="132"/>
      <c r="QFZ372" s="132"/>
      <c r="QGA372" s="132"/>
      <c r="QGB372" s="132"/>
      <c r="QGC372" s="132"/>
      <c r="QGD372" s="132"/>
      <c r="QGE372" s="132"/>
      <c r="QGF372" s="132"/>
      <c r="QGG372" s="132"/>
      <c r="QGH372" s="132"/>
      <c r="QGI372" s="132"/>
      <c r="QGJ372" s="132"/>
      <c r="QGK372" s="132"/>
      <c r="QGL372" s="132"/>
      <c r="QGM372" s="132"/>
      <c r="QGN372" s="132"/>
      <c r="QGO372" s="132"/>
      <c r="QGP372" s="132"/>
      <c r="QGQ372" s="132"/>
      <c r="QGR372" s="132"/>
      <c r="QGS372" s="132"/>
      <c r="QGT372" s="132"/>
      <c r="QGU372" s="132"/>
      <c r="QGV372" s="132"/>
      <c r="QGW372" s="132"/>
      <c r="QGX372" s="132"/>
      <c r="QGY372" s="132"/>
      <c r="QGZ372" s="132"/>
      <c r="QHA372" s="132"/>
      <c r="QHB372" s="132"/>
      <c r="QHC372" s="132"/>
      <c r="QHD372" s="132"/>
      <c r="QHE372" s="132"/>
      <c r="QHF372" s="132"/>
      <c r="QHG372" s="132"/>
      <c r="QHH372" s="132"/>
      <c r="QHI372" s="132"/>
      <c r="QHJ372" s="132"/>
      <c r="QHK372" s="132"/>
      <c r="QHL372" s="132"/>
      <c r="QHM372" s="132"/>
      <c r="QHN372" s="132"/>
      <c r="QHO372" s="132"/>
      <c r="QHP372" s="132"/>
      <c r="QHQ372" s="132"/>
      <c r="QHR372" s="132"/>
      <c r="QHS372" s="132"/>
      <c r="QHT372" s="132"/>
      <c r="QHU372" s="132"/>
      <c r="QHV372" s="132"/>
      <c r="QHW372" s="132"/>
      <c r="QHX372" s="132"/>
      <c r="QHY372" s="132"/>
      <c r="QHZ372" s="132"/>
      <c r="QIA372" s="132"/>
      <c r="QIB372" s="132"/>
      <c r="QIC372" s="132"/>
      <c r="QID372" s="132"/>
      <c r="QIE372" s="132"/>
      <c r="QIF372" s="132"/>
      <c r="QIG372" s="132"/>
      <c r="QIH372" s="132"/>
      <c r="QII372" s="132"/>
      <c r="QIJ372" s="132"/>
      <c r="QIK372" s="132"/>
      <c r="QIL372" s="132"/>
      <c r="QIM372" s="132"/>
      <c r="QIN372" s="132"/>
      <c r="QIO372" s="132"/>
      <c r="QIP372" s="132"/>
      <c r="QIQ372" s="132"/>
      <c r="QIR372" s="132"/>
      <c r="QIS372" s="132"/>
      <c r="QIT372" s="132"/>
      <c r="QIU372" s="132"/>
      <c r="QIV372" s="132"/>
      <c r="QIW372" s="132"/>
      <c r="QIX372" s="132"/>
      <c r="QIY372" s="132"/>
      <c r="QIZ372" s="132"/>
      <c r="QJA372" s="132"/>
      <c r="QJB372" s="132"/>
      <c r="QJC372" s="132"/>
      <c r="QJD372" s="132"/>
      <c r="QJE372" s="132"/>
      <c r="QJF372" s="132"/>
      <c r="QJG372" s="132"/>
      <c r="QJH372" s="132"/>
      <c r="QJI372" s="132"/>
      <c r="QJJ372" s="132"/>
      <c r="QJK372" s="132"/>
      <c r="QJL372" s="132"/>
      <c r="QJM372" s="132"/>
      <c r="QJN372" s="132"/>
      <c r="QJO372" s="132"/>
      <c r="QJP372" s="132"/>
      <c r="QJQ372" s="132"/>
      <c r="QJR372" s="132"/>
      <c r="QJS372" s="132"/>
      <c r="QJT372" s="132"/>
      <c r="QJU372" s="132"/>
      <c r="QJV372" s="132"/>
      <c r="QJW372" s="132"/>
      <c r="QJX372" s="132"/>
      <c r="QJY372" s="132"/>
      <c r="QJZ372" s="132"/>
      <c r="QKA372" s="132"/>
      <c r="QKB372" s="132"/>
      <c r="QKC372" s="132"/>
      <c r="QKD372" s="132"/>
      <c r="QKE372" s="132"/>
      <c r="QKF372" s="132"/>
      <c r="QKG372" s="132"/>
      <c r="QKH372" s="132"/>
      <c r="QKI372" s="132"/>
      <c r="QKJ372" s="132"/>
      <c r="QKK372" s="132"/>
      <c r="QKL372" s="132"/>
      <c r="QKM372" s="132"/>
      <c r="QKN372" s="132"/>
      <c r="QKO372" s="132"/>
      <c r="QKP372" s="132"/>
      <c r="QKQ372" s="132"/>
      <c r="QKR372" s="132"/>
      <c r="QKS372" s="132"/>
      <c r="QKT372" s="132"/>
      <c r="QKU372" s="132"/>
      <c r="QKV372" s="132"/>
      <c r="QKW372" s="132"/>
      <c r="QKX372" s="132"/>
      <c r="QKY372" s="132"/>
      <c r="QKZ372" s="132"/>
      <c r="QLA372" s="132"/>
      <c r="QLB372" s="132"/>
      <c r="QLC372" s="132"/>
      <c r="QLD372" s="132"/>
      <c r="QLE372" s="132"/>
      <c r="QLF372" s="132"/>
      <c r="QLG372" s="132"/>
      <c r="QLH372" s="132"/>
      <c r="QLI372" s="132"/>
      <c r="QLJ372" s="132"/>
      <c r="QLK372" s="132"/>
      <c r="QLL372" s="132"/>
      <c r="QLM372" s="132"/>
      <c r="QLN372" s="132"/>
      <c r="QLO372" s="132"/>
      <c r="QLP372" s="132"/>
      <c r="QLQ372" s="132"/>
      <c r="QLR372" s="132"/>
      <c r="QLS372" s="132"/>
      <c r="QLT372" s="132"/>
      <c r="QLU372" s="132"/>
      <c r="QLV372" s="132"/>
      <c r="QLW372" s="132"/>
      <c r="QLX372" s="132"/>
      <c r="QLY372" s="132"/>
      <c r="QLZ372" s="132"/>
      <c r="QMA372" s="132"/>
      <c r="QMB372" s="132"/>
      <c r="QMC372" s="132"/>
      <c r="QMD372" s="132"/>
      <c r="QME372" s="132"/>
      <c r="QMF372" s="132"/>
      <c r="QMG372" s="132"/>
      <c r="QMH372" s="132"/>
      <c r="QMI372" s="132"/>
      <c r="QMJ372" s="132"/>
      <c r="QMK372" s="132"/>
      <c r="QML372" s="132"/>
      <c r="QMM372" s="132"/>
      <c r="QMN372" s="132"/>
      <c r="QMO372" s="132"/>
      <c r="QMP372" s="132"/>
      <c r="QMQ372" s="132"/>
      <c r="QMR372" s="132"/>
      <c r="QMS372" s="132"/>
      <c r="QMT372" s="132"/>
      <c r="QMU372" s="132"/>
      <c r="QMV372" s="132"/>
      <c r="QMW372" s="132"/>
      <c r="QMX372" s="132"/>
      <c r="QMY372" s="132"/>
      <c r="QMZ372" s="132"/>
      <c r="QNA372" s="132"/>
      <c r="QNB372" s="132"/>
      <c r="QNC372" s="132"/>
      <c r="QND372" s="132"/>
      <c r="QNE372" s="132"/>
      <c r="QNF372" s="132"/>
      <c r="QNG372" s="132"/>
      <c r="QNH372" s="132"/>
      <c r="QNI372" s="132"/>
      <c r="QNJ372" s="132"/>
      <c r="QNK372" s="132"/>
      <c r="QNL372" s="132"/>
      <c r="QNM372" s="132"/>
      <c r="QNN372" s="132"/>
      <c r="QNO372" s="132"/>
      <c r="QNP372" s="132"/>
      <c r="QNQ372" s="132"/>
      <c r="QNR372" s="132"/>
      <c r="QNS372" s="132"/>
      <c r="QNT372" s="132"/>
      <c r="QNU372" s="132"/>
      <c r="QNV372" s="132"/>
      <c r="QNW372" s="132"/>
      <c r="QNX372" s="132"/>
      <c r="QNY372" s="132"/>
      <c r="QNZ372" s="132"/>
      <c r="QOA372" s="132"/>
      <c r="QOB372" s="132"/>
      <c r="QOC372" s="132"/>
      <c r="QOD372" s="132"/>
      <c r="QOE372" s="132"/>
      <c r="QOF372" s="132"/>
      <c r="QOG372" s="132"/>
      <c r="QOH372" s="132"/>
      <c r="QOI372" s="132"/>
      <c r="QOJ372" s="132"/>
      <c r="QOK372" s="132"/>
      <c r="QOL372" s="132"/>
      <c r="QOM372" s="132"/>
      <c r="QON372" s="132"/>
      <c r="QOO372" s="132"/>
      <c r="QOP372" s="132"/>
      <c r="QOQ372" s="132"/>
      <c r="QOR372" s="132"/>
      <c r="QOS372" s="132"/>
      <c r="QOT372" s="132"/>
      <c r="QOU372" s="132"/>
      <c r="QOV372" s="132"/>
      <c r="QOW372" s="132"/>
      <c r="QOX372" s="132"/>
      <c r="QOY372" s="132"/>
      <c r="QOZ372" s="132"/>
      <c r="QPA372" s="132"/>
      <c r="QPB372" s="132"/>
      <c r="QPC372" s="132"/>
      <c r="QPD372" s="132"/>
      <c r="QPE372" s="132"/>
      <c r="QPF372" s="132"/>
      <c r="QPG372" s="132"/>
      <c r="QPH372" s="132"/>
      <c r="QPI372" s="132"/>
      <c r="QPJ372" s="132"/>
      <c r="QPK372" s="132"/>
      <c r="QPL372" s="132"/>
      <c r="QPM372" s="132"/>
      <c r="QPN372" s="132"/>
      <c r="QPO372" s="132"/>
      <c r="QPP372" s="132"/>
      <c r="QPQ372" s="132"/>
      <c r="QPR372" s="132"/>
      <c r="QPS372" s="132"/>
      <c r="QPT372" s="132"/>
      <c r="QPU372" s="132"/>
      <c r="QPV372" s="132"/>
      <c r="QPW372" s="132"/>
      <c r="QPX372" s="132"/>
      <c r="QPY372" s="132"/>
      <c r="QPZ372" s="132"/>
      <c r="QQA372" s="132"/>
      <c r="QQB372" s="132"/>
      <c r="QQC372" s="132"/>
      <c r="QQD372" s="132"/>
      <c r="QQE372" s="132"/>
      <c r="QQF372" s="132"/>
      <c r="QQG372" s="132"/>
      <c r="QQH372" s="132"/>
      <c r="QQI372" s="132"/>
      <c r="QQJ372" s="132"/>
      <c r="QQK372" s="132"/>
      <c r="QQL372" s="132"/>
      <c r="QQM372" s="132"/>
      <c r="QQN372" s="132"/>
      <c r="QQO372" s="132"/>
      <c r="QQP372" s="132"/>
      <c r="QQQ372" s="132"/>
      <c r="QQR372" s="132"/>
      <c r="QQS372" s="132"/>
      <c r="QQT372" s="132"/>
      <c r="QQU372" s="132"/>
      <c r="QQV372" s="132"/>
      <c r="QQW372" s="132"/>
      <c r="QQX372" s="132"/>
      <c r="QQY372" s="132"/>
      <c r="QQZ372" s="132"/>
      <c r="QRA372" s="132"/>
      <c r="QRB372" s="132"/>
      <c r="QRC372" s="132"/>
      <c r="QRD372" s="132"/>
      <c r="QRE372" s="132"/>
      <c r="QRF372" s="132"/>
      <c r="QRG372" s="132"/>
      <c r="QRH372" s="132"/>
      <c r="QRI372" s="132"/>
      <c r="QRJ372" s="132"/>
      <c r="QRK372" s="132"/>
      <c r="QRL372" s="132"/>
      <c r="QRM372" s="132"/>
      <c r="QRN372" s="132"/>
      <c r="QRO372" s="132"/>
      <c r="QRP372" s="132"/>
      <c r="QRQ372" s="132"/>
      <c r="QRR372" s="132"/>
      <c r="QRS372" s="132"/>
      <c r="QRT372" s="132"/>
      <c r="QRU372" s="132"/>
      <c r="QRV372" s="132"/>
      <c r="QRW372" s="132"/>
      <c r="QRX372" s="132"/>
      <c r="QRY372" s="132"/>
      <c r="QRZ372" s="132"/>
      <c r="QSA372" s="132"/>
      <c r="QSB372" s="132"/>
      <c r="QSC372" s="132"/>
      <c r="QSD372" s="132"/>
      <c r="QSE372" s="132"/>
      <c r="QSF372" s="132"/>
      <c r="QSG372" s="132"/>
      <c r="QSH372" s="132"/>
      <c r="QSI372" s="132"/>
      <c r="QSJ372" s="132"/>
      <c r="QSK372" s="132"/>
      <c r="QSL372" s="132"/>
      <c r="QSM372" s="132"/>
      <c r="QSN372" s="132"/>
      <c r="QSO372" s="132"/>
      <c r="QSP372" s="132"/>
      <c r="QSQ372" s="132"/>
      <c r="QSR372" s="132"/>
      <c r="QSS372" s="132"/>
      <c r="QST372" s="132"/>
      <c r="QSU372" s="132"/>
      <c r="QSV372" s="132"/>
      <c r="QSW372" s="132"/>
      <c r="QSX372" s="132"/>
      <c r="QSY372" s="132"/>
      <c r="QSZ372" s="132"/>
      <c r="QTA372" s="132"/>
      <c r="QTB372" s="132"/>
      <c r="QTC372" s="132"/>
      <c r="QTD372" s="132"/>
      <c r="QTE372" s="132"/>
      <c r="QTF372" s="132"/>
      <c r="QTG372" s="132"/>
      <c r="QTH372" s="132"/>
      <c r="QTI372" s="132"/>
      <c r="QTJ372" s="132"/>
      <c r="QTK372" s="132"/>
      <c r="QTL372" s="132"/>
      <c r="QTM372" s="132"/>
      <c r="QTN372" s="132"/>
      <c r="QTO372" s="132"/>
      <c r="QTP372" s="132"/>
      <c r="QTQ372" s="132"/>
      <c r="QTR372" s="132"/>
      <c r="QTS372" s="132"/>
      <c r="QTT372" s="132"/>
      <c r="QTU372" s="132"/>
      <c r="QTV372" s="132"/>
      <c r="QTW372" s="132"/>
      <c r="QTX372" s="132"/>
      <c r="QTY372" s="132"/>
      <c r="QTZ372" s="132"/>
      <c r="QUA372" s="132"/>
      <c r="QUB372" s="132"/>
      <c r="QUC372" s="132"/>
      <c r="QUD372" s="132"/>
      <c r="QUE372" s="132"/>
      <c r="QUF372" s="132"/>
      <c r="QUG372" s="132"/>
      <c r="QUH372" s="132"/>
      <c r="QUI372" s="132"/>
      <c r="QUJ372" s="132"/>
      <c r="QUK372" s="132"/>
      <c r="QUL372" s="132"/>
      <c r="QUM372" s="132"/>
      <c r="QUN372" s="132"/>
      <c r="QUO372" s="132"/>
      <c r="QUP372" s="132"/>
      <c r="QUQ372" s="132"/>
      <c r="QUR372" s="132"/>
      <c r="QUS372" s="132"/>
      <c r="QUT372" s="132"/>
      <c r="QUU372" s="132"/>
      <c r="QUV372" s="132"/>
      <c r="QUW372" s="132"/>
      <c r="QUX372" s="132"/>
      <c r="QUY372" s="132"/>
      <c r="QUZ372" s="132"/>
      <c r="QVA372" s="132"/>
      <c r="QVB372" s="132"/>
      <c r="QVC372" s="132"/>
      <c r="QVD372" s="132"/>
      <c r="QVE372" s="132"/>
      <c r="QVF372" s="132"/>
      <c r="QVG372" s="132"/>
      <c r="QVH372" s="132"/>
      <c r="QVI372" s="132"/>
      <c r="QVJ372" s="132"/>
      <c r="QVK372" s="132"/>
      <c r="QVL372" s="132"/>
      <c r="QVM372" s="132"/>
      <c r="QVN372" s="132"/>
      <c r="QVO372" s="132"/>
      <c r="QVP372" s="132"/>
      <c r="QVQ372" s="132"/>
      <c r="QVR372" s="132"/>
      <c r="QVS372" s="132"/>
      <c r="QVT372" s="132"/>
      <c r="QVU372" s="132"/>
      <c r="QVV372" s="132"/>
      <c r="QVW372" s="132"/>
      <c r="QVX372" s="132"/>
      <c r="QVY372" s="132"/>
      <c r="QVZ372" s="132"/>
      <c r="QWA372" s="132"/>
      <c r="QWB372" s="132"/>
      <c r="QWC372" s="132"/>
      <c r="QWD372" s="132"/>
      <c r="QWE372" s="132"/>
      <c r="QWF372" s="132"/>
      <c r="QWG372" s="132"/>
      <c r="QWH372" s="132"/>
      <c r="QWI372" s="132"/>
      <c r="QWJ372" s="132"/>
      <c r="QWK372" s="132"/>
      <c r="QWL372" s="132"/>
      <c r="QWM372" s="132"/>
      <c r="QWN372" s="132"/>
      <c r="QWO372" s="132"/>
      <c r="QWP372" s="132"/>
      <c r="QWQ372" s="132"/>
      <c r="QWR372" s="132"/>
      <c r="QWS372" s="132"/>
      <c r="QWT372" s="132"/>
      <c r="QWU372" s="132"/>
      <c r="QWV372" s="132"/>
      <c r="QWW372" s="132"/>
      <c r="QWX372" s="132"/>
      <c r="QWY372" s="132"/>
      <c r="QWZ372" s="132"/>
      <c r="QXA372" s="132"/>
      <c r="QXB372" s="132"/>
      <c r="QXC372" s="132"/>
      <c r="QXD372" s="132"/>
      <c r="QXE372" s="132"/>
      <c r="QXF372" s="132"/>
      <c r="QXG372" s="132"/>
      <c r="QXH372" s="132"/>
      <c r="QXI372" s="132"/>
      <c r="QXJ372" s="132"/>
      <c r="QXK372" s="132"/>
      <c r="QXL372" s="132"/>
      <c r="QXM372" s="132"/>
      <c r="QXN372" s="132"/>
      <c r="QXO372" s="132"/>
      <c r="QXP372" s="132"/>
      <c r="QXQ372" s="132"/>
      <c r="QXR372" s="132"/>
      <c r="QXS372" s="132"/>
      <c r="QXT372" s="132"/>
      <c r="QXU372" s="132"/>
      <c r="QXV372" s="132"/>
      <c r="QXW372" s="132"/>
      <c r="QXX372" s="132"/>
      <c r="QXY372" s="132"/>
      <c r="QXZ372" s="132"/>
      <c r="QYA372" s="132"/>
      <c r="QYB372" s="132"/>
      <c r="QYC372" s="132"/>
      <c r="QYD372" s="132"/>
      <c r="QYE372" s="132"/>
      <c r="QYF372" s="132"/>
      <c r="QYG372" s="132"/>
      <c r="QYH372" s="132"/>
      <c r="QYI372" s="132"/>
      <c r="QYJ372" s="132"/>
      <c r="QYK372" s="132"/>
      <c r="QYL372" s="132"/>
      <c r="QYM372" s="132"/>
      <c r="QYN372" s="132"/>
      <c r="QYO372" s="132"/>
      <c r="QYP372" s="132"/>
      <c r="QYQ372" s="132"/>
      <c r="QYR372" s="132"/>
      <c r="QYS372" s="132"/>
      <c r="QYT372" s="132"/>
      <c r="QYU372" s="132"/>
      <c r="QYV372" s="132"/>
      <c r="QYW372" s="132"/>
      <c r="QYX372" s="132"/>
      <c r="QYY372" s="132"/>
      <c r="QYZ372" s="132"/>
      <c r="QZA372" s="132"/>
      <c r="QZB372" s="132"/>
      <c r="QZC372" s="132"/>
      <c r="QZD372" s="132"/>
      <c r="QZE372" s="132"/>
      <c r="QZF372" s="132"/>
      <c r="QZG372" s="132"/>
      <c r="QZH372" s="132"/>
      <c r="QZI372" s="132"/>
      <c r="QZJ372" s="132"/>
      <c r="QZK372" s="132"/>
      <c r="QZL372" s="132"/>
      <c r="QZM372" s="132"/>
      <c r="QZN372" s="132"/>
      <c r="QZO372" s="132"/>
      <c r="QZP372" s="132"/>
      <c r="QZQ372" s="132"/>
      <c r="QZR372" s="132"/>
      <c r="QZS372" s="132"/>
      <c r="QZT372" s="132"/>
      <c r="QZU372" s="132"/>
      <c r="QZV372" s="132"/>
      <c r="QZW372" s="132"/>
      <c r="QZX372" s="132"/>
      <c r="QZY372" s="132"/>
      <c r="QZZ372" s="132"/>
      <c r="RAA372" s="132"/>
      <c r="RAB372" s="132"/>
      <c r="RAC372" s="132"/>
      <c r="RAD372" s="132"/>
      <c r="RAE372" s="132"/>
      <c r="RAF372" s="132"/>
      <c r="RAG372" s="132"/>
      <c r="RAH372" s="132"/>
      <c r="RAI372" s="132"/>
      <c r="RAJ372" s="132"/>
      <c r="RAK372" s="132"/>
      <c r="RAL372" s="132"/>
      <c r="RAM372" s="132"/>
      <c r="RAN372" s="132"/>
      <c r="RAO372" s="132"/>
      <c r="RAP372" s="132"/>
      <c r="RAQ372" s="132"/>
      <c r="RAR372" s="132"/>
      <c r="RAS372" s="132"/>
      <c r="RAT372" s="132"/>
      <c r="RAU372" s="132"/>
      <c r="RAV372" s="132"/>
      <c r="RAW372" s="132"/>
      <c r="RAX372" s="132"/>
      <c r="RAY372" s="132"/>
      <c r="RAZ372" s="132"/>
      <c r="RBA372" s="132"/>
      <c r="RBB372" s="132"/>
      <c r="RBC372" s="132"/>
      <c r="RBD372" s="132"/>
      <c r="RBE372" s="132"/>
      <c r="RBF372" s="132"/>
      <c r="RBG372" s="132"/>
      <c r="RBH372" s="132"/>
      <c r="RBI372" s="132"/>
      <c r="RBJ372" s="132"/>
      <c r="RBK372" s="132"/>
      <c r="RBL372" s="132"/>
      <c r="RBM372" s="132"/>
      <c r="RBN372" s="132"/>
      <c r="RBO372" s="132"/>
      <c r="RBP372" s="132"/>
      <c r="RBQ372" s="132"/>
      <c r="RBR372" s="132"/>
      <c r="RBS372" s="132"/>
      <c r="RBT372" s="132"/>
      <c r="RBU372" s="132"/>
      <c r="RBV372" s="132"/>
      <c r="RBW372" s="132"/>
      <c r="RBX372" s="132"/>
      <c r="RBY372" s="132"/>
      <c r="RBZ372" s="132"/>
      <c r="RCA372" s="132"/>
      <c r="RCB372" s="132"/>
      <c r="RCC372" s="132"/>
      <c r="RCD372" s="132"/>
      <c r="RCE372" s="132"/>
      <c r="RCF372" s="132"/>
      <c r="RCG372" s="132"/>
      <c r="RCH372" s="132"/>
      <c r="RCI372" s="132"/>
      <c r="RCJ372" s="132"/>
      <c r="RCK372" s="132"/>
      <c r="RCL372" s="132"/>
      <c r="RCM372" s="132"/>
      <c r="RCN372" s="132"/>
      <c r="RCO372" s="132"/>
      <c r="RCP372" s="132"/>
      <c r="RCQ372" s="132"/>
      <c r="RCR372" s="132"/>
      <c r="RCS372" s="132"/>
      <c r="RCT372" s="132"/>
      <c r="RCU372" s="132"/>
      <c r="RCV372" s="132"/>
      <c r="RCW372" s="132"/>
      <c r="RCX372" s="132"/>
      <c r="RCY372" s="132"/>
      <c r="RCZ372" s="132"/>
      <c r="RDA372" s="132"/>
      <c r="RDB372" s="132"/>
      <c r="RDC372" s="132"/>
      <c r="RDD372" s="132"/>
      <c r="RDE372" s="132"/>
      <c r="RDF372" s="132"/>
      <c r="RDG372" s="132"/>
      <c r="RDH372" s="132"/>
      <c r="RDI372" s="132"/>
      <c r="RDJ372" s="132"/>
      <c r="RDK372" s="132"/>
      <c r="RDL372" s="132"/>
      <c r="RDM372" s="132"/>
      <c r="RDN372" s="132"/>
      <c r="RDO372" s="132"/>
      <c r="RDP372" s="132"/>
      <c r="RDQ372" s="132"/>
      <c r="RDR372" s="132"/>
      <c r="RDS372" s="132"/>
      <c r="RDT372" s="132"/>
      <c r="RDU372" s="132"/>
      <c r="RDV372" s="132"/>
      <c r="RDW372" s="132"/>
      <c r="RDX372" s="132"/>
      <c r="RDY372" s="132"/>
      <c r="RDZ372" s="132"/>
      <c r="REA372" s="132"/>
      <c r="REB372" s="132"/>
      <c r="REC372" s="132"/>
      <c r="RED372" s="132"/>
      <c r="REE372" s="132"/>
      <c r="REF372" s="132"/>
      <c r="REG372" s="132"/>
      <c r="REH372" s="132"/>
      <c r="REI372" s="132"/>
      <c r="REJ372" s="132"/>
      <c r="REK372" s="132"/>
      <c r="REL372" s="132"/>
      <c r="REM372" s="132"/>
      <c r="REN372" s="132"/>
      <c r="REO372" s="132"/>
      <c r="REP372" s="132"/>
      <c r="REQ372" s="132"/>
      <c r="RER372" s="132"/>
      <c r="RES372" s="132"/>
      <c r="RET372" s="132"/>
      <c r="REU372" s="132"/>
      <c r="REV372" s="132"/>
      <c r="REW372" s="132"/>
      <c r="REX372" s="132"/>
      <c r="REY372" s="132"/>
      <c r="REZ372" s="132"/>
      <c r="RFA372" s="132"/>
      <c r="RFB372" s="132"/>
      <c r="RFC372" s="132"/>
      <c r="RFD372" s="132"/>
      <c r="RFE372" s="132"/>
      <c r="RFF372" s="132"/>
      <c r="RFG372" s="132"/>
      <c r="RFH372" s="132"/>
      <c r="RFI372" s="132"/>
      <c r="RFJ372" s="132"/>
      <c r="RFK372" s="132"/>
      <c r="RFL372" s="132"/>
      <c r="RFM372" s="132"/>
      <c r="RFN372" s="132"/>
      <c r="RFO372" s="132"/>
      <c r="RFP372" s="132"/>
      <c r="RFQ372" s="132"/>
      <c r="RFR372" s="132"/>
      <c r="RFS372" s="132"/>
      <c r="RFT372" s="132"/>
      <c r="RFU372" s="132"/>
      <c r="RFV372" s="132"/>
      <c r="RFW372" s="132"/>
      <c r="RFX372" s="132"/>
      <c r="RFY372" s="132"/>
      <c r="RFZ372" s="132"/>
      <c r="RGA372" s="132"/>
      <c r="RGB372" s="132"/>
      <c r="RGC372" s="132"/>
      <c r="RGD372" s="132"/>
      <c r="RGE372" s="132"/>
      <c r="RGF372" s="132"/>
      <c r="RGG372" s="132"/>
      <c r="RGH372" s="132"/>
      <c r="RGI372" s="132"/>
      <c r="RGJ372" s="132"/>
      <c r="RGK372" s="132"/>
      <c r="RGL372" s="132"/>
      <c r="RGM372" s="132"/>
      <c r="RGN372" s="132"/>
      <c r="RGO372" s="132"/>
      <c r="RGP372" s="132"/>
      <c r="RGQ372" s="132"/>
      <c r="RGR372" s="132"/>
      <c r="RGS372" s="132"/>
      <c r="RGT372" s="132"/>
      <c r="RGU372" s="132"/>
      <c r="RGV372" s="132"/>
      <c r="RGW372" s="132"/>
      <c r="RGX372" s="132"/>
      <c r="RGY372" s="132"/>
      <c r="RGZ372" s="132"/>
      <c r="RHA372" s="132"/>
      <c r="RHB372" s="132"/>
      <c r="RHC372" s="132"/>
      <c r="RHD372" s="132"/>
      <c r="RHE372" s="132"/>
      <c r="RHF372" s="132"/>
      <c r="RHG372" s="132"/>
      <c r="RHH372" s="132"/>
      <c r="RHI372" s="132"/>
      <c r="RHJ372" s="132"/>
      <c r="RHK372" s="132"/>
      <c r="RHL372" s="132"/>
      <c r="RHM372" s="132"/>
      <c r="RHN372" s="132"/>
      <c r="RHO372" s="132"/>
      <c r="RHP372" s="132"/>
      <c r="RHQ372" s="132"/>
      <c r="RHR372" s="132"/>
      <c r="RHS372" s="132"/>
      <c r="RHT372" s="132"/>
      <c r="RHU372" s="132"/>
      <c r="RHV372" s="132"/>
      <c r="RHW372" s="132"/>
      <c r="RHX372" s="132"/>
      <c r="RHY372" s="132"/>
      <c r="RHZ372" s="132"/>
      <c r="RIA372" s="132"/>
      <c r="RIB372" s="132"/>
      <c r="RIC372" s="132"/>
      <c r="RID372" s="132"/>
      <c r="RIE372" s="132"/>
      <c r="RIF372" s="132"/>
      <c r="RIG372" s="132"/>
      <c r="RIH372" s="132"/>
      <c r="RII372" s="132"/>
      <c r="RIJ372" s="132"/>
      <c r="RIK372" s="132"/>
      <c r="RIL372" s="132"/>
      <c r="RIM372" s="132"/>
      <c r="RIN372" s="132"/>
      <c r="RIO372" s="132"/>
      <c r="RIP372" s="132"/>
      <c r="RIQ372" s="132"/>
      <c r="RIR372" s="132"/>
      <c r="RIS372" s="132"/>
      <c r="RIT372" s="132"/>
      <c r="RIU372" s="132"/>
      <c r="RIV372" s="132"/>
      <c r="RIW372" s="132"/>
      <c r="RIX372" s="132"/>
      <c r="RIY372" s="132"/>
      <c r="RIZ372" s="132"/>
      <c r="RJA372" s="132"/>
      <c r="RJB372" s="132"/>
      <c r="RJC372" s="132"/>
      <c r="RJD372" s="132"/>
      <c r="RJE372" s="132"/>
      <c r="RJF372" s="132"/>
      <c r="RJG372" s="132"/>
      <c r="RJH372" s="132"/>
      <c r="RJI372" s="132"/>
      <c r="RJJ372" s="132"/>
      <c r="RJK372" s="132"/>
      <c r="RJL372" s="132"/>
      <c r="RJM372" s="132"/>
      <c r="RJN372" s="132"/>
      <c r="RJO372" s="132"/>
      <c r="RJP372" s="132"/>
      <c r="RJQ372" s="132"/>
      <c r="RJR372" s="132"/>
      <c r="RJS372" s="132"/>
      <c r="RJT372" s="132"/>
      <c r="RJU372" s="132"/>
      <c r="RJV372" s="132"/>
      <c r="RJW372" s="132"/>
      <c r="RJX372" s="132"/>
      <c r="RJY372" s="132"/>
      <c r="RJZ372" s="132"/>
      <c r="RKA372" s="132"/>
      <c r="RKB372" s="132"/>
      <c r="RKC372" s="132"/>
      <c r="RKD372" s="132"/>
      <c r="RKE372" s="132"/>
      <c r="RKF372" s="132"/>
      <c r="RKG372" s="132"/>
      <c r="RKH372" s="132"/>
      <c r="RKI372" s="132"/>
      <c r="RKJ372" s="132"/>
      <c r="RKK372" s="132"/>
      <c r="RKL372" s="132"/>
      <c r="RKM372" s="132"/>
      <c r="RKN372" s="132"/>
      <c r="RKO372" s="132"/>
      <c r="RKP372" s="132"/>
      <c r="RKQ372" s="132"/>
      <c r="RKR372" s="132"/>
      <c r="RKS372" s="132"/>
      <c r="RKT372" s="132"/>
      <c r="RKU372" s="132"/>
      <c r="RKV372" s="132"/>
      <c r="RKW372" s="132"/>
      <c r="RKX372" s="132"/>
      <c r="RKY372" s="132"/>
      <c r="RKZ372" s="132"/>
      <c r="RLA372" s="132"/>
      <c r="RLB372" s="132"/>
      <c r="RLC372" s="132"/>
      <c r="RLD372" s="132"/>
      <c r="RLE372" s="132"/>
      <c r="RLF372" s="132"/>
      <c r="RLG372" s="132"/>
      <c r="RLH372" s="132"/>
      <c r="RLI372" s="132"/>
      <c r="RLJ372" s="132"/>
      <c r="RLK372" s="132"/>
      <c r="RLL372" s="132"/>
      <c r="RLM372" s="132"/>
      <c r="RLN372" s="132"/>
      <c r="RLO372" s="132"/>
      <c r="RLP372" s="132"/>
      <c r="RLQ372" s="132"/>
      <c r="RLR372" s="132"/>
      <c r="RLS372" s="132"/>
      <c r="RLT372" s="132"/>
      <c r="RLU372" s="132"/>
      <c r="RLV372" s="132"/>
      <c r="RLW372" s="132"/>
      <c r="RLX372" s="132"/>
      <c r="RLY372" s="132"/>
      <c r="RLZ372" s="132"/>
      <c r="RMA372" s="132"/>
      <c r="RMB372" s="132"/>
      <c r="RMC372" s="132"/>
      <c r="RMD372" s="132"/>
      <c r="RME372" s="132"/>
      <c r="RMF372" s="132"/>
      <c r="RMG372" s="132"/>
      <c r="RMH372" s="132"/>
      <c r="RMI372" s="132"/>
      <c r="RMJ372" s="132"/>
      <c r="RMK372" s="132"/>
      <c r="RML372" s="132"/>
      <c r="RMM372" s="132"/>
      <c r="RMN372" s="132"/>
      <c r="RMO372" s="132"/>
      <c r="RMP372" s="132"/>
      <c r="RMQ372" s="132"/>
      <c r="RMR372" s="132"/>
      <c r="RMS372" s="132"/>
      <c r="RMT372" s="132"/>
      <c r="RMU372" s="132"/>
      <c r="RMV372" s="132"/>
      <c r="RMW372" s="132"/>
      <c r="RMX372" s="132"/>
      <c r="RMY372" s="132"/>
      <c r="RMZ372" s="132"/>
      <c r="RNA372" s="132"/>
      <c r="RNB372" s="132"/>
      <c r="RNC372" s="132"/>
      <c r="RND372" s="132"/>
      <c r="RNE372" s="132"/>
      <c r="RNF372" s="132"/>
      <c r="RNG372" s="132"/>
      <c r="RNH372" s="132"/>
      <c r="RNI372" s="132"/>
      <c r="RNJ372" s="132"/>
      <c r="RNK372" s="132"/>
      <c r="RNL372" s="132"/>
      <c r="RNM372" s="132"/>
      <c r="RNN372" s="132"/>
      <c r="RNO372" s="132"/>
      <c r="RNP372" s="132"/>
      <c r="RNQ372" s="132"/>
      <c r="RNR372" s="132"/>
      <c r="RNS372" s="132"/>
      <c r="RNT372" s="132"/>
      <c r="RNU372" s="132"/>
      <c r="RNV372" s="132"/>
      <c r="RNW372" s="132"/>
      <c r="RNX372" s="132"/>
      <c r="RNY372" s="132"/>
      <c r="RNZ372" s="132"/>
      <c r="ROA372" s="132"/>
      <c r="ROB372" s="132"/>
      <c r="ROC372" s="132"/>
      <c r="ROD372" s="132"/>
      <c r="ROE372" s="132"/>
      <c r="ROF372" s="132"/>
      <c r="ROG372" s="132"/>
      <c r="ROH372" s="132"/>
      <c r="ROI372" s="132"/>
      <c r="ROJ372" s="132"/>
      <c r="ROK372" s="132"/>
      <c r="ROL372" s="132"/>
      <c r="ROM372" s="132"/>
      <c r="RON372" s="132"/>
      <c r="ROO372" s="132"/>
      <c r="ROP372" s="132"/>
      <c r="ROQ372" s="132"/>
      <c r="ROR372" s="132"/>
      <c r="ROS372" s="132"/>
      <c r="ROT372" s="132"/>
      <c r="ROU372" s="132"/>
      <c r="ROV372" s="132"/>
      <c r="ROW372" s="132"/>
      <c r="ROX372" s="132"/>
      <c r="ROY372" s="132"/>
      <c r="ROZ372" s="132"/>
      <c r="RPA372" s="132"/>
      <c r="RPB372" s="132"/>
      <c r="RPC372" s="132"/>
      <c r="RPD372" s="132"/>
      <c r="RPE372" s="132"/>
      <c r="RPF372" s="132"/>
      <c r="RPG372" s="132"/>
      <c r="RPH372" s="132"/>
      <c r="RPI372" s="132"/>
      <c r="RPJ372" s="132"/>
      <c r="RPK372" s="132"/>
      <c r="RPL372" s="132"/>
      <c r="RPM372" s="132"/>
      <c r="RPN372" s="132"/>
      <c r="RPO372" s="132"/>
      <c r="RPP372" s="132"/>
      <c r="RPQ372" s="132"/>
      <c r="RPR372" s="132"/>
      <c r="RPS372" s="132"/>
      <c r="RPT372" s="132"/>
      <c r="RPU372" s="132"/>
      <c r="RPV372" s="132"/>
      <c r="RPW372" s="132"/>
      <c r="RPX372" s="132"/>
      <c r="RPY372" s="132"/>
      <c r="RPZ372" s="132"/>
      <c r="RQA372" s="132"/>
      <c r="RQB372" s="132"/>
      <c r="RQC372" s="132"/>
      <c r="RQD372" s="132"/>
      <c r="RQE372" s="132"/>
      <c r="RQF372" s="132"/>
      <c r="RQG372" s="132"/>
      <c r="RQH372" s="132"/>
      <c r="RQI372" s="132"/>
      <c r="RQJ372" s="132"/>
      <c r="RQK372" s="132"/>
      <c r="RQL372" s="132"/>
      <c r="RQM372" s="132"/>
      <c r="RQN372" s="132"/>
      <c r="RQO372" s="132"/>
      <c r="RQP372" s="132"/>
      <c r="RQQ372" s="132"/>
      <c r="RQR372" s="132"/>
      <c r="RQS372" s="132"/>
      <c r="RQT372" s="132"/>
      <c r="RQU372" s="132"/>
      <c r="RQV372" s="132"/>
      <c r="RQW372" s="132"/>
      <c r="RQX372" s="132"/>
      <c r="RQY372" s="132"/>
      <c r="RQZ372" s="132"/>
      <c r="RRA372" s="132"/>
      <c r="RRB372" s="132"/>
      <c r="RRC372" s="132"/>
      <c r="RRD372" s="132"/>
      <c r="RRE372" s="132"/>
      <c r="RRF372" s="132"/>
      <c r="RRG372" s="132"/>
      <c r="RRH372" s="132"/>
      <c r="RRI372" s="132"/>
      <c r="RRJ372" s="132"/>
      <c r="RRK372" s="132"/>
      <c r="RRL372" s="132"/>
      <c r="RRM372" s="132"/>
      <c r="RRN372" s="132"/>
      <c r="RRO372" s="132"/>
      <c r="RRP372" s="132"/>
      <c r="RRQ372" s="132"/>
      <c r="RRR372" s="132"/>
      <c r="RRS372" s="132"/>
      <c r="RRT372" s="132"/>
      <c r="RRU372" s="132"/>
      <c r="RRV372" s="132"/>
      <c r="RRW372" s="132"/>
      <c r="RRX372" s="132"/>
      <c r="RRY372" s="132"/>
      <c r="RRZ372" s="132"/>
      <c r="RSA372" s="132"/>
      <c r="RSB372" s="132"/>
      <c r="RSC372" s="132"/>
      <c r="RSD372" s="132"/>
      <c r="RSE372" s="132"/>
      <c r="RSF372" s="132"/>
      <c r="RSG372" s="132"/>
      <c r="RSH372" s="132"/>
      <c r="RSI372" s="132"/>
      <c r="RSJ372" s="132"/>
      <c r="RSK372" s="132"/>
      <c r="RSL372" s="132"/>
      <c r="RSM372" s="132"/>
      <c r="RSN372" s="132"/>
      <c r="RSO372" s="132"/>
      <c r="RSP372" s="132"/>
      <c r="RSQ372" s="132"/>
      <c r="RSR372" s="132"/>
      <c r="RSS372" s="132"/>
      <c r="RST372" s="132"/>
      <c r="RSU372" s="132"/>
      <c r="RSV372" s="132"/>
      <c r="RSW372" s="132"/>
      <c r="RSX372" s="132"/>
      <c r="RSY372" s="132"/>
      <c r="RSZ372" s="132"/>
      <c r="RTA372" s="132"/>
      <c r="RTB372" s="132"/>
      <c r="RTC372" s="132"/>
      <c r="RTD372" s="132"/>
      <c r="RTE372" s="132"/>
      <c r="RTF372" s="132"/>
      <c r="RTG372" s="132"/>
      <c r="RTH372" s="132"/>
      <c r="RTI372" s="132"/>
      <c r="RTJ372" s="132"/>
      <c r="RTK372" s="132"/>
      <c r="RTL372" s="132"/>
      <c r="RTM372" s="132"/>
      <c r="RTN372" s="132"/>
      <c r="RTO372" s="132"/>
      <c r="RTP372" s="132"/>
      <c r="RTQ372" s="132"/>
      <c r="RTR372" s="132"/>
      <c r="RTS372" s="132"/>
      <c r="RTT372" s="132"/>
      <c r="RTU372" s="132"/>
      <c r="RTV372" s="132"/>
      <c r="RTW372" s="132"/>
      <c r="RTX372" s="132"/>
      <c r="RTY372" s="132"/>
      <c r="RTZ372" s="132"/>
      <c r="RUA372" s="132"/>
      <c r="RUB372" s="132"/>
      <c r="RUC372" s="132"/>
      <c r="RUD372" s="132"/>
      <c r="RUE372" s="132"/>
      <c r="RUF372" s="132"/>
      <c r="RUG372" s="132"/>
      <c r="RUH372" s="132"/>
      <c r="RUI372" s="132"/>
      <c r="RUJ372" s="132"/>
      <c r="RUK372" s="132"/>
      <c r="RUL372" s="132"/>
      <c r="RUM372" s="132"/>
      <c r="RUN372" s="132"/>
      <c r="RUO372" s="132"/>
      <c r="RUP372" s="132"/>
      <c r="RUQ372" s="132"/>
      <c r="RUR372" s="132"/>
      <c r="RUS372" s="132"/>
      <c r="RUT372" s="132"/>
      <c r="RUU372" s="132"/>
      <c r="RUV372" s="132"/>
      <c r="RUW372" s="132"/>
      <c r="RUX372" s="132"/>
      <c r="RUY372" s="132"/>
      <c r="RUZ372" s="132"/>
      <c r="RVA372" s="132"/>
      <c r="RVB372" s="132"/>
      <c r="RVC372" s="132"/>
      <c r="RVD372" s="132"/>
      <c r="RVE372" s="132"/>
      <c r="RVF372" s="132"/>
      <c r="RVG372" s="132"/>
      <c r="RVH372" s="132"/>
      <c r="RVI372" s="132"/>
      <c r="RVJ372" s="132"/>
      <c r="RVK372" s="132"/>
      <c r="RVL372" s="132"/>
      <c r="RVM372" s="132"/>
      <c r="RVN372" s="132"/>
      <c r="RVO372" s="132"/>
      <c r="RVP372" s="132"/>
      <c r="RVQ372" s="132"/>
      <c r="RVR372" s="132"/>
      <c r="RVS372" s="132"/>
      <c r="RVT372" s="132"/>
      <c r="RVU372" s="132"/>
      <c r="RVV372" s="132"/>
      <c r="RVW372" s="132"/>
      <c r="RVX372" s="132"/>
      <c r="RVY372" s="132"/>
      <c r="RVZ372" s="132"/>
      <c r="RWA372" s="132"/>
      <c r="RWB372" s="132"/>
      <c r="RWC372" s="132"/>
      <c r="RWD372" s="132"/>
      <c r="RWE372" s="132"/>
      <c r="RWF372" s="132"/>
      <c r="RWG372" s="132"/>
      <c r="RWH372" s="132"/>
      <c r="RWI372" s="132"/>
      <c r="RWJ372" s="132"/>
      <c r="RWK372" s="132"/>
      <c r="RWL372" s="132"/>
      <c r="RWM372" s="132"/>
      <c r="RWN372" s="132"/>
      <c r="RWO372" s="132"/>
      <c r="RWP372" s="132"/>
      <c r="RWQ372" s="132"/>
      <c r="RWR372" s="132"/>
      <c r="RWS372" s="132"/>
      <c r="RWT372" s="132"/>
      <c r="RWU372" s="132"/>
      <c r="RWV372" s="132"/>
      <c r="RWW372" s="132"/>
      <c r="RWX372" s="132"/>
      <c r="RWY372" s="132"/>
      <c r="RWZ372" s="132"/>
      <c r="RXA372" s="132"/>
      <c r="RXB372" s="132"/>
      <c r="RXC372" s="132"/>
      <c r="RXD372" s="132"/>
      <c r="RXE372" s="132"/>
      <c r="RXF372" s="132"/>
      <c r="RXG372" s="132"/>
      <c r="RXH372" s="132"/>
      <c r="RXI372" s="132"/>
      <c r="RXJ372" s="132"/>
      <c r="RXK372" s="132"/>
      <c r="RXL372" s="132"/>
      <c r="RXM372" s="132"/>
      <c r="RXN372" s="132"/>
      <c r="RXO372" s="132"/>
      <c r="RXP372" s="132"/>
      <c r="RXQ372" s="132"/>
      <c r="RXR372" s="132"/>
      <c r="RXS372" s="132"/>
      <c r="RXT372" s="132"/>
      <c r="RXU372" s="132"/>
      <c r="RXV372" s="132"/>
      <c r="RXW372" s="132"/>
      <c r="RXX372" s="132"/>
      <c r="RXY372" s="132"/>
      <c r="RXZ372" s="132"/>
      <c r="RYA372" s="132"/>
      <c r="RYB372" s="132"/>
      <c r="RYC372" s="132"/>
      <c r="RYD372" s="132"/>
      <c r="RYE372" s="132"/>
      <c r="RYF372" s="132"/>
      <c r="RYG372" s="132"/>
      <c r="RYH372" s="132"/>
      <c r="RYI372" s="132"/>
      <c r="RYJ372" s="132"/>
      <c r="RYK372" s="132"/>
      <c r="RYL372" s="132"/>
      <c r="RYM372" s="132"/>
      <c r="RYN372" s="132"/>
      <c r="RYO372" s="132"/>
      <c r="RYP372" s="132"/>
      <c r="RYQ372" s="132"/>
      <c r="RYR372" s="132"/>
      <c r="RYS372" s="132"/>
      <c r="RYT372" s="132"/>
      <c r="RYU372" s="132"/>
      <c r="RYV372" s="132"/>
      <c r="RYW372" s="132"/>
      <c r="RYX372" s="132"/>
      <c r="RYY372" s="132"/>
      <c r="RYZ372" s="132"/>
      <c r="RZA372" s="132"/>
      <c r="RZB372" s="132"/>
      <c r="RZC372" s="132"/>
      <c r="RZD372" s="132"/>
      <c r="RZE372" s="132"/>
      <c r="RZF372" s="132"/>
      <c r="RZG372" s="132"/>
      <c r="RZH372" s="132"/>
      <c r="RZI372" s="132"/>
      <c r="RZJ372" s="132"/>
      <c r="RZK372" s="132"/>
      <c r="RZL372" s="132"/>
      <c r="RZM372" s="132"/>
      <c r="RZN372" s="132"/>
      <c r="RZO372" s="132"/>
      <c r="RZP372" s="132"/>
      <c r="RZQ372" s="132"/>
      <c r="RZR372" s="132"/>
      <c r="RZS372" s="132"/>
      <c r="RZT372" s="132"/>
      <c r="RZU372" s="132"/>
      <c r="RZV372" s="132"/>
      <c r="RZW372" s="132"/>
      <c r="RZX372" s="132"/>
      <c r="RZY372" s="132"/>
      <c r="RZZ372" s="132"/>
      <c r="SAA372" s="132"/>
      <c r="SAB372" s="132"/>
      <c r="SAC372" s="132"/>
      <c r="SAD372" s="132"/>
      <c r="SAE372" s="132"/>
      <c r="SAF372" s="132"/>
      <c r="SAG372" s="132"/>
      <c r="SAH372" s="132"/>
      <c r="SAI372" s="132"/>
      <c r="SAJ372" s="132"/>
      <c r="SAK372" s="132"/>
      <c r="SAL372" s="132"/>
      <c r="SAM372" s="132"/>
      <c r="SAN372" s="132"/>
      <c r="SAO372" s="132"/>
      <c r="SAP372" s="132"/>
      <c r="SAQ372" s="132"/>
      <c r="SAR372" s="132"/>
      <c r="SAS372" s="132"/>
      <c r="SAT372" s="132"/>
      <c r="SAU372" s="132"/>
      <c r="SAV372" s="132"/>
      <c r="SAW372" s="132"/>
      <c r="SAX372" s="132"/>
      <c r="SAY372" s="132"/>
      <c r="SAZ372" s="132"/>
      <c r="SBA372" s="132"/>
      <c r="SBB372" s="132"/>
      <c r="SBC372" s="132"/>
      <c r="SBD372" s="132"/>
      <c r="SBE372" s="132"/>
      <c r="SBF372" s="132"/>
      <c r="SBG372" s="132"/>
      <c r="SBH372" s="132"/>
      <c r="SBI372" s="132"/>
      <c r="SBJ372" s="132"/>
      <c r="SBK372" s="132"/>
      <c r="SBL372" s="132"/>
      <c r="SBM372" s="132"/>
      <c r="SBN372" s="132"/>
      <c r="SBO372" s="132"/>
      <c r="SBP372" s="132"/>
      <c r="SBQ372" s="132"/>
      <c r="SBR372" s="132"/>
      <c r="SBS372" s="132"/>
      <c r="SBT372" s="132"/>
      <c r="SBU372" s="132"/>
      <c r="SBV372" s="132"/>
      <c r="SBW372" s="132"/>
      <c r="SBX372" s="132"/>
      <c r="SBY372" s="132"/>
      <c r="SBZ372" s="132"/>
      <c r="SCA372" s="132"/>
      <c r="SCB372" s="132"/>
      <c r="SCC372" s="132"/>
      <c r="SCD372" s="132"/>
      <c r="SCE372" s="132"/>
      <c r="SCF372" s="132"/>
      <c r="SCG372" s="132"/>
      <c r="SCH372" s="132"/>
      <c r="SCI372" s="132"/>
      <c r="SCJ372" s="132"/>
      <c r="SCK372" s="132"/>
      <c r="SCL372" s="132"/>
      <c r="SCM372" s="132"/>
      <c r="SCN372" s="132"/>
      <c r="SCO372" s="132"/>
      <c r="SCP372" s="132"/>
      <c r="SCQ372" s="132"/>
      <c r="SCR372" s="132"/>
      <c r="SCS372" s="132"/>
      <c r="SCT372" s="132"/>
      <c r="SCU372" s="132"/>
      <c r="SCV372" s="132"/>
      <c r="SCW372" s="132"/>
      <c r="SCX372" s="132"/>
      <c r="SCY372" s="132"/>
      <c r="SCZ372" s="132"/>
      <c r="SDA372" s="132"/>
      <c r="SDB372" s="132"/>
      <c r="SDC372" s="132"/>
      <c r="SDD372" s="132"/>
      <c r="SDE372" s="132"/>
      <c r="SDF372" s="132"/>
      <c r="SDG372" s="132"/>
      <c r="SDH372" s="132"/>
      <c r="SDI372" s="132"/>
      <c r="SDJ372" s="132"/>
      <c r="SDK372" s="132"/>
      <c r="SDL372" s="132"/>
      <c r="SDM372" s="132"/>
      <c r="SDN372" s="132"/>
      <c r="SDO372" s="132"/>
      <c r="SDP372" s="132"/>
      <c r="SDQ372" s="132"/>
      <c r="SDR372" s="132"/>
      <c r="SDS372" s="132"/>
      <c r="SDT372" s="132"/>
      <c r="SDU372" s="132"/>
      <c r="SDV372" s="132"/>
      <c r="SDW372" s="132"/>
      <c r="SDX372" s="132"/>
      <c r="SDY372" s="132"/>
      <c r="SDZ372" s="132"/>
      <c r="SEA372" s="132"/>
      <c r="SEB372" s="132"/>
      <c r="SEC372" s="132"/>
      <c r="SED372" s="132"/>
      <c r="SEE372" s="132"/>
      <c r="SEF372" s="132"/>
      <c r="SEG372" s="132"/>
      <c r="SEH372" s="132"/>
      <c r="SEI372" s="132"/>
      <c r="SEJ372" s="132"/>
      <c r="SEK372" s="132"/>
      <c r="SEL372" s="132"/>
      <c r="SEM372" s="132"/>
      <c r="SEN372" s="132"/>
      <c r="SEO372" s="132"/>
      <c r="SEP372" s="132"/>
      <c r="SEQ372" s="132"/>
      <c r="SER372" s="132"/>
      <c r="SES372" s="132"/>
      <c r="SET372" s="132"/>
      <c r="SEU372" s="132"/>
      <c r="SEV372" s="132"/>
      <c r="SEW372" s="132"/>
      <c r="SEX372" s="132"/>
      <c r="SEY372" s="132"/>
      <c r="SEZ372" s="132"/>
      <c r="SFA372" s="132"/>
      <c r="SFB372" s="132"/>
      <c r="SFC372" s="132"/>
      <c r="SFD372" s="132"/>
      <c r="SFE372" s="132"/>
      <c r="SFF372" s="132"/>
      <c r="SFG372" s="132"/>
      <c r="SFH372" s="132"/>
      <c r="SFI372" s="132"/>
      <c r="SFJ372" s="132"/>
      <c r="SFK372" s="132"/>
      <c r="SFL372" s="132"/>
      <c r="SFM372" s="132"/>
      <c r="SFN372" s="132"/>
      <c r="SFO372" s="132"/>
      <c r="SFP372" s="132"/>
      <c r="SFQ372" s="132"/>
      <c r="SFR372" s="132"/>
      <c r="SFS372" s="132"/>
      <c r="SFT372" s="132"/>
      <c r="SFU372" s="132"/>
      <c r="SFV372" s="132"/>
      <c r="SFW372" s="132"/>
      <c r="SFX372" s="132"/>
      <c r="SFY372" s="132"/>
      <c r="SFZ372" s="132"/>
      <c r="SGA372" s="132"/>
      <c r="SGB372" s="132"/>
      <c r="SGC372" s="132"/>
      <c r="SGD372" s="132"/>
      <c r="SGE372" s="132"/>
      <c r="SGF372" s="132"/>
      <c r="SGG372" s="132"/>
      <c r="SGH372" s="132"/>
      <c r="SGI372" s="132"/>
      <c r="SGJ372" s="132"/>
      <c r="SGK372" s="132"/>
      <c r="SGL372" s="132"/>
      <c r="SGM372" s="132"/>
      <c r="SGN372" s="132"/>
      <c r="SGO372" s="132"/>
      <c r="SGP372" s="132"/>
      <c r="SGQ372" s="132"/>
      <c r="SGR372" s="132"/>
      <c r="SGS372" s="132"/>
      <c r="SGT372" s="132"/>
      <c r="SGU372" s="132"/>
      <c r="SGV372" s="132"/>
      <c r="SGW372" s="132"/>
      <c r="SGX372" s="132"/>
      <c r="SGY372" s="132"/>
      <c r="SGZ372" s="132"/>
      <c r="SHA372" s="132"/>
      <c r="SHB372" s="132"/>
      <c r="SHC372" s="132"/>
      <c r="SHD372" s="132"/>
      <c r="SHE372" s="132"/>
      <c r="SHF372" s="132"/>
      <c r="SHG372" s="132"/>
      <c r="SHH372" s="132"/>
      <c r="SHI372" s="132"/>
      <c r="SHJ372" s="132"/>
      <c r="SHK372" s="132"/>
      <c r="SHL372" s="132"/>
      <c r="SHM372" s="132"/>
      <c r="SHN372" s="132"/>
      <c r="SHO372" s="132"/>
      <c r="SHP372" s="132"/>
      <c r="SHQ372" s="132"/>
      <c r="SHR372" s="132"/>
      <c r="SHS372" s="132"/>
      <c r="SHT372" s="132"/>
      <c r="SHU372" s="132"/>
      <c r="SHV372" s="132"/>
      <c r="SHW372" s="132"/>
      <c r="SHX372" s="132"/>
      <c r="SHY372" s="132"/>
      <c r="SHZ372" s="132"/>
      <c r="SIA372" s="132"/>
      <c r="SIB372" s="132"/>
      <c r="SIC372" s="132"/>
      <c r="SID372" s="132"/>
      <c r="SIE372" s="132"/>
      <c r="SIF372" s="132"/>
      <c r="SIG372" s="132"/>
      <c r="SIH372" s="132"/>
      <c r="SII372" s="132"/>
      <c r="SIJ372" s="132"/>
      <c r="SIK372" s="132"/>
      <c r="SIL372" s="132"/>
      <c r="SIM372" s="132"/>
      <c r="SIN372" s="132"/>
      <c r="SIO372" s="132"/>
      <c r="SIP372" s="132"/>
      <c r="SIQ372" s="132"/>
      <c r="SIR372" s="132"/>
      <c r="SIS372" s="132"/>
      <c r="SIT372" s="132"/>
      <c r="SIU372" s="132"/>
      <c r="SIV372" s="132"/>
      <c r="SIW372" s="132"/>
      <c r="SIX372" s="132"/>
      <c r="SIY372" s="132"/>
      <c r="SIZ372" s="132"/>
      <c r="SJA372" s="132"/>
      <c r="SJB372" s="132"/>
      <c r="SJC372" s="132"/>
      <c r="SJD372" s="132"/>
      <c r="SJE372" s="132"/>
      <c r="SJF372" s="132"/>
      <c r="SJG372" s="132"/>
      <c r="SJH372" s="132"/>
      <c r="SJI372" s="132"/>
      <c r="SJJ372" s="132"/>
      <c r="SJK372" s="132"/>
      <c r="SJL372" s="132"/>
      <c r="SJM372" s="132"/>
      <c r="SJN372" s="132"/>
      <c r="SJO372" s="132"/>
      <c r="SJP372" s="132"/>
      <c r="SJQ372" s="132"/>
      <c r="SJR372" s="132"/>
      <c r="SJS372" s="132"/>
      <c r="SJT372" s="132"/>
      <c r="SJU372" s="132"/>
      <c r="SJV372" s="132"/>
      <c r="SJW372" s="132"/>
      <c r="SJX372" s="132"/>
      <c r="SJY372" s="132"/>
      <c r="SJZ372" s="132"/>
      <c r="SKA372" s="132"/>
      <c r="SKB372" s="132"/>
      <c r="SKC372" s="132"/>
      <c r="SKD372" s="132"/>
      <c r="SKE372" s="132"/>
      <c r="SKF372" s="132"/>
      <c r="SKG372" s="132"/>
      <c r="SKH372" s="132"/>
      <c r="SKI372" s="132"/>
      <c r="SKJ372" s="132"/>
      <c r="SKK372" s="132"/>
      <c r="SKL372" s="132"/>
      <c r="SKM372" s="132"/>
      <c r="SKN372" s="132"/>
      <c r="SKO372" s="132"/>
      <c r="SKP372" s="132"/>
      <c r="SKQ372" s="132"/>
      <c r="SKR372" s="132"/>
      <c r="SKS372" s="132"/>
      <c r="SKT372" s="132"/>
      <c r="SKU372" s="132"/>
      <c r="SKV372" s="132"/>
      <c r="SKW372" s="132"/>
      <c r="SKX372" s="132"/>
      <c r="SKY372" s="132"/>
      <c r="SKZ372" s="132"/>
      <c r="SLA372" s="132"/>
      <c r="SLB372" s="132"/>
      <c r="SLC372" s="132"/>
      <c r="SLD372" s="132"/>
      <c r="SLE372" s="132"/>
      <c r="SLF372" s="132"/>
      <c r="SLG372" s="132"/>
      <c r="SLH372" s="132"/>
      <c r="SLI372" s="132"/>
      <c r="SLJ372" s="132"/>
      <c r="SLK372" s="132"/>
      <c r="SLL372" s="132"/>
      <c r="SLM372" s="132"/>
      <c r="SLN372" s="132"/>
      <c r="SLO372" s="132"/>
      <c r="SLP372" s="132"/>
      <c r="SLQ372" s="132"/>
      <c r="SLR372" s="132"/>
      <c r="SLS372" s="132"/>
      <c r="SLT372" s="132"/>
      <c r="SLU372" s="132"/>
      <c r="SLV372" s="132"/>
      <c r="SLW372" s="132"/>
      <c r="SLX372" s="132"/>
      <c r="SLY372" s="132"/>
      <c r="SLZ372" s="132"/>
      <c r="SMA372" s="132"/>
      <c r="SMB372" s="132"/>
      <c r="SMC372" s="132"/>
      <c r="SMD372" s="132"/>
      <c r="SME372" s="132"/>
      <c r="SMF372" s="132"/>
      <c r="SMG372" s="132"/>
      <c r="SMH372" s="132"/>
      <c r="SMI372" s="132"/>
      <c r="SMJ372" s="132"/>
      <c r="SMK372" s="132"/>
      <c r="SML372" s="132"/>
      <c r="SMM372" s="132"/>
      <c r="SMN372" s="132"/>
      <c r="SMO372" s="132"/>
      <c r="SMP372" s="132"/>
      <c r="SMQ372" s="132"/>
      <c r="SMR372" s="132"/>
      <c r="SMS372" s="132"/>
      <c r="SMT372" s="132"/>
      <c r="SMU372" s="132"/>
      <c r="SMV372" s="132"/>
      <c r="SMW372" s="132"/>
      <c r="SMX372" s="132"/>
      <c r="SMY372" s="132"/>
      <c r="SMZ372" s="132"/>
      <c r="SNA372" s="132"/>
      <c r="SNB372" s="132"/>
      <c r="SNC372" s="132"/>
      <c r="SND372" s="132"/>
      <c r="SNE372" s="132"/>
      <c r="SNF372" s="132"/>
      <c r="SNG372" s="132"/>
      <c r="SNH372" s="132"/>
      <c r="SNI372" s="132"/>
      <c r="SNJ372" s="132"/>
      <c r="SNK372" s="132"/>
      <c r="SNL372" s="132"/>
      <c r="SNM372" s="132"/>
      <c r="SNN372" s="132"/>
      <c r="SNO372" s="132"/>
      <c r="SNP372" s="132"/>
      <c r="SNQ372" s="132"/>
      <c r="SNR372" s="132"/>
      <c r="SNS372" s="132"/>
      <c r="SNT372" s="132"/>
      <c r="SNU372" s="132"/>
      <c r="SNV372" s="132"/>
      <c r="SNW372" s="132"/>
      <c r="SNX372" s="132"/>
      <c r="SNY372" s="132"/>
      <c r="SNZ372" s="132"/>
      <c r="SOA372" s="132"/>
      <c r="SOB372" s="132"/>
      <c r="SOC372" s="132"/>
      <c r="SOD372" s="132"/>
      <c r="SOE372" s="132"/>
      <c r="SOF372" s="132"/>
      <c r="SOG372" s="132"/>
      <c r="SOH372" s="132"/>
      <c r="SOI372" s="132"/>
      <c r="SOJ372" s="132"/>
      <c r="SOK372" s="132"/>
      <c r="SOL372" s="132"/>
      <c r="SOM372" s="132"/>
      <c r="SON372" s="132"/>
      <c r="SOO372" s="132"/>
      <c r="SOP372" s="132"/>
      <c r="SOQ372" s="132"/>
      <c r="SOR372" s="132"/>
      <c r="SOS372" s="132"/>
      <c r="SOT372" s="132"/>
      <c r="SOU372" s="132"/>
      <c r="SOV372" s="132"/>
      <c r="SOW372" s="132"/>
      <c r="SOX372" s="132"/>
      <c r="SOY372" s="132"/>
      <c r="SOZ372" s="132"/>
      <c r="SPA372" s="132"/>
      <c r="SPB372" s="132"/>
      <c r="SPC372" s="132"/>
      <c r="SPD372" s="132"/>
      <c r="SPE372" s="132"/>
      <c r="SPF372" s="132"/>
      <c r="SPG372" s="132"/>
      <c r="SPH372" s="132"/>
      <c r="SPI372" s="132"/>
      <c r="SPJ372" s="132"/>
      <c r="SPK372" s="132"/>
      <c r="SPL372" s="132"/>
      <c r="SPM372" s="132"/>
      <c r="SPN372" s="132"/>
      <c r="SPO372" s="132"/>
      <c r="SPP372" s="132"/>
      <c r="SPQ372" s="132"/>
      <c r="SPR372" s="132"/>
      <c r="SPS372" s="132"/>
      <c r="SPT372" s="132"/>
      <c r="SPU372" s="132"/>
      <c r="SPV372" s="132"/>
      <c r="SPW372" s="132"/>
      <c r="SPX372" s="132"/>
      <c r="SPY372" s="132"/>
      <c r="SPZ372" s="132"/>
      <c r="SQA372" s="132"/>
      <c r="SQB372" s="132"/>
      <c r="SQC372" s="132"/>
      <c r="SQD372" s="132"/>
      <c r="SQE372" s="132"/>
      <c r="SQF372" s="132"/>
      <c r="SQG372" s="132"/>
      <c r="SQH372" s="132"/>
      <c r="SQI372" s="132"/>
      <c r="SQJ372" s="132"/>
      <c r="SQK372" s="132"/>
      <c r="SQL372" s="132"/>
      <c r="SQM372" s="132"/>
      <c r="SQN372" s="132"/>
      <c r="SQO372" s="132"/>
      <c r="SQP372" s="132"/>
      <c r="SQQ372" s="132"/>
      <c r="SQR372" s="132"/>
      <c r="SQS372" s="132"/>
      <c r="SQT372" s="132"/>
      <c r="SQU372" s="132"/>
      <c r="SQV372" s="132"/>
      <c r="SQW372" s="132"/>
      <c r="SQX372" s="132"/>
      <c r="SQY372" s="132"/>
      <c r="SQZ372" s="132"/>
      <c r="SRA372" s="132"/>
      <c r="SRB372" s="132"/>
      <c r="SRC372" s="132"/>
      <c r="SRD372" s="132"/>
      <c r="SRE372" s="132"/>
      <c r="SRF372" s="132"/>
      <c r="SRG372" s="132"/>
      <c r="SRH372" s="132"/>
      <c r="SRI372" s="132"/>
      <c r="SRJ372" s="132"/>
      <c r="SRK372" s="132"/>
      <c r="SRL372" s="132"/>
      <c r="SRM372" s="132"/>
      <c r="SRN372" s="132"/>
      <c r="SRO372" s="132"/>
      <c r="SRP372" s="132"/>
      <c r="SRQ372" s="132"/>
      <c r="SRR372" s="132"/>
      <c r="SRS372" s="132"/>
      <c r="SRT372" s="132"/>
      <c r="SRU372" s="132"/>
      <c r="SRV372" s="132"/>
      <c r="SRW372" s="132"/>
      <c r="SRX372" s="132"/>
      <c r="SRY372" s="132"/>
      <c r="SRZ372" s="132"/>
      <c r="SSA372" s="132"/>
      <c r="SSB372" s="132"/>
      <c r="SSC372" s="132"/>
      <c r="SSD372" s="132"/>
      <c r="SSE372" s="132"/>
      <c r="SSF372" s="132"/>
      <c r="SSG372" s="132"/>
      <c r="SSH372" s="132"/>
      <c r="SSI372" s="132"/>
      <c r="SSJ372" s="132"/>
      <c r="SSK372" s="132"/>
      <c r="SSL372" s="132"/>
      <c r="SSM372" s="132"/>
      <c r="SSN372" s="132"/>
      <c r="SSO372" s="132"/>
      <c r="SSP372" s="132"/>
      <c r="SSQ372" s="132"/>
      <c r="SSR372" s="132"/>
      <c r="SSS372" s="132"/>
      <c r="SST372" s="132"/>
      <c r="SSU372" s="132"/>
      <c r="SSV372" s="132"/>
      <c r="SSW372" s="132"/>
      <c r="SSX372" s="132"/>
      <c r="SSY372" s="132"/>
      <c r="SSZ372" s="132"/>
      <c r="STA372" s="132"/>
      <c r="STB372" s="132"/>
      <c r="STC372" s="132"/>
      <c r="STD372" s="132"/>
      <c r="STE372" s="132"/>
      <c r="STF372" s="132"/>
      <c r="STG372" s="132"/>
      <c r="STH372" s="132"/>
      <c r="STI372" s="132"/>
      <c r="STJ372" s="132"/>
      <c r="STK372" s="132"/>
      <c r="STL372" s="132"/>
      <c r="STM372" s="132"/>
      <c r="STN372" s="132"/>
      <c r="STO372" s="132"/>
      <c r="STP372" s="132"/>
      <c r="STQ372" s="132"/>
      <c r="STR372" s="132"/>
      <c r="STS372" s="132"/>
      <c r="STT372" s="132"/>
      <c r="STU372" s="132"/>
      <c r="STV372" s="132"/>
      <c r="STW372" s="132"/>
      <c r="STX372" s="132"/>
      <c r="STY372" s="132"/>
      <c r="STZ372" s="132"/>
      <c r="SUA372" s="132"/>
      <c r="SUB372" s="132"/>
      <c r="SUC372" s="132"/>
      <c r="SUD372" s="132"/>
      <c r="SUE372" s="132"/>
      <c r="SUF372" s="132"/>
      <c r="SUG372" s="132"/>
      <c r="SUH372" s="132"/>
      <c r="SUI372" s="132"/>
      <c r="SUJ372" s="132"/>
      <c r="SUK372" s="132"/>
      <c r="SUL372" s="132"/>
      <c r="SUM372" s="132"/>
      <c r="SUN372" s="132"/>
      <c r="SUO372" s="132"/>
      <c r="SUP372" s="132"/>
      <c r="SUQ372" s="132"/>
      <c r="SUR372" s="132"/>
      <c r="SUS372" s="132"/>
      <c r="SUT372" s="132"/>
      <c r="SUU372" s="132"/>
      <c r="SUV372" s="132"/>
      <c r="SUW372" s="132"/>
      <c r="SUX372" s="132"/>
      <c r="SUY372" s="132"/>
      <c r="SUZ372" s="132"/>
      <c r="SVA372" s="132"/>
      <c r="SVB372" s="132"/>
      <c r="SVC372" s="132"/>
      <c r="SVD372" s="132"/>
      <c r="SVE372" s="132"/>
      <c r="SVF372" s="132"/>
      <c r="SVG372" s="132"/>
      <c r="SVH372" s="132"/>
      <c r="SVI372" s="132"/>
      <c r="SVJ372" s="132"/>
      <c r="SVK372" s="132"/>
      <c r="SVL372" s="132"/>
      <c r="SVM372" s="132"/>
      <c r="SVN372" s="132"/>
      <c r="SVO372" s="132"/>
      <c r="SVP372" s="132"/>
      <c r="SVQ372" s="132"/>
      <c r="SVR372" s="132"/>
      <c r="SVS372" s="132"/>
      <c r="SVT372" s="132"/>
      <c r="SVU372" s="132"/>
      <c r="SVV372" s="132"/>
      <c r="SVW372" s="132"/>
      <c r="SVX372" s="132"/>
      <c r="SVY372" s="132"/>
      <c r="SVZ372" s="132"/>
      <c r="SWA372" s="132"/>
      <c r="SWB372" s="132"/>
      <c r="SWC372" s="132"/>
      <c r="SWD372" s="132"/>
      <c r="SWE372" s="132"/>
      <c r="SWF372" s="132"/>
      <c r="SWG372" s="132"/>
      <c r="SWH372" s="132"/>
      <c r="SWI372" s="132"/>
      <c r="SWJ372" s="132"/>
      <c r="SWK372" s="132"/>
      <c r="SWL372" s="132"/>
      <c r="SWM372" s="132"/>
      <c r="SWN372" s="132"/>
      <c r="SWO372" s="132"/>
      <c r="SWP372" s="132"/>
      <c r="SWQ372" s="132"/>
      <c r="SWR372" s="132"/>
      <c r="SWS372" s="132"/>
      <c r="SWT372" s="132"/>
      <c r="SWU372" s="132"/>
      <c r="SWV372" s="132"/>
      <c r="SWW372" s="132"/>
      <c r="SWX372" s="132"/>
      <c r="SWY372" s="132"/>
      <c r="SWZ372" s="132"/>
      <c r="SXA372" s="132"/>
      <c r="SXB372" s="132"/>
      <c r="SXC372" s="132"/>
      <c r="SXD372" s="132"/>
      <c r="SXE372" s="132"/>
      <c r="SXF372" s="132"/>
      <c r="SXG372" s="132"/>
      <c r="SXH372" s="132"/>
      <c r="SXI372" s="132"/>
      <c r="SXJ372" s="132"/>
      <c r="SXK372" s="132"/>
      <c r="SXL372" s="132"/>
      <c r="SXM372" s="132"/>
      <c r="SXN372" s="132"/>
      <c r="SXO372" s="132"/>
      <c r="SXP372" s="132"/>
      <c r="SXQ372" s="132"/>
      <c r="SXR372" s="132"/>
      <c r="SXS372" s="132"/>
      <c r="SXT372" s="132"/>
      <c r="SXU372" s="132"/>
      <c r="SXV372" s="132"/>
      <c r="SXW372" s="132"/>
      <c r="SXX372" s="132"/>
      <c r="SXY372" s="132"/>
      <c r="SXZ372" s="132"/>
      <c r="SYA372" s="132"/>
      <c r="SYB372" s="132"/>
      <c r="SYC372" s="132"/>
      <c r="SYD372" s="132"/>
      <c r="SYE372" s="132"/>
      <c r="SYF372" s="132"/>
      <c r="SYG372" s="132"/>
      <c r="SYH372" s="132"/>
      <c r="SYI372" s="132"/>
      <c r="SYJ372" s="132"/>
      <c r="SYK372" s="132"/>
      <c r="SYL372" s="132"/>
      <c r="SYM372" s="132"/>
      <c r="SYN372" s="132"/>
      <c r="SYO372" s="132"/>
      <c r="SYP372" s="132"/>
      <c r="SYQ372" s="132"/>
      <c r="SYR372" s="132"/>
      <c r="SYS372" s="132"/>
      <c r="SYT372" s="132"/>
      <c r="SYU372" s="132"/>
      <c r="SYV372" s="132"/>
      <c r="SYW372" s="132"/>
      <c r="SYX372" s="132"/>
      <c r="SYY372" s="132"/>
      <c r="SYZ372" s="132"/>
      <c r="SZA372" s="132"/>
      <c r="SZB372" s="132"/>
      <c r="SZC372" s="132"/>
      <c r="SZD372" s="132"/>
      <c r="SZE372" s="132"/>
      <c r="SZF372" s="132"/>
      <c r="SZG372" s="132"/>
      <c r="SZH372" s="132"/>
      <c r="SZI372" s="132"/>
      <c r="SZJ372" s="132"/>
      <c r="SZK372" s="132"/>
      <c r="SZL372" s="132"/>
      <c r="SZM372" s="132"/>
      <c r="SZN372" s="132"/>
      <c r="SZO372" s="132"/>
      <c r="SZP372" s="132"/>
      <c r="SZQ372" s="132"/>
      <c r="SZR372" s="132"/>
      <c r="SZS372" s="132"/>
      <c r="SZT372" s="132"/>
      <c r="SZU372" s="132"/>
      <c r="SZV372" s="132"/>
      <c r="SZW372" s="132"/>
      <c r="SZX372" s="132"/>
      <c r="SZY372" s="132"/>
      <c r="SZZ372" s="132"/>
      <c r="TAA372" s="132"/>
      <c r="TAB372" s="132"/>
      <c r="TAC372" s="132"/>
      <c r="TAD372" s="132"/>
      <c r="TAE372" s="132"/>
      <c r="TAF372" s="132"/>
      <c r="TAG372" s="132"/>
      <c r="TAH372" s="132"/>
      <c r="TAI372" s="132"/>
      <c r="TAJ372" s="132"/>
      <c r="TAK372" s="132"/>
      <c r="TAL372" s="132"/>
      <c r="TAM372" s="132"/>
      <c r="TAN372" s="132"/>
      <c r="TAO372" s="132"/>
      <c r="TAP372" s="132"/>
      <c r="TAQ372" s="132"/>
      <c r="TAR372" s="132"/>
      <c r="TAS372" s="132"/>
      <c r="TAT372" s="132"/>
      <c r="TAU372" s="132"/>
      <c r="TAV372" s="132"/>
      <c r="TAW372" s="132"/>
      <c r="TAX372" s="132"/>
      <c r="TAY372" s="132"/>
      <c r="TAZ372" s="132"/>
      <c r="TBA372" s="132"/>
      <c r="TBB372" s="132"/>
      <c r="TBC372" s="132"/>
      <c r="TBD372" s="132"/>
      <c r="TBE372" s="132"/>
      <c r="TBF372" s="132"/>
      <c r="TBG372" s="132"/>
      <c r="TBH372" s="132"/>
      <c r="TBI372" s="132"/>
      <c r="TBJ372" s="132"/>
      <c r="TBK372" s="132"/>
      <c r="TBL372" s="132"/>
      <c r="TBM372" s="132"/>
      <c r="TBN372" s="132"/>
      <c r="TBO372" s="132"/>
      <c r="TBP372" s="132"/>
      <c r="TBQ372" s="132"/>
      <c r="TBR372" s="132"/>
      <c r="TBS372" s="132"/>
      <c r="TBT372" s="132"/>
      <c r="TBU372" s="132"/>
      <c r="TBV372" s="132"/>
      <c r="TBW372" s="132"/>
      <c r="TBX372" s="132"/>
      <c r="TBY372" s="132"/>
      <c r="TBZ372" s="132"/>
      <c r="TCA372" s="132"/>
      <c r="TCB372" s="132"/>
      <c r="TCC372" s="132"/>
      <c r="TCD372" s="132"/>
      <c r="TCE372" s="132"/>
      <c r="TCF372" s="132"/>
      <c r="TCG372" s="132"/>
      <c r="TCH372" s="132"/>
      <c r="TCI372" s="132"/>
      <c r="TCJ372" s="132"/>
      <c r="TCK372" s="132"/>
      <c r="TCL372" s="132"/>
      <c r="TCM372" s="132"/>
      <c r="TCN372" s="132"/>
      <c r="TCO372" s="132"/>
      <c r="TCP372" s="132"/>
      <c r="TCQ372" s="132"/>
      <c r="TCR372" s="132"/>
      <c r="TCS372" s="132"/>
      <c r="TCT372" s="132"/>
      <c r="TCU372" s="132"/>
      <c r="TCV372" s="132"/>
      <c r="TCW372" s="132"/>
      <c r="TCX372" s="132"/>
      <c r="TCY372" s="132"/>
      <c r="TCZ372" s="132"/>
      <c r="TDA372" s="132"/>
      <c r="TDB372" s="132"/>
      <c r="TDC372" s="132"/>
      <c r="TDD372" s="132"/>
      <c r="TDE372" s="132"/>
      <c r="TDF372" s="132"/>
      <c r="TDG372" s="132"/>
      <c r="TDH372" s="132"/>
      <c r="TDI372" s="132"/>
      <c r="TDJ372" s="132"/>
      <c r="TDK372" s="132"/>
      <c r="TDL372" s="132"/>
      <c r="TDM372" s="132"/>
      <c r="TDN372" s="132"/>
      <c r="TDO372" s="132"/>
      <c r="TDP372" s="132"/>
      <c r="TDQ372" s="132"/>
      <c r="TDR372" s="132"/>
      <c r="TDS372" s="132"/>
      <c r="TDT372" s="132"/>
      <c r="TDU372" s="132"/>
      <c r="TDV372" s="132"/>
      <c r="TDW372" s="132"/>
      <c r="TDX372" s="132"/>
      <c r="TDY372" s="132"/>
      <c r="TDZ372" s="132"/>
      <c r="TEA372" s="132"/>
      <c r="TEB372" s="132"/>
      <c r="TEC372" s="132"/>
      <c r="TED372" s="132"/>
      <c r="TEE372" s="132"/>
      <c r="TEF372" s="132"/>
      <c r="TEG372" s="132"/>
      <c r="TEH372" s="132"/>
      <c r="TEI372" s="132"/>
      <c r="TEJ372" s="132"/>
      <c r="TEK372" s="132"/>
      <c r="TEL372" s="132"/>
      <c r="TEM372" s="132"/>
      <c r="TEN372" s="132"/>
      <c r="TEO372" s="132"/>
      <c r="TEP372" s="132"/>
      <c r="TEQ372" s="132"/>
      <c r="TER372" s="132"/>
      <c r="TES372" s="132"/>
      <c r="TET372" s="132"/>
      <c r="TEU372" s="132"/>
      <c r="TEV372" s="132"/>
      <c r="TEW372" s="132"/>
      <c r="TEX372" s="132"/>
      <c r="TEY372" s="132"/>
      <c r="TEZ372" s="132"/>
      <c r="TFA372" s="132"/>
      <c r="TFB372" s="132"/>
      <c r="TFC372" s="132"/>
      <c r="TFD372" s="132"/>
      <c r="TFE372" s="132"/>
      <c r="TFF372" s="132"/>
      <c r="TFG372" s="132"/>
      <c r="TFH372" s="132"/>
      <c r="TFI372" s="132"/>
      <c r="TFJ372" s="132"/>
      <c r="TFK372" s="132"/>
      <c r="TFL372" s="132"/>
      <c r="TFM372" s="132"/>
      <c r="TFN372" s="132"/>
      <c r="TFO372" s="132"/>
      <c r="TFP372" s="132"/>
      <c r="TFQ372" s="132"/>
      <c r="TFR372" s="132"/>
      <c r="TFS372" s="132"/>
      <c r="TFT372" s="132"/>
      <c r="TFU372" s="132"/>
      <c r="TFV372" s="132"/>
      <c r="TFW372" s="132"/>
      <c r="TFX372" s="132"/>
      <c r="TFY372" s="132"/>
      <c r="TFZ372" s="132"/>
      <c r="TGA372" s="132"/>
      <c r="TGB372" s="132"/>
      <c r="TGC372" s="132"/>
      <c r="TGD372" s="132"/>
      <c r="TGE372" s="132"/>
      <c r="TGF372" s="132"/>
      <c r="TGG372" s="132"/>
      <c r="TGH372" s="132"/>
      <c r="TGI372" s="132"/>
      <c r="TGJ372" s="132"/>
      <c r="TGK372" s="132"/>
      <c r="TGL372" s="132"/>
      <c r="TGM372" s="132"/>
      <c r="TGN372" s="132"/>
      <c r="TGO372" s="132"/>
      <c r="TGP372" s="132"/>
      <c r="TGQ372" s="132"/>
      <c r="TGR372" s="132"/>
      <c r="TGS372" s="132"/>
      <c r="TGT372" s="132"/>
      <c r="TGU372" s="132"/>
      <c r="TGV372" s="132"/>
      <c r="TGW372" s="132"/>
      <c r="TGX372" s="132"/>
      <c r="TGY372" s="132"/>
      <c r="TGZ372" s="132"/>
      <c r="THA372" s="132"/>
      <c r="THB372" s="132"/>
      <c r="THC372" s="132"/>
      <c r="THD372" s="132"/>
      <c r="THE372" s="132"/>
      <c r="THF372" s="132"/>
      <c r="THG372" s="132"/>
      <c r="THH372" s="132"/>
      <c r="THI372" s="132"/>
      <c r="THJ372" s="132"/>
      <c r="THK372" s="132"/>
      <c r="THL372" s="132"/>
      <c r="THM372" s="132"/>
      <c r="THN372" s="132"/>
      <c r="THO372" s="132"/>
      <c r="THP372" s="132"/>
      <c r="THQ372" s="132"/>
      <c r="THR372" s="132"/>
      <c r="THS372" s="132"/>
      <c r="THT372" s="132"/>
      <c r="THU372" s="132"/>
      <c r="THV372" s="132"/>
      <c r="THW372" s="132"/>
      <c r="THX372" s="132"/>
      <c r="THY372" s="132"/>
      <c r="THZ372" s="132"/>
      <c r="TIA372" s="132"/>
      <c r="TIB372" s="132"/>
      <c r="TIC372" s="132"/>
      <c r="TID372" s="132"/>
      <c r="TIE372" s="132"/>
      <c r="TIF372" s="132"/>
      <c r="TIG372" s="132"/>
      <c r="TIH372" s="132"/>
      <c r="TII372" s="132"/>
      <c r="TIJ372" s="132"/>
      <c r="TIK372" s="132"/>
      <c r="TIL372" s="132"/>
      <c r="TIM372" s="132"/>
      <c r="TIN372" s="132"/>
      <c r="TIO372" s="132"/>
      <c r="TIP372" s="132"/>
      <c r="TIQ372" s="132"/>
      <c r="TIR372" s="132"/>
      <c r="TIS372" s="132"/>
      <c r="TIT372" s="132"/>
      <c r="TIU372" s="132"/>
      <c r="TIV372" s="132"/>
      <c r="TIW372" s="132"/>
      <c r="TIX372" s="132"/>
      <c r="TIY372" s="132"/>
      <c r="TIZ372" s="132"/>
      <c r="TJA372" s="132"/>
      <c r="TJB372" s="132"/>
      <c r="TJC372" s="132"/>
      <c r="TJD372" s="132"/>
      <c r="TJE372" s="132"/>
      <c r="TJF372" s="132"/>
      <c r="TJG372" s="132"/>
      <c r="TJH372" s="132"/>
      <c r="TJI372" s="132"/>
      <c r="TJJ372" s="132"/>
      <c r="TJK372" s="132"/>
      <c r="TJL372" s="132"/>
      <c r="TJM372" s="132"/>
      <c r="TJN372" s="132"/>
      <c r="TJO372" s="132"/>
      <c r="TJP372" s="132"/>
      <c r="TJQ372" s="132"/>
      <c r="TJR372" s="132"/>
      <c r="TJS372" s="132"/>
      <c r="TJT372" s="132"/>
      <c r="TJU372" s="132"/>
      <c r="TJV372" s="132"/>
      <c r="TJW372" s="132"/>
      <c r="TJX372" s="132"/>
      <c r="TJY372" s="132"/>
      <c r="TJZ372" s="132"/>
      <c r="TKA372" s="132"/>
      <c r="TKB372" s="132"/>
      <c r="TKC372" s="132"/>
      <c r="TKD372" s="132"/>
      <c r="TKE372" s="132"/>
      <c r="TKF372" s="132"/>
      <c r="TKG372" s="132"/>
      <c r="TKH372" s="132"/>
      <c r="TKI372" s="132"/>
      <c r="TKJ372" s="132"/>
      <c r="TKK372" s="132"/>
      <c r="TKL372" s="132"/>
      <c r="TKM372" s="132"/>
      <c r="TKN372" s="132"/>
      <c r="TKO372" s="132"/>
      <c r="TKP372" s="132"/>
      <c r="TKQ372" s="132"/>
      <c r="TKR372" s="132"/>
      <c r="TKS372" s="132"/>
      <c r="TKT372" s="132"/>
      <c r="TKU372" s="132"/>
      <c r="TKV372" s="132"/>
      <c r="TKW372" s="132"/>
      <c r="TKX372" s="132"/>
      <c r="TKY372" s="132"/>
      <c r="TKZ372" s="132"/>
      <c r="TLA372" s="132"/>
      <c r="TLB372" s="132"/>
      <c r="TLC372" s="132"/>
      <c r="TLD372" s="132"/>
      <c r="TLE372" s="132"/>
      <c r="TLF372" s="132"/>
      <c r="TLG372" s="132"/>
      <c r="TLH372" s="132"/>
      <c r="TLI372" s="132"/>
      <c r="TLJ372" s="132"/>
      <c r="TLK372" s="132"/>
      <c r="TLL372" s="132"/>
      <c r="TLM372" s="132"/>
      <c r="TLN372" s="132"/>
      <c r="TLO372" s="132"/>
      <c r="TLP372" s="132"/>
      <c r="TLQ372" s="132"/>
      <c r="TLR372" s="132"/>
      <c r="TLS372" s="132"/>
      <c r="TLT372" s="132"/>
      <c r="TLU372" s="132"/>
      <c r="TLV372" s="132"/>
      <c r="TLW372" s="132"/>
      <c r="TLX372" s="132"/>
      <c r="TLY372" s="132"/>
      <c r="TLZ372" s="132"/>
      <c r="TMA372" s="132"/>
      <c r="TMB372" s="132"/>
      <c r="TMC372" s="132"/>
      <c r="TMD372" s="132"/>
      <c r="TME372" s="132"/>
      <c r="TMF372" s="132"/>
      <c r="TMG372" s="132"/>
      <c r="TMH372" s="132"/>
      <c r="TMI372" s="132"/>
      <c r="TMJ372" s="132"/>
      <c r="TMK372" s="132"/>
      <c r="TML372" s="132"/>
      <c r="TMM372" s="132"/>
      <c r="TMN372" s="132"/>
      <c r="TMO372" s="132"/>
      <c r="TMP372" s="132"/>
      <c r="TMQ372" s="132"/>
      <c r="TMR372" s="132"/>
      <c r="TMS372" s="132"/>
      <c r="TMT372" s="132"/>
      <c r="TMU372" s="132"/>
      <c r="TMV372" s="132"/>
      <c r="TMW372" s="132"/>
      <c r="TMX372" s="132"/>
      <c r="TMY372" s="132"/>
      <c r="TMZ372" s="132"/>
      <c r="TNA372" s="132"/>
      <c r="TNB372" s="132"/>
      <c r="TNC372" s="132"/>
      <c r="TND372" s="132"/>
      <c r="TNE372" s="132"/>
      <c r="TNF372" s="132"/>
      <c r="TNG372" s="132"/>
      <c r="TNH372" s="132"/>
      <c r="TNI372" s="132"/>
      <c r="TNJ372" s="132"/>
      <c r="TNK372" s="132"/>
      <c r="TNL372" s="132"/>
      <c r="TNM372" s="132"/>
      <c r="TNN372" s="132"/>
      <c r="TNO372" s="132"/>
      <c r="TNP372" s="132"/>
      <c r="TNQ372" s="132"/>
      <c r="TNR372" s="132"/>
      <c r="TNS372" s="132"/>
      <c r="TNT372" s="132"/>
      <c r="TNU372" s="132"/>
      <c r="TNV372" s="132"/>
      <c r="TNW372" s="132"/>
      <c r="TNX372" s="132"/>
      <c r="TNY372" s="132"/>
      <c r="TNZ372" s="132"/>
      <c r="TOA372" s="132"/>
      <c r="TOB372" s="132"/>
      <c r="TOC372" s="132"/>
      <c r="TOD372" s="132"/>
      <c r="TOE372" s="132"/>
      <c r="TOF372" s="132"/>
      <c r="TOG372" s="132"/>
      <c r="TOH372" s="132"/>
      <c r="TOI372" s="132"/>
      <c r="TOJ372" s="132"/>
      <c r="TOK372" s="132"/>
      <c r="TOL372" s="132"/>
      <c r="TOM372" s="132"/>
      <c r="TON372" s="132"/>
      <c r="TOO372" s="132"/>
      <c r="TOP372" s="132"/>
      <c r="TOQ372" s="132"/>
      <c r="TOR372" s="132"/>
      <c r="TOS372" s="132"/>
      <c r="TOT372" s="132"/>
      <c r="TOU372" s="132"/>
      <c r="TOV372" s="132"/>
      <c r="TOW372" s="132"/>
      <c r="TOX372" s="132"/>
      <c r="TOY372" s="132"/>
      <c r="TOZ372" s="132"/>
      <c r="TPA372" s="132"/>
      <c r="TPB372" s="132"/>
      <c r="TPC372" s="132"/>
      <c r="TPD372" s="132"/>
      <c r="TPE372" s="132"/>
      <c r="TPF372" s="132"/>
      <c r="TPG372" s="132"/>
      <c r="TPH372" s="132"/>
      <c r="TPI372" s="132"/>
      <c r="TPJ372" s="132"/>
      <c r="TPK372" s="132"/>
      <c r="TPL372" s="132"/>
      <c r="TPM372" s="132"/>
      <c r="TPN372" s="132"/>
      <c r="TPO372" s="132"/>
      <c r="TPP372" s="132"/>
      <c r="TPQ372" s="132"/>
      <c r="TPR372" s="132"/>
      <c r="TPS372" s="132"/>
      <c r="TPT372" s="132"/>
      <c r="TPU372" s="132"/>
      <c r="TPV372" s="132"/>
      <c r="TPW372" s="132"/>
      <c r="TPX372" s="132"/>
      <c r="TPY372" s="132"/>
      <c r="TPZ372" s="132"/>
      <c r="TQA372" s="132"/>
      <c r="TQB372" s="132"/>
      <c r="TQC372" s="132"/>
      <c r="TQD372" s="132"/>
      <c r="TQE372" s="132"/>
      <c r="TQF372" s="132"/>
      <c r="TQG372" s="132"/>
      <c r="TQH372" s="132"/>
      <c r="TQI372" s="132"/>
      <c r="TQJ372" s="132"/>
      <c r="TQK372" s="132"/>
      <c r="TQL372" s="132"/>
      <c r="TQM372" s="132"/>
      <c r="TQN372" s="132"/>
      <c r="TQO372" s="132"/>
      <c r="TQP372" s="132"/>
      <c r="TQQ372" s="132"/>
      <c r="TQR372" s="132"/>
      <c r="TQS372" s="132"/>
      <c r="TQT372" s="132"/>
      <c r="TQU372" s="132"/>
      <c r="TQV372" s="132"/>
      <c r="TQW372" s="132"/>
      <c r="TQX372" s="132"/>
      <c r="TQY372" s="132"/>
      <c r="TQZ372" s="132"/>
      <c r="TRA372" s="132"/>
      <c r="TRB372" s="132"/>
      <c r="TRC372" s="132"/>
      <c r="TRD372" s="132"/>
      <c r="TRE372" s="132"/>
      <c r="TRF372" s="132"/>
      <c r="TRG372" s="132"/>
      <c r="TRH372" s="132"/>
      <c r="TRI372" s="132"/>
      <c r="TRJ372" s="132"/>
      <c r="TRK372" s="132"/>
      <c r="TRL372" s="132"/>
      <c r="TRM372" s="132"/>
      <c r="TRN372" s="132"/>
      <c r="TRO372" s="132"/>
      <c r="TRP372" s="132"/>
      <c r="TRQ372" s="132"/>
      <c r="TRR372" s="132"/>
      <c r="TRS372" s="132"/>
      <c r="TRT372" s="132"/>
      <c r="TRU372" s="132"/>
      <c r="TRV372" s="132"/>
      <c r="TRW372" s="132"/>
      <c r="TRX372" s="132"/>
      <c r="TRY372" s="132"/>
      <c r="TRZ372" s="132"/>
      <c r="TSA372" s="132"/>
      <c r="TSB372" s="132"/>
      <c r="TSC372" s="132"/>
      <c r="TSD372" s="132"/>
      <c r="TSE372" s="132"/>
      <c r="TSF372" s="132"/>
      <c r="TSG372" s="132"/>
      <c r="TSH372" s="132"/>
      <c r="TSI372" s="132"/>
      <c r="TSJ372" s="132"/>
      <c r="TSK372" s="132"/>
      <c r="TSL372" s="132"/>
      <c r="TSM372" s="132"/>
      <c r="TSN372" s="132"/>
      <c r="TSO372" s="132"/>
      <c r="TSP372" s="132"/>
      <c r="TSQ372" s="132"/>
      <c r="TSR372" s="132"/>
      <c r="TSS372" s="132"/>
      <c r="TST372" s="132"/>
      <c r="TSU372" s="132"/>
      <c r="TSV372" s="132"/>
      <c r="TSW372" s="132"/>
      <c r="TSX372" s="132"/>
      <c r="TSY372" s="132"/>
      <c r="TSZ372" s="132"/>
      <c r="TTA372" s="132"/>
      <c r="TTB372" s="132"/>
      <c r="TTC372" s="132"/>
      <c r="TTD372" s="132"/>
      <c r="TTE372" s="132"/>
      <c r="TTF372" s="132"/>
      <c r="TTG372" s="132"/>
      <c r="TTH372" s="132"/>
      <c r="TTI372" s="132"/>
      <c r="TTJ372" s="132"/>
      <c r="TTK372" s="132"/>
      <c r="TTL372" s="132"/>
      <c r="TTM372" s="132"/>
      <c r="TTN372" s="132"/>
      <c r="TTO372" s="132"/>
      <c r="TTP372" s="132"/>
      <c r="TTQ372" s="132"/>
      <c r="TTR372" s="132"/>
      <c r="TTS372" s="132"/>
      <c r="TTT372" s="132"/>
      <c r="TTU372" s="132"/>
      <c r="TTV372" s="132"/>
      <c r="TTW372" s="132"/>
      <c r="TTX372" s="132"/>
      <c r="TTY372" s="132"/>
      <c r="TTZ372" s="132"/>
      <c r="TUA372" s="132"/>
      <c r="TUB372" s="132"/>
      <c r="TUC372" s="132"/>
      <c r="TUD372" s="132"/>
      <c r="TUE372" s="132"/>
      <c r="TUF372" s="132"/>
      <c r="TUG372" s="132"/>
      <c r="TUH372" s="132"/>
      <c r="TUI372" s="132"/>
      <c r="TUJ372" s="132"/>
      <c r="TUK372" s="132"/>
      <c r="TUL372" s="132"/>
      <c r="TUM372" s="132"/>
      <c r="TUN372" s="132"/>
      <c r="TUO372" s="132"/>
      <c r="TUP372" s="132"/>
      <c r="TUQ372" s="132"/>
      <c r="TUR372" s="132"/>
      <c r="TUS372" s="132"/>
      <c r="TUT372" s="132"/>
      <c r="TUU372" s="132"/>
      <c r="TUV372" s="132"/>
      <c r="TUW372" s="132"/>
      <c r="TUX372" s="132"/>
      <c r="TUY372" s="132"/>
      <c r="TUZ372" s="132"/>
      <c r="TVA372" s="132"/>
      <c r="TVB372" s="132"/>
      <c r="TVC372" s="132"/>
      <c r="TVD372" s="132"/>
      <c r="TVE372" s="132"/>
      <c r="TVF372" s="132"/>
      <c r="TVG372" s="132"/>
      <c r="TVH372" s="132"/>
      <c r="TVI372" s="132"/>
      <c r="TVJ372" s="132"/>
      <c r="TVK372" s="132"/>
      <c r="TVL372" s="132"/>
      <c r="TVM372" s="132"/>
      <c r="TVN372" s="132"/>
      <c r="TVO372" s="132"/>
      <c r="TVP372" s="132"/>
      <c r="TVQ372" s="132"/>
      <c r="TVR372" s="132"/>
      <c r="TVS372" s="132"/>
      <c r="TVT372" s="132"/>
      <c r="TVU372" s="132"/>
      <c r="TVV372" s="132"/>
      <c r="TVW372" s="132"/>
      <c r="TVX372" s="132"/>
      <c r="TVY372" s="132"/>
      <c r="TVZ372" s="132"/>
      <c r="TWA372" s="132"/>
      <c r="TWB372" s="132"/>
      <c r="TWC372" s="132"/>
      <c r="TWD372" s="132"/>
      <c r="TWE372" s="132"/>
      <c r="TWF372" s="132"/>
      <c r="TWG372" s="132"/>
      <c r="TWH372" s="132"/>
      <c r="TWI372" s="132"/>
      <c r="TWJ372" s="132"/>
      <c r="TWK372" s="132"/>
      <c r="TWL372" s="132"/>
      <c r="TWM372" s="132"/>
      <c r="TWN372" s="132"/>
      <c r="TWO372" s="132"/>
      <c r="TWP372" s="132"/>
      <c r="TWQ372" s="132"/>
      <c r="TWR372" s="132"/>
      <c r="TWS372" s="132"/>
      <c r="TWT372" s="132"/>
      <c r="TWU372" s="132"/>
      <c r="TWV372" s="132"/>
      <c r="TWW372" s="132"/>
      <c r="TWX372" s="132"/>
      <c r="TWY372" s="132"/>
      <c r="TWZ372" s="132"/>
      <c r="TXA372" s="132"/>
      <c r="TXB372" s="132"/>
      <c r="TXC372" s="132"/>
      <c r="TXD372" s="132"/>
      <c r="TXE372" s="132"/>
      <c r="TXF372" s="132"/>
      <c r="TXG372" s="132"/>
      <c r="TXH372" s="132"/>
      <c r="TXI372" s="132"/>
      <c r="TXJ372" s="132"/>
      <c r="TXK372" s="132"/>
      <c r="TXL372" s="132"/>
      <c r="TXM372" s="132"/>
      <c r="TXN372" s="132"/>
      <c r="TXO372" s="132"/>
      <c r="TXP372" s="132"/>
      <c r="TXQ372" s="132"/>
      <c r="TXR372" s="132"/>
      <c r="TXS372" s="132"/>
      <c r="TXT372" s="132"/>
      <c r="TXU372" s="132"/>
      <c r="TXV372" s="132"/>
      <c r="TXW372" s="132"/>
      <c r="TXX372" s="132"/>
      <c r="TXY372" s="132"/>
      <c r="TXZ372" s="132"/>
      <c r="TYA372" s="132"/>
      <c r="TYB372" s="132"/>
      <c r="TYC372" s="132"/>
      <c r="TYD372" s="132"/>
      <c r="TYE372" s="132"/>
      <c r="TYF372" s="132"/>
      <c r="TYG372" s="132"/>
      <c r="TYH372" s="132"/>
      <c r="TYI372" s="132"/>
      <c r="TYJ372" s="132"/>
      <c r="TYK372" s="132"/>
      <c r="TYL372" s="132"/>
      <c r="TYM372" s="132"/>
      <c r="TYN372" s="132"/>
      <c r="TYO372" s="132"/>
      <c r="TYP372" s="132"/>
      <c r="TYQ372" s="132"/>
      <c r="TYR372" s="132"/>
      <c r="TYS372" s="132"/>
      <c r="TYT372" s="132"/>
      <c r="TYU372" s="132"/>
      <c r="TYV372" s="132"/>
      <c r="TYW372" s="132"/>
      <c r="TYX372" s="132"/>
      <c r="TYY372" s="132"/>
      <c r="TYZ372" s="132"/>
      <c r="TZA372" s="132"/>
      <c r="TZB372" s="132"/>
      <c r="TZC372" s="132"/>
      <c r="TZD372" s="132"/>
      <c r="TZE372" s="132"/>
      <c r="TZF372" s="132"/>
      <c r="TZG372" s="132"/>
      <c r="TZH372" s="132"/>
      <c r="TZI372" s="132"/>
      <c r="TZJ372" s="132"/>
      <c r="TZK372" s="132"/>
      <c r="TZL372" s="132"/>
      <c r="TZM372" s="132"/>
      <c r="TZN372" s="132"/>
      <c r="TZO372" s="132"/>
      <c r="TZP372" s="132"/>
      <c r="TZQ372" s="132"/>
      <c r="TZR372" s="132"/>
      <c r="TZS372" s="132"/>
      <c r="TZT372" s="132"/>
      <c r="TZU372" s="132"/>
      <c r="TZV372" s="132"/>
      <c r="TZW372" s="132"/>
      <c r="TZX372" s="132"/>
      <c r="TZY372" s="132"/>
      <c r="TZZ372" s="132"/>
      <c r="UAA372" s="132"/>
      <c r="UAB372" s="132"/>
      <c r="UAC372" s="132"/>
      <c r="UAD372" s="132"/>
      <c r="UAE372" s="132"/>
      <c r="UAF372" s="132"/>
      <c r="UAG372" s="132"/>
      <c r="UAH372" s="132"/>
      <c r="UAI372" s="132"/>
      <c r="UAJ372" s="132"/>
      <c r="UAK372" s="132"/>
      <c r="UAL372" s="132"/>
      <c r="UAM372" s="132"/>
      <c r="UAN372" s="132"/>
      <c r="UAO372" s="132"/>
      <c r="UAP372" s="132"/>
      <c r="UAQ372" s="132"/>
      <c r="UAR372" s="132"/>
      <c r="UAS372" s="132"/>
      <c r="UAT372" s="132"/>
      <c r="UAU372" s="132"/>
      <c r="UAV372" s="132"/>
      <c r="UAW372" s="132"/>
      <c r="UAX372" s="132"/>
      <c r="UAY372" s="132"/>
      <c r="UAZ372" s="132"/>
      <c r="UBA372" s="132"/>
      <c r="UBB372" s="132"/>
      <c r="UBC372" s="132"/>
      <c r="UBD372" s="132"/>
      <c r="UBE372" s="132"/>
      <c r="UBF372" s="132"/>
      <c r="UBG372" s="132"/>
      <c r="UBH372" s="132"/>
      <c r="UBI372" s="132"/>
      <c r="UBJ372" s="132"/>
      <c r="UBK372" s="132"/>
      <c r="UBL372" s="132"/>
      <c r="UBM372" s="132"/>
      <c r="UBN372" s="132"/>
      <c r="UBO372" s="132"/>
      <c r="UBP372" s="132"/>
      <c r="UBQ372" s="132"/>
      <c r="UBR372" s="132"/>
      <c r="UBS372" s="132"/>
      <c r="UBT372" s="132"/>
      <c r="UBU372" s="132"/>
      <c r="UBV372" s="132"/>
      <c r="UBW372" s="132"/>
      <c r="UBX372" s="132"/>
      <c r="UBY372" s="132"/>
      <c r="UBZ372" s="132"/>
      <c r="UCA372" s="132"/>
      <c r="UCB372" s="132"/>
      <c r="UCC372" s="132"/>
      <c r="UCD372" s="132"/>
      <c r="UCE372" s="132"/>
      <c r="UCF372" s="132"/>
      <c r="UCG372" s="132"/>
      <c r="UCH372" s="132"/>
      <c r="UCI372" s="132"/>
      <c r="UCJ372" s="132"/>
      <c r="UCK372" s="132"/>
      <c r="UCL372" s="132"/>
      <c r="UCM372" s="132"/>
      <c r="UCN372" s="132"/>
      <c r="UCO372" s="132"/>
      <c r="UCP372" s="132"/>
      <c r="UCQ372" s="132"/>
      <c r="UCR372" s="132"/>
      <c r="UCS372" s="132"/>
      <c r="UCT372" s="132"/>
      <c r="UCU372" s="132"/>
      <c r="UCV372" s="132"/>
      <c r="UCW372" s="132"/>
      <c r="UCX372" s="132"/>
      <c r="UCY372" s="132"/>
      <c r="UCZ372" s="132"/>
      <c r="UDA372" s="132"/>
      <c r="UDB372" s="132"/>
      <c r="UDC372" s="132"/>
      <c r="UDD372" s="132"/>
      <c r="UDE372" s="132"/>
      <c r="UDF372" s="132"/>
      <c r="UDG372" s="132"/>
      <c r="UDH372" s="132"/>
      <c r="UDI372" s="132"/>
      <c r="UDJ372" s="132"/>
      <c r="UDK372" s="132"/>
      <c r="UDL372" s="132"/>
      <c r="UDM372" s="132"/>
      <c r="UDN372" s="132"/>
      <c r="UDO372" s="132"/>
      <c r="UDP372" s="132"/>
      <c r="UDQ372" s="132"/>
      <c r="UDR372" s="132"/>
      <c r="UDS372" s="132"/>
      <c r="UDT372" s="132"/>
      <c r="UDU372" s="132"/>
      <c r="UDV372" s="132"/>
      <c r="UDW372" s="132"/>
      <c r="UDX372" s="132"/>
      <c r="UDY372" s="132"/>
      <c r="UDZ372" s="132"/>
      <c r="UEA372" s="132"/>
      <c r="UEB372" s="132"/>
      <c r="UEC372" s="132"/>
      <c r="UED372" s="132"/>
      <c r="UEE372" s="132"/>
      <c r="UEF372" s="132"/>
      <c r="UEG372" s="132"/>
      <c r="UEH372" s="132"/>
      <c r="UEI372" s="132"/>
      <c r="UEJ372" s="132"/>
      <c r="UEK372" s="132"/>
      <c r="UEL372" s="132"/>
      <c r="UEM372" s="132"/>
      <c r="UEN372" s="132"/>
      <c r="UEO372" s="132"/>
      <c r="UEP372" s="132"/>
      <c r="UEQ372" s="132"/>
      <c r="UER372" s="132"/>
      <c r="UES372" s="132"/>
      <c r="UET372" s="132"/>
      <c r="UEU372" s="132"/>
      <c r="UEV372" s="132"/>
      <c r="UEW372" s="132"/>
      <c r="UEX372" s="132"/>
      <c r="UEY372" s="132"/>
      <c r="UEZ372" s="132"/>
      <c r="UFA372" s="132"/>
      <c r="UFB372" s="132"/>
      <c r="UFC372" s="132"/>
      <c r="UFD372" s="132"/>
      <c r="UFE372" s="132"/>
      <c r="UFF372" s="132"/>
      <c r="UFG372" s="132"/>
      <c r="UFH372" s="132"/>
      <c r="UFI372" s="132"/>
      <c r="UFJ372" s="132"/>
      <c r="UFK372" s="132"/>
      <c r="UFL372" s="132"/>
      <c r="UFM372" s="132"/>
      <c r="UFN372" s="132"/>
      <c r="UFO372" s="132"/>
      <c r="UFP372" s="132"/>
      <c r="UFQ372" s="132"/>
      <c r="UFR372" s="132"/>
      <c r="UFS372" s="132"/>
      <c r="UFT372" s="132"/>
      <c r="UFU372" s="132"/>
      <c r="UFV372" s="132"/>
      <c r="UFW372" s="132"/>
      <c r="UFX372" s="132"/>
      <c r="UFY372" s="132"/>
      <c r="UFZ372" s="132"/>
      <c r="UGA372" s="132"/>
      <c r="UGB372" s="132"/>
      <c r="UGC372" s="132"/>
      <c r="UGD372" s="132"/>
      <c r="UGE372" s="132"/>
      <c r="UGF372" s="132"/>
      <c r="UGG372" s="132"/>
      <c r="UGH372" s="132"/>
      <c r="UGI372" s="132"/>
      <c r="UGJ372" s="132"/>
      <c r="UGK372" s="132"/>
      <c r="UGL372" s="132"/>
      <c r="UGM372" s="132"/>
      <c r="UGN372" s="132"/>
      <c r="UGO372" s="132"/>
      <c r="UGP372" s="132"/>
      <c r="UGQ372" s="132"/>
      <c r="UGR372" s="132"/>
      <c r="UGS372" s="132"/>
      <c r="UGT372" s="132"/>
      <c r="UGU372" s="132"/>
      <c r="UGV372" s="132"/>
      <c r="UGW372" s="132"/>
      <c r="UGX372" s="132"/>
      <c r="UGY372" s="132"/>
      <c r="UGZ372" s="132"/>
      <c r="UHA372" s="132"/>
      <c r="UHB372" s="132"/>
      <c r="UHC372" s="132"/>
      <c r="UHD372" s="132"/>
      <c r="UHE372" s="132"/>
      <c r="UHF372" s="132"/>
      <c r="UHG372" s="132"/>
      <c r="UHH372" s="132"/>
      <c r="UHI372" s="132"/>
      <c r="UHJ372" s="132"/>
      <c r="UHK372" s="132"/>
      <c r="UHL372" s="132"/>
      <c r="UHM372" s="132"/>
      <c r="UHN372" s="132"/>
      <c r="UHO372" s="132"/>
      <c r="UHP372" s="132"/>
      <c r="UHQ372" s="132"/>
      <c r="UHR372" s="132"/>
      <c r="UHS372" s="132"/>
      <c r="UHT372" s="132"/>
      <c r="UHU372" s="132"/>
      <c r="UHV372" s="132"/>
      <c r="UHW372" s="132"/>
      <c r="UHX372" s="132"/>
      <c r="UHY372" s="132"/>
      <c r="UHZ372" s="132"/>
      <c r="UIA372" s="132"/>
      <c r="UIB372" s="132"/>
      <c r="UIC372" s="132"/>
      <c r="UID372" s="132"/>
      <c r="UIE372" s="132"/>
      <c r="UIF372" s="132"/>
      <c r="UIG372" s="132"/>
      <c r="UIH372" s="132"/>
      <c r="UII372" s="132"/>
      <c r="UIJ372" s="132"/>
      <c r="UIK372" s="132"/>
      <c r="UIL372" s="132"/>
      <c r="UIM372" s="132"/>
      <c r="UIN372" s="132"/>
      <c r="UIO372" s="132"/>
      <c r="UIP372" s="132"/>
      <c r="UIQ372" s="132"/>
      <c r="UIR372" s="132"/>
      <c r="UIS372" s="132"/>
      <c r="UIT372" s="132"/>
      <c r="UIU372" s="132"/>
      <c r="UIV372" s="132"/>
      <c r="UIW372" s="132"/>
      <c r="UIX372" s="132"/>
      <c r="UIY372" s="132"/>
      <c r="UIZ372" s="132"/>
      <c r="UJA372" s="132"/>
      <c r="UJB372" s="132"/>
      <c r="UJC372" s="132"/>
      <c r="UJD372" s="132"/>
      <c r="UJE372" s="132"/>
      <c r="UJF372" s="132"/>
      <c r="UJG372" s="132"/>
      <c r="UJH372" s="132"/>
      <c r="UJI372" s="132"/>
      <c r="UJJ372" s="132"/>
      <c r="UJK372" s="132"/>
      <c r="UJL372" s="132"/>
      <c r="UJM372" s="132"/>
      <c r="UJN372" s="132"/>
      <c r="UJO372" s="132"/>
      <c r="UJP372" s="132"/>
      <c r="UJQ372" s="132"/>
      <c r="UJR372" s="132"/>
      <c r="UJS372" s="132"/>
      <c r="UJT372" s="132"/>
      <c r="UJU372" s="132"/>
      <c r="UJV372" s="132"/>
      <c r="UJW372" s="132"/>
      <c r="UJX372" s="132"/>
      <c r="UJY372" s="132"/>
      <c r="UJZ372" s="132"/>
      <c r="UKA372" s="132"/>
      <c r="UKB372" s="132"/>
      <c r="UKC372" s="132"/>
      <c r="UKD372" s="132"/>
      <c r="UKE372" s="132"/>
      <c r="UKF372" s="132"/>
      <c r="UKG372" s="132"/>
      <c r="UKH372" s="132"/>
      <c r="UKI372" s="132"/>
      <c r="UKJ372" s="132"/>
      <c r="UKK372" s="132"/>
      <c r="UKL372" s="132"/>
      <c r="UKM372" s="132"/>
      <c r="UKN372" s="132"/>
      <c r="UKO372" s="132"/>
      <c r="UKP372" s="132"/>
      <c r="UKQ372" s="132"/>
      <c r="UKR372" s="132"/>
      <c r="UKS372" s="132"/>
      <c r="UKT372" s="132"/>
      <c r="UKU372" s="132"/>
      <c r="UKV372" s="132"/>
      <c r="UKW372" s="132"/>
      <c r="UKX372" s="132"/>
      <c r="UKY372" s="132"/>
      <c r="UKZ372" s="132"/>
      <c r="ULA372" s="132"/>
      <c r="ULB372" s="132"/>
      <c r="ULC372" s="132"/>
      <c r="ULD372" s="132"/>
      <c r="ULE372" s="132"/>
      <c r="ULF372" s="132"/>
      <c r="ULG372" s="132"/>
      <c r="ULH372" s="132"/>
      <c r="ULI372" s="132"/>
      <c r="ULJ372" s="132"/>
      <c r="ULK372" s="132"/>
      <c r="ULL372" s="132"/>
      <c r="ULM372" s="132"/>
      <c r="ULN372" s="132"/>
      <c r="ULO372" s="132"/>
      <c r="ULP372" s="132"/>
      <c r="ULQ372" s="132"/>
      <c r="ULR372" s="132"/>
      <c r="ULS372" s="132"/>
      <c r="ULT372" s="132"/>
      <c r="ULU372" s="132"/>
      <c r="ULV372" s="132"/>
      <c r="ULW372" s="132"/>
      <c r="ULX372" s="132"/>
      <c r="ULY372" s="132"/>
      <c r="ULZ372" s="132"/>
      <c r="UMA372" s="132"/>
      <c r="UMB372" s="132"/>
      <c r="UMC372" s="132"/>
      <c r="UMD372" s="132"/>
      <c r="UME372" s="132"/>
      <c r="UMF372" s="132"/>
      <c r="UMG372" s="132"/>
      <c r="UMH372" s="132"/>
      <c r="UMI372" s="132"/>
      <c r="UMJ372" s="132"/>
      <c r="UMK372" s="132"/>
      <c r="UML372" s="132"/>
      <c r="UMM372" s="132"/>
      <c r="UMN372" s="132"/>
      <c r="UMO372" s="132"/>
      <c r="UMP372" s="132"/>
      <c r="UMQ372" s="132"/>
      <c r="UMR372" s="132"/>
      <c r="UMS372" s="132"/>
      <c r="UMT372" s="132"/>
      <c r="UMU372" s="132"/>
      <c r="UMV372" s="132"/>
      <c r="UMW372" s="132"/>
      <c r="UMX372" s="132"/>
      <c r="UMY372" s="132"/>
      <c r="UMZ372" s="132"/>
      <c r="UNA372" s="132"/>
      <c r="UNB372" s="132"/>
      <c r="UNC372" s="132"/>
      <c r="UND372" s="132"/>
      <c r="UNE372" s="132"/>
      <c r="UNF372" s="132"/>
      <c r="UNG372" s="132"/>
      <c r="UNH372" s="132"/>
      <c r="UNI372" s="132"/>
      <c r="UNJ372" s="132"/>
      <c r="UNK372" s="132"/>
      <c r="UNL372" s="132"/>
      <c r="UNM372" s="132"/>
      <c r="UNN372" s="132"/>
      <c r="UNO372" s="132"/>
      <c r="UNP372" s="132"/>
      <c r="UNQ372" s="132"/>
      <c r="UNR372" s="132"/>
      <c r="UNS372" s="132"/>
      <c r="UNT372" s="132"/>
      <c r="UNU372" s="132"/>
      <c r="UNV372" s="132"/>
      <c r="UNW372" s="132"/>
      <c r="UNX372" s="132"/>
      <c r="UNY372" s="132"/>
      <c r="UNZ372" s="132"/>
      <c r="UOA372" s="132"/>
      <c r="UOB372" s="132"/>
      <c r="UOC372" s="132"/>
      <c r="UOD372" s="132"/>
      <c r="UOE372" s="132"/>
      <c r="UOF372" s="132"/>
      <c r="UOG372" s="132"/>
      <c r="UOH372" s="132"/>
      <c r="UOI372" s="132"/>
      <c r="UOJ372" s="132"/>
      <c r="UOK372" s="132"/>
      <c r="UOL372" s="132"/>
      <c r="UOM372" s="132"/>
      <c r="UON372" s="132"/>
      <c r="UOO372" s="132"/>
      <c r="UOP372" s="132"/>
      <c r="UOQ372" s="132"/>
      <c r="UOR372" s="132"/>
      <c r="UOS372" s="132"/>
      <c r="UOT372" s="132"/>
      <c r="UOU372" s="132"/>
      <c r="UOV372" s="132"/>
      <c r="UOW372" s="132"/>
      <c r="UOX372" s="132"/>
      <c r="UOY372" s="132"/>
      <c r="UOZ372" s="132"/>
      <c r="UPA372" s="132"/>
      <c r="UPB372" s="132"/>
      <c r="UPC372" s="132"/>
      <c r="UPD372" s="132"/>
      <c r="UPE372" s="132"/>
      <c r="UPF372" s="132"/>
      <c r="UPG372" s="132"/>
      <c r="UPH372" s="132"/>
      <c r="UPI372" s="132"/>
      <c r="UPJ372" s="132"/>
      <c r="UPK372" s="132"/>
      <c r="UPL372" s="132"/>
      <c r="UPM372" s="132"/>
      <c r="UPN372" s="132"/>
      <c r="UPO372" s="132"/>
      <c r="UPP372" s="132"/>
      <c r="UPQ372" s="132"/>
      <c r="UPR372" s="132"/>
      <c r="UPS372" s="132"/>
      <c r="UPT372" s="132"/>
      <c r="UPU372" s="132"/>
      <c r="UPV372" s="132"/>
      <c r="UPW372" s="132"/>
      <c r="UPX372" s="132"/>
      <c r="UPY372" s="132"/>
      <c r="UPZ372" s="132"/>
      <c r="UQA372" s="132"/>
      <c r="UQB372" s="132"/>
      <c r="UQC372" s="132"/>
      <c r="UQD372" s="132"/>
      <c r="UQE372" s="132"/>
      <c r="UQF372" s="132"/>
      <c r="UQG372" s="132"/>
      <c r="UQH372" s="132"/>
      <c r="UQI372" s="132"/>
      <c r="UQJ372" s="132"/>
      <c r="UQK372" s="132"/>
      <c r="UQL372" s="132"/>
      <c r="UQM372" s="132"/>
      <c r="UQN372" s="132"/>
      <c r="UQO372" s="132"/>
      <c r="UQP372" s="132"/>
      <c r="UQQ372" s="132"/>
      <c r="UQR372" s="132"/>
      <c r="UQS372" s="132"/>
      <c r="UQT372" s="132"/>
      <c r="UQU372" s="132"/>
      <c r="UQV372" s="132"/>
      <c r="UQW372" s="132"/>
      <c r="UQX372" s="132"/>
      <c r="UQY372" s="132"/>
      <c r="UQZ372" s="132"/>
      <c r="URA372" s="132"/>
      <c r="URB372" s="132"/>
      <c r="URC372" s="132"/>
      <c r="URD372" s="132"/>
      <c r="URE372" s="132"/>
      <c r="URF372" s="132"/>
      <c r="URG372" s="132"/>
      <c r="URH372" s="132"/>
      <c r="URI372" s="132"/>
      <c r="URJ372" s="132"/>
      <c r="URK372" s="132"/>
      <c r="URL372" s="132"/>
      <c r="URM372" s="132"/>
      <c r="URN372" s="132"/>
      <c r="URO372" s="132"/>
      <c r="URP372" s="132"/>
      <c r="URQ372" s="132"/>
      <c r="URR372" s="132"/>
      <c r="URS372" s="132"/>
      <c r="URT372" s="132"/>
      <c r="URU372" s="132"/>
      <c r="URV372" s="132"/>
      <c r="URW372" s="132"/>
      <c r="URX372" s="132"/>
      <c r="URY372" s="132"/>
      <c r="URZ372" s="132"/>
      <c r="USA372" s="132"/>
      <c r="USB372" s="132"/>
      <c r="USC372" s="132"/>
      <c r="USD372" s="132"/>
      <c r="USE372" s="132"/>
      <c r="USF372" s="132"/>
      <c r="USG372" s="132"/>
      <c r="USH372" s="132"/>
      <c r="USI372" s="132"/>
      <c r="USJ372" s="132"/>
      <c r="USK372" s="132"/>
      <c r="USL372" s="132"/>
      <c r="USM372" s="132"/>
      <c r="USN372" s="132"/>
      <c r="USO372" s="132"/>
      <c r="USP372" s="132"/>
      <c r="USQ372" s="132"/>
      <c r="USR372" s="132"/>
      <c r="USS372" s="132"/>
      <c r="UST372" s="132"/>
      <c r="USU372" s="132"/>
      <c r="USV372" s="132"/>
      <c r="USW372" s="132"/>
      <c r="USX372" s="132"/>
      <c r="USY372" s="132"/>
      <c r="USZ372" s="132"/>
      <c r="UTA372" s="132"/>
      <c r="UTB372" s="132"/>
      <c r="UTC372" s="132"/>
      <c r="UTD372" s="132"/>
      <c r="UTE372" s="132"/>
      <c r="UTF372" s="132"/>
      <c r="UTG372" s="132"/>
      <c r="UTH372" s="132"/>
      <c r="UTI372" s="132"/>
      <c r="UTJ372" s="132"/>
      <c r="UTK372" s="132"/>
      <c r="UTL372" s="132"/>
      <c r="UTM372" s="132"/>
      <c r="UTN372" s="132"/>
      <c r="UTO372" s="132"/>
      <c r="UTP372" s="132"/>
      <c r="UTQ372" s="132"/>
      <c r="UTR372" s="132"/>
      <c r="UTS372" s="132"/>
      <c r="UTT372" s="132"/>
      <c r="UTU372" s="132"/>
      <c r="UTV372" s="132"/>
      <c r="UTW372" s="132"/>
      <c r="UTX372" s="132"/>
      <c r="UTY372" s="132"/>
      <c r="UTZ372" s="132"/>
      <c r="UUA372" s="132"/>
      <c r="UUB372" s="132"/>
      <c r="UUC372" s="132"/>
      <c r="UUD372" s="132"/>
      <c r="UUE372" s="132"/>
      <c r="UUF372" s="132"/>
      <c r="UUG372" s="132"/>
      <c r="UUH372" s="132"/>
      <c r="UUI372" s="132"/>
      <c r="UUJ372" s="132"/>
      <c r="UUK372" s="132"/>
      <c r="UUL372" s="132"/>
      <c r="UUM372" s="132"/>
      <c r="UUN372" s="132"/>
      <c r="UUO372" s="132"/>
      <c r="UUP372" s="132"/>
      <c r="UUQ372" s="132"/>
      <c r="UUR372" s="132"/>
      <c r="UUS372" s="132"/>
      <c r="UUT372" s="132"/>
      <c r="UUU372" s="132"/>
      <c r="UUV372" s="132"/>
      <c r="UUW372" s="132"/>
      <c r="UUX372" s="132"/>
      <c r="UUY372" s="132"/>
      <c r="UUZ372" s="132"/>
      <c r="UVA372" s="132"/>
      <c r="UVB372" s="132"/>
      <c r="UVC372" s="132"/>
      <c r="UVD372" s="132"/>
      <c r="UVE372" s="132"/>
      <c r="UVF372" s="132"/>
      <c r="UVG372" s="132"/>
      <c r="UVH372" s="132"/>
      <c r="UVI372" s="132"/>
      <c r="UVJ372" s="132"/>
      <c r="UVK372" s="132"/>
      <c r="UVL372" s="132"/>
      <c r="UVM372" s="132"/>
      <c r="UVN372" s="132"/>
      <c r="UVO372" s="132"/>
      <c r="UVP372" s="132"/>
      <c r="UVQ372" s="132"/>
      <c r="UVR372" s="132"/>
      <c r="UVS372" s="132"/>
      <c r="UVT372" s="132"/>
      <c r="UVU372" s="132"/>
      <c r="UVV372" s="132"/>
      <c r="UVW372" s="132"/>
      <c r="UVX372" s="132"/>
      <c r="UVY372" s="132"/>
      <c r="UVZ372" s="132"/>
      <c r="UWA372" s="132"/>
      <c r="UWB372" s="132"/>
      <c r="UWC372" s="132"/>
      <c r="UWD372" s="132"/>
      <c r="UWE372" s="132"/>
      <c r="UWF372" s="132"/>
      <c r="UWG372" s="132"/>
      <c r="UWH372" s="132"/>
      <c r="UWI372" s="132"/>
      <c r="UWJ372" s="132"/>
      <c r="UWK372" s="132"/>
      <c r="UWL372" s="132"/>
      <c r="UWM372" s="132"/>
      <c r="UWN372" s="132"/>
      <c r="UWO372" s="132"/>
      <c r="UWP372" s="132"/>
      <c r="UWQ372" s="132"/>
      <c r="UWR372" s="132"/>
      <c r="UWS372" s="132"/>
      <c r="UWT372" s="132"/>
      <c r="UWU372" s="132"/>
      <c r="UWV372" s="132"/>
      <c r="UWW372" s="132"/>
      <c r="UWX372" s="132"/>
      <c r="UWY372" s="132"/>
      <c r="UWZ372" s="132"/>
      <c r="UXA372" s="132"/>
      <c r="UXB372" s="132"/>
      <c r="UXC372" s="132"/>
      <c r="UXD372" s="132"/>
      <c r="UXE372" s="132"/>
      <c r="UXF372" s="132"/>
      <c r="UXG372" s="132"/>
      <c r="UXH372" s="132"/>
      <c r="UXI372" s="132"/>
      <c r="UXJ372" s="132"/>
      <c r="UXK372" s="132"/>
      <c r="UXL372" s="132"/>
      <c r="UXM372" s="132"/>
      <c r="UXN372" s="132"/>
      <c r="UXO372" s="132"/>
      <c r="UXP372" s="132"/>
      <c r="UXQ372" s="132"/>
      <c r="UXR372" s="132"/>
      <c r="UXS372" s="132"/>
      <c r="UXT372" s="132"/>
      <c r="UXU372" s="132"/>
      <c r="UXV372" s="132"/>
      <c r="UXW372" s="132"/>
      <c r="UXX372" s="132"/>
      <c r="UXY372" s="132"/>
      <c r="UXZ372" s="132"/>
      <c r="UYA372" s="132"/>
      <c r="UYB372" s="132"/>
      <c r="UYC372" s="132"/>
      <c r="UYD372" s="132"/>
      <c r="UYE372" s="132"/>
      <c r="UYF372" s="132"/>
      <c r="UYG372" s="132"/>
      <c r="UYH372" s="132"/>
      <c r="UYI372" s="132"/>
      <c r="UYJ372" s="132"/>
      <c r="UYK372" s="132"/>
      <c r="UYL372" s="132"/>
      <c r="UYM372" s="132"/>
      <c r="UYN372" s="132"/>
      <c r="UYO372" s="132"/>
      <c r="UYP372" s="132"/>
      <c r="UYQ372" s="132"/>
      <c r="UYR372" s="132"/>
      <c r="UYS372" s="132"/>
      <c r="UYT372" s="132"/>
      <c r="UYU372" s="132"/>
      <c r="UYV372" s="132"/>
      <c r="UYW372" s="132"/>
      <c r="UYX372" s="132"/>
      <c r="UYY372" s="132"/>
      <c r="UYZ372" s="132"/>
      <c r="UZA372" s="132"/>
      <c r="UZB372" s="132"/>
      <c r="UZC372" s="132"/>
      <c r="UZD372" s="132"/>
      <c r="UZE372" s="132"/>
      <c r="UZF372" s="132"/>
      <c r="UZG372" s="132"/>
      <c r="UZH372" s="132"/>
      <c r="UZI372" s="132"/>
      <c r="UZJ372" s="132"/>
      <c r="UZK372" s="132"/>
      <c r="UZL372" s="132"/>
      <c r="UZM372" s="132"/>
      <c r="UZN372" s="132"/>
      <c r="UZO372" s="132"/>
      <c r="UZP372" s="132"/>
      <c r="UZQ372" s="132"/>
      <c r="UZR372" s="132"/>
      <c r="UZS372" s="132"/>
      <c r="UZT372" s="132"/>
      <c r="UZU372" s="132"/>
      <c r="UZV372" s="132"/>
      <c r="UZW372" s="132"/>
      <c r="UZX372" s="132"/>
      <c r="UZY372" s="132"/>
      <c r="UZZ372" s="132"/>
      <c r="VAA372" s="132"/>
      <c r="VAB372" s="132"/>
      <c r="VAC372" s="132"/>
      <c r="VAD372" s="132"/>
      <c r="VAE372" s="132"/>
      <c r="VAF372" s="132"/>
      <c r="VAG372" s="132"/>
      <c r="VAH372" s="132"/>
      <c r="VAI372" s="132"/>
      <c r="VAJ372" s="132"/>
      <c r="VAK372" s="132"/>
      <c r="VAL372" s="132"/>
      <c r="VAM372" s="132"/>
      <c r="VAN372" s="132"/>
      <c r="VAO372" s="132"/>
      <c r="VAP372" s="132"/>
      <c r="VAQ372" s="132"/>
      <c r="VAR372" s="132"/>
      <c r="VAS372" s="132"/>
      <c r="VAT372" s="132"/>
      <c r="VAU372" s="132"/>
      <c r="VAV372" s="132"/>
      <c r="VAW372" s="132"/>
      <c r="VAX372" s="132"/>
      <c r="VAY372" s="132"/>
      <c r="VAZ372" s="132"/>
      <c r="VBA372" s="132"/>
      <c r="VBB372" s="132"/>
      <c r="VBC372" s="132"/>
      <c r="VBD372" s="132"/>
      <c r="VBE372" s="132"/>
      <c r="VBF372" s="132"/>
      <c r="VBG372" s="132"/>
      <c r="VBH372" s="132"/>
      <c r="VBI372" s="132"/>
      <c r="VBJ372" s="132"/>
      <c r="VBK372" s="132"/>
      <c r="VBL372" s="132"/>
      <c r="VBM372" s="132"/>
      <c r="VBN372" s="132"/>
      <c r="VBO372" s="132"/>
      <c r="VBP372" s="132"/>
      <c r="VBQ372" s="132"/>
      <c r="VBR372" s="132"/>
      <c r="VBS372" s="132"/>
      <c r="VBT372" s="132"/>
      <c r="VBU372" s="132"/>
      <c r="VBV372" s="132"/>
      <c r="VBW372" s="132"/>
      <c r="VBX372" s="132"/>
      <c r="VBY372" s="132"/>
      <c r="VBZ372" s="132"/>
      <c r="VCA372" s="132"/>
      <c r="VCB372" s="132"/>
      <c r="VCC372" s="132"/>
      <c r="VCD372" s="132"/>
      <c r="VCE372" s="132"/>
      <c r="VCF372" s="132"/>
      <c r="VCG372" s="132"/>
      <c r="VCH372" s="132"/>
      <c r="VCI372" s="132"/>
      <c r="VCJ372" s="132"/>
      <c r="VCK372" s="132"/>
      <c r="VCL372" s="132"/>
      <c r="VCM372" s="132"/>
      <c r="VCN372" s="132"/>
      <c r="VCO372" s="132"/>
      <c r="VCP372" s="132"/>
      <c r="VCQ372" s="132"/>
      <c r="VCR372" s="132"/>
      <c r="VCS372" s="132"/>
      <c r="VCT372" s="132"/>
      <c r="VCU372" s="132"/>
      <c r="VCV372" s="132"/>
      <c r="VCW372" s="132"/>
      <c r="VCX372" s="132"/>
      <c r="VCY372" s="132"/>
      <c r="VCZ372" s="132"/>
      <c r="VDA372" s="132"/>
      <c r="VDB372" s="132"/>
      <c r="VDC372" s="132"/>
      <c r="VDD372" s="132"/>
      <c r="VDE372" s="132"/>
      <c r="VDF372" s="132"/>
      <c r="VDG372" s="132"/>
      <c r="VDH372" s="132"/>
      <c r="VDI372" s="132"/>
      <c r="VDJ372" s="132"/>
      <c r="VDK372" s="132"/>
      <c r="VDL372" s="132"/>
      <c r="VDM372" s="132"/>
      <c r="VDN372" s="132"/>
      <c r="VDO372" s="132"/>
      <c r="VDP372" s="132"/>
      <c r="VDQ372" s="132"/>
      <c r="VDR372" s="132"/>
      <c r="VDS372" s="132"/>
      <c r="VDT372" s="132"/>
      <c r="VDU372" s="132"/>
      <c r="VDV372" s="132"/>
      <c r="VDW372" s="132"/>
      <c r="VDX372" s="132"/>
      <c r="VDY372" s="132"/>
      <c r="VDZ372" s="132"/>
      <c r="VEA372" s="132"/>
      <c r="VEB372" s="132"/>
      <c r="VEC372" s="132"/>
      <c r="VED372" s="132"/>
      <c r="VEE372" s="132"/>
      <c r="VEF372" s="132"/>
      <c r="VEG372" s="132"/>
      <c r="VEH372" s="132"/>
      <c r="VEI372" s="132"/>
      <c r="VEJ372" s="132"/>
      <c r="VEK372" s="132"/>
      <c r="VEL372" s="132"/>
      <c r="VEM372" s="132"/>
      <c r="VEN372" s="132"/>
      <c r="VEO372" s="132"/>
      <c r="VEP372" s="132"/>
      <c r="VEQ372" s="132"/>
      <c r="VER372" s="132"/>
      <c r="VES372" s="132"/>
      <c r="VET372" s="132"/>
      <c r="VEU372" s="132"/>
      <c r="VEV372" s="132"/>
      <c r="VEW372" s="132"/>
      <c r="VEX372" s="132"/>
      <c r="VEY372" s="132"/>
      <c r="VEZ372" s="132"/>
      <c r="VFA372" s="132"/>
      <c r="VFB372" s="132"/>
      <c r="VFC372" s="132"/>
      <c r="VFD372" s="132"/>
      <c r="VFE372" s="132"/>
      <c r="VFF372" s="132"/>
      <c r="VFG372" s="132"/>
      <c r="VFH372" s="132"/>
      <c r="VFI372" s="132"/>
      <c r="VFJ372" s="132"/>
      <c r="VFK372" s="132"/>
      <c r="VFL372" s="132"/>
      <c r="VFM372" s="132"/>
      <c r="VFN372" s="132"/>
      <c r="VFO372" s="132"/>
      <c r="VFP372" s="132"/>
      <c r="VFQ372" s="132"/>
      <c r="VFR372" s="132"/>
      <c r="VFS372" s="132"/>
      <c r="VFT372" s="132"/>
      <c r="VFU372" s="132"/>
      <c r="VFV372" s="132"/>
      <c r="VFW372" s="132"/>
      <c r="VFX372" s="132"/>
      <c r="VFY372" s="132"/>
      <c r="VFZ372" s="132"/>
      <c r="VGA372" s="132"/>
      <c r="VGB372" s="132"/>
      <c r="VGC372" s="132"/>
      <c r="VGD372" s="132"/>
      <c r="VGE372" s="132"/>
      <c r="VGF372" s="132"/>
      <c r="VGG372" s="132"/>
      <c r="VGH372" s="132"/>
      <c r="VGI372" s="132"/>
      <c r="VGJ372" s="132"/>
      <c r="VGK372" s="132"/>
      <c r="VGL372" s="132"/>
      <c r="VGM372" s="132"/>
      <c r="VGN372" s="132"/>
      <c r="VGO372" s="132"/>
      <c r="VGP372" s="132"/>
      <c r="VGQ372" s="132"/>
      <c r="VGR372" s="132"/>
      <c r="VGS372" s="132"/>
      <c r="VGT372" s="132"/>
      <c r="VGU372" s="132"/>
      <c r="VGV372" s="132"/>
      <c r="VGW372" s="132"/>
      <c r="VGX372" s="132"/>
      <c r="VGY372" s="132"/>
      <c r="VGZ372" s="132"/>
      <c r="VHA372" s="132"/>
      <c r="VHB372" s="132"/>
      <c r="VHC372" s="132"/>
      <c r="VHD372" s="132"/>
      <c r="VHE372" s="132"/>
      <c r="VHF372" s="132"/>
      <c r="VHG372" s="132"/>
      <c r="VHH372" s="132"/>
      <c r="VHI372" s="132"/>
      <c r="VHJ372" s="132"/>
      <c r="VHK372" s="132"/>
      <c r="VHL372" s="132"/>
      <c r="VHM372" s="132"/>
      <c r="VHN372" s="132"/>
      <c r="VHO372" s="132"/>
      <c r="VHP372" s="132"/>
      <c r="VHQ372" s="132"/>
      <c r="VHR372" s="132"/>
      <c r="VHS372" s="132"/>
      <c r="VHT372" s="132"/>
      <c r="VHU372" s="132"/>
      <c r="VHV372" s="132"/>
      <c r="VHW372" s="132"/>
      <c r="VHX372" s="132"/>
      <c r="VHY372" s="132"/>
      <c r="VHZ372" s="132"/>
      <c r="VIA372" s="132"/>
      <c r="VIB372" s="132"/>
      <c r="VIC372" s="132"/>
      <c r="VID372" s="132"/>
      <c r="VIE372" s="132"/>
      <c r="VIF372" s="132"/>
      <c r="VIG372" s="132"/>
      <c r="VIH372" s="132"/>
      <c r="VII372" s="132"/>
      <c r="VIJ372" s="132"/>
      <c r="VIK372" s="132"/>
      <c r="VIL372" s="132"/>
      <c r="VIM372" s="132"/>
      <c r="VIN372" s="132"/>
      <c r="VIO372" s="132"/>
      <c r="VIP372" s="132"/>
      <c r="VIQ372" s="132"/>
      <c r="VIR372" s="132"/>
      <c r="VIS372" s="132"/>
      <c r="VIT372" s="132"/>
      <c r="VIU372" s="132"/>
      <c r="VIV372" s="132"/>
      <c r="VIW372" s="132"/>
      <c r="VIX372" s="132"/>
      <c r="VIY372" s="132"/>
      <c r="VIZ372" s="132"/>
      <c r="VJA372" s="132"/>
      <c r="VJB372" s="132"/>
      <c r="VJC372" s="132"/>
      <c r="VJD372" s="132"/>
      <c r="VJE372" s="132"/>
      <c r="VJF372" s="132"/>
      <c r="VJG372" s="132"/>
      <c r="VJH372" s="132"/>
      <c r="VJI372" s="132"/>
      <c r="VJJ372" s="132"/>
      <c r="VJK372" s="132"/>
      <c r="VJL372" s="132"/>
      <c r="VJM372" s="132"/>
      <c r="VJN372" s="132"/>
      <c r="VJO372" s="132"/>
      <c r="VJP372" s="132"/>
      <c r="VJQ372" s="132"/>
      <c r="VJR372" s="132"/>
      <c r="VJS372" s="132"/>
      <c r="VJT372" s="132"/>
      <c r="VJU372" s="132"/>
      <c r="VJV372" s="132"/>
      <c r="VJW372" s="132"/>
      <c r="VJX372" s="132"/>
      <c r="VJY372" s="132"/>
      <c r="VJZ372" s="132"/>
      <c r="VKA372" s="132"/>
      <c r="VKB372" s="132"/>
      <c r="VKC372" s="132"/>
      <c r="VKD372" s="132"/>
      <c r="VKE372" s="132"/>
      <c r="VKF372" s="132"/>
      <c r="VKG372" s="132"/>
      <c r="VKH372" s="132"/>
      <c r="VKI372" s="132"/>
      <c r="VKJ372" s="132"/>
      <c r="VKK372" s="132"/>
      <c r="VKL372" s="132"/>
      <c r="VKM372" s="132"/>
      <c r="VKN372" s="132"/>
      <c r="VKO372" s="132"/>
      <c r="VKP372" s="132"/>
      <c r="VKQ372" s="132"/>
      <c r="VKR372" s="132"/>
      <c r="VKS372" s="132"/>
      <c r="VKT372" s="132"/>
      <c r="VKU372" s="132"/>
      <c r="VKV372" s="132"/>
      <c r="VKW372" s="132"/>
      <c r="VKX372" s="132"/>
      <c r="VKY372" s="132"/>
      <c r="VKZ372" s="132"/>
      <c r="VLA372" s="132"/>
      <c r="VLB372" s="132"/>
      <c r="VLC372" s="132"/>
      <c r="VLD372" s="132"/>
      <c r="VLE372" s="132"/>
      <c r="VLF372" s="132"/>
      <c r="VLG372" s="132"/>
      <c r="VLH372" s="132"/>
      <c r="VLI372" s="132"/>
      <c r="VLJ372" s="132"/>
      <c r="VLK372" s="132"/>
      <c r="VLL372" s="132"/>
      <c r="VLM372" s="132"/>
      <c r="VLN372" s="132"/>
      <c r="VLO372" s="132"/>
      <c r="VLP372" s="132"/>
      <c r="VLQ372" s="132"/>
      <c r="VLR372" s="132"/>
      <c r="VLS372" s="132"/>
      <c r="VLT372" s="132"/>
      <c r="VLU372" s="132"/>
      <c r="VLV372" s="132"/>
      <c r="VLW372" s="132"/>
      <c r="VLX372" s="132"/>
      <c r="VLY372" s="132"/>
      <c r="VLZ372" s="132"/>
      <c r="VMA372" s="132"/>
      <c r="VMB372" s="132"/>
      <c r="VMC372" s="132"/>
      <c r="VMD372" s="132"/>
      <c r="VME372" s="132"/>
      <c r="VMF372" s="132"/>
      <c r="VMG372" s="132"/>
      <c r="VMH372" s="132"/>
      <c r="VMI372" s="132"/>
      <c r="VMJ372" s="132"/>
      <c r="VMK372" s="132"/>
      <c r="VML372" s="132"/>
      <c r="VMM372" s="132"/>
      <c r="VMN372" s="132"/>
      <c r="VMO372" s="132"/>
      <c r="VMP372" s="132"/>
      <c r="VMQ372" s="132"/>
      <c r="VMR372" s="132"/>
      <c r="VMS372" s="132"/>
      <c r="VMT372" s="132"/>
      <c r="VMU372" s="132"/>
      <c r="VMV372" s="132"/>
      <c r="VMW372" s="132"/>
      <c r="VMX372" s="132"/>
      <c r="VMY372" s="132"/>
      <c r="VMZ372" s="132"/>
      <c r="VNA372" s="132"/>
      <c r="VNB372" s="132"/>
      <c r="VNC372" s="132"/>
      <c r="VND372" s="132"/>
      <c r="VNE372" s="132"/>
      <c r="VNF372" s="132"/>
      <c r="VNG372" s="132"/>
      <c r="VNH372" s="132"/>
      <c r="VNI372" s="132"/>
      <c r="VNJ372" s="132"/>
      <c r="VNK372" s="132"/>
      <c r="VNL372" s="132"/>
      <c r="VNM372" s="132"/>
      <c r="VNN372" s="132"/>
      <c r="VNO372" s="132"/>
      <c r="VNP372" s="132"/>
      <c r="VNQ372" s="132"/>
      <c r="VNR372" s="132"/>
      <c r="VNS372" s="132"/>
      <c r="VNT372" s="132"/>
      <c r="VNU372" s="132"/>
      <c r="VNV372" s="132"/>
      <c r="VNW372" s="132"/>
      <c r="VNX372" s="132"/>
      <c r="VNY372" s="132"/>
      <c r="VNZ372" s="132"/>
      <c r="VOA372" s="132"/>
      <c r="VOB372" s="132"/>
      <c r="VOC372" s="132"/>
      <c r="VOD372" s="132"/>
      <c r="VOE372" s="132"/>
      <c r="VOF372" s="132"/>
      <c r="VOG372" s="132"/>
      <c r="VOH372" s="132"/>
      <c r="VOI372" s="132"/>
      <c r="VOJ372" s="132"/>
      <c r="VOK372" s="132"/>
      <c r="VOL372" s="132"/>
      <c r="VOM372" s="132"/>
      <c r="VON372" s="132"/>
      <c r="VOO372" s="132"/>
      <c r="VOP372" s="132"/>
      <c r="VOQ372" s="132"/>
      <c r="VOR372" s="132"/>
      <c r="VOS372" s="132"/>
      <c r="VOT372" s="132"/>
      <c r="VOU372" s="132"/>
      <c r="VOV372" s="132"/>
      <c r="VOW372" s="132"/>
      <c r="VOX372" s="132"/>
      <c r="VOY372" s="132"/>
      <c r="VOZ372" s="132"/>
      <c r="VPA372" s="132"/>
      <c r="VPB372" s="132"/>
      <c r="VPC372" s="132"/>
      <c r="VPD372" s="132"/>
      <c r="VPE372" s="132"/>
      <c r="VPF372" s="132"/>
      <c r="VPG372" s="132"/>
      <c r="VPH372" s="132"/>
      <c r="VPI372" s="132"/>
      <c r="VPJ372" s="132"/>
      <c r="VPK372" s="132"/>
      <c r="VPL372" s="132"/>
      <c r="VPM372" s="132"/>
      <c r="VPN372" s="132"/>
      <c r="VPO372" s="132"/>
      <c r="VPP372" s="132"/>
      <c r="VPQ372" s="132"/>
      <c r="VPR372" s="132"/>
      <c r="VPS372" s="132"/>
      <c r="VPT372" s="132"/>
      <c r="VPU372" s="132"/>
      <c r="VPV372" s="132"/>
      <c r="VPW372" s="132"/>
      <c r="VPX372" s="132"/>
      <c r="VPY372" s="132"/>
      <c r="VPZ372" s="132"/>
      <c r="VQA372" s="132"/>
      <c r="VQB372" s="132"/>
      <c r="VQC372" s="132"/>
      <c r="VQD372" s="132"/>
      <c r="VQE372" s="132"/>
      <c r="VQF372" s="132"/>
      <c r="VQG372" s="132"/>
      <c r="VQH372" s="132"/>
      <c r="VQI372" s="132"/>
      <c r="VQJ372" s="132"/>
      <c r="VQK372" s="132"/>
      <c r="VQL372" s="132"/>
      <c r="VQM372" s="132"/>
      <c r="VQN372" s="132"/>
      <c r="VQO372" s="132"/>
      <c r="VQP372" s="132"/>
      <c r="VQQ372" s="132"/>
      <c r="VQR372" s="132"/>
      <c r="VQS372" s="132"/>
      <c r="VQT372" s="132"/>
      <c r="VQU372" s="132"/>
      <c r="VQV372" s="132"/>
      <c r="VQW372" s="132"/>
      <c r="VQX372" s="132"/>
      <c r="VQY372" s="132"/>
      <c r="VQZ372" s="132"/>
      <c r="VRA372" s="132"/>
      <c r="VRB372" s="132"/>
      <c r="VRC372" s="132"/>
      <c r="VRD372" s="132"/>
      <c r="VRE372" s="132"/>
      <c r="VRF372" s="132"/>
      <c r="VRG372" s="132"/>
      <c r="VRH372" s="132"/>
      <c r="VRI372" s="132"/>
      <c r="VRJ372" s="132"/>
      <c r="VRK372" s="132"/>
      <c r="VRL372" s="132"/>
      <c r="VRM372" s="132"/>
      <c r="VRN372" s="132"/>
      <c r="VRO372" s="132"/>
      <c r="VRP372" s="132"/>
      <c r="VRQ372" s="132"/>
      <c r="VRR372" s="132"/>
      <c r="VRS372" s="132"/>
      <c r="VRT372" s="132"/>
      <c r="VRU372" s="132"/>
      <c r="VRV372" s="132"/>
      <c r="VRW372" s="132"/>
      <c r="VRX372" s="132"/>
      <c r="VRY372" s="132"/>
      <c r="VRZ372" s="132"/>
      <c r="VSA372" s="132"/>
      <c r="VSB372" s="132"/>
      <c r="VSC372" s="132"/>
      <c r="VSD372" s="132"/>
      <c r="VSE372" s="132"/>
      <c r="VSF372" s="132"/>
      <c r="VSG372" s="132"/>
      <c r="VSH372" s="132"/>
      <c r="VSI372" s="132"/>
      <c r="VSJ372" s="132"/>
      <c r="VSK372" s="132"/>
      <c r="VSL372" s="132"/>
      <c r="VSM372" s="132"/>
      <c r="VSN372" s="132"/>
      <c r="VSO372" s="132"/>
      <c r="VSP372" s="132"/>
      <c r="VSQ372" s="132"/>
      <c r="VSR372" s="132"/>
      <c r="VSS372" s="132"/>
      <c r="VST372" s="132"/>
      <c r="VSU372" s="132"/>
      <c r="VSV372" s="132"/>
      <c r="VSW372" s="132"/>
      <c r="VSX372" s="132"/>
      <c r="VSY372" s="132"/>
      <c r="VSZ372" s="132"/>
      <c r="VTA372" s="132"/>
      <c r="VTB372" s="132"/>
      <c r="VTC372" s="132"/>
      <c r="VTD372" s="132"/>
      <c r="VTE372" s="132"/>
      <c r="VTF372" s="132"/>
      <c r="VTG372" s="132"/>
      <c r="VTH372" s="132"/>
      <c r="VTI372" s="132"/>
      <c r="VTJ372" s="132"/>
      <c r="VTK372" s="132"/>
      <c r="VTL372" s="132"/>
      <c r="VTM372" s="132"/>
      <c r="VTN372" s="132"/>
      <c r="VTO372" s="132"/>
      <c r="VTP372" s="132"/>
      <c r="VTQ372" s="132"/>
      <c r="VTR372" s="132"/>
      <c r="VTS372" s="132"/>
      <c r="VTT372" s="132"/>
      <c r="VTU372" s="132"/>
      <c r="VTV372" s="132"/>
      <c r="VTW372" s="132"/>
      <c r="VTX372" s="132"/>
      <c r="VTY372" s="132"/>
      <c r="VTZ372" s="132"/>
      <c r="VUA372" s="132"/>
      <c r="VUB372" s="132"/>
      <c r="VUC372" s="132"/>
      <c r="VUD372" s="132"/>
      <c r="VUE372" s="132"/>
      <c r="VUF372" s="132"/>
      <c r="VUG372" s="132"/>
      <c r="VUH372" s="132"/>
      <c r="VUI372" s="132"/>
      <c r="VUJ372" s="132"/>
      <c r="VUK372" s="132"/>
      <c r="VUL372" s="132"/>
      <c r="VUM372" s="132"/>
      <c r="VUN372" s="132"/>
      <c r="VUO372" s="132"/>
      <c r="VUP372" s="132"/>
      <c r="VUQ372" s="132"/>
      <c r="VUR372" s="132"/>
      <c r="VUS372" s="132"/>
      <c r="VUT372" s="132"/>
      <c r="VUU372" s="132"/>
      <c r="VUV372" s="132"/>
      <c r="VUW372" s="132"/>
      <c r="VUX372" s="132"/>
      <c r="VUY372" s="132"/>
      <c r="VUZ372" s="132"/>
      <c r="VVA372" s="132"/>
      <c r="VVB372" s="132"/>
      <c r="VVC372" s="132"/>
      <c r="VVD372" s="132"/>
      <c r="VVE372" s="132"/>
      <c r="VVF372" s="132"/>
      <c r="VVG372" s="132"/>
      <c r="VVH372" s="132"/>
      <c r="VVI372" s="132"/>
      <c r="VVJ372" s="132"/>
      <c r="VVK372" s="132"/>
      <c r="VVL372" s="132"/>
      <c r="VVM372" s="132"/>
      <c r="VVN372" s="132"/>
      <c r="VVO372" s="132"/>
      <c r="VVP372" s="132"/>
      <c r="VVQ372" s="132"/>
      <c r="VVR372" s="132"/>
      <c r="VVS372" s="132"/>
      <c r="VVT372" s="132"/>
      <c r="VVU372" s="132"/>
      <c r="VVV372" s="132"/>
      <c r="VVW372" s="132"/>
      <c r="VVX372" s="132"/>
      <c r="VVY372" s="132"/>
      <c r="VVZ372" s="132"/>
      <c r="VWA372" s="132"/>
      <c r="VWB372" s="132"/>
      <c r="VWC372" s="132"/>
      <c r="VWD372" s="132"/>
      <c r="VWE372" s="132"/>
      <c r="VWF372" s="132"/>
      <c r="VWG372" s="132"/>
      <c r="VWH372" s="132"/>
      <c r="VWI372" s="132"/>
      <c r="VWJ372" s="132"/>
      <c r="VWK372" s="132"/>
      <c r="VWL372" s="132"/>
      <c r="VWM372" s="132"/>
      <c r="VWN372" s="132"/>
      <c r="VWO372" s="132"/>
      <c r="VWP372" s="132"/>
      <c r="VWQ372" s="132"/>
      <c r="VWR372" s="132"/>
      <c r="VWS372" s="132"/>
      <c r="VWT372" s="132"/>
      <c r="VWU372" s="132"/>
      <c r="VWV372" s="132"/>
      <c r="VWW372" s="132"/>
      <c r="VWX372" s="132"/>
      <c r="VWY372" s="132"/>
      <c r="VWZ372" s="132"/>
      <c r="VXA372" s="132"/>
      <c r="VXB372" s="132"/>
      <c r="VXC372" s="132"/>
      <c r="VXD372" s="132"/>
      <c r="VXE372" s="132"/>
      <c r="VXF372" s="132"/>
      <c r="VXG372" s="132"/>
      <c r="VXH372" s="132"/>
      <c r="VXI372" s="132"/>
      <c r="VXJ372" s="132"/>
      <c r="VXK372" s="132"/>
      <c r="VXL372" s="132"/>
      <c r="VXM372" s="132"/>
      <c r="VXN372" s="132"/>
      <c r="VXO372" s="132"/>
      <c r="VXP372" s="132"/>
      <c r="VXQ372" s="132"/>
      <c r="VXR372" s="132"/>
      <c r="VXS372" s="132"/>
      <c r="VXT372" s="132"/>
      <c r="VXU372" s="132"/>
      <c r="VXV372" s="132"/>
      <c r="VXW372" s="132"/>
      <c r="VXX372" s="132"/>
      <c r="VXY372" s="132"/>
      <c r="VXZ372" s="132"/>
      <c r="VYA372" s="132"/>
      <c r="VYB372" s="132"/>
      <c r="VYC372" s="132"/>
      <c r="VYD372" s="132"/>
      <c r="VYE372" s="132"/>
      <c r="VYF372" s="132"/>
      <c r="VYG372" s="132"/>
      <c r="VYH372" s="132"/>
      <c r="VYI372" s="132"/>
      <c r="VYJ372" s="132"/>
      <c r="VYK372" s="132"/>
      <c r="VYL372" s="132"/>
      <c r="VYM372" s="132"/>
      <c r="VYN372" s="132"/>
      <c r="VYO372" s="132"/>
      <c r="VYP372" s="132"/>
      <c r="VYQ372" s="132"/>
      <c r="VYR372" s="132"/>
      <c r="VYS372" s="132"/>
      <c r="VYT372" s="132"/>
      <c r="VYU372" s="132"/>
      <c r="VYV372" s="132"/>
      <c r="VYW372" s="132"/>
      <c r="VYX372" s="132"/>
      <c r="VYY372" s="132"/>
      <c r="VYZ372" s="132"/>
      <c r="VZA372" s="132"/>
      <c r="VZB372" s="132"/>
      <c r="VZC372" s="132"/>
      <c r="VZD372" s="132"/>
      <c r="VZE372" s="132"/>
      <c r="VZF372" s="132"/>
      <c r="VZG372" s="132"/>
      <c r="VZH372" s="132"/>
      <c r="VZI372" s="132"/>
      <c r="VZJ372" s="132"/>
      <c r="VZK372" s="132"/>
      <c r="VZL372" s="132"/>
      <c r="VZM372" s="132"/>
      <c r="VZN372" s="132"/>
      <c r="VZO372" s="132"/>
      <c r="VZP372" s="132"/>
      <c r="VZQ372" s="132"/>
      <c r="VZR372" s="132"/>
      <c r="VZS372" s="132"/>
      <c r="VZT372" s="132"/>
      <c r="VZU372" s="132"/>
      <c r="VZV372" s="132"/>
      <c r="VZW372" s="132"/>
      <c r="VZX372" s="132"/>
      <c r="VZY372" s="132"/>
      <c r="VZZ372" s="132"/>
      <c r="WAA372" s="132"/>
      <c r="WAB372" s="132"/>
      <c r="WAC372" s="132"/>
      <c r="WAD372" s="132"/>
      <c r="WAE372" s="132"/>
      <c r="WAF372" s="132"/>
      <c r="WAG372" s="132"/>
      <c r="WAH372" s="132"/>
      <c r="WAI372" s="132"/>
      <c r="WAJ372" s="132"/>
      <c r="WAK372" s="132"/>
      <c r="WAL372" s="132"/>
      <c r="WAM372" s="132"/>
      <c r="WAN372" s="132"/>
      <c r="WAO372" s="132"/>
      <c r="WAP372" s="132"/>
      <c r="WAQ372" s="132"/>
      <c r="WAR372" s="132"/>
      <c r="WAS372" s="132"/>
      <c r="WAT372" s="132"/>
      <c r="WAU372" s="132"/>
      <c r="WAV372" s="132"/>
      <c r="WAW372" s="132"/>
      <c r="WAX372" s="132"/>
      <c r="WAY372" s="132"/>
      <c r="WAZ372" s="132"/>
      <c r="WBA372" s="132"/>
      <c r="WBB372" s="132"/>
      <c r="WBC372" s="132"/>
      <c r="WBD372" s="132"/>
      <c r="WBE372" s="132"/>
      <c r="WBF372" s="132"/>
      <c r="WBG372" s="132"/>
      <c r="WBH372" s="132"/>
      <c r="WBI372" s="132"/>
      <c r="WBJ372" s="132"/>
      <c r="WBK372" s="132"/>
      <c r="WBL372" s="132"/>
      <c r="WBM372" s="132"/>
      <c r="WBN372" s="132"/>
      <c r="WBO372" s="132"/>
      <c r="WBP372" s="132"/>
      <c r="WBQ372" s="132"/>
      <c r="WBR372" s="132"/>
      <c r="WBS372" s="132"/>
      <c r="WBT372" s="132"/>
      <c r="WBU372" s="132"/>
      <c r="WBV372" s="132"/>
      <c r="WBW372" s="132"/>
      <c r="WBX372" s="132"/>
      <c r="WBY372" s="132"/>
      <c r="WBZ372" s="132"/>
      <c r="WCA372" s="132"/>
      <c r="WCB372" s="132"/>
      <c r="WCC372" s="132"/>
      <c r="WCD372" s="132"/>
      <c r="WCE372" s="132"/>
      <c r="WCF372" s="132"/>
      <c r="WCG372" s="132"/>
      <c r="WCH372" s="132"/>
      <c r="WCI372" s="132"/>
      <c r="WCJ372" s="132"/>
      <c r="WCK372" s="132"/>
      <c r="WCL372" s="132"/>
      <c r="WCM372" s="132"/>
      <c r="WCN372" s="132"/>
      <c r="WCO372" s="132"/>
      <c r="WCP372" s="132"/>
      <c r="WCQ372" s="132"/>
      <c r="WCR372" s="132"/>
      <c r="WCS372" s="132"/>
      <c r="WCT372" s="132"/>
      <c r="WCU372" s="132"/>
      <c r="WCV372" s="132"/>
      <c r="WCW372" s="132"/>
      <c r="WCX372" s="132"/>
      <c r="WCY372" s="132"/>
      <c r="WCZ372" s="132"/>
      <c r="WDA372" s="132"/>
      <c r="WDB372" s="132"/>
      <c r="WDC372" s="132"/>
      <c r="WDD372" s="132"/>
      <c r="WDE372" s="132"/>
      <c r="WDF372" s="132"/>
      <c r="WDG372" s="132"/>
      <c r="WDH372" s="132"/>
      <c r="WDI372" s="132"/>
      <c r="WDJ372" s="132"/>
      <c r="WDK372" s="132"/>
      <c r="WDL372" s="132"/>
      <c r="WDM372" s="132"/>
      <c r="WDN372" s="132"/>
      <c r="WDO372" s="132"/>
      <c r="WDP372" s="132"/>
      <c r="WDQ372" s="132"/>
      <c r="WDR372" s="132"/>
      <c r="WDS372" s="132"/>
      <c r="WDT372" s="132"/>
      <c r="WDU372" s="132"/>
      <c r="WDV372" s="132"/>
      <c r="WDW372" s="132"/>
      <c r="WDX372" s="132"/>
      <c r="WDY372" s="132"/>
      <c r="WDZ372" s="132"/>
      <c r="WEA372" s="132"/>
      <c r="WEB372" s="132"/>
      <c r="WEC372" s="132"/>
      <c r="WED372" s="132"/>
      <c r="WEE372" s="132"/>
      <c r="WEF372" s="132"/>
      <c r="WEG372" s="132"/>
      <c r="WEH372" s="132"/>
      <c r="WEI372" s="132"/>
      <c r="WEJ372" s="132"/>
      <c r="WEK372" s="132"/>
      <c r="WEL372" s="132"/>
      <c r="WEM372" s="132"/>
      <c r="WEN372" s="132"/>
      <c r="WEO372" s="132"/>
      <c r="WEP372" s="132"/>
      <c r="WEQ372" s="132"/>
      <c r="WER372" s="132"/>
      <c r="WES372" s="132"/>
      <c r="WET372" s="132"/>
      <c r="WEU372" s="132"/>
      <c r="WEV372" s="132"/>
      <c r="WEW372" s="132"/>
      <c r="WEX372" s="132"/>
      <c r="WEY372" s="132"/>
      <c r="WEZ372" s="132"/>
      <c r="WFA372" s="132"/>
      <c r="WFB372" s="132"/>
      <c r="WFC372" s="132"/>
      <c r="WFD372" s="132"/>
      <c r="WFE372" s="132"/>
      <c r="WFF372" s="132"/>
      <c r="WFG372" s="132"/>
      <c r="WFH372" s="132"/>
      <c r="WFI372" s="132"/>
      <c r="WFJ372" s="132"/>
      <c r="WFK372" s="132"/>
      <c r="WFL372" s="132"/>
      <c r="WFM372" s="132"/>
      <c r="WFN372" s="132"/>
      <c r="WFO372" s="132"/>
      <c r="WFP372" s="132"/>
      <c r="WFQ372" s="132"/>
      <c r="WFR372" s="132"/>
      <c r="WFS372" s="132"/>
      <c r="WFT372" s="132"/>
      <c r="WFU372" s="132"/>
      <c r="WFV372" s="132"/>
      <c r="WFW372" s="132"/>
      <c r="WFX372" s="132"/>
      <c r="WFY372" s="132"/>
      <c r="WFZ372" s="132"/>
      <c r="WGA372" s="132"/>
      <c r="WGB372" s="132"/>
      <c r="WGC372" s="132"/>
      <c r="WGD372" s="132"/>
      <c r="WGE372" s="132"/>
      <c r="WGF372" s="132"/>
      <c r="WGG372" s="132"/>
      <c r="WGH372" s="132"/>
      <c r="WGI372" s="132"/>
      <c r="WGJ372" s="132"/>
      <c r="WGK372" s="132"/>
      <c r="WGL372" s="132"/>
      <c r="WGM372" s="132"/>
      <c r="WGN372" s="132"/>
      <c r="WGO372" s="132"/>
      <c r="WGP372" s="132"/>
      <c r="WGQ372" s="132"/>
      <c r="WGR372" s="132"/>
      <c r="WGS372" s="132"/>
      <c r="WGT372" s="132"/>
      <c r="WGU372" s="132"/>
      <c r="WGV372" s="132"/>
      <c r="WGW372" s="132"/>
      <c r="WGX372" s="132"/>
      <c r="WGY372" s="132"/>
      <c r="WGZ372" s="132"/>
      <c r="WHA372" s="132"/>
      <c r="WHB372" s="132"/>
      <c r="WHC372" s="132"/>
      <c r="WHD372" s="132"/>
      <c r="WHE372" s="132"/>
      <c r="WHF372" s="132"/>
      <c r="WHG372" s="132"/>
      <c r="WHH372" s="132"/>
      <c r="WHI372" s="132"/>
      <c r="WHJ372" s="132"/>
      <c r="WHK372" s="132"/>
      <c r="WHL372" s="132"/>
      <c r="WHM372" s="132"/>
      <c r="WHN372" s="132"/>
      <c r="WHO372" s="132"/>
      <c r="WHP372" s="132"/>
      <c r="WHQ372" s="132"/>
      <c r="WHR372" s="132"/>
      <c r="WHS372" s="132"/>
      <c r="WHT372" s="132"/>
      <c r="WHU372" s="132"/>
      <c r="WHV372" s="132"/>
      <c r="WHW372" s="132"/>
      <c r="WHX372" s="132"/>
      <c r="WHY372" s="132"/>
      <c r="WHZ372" s="132"/>
      <c r="WIA372" s="132"/>
      <c r="WIB372" s="132"/>
      <c r="WIC372" s="132"/>
      <c r="WID372" s="132"/>
      <c r="WIE372" s="132"/>
      <c r="WIF372" s="132"/>
      <c r="WIG372" s="132"/>
      <c r="WIH372" s="132"/>
      <c r="WII372" s="132"/>
      <c r="WIJ372" s="132"/>
      <c r="WIK372" s="132"/>
      <c r="WIL372" s="132"/>
      <c r="WIM372" s="132"/>
      <c r="WIN372" s="132"/>
      <c r="WIO372" s="132"/>
      <c r="WIP372" s="132"/>
      <c r="WIQ372" s="132"/>
      <c r="WIR372" s="132"/>
      <c r="WIS372" s="132"/>
      <c r="WIT372" s="132"/>
      <c r="WIU372" s="132"/>
      <c r="WIV372" s="132"/>
      <c r="WIW372" s="132"/>
      <c r="WIX372" s="132"/>
      <c r="WIY372" s="132"/>
      <c r="WIZ372" s="132"/>
      <c r="WJA372" s="132"/>
      <c r="WJB372" s="132"/>
      <c r="WJC372" s="132"/>
      <c r="WJD372" s="132"/>
      <c r="WJE372" s="132"/>
      <c r="WJF372" s="132"/>
      <c r="WJG372" s="132"/>
      <c r="WJH372" s="132"/>
      <c r="WJI372" s="132"/>
      <c r="WJJ372" s="132"/>
      <c r="WJK372" s="132"/>
      <c r="WJL372" s="132"/>
      <c r="WJM372" s="132"/>
      <c r="WJN372" s="132"/>
      <c r="WJO372" s="132"/>
      <c r="WJP372" s="132"/>
      <c r="WJQ372" s="132"/>
      <c r="WJR372" s="132"/>
      <c r="WJS372" s="132"/>
      <c r="WJT372" s="132"/>
      <c r="WJU372" s="132"/>
      <c r="WJV372" s="132"/>
      <c r="WJW372" s="132"/>
      <c r="WJX372" s="132"/>
      <c r="WJY372" s="132"/>
      <c r="WJZ372" s="132"/>
      <c r="WKA372" s="132"/>
      <c r="WKB372" s="132"/>
      <c r="WKC372" s="132"/>
      <c r="WKD372" s="132"/>
      <c r="WKE372" s="132"/>
      <c r="WKF372" s="132"/>
      <c r="WKG372" s="132"/>
      <c r="WKH372" s="132"/>
      <c r="WKI372" s="132"/>
      <c r="WKJ372" s="132"/>
      <c r="WKK372" s="132"/>
      <c r="WKL372" s="132"/>
      <c r="WKM372" s="132"/>
      <c r="WKN372" s="132"/>
      <c r="WKO372" s="132"/>
      <c r="WKP372" s="132"/>
      <c r="WKQ372" s="132"/>
      <c r="WKR372" s="132"/>
      <c r="WKS372" s="132"/>
      <c r="WKT372" s="132"/>
      <c r="WKU372" s="132"/>
      <c r="WKV372" s="132"/>
      <c r="WKW372" s="132"/>
      <c r="WKX372" s="132"/>
      <c r="WKY372" s="132"/>
      <c r="WKZ372" s="132"/>
      <c r="WLA372" s="132"/>
      <c r="WLB372" s="132"/>
      <c r="WLC372" s="132"/>
      <c r="WLD372" s="132"/>
      <c r="WLE372" s="132"/>
      <c r="WLF372" s="132"/>
      <c r="WLG372" s="132"/>
      <c r="WLH372" s="132"/>
      <c r="WLI372" s="132"/>
      <c r="WLJ372" s="132"/>
      <c r="WLK372" s="132"/>
      <c r="WLL372" s="132"/>
      <c r="WLM372" s="132"/>
      <c r="WLN372" s="132"/>
      <c r="WLO372" s="132"/>
      <c r="WLP372" s="132"/>
      <c r="WLQ372" s="132"/>
      <c r="WLR372" s="132"/>
      <c r="WLS372" s="132"/>
      <c r="WLT372" s="132"/>
      <c r="WLU372" s="132"/>
      <c r="WLV372" s="132"/>
      <c r="WLW372" s="132"/>
      <c r="WLX372" s="132"/>
      <c r="WLY372" s="132"/>
      <c r="WLZ372" s="132"/>
      <c r="WMA372" s="132"/>
      <c r="WMB372" s="132"/>
      <c r="WMC372" s="132"/>
      <c r="WMD372" s="132"/>
      <c r="WME372" s="132"/>
      <c r="WMF372" s="132"/>
      <c r="WMG372" s="132"/>
      <c r="WMH372" s="132"/>
      <c r="WMI372" s="132"/>
      <c r="WMJ372" s="132"/>
      <c r="WMK372" s="132"/>
      <c r="WML372" s="132"/>
      <c r="WMM372" s="132"/>
      <c r="WMN372" s="132"/>
      <c r="WMO372" s="132"/>
      <c r="WMP372" s="132"/>
      <c r="WMQ372" s="132"/>
      <c r="WMR372" s="132"/>
      <c r="WMS372" s="132"/>
      <c r="WMT372" s="132"/>
      <c r="WMU372" s="132"/>
      <c r="WMV372" s="132"/>
      <c r="WMW372" s="132"/>
      <c r="WMX372" s="132"/>
      <c r="WMY372" s="132"/>
      <c r="WMZ372" s="132"/>
      <c r="WNA372" s="132"/>
      <c r="WNB372" s="132"/>
      <c r="WNC372" s="132"/>
      <c r="WND372" s="132"/>
      <c r="WNE372" s="132"/>
      <c r="WNF372" s="132"/>
      <c r="WNG372" s="132"/>
      <c r="WNH372" s="132"/>
      <c r="WNI372" s="132"/>
      <c r="WNJ372" s="132"/>
      <c r="WNK372" s="132"/>
      <c r="WNL372" s="132"/>
      <c r="WNM372" s="132"/>
      <c r="WNN372" s="132"/>
      <c r="WNO372" s="132"/>
      <c r="WNP372" s="132"/>
      <c r="WNQ372" s="132"/>
      <c r="WNR372" s="132"/>
      <c r="WNS372" s="132"/>
      <c r="WNT372" s="132"/>
      <c r="WNU372" s="132"/>
      <c r="WNV372" s="132"/>
      <c r="WNW372" s="132"/>
      <c r="WNX372" s="132"/>
      <c r="WNY372" s="132"/>
      <c r="WNZ372" s="132"/>
      <c r="WOA372" s="132"/>
      <c r="WOB372" s="132"/>
      <c r="WOC372" s="132"/>
      <c r="WOD372" s="132"/>
      <c r="WOE372" s="132"/>
      <c r="WOF372" s="132"/>
      <c r="WOG372" s="132"/>
      <c r="WOH372" s="132"/>
      <c r="WOI372" s="132"/>
      <c r="WOJ372" s="132"/>
      <c r="WOK372" s="132"/>
      <c r="WOL372" s="132"/>
      <c r="WOM372" s="132"/>
      <c r="WON372" s="132"/>
      <c r="WOO372" s="132"/>
      <c r="WOP372" s="132"/>
      <c r="WOQ372" s="132"/>
      <c r="WOR372" s="132"/>
      <c r="WOS372" s="132"/>
      <c r="WOT372" s="132"/>
      <c r="WOU372" s="132"/>
      <c r="WOV372" s="132"/>
      <c r="WOW372" s="132"/>
      <c r="WOX372" s="132"/>
      <c r="WOY372" s="132"/>
      <c r="WOZ372" s="132"/>
      <c r="WPA372" s="132"/>
      <c r="WPB372" s="132"/>
      <c r="WPC372" s="132"/>
      <c r="WPD372" s="132"/>
      <c r="WPE372" s="132"/>
      <c r="WPF372" s="132"/>
      <c r="WPG372" s="132"/>
      <c r="WPH372" s="132"/>
      <c r="WPI372" s="132"/>
      <c r="WPJ372" s="132"/>
      <c r="WPK372" s="132"/>
      <c r="WPL372" s="132"/>
      <c r="WPM372" s="132"/>
      <c r="WPN372" s="132"/>
      <c r="WPO372" s="132"/>
      <c r="WPP372" s="132"/>
      <c r="WPQ372" s="132"/>
      <c r="WPR372" s="132"/>
      <c r="WPS372" s="132"/>
      <c r="WPT372" s="132"/>
      <c r="WPU372" s="132"/>
      <c r="WPV372" s="132"/>
      <c r="WPW372" s="132"/>
      <c r="WPX372" s="132"/>
      <c r="WPY372" s="132"/>
      <c r="WPZ372" s="132"/>
      <c r="WQA372" s="132"/>
      <c r="WQB372" s="132"/>
      <c r="WQC372" s="132"/>
      <c r="WQD372" s="132"/>
      <c r="WQE372" s="132"/>
      <c r="WQF372" s="132"/>
      <c r="WQG372" s="132"/>
      <c r="WQH372" s="132"/>
      <c r="WQI372" s="132"/>
      <c r="WQJ372" s="132"/>
      <c r="WQK372" s="132"/>
      <c r="WQL372" s="132"/>
      <c r="WQM372" s="132"/>
      <c r="WQN372" s="132"/>
      <c r="WQO372" s="132"/>
      <c r="WQP372" s="132"/>
      <c r="WQQ372" s="132"/>
      <c r="WQR372" s="132"/>
      <c r="WQS372" s="132"/>
      <c r="WQT372" s="132"/>
      <c r="WQU372" s="132"/>
      <c r="WQV372" s="132"/>
      <c r="WQW372" s="132"/>
      <c r="WQX372" s="132"/>
      <c r="WQY372" s="132"/>
      <c r="WQZ372" s="132"/>
      <c r="WRA372" s="132"/>
      <c r="WRB372" s="132"/>
      <c r="WRC372" s="132"/>
      <c r="WRD372" s="132"/>
      <c r="WRE372" s="132"/>
      <c r="WRF372" s="132"/>
      <c r="WRG372" s="132"/>
      <c r="WRH372" s="132"/>
      <c r="WRI372" s="132"/>
      <c r="WRJ372" s="132"/>
      <c r="WRK372" s="132"/>
      <c r="WRL372" s="132"/>
      <c r="WRM372" s="132"/>
      <c r="WRN372" s="132"/>
      <c r="WRO372" s="132"/>
      <c r="WRP372" s="132"/>
      <c r="WRQ372" s="132"/>
      <c r="WRR372" s="132"/>
      <c r="WRS372" s="132"/>
      <c r="WRT372" s="132"/>
      <c r="WRU372" s="132"/>
      <c r="WRV372" s="132"/>
      <c r="WRW372" s="132"/>
      <c r="WRX372" s="132"/>
      <c r="WRY372" s="132"/>
      <c r="WRZ372" s="132"/>
      <c r="WSA372" s="132"/>
      <c r="WSB372" s="132"/>
      <c r="WSC372" s="132"/>
      <c r="WSD372" s="132"/>
      <c r="WSE372" s="132"/>
      <c r="WSF372" s="132"/>
      <c r="WSG372" s="132"/>
      <c r="WSH372" s="132"/>
      <c r="WSI372" s="132"/>
      <c r="WSJ372" s="132"/>
      <c r="WSK372" s="132"/>
      <c r="WSL372" s="132"/>
      <c r="WSM372" s="132"/>
      <c r="WSN372" s="132"/>
      <c r="WSO372" s="132"/>
      <c r="WSP372" s="132"/>
      <c r="WSQ372" s="132"/>
      <c r="WSR372" s="132"/>
      <c r="WSS372" s="132"/>
      <c r="WST372" s="132"/>
      <c r="WSU372" s="132"/>
      <c r="WSV372" s="132"/>
      <c r="WSW372" s="132"/>
      <c r="WSX372" s="132"/>
      <c r="WSY372" s="132"/>
      <c r="WSZ372" s="132"/>
      <c r="WTA372" s="132"/>
      <c r="WTB372" s="132"/>
      <c r="WTC372" s="132"/>
      <c r="WTD372" s="132"/>
      <c r="WTE372" s="132"/>
      <c r="WTF372" s="132"/>
      <c r="WTG372" s="132"/>
      <c r="WTH372" s="132"/>
      <c r="WTI372" s="132"/>
      <c r="WTJ372" s="132"/>
      <c r="WTK372" s="132"/>
      <c r="WTL372" s="132"/>
      <c r="WTM372" s="132"/>
      <c r="WTN372" s="132"/>
      <c r="WTO372" s="132"/>
      <c r="WTP372" s="132"/>
      <c r="WTQ372" s="132"/>
      <c r="WTR372" s="132"/>
      <c r="WTS372" s="132"/>
      <c r="WTT372" s="132"/>
      <c r="WTU372" s="132"/>
      <c r="WTV372" s="132"/>
      <c r="WTW372" s="132"/>
      <c r="WTX372" s="132"/>
      <c r="WTY372" s="132"/>
      <c r="WTZ372" s="132"/>
      <c r="WUA372" s="132"/>
      <c r="WUB372" s="132"/>
      <c r="WUC372" s="132"/>
      <c r="WUD372" s="132"/>
      <c r="WUE372" s="132"/>
      <c r="WUF372" s="132"/>
      <c r="WUG372" s="132"/>
      <c r="WUH372" s="132"/>
      <c r="WUI372" s="132"/>
      <c r="WUJ372" s="132"/>
      <c r="WUK372" s="132"/>
      <c r="WUL372" s="132"/>
      <c r="WUM372" s="132"/>
      <c r="WUN372" s="132"/>
      <c r="WUO372" s="132"/>
      <c r="WUP372" s="132"/>
      <c r="WUQ372" s="132"/>
      <c r="WUR372" s="132"/>
      <c r="WUS372" s="132"/>
      <c r="WUT372" s="132"/>
      <c r="WUU372" s="132"/>
      <c r="WUV372" s="132"/>
      <c r="WUW372" s="132"/>
      <c r="WUX372" s="132"/>
      <c r="WUY372" s="132"/>
      <c r="WUZ372" s="132"/>
      <c r="WVA372" s="132"/>
      <c r="WVB372" s="132"/>
      <c r="WVC372" s="132"/>
      <c r="WVD372" s="132"/>
      <c r="WVE372" s="132"/>
      <c r="WVF372" s="132"/>
      <c r="WVG372" s="132"/>
      <c r="WVH372" s="132"/>
      <c r="WVI372" s="132"/>
      <c r="WVJ372" s="132"/>
      <c r="WVK372" s="132"/>
      <c r="WVL372" s="132"/>
      <c r="WVM372" s="132"/>
      <c r="WVN372" s="132"/>
      <c r="WVO372" s="132"/>
      <c r="WVP372" s="132"/>
      <c r="WVQ372" s="132"/>
      <c r="WVR372" s="132"/>
      <c r="WVS372" s="132"/>
      <c r="WVT372" s="132"/>
      <c r="WVU372" s="132"/>
      <c r="WVV372" s="132"/>
      <c r="WVW372" s="132"/>
      <c r="WVX372" s="132"/>
      <c r="WVY372" s="132"/>
      <c r="WVZ372" s="132"/>
      <c r="WWA372" s="132"/>
      <c r="WWB372" s="132"/>
      <c r="WWC372" s="132"/>
      <c r="WWD372" s="132"/>
      <c r="WWE372" s="132"/>
      <c r="WWF372" s="132"/>
      <c r="WWG372" s="132"/>
      <c r="WWH372" s="132"/>
      <c r="WWI372" s="132"/>
      <c r="WWJ372" s="132"/>
      <c r="WWK372" s="132"/>
      <c r="WWL372" s="132"/>
      <c r="WWM372" s="132"/>
      <c r="WWN372" s="132"/>
      <c r="WWO372" s="132"/>
      <c r="WWP372" s="132"/>
      <c r="WWQ372" s="132"/>
      <c r="WWR372" s="132"/>
      <c r="WWS372" s="132"/>
      <c r="WWT372" s="132"/>
      <c r="WWU372" s="132"/>
      <c r="WWV372" s="132"/>
      <c r="WWW372" s="132"/>
      <c r="WWX372" s="132"/>
      <c r="WWY372" s="132"/>
      <c r="WWZ372" s="132"/>
      <c r="WXA372" s="132"/>
      <c r="WXB372" s="132"/>
      <c r="WXC372" s="132"/>
      <c r="WXD372" s="132"/>
      <c r="WXE372" s="132"/>
      <c r="WXF372" s="132"/>
      <c r="WXG372" s="132"/>
      <c r="WXH372" s="132"/>
      <c r="WXI372" s="132"/>
      <c r="WXJ372" s="132"/>
      <c r="WXK372" s="132"/>
      <c r="WXL372" s="132"/>
      <c r="WXM372" s="132"/>
      <c r="WXN372" s="132"/>
      <c r="WXO372" s="132"/>
      <c r="WXP372" s="132"/>
      <c r="WXQ372" s="132"/>
      <c r="WXR372" s="132"/>
      <c r="WXS372" s="132"/>
      <c r="WXT372" s="132"/>
      <c r="WXU372" s="132"/>
      <c r="WXV372" s="132"/>
      <c r="WXW372" s="132"/>
      <c r="WXX372" s="132"/>
      <c r="WXY372" s="132"/>
      <c r="WXZ372" s="132"/>
      <c r="WYA372" s="132"/>
      <c r="WYB372" s="132"/>
      <c r="WYC372" s="132"/>
      <c r="WYD372" s="132"/>
      <c r="WYE372" s="132"/>
      <c r="WYF372" s="132"/>
      <c r="WYG372" s="132"/>
      <c r="WYH372" s="132"/>
      <c r="WYI372" s="132"/>
      <c r="WYJ372" s="132"/>
      <c r="WYK372" s="132"/>
      <c r="WYL372" s="132"/>
      <c r="WYM372" s="132"/>
      <c r="WYN372" s="132"/>
      <c r="WYO372" s="132"/>
      <c r="WYP372" s="132"/>
      <c r="WYQ372" s="132"/>
      <c r="WYR372" s="132"/>
      <c r="WYS372" s="132"/>
      <c r="WYT372" s="132"/>
      <c r="WYU372" s="132"/>
      <c r="WYV372" s="132"/>
      <c r="WYW372" s="132"/>
      <c r="WYX372" s="132"/>
      <c r="WYY372" s="132"/>
      <c r="WYZ372" s="132"/>
      <c r="WZA372" s="132"/>
      <c r="WZB372" s="132"/>
      <c r="WZC372" s="132"/>
      <c r="WZD372" s="132"/>
      <c r="WZE372" s="132"/>
      <c r="WZF372" s="132"/>
      <c r="WZG372" s="132"/>
      <c r="WZH372" s="132"/>
      <c r="WZI372" s="132"/>
      <c r="WZJ372" s="132"/>
      <c r="WZK372" s="132"/>
      <c r="WZL372" s="132"/>
      <c r="WZM372" s="132"/>
      <c r="WZN372" s="132"/>
      <c r="WZO372" s="132"/>
      <c r="WZP372" s="132"/>
      <c r="WZQ372" s="132"/>
      <c r="WZR372" s="132"/>
      <c r="WZS372" s="132"/>
      <c r="WZT372" s="132"/>
      <c r="WZU372" s="132"/>
      <c r="WZV372" s="132"/>
      <c r="WZW372" s="132"/>
      <c r="WZX372" s="132"/>
      <c r="WZY372" s="132"/>
      <c r="WZZ372" s="132"/>
      <c r="XAA372" s="132"/>
      <c r="XAB372" s="132"/>
      <c r="XAC372" s="132"/>
      <c r="XAD372" s="132"/>
      <c r="XAE372" s="132"/>
      <c r="XAF372" s="132"/>
      <c r="XAG372" s="132"/>
      <c r="XAH372" s="132"/>
      <c r="XAI372" s="132"/>
      <c r="XAJ372" s="132"/>
      <c r="XAK372" s="132"/>
      <c r="XAL372" s="132"/>
      <c r="XAM372" s="132"/>
      <c r="XAN372" s="132"/>
      <c r="XAO372" s="132"/>
      <c r="XAP372" s="132"/>
      <c r="XAQ372" s="132"/>
      <c r="XAR372" s="132"/>
      <c r="XAS372" s="132"/>
      <c r="XAT372" s="132"/>
      <c r="XAU372" s="132"/>
      <c r="XAV372" s="132"/>
      <c r="XAW372" s="132"/>
      <c r="XAX372" s="132"/>
      <c r="XAY372" s="132"/>
      <c r="XAZ372" s="132"/>
      <c r="XBA372" s="132"/>
      <c r="XBB372" s="132"/>
      <c r="XBC372" s="132"/>
      <c r="XBD372" s="132"/>
      <c r="XBE372" s="132"/>
      <c r="XBF372" s="132"/>
      <c r="XBG372" s="132"/>
      <c r="XBH372" s="132"/>
      <c r="XBI372" s="132"/>
      <c r="XBJ372" s="132"/>
      <c r="XBK372" s="132"/>
      <c r="XBL372" s="132"/>
      <c r="XBM372" s="132"/>
      <c r="XBN372" s="132"/>
      <c r="XBO372" s="132"/>
      <c r="XBP372" s="132"/>
      <c r="XBQ372" s="132"/>
      <c r="XBR372" s="132"/>
      <c r="XBS372" s="132"/>
      <c r="XBT372" s="132"/>
      <c r="XBU372" s="132"/>
      <c r="XBV372" s="132"/>
      <c r="XBW372" s="132"/>
      <c r="XBX372" s="132"/>
      <c r="XBY372" s="132"/>
      <c r="XBZ372" s="132"/>
      <c r="XCA372" s="132"/>
      <c r="XCB372" s="132"/>
      <c r="XCC372" s="132"/>
      <c r="XCD372" s="132"/>
      <c r="XCE372" s="132"/>
      <c r="XCF372" s="132"/>
      <c r="XCG372" s="132"/>
      <c r="XCH372" s="132"/>
      <c r="XCI372" s="132"/>
      <c r="XCJ372" s="132"/>
      <c r="XCK372" s="132"/>
      <c r="XCL372" s="132"/>
      <c r="XCM372" s="132"/>
      <c r="XCN372" s="132"/>
      <c r="XCO372" s="132"/>
      <c r="XCP372" s="132"/>
      <c r="XCQ372" s="132"/>
      <c r="XCR372" s="132"/>
      <c r="XCS372" s="132"/>
      <c r="XCT372" s="132"/>
      <c r="XCU372" s="132"/>
      <c r="XCV372" s="132"/>
      <c r="XCW372" s="132"/>
      <c r="XCX372" s="132"/>
      <c r="XCY372" s="132"/>
      <c r="XCZ372" s="132"/>
      <c r="XDA372" s="132"/>
      <c r="XDB372" s="132"/>
      <c r="XDC372" s="132"/>
      <c r="XDD372" s="132"/>
      <c r="XDE372" s="132"/>
      <c r="XDF372" s="132"/>
      <c r="XDG372" s="132"/>
      <c r="XDH372" s="132"/>
      <c r="XDI372" s="132"/>
      <c r="XDJ372" s="132"/>
      <c r="XDK372" s="132"/>
      <c r="XDL372" s="132"/>
      <c r="XDM372" s="132"/>
      <c r="XDN372" s="132"/>
      <c r="XDO372" s="132"/>
      <c r="XDP372" s="132"/>
      <c r="XDQ372" s="132"/>
      <c r="XDR372" s="132"/>
      <c r="XDS372" s="132"/>
      <c r="XDT372" s="132"/>
      <c r="XDU372" s="132"/>
      <c r="XDV372" s="132"/>
      <c r="XDW372" s="132"/>
      <c r="XDX372" s="132"/>
      <c r="XDY372" s="132"/>
      <c r="XDZ372" s="132"/>
      <c r="XEA372" s="132"/>
      <c r="XEB372" s="132"/>
      <c r="XEC372" s="132"/>
      <c r="XED372" s="132"/>
      <c r="XEE372" s="132"/>
      <c r="XEF372" s="132"/>
      <c r="XEG372" s="132"/>
      <c r="XEH372" s="132"/>
      <c r="XEI372" s="132"/>
      <c r="XEJ372" s="132"/>
      <c r="XEK372" s="132"/>
      <c r="XEL372" s="132"/>
      <c r="XEM372" s="132"/>
      <c r="XEN372" s="132"/>
      <c r="XEO372" s="132"/>
      <c r="XEP372" s="132"/>
      <c r="XEQ372" s="132"/>
      <c r="XER372" s="132"/>
      <c r="XES372" s="132"/>
      <c r="XET372" s="132"/>
      <c r="XEU372" s="132"/>
      <c r="XEV372" s="132"/>
      <c r="XEW372" s="132"/>
      <c r="XEX372" s="132"/>
      <c r="XEY372" s="132"/>
      <c r="XEZ372" s="132"/>
      <c r="XFA372" s="132"/>
      <c r="XFB372" s="132"/>
      <c r="XFC372" s="132"/>
    </row>
    <row r="373" spans="1:16383">
      <c r="A373" s="132"/>
      <c r="B373" s="275" t="s">
        <v>305</v>
      </c>
      <c r="C373" s="275"/>
      <c r="D373" s="275"/>
      <c r="E373" s="276"/>
      <c r="F373" s="276"/>
      <c r="J373" s="280"/>
    </row>
    <row r="374" spans="1:16383" s="129" customFormat="1">
      <c r="A374" s="277" t="s">
        <v>306</v>
      </c>
      <c r="B374" s="297" t="s">
        <v>307</v>
      </c>
      <c r="C374" s="297"/>
      <c r="D374" s="297"/>
      <c r="E374" s="297"/>
      <c r="F374" s="297"/>
    </row>
    <row r="375" spans="1:16383" s="129" customFormat="1">
      <c r="A375" s="277" t="s">
        <v>308</v>
      </c>
      <c r="B375" s="297" t="s">
        <v>309</v>
      </c>
      <c r="C375" s="297"/>
      <c r="D375" s="297"/>
      <c r="E375" s="297"/>
      <c r="F375" s="297"/>
    </row>
    <row r="376" spans="1:16383">
      <c r="A376" s="277" t="s">
        <v>310</v>
      </c>
      <c r="B376" s="297" t="s">
        <v>311</v>
      </c>
      <c r="C376" s="297"/>
      <c r="D376" s="297"/>
      <c r="E376" s="297"/>
      <c r="F376" s="297"/>
      <c r="G376" s="297"/>
      <c r="H376" s="278"/>
      <c r="I376" s="278"/>
    </row>
    <row r="377" spans="1:16383">
      <c r="A377" s="277" t="s">
        <v>312</v>
      </c>
      <c r="B377" s="297" t="s">
        <v>313</v>
      </c>
      <c r="C377" s="297"/>
      <c r="D377" s="297"/>
      <c r="E377" s="297"/>
      <c r="F377" s="297"/>
    </row>
    <row r="378" spans="1:16383">
      <c r="A378" s="277" t="s">
        <v>314</v>
      </c>
      <c r="B378" s="297" t="s">
        <v>315</v>
      </c>
      <c r="C378" s="297"/>
      <c r="D378" s="297"/>
      <c r="E378" s="297"/>
      <c r="F378" s="297"/>
      <c r="G378" s="297"/>
      <c r="H378" s="278"/>
      <c r="I378" s="278"/>
    </row>
    <row r="380" spans="1:16383">
      <c r="A380" s="298" t="s">
        <v>316</v>
      </c>
      <c r="B380" s="298"/>
      <c r="C380" s="298"/>
      <c r="D380" s="298"/>
      <c r="E380" s="298"/>
      <c r="F380" s="298"/>
      <c r="G380" s="298"/>
      <c r="H380" s="279"/>
      <c r="I380" s="279"/>
    </row>
  </sheetData>
  <autoFilter ref="A22:J371" xr:uid="{00000000-0009-0000-0000-000000000000}"/>
  <mergeCells count="16">
    <mergeCell ref="A380:G380"/>
    <mergeCell ref="B374:F374"/>
    <mergeCell ref="B375:F375"/>
    <mergeCell ref="B376:G376"/>
    <mergeCell ref="B377:F377"/>
    <mergeCell ref="B378:G378"/>
    <mergeCell ref="A8:B8"/>
    <mergeCell ref="A9:B9"/>
    <mergeCell ref="A10:B10"/>
    <mergeCell ref="A14:B14"/>
    <mergeCell ref="A21:G21"/>
    <mergeCell ref="B1:G1"/>
    <mergeCell ref="B2:G2"/>
    <mergeCell ref="B3:G3"/>
    <mergeCell ref="A6:G6"/>
    <mergeCell ref="A7:G7"/>
  </mergeCells>
  <conditionalFormatting sqref="B374:D378">
    <cfRule type="expression" dxfId="0" priority="1">
      <formula>#REF!="GiamGia"</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64"/>
  <sheetViews>
    <sheetView topLeftCell="A349" zoomScale="85" zoomScaleNormal="85" workbookViewId="0">
      <selection activeCell="Q353" sqref="Q353"/>
    </sheetView>
  </sheetViews>
  <sheetFormatPr defaultColWidth="8.26953125" defaultRowHeight="14.5"/>
  <cols>
    <col min="1" max="1" width="5.7265625" customWidth="1"/>
    <col min="2" max="2" width="27.7265625" style="6" customWidth="1"/>
    <col min="3" max="3" width="17.26953125" style="6" customWidth="1"/>
    <col min="4" max="4" width="13.26953125" style="7" customWidth="1"/>
    <col min="5" max="5" width="10.54296875" style="7" customWidth="1"/>
    <col min="6" max="6" width="6.26953125" style="7" customWidth="1"/>
    <col min="7" max="7" width="6.08984375" style="7" customWidth="1"/>
    <col min="8" max="11" width="6.26953125" style="7" customWidth="1"/>
    <col min="12" max="12" width="5.453125" style="8" customWidth="1"/>
    <col min="13" max="13" width="5" style="9" customWidth="1"/>
    <col min="14" max="14" width="8.7265625" style="119" customWidth="1"/>
    <col min="15" max="15" width="14.26953125" style="11" customWidth="1"/>
    <col min="16" max="16" width="15.453125" style="12" customWidth="1"/>
    <col min="17" max="17" width="35" style="13" customWidth="1"/>
    <col min="18" max="18" width="10.54296875" customWidth="1"/>
  </cols>
  <sheetData>
    <row r="1" spans="1:18" ht="6.75" customHeight="1">
      <c r="A1" s="14"/>
      <c r="B1" s="15"/>
      <c r="C1" s="15"/>
      <c r="D1" s="16"/>
      <c r="E1" s="16"/>
      <c r="F1" s="16"/>
      <c r="G1" s="16"/>
      <c r="H1" s="16"/>
      <c r="I1" s="16"/>
      <c r="J1" s="16"/>
      <c r="K1" s="16"/>
      <c r="L1" s="31"/>
      <c r="M1" s="32"/>
      <c r="N1" s="120"/>
      <c r="O1" s="34"/>
      <c r="P1" s="35"/>
      <c r="Q1" s="48"/>
    </row>
    <row r="2" spans="1:18">
      <c r="A2" s="14"/>
      <c r="B2" s="17"/>
      <c r="C2" s="17"/>
      <c r="D2" s="299" t="s">
        <v>317</v>
      </c>
      <c r="E2" s="299"/>
      <c r="F2" s="299"/>
      <c r="G2" s="299"/>
      <c r="H2" s="299"/>
      <c r="I2" s="299"/>
      <c r="J2" s="299"/>
      <c r="K2" s="299"/>
      <c r="L2" s="299"/>
      <c r="M2" s="299"/>
      <c r="N2" s="299"/>
      <c r="O2" s="299"/>
      <c r="P2" s="299"/>
      <c r="Q2" s="299"/>
    </row>
    <row r="3" spans="1:18">
      <c r="A3" s="14"/>
      <c r="B3" s="328"/>
      <c r="C3" s="15"/>
      <c r="D3" s="300" t="s">
        <v>318</v>
      </c>
      <c r="E3" s="300"/>
      <c r="F3" s="300"/>
      <c r="G3" s="300"/>
      <c r="H3" s="300"/>
      <c r="I3" s="300"/>
      <c r="J3" s="300"/>
      <c r="K3" s="300"/>
      <c r="L3" s="300"/>
      <c r="M3" s="300"/>
      <c r="N3" s="300"/>
      <c r="O3" s="300"/>
      <c r="P3" s="300"/>
      <c r="Q3" s="300"/>
    </row>
    <row r="4" spans="1:18">
      <c r="A4" s="14"/>
      <c r="B4" s="328"/>
      <c r="C4" s="15"/>
      <c r="D4" s="300" t="s">
        <v>319</v>
      </c>
      <c r="E4" s="300"/>
      <c r="F4" s="300"/>
      <c r="G4" s="300"/>
      <c r="H4" s="300"/>
      <c r="I4" s="300"/>
      <c r="J4" s="300"/>
      <c r="K4" s="300"/>
      <c r="L4" s="300"/>
      <c r="M4" s="300"/>
      <c r="N4" s="300"/>
      <c r="O4" s="300"/>
      <c r="P4" s="300"/>
      <c r="Q4" s="300"/>
    </row>
    <row r="5" spans="1:18">
      <c r="A5" s="18"/>
      <c r="B5" s="19"/>
      <c r="C5" s="19"/>
      <c r="D5" s="301" t="s">
        <v>320</v>
      </c>
      <c r="E5" s="301"/>
      <c r="F5" s="301"/>
      <c r="G5" s="301"/>
      <c r="H5" s="301"/>
      <c r="I5" s="301"/>
      <c r="J5" s="301"/>
      <c r="K5" s="301"/>
      <c r="L5" s="301"/>
      <c r="M5" s="301"/>
      <c r="N5" s="301"/>
      <c r="O5" s="301"/>
      <c r="P5" s="301"/>
      <c r="Q5" s="301"/>
    </row>
    <row r="6" spans="1:18" s="1" customFormat="1" ht="30" customHeight="1">
      <c r="A6" s="302" t="s">
        <v>321</v>
      </c>
      <c r="B6" s="302"/>
      <c r="C6" s="302"/>
      <c r="D6" s="302"/>
      <c r="E6" s="302"/>
      <c r="F6" s="302"/>
      <c r="G6" s="302"/>
      <c r="H6" s="302"/>
      <c r="I6" s="302"/>
      <c r="J6" s="302"/>
      <c r="K6" s="302"/>
      <c r="L6" s="302"/>
      <c r="M6" s="302"/>
      <c r="N6" s="302"/>
      <c r="O6" s="302"/>
      <c r="P6" s="302"/>
      <c r="Q6" s="302"/>
    </row>
    <row r="7" spans="1:18" s="1" customFormat="1" ht="39" customHeight="1">
      <c r="A7" s="303" t="s">
        <v>322</v>
      </c>
      <c r="B7" s="304"/>
      <c r="C7" s="304"/>
      <c r="D7" s="304"/>
      <c r="E7" s="304"/>
      <c r="F7" s="304"/>
      <c r="G7" s="304"/>
      <c r="H7" s="304"/>
      <c r="I7" s="304"/>
      <c r="J7" s="304"/>
      <c r="K7" s="304"/>
      <c r="L7" s="304"/>
      <c r="M7" s="305"/>
      <c r="N7" s="121" t="s">
        <v>323</v>
      </c>
      <c r="O7" s="37"/>
      <c r="P7" s="38"/>
      <c r="Q7" s="49" t="s">
        <v>324</v>
      </c>
    </row>
    <row r="8" spans="1:18" s="1" customFormat="1" ht="18.75" customHeight="1">
      <c r="A8" s="303" t="s">
        <v>325</v>
      </c>
      <c r="B8" s="304"/>
      <c r="C8" s="304"/>
      <c r="D8" s="304"/>
      <c r="E8" s="304"/>
      <c r="F8" s="304"/>
      <c r="G8" s="304"/>
      <c r="H8" s="304"/>
      <c r="I8" s="304"/>
      <c r="J8" s="304"/>
      <c r="K8" s="304"/>
      <c r="L8" s="304"/>
      <c r="M8" s="305"/>
      <c r="N8" s="121" t="s">
        <v>326</v>
      </c>
      <c r="O8" s="39"/>
      <c r="P8" s="39"/>
      <c r="Q8" s="50" t="s">
        <v>327</v>
      </c>
    </row>
    <row r="9" spans="1:18" s="1" customFormat="1" ht="18.75" customHeight="1">
      <c r="A9" s="303" t="s">
        <v>328</v>
      </c>
      <c r="B9" s="304"/>
      <c r="C9" s="304"/>
      <c r="D9" s="304"/>
      <c r="E9" s="304"/>
      <c r="F9" s="304"/>
      <c r="G9" s="304"/>
      <c r="H9" s="304"/>
      <c r="I9" s="304"/>
      <c r="J9" s="304"/>
      <c r="K9" s="304"/>
      <c r="L9" s="304"/>
      <c r="M9" s="305"/>
      <c r="N9" s="121" t="s">
        <v>329</v>
      </c>
      <c r="O9" s="37"/>
      <c r="P9" s="38"/>
      <c r="Q9" s="281" t="s">
        <v>330</v>
      </c>
    </row>
    <row r="10" spans="1:18" s="1" customFormat="1" ht="28.5" customHeight="1">
      <c r="A10" s="303" t="s">
        <v>331</v>
      </c>
      <c r="B10" s="304"/>
      <c r="C10" s="20"/>
      <c r="D10" s="303" t="s">
        <v>332</v>
      </c>
      <c r="E10" s="304"/>
      <c r="F10" s="304"/>
      <c r="G10" s="304"/>
      <c r="H10" s="304"/>
      <c r="I10" s="304"/>
      <c r="J10" s="304"/>
      <c r="K10" s="304"/>
      <c r="L10" s="304"/>
      <c r="M10" s="305"/>
      <c r="N10" s="122" t="s">
        <v>333</v>
      </c>
      <c r="O10" s="306" t="s">
        <v>334</v>
      </c>
      <c r="P10" s="307"/>
      <c r="Q10" s="308"/>
    </row>
    <row r="11" spans="1:18" s="1" customFormat="1" ht="12.75" customHeight="1">
      <c r="A11" s="326" t="s">
        <v>335</v>
      </c>
      <c r="B11" s="326" t="s">
        <v>336</v>
      </c>
      <c r="C11" s="326" t="s">
        <v>337</v>
      </c>
      <c r="D11" s="329" t="s">
        <v>338</v>
      </c>
      <c r="E11" s="329" t="s">
        <v>339</v>
      </c>
      <c r="F11" s="309" t="s">
        <v>340</v>
      </c>
      <c r="G11" s="309"/>
      <c r="H11" s="309"/>
      <c r="I11" s="309"/>
      <c r="J11" s="331" t="s">
        <v>341</v>
      </c>
      <c r="K11" s="331" t="s">
        <v>342</v>
      </c>
      <c r="L11" s="329" t="s">
        <v>343</v>
      </c>
      <c r="M11" s="332" t="s">
        <v>344</v>
      </c>
      <c r="N11" s="334" t="s">
        <v>345</v>
      </c>
      <c r="O11" s="336" t="s">
        <v>346</v>
      </c>
      <c r="P11" s="336" t="s">
        <v>347</v>
      </c>
      <c r="Q11" s="338" t="s">
        <v>348</v>
      </c>
    </row>
    <row r="12" spans="1:18" s="1" customFormat="1" ht="27" customHeight="1">
      <c r="A12" s="327"/>
      <c r="B12" s="327"/>
      <c r="C12" s="327"/>
      <c r="D12" s="330"/>
      <c r="E12" s="330" t="s">
        <v>339</v>
      </c>
      <c r="F12" s="21" t="s">
        <v>349</v>
      </c>
      <c r="G12" s="21" t="s">
        <v>350</v>
      </c>
      <c r="H12" s="21" t="s">
        <v>351</v>
      </c>
      <c r="I12" s="21" t="s">
        <v>352</v>
      </c>
      <c r="J12" s="331"/>
      <c r="K12" s="331"/>
      <c r="L12" s="330"/>
      <c r="M12" s="333"/>
      <c r="N12" s="335"/>
      <c r="O12" s="337"/>
      <c r="P12" s="337"/>
      <c r="Q12" s="339"/>
    </row>
    <row r="13" spans="1:18" s="1" customFormat="1" ht="13">
      <c r="A13" s="327"/>
      <c r="B13" s="327"/>
      <c r="C13" s="327"/>
      <c r="D13" s="330"/>
      <c r="E13" s="330"/>
      <c r="F13" s="310" t="s">
        <v>353</v>
      </c>
      <c r="G13" s="310"/>
      <c r="H13" s="310" t="s">
        <v>354</v>
      </c>
      <c r="I13" s="310"/>
      <c r="J13" s="326"/>
      <c r="K13" s="326"/>
      <c r="L13" s="330"/>
      <c r="M13" s="333"/>
      <c r="N13" s="335"/>
      <c r="O13" s="337"/>
      <c r="P13" s="337"/>
      <c r="Q13" s="339"/>
    </row>
    <row r="14" spans="1:18" s="1" customFormat="1" ht="13">
      <c r="A14" s="22"/>
      <c r="B14" s="22"/>
      <c r="C14" s="22"/>
      <c r="D14" s="23"/>
      <c r="E14" s="23"/>
      <c r="F14" s="24"/>
      <c r="G14" s="24"/>
      <c r="H14" s="24"/>
      <c r="I14" s="24"/>
      <c r="J14" s="22"/>
      <c r="K14" s="22"/>
      <c r="L14" s="23"/>
      <c r="M14" s="41"/>
      <c r="N14" s="123"/>
      <c r="O14" s="43"/>
      <c r="P14" s="43"/>
      <c r="Q14" s="51"/>
    </row>
    <row r="15" spans="1:18" s="2" customFormat="1" ht="21" customHeight="1">
      <c r="A15" s="25" t="s">
        <v>30</v>
      </c>
      <c r="B15" s="26" t="s">
        <v>31</v>
      </c>
      <c r="C15" s="26"/>
      <c r="D15" s="25"/>
      <c r="E15" s="25"/>
      <c r="F15" s="25"/>
      <c r="G15" s="25"/>
      <c r="H15" s="25"/>
      <c r="I15" s="25"/>
      <c r="J15" s="25"/>
      <c r="K15" s="25"/>
      <c r="L15" s="25"/>
      <c r="M15" s="25"/>
      <c r="N15" s="25"/>
      <c r="O15" s="45"/>
      <c r="P15" s="45"/>
      <c r="Q15" s="25"/>
    </row>
    <row r="16" spans="1:18" s="2" customFormat="1" ht="65">
      <c r="A16" s="27">
        <v>1</v>
      </c>
      <c r="B16" s="29" t="s">
        <v>32</v>
      </c>
      <c r="C16" s="27" t="s">
        <v>33</v>
      </c>
      <c r="D16" s="27"/>
      <c r="E16" s="27" t="s">
        <v>355</v>
      </c>
      <c r="F16" s="27"/>
      <c r="G16" s="27"/>
      <c r="H16" s="27"/>
      <c r="I16" s="27"/>
      <c r="J16" s="27"/>
      <c r="K16" s="27"/>
      <c r="L16" s="27">
        <v>0.57999999999999996</v>
      </c>
      <c r="M16" s="27" t="s">
        <v>36</v>
      </c>
      <c r="N16" s="27">
        <v>5757.0029999999997</v>
      </c>
      <c r="O16" s="47">
        <v>214300</v>
      </c>
      <c r="P16" s="47">
        <f>O16*N16</f>
        <v>1233725742.9000001</v>
      </c>
      <c r="Q16" s="282" t="s">
        <v>356</v>
      </c>
      <c r="R16" s="124"/>
    </row>
    <row r="17" spans="1:17" s="2" customFormat="1" ht="39">
      <c r="A17" s="27">
        <v>2</v>
      </c>
      <c r="B17" s="29" t="s">
        <v>37</v>
      </c>
      <c r="C17" s="27" t="s">
        <v>38</v>
      </c>
      <c r="D17" s="27"/>
      <c r="E17" s="27" t="s">
        <v>355</v>
      </c>
      <c r="F17" s="27"/>
      <c r="G17" s="27"/>
      <c r="H17" s="27"/>
      <c r="I17" s="27"/>
      <c r="J17" s="27"/>
      <c r="K17" s="27"/>
      <c r="L17" s="27">
        <v>0.75</v>
      </c>
      <c r="M17" s="27" t="s">
        <v>36</v>
      </c>
      <c r="N17" s="27">
        <v>2103.6067499999999</v>
      </c>
      <c r="O17" s="47">
        <v>256600</v>
      </c>
      <c r="P17" s="47">
        <f t="shared" ref="P17:P80" si="0">O17*N17</f>
        <v>539785492.04999995</v>
      </c>
      <c r="Q17" s="29" t="s">
        <v>357</v>
      </c>
    </row>
    <row r="18" spans="1:17" s="2" customFormat="1" ht="39">
      <c r="A18" s="27">
        <v>3</v>
      </c>
      <c r="B18" s="29" t="s">
        <v>39</v>
      </c>
      <c r="C18" s="27" t="s">
        <v>40</v>
      </c>
      <c r="D18" s="27"/>
      <c r="E18" s="27" t="s">
        <v>355</v>
      </c>
      <c r="F18" s="27"/>
      <c r="G18" s="27"/>
      <c r="H18" s="27"/>
      <c r="I18" s="27"/>
      <c r="J18" s="27"/>
      <c r="K18" s="27"/>
      <c r="L18" s="27">
        <v>0.95</v>
      </c>
      <c r="M18" s="27" t="s">
        <v>36</v>
      </c>
      <c r="N18" s="27">
        <v>1568.0174999999999</v>
      </c>
      <c r="O18" s="47">
        <v>304200</v>
      </c>
      <c r="P18" s="47">
        <f t="shared" si="0"/>
        <v>476990923.5</v>
      </c>
      <c r="Q18" s="29" t="s">
        <v>357</v>
      </c>
    </row>
    <row r="19" spans="1:17" s="2" customFormat="1" ht="21" customHeight="1">
      <c r="A19" s="25" t="s">
        <v>41</v>
      </c>
      <c r="B19" s="26" t="s">
        <v>42</v>
      </c>
      <c r="C19" s="26"/>
      <c r="D19" s="25"/>
      <c r="E19" s="25"/>
      <c r="F19" s="25"/>
      <c r="G19" s="25"/>
      <c r="H19" s="25"/>
      <c r="I19" s="25"/>
      <c r="J19" s="25"/>
      <c r="K19" s="25"/>
      <c r="L19" s="25"/>
      <c r="M19" s="25"/>
      <c r="N19" s="25"/>
      <c r="O19" s="45">
        <v>0</v>
      </c>
      <c r="P19" s="45">
        <f t="shared" si="0"/>
        <v>0</v>
      </c>
      <c r="Q19" s="25"/>
    </row>
    <row r="20" spans="1:17" s="2" customFormat="1" ht="65">
      <c r="A20" s="27">
        <v>1</v>
      </c>
      <c r="B20" s="29" t="s">
        <v>32</v>
      </c>
      <c r="C20" s="27" t="s">
        <v>33</v>
      </c>
      <c r="D20" s="27"/>
      <c r="E20" s="27" t="s">
        <v>355</v>
      </c>
      <c r="F20" s="27"/>
      <c r="G20" s="27"/>
      <c r="H20" s="27"/>
      <c r="I20" s="27"/>
      <c r="J20" s="27"/>
      <c r="K20" s="27"/>
      <c r="L20" s="27">
        <v>0.57999999999999996</v>
      </c>
      <c r="M20" s="27" t="s">
        <v>36</v>
      </c>
      <c r="N20" s="27">
        <v>3836.0875000000001</v>
      </c>
      <c r="O20" s="47">
        <v>214300</v>
      </c>
      <c r="P20" s="47">
        <f t="shared" si="0"/>
        <v>822073551.25</v>
      </c>
      <c r="Q20" s="282" t="s">
        <v>356</v>
      </c>
    </row>
    <row r="21" spans="1:17" s="2" customFormat="1" ht="39">
      <c r="A21" s="27">
        <v>2</v>
      </c>
      <c r="B21" s="29" t="s">
        <v>37</v>
      </c>
      <c r="C21" s="27" t="s">
        <v>38</v>
      </c>
      <c r="D21" s="27"/>
      <c r="E21" s="27" t="s">
        <v>355</v>
      </c>
      <c r="F21" s="27"/>
      <c r="G21" s="27"/>
      <c r="H21" s="27"/>
      <c r="I21" s="27"/>
      <c r="J21" s="27"/>
      <c r="K21" s="27"/>
      <c r="L21" s="27">
        <v>0.75</v>
      </c>
      <c r="M21" s="27" t="s">
        <v>36</v>
      </c>
      <c r="N21" s="27">
        <v>347.93</v>
      </c>
      <c r="O21" s="47">
        <v>256600</v>
      </c>
      <c r="P21" s="47">
        <f t="shared" si="0"/>
        <v>89278838</v>
      </c>
      <c r="Q21" s="29" t="s">
        <v>357</v>
      </c>
    </row>
    <row r="22" spans="1:17" s="2" customFormat="1" ht="39">
      <c r="A22" s="27"/>
      <c r="B22" s="29" t="s">
        <v>39</v>
      </c>
      <c r="C22" s="27" t="s">
        <v>40</v>
      </c>
      <c r="D22" s="27"/>
      <c r="E22" s="27" t="s">
        <v>355</v>
      </c>
      <c r="F22" s="27"/>
      <c r="G22" s="27"/>
      <c r="H22" s="27"/>
      <c r="I22" s="27"/>
      <c r="J22" s="27"/>
      <c r="K22" s="27"/>
      <c r="L22" s="27">
        <v>0.95</v>
      </c>
      <c r="M22" s="27"/>
      <c r="N22" s="27">
        <v>750.63750000000005</v>
      </c>
      <c r="O22" s="47">
        <v>304200</v>
      </c>
      <c r="P22" s="47">
        <f t="shared" si="0"/>
        <v>228343927.5</v>
      </c>
      <c r="Q22" s="29" t="s">
        <v>357</v>
      </c>
    </row>
    <row r="23" spans="1:17" s="2" customFormat="1" ht="21" customHeight="1">
      <c r="A23" s="25" t="s">
        <v>43</v>
      </c>
      <c r="B23" s="26" t="s">
        <v>44</v>
      </c>
      <c r="C23" s="26"/>
      <c r="D23" s="25"/>
      <c r="E23" s="25"/>
      <c r="F23" s="25"/>
      <c r="G23" s="25"/>
      <c r="H23" s="25"/>
      <c r="I23" s="25"/>
      <c r="J23" s="25"/>
      <c r="K23" s="25"/>
      <c r="L23" s="25"/>
      <c r="M23" s="25"/>
      <c r="N23" s="25"/>
      <c r="O23" s="45">
        <v>0</v>
      </c>
      <c r="P23" s="45">
        <f t="shared" si="0"/>
        <v>0</v>
      </c>
      <c r="Q23" s="25"/>
    </row>
    <row r="24" spans="1:17" s="2" customFormat="1" ht="26">
      <c r="A24" s="27">
        <v>1</v>
      </c>
      <c r="B24" s="29" t="s">
        <v>45</v>
      </c>
      <c r="C24" s="27" t="s">
        <v>46</v>
      </c>
      <c r="D24" s="27"/>
      <c r="E24" s="27" t="s">
        <v>355</v>
      </c>
      <c r="F24" s="27"/>
      <c r="G24" s="27"/>
      <c r="H24" s="27"/>
      <c r="I24" s="27"/>
      <c r="J24" s="27"/>
      <c r="K24" s="27"/>
      <c r="L24" s="27">
        <v>1.1499999999999999</v>
      </c>
      <c r="M24" s="27" t="s">
        <v>36</v>
      </c>
      <c r="N24" s="27">
        <v>189.595</v>
      </c>
      <c r="O24" s="47">
        <v>1350000</v>
      </c>
      <c r="P24" s="47">
        <f t="shared" si="0"/>
        <v>255953250</v>
      </c>
      <c r="Q24" s="27" t="s">
        <v>357</v>
      </c>
    </row>
    <row r="25" spans="1:17" s="2" customFormat="1" ht="26">
      <c r="A25" s="27">
        <v>2</v>
      </c>
      <c r="B25" s="29" t="s">
        <v>47</v>
      </c>
      <c r="C25" s="29"/>
      <c r="D25" s="27"/>
      <c r="E25" s="27"/>
      <c r="F25" s="27"/>
      <c r="G25" s="27"/>
      <c r="H25" s="27"/>
      <c r="I25" s="27"/>
      <c r="J25" s="27"/>
      <c r="K25" s="27"/>
      <c r="L25" s="27"/>
      <c r="M25" s="27"/>
      <c r="N25" s="27"/>
      <c r="O25" s="47">
        <v>0</v>
      </c>
      <c r="P25" s="47">
        <f t="shared" si="0"/>
        <v>0</v>
      </c>
      <c r="Q25" s="27"/>
    </row>
    <row r="26" spans="1:17" s="2" customFormat="1" ht="13">
      <c r="A26" s="27"/>
      <c r="B26" s="29" t="s">
        <v>48</v>
      </c>
      <c r="C26" s="29"/>
      <c r="D26" s="27"/>
      <c r="E26" s="27"/>
      <c r="F26" s="27"/>
      <c r="G26" s="27"/>
      <c r="H26" s="27"/>
      <c r="I26" s="27"/>
      <c r="J26" s="27"/>
      <c r="K26" s="27"/>
      <c r="L26" s="27"/>
      <c r="M26" s="27"/>
      <c r="N26" s="27"/>
      <c r="O26" s="47">
        <v>0</v>
      </c>
      <c r="P26" s="47">
        <f t="shared" si="0"/>
        <v>0</v>
      </c>
      <c r="Q26" s="27"/>
    </row>
    <row r="27" spans="1:17" s="2" customFormat="1" ht="65">
      <c r="A27" s="27">
        <v>1</v>
      </c>
      <c r="B27" s="29" t="s">
        <v>32</v>
      </c>
      <c r="C27" s="27" t="s">
        <v>33</v>
      </c>
      <c r="D27" s="27"/>
      <c r="E27" s="27" t="s">
        <v>355</v>
      </c>
      <c r="F27" s="27"/>
      <c r="G27" s="27"/>
      <c r="H27" s="27"/>
      <c r="I27" s="27"/>
      <c r="J27" s="27"/>
      <c r="K27" s="27"/>
      <c r="L27" s="27">
        <v>0.57999999999999996</v>
      </c>
      <c r="M27" s="27" t="s">
        <v>36</v>
      </c>
      <c r="N27" s="27">
        <v>2180.8377500000001</v>
      </c>
      <c r="O27" s="47">
        <v>214300</v>
      </c>
      <c r="P27" s="47">
        <f t="shared" si="0"/>
        <v>467353529.82499999</v>
      </c>
      <c r="Q27" s="282" t="s">
        <v>356</v>
      </c>
    </row>
    <row r="28" spans="1:17" s="2" customFormat="1" ht="39">
      <c r="A28" s="27">
        <v>2</v>
      </c>
      <c r="B28" s="29" t="s">
        <v>37</v>
      </c>
      <c r="C28" s="27" t="s">
        <v>38</v>
      </c>
      <c r="D28" s="27"/>
      <c r="E28" s="27" t="s">
        <v>355</v>
      </c>
      <c r="F28" s="27"/>
      <c r="G28" s="27"/>
      <c r="H28" s="27"/>
      <c r="I28" s="27"/>
      <c r="J28" s="27"/>
      <c r="K28" s="27"/>
      <c r="L28" s="27">
        <v>0.75</v>
      </c>
      <c r="M28" s="27" t="s">
        <v>36</v>
      </c>
      <c r="N28" s="27">
        <v>1705.355</v>
      </c>
      <c r="O28" s="47">
        <v>256600</v>
      </c>
      <c r="P28" s="47">
        <f t="shared" si="0"/>
        <v>437594093</v>
      </c>
      <c r="Q28" s="27" t="s">
        <v>357</v>
      </c>
    </row>
    <row r="29" spans="1:17" s="2" customFormat="1" ht="65">
      <c r="A29" s="27">
        <v>3</v>
      </c>
      <c r="B29" s="29" t="s">
        <v>49</v>
      </c>
      <c r="C29" s="27" t="s">
        <v>50</v>
      </c>
      <c r="D29" s="27"/>
      <c r="E29" s="27" t="s">
        <v>355</v>
      </c>
      <c r="F29" s="27"/>
      <c r="G29" s="27"/>
      <c r="H29" s="27"/>
      <c r="I29" s="27"/>
      <c r="J29" s="27"/>
      <c r="K29" s="27"/>
      <c r="L29" s="27">
        <v>1.1499999999999999</v>
      </c>
      <c r="M29" s="27" t="s">
        <v>36</v>
      </c>
      <c r="N29" s="27">
        <v>1058.4100000000001</v>
      </c>
      <c r="O29" s="47">
        <v>354500</v>
      </c>
      <c r="P29" s="47">
        <f t="shared" si="0"/>
        <v>375206345</v>
      </c>
      <c r="Q29" s="27" t="s">
        <v>358</v>
      </c>
    </row>
    <row r="30" spans="1:17" s="2" customFormat="1" ht="21" customHeight="1">
      <c r="A30" s="25" t="s">
        <v>51</v>
      </c>
      <c r="B30" s="26" t="s">
        <v>31</v>
      </c>
      <c r="C30" s="26"/>
      <c r="D30" s="25"/>
      <c r="E30" s="25"/>
      <c r="F30" s="25"/>
      <c r="G30" s="25"/>
      <c r="H30" s="25"/>
      <c r="I30" s="25"/>
      <c r="J30" s="25"/>
      <c r="K30" s="25"/>
      <c r="L30" s="25"/>
      <c r="M30" s="25"/>
      <c r="N30" s="25"/>
      <c r="O30" s="45">
        <v>0</v>
      </c>
      <c r="P30" s="45">
        <f t="shared" si="0"/>
        <v>0</v>
      </c>
      <c r="Q30" s="25"/>
    </row>
    <row r="31" spans="1:17" s="2" customFormat="1" ht="65">
      <c r="A31" s="27">
        <v>1</v>
      </c>
      <c r="B31" s="29" t="s">
        <v>32</v>
      </c>
      <c r="C31" s="27" t="s">
        <v>33</v>
      </c>
      <c r="D31" s="27"/>
      <c r="E31" s="27" t="s">
        <v>355</v>
      </c>
      <c r="F31" s="27"/>
      <c r="G31" s="27"/>
      <c r="H31" s="27"/>
      <c r="I31" s="27"/>
      <c r="J31" s="27"/>
      <c r="K31" s="27"/>
      <c r="L31" s="27">
        <v>0.57999999999999996</v>
      </c>
      <c r="M31" s="27" t="s">
        <v>36</v>
      </c>
      <c r="N31" s="27">
        <v>434.5</v>
      </c>
      <c r="O31" s="47">
        <v>214300</v>
      </c>
      <c r="P31" s="47">
        <f t="shared" si="0"/>
        <v>93113350</v>
      </c>
      <c r="Q31" s="282" t="s">
        <v>356</v>
      </c>
    </row>
    <row r="32" spans="1:17" s="2" customFormat="1" ht="39">
      <c r="A32" s="27">
        <v>2</v>
      </c>
      <c r="B32" s="29" t="s">
        <v>37</v>
      </c>
      <c r="C32" s="27" t="s">
        <v>38</v>
      </c>
      <c r="D32" s="27"/>
      <c r="E32" s="27" t="s">
        <v>355</v>
      </c>
      <c r="F32" s="27"/>
      <c r="G32" s="27"/>
      <c r="H32" s="27"/>
      <c r="I32" s="27"/>
      <c r="J32" s="27"/>
      <c r="K32" s="27"/>
      <c r="L32" s="27">
        <v>0.75</v>
      </c>
      <c r="M32" s="27" t="s">
        <v>36</v>
      </c>
      <c r="N32" s="27">
        <v>682.18</v>
      </c>
      <c r="O32" s="47">
        <v>256600</v>
      </c>
      <c r="P32" s="47">
        <f t="shared" si="0"/>
        <v>175047388</v>
      </c>
      <c r="Q32" s="27" t="s">
        <v>357</v>
      </c>
    </row>
    <row r="33" spans="1:17" s="2" customFormat="1" ht="65">
      <c r="A33" s="27">
        <v>3</v>
      </c>
      <c r="B33" s="29" t="s">
        <v>52</v>
      </c>
      <c r="C33" s="27" t="s">
        <v>53</v>
      </c>
      <c r="D33" s="27"/>
      <c r="E33" s="27" t="s">
        <v>355</v>
      </c>
      <c r="F33" s="27"/>
      <c r="G33" s="27"/>
      <c r="H33" s="27"/>
      <c r="I33" s="27"/>
      <c r="J33" s="27"/>
      <c r="K33" s="27"/>
      <c r="L33" s="27">
        <v>0.75</v>
      </c>
      <c r="M33" s="27" t="s">
        <v>36</v>
      </c>
      <c r="N33" s="27">
        <v>339.41</v>
      </c>
      <c r="O33" s="47">
        <v>811000</v>
      </c>
      <c r="P33" s="47">
        <f t="shared" si="0"/>
        <v>275261510</v>
      </c>
      <c r="Q33" s="27" t="s">
        <v>357</v>
      </c>
    </row>
    <row r="34" spans="1:17" s="2" customFormat="1" ht="65">
      <c r="A34" s="27">
        <v>4</v>
      </c>
      <c r="B34" s="29" t="s">
        <v>52</v>
      </c>
      <c r="C34" s="27" t="s">
        <v>53</v>
      </c>
      <c r="D34" s="27"/>
      <c r="E34" s="27" t="s">
        <v>355</v>
      </c>
      <c r="F34" s="27"/>
      <c r="G34" s="27"/>
      <c r="H34" s="27"/>
      <c r="I34" s="27"/>
      <c r="J34" s="27"/>
      <c r="K34" s="27"/>
      <c r="L34" s="27">
        <v>0.75</v>
      </c>
      <c r="M34" s="27" t="s">
        <v>36</v>
      </c>
      <c r="N34" s="27">
        <v>147.84</v>
      </c>
      <c r="O34" s="47">
        <v>811000</v>
      </c>
      <c r="P34" s="47">
        <f t="shared" si="0"/>
        <v>119898240</v>
      </c>
      <c r="Q34" s="27" t="s">
        <v>357</v>
      </c>
    </row>
    <row r="35" spans="1:17" s="2" customFormat="1" ht="65">
      <c r="A35" s="27">
        <v>5</v>
      </c>
      <c r="B35" s="29" t="s">
        <v>55</v>
      </c>
      <c r="C35" s="27" t="s">
        <v>53</v>
      </c>
      <c r="D35" s="27"/>
      <c r="E35" s="27" t="s">
        <v>355</v>
      </c>
      <c r="F35" s="27"/>
      <c r="G35" s="27"/>
      <c r="H35" s="27"/>
      <c r="I35" s="27"/>
      <c r="J35" s="27"/>
      <c r="K35" s="27"/>
      <c r="L35" s="27">
        <v>0.75</v>
      </c>
      <c r="M35" s="27" t="s">
        <v>36</v>
      </c>
      <c r="N35" s="27">
        <v>25.98</v>
      </c>
      <c r="O35" s="47">
        <v>811000</v>
      </c>
      <c r="P35" s="47">
        <f t="shared" si="0"/>
        <v>21069780</v>
      </c>
      <c r="Q35" s="27" t="s">
        <v>357</v>
      </c>
    </row>
    <row r="36" spans="1:17" s="2" customFormat="1" ht="21" customHeight="1">
      <c r="A36" s="25" t="s">
        <v>56</v>
      </c>
      <c r="B36" s="26" t="s">
        <v>31</v>
      </c>
      <c r="C36" s="25"/>
      <c r="D36" s="25"/>
      <c r="E36" s="25"/>
      <c r="F36" s="25"/>
      <c r="G36" s="25"/>
      <c r="H36" s="25"/>
      <c r="I36" s="25"/>
      <c r="J36" s="25"/>
      <c r="K36" s="25"/>
      <c r="L36" s="25"/>
      <c r="M36" s="25"/>
      <c r="N36" s="25"/>
      <c r="O36" s="45">
        <v>0</v>
      </c>
      <c r="P36" s="45">
        <f t="shared" si="0"/>
        <v>0</v>
      </c>
      <c r="Q36" s="25"/>
    </row>
    <row r="37" spans="1:17" s="2" customFormat="1" ht="26">
      <c r="A37" s="27">
        <v>1</v>
      </c>
      <c r="B37" s="29" t="s">
        <v>32</v>
      </c>
      <c r="C37" s="27" t="s">
        <v>33</v>
      </c>
      <c r="D37" s="27"/>
      <c r="E37" s="27" t="s">
        <v>355</v>
      </c>
      <c r="F37" s="27"/>
      <c r="G37" s="27"/>
      <c r="H37" s="27"/>
      <c r="I37" s="27"/>
      <c r="J37" s="27"/>
      <c r="K37" s="27"/>
      <c r="L37" s="27">
        <v>0.57999999999999996</v>
      </c>
      <c r="M37" s="27" t="s">
        <v>36</v>
      </c>
      <c r="N37" s="27">
        <v>1081.915</v>
      </c>
      <c r="O37" s="47">
        <v>214300</v>
      </c>
      <c r="P37" s="47">
        <f t="shared" si="0"/>
        <v>231854384.5</v>
      </c>
      <c r="Q37" s="27" t="s">
        <v>357</v>
      </c>
    </row>
    <row r="38" spans="1:17" s="2" customFormat="1" ht="39">
      <c r="A38" s="27">
        <v>2</v>
      </c>
      <c r="B38" s="29" t="s">
        <v>37</v>
      </c>
      <c r="C38" s="27" t="s">
        <v>38</v>
      </c>
      <c r="D38" s="27"/>
      <c r="E38" s="27" t="s">
        <v>355</v>
      </c>
      <c r="F38" s="27"/>
      <c r="G38" s="27"/>
      <c r="H38" s="27"/>
      <c r="I38" s="27"/>
      <c r="J38" s="27"/>
      <c r="K38" s="27"/>
      <c r="L38" s="27">
        <v>0.75</v>
      </c>
      <c r="M38" s="27" t="s">
        <v>36</v>
      </c>
      <c r="N38" s="27">
        <v>1083.83</v>
      </c>
      <c r="O38" s="47">
        <v>256600</v>
      </c>
      <c r="P38" s="47">
        <f t="shared" si="0"/>
        <v>278110778</v>
      </c>
      <c r="Q38" s="27" t="s">
        <v>357</v>
      </c>
    </row>
    <row r="39" spans="1:17" s="2" customFormat="1" ht="65">
      <c r="A39" s="27">
        <v>3</v>
      </c>
      <c r="B39" s="29" t="s">
        <v>52</v>
      </c>
      <c r="C39" s="27" t="s">
        <v>53</v>
      </c>
      <c r="D39" s="27"/>
      <c r="E39" s="27" t="s">
        <v>355</v>
      </c>
      <c r="F39" s="27"/>
      <c r="G39" s="27"/>
      <c r="H39" s="27"/>
      <c r="I39" s="27"/>
      <c r="J39" s="27"/>
      <c r="K39" s="27"/>
      <c r="L39" s="27">
        <v>0.75</v>
      </c>
      <c r="M39" s="27" t="s">
        <v>36</v>
      </c>
      <c r="N39" s="27">
        <v>105.83</v>
      </c>
      <c r="O39" s="47">
        <v>811000</v>
      </c>
      <c r="P39" s="47">
        <f t="shared" si="0"/>
        <v>85828130</v>
      </c>
      <c r="Q39" s="27" t="s">
        <v>357</v>
      </c>
    </row>
    <row r="40" spans="1:17" s="2" customFormat="1" ht="21" customHeight="1">
      <c r="A40" s="25" t="s">
        <v>57</v>
      </c>
      <c r="B40" s="26" t="s">
        <v>58</v>
      </c>
      <c r="C40" s="25"/>
      <c r="D40" s="25"/>
      <c r="E40" s="25"/>
      <c r="F40" s="25"/>
      <c r="G40" s="25"/>
      <c r="H40" s="25"/>
      <c r="I40" s="25"/>
      <c r="J40" s="25"/>
      <c r="K40" s="25"/>
      <c r="L40" s="25"/>
      <c r="M40" s="25"/>
      <c r="N40" s="25"/>
      <c r="O40" s="45">
        <v>0</v>
      </c>
      <c r="P40" s="45">
        <f t="shared" si="0"/>
        <v>0</v>
      </c>
      <c r="Q40" s="25"/>
    </row>
    <row r="41" spans="1:17" s="2" customFormat="1" ht="26">
      <c r="A41" s="27">
        <v>1</v>
      </c>
      <c r="B41" s="29" t="s">
        <v>32</v>
      </c>
      <c r="C41" s="27" t="s">
        <v>33</v>
      </c>
      <c r="D41" s="27"/>
      <c r="E41" s="27" t="s">
        <v>355</v>
      </c>
      <c r="F41" s="27"/>
      <c r="G41" s="27"/>
      <c r="H41" s="27"/>
      <c r="I41" s="27"/>
      <c r="J41" s="27"/>
      <c r="K41" s="27"/>
      <c r="L41" s="27">
        <v>0.57999999999999996</v>
      </c>
      <c r="M41" s="27" t="s">
        <v>36</v>
      </c>
      <c r="N41" s="27">
        <v>113.0325</v>
      </c>
      <c r="O41" s="47">
        <v>214300</v>
      </c>
      <c r="P41" s="47">
        <f t="shared" si="0"/>
        <v>24222864.75</v>
      </c>
      <c r="Q41" s="27" t="s">
        <v>357</v>
      </c>
    </row>
    <row r="42" spans="1:17" s="2" customFormat="1" ht="39">
      <c r="A42" s="27">
        <v>2</v>
      </c>
      <c r="B42" s="29" t="s">
        <v>37</v>
      </c>
      <c r="C42" s="27" t="s">
        <v>38</v>
      </c>
      <c r="D42" s="27"/>
      <c r="E42" s="27" t="s">
        <v>355</v>
      </c>
      <c r="F42" s="27"/>
      <c r="G42" s="27"/>
      <c r="H42" s="27"/>
      <c r="I42" s="27"/>
      <c r="J42" s="27"/>
      <c r="K42" s="27"/>
      <c r="L42" s="27">
        <v>0.75</v>
      </c>
      <c r="M42" s="27" t="s">
        <v>36</v>
      </c>
      <c r="N42" s="27">
        <v>201.6</v>
      </c>
      <c r="O42" s="47">
        <v>256600</v>
      </c>
      <c r="P42" s="47">
        <f t="shared" si="0"/>
        <v>51730560</v>
      </c>
      <c r="Q42" s="27" t="s">
        <v>357</v>
      </c>
    </row>
    <row r="43" spans="1:17" s="2" customFormat="1" ht="65">
      <c r="A43" s="27">
        <v>3</v>
      </c>
      <c r="B43" s="29" t="s">
        <v>52</v>
      </c>
      <c r="C43" s="27" t="s">
        <v>53</v>
      </c>
      <c r="D43" s="27"/>
      <c r="E43" s="27" t="s">
        <v>355</v>
      </c>
      <c r="F43" s="27"/>
      <c r="G43" s="27"/>
      <c r="H43" s="27"/>
      <c r="I43" s="27"/>
      <c r="J43" s="27"/>
      <c r="K43" s="27"/>
      <c r="L43" s="27">
        <v>0.75</v>
      </c>
      <c r="M43" s="27" t="s">
        <v>36</v>
      </c>
      <c r="N43" s="27">
        <v>12.19</v>
      </c>
      <c r="O43" s="47">
        <v>811000</v>
      </c>
      <c r="P43" s="47">
        <f t="shared" si="0"/>
        <v>9886090</v>
      </c>
      <c r="Q43" s="27" t="s">
        <v>357</v>
      </c>
    </row>
    <row r="44" spans="1:17" s="2" customFormat="1" ht="13">
      <c r="A44" s="27" t="s">
        <v>59</v>
      </c>
      <c r="B44" s="29" t="s">
        <v>60</v>
      </c>
      <c r="C44" s="27"/>
      <c r="D44" s="27"/>
      <c r="E44" s="27"/>
      <c r="F44" s="27"/>
      <c r="G44" s="27"/>
      <c r="H44" s="27"/>
      <c r="I44" s="27"/>
      <c r="J44" s="27"/>
      <c r="K44" s="27"/>
      <c r="L44" s="27"/>
      <c r="M44" s="27"/>
      <c r="N44" s="27"/>
      <c r="O44" s="47">
        <v>0</v>
      </c>
      <c r="P44" s="47">
        <f t="shared" si="0"/>
        <v>0</v>
      </c>
      <c r="Q44" s="27"/>
    </row>
    <row r="45" spans="1:17" s="2" customFormat="1" ht="26">
      <c r="A45" s="27">
        <v>1</v>
      </c>
      <c r="B45" s="29" t="s">
        <v>32</v>
      </c>
      <c r="C45" s="27" t="s">
        <v>33</v>
      </c>
      <c r="D45" s="27"/>
      <c r="E45" s="27" t="s">
        <v>355</v>
      </c>
      <c r="F45" s="27"/>
      <c r="G45" s="27"/>
      <c r="H45" s="27"/>
      <c r="I45" s="27"/>
      <c r="J45" s="27"/>
      <c r="K45" s="27"/>
      <c r="L45" s="27">
        <v>0.57999999999999996</v>
      </c>
      <c r="M45" s="27" t="s">
        <v>36</v>
      </c>
      <c r="N45" s="27">
        <v>4115.21</v>
      </c>
      <c r="O45" s="47">
        <v>214300</v>
      </c>
      <c r="P45" s="47">
        <f t="shared" si="0"/>
        <v>881889503</v>
      </c>
      <c r="Q45" s="27" t="s">
        <v>357</v>
      </c>
    </row>
    <row r="46" spans="1:17" s="2" customFormat="1" ht="21" customHeight="1">
      <c r="A46" s="25" t="s">
        <v>61</v>
      </c>
      <c r="B46" s="26" t="s">
        <v>62</v>
      </c>
      <c r="C46" s="26"/>
      <c r="D46" s="25"/>
      <c r="E46" s="25"/>
      <c r="F46" s="25"/>
      <c r="G46" s="25"/>
      <c r="H46" s="25"/>
      <c r="I46" s="25"/>
      <c r="J46" s="25"/>
      <c r="K46" s="25"/>
      <c r="L46" s="25"/>
      <c r="M46" s="25"/>
      <c r="N46" s="25"/>
      <c r="O46" s="45"/>
      <c r="P46" s="45">
        <f t="shared" si="0"/>
        <v>0</v>
      </c>
      <c r="Q46" s="25"/>
    </row>
    <row r="47" spans="1:17" s="2" customFormat="1" ht="13">
      <c r="A47" s="27"/>
      <c r="B47" s="28" t="s">
        <v>63</v>
      </c>
      <c r="C47" s="28"/>
      <c r="D47" s="27"/>
      <c r="E47" s="27"/>
      <c r="F47" s="27"/>
      <c r="G47" s="27"/>
      <c r="H47" s="27"/>
      <c r="I47" s="27"/>
      <c r="J47" s="27"/>
      <c r="K47" s="27"/>
      <c r="L47" s="27"/>
      <c r="M47" s="27"/>
      <c r="N47" s="27"/>
      <c r="O47" s="47"/>
      <c r="P47" s="47">
        <f t="shared" si="0"/>
        <v>0</v>
      </c>
      <c r="Q47" s="27"/>
    </row>
    <row r="48" spans="1:17" s="2" customFormat="1" ht="26">
      <c r="A48" s="27">
        <v>1</v>
      </c>
      <c r="B48" s="29" t="s">
        <v>64</v>
      </c>
      <c r="C48" s="29"/>
      <c r="D48" s="27" t="s">
        <v>359</v>
      </c>
      <c r="E48" s="27" t="s">
        <v>355</v>
      </c>
      <c r="F48" s="27">
        <v>100</v>
      </c>
      <c r="G48" s="27">
        <v>100</v>
      </c>
      <c r="H48" s="27"/>
      <c r="I48" s="27"/>
      <c r="J48" s="27"/>
      <c r="K48" s="27">
        <v>200</v>
      </c>
      <c r="L48" s="27">
        <v>0.75</v>
      </c>
      <c r="M48" s="27" t="s">
        <v>66</v>
      </c>
      <c r="N48" s="27">
        <v>111</v>
      </c>
      <c r="O48" s="47">
        <v>147420</v>
      </c>
      <c r="P48" s="47">
        <f t="shared" si="0"/>
        <v>16363620</v>
      </c>
      <c r="Q48" s="27" t="s">
        <v>360</v>
      </c>
    </row>
    <row r="49" spans="1:17" s="2" customFormat="1" ht="26">
      <c r="A49" s="27">
        <v>2</v>
      </c>
      <c r="B49" s="29" t="s">
        <v>67</v>
      </c>
      <c r="C49" s="29"/>
      <c r="D49" s="27" t="s">
        <v>359</v>
      </c>
      <c r="E49" s="27" t="s">
        <v>355</v>
      </c>
      <c r="F49" s="27">
        <v>150</v>
      </c>
      <c r="G49" s="27">
        <v>100</v>
      </c>
      <c r="H49" s="27"/>
      <c r="I49" s="27"/>
      <c r="J49" s="27"/>
      <c r="K49" s="27">
        <v>200</v>
      </c>
      <c r="L49" s="27">
        <v>0.75</v>
      </c>
      <c r="M49" s="27" t="s">
        <v>66</v>
      </c>
      <c r="N49" s="27">
        <v>23</v>
      </c>
      <c r="O49" s="47">
        <v>156870</v>
      </c>
      <c r="P49" s="47">
        <f t="shared" si="0"/>
        <v>3608010</v>
      </c>
      <c r="Q49" s="27" t="s">
        <v>360</v>
      </c>
    </row>
    <row r="50" spans="1:17" s="2" customFormat="1" ht="26">
      <c r="A50" s="27">
        <v>3</v>
      </c>
      <c r="B50" s="29" t="s">
        <v>68</v>
      </c>
      <c r="C50" s="29"/>
      <c r="D50" s="27" t="s">
        <v>359</v>
      </c>
      <c r="E50" s="27" t="s">
        <v>355</v>
      </c>
      <c r="F50" s="27">
        <v>150</v>
      </c>
      <c r="G50" s="27">
        <v>150</v>
      </c>
      <c r="H50" s="27"/>
      <c r="I50" s="27"/>
      <c r="J50" s="27"/>
      <c r="K50" s="27">
        <v>200</v>
      </c>
      <c r="L50" s="27">
        <v>0.75</v>
      </c>
      <c r="M50" s="27" t="s">
        <v>66</v>
      </c>
      <c r="N50" s="27">
        <v>23</v>
      </c>
      <c r="O50" s="47">
        <v>166320</v>
      </c>
      <c r="P50" s="47">
        <f t="shared" si="0"/>
        <v>3825360</v>
      </c>
      <c r="Q50" s="27" t="s">
        <v>360</v>
      </c>
    </row>
    <row r="51" spans="1:17" s="2" customFormat="1" ht="26">
      <c r="A51" s="27">
        <v>4</v>
      </c>
      <c r="B51" s="29" t="s">
        <v>69</v>
      </c>
      <c r="C51" s="29"/>
      <c r="D51" s="27" t="s">
        <v>359</v>
      </c>
      <c r="E51" s="27" t="s">
        <v>355</v>
      </c>
      <c r="F51" s="27">
        <v>200</v>
      </c>
      <c r="G51" s="27">
        <v>150</v>
      </c>
      <c r="H51" s="27"/>
      <c r="I51" s="27"/>
      <c r="J51" s="27"/>
      <c r="K51" s="27">
        <v>200</v>
      </c>
      <c r="L51" s="27">
        <v>0.75</v>
      </c>
      <c r="M51" s="27" t="s">
        <v>66</v>
      </c>
      <c r="N51" s="27">
        <v>1</v>
      </c>
      <c r="O51" s="47">
        <v>176715</v>
      </c>
      <c r="P51" s="47">
        <f t="shared" si="0"/>
        <v>176715</v>
      </c>
      <c r="Q51" s="27" t="s">
        <v>360</v>
      </c>
    </row>
    <row r="52" spans="1:17" s="2" customFormat="1" ht="26">
      <c r="A52" s="27">
        <v>5</v>
      </c>
      <c r="B52" s="29" t="s">
        <v>70</v>
      </c>
      <c r="C52" s="29"/>
      <c r="D52" s="27" t="s">
        <v>359</v>
      </c>
      <c r="E52" s="27" t="s">
        <v>355</v>
      </c>
      <c r="F52" s="27">
        <v>300</v>
      </c>
      <c r="G52" s="27">
        <v>250</v>
      </c>
      <c r="H52" s="27"/>
      <c r="I52" s="27"/>
      <c r="J52" s="27"/>
      <c r="K52" s="27">
        <v>200</v>
      </c>
      <c r="L52" s="27">
        <v>0.75</v>
      </c>
      <c r="M52" s="27" t="s">
        <v>66</v>
      </c>
      <c r="N52" s="27">
        <v>1</v>
      </c>
      <c r="O52" s="47">
        <v>219240</v>
      </c>
      <c r="P52" s="47">
        <f t="shared" si="0"/>
        <v>219240</v>
      </c>
      <c r="Q52" s="27" t="s">
        <v>360</v>
      </c>
    </row>
    <row r="53" spans="1:17" s="2" customFormat="1" ht="26">
      <c r="A53" s="27">
        <v>6</v>
      </c>
      <c r="B53" s="29" t="s">
        <v>71</v>
      </c>
      <c r="C53" s="29"/>
      <c r="D53" s="27" t="s">
        <v>359</v>
      </c>
      <c r="E53" s="27" t="s">
        <v>355</v>
      </c>
      <c r="F53" s="27">
        <v>350</v>
      </c>
      <c r="G53" s="27">
        <v>250</v>
      </c>
      <c r="H53" s="27"/>
      <c r="I53" s="27"/>
      <c r="J53" s="27"/>
      <c r="K53" s="27">
        <v>200</v>
      </c>
      <c r="L53" s="27">
        <v>0.75</v>
      </c>
      <c r="M53" s="27" t="s">
        <v>66</v>
      </c>
      <c r="N53" s="27">
        <v>1</v>
      </c>
      <c r="O53" s="47">
        <v>230580</v>
      </c>
      <c r="P53" s="47">
        <f t="shared" si="0"/>
        <v>230580</v>
      </c>
      <c r="Q53" s="27" t="s">
        <v>360</v>
      </c>
    </row>
    <row r="54" spans="1:17" s="2" customFormat="1" ht="26">
      <c r="A54" s="27">
        <v>7</v>
      </c>
      <c r="B54" s="29" t="s">
        <v>72</v>
      </c>
      <c r="C54" s="29"/>
      <c r="D54" s="27" t="s">
        <v>359</v>
      </c>
      <c r="E54" s="27" t="s">
        <v>355</v>
      </c>
      <c r="F54" s="27">
        <v>400</v>
      </c>
      <c r="G54" s="27">
        <v>200</v>
      </c>
      <c r="H54" s="27"/>
      <c r="I54" s="27"/>
      <c r="J54" s="27"/>
      <c r="K54" s="27">
        <v>200</v>
      </c>
      <c r="L54" s="27">
        <v>0.75</v>
      </c>
      <c r="M54" s="27" t="s">
        <v>66</v>
      </c>
      <c r="N54" s="27">
        <v>6</v>
      </c>
      <c r="O54" s="47">
        <v>228690</v>
      </c>
      <c r="P54" s="47">
        <f t="shared" si="0"/>
        <v>1372140</v>
      </c>
      <c r="Q54" s="27" t="s">
        <v>360</v>
      </c>
    </row>
    <row r="55" spans="1:17" s="2" customFormat="1" ht="26">
      <c r="A55" s="27">
        <v>8</v>
      </c>
      <c r="B55" s="29" t="s">
        <v>73</v>
      </c>
      <c r="C55" s="29"/>
      <c r="D55" s="27" t="s">
        <v>359</v>
      </c>
      <c r="E55" s="27" t="s">
        <v>355</v>
      </c>
      <c r="F55" s="27">
        <v>400</v>
      </c>
      <c r="G55" s="27">
        <v>250</v>
      </c>
      <c r="H55" s="27"/>
      <c r="I55" s="27"/>
      <c r="J55" s="27"/>
      <c r="K55" s="27">
        <v>200</v>
      </c>
      <c r="L55" s="27">
        <v>0.75</v>
      </c>
      <c r="M55" s="27" t="s">
        <v>66</v>
      </c>
      <c r="N55" s="27">
        <v>3</v>
      </c>
      <c r="O55" s="47">
        <v>241920</v>
      </c>
      <c r="P55" s="47">
        <f t="shared" si="0"/>
        <v>725760</v>
      </c>
      <c r="Q55" s="27" t="s">
        <v>360</v>
      </c>
    </row>
    <row r="56" spans="1:17" s="2" customFormat="1" ht="26">
      <c r="A56" s="27">
        <v>9</v>
      </c>
      <c r="B56" s="29" t="s">
        <v>74</v>
      </c>
      <c r="C56" s="29"/>
      <c r="D56" s="27" t="s">
        <v>359</v>
      </c>
      <c r="E56" s="27" t="s">
        <v>355</v>
      </c>
      <c r="F56" s="27">
        <v>400</v>
      </c>
      <c r="G56" s="27">
        <v>300</v>
      </c>
      <c r="H56" s="27"/>
      <c r="I56" s="27"/>
      <c r="J56" s="27"/>
      <c r="K56" s="27">
        <v>200</v>
      </c>
      <c r="L56" s="27">
        <v>0.75</v>
      </c>
      <c r="M56" s="27" t="s">
        <v>66</v>
      </c>
      <c r="N56" s="27">
        <v>4</v>
      </c>
      <c r="O56" s="47">
        <v>274050</v>
      </c>
      <c r="P56" s="47">
        <f t="shared" si="0"/>
        <v>1096200</v>
      </c>
      <c r="Q56" s="27" t="s">
        <v>360</v>
      </c>
    </row>
    <row r="57" spans="1:17" s="2" customFormat="1" ht="26">
      <c r="A57" s="27">
        <v>10</v>
      </c>
      <c r="B57" s="29" t="s">
        <v>75</v>
      </c>
      <c r="C57" s="29"/>
      <c r="D57" s="27" t="s">
        <v>359</v>
      </c>
      <c r="E57" s="27" t="s">
        <v>355</v>
      </c>
      <c r="F57" s="27">
        <v>450</v>
      </c>
      <c r="G57" s="27">
        <v>250</v>
      </c>
      <c r="H57" s="27"/>
      <c r="I57" s="27"/>
      <c r="J57" s="27"/>
      <c r="K57" s="27">
        <v>200</v>
      </c>
      <c r="L57" s="27">
        <v>0.75</v>
      </c>
      <c r="M57" s="27" t="s">
        <v>66</v>
      </c>
      <c r="N57" s="27">
        <v>2</v>
      </c>
      <c r="O57" s="47">
        <v>253260</v>
      </c>
      <c r="P57" s="47">
        <f t="shared" si="0"/>
        <v>506520</v>
      </c>
      <c r="Q57" s="27" t="s">
        <v>360</v>
      </c>
    </row>
    <row r="58" spans="1:17" s="2" customFormat="1" ht="26">
      <c r="A58" s="27">
        <v>11</v>
      </c>
      <c r="B58" s="29" t="s">
        <v>76</v>
      </c>
      <c r="C58" s="29"/>
      <c r="D58" s="27" t="s">
        <v>359</v>
      </c>
      <c r="E58" s="27" t="s">
        <v>355</v>
      </c>
      <c r="F58" s="27">
        <v>500</v>
      </c>
      <c r="G58" s="27">
        <v>300</v>
      </c>
      <c r="H58" s="27"/>
      <c r="I58" s="27"/>
      <c r="J58" s="27"/>
      <c r="K58" s="27">
        <v>200</v>
      </c>
      <c r="L58" s="27">
        <v>0.75</v>
      </c>
      <c r="M58" s="27" t="s">
        <v>66</v>
      </c>
      <c r="N58" s="27">
        <v>2</v>
      </c>
      <c r="O58" s="47">
        <v>297675</v>
      </c>
      <c r="P58" s="47">
        <f t="shared" si="0"/>
        <v>595350</v>
      </c>
      <c r="Q58" s="27" t="s">
        <v>360</v>
      </c>
    </row>
    <row r="59" spans="1:17" s="2" customFormat="1" ht="26">
      <c r="A59" s="27">
        <v>12</v>
      </c>
      <c r="B59" s="29" t="s">
        <v>77</v>
      </c>
      <c r="C59" s="29"/>
      <c r="D59" s="27" t="s">
        <v>359</v>
      </c>
      <c r="E59" s="27" t="s">
        <v>355</v>
      </c>
      <c r="F59" s="27">
        <v>500</v>
      </c>
      <c r="G59" s="27">
        <v>250</v>
      </c>
      <c r="H59" s="27"/>
      <c r="I59" s="27"/>
      <c r="J59" s="27"/>
      <c r="K59" s="27">
        <v>200</v>
      </c>
      <c r="L59" s="27">
        <v>0.75</v>
      </c>
      <c r="M59" s="27" t="s">
        <v>66</v>
      </c>
      <c r="N59" s="27">
        <v>1</v>
      </c>
      <c r="O59" s="47">
        <v>263655</v>
      </c>
      <c r="P59" s="47">
        <f t="shared" si="0"/>
        <v>263655</v>
      </c>
      <c r="Q59" s="27" t="s">
        <v>360</v>
      </c>
    </row>
    <row r="60" spans="1:17" s="2" customFormat="1" ht="26">
      <c r="A60" s="27">
        <v>13</v>
      </c>
      <c r="B60" s="29" t="s">
        <v>78</v>
      </c>
      <c r="C60" s="29"/>
      <c r="D60" s="27" t="s">
        <v>359</v>
      </c>
      <c r="E60" s="27" t="s">
        <v>355</v>
      </c>
      <c r="F60" s="27">
        <v>550</v>
      </c>
      <c r="G60" s="27">
        <v>250</v>
      </c>
      <c r="H60" s="27"/>
      <c r="I60" s="27"/>
      <c r="J60" s="27"/>
      <c r="K60" s="27">
        <v>200</v>
      </c>
      <c r="L60" s="27">
        <v>0.75</v>
      </c>
      <c r="M60" s="27" t="s">
        <v>66</v>
      </c>
      <c r="N60" s="27">
        <v>1</v>
      </c>
      <c r="O60" s="47">
        <v>274995</v>
      </c>
      <c r="P60" s="47">
        <f t="shared" si="0"/>
        <v>274995</v>
      </c>
      <c r="Q60" s="27" t="s">
        <v>360</v>
      </c>
    </row>
    <row r="61" spans="1:17" s="2" customFormat="1" ht="26">
      <c r="A61" s="27">
        <v>14</v>
      </c>
      <c r="B61" s="29" t="s">
        <v>79</v>
      </c>
      <c r="C61" s="29"/>
      <c r="D61" s="27" t="s">
        <v>359</v>
      </c>
      <c r="E61" s="27" t="s">
        <v>355</v>
      </c>
      <c r="F61" s="27">
        <v>600</v>
      </c>
      <c r="G61" s="27">
        <v>300</v>
      </c>
      <c r="H61" s="27"/>
      <c r="I61" s="27"/>
      <c r="J61" s="27"/>
      <c r="K61" s="27">
        <v>200</v>
      </c>
      <c r="L61" s="27">
        <v>0.75</v>
      </c>
      <c r="M61" s="27" t="s">
        <v>66</v>
      </c>
      <c r="N61" s="27">
        <v>3</v>
      </c>
      <c r="O61" s="47">
        <v>321300</v>
      </c>
      <c r="P61" s="47">
        <f t="shared" si="0"/>
        <v>963900</v>
      </c>
      <c r="Q61" s="27" t="s">
        <v>360</v>
      </c>
    </row>
    <row r="62" spans="1:17" s="2" customFormat="1" ht="26">
      <c r="A62" s="27">
        <v>15</v>
      </c>
      <c r="B62" s="29" t="s">
        <v>80</v>
      </c>
      <c r="C62" s="29"/>
      <c r="D62" s="27" t="s">
        <v>359</v>
      </c>
      <c r="E62" s="27" t="s">
        <v>355</v>
      </c>
      <c r="F62" s="27">
        <v>650</v>
      </c>
      <c r="G62" s="27">
        <v>250</v>
      </c>
      <c r="H62" s="27"/>
      <c r="I62" s="27"/>
      <c r="J62" s="27"/>
      <c r="K62" s="27">
        <v>200</v>
      </c>
      <c r="L62" s="27">
        <v>0.75</v>
      </c>
      <c r="M62" s="27" t="s">
        <v>66</v>
      </c>
      <c r="N62" s="27">
        <v>1</v>
      </c>
      <c r="O62" s="47">
        <v>297675</v>
      </c>
      <c r="P62" s="47">
        <f t="shared" si="0"/>
        <v>297675</v>
      </c>
      <c r="Q62" s="27" t="s">
        <v>360</v>
      </c>
    </row>
    <row r="63" spans="1:17" s="2" customFormat="1" ht="26">
      <c r="A63" s="27">
        <v>16</v>
      </c>
      <c r="B63" s="29" t="s">
        <v>81</v>
      </c>
      <c r="C63" s="29"/>
      <c r="D63" s="27" t="s">
        <v>359</v>
      </c>
      <c r="E63" s="27" t="s">
        <v>355</v>
      </c>
      <c r="F63" s="27">
        <v>650</v>
      </c>
      <c r="G63" s="27">
        <v>300</v>
      </c>
      <c r="H63" s="27"/>
      <c r="I63" s="27"/>
      <c r="J63" s="27"/>
      <c r="K63" s="27">
        <v>200</v>
      </c>
      <c r="L63" s="27">
        <v>0.75</v>
      </c>
      <c r="M63" s="27" t="s">
        <v>66</v>
      </c>
      <c r="N63" s="27">
        <v>1</v>
      </c>
      <c r="O63" s="47">
        <v>332640</v>
      </c>
      <c r="P63" s="47">
        <f t="shared" si="0"/>
        <v>332640</v>
      </c>
      <c r="Q63" s="27" t="s">
        <v>360</v>
      </c>
    </row>
    <row r="64" spans="1:17" s="2" customFormat="1" ht="26">
      <c r="A64" s="27">
        <v>17</v>
      </c>
      <c r="B64" s="29" t="s">
        <v>82</v>
      </c>
      <c r="C64" s="29"/>
      <c r="D64" s="27" t="s">
        <v>359</v>
      </c>
      <c r="E64" s="27" t="s">
        <v>355</v>
      </c>
      <c r="F64" s="27">
        <v>650</v>
      </c>
      <c r="G64" s="27">
        <v>350</v>
      </c>
      <c r="H64" s="27"/>
      <c r="I64" s="27"/>
      <c r="J64" s="27"/>
      <c r="K64" s="27">
        <v>200</v>
      </c>
      <c r="L64" s="27">
        <v>0.75</v>
      </c>
      <c r="M64" s="27" t="s">
        <v>66</v>
      </c>
      <c r="N64" s="27">
        <v>1</v>
      </c>
      <c r="O64" s="47">
        <v>348705</v>
      </c>
      <c r="P64" s="47">
        <f t="shared" si="0"/>
        <v>348705</v>
      </c>
      <c r="Q64" s="27" t="s">
        <v>360</v>
      </c>
    </row>
    <row r="65" spans="1:17" s="2" customFormat="1" ht="26">
      <c r="A65" s="27">
        <v>18</v>
      </c>
      <c r="B65" s="29" t="s">
        <v>83</v>
      </c>
      <c r="C65" s="29"/>
      <c r="D65" s="27" t="s">
        <v>359</v>
      </c>
      <c r="E65" s="27" t="s">
        <v>355</v>
      </c>
      <c r="F65" s="27">
        <v>800</v>
      </c>
      <c r="G65" s="27">
        <v>600</v>
      </c>
      <c r="H65" s="27"/>
      <c r="I65" s="27"/>
      <c r="J65" s="27"/>
      <c r="K65" s="27">
        <v>200</v>
      </c>
      <c r="L65" s="27">
        <v>0.95</v>
      </c>
      <c r="M65" s="27" t="s">
        <v>66</v>
      </c>
      <c r="N65" s="27">
        <v>1</v>
      </c>
      <c r="O65" s="47">
        <v>600075</v>
      </c>
      <c r="P65" s="47">
        <f t="shared" si="0"/>
        <v>600075</v>
      </c>
      <c r="Q65" s="27" t="s">
        <v>360</v>
      </c>
    </row>
    <row r="66" spans="1:17" s="2" customFormat="1" ht="26">
      <c r="A66" s="27">
        <v>19</v>
      </c>
      <c r="B66" s="29" t="s">
        <v>84</v>
      </c>
      <c r="C66" s="29"/>
      <c r="D66" s="27" t="s">
        <v>359</v>
      </c>
      <c r="E66" s="27" t="s">
        <v>355</v>
      </c>
      <c r="F66" s="27">
        <v>900</v>
      </c>
      <c r="G66" s="27">
        <v>300</v>
      </c>
      <c r="H66" s="27"/>
      <c r="I66" s="27"/>
      <c r="J66" s="27"/>
      <c r="K66" s="27">
        <v>200</v>
      </c>
      <c r="L66" s="27">
        <v>0.95</v>
      </c>
      <c r="M66" s="27" t="s">
        <v>66</v>
      </c>
      <c r="N66" s="27">
        <v>1</v>
      </c>
      <c r="O66" s="47">
        <v>438480</v>
      </c>
      <c r="P66" s="47">
        <f t="shared" si="0"/>
        <v>438480</v>
      </c>
      <c r="Q66" s="27" t="s">
        <v>360</v>
      </c>
    </row>
    <row r="67" spans="1:17" s="2" customFormat="1" ht="26">
      <c r="A67" s="27">
        <v>20</v>
      </c>
      <c r="B67" s="29" t="s">
        <v>85</v>
      </c>
      <c r="C67" s="29"/>
      <c r="D67" s="27" t="s">
        <v>359</v>
      </c>
      <c r="E67" s="27" t="s">
        <v>355</v>
      </c>
      <c r="F67" s="27">
        <v>900</v>
      </c>
      <c r="G67" s="27">
        <v>500</v>
      </c>
      <c r="H67" s="27"/>
      <c r="I67" s="27"/>
      <c r="J67" s="27"/>
      <c r="K67" s="27">
        <v>200</v>
      </c>
      <c r="L67" s="27">
        <v>0.95</v>
      </c>
      <c r="M67" s="27" t="s">
        <v>66</v>
      </c>
      <c r="N67" s="27">
        <v>1</v>
      </c>
      <c r="O67" s="47">
        <v>590625</v>
      </c>
      <c r="P67" s="47">
        <f t="shared" si="0"/>
        <v>590625</v>
      </c>
      <c r="Q67" s="27" t="s">
        <v>360</v>
      </c>
    </row>
    <row r="68" spans="1:17" s="2" customFormat="1" ht="26">
      <c r="A68" s="27">
        <v>21</v>
      </c>
      <c r="B68" s="29" t="s">
        <v>86</v>
      </c>
      <c r="C68" s="29"/>
      <c r="D68" s="27" t="s">
        <v>359</v>
      </c>
      <c r="E68" s="27" t="s">
        <v>355</v>
      </c>
      <c r="F68" s="27">
        <v>900</v>
      </c>
      <c r="G68" s="27">
        <v>900</v>
      </c>
      <c r="H68" s="27"/>
      <c r="I68" s="27"/>
      <c r="J68" s="27"/>
      <c r="K68" s="27">
        <v>200</v>
      </c>
      <c r="L68" s="27">
        <v>1.1499999999999999</v>
      </c>
      <c r="M68" s="27" t="s">
        <v>66</v>
      </c>
      <c r="N68" s="27">
        <v>1</v>
      </c>
      <c r="O68" s="47">
        <v>849555</v>
      </c>
      <c r="P68" s="47">
        <f t="shared" si="0"/>
        <v>849555</v>
      </c>
      <c r="Q68" s="27" t="s">
        <v>360</v>
      </c>
    </row>
    <row r="69" spans="1:17" s="2" customFormat="1" ht="26">
      <c r="A69" s="27">
        <v>22</v>
      </c>
      <c r="B69" s="29" t="s">
        <v>87</v>
      </c>
      <c r="C69" s="29"/>
      <c r="D69" s="27" t="s">
        <v>359</v>
      </c>
      <c r="E69" s="27" t="s">
        <v>355</v>
      </c>
      <c r="F69" s="27">
        <v>950</v>
      </c>
      <c r="G69" s="27">
        <v>500</v>
      </c>
      <c r="H69" s="27"/>
      <c r="I69" s="27"/>
      <c r="J69" s="27"/>
      <c r="K69" s="27">
        <v>200</v>
      </c>
      <c r="L69" s="27">
        <v>0.95</v>
      </c>
      <c r="M69" s="27" t="s">
        <v>66</v>
      </c>
      <c r="N69" s="27">
        <v>1</v>
      </c>
      <c r="O69" s="47">
        <v>607635</v>
      </c>
      <c r="P69" s="47">
        <f t="shared" si="0"/>
        <v>607635</v>
      </c>
      <c r="Q69" s="27" t="s">
        <v>360</v>
      </c>
    </row>
    <row r="70" spans="1:17" s="2" customFormat="1" ht="26">
      <c r="A70" s="27">
        <v>23</v>
      </c>
      <c r="B70" s="29" t="s">
        <v>88</v>
      </c>
      <c r="C70" s="29"/>
      <c r="D70" s="27" t="s">
        <v>359</v>
      </c>
      <c r="E70" s="27" t="s">
        <v>355</v>
      </c>
      <c r="F70" s="27">
        <v>1000</v>
      </c>
      <c r="G70" s="27">
        <v>1000</v>
      </c>
      <c r="H70" s="27"/>
      <c r="I70" s="27"/>
      <c r="J70" s="27"/>
      <c r="K70" s="27">
        <v>200</v>
      </c>
      <c r="L70" s="27">
        <v>1.1499999999999999</v>
      </c>
      <c r="M70" s="27" t="s">
        <v>66</v>
      </c>
      <c r="N70" s="27">
        <v>1</v>
      </c>
      <c r="O70" s="47">
        <v>1153845</v>
      </c>
      <c r="P70" s="47">
        <f t="shared" si="0"/>
        <v>1153845</v>
      </c>
      <c r="Q70" s="27" t="s">
        <v>360</v>
      </c>
    </row>
    <row r="71" spans="1:17" s="2" customFormat="1" ht="78">
      <c r="A71" s="27">
        <v>24</v>
      </c>
      <c r="B71" s="29" t="s">
        <v>90</v>
      </c>
      <c r="C71" s="29"/>
      <c r="D71" s="27" t="s">
        <v>361</v>
      </c>
      <c r="E71" s="27" t="s">
        <v>355</v>
      </c>
      <c r="F71" s="30">
        <v>150</v>
      </c>
      <c r="G71" s="30">
        <v>150</v>
      </c>
      <c r="H71" s="27"/>
      <c r="I71" s="27"/>
      <c r="J71" s="27"/>
      <c r="K71" s="27">
        <v>200</v>
      </c>
      <c r="L71" s="27">
        <v>1.1499999999999999</v>
      </c>
      <c r="M71" s="27" t="s">
        <v>66</v>
      </c>
      <c r="N71" s="27">
        <v>93</v>
      </c>
      <c r="O71" s="47">
        <v>855742.28249999997</v>
      </c>
      <c r="P71" s="47">
        <f t="shared" si="0"/>
        <v>79584032.272499993</v>
      </c>
      <c r="Q71" s="27" t="s">
        <v>362</v>
      </c>
    </row>
    <row r="72" spans="1:17" s="2" customFormat="1" ht="78">
      <c r="A72" s="27">
        <v>25</v>
      </c>
      <c r="B72" s="29" t="s">
        <v>91</v>
      </c>
      <c r="C72" s="29"/>
      <c r="D72" s="27" t="s">
        <v>361</v>
      </c>
      <c r="E72" s="27" t="s">
        <v>355</v>
      </c>
      <c r="F72" s="30">
        <v>150</v>
      </c>
      <c r="G72" s="30">
        <v>150</v>
      </c>
      <c r="H72" s="27"/>
      <c r="I72" s="27"/>
      <c r="J72" s="27"/>
      <c r="K72" s="27">
        <v>200</v>
      </c>
      <c r="L72" s="27">
        <v>1.1499999999999999</v>
      </c>
      <c r="M72" s="27" t="s">
        <v>66</v>
      </c>
      <c r="N72" s="27">
        <v>52</v>
      </c>
      <c r="O72" s="47">
        <v>855742.28249999997</v>
      </c>
      <c r="P72" s="47">
        <f t="shared" si="0"/>
        <v>44498598.689999998</v>
      </c>
      <c r="Q72" s="27" t="s">
        <v>363</v>
      </c>
    </row>
    <row r="73" spans="1:17" s="2" customFormat="1" ht="52">
      <c r="A73" s="27">
        <v>26</v>
      </c>
      <c r="B73" s="29" t="s">
        <v>92</v>
      </c>
      <c r="C73" s="29"/>
      <c r="D73" s="27" t="s">
        <v>361</v>
      </c>
      <c r="E73" s="27" t="s">
        <v>355</v>
      </c>
      <c r="F73" s="27">
        <v>150</v>
      </c>
      <c r="G73" s="27">
        <v>150</v>
      </c>
      <c r="H73" s="27"/>
      <c r="I73" s="27"/>
      <c r="J73" s="27"/>
      <c r="K73" s="27">
        <v>200</v>
      </c>
      <c r="L73" s="27">
        <v>1.1499999999999999</v>
      </c>
      <c r="M73" s="27" t="s">
        <v>66</v>
      </c>
      <c r="N73" s="27">
        <v>24</v>
      </c>
      <c r="O73" s="47">
        <v>855742.28249999997</v>
      </c>
      <c r="P73" s="47">
        <f t="shared" si="0"/>
        <v>20537814.780000001</v>
      </c>
      <c r="Q73" s="27" t="s">
        <v>364</v>
      </c>
    </row>
    <row r="74" spans="1:17" s="2" customFormat="1" ht="52">
      <c r="A74" s="27">
        <v>27</v>
      </c>
      <c r="B74" s="29" t="s">
        <v>93</v>
      </c>
      <c r="C74" s="29"/>
      <c r="D74" s="27" t="s">
        <v>361</v>
      </c>
      <c r="E74" s="27" t="s">
        <v>355</v>
      </c>
      <c r="F74" s="27">
        <v>300</v>
      </c>
      <c r="G74" s="27">
        <v>250</v>
      </c>
      <c r="H74" s="27"/>
      <c r="I74" s="27"/>
      <c r="J74" s="27"/>
      <c r="K74" s="27">
        <v>200</v>
      </c>
      <c r="L74" s="27">
        <v>1.1499999999999999</v>
      </c>
      <c r="M74" s="27" t="s">
        <v>66</v>
      </c>
      <c r="N74" s="27">
        <v>2</v>
      </c>
      <c r="O74" s="47">
        <v>1156469.58</v>
      </c>
      <c r="P74" s="47">
        <f t="shared" si="0"/>
        <v>2312939.16</v>
      </c>
      <c r="Q74" s="27" t="s">
        <v>364</v>
      </c>
    </row>
    <row r="75" spans="1:17" s="2" customFormat="1" ht="52">
      <c r="A75" s="27">
        <v>28</v>
      </c>
      <c r="B75" s="29" t="s">
        <v>94</v>
      </c>
      <c r="C75" s="29"/>
      <c r="D75" s="27" t="s">
        <v>361</v>
      </c>
      <c r="E75" s="27" t="s">
        <v>355</v>
      </c>
      <c r="F75" s="27">
        <v>300</v>
      </c>
      <c r="G75" s="27">
        <v>300</v>
      </c>
      <c r="H75" s="27"/>
      <c r="I75" s="27"/>
      <c r="J75" s="27"/>
      <c r="K75" s="27">
        <v>200</v>
      </c>
      <c r="L75" s="27">
        <v>1.1499999999999999</v>
      </c>
      <c r="M75" s="27" t="s">
        <v>66</v>
      </c>
      <c r="N75" s="27">
        <v>3</v>
      </c>
      <c r="O75" s="47">
        <v>1548740.4450000001</v>
      </c>
      <c r="P75" s="47">
        <f t="shared" si="0"/>
        <v>4646221.335</v>
      </c>
      <c r="Q75" s="27" t="s">
        <v>364</v>
      </c>
    </row>
    <row r="76" spans="1:17" s="2" customFormat="1" ht="52">
      <c r="A76" s="27">
        <v>29</v>
      </c>
      <c r="B76" s="29" t="s">
        <v>95</v>
      </c>
      <c r="C76" s="29"/>
      <c r="D76" s="27" t="s">
        <v>361</v>
      </c>
      <c r="E76" s="27" t="s">
        <v>355</v>
      </c>
      <c r="F76" s="27">
        <v>350</v>
      </c>
      <c r="G76" s="27">
        <v>250</v>
      </c>
      <c r="H76" s="27"/>
      <c r="I76" s="27"/>
      <c r="J76" s="27"/>
      <c r="K76" s="27">
        <v>200</v>
      </c>
      <c r="L76" s="27">
        <v>1.1499999999999999</v>
      </c>
      <c r="M76" s="27" t="s">
        <v>66</v>
      </c>
      <c r="N76" s="27">
        <v>3</v>
      </c>
      <c r="O76" s="47">
        <v>1220272.6725000001</v>
      </c>
      <c r="P76" s="47">
        <f t="shared" si="0"/>
        <v>3660818.0175000001</v>
      </c>
      <c r="Q76" s="27" t="s">
        <v>364</v>
      </c>
    </row>
    <row r="77" spans="1:17" s="2" customFormat="1" ht="52">
      <c r="A77" s="27">
        <v>30</v>
      </c>
      <c r="B77" s="29" t="s">
        <v>96</v>
      </c>
      <c r="C77" s="29"/>
      <c r="D77" s="27" t="s">
        <v>361</v>
      </c>
      <c r="E77" s="27" t="s">
        <v>355</v>
      </c>
      <c r="F77" s="27">
        <v>400</v>
      </c>
      <c r="G77" s="27">
        <v>200</v>
      </c>
      <c r="H77" s="27"/>
      <c r="I77" s="27"/>
      <c r="J77" s="27"/>
      <c r="K77" s="27">
        <v>200</v>
      </c>
      <c r="L77" s="27">
        <v>1.1499999999999999</v>
      </c>
      <c r="M77" s="27" t="s">
        <v>66</v>
      </c>
      <c r="N77" s="27">
        <v>2</v>
      </c>
      <c r="O77" s="47">
        <v>1207121.6325000001</v>
      </c>
      <c r="P77" s="47">
        <f t="shared" si="0"/>
        <v>2414243.2650000001</v>
      </c>
      <c r="Q77" s="27" t="s">
        <v>364</v>
      </c>
    </row>
    <row r="78" spans="1:17" s="2" customFormat="1" ht="52">
      <c r="A78" s="27">
        <v>31</v>
      </c>
      <c r="B78" s="29" t="s">
        <v>97</v>
      </c>
      <c r="C78" s="29"/>
      <c r="D78" s="27" t="s">
        <v>361</v>
      </c>
      <c r="E78" s="27" t="s">
        <v>355</v>
      </c>
      <c r="F78" s="27">
        <v>400</v>
      </c>
      <c r="G78" s="27">
        <v>250</v>
      </c>
      <c r="H78" s="27"/>
      <c r="I78" s="27"/>
      <c r="J78" s="27"/>
      <c r="K78" s="27">
        <v>200</v>
      </c>
      <c r="L78" s="27">
        <v>1.1499999999999999</v>
      </c>
      <c r="M78" s="27" t="s">
        <v>66</v>
      </c>
      <c r="N78" s="27">
        <v>0</v>
      </c>
      <c r="O78" s="47">
        <v>1283870.28</v>
      </c>
      <c r="P78" s="47">
        <f t="shared" si="0"/>
        <v>0</v>
      </c>
      <c r="Q78" s="27" t="s">
        <v>364</v>
      </c>
    </row>
    <row r="79" spans="1:17" s="2" customFormat="1" ht="52">
      <c r="A79" s="27">
        <v>32</v>
      </c>
      <c r="B79" s="29" t="s">
        <v>98</v>
      </c>
      <c r="C79" s="29"/>
      <c r="D79" s="27" t="s">
        <v>361</v>
      </c>
      <c r="E79" s="27" t="s">
        <v>355</v>
      </c>
      <c r="F79" s="27">
        <v>400</v>
      </c>
      <c r="G79" s="27">
        <v>300</v>
      </c>
      <c r="H79" s="27"/>
      <c r="I79" s="27"/>
      <c r="J79" s="27"/>
      <c r="K79" s="27">
        <v>200</v>
      </c>
      <c r="L79" s="27">
        <v>1.1499999999999999</v>
      </c>
      <c r="M79" s="27" t="s">
        <v>66</v>
      </c>
      <c r="N79" s="27">
        <v>3</v>
      </c>
      <c r="O79" s="47">
        <v>1674497.2649999999</v>
      </c>
      <c r="P79" s="47">
        <f t="shared" si="0"/>
        <v>5023491.7949999999</v>
      </c>
      <c r="Q79" s="27" t="s">
        <v>364</v>
      </c>
    </row>
    <row r="80" spans="1:17" s="2" customFormat="1" ht="52">
      <c r="A80" s="27">
        <v>33</v>
      </c>
      <c r="B80" s="29" t="s">
        <v>99</v>
      </c>
      <c r="C80" s="29"/>
      <c r="D80" s="27" t="s">
        <v>361</v>
      </c>
      <c r="E80" s="27" t="s">
        <v>355</v>
      </c>
      <c r="F80" s="27">
        <v>400</v>
      </c>
      <c r="G80" s="27">
        <v>350</v>
      </c>
      <c r="H80" s="27"/>
      <c r="I80" s="27"/>
      <c r="J80" s="27"/>
      <c r="K80" s="27">
        <v>200</v>
      </c>
      <c r="L80" s="27">
        <v>1.1499999999999999</v>
      </c>
      <c r="M80" s="27" t="s">
        <v>66</v>
      </c>
      <c r="N80" s="27">
        <v>1</v>
      </c>
      <c r="O80" s="47">
        <v>1745492.3325</v>
      </c>
      <c r="P80" s="47">
        <f t="shared" si="0"/>
        <v>1745492.3325</v>
      </c>
      <c r="Q80" s="27" t="s">
        <v>364</v>
      </c>
    </row>
    <row r="81" spans="1:17" s="2" customFormat="1" ht="52">
      <c r="A81" s="27">
        <v>34</v>
      </c>
      <c r="B81" s="29" t="s">
        <v>100</v>
      </c>
      <c r="C81" s="29"/>
      <c r="D81" s="27" t="s">
        <v>361</v>
      </c>
      <c r="E81" s="27" t="s">
        <v>355</v>
      </c>
      <c r="F81" s="27">
        <v>450</v>
      </c>
      <c r="G81" s="27">
        <v>250</v>
      </c>
      <c r="H81" s="27"/>
      <c r="I81" s="27"/>
      <c r="J81" s="27"/>
      <c r="K81" s="27">
        <v>200</v>
      </c>
      <c r="L81" s="27">
        <v>1.1499999999999999</v>
      </c>
      <c r="M81" s="27" t="s">
        <v>66</v>
      </c>
      <c r="N81" s="27">
        <v>4</v>
      </c>
      <c r="O81" s="47">
        <v>1347467.8875</v>
      </c>
      <c r="P81" s="47">
        <f t="shared" ref="P81:P144" si="1">O81*N81</f>
        <v>5389871.5499999998</v>
      </c>
      <c r="Q81" s="27" t="s">
        <v>364</v>
      </c>
    </row>
    <row r="82" spans="1:17" s="2" customFormat="1" ht="52">
      <c r="A82" s="27">
        <v>35</v>
      </c>
      <c r="B82" s="29" t="s">
        <v>101</v>
      </c>
      <c r="C82" s="29"/>
      <c r="D82" s="27" t="s">
        <v>361</v>
      </c>
      <c r="E82" s="27" t="s">
        <v>355</v>
      </c>
      <c r="F82" s="27">
        <v>550</v>
      </c>
      <c r="G82" s="27">
        <v>250</v>
      </c>
      <c r="H82" s="27"/>
      <c r="I82" s="27"/>
      <c r="J82" s="27"/>
      <c r="K82" s="27">
        <v>200</v>
      </c>
      <c r="L82" s="27">
        <v>1.1499999999999999</v>
      </c>
      <c r="M82" s="27" t="s">
        <v>66</v>
      </c>
      <c r="N82" s="27">
        <v>3</v>
      </c>
      <c r="O82" s="47">
        <v>1474868.5874999999</v>
      </c>
      <c r="P82" s="47">
        <f t="shared" si="1"/>
        <v>4424605.7625000002</v>
      </c>
      <c r="Q82" s="27" t="s">
        <v>364</v>
      </c>
    </row>
    <row r="83" spans="1:17" s="2" customFormat="1" ht="52">
      <c r="A83" s="27">
        <v>36</v>
      </c>
      <c r="B83" s="29" t="s">
        <v>102</v>
      </c>
      <c r="C83" s="29"/>
      <c r="D83" s="27" t="s">
        <v>361</v>
      </c>
      <c r="E83" s="27" t="s">
        <v>355</v>
      </c>
      <c r="F83" s="27">
        <v>550</v>
      </c>
      <c r="G83" s="27">
        <v>350</v>
      </c>
      <c r="H83" s="27"/>
      <c r="I83" s="27"/>
      <c r="J83" s="27"/>
      <c r="K83" s="27">
        <v>200</v>
      </c>
      <c r="L83" s="27">
        <v>1.1499999999999999</v>
      </c>
      <c r="M83" s="27" t="s">
        <v>66</v>
      </c>
      <c r="N83" s="27">
        <v>1</v>
      </c>
      <c r="O83" s="47">
        <v>1946148.4350000001</v>
      </c>
      <c r="P83" s="47">
        <f t="shared" si="1"/>
        <v>1946148.4350000001</v>
      </c>
      <c r="Q83" s="27" t="s">
        <v>364</v>
      </c>
    </row>
    <row r="84" spans="1:17" s="2" customFormat="1" ht="52">
      <c r="A84" s="27">
        <v>37</v>
      </c>
      <c r="B84" s="29" t="s">
        <v>103</v>
      </c>
      <c r="C84" s="29"/>
      <c r="D84" s="27" t="s">
        <v>361</v>
      </c>
      <c r="E84" s="27" t="s">
        <v>355</v>
      </c>
      <c r="F84" s="27">
        <v>600</v>
      </c>
      <c r="G84" s="27">
        <v>300</v>
      </c>
      <c r="H84" s="27"/>
      <c r="I84" s="27"/>
      <c r="J84" s="27"/>
      <c r="K84" s="27">
        <v>200</v>
      </c>
      <c r="L84" s="27">
        <v>1.1499999999999999</v>
      </c>
      <c r="M84" s="27" t="s">
        <v>66</v>
      </c>
      <c r="N84" s="27">
        <v>7</v>
      </c>
      <c r="O84" s="47">
        <v>1925702.6775</v>
      </c>
      <c r="P84" s="47">
        <f t="shared" si="1"/>
        <v>13479918.7425</v>
      </c>
      <c r="Q84" s="27" t="s">
        <v>364</v>
      </c>
    </row>
    <row r="85" spans="1:17" s="2" customFormat="1" ht="52">
      <c r="A85" s="27">
        <v>38</v>
      </c>
      <c r="B85" s="29" t="s">
        <v>104</v>
      </c>
      <c r="C85" s="29"/>
      <c r="D85" s="27" t="s">
        <v>361</v>
      </c>
      <c r="E85" s="27" t="s">
        <v>355</v>
      </c>
      <c r="F85" s="27">
        <v>600</v>
      </c>
      <c r="G85" s="27">
        <v>450</v>
      </c>
      <c r="H85" s="27"/>
      <c r="I85" s="27"/>
      <c r="J85" s="27"/>
      <c r="K85" s="27">
        <v>200</v>
      </c>
      <c r="L85" s="27">
        <v>1.1499999999999999</v>
      </c>
      <c r="M85" s="27" t="s">
        <v>66</v>
      </c>
      <c r="N85" s="27">
        <v>4</v>
      </c>
      <c r="O85" s="47">
        <v>2154715.71</v>
      </c>
      <c r="P85" s="47">
        <f t="shared" si="1"/>
        <v>8618862.8399999999</v>
      </c>
      <c r="Q85" s="27" t="s">
        <v>364</v>
      </c>
    </row>
    <row r="86" spans="1:17" s="2" customFormat="1" ht="52">
      <c r="A86" s="27">
        <v>39</v>
      </c>
      <c r="B86" s="29" t="s">
        <v>105</v>
      </c>
      <c r="C86" s="29"/>
      <c r="D86" s="27" t="s">
        <v>361</v>
      </c>
      <c r="E86" s="27" t="s">
        <v>355</v>
      </c>
      <c r="F86" s="27">
        <v>650</v>
      </c>
      <c r="G86" s="27">
        <v>250</v>
      </c>
      <c r="H86" s="27"/>
      <c r="I86" s="27"/>
      <c r="J86" s="27"/>
      <c r="K86" s="27">
        <v>200</v>
      </c>
      <c r="L86" s="27">
        <v>1.1499999999999999</v>
      </c>
      <c r="M86" s="27" t="s">
        <v>66</v>
      </c>
      <c r="N86" s="27">
        <v>3</v>
      </c>
      <c r="O86" s="47">
        <v>1602269.2875000001</v>
      </c>
      <c r="P86" s="47">
        <f t="shared" si="1"/>
        <v>4806807.8624999998</v>
      </c>
      <c r="Q86" s="27" t="s">
        <v>364</v>
      </c>
    </row>
    <row r="87" spans="1:17" s="2" customFormat="1" ht="52">
      <c r="A87" s="27">
        <v>40</v>
      </c>
      <c r="B87" s="29" t="s">
        <v>106</v>
      </c>
      <c r="C87" s="29"/>
      <c r="D87" s="27" t="s">
        <v>361</v>
      </c>
      <c r="E87" s="27" t="s">
        <v>355</v>
      </c>
      <c r="F87" s="27">
        <v>650</v>
      </c>
      <c r="G87" s="27">
        <v>300</v>
      </c>
      <c r="H87" s="27"/>
      <c r="I87" s="27"/>
      <c r="J87" s="27"/>
      <c r="K87" s="27">
        <v>200</v>
      </c>
      <c r="L87" s="27">
        <v>1.1499999999999999</v>
      </c>
      <c r="M87" s="27" t="s">
        <v>66</v>
      </c>
      <c r="N87" s="27">
        <v>2</v>
      </c>
      <c r="O87" s="47">
        <v>1988581.0874999999</v>
      </c>
      <c r="P87" s="47">
        <f t="shared" si="1"/>
        <v>3977162.1749999998</v>
      </c>
      <c r="Q87" s="27" t="s">
        <v>364</v>
      </c>
    </row>
    <row r="88" spans="1:17" s="2" customFormat="1" ht="52">
      <c r="A88" s="27">
        <v>41</v>
      </c>
      <c r="B88" s="29" t="s">
        <v>107</v>
      </c>
      <c r="C88" s="29"/>
      <c r="D88" s="27" t="s">
        <v>361</v>
      </c>
      <c r="E88" s="27" t="s">
        <v>355</v>
      </c>
      <c r="F88" s="27">
        <v>650</v>
      </c>
      <c r="G88" s="27">
        <v>350</v>
      </c>
      <c r="H88" s="27"/>
      <c r="I88" s="27"/>
      <c r="J88" s="27"/>
      <c r="K88" s="27">
        <v>200</v>
      </c>
      <c r="L88" s="27">
        <v>1.1499999999999999</v>
      </c>
      <c r="M88" s="27" t="s">
        <v>66</v>
      </c>
      <c r="N88" s="27">
        <v>1</v>
      </c>
      <c r="O88" s="47">
        <v>2079816.4275</v>
      </c>
      <c r="P88" s="47">
        <f t="shared" si="1"/>
        <v>2079816.4275</v>
      </c>
      <c r="Q88" s="27" t="s">
        <v>364</v>
      </c>
    </row>
    <row r="89" spans="1:17" s="2" customFormat="1" ht="52">
      <c r="A89" s="27">
        <v>42</v>
      </c>
      <c r="B89" s="29" t="s">
        <v>108</v>
      </c>
      <c r="C89" s="29"/>
      <c r="D89" s="27" t="s">
        <v>361</v>
      </c>
      <c r="E89" s="27" t="s">
        <v>355</v>
      </c>
      <c r="F89" s="27">
        <v>650</v>
      </c>
      <c r="G89" s="27">
        <v>400</v>
      </c>
      <c r="H89" s="27"/>
      <c r="I89" s="27"/>
      <c r="J89" s="27"/>
      <c r="K89" s="27">
        <v>200</v>
      </c>
      <c r="L89" s="27">
        <v>1.1499999999999999</v>
      </c>
      <c r="M89" s="27" t="s">
        <v>66</v>
      </c>
      <c r="N89" s="27">
        <v>2</v>
      </c>
      <c r="O89" s="47">
        <v>2171257.2524999999</v>
      </c>
      <c r="P89" s="47">
        <f t="shared" si="1"/>
        <v>4342514.5049999999</v>
      </c>
      <c r="Q89" s="27" t="s">
        <v>364</v>
      </c>
    </row>
    <row r="90" spans="1:17" s="2" customFormat="1" ht="52">
      <c r="A90" s="27">
        <v>43</v>
      </c>
      <c r="B90" s="29" t="s">
        <v>109</v>
      </c>
      <c r="C90" s="29"/>
      <c r="D90" s="27" t="s">
        <v>361</v>
      </c>
      <c r="E90" s="27" t="s">
        <v>355</v>
      </c>
      <c r="F90" s="27">
        <v>700</v>
      </c>
      <c r="G90" s="27">
        <v>350</v>
      </c>
      <c r="H90" s="27"/>
      <c r="I90" s="27"/>
      <c r="J90" s="27"/>
      <c r="K90" s="27">
        <v>200</v>
      </c>
      <c r="L90" s="27">
        <v>1.1499999999999999</v>
      </c>
      <c r="M90" s="27" t="s">
        <v>66</v>
      </c>
      <c r="N90" s="27">
        <v>1</v>
      </c>
      <c r="O90" s="47">
        <v>2146907.2799999998</v>
      </c>
      <c r="P90" s="47">
        <f t="shared" si="1"/>
        <v>2146907.2799999998</v>
      </c>
      <c r="Q90" s="27" t="s">
        <v>364</v>
      </c>
    </row>
    <row r="91" spans="1:17" s="2" customFormat="1" ht="52">
      <c r="A91" s="27">
        <v>44</v>
      </c>
      <c r="B91" s="29" t="s">
        <v>110</v>
      </c>
      <c r="C91" s="29"/>
      <c r="D91" s="27" t="s">
        <v>361</v>
      </c>
      <c r="E91" s="27" t="s">
        <v>355</v>
      </c>
      <c r="F91" s="27">
        <v>800</v>
      </c>
      <c r="G91" s="27">
        <v>600</v>
      </c>
      <c r="H91" s="27"/>
      <c r="I91" s="27"/>
      <c r="J91" s="27"/>
      <c r="K91" s="27">
        <v>200</v>
      </c>
      <c r="L91" s="27">
        <v>1.1499999999999999</v>
      </c>
      <c r="M91" s="27" t="s">
        <v>66</v>
      </c>
      <c r="N91" s="27">
        <v>1</v>
      </c>
      <c r="O91" s="47">
        <v>2702230.4925000002</v>
      </c>
      <c r="P91" s="47">
        <f t="shared" si="1"/>
        <v>2702230.4925000002</v>
      </c>
      <c r="Q91" s="27" t="s">
        <v>364</v>
      </c>
    </row>
    <row r="92" spans="1:17" s="2" customFormat="1" ht="52">
      <c r="A92" s="27">
        <v>45</v>
      </c>
      <c r="B92" s="29" t="s">
        <v>111</v>
      </c>
      <c r="C92" s="29"/>
      <c r="D92" s="27" t="s">
        <v>361</v>
      </c>
      <c r="E92" s="27" t="s">
        <v>355</v>
      </c>
      <c r="F92" s="27">
        <v>800</v>
      </c>
      <c r="G92" s="27">
        <v>800</v>
      </c>
      <c r="H92" s="27"/>
      <c r="I92" s="27"/>
      <c r="J92" s="27"/>
      <c r="K92" s="27">
        <v>200</v>
      </c>
      <c r="L92" s="27">
        <v>1.1499999999999999</v>
      </c>
      <c r="M92" s="27" t="s">
        <v>66</v>
      </c>
      <c r="N92" s="27">
        <v>3</v>
      </c>
      <c r="O92" s="47">
        <v>3390810.7275</v>
      </c>
      <c r="P92" s="47">
        <f t="shared" si="1"/>
        <v>10172432.182499999</v>
      </c>
      <c r="Q92" s="27" t="s">
        <v>364</v>
      </c>
    </row>
    <row r="93" spans="1:17" s="2" customFormat="1" ht="52">
      <c r="A93" s="27">
        <v>46</v>
      </c>
      <c r="B93" s="29" t="s">
        <v>112</v>
      </c>
      <c r="C93" s="29"/>
      <c r="D93" s="27" t="s">
        <v>361</v>
      </c>
      <c r="E93" s="27" t="s">
        <v>355</v>
      </c>
      <c r="F93" s="27">
        <v>850</v>
      </c>
      <c r="G93" s="27">
        <v>450</v>
      </c>
      <c r="H93" s="27"/>
      <c r="I93" s="27"/>
      <c r="J93" s="27"/>
      <c r="K93" s="27">
        <v>200</v>
      </c>
      <c r="L93" s="27">
        <v>1.1499999999999999</v>
      </c>
      <c r="M93" s="27" t="s">
        <v>66</v>
      </c>
      <c r="N93" s="27">
        <v>1</v>
      </c>
      <c r="O93" s="47">
        <v>2490375.4575</v>
      </c>
      <c r="P93" s="47">
        <f t="shared" si="1"/>
        <v>2490375.4575</v>
      </c>
      <c r="Q93" s="27" t="s">
        <v>364</v>
      </c>
    </row>
    <row r="94" spans="1:17" s="2" customFormat="1" ht="52">
      <c r="A94" s="27">
        <v>47</v>
      </c>
      <c r="B94" s="29" t="s">
        <v>113</v>
      </c>
      <c r="C94" s="29"/>
      <c r="D94" s="27" t="s">
        <v>361</v>
      </c>
      <c r="E94" s="27" t="s">
        <v>355</v>
      </c>
      <c r="F94" s="27">
        <v>1000</v>
      </c>
      <c r="G94" s="27">
        <v>500</v>
      </c>
      <c r="H94" s="27"/>
      <c r="I94" s="27"/>
      <c r="J94" s="27"/>
      <c r="K94" s="27">
        <v>200</v>
      </c>
      <c r="L94" s="27">
        <v>1.1499999999999999</v>
      </c>
      <c r="M94" s="27" t="s">
        <v>66</v>
      </c>
      <c r="N94" s="27">
        <v>2</v>
      </c>
      <c r="O94" s="47">
        <v>3069740.415</v>
      </c>
      <c r="P94" s="47">
        <f t="shared" si="1"/>
        <v>6139480.8300000001</v>
      </c>
      <c r="Q94" s="27" t="s">
        <v>364</v>
      </c>
    </row>
    <row r="95" spans="1:17" s="2" customFormat="1" ht="65">
      <c r="A95" s="27">
        <v>48</v>
      </c>
      <c r="B95" s="29" t="s">
        <v>114</v>
      </c>
      <c r="C95" s="29"/>
      <c r="D95" s="27" t="s">
        <v>361</v>
      </c>
      <c r="E95" s="27" t="s">
        <v>355</v>
      </c>
      <c r="F95" s="27">
        <v>1000</v>
      </c>
      <c r="G95" s="27">
        <v>1000</v>
      </c>
      <c r="H95" s="27">
        <v>1000</v>
      </c>
      <c r="I95" s="27">
        <v>500</v>
      </c>
      <c r="J95" s="27">
        <v>2</v>
      </c>
      <c r="K95" s="27">
        <v>200</v>
      </c>
      <c r="L95" s="27">
        <v>1.1499999999999999</v>
      </c>
      <c r="M95" s="27" t="s">
        <v>66</v>
      </c>
      <c r="N95" s="27">
        <v>4</v>
      </c>
      <c r="O95" s="47">
        <v>6139480.8300000001</v>
      </c>
      <c r="P95" s="47">
        <f t="shared" si="1"/>
        <v>24557923.32</v>
      </c>
      <c r="Q95" s="27" t="s">
        <v>365</v>
      </c>
    </row>
    <row r="96" spans="1:17" s="2" customFormat="1" ht="65">
      <c r="A96" s="27">
        <v>49</v>
      </c>
      <c r="B96" s="29" t="s">
        <v>115</v>
      </c>
      <c r="C96" s="29"/>
      <c r="D96" s="27" t="s">
        <v>361</v>
      </c>
      <c r="E96" s="27" t="s">
        <v>355</v>
      </c>
      <c r="F96" s="27">
        <v>1800</v>
      </c>
      <c r="G96" s="27">
        <v>600</v>
      </c>
      <c r="H96" s="27">
        <v>900</v>
      </c>
      <c r="I96" s="27">
        <v>500</v>
      </c>
      <c r="J96" s="27">
        <v>2</v>
      </c>
      <c r="K96" s="27">
        <v>200</v>
      </c>
      <c r="L96" s="27">
        <v>1.1499999999999999</v>
      </c>
      <c r="M96" s="27" t="s">
        <v>66</v>
      </c>
      <c r="N96" s="27">
        <v>1</v>
      </c>
      <c r="O96" s="47">
        <v>5315485.9800000004</v>
      </c>
      <c r="P96" s="47">
        <f t="shared" si="1"/>
        <v>5315485.9800000004</v>
      </c>
      <c r="Q96" s="27" t="s">
        <v>365</v>
      </c>
    </row>
    <row r="97" spans="1:17" s="2" customFormat="1" ht="13">
      <c r="A97" s="27"/>
      <c r="B97" s="28" t="s">
        <v>116</v>
      </c>
      <c r="C97" s="28"/>
      <c r="D97" s="27"/>
      <c r="E97" s="27"/>
      <c r="F97" s="27"/>
      <c r="G97" s="27"/>
      <c r="H97" s="27"/>
      <c r="I97" s="27"/>
      <c r="J97" s="27"/>
      <c r="K97" s="27"/>
      <c r="L97" s="27"/>
      <c r="M97" s="27"/>
      <c r="N97" s="27"/>
      <c r="O97" s="47">
        <v>0</v>
      </c>
      <c r="P97" s="47">
        <f t="shared" si="1"/>
        <v>0</v>
      </c>
      <c r="Q97" s="27"/>
    </row>
    <row r="98" spans="1:17" s="2" customFormat="1" ht="13">
      <c r="A98" s="27">
        <v>1</v>
      </c>
      <c r="B98" s="29" t="s">
        <v>117</v>
      </c>
      <c r="C98" s="29"/>
      <c r="D98" s="27" t="s">
        <v>366</v>
      </c>
      <c r="E98" s="27" t="s">
        <v>355</v>
      </c>
      <c r="F98" s="27">
        <v>600</v>
      </c>
      <c r="G98" s="27">
        <v>300</v>
      </c>
      <c r="H98" s="27">
        <v>550</v>
      </c>
      <c r="I98" s="27">
        <v>250</v>
      </c>
      <c r="J98" s="27"/>
      <c r="K98" s="27"/>
      <c r="L98" s="27"/>
      <c r="M98" s="27" t="s">
        <v>66</v>
      </c>
      <c r="N98" s="27">
        <v>1</v>
      </c>
      <c r="O98" s="47">
        <v>322350</v>
      </c>
      <c r="P98" s="47">
        <f t="shared" si="1"/>
        <v>322350</v>
      </c>
      <c r="Q98" s="27" t="s">
        <v>367</v>
      </c>
    </row>
    <row r="99" spans="1:17" s="2" customFormat="1" ht="13">
      <c r="A99" s="27">
        <v>2</v>
      </c>
      <c r="B99" s="29" t="s">
        <v>118</v>
      </c>
      <c r="C99" s="29"/>
      <c r="D99" s="27" t="s">
        <v>366</v>
      </c>
      <c r="E99" s="27" t="s">
        <v>355</v>
      </c>
      <c r="F99" s="27">
        <v>600</v>
      </c>
      <c r="G99" s="27">
        <v>250</v>
      </c>
      <c r="H99" s="27">
        <v>550</v>
      </c>
      <c r="I99" s="27">
        <v>200</v>
      </c>
      <c r="J99" s="27"/>
      <c r="K99" s="27"/>
      <c r="L99" s="27"/>
      <c r="M99" s="27" t="s">
        <v>66</v>
      </c>
      <c r="N99" s="27">
        <v>2</v>
      </c>
      <c r="O99" s="47">
        <v>280350</v>
      </c>
      <c r="P99" s="47">
        <f t="shared" si="1"/>
        <v>560700</v>
      </c>
      <c r="Q99" s="27" t="s">
        <v>367</v>
      </c>
    </row>
    <row r="100" spans="1:17" s="2" customFormat="1" ht="13">
      <c r="A100" s="27">
        <v>3</v>
      </c>
      <c r="B100" s="29" t="s">
        <v>119</v>
      </c>
      <c r="C100" s="29"/>
      <c r="D100" s="27" t="s">
        <v>366</v>
      </c>
      <c r="E100" s="27" t="s">
        <v>355</v>
      </c>
      <c r="F100" s="27">
        <v>500</v>
      </c>
      <c r="G100" s="27">
        <v>300</v>
      </c>
      <c r="H100" s="27">
        <v>450</v>
      </c>
      <c r="I100" s="27">
        <v>250</v>
      </c>
      <c r="J100" s="27"/>
      <c r="K100" s="27"/>
      <c r="L100" s="27"/>
      <c r="M100" s="27" t="s">
        <v>66</v>
      </c>
      <c r="N100" s="27">
        <v>4</v>
      </c>
      <c r="O100" s="47">
        <v>275100</v>
      </c>
      <c r="P100" s="47">
        <f t="shared" si="1"/>
        <v>1100400</v>
      </c>
      <c r="Q100" s="27" t="s">
        <v>367</v>
      </c>
    </row>
    <row r="101" spans="1:17" s="2" customFormat="1" ht="13">
      <c r="A101" s="27">
        <v>4</v>
      </c>
      <c r="B101" s="29" t="s">
        <v>120</v>
      </c>
      <c r="C101" s="29"/>
      <c r="D101" s="27" t="s">
        <v>366</v>
      </c>
      <c r="E101" s="27" t="s">
        <v>355</v>
      </c>
      <c r="F101" s="27">
        <v>500</v>
      </c>
      <c r="G101" s="27">
        <v>250</v>
      </c>
      <c r="H101" s="27">
        <v>450</v>
      </c>
      <c r="I101" s="27">
        <v>200</v>
      </c>
      <c r="J101" s="27"/>
      <c r="K101" s="27"/>
      <c r="L101" s="27"/>
      <c r="M101" s="27" t="s">
        <v>66</v>
      </c>
      <c r="N101" s="27">
        <v>6</v>
      </c>
      <c r="O101" s="47">
        <v>239400</v>
      </c>
      <c r="P101" s="47">
        <f t="shared" si="1"/>
        <v>1436400</v>
      </c>
      <c r="Q101" s="27" t="s">
        <v>367</v>
      </c>
    </row>
    <row r="102" spans="1:17" s="2" customFormat="1" ht="13">
      <c r="A102" s="27">
        <v>5</v>
      </c>
      <c r="B102" s="29" t="s">
        <v>121</v>
      </c>
      <c r="C102" s="29"/>
      <c r="D102" s="27" t="s">
        <v>366</v>
      </c>
      <c r="E102" s="27" t="s">
        <v>355</v>
      </c>
      <c r="F102" s="27">
        <v>400</v>
      </c>
      <c r="G102" s="27">
        <v>400</v>
      </c>
      <c r="H102" s="27">
        <v>350</v>
      </c>
      <c r="I102" s="27">
        <v>350</v>
      </c>
      <c r="J102" s="27"/>
      <c r="K102" s="27"/>
      <c r="L102" s="27"/>
      <c r="M102" s="27" t="s">
        <v>66</v>
      </c>
      <c r="N102" s="27">
        <v>4</v>
      </c>
      <c r="O102" s="47">
        <v>283500</v>
      </c>
      <c r="P102" s="47">
        <f t="shared" si="1"/>
        <v>1134000</v>
      </c>
      <c r="Q102" s="27" t="s">
        <v>367</v>
      </c>
    </row>
    <row r="103" spans="1:17" s="2" customFormat="1" ht="13">
      <c r="A103" s="27">
        <v>6</v>
      </c>
      <c r="B103" s="29" t="s">
        <v>122</v>
      </c>
      <c r="C103" s="29"/>
      <c r="D103" s="27" t="s">
        <v>366</v>
      </c>
      <c r="E103" s="27" t="s">
        <v>355</v>
      </c>
      <c r="F103" s="27">
        <v>400</v>
      </c>
      <c r="G103" s="27">
        <v>200</v>
      </c>
      <c r="H103" s="27">
        <v>350</v>
      </c>
      <c r="I103" s="27">
        <v>150</v>
      </c>
      <c r="J103" s="27"/>
      <c r="K103" s="27"/>
      <c r="L103" s="27"/>
      <c r="M103" s="27" t="s">
        <v>66</v>
      </c>
      <c r="N103" s="27">
        <v>5</v>
      </c>
      <c r="O103" s="47">
        <v>173250</v>
      </c>
      <c r="P103" s="47">
        <f t="shared" si="1"/>
        <v>866250</v>
      </c>
      <c r="Q103" s="27" t="s">
        <v>367</v>
      </c>
    </row>
    <row r="104" spans="1:17" s="2" customFormat="1" ht="13">
      <c r="A104" s="27">
        <v>7</v>
      </c>
      <c r="B104" s="29" t="s">
        <v>123</v>
      </c>
      <c r="C104" s="29"/>
      <c r="D104" s="27" t="s">
        <v>366</v>
      </c>
      <c r="E104" s="27" t="s">
        <v>355</v>
      </c>
      <c r="F104" s="27">
        <v>300</v>
      </c>
      <c r="G104" s="27">
        <v>300</v>
      </c>
      <c r="H104" s="27">
        <v>250</v>
      </c>
      <c r="I104" s="27">
        <v>250</v>
      </c>
      <c r="J104" s="27"/>
      <c r="K104" s="27"/>
      <c r="L104" s="27"/>
      <c r="M104" s="27" t="s">
        <v>66</v>
      </c>
      <c r="N104" s="27">
        <v>1</v>
      </c>
      <c r="O104" s="47">
        <v>181650</v>
      </c>
      <c r="P104" s="47">
        <f t="shared" si="1"/>
        <v>181650</v>
      </c>
      <c r="Q104" s="27" t="s">
        <v>367</v>
      </c>
    </row>
    <row r="105" spans="1:17" s="2" customFormat="1" ht="13">
      <c r="A105" s="27">
        <v>8</v>
      </c>
      <c r="B105" s="29" t="s">
        <v>124</v>
      </c>
      <c r="C105" s="29"/>
      <c r="D105" s="27" t="s">
        <v>366</v>
      </c>
      <c r="E105" s="27" t="s">
        <v>355</v>
      </c>
      <c r="F105" s="27">
        <v>250</v>
      </c>
      <c r="G105" s="27">
        <v>250</v>
      </c>
      <c r="H105" s="27">
        <v>200</v>
      </c>
      <c r="I105" s="27">
        <v>200</v>
      </c>
      <c r="J105" s="27"/>
      <c r="K105" s="27"/>
      <c r="L105" s="27"/>
      <c r="M105" s="27" t="s">
        <v>66</v>
      </c>
      <c r="N105" s="27">
        <v>4</v>
      </c>
      <c r="O105" s="47">
        <v>137550</v>
      </c>
      <c r="P105" s="47">
        <f t="shared" si="1"/>
        <v>550200</v>
      </c>
      <c r="Q105" s="27" t="s">
        <v>367</v>
      </c>
    </row>
    <row r="106" spans="1:17" s="2" customFormat="1" ht="13">
      <c r="A106" s="27">
        <v>9</v>
      </c>
      <c r="B106" s="29" t="s">
        <v>125</v>
      </c>
      <c r="C106" s="29"/>
      <c r="D106" s="27" t="s">
        <v>366</v>
      </c>
      <c r="E106" s="27" t="s">
        <v>355</v>
      </c>
      <c r="F106" s="27">
        <v>200</v>
      </c>
      <c r="G106" s="27">
        <v>200</v>
      </c>
      <c r="H106" s="27">
        <v>150</v>
      </c>
      <c r="I106" s="27">
        <v>150</v>
      </c>
      <c r="J106" s="27"/>
      <c r="K106" s="27"/>
      <c r="L106" s="27"/>
      <c r="M106" s="27" t="s">
        <v>66</v>
      </c>
      <c r="N106" s="27">
        <v>6</v>
      </c>
      <c r="O106" s="47">
        <v>101850</v>
      </c>
      <c r="P106" s="47">
        <f t="shared" si="1"/>
        <v>611100</v>
      </c>
      <c r="Q106" s="27" t="s">
        <v>367</v>
      </c>
    </row>
    <row r="107" spans="1:17" s="2" customFormat="1" ht="13">
      <c r="A107" s="27"/>
      <c r="B107" s="28" t="s">
        <v>126</v>
      </c>
      <c r="C107" s="28"/>
      <c r="D107" s="27"/>
      <c r="E107" s="27"/>
      <c r="F107" s="27"/>
      <c r="G107" s="27"/>
      <c r="H107" s="27"/>
      <c r="I107" s="27"/>
      <c r="J107" s="27"/>
      <c r="K107" s="27"/>
      <c r="L107" s="27"/>
      <c r="M107" s="27"/>
      <c r="N107" s="27"/>
      <c r="O107" s="47">
        <v>0</v>
      </c>
      <c r="P107" s="47">
        <f t="shared" si="1"/>
        <v>0</v>
      </c>
      <c r="Q107" s="27"/>
    </row>
    <row r="108" spans="1:17" s="2" customFormat="1" ht="26">
      <c r="A108" s="27">
        <v>1</v>
      </c>
      <c r="B108" s="29" t="s">
        <v>127</v>
      </c>
      <c r="C108" s="29"/>
      <c r="D108" s="27" t="s">
        <v>368</v>
      </c>
      <c r="E108" s="27"/>
      <c r="F108" s="27">
        <f>H108+100</f>
        <v>500</v>
      </c>
      <c r="G108" s="27">
        <f>I108+100</f>
        <v>400</v>
      </c>
      <c r="H108" s="27">
        <v>400</v>
      </c>
      <c r="I108" s="27">
        <v>300</v>
      </c>
      <c r="J108" s="27">
        <v>1000</v>
      </c>
      <c r="K108" s="27"/>
      <c r="L108" s="27"/>
      <c r="M108" s="27" t="s">
        <v>128</v>
      </c>
      <c r="N108" s="27">
        <v>1</v>
      </c>
      <c r="O108" s="47">
        <v>1863448.2</v>
      </c>
      <c r="P108" s="47">
        <f t="shared" si="1"/>
        <v>1863448.2</v>
      </c>
      <c r="Q108" s="27" t="s">
        <v>369</v>
      </c>
    </row>
    <row r="109" spans="1:17" s="2" customFormat="1" ht="26">
      <c r="A109" s="27">
        <v>2</v>
      </c>
      <c r="B109" s="52" t="s">
        <v>129</v>
      </c>
      <c r="C109" s="29"/>
      <c r="D109" s="27" t="s">
        <v>368</v>
      </c>
      <c r="E109" s="27"/>
      <c r="F109" s="27">
        <f t="shared" ref="F109:F119" si="2">H109+100</f>
        <v>600</v>
      </c>
      <c r="G109" s="53">
        <f t="shared" ref="G109:G119" si="3">I109+100</f>
        <v>700</v>
      </c>
      <c r="H109" s="27">
        <v>500</v>
      </c>
      <c r="I109" s="53">
        <v>600</v>
      </c>
      <c r="J109" s="27">
        <v>1000</v>
      </c>
      <c r="K109" s="27"/>
      <c r="L109" s="27"/>
      <c r="M109" s="27" t="s">
        <v>128</v>
      </c>
      <c r="N109" s="27">
        <v>1</v>
      </c>
      <c r="O109" s="47">
        <v>5569873.2000000002</v>
      </c>
      <c r="P109" s="47">
        <f t="shared" si="1"/>
        <v>5569873.2000000002</v>
      </c>
      <c r="Q109" s="27" t="s">
        <v>369</v>
      </c>
    </row>
    <row r="110" spans="1:17" s="2" customFormat="1" ht="26">
      <c r="A110" s="27">
        <v>3</v>
      </c>
      <c r="B110" s="29" t="s">
        <v>130</v>
      </c>
      <c r="C110" s="29"/>
      <c r="D110" s="27" t="s">
        <v>368</v>
      </c>
      <c r="E110" s="27"/>
      <c r="F110" s="27">
        <f t="shared" si="2"/>
        <v>700</v>
      </c>
      <c r="G110" s="27">
        <f t="shared" si="3"/>
        <v>400</v>
      </c>
      <c r="H110" s="27">
        <v>600</v>
      </c>
      <c r="I110" s="27">
        <v>300</v>
      </c>
      <c r="J110" s="27">
        <v>1000</v>
      </c>
      <c r="K110" s="27"/>
      <c r="L110" s="27"/>
      <c r="M110" s="27" t="s">
        <v>128</v>
      </c>
      <c r="N110" s="27">
        <v>2</v>
      </c>
      <c r="O110" s="47">
        <v>2656141.2000000002</v>
      </c>
      <c r="P110" s="47">
        <f t="shared" si="1"/>
        <v>5312282.4000000004</v>
      </c>
      <c r="Q110" s="27" t="s">
        <v>369</v>
      </c>
    </row>
    <row r="111" spans="1:17" s="2" customFormat="1" ht="26">
      <c r="A111" s="27">
        <v>4</v>
      </c>
      <c r="B111" s="29" t="s">
        <v>131</v>
      </c>
      <c r="C111" s="29"/>
      <c r="D111" s="27" t="s">
        <v>368</v>
      </c>
      <c r="E111" s="27"/>
      <c r="F111" s="27">
        <f t="shared" si="2"/>
        <v>750</v>
      </c>
      <c r="G111" s="27">
        <f t="shared" si="3"/>
        <v>350</v>
      </c>
      <c r="H111" s="27">
        <v>650</v>
      </c>
      <c r="I111" s="27">
        <v>250</v>
      </c>
      <c r="J111" s="27">
        <v>1000</v>
      </c>
      <c r="K111" s="27"/>
      <c r="L111" s="27"/>
      <c r="M111" s="27" t="s">
        <v>128</v>
      </c>
      <c r="N111" s="27">
        <v>1</v>
      </c>
      <c r="O111" s="47">
        <v>2591514</v>
      </c>
      <c r="P111" s="47">
        <f t="shared" si="1"/>
        <v>2591514</v>
      </c>
      <c r="Q111" s="27" t="s">
        <v>369</v>
      </c>
    </row>
    <row r="112" spans="1:17" s="2" customFormat="1" ht="26">
      <c r="A112" s="27">
        <v>5</v>
      </c>
      <c r="B112" s="29" t="s">
        <v>132</v>
      </c>
      <c r="C112" s="29"/>
      <c r="D112" s="27" t="s">
        <v>368</v>
      </c>
      <c r="E112" s="27"/>
      <c r="F112" s="27">
        <f t="shared" si="2"/>
        <v>750</v>
      </c>
      <c r="G112" s="27">
        <f t="shared" si="3"/>
        <v>400</v>
      </c>
      <c r="H112" s="27">
        <v>650</v>
      </c>
      <c r="I112" s="27">
        <v>300</v>
      </c>
      <c r="J112" s="27">
        <v>1000</v>
      </c>
      <c r="K112" s="27"/>
      <c r="L112" s="27"/>
      <c r="M112" s="27" t="s">
        <v>128</v>
      </c>
      <c r="N112" s="27">
        <v>1</v>
      </c>
      <c r="O112" s="47">
        <v>2825787.6</v>
      </c>
      <c r="P112" s="47">
        <f t="shared" si="1"/>
        <v>2825787.6</v>
      </c>
      <c r="Q112" s="27" t="s">
        <v>369</v>
      </c>
    </row>
    <row r="113" spans="1:17" s="2" customFormat="1" ht="26">
      <c r="A113" s="27">
        <v>6</v>
      </c>
      <c r="B113" s="29" t="s">
        <v>133</v>
      </c>
      <c r="C113" s="29"/>
      <c r="D113" s="27" t="s">
        <v>368</v>
      </c>
      <c r="E113" s="27"/>
      <c r="F113" s="27">
        <f t="shared" si="2"/>
        <v>900</v>
      </c>
      <c r="G113" s="27">
        <f t="shared" si="3"/>
        <v>700</v>
      </c>
      <c r="H113" s="27">
        <v>800</v>
      </c>
      <c r="I113" s="27">
        <v>600</v>
      </c>
      <c r="J113" s="27">
        <v>1000</v>
      </c>
      <c r="K113" s="27"/>
      <c r="L113" s="27"/>
      <c r="M113" s="27" t="s">
        <v>128</v>
      </c>
      <c r="N113" s="27">
        <v>2</v>
      </c>
      <c r="O113" s="47">
        <v>4459001.4000000004</v>
      </c>
      <c r="P113" s="47">
        <f t="shared" si="1"/>
        <v>8918002.8000000007</v>
      </c>
      <c r="Q113" s="27" t="s">
        <v>369</v>
      </c>
    </row>
    <row r="114" spans="1:17" s="2" customFormat="1" ht="26">
      <c r="A114" s="27">
        <v>7</v>
      </c>
      <c r="B114" s="29" t="s">
        <v>134</v>
      </c>
      <c r="C114" s="29"/>
      <c r="D114" s="27" t="s">
        <v>368</v>
      </c>
      <c r="E114" s="27"/>
      <c r="F114" s="27">
        <f t="shared" si="2"/>
        <v>1000</v>
      </c>
      <c r="G114" s="27">
        <f t="shared" si="3"/>
        <v>400</v>
      </c>
      <c r="H114" s="27">
        <v>900</v>
      </c>
      <c r="I114" s="27">
        <v>300</v>
      </c>
      <c r="J114" s="27">
        <v>1000</v>
      </c>
      <c r="K114" s="27"/>
      <c r="L114" s="27"/>
      <c r="M114" s="27" t="s">
        <v>128</v>
      </c>
      <c r="N114" s="27">
        <v>2</v>
      </c>
      <c r="O114" s="47">
        <v>3741217.2</v>
      </c>
      <c r="P114" s="47">
        <f t="shared" si="1"/>
        <v>7482434.4000000004</v>
      </c>
      <c r="Q114" s="27" t="s">
        <v>369</v>
      </c>
    </row>
    <row r="115" spans="1:17" s="2" customFormat="1" ht="26">
      <c r="A115" s="27">
        <v>8</v>
      </c>
      <c r="B115" s="29" t="s">
        <v>135</v>
      </c>
      <c r="C115" s="29"/>
      <c r="D115" s="27" t="s">
        <v>368</v>
      </c>
      <c r="E115" s="27"/>
      <c r="F115" s="27">
        <f t="shared" si="2"/>
        <v>1000</v>
      </c>
      <c r="G115" s="27">
        <f t="shared" si="3"/>
        <v>600</v>
      </c>
      <c r="H115" s="27">
        <v>900</v>
      </c>
      <c r="I115" s="27">
        <v>500</v>
      </c>
      <c r="J115" s="27">
        <v>1000</v>
      </c>
      <c r="K115" s="27"/>
      <c r="L115" s="27"/>
      <c r="M115" s="27" t="s">
        <v>128</v>
      </c>
      <c r="N115" s="27">
        <v>1</v>
      </c>
      <c r="O115" s="47">
        <v>4959586.8</v>
      </c>
      <c r="P115" s="47">
        <f t="shared" si="1"/>
        <v>4959586.8</v>
      </c>
      <c r="Q115" s="27" t="s">
        <v>369</v>
      </c>
    </row>
    <row r="116" spans="1:17" s="2" customFormat="1" ht="26">
      <c r="A116" s="27">
        <v>9</v>
      </c>
      <c r="B116" s="29" t="s">
        <v>136</v>
      </c>
      <c r="C116" s="29"/>
      <c r="D116" s="27" t="s">
        <v>368</v>
      </c>
      <c r="E116" s="27"/>
      <c r="F116" s="27">
        <f t="shared" si="2"/>
        <v>1000</v>
      </c>
      <c r="G116" s="27">
        <f t="shared" si="3"/>
        <v>1000</v>
      </c>
      <c r="H116" s="27">
        <v>900</v>
      </c>
      <c r="I116" s="27">
        <v>900</v>
      </c>
      <c r="J116" s="27">
        <v>1000</v>
      </c>
      <c r="K116" s="27"/>
      <c r="L116" s="27"/>
      <c r="M116" s="27" t="s">
        <v>128</v>
      </c>
      <c r="N116" s="27">
        <v>1</v>
      </c>
      <c r="O116" s="47">
        <v>7396234.2000000002</v>
      </c>
      <c r="P116" s="47">
        <f t="shared" si="1"/>
        <v>7396234.2000000002</v>
      </c>
      <c r="Q116" s="27" t="s">
        <v>369</v>
      </c>
    </row>
    <row r="117" spans="1:17" s="2" customFormat="1" ht="26">
      <c r="A117" s="27">
        <v>10</v>
      </c>
      <c r="B117" s="29" t="s">
        <v>137</v>
      </c>
      <c r="C117" s="29"/>
      <c r="D117" s="27" t="s">
        <v>368</v>
      </c>
      <c r="E117" s="27"/>
      <c r="F117" s="27">
        <f t="shared" si="2"/>
        <v>1050</v>
      </c>
      <c r="G117" s="27">
        <f t="shared" si="3"/>
        <v>600</v>
      </c>
      <c r="H117" s="27">
        <v>950</v>
      </c>
      <c r="I117" s="27">
        <v>500</v>
      </c>
      <c r="J117" s="27">
        <v>1000</v>
      </c>
      <c r="K117" s="27"/>
      <c r="L117" s="27"/>
      <c r="M117" s="27" t="s">
        <v>128</v>
      </c>
      <c r="N117" s="27">
        <v>1</v>
      </c>
      <c r="O117" s="47">
        <v>5035321.8</v>
      </c>
      <c r="P117" s="47">
        <f t="shared" si="1"/>
        <v>5035321.8</v>
      </c>
      <c r="Q117" s="27" t="s">
        <v>369</v>
      </c>
    </row>
    <row r="118" spans="1:17" s="2" customFormat="1" ht="26">
      <c r="A118" s="27">
        <v>11</v>
      </c>
      <c r="B118" s="29" t="s">
        <v>138</v>
      </c>
      <c r="C118" s="29"/>
      <c r="D118" s="27" t="s">
        <v>368</v>
      </c>
      <c r="E118" s="27"/>
      <c r="F118" s="27">
        <f t="shared" si="2"/>
        <v>1100</v>
      </c>
      <c r="G118" s="27">
        <f t="shared" si="3"/>
        <v>1100</v>
      </c>
      <c r="H118" s="27">
        <v>1000</v>
      </c>
      <c r="I118" s="27">
        <v>1000</v>
      </c>
      <c r="J118" s="27">
        <v>1000</v>
      </c>
      <c r="K118" s="27"/>
      <c r="L118" s="27"/>
      <c r="M118" s="27" t="s">
        <v>128</v>
      </c>
      <c r="N118" s="27">
        <v>2</v>
      </c>
      <c r="O118" s="47">
        <v>8156889</v>
      </c>
      <c r="P118" s="47">
        <f t="shared" si="1"/>
        <v>16313778</v>
      </c>
      <c r="Q118" s="27" t="s">
        <v>369</v>
      </c>
    </row>
    <row r="119" spans="1:17" s="2" customFormat="1" ht="26">
      <c r="A119" s="27">
        <v>12</v>
      </c>
      <c r="B119" s="29" t="s">
        <v>139</v>
      </c>
      <c r="C119" s="29"/>
      <c r="D119" s="27" t="s">
        <v>368</v>
      </c>
      <c r="E119" s="27"/>
      <c r="F119" s="27">
        <f t="shared" si="2"/>
        <v>2000</v>
      </c>
      <c r="G119" s="27">
        <f t="shared" si="3"/>
        <v>600</v>
      </c>
      <c r="H119" s="27">
        <v>1900</v>
      </c>
      <c r="I119" s="27">
        <v>500</v>
      </c>
      <c r="J119" s="27">
        <v>1000</v>
      </c>
      <c r="K119" s="27"/>
      <c r="L119" s="27"/>
      <c r="M119" s="27" t="s">
        <v>128</v>
      </c>
      <c r="N119" s="27">
        <v>1</v>
      </c>
      <c r="O119" s="47">
        <v>9664612.1999999993</v>
      </c>
      <c r="P119" s="47">
        <f t="shared" si="1"/>
        <v>9664612.1999999993</v>
      </c>
      <c r="Q119" s="27" t="s">
        <v>369</v>
      </c>
    </row>
    <row r="120" spans="1:17" s="2" customFormat="1" ht="26">
      <c r="A120" s="27">
        <v>13</v>
      </c>
      <c r="B120" s="29" t="s">
        <v>140</v>
      </c>
      <c r="C120" s="29"/>
      <c r="D120" s="27"/>
      <c r="E120" s="27"/>
      <c r="F120" s="27"/>
      <c r="G120" s="27"/>
      <c r="H120" s="27"/>
      <c r="I120" s="27"/>
      <c r="J120" s="27"/>
      <c r="K120" s="27"/>
      <c r="L120" s="27"/>
      <c r="M120" s="27" t="s">
        <v>66</v>
      </c>
      <c r="N120" s="27">
        <v>5</v>
      </c>
      <c r="O120" s="47">
        <v>0</v>
      </c>
      <c r="P120" s="47">
        <f t="shared" si="1"/>
        <v>0</v>
      </c>
      <c r="Q120" s="27"/>
    </row>
    <row r="121" spans="1:17" s="2" customFormat="1" ht="21" customHeight="1">
      <c r="A121" s="25" t="s">
        <v>141</v>
      </c>
      <c r="B121" s="26" t="s">
        <v>62</v>
      </c>
      <c r="C121" s="26"/>
      <c r="D121" s="25"/>
      <c r="E121" s="25"/>
      <c r="F121" s="25"/>
      <c r="G121" s="25"/>
      <c r="H121" s="25"/>
      <c r="I121" s="25"/>
      <c r="J121" s="25"/>
      <c r="K121" s="25"/>
      <c r="L121" s="25"/>
      <c r="M121" s="25"/>
      <c r="N121" s="25"/>
      <c r="O121" s="45">
        <v>0</v>
      </c>
      <c r="P121" s="45">
        <f t="shared" si="1"/>
        <v>0</v>
      </c>
      <c r="Q121" s="25"/>
    </row>
    <row r="122" spans="1:17" s="2" customFormat="1" ht="13">
      <c r="A122" s="27"/>
      <c r="B122" s="28" t="s">
        <v>63</v>
      </c>
      <c r="C122" s="28"/>
      <c r="D122" s="27"/>
      <c r="E122" s="27"/>
      <c r="F122" s="27"/>
      <c r="G122" s="27"/>
      <c r="H122" s="27"/>
      <c r="I122" s="27"/>
      <c r="J122" s="27"/>
      <c r="K122" s="27"/>
      <c r="L122" s="27"/>
      <c r="M122" s="27"/>
      <c r="N122" s="27"/>
      <c r="O122" s="47">
        <v>0</v>
      </c>
      <c r="P122" s="47">
        <f t="shared" si="1"/>
        <v>0</v>
      </c>
      <c r="Q122" s="27"/>
    </row>
    <row r="123" spans="1:17" s="2" customFormat="1" ht="26">
      <c r="A123" s="27">
        <v>1</v>
      </c>
      <c r="B123" s="29" t="s">
        <v>142</v>
      </c>
      <c r="C123" s="29"/>
      <c r="D123" s="27" t="s">
        <v>359</v>
      </c>
      <c r="E123" s="27" t="s">
        <v>355</v>
      </c>
      <c r="F123" s="27">
        <v>100</v>
      </c>
      <c r="G123" s="27"/>
      <c r="H123" s="27"/>
      <c r="I123" s="27"/>
      <c r="J123" s="27"/>
      <c r="K123" s="27">
        <v>200</v>
      </c>
      <c r="L123" s="27">
        <v>0.75</v>
      </c>
      <c r="M123" s="27" t="s">
        <v>66</v>
      </c>
      <c r="N123" s="27">
        <v>30</v>
      </c>
      <c r="O123" s="47">
        <v>127575</v>
      </c>
      <c r="P123" s="47">
        <f t="shared" si="1"/>
        <v>3827250</v>
      </c>
      <c r="Q123" s="27" t="s">
        <v>370</v>
      </c>
    </row>
    <row r="124" spans="1:17" s="2" customFormat="1" ht="26">
      <c r="A124" s="27">
        <v>2</v>
      </c>
      <c r="B124" s="29" t="s">
        <v>143</v>
      </c>
      <c r="C124" s="29"/>
      <c r="D124" s="27" t="s">
        <v>359</v>
      </c>
      <c r="E124" s="27" t="s">
        <v>355</v>
      </c>
      <c r="F124" s="27">
        <v>200</v>
      </c>
      <c r="G124" s="27"/>
      <c r="H124" s="27"/>
      <c r="I124" s="27"/>
      <c r="J124" s="27"/>
      <c r="K124" s="27">
        <v>250</v>
      </c>
      <c r="L124" s="27">
        <v>0.75</v>
      </c>
      <c r="M124" s="27" t="s">
        <v>66</v>
      </c>
      <c r="N124" s="27">
        <v>578</v>
      </c>
      <c r="O124" s="47">
        <v>155925</v>
      </c>
      <c r="P124" s="47">
        <f t="shared" si="1"/>
        <v>90124650</v>
      </c>
      <c r="Q124" s="27" t="s">
        <v>370</v>
      </c>
    </row>
    <row r="125" spans="1:17" s="2" customFormat="1" ht="26">
      <c r="A125" s="27">
        <v>3</v>
      </c>
      <c r="B125" s="29" t="s">
        <v>144</v>
      </c>
      <c r="C125" s="29"/>
      <c r="D125" s="27" t="s">
        <v>359</v>
      </c>
      <c r="E125" s="27" t="s">
        <v>355</v>
      </c>
      <c r="F125" s="27">
        <v>250</v>
      </c>
      <c r="G125" s="27"/>
      <c r="H125" s="27"/>
      <c r="I125" s="27"/>
      <c r="J125" s="27"/>
      <c r="K125" s="27">
        <v>300</v>
      </c>
      <c r="L125" s="27">
        <v>0.75</v>
      </c>
      <c r="M125" s="27" t="s">
        <v>66</v>
      </c>
      <c r="N125" s="27">
        <v>6</v>
      </c>
      <c r="O125" s="47">
        <v>175770</v>
      </c>
      <c r="P125" s="47">
        <f t="shared" si="1"/>
        <v>1054620</v>
      </c>
      <c r="Q125" s="27" t="s">
        <v>370</v>
      </c>
    </row>
    <row r="126" spans="1:17" s="2" customFormat="1" ht="26">
      <c r="A126" s="27">
        <v>4</v>
      </c>
      <c r="B126" s="29" t="s">
        <v>68</v>
      </c>
      <c r="C126" s="29"/>
      <c r="D126" s="27" t="s">
        <v>359</v>
      </c>
      <c r="E126" s="27" t="s">
        <v>355</v>
      </c>
      <c r="F126" s="27">
        <v>150</v>
      </c>
      <c r="G126" s="27">
        <v>150</v>
      </c>
      <c r="H126" s="27"/>
      <c r="I126" s="27"/>
      <c r="J126" s="27"/>
      <c r="K126" s="27">
        <v>200</v>
      </c>
      <c r="L126" s="27">
        <v>0.75</v>
      </c>
      <c r="M126" s="27" t="s">
        <v>66</v>
      </c>
      <c r="N126" s="27">
        <v>1</v>
      </c>
      <c r="O126" s="47">
        <v>166320</v>
      </c>
      <c r="P126" s="47">
        <f t="shared" si="1"/>
        <v>166320</v>
      </c>
      <c r="Q126" s="27" t="s">
        <v>370</v>
      </c>
    </row>
    <row r="127" spans="1:17" s="2" customFormat="1" ht="26">
      <c r="A127" s="27">
        <v>5</v>
      </c>
      <c r="B127" s="29" t="s">
        <v>145</v>
      </c>
      <c r="C127" s="29"/>
      <c r="D127" s="27" t="s">
        <v>359</v>
      </c>
      <c r="E127" s="27" t="s">
        <v>355</v>
      </c>
      <c r="F127" s="27">
        <v>200</v>
      </c>
      <c r="G127" s="27">
        <v>100</v>
      </c>
      <c r="H127" s="27"/>
      <c r="I127" s="27"/>
      <c r="J127" s="27"/>
      <c r="K127" s="27">
        <v>200</v>
      </c>
      <c r="L127" s="27">
        <v>0.75</v>
      </c>
      <c r="M127" s="27" t="s">
        <v>66</v>
      </c>
      <c r="N127" s="27">
        <v>1</v>
      </c>
      <c r="O127" s="47">
        <v>165375</v>
      </c>
      <c r="P127" s="47">
        <f t="shared" si="1"/>
        <v>165375</v>
      </c>
      <c r="Q127" s="27" t="s">
        <v>370</v>
      </c>
    </row>
    <row r="128" spans="1:17" s="2" customFormat="1" ht="26">
      <c r="A128" s="27">
        <v>6</v>
      </c>
      <c r="B128" s="29" t="s">
        <v>69</v>
      </c>
      <c r="C128" s="29"/>
      <c r="D128" s="27" t="s">
        <v>359</v>
      </c>
      <c r="E128" s="27" t="s">
        <v>355</v>
      </c>
      <c r="F128" s="27">
        <v>200</v>
      </c>
      <c r="G128" s="27">
        <v>150</v>
      </c>
      <c r="H128" s="27"/>
      <c r="I128" s="27"/>
      <c r="J128" s="27"/>
      <c r="K128" s="27">
        <v>200</v>
      </c>
      <c r="L128" s="27">
        <v>0.75</v>
      </c>
      <c r="M128" s="27" t="s">
        <v>66</v>
      </c>
      <c r="N128" s="27">
        <v>1</v>
      </c>
      <c r="O128" s="47">
        <v>176715</v>
      </c>
      <c r="P128" s="47">
        <f t="shared" si="1"/>
        <v>176715</v>
      </c>
      <c r="Q128" s="27" t="s">
        <v>370</v>
      </c>
    </row>
    <row r="129" spans="1:17" s="2" customFormat="1" ht="26">
      <c r="A129" s="27">
        <v>7</v>
      </c>
      <c r="B129" s="29" t="s">
        <v>146</v>
      </c>
      <c r="C129" s="29"/>
      <c r="D129" s="27" t="s">
        <v>359</v>
      </c>
      <c r="E129" s="27" t="s">
        <v>355</v>
      </c>
      <c r="F129" s="27">
        <v>200</v>
      </c>
      <c r="G129" s="27">
        <v>200</v>
      </c>
      <c r="H129" s="27"/>
      <c r="I129" s="27"/>
      <c r="J129" s="27"/>
      <c r="K129" s="27">
        <v>200</v>
      </c>
      <c r="L129" s="27">
        <v>0.75</v>
      </c>
      <c r="M129" s="27" t="s">
        <v>66</v>
      </c>
      <c r="N129" s="27">
        <v>2</v>
      </c>
      <c r="O129" s="47">
        <v>187110</v>
      </c>
      <c r="P129" s="47">
        <f t="shared" si="1"/>
        <v>374220</v>
      </c>
      <c r="Q129" s="27" t="s">
        <v>370</v>
      </c>
    </row>
    <row r="130" spans="1:17" s="2" customFormat="1" ht="26">
      <c r="A130" s="27">
        <v>8</v>
      </c>
      <c r="B130" s="29" t="s">
        <v>147</v>
      </c>
      <c r="C130" s="29"/>
      <c r="D130" s="27" t="s">
        <v>359</v>
      </c>
      <c r="E130" s="27" t="s">
        <v>355</v>
      </c>
      <c r="F130" s="27">
        <v>250</v>
      </c>
      <c r="G130" s="27">
        <v>150</v>
      </c>
      <c r="H130" s="27"/>
      <c r="I130" s="27"/>
      <c r="J130" s="27"/>
      <c r="K130" s="27">
        <v>200</v>
      </c>
      <c r="L130" s="27">
        <v>0.75</v>
      </c>
      <c r="M130" s="27" t="s">
        <v>66</v>
      </c>
      <c r="N130" s="27">
        <v>1</v>
      </c>
      <c r="O130" s="47">
        <v>186165</v>
      </c>
      <c r="P130" s="47">
        <f t="shared" si="1"/>
        <v>186165</v>
      </c>
      <c r="Q130" s="27" t="s">
        <v>370</v>
      </c>
    </row>
    <row r="131" spans="1:17" s="2" customFormat="1" ht="26">
      <c r="A131" s="27">
        <v>9</v>
      </c>
      <c r="B131" s="29" t="s">
        <v>148</v>
      </c>
      <c r="C131" s="29"/>
      <c r="D131" s="27" t="s">
        <v>359</v>
      </c>
      <c r="E131" s="27" t="s">
        <v>355</v>
      </c>
      <c r="F131" s="27">
        <v>250</v>
      </c>
      <c r="G131" s="27">
        <v>200</v>
      </c>
      <c r="H131" s="27"/>
      <c r="I131" s="27"/>
      <c r="J131" s="27"/>
      <c r="K131" s="27">
        <v>200</v>
      </c>
      <c r="L131" s="27">
        <v>0.75</v>
      </c>
      <c r="M131" s="27" t="s">
        <v>66</v>
      </c>
      <c r="N131" s="27">
        <v>1</v>
      </c>
      <c r="O131" s="47">
        <v>197505</v>
      </c>
      <c r="P131" s="47">
        <f t="shared" si="1"/>
        <v>197505</v>
      </c>
      <c r="Q131" s="27" t="s">
        <v>370</v>
      </c>
    </row>
    <row r="132" spans="1:17" s="2" customFormat="1" ht="26">
      <c r="A132" s="27">
        <v>10</v>
      </c>
      <c r="B132" s="29" t="s">
        <v>149</v>
      </c>
      <c r="C132" s="29"/>
      <c r="D132" s="27" t="s">
        <v>359</v>
      </c>
      <c r="E132" s="27" t="s">
        <v>355</v>
      </c>
      <c r="F132" s="27">
        <v>300</v>
      </c>
      <c r="G132" s="27">
        <v>200</v>
      </c>
      <c r="H132" s="27"/>
      <c r="I132" s="27"/>
      <c r="J132" s="27"/>
      <c r="K132" s="27">
        <v>200</v>
      </c>
      <c r="L132" s="27">
        <v>0.75</v>
      </c>
      <c r="M132" s="27" t="s">
        <v>66</v>
      </c>
      <c r="N132" s="27">
        <v>5</v>
      </c>
      <c r="O132" s="47">
        <v>207900</v>
      </c>
      <c r="P132" s="47">
        <f t="shared" si="1"/>
        <v>1039500</v>
      </c>
      <c r="Q132" s="27" t="s">
        <v>370</v>
      </c>
    </row>
    <row r="133" spans="1:17" s="2" customFormat="1" ht="26">
      <c r="A133" s="27">
        <v>11</v>
      </c>
      <c r="B133" s="29" t="s">
        <v>70</v>
      </c>
      <c r="C133" s="29"/>
      <c r="D133" s="27" t="s">
        <v>359</v>
      </c>
      <c r="E133" s="27" t="s">
        <v>355</v>
      </c>
      <c r="F133" s="27">
        <v>300</v>
      </c>
      <c r="G133" s="27">
        <v>250</v>
      </c>
      <c r="H133" s="27"/>
      <c r="I133" s="27"/>
      <c r="J133" s="27"/>
      <c r="K133" s="27">
        <v>200</v>
      </c>
      <c r="L133" s="27">
        <v>0.75</v>
      </c>
      <c r="M133" s="27" t="s">
        <v>66</v>
      </c>
      <c r="N133" s="27">
        <v>1</v>
      </c>
      <c r="O133" s="47">
        <v>219240</v>
      </c>
      <c r="P133" s="47">
        <f t="shared" si="1"/>
        <v>219240</v>
      </c>
      <c r="Q133" s="27" t="s">
        <v>370</v>
      </c>
    </row>
    <row r="134" spans="1:17" s="2" customFormat="1" ht="26">
      <c r="A134" s="27">
        <v>12</v>
      </c>
      <c r="B134" s="29" t="s">
        <v>71</v>
      </c>
      <c r="C134" s="29"/>
      <c r="D134" s="27" t="s">
        <v>359</v>
      </c>
      <c r="E134" s="27" t="s">
        <v>355</v>
      </c>
      <c r="F134" s="27">
        <v>350</v>
      </c>
      <c r="G134" s="27">
        <v>250</v>
      </c>
      <c r="H134" s="27"/>
      <c r="I134" s="27"/>
      <c r="J134" s="27"/>
      <c r="K134" s="27">
        <v>200</v>
      </c>
      <c r="L134" s="27">
        <v>0.75</v>
      </c>
      <c r="M134" s="27" t="s">
        <v>66</v>
      </c>
      <c r="N134" s="27">
        <v>2</v>
      </c>
      <c r="O134" s="47">
        <v>230580</v>
      </c>
      <c r="P134" s="47">
        <f t="shared" si="1"/>
        <v>461160</v>
      </c>
      <c r="Q134" s="27" t="s">
        <v>370</v>
      </c>
    </row>
    <row r="135" spans="1:17" s="2" customFormat="1" ht="26">
      <c r="A135" s="27">
        <v>13</v>
      </c>
      <c r="B135" s="29" t="s">
        <v>72</v>
      </c>
      <c r="C135" s="29"/>
      <c r="D135" s="27" t="s">
        <v>359</v>
      </c>
      <c r="E135" s="27" t="s">
        <v>355</v>
      </c>
      <c r="F135" s="27">
        <v>400</v>
      </c>
      <c r="G135" s="27">
        <v>200</v>
      </c>
      <c r="H135" s="27"/>
      <c r="I135" s="27"/>
      <c r="J135" s="27"/>
      <c r="K135" s="27">
        <v>200</v>
      </c>
      <c r="L135" s="27">
        <v>0.75</v>
      </c>
      <c r="M135" s="27" t="s">
        <v>66</v>
      </c>
      <c r="N135" s="27">
        <v>7</v>
      </c>
      <c r="O135" s="47">
        <v>228690</v>
      </c>
      <c r="P135" s="47">
        <f t="shared" si="1"/>
        <v>1600830</v>
      </c>
      <c r="Q135" s="27" t="s">
        <v>370</v>
      </c>
    </row>
    <row r="136" spans="1:17" s="2" customFormat="1" ht="26">
      <c r="A136" s="27">
        <v>14</v>
      </c>
      <c r="B136" s="29" t="s">
        <v>73</v>
      </c>
      <c r="C136" s="29"/>
      <c r="D136" s="27" t="s">
        <v>359</v>
      </c>
      <c r="E136" s="27" t="s">
        <v>355</v>
      </c>
      <c r="F136" s="27">
        <v>400</v>
      </c>
      <c r="G136" s="27">
        <v>250</v>
      </c>
      <c r="H136" s="27"/>
      <c r="I136" s="27"/>
      <c r="J136" s="27"/>
      <c r="K136" s="27">
        <v>200</v>
      </c>
      <c r="L136" s="27">
        <v>0.75</v>
      </c>
      <c r="M136" s="27" t="s">
        <v>66</v>
      </c>
      <c r="N136" s="27">
        <v>1</v>
      </c>
      <c r="O136" s="47">
        <v>241920</v>
      </c>
      <c r="P136" s="47">
        <f t="shared" si="1"/>
        <v>241920</v>
      </c>
      <c r="Q136" s="27" t="s">
        <v>370</v>
      </c>
    </row>
    <row r="137" spans="1:17" s="2" customFormat="1" ht="26">
      <c r="A137" s="27">
        <v>15</v>
      </c>
      <c r="B137" s="29" t="s">
        <v>74</v>
      </c>
      <c r="C137" s="29"/>
      <c r="D137" s="27" t="s">
        <v>359</v>
      </c>
      <c r="E137" s="27" t="s">
        <v>355</v>
      </c>
      <c r="F137" s="27">
        <v>400</v>
      </c>
      <c r="G137" s="27">
        <v>300</v>
      </c>
      <c r="H137" s="27"/>
      <c r="I137" s="27"/>
      <c r="J137" s="27"/>
      <c r="K137" s="27">
        <v>200</v>
      </c>
      <c r="L137" s="27">
        <v>0.75</v>
      </c>
      <c r="M137" s="27" t="s">
        <v>66</v>
      </c>
      <c r="N137" s="27">
        <v>3</v>
      </c>
      <c r="O137" s="47">
        <v>299565</v>
      </c>
      <c r="P137" s="47">
        <f t="shared" si="1"/>
        <v>898695</v>
      </c>
      <c r="Q137" s="27" t="s">
        <v>370</v>
      </c>
    </row>
    <row r="138" spans="1:17" s="2" customFormat="1" ht="26">
      <c r="A138" s="27">
        <v>16</v>
      </c>
      <c r="B138" s="29" t="s">
        <v>75</v>
      </c>
      <c r="C138" s="29"/>
      <c r="D138" s="27" t="s">
        <v>359</v>
      </c>
      <c r="E138" s="27" t="s">
        <v>355</v>
      </c>
      <c r="F138" s="27">
        <v>450</v>
      </c>
      <c r="G138" s="27">
        <v>250</v>
      </c>
      <c r="H138" s="27"/>
      <c r="I138" s="27"/>
      <c r="J138" s="27"/>
      <c r="K138" s="27">
        <v>200</v>
      </c>
      <c r="L138" s="27">
        <v>0.75</v>
      </c>
      <c r="M138" s="27" t="s">
        <v>66</v>
      </c>
      <c r="N138" s="27">
        <v>1</v>
      </c>
      <c r="O138" s="47">
        <v>253260</v>
      </c>
      <c r="P138" s="47">
        <f t="shared" si="1"/>
        <v>253260</v>
      </c>
      <c r="Q138" s="27" t="s">
        <v>370</v>
      </c>
    </row>
    <row r="139" spans="1:17" s="2" customFormat="1" ht="26">
      <c r="A139" s="27">
        <v>17</v>
      </c>
      <c r="B139" s="29" t="s">
        <v>77</v>
      </c>
      <c r="C139" s="29"/>
      <c r="D139" s="27" t="s">
        <v>359</v>
      </c>
      <c r="E139" s="27" t="s">
        <v>355</v>
      </c>
      <c r="F139" s="27">
        <v>500</v>
      </c>
      <c r="G139" s="27">
        <v>250</v>
      </c>
      <c r="H139" s="27"/>
      <c r="I139" s="27"/>
      <c r="J139" s="27"/>
      <c r="K139" s="27">
        <v>200</v>
      </c>
      <c r="L139" s="27">
        <v>0.75</v>
      </c>
      <c r="M139" s="27" t="s">
        <v>66</v>
      </c>
      <c r="N139" s="27">
        <v>1</v>
      </c>
      <c r="O139" s="47">
        <v>263655</v>
      </c>
      <c r="P139" s="47">
        <f t="shared" si="1"/>
        <v>263655</v>
      </c>
      <c r="Q139" s="27" t="s">
        <v>370</v>
      </c>
    </row>
    <row r="140" spans="1:17" s="2" customFormat="1" ht="26">
      <c r="A140" s="27">
        <v>18</v>
      </c>
      <c r="B140" s="29" t="s">
        <v>76</v>
      </c>
      <c r="C140" s="29"/>
      <c r="D140" s="27" t="s">
        <v>359</v>
      </c>
      <c r="E140" s="27" t="s">
        <v>355</v>
      </c>
      <c r="F140" s="27">
        <v>500</v>
      </c>
      <c r="G140" s="27">
        <v>300</v>
      </c>
      <c r="H140" s="27"/>
      <c r="I140" s="27"/>
      <c r="J140" s="27"/>
      <c r="K140" s="27">
        <v>200</v>
      </c>
      <c r="L140" s="27">
        <v>0.75</v>
      </c>
      <c r="M140" s="27" t="s">
        <v>66</v>
      </c>
      <c r="N140" s="27">
        <v>1</v>
      </c>
      <c r="O140" s="47">
        <v>326970</v>
      </c>
      <c r="P140" s="47">
        <f t="shared" si="1"/>
        <v>326970</v>
      </c>
      <c r="Q140" s="27" t="s">
        <v>370</v>
      </c>
    </row>
    <row r="141" spans="1:17" s="2" customFormat="1" ht="26">
      <c r="A141" s="27">
        <v>19</v>
      </c>
      <c r="B141" s="29" t="s">
        <v>150</v>
      </c>
      <c r="C141" s="29"/>
      <c r="D141" s="27" t="s">
        <v>359</v>
      </c>
      <c r="E141" s="27" t="s">
        <v>355</v>
      </c>
      <c r="F141" s="27">
        <v>600</v>
      </c>
      <c r="G141" s="27">
        <v>250</v>
      </c>
      <c r="H141" s="27"/>
      <c r="I141" s="27"/>
      <c r="J141" s="27"/>
      <c r="K141" s="27">
        <v>200</v>
      </c>
      <c r="L141" s="27">
        <v>0.75</v>
      </c>
      <c r="M141" s="27" t="s">
        <v>66</v>
      </c>
      <c r="N141" s="27">
        <v>1</v>
      </c>
      <c r="O141" s="47">
        <v>286335</v>
      </c>
      <c r="P141" s="47">
        <f t="shared" si="1"/>
        <v>286335</v>
      </c>
      <c r="Q141" s="27" t="s">
        <v>370</v>
      </c>
    </row>
    <row r="142" spans="1:17" s="2" customFormat="1" ht="26">
      <c r="A142" s="27">
        <v>20</v>
      </c>
      <c r="B142" s="29" t="s">
        <v>79</v>
      </c>
      <c r="C142" s="29"/>
      <c r="D142" s="27" t="s">
        <v>359</v>
      </c>
      <c r="E142" s="27" t="s">
        <v>355</v>
      </c>
      <c r="F142" s="27">
        <v>600</v>
      </c>
      <c r="G142" s="27">
        <v>300</v>
      </c>
      <c r="H142" s="27"/>
      <c r="I142" s="27"/>
      <c r="J142" s="27"/>
      <c r="K142" s="27">
        <v>200</v>
      </c>
      <c r="L142" s="27">
        <v>0.75</v>
      </c>
      <c r="M142" s="27" t="s">
        <v>66</v>
      </c>
      <c r="N142" s="27">
        <v>4</v>
      </c>
      <c r="O142" s="47">
        <v>354375</v>
      </c>
      <c r="P142" s="47">
        <f t="shared" si="1"/>
        <v>1417500</v>
      </c>
      <c r="Q142" s="27" t="s">
        <v>370</v>
      </c>
    </row>
    <row r="143" spans="1:17" s="2" customFormat="1" ht="26">
      <c r="A143" s="27">
        <v>21</v>
      </c>
      <c r="B143" s="29" t="s">
        <v>151</v>
      </c>
      <c r="C143" s="29"/>
      <c r="D143" s="27" t="s">
        <v>359</v>
      </c>
      <c r="E143" s="27" t="s">
        <v>355</v>
      </c>
      <c r="F143" s="27">
        <v>600</v>
      </c>
      <c r="G143" s="27">
        <v>400</v>
      </c>
      <c r="H143" s="27"/>
      <c r="I143" s="27"/>
      <c r="J143" s="27"/>
      <c r="K143" s="27">
        <v>200</v>
      </c>
      <c r="L143" s="27">
        <v>0.75</v>
      </c>
      <c r="M143" s="27" t="s">
        <v>66</v>
      </c>
      <c r="N143" s="27">
        <v>1</v>
      </c>
      <c r="O143" s="47">
        <v>352485</v>
      </c>
      <c r="P143" s="47">
        <f t="shared" si="1"/>
        <v>352485</v>
      </c>
      <c r="Q143" s="27" t="s">
        <v>370</v>
      </c>
    </row>
    <row r="144" spans="1:17" s="2" customFormat="1" ht="26">
      <c r="A144" s="27">
        <v>22</v>
      </c>
      <c r="B144" s="29" t="s">
        <v>80</v>
      </c>
      <c r="C144" s="29"/>
      <c r="D144" s="27" t="s">
        <v>359</v>
      </c>
      <c r="E144" s="27" t="s">
        <v>355</v>
      </c>
      <c r="F144" s="27">
        <v>650</v>
      </c>
      <c r="G144" s="27">
        <v>250</v>
      </c>
      <c r="H144" s="27"/>
      <c r="I144" s="27"/>
      <c r="J144" s="27"/>
      <c r="K144" s="27">
        <v>200</v>
      </c>
      <c r="L144" s="27">
        <v>0.75</v>
      </c>
      <c r="M144" s="27" t="s">
        <v>66</v>
      </c>
      <c r="N144" s="27">
        <v>2</v>
      </c>
      <c r="O144" s="47">
        <v>297675</v>
      </c>
      <c r="P144" s="47">
        <f t="shared" si="1"/>
        <v>595350</v>
      </c>
      <c r="Q144" s="27" t="s">
        <v>370</v>
      </c>
    </row>
    <row r="145" spans="1:17" s="2" customFormat="1" ht="26">
      <c r="A145" s="27">
        <v>23</v>
      </c>
      <c r="B145" s="29" t="s">
        <v>81</v>
      </c>
      <c r="C145" s="29"/>
      <c r="D145" s="27" t="s">
        <v>359</v>
      </c>
      <c r="E145" s="27" t="s">
        <v>355</v>
      </c>
      <c r="F145" s="27">
        <v>650</v>
      </c>
      <c r="G145" s="27">
        <v>300</v>
      </c>
      <c r="H145" s="27"/>
      <c r="I145" s="27"/>
      <c r="J145" s="27"/>
      <c r="K145" s="27">
        <v>200</v>
      </c>
      <c r="L145" s="27">
        <v>0.75</v>
      </c>
      <c r="M145" s="27" t="s">
        <v>66</v>
      </c>
      <c r="N145" s="27">
        <v>1</v>
      </c>
      <c r="O145" s="47">
        <v>368550</v>
      </c>
      <c r="P145" s="47">
        <f t="shared" ref="P145:P208" si="4">O145*N145</f>
        <v>368550</v>
      </c>
      <c r="Q145" s="27" t="s">
        <v>370</v>
      </c>
    </row>
    <row r="146" spans="1:17" s="2" customFormat="1" ht="26">
      <c r="A146" s="27">
        <v>24</v>
      </c>
      <c r="B146" s="29" t="s">
        <v>82</v>
      </c>
      <c r="C146" s="29"/>
      <c r="D146" s="27" t="s">
        <v>359</v>
      </c>
      <c r="E146" s="27" t="s">
        <v>355</v>
      </c>
      <c r="F146" s="27">
        <v>650</v>
      </c>
      <c r="G146" s="27">
        <v>350</v>
      </c>
      <c r="H146" s="27"/>
      <c r="I146" s="27"/>
      <c r="J146" s="27"/>
      <c r="K146" s="27">
        <v>200</v>
      </c>
      <c r="L146" s="27">
        <v>0.75</v>
      </c>
      <c r="M146" s="27" t="s">
        <v>66</v>
      </c>
      <c r="N146" s="27">
        <v>1</v>
      </c>
      <c r="O146" s="47">
        <v>348705</v>
      </c>
      <c r="P146" s="47">
        <f t="shared" si="4"/>
        <v>348705</v>
      </c>
      <c r="Q146" s="27" t="s">
        <v>370</v>
      </c>
    </row>
    <row r="147" spans="1:17" s="2" customFormat="1" ht="26">
      <c r="A147" s="27">
        <v>25</v>
      </c>
      <c r="B147" s="29" t="s">
        <v>152</v>
      </c>
      <c r="C147" s="29"/>
      <c r="D147" s="27" t="s">
        <v>359</v>
      </c>
      <c r="E147" s="27" t="s">
        <v>355</v>
      </c>
      <c r="F147" s="27">
        <v>650</v>
      </c>
      <c r="G147" s="27">
        <v>400</v>
      </c>
      <c r="H147" s="27"/>
      <c r="I147" s="27"/>
      <c r="J147" s="27"/>
      <c r="K147" s="27">
        <v>200</v>
      </c>
      <c r="L147" s="27">
        <v>0.75</v>
      </c>
      <c r="M147" s="27" t="s">
        <v>66</v>
      </c>
      <c r="N147" s="27">
        <v>1</v>
      </c>
      <c r="O147" s="47">
        <v>365715</v>
      </c>
      <c r="P147" s="47">
        <f t="shared" si="4"/>
        <v>365715</v>
      </c>
      <c r="Q147" s="27" t="s">
        <v>370</v>
      </c>
    </row>
    <row r="148" spans="1:17" s="2" customFormat="1" ht="26">
      <c r="A148" s="27">
        <v>26</v>
      </c>
      <c r="B148" s="29" t="s">
        <v>153</v>
      </c>
      <c r="C148" s="29"/>
      <c r="D148" s="27" t="s">
        <v>359</v>
      </c>
      <c r="E148" s="27" t="s">
        <v>355</v>
      </c>
      <c r="F148" s="27">
        <v>700</v>
      </c>
      <c r="G148" s="27">
        <v>350</v>
      </c>
      <c r="H148" s="27"/>
      <c r="I148" s="27"/>
      <c r="J148" s="27"/>
      <c r="K148" s="27">
        <v>200</v>
      </c>
      <c r="L148" s="27">
        <v>0.75</v>
      </c>
      <c r="M148" s="27" t="s">
        <v>66</v>
      </c>
      <c r="N148" s="27">
        <v>1</v>
      </c>
      <c r="O148" s="47">
        <v>361935</v>
      </c>
      <c r="P148" s="47">
        <f t="shared" si="4"/>
        <v>361935</v>
      </c>
      <c r="Q148" s="27" t="s">
        <v>370</v>
      </c>
    </row>
    <row r="149" spans="1:17" s="2" customFormat="1" ht="26">
      <c r="A149" s="27">
        <v>27</v>
      </c>
      <c r="B149" s="29" t="s">
        <v>154</v>
      </c>
      <c r="C149" s="29"/>
      <c r="D149" s="27" t="s">
        <v>359</v>
      </c>
      <c r="E149" s="27" t="s">
        <v>355</v>
      </c>
      <c r="F149" s="27">
        <v>700</v>
      </c>
      <c r="G149" s="27">
        <v>400</v>
      </c>
      <c r="H149" s="27"/>
      <c r="I149" s="27"/>
      <c r="J149" s="27"/>
      <c r="K149" s="27">
        <v>200</v>
      </c>
      <c r="L149" s="27">
        <v>0.75</v>
      </c>
      <c r="M149" s="27" t="s">
        <v>66</v>
      </c>
      <c r="N149" s="27">
        <v>1</v>
      </c>
      <c r="O149" s="47">
        <v>422415</v>
      </c>
      <c r="P149" s="47">
        <f t="shared" si="4"/>
        <v>422415</v>
      </c>
      <c r="Q149" s="27" t="s">
        <v>370</v>
      </c>
    </row>
    <row r="150" spans="1:17" s="2" customFormat="1" ht="26">
      <c r="A150" s="27">
        <v>28</v>
      </c>
      <c r="B150" s="29" t="s">
        <v>83</v>
      </c>
      <c r="C150" s="29"/>
      <c r="D150" s="27" t="s">
        <v>359</v>
      </c>
      <c r="E150" s="27" t="s">
        <v>355</v>
      </c>
      <c r="F150" s="27">
        <v>800</v>
      </c>
      <c r="G150" s="27">
        <v>600</v>
      </c>
      <c r="H150" s="27"/>
      <c r="I150" s="27"/>
      <c r="J150" s="27"/>
      <c r="K150" s="27">
        <v>200</v>
      </c>
      <c r="L150" s="27">
        <v>0.95</v>
      </c>
      <c r="M150" s="27" t="s">
        <v>66</v>
      </c>
      <c r="N150" s="27">
        <v>1</v>
      </c>
      <c r="O150" s="47">
        <v>600075</v>
      </c>
      <c r="P150" s="47">
        <f t="shared" si="4"/>
        <v>600075</v>
      </c>
      <c r="Q150" s="27" t="s">
        <v>370</v>
      </c>
    </row>
    <row r="151" spans="1:17" s="2" customFormat="1" ht="26">
      <c r="A151" s="27">
        <v>29</v>
      </c>
      <c r="B151" s="29" t="s">
        <v>85</v>
      </c>
      <c r="C151" s="29"/>
      <c r="D151" s="27" t="s">
        <v>359</v>
      </c>
      <c r="E151" s="27" t="s">
        <v>355</v>
      </c>
      <c r="F151" s="27">
        <v>900</v>
      </c>
      <c r="G151" s="27">
        <v>500</v>
      </c>
      <c r="H151" s="27"/>
      <c r="I151" s="27"/>
      <c r="J151" s="27"/>
      <c r="K151" s="27">
        <v>200</v>
      </c>
      <c r="L151" s="27">
        <v>0.95</v>
      </c>
      <c r="M151" s="27" t="s">
        <v>66</v>
      </c>
      <c r="N151" s="27">
        <v>1</v>
      </c>
      <c r="O151" s="47">
        <v>590625</v>
      </c>
      <c r="P151" s="47">
        <f t="shared" si="4"/>
        <v>590625</v>
      </c>
      <c r="Q151" s="27" t="s">
        <v>370</v>
      </c>
    </row>
    <row r="152" spans="1:17" s="2" customFormat="1" ht="26">
      <c r="A152" s="27">
        <v>30</v>
      </c>
      <c r="B152" s="29" t="s">
        <v>87</v>
      </c>
      <c r="C152" s="29"/>
      <c r="D152" s="27" t="s">
        <v>359</v>
      </c>
      <c r="E152" s="27" t="s">
        <v>355</v>
      </c>
      <c r="F152" s="27">
        <v>950</v>
      </c>
      <c r="G152" s="27">
        <v>500</v>
      </c>
      <c r="H152" s="27"/>
      <c r="I152" s="27"/>
      <c r="J152" s="27"/>
      <c r="K152" s="27">
        <v>200</v>
      </c>
      <c r="L152" s="27">
        <v>0.95</v>
      </c>
      <c r="M152" s="27" t="s">
        <v>66</v>
      </c>
      <c r="N152" s="27">
        <v>1</v>
      </c>
      <c r="O152" s="47">
        <v>607635</v>
      </c>
      <c r="P152" s="47">
        <f t="shared" si="4"/>
        <v>607635</v>
      </c>
      <c r="Q152" s="27" t="s">
        <v>370</v>
      </c>
    </row>
    <row r="153" spans="1:17" s="2" customFormat="1" ht="26">
      <c r="A153" s="27">
        <v>31</v>
      </c>
      <c r="B153" s="29" t="s">
        <v>88</v>
      </c>
      <c r="C153" s="29"/>
      <c r="D153" s="27" t="s">
        <v>359</v>
      </c>
      <c r="E153" s="27" t="s">
        <v>355</v>
      </c>
      <c r="F153" s="27">
        <v>1000</v>
      </c>
      <c r="G153" s="27">
        <v>1000</v>
      </c>
      <c r="H153" s="27"/>
      <c r="I153" s="27"/>
      <c r="J153" s="27"/>
      <c r="K153" s="27">
        <v>200</v>
      </c>
      <c r="L153" s="27">
        <v>1.1499999999999999</v>
      </c>
      <c r="M153" s="27" t="s">
        <v>66</v>
      </c>
      <c r="N153" s="27">
        <v>2</v>
      </c>
      <c r="O153" s="47">
        <v>1153845</v>
      </c>
      <c r="P153" s="47">
        <f t="shared" si="4"/>
        <v>2307690</v>
      </c>
      <c r="Q153" s="27" t="s">
        <v>370</v>
      </c>
    </row>
    <row r="154" spans="1:17" s="2" customFormat="1" ht="26">
      <c r="A154" s="27">
        <v>32</v>
      </c>
      <c r="B154" s="29" t="s">
        <v>155</v>
      </c>
      <c r="C154" s="29"/>
      <c r="D154" s="27" t="s">
        <v>359</v>
      </c>
      <c r="E154" s="27" t="s">
        <v>355</v>
      </c>
      <c r="F154" s="27">
        <v>1900</v>
      </c>
      <c r="G154" s="27">
        <v>600</v>
      </c>
      <c r="H154" s="27"/>
      <c r="I154" s="27"/>
      <c r="J154" s="27"/>
      <c r="K154" s="27">
        <v>200</v>
      </c>
      <c r="L154" s="27">
        <v>1.1499999999999999</v>
      </c>
      <c r="M154" s="27" t="s">
        <v>66</v>
      </c>
      <c r="N154" s="27">
        <v>1</v>
      </c>
      <c r="O154" s="47">
        <v>1154790</v>
      </c>
      <c r="P154" s="47">
        <f t="shared" si="4"/>
        <v>1154790</v>
      </c>
      <c r="Q154" s="27" t="s">
        <v>370</v>
      </c>
    </row>
    <row r="155" spans="1:17" s="2" customFormat="1" ht="78">
      <c r="A155" s="27">
        <v>33</v>
      </c>
      <c r="B155" s="29" t="s">
        <v>91</v>
      </c>
      <c r="C155" s="29"/>
      <c r="D155" s="27" t="s">
        <v>361</v>
      </c>
      <c r="E155" s="27" t="s">
        <v>355</v>
      </c>
      <c r="F155" s="30">
        <v>150</v>
      </c>
      <c r="G155" s="30">
        <v>150</v>
      </c>
      <c r="H155" s="27"/>
      <c r="I155" s="27"/>
      <c r="J155" s="27"/>
      <c r="K155" s="27">
        <v>200</v>
      </c>
      <c r="L155" s="27">
        <v>1.1499999999999999</v>
      </c>
      <c r="M155" s="27" t="s">
        <v>66</v>
      </c>
      <c r="N155" s="27">
        <v>76</v>
      </c>
      <c r="O155" s="47">
        <v>855742.28249999997</v>
      </c>
      <c r="P155" s="47">
        <f t="shared" si="4"/>
        <v>65036413.469999999</v>
      </c>
      <c r="Q155" s="27" t="s">
        <v>363</v>
      </c>
    </row>
    <row r="156" spans="1:17" s="2" customFormat="1" ht="52">
      <c r="A156" s="27">
        <v>34</v>
      </c>
      <c r="B156" s="29" t="s">
        <v>92</v>
      </c>
      <c r="C156" s="29"/>
      <c r="D156" s="27" t="s">
        <v>361</v>
      </c>
      <c r="E156" s="27" t="s">
        <v>355</v>
      </c>
      <c r="F156" s="27">
        <v>150</v>
      </c>
      <c r="G156" s="27">
        <v>150</v>
      </c>
      <c r="H156" s="27"/>
      <c r="I156" s="27"/>
      <c r="J156" s="27"/>
      <c r="K156" s="27">
        <v>200</v>
      </c>
      <c r="L156" s="27">
        <v>1.1499999999999999</v>
      </c>
      <c r="M156" s="27" t="s">
        <v>66</v>
      </c>
      <c r="N156" s="27">
        <v>23</v>
      </c>
      <c r="O156" s="47">
        <v>855742.28249999997</v>
      </c>
      <c r="P156" s="47">
        <f t="shared" si="4"/>
        <v>19682072.497499999</v>
      </c>
      <c r="Q156" s="27" t="s">
        <v>364</v>
      </c>
    </row>
    <row r="157" spans="1:17" s="2" customFormat="1" ht="78">
      <c r="A157" s="27">
        <v>35</v>
      </c>
      <c r="B157" s="29" t="s">
        <v>156</v>
      </c>
      <c r="C157" s="29"/>
      <c r="D157" s="27" t="s">
        <v>361</v>
      </c>
      <c r="E157" s="27" t="s">
        <v>355</v>
      </c>
      <c r="F157" s="30">
        <v>200</v>
      </c>
      <c r="G157" s="30">
        <v>150</v>
      </c>
      <c r="H157" s="27"/>
      <c r="I157" s="27"/>
      <c r="J157" s="27"/>
      <c r="K157" s="27">
        <v>200</v>
      </c>
      <c r="L157" s="27">
        <v>1.1499999999999999</v>
      </c>
      <c r="M157" s="27" t="s">
        <v>66</v>
      </c>
      <c r="N157" s="27">
        <v>29</v>
      </c>
      <c r="O157" s="47">
        <v>910709.52</v>
      </c>
      <c r="P157" s="47">
        <f t="shared" si="4"/>
        <v>26410576.079999998</v>
      </c>
      <c r="Q157" s="27" t="s">
        <v>371</v>
      </c>
    </row>
    <row r="158" spans="1:17" s="2" customFormat="1" ht="52">
      <c r="A158" s="27">
        <v>36</v>
      </c>
      <c r="B158" s="29" t="s">
        <v>157</v>
      </c>
      <c r="C158" s="29"/>
      <c r="D158" s="27" t="s">
        <v>361</v>
      </c>
      <c r="E158" s="27" t="s">
        <v>355</v>
      </c>
      <c r="F158" s="27">
        <v>200</v>
      </c>
      <c r="G158" s="27">
        <v>150</v>
      </c>
      <c r="H158" s="27"/>
      <c r="I158" s="27"/>
      <c r="J158" s="27"/>
      <c r="K158" s="27">
        <v>200</v>
      </c>
      <c r="L158" s="27">
        <v>1.1499999999999999</v>
      </c>
      <c r="M158" s="27" t="s">
        <v>66</v>
      </c>
      <c r="N158" s="27">
        <v>21</v>
      </c>
      <c r="O158" s="47">
        <v>910709.52</v>
      </c>
      <c r="P158" s="47">
        <f t="shared" si="4"/>
        <v>19124899.920000002</v>
      </c>
      <c r="Q158" s="27" t="s">
        <v>364</v>
      </c>
    </row>
    <row r="159" spans="1:17" s="2" customFormat="1" ht="52">
      <c r="A159" s="27">
        <v>37</v>
      </c>
      <c r="B159" s="29" t="s">
        <v>158</v>
      </c>
      <c r="C159" s="29"/>
      <c r="D159" s="27" t="s">
        <v>361</v>
      </c>
      <c r="E159" s="27" t="s">
        <v>355</v>
      </c>
      <c r="F159" s="27">
        <v>200</v>
      </c>
      <c r="G159" s="27">
        <v>200</v>
      </c>
      <c r="H159" s="27"/>
      <c r="I159" s="27"/>
      <c r="J159" s="27"/>
      <c r="K159" s="27">
        <v>200</v>
      </c>
      <c r="L159" s="27">
        <v>1.1499999999999999</v>
      </c>
      <c r="M159" s="27" t="s">
        <v>66</v>
      </c>
      <c r="N159" s="27">
        <v>2</v>
      </c>
      <c r="O159" s="47">
        <v>969991.9425</v>
      </c>
      <c r="P159" s="47">
        <f t="shared" si="4"/>
        <v>1939983.885</v>
      </c>
      <c r="Q159" s="27" t="s">
        <v>364</v>
      </c>
    </row>
    <row r="160" spans="1:17" s="2" customFormat="1" ht="52">
      <c r="A160" s="27">
        <v>38</v>
      </c>
      <c r="B160" s="29" t="s">
        <v>159</v>
      </c>
      <c r="C160" s="29"/>
      <c r="D160" s="27" t="s">
        <v>361</v>
      </c>
      <c r="E160" s="27" t="s">
        <v>355</v>
      </c>
      <c r="F160" s="27">
        <v>250</v>
      </c>
      <c r="G160" s="27">
        <v>150</v>
      </c>
      <c r="H160" s="27"/>
      <c r="I160" s="27"/>
      <c r="J160" s="27"/>
      <c r="K160" s="27">
        <v>200</v>
      </c>
      <c r="L160" s="27">
        <v>1.1499999999999999</v>
      </c>
      <c r="M160" s="27" t="s">
        <v>66</v>
      </c>
      <c r="N160" s="27">
        <v>3</v>
      </c>
      <c r="O160" s="47">
        <v>965676.75749999995</v>
      </c>
      <c r="P160" s="47">
        <f t="shared" si="4"/>
        <v>2897030.2725</v>
      </c>
      <c r="Q160" s="27" t="s">
        <v>364</v>
      </c>
    </row>
    <row r="161" spans="1:17" s="2" customFormat="1" ht="52">
      <c r="A161" s="27">
        <v>39</v>
      </c>
      <c r="B161" s="29" t="s">
        <v>160</v>
      </c>
      <c r="C161" s="29"/>
      <c r="D161" s="27" t="s">
        <v>361</v>
      </c>
      <c r="E161" s="27" t="s">
        <v>355</v>
      </c>
      <c r="F161" s="27">
        <v>300</v>
      </c>
      <c r="G161" s="27">
        <v>200</v>
      </c>
      <c r="H161" s="27"/>
      <c r="I161" s="27"/>
      <c r="J161" s="27"/>
      <c r="K161" s="27">
        <v>200</v>
      </c>
      <c r="L161" s="27">
        <v>1.1499999999999999</v>
      </c>
      <c r="M161" s="27" t="s">
        <v>66</v>
      </c>
      <c r="N161" s="27">
        <v>8</v>
      </c>
      <c r="O161" s="47">
        <v>1088556.7875000001</v>
      </c>
      <c r="P161" s="47">
        <f t="shared" si="4"/>
        <v>8708454.3000000007</v>
      </c>
      <c r="Q161" s="27" t="s">
        <v>364</v>
      </c>
    </row>
    <row r="162" spans="1:17" s="2" customFormat="1" ht="52">
      <c r="A162" s="27">
        <v>40</v>
      </c>
      <c r="B162" s="29" t="s">
        <v>93</v>
      </c>
      <c r="C162" s="29"/>
      <c r="D162" s="27" t="s">
        <v>361</v>
      </c>
      <c r="E162" s="27" t="s">
        <v>355</v>
      </c>
      <c r="F162" s="27">
        <v>300</v>
      </c>
      <c r="G162" s="27">
        <v>250</v>
      </c>
      <c r="H162" s="27"/>
      <c r="I162" s="27"/>
      <c r="J162" s="27"/>
      <c r="K162" s="27">
        <v>200</v>
      </c>
      <c r="L162" s="27">
        <v>1.1499999999999999</v>
      </c>
      <c r="M162" s="27" t="s">
        <v>66</v>
      </c>
      <c r="N162" s="27">
        <v>3</v>
      </c>
      <c r="O162" s="47">
        <v>1156469.58</v>
      </c>
      <c r="P162" s="47">
        <f t="shared" si="4"/>
        <v>3469408.74</v>
      </c>
      <c r="Q162" s="27" t="s">
        <v>364</v>
      </c>
    </row>
    <row r="163" spans="1:17" s="2" customFormat="1" ht="52">
      <c r="A163" s="27">
        <v>41</v>
      </c>
      <c r="B163" s="29" t="s">
        <v>161</v>
      </c>
      <c r="C163" s="29"/>
      <c r="D163" s="27" t="s">
        <v>361</v>
      </c>
      <c r="E163" s="27" t="s">
        <v>355</v>
      </c>
      <c r="F163" s="27">
        <v>350</v>
      </c>
      <c r="G163" s="27">
        <v>150</v>
      </c>
      <c r="H163" s="27"/>
      <c r="I163" s="27"/>
      <c r="J163" s="27"/>
      <c r="K163" s="27">
        <v>200</v>
      </c>
      <c r="L163" s="27">
        <v>1.1499999999999999</v>
      </c>
      <c r="M163" s="27" t="s">
        <v>66</v>
      </c>
      <c r="N163" s="27">
        <v>2</v>
      </c>
      <c r="O163" s="47">
        <v>1075405.7475000001</v>
      </c>
      <c r="P163" s="47">
        <f t="shared" si="4"/>
        <v>2150811.4950000001</v>
      </c>
      <c r="Q163" s="27" t="s">
        <v>364</v>
      </c>
    </row>
    <row r="164" spans="1:17" s="2" customFormat="1" ht="52">
      <c r="A164" s="27">
        <v>42</v>
      </c>
      <c r="B164" s="29" t="s">
        <v>162</v>
      </c>
      <c r="C164" s="29"/>
      <c r="D164" s="27" t="s">
        <v>361</v>
      </c>
      <c r="E164" s="27" t="s">
        <v>355</v>
      </c>
      <c r="F164" s="27">
        <v>350</v>
      </c>
      <c r="G164" s="27">
        <v>200</v>
      </c>
      <c r="H164" s="27"/>
      <c r="I164" s="27"/>
      <c r="J164" s="27"/>
      <c r="K164" s="27">
        <v>200</v>
      </c>
      <c r="L164" s="27">
        <v>1.1499999999999999</v>
      </c>
      <c r="M164" s="27" t="s">
        <v>66</v>
      </c>
      <c r="N164" s="27">
        <v>1</v>
      </c>
      <c r="O164" s="47">
        <v>1147839.21</v>
      </c>
      <c r="P164" s="47">
        <f t="shared" si="4"/>
        <v>1147839.21</v>
      </c>
      <c r="Q164" s="27" t="s">
        <v>364</v>
      </c>
    </row>
    <row r="165" spans="1:17" s="2" customFormat="1" ht="52">
      <c r="A165" s="27">
        <v>43</v>
      </c>
      <c r="B165" s="29" t="s">
        <v>95</v>
      </c>
      <c r="C165" s="29"/>
      <c r="D165" s="27" t="s">
        <v>361</v>
      </c>
      <c r="E165" s="27" t="s">
        <v>355</v>
      </c>
      <c r="F165" s="27">
        <v>350</v>
      </c>
      <c r="G165" s="27">
        <v>250</v>
      </c>
      <c r="H165" s="27"/>
      <c r="I165" s="27"/>
      <c r="J165" s="27"/>
      <c r="K165" s="27">
        <v>200</v>
      </c>
      <c r="L165" s="27">
        <v>1.1499999999999999</v>
      </c>
      <c r="M165" s="27" t="s">
        <v>66</v>
      </c>
      <c r="N165" s="27">
        <v>4</v>
      </c>
      <c r="O165" s="47">
        <v>1220272.6725000001</v>
      </c>
      <c r="P165" s="47">
        <f t="shared" si="4"/>
        <v>4881090.6900000004</v>
      </c>
      <c r="Q165" s="27" t="s">
        <v>364</v>
      </c>
    </row>
    <row r="166" spans="1:17" s="2" customFormat="1" ht="52">
      <c r="A166" s="27">
        <v>44</v>
      </c>
      <c r="B166" s="29" t="s">
        <v>163</v>
      </c>
      <c r="C166" s="29"/>
      <c r="D166" s="27" t="s">
        <v>361</v>
      </c>
      <c r="E166" s="27" t="s">
        <v>355</v>
      </c>
      <c r="F166" s="27">
        <v>350</v>
      </c>
      <c r="G166" s="27">
        <v>300</v>
      </c>
      <c r="H166" s="27"/>
      <c r="I166" s="27"/>
      <c r="J166" s="27"/>
      <c r="K166" s="27">
        <v>200</v>
      </c>
      <c r="L166" s="27">
        <v>1.1499999999999999</v>
      </c>
      <c r="M166" s="27" t="s">
        <v>66</v>
      </c>
      <c r="N166" s="27">
        <v>2</v>
      </c>
      <c r="O166" s="47">
        <v>1611618.855</v>
      </c>
      <c r="P166" s="47">
        <f t="shared" si="4"/>
        <v>3223237.71</v>
      </c>
      <c r="Q166" s="27" t="s">
        <v>364</v>
      </c>
    </row>
    <row r="167" spans="1:17" s="2" customFormat="1" ht="52">
      <c r="A167" s="27">
        <v>45</v>
      </c>
      <c r="B167" s="29" t="s">
        <v>96</v>
      </c>
      <c r="C167" s="29"/>
      <c r="D167" s="27" t="s">
        <v>361</v>
      </c>
      <c r="E167" s="27" t="s">
        <v>355</v>
      </c>
      <c r="F167" s="27">
        <v>400</v>
      </c>
      <c r="G167" s="27">
        <v>200</v>
      </c>
      <c r="H167" s="27"/>
      <c r="I167" s="27"/>
      <c r="J167" s="27"/>
      <c r="K167" s="27">
        <v>200</v>
      </c>
      <c r="L167" s="27">
        <v>1.1499999999999999</v>
      </c>
      <c r="M167" s="27" t="s">
        <v>66</v>
      </c>
      <c r="N167" s="27">
        <v>3</v>
      </c>
      <c r="O167" s="47">
        <v>1207121.6325000001</v>
      </c>
      <c r="P167" s="47">
        <f t="shared" si="4"/>
        <v>3621364.8975</v>
      </c>
      <c r="Q167" s="27" t="s">
        <v>364</v>
      </c>
    </row>
    <row r="168" spans="1:17" s="2" customFormat="1" ht="52">
      <c r="A168" s="27">
        <v>46</v>
      </c>
      <c r="B168" s="29" t="s">
        <v>97</v>
      </c>
      <c r="C168" s="29"/>
      <c r="D168" s="27" t="s">
        <v>361</v>
      </c>
      <c r="E168" s="27" t="s">
        <v>355</v>
      </c>
      <c r="F168" s="27">
        <v>400</v>
      </c>
      <c r="G168" s="27">
        <v>250</v>
      </c>
      <c r="H168" s="27"/>
      <c r="I168" s="27"/>
      <c r="J168" s="27"/>
      <c r="K168" s="27">
        <v>200</v>
      </c>
      <c r="L168" s="27">
        <v>1.1499999999999999</v>
      </c>
      <c r="M168" s="27" t="s">
        <v>66</v>
      </c>
      <c r="N168" s="27">
        <v>4</v>
      </c>
      <c r="O168" s="47">
        <v>1283870.28</v>
      </c>
      <c r="P168" s="47">
        <f t="shared" si="4"/>
        <v>5135481.12</v>
      </c>
      <c r="Q168" s="27" t="s">
        <v>364</v>
      </c>
    </row>
    <row r="169" spans="1:17" s="2" customFormat="1" ht="52">
      <c r="A169" s="27">
        <v>47</v>
      </c>
      <c r="B169" s="29" t="s">
        <v>98</v>
      </c>
      <c r="C169" s="29"/>
      <c r="D169" s="27" t="s">
        <v>361</v>
      </c>
      <c r="E169" s="27" t="s">
        <v>355</v>
      </c>
      <c r="F169" s="27">
        <v>400</v>
      </c>
      <c r="G169" s="27">
        <v>300</v>
      </c>
      <c r="H169" s="27"/>
      <c r="I169" s="27"/>
      <c r="J169" s="27"/>
      <c r="K169" s="27">
        <v>200</v>
      </c>
      <c r="L169" s="27">
        <v>1.1499999999999999</v>
      </c>
      <c r="M169" s="27" t="s">
        <v>66</v>
      </c>
      <c r="N169" s="27">
        <v>5</v>
      </c>
      <c r="O169" s="47">
        <v>1674497.2649999999</v>
      </c>
      <c r="P169" s="47">
        <f t="shared" si="4"/>
        <v>8372486.3250000002</v>
      </c>
      <c r="Q169" s="27" t="s">
        <v>364</v>
      </c>
    </row>
    <row r="170" spans="1:17" s="2" customFormat="1" ht="52">
      <c r="A170" s="27">
        <v>48</v>
      </c>
      <c r="B170" s="29" t="s">
        <v>99</v>
      </c>
      <c r="C170" s="29"/>
      <c r="D170" s="27" t="s">
        <v>361</v>
      </c>
      <c r="E170" s="27" t="s">
        <v>355</v>
      </c>
      <c r="F170" s="27">
        <v>400</v>
      </c>
      <c r="G170" s="27">
        <v>350</v>
      </c>
      <c r="H170" s="27"/>
      <c r="I170" s="27"/>
      <c r="J170" s="27"/>
      <c r="K170" s="27">
        <v>200</v>
      </c>
      <c r="L170" s="27">
        <v>1.1499999999999999</v>
      </c>
      <c r="M170" s="27" t="s">
        <v>66</v>
      </c>
      <c r="N170" s="27">
        <v>1</v>
      </c>
      <c r="O170" s="47">
        <v>1745492.3325</v>
      </c>
      <c r="P170" s="47">
        <f t="shared" si="4"/>
        <v>1745492.3325</v>
      </c>
      <c r="Q170" s="27" t="s">
        <v>364</v>
      </c>
    </row>
    <row r="171" spans="1:17" s="2" customFormat="1" ht="52">
      <c r="A171" s="27">
        <v>49</v>
      </c>
      <c r="B171" s="29" t="s">
        <v>164</v>
      </c>
      <c r="C171" s="29"/>
      <c r="D171" s="27" t="s">
        <v>361</v>
      </c>
      <c r="E171" s="27" t="s">
        <v>355</v>
      </c>
      <c r="F171" s="27">
        <v>450</v>
      </c>
      <c r="G171" s="27">
        <v>350</v>
      </c>
      <c r="H171" s="27"/>
      <c r="I171" s="27"/>
      <c r="J171" s="27"/>
      <c r="K171" s="27">
        <v>200</v>
      </c>
      <c r="L171" s="27">
        <v>1.1499999999999999</v>
      </c>
      <c r="M171" s="27" t="s">
        <v>66</v>
      </c>
      <c r="N171" s="27">
        <v>2</v>
      </c>
      <c r="O171" s="47">
        <v>1812377.7</v>
      </c>
      <c r="P171" s="47">
        <f t="shared" si="4"/>
        <v>3624755.4</v>
      </c>
      <c r="Q171" s="27" t="s">
        <v>364</v>
      </c>
    </row>
    <row r="172" spans="1:17" s="2" customFormat="1" ht="18" customHeight="1">
      <c r="A172" s="27">
        <v>50</v>
      </c>
      <c r="B172" s="29" t="s">
        <v>165</v>
      </c>
      <c r="C172" s="29"/>
      <c r="D172" s="27" t="s">
        <v>361</v>
      </c>
      <c r="E172" s="27" t="s">
        <v>355</v>
      </c>
      <c r="F172" s="27">
        <v>500</v>
      </c>
      <c r="G172" s="27">
        <v>250</v>
      </c>
      <c r="H172" s="27"/>
      <c r="I172" s="27"/>
      <c r="J172" s="27"/>
      <c r="K172" s="27">
        <v>200</v>
      </c>
      <c r="L172" s="27">
        <v>1.1499999999999999</v>
      </c>
      <c r="M172" s="27" t="s">
        <v>66</v>
      </c>
      <c r="N172" s="27">
        <v>2</v>
      </c>
      <c r="O172" s="47">
        <v>1411270.98</v>
      </c>
      <c r="P172" s="47">
        <f t="shared" si="4"/>
        <v>2822541.96</v>
      </c>
      <c r="Q172" s="27" t="s">
        <v>364</v>
      </c>
    </row>
    <row r="173" spans="1:17" s="2" customFormat="1" ht="52">
      <c r="A173" s="27">
        <v>51</v>
      </c>
      <c r="B173" s="29" t="s">
        <v>166</v>
      </c>
      <c r="C173" s="29"/>
      <c r="D173" s="27" t="s">
        <v>361</v>
      </c>
      <c r="E173" s="27" t="s">
        <v>355</v>
      </c>
      <c r="F173" s="27">
        <v>500</v>
      </c>
      <c r="G173" s="27">
        <v>300</v>
      </c>
      <c r="H173" s="27"/>
      <c r="I173" s="27"/>
      <c r="J173" s="27"/>
      <c r="K173" s="27">
        <v>200</v>
      </c>
      <c r="L173" s="27">
        <v>1.1499999999999999</v>
      </c>
      <c r="M173" s="27" t="s">
        <v>66</v>
      </c>
      <c r="N173" s="27">
        <v>3</v>
      </c>
      <c r="O173" s="47">
        <v>1800151.3425</v>
      </c>
      <c r="P173" s="47">
        <f t="shared" si="4"/>
        <v>5400454.0274999999</v>
      </c>
      <c r="Q173" s="27" t="s">
        <v>364</v>
      </c>
    </row>
    <row r="174" spans="1:17" s="2" customFormat="1" ht="52">
      <c r="A174" s="27">
        <v>52</v>
      </c>
      <c r="B174" s="29" t="s">
        <v>167</v>
      </c>
      <c r="C174" s="29"/>
      <c r="D174" s="27" t="s">
        <v>361</v>
      </c>
      <c r="E174" s="27" t="s">
        <v>355</v>
      </c>
      <c r="F174" s="27">
        <v>500</v>
      </c>
      <c r="G174" s="27">
        <v>350</v>
      </c>
      <c r="H174" s="27"/>
      <c r="I174" s="27"/>
      <c r="J174" s="27"/>
      <c r="K174" s="27">
        <v>200</v>
      </c>
      <c r="L174" s="27">
        <v>1.1499999999999999</v>
      </c>
      <c r="M174" s="27" t="s">
        <v>66</v>
      </c>
      <c r="N174" s="27">
        <v>3</v>
      </c>
      <c r="O174" s="47">
        <v>1879263.0674999999</v>
      </c>
      <c r="P174" s="47">
        <f t="shared" si="4"/>
        <v>5637789.2024999997</v>
      </c>
      <c r="Q174" s="27" t="s">
        <v>364</v>
      </c>
    </row>
    <row r="175" spans="1:17" s="2" customFormat="1" ht="52">
      <c r="A175" s="27">
        <v>53</v>
      </c>
      <c r="B175" s="29" t="s">
        <v>101</v>
      </c>
      <c r="C175" s="29"/>
      <c r="D175" s="27" t="s">
        <v>361</v>
      </c>
      <c r="E175" s="27" t="s">
        <v>355</v>
      </c>
      <c r="F175" s="27">
        <v>550</v>
      </c>
      <c r="G175" s="27">
        <v>250</v>
      </c>
      <c r="H175" s="27"/>
      <c r="I175" s="27"/>
      <c r="J175" s="27"/>
      <c r="K175" s="27">
        <v>200</v>
      </c>
      <c r="L175" s="27">
        <v>1.1499999999999999</v>
      </c>
      <c r="M175" s="27" t="s">
        <v>66</v>
      </c>
      <c r="N175" s="27">
        <v>3</v>
      </c>
      <c r="O175" s="47">
        <v>1474868.5874999999</v>
      </c>
      <c r="P175" s="47">
        <f t="shared" si="4"/>
        <v>4424605.7625000002</v>
      </c>
      <c r="Q175" s="27" t="s">
        <v>364</v>
      </c>
    </row>
    <row r="176" spans="1:17" s="2" customFormat="1" ht="52">
      <c r="A176" s="27">
        <v>54</v>
      </c>
      <c r="B176" s="29" t="s">
        <v>168</v>
      </c>
      <c r="C176" s="29"/>
      <c r="D176" s="27" t="s">
        <v>361</v>
      </c>
      <c r="E176" s="27" t="s">
        <v>355</v>
      </c>
      <c r="F176" s="27">
        <v>600</v>
      </c>
      <c r="G176" s="27">
        <v>250</v>
      </c>
      <c r="H176" s="27"/>
      <c r="I176" s="27"/>
      <c r="J176" s="27"/>
      <c r="K176" s="27">
        <v>200</v>
      </c>
      <c r="L176" s="27">
        <v>1.1499999999999999</v>
      </c>
      <c r="M176" s="27" t="s">
        <v>66</v>
      </c>
      <c r="N176" s="27">
        <v>1</v>
      </c>
      <c r="O176" s="47">
        <v>1538466.1950000001</v>
      </c>
      <c r="P176" s="47">
        <f t="shared" si="4"/>
        <v>1538466.1950000001</v>
      </c>
      <c r="Q176" s="27" t="s">
        <v>364</v>
      </c>
    </row>
    <row r="177" spans="1:17" s="2" customFormat="1" ht="52">
      <c r="A177" s="27">
        <v>55</v>
      </c>
      <c r="B177" s="29" t="s">
        <v>103</v>
      </c>
      <c r="C177" s="29"/>
      <c r="D177" s="27" t="s">
        <v>361</v>
      </c>
      <c r="E177" s="27" t="s">
        <v>355</v>
      </c>
      <c r="F177" s="27">
        <v>600</v>
      </c>
      <c r="G177" s="27">
        <v>300</v>
      </c>
      <c r="H177" s="27"/>
      <c r="I177" s="27"/>
      <c r="J177" s="27"/>
      <c r="K177" s="27">
        <v>200</v>
      </c>
      <c r="L177" s="27">
        <v>1.1499999999999999</v>
      </c>
      <c r="M177" s="27" t="s">
        <v>66</v>
      </c>
      <c r="N177" s="27">
        <v>8</v>
      </c>
      <c r="O177" s="47">
        <v>1925702.6775</v>
      </c>
      <c r="P177" s="47">
        <f t="shared" si="4"/>
        <v>15405621.42</v>
      </c>
      <c r="Q177" s="27" t="s">
        <v>364</v>
      </c>
    </row>
    <row r="178" spans="1:17" s="2" customFormat="1" ht="52">
      <c r="A178" s="27">
        <v>56</v>
      </c>
      <c r="B178" s="29" t="s">
        <v>169</v>
      </c>
      <c r="C178" s="29"/>
      <c r="D178" s="27" t="s">
        <v>361</v>
      </c>
      <c r="E178" s="27" t="s">
        <v>355</v>
      </c>
      <c r="F178" s="27">
        <v>600</v>
      </c>
      <c r="G178" s="27">
        <v>350</v>
      </c>
      <c r="H178" s="27"/>
      <c r="I178" s="27"/>
      <c r="J178" s="27"/>
      <c r="K178" s="27">
        <v>200</v>
      </c>
      <c r="L178" s="27">
        <v>1.1499999999999999</v>
      </c>
      <c r="M178" s="27" t="s">
        <v>66</v>
      </c>
      <c r="N178" s="27">
        <v>2</v>
      </c>
      <c r="O178" s="47">
        <v>2012931.06</v>
      </c>
      <c r="P178" s="47">
        <f t="shared" si="4"/>
        <v>4025862.12</v>
      </c>
      <c r="Q178" s="27" t="s">
        <v>364</v>
      </c>
    </row>
    <row r="179" spans="1:17" s="2" customFormat="1" ht="52">
      <c r="A179" s="27">
        <v>57</v>
      </c>
      <c r="B179" s="29" t="s">
        <v>170</v>
      </c>
      <c r="C179" s="29"/>
      <c r="D179" s="27" t="s">
        <v>361</v>
      </c>
      <c r="E179" s="27" t="s">
        <v>355</v>
      </c>
      <c r="F179" s="27">
        <v>600</v>
      </c>
      <c r="G179" s="27">
        <v>400</v>
      </c>
      <c r="H179" s="27"/>
      <c r="I179" s="27"/>
      <c r="J179" s="27"/>
      <c r="K179" s="27">
        <v>200</v>
      </c>
      <c r="L179" s="27">
        <v>1.1499999999999999</v>
      </c>
      <c r="M179" s="27" t="s">
        <v>66</v>
      </c>
      <c r="N179" s="27">
        <v>3</v>
      </c>
      <c r="O179" s="47">
        <v>2100262.1850000001</v>
      </c>
      <c r="P179" s="47">
        <f t="shared" si="4"/>
        <v>6300786.5549999997</v>
      </c>
      <c r="Q179" s="27" t="s">
        <v>364</v>
      </c>
    </row>
    <row r="180" spans="1:17" s="2" customFormat="1" ht="52">
      <c r="A180" s="27">
        <v>58</v>
      </c>
      <c r="B180" s="29" t="s">
        <v>171</v>
      </c>
      <c r="C180" s="29"/>
      <c r="D180" s="27" t="s">
        <v>361</v>
      </c>
      <c r="E180" s="27" t="s">
        <v>355</v>
      </c>
      <c r="F180" s="27">
        <v>600</v>
      </c>
      <c r="G180" s="27">
        <v>600</v>
      </c>
      <c r="H180" s="27"/>
      <c r="I180" s="27"/>
      <c r="J180" s="27"/>
      <c r="K180" s="27">
        <v>200</v>
      </c>
      <c r="L180" s="27">
        <v>1.1499999999999999</v>
      </c>
      <c r="M180" s="27" t="s">
        <v>66</v>
      </c>
      <c r="N180" s="27">
        <v>1</v>
      </c>
      <c r="O180" s="47">
        <v>2389276.8374999999</v>
      </c>
      <c r="P180" s="47">
        <f t="shared" si="4"/>
        <v>2389276.8374999999</v>
      </c>
      <c r="Q180" s="27" t="s">
        <v>364</v>
      </c>
    </row>
    <row r="181" spans="1:17" s="2" customFormat="1" ht="52">
      <c r="A181" s="27">
        <v>59</v>
      </c>
      <c r="B181" s="52" t="s">
        <v>172</v>
      </c>
      <c r="C181" s="29"/>
      <c r="D181" s="27" t="s">
        <v>361</v>
      </c>
      <c r="E181" s="27" t="s">
        <v>355</v>
      </c>
      <c r="F181" s="27"/>
      <c r="G181" s="27"/>
      <c r="H181" s="27"/>
      <c r="I181" s="27"/>
      <c r="J181" s="27"/>
      <c r="K181" s="27">
        <v>200</v>
      </c>
      <c r="L181" s="27">
        <v>1.1499999999999999</v>
      </c>
      <c r="M181" s="27" t="s">
        <v>66</v>
      </c>
      <c r="N181" s="27">
        <v>1</v>
      </c>
      <c r="O181" s="47">
        <v>0</v>
      </c>
      <c r="P181" s="47">
        <f t="shared" si="4"/>
        <v>0</v>
      </c>
      <c r="Q181" s="27" t="s">
        <v>364</v>
      </c>
    </row>
    <row r="182" spans="1:17" s="2" customFormat="1" ht="52">
      <c r="A182" s="27">
        <v>60</v>
      </c>
      <c r="B182" s="29" t="s">
        <v>105</v>
      </c>
      <c r="C182" s="29"/>
      <c r="D182" s="27" t="s">
        <v>361</v>
      </c>
      <c r="E182" s="27" t="s">
        <v>355</v>
      </c>
      <c r="F182" s="27">
        <v>650</v>
      </c>
      <c r="G182" s="27">
        <v>250</v>
      </c>
      <c r="H182" s="27"/>
      <c r="I182" s="27"/>
      <c r="J182" s="27"/>
      <c r="K182" s="27">
        <v>200</v>
      </c>
      <c r="L182" s="27">
        <v>1.1499999999999999</v>
      </c>
      <c r="M182" s="27" t="s">
        <v>66</v>
      </c>
      <c r="N182" s="27">
        <v>11</v>
      </c>
      <c r="O182" s="47">
        <v>1602269.2875000001</v>
      </c>
      <c r="P182" s="47">
        <f t="shared" si="4"/>
        <v>17624962.162500001</v>
      </c>
      <c r="Q182" s="27" t="s">
        <v>364</v>
      </c>
    </row>
    <row r="183" spans="1:17" s="2" customFormat="1" ht="52">
      <c r="A183" s="27">
        <v>61</v>
      </c>
      <c r="B183" s="29" t="s">
        <v>106</v>
      </c>
      <c r="C183" s="29"/>
      <c r="D183" s="27" t="s">
        <v>361</v>
      </c>
      <c r="E183" s="27" t="s">
        <v>355</v>
      </c>
      <c r="F183" s="27">
        <v>650</v>
      </c>
      <c r="G183" s="27">
        <v>300</v>
      </c>
      <c r="H183" s="27"/>
      <c r="I183" s="27"/>
      <c r="J183" s="27"/>
      <c r="K183" s="27">
        <v>200</v>
      </c>
      <c r="L183" s="27">
        <v>1.1499999999999999</v>
      </c>
      <c r="M183" s="27" t="s">
        <v>66</v>
      </c>
      <c r="N183" s="27">
        <v>2</v>
      </c>
      <c r="O183" s="47">
        <v>1988581.0874999999</v>
      </c>
      <c r="P183" s="47">
        <f t="shared" si="4"/>
        <v>3977162.1749999998</v>
      </c>
      <c r="Q183" s="27" t="s">
        <v>364</v>
      </c>
    </row>
    <row r="184" spans="1:17" s="2" customFormat="1" ht="52">
      <c r="A184" s="27">
        <v>62</v>
      </c>
      <c r="B184" s="29" t="s">
        <v>107</v>
      </c>
      <c r="C184" s="29"/>
      <c r="D184" s="27" t="s">
        <v>361</v>
      </c>
      <c r="E184" s="27" t="s">
        <v>355</v>
      </c>
      <c r="F184" s="27">
        <v>650</v>
      </c>
      <c r="G184" s="27">
        <v>350</v>
      </c>
      <c r="H184" s="27"/>
      <c r="I184" s="27"/>
      <c r="J184" s="27"/>
      <c r="K184" s="27">
        <v>200</v>
      </c>
      <c r="L184" s="27">
        <v>1.1499999999999999</v>
      </c>
      <c r="M184" s="27" t="s">
        <v>66</v>
      </c>
      <c r="N184" s="27">
        <v>6</v>
      </c>
      <c r="O184" s="47">
        <v>2079816.4275</v>
      </c>
      <c r="P184" s="47">
        <f t="shared" si="4"/>
        <v>12478898.564999999</v>
      </c>
      <c r="Q184" s="27" t="s">
        <v>364</v>
      </c>
    </row>
    <row r="185" spans="1:17" s="2" customFormat="1" ht="52">
      <c r="A185" s="27">
        <v>63</v>
      </c>
      <c r="B185" s="29" t="s">
        <v>108</v>
      </c>
      <c r="C185" s="29"/>
      <c r="D185" s="27" t="s">
        <v>361</v>
      </c>
      <c r="E185" s="27" t="s">
        <v>355</v>
      </c>
      <c r="F185" s="27">
        <v>650</v>
      </c>
      <c r="G185" s="27">
        <v>400</v>
      </c>
      <c r="H185" s="27"/>
      <c r="I185" s="27"/>
      <c r="J185" s="27"/>
      <c r="K185" s="27">
        <v>200</v>
      </c>
      <c r="L185" s="27">
        <v>1.1499999999999999</v>
      </c>
      <c r="M185" s="27" t="s">
        <v>66</v>
      </c>
      <c r="N185" s="27">
        <v>1</v>
      </c>
      <c r="O185" s="47">
        <v>2171257.2524999999</v>
      </c>
      <c r="P185" s="47">
        <f t="shared" si="4"/>
        <v>2171257.2524999999</v>
      </c>
      <c r="Q185" s="27" t="s">
        <v>364</v>
      </c>
    </row>
    <row r="186" spans="1:17" s="2" customFormat="1" ht="52">
      <c r="A186" s="27">
        <v>64</v>
      </c>
      <c r="B186" s="29" t="s">
        <v>173</v>
      </c>
      <c r="C186" s="29"/>
      <c r="D186" s="27" t="s">
        <v>361</v>
      </c>
      <c r="E186" s="27" t="s">
        <v>355</v>
      </c>
      <c r="F186" s="27">
        <v>700</v>
      </c>
      <c r="G186" s="27">
        <v>400</v>
      </c>
      <c r="H186" s="27"/>
      <c r="I186" s="27"/>
      <c r="J186" s="27"/>
      <c r="K186" s="27">
        <v>200</v>
      </c>
      <c r="L186" s="27">
        <v>1.1499999999999999</v>
      </c>
      <c r="M186" s="27" t="s">
        <v>66</v>
      </c>
      <c r="N186" s="27">
        <v>3</v>
      </c>
      <c r="O186" s="47">
        <v>2242149.5775000001</v>
      </c>
      <c r="P186" s="47">
        <f t="shared" si="4"/>
        <v>6726448.7324999999</v>
      </c>
      <c r="Q186" s="27" t="s">
        <v>364</v>
      </c>
    </row>
    <row r="187" spans="1:17" s="2" customFormat="1" ht="52">
      <c r="A187" s="27">
        <v>65</v>
      </c>
      <c r="B187" s="29" t="s">
        <v>174</v>
      </c>
      <c r="C187" s="29"/>
      <c r="D187" s="27" t="s">
        <v>361</v>
      </c>
      <c r="E187" s="27" t="s">
        <v>355</v>
      </c>
      <c r="F187" s="27">
        <v>750</v>
      </c>
      <c r="G187" s="27">
        <v>500</v>
      </c>
      <c r="H187" s="27"/>
      <c r="I187" s="27"/>
      <c r="J187" s="27"/>
      <c r="K187" s="27">
        <v>200</v>
      </c>
      <c r="L187" s="27">
        <v>1.1499999999999999</v>
      </c>
      <c r="M187" s="27" t="s">
        <v>66</v>
      </c>
      <c r="N187" s="27">
        <v>2</v>
      </c>
      <c r="O187" s="47">
        <v>2445374.2425000002</v>
      </c>
      <c r="P187" s="47">
        <f t="shared" si="4"/>
        <v>4890748.4850000003</v>
      </c>
      <c r="Q187" s="27" t="s">
        <v>364</v>
      </c>
    </row>
    <row r="188" spans="1:17" s="2" customFormat="1" ht="52">
      <c r="A188" s="27">
        <v>66</v>
      </c>
      <c r="B188" s="29" t="s">
        <v>175</v>
      </c>
      <c r="C188" s="29"/>
      <c r="D188" s="27" t="s">
        <v>361</v>
      </c>
      <c r="E188" s="27" t="s">
        <v>355</v>
      </c>
      <c r="F188" s="27">
        <v>750</v>
      </c>
      <c r="G188" s="27">
        <v>550</v>
      </c>
      <c r="H188" s="27"/>
      <c r="I188" s="27"/>
      <c r="J188" s="27"/>
      <c r="K188" s="27">
        <v>200</v>
      </c>
      <c r="L188" s="27">
        <v>1.1499999999999999</v>
      </c>
      <c r="M188" s="27" t="s">
        <v>66</v>
      </c>
      <c r="N188" s="27">
        <v>2</v>
      </c>
      <c r="O188" s="47">
        <v>2534657.4750000001</v>
      </c>
      <c r="P188" s="47">
        <f t="shared" si="4"/>
        <v>5069314.95</v>
      </c>
      <c r="Q188" s="27" t="s">
        <v>364</v>
      </c>
    </row>
    <row r="189" spans="1:17" s="2" customFormat="1" ht="52">
      <c r="A189" s="27">
        <v>67</v>
      </c>
      <c r="B189" s="29" t="s">
        <v>176</v>
      </c>
      <c r="C189" s="29"/>
      <c r="D189" s="27" t="s">
        <v>361</v>
      </c>
      <c r="E189" s="27" t="s">
        <v>355</v>
      </c>
      <c r="F189" s="27">
        <v>800</v>
      </c>
      <c r="G189" s="27">
        <v>400</v>
      </c>
      <c r="H189" s="27"/>
      <c r="I189" s="27"/>
      <c r="J189" s="27"/>
      <c r="K189" s="27">
        <v>200</v>
      </c>
      <c r="L189" s="27">
        <v>1.1499999999999999</v>
      </c>
      <c r="M189" s="27" t="s">
        <v>66</v>
      </c>
      <c r="N189" s="27">
        <v>1</v>
      </c>
      <c r="O189" s="47">
        <v>2384242.4550000001</v>
      </c>
      <c r="P189" s="47">
        <f t="shared" si="4"/>
        <v>2384242.4550000001</v>
      </c>
      <c r="Q189" s="27" t="s">
        <v>364</v>
      </c>
    </row>
    <row r="190" spans="1:17" s="2" customFormat="1" ht="52">
      <c r="A190" s="27">
        <v>68</v>
      </c>
      <c r="B190" s="29" t="s">
        <v>177</v>
      </c>
      <c r="C190" s="29"/>
      <c r="D190" s="27" t="s">
        <v>361</v>
      </c>
      <c r="E190" s="27" t="s">
        <v>355</v>
      </c>
      <c r="F190" s="27">
        <v>800</v>
      </c>
      <c r="G190" s="27">
        <v>450</v>
      </c>
      <c r="H190" s="27"/>
      <c r="I190" s="27"/>
      <c r="J190" s="27"/>
      <c r="K190" s="27">
        <v>200</v>
      </c>
      <c r="L190" s="27">
        <v>1.1499999999999999</v>
      </c>
      <c r="M190" s="27" t="s">
        <v>66</v>
      </c>
      <c r="N190" s="27">
        <v>4</v>
      </c>
      <c r="O190" s="47">
        <v>2487704.1524999999</v>
      </c>
      <c r="P190" s="47">
        <f t="shared" si="4"/>
        <v>9950816.6099999994</v>
      </c>
      <c r="Q190" s="27" t="s">
        <v>364</v>
      </c>
    </row>
    <row r="191" spans="1:17" s="2" customFormat="1" ht="52">
      <c r="A191" s="27">
        <v>69</v>
      </c>
      <c r="B191" s="29" t="s">
        <v>178</v>
      </c>
      <c r="C191" s="29"/>
      <c r="D191" s="27" t="s">
        <v>361</v>
      </c>
      <c r="E191" s="27" t="s">
        <v>355</v>
      </c>
      <c r="F191" s="27">
        <v>900</v>
      </c>
      <c r="G191" s="27">
        <v>300</v>
      </c>
      <c r="H191" s="27"/>
      <c r="I191" s="27"/>
      <c r="J191" s="27"/>
      <c r="K191" s="27">
        <v>200</v>
      </c>
      <c r="L191" s="27">
        <v>1.1499999999999999</v>
      </c>
      <c r="M191" s="27" t="s">
        <v>66</v>
      </c>
      <c r="N191" s="27">
        <v>2</v>
      </c>
      <c r="O191" s="47">
        <v>2302664.91</v>
      </c>
      <c r="P191" s="47">
        <f t="shared" si="4"/>
        <v>4605329.82</v>
      </c>
      <c r="Q191" s="27" t="s">
        <v>364</v>
      </c>
    </row>
    <row r="192" spans="1:17" s="2" customFormat="1" ht="52">
      <c r="A192" s="27">
        <v>70</v>
      </c>
      <c r="B192" s="29" t="s">
        <v>179</v>
      </c>
      <c r="C192" s="29"/>
      <c r="D192" s="27" t="s">
        <v>361</v>
      </c>
      <c r="E192" s="27" t="s">
        <v>355</v>
      </c>
      <c r="F192" s="27">
        <v>900</v>
      </c>
      <c r="G192" s="27">
        <v>500</v>
      </c>
      <c r="H192" s="27"/>
      <c r="I192" s="27"/>
      <c r="J192" s="27"/>
      <c r="K192" s="27">
        <v>200</v>
      </c>
      <c r="L192" s="27">
        <v>1.1499999999999999</v>
      </c>
      <c r="M192" s="27" t="s">
        <v>66</v>
      </c>
      <c r="N192" s="27">
        <v>3</v>
      </c>
      <c r="O192" s="47">
        <v>2657742.9900000002</v>
      </c>
      <c r="P192" s="47">
        <f t="shared" si="4"/>
        <v>7973228.9699999997</v>
      </c>
      <c r="Q192" s="27" t="s">
        <v>364</v>
      </c>
    </row>
    <row r="193" spans="1:17" s="2" customFormat="1" ht="65">
      <c r="A193" s="27">
        <v>71</v>
      </c>
      <c r="B193" s="29" t="s">
        <v>114</v>
      </c>
      <c r="C193" s="29"/>
      <c r="D193" s="27" t="s">
        <v>361</v>
      </c>
      <c r="E193" s="27" t="s">
        <v>355</v>
      </c>
      <c r="F193" s="27">
        <v>1000</v>
      </c>
      <c r="G193" s="27">
        <v>1000</v>
      </c>
      <c r="H193" s="27">
        <v>1000</v>
      </c>
      <c r="I193" s="27">
        <v>500</v>
      </c>
      <c r="J193" s="27">
        <v>2</v>
      </c>
      <c r="K193" s="27">
        <v>200</v>
      </c>
      <c r="L193" s="27">
        <v>1.1499999999999999</v>
      </c>
      <c r="M193" s="27" t="s">
        <v>66</v>
      </c>
      <c r="N193" s="27">
        <v>8</v>
      </c>
      <c r="O193" s="47">
        <v>6139480.8300000001</v>
      </c>
      <c r="P193" s="47">
        <f t="shared" si="4"/>
        <v>49115846.640000001</v>
      </c>
      <c r="Q193" s="27" t="s">
        <v>372</v>
      </c>
    </row>
    <row r="194" spans="1:17" s="2" customFormat="1" ht="52">
      <c r="A194" s="27">
        <v>72</v>
      </c>
      <c r="B194" s="29" t="s">
        <v>180</v>
      </c>
      <c r="C194" s="29"/>
      <c r="D194" s="27" t="s">
        <v>361</v>
      </c>
      <c r="E194" s="27" t="s">
        <v>355</v>
      </c>
      <c r="F194" s="27">
        <v>1200</v>
      </c>
      <c r="G194" s="27">
        <v>650</v>
      </c>
      <c r="H194" s="27"/>
      <c r="I194" s="27"/>
      <c r="J194" s="27"/>
      <c r="K194" s="27">
        <v>200</v>
      </c>
      <c r="L194" s="27">
        <v>1.1499999999999999</v>
      </c>
      <c r="M194" s="27" t="s">
        <v>66</v>
      </c>
      <c r="N194" s="27">
        <v>4</v>
      </c>
      <c r="O194" s="47">
        <v>3720922.38</v>
      </c>
      <c r="P194" s="47">
        <f t="shared" si="4"/>
        <v>14883689.52</v>
      </c>
      <c r="Q194" s="27" t="s">
        <v>364</v>
      </c>
    </row>
    <row r="195" spans="1:17" s="2" customFormat="1" ht="52">
      <c r="A195" s="27">
        <v>73</v>
      </c>
      <c r="B195" s="29" t="s">
        <v>181</v>
      </c>
      <c r="C195" s="29"/>
      <c r="D195" s="27" t="s">
        <v>361</v>
      </c>
      <c r="E195" s="27" t="s">
        <v>355</v>
      </c>
      <c r="F195" s="27">
        <v>1400</v>
      </c>
      <c r="G195" s="27">
        <v>600</v>
      </c>
      <c r="H195" s="27"/>
      <c r="I195" s="27"/>
      <c r="J195" s="27"/>
      <c r="K195" s="27">
        <v>200</v>
      </c>
      <c r="L195" s="27">
        <v>1.1499999999999999</v>
      </c>
      <c r="M195" s="27" t="s">
        <v>66</v>
      </c>
      <c r="N195" s="27">
        <v>1</v>
      </c>
      <c r="O195" s="47">
        <v>3910996.0049999999</v>
      </c>
      <c r="P195" s="47">
        <f t="shared" si="4"/>
        <v>3910996.0049999999</v>
      </c>
      <c r="Q195" s="27" t="s">
        <v>364</v>
      </c>
    </row>
    <row r="196" spans="1:17" s="2" customFormat="1" ht="65">
      <c r="A196" s="27">
        <v>74</v>
      </c>
      <c r="B196" s="29" t="s">
        <v>182</v>
      </c>
      <c r="C196" s="29"/>
      <c r="D196" s="27" t="s">
        <v>361</v>
      </c>
      <c r="E196" s="27" t="s">
        <v>355</v>
      </c>
      <c r="F196" s="27">
        <v>1900</v>
      </c>
      <c r="G196" s="27">
        <v>600</v>
      </c>
      <c r="H196" s="27">
        <v>800</v>
      </c>
      <c r="I196" s="27">
        <v>600</v>
      </c>
      <c r="J196" s="27">
        <v>2</v>
      </c>
      <c r="K196" s="27">
        <v>200</v>
      </c>
      <c r="L196" s="27">
        <v>1.1499999999999999</v>
      </c>
      <c r="M196" s="27" t="s">
        <v>66</v>
      </c>
      <c r="N196" s="27">
        <v>1</v>
      </c>
      <c r="O196" s="47">
        <v>5404460.9850000003</v>
      </c>
      <c r="P196" s="47">
        <f t="shared" si="4"/>
        <v>5404460.9850000003</v>
      </c>
      <c r="Q196" s="27" t="s">
        <v>372</v>
      </c>
    </row>
    <row r="197" spans="1:17" s="3" customFormat="1" ht="13">
      <c r="A197" s="54"/>
      <c r="B197" s="28" t="s">
        <v>116</v>
      </c>
      <c r="C197" s="28"/>
      <c r="D197" s="54"/>
      <c r="E197" s="54"/>
      <c r="F197" s="54"/>
      <c r="G197" s="54"/>
      <c r="H197" s="54"/>
      <c r="I197" s="54"/>
      <c r="J197" s="54"/>
      <c r="K197" s="54"/>
      <c r="L197" s="54"/>
      <c r="M197" s="54"/>
      <c r="N197" s="54"/>
      <c r="O197" s="56">
        <v>0</v>
      </c>
      <c r="P197" s="56">
        <f t="shared" si="4"/>
        <v>0</v>
      </c>
      <c r="Q197" s="54"/>
    </row>
    <row r="198" spans="1:17" s="2" customFormat="1" ht="13">
      <c r="A198" s="27">
        <v>75</v>
      </c>
      <c r="B198" s="29" t="s">
        <v>183</v>
      </c>
      <c r="C198" s="29"/>
      <c r="D198" s="27" t="s">
        <v>373</v>
      </c>
      <c r="E198" s="27" t="s">
        <v>355</v>
      </c>
      <c r="F198" s="27">
        <v>200</v>
      </c>
      <c r="G198" s="27">
        <v>100</v>
      </c>
      <c r="H198" s="27">
        <v>150</v>
      </c>
      <c r="I198" s="27">
        <v>50</v>
      </c>
      <c r="J198" s="27"/>
      <c r="K198" s="27"/>
      <c r="L198" s="27"/>
      <c r="M198" s="27" t="s">
        <v>66</v>
      </c>
      <c r="N198" s="27">
        <v>48</v>
      </c>
      <c r="O198" s="47">
        <v>43050</v>
      </c>
      <c r="P198" s="47">
        <f t="shared" si="4"/>
        <v>2066400</v>
      </c>
      <c r="Q198" s="27" t="s">
        <v>374</v>
      </c>
    </row>
    <row r="199" spans="1:17" s="2" customFormat="1" ht="13">
      <c r="A199" s="27">
        <v>76</v>
      </c>
      <c r="B199" s="29" t="s">
        <v>184</v>
      </c>
      <c r="C199" s="29"/>
      <c r="D199" s="27" t="s">
        <v>373</v>
      </c>
      <c r="E199" s="27" t="s">
        <v>355</v>
      </c>
      <c r="F199" s="27">
        <v>200</v>
      </c>
      <c r="G199" s="27">
        <v>150</v>
      </c>
      <c r="H199" s="27">
        <v>150</v>
      </c>
      <c r="I199" s="27">
        <v>100</v>
      </c>
      <c r="J199" s="27"/>
      <c r="K199" s="27"/>
      <c r="L199" s="27"/>
      <c r="M199" s="27" t="s">
        <v>66</v>
      </c>
      <c r="N199" s="27">
        <v>2</v>
      </c>
      <c r="O199" s="47">
        <v>51450</v>
      </c>
      <c r="P199" s="47">
        <f t="shared" si="4"/>
        <v>102900</v>
      </c>
      <c r="Q199" s="27" t="s">
        <v>374</v>
      </c>
    </row>
    <row r="200" spans="1:17" s="2" customFormat="1" ht="13">
      <c r="A200" s="27">
        <v>77</v>
      </c>
      <c r="B200" s="29" t="s">
        <v>185</v>
      </c>
      <c r="C200" s="29"/>
      <c r="D200" s="27" t="s">
        <v>373</v>
      </c>
      <c r="E200" s="27" t="s">
        <v>355</v>
      </c>
      <c r="F200" s="27">
        <v>300</v>
      </c>
      <c r="G200" s="27">
        <v>100</v>
      </c>
      <c r="H200" s="27">
        <v>250</v>
      </c>
      <c r="I200" s="27">
        <v>50</v>
      </c>
      <c r="J200" s="27"/>
      <c r="K200" s="27"/>
      <c r="L200" s="27"/>
      <c r="M200" s="27" t="s">
        <v>66</v>
      </c>
      <c r="N200" s="27">
        <v>2</v>
      </c>
      <c r="O200" s="47">
        <v>53550</v>
      </c>
      <c r="P200" s="47">
        <f t="shared" si="4"/>
        <v>107100</v>
      </c>
      <c r="Q200" s="27" t="s">
        <v>374</v>
      </c>
    </row>
    <row r="201" spans="1:17" s="3" customFormat="1" ht="13">
      <c r="A201" s="54"/>
      <c r="B201" s="28" t="s">
        <v>186</v>
      </c>
      <c r="C201" s="28"/>
      <c r="D201" s="54"/>
      <c r="E201" s="54"/>
      <c r="F201" s="54"/>
      <c r="G201" s="54"/>
      <c r="H201" s="54"/>
      <c r="I201" s="54"/>
      <c r="J201" s="54"/>
      <c r="K201" s="54"/>
      <c r="L201" s="54"/>
      <c r="M201" s="54"/>
      <c r="N201" s="54"/>
      <c r="O201" s="56">
        <v>0</v>
      </c>
      <c r="P201" s="56">
        <f t="shared" si="4"/>
        <v>0</v>
      </c>
      <c r="Q201" s="54"/>
    </row>
    <row r="202" spans="1:17" s="2" customFormat="1" ht="26">
      <c r="A202" s="27">
        <v>95</v>
      </c>
      <c r="B202" s="29" t="s">
        <v>187</v>
      </c>
      <c r="C202" s="29"/>
      <c r="D202" s="27" t="s">
        <v>368</v>
      </c>
      <c r="E202" s="27"/>
      <c r="F202" s="27">
        <f>H202+100</f>
        <v>450</v>
      </c>
      <c r="G202" s="27">
        <f>I202+100</f>
        <v>350</v>
      </c>
      <c r="H202" s="27">
        <v>350</v>
      </c>
      <c r="I202" s="27">
        <v>250</v>
      </c>
      <c r="J202" s="27"/>
      <c r="K202" s="27">
        <v>1000</v>
      </c>
      <c r="L202" s="27"/>
      <c r="M202" s="27" t="s">
        <v>128</v>
      </c>
      <c r="N202" s="27">
        <v>1</v>
      </c>
      <c r="O202" s="47">
        <v>1631286</v>
      </c>
      <c r="P202" s="47">
        <f t="shared" si="4"/>
        <v>1631286</v>
      </c>
      <c r="Q202" s="27" t="s">
        <v>369</v>
      </c>
    </row>
    <row r="203" spans="1:17" s="2" customFormat="1" ht="26">
      <c r="A203" s="27">
        <v>96</v>
      </c>
      <c r="B203" s="29" t="s">
        <v>130</v>
      </c>
      <c r="C203" s="29"/>
      <c r="D203" s="27" t="s">
        <v>368</v>
      </c>
      <c r="E203" s="27"/>
      <c r="F203" s="27">
        <f t="shared" ref="F203:F214" si="5">H203+100</f>
        <v>700</v>
      </c>
      <c r="G203" s="27">
        <f t="shared" ref="G203:G214" si="6">I203+100</f>
        <v>400</v>
      </c>
      <c r="H203" s="27">
        <v>600</v>
      </c>
      <c r="I203" s="27">
        <v>300</v>
      </c>
      <c r="J203" s="27"/>
      <c r="K203" s="27">
        <v>1000</v>
      </c>
      <c r="L203" s="27"/>
      <c r="M203" s="27" t="s">
        <v>128</v>
      </c>
      <c r="N203" s="27">
        <v>2</v>
      </c>
      <c r="O203" s="47">
        <v>2656141.2000000002</v>
      </c>
      <c r="P203" s="47">
        <f t="shared" si="4"/>
        <v>5312282.4000000004</v>
      </c>
      <c r="Q203" s="27" t="s">
        <v>369</v>
      </c>
    </row>
    <row r="204" spans="1:17" s="2" customFormat="1" ht="26">
      <c r="A204" s="27">
        <v>97</v>
      </c>
      <c r="B204" s="29" t="s">
        <v>131</v>
      </c>
      <c r="C204" s="29"/>
      <c r="D204" s="27" t="s">
        <v>368</v>
      </c>
      <c r="E204" s="27"/>
      <c r="F204" s="27">
        <f t="shared" si="5"/>
        <v>750</v>
      </c>
      <c r="G204" s="27">
        <f t="shared" si="6"/>
        <v>350</v>
      </c>
      <c r="H204" s="27">
        <v>650</v>
      </c>
      <c r="I204" s="27">
        <v>250</v>
      </c>
      <c r="J204" s="27"/>
      <c r="K204" s="27">
        <v>1000</v>
      </c>
      <c r="L204" s="27"/>
      <c r="M204" s="27" t="s">
        <v>128</v>
      </c>
      <c r="N204" s="27">
        <v>1</v>
      </c>
      <c r="O204" s="47">
        <v>2591514</v>
      </c>
      <c r="P204" s="47">
        <f t="shared" si="4"/>
        <v>2591514</v>
      </c>
      <c r="Q204" s="27" t="s">
        <v>369</v>
      </c>
    </row>
    <row r="205" spans="1:17" s="2" customFormat="1" ht="26">
      <c r="A205" s="27">
        <v>98</v>
      </c>
      <c r="B205" s="29" t="s">
        <v>132</v>
      </c>
      <c r="C205" s="29"/>
      <c r="D205" s="27" t="s">
        <v>368</v>
      </c>
      <c r="E205" s="27"/>
      <c r="F205" s="27">
        <f t="shared" si="5"/>
        <v>750</v>
      </c>
      <c r="G205" s="27">
        <f t="shared" si="6"/>
        <v>400</v>
      </c>
      <c r="H205" s="27">
        <v>650</v>
      </c>
      <c r="I205" s="27">
        <v>300</v>
      </c>
      <c r="J205" s="27"/>
      <c r="K205" s="27">
        <v>1000</v>
      </c>
      <c r="L205" s="27"/>
      <c r="M205" s="27" t="s">
        <v>128</v>
      </c>
      <c r="N205" s="27">
        <v>1</v>
      </c>
      <c r="O205" s="47">
        <v>2825787.6</v>
      </c>
      <c r="P205" s="47">
        <f t="shared" si="4"/>
        <v>2825787.6</v>
      </c>
      <c r="Q205" s="27" t="s">
        <v>369</v>
      </c>
    </row>
    <row r="206" spans="1:17" s="2" customFormat="1" ht="26">
      <c r="A206" s="27">
        <v>99</v>
      </c>
      <c r="B206" s="29" t="s">
        <v>188</v>
      </c>
      <c r="C206" s="29"/>
      <c r="D206" s="27" t="s">
        <v>368</v>
      </c>
      <c r="E206" s="27"/>
      <c r="F206" s="27">
        <f t="shared" si="5"/>
        <v>800</v>
      </c>
      <c r="G206" s="27">
        <f t="shared" si="6"/>
        <v>450</v>
      </c>
      <c r="H206" s="27">
        <v>700</v>
      </c>
      <c r="I206" s="27">
        <v>350</v>
      </c>
      <c r="J206" s="27"/>
      <c r="K206" s="27">
        <v>1000</v>
      </c>
      <c r="L206" s="27"/>
      <c r="M206" s="27" t="s">
        <v>128</v>
      </c>
      <c r="N206" s="27">
        <v>1</v>
      </c>
      <c r="O206" s="47">
        <v>3135888</v>
      </c>
      <c r="P206" s="47">
        <f t="shared" si="4"/>
        <v>3135888</v>
      </c>
      <c r="Q206" s="27" t="s">
        <v>369</v>
      </c>
    </row>
    <row r="207" spans="1:17" s="2" customFormat="1" ht="26">
      <c r="A207" s="27">
        <v>100</v>
      </c>
      <c r="B207" s="29" t="s">
        <v>189</v>
      </c>
      <c r="C207" s="29"/>
      <c r="D207" s="27" t="s">
        <v>368</v>
      </c>
      <c r="E207" s="27"/>
      <c r="F207" s="27">
        <f t="shared" si="5"/>
        <v>900</v>
      </c>
      <c r="G207" s="27">
        <f t="shared" si="6"/>
        <v>550</v>
      </c>
      <c r="H207" s="27">
        <v>800</v>
      </c>
      <c r="I207" s="27">
        <v>450</v>
      </c>
      <c r="J207" s="27"/>
      <c r="K207" s="27">
        <v>1000</v>
      </c>
      <c r="L207" s="27"/>
      <c r="M207" s="27" t="s">
        <v>128</v>
      </c>
      <c r="N207" s="27">
        <v>2</v>
      </c>
      <c r="O207" s="47">
        <v>3756088.8</v>
      </c>
      <c r="P207" s="47">
        <f t="shared" si="4"/>
        <v>7512177.5999999996</v>
      </c>
      <c r="Q207" s="27" t="s">
        <v>369</v>
      </c>
    </row>
    <row r="208" spans="1:17" s="2" customFormat="1" ht="26">
      <c r="A208" s="27">
        <v>101</v>
      </c>
      <c r="B208" s="29" t="s">
        <v>133</v>
      </c>
      <c r="C208" s="29"/>
      <c r="D208" s="27" t="s">
        <v>368</v>
      </c>
      <c r="E208" s="27"/>
      <c r="F208" s="27">
        <f t="shared" si="5"/>
        <v>900</v>
      </c>
      <c r="G208" s="27">
        <f t="shared" si="6"/>
        <v>700</v>
      </c>
      <c r="H208" s="27">
        <v>800</v>
      </c>
      <c r="I208" s="27">
        <v>600</v>
      </c>
      <c r="J208" s="27"/>
      <c r="K208" s="27">
        <v>1000</v>
      </c>
      <c r="L208" s="27"/>
      <c r="M208" s="27" t="s">
        <v>128</v>
      </c>
      <c r="N208" s="27">
        <v>1</v>
      </c>
      <c r="O208" s="47">
        <v>4459001.4000000004</v>
      </c>
      <c r="P208" s="47">
        <f t="shared" si="4"/>
        <v>4459001.4000000004</v>
      </c>
      <c r="Q208" s="27" t="s">
        <v>369</v>
      </c>
    </row>
    <row r="209" spans="1:17" s="2" customFormat="1" ht="26">
      <c r="A209" s="27">
        <v>102</v>
      </c>
      <c r="B209" s="29" t="s">
        <v>134</v>
      </c>
      <c r="C209" s="29"/>
      <c r="D209" s="27" t="s">
        <v>368</v>
      </c>
      <c r="E209" s="27"/>
      <c r="F209" s="27">
        <f t="shared" si="5"/>
        <v>1000</v>
      </c>
      <c r="G209" s="27">
        <f t="shared" si="6"/>
        <v>400</v>
      </c>
      <c r="H209" s="27">
        <v>900</v>
      </c>
      <c r="I209" s="27">
        <v>300</v>
      </c>
      <c r="J209" s="27"/>
      <c r="K209" s="27">
        <v>1000</v>
      </c>
      <c r="L209" s="27"/>
      <c r="M209" s="27" t="s">
        <v>128</v>
      </c>
      <c r="N209" s="27">
        <v>2</v>
      </c>
      <c r="O209" s="47">
        <v>3741217.2</v>
      </c>
      <c r="P209" s="47">
        <f t="shared" ref="P209:P272" si="7">O209*N209</f>
        <v>7482434.4000000004</v>
      </c>
      <c r="Q209" s="27" t="s">
        <v>369</v>
      </c>
    </row>
    <row r="210" spans="1:17" s="2" customFormat="1" ht="26">
      <c r="A210" s="27">
        <v>103</v>
      </c>
      <c r="B210" s="29" t="s">
        <v>135</v>
      </c>
      <c r="C210" s="29"/>
      <c r="D210" s="27" t="s">
        <v>368</v>
      </c>
      <c r="E210" s="27"/>
      <c r="F210" s="27">
        <f t="shared" si="5"/>
        <v>1000</v>
      </c>
      <c r="G210" s="27">
        <f t="shared" si="6"/>
        <v>600</v>
      </c>
      <c r="H210" s="27">
        <v>900</v>
      </c>
      <c r="I210" s="27">
        <v>500</v>
      </c>
      <c r="J210" s="27"/>
      <c r="K210" s="27">
        <v>1000</v>
      </c>
      <c r="L210" s="27"/>
      <c r="M210" s="27" t="s">
        <v>128</v>
      </c>
      <c r="N210" s="27">
        <v>3</v>
      </c>
      <c r="O210" s="47">
        <v>4959586.8</v>
      </c>
      <c r="P210" s="47">
        <f t="shared" si="7"/>
        <v>14878760.4</v>
      </c>
      <c r="Q210" s="27" t="s">
        <v>369</v>
      </c>
    </row>
    <row r="211" spans="1:17" s="2" customFormat="1" ht="26">
      <c r="A211" s="27">
        <v>104</v>
      </c>
      <c r="B211" s="29" t="s">
        <v>137</v>
      </c>
      <c r="C211" s="29"/>
      <c r="D211" s="27" t="s">
        <v>368</v>
      </c>
      <c r="E211" s="27"/>
      <c r="F211" s="27">
        <f t="shared" si="5"/>
        <v>1050</v>
      </c>
      <c r="G211" s="27">
        <f t="shared" si="6"/>
        <v>600</v>
      </c>
      <c r="H211" s="27">
        <v>950</v>
      </c>
      <c r="I211" s="27">
        <v>500</v>
      </c>
      <c r="J211" s="27"/>
      <c r="K211" s="27">
        <v>1000</v>
      </c>
      <c r="L211" s="27"/>
      <c r="M211" s="27" t="s">
        <v>128</v>
      </c>
      <c r="N211" s="27">
        <v>1</v>
      </c>
      <c r="O211" s="47">
        <v>5035321.8</v>
      </c>
      <c r="P211" s="47">
        <f t="shared" si="7"/>
        <v>5035321.8</v>
      </c>
      <c r="Q211" s="27" t="s">
        <v>369</v>
      </c>
    </row>
    <row r="212" spans="1:17" s="2" customFormat="1" ht="26">
      <c r="A212" s="27">
        <v>105</v>
      </c>
      <c r="B212" s="29" t="s">
        <v>138</v>
      </c>
      <c r="C212" s="29"/>
      <c r="D212" s="27" t="s">
        <v>368</v>
      </c>
      <c r="E212" s="27"/>
      <c r="F212" s="27">
        <f t="shared" si="5"/>
        <v>1100</v>
      </c>
      <c r="G212" s="27">
        <f t="shared" si="6"/>
        <v>1100</v>
      </c>
      <c r="H212" s="27">
        <v>1000</v>
      </c>
      <c r="I212" s="27">
        <v>1000</v>
      </c>
      <c r="J212" s="27"/>
      <c r="K212" s="27">
        <v>1000</v>
      </c>
      <c r="L212" s="27"/>
      <c r="M212" s="27" t="s">
        <v>128</v>
      </c>
      <c r="N212" s="27">
        <v>4</v>
      </c>
      <c r="O212" s="47">
        <v>8156889</v>
      </c>
      <c r="P212" s="47">
        <f t="shared" si="7"/>
        <v>32627556</v>
      </c>
      <c r="Q212" s="27" t="s">
        <v>369</v>
      </c>
    </row>
    <row r="213" spans="1:17" s="2" customFormat="1" ht="26">
      <c r="A213" s="27">
        <v>106</v>
      </c>
      <c r="B213" s="29" t="s">
        <v>190</v>
      </c>
      <c r="C213" s="29"/>
      <c r="D213" s="27" t="s">
        <v>368</v>
      </c>
      <c r="E213" s="27"/>
      <c r="F213" s="27">
        <f t="shared" si="5"/>
        <v>1300</v>
      </c>
      <c r="G213" s="27">
        <f t="shared" si="6"/>
        <v>750</v>
      </c>
      <c r="H213" s="27">
        <v>1200</v>
      </c>
      <c r="I213" s="27">
        <v>650</v>
      </c>
      <c r="J213" s="27"/>
      <c r="K213" s="27">
        <v>1000</v>
      </c>
      <c r="L213" s="27"/>
      <c r="M213" s="27" t="s">
        <v>128</v>
      </c>
      <c r="N213" s="27">
        <v>2</v>
      </c>
      <c r="O213" s="47">
        <v>6932736</v>
      </c>
      <c r="P213" s="47">
        <f t="shared" si="7"/>
        <v>13865472</v>
      </c>
      <c r="Q213" s="27" t="s">
        <v>369</v>
      </c>
    </row>
    <row r="214" spans="1:17" s="2" customFormat="1" ht="26">
      <c r="A214" s="27">
        <v>107</v>
      </c>
      <c r="B214" s="29" t="s">
        <v>191</v>
      </c>
      <c r="C214" s="29"/>
      <c r="D214" s="27" t="s">
        <v>368</v>
      </c>
      <c r="E214" s="27"/>
      <c r="F214" s="27">
        <f t="shared" si="5"/>
        <v>2000</v>
      </c>
      <c r="G214" s="27">
        <f t="shared" si="6"/>
        <v>700</v>
      </c>
      <c r="H214" s="27">
        <v>1900</v>
      </c>
      <c r="I214" s="27">
        <v>600</v>
      </c>
      <c r="J214" s="27"/>
      <c r="K214" s="27">
        <v>1000</v>
      </c>
      <c r="L214" s="27"/>
      <c r="M214" s="27" t="s">
        <v>128</v>
      </c>
      <c r="N214" s="27">
        <v>1</v>
      </c>
      <c r="O214" s="47">
        <v>10862510.4</v>
      </c>
      <c r="P214" s="47">
        <f t="shared" si="7"/>
        <v>10862510.4</v>
      </c>
      <c r="Q214" s="27" t="s">
        <v>369</v>
      </c>
    </row>
    <row r="215" spans="1:17" s="2" customFormat="1" ht="21" customHeight="1">
      <c r="A215" s="25" t="s">
        <v>192</v>
      </c>
      <c r="B215" s="26" t="s">
        <v>58</v>
      </c>
      <c r="C215" s="26"/>
      <c r="D215" s="25"/>
      <c r="E215" s="25"/>
      <c r="F215" s="25"/>
      <c r="G215" s="25"/>
      <c r="H215" s="25"/>
      <c r="I215" s="25"/>
      <c r="J215" s="25"/>
      <c r="K215" s="25"/>
      <c r="L215" s="25"/>
      <c r="M215" s="25"/>
      <c r="N215" s="25"/>
      <c r="O215" s="45">
        <v>0</v>
      </c>
      <c r="P215" s="45">
        <f t="shared" si="7"/>
        <v>0</v>
      </c>
      <c r="Q215" s="25"/>
    </row>
    <row r="216" spans="1:17" s="3" customFormat="1" ht="13">
      <c r="A216" s="54">
        <v>1</v>
      </c>
      <c r="B216" s="28" t="s">
        <v>193</v>
      </c>
      <c r="C216" s="28"/>
      <c r="D216" s="54"/>
      <c r="E216" s="54"/>
      <c r="F216" s="54"/>
      <c r="G216" s="54"/>
      <c r="H216" s="54"/>
      <c r="I216" s="54"/>
      <c r="J216" s="54"/>
      <c r="K216" s="54"/>
      <c r="L216" s="54"/>
      <c r="M216" s="54"/>
      <c r="N216" s="54"/>
      <c r="O216" s="56">
        <v>0</v>
      </c>
      <c r="P216" s="56">
        <f t="shared" si="7"/>
        <v>0</v>
      </c>
      <c r="Q216" s="54"/>
    </row>
    <row r="217" spans="1:17" s="3" customFormat="1" ht="13">
      <c r="A217" s="54">
        <v>1.1000000000000001</v>
      </c>
      <c r="B217" s="28" t="s">
        <v>194</v>
      </c>
      <c r="C217" s="28"/>
      <c r="D217" s="54"/>
      <c r="E217" s="54"/>
      <c r="F217" s="54"/>
      <c r="G217" s="54"/>
      <c r="H217" s="54"/>
      <c r="I217" s="54"/>
      <c r="J217" s="54"/>
      <c r="K217" s="54"/>
      <c r="L217" s="54"/>
      <c r="M217" s="54"/>
      <c r="N217" s="54"/>
      <c r="O217" s="56">
        <v>0</v>
      </c>
      <c r="P217" s="56">
        <f t="shared" si="7"/>
        <v>0</v>
      </c>
      <c r="Q217" s="54"/>
    </row>
    <row r="218" spans="1:17" s="2" customFormat="1" ht="13">
      <c r="A218" s="27">
        <v>1</v>
      </c>
      <c r="B218" s="29" t="s">
        <v>195</v>
      </c>
      <c r="C218" s="29"/>
      <c r="D218" s="27" t="s">
        <v>375</v>
      </c>
      <c r="E218" s="27" t="s">
        <v>355</v>
      </c>
      <c r="F218" s="27">
        <v>1500</v>
      </c>
      <c r="G218" s="27">
        <v>200</v>
      </c>
      <c r="H218" s="27">
        <v>1450</v>
      </c>
      <c r="I218" s="27">
        <v>150</v>
      </c>
      <c r="J218" s="27"/>
      <c r="K218" s="27"/>
      <c r="L218" s="27"/>
      <c r="M218" s="27" t="s">
        <v>66</v>
      </c>
      <c r="N218" s="27">
        <v>1</v>
      </c>
      <c r="O218" s="47">
        <v>563850</v>
      </c>
      <c r="P218" s="47">
        <f t="shared" si="7"/>
        <v>563850</v>
      </c>
      <c r="Q218" s="27" t="s">
        <v>376</v>
      </c>
    </row>
    <row r="219" spans="1:17" s="2" customFormat="1" ht="13">
      <c r="A219" s="27">
        <v>2</v>
      </c>
      <c r="B219" s="29" t="s">
        <v>196</v>
      </c>
      <c r="C219" s="29"/>
      <c r="D219" s="27" t="s">
        <v>375</v>
      </c>
      <c r="E219" s="27" t="s">
        <v>355</v>
      </c>
      <c r="F219" s="27">
        <v>1200</v>
      </c>
      <c r="G219" s="27">
        <v>1000</v>
      </c>
      <c r="H219" s="27">
        <v>1150</v>
      </c>
      <c r="I219" s="27">
        <v>950</v>
      </c>
      <c r="J219" s="27"/>
      <c r="K219" s="27"/>
      <c r="L219" s="27"/>
      <c r="M219" s="27" t="s">
        <v>66</v>
      </c>
      <c r="N219" s="27">
        <v>1</v>
      </c>
      <c r="O219" s="47">
        <v>1647450</v>
      </c>
      <c r="P219" s="47">
        <f t="shared" si="7"/>
        <v>1647450</v>
      </c>
      <c r="Q219" s="27" t="s">
        <v>376</v>
      </c>
    </row>
    <row r="220" spans="1:17" s="2" customFormat="1" ht="13">
      <c r="A220" s="27">
        <v>3</v>
      </c>
      <c r="B220" s="29" t="s">
        <v>197</v>
      </c>
      <c r="C220" s="29"/>
      <c r="D220" s="27" t="s">
        <v>375</v>
      </c>
      <c r="E220" s="27" t="s">
        <v>355</v>
      </c>
      <c r="F220" s="27">
        <v>1200</v>
      </c>
      <c r="G220" s="27">
        <v>600</v>
      </c>
      <c r="H220" s="27">
        <v>1150</v>
      </c>
      <c r="I220" s="27">
        <v>550</v>
      </c>
      <c r="J220" s="27"/>
      <c r="K220" s="27"/>
      <c r="L220" s="27"/>
      <c r="M220" s="27" t="s">
        <v>66</v>
      </c>
      <c r="N220" s="27">
        <v>14</v>
      </c>
      <c r="O220" s="47">
        <v>1052100</v>
      </c>
      <c r="P220" s="47">
        <f t="shared" si="7"/>
        <v>14729400</v>
      </c>
      <c r="Q220" s="27" t="s">
        <v>376</v>
      </c>
    </row>
    <row r="221" spans="1:17" s="2" customFormat="1" ht="13">
      <c r="A221" s="27">
        <v>4</v>
      </c>
      <c r="B221" s="29" t="s">
        <v>198</v>
      </c>
      <c r="C221" s="29"/>
      <c r="D221" s="27" t="s">
        <v>375</v>
      </c>
      <c r="E221" s="27" t="s">
        <v>355</v>
      </c>
      <c r="F221" s="27">
        <v>1200</v>
      </c>
      <c r="G221" s="27">
        <v>300</v>
      </c>
      <c r="H221" s="27">
        <v>1150</v>
      </c>
      <c r="I221" s="27">
        <v>250</v>
      </c>
      <c r="J221" s="27"/>
      <c r="K221" s="27"/>
      <c r="L221" s="27"/>
      <c r="M221" s="27" t="s">
        <v>66</v>
      </c>
      <c r="N221" s="27">
        <v>10</v>
      </c>
      <c r="O221" s="47">
        <v>605850</v>
      </c>
      <c r="P221" s="47">
        <f t="shared" si="7"/>
        <v>6058500</v>
      </c>
      <c r="Q221" s="27" t="s">
        <v>376</v>
      </c>
    </row>
    <row r="222" spans="1:17" s="2" customFormat="1" ht="13">
      <c r="A222" s="27">
        <v>5</v>
      </c>
      <c r="B222" s="29" t="s">
        <v>199</v>
      </c>
      <c r="C222" s="29"/>
      <c r="D222" s="27" t="s">
        <v>375</v>
      </c>
      <c r="E222" s="27" t="s">
        <v>355</v>
      </c>
      <c r="F222" s="27">
        <v>1200</v>
      </c>
      <c r="G222" s="27">
        <v>200</v>
      </c>
      <c r="H222" s="27">
        <v>1150</v>
      </c>
      <c r="I222" s="27">
        <v>150</v>
      </c>
      <c r="J222" s="27"/>
      <c r="K222" s="27"/>
      <c r="L222" s="27"/>
      <c r="M222" s="27" t="s">
        <v>66</v>
      </c>
      <c r="N222" s="27">
        <v>283</v>
      </c>
      <c r="O222" s="47">
        <v>456750</v>
      </c>
      <c r="P222" s="47">
        <f t="shared" si="7"/>
        <v>129260250</v>
      </c>
      <c r="Q222" s="27" t="s">
        <v>376</v>
      </c>
    </row>
    <row r="223" spans="1:17" s="2" customFormat="1" ht="13">
      <c r="A223" s="27">
        <v>6</v>
      </c>
      <c r="B223" s="29" t="s">
        <v>200</v>
      </c>
      <c r="C223" s="29"/>
      <c r="D223" s="27" t="s">
        <v>375</v>
      </c>
      <c r="E223" s="27" t="s">
        <v>355</v>
      </c>
      <c r="F223" s="27">
        <v>1200</v>
      </c>
      <c r="G223" s="27">
        <v>150</v>
      </c>
      <c r="H223" s="27">
        <v>1150</v>
      </c>
      <c r="I223" s="27">
        <v>100</v>
      </c>
      <c r="J223" s="27"/>
      <c r="K223" s="27"/>
      <c r="L223" s="27"/>
      <c r="M223" s="27" t="s">
        <v>66</v>
      </c>
      <c r="N223" s="27">
        <v>14</v>
      </c>
      <c r="O223" s="47">
        <v>375900</v>
      </c>
      <c r="P223" s="47">
        <f t="shared" si="7"/>
        <v>5262600</v>
      </c>
      <c r="Q223" s="27" t="s">
        <v>376</v>
      </c>
    </row>
    <row r="224" spans="1:17" s="2" customFormat="1" ht="13">
      <c r="A224" s="27">
        <v>7</v>
      </c>
      <c r="B224" s="29" t="s">
        <v>201</v>
      </c>
      <c r="C224" s="29"/>
      <c r="D224" s="27" t="s">
        <v>375</v>
      </c>
      <c r="E224" s="27" t="s">
        <v>355</v>
      </c>
      <c r="F224" s="27">
        <v>1200</v>
      </c>
      <c r="G224" s="27">
        <v>100</v>
      </c>
      <c r="H224" s="27">
        <v>1150</v>
      </c>
      <c r="I224" s="27">
        <v>50</v>
      </c>
      <c r="J224" s="27"/>
      <c r="K224" s="27"/>
      <c r="L224" s="27"/>
      <c r="M224" s="27" t="s">
        <v>66</v>
      </c>
      <c r="N224" s="27">
        <v>228</v>
      </c>
      <c r="O224" s="47">
        <v>308700</v>
      </c>
      <c r="P224" s="47">
        <f t="shared" si="7"/>
        <v>70383600</v>
      </c>
      <c r="Q224" s="27" t="s">
        <v>376</v>
      </c>
    </row>
    <row r="225" spans="1:17" s="2" customFormat="1" ht="13">
      <c r="A225" s="27">
        <v>8</v>
      </c>
      <c r="B225" s="29" t="s">
        <v>202</v>
      </c>
      <c r="C225" s="29"/>
      <c r="D225" s="27" t="s">
        <v>375</v>
      </c>
      <c r="E225" s="27" t="s">
        <v>355</v>
      </c>
      <c r="F225" s="27">
        <v>1100</v>
      </c>
      <c r="G225" s="27">
        <v>300</v>
      </c>
      <c r="H225" s="27">
        <v>1050</v>
      </c>
      <c r="I225" s="27">
        <v>250</v>
      </c>
      <c r="J225" s="27"/>
      <c r="K225" s="27"/>
      <c r="L225" s="27"/>
      <c r="M225" s="27" t="s">
        <v>66</v>
      </c>
      <c r="N225" s="27">
        <v>110</v>
      </c>
      <c r="O225" s="47">
        <v>558600</v>
      </c>
      <c r="P225" s="47">
        <f t="shared" si="7"/>
        <v>61446000</v>
      </c>
      <c r="Q225" s="27" t="s">
        <v>376</v>
      </c>
    </row>
    <row r="226" spans="1:17" s="2" customFormat="1" ht="13">
      <c r="A226" s="27">
        <v>9</v>
      </c>
      <c r="B226" s="29" t="s">
        <v>203</v>
      </c>
      <c r="C226" s="29"/>
      <c r="D226" s="27" t="s">
        <v>375</v>
      </c>
      <c r="E226" s="27" t="s">
        <v>355</v>
      </c>
      <c r="F226" s="27">
        <v>1000</v>
      </c>
      <c r="G226" s="27">
        <v>500</v>
      </c>
      <c r="H226" s="27">
        <v>950</v>
      </c>
      <c r="I226" s="27">
        <v>450</v>
      </c>
      <c r="J226" s="27"/>
      <c r="K226" s="27"/>
      <c r="L226" s="27"/>
      <c r="M226" s="27" t="s">
        <v>66</v>
      </c>
      <c r="N226" s="27">
        <v>22</v>
      </c>
      <c r="O226" s="47">
        <v>762300</v>
      </c>
      <c r="P226" s="47">
        <f t="shared" si="7"/>
        <v>16770600</v>
      </c>
      <c r="Q226" s="27" t="s">
        <v>376</v>
      </c>
    </row>
    <row r="227" spans="1:17" s="2" customFormat="1" ht="13">
      <c r="A227" s="27">
        <v>10</v>
      </c>
      <c r="B227" s="29" t="s">
        <v>204</v>
      </c>
      <c r="C227" s="29"/>
      <c r="D227" s="27" t="s">
        <v>375</v>
      </c>
      <c r="E227" s="27" t="s">
        <v>355</v>
      </c>
      <c r="F227" s="27">
        <v>900</v>
      </c>
      <c r="G227" s="27">
        <v>600</v>
      </c>
      <c r="H227" s="27">
        <v>850</v>
      </c>
      <c r="I227" s="27">
        <v>550</v>
      </c>
      <c r="J227" s="27"/>
      <c r="K227" s="27"/>
      <c r="L227" s="27"/>
      <c r="M227" s="27" t="s">
        <v>66</v>
      </c>
      <c r="N227" s="27">
        <v>16</v>
      </c>
      <c r="O227" s="47">
        <v>804300</v>
      </c>
      <c r="P227" s="47">
        <f t="shared" si="7"/>
        <v>12868800</v>
      </c>
      <c r="Q227" s="27" t="s">
        <v>376</v>
      </c>
    </row>
    <row r="228" spans="1:17" s="2" customFormat="1" ht="13">
      <c r="A228" s="27">
        <v>11</v>
      </c>
      <c r="B228" s="29" t="s">
        <v>205</v>
      </c>
      <c r="C228" s="29"/>
      <c r="D228" s="27" t="s">
        <v>375</v>
      </c>
      <c r="E228" s="27" t="s">
        <v>355</v>
      </c>
      <c r="F228" s="27">
        <v>900</v>
      </c>
      <c r="G228" s="27">
        <v>400</v>
      </c>
      <c r="H228" s="27">
        <v>850</v>
      </c>
      <c r="I228" s="27">
        <v>350</v>
      </c>
      <c r="J228" s="27"/>
      <c r="K228" s="27"/>
      <c r="L228" s="27"/>
      <c r="M228" s="27" t="s">
        <v>66</v>
      </c>
      <c r="N228" s="27">
        <v>2</v>
      </c>
      <c r="O228" s="47">
        <v>577500</v>
      </c>
      <c r="P228" s="47">
        <f t="shared" si="7"/>
        <v>1155000</v>
      </c>
      <c r="Q228" s="27" t="s">
        <v>376</v>
      </c>
    </row>
    <row r="229" spans="1:17" s="2" customFormat="1" ht="13">
      <c r="A229" s="27">
        <v>12</v>
      </c>
      <c r="B229" s="29" t="s">
        <v>206</v>
      </c>
      <c r="C229" s="29"/>
      <c r="D229" s="27" t="s">
        <v>375</v>
      </c>
      <c r="E229" s="27" t="s">
        <v>355</v>
      </c>
      <c r="F229" s="27">
        <v>900</v>
      </c>
      <c r="G229" s="27">
        <v>300</v>
      </c>
      <c r="H229" s="27">
        <v>850</v>
      </c>
      <c r="I229" s="27">
        <v>250</v>
      </c>
      <c r="J229" s="27"/>
      <c r="K229" s="27"/>
      <c r="L229" s="27"/>
      <c r="M229" s="27" t="s">
        <v>66</v>
      </c>
      <c r="N229" s="27">
        <v>4</v>
      </c>
      <c r="O229" s="47">
        <v>465150</v>
      </c>
      <c r="P229" s="47">
        <f t="shared" si="7"/>
        <v>1860600</v>
      </c>
      <c r="Q229" s="27" t="s">
        <v>376</v>
      </c>
    </row>
    <row r="230" spans="1:17" s="2" customFormat="1" ht="13">
      <c r="A230" s="27">
        <v>13</v>
      </c>
      <c r="B230" s="29" t="s">
        <v>207</v>
      </c>
      <c r="C230" s="29"/>
      <c r="D230" s="27" t="s">
        <v>375</v>
      </c>
      <c r="E230" s="27" t="s">
        <v>355</v>
      </c>
      <c r="F230" s="27">
        <v>800</v>
      </c>
      <c r="G230" s="27">
        <v>400</v>
      </c>
      <c r="H230" s="27">
        <v>750</v>
      </c>
      <c r="I230" s="27">
        <v>350</v>
      </c>
      <c r="J230" s="27"/>
      <c r="K230" s="27"/>
      <c r="L230" s="27"/>
      <c r="M230" s="27" t="s">
        <v>66</v>
      </c>
      <c r="N230" s="27">
        <v>2</v>
      </c>
      <c r="O230" s="47">
        <v>519750</v>
      </c>
      <c r="P230" s="47">
        <f t="shared" si="7"/>
        <v>1039500</v>
      </c>
      <c r="Q230" s="27" t="s">
        <v>376</v>
      </c>
    </row>
    <row r="231" spans="1:17" s="2" customFormat="1" ht="13">
      <c r="A231" s="27">
        <v>14</v>
      </c>
      <c r="B231" s="29" t="s">
        <v>208</v>
      </c>
      <c r="C231" s="29"/>
      <c r="D231" s="27" t="s">
        <v>375</v>
      </c>
      <c r="E231" s="27" t="s">
        <v>355</v>
      </c>
      <c r="F231" s="27">
        <v>700</v>
      </c>
      <c r="G231" s="27">
        <v>700</v>
      </c>
      <c r="H231" s="27">
        <v>650</v>
      </c>
      <c r="I231" s="27">
        <v>650</v>
      </c>
      <c r="J231" s="27"/>
      <c r="K231" s="27"/>
      <c r="L231" s="27"/>
      <c r="M231" s="27" t="s">
        <v>66</v>
      </c>
      <c r="N231" s="27">
        <v>3</v>
      </c>
      <c r="O231" s="47">
        <v>729750</v>
      </c>
      <c r="P231" s="47">
        <f t="shared" si="7"/>
        <v>2189250</v>
      </c>
      <c r="Q231" s="27" t="s">
        <v>376</v>
      </c>
    </row>
    <row r="232" spans="1:17" s="3" customFormat="1" ht="13">
      <c r="A232" s="54">
        <v>1.2</v>
      </c>
      <c r="B232" s="28" t="s">
        <v>209</v>
      </c>
      <c r="C232" s="28"/>
      <c r="D232" s="54"/>
      <c r="E232" s="54"/>
      <c r="F232" s="54"/>
      <c r="G232" s="54"/>
      <c r="H232" s="54"/>
      <c r="I232" s="54"/>
      <c r="J232" s="54"/>
      <c r="K232" s="54"/>
      <c r="L232" s="54"/>
      <c r="M232" s="54"/>
      <c r="N232" s="54"/>
      <c r="O232" s="56">
        <v>0</v>
      </c>
      <c r="P232" s="56">
        <f t="shared" si="7"/>
        <v>0</v>
      </c>
      <c r="Q232" s="54"/>
    </row>
    <row r="233" spans="1:17" s="2" customFormat="1" ht="13">
      <c r="A233" s="27">
        <v>1</v>
      </c>
      <c r="B233" s="29" t="s">
        <v>210</v>
      </c>
      <c r="C233" s="29"/>
      <c r="D233" s="27" t="s">
        <v>377</v>
      </c>
      <c r="E233" s="27" t="s">
        <v>355</v>
      </c>
      <c r="F233" s="27">
        <v>1200</v>
      </c>
      <c r="G233" s="27">
        <v>300</v>
      </c>
      <c r="H233" s="27">
        <v>1150</v>
      </c>
      <c r="I233" s="27">
        <v>250</v>
      </c>
      <c r="J233" s="27"/>
      <c r="K233" s="27"/>
      <c r="L233" s="27"/>
      <c r="M233" s="27" t="s">
        <v>66</v>
      </c>
      <c r="N233" s="27">
        <v>4</v>
      </c>
      <c r="O233" s="47">
        <v>382725</v>
      </c>
      <c r="P233" s="47">
        <f t="shared" si="7"/>
        <v>1530900</v>
      </c>
      <c r="Q233" s="27" t="s">
        <v>378</v>
      </c>
    </row>
    <row r="234" spans="1:17" s="2" customFormat="1" ht="13">
      <c r="A234" s="27">
        <v>2</v>
      </c>
      <c r="B234" s="29" t="s">
        <v>212</v>
      </c>
      <c r="C234" s="29"/>
      <c r="D234" s="27" t="s">
        <v>377</v>
      </c>
      <c r="E234" s="27" t="s">
        <v>355</v>
      </c>
      <c r="F234" s="27">
        <v>1200</v>
      </c>
      <c r="G234" s="27">
        <v>200</v>
      </c>
      <c r="H234" s="27">
        <v>1150</v>
      </c>
      <c r="I234" s="27">
        <v>150</v>
      </c>
      <c r="J234" s="27"/>
      <c r="K234" s="27"/>
      <c r="L234" s="27"/>
      <c r="M234" s="27" t="s">
        <v>66</v>
      </c>
      <c r="N234" s="27">
        <v>283</v>
      </c>
      <c r="O234" s="47">
        <v>262500</v>
      </c>
      <c r="P234" s="47">
        <f t="shared" si="7"/>
        <v>74287500</v>
      </c>
      <c r="Q234" s="27" t="s">
        <v>378</v>
      </c>
    </row>
    <row r="235" spans="1:17" s="2" customFormat="1" ht="13">
      <c r="A235" s="27">
        <v>3</v>
      </c>
      <c r="B235" s="29" t="s">
        <v>213</v>
      </c>
      <c r="C235" s="29"/>
      <c r="D235" s="27" t="s">
        <v>377</v>
      </c>
      <c r="E235" s="27" t="s">
        <v>355</v>
      </c>
      <c r="F235" s="27">
        <v>1200</v>
      </c>
      <c r="G235" s="27">
        <v>150</v>
      </c>
      <c r="H235" s="27">
        <v>1150</v>
      </c>
      <c r="I235" s="27">
        <v>100</v>
      </c>
      <c r="J235" s="27"/>
      <c r="K235" s="27"/>
      <c r="L235" s="27"/>
      <c r="M235" s="27" t="s">
        <v>66</v>
      </c>
      <c r="N235" s="27">
        <v>236</v>
      </c>
      <c r="O235" s="47">
        <v>199500</v>
      </c>
      <c r="P235" s="47">
        <f t="shared" si="7"/>
        <v>47082000</v>
      </c>
      <c r="Q235" s="27" t="s">
        <v>378</v>
      </c>
    </row>
    <row r="236" spans="1:17" s="2" customFormat="1" ht="13">
      <c r="A236" s="27">
        <v>4</v>
      </c>
      <c r="B236" s="29" t="s">
        <v>214</v>
      </c>
      <c r="C236" s="29"/>
      <c r="D236" s="27" t="s">
        <v>377</v>
      </c>
      <c r="E236" s="27" t="s">
        <v>355</v>
      </c>
      <c r="F236" s="27">
        <v>1200</v>
      </c>
      <c r="G236" s="27">
        <v>100</v>
      </c>
      <c r="H236" s="27">
        <v>1150</v>
      </c>
      <c r="I236" s="27">
        <v>50</v>
      </c>
      <c r="J236" s="27"/>
      <c r="K236" s="27"/>
      <c r="L236" s="27"/>
      <c r="M236" s="27" t="s">
        <v>66</v>
      </c>
      <c r="N236" s="27">
        <v>107</v>
      </c>
      <c r="O236" s="47">
        <v>166425</v>
      </c>
      <c r="P236" s="47">
        <f t="shared" si="7"/>
        <v>17807475</v>
      </c>
      <c r="Q236" s="27" t="s">
        <v>378</v>
      </c>
    </row>
    <row r="237" spans="1:17" s="2" customFormat="1" ht="13">
      <c r="A237" s="27">
        <v>5</v>
      </c>
      <c r="B237" s="29" t="s">
        <v>215</v>
      </c>
      <c r="C237" s="29"/>
      <c r="D237" s="27" t="s">
        <v>377</v>
      </c>
      <c r="E237" s="27" t="s">
        <v>355</v>
      </c>
      <c r="F237" s="27">
        <v>1100</v>
      </c>
      <c r="G237" s="27">
        <v>300</v>
      </c>
      <c r="H237" s="27">
        <v>1050</v>
      </c>
      <c r="I237" s="27">
        <v>250</v>
      </c>
      <c r="J237" s="27"/>
      <c r="K237" s="27"/>
      <c r="L237" s="27"/>
      <c r="M237" s="27" t="s">
        <v>66</v>
      </c>
      <c r="N237" s="27">
        <v>21</v>
      </c>
      <c r="O237" s="47">
        <v>353325</v>
      </c>
      <c r="P237" s="47">
        <f t="shared" si="7"/>
        <v>7419825</v>
      </c>
      <c r="Q237" s="27" t="s">
        <v>378</v>
      </c>
    </row>
    <row r="238" spans="1:17" s="2" customFormat="1" ht="13">
      <c r="A238" s="27">
        <v>6</v>
      </c>
      <c r="B238" s="29" t="s">
        <v>216</v>
      </c>
      <c r="C238" s="29"/>
      <c r="D238" s="27" t="s">
        <v>377</v>
      </c>
      <c r="E238" s="27" t="s">
        <v>355</v>
      </c>
      <c r="F238" s="27">
        <v>1000</v>
      </c>
      <c r="G238" s="27">
        <v>500</v>
      </c>
      <c r="H238" s="27">
        <v>950</v>
      </c>
      <c r="I238" s="27">
        <v>450</v>
      </c>
      <c r="J238" s="27"/>
      <c r="K238" s="27"/>
      <c r="L238" s="27"/>
      <c r="M238" s="27" t="s">
        <v>66</v>
      </c>
      <c r="N238" s="27">
        <v>13</v>
      </c>
      <c r="O238" s="47">
        <v>505575</v>
      </c>
      <c r="P238" s="47">
        <f t="shared" si="7"/>
        <v>6572475</v>
      </c>
      <c r="Q238" s="27" t="s">
        <v>378</v>
      </c>
    </row>
    <row r="239" spans="1:17" s="2" customFormat="1" ht="13">
      <c r="A239" s="27">
        <v>7</v>
      </c>
      <c r="B239" s="29" t="s">
        <v>217</v>
      </c>
      <c r="C239" s="29"/>
      <c r="D239" s="27" t="s">
        <v>377</v>
      </c>
      <c r="E239" s="27" t="s">
        <v>355</v>
      </c>
      <c r="F239" s="27">
        <v>450</v>
      </c>
      <c r="G239" s="27">
        <v>300</v>
      </c>
      <c r="H239" s="27">
        <v>400</v>
      </c>
      <c r="I239" s="27">
        <v>250</v>
      </c>
      <c r="J239" s="27"/>
      <c r="K239" s="27"/>
      <c r="L239" s="27"/>
      <c r="M239" s="27" t="s">
        <v>66</v>
      </c>
      <c r="N239" s="27">
        <v>1</v>
      </c>
      <c r="O239" s="47">
        <v>161700</v>
      </c>
      <c r="P239" s="47">
        <f t="shared" si="7"/>
        <v>161700</v>
      </c>
      <c r="Q239" s="27" t="s">
        <v>378</v>
      </c>
    </row>
    <row r="240" spans="1:17" s="2" customFormat="1" ht="13">
      <c r="A240" s="27">
        <v>8</v>
      </c>
      <c r="B240" s="29" t="s">
        <v>218</v>
      </c>
      <c r="C240" s="29"/>
      <c r="D240" s="27" t="s">
        <v>377</v>
      </c>
      <c r="E240" s="27" t="s">
        <v>355</v>
      </c>
      <c r="F240" s="27">
        <v>400</v>
      </c>
      <c r="G240" s="27">
        <v>300</v>
      </c>
      <c r="H240" s="27">
        <v>350</v>
      </c>
      <c r="I240" s="27">
        <v>250</v>
      </c>
      <c r="J240" s="27"/>
      <c r="K240" s="27"/>
      <c r="L240" s="27"/>
      <c r="M240" s="27" t="s">
        <v>66</v>
      </c>
      <c r="N240" s="27">
        <v>1</v>
      </c>
      <c r="O240" s="47">
        <v>146475</v>
      </c>
      <c r="P240" s="47">
        <f t="shared" si="7"/>
        <v>146475</v>
      </c>
      <c r="Q240" s="27" t="s">
        <v>378</v>
      </c>
    </row>
    <row r="241" spans="1:17" s="2" customFormat="1" ht="13">
      <c r="A241" s="27">
        <v>9</v>
      </c>
      <c r="B241" s="29" t="s">
        <v>219</v>
      </c>
      <c r="C241" s="29"/>
      <c r="D241" s="27" t="s">
        <v>377</v>
      </c>
      <c r="E241" s="27" t="s">
        <v>355</v>
      </c>
      <c r="F241" s="27">
        <v>500</v>
      </c>
      <c r="G241" s="27">
        <v>300</v>
      </c>
      <c r="H241" s="27">
        <v>450</v>
      </c>
      <c r="I241" s="27">
        <v>250</v>
      </c>
      <c r="J241" s="27"/>
      <c r="K241" s="27"/>
      <c r="L241" s="27"/>
      <c r="M241" s="27" t="s">
        <v>66</v>
      </c>
      <c r="N241" s="27">
        <v>1</v>
      </c>
      <c r="O241" s="47">
        <v>175875</v>
      </c>
      <c r="P241" s="47">
        <f t="shared" si="7"/>
        <v>175875</v>
      </c>
      <c r="Q241" s="27" t="s">
        <v>378</v>
      </c>
    </row>
    <row r="242" spans="1:17" s="2" customFormat="1" ht="13">
      <c r="A242" s="27">
        <v>10</v>
      </c>
      <c r="B242" s="29" t="s">
        <v>220</v>
      </c>
      <c r="C242" s="29"/>
      <c r="D242" s="27" t="s">
        <v>377</v>
      </c>
      <c r="E242" s="27" t="s">
        <v>355</v>
      </c>
      <c r="F242" s="27">
        <v>600</v>
      </c>
      <c r="G242" s="27">
        <v>500</v>
      </c>
      <c r="H242" s="27">
        <v>550</v>
      </c>
      <c r="I242" s="27">
        <v>450</v>
      </c>
      <c r="J242" s="27"/>
      <c r="K242" s="27"/>
      <c r="L242" s="27"/>
      <c r="M242" s="27" t="s">
        <v>66</v>
      </c>
      <c r="N242" s="27">
        <v>1</v>
      </c>
      <c r="O242" s="47">
        <v>317625</v>
      </c>
      <c r="P242" s="47">
        <f t="shared" si="7"/>
        <v>317625</v>
      </c>
      <c r="Q242" s="27" t="s">
        <v>378</v>
      </c>
    </row>
    <row r="243" spans="1:17" s="2" customFormat="1" ht="13">
      <c r="A243" s="27">
        <v>11</v>
      </c>
      <c r="B243" s="29" t="s">
        <v>221</v>
      </c>
      <c r="C243" s="29"/>
      <c r="D243" s="27" t="s">
        <v>377</v>
      </c>
      <c r="E243" s="27" t="s">
        <v>355</v>
      </c>
      <c r="F243" s="27">
        <v>900</v>
      </c>
      <c r="G243" s="27">
        <v>550</v>
      </c>
      <c r="H243" s="27">
        <v>850</v>
      </c>
      <c r="I243" s="27">
        <v>500</v>
      </c>
      <c r="J243" s="27"/>
      <c r="K243" s="27"/>
      <c r="L243" s="27"/>
      <c r="M243" s="27" t="s">
        <v>66</v>
      </c>
      <c r="N243" s="27">
        <v>1</v>
      </c>
      <c r="O243" s="47">
        <v>493500</v>
      </c>
      <c r="P243" s="47">
        <f t="shared" si="7"/>
        <v>493500</v>
      </c>
      <c r="Q243" s="27" t="s">
        <v>378</v>
      </c>
    </row>
    <row r="244" spans="1:17" s="3" customFormat="1" ht="13">
      <c r="A244" s="54">
        <v>1.3</v>
      </c>
      <c r="B244" s="28" t="s">
        <v>63</v>
      </c>
      <c r="C244" s="28"/>
      <c r="D244" s="54"/>
      <c r="E244" s="54"/>
      <c r="F244" s="54"/>
      <c r="G244" s="54"/>
      <c r="H244" s="54"/>
      <c r="I244" s="54"/>
      <c r="J244" s="54"/>
      <c r="K244" s="54"/>
      <c r="L244" s="54"/>
      <c r="M244" s="54"/>
      <c r="N244" s="54"/>
      <c r="O244" s="56">
        <v>0</v>
      </c>
      <c r="P244" s="56">
        <f t="shared" si="7"/>
        <v>0</v>
      </c>
      <c r="Q244" s="54"/>
    </row>
    <row r="245" spans="1:17" s="2" customFormat="1" ht="26">
      <c r="A245" s="27">
        <v>1</v>
      </c>
      <c r="B245" s="29" t="s">
        <v>143</v>
      </c>
      <c r="C245" s="29"/>
      <c r="D245" s="27" t="s">
        <v>359</v>
      </c>
      <c r="E245" s="27" t="s">
        <v>355</v>
      </c>
      <c r="F245" s="27">
        <v>200</v>
      </c>
      <c r="G245" s="27"/>
      <c r="H245" s="27"/>
      <c r="I245" s="27"/>
      <c r="J245" s="27"/>
      <c r="K245" s="27">
        <v>250</v>
      </c>
      <c r="L245" s="27">
        <v>0.75</v>
      </c>
      <c r="M245" s="27" t="s">
        <v>66</v>
      </c>
      <c r="N245" s="27">
        <v>416</v>
      </c>
      <c r="O245" s="47">
        <v>155925</v>
      </c>
      <c r="P245" s="47">
        <f t="shared" si="7"/>
        <v>64864800</v>
      </c>
      <c r="Q245" s="27" t="s">
        <v>370</v>
      </c>
    </row>
    <row r="246" spans="1:17" s="2" customFormat="1" ht="26">
      <c r="A246" s="27">
        <v>2</v>
      </c>
      <c r="B246" s="29" t="s">
        <v>144</v>
      </c>
      <c r="C246" s="29"/>
      <c r="D246" s="27" t="s">
        <v>359</v>
      </c>
      <c r="E246" s="27" t="s">
        <v>355</v>
      </c>
      <c r="F246" s="27">
        <v>250</v>
      </c>
      <c r="G246" s="27"/>
      <c r="H246" s="27"/>
      <c r="I246" s="27"/>
      <c r="J246" s="27"/>
      <c r="K246" s="27">
        <v>300</v>
      </c>
      <c r="L246" s="27">
        <v>0.75</v>
      </c>
      <c r="M246" s="27" t="s">
        <v>66</v>
      </c>
      <c r="N246" s="27">
        <v>42</v>
      </c>
      <c r="O246" s="47">
        <v>174825</v>
      </c>
      <c r="P246" s="47">
        <f t="shared" si="7"/>
        <v>7342650</v>
      </c>
      <c r="Q246" s="27" t="s">
        <v>370</v>
      </c>
    </row>
    <row r="247" spans="1:17" s="2" customFormat="1" ht="26">
      <c r="A247" s="27">
        <v>3</v>
      </c>
      <c r="B247" s="29" t="s">
        <v>222</v>
      </c>
      <c r="C247" s="29"/>
      <c r="D247" s="27" t="s">
        <v>359</v>
      </c>
      <c r="E247" s="27" t="s">
        <v>355</v>
      </c>
      <c r="F247" s="27">
        <v>300</v>
      </c>
      <c r="G247" s="27"/>
      <c r="H247" s="27"/>
      <c r="I247" s="27"/>
      <c r="J247" s="27"/>
      <c r="K247" s="27">
        <v>350</v>
      </c>
      <c r="L247" s="27">
        <v>0.75</v>
      </c>
      <c r="M247" s="27" t="s">
        <v>66</v>
      </c>
      <c r="N247" s="27">
        <v>391</v>
      </c>
      <c r="O247" s="47">
        <v>193725</v>
      </c>
      <c r="P247" s="47">
        <f t="shared" si="7"/>
        <v>75746475</v>
      </c>
      <c r="Q247" s="27" t="s">
        <v>370</v>
      </c>
    </row>
    <row r="248" spans="1:17" s="2" customFormat="1" ht="26">
      <c r="A248" s="27">
        <v>4</v>
      </c>
      <c r="B248" s="29" t="s">
        <v>223</v>
      </c>
      <c r="C248" s="29"/>
      <c r="D248" s="27" t="s">
        <v>359</v>
      </c>
      <c r="E248" s="27" t="s">
        <v>355</v>
      </c>
      <c r="F248" s="27">
        <v>400</v>
      </c>
      <c r="G248" s="27"/>
      <c r="H248" s="27"/>
      <c r="I248" s="27"/>
      <c r="J248" s="27"/>
      <c r="K248" s="27">
        <v>450</v>
      </c>
      <c r="L248" s="27">
        <v>0.75</v>
      </c>
      <c r="M248" s="27" t="s">
        <v>66</v>
      </c>
      <c r="N248" s="27">
        <v>61</v>
      </c>
      <c r="O248" s="47">
        <v>297675</v>
      </c>
      <c r="P248" s="47">
        <f t="shared" si="7"/>
        <v>18158175</v>
      </c>
      <c r="Q248" s="27" t="s">
        <v>370</v>
      </c>
    </row>
    <row r="249" spans="1:17" s="2" customFormat="1" ht="26">
      <c r="A249" s="27">
        <v>5</v>
      </c>
      <c r="B249" s="29" t="s">
        <v>149</v>
      </c>
      <c r="C249" s="29"/>
      <c r="D249" s="27" t="s">
        <v>359</v>
      </c>
      <c r="E249" s="27" t="s">
        <v>355</v>
      </c>
      <c r="F249" s="27">
        <v>300</v>
      </c>
      <c r="G249" s="27">
        <v>200</v>
      </c>
      <c r="H249" s="27"/>
      <c r="I249" s="27"/>
      <c r="J249" s="27"/>
      <c r="K249" s="27">
        <v>200</v>
      </c>
      <c r="L249" s="27">
        <v>0.75</v>
      </c>
      <c r="M249" s="27" t="s">
        <v>66</v>
      </c>
      <c r="N249" s="27">
        <v>12</v>
      </c>
      <c r="O249" s="47">
        <v>207900</v>
      </c>
      <c r="P249" s="47">
        <f t="shared" si="7"/>
        <v>2494800</v>
      </c>
      <c r="Q249" s="27" t="s">
        <v>370</v>
      </c>
    </row>
    <row r="250" spans="1:17" s="2" customFormat="1" ht="26">
      <c r="A250" s="27">
        <v>6</v>
      </c>
      <c r="B250" s="29" t="s">
        <v>224</v>
      </c>
      <c r="C250" s="29"/>
      <c r="D250" s="27" t="s">
        <v>359</v>
      </c>
      <c r="E250" s="27" t="s">
        <v>355</v>
      </c>
      <c r="F250" s="27">
        <v>300</v>
      </c>
      <c r="G250" s="27">
        <v>300</v>
      </c>
      <c r="H250" s="27"/>
      <c r="I250" s="27"/>
      <c r="J250" s="27"/>
      <c r="K250" s="27">
        <v>200</v>
      </c>
      <c r="L250" s="27">
        <v>0.75</v>
      </c>
      <c r="M250" s="27" t="s">
        <v>66</v>
      </c>
      <c r="N250" s="27">
        <v>2</v>
      </c>
      <c r="O250" s="47">
        <v>271215</v>
      </c>
      <c r="P250" s="47">
        <f t="shared" si="7"/>
        <v>542430</v>
      </c>
      <c r="Q250" s="27" t="s">
        <v>370</v>
      </c>
    </row>
    <row r="251" spans="1:17" s="2" customFormat="1" ht="26">
      <c r="A251" s="27">
        <v>7</v>
      </c>
      <c r="B251" s="29" t="s">
        <v>225</v>
      </c>
      <c r="C251" s="29"/>
      <c r="D251" s="27" t="s">
        <v>359</v>
      </c>
      <c r="E251" s="27" t="s">
        <v>355</v>
      </c>
      <c r="F251" s="27">
        <v>350</v>
      </c>
      <c r="G251" s="27">
        <v>300</v>
      </c>
      <c r="H251" s="27"/>
      <c r="I251" s="27"/>
      <c r="J251" s="27"/>
      <c r="K251" s="27">
        <v>200</v>
      </c>
      <c r="L251" s="27">
        <v>0.75</v>
      </c>
      <c r="M251" s="27" t="s">
        <v>66</v>
      </c>
      <c r="N251" s="27">
        <v>3</v>
      </c>
      <c r="O251" s="47">
        <v>261765</v>
      </c>
      <c r="P251" s="47">
        <f t="shared" si="7"/>
        <v>785295</v>
      </c>
      <c r="Q251" s="27" t="s">
        <v>370</v>
      </c>
    </row>
    <row r="252" spans="1:17" s="2" customFormat="1" ht="26">
      <c r="A252" s="27">
        <v>8</v>
      </c>
      <c r="B252" s="29" t="s">
        <v>226</v>
      </c>
      <c r="C252" s="29"/>
      <c r="D252" s="27" t="s">
        <v>359</v>
      </c>
      <c r="E252" s="27" t="s">
        <v>355</v>
      </c>
      <c r="F252" s="27">
        <v>350</v>
      </c>
      <c r="G252" s="27">
        <v>350</v>
      </c>
      <c r="H252" s="27"/>
      <c r="I252" s="27"/>
      <c r="J252" s="27"/>
      <c r="K252" s="27">
        <v>200</v>
      </c>
      <c r="L252" s="27">
        <v>0.75</v>
      </c>
      <c r="M252" s="27" t="s">
        <v>66</v>
      </c>
      <c r="N252" s="27">
        <v>1</v>
      </c>
      <c r="O252" s="47">
        <v>274050</v>
      </c>
      <c r="P252" s="47">
        <f t="shared" si="7"/>
        <v>274050</v>
      </c>
      <c r="Q252" s="27" t="s">
        <v>370</v>
      </c>
    </row>
    <row r="253" spans="1:17" s="2" customFormat="1" ht="26">
      <c r="A253" s="27">
        <v>9</v>
      </c>
      <c r="B253" s="29" t="s">
        <v>227</v>
      </c>
      <c r="C253" s="29"/>
      <c r="D253" s="27" t="s">
        <v>359</v>
      </c>
      <c r="E253" s="27" t="s">
        <v>355</v>
      </c>
      <c r="F253" s="27">
        <v>400</v>
      </c>
      <c r="G253" s="27">
        <v>350</v>
      </c>
      <c r="H253" s="27"/>
      <c r="I253" s="27"/>
      <c r="J253" s="27"/>
      <c r="K253" s="27">
        <v>200</v>
      </c>
      <c r="L253" s="27">
        <v>0.75</v>
      </c>
      <c r="M253" s="27" t="s">
        <v>66</v>
      </c>
      <c r="N253" s="27">
        <v>1</v>
      </c>
      <c r="O253" s="47">
        <v>287280</v>
      </c>
      <c r="P253" s="47">
        <f t="shared" si="7"/>
        <v>287280</v>
      </c>
      <c r="Q253" s="27" t="s">
        <v>370</v>
      </c>
    </row>
    <row r="254" spans="1:17" s="2" customFormat="1" ht="26">
      <c r="A254" s="27">
        <v>10</v>
      </c>
      <c r="B254" s="29" t="s">
        <v>228</v>
      </c>
      <c r="C254" s="29"/>
      <c r="D254" s="27" t="s">
        <v>359</v>
      </c>
      <c r="E254" s="27" t="s">
        <v>355</v>
      </c>
      <c r="F254" s="27">
        <v>450</v>
      </c>
      <c r="G254" s="27">
        <v>200</v>
      </c>
      <c r="H254" s="27"/>
      <c r="I254" s="27"/>
      <c r="J254" s="27"/>
      <c r="K254" s="27">
        <v>200</v>
      </c>
      <c r="L254" s="27">
        <v>0.75</v>
      </c>
      <c r="M254" s="27" t="s">
        <v>66</v>
      </c>
      <c r="N254" s="27">
        <v>3</v>
      </c>
      <c r="O254" s="47">
        <v>239085</v>
      </c>
      <c r="P254" s="47">
        <f t="shared" si="7"/>
        <v>717255</v>
      </c>
      <c r="Q254" s="27" t="s">
        <v>370</v>
      </c>
    </row>
    <row r="255" spans="1:17" s="2" customFormat="1" ht="26">
      <c r="A255" s="27">
        <v>11</v>
      </c>
      <c r="B255" s="29" t="s">
        <v>229</v>
      </c>
      <c r="C255" s="29"/>
      <c r="D255" s="27" t="s">
        <v>359</v>
      </c>
      <c r="E255" s="27" t="s">
        <v>355</v>
      </c>
      <c r="F255" s="27">
        <v>600</v>
      </c>
      <c r="G255" s="27">
        <v>200</v>
      </c>
      <c r="H255" s="27"/>
      <c r="I255" s="27"/>
      <c r="J255" s="27"/>
      <c r="K255" s="27">
        <v>200</v>
      </c>
      <c r="L255" s="27">
        <v>0.75</v>
      </c>
      <c r="M255" s="27" t="s">
        <v>66</v>
      </c>
      <c r="N255" s="27">
        <v>2</v>
      </c>
      <c r="O255" s="47">
        <v>270270</v>
      </c>
      <c r="P255" s="47">
        <f t="shared" si="7"/>
        <v>540540</v>
      </c>
      <c r="Q255" s="27" t="s">
        <v>370</v>
      </c>
    </row>
    <row r="256" spans="1:17" s="2" customFormat="1" ht="26">
      <c r="A256" s="27">
        <v>12</v>
      </c>
      <c r="B256" s="29" t="s">
        <v>79</v>
      </c>
      <c r="C256" s="29"/>
      <c r="D256" s="27" t="s">
        <v>359</v>
      </c>
      <c r="E256" s="27" t="s">
        <v>355</v>
      </c>
      <c r="F256" s="27">
        <v>600</v>
      </c>
      <c r="G256" s="27">
        <v>300</v>
      </c>
      <c r="H256" s="27"/>
      <c r="I256" s="27"/>
      <c r="J256" s="27"/>
      <c r="K256" s="27">
        <v>200</v>
      </c>
      <c r="L256" s="27">
        <v>0.75</v>
      </c>
      <c r="M256" s="27" t="s">
        <v>66</v>
      </c>
      <c r="N256" s="27">
        <v>2</v>
      </c>
      <c r="O256" s="47">
        <v>354375</v>
      </c>
      <c r="P256" s="47">
        <f t="shared" si="7"/>
        <v>708750</v>
      </c>
      <c r="Q256" s="27" t="s">
        <v>370</v>
      </c>
    </row>
    <row r="257" spans="1:17" s="2" customFormat="1" ht="26">
      <c r="A257" s="27">
        <v>13</v>
      </c>
      <c r="B257" s="29" t="s">
        <v>154</v>
      </c>
      <c r="C257" s="29"/>
      <c r="D257" s="27" t="s">
        <v>359</v>
      </c>
      <c r="E257" s="27" t="s">
        <v>355</v>
      </c>
      <c r="F257" s="27">
        <v>700</v>
      </c>
      <c r="G257" s="27">
        <v>400</v>
      </c>
      <c r="H257" s="27"/>
      <c r="I257" s="27"/>
      <c r="J257" s="27"/>
      <c r="K257" s="27">
        <v>200</v>
      </c>
      <c r="L257" s="27">
        <v>0.75</v>
      </c>
      <c r="M257" s="27" t="s">
        <v>66</v>
      </c>
      <c r="N257" s="27">
        <v>2</v>
      </c>
      <c r="O257" s="47">
        <v>378945</v>
      </c>
      <c r="P257" s="47">
        <f t="shared" si="7"/>
        <v>757890</v>
      </c>
      <c r="Q257" s="27" t="s">
        <v>370</v>
      </c>
    </row>
    <row r="258" spans="1:17" s="2" customFormat="1" ht="26">
      <c r="A258" s="27">
        <v>14</v>
      </c>
      <c r="B258" s="29" t="s">
        <v>85</v>
      </c>
      <c r="C258" s="29"/>
      <c r="D258" s="27" t="s">
        <v>359</v>
      </c>
      <c r="E258" s="27" t="s">
        <v>355</v>
      </c>
      <c r="F258" s="27">
        <v>900</v>
      </c>
      <c r="G258" s="27">
        <v>500</v>
      </c>
      <c r="H258" s="27"/>
      <c r="I258" s="27"/>
      <c r="J258" s="27"/>
      <c r="K258" s="27">
        <v>200</v>
      </c>
      <c r="L258" s="27">
        <v>0.95</v>
      </c>
      <c r="M258" s="27" t="s">
        <v>66</v>
      </c>
      <c r="N258" s="27">
        <v>3</v>
      </c>
      <c r="O258" s="47">
        <v>590625</v>
      </c>
      <c r="P258" s="47">
        <f t="shared" si="7"/>
        <v>1771875</v>
      </c>
      <c r="Q258" s="27" t="s">
        <v>370</v>
      </c>
    </row>
    <row r="259" spans="1:17" s="2" customFormat="1" ht="26">
      <c r="A259" s="27">
        <v>15</v>
      </c>
      <c r="B259" s="29" t="s">
        <v>230</v>
      </c>
      <c r="C259" s="29"/>
      <c r="D259" s="27" t="s">
        <v>359</v>
      </c>
      <c r="E259" s="27" t="s">
        <v>355</v>
      </c>
      <c r="F259" s="27">
        <v>1100</v>
      </c>
      <c r="G259" s="27">
        <v>550</v>
      </c>
      <c r="H259" s="27"/>
      <c r="I259" s="27"/>
      <c r="J259" s="27"/>
      <c r="K259" s="27">
        <v>200</v>
      </c>
      <c r="L259" s="27">
        <v>1.1499999999999999</v>
      </c>
      <c r="M259" s="27" t="s">
        <v>66</v>
      </c>
      <c r="N259" s="27">
        <v>2</v>
      </c>
      <c r="O259" s="47">
        <v>901530</v>
      </c>
      <c r="P259" s="47">
        <f t="shared" si="7"/>
        <v>1803060</v>
      </c>
      <c r="Q259" s="27" t="s">
        <v>370</v>
      </c>
    </row>
    <row r="260" spans="1:17" s="2" customFormat="1" ht="26">
      <c r="A260" s="27">
        <v>16</v>
      </c>
      <c r="B260" s="29" t="s">
        <v>231</v>
      </c>
      <c r="C260" s="29"/>
      <c r="D260" s="27" t="s">
        <v>359</v>
      </c>
      <c r="E260" s="27" t="s">
        <v>355</v>
      </c>
      <c r="F260" s="27">
        <v>1200</v>
      </c>
      <c r="G260" s="27">
        <v>550</v>
      </c>
      <c r="H260" s="27"/>
      <c r="I260" s="27"/>
      <c r="J260" s="27"/>
      <c r="K260" s="27">
        <v>200</v>
      </c>
      <c r="L260" s="27">
        <v>1.1499999999999999</v>
      </c>
      <c r="M260" s="27" t="s">
        <v>66</v>
      </c>
      <c r="N260" s="27">
        <v>1</v>
      </c>
      <c r="O260" s="47">
        <v>942165</v>
      </c>
      <c r="P260" s="47">
        <f t="shared" si="7"/>
        <v>942165</v>
      </c>
      <c r="Q260" s="27" t="s">
        <v>370</v>
      </c>
    </row>
    <row r="261" spans="1:17" s="2" customFormat="1" ht="26">
      <c r="A261" s="27">
        <v>17</v>
      </c>
      <c r="B261" s="29" t="s">
        <v>232</v>
      </c>
      <c r="C261" s="29"/>
      <c r="D261" s="27" t="s">
        <v>359</v>
      </c>
      <c r="E261" s="27" t="s">
        <v>355</v>
      </c>
      <c r="F261" s="27">
        <v>1250</v>
      </c>
      <c r="G261" s="27">
        <v>600</v>
      </c>
      <c r="H261" s="27"/>
      <c r="I261" s="27"/>
      <c r="J261" s="27"/>
      <c r="K261" s="27">
        <v>200</v>
      </c>
      <c r="L261" s="27">
        <v>1.1499999999999999</v>
      </c>
      <c r="M261" s="27" t="s">
        <v>66</v>
      </c>
      <c r="N261" s="27">
        <v>2</v>
      </c>
      <c r="O261" s="47">
        <v>995085</v>
      </c>
      <c r="P261" s="47">
        <f t="shared" si="7"/>
        <v>1990170</v>
      </c>
      <c r="Q261" s="27" t="s">
        <v>370</v>
      </c>
    </row>
    <row r="262" spans="1:17" s="2" customFormat="1" ht="26">
      <c r="A262" s="27">
        <v>18</v>
      </c>
      <c r="B262" s="29" t="s">
        <v>233</v>
      </c>
      <c r="C262" s="29"/>
      <c r="D262" s="27" t="s">
        <v>359</v>
      </c>
      <c r="E262" s="27" t="s">
        <v>355</v>
      </c>
      <c r="F262" s="27">
        <v>1300</v>
      </c>
      <c r="G262" s="27">
        <v>650</v>
      </c>
      <c r="H262" s="27"/>
      <c r="I262" s="27"/>
      <c r="J262" s="27"/>
      <c r="K262" s="27">
        <v>200</v>
      </c>
      <c r="L262" s="27">
        <v>1.1499999999999999</v>
      </c>
      <c r="M262" s="27" t="s">
        <v>66</v>
      </c>
      <c r="N262" s="27">
        <v>1</v>
      </c>
      <c r="O262" s="47">
        <v>1050840</v>
      </c>
      <c r="P262" s="47">
        <f t="shared" si="7"/>
        <v>1050840</v>
      </c>
      <c r="Q262" s="27" t="s">
        <v>370</v>
      </c>
    </row>
    <row r="263" spans="1:17" s="2" customFormat="1" ht="52">
      <c r="A263" s="27">
        <v>19</v>
      </c>
      <c r="B263" s="29" t="s">
        <v>160</v>
      </c>
      <c r="C263" s="29"/>
      <c r="D263" s="27" t="s">
        <v>361</v>
      </c>
      <c r="E263" s="27" t="s">
        <v>355</v>
      </c>
      <c r="F263" s="27">
        <v>300</v>
      </c>
      <c r="G263" s="27">
        <v>200</v>
      </c>
      <c r="H263" s="27"/>
      <c r="I263" s="27"/>
      <c r="J263" s="27"/>
      <c r="K263" s="27">
        <v>200</v>
      </c>
      <c r="L263" s="27">
        <v>1.1499999999999999</v>
      </c>
      <c r="M263" s="27" t="s">
        <v>66</v>
      </c>
      <c r="N263" s="27">
        <v>12</v>
      </c>
      <c r="O263" s="47">
        <v>1088556.7875000001</v>
      </c>
      <c r="P263" s="47">
        <f t="shared" si="7"/>
        <v>13062681.449999999</v>
      </c>
      <c r="Q263" s="27" t="s">
        <v>364</v>
      </c>
    </row>
    <row r="264" spans="1:17" s="2" customFormat="1" ht="52">
      <c r="A264" s="27">
        <v>20</v>
      </c>
      <c r="B264" s="29" t="s">
        <v>163</v>
      </c>
      <c r="C264" s="29"/>
      <c r="D264" s="27" t="s">
        <v>361</v>
      </c>
      <c r="E264" s="27" t="s">
        <v>355</v>
      </c>
      <c r="F264" s="27">
        <v>350</v>
      </c>
      <c r="G264" s="27">
        <v>300</v>
      </c>
      <c r="H264" s="27"/>
      <c r="I264" s="27"/>
      <c r="J264" s="27"/>
      <c r="K264" s="27">
        <v>200</v>
      </c>
      <c r="L264" s="27">
        <v>1.1499999999999999</v>
      </c>
      <c r="M264" s="27" t="s">
        <v>66</v>
      </c>
      <c r="N264" s="27">
        <v>3</v>
      </c>
      <c r="O264" s="47">
        <v>1611618.855</v>
      </c>
      <c r="P264" s="47">
        <f t="shared" si="7"/>
        <v>4834856.5650000004</v>
      </c>
      <c r="Q264" s="27" t="s">
        <v>364</v>
      </c>
    </row>
    <row r="265" spans="1:17" s="2" customFormat="1" ht="52">
      <c r="A265" s="27">
        <v>21</v>
      </c>
      <c r="B265" s="29" t="s">
        <v>234</v>
      </c>
      <c r="C265" s="29"/>
      <c r="D265" s="27" t="s">
        <v>361</v>
      </c>
      <c r="E265" s="27" t="s">
        <v>355</v>
      </c>
      <c r="F265" s="27">
        <v>350</v>
      </c>
      <c r="G265" s="27">
        <v>350</v>
      </c>
      <c r="H265" s="27"/>
      <c r="I265" s="27"/>
      <c r="J265" s="27"/>
      <c r="K265" s="27">
        <v>200</v>
      </c>
      <c r="L265" s="27">
        <v>1.1499999999999999</v>
      </c>
      <c r="M265" s="27" t="s">
        <v>66</v>
      </c>
      <c r="N265" s="27">
        <v>1</v>
      </c>
      <c r="O265" s="47">
        <v>1678504.2224999999</v>
      </c>
      <c r="P265" s="47">
        <f t="shared" si="7"/>
        <v>1678504.2224999999</v>
      </c>
      <c r="Q265" s="27" t="s">
        <v>364</v>
      </c>
    </row>
    <row r="266" spans="1:17" s="2" customFormat="1" ht="52">
      <c r="A266" s="27">
        <v>22</v>
      </c>
      <c r="B266" s="29" t="s">
        <v>99</v>
      </c>
      <c r="C266" s="29"/>
      <c r="D266" s="27" t="s">
        <v>361</v>
      </c>
      <c r="E266" s="27" t="s">
        <v>355</v>
      </c>
      <c r="F266" s="27">
        <v>400</v>
      </c>
      <c r="G266" s="27">
        <v>300</v>
      </c>
      <c r="H266" s="27"/>
      <c r="I266" s="27"/>
      <c r="J266" s="27"/>
      <c r="K266" s="27">
        <v>200</v>
      </c>
      <c r="L266" s="27">
        <v>1.1499999999999999</v>
      </c>
      <c r="M266" s="27" t="s">
        <v>66</v>
      </c>
      <c r="N266" s="27">
        <v>3</v>
      </c>
      <c r="O266" s="47">
        <v>1674497.2649999999</v>
      </c>
      <c r="P266" s="47">
        <f t="shared" si="7"/>
        <v>5023491.7949999999</v>
      </c>
      <c r="Q266" s="27" t="s">
        <v>364</v>
      </c>
    </row>
    <row r="267" spans="1:17" s="2" customFormat="1" ht="52">
      <c r="A267" s="27">
        <v>23</v>
      </c>
      <c r="B267" s="29" t="s">
        <v>235</v>
      </c>
      <c r="C267" s="29"/>
      <c r="D267" s="27" t="s">
        <v>361</v>
      </c>
      <c r="E267" s="27" t="s">
        <v>355</v>
      </c>
      <c r="F267" s="27">
        <v>450</v>
      </c>
      <c r="G267" s="27">
        <v>200</v>
      </c>
      <c r="H267" s="27"/>
      <c r="I267" s="27"/>
      <c r="J267" s="27"/>
      <c r="K267" s="27">
        <v>200</v>
      </c>
      <c r="L267" s="27">
        <v>1.1499999999999999</v>
      </c>
      <c r="M267" s="27" t="s">
        <v>66</v>
      </c>
      <c r="N267" s="27">
        <v>3</v>
      </c>
      <c r="O267" s="47">
        <v>1266404.0549999999</v>
      </c>
      <c r="P267" s="47">
        <f t="shared" si="7"/>
        <v>3799212.165</v>
      </c>
      <c r="Q267" s="27" t="s">
        <v>364</v>
      </c>
    </row>
    <row r="268" spans="1:17" s="2" customFormat="1" ht="52">
      <c r="A268" s="27">
        <v>24</v>
      </c>
      <c r="B268" s="29" t="s">
        <v>236</v>
      </c>
      <c r="C268" s="29"/>
      <c r="D268" s="27" t="s">
        <v>361</v>
      </c>
      <c r="E268" s="27" t="s">
        <v>355</v>
      </c>
      <c r="F268" s="27">
        <v>600</v>
      </c>
      <c r="G268" s="27">
        <v>200</v>
      </c>
      <c r="H268" s="27"/>
      <c r="I268" s="27"/>
      <c r="J268" s="27"/>
      <c r="K268" s="27">
        <v>200</v>
      </c>
      <c r="L268" s="27">
        <v>1.1499999999999999</v>
      </c>
      <c r="M268" s="27" t="s">
        <v>66</v>
      </c>
      <c r="N268" s="27">
        <v>2</v>
      </c>
      <c r="O268" s="47">
        <v>1444354.0649999999</v>
      </c>
      <c r="P268" s="47">
        <f t="shared" si="7"/>
        <v>2888708.13</v>
      </c>
      <c r="Q268" s="27" t="s">
        <v>364</v>
      </c>
    </row>
    <row r="269" spans="1:17" s="2" customFormat="1" ht="52">
      <c r="A269" s="27">
        <v>25</v>
      </c>
      <c r="B269" s="29" t="s">
        <v>103</v>
      </c>
      <c r="C269" s="29"/>
      <c r="D269" s="27" t="s">
        <v>361</v>
      </c>
      <c r="E269" s="27" t="s">
        <v>355</v>
      </c>
      <c r="F269" s="27">
        <v>600</v>
      </c>
      <c r="G269" s="27">
        <v>300</v>
      </c>
      <c r="H269" s="27"/>
      <c r="I269" s="27"/>
      <c r="J269" s="27"/>
      <c r="K269" s="27">
        <v>200</v>
      </c>
      <c r="L269" s="27">
        <v>1.1499999999999999</v>
      </c>
      <c r="M269" s="27" t="s">
        <v>66</v>
      </c>
      <c r="N269" s="27">
        <v>2</v>
      </c>
      <c r="O269" s="47">
        <v>1925702.6775</v>
      </c>
      <c r="P269" s="47">
        <f t="shared" si="7"/>
        <v>3851405.355</v>
      </c>
      <c r="Q269" s="27" t="s">
        <v>364</v>
      </c>
    </row>
    <row r="270" spans="1:17" s="2" customFormat="1" ht="52">
      <c r="A270" s="27">
        <v>26</v>
      </c>
      <c r="B270" s="29" t="s">
        <v>237</v>
      </c>
      <c r="C270" s="29"/>
      <c r="D270" s="27" t="s">
        <v>361</v>
      </c>
      <c r="E270" s="27" t="s">
        <v>355</v>
      </c>
      <c r="F270" s="27">
        <v>750</v>
      </c>
      <c r="G270" s="27">
        <v>450</v>
      </c>
      <c r="H270" s="27"/>
      <c r="I270" s="27"/>
      <c r="J270" s="27"/>
      <c r="K270" s="27">
        <v>200</v>
      </c>
      <c r="L270" s="27">
        <v>1.1499999999999999</v>
      </c>
      <c r="M270" s="27" t="s">
        <v>66</v>
      </c>
      <c r="N270" s="27">
        <v>4</v>
      </c>
      <c r="O270" s="47">
        <v>2412702.1274999999</v>
      </c>
      <c r="P270" s="47">
        <f t="shared" si="7"/>
        <v>9650808.5099999998</v>
      </c>
      <c r="Q270" s="27" t="s">
        <v>364</v>
      </c>
    </row>
    <row r="271" spans="1:17" s="2" customFormat="1" ht="52">
      <c r="A271" s="27">
        <v>27</v>
      </c>
      <c r="B271" s="29" t="s">
        <v>179</v>
      </c>
      <c r="C271" s="29"/>
      <c r="D271" s="27" t="s">
        <v>361</v>
      </c>
      <c r="E271" s="27" t="s">
        <v>355</v>
      </c>
      <c r="F271" s="27">
        <v>900</v>
      </c>
      <c r="G271" s="27">
        <v>500</v>
      </c>
      <c r="H271" s="27"/>
      <c r="I271" s="27"/>
      <c r="J271" s="27"/>
      <c r="K271" s="27">
        <v>200</v>
      </c>
      <c r="L271" s="27">
        <v>1.1499999999999999</v>
      </c>
      <c r="M271" s="27" t="s">
        <v>66</v>
      </c>
      <c r="N271" s="27">
        <v>4</v>
      </c>
      <c r="O271" s="47">
        <v>2657742.9900000002</v>
      </c>
      <c r="P271" s="47">
        <f t="shared" si="7"/>
        <v>10630971.960000001</v>
      </c>
      <c r="Q271" s="27" t="s">
        <v>364</v>
      </c>
    </row>
    <row r="272" spans="1:17" s="2" customFormat="1" ht="65">
      <c r="A272" s="27">
        <v>28</v>
      </c>
      <c r="B272" s="29" t="s">
        <v>238</v>
      </c>
      <c r="C272" s="29"/>
      <c r="D272" s="27" t="s">
        <v>361</v>
      </c>
      <c r="E272" s="27" t="s">
        <v>355</v>
      </c>
      <c r="F272" s="27">
        <v>1700</v>
      </c>
      <c r="G272" s="27">
        <v>750</v>
      </c>
      <c r="H272" s="27">
        <v>850</v>
      </c>
      <c r="I272" s="27">
        <v>750</v>
      </c>
      <c r="J272" s="27">
        <v>2</v>
      </c>
      <c r="K272" s="27">
        <v>200</v>
      </c>
      <c r="L272" s="27">
        <v>1.1499999999999999</v>
      </c>
      <c r="M272" s="27" t="s">
        <v>66</v>
      </c>
      <c r="N272" s="27">
        <v>2</v>
      </c>
      <c r="O272" s="47">
        <v>6773607.54</v>
      </c>
      <c r="P272" s="47">
        <f t="shared" si="7"/>
        <v>13547215.08</v>
      </c>
      <c r="Q272" s="27" t="s">
        <v>372</v>
      </c>
    </row>
    <row r="273" spans="1:17" s="2" customFormat="1" ht="65">
      <c r="A273" s="27">
        <v>29</v>
      </c>
      <c r="B273" s="29" t="s">
        <v>239</v>
      </c>
      <c r="C273" s="29"/>
      <c r="D273" s="27" t="s">
        <v>361</v>
      </c>
      <c r="E273" s="27" t="s">
        <v>355</v>
      </c>
      <c r="F273" s="27">
        <v>2000</v>
      </c>
      <c r="G273" s="27">
        <v>1000</v>
      </c>
      <c r="H273" s="27">
        <v>1000</v>
      </c>
      <c r="I273" s="27">
        <v>500</v>
      </c>
      <c r="J273" s="27">
        <v>4</v>
      </c>
      <c r="K273" s="27">
        <v>200</v>
      </c>
      <c r="L273" s="27">
        <v>1.1499999999999999</v>
      </c>
      <c r="M273" s="27" t="s">
        <v>66</v>
      </c>
      <c r="N273" s="27">
        <v>4</v>
      </c>
      <c r="O273" s="47">
        <v>12278961.66</v>
      </c>
      <c r="P273" s="47">
        <f t="shared" ref="P273:P336" si="8">O273*N273</f>
        <v>49115846.640000001</v>
      </c>
      <c r="Q273" s="27" t="s">
        <v>379</v>
      </c>
    </row>
    <row r="274" spans="1:17" s="2" customFormat="1" ht="21" customHeight="1">
      <c r="A274" s="25" t="s">
        <v>240</v>
      </c>
      <c r="B274" s="26" t="s">
        <v>62</v>
      </c>
      <c r="C274" s="26"/>
      <c r="D274" s="25"/>
      <c r="E274" s="25"/>
      <c r="F274" s="25"/>
      <c r="G274" s="25"/>
      <c r="H274" s="25"/>
      <c r="I274" s="25"/>
      <c r="J274" s="25"/>
      <c r="K274" s="25"/>
      <c r="L274" s="25"/>
      <c r="M274" s="25"/>
      <c r="N274" s="25"/>
      <c r="O274" s="45">
        <v>0</v>
      </c>
      <c r="P274" s="45">
        <f t="shared" si="8"/>
        <v>0</v>
      </c>
      <c r="Q274" s="25"/>
    </row>
    <row r="275" spans="1:17" s="3" customFormat="1" ht="13">
      <c r="A275" s="54"/>
      <c r="B275" s="28" t="s">
        <v>63</v>
      </c>
      <c r="C275" s="28"/>
      <c r="D275" s="54"/>
      <c r="E275" s="54"/>
      <c r="F275" s="54"/>
      <c r="G275" s="54"/>
      <c r="H275" s="54"/>
      <c r="I275" s="54"/>
      <c r="J275" s="54"/>
      <c r="K275" s="54"/>
      <c r="L275" s="54"/>
      <c r="M275" s="54"/>
      <c r="N275" s="54"/>
      <c r="O275" s="56">
        <v>0</v>
      </c>
      <c r="P275" s="56">
        <f t="shared" si="8"/>
        <v>0</v>
      </c>
      <c r="Q275" s="54"/>
    </row>
    <row r="276" spans="1:17" s="2" customFormat="1" ht="13">
      <c r="A276" s="27">
        <v>1</v>
      </c>
      <c r="B276" s="29" t="s">
        <v>241</v>
      </c>
      <c r="C276" s="29"/>
      <c r="D276" s="27" t="s">
        <v>380</v>
      </c>
      <c r="E276" s="27" t="s">
        <v>355</v>
      </c>
      <c r="F276" s="27">
        <v>300</v>
      </c>
      <c r="G276" s="27">
        <v>300</v>
      </c>
      <c r="H276" s="27"/>
      <c r="I276" s="27"/>
      <c r="J276" s="27"/>
      <c r="K276" s="27">
        <v>200</v>
      </c>
      <c r="L276" s="27">
        <v>1.1499999999999999</v>
      </c>
      <c r="M276" s="27" t="s">
        <v>66</v>
      </c>
      <c r="N276" s="27">
        <v>1</v>
      </c>
      <c r="O276" s="47">
        <v>2193206.4</v>
      </c>
      <c r="P276" s="47">
        <f t="shared" si="8"/>
        <v>2193206.4</v>
      </c>
      <c r="Q276" s="27" t="s">
        <v>381</v>
      </c>
    </row>
    <row r="277" spans="1:17" s="2" customFormat="1" ht="13">
      <c r="A277" s="27">
        <v>2</v>
      </c>
      <c r="B277" s="29" t="s">
        <v>242</v>
      </c>
      <c r="C277" s="29"/>
      <c r="D277" s="27" t="s">
        <v>380</v>
      </c>
      <c r="E277" s="27" t="s">
        <v>355</v>
      </c>
      <c r="F277" s="27">
        <v>500</v>
      </c>
      <c r="G277" s="27">
        <v>400</v>
      </c>
      <c r="H277" s="27"/>
      <c r="I277" s="27"/>
      <c r="J277" s="27"/>
      <c r="K277" s="27">
        <v>200</v>
      </c>
      <c r="L277" s="27">
        <v>1.1499999999999999</v>
      </c>
      <c r="M277" s="27" t="s">
        <v>66</v>
      </c>
      <c r="N277" s="27">
        <v>1</v>
      </c>
      <c r="O277" s="47">
        <v>2301314.4</v>
      </c>
      <c r="P277" s="47">
        <f t="shared" si="8"/>
        <v>2301314.4</v>
      </c>
      <c r="Q277" s="27" t="s">
        <v>381</v>
      </c>
    </row>
    <row r="278" spans="1:17" s="2" customFormat="1" ht="13">
      <c r="A278" s="27">
        <v>3</v>
      </c>
      <c r="B278" s="29" t="s">
        <v>243</v>
      </c>
      <c r="C278" s="29"/>
      <c r="D278" s="27" t="s">
        <v>380</v>
      </c>
      <c r="E278" s="27" t="s">
        <v>355</v>
      </c>
      <c r="F278" s="27">
        <v>550</v>
      </c>
      <c r="G278" s="27">
        <v>450</v>
      </c>
      <c r="H278" s="27"/>
      <c r="I278" s="27"/>
      <c r="J278" s="27"/>
      <c r="K278" s="27">
        <v>200</v>
      </c>
      <c r="L278" s="27">
        <v>1.1499999999999999</v>
      </c>
      <c r="M278" s="27" t="s">
        <v>66</v>
      </c>
      <c r="N278" s="27">
        <v>1</v>
      </c>
      <c r="O278" s="47">
        <v>2295031.2000000002</v>
      </c>
      <c r="P278" s="47">
        <f t="shared" si="8"/>
        <v>2295031.2000000002</v>
      </c>
      <c r="Q278" s="27" t="s">
        <v>381</v>
      </c>
    </row>
    <row r="279" spans="1:17" s="2" customFormat="1" ht="13">
      <c r="A279" s="27">
        <v>4</v>
      </c>
      <c r="B279" s="29" t="s">
        <v>244</v>
      </c>
      <c r="C279" s="29"/>
      <c r="D279" s="27" t="s">
        <v>380</v>
      </c>
      <c r="E279" s="27" t="s">
        <v>355</v>
      </c>
      <c r="F279" s="27">
        <v>600</v>
      </c>
      <c r="G279" s="27">
        <v>200</v>
      </c>
      <c r="H279" s="27"/>
      <c r="I279" s="27"/>
      <c r="J279" s="27"/>
      <c r="K279" s="27">
        <v>200</v>
      </c>
      <c r="L279" s="27">
        <v>1.1499999999999999</v>
      </c>
      <c r="M279" s="27" t="s">
        <v>66</v>
      </c>
      <c r="N279" s="27">
        <v>1</v>
      </c>
      <c r="O279" s="47">
        <v>2227764</v>
      </c>
      <c r="P279" s="47">
        <f t="shared" si="8"/>
        <v>2227764</v>
      </c>
      <c r="Q279" s="27" t="s">
        <v>381</v>
      </c>
    </row>
    <row r="280" spans="1:17" s="2" customFormat="1" ht="13">
      <c r="A280" s="27">
        <v>5</v>
      </c>
      <c r="B280" s="29" t="s">
        <v>245</v>
      </c>
      <c r="C280" s="29"/>
      <c r="D280" s="27" t="s">
        <v>380</v>
      </c>
      <c r="E280" s="27" t="s">
        <v>355</v>
      </c>
      <c r="F280" s="27">
        <v>600</v>
      </c>
      <c r="G280" s="27">
        <v>450</v>
      </c>
      <c r="H280" s="27"/>
      <c r="I280" s="27"/>
      <c r="J280" s="27"/>
      <c r="K280" s="27">
        <v>200</v>
      </c>
      <c r="L280" s="27">
        <v>1.1499999999999999</v>
      </c>
      <c r="M280" s="27" t="s">
        <v>66</v>
      </c>
      <c r="N280" s="27">
        <v>1</v>
      </c>
      <c r="O280" s="47">
        <v>2411917.2000000002</v>
      </c>
      <c r="P280" s="47">
        <f t="shared" si="8"/>
        <v>2411917.2000000002</v>
      </c>
      <c r="Q280" s="27" t="s">
        <v>381</v>
      </c>
    </row>
    <row r="281" spans="1:17" s="2" customFormat="1" ht="13">
      <c r="A281" s="27">
        <v>6</v>
      </c>
      <c r="B281" s="29" t="s">
        <v>246</v>
      </c>
      <c r="C281" s="29"/>
      <c r="D281" s="27" t="s">
        <v>380</v>
      </c>
      <c r="E281" s="27" t="s">
        <v>355</v>
      </c>
      <c r="F281" s="27">
        <v>600</v>
      </c>
      <c r="G281" s="27">
        <v>600</v>
      </c>
      <c r="H281" s="27"/>
      <c r="I281" s="27"/>
      <c r="J281" s="27"/>
      <c r="K281" s="27">
        <v>200</v>
      </c>
      <c r="L281" s="27">
        <v>1.1499999999999999</v>
      </c>
      <c r="M281" s="27" t="s">
        <v>66</v>
      </c>
      <c r="N281" s="27">
        <v>1</v>
      </c>
      <c r="O281" s="47">
        <v>2466248.4</v>
      </c>
      <c r="P281" s="47">
        <f t="shared" si="8"/>
        <v>2466248.4</v>
      </c>
      <c r="Q281" s="27" t="s">
        <v>381</v>
      </c>
    </row>
    <row r="282" spans="1:17" s="2" customFormat="1" ht="13">
      <c r="A282" s="27">
        <v>7</v>
      </c>
      <c r="B282" s="29" t="s">
        <v>247</v>
      </c>
      <c r="C282" s="29"/>
      <c r="D282" s="27" t="s">
        <v>380</v>
      </c>
      <c r="E282" s="27" t="s">
        <v>355</v>
      </c>
      <c r="F282" s="27">
        <v>650</v>
      </c>
      <c r="G282" s="27">
        <v>400</v>
      </c>
      <c r="H282" s="27"/>
      <c r="I282" s="27"/>
      <c r="J282" s="27"/>
      <c r="K282" s="27">
        <v>200</v>
      </c>
      <c r="L282" s="27">
        <v>1.1499999999999999</v>
      </c>
      <c r="M282" s="27" t="s">
        <v>66</v>
      </c>
      <c r="N282" s="27">
        <v>1</v>
      </c>
      <c r="O282" s="47">
        <v>2305934.4</v>
      </c>
      <c r="P282" s="47">
        <f t="shared" si="8"/>
        <v>2305934.4</v>
      </c>
      <c r="Q282" s="27" t="s">
        <v>381</v>
      </c>
    </row>
    <row r="283" spans="1:17" s="2" customFormat="1" ht="13">
      <c r="A283" s="27">
        <v>8</v>
      </c>
      <c r="B283" s="29" t="s">
        <v>248</v>
      </c>
      <c r="C283" s="29"/>
      <c r="D283" s="27" t="s">
        <v>380</v>
      </c>
      <c r="E283" s="27" t="s">
        <v>355</v>
      </c>
      <c r="F283" s="27">
        <v>750</v>
      </c>
      <c r="G283" s="27">
        <v>600</v>
      </c>
      <c r="H283" s="27"/>
      <c r="I283" s="27"/>
      <c r="J283" s="27"/>
      <c r="K283" s="27">
        <v>200</v>
      </c>
      <c r="L283" s="27">
        <v>1.1499999999999999</v>
      </c>
      <c r="M283" s="27" t="s">
        <v>66</v>
      </c>
      <c r="N283" s="27">
        <v>1</v>
      </c>
      <c r="O283" s="47">
        <v>2520579.6</v>
      </c>
      <c r="P283" s="47">
        <f t="shared" si="8"/>
        <v>2520579.6</v>
      </c>
      <c r="Q283" s="27" t="s">
        <v>381</v>
      </c>
    </row>
    <row r="284" spans="1:17" s="2" customFormat="1" ht="26">
      <c r="A284" s="27">
        <v>9</v>
      </c>
      <c r="B284" s="29" t="s">
        <v>249</v>
      </c>
      <c r="C284" s="29"/>
      <c r="D284" s="27" t="s">
        <v>380</v>
      </c>
      <c r="E284" s="27" t="s">
        <v>355</v>
      </c>
      <c r="F284" s="27">
        <v>500</v>
      </c>
      <c r="G284" s="27">
        <v>500</v>
      </c>
      <c r="H284" s="27"/>
      <c r="I284" s="27"/>
      <c r="J284" s="27"/>
      <c r="K284" s="27">
        <v>200</v>
      </c>
      <c r="L284" s="27">
        <v>1.1499999999999999</v>
      </c>
      <c r="M284" s="27" t="s">
        <v>66</v>
      </c>
      <c r="N284" s="27">
        <v>2</v>
      </c>
      <c r="O284" s="47">
        <v>2396763.6</v>
      </c>
      <c r="P284" s="47">
        <f t="shared" si="8"/>
        <v>4793527.2</v>
      </c>
      <c r="Q284" s="27" t="s">
        <v>382</v>
      </c>
    </row>
    <row r="285" spans="1:17" s="2" customFormat="1" ht="26">
      <c r="A285" s="27">
        <v>10</v>
      </c>
      <c r="B285" s="29" t="s">
        <v>250</v>
      </c>
      <c r="C285" s="29"/>
      <c r="D285" s="27" t="s">
        <v>380</v>
      </c>
      <c r="E285" s="27" t="s">
        <v>355</v>
      </c>
      <c r="F285" s="27">
        <v>700</v>
      </c>
      <c r="G285" s="27">
        <v>700</v>
      </c>
      <c r="H285" s="27"/>
      <c r="I285" s="27"/>
      <c r="J285" s="27"/>
      <c r="K285" s="27">
        <v>200</v>
      </c>
      <c r="L285" s="27">
        <v>1.1499999999999999</v>
      </c>
      <c r="M285" s="27" t="s">
        <v>66</v>
      </c>
      <c r="N285" s="27">
        <v>6</v>
      </c>
      <c r="O285" s="47">
        <v>2584058.4</v>
      </c>
      <c r="P285" s="47">
        <f t="shared" si="8"/>
        <v>15504350.4</v>
      </c>
      <c r="Q285" s="27" t="s">
        <v>383</v>
      </c>
    </row>
    <row r="286" spans="1:17" s="2" customFormat="1" ht="26">
      <c r="A286" s="27">
        <v>11</v>
      </c>
      <c r="B286" s="29" t="s">
        <v>251</v>
      </c>
      <c r="C286" s="29"/>
      <c r="D286" s="27" t="s">
        <v>380</v>
      </c>
      <c r="E286" s="27" t="s">
        <v>355</v>
      </c>
      <c r="F286" s="27">
        <v>800</v>
      </c>
      <c r="G286" s="27">
        <v>800</v>
      </c>
      <c r="H286" s="27"/>
      <c r="I286" s="27"/>
      <c r="J286" s="27"/>
      <c r="K286" s="27">
        <v>200</v>
      </c>
      <c r="L286" s="27">
        <v>1.1499999999999999</v>
      </c>
      <c r="M286" s="27" t="s">
        <v>66</v>
      </c>
      <c r="N286" s="27">
        <v>12</v>
      </c>
      <c r="O286" s="47">
        <v>2665555.2000000002</v>
      </c>
      <c r="P286" s="47">
        <f t="shared" si="8"/>
        <v>31986662.399999999</v>
      </c>
      <c r="Q286" s="27" t="s">
        <v>384</v>
      </c>
    </row>
    <row r="287" spans="1:17" s="2" customFormat="1" ht="78">
      <c r="A287" s="27">
        <v>13</v>
      </c>
      <c r="B287" s="29" t="s">
        <v>252</v>
      </c>
      <c r="C287" s="29"/>
      <c r="D287" s="27" t="s">
        <v>385</v>
      </c>
      <c r="E287" s="27" t="s">
        <v>355</v>
      </c>
      <c r="F287" s="27">
        <v>150</v>
      </c>
      <c r="G287" s="27">
        <v>150</v>
      </c>
      <c r="H287" s="27"/>
      <c r="I287" s="27"/>
      <c r="J287" s="27"/>
      <c r="K287" s="27">
        <v>200</v>
      </c>
      <c r="L287" s="27">
        <v>1.1499999999999999</v>
      </c>
      <c r="M287" s="27" t="s">
        <v>66</v>
      </c>
      <c r="N287" s="27">
        <v>102</v>
      </c>
      <c r="O287" s="47">
        <v>4314051.5880000005</v>
      </c>
      <c r="P287" s="47">
        <f t="shared" si="8"/>
        <v>440033261.97600001</v>
      </c>
      <c r="Q287" s="27" t="s">
        <v>386</v>
      </c>
    </row>
    <row r="288" spans="1:17" s="2" customFormat="1" ht="78">
      <c r="A288" s="27">
        <v>15</v>
      </c>
      <c r="B288" s="29" t="s">
        <v>253</v>
      </c>
      <c r="C288" s="29"/>
      <c r="D288" s="27" t="s">
        <v>385</v>
      </c>
      <c r="E288" s="27" t="s">
        <v>355</v>
      </c>
      <c r="F288" s="27">
        <v>200</v>
      </c>
      <c r="G288" s="27">
        <v>150</v>
      </c>
      <c r="H288" s="27"/>
      <c r="I288" s="27"/>
      <c r="J288" s="27"/>
      <c r="K288" s="27">
        <v>200</v>
      </c>
      <c r="L288" s="27">
        <v>1.1499999999999999</v>
      </c>
      <c r="M288" s="27" t="s">
        <v>66</v>
      </c>
      <c r="N288" s="27">
        <v>1</v>
      </c>
      <c r="O288" s="47">
        <v>4364968.608</v>
      </c>
      <c r="P288" s="47">
        <f t="shared" si="8"/>
        <v>4364968.608</v>
      </c>
      <c r="Q288" s="27" t="s">
        <v>386</v>
      </c>
    </row>
    <row r="289" spans="1:17" s="2" customFormat="1" ht="78">
      <c r="A289" s="27">
        <v>16</v>
      </c>
      <c r="B289" s="29" t="s">
        <v>254</v>
      </c>
      <c r="C289" s="29"/>
      <c r="D289" s="27" t="s">
        <v>385</v>
      </c>
      <c r="E289" s="27" t="s">
        <v>355</v>
      </c>
      <c r="F289" s="27">
        <v>200</v>
      </c>
      <c r="G289" s="27">
        <v>150</v>
      </c>
      <c r="H289" s="27"/>
      <c r="I289" s="27"/>
      <c r="J289" s="27"/>
      <c r="K289" s="27">
        <v>200</v>
      </c>
      <c r="L289" s="27">
        <v>1.1499999999999999</v>
      </c>
      <c r="M289" s="27" t="s">
        <v>66</v>
      </c>
      <c r="N289" s="27">
        <v>1</v>
      </c>
      <c r="O289" s="47">
        <v>4364968.608</v>
      </c>
      <c r="P289" s="47">
        <f t="shared" si="8"/>
        <v>4364968.608</v>
      </c>
      <c r="Q289" s="27" t="s">
        <v>386</v>
      </c>
    </row>
    <row r="290" spans="1:17" s="2" customFormat="1" ht="78">
      <c r="A290" s="27">
        <v>17</v>
      </c>
      <c r="B290" s="29" t="s">
        <v>255</v>
      </c>
      <c r="C290" s="29"/>
      <c r="D290" s="27" t="s">
        <v>385</v>
      </c>
      <c r="E290" s="27" t="s">
        <v>355</v>
      </c>
      <c r="F290" s="27">
        <v>200</v>
      </c>
      <c r="G290" s="27">
        <v>150</v>
      </c>
      <c r="H290" s="27"/>
      <c r="I290" s="27"/>
      <c r="J290" s="27"/>
      <c r="K290" s="27">
        <v>200</v>
      </c>
      <c r="L290" s="27">
        <v>1.1499999999999999</v>
      </c>
      <c r="M290" s="27" t="s">
        <v>66</v>
      </c>
      <c r="N290" s="27">
        <v>45</v>
      </c>
      <c r="O290" s="47">
        <v>4364968.608</v>
      </c>
      <c r="P290" s="47">
        <f t="shared" si="8"/>
        <v>196423587.36000001</v>
      </c>
      <c r="Q290" s="27" t="s">
        <v>386</v>
      </c>
    </row>
    <row r="291" spans="1:17" s="2" customFormat="1" ht="78">
      <c r="A291" s="27">
        <v>18</v>
      </c>
      <c r="B291" s="29" t="s">
        <v>256</v>
      </c>
      <c r="C291" s="29"/>
      <c r="D291" s="27" t="s">
        <v>385</v>
      </c>
      <c r="E291" s="27" t="s">
        <v>355</v>
      </c>
      <c r="F291" s="27">
        <v>200</v>
      </c>
      <c r="G291" s="27">
        <v>200</v>
      </c>
      <c r="H291" s="27"/>
      <c r="I291" s="27"/>
      <c r="J291" s="27"/>
      <c r="K291" s="27">
        <v>200</v>
      </c>
      <c r="L291" s="27">
        <v>1.1499999999999999</v>
      </c>
      <c r="M291" s="27" t="s">
        <v>66</v>
      </c>
      <c r="N291" s="27">
        <v>26</v>
      </c>
      <c r="O291" s="47">
        <v>4419882.852</v>
      </c>
      <c r="P291" s="47">
        <f t="shared" si="8"/>
        <v>114916954.152</v>
      </c>
      <c r="Q291" s="27" t="s">
        <v>386</v>
      </c>
    </row>
    <row r="292" spans="1:17" s="2" customFormat="1" ht="78">
      <c r="A292" s="27">
        <v>19</v>
      </c>
      <c r="B292" s="29" t="s">
        <v>257</v>
      </c>
      <c r="C292" s="29"/>
      <c r="D292" s="27" t="s">
        <v>385</v>
      </c>
      <c r="E292" s="27" t="s">
        <v>355</v>
      </c>
      <c r="F292" s="27">
        <v>300</v>
      </c>
      <c r="G292" s="27">
        <v>300</v>
      </c>
      <c r="H292" s="27"/>
      <c r="I292" s="27"/>
      <c r="J292" s="27"/>
      <c r="K292" s="27">
        <v>200</v>
      </c>
      <c r="L292" s="27">
        <v>1.1499999999999999</v>
      </c>
      <c r="M292" s="27" t="s">
        <v>66</v>
      </c>
      <c r="N292" s="27">
        <v>1</v>
      </c>
      <c r="O292" s="47">
        <v>4955986.7280000001</v>
      </c>
      <c r="P292" s="47">
        <f t="shared" si="8"/>
        <v>4955986.7280000001</v>
      </c>
      <c r="Q292" s="27" t="s">
        <v>386</v>
      </c>
    </row>
    <row r="293" spans="1:17" s="2" customFormat="1" ht="78">
      <c r="A293" s="27">
        <v>20</v>
      </c>
      <c r="B293" s="29" t="s">
        <v>258</v>
      </c>
      <c r="C293" s="29"/>
      <c r="D293" s="27" t="s">
        <v>385</v>
      </c>
      <c r="E293" s="27" t="s">
        <v>355</v>
      </c>
      <c r="F293" s="27">
        <v>500</v>
      </c>
      <c r="G293" s="27">
        <v>400</v>
      </c>
      <c r="H293" s="27"/>
      <c r="I293" s="27"/>
      <c r="J293" s="27"/>
      <c r="K293" s="27">
        <v>200</v>
      </c>
      <c r="L293" s="27">
        <v>1.1499999999999999</v>
      </c>
      <c r="M293" s="27" t="s">
        <v>66</v>
      </c>
      <c r="N293" s="27">
        <v>1</v>
      </c>
      <c r="O293" s="47">
        <v>5335342.32</v>
      </c>
      <c r="P293" s="47">
        <f t="shared" si="8"/>
        <v>5335342.32</v>
      </c>
      <c r="Q293" s="27" t="s">
        <v>386</v>
      </c>
    </row>
    <row r="294" spans="1:17" s="2" customFormat="1" ht="78">
      <c r="A294" s="27">
        <v>21</v>
      </c>
      <c r="B294" s="29" t="s">
        <v>259</v>
      </c>
      <c r="C294" s="29"/>
      <c r="D294" s="27" t="s">
        <v>385</v>
      </c>
      <c r="E294" s="27" t="s">
        <v>355</v>
      </c>
      <c r="F294" s="27">
        <v>550</v>
      </c>
      <c r="G294" s="27">
        <v>450</v>
      </c>
      <c r="H294" s="27"/>
      <c r="I294" s="27"/>
      <c r="J294" s="27"/>
      <c r="K294" s="27">
        <v>200</v>
      </c>
      <c r="L294" s="27">
        <v>1.1499999999999999</v>
      </c>
      <c r="M294" s="27" t="s">
        <v>66</v>
      </c>
      <c r="N294" s="27">
        <v>1</v>
      </c>
      <c r="O294" s="47">
        <v>5478195.4919999996</v>
      </c>
      <c r="P294" s="47">
        <f t="shared" si="8"/>
        <v>5478195.4919999996</v>
      </c>
      <c r="Q294" s="27" t="s">
        <v>386</v>
      </c>
    </row>
    <row r="295" spans="1:17" s="2" customFormat="1" ht="78">
      <c r="A295" s="27">
        <v>22</v>
      </c>
      <c r="B295" s="29" t="s">
        <v>260</v>
      </c>
      <c r="C295" s="29"/>
      <c r="D295" s="27" t="s">
        <v>385</v>
      </c>
      <c r="E295" s="27" t="s">
        <v>355</v>
      </c>
      <c r="F295" s="27">
        <v>600</v>
      </c>
      <c r="G295" s="27">
        <v>200</v>
      </c>
      <c r="H295" s="27"/>
      <c r="I295" s="27"/>
      <c r="J295" s="27"/>
      <c r="K295" s="27">
        <v>200</v>
      </c>
      <c r="L295" s="27">
        <v>1.1499999999999999</v>
      </c>
      <c r="M295" s="27" t="s">
        <v>66</v>
      </c>
      <c r="N295" s="27">
        <v>2</v>
      </c>
      <c r="O295" s="47">
        <v>4859291.9759999998</v>
      </c>
      <c r="P295" s="47">
        <f t="shared" si="8"/>
        <v>9718583.9519999996</v>
      </c>
      <c r="Q295" s="27" t="s">
        <v>386</v>
      </c>
    </row>
    <row r="296" spans="1:17" s="2" customFormat="1" ht="78">
      <c r="A296" s="27">
        <v>23</v>
      </c>
      <c r="B296" s="29" t="s">
        <v>261</v>
      </c>
      <c r="C296" s="29"/>
      <c r="D296" s="27" t="s">
        <v>385</v>
      </c>
      <c r="E296" s="27" t="s">
        <v>355</v>
      </c>
      <c r="F296" s="27">
        <v>600</v>
      </c>
      <c r="G296" s="27">
        <v>450</v>
      </c>
      <c r="H296" s="27"/>
      <c r="I296" s="27"/>
      <c r="J296" s="27"/>
      <c r="K296" s="27">
        <v>200</v>
      </c>
      <c r="L296" s="27">
        <v>1.1499999999999999</v>
      </c>
      <c r="M296" s="27" t="s">
        <v>66</v>
      </c>
      <c r="N296" s="27">
        <v>3</v>
      </c>
      <c r="O296" s="47">
        <v>5547671.0520000001</v>
      </c>
      <c r="P296" s="47">
        <f t="shared" si="8"/>
        <v>16643013.155999999</v>
      </c>
      <c r="Q296" s="27" t="s">
        <v>386</v>
      </c>
    </row>
    <row r="297" spans="1:17" s="2" customFormat="1" ht="78">
      <c r="A297" s="27">
        <v>24</v>
      </c>
      <c r="B297" s="29" t="s">
        <v>262</v>
      </c>
      <c r="C297" s="29"/>
      <c r="D297" s="27" t="s">
        <v>385</v>
      </c>
      <c r="E297" s="27" t="s">
        <v>355</v>
      </c>
      <c r="F297" s="27">
        <v>600</v>
      </c>
      <c r="G297" s="27">
        <v>600</v>
      </c>
      <c r="H297" s="27"/>
      <c r="I297" s="27"/>
      <c r="J297" s="27"/>
      <c r="K297" s="27">
        <v>200</v>
      </c>
      <c r="L297" s="27">
        <v>1.1499999999999999</v>
      </c>
      <c r="M297" s="27" t="s">
        <v>66</v>
      </c>
      <c r="N297" s="27">
        <v>1</v>
      </c>
      <c r="O297" s="47">
        <v>5734588.8600000003</v>
      </c>
      <c r="P297" s="47">
        <f t="shared" si="8"/>
        <v>5734588.8600000003</v>
      </c>
      <c r="Q297" s="27" t="s">
        <v>386</v>
      </c>
    </row>
    <row r="298" spans="1:17" s="2" customFormat="1" ht="78">
      <c r="A298" s="27">
        <v>25</v>
      </c>
      <c r="B298" s="29" t="s">
        <v>263</v>
      </c>
      <c r="C298" s="29"/>
      <c r="D298" s="27" t="s">
        <v>385</v>
      </c>
      <c r="E298" s="27" t="s">
        <v>355</v>
      </c>
      <c r="F298" s="27">
        <v>750</v>
      </c>
      <c r="G298" s="27">
        <v>600</v>
      </c>
      <c r="H298" s="27"/>
      <c r="I298" s="27"/>
      <c r="J298" s="27"/>
      <c r="K298" s="27">
        <v>200</v>
      </c>
      <c r="L298" s="27">
        <v>1.1499999999999999</v>
      </c>
      <c r="M298" s="27" t="s">
        <v>66</v>
      </c>
      <c r="N298" s="27">
        <v>2</v>
      </c>
      <c r="O298" s="47">
        <v>5951961.7079999996</v>
      </c>
      <c r="P298" s="47">
        <f t="shared" si="8"/>
        <v>11903923.415999999</v>
      </c>
      <c r="Q298" s="27" t="s">
        <v>386</v>
      </c>
    </row>
    <row r="299" spans="1:17" s="2" customFormat="1" ht="78">
      <c r="A299" s="27">
        <v>26</v>
      </c>
      <c r="B299" s="29" t="s">
        <v>264</v>
      </c>
      <c r="C299" s="29"/>
      <c r="D299" s="27" t="s">
        <v>385</v>
      </c>
      <c r="E299" s="27" t="s">
        <v>355</v>
      </c>
      <c r="F299" s="27">
        <v>800</v>
      </c>
      <c r="G299" s="27">
        <v>700</v>
      </c>
      <c r="H299" s="27"/>
      <c r="I299" s="27"/>
      <c r="J299" s="27"/>
      <c r="K299" s="27">
        <v>200</v>
      </c>
      <c r="L299" s="27">
        <v>1.1499999999999999</v>
      </c>
      <c r="M299" s="27" t="s">
        <v>66</v>
      </c>
      <c r="N299" s="27">
        <v>6</v>
      </c>
      <c r="O299" s="47">
        <v>6470458.7640000004</v>
      </c>
      <c r="P299" s="47">
        <f t="shared" si="8"/>
        <v>38822752.583999999</v>
      </c>
      <c r="Q299" s="27" t="s">
        <v>386</v>
      </c>
    </row>
    <row r="300" spans="1:17" s="2" customFormat="1" ht="78">
      <c r="A300" s="27">
        <v>27</v>
      </c>
      <c r="B300" s="29" t="s">
        <v>265</v>
      </c>
      <c r="C300" s="29"/>
      <c r="D300" s="27" t="s">
        <v>385</v>
      </c>
      <c r="E300" s="27" t="s">
        <v>355</v>
      </c>
      <c r="F300" s="27">
        <v>900</v>
      </c>
      <c r="G300" s="27">
        <v>300</v>
      </c>
      <c r="H300" s="27"/>
      <c r="I300" s="27"/>
      <c r="J300" s="27"/>
      <c r="K300" s="27">
        <v>200</v>
      </c>
      <c r="L300" s="27">
        <v>1.1499999999999999</v>
      </c>
      <c r="M300" s="27" t="s">
        <v>66</v>
      </c>
      <c r="N300" s="27">
        <v>1</v>
      </c>
      <c r="O300" s="47">
        <v>5654358.8640000001</v>
      </c>
      <c r="P300" s="47">
        <f t="shared" si="8"/>
        <v>5654358.8640000001</v>
      </c>
      <c r="Q300" s="27" t="s">
        <v>386</v>
      </c>
    </row>
    <row r="301" spans="1:17" s="2" customFormat="1" ht="78">
      <c r="A301" s="27">
        <v>28</v>
      </c>
      <c r="B301" s="29" t="s">
        <v>266</v>
      </c>
      <c r="C301" s="29"/>
      <c r="D301" s="27" t="s">
        <v>385</v>
      </c>
      <c r="E301" s="27" t="s">
        <v>355</v>
      </c>
      <c r="F301" s="27">
        <v>900</v>
      </c>
      <c r="G301" s="27">
        <v>200</v>
      </c>
      <c r="H301" s="27"/>
      <c r="I301" s="27"/>
      <c r="J301" s="27"/>
      <c r="K301" s="27">
        <v>200</v>
      </c>
      <c r="L301" s="27">
        <v>1.1499999999999999</v>
      </c>
      <c r="M301" s="27" t="s">
        <v>66</v>
      </c>
      <c r="N301" s="27">
        <v>1</v>
      </c>
      <c r="O301" s="47">
        <v>5188967.784</v>
      </c>
      <c r="P301" s="47">
        <f t="shared" si="8"/>
        <v>5188967.784</v>
      </c>
      <c r="Q301" s="27" t="s">
        <v>386</v>
      </c>
    </row>
    <row r="302" spans="1:17" s="2" customFormat="1" ht="78">
      <c r="A302" s="27">
        <v>29</v>
      </c>
      <c r="B302" s="29" t="s">
        <v>267</v>
      </c>
      <c r="C302" s="29"/>
      <c r="D302" s="27" t="s">
        <v>385</v>
      </c>
      <c r="E302" s="27" t="s">
        <v>355</v>
      </c>
      <c r="F302" s="27">
        <v>900</v>
      </c>
      <c r="G302" s="27">
        <v>200</v>
      </c>
      <c r="H302" s="27"/>
      <c r="I302" s="27"/>
      <c r="J302" s="27"/>
      <c r="K302" s="27">
        <v>200</v>
      </c>
      <c r="L302" s="27">
        <v>1.1499999999999999</v>
      </c>
      <c r="M302" s="27" t="s">
        <v>66</v>
      </c>
      <c r="N302" s="27">
        <v>1</v>
      </c>
      <c r="O302" s="47">
        <v>5188967.784</v>
      </c>
      <c r="P302" s="47">
        <f t="shared" si="8"/>
        <v>5188967.784</v>
      </c>
      <c r="Q302" s="27" t="s">
        <v>386</v>
      </c>
    </row>
    <row r="303" spans="1:17" s="2" customFormat="1" ht="78">
      <c r="A303" s="27">
        <v>30</v>
      </c>
      <c r="B303" s="29" t="s">
        <v>268</v>
      </c>
      <c r="C303" s="29"/>
      <c r="D303" s="27" t="s">
        <v>385</v>
      </c>
      <c r="E303" s="27" t="s">
        <v>355</v>
      </c>
      <c r="F303" s="27">
        <v>1000</v>
      </c>
      <c r="G303" s="27">
        <v>600</v>
      </c>
      <c r="H303" s="27"/>
      <c r="I303" s="27"/>
      <c r="J303" s="27"/>
      <c r="K303" s="27">
        <v>200</v>
      </c>
      <c r="L303" s="27">
        <v>1.1499999999999999</v>
      </c>
      <c r="M303" s="27" t="s">
        <v>66</v>
      </c>
      <c r="N303" s="27">
        <v>11</v>
      </c>
      <c r="O303" s="47">
        <v>6564679.0439999998</v>
      </c>
      <c r="P303" s="47">
        <f t="shared" si="8"/>
        <v>72211469.483999997</v>
      </c>
      <c r="Q303" s="27" t="s">
        <v>386</v>
      </c>
    </row>
    <row r="304" spans="1:17" s="2" customFormat="1" ht="78">
      <c r="A304" s="27">
        <v>31</v>
      </c>
      <c r="B304" s="29" t="s">
        <v>269</v>
      </c>
      <c r="C304" s="29"/>
      <c r="D304" s="27" t="s">
        <v>385</v>
      </c>
      <c r="E304" s="27" t="s">
        <v>355</v>
      </c>
      <c r="F304" s="27">
        <v>1000</v>
      </c>
      <c r="G304" s="27">
        <v>800</v>
      </c>
      <c r="H304" s="27"/>
      <c r="I304" s="27"/>
      <c r="J304" s="27"/>
      <c r="K304" s="27">
        <v>200</v>
      </c>
      <c r="L304" s="27">
        <v>1.1499999999999999</v>
      </c>
      <c r="M304" s="27" t="s">
        <v>66</v>
      </c>
      <c r="N304" s="27">
        <v>1</v>
      </c>
      <c r="O304" s="47">
        <v>7116295.9560000002</v>
      </c>
      <c r="P304" s="47">
        <f t="shared" si="8"/>
        <v>7116295.9560000002</v>
      </c>
      <c r="Q304" s="27" t="s">
        <v>386</v>
      </c>
    </row>
    <row r="305" spans="1:17" s="2" customFormat="1" ht="65">
      <c r="A305" s="27">
        <v>32</v>
      </c>
      <c r="B305" s="29" t="s">
        <v>270</v>
      </c>
      <c r="C305" s="29"/>
      <c r="D305" s="27" t="s">
        <v>387</v>
      </c>
      <c r="E305" s="27" t="s">
        <v>355</v>
      </c>
      <c r="F305" s="27">
        <v>1000</v>
      </c>
      <c r="G305" s="27">
        <v>800</v>
      </c>
      <c r="H305" s="27"/>
      <c r="I305" s="27"/>
      <c r="J305" s="27"/>
      <c r="K305" s="27">
        <v>200</v>
      </c>
      <c r="L305" s="27">
        <v>1.1499999999999999</v>
      </c>
      <c r="M305" s="27" t="s">
        <v>66</v>
      </c>
      <c r="N305" s="27">
        <v>1</v>
      </c>
      <c r="O305" s="47">
        <v>7116295.9560000002</v>
      </c>
      <c r="P305" s="47">
        <f t="shared" si="8"/>
        <v>7116295.9560000002</v>
      </c>
      <c r="Q305" s="27" t="s">
        <v>388</v>
      </c>
    </row>
    <row r="306" spans="1:17" s="2" customFormat="1" ht="13">
      <c r="A306" s="27"/>
      <c r="B306" s="29" t="s">
        <v>116</v>
      </c>
      <c r="C306" s="29"/>
      <c r="D306" s="27"/>
      <c r="E306" s="27"/>
      <c r="F306" s="27"/>
      <c r="G306" s="27"/>
      <c r="H306" s="27"/>
      <c r="I306" s="27"/>
      <c r="J306" s="27"/>
      <c r="K306" s="27"/>
      <c r="L306" s="27"/>
      <c r="M306" s="27"/>
      <c r="N306" s="27"/>
      <c r="O306" s="47">
        <v>0</v>
      </c>
      <c r="P306" s="47">
        <f t="shared" si="8"/>
        <v>0</v>
      </c>
      <c r="Q306" s="27"/>
    </row>
    <row r="307" spans="1:17" s="2" customFormat="1" ht="13">
      <c r="A307" s="27">
        <v>1</v>
      </c>
      <c r="B307" s="29" t="s">
        <v>271</v>
      </c>
      <c r="C307" s="29"/>
      <c r="D307" s="27" t="s">
        <v>375</v>
      </c>
      <c r="E307" s="27" t="s">
        <v>355</v>
      </c>
      <c r="F307" s="27">
        <v>450</v>
      </c>
      <c r="G307" s="27">
        <v>450</v>
      </c>
      <c r="H307" s="27">
        <v>400</v>
      </c>
      <c r="I307" s="27">
        <v>400</v>
      </c>
      <c r="J307" s="27"/>
      <c r="K307" s="27"/>
      <c r="L307" s="27"/>
      <c r="M307" s="27" t="s">
        <v>66</v>
      </c>
      <c r="N307" s="27">
        <v>1</v>
      </c>
      <c r="O307" s="47">
        <v>341250</v>
      </c>
      <c r="P307" s="47">
        <f t="shared" si="8"/>
        <v>341250</v>
      </c>
      <c r="Q307" s="27" t="s">
        <v>376</v>
      </c>
    </row>
    <row r="308" spans="1:17" s="2" customFormat="1" ht="13">
      <c r="A308" s="27">
        <v>2</v>
      </c>
      <c r="B308" s="29" t="s">
        <v>272</v>
      </c>
      <c r="C308" s="29"/>
      <c r="D308" s="27" t="s">
        <v>375</v>
      </c>
      <c r="E308" s="27" t="s">
        <v>355</v>
      </c>
      <c r="F308" s="27">
        <v>600</v>
      </c>
      <c r="G308" s="27">
        <v>600</v>
      </c>
      <c r="H308" s="27">
        <v>550</v>
      </c>
      <c r="I308" s="27">
        <v>550</v>
      </c>
      <c r="J308" s="27"/>
      <c r="K308" s="27"/>
      <c r="L308" s="27"/>
      <c r="M308" s="27" t="s">
        <v>66</v>
      </c>
      <c r="N308" s="27">
        <v>95</v>
      </c>
      <c r="O308" s="47">
        <v>558600</v>
      </c>
      <c r="P308" s="47">
        <f t="shared" si="8"/>
        <v>53067000</v>
      </c>
      <c r="Q308" s="27" t="s">
        <v>376</v>
      </c>
    </row>
    <row r="309" spans="1:17" s="2" customFormat="1" ht="13">
      <c r="A309" s="27">
        <v>3</v>
      </c>
      <c r="B309" s="29" t="s">
        <v>272</v>
      </c>
      <c r="C309" s="29"/>
      <c r="D309" s="27" t="s">
        <v>375</v>
      </c>
      <c r="E309" s="27" t="s">
        <v>355</v>
      </c>
      <c r="F309" s="27">
        <v>600</v>
      </c>
      <c r="G309" s="27">
        <v>600</v>
      </c>
      <c r="H309" s="27">
        <v>550</v>
      </c>
      <c r="I309" s="27">
        <v>550</v>
      </c>
      <c r="J309" s="27"/>
      <c r="K309" s="27"/>
      <c r="L309" s="27"/>
      <c r="M309" s="27" t="s">
        <v>66</v>
      </c>
      <c r="N309" s="27">
        <v>77</v>
      </c>
      <c r="O309" s="47">
        <v>558600</v>
      </c>
      <c r="P309" s="47">
        <f t="shared" si="8"/>
        <v>43012200</v>
      </c>
      <c r="Q309" s="27" t="s">
        <v>376</v>
      </c>
    </row>
    <row r="310" spans="1:17" s="2" customFormat="1" ht="13">
      <c r="A310" s="27">
        <v>4</v>
      </c>
      <c r="B310" s="29" t="s">
        <v>272</v>
      </c>
      <c r="C310" s="29"/>
      <c r="D310" s="27" t="s">
        <v>375</v>
      </c>
      <c r="E310" s="27" t="s">
        <v>355</v>
      </c>
      <c r="F310" s="27">
        <v>600</v>
      </c>
      <c r="G310" s="27">
        <v>600</v>
      </c>
      <c r="H310" s="27">
        <v>550</v>
      </c>
      <c r="I310" s="27">
        <v>550</v>
      </c>
      <c r="J310" s="27"/>
      <c r="K310" s="27"/>
      <c r="L310" s="27"/>
      <c r="M310" s="27" t="s">
        <v>66</v>
      </c>
      <c r="N310" s="27">
        <v>24</v>
      </c>
      <c r="O310" s="47">
        <v>558600</v>
      </c>
      <c r="P310" s="47">
        <f t="shared" si="8"/>
        <v>13406400</v>
      </c>
      <c r="Q310" s="27" t="s">
        <v>376</v>
      </c>
    </row>
    <row r="311" spans="1:17" s="2" customFormat="1" ht="13">
      <c r="A311" s="27">
        <v>5</v>
      </c>
      <c r="B311" s="29" t="s">
        <v>272</v>
      </c>
      <c r="C311" s="29"/>
      <c r="D311" s="27" t="s">
        <v>375</v>
      </c>
      <c r="E311" s="27" t="s">
        <v>355</v>
      </c>
      <c r="F311" s="27">
        <v>600</v>
      </c>
      <c r="G311" s="27">
        <v>600</v>
      </c>
      <c r="H311" s="27">
        <v>550</v>
      </c>
      <c r="I311" s="27">
        <v>550</v>
      </c>
      <c r="J311" s="27"/>
      <c r="K311" s="27"/>
      <c r="L311" s="27"/>
      <c r="M311" s="27" t="s">
        <v>66</v>
      </c>
      <c r="N311" s="27">
        <v>26</v>
      </c>
      <c r="O311" s="47">
        <v>558600</v>
      </c>
      <c r="P311" s="47">
        <f t="shared" si="8"/>
        <v>14523600</v>
      </c>
      <c r="Q311" s="27" t="s">
        <v>376</v>
      </c>
    </row>
    <row r="312" spans="1:17" s="2" customFormat="1" ht="26">
      <c r="A312" s="27">
        <v>6</v>
      </c>
      <c r="B312" s="29" t="s">
        <v>273</v>
      </c>
      <c r="C312" s="29"/>
      <c r="D312" s="27" t="s">
        <v>389</v>
      </c>
      <c r="E312" s="27" t="s">
        <v>355</v>
      </c>
      <c r="F312" s="27">
        <v>1400</v>
      </c>
      <c r="G312" s="27">
        <v>350</v>
      </c>
      <c r="H312" s="27">
        <v>1350</v>
      </c>
      <c r="I312" s="27">
        <v>300</v>
      </c>
      <c r="J312" s="27"/>
      <c r="K312" s="27"/>
      <c r="L312" s="27"/>
      <c r="M312" s="27" t="s">
        <v>66</v>
      </c>
      <c r="N312" s="27">
        <v>1</v>
      </c>
      <c r="O312" s="47">
        <v>670740</v>
      </c>
      <c r="P312" s="47">
        <f t="shared" si="8"/>
        <v>670740</v>
      </c>
      <c r="Q312" s="27" t="s">
        <v>390</v>
      </c>
    </row>
    <row r="313" spans="1:17" s="2" customFormat="1" ht="26">
      <c r="A313" s="27">
        <v>7</v>
      </c>
      <c r="B313" s="29" t="s">
        <v>274</v>
      </c>
      <c r="C313" s="29"/>
      <c r="D313" s="27" t="s">
        <v>389</v>
      </c>
      <c r="E313" s="27" t="s">
        <v>355</v>
      </c>
      <c r="F313" s="27">
        <v>1600</v>
      </c>
      <c r="G313" s="27">
        <v>600</v>
      </c>
      <c r="H313" s="27">
        <v>1550</v>
      </c>
      <c r="I313" s="27">
        <v>550</v>
      </c>
      <c r="J313" s="27"/>
      <c r="K313" s="27"/>
      <c r="L313" s="27"/>
      <c r="M313" s="27" t="s">
        <v>66</v>
      </c>
      <c r="N313" s="27">
        <v>1</v>
      </c>
      <c r="O313" s="47">
        <v>670740</v>
      </c>
      <c r="P313" s="47">
        <f t="shared" si="8"/>
        <v>670740</v>
      </c>
      <c r="Q313" s="27" t="s">
        <v>390</v>
      </c>
    </row>
    <row r="314" spans="1:17" s="2" customFormat="1" ht="21" customHeight="1">
      <c r="A314" s="25" t="s">
        <v>275</v>
      </c>
      <c r="B314" s="26" t="s">
        <v>62</v>
      </c>
      <c r="C314" s="26"/>
      <c r="D314" s="25"/>
      <c r="E314" s="25"/>
      <c r="F314" s="25"/>
      <c r="G314" s="25"/>
      <c r="H314" s="25"/>
      <c r="I314" s="25"/>
      <c r="J314" s="25"/>
      <c r="K314" s="25"/>
      <c r="L314" s="25"/>
      <c r="M314" s="25"/>
      <c r="N314" s="25"/>
      <c r="O314" s="45">
        <v>0</v>
      </c>
      <c r="P314" s="45">
        <f t="shared" si="8"/>
        <v>0</v>
      </c>
      <c r="Q314" s="25"/>
    </row>
    <row r="315" spans="1:17" s="2" customFormat="1" ht="13">
      <c r="A315" s="27"/>
      <c r="B315" s="28" t="s">
        <v>63</v>
      </c>
      <c r="C315" s="28"/>
      <c r="D315" s="27"/>
      <c r="E315" s="27"/>
      <c r="F315" s="27"/>
      <c r="G315" s="27"/>
      <c r="H315" s="27"/>
      <c r="I315" s="27"/>
      <c r="J315" s="27"/>
      <c r="K315" s="27"/>
      <c r="L315" s="27"/>
      <c r="M315" s="27"/>
      <c r="N315" s="27"/>
      <c r="O315" s="47">
        <v>0</v>
      </c>
      <c r="P315" s="47">
        <f t="shared" si="8"/>
        <v>0</v>
      </c>
      <c r="Q315" s="27"/>
    </row>
    <row r="316" spans="1:17" s="2" customFormat="1" ht="13">
      <c r="A316" s="27">
        <v>1</v>
      </c>
      <c r="B316" s="29" t="s">
        <v>276</v>
      </c>
      <c r="C316" s="29"/>
      <c r="D316" s="27" t="s">
        <v>380</v>
      </c>
      <c r="E316" s="27" t="s">
        <v>355</v>
      </c>
      <c r="F316" s="27">
        <v>600</v>
      </c>
      <c r="G316" s="27">
        <v>300</v>
      </c>
      <c r="H316" s="27"/>
      <c r="I316" s="27"/>
      <c r="J316" s="27"/>
      <c r="K316" s="27">
        <v>200</v>
      </c>
      <c r="L316" s="27">
        <v>1.1499999999999999</v>
      </c>
      <c r="M316" s="27" t="s">
        <v>66</v>
      </c>
      <c r="N316" s="27">
        <v>2</v>
      </c>
      <c r="O316" s="47">
        <v>2262321.6</v>
      </c>
      <c r="P316" s="47">
        <f t="shared" si="8"/>
        <v>4524643.2</v>
      </c>
      <c r="Q316" s="27" t="s">
        <v>381</v>
      </c>
    </row>
    <row r="317" spans="1:17" s="2" customFormat="1" ht="13">
      <c r="A317" s="27">
        <v>2</v>
      </c>
      <c r="B317" s="29" t="s">
        <v>245</v>
      </c>
      <c r="C317" s="29"/>
      <c r="D317" s="27" t="s">
        <v>380</v>
      </c>
      <c r="E317" s="27" t="s">
        <v>355</v>
      </c>
      <c r="F317" s="27">
        <v>600</v>
      </c>
      <c r="G317" s="27">
        <v>450</v>
      </c>
      <c r="H317" s="27"/>
      <c r="I317" s="27"/>
      <c r="J317" s="27"/>
      <c r="K317" s="27">
        <v>200</v>
      </c>
      <c r="L317" s="27">
        <v>1.1499999999999999</v>
      </c>
      <c r="M317" s="27" t="s">
        <v>66</v>
      </c>
      <c r="N317" s="27">
        <v>2</v>
      </c>
      <c r="O317" s="47">
        <v>2909029.2</v>
      </c>
      <c r="P317" s="47">
        <f t="shared" si="8"/>
        <v>5818058.4000000004</v>
      </c>
      <c r="Q317" s="27" t="s">
        <v>381</v>
      </c>
    </row>
    <row r="318" spans="1:17" s="2" customFormat="1" ht="13">
      <c r="A318" s="27">
        <v>3</v>
      </c>
      <c r="B318" s="29" t="s">
        <v>277</v>
      </c>
      <c r="C318" s="29"/>
      <c r="D318" s="27" t="s">
        <v>380</v>
      </c>
      <c r="E318" s="27" t="s">
        <v>355</v>
      </c>
      <c r="F318" s="27">
        <v>1000</v>
      </c>
      <c r="G318" s="27">
        <v>500</v>
      </c>
      <c r="H318" s="27"/>
      <c r="I318" s="27"/>
      <c r="J318" s="27"/>
      <c r="K318" s="27">
        <v>200</v>
      </c>
      <c r="L318" s="27">
        <v>1.1499999999999999</v>
      </c>
      <c r="M318" s="27" t="s">
        <v>66</v>
      </c>
      <c r="N318" s="27">
        <v>1</v>
      </c>
      <c r="O318" s="47">
        <v>3299788.7999999998</v>
      </c>
      <c r="P318" s="47">
        <f t="shared" si="8"/>
        <v>3299788.7999999998</v>
      </c>
      <c r="Q318" s="27" t="s">
        <v>381</v>
      </c>
    </row>
    <row r="319" spans="1:17" s="2" customFormat="1" ht="13">
      <c r="A319" s="27">
        <v>4</v>
      </c>
      <c r="B319" s="29" t="s">
        <v>278</v>
      </c>
      <c r="C319" s="29"/>
      <c r="D319" s="27" t="s">
        <v>380</v>
      </c>
      <c r="E319" s="27" t="s">
        <v>355</v>
      </c>
      <c r="F319" s="27">
        <v>1000</v>
      </c>
      <c r="G319" s="27">
        <v>600</v>
      </c>
      <c r="H319" s="27"/>
      <c r="I319" s="27"/>
      <c r="J319" s="27"/>
      <c r="K319" s="27">
        <v>200</v>
      </c>
      <c r="L319" s="27">
        <v>1.1499999999999999</v>
      </c>
      <c r="M319" s="27" t="s">
        <v>66</v>
      </c>
      <c r="N319" s="27">
        <v>2</v>
      </c>
      <c r="O319" s="47">
        <v>3355228.8</v>
      </c>
      <c r="P319" s="47">
        <f t="shared" si="8"/>
        <v>6710457.5999999996</v>
      </c>
      <c r="Q319" s="27" t="s">
        <v>381</v>
      </c>
    </row>
    <row r="320" spans="1:17" s="2" customFormat="1" ht="13">
      <c r="A320" s="27">
        <v>5</v>
      </c>
      <c r="B320" s="29" t="s">
        <v>279</v>
      </c>
      <c r="C320" s="29"/>
      <c r="D320" s="27" t="s">
        <v>380</v>
      </c>
      <c r="E320" s="27" t="s">
        <v>355</v>
      </c>
      <c r="F320" s="27">
        <v>1200</v>
      </c>
      <c r="G320" s="27">
        <v>900</v>
      </c>
      <c r="H320" s="27"/>
      <c r="I320" s="27"/>
      <c r="J320" s="27"/>
      <c r="K320" s="27">
        <v>200</v>
      </c>
      <c r="L320" s="27">
        <v>1.1499999999999999</v>
      </c>
      <c r="M320" s="27" t="s">
        <v>66</v>
      </c>
      <c r="N320" s="27">
        <v>1</v>
      </c>
      <c r="O320" s="47">
        <v>3688423.2</v>
      </c>
      <c r="P320" s="47">
        <f t="shared" si="8"/>
        <v>3688423.2</v>
      </c>
      <c r="Q320" s="27" t="s">
        <v>381</v>
      </c>
    </row>
    <row r="321" spans="1:17" s="2" customFormat="1" ht="26">
      <c r="A321" s="27">
        <v>6</v>
      </c>
      <c r="B321" s="29" t="s">
        <v>280</v>
      </c>
      <c r="C321" s="29"/>
      <c r="D321" s="27" t="s">
        <v>380</v>
      </c>
      <c r="E321" s="27" t="s">
        <v>355</v>
      </c>
      <c r="F321" s="27">
        <v>600</v>
      </c>
      <c r="G321" s="27">
        <v>600</v>
      </c>
      <c r="H321" s="27"/>
      <c r="I321" s="27"/>
      <c r="J321" s="27"/>
      <c r="K321" s="27">
        <v>200</v>
      </c>
      <c r="L321" s="27">
        <v>1.1499999999999999</v>
      </c>
      <c r="M321" s="27" t="s">
        <v>66</v>
      </c>
      <c r="N321" s="27">
        <v>1</v>
      </c>
      <c r="O321" s="47">
        <v>2466248.4</v>
      </c>
      <c r="P321" s="47">
        <f t="shared" si="8"/>
        <v>2466248.4</v>
      </c>
      <c r="Q321" s="27" t="s">
        <v>381</v>
      </c>
    </row>
    <row r="322" spans="1:17" s="2" customFormat="1" ht="26">
      <c r="A322" s="27">
        <v>7</v>
      </c>
      <c r="B322" s="29" t="s">
        <v>281</v>
      </c>
      <c r="C322" s="29"/>
      <c r="D322" s="27" t="s">
        <v>380</v>
      </c>
      <c r="E322" s="27" t="s">
        <v>355</v>
      </c>
      <c r="F322" s="27">
        <v>750</v>
      </c>
      <c r="G322" s="27">
        <v>750</v>
      </c>
      <c r="H322" s="27"/>
      <c r="I322" s="27"/>
      <c r="J322" s="27"/>
      <c r="K322" s="27">
        <v>200</v>
      </c>
      <c r="L322" s="27">
        <v>1.1499999999999999</v>
      </c>
      <c r="M322" s="27" t="s">
        <v>66</v>
      </c>
      <c r="N322" s="27">
        <v>1</v>
      </c>
      <c r="O322" s="47">
        <v>2623975.2000000002</v>
      </c>
      <c r="P322" s="47">
        <f t="shared" si="8"/>
        <v>2623975.2000000002</v>
      </c>
      <c r="Q322" s="27" t="s">
        <v>381</v>
      </c>
    </row>
    <row r="323" spans="1:17" s="2" customFormat="1" ht="78">
      <c r="A323" s="27">
        <v>8</v>
      </c>
      <c r="B323" s="29" t="s">
        <v>282</v>
      </c>
      <c r="C323" s="29"/>
      <c r="D323" s="27" t="s">
        <v>385</v>
      </c>
      <c r="E323" s="27" t="s">
        <v>355</v>
      </c>
      <c r="F323" s="27">
        <v>600</v>
      </c>
      <c r="G323" s="27">
        <v>250</v>
      </c>
      <c r="H323" s="27"/>
      <c r="I323" s="27"/>
      <c r="J323" s="27"/>
      <c r="K323" s="27">
        <v>200</v>
      </c>
      <c r="L323" s="27">
        <v>1.1499999999999999</v>
      </c>
      <c r="M323" s="27" t="s">
        <v>66</v>
      </c>
      <c r="N323" s="27">
        <v>97</v>
      </c>
      <c r="O323" s="47">
        <v>4946469.5279999999</v>
      </c>
      <c r="P323" s="47">
        <f t="shared" si="8"/>
        <v>479807544.21600002</v>
      </c>
      <c r="Q323" s="27" t="s">
        <v>386</v>
      </c>
    </row>
    <row r="324" spans="1:17" s="2" customFormat="1" ht="78">
      <c r="A324" s="27">
        <v>9</v>
      </c>
      <c r="B324" s="29" t="s">
        <v>283</v>
      </c>
      <c r="C324" s="29"/>
      <c r="D324" s="27" t="s">
        <v>385</v>
      </c>
      <c r="E324" s="27" t="s">
        <v>355</v>
      </c>
      <c r="F324" s="27">
        <v>600</v>
      </c>
      <c r="G324" s="27">
        <v>300</v>
      </c>
      <c r="H324" s="27"/>
      <c r="I324" s="27"/>
      <c r="J324" s="27"/>
      <c r="K324" s="27">
        <v>200</v>
      </c>
      <c r="L324" s="27">
        <v>1.1499999999999999</v>
      </c>
      <c r="M324" s="27" t="s">
        <v>66</v>
      </c>
      <c r="N324" s="27">
        <v>2</v>
      </c>
      <c r="O324" s="47">
        <v>5305172.7960000001</v>
      </c>
      <c r="P324" s="47">
        <f t="shared" si="8"/>
        <v>10610345.592</v>
      </c>
      <c r="Q324" s="27" t="s">
        <v>386</v>
      </c>
    </row>
    <row r="325" spans="1:17" s="2" customFormat="1" ht="78">
      <c r="A325" s="27">
        <v>10</v>
      </c>
      <c r="B325" s="29" t="s">
        <v>284</v>
      </c>
      <c r="C325" s="29"/>
      <c r="D325" s="27" t="s">
        <v>385</v>
      </c>
      <c r="E325" s="27" t="s">
        <v>355</v>
      </c>
      <c r="F325" s="27">
        <v>600</v>
      </c>
      <c r="G325" s="27">
        <v>300</v>
      </c>
      <c r="H325" s="27"/>
      <c r="I325" s="27"/>
      <c r="J325" s="27"/>
      <c r="K325" s="27">
        <v>200</v>
      </c>
      <c r="L325" s="27">
        <v>1.1499999999999999</v>
      </c>
      <c r="M325" s="27" t="s">
        <v>66</v>
      </c>
      <c r="N325" s="27">
        <v>1</v>
      </c>
      <c r="O325" s="47">
        <v>5305172.7960000001</v>
      </c>
      <c r="P325" s="47">
        <f t="shared" si="8"/>
        <v>5305172.7960000001</v>
      </c>
      <c r="Q325" s="27" t="s">
        <v>386</v>
      </c>
    </row>
    <row r="326" spans="1:17" s="2" customFormat="1" ht="78">
      <c r="A326" s="27">
        <v>11</v>
      </c>
      <c r="B326" s="29" t="s">
        <v>285</v>
      </c>
      <c r="C326" s="29"/>
      <c r="D326" s="27" t="s">
        <v>385</v>
      </c>
      <c r="E326" s="27" t="s">
        <v>355</v>
      </c>
      <c r="F326" s="27">
        <v>600</v>
      </c>
      <c r="G326" s="27">
        <v>400</v>
      </c>
      <c r="H326" s="27"/>
      <c r="I326" s="27"/>
      <c r="J326" s="27"/>
      <c r="K326" s="27">
        <v>200</v>
      </c>
      <c r="L326" s="27">
        <v>1.1499999999999999</v>
      </c>
      <c r="M326" s="27" t="s">
        <v>66</v>
      </c>
      <c r="N326" s="27">
        <v>1</v>
      </c>
      <c r="O326" s="47">
        <v>5466870.0240000002</v>
      </c>
      <c r="P326" s="47">
        <f t="shared" si="8"/>
        <v>5466870.0240000002</v>
      </c>
      <c r="Q326" s="27" t="s">
        <v>386</v>
      </c>
    </row>
    <row r="327" spans="1:17" s="2" customFormat="1" ht="78">
      <c r="A327" s="27">
        <v>12</v>
      </c>
      <c r="B327" s="29" t="s">
        <v>286</v>
      </c>
      <c r="C327" s="29"/>
      <c r="D327" s="27" t="s">
        <v>385</v>
      </c>
      <c r="E327" s="27" t="s">
        <v>355</v>
      </c>
      <c r="F327" s="27">
        <v>600</v>
      </c>
      <c r="G327" s="27">
        <v>450</v>
      </c>
      <c r="H327" s="27"/>
      <c r="I327" s="27"/>
      <c r="J327" s="27"/>
      <c r="K327" s="27">
        <v>200</v>
      </c>
      <c r="L327" s="27">
        <v>1.1499999999999999</v>
      </c>
      <c r="M327" s="27" t="s">
        <v>66</v>
      </c>
      <c r="N327" s="27">
        <v>2</v>
      </c>
      <c r="O327" s="47">
        <v>5547671.0520000001</v>
      </c>
      <c r="P327" s="47">
        <f t="shared" si="8"/>
        <v>11095342.104</v>
      </c>
      <c r="Q327" s="27" t="s">
        <v>386</v>
      </c>
    </row>
    <row r="328" spans="1:17" s="2" customFormat="1" ht="78">
      <c r="A328" s="27">
        <v>13</v>
      </c>
      <c r="B328" s="29" t="s">
        <v>261</v>
      </c>
      <c r="C328" s="29"/>
      <c r="D328" s="27" t="s">
        <v>385</v>
      </c>
      <c r="E328" s="27" t="s">
        <v>355</v>
      </c>
      <c r="F328" s="27">
        <v>600</v>
      </c>
      <c r="G328" s="27">
        <v>450</v>
      </c>
      <c r="H328" s="27"/>
      <c r="I328" s="27"/>
      <c r="J328" s="27"/>
      <c r="K328" s="27">
        <v>200</v>
      </c>
      <c r="L328" s="27">
        <v>1.1499999999999999</v>
      </c>
      <c r="M328" s="27" t="s">
        <v>66</v>
      </c>
      <c r="N328" s="27">
        <v>2</v>
      </c>
      <c r="O328" s="47">
        <v>5547671.0520000001</v>
      </c>
      <c r="P328" s="47">
        <f t="shared" si="8"/>
        <v>11095342.104</v>
      </c>
      <c r="Q328" s="27" t="s">
        <v>386</v>
      </c>
    </row>
    <row r="329" spans="1:17" s="2" customFormat="1" ht="78">
      <c r="A329" s="27">
        <v>14</v>
      </c>
      <c r="B329" s="29" t="s">
        <v>287</v>
      </c>
      <c r="C329" s="29"/>
      <c r="D329" s="27" t="s">
        <v>385</v>
      </c>
      <c r="E329" s="27" t="s">
        <v>355</v>
      </c>
      <c r="F329" s="27">
        <v>750</v>
      </c>
      <c r="G329" s="27">
        <v>350</v>
      </c>
      <c r="H329" s="27"/>
      <c r="I329" s="27"/>
      <c r="J329" s="27"/>
      <c r="K329" s="27">
        <v>200</v>
      </c>
      <c r="L329" s="27">
        <v>1.1499999999999999</v>
      </c>
      <c r="M329" s="27" t="s">
        <v>66</v>
      </c>
      <c r="N329" s="27">
        <v>1</v>
      </c>
      <c r="O329" s="47">
        <v>5571939.9119999995</v>
      </c>
      <c r="P329" s="47">
        <f t="shared" si="8"/>
        <v>5571939.9119999995</v>
      </c>
      <c r="Q329" s="27" t="s">
        <v>386</v>
      </c>
    </row>
    <row r="330" spans="1:17" s="2" customFormat="1" ht="78">
      <c r="A330" s="27">
        <v>15</v>
      </c>
      <c r="B330" s="29" t="s">
        <v>288</v>
      </c>
      <c r="C330" s="29"/>
      <c r="D330" s="27" t="s">
        <v>385</v>
      </c>
      <c r="E330" s="27" t="s">
        <v>355</v>
      </c>
      <c r="F330" s="27">
        <v>750</v>
      </c>
      <c r="G330" s="27">
        <v>350</v>
      </c>
      <c r="H330" s="27"/>
      <c r="I330" s="27"/>
      <c r="J330" s="27"/>
      <c r="K330" s="27">
        <v>200</v>
      </c>
      <c r="L330" s="27">
        <v>1.1499999999999999</v>
      </c>
      <c r="M330" s="27" t="s">
        <v>66</v>
      </c>
      <c r="N330" s="27">
        <v>1</v>
      </c>
      <c r="O330" s="47">
        <v>5571939.9119999995</v>
      </c>
      <c r="P330" s="47">
        <f t="shared" si="8"/>
        <v>5571939.9119999995</v>
      </c>
      <c r="Q330" s="27" t="s">
        <v>386</v>
      </c>
    </row>
    <row r="331" spans="1:17" s="2" customFormat="1" ht="78">
      <c r="A331" s="27">
        <v>16</v>
      </c>
      <c r="B331" s="29" t="s">
        <v>289</v>
      </c>
      <c r="C331" s="29"/>
      <c r="D331" s="27" t="s">
        <v>385</v>
      </c>
      <c r="E331" s="27" t="s">
        <v>355</v>
      </c>
      <c r="F331" s="27">
        <v>1000</v>
      </c>
      <c r="G331" s="27">
        <v>600</v>
      </c>
      <c r="H331" s="27"/>
      <c r="I331" s="27"/>
      <c r="J331" s="27"/>
      <c r="K331" s="27">
        <v>200</v>
      </c>
      <c r="L331" s="27">
        <v>1.1499999999999999</v>
      </c>
      <c r="M331" s="27" t="s">
        <v>66</v>
      </c>
      <c r="N331" s="27">
        <v>3</v>
      </c>
      <c r="O331" s="47">
        <v>6564679.0439999998</v>
      </c>
      <c r="P331" s="47">
        <f t="shared" si="8"/>
        <v>19694037.131999999</v>
      </c>
      <c r="Q331" s="27" t="s">
        <v>386</v>
      </c>
    </row>
    <row r="332" spans="1:17" s="2" customFormat="1" ht="78">
      <c r="A332" s="27">
        <v>17</v>
      </c>
      <c r="B332" s="29" t="s">
        <v>290</v>
      </c>
      <c r="C332" s="29"/>
      <c r="D332" s="27" t="s">
        <v>385</v>
      </c>
      <c r="E332" s="27" t="s">
        <v>355</v>
      </c>
      <c r="F332" s="27">
        <v>1200</v>
      </c>
      <c r="G332" s="27">
        <v>900</v>
      </c>
      <c r="H332" s="27">
        <v>1200</v>
      </c>
      <c r="I332" s="27">
        <v>450</v>
      </c>
      <c r="J332" s="27">
        <v>2</v>
      </c>
      <c r="K332" s="27">
        <v>200</v>
      </c>
      <c r="L332" s="27">
        <v>1.1499999999999999</v>
      </c>
      <c r="M332" s="27" t="s">
        <v>66</v>
      </c>
      <c r="N332" s="27">
        <v>1</v>
      </c>
      <c r="O332" s="47">
        <v>12883243.296</v>
      </c>
      <c r="P332" s="47">
        <f t="shared" si="8"/>
        <v>12883243.296</v>
      </c>
      <c r="Q332" s="27" t="s">
        <v>391</v>
      </c>
    </row>
    <row r="333" spans="1:17" s="2" customFormat="1" ht="13">
      <c r="A333" s="27"/>
      <c r="B333" s="29" t="s">
        <v>116</v>
      </c>
      <c r="C333" s="29"/>
      <c r="D333" s="27"/>
      <c r="E333" s="27"/>
      <c r="F333" s="27"/>
      <c r="G333" s="27"/>
      <c r="H333" s="27"/>
      <c r="I333" s="27"/>
      <c r="J333" s="27"/>
      <c r="K333" s="27"/>
      <c r="L333" s="27"/>
      <c r="M333" s="27"/>
      <c r="N333" s="27"/>
      <c r="O333" s="47">
        <v>0</v>
      </c>
      <c r="P333" s="47">
        <f t="shared" si="8"/>
        <v>0</v>
      </c>
      <c r="Q333" s="27"/>
    </row>
    <row r="334" spans="1:17" s="2" customFormat="1" ht="13">
      <c r="A334" s="27">
        <v>9</v>
      </c>
      <c r="B334" s="29" t="s">
        <v>291</v>
      </c>
      <c r="C334" s="29"/>
      <c r="D334" s="27" t="s">
        <v>375</v>
      </c>
      <c r="E334" s="27" t="s">
        <v>355</v>
      </c>
      <c r="F334" s="27">
        <v>200</v>
      </c>
      <c r="G334" s="27">
        <v>300</v>
      </c>
      <c r="H334" s="27">
        <v>150</v>
      </c>
      <c r="I334" s="27">
        <v>250</v>
      </c>
      <c r="J334" s="27"/>
      <c r="K334" s="27"/>
      <c r="L334" s="27"/>
      <c r="M334" s="27" t="s">
        <v>66</v>
      </c>
      <c r="N334" s="27">
        <v>11</v>
      </c>
      <c r="O334" s="47">
        <v>134400</v>
      </c>
      <c r="P334" s="47">
        <f t="shared" si="8"/>
        <v>1478400</v>
      </c>
      <c r="Q334" s="27" t="s">
        <v>376</v>
      </c>
    </row>
    <row r="335" spans="1:17" s="2" customFormat="1" ht="13">
      <c r="A335" s="27">
        <v>10</v>
      </c>
      <c r="B335" s="29" t="s">
        <v>125</v>
      </c>
      <c r="C335" s="29"/>
      <c r="D335" s="27" t="s">
        <v>375</v>
      </c>
      <c r="E335" s="27" t="s">
        <v>355</v>
      </c>
      <c r="F335" s="27">
        <v>200</v>
      </c>
      <c r="G335" s="27">
        <v>200</v>
      </c>
      <c r="H335" s="27">
        <v>150</v>
      </c>
      <c r="I335" s="27">
        <v>150</v>
      </c>
      <c r="J335" s="27"/>
      <c r="K335" s="27"/>
      <c r="L335" s="27"/>
      <c r="M335" s="27" t="s">
        <v>66</v>
      </c>
      <c r="N335" s="27">
        <v>51</v>
      </c>
      <c r="O335" s="47">
        <v>101850</v>
      </c>
      <c r="P335" s="47">
        <f t="shared" si="8"/>
        <v>5194350</v>
      </c>
      <c r="Q335" s="27" t="s">
        <v>376</v>
      </c>
    </row>
    <row r="336" spans="1:17" s="2" customFormat="1" ht="13">
      <c r="A336" s="27">
        <v>11</v>
      </c>
      <c r="B336" s="29" t="s">
        <v>123</v>
      </c>
      <c r="C336" s="29"/>
      <c r="D336" s="27" t="s">
        <v>375</v>
      </c>
      <c r="E336" s="27" t="s">
        <v>355</v>
      </c>
      <c r="F336" s="27">
        <v>300</v>
      </c>
      <c r="G336" s="27">
        <v>300</v>
      </c>
      <c r="H336" s="27">
        <v>250</v>
      </c>
      <c r="I336" s="27">
        <v>250</v>
      </c>
      <c r="J336" s="27"/>
      <c r="K336" s="27"/>
      <c r="L336" s="27"/>
      <c r="M336" s="27" t="s">
        <v>66</v>
      </c>
      <c r="N336" s="27">
        <v>32</v>
      </c>
      <c r="O336" s="47">
        <v>181650</v>
      </c>
      <c r="P336" s="47">
        <f t="shared" si="8"/>
        <v>5812800</v>
      </c>
      <c r="Q336" s="27" t="s">
        <v>376</v>
      </c>
    </row>
    <row r="337" spans="1:17" s="2" customFormat="1" ht="21" customHeight="1">
      <c r="A337" s="25" t="s">
        <v>292</v>
      </c>
      <c r="B337" s="26" t="s">
        <v>293</v>
      </c>
      <c r="C337" s="26"/>
      <c r="D337" s="25"/>
      <c r="E337" s="25"/>
      <c r="F337" s="25"/>
      <c r="G337" s="25"/>
      <c r="H337" s="25"/>
      <c r="I337" s="25"/>
      <c r="J337" s="25"/>
      <c r="K337" s="25"/>
      <c r="L337" s="25"/>
      <c r="M337" s="25"/>
      <c r="N337" s="25"/>
      <c r="O337" s="45">
        <v>0</v>
      </c>
      <c r="P337" s="45">
        <f t="shared" ref="P337:P359" si="9">O337*N337</f>
        <v>0</v>
      </c>
      <c r="Q337" s="25"/>
    </row>
    <row r="338" spans="1:17" s="2" customFormat="1" ht="13">
      <c r="A338" s="27">
        <v>1</v>
      </c>
      <c r="B338" s="29" t="s">
        <v>245</v>
      </c>
      <c r="C338" s="29"/>
      <c r="D338" s="27" t="s">
        <v>380</v>
      </c>
      <c r="E338" s="27" t="s">
        <v>355</v>
      </c>
      <c r="F338" s="27">
        <v>800</v>
      </c>
      <c r="G338" s="27">
        <v>450</v>
      </c>
      <c r="H338" s="27"/>
      <c r="I338" s="27"/>
      <c r="J338" s="27"/>
      <c r="K338" s="27">
        <v>200</v>
      </c>
      <c r="L338" s="27">
        <v>1.1499999999999999</v>
      </c>
      <c r="M338" s="27" t="s">
        <v>66</v>
      </c>
      <c r="N338" s="27">
        <v>1</v>
      </c>
      <c r="O338" s="47">
        <v>2362206</v>
      </c>
      <c r="P338" s="47">
        <f t="shared" si="9"/>
        <v>2362206</v>
      </c>
      <c r="Q338" s="27" t="s">
        <v>381</v>
      </c>
    </row>
    <row r="339" spans="1:17" s="2" customFormat="1" ht="13">
      <c r="A339" s="27">
        <v>2</v>
      </c>
      <c r="B339" s="29" t="s">
        <v>294</v>
      </c>
      <c r="C339" s="29"/>
      <c r="D339" s="27" t="s">
        <v>380</v>
      </c>
      <c r="E339" s="27" t="s">
        <v>355</v>
      </c>
      <c r="F339" s="27">
        <v>800</v>
      </c>
      <c r="G339" s="27">
        <v>350</v>
      </c>
      <c r="H339" s="27"/>
      <c r="I339" s="27"/>
      <c r="J339" s="27"/>
      <c r="K339" s="27">
        <v>200</v>
      </c>
      <c r="L339" s="27">
        <v>1.1499999999999999</v>
      </c>
      <c r="M339" s="27" t="s">
        <v>66</v>
      </c>
      <c r="N339" s="27">
        <v>2</v>
      </c>
      <c r="O339" s="47">
        <v>2326354.7999999998</v>
      </c>
      <c r="P339" s="47">
        <f t="shared" si="9"/>
        <v>4652709.5999999996</v>
      </c>
      <c r="Q339" s="27" t="s">
        <v>381</v>
      </c>
    </row>
    <row r="340" spans="1:17" s="2" customFormat="1" ht="78">
      <c r="A340" s="27">
        <v>3</v>
      </c>
      <c r="B340" s="29" t="s">
        <v>261</v>
      </c>
      <c r="C340" s="29"/>
      <c r="D340" s="27" t="s">
        <v>385</v>
      </c>
      <c r="E340" s="27" t="s">
        <v>355</v>
      </c>
      <c r="F340" s="27">
        <v>600</v>
      </c>
      <c r="G340" s="27">
        <v>450</v>
      </c>
      <c r="H340" s="27"/>
      <c r="I340" s="27"/>
      <c r="J340" s="27"/>
      <c r="K340" s="27">
        <v>200</v>
      </c>
      <c r="L340" s="27">
        <v>1.1499999999999999</v>
      </c>
      <c r="M340" s="27" t="s">
        <v>66</v>
      </c>
      <c r="N340" s="27">
        <v>14</v>
      </c>
      <c r="O340" s="47">
        <v>5466870.0240000002</v>
      </c>
      <c r="P340" s="47">
        <f t="shared" si="9"/>
        <v>76536180.335999995</v>
      </c>
      <c r="Q340" s="27" t="s">
        <v>386</v>
      </c>
    </row>
    <row r="341" spans="1:17" s="2" customFormat="1" ht="26">
      <c r="A341" s="27">
        <v>5</v>
      </c>
      <c r="B341" s="29" t="s">
        <v>295</v>
      </c>
      <c r="C341" s="29"/>
      <c r="D341" s="27" t="s">
        <v>392</v>
      </c>
      <c r="E341" s="27" t="s">
        <v>355</v>
      </c>
      <c r="F341" s="27">
        <v>1500</v>
      </c>
      <c r="G341" s="27">
        <v>100</v>
      </c>
      <c r="H341" s="27">
        <v>1450</v>
      </c>
      <c r="I341" s="27">
        <v>50</v>
      </c>
      <c r="J341" s="27"/>
      <c r="K341" s="27"/>
      <c r="L341" s="27"/>
      <c r="M341" s="27" t="s">
        <v>66</v>
      </c>
      <c r="N341" s="27">
        <v>1</v>
      </c>
      <c r="O341" s="47">
        <v>258195</v>
      </c>
      <c r="P341" s="47">
        <f t="shared" si="9"/>
        <v>258195</v>
      </c>
      <c r="Q341" s="27" t="s">
        <v>393</v>
      </c>
    </row>
    <row r="342" spans="1:17" s="2" customFormat="1" ht="26">
      <c r="A342" s="27">
        <v>6</v>
      </c>
      <c r="B342" s="29" t="s">
        <v>296</v>
      </c>
      <c r="C342" s="29"/>
      <c r="D342" s="27" t="s">
        <v>392</v>
      </c>
      <c r="E342" s="27" t="s">
        <v>355</v>
      </c>
      <c r="F342" s="27">
        <v>2050</v>
      </c>
      <c r="G342" s="27">
        <v>750</v>
      </c>
      <c r="H342" s="27">
        <v>2000</v>
      </c>
      <c r="I342" s="27">
        <v>700</v>
      </c>
      <c r="J342" s="27"/>
      <c r="K342" s="27"/>
      <c r="L342" s="27"/>
      <c r="M342" s="27" t="s">
        <v>66</v>
      </c>
      <c r="N342" s="27">
        <v>1</v>
      </c>
      <c r="O342" s="47">
        <v>1902600</v>
      </c>
      <c r="P342" s="47">
        <f t="shared" si="9"/>
        <v>1902600</v>
      </c>
      <c r="Q342" s="27" t="s">
        <v>393</v>
      </c>
    </row>
    <row r="343" spans="1:17" s="2" customFormat="1" ht="13">
      <c r="A343" s="54" t="s">
        <v>297</v>
      </c>
      <c r="B343" s="28" t="s">
        <v>193</v>
      </c>
      <c r="C343" s="28"/>
      <c r="D343" s="27"/>
      <c r="E343" s="27"/>
      <c r="F343" s="27"/>
      <c r="G343" s="27"/>
      <c r="H343" s="27"/>
      <c r="I343" s="27"/>
      <c r="J343" s="27"/>
      <c r="K343" s="27"/>
      <c r="L343" s="27"/>
      <c r="M343" s="27"/>
      <c r="N343" s="27"/>
      <c r="O343" s="47">
        <v>0</v>
      </c>
      <c r="P343" s="47">
        <f t="shared" si="9"/>
        <v>0</v>
      </c>
      <c r="Q343" s="27"/>
    </row>
    <row r="344" spans="1:17" s="2" customFormat="1" ht="13">
      <c r="A344" s="54"/>
      <c r="B344" s="28" t="s">
        <v>63</v>
      </c>
      <c r="C344" s="28"/>
      <c r="D344" s="27"/>
      <c r="E344" s="27"/>
      <c r="F344" s="27"/>
      <c r="G344" s="27"/>
      <c r="H344" s="27"/>
      <c r="I344" s="27"/>
      <c r="J344" s="27"/>
      <c r="K344" s="27"/>
      <c r="L344" s="27"/>
      <c r="M344" s="27"/>
      <c r="N344" s="27"/>
      <c r="O344" s="47">
        <v>0</v>
      </c>
      <c r="P344" s="47">
        <f t="shared" si="9"/>
        <v>0</v>
      </c>
      <c r="Q344" s="27"/>
    </row>
    <row r="345" spans="1:17" s="2" customFormat="1" ht="104">
      <c r="A345" s="27">
        <v>1</v>
      </c>
      <c r="B345" s="29" t="s">
        <v>298</v>
      </c>
      <c r="C345" s="29"/>
      <c r="D345" s="27" t="s">
        <v>385</v>
      </c>
      <c r="E345" s="27" t="s">
        <v>355</v>
      </c>
      <c r="F345" s="27">
        <v>150</v>
      </c>
      <c r="G345" s="27">
        <v>150</v>
      </c>
      <c r="H345" s="27"/>
      <c r="I345" s="27"/>
      <c r="J345" s="27"/>
      <c r="K345" s="27">
        <v>200</v>
      </c>
      <c r="L345" s="27">
        <v>1.1499999999999999</v>
      </c>
      <c r="M345" s="27" t="s">
        <v>66</v>
      </c>
      <c r="N345" s="27">
        <v>550</v>
      </c>
      <c r="O345" s="47">
        <v>4314051.5880000005</v>
      </c>
      <c r="P345" s="47">
        <f t="shared" si="9"/>
        <v>2372728373.4000001</v>
      </c>
      <c r="Q345" s="27" t="s">
        <v>394</v>
      </c>
    </row>
    <row r="346" spans="1:17" s="2" customFormat="1" ht="78">
      <c r="A346" s="27">
        <v>2</v>
      </c>
      <c r="B346" s="29" t="s">
        <v>299</v>
      </c>
      <c r="C346" s="29"/>
      <c r="D346" s="27" t="s">
        <v>385</v>
      </c>
      <c r="E346" s="27" t="s">
        <v>355</v>
      </c>
      <c r="F346" s="27">
        <v>150</v>
      </c>
      <c r="G346" s="27">
        <v>150</v>
      </c>
      <c r="H346" s="27"/>
      <c r="I346" s="27"/>
      <c r="J346" s="27"/>
      <c r="K346" s="27">
        <v>200</v>
      </c>
      <c r="L346" s="27">
        <v>1.1499999999999999</v>
      </c>
      <c r="M346" s="27" t="s">
        <v>66</v>
      </c>
      <c r="N346" s="27">
        <v>593</v>
      </c>
      <c r="O346" s="47">
        <v>4314051.5880000005</v>
      </c>
      <c r="P346" s="47">
        <f t="shared" si="9"/>
        <v>2558232591.684</v>
      </c>
      <c r="Q346" s="27" t="s">
        <v>386</v>
      </c>
    </row>
    <row r="347" spans="1:17" s="2" customFormat="1" ht="26">
      <c r="A347" s="27">
        <v>3</v>
      </c>
      <c r="B347" s="29" t="s">
        <v>300</v>
      </c>
      <c r="C347" s="29"/>
      <c r="D347" s="27" t="s">
        <v>359</v>
      </c>
      <c r="E347" s="27" t="s">
        <v>355</v>
      </c>
      <c r="F347" s="27">
        <v>150</v>
      </c>
      <c r="G347" s="27">
        <v>100</v>
      </c>
      <c r="H347" s="27"/>
      <c r="I347" s="27"/>
      <c r="J347" s="27"/>
      <c r="K347" s="27">
        <v>200</v>
      </c>
      <c r="L347" s="27">
        <v>0.75</v>
      </c>
      <c r="M347" s="27" t="s">
        <v>66</v>
      </c>
      <c r="N347" s="27">
        <v>636</v>
      </c>
      <c r="O347" s="47">
        <v>156870</v>
      </c>
      <c r="P347" s="47">
        <f t="shared" si="9"/>
        <v>99769320</v>
      </c>
      <c r="Q347" s="27" t="s">
        <v>370</v>
      </c>
    </row>
    <row r="348" spans="1:17" s="2" customFormat="1" ht="26">
      <c r="A348" s="27">
        <v>4</v>
      </c>
      <c r="B348" s="29" t="s">
        <v>301</v>
      </c>
      <c r="C348" s="29"/>
      <c r="D348" s="27" t="s">
        <v>359</v>
      </c>
      <c r="E348" s="27" t="s">
        <v>355</v>
      </c>
      <c r="F348" s="27">
        <v>150</v>
      </c>
      <c r="G348" s="27">
        <v>150</v>
      </c>
      <c r="H348" s="27"/>
      <c r="I348" s="27"/>
      <c r="J348" s="27"/>
      <c r="K348" s="27">
        <v>200</v>
      </c>
      <c r="L348" s="27">
        <v>0.75</v>
      </c>
      <c r="M348" s="27" t="s">
        <v>66</v>
      </c>
      <c r="N348" s="27">
        <v>39</v>
      </c>
      <c r="O348" s="47">
        <v>166320</v>
      </c>
      <c r="P348" s="47">
        <f t="shared" si="9"/>
        <v>6486480</v>
      </c>
      <c r="Q348" s="27" t="s">
        <v>370</v>
      </c>
    </row>
    <row r="349" spans="1:17" s="2" customFormat="1" ht="26">
      <c r="A349" s="27">
        <v>5</v>
      </c>
      <c r="B349" s="29" t="s">
        <v>302</v>
      </c>
      <c r="C349" s="29"/>
      <c r="D349" s="27" t="s">
        <v>380</v>
      </c>
      <c r="E349" s="27" t="s">
        <v>355</v>
      </c>
      <c r="F349" s="27">
        <v>150</v>
      </c>
      <c r="G349" s="27">
        <v>100</v>
      </c>
      <c r="H349" s="27"/>
      <c r="I349" s="27"/>
      <c r="J349" s="27"/>
      <c r="K349" s="27">
        <v>200</v>
      </c>
      <c r="L349" s="27">
        <v>1.1499999999999999</v>
      </c>
      <c r="M349" s="27" t="s">
        <v>66</v>
      </c>
      <c r="N349" s="27">
        <v>558</v>
      </c>
      <c r="O349" s="47">
        <v>2116329.6</v>
      </c>
      <c r="P349" s="47">
        <f t="shared" si="9"/>
        <v>1180911916.8</v>
      </c>
      <c r="Q349" s="27" t="s">
        <v>381</v>
      </c>
    </row>
    <row r="350" spans="1:17" s="2" customFormat="1" ht="26">
      <c r="A350" s="27">
        <v>6</v>
      </c>
      <c r="B350" s="29" t="s">
        <v>303</v>
      </c>
      <c r="C350" s="29"/>
      <c r="D350" s="27" t="s">
        <v>380</v>
      </c>
      <c r="E350" s="27" t="s">
        <v>355</v>
      </c>
      <c r="F350" s="27">
        <v>150</v>
      </c>
      <c r="G350" s="27">
        <v>150</v>
      </c>
      <c r="H350" s="27"/>
      <c r="I350" s="27"/>
      <c r="J350" s="27"/>
      <c r="K350" s="27">
        <v>200</v>
      </c>
      <c r="L350" s="27">
        <v>1.1499999999999999</v>
      </c>
      <c r="M350" s="27" t="s">
        <v>66</v>
      </c>
      <c r="N350" s="27">
        <v>593</v>
      </c>
      <c r="O350" s="47">
        <v>2125939.2000000002</v>
      </c>
      <c r="P350" s="47">
        <f t="shared" si="9"/>
        <v>1260681945.5999999</v>
      </c>
      <c r="Q350" s="27" t="s">
        <v>381</v>
      </c>
    </row>
    <row r="351" spans="1:17" s="2" customFormat="1" ht="13">
      <c r="A351" s="54">
        <v>2</v>
      </c>
      <c r="B351" s="28" t="s">
        <v>293</v>
      </c>
      <c r="C351" s="28"/>
      <c r="D351" s="27"/>
      <c r="E351" s="27"/>
      <c r="F351" s="27"/>
      <c r="G351" s="27"/>
      <c r="H351" s="27"/>
      <c r="I351" s="27"/>
      <c r="J351" s="27"/>
      <c r="K351" s="27"/>
      <c r="L351" s="27"/>
      <c r="M351" s="27"/>
      <c r="N351" s="27"/>
      <c r="O351" s="47">
        <v>0</v>
      </c>
      <c r="P351" s="47">
        <f t="shared" si="9"/>
        <v>0</v>
      </c>
      <c r="Q351" s="27"/>
    </row>
    <row r="352" spans="1:17" s="2" customFormat="1" ht="13">
      <c r="A352" s="27">
        <v>1</v>
      </c>
      <c r="B352" s="29" t="s">
        <v>272</v>
      </c>
      <c r="C352" s="29"/>
      <c r="D352" s="27" t="s">
        <v>375</v>
      </c>
      <c r="E352" s="27" t="s">
        <v>355</v>
      </c>
      <c r="F352" s="27">
        <v>600</v>
      </c>
      <c r="G352" s="27">
        <v>600</v>
      </c>
      <c r="H352" s="27">
        <v>550</v>
      </c>
      <c r="I352" s="27">
        <v>550</v>
      </c>
      <c r="J352" s="27"/>
      <c r="K352" s="27"/>
      <c r="L352" s="27"/>
      <c r="M352" s="27" t="s">
        <v>66</v>
      </c>
      <c r="N352" s="27">
        <v>1302</v>
      </c>
      <c r="O352" s="47">
        <v>504000</v>
      </c>
      <c r="P352" s="47">
        <f t="shared" si="9"/>
        <v>656208000</v>
      </c>
      <c r="Q352" s="27" t="s">
        <v>376</v>
      </c>
    </row>
    <row r="353" spans="1:17" s="2" customFormat="1" ht="104">
      <c r="A353" s="27">
        <v>2</v>
      </c>
      <c r="B353" s="29" t="s">
        <v>298</v>
      </c>
      <c r="C353" s="29"/>
      <c r="D353" s="27" t="s">
        <v>385</v>
      </c>
      <c r="E353" s="27" t="s">
        <v>355</v>
      </c>
      <c r="F353" s="30">
        <v>150</v>
      </c>
      <c r="G353" s="30">
        <v>150</v>
      </c>
      <c r="H353" s="27"/>
      <c r="I353" s="27"/>
      <c r="J353" s="27"/>
      <c r="K353" s="27">
        <v>200</v>
      </c>
      <c r="L353" s="27">
        <v>1.1499999999999999</v>
      </c>
      <c r="M353" s="27" t="s">
        <v>66</v>
      </c>
      <c r="N353" s="27">
        <v>550</v>
      </c>
      <c r="O353" s="47">
        <v>4314051.5880000005</v>
      </c>
      <c r="P353" s="47">
        <f t="shared" si="9"/>
        <v>2372728373.4000001</v>
      </c>
      <c r="Q353" s="27" t="s">
        <v>394</v>
      </c>
    </row>
    <row r="354" spans="1:17" s="2" customFormat="1" ht="78">
      <c r="A354" s="27">
        <v>3</v>
      </c>
      <c r="B354" s="29" t="s">
        <v>299</v>
      </c>
      <c r="C354" s="29"/>
      <c r="D354" s="27" t="s">
        <v>385</v>
      </c>
      <c r="E354" s="27" t="s">
        <v>355</v>
      </c>
      <c r="F354" s="27">
        <v>150</v>
      </c>
      <c r="G354" s="27">
        <v>150</v>
      </c>
      <c r="H354" s="27"/>
      <c r="I354" s="27"/>
      <c r="J354" s="27"/>
      <c r="K354" s="27">
        <v>200</v>
      </c>
      <c r="L354" s="27">
        <v>1.1499999999999999</v>
      </c>
      <c r="M354" s="27" t="s">
        <v>66</v>
      </c>
      <c r="N354" s="27">
        <v>43</v>
      </c>
      <c r="O354" s="47">
        <v>4314051.5880000005</v>
      </c>
      <c r="P354" s="47">
        <f t="shared" si="9"/>
        <v>185504218.28400001</v>
      </c>
      <c r="Q354" s="27" t="s">
        <v>386</v>
      </c>
    </row>
    <row r="355" spans="1:17" s="2" customFormat="1" ht="26">
      <c r="A355" s="27">
        <v>4</v>
      </c>
      <c r="B355" s="29" t="s">
        <v>304</v>
      </c>
      <c r="C355" s="29"/>
      <c r="D355" s="27" t="s">
        <v>359</v>
      </c>
      <c r="E355" s="27"/>
      <c r="F355" s="27"/>
      <c r="G355" s="27"/>
      <c r="H355" s="27"/>
      <c r="I355" s="27"/>
      <c r="J355" s="27"/>
      <c r="K355" s="27"/>
      <c r="L355" s="27"/>
      <c r="M355" s="27" t="s">
        <v>66</v>
      </c>
      <c r="N355" s="27">
        <v>1229</v>
      </c>
      <c r="O355" s="47">
        <v>122850</v>
      </c>
      <c r="P355" s="47">
        <f t="shared" si="9"/>
        <v>150982650</v>
      </c>
      <c r="Q355" s="27"/>
    </row>
    <row r="356" spans="1:17" s="2" customFormat="1" ht="26">
      <c r="A356" s="27">
        <v>5</v>
      </c>
      <c r="B356" s="29" t="s">
        <v>300</v>
      </c>
      <c r="C356" s="29"/>
      <c r="D356" s="27" t="s">
        <v>359</v>
      </c>
      <c r="E356" s="27"/>
      <c r="F356" s="27"/>
      <c r="G356" s="27"/>
      <c r="H356" s="27"/>
      <c r="I356" s="27"/>
      <c r="J356" s="27"/>
      <c r="K356" s="27"/>
      <c r="L356" s="27"/>
      <c r="M356" s="27" t="s">
        <v>66</v>
      </c>
      <c r="N356" s="27">
        <v>118</v>
      </c>
      <c r="O356" s="47">
        <v>156870</v>
      </c>
      <c r="P356" s="47">
        <f t="shared" si="9"/>
        <v>18510660</v>
      </c>
      <c r="Q356" s="27" t="s">
        <v>370</v>
      </c>
    </row>
    <row r="357" spans="1:17" s="2" customFormat="1" ht="26">
      <c r="A357" s="27">
        <v>6</v>
      </c>
      <c r="B357" s="29" t="s">
        <v>301</v>
      </c>
      <c r="C357" s="29"/>
      <c r="D357" s="27" t="s">
        <v>359</v>
      </c>
      <c r="E357" s="27"/>
      <c r="F357" s="27"/>
      <c r="G357" s="27"/>
      <c r="H357" s="27"/>
      <c r="I357" s="27"/>
      <c r="J357" s="27"/>
      <c r="K357" s="27"/>
      <c r="L357" s="27"/>
      <c r="M357" s="27" t="s">
        <v>66</v>
      </c>
      <c r="N357" s="27">
        <v>39</v>
      </c>
      <c r="O357" s="47">
        <v>166320</v>
      </c>
      <c r="P357" s="47">
        <f t="shared" si="9"/>
        <v>6486480</v>
      </c>
      <c r="Q357" s="27" t="s">
        <v>370</v>
      </c>
    </row>
    <row r="358" spans="1:17" s="2" customFormat="1" ht="26">
      <c r="A358" s="27">
        <v>7</v>
      </c>
      <c r="B358" s="29" t="s">
        <v>302</v>
      </c>
      <c r="C358" s="29"/>
      <c r="D358" s="27" t="s">
        <v>380</v>
      </c>
      <c r="E358" s="27" t="s">
        <v>355</v>
      </c>
      <c r="F358" s="27">
        <v>150</v>
      </c>
      <c r="G358" s="27">
        <v>100</v>
      </c>
      <c r="H358" s="27"/>
      <c r="I358" s="27"/>
      <c r="J358" s="27"/>
      <c r="K358" s="27">
        <v>200</v>
      </c>
      <c r="L358" s="27">
        <v>1.1499999999999999</v>
      </c>
      <c r="M358" s="27" t="s">
        <v>66</v>
      </c>
      <c r="N358" s="27">
        <v>63</v>
      </c>
      <c r="O358" s="47">
        <v>2116329.6</v>
      </c>
      <c r="P358" s="47">
        <f t="shared" si="9"/>
        <v>133328764.8</v>
      </c>
      <c r="Q358" s="27" t="s">
        <v>381</v>
      </c>
    </row>
    <row r="359" spans="1:17" s="2" customFormat="1" ht="26">
      <c r="A359" s="27">
        <v>8</v>
      </c>
      <c r="B359" s="29" t="s">
        <v>303</v>
      </c>
      <c r="C359" s="29"/>
      <c r="D359" s="27" t="s">
        <v>380</v>
      </c>
      <c r="E359" s="27" t="s">
        <v>355</v>
      </c>
      <c r="F359" s="27">
        <v>150</v>
      </c>
      <c r="G359" s="27">
        <v>150</v>
      </c>
      <c r="H359" s="27"/>
      <c r="I359" s="27"/>
      <c r="J359" s="27"/>
      <c r="K359" s="27">
        <v>200</v>
      </c>
      <c r="L359" s="27">
        <v>1.1499999999999999</v>
      </c>
      <c r="M359" s="27" t="s">
        <v>66</v>
      </c>
      <c r="N359" s="27">
        <v>43</v>
      </c>
      <c r="O359" s="47">
        <v>2125939.2000000002</v>
      </c>
      <c r="P359" s="47">
        <f t="shared" si="9"/>
        <v>91415385.599999994</v>
      </c>
      <c r="Q359" s="27" t="s">
        <v>381</v>
      </c>
    </row>
    <row r="360" spans="1:17" s="2" customFormat="1" ht="22.5" customHeight="1">
      <c r="A360" s="27"/>
      <c r="B360" s="29" t="s">
        <v>395</v>
      </c>
      <c r="C360" s="29"/>
      <c r="D360" s="27"/>
      <c r="E360" s="27"/>
      <c r="F360" s="27"/>
      <c r="G360" s="27"/>
      <c r="H360" s="27"/>
      <c r="I360" s="27"/>
      <c r="J360" s="27"/>
      <c r="K360" s="27"/>
      <c r="L360" s="27"/>
      <c r="M360" s="27" t="s">
        <v>396</v>
      </c>
      <c r="N360" s="27">
        <v>1</v>
      </c>
      <c r="O360" s="47"/>
      <c r="P360" s="47"/>
      <c r="Q360" s="27" t="s">
        <v>397</v>
      </c>
    </row>
    <row r="361" spans="1:17" s="2" customFormat="1" ht="29.5" customHeight="1">
      <c r="A361" s="27"/>
      <c r="B361" s="29" t="s">
        <v>398</v>
      </c>
      <c r="C361" s="29"/>
      <c r="D361" s="27"/>
      <c r="E361" s="27"/>
      <c r="F361" s="27"/>
      <c r="G361" s="27"/>
      <c r="H361" s="27"/>
      <c r="I361" s="27"/>
      <c r="J361" s="27"/>
      <c r="K361" s="27"/>
      <c r="L361" s="27"/>
      <c r="M361" s="27" t="s">
        <v>396</v>
      </c>
      <c r="N361" s="27">
        <v>1</v>
      </c>
      <c r="O361" s="47"/>
      <c r="P361" s="47"/>
      <c r="Q361" s="27" t="s">
        <v>399</v>
      </c>
    </row>
    <row r="362" spans="1:17" s="2" customFormat="1" ht="32.25" customHeight="1">
      <c r="A362" s="311" t="s">
        <v>400</v>
      </c>
      <c r="B362" s="312"/>
      <c r="C362" s="312"/>
      <c r="D362" s="312"/>
      <c r="E362" s="312"/>
      <c r="F362" s="312"/>
      <c r="G362" s="312"/>
      <c r="H362" s="312"/>
      <c r="I362" s="312"/>
      <c r="J362" s="312"/>
      <c r="K362" s="312"/>
      <c r="L362" s="312"/>
      <c r="M362" s="312"/>
      <c r="N362" s="312"/>
      <c r="O362" s="313"/>
      <c r="P362" s="86">
        <f>SUM(P15:P361)</f>
        <v>21893877998.021999</v>
      </c>
      <c r="Q362" s="113"/>
    </row>
    <row r="363" spans="1:17" s="2" customFormat="1" ht="32.25" customHeight="1">
      <c r="A363" s="314" t="s">
        <v>401</v>
      </c>
      <c r="B363" s="315"/>
      <c r="C363" s="315"/>
      <c r="D363" s="315"/>
      <c r="E363" s="315"/>
      <c r="F363" s="315"/>
      <c r="G363" s="315"/>
      <c r="H363" s="315"/>
      <c r="I363" s="315"/>
      <c r="J363" s="315"/>
      <c r="K363" s="315"/>
      <c r="L363" s="315"/>
      <c r="M363" s="315"/>
      <c r="N363" s="315"/>
      <c r="O363" s="316"/>
      <c r="P363" s="87">
        <f>P362*0.1</f>
        <v>2189387799.8021998</v>
      </c>
      <c r="Q363" s="114"/>
    </row>
    <row r="364" spans="1:17" s="2" customFormat="1" ht="32.25" customHeight="1">
      <c r="A364" s="317" t="s">
        <v>402</v>
      </c>
      <c r="B364" s="318"/>
      <c r="C364" s="318"/>
      <c r="D364" s="318"/>
      <c r="E364" s="318"/>
      <c r="F364" s="318"/>
      <c r="G364" s="318"/>
      <c r="H364" s="318"/>
      <c r="I364" s="318"/>
      <c r="J364" s="318"/>
      <c r="K364" s="318"/>
      <c r="L364" s="318"/>
      <c r="M364" s="318"/>
      <c r="N364" s="318"/>
      <c r="O364" s="319"/>
      <c r="P364" s="88">
        <f>SUM(P362:P363)</f>
        <v>24083265797.8242</v>
      </c>
      <c r="Q364" s="126"/>
    </row>
    <row r="365" spans="1:17" s="5" customFormat="1" ht="15" customHeight="1">
      <c r="A365" s="62"/>
      <c r="B365" s="63"/>
      <c r="C365" s="63"/>
      <c r="D365" s="64"/>
      <c r="E365" s="64"/>
      <c r="F365" s="64"/>
      <c r="G365" s="64"/>
      <c r="H365" s="64"/>
      <c r="I365" s="64"/>
      <c r="J365" s="64"/>
      <c r="K365" s="64"/>
      <c r="L365" s="80"/>
      <c r="M365" s="89"/>
      <c r="N365" s="105"/>
      <c r="O365" s="91"/>
      <c r="P365" s="91"/>
      <c r="Q365" s="116"/>
    </row>
    <row r="366" spans="1:17" s="5" customFormat="1" ht="15" customHeight="1">
      <c r="A366" s="65"/>
      <c r="B366" s="283" t="s">
        <v>403</v>
      </c>
      <c r="C366" s="66"/>
      <c r="D366" s="67"/>
      <c r="E366" s="67"/>
      <c r="F366" s="67"/>
      <c r="G366" s="68"/>
      <c r="H366" s="67"/>
      <c r="I366" s="65"/>
      <c r="J366" s="65"/>
      <c r="K366" s="65"/>
      <c r="L366" s="65"/>
      <c r="M366" s="65"/>
      <c r="N366" s="93"/>
      <c r="O366" s="93"/>
      <c r="P366" s="94"/>
      <c r="Q366" s="112"/>
    </row>
    <row r="367" spans="1:17" s="5" customFormat="1" ht="15" customHeight="1">
      <c r="A367" s="65"/>
      <c r="B367" s="69" t="s">
        <v>404</v>
      </c>
      <c r="C367" s="69"/>
      <c r="D367" s="70"/>
      <c r="E367" s="70"/>
      <c r="F367" s="70"/>
      <c r="G367" s="71"/>
      <c r="H367" s="71"/>
      <c r="I367" s="65"/>
      <c r="J367" s="65"/>
      <c r="K367" s="65"/>
      <c r="L367" s="65"/>
      <c r="M367" s="95"/>
      <c r="N367" s="96"/>
      <c r="O367" s="96"/>
      <c r="P367" s="94"/>
      <c r="Q367" s="112"/>
    </row>
    <row r="368" spans="1:17" s="5" customFormat="1" ht="15" customHeight="1">
      <c r="A368" s="65"/>
      <c r="B368" s="69" t="s">
        <v>405</v>
      </c>
      <c r="C368" s="69"/>
      <c r="D368" s="70"/>
      <c r="E368" s="70"/>
      <c r="F368" s="70"/>
      <c r="G368" s="71"/>
      <c r="H368" s="71"/>
      <c r="I368" s="65"/>
      <c r="J368" s="65"/>
      <c r="K368" s="65"/>
      <c r="L368" s="65"/>
      <c r="M368" s="95"/>
      <c r="N368" s="96"/>
      <c r="O368" s="96"/>
      <c r="P368" s="94"/>
      <c r="Q368" s="112"/>
    </row>
    <row r="369" spans="1:17" s="5" customFormat="1" ht="15" customHeight="1">
      <c r="A369" s="65"/>
      <c r="B369" s="69" t="s">
        <v>406</v>
      </c>
      <c r="C369" s="69"/>
      <c r="D369" s="70"/>
      <c r="E369" s="70"/>
      <c r="F369" s="70"/>
      <c r="G369" s="71"/>
      <c r="H369" s="71"/>
      <c r="I369" s="65"/>
      <c r="J369" s="65"/>
      <c r="K369" s="65"/>
      <c r="L369" s="65"/>
      <c r="M369" s="95"/>
      <c r="N369" s="96"/>
      <c r="O369" s="96"/>
      <c r="P369" s="94"/>
      <c r="Q369" s="112"/>
    </row>
    <row r="370" spans="1:17" s="5" customFormat="1" ht="15" customHeight="1">
      <c r="A370" s="65"/>
      <c r="B370" s="69" t="s">
        <v>407</v>
      </c>
      <c r="C370" s="69"/>
      <c r="D370" s="70"/>
      <c r="E370" s="70"/>
      <c r="F370" s="70"/>
      <c r="G370" s="71"/>
      <c r="H370" s="71"/>
      <c r="I370" s="65"/>
      <c r="J370" s="65"/>
      <c r="K370" s="65"/>
      <c r="L370" s="65"/>
      <c r="M370" s="95"/>
      <c r="N370" s="96"/>
      <c r="O370" s="96"/>
      <c r="P370" s="94"/>
      <c r="Q370" s="112"/>
    </row>
    <row r="371" spans="1:17" s="5" customFormat="1" ht="15" customHeight="1">
      <c r="A371" s="65"/>
      <c r="B371" s="72" t="s">
        <v>408</v>
      </c>
      <c r="C371" s="72"/>
      <c r="D371" s="73"/>
      <c r="E371" s="73"/>
      <c r="F371" s="73"/>
      <c r="G371" s="74"/>
      <c r="H371" s="74"/>
      <c r="I371" s="65"/>
      <c r="J371" s="65"/>
      <c r="K371" s="65"/>
      <c r="L371" s="65"/>
      <c r="M371" s="95"/>
      <c r="N371" s="125"/>
      <c r="O371" s="98"/>
      <c r="P371" s="99"/>
      <c r="Q371" s="112"/>
    </row>
    <row r="372" spans="1:17" s="5" customFormat="1" ht="15" customHeight="1">
      <c r="A372" s="65"/>
      <c r="B372" s="75" t="s">
        <v>409</v>
      </c>
      <c r="C372" s="75"/>
      <c r="D372" s="75"/>
      <c r="E372" s="75"/>
      <c r="F372" s="75"/>
      <c r="G372" s="75"/>
      <c r="H372" s="75"/>
      <c r="I372" s="65"/>
      <c r="J372" s="65"/>
      <c r="K372" s="65"/>
      <c r="L372" s="65"/>
      <c r="M372" s="95"/>
      <c r="N372" s="125"/>
      <c r="O372" s="98"/>
      <c r="P372" s="99"/>
      <c r="Q372" s="112"/>
    </row>
    <row r="373" spans="1:17" s="5" customFormat="1" ht="15" customHeight="1">
      <c r="A373" s="65"/>
      <c r="B373" s="76" t="s">
        <v>410</v>
      </c>
      <c r="C373" s="76"/>
      <c r="D373" s="70"/>
      <c r="E373" s="70"/>
      <c r="F373" s="70"/>
      <c r="G373" s="74"/>
      <c r="H373" s="74"/>
      <c r="I373" s="65"/>
      <c r="J373" s="65"/>
      <c r="K373" s="65"/>
      <c r="L373" s="65"/>
      <c r="M373" s="95"/>
      <c r="N373" s="125"/>
      <c r="O373" s="98"/>
      <c r="P373" s="99"/>
      <c r="Q373" s="112"/>
    </row>
    <row r="374" spans="1:17" s="5" customFormat="1" ht="15" customHeight="1">
      <c r="A374" s="65"/>
      <c r="B374" s="77" t="s">
        <v>411</v>
      </c>
      <c r="C374" s="77"/>
      <c r="D374" s="78"/>
      <c r="E374" s="78"/>
      <c r="F374" s="78"/>
      <c r="G374" s="79"/>
      <c r="H374" s="79"/>
      <c r="I374" s="65"/>
      <c r="J374" s="65"/>
      <c r="K374" s="65"/>
      <c r="L374" s="65"/>
      <c r="M374" s="95"/>
      <c r="N374" s="125"/>
      <c r="O374" s="98"/>
      <c r="P374" s="100"/>
      <c r="Q374" s="112"/>
    </row>
    <row r="375" spans="1:17" s="5" customFormat="1" ht="15" customHeight="1">
      <c r="A375" s="65"/>
      <c r="B375" s="75" t="s">
        <v>412</v>
      </c>
      <c r="C375" s="75"/>
      <c r="D375" s="75"/>
      <c r="E375" s="75"/>
      <c r="F375" s="75"/>
      <c r="G375" s="75"/>
      <c r="H375" s="75"/>
      <c r="I375" s="65"/>
      <c r="J375" s="65"/>
      <c r="K375" s="65"/>
      <c r="L375" s="65"/>
      <c r="M375" s="95"/>
      <c r="N375" s="125"/>
      <c r="O375" s="98"/>
      <c r="P375" s="100"/>
      <c r="Q375" s="112"/>
    </row>
    <row r="376" spans="1:17" s="5" customFormat="1" ht="15" customHeight="1">
      <c r="A376" s="80"/>
      <c r="B376" s="75" t="s">
        <v>413</v>
      </c>
      <c r="C376" s="75"/>
      <c r="D376" s="75"/>
      <c r="E376" s="75"/>
      <c r="F376" s="75"/>
      <c r="G376" s="75"/>
      <c r="H376" s="75"/>
      <c r="I376" s="65"/>
      <c r="J376" s="80"/>
      <c r="K376" s="80"/>
      <c r="L376" s="101"/>
      <c r="M376" s="320"/>
      <c r="N376" s="320"/>
      <c r="O376" s="320"/>
      <c r="P376" s="321"/>
      <c r="Q376" s="112"/>
    </row>
    <row r="377" spans="1:17" s="5" customFormat="1" ht="15" customHeight="1">
      <c r="A377" s="81"/>
      <c r="B377" s="284" t="s">
        <v>414</v>
      </c>
      <c r="C377" s="75"/>
      <c r="D377" s="75"/>
      <c r="E377" s="75"/>
      <c r="F377" s="75"/>
      <c r="G377" s="75"/>
      <c r="H377" s="75"/>
      <c r="I377" s="102"/>
      <c r="J377" s="81"/>
      <c r="K377" s="81"/>
      <c r="L377" s="81"/>
      <c r="M377" s="322"/>
      <c r="N377" s="322"/>
      <c r="O377" s="322"/>
      <c r="P377" s="323"/>
      <c r="Q377" s="112"/>
    </row>
    <row r="378" spans="1:17" s="1" customFormat="1" ht="15" customHeight="1">
      <c r="A378" s="82"/>
      <c r="B378" s="284" t="s">
        <v>415</v>
      </c>
      <c r="C378" s="75"/>
      <c r="D378" s="75"/>
      <c r="E378" s="75"/>
      <c r="F378" s="75"/>
      <c r="G378" s="75"/>
      <c r="H378" s="75"/>
      <c r="I378" s="102"/>
      <c r="J378" s="103"/>
      <c r="K378" s="103"/>
      <c r="L378" s="104"/>
      <c r="M378" s="324"/>
      <c r="N378" s="324"/>
      <c r="O378" s="324"/>
      <c r="P378" s="325"/>
      <c r="Q378" s="117"/>
    </row>
    <row r="379" spans="1:17" s="5" customFormat="1" ht="15" customHeight="1">
      <c r="A379" s="62"/>
      <c r="B379" s="83"/>
      <c r="C379" s="83"/>
      <c r="D379" s="78"/>
      <c r="E379" s="78"/>
      <c r="F379" s="78"/>
      <c r="G379" s="79"/>
      <c r="H379" s="79"/>
      <c r="I379" s="103"/>
      <c r="J379" s="64"/>
      <c r="K379" s="80"/>
      <c r="L379" s="89"/>
      <c r="M379" s="105"/>
      <c r="N379" s="107"/>
      <c r="O379" s="107"/>
      <c r="P379" s="108"/>
      <c r="Q379" s="112"/>
    </row>
    <row r="380" spans="1:17" s="5" customFormat="1" ht="15" customHeight="1">
      <c r="A380" s="62"/>
      <c r="B380" s="63"/>
      <c r="C380" s="63"/>
      <c r="D380" s="64"/>
      <c r="E380" s="64"/>
      <c r="F380" s="64"/>
      <c r="G380" s="64"/>
      <c r="H380" s="64"/>
      <c r="I380" s="64"/>
      <c r="J380" s="64"/>
      <c r="K380" s="64"/>
      <c r="L380" s="80"/>
      <c r="M380" s="89"/>
      <c r="N380" s="105"/>
      <c r="O380" s="91"/>
      <c r="P380" s="91"/>
      <c r="Q380" s="116"/>
    </row>
    <row r="381" spans="1:17" s="5" customFormat="1" ht="15" customHeight="1">
      <c r="A381" s="62"/>
      <c r="B381" s="63"/>
      <c r="C381" s="63"/>
      <c r="D381" s="64"/>
      <c r="E381" s="64"/>
      <c r="F381" s="64"/>
      <c r="G381" s="64"/>
      <c r="H381" s="64"/>
      <c r="I381" s="64"/>
      <c r="J381" s="64"/>
      <c r="K381" s="64"/>
      <c r="L381" s="80"/>
      <c r="M381" s="89"/>
      <c r="N381" s="105"/>
      <c r="O381" s="91"/>
      <c r="P381" s="91"/>
      <c r="Q381" s="116"/>
    </row>
    <row r="382" spans="1:17" s="5" customFormat="1" ht="15" customHeight="1">
      <c r="A382" s="62"/>
      <c r="B382" s="63"/>
      <c r="C382" s="63"/>
      <c r="D382" s="64"/>
      <c r="E382" s="64"/>
      <c r="F382" s="64"/>
      <c r="G382" s="64"/>
      <c r="H382" s="64"/>
      <c r="I382" s="64"/>
      <c r="J382" s="64"/>
      <c r="K382" s="64"/>
      <c r="L382" s="80"/>
      <c r="M382" s="89"/>
      <c r="N382" s="105"/>
      <c r="O382" s="91"/>
      <c r="P382" s="91"/>
      <c r="Q382" s="116"/>
    </row>
    <row r="383" spans="1:17" s="5" customFormat="1" ht="15" customHeight="1">
      <c r="A383" s="62"/>
      <c r="B383" s="63"/>
      <c r="C383" s="63"/>
      <c r="D383" s="64"/>
      <c r="E383" s="64"/>
      <c r="F383" s="64"/>
      <c r="G383" s="64"/>
      <c r="H383" s="64"/>
      <c r="I383" s="64"/>
      <c r="J383" s="64"/>
      <c r="K383" s="64"/>
      <c r="L383" s="80"/>
      <c r="M383" s="89"/>
      <c r="N383" s="105"/>
      <c r="O383" s="91"/>
      <c r="P383" s="91"/>
      <c r="Q383" s="116"/>
    </row>
    <row r="384" spans="1:17" s="5" customFormat="1" ht="15" customHeight="1">
      <c r="A384" s="62"/>
      <c r="B384" s="63"/>
      <c r="C384" s="63"/>
      <c r="D384" s="64"/>
      <c r="E384" s="64"/>
      <c r="F384" s="64"/>
      <c r="G384" s="64"/>
      <c r="H384" s="64"/>
      <c r="I384" s="64"/>
      <c r="J384" s="64"/>
      <c r="K384" s="64"/>
      <c r="L384" s="80"/>
      <c r="M384" s="89"/>
      <c r="N384" s="105"/>
      <c r="O384" s="91"/>
      <c r="P384" s="91"/>
      <c r="Q384" s="116"/>
    </row>
    <row r="385" spans="1:17" s="5" customFormat="1" ht="15" customHeight="1">
      <c r="A385" s="62"/>
      <c r="B385" s="63"/>
      <c r="C385" s="63"/>
      <c r="D385" s="64"/>
      <c r="E385" s="64"/>
      <c r="F385" s="64"/>
      <c r="G385" s="64"/>
      <c r="H385" s="64"/>
      <c r="I385" s="64"/>
      <c r="J385" s="64"/>
      <c r="K385" s="64"/>
      <c r="L385" s="80"/>
      <c r="M385" s="89"/>
      <c r="N385" s="105"/>
      <c r="O385" s="91"/>
      <c r="P385" s="91"/>
      <c r="Q385" s="116"/>
    </row>
    <row r="386" spans="1:17" s="5" customFormat="1" ht="15" customHeight="1">
      <c r="A386" s="62"/>
      <c r="B386" s="63"/>
      <c r="C386" s="63"/>
      <c r="D386" s="64"/>
      <c r="E386" s="64"/>
      <c r="F386" s="64"/>
      <c r="G386" s="64"/>
      <c r="H386" s="64"/>
      <c r="I386" s="64"/>
      <c r="J386" s="64"/>
      <c r="K386" s="64"/>
      <c r="L386" s="80"/>
      <c r="M386" s="89"/>
      <c r="N386" s="105"/>
      <c r="O386" s="91"/>
      <c r="P386" s="91"/>
      <c r="Q386" s="116"/>
    </row>
    <row r="387" spans="1:17" s="5" customFormat="1" ht="15" customHeight="1">
      <c r="A387" s="62"/>
      <c r="B387" s="63"/>
      <c r="C387" s="63"/>
      <c r="D387" s="64"/>
      <c r="E387" s="64"/>
      <c r="F387" s="64"/>
      <c r="G387" s="64"/>
      <c r="H387" s="64"/>
      <c r="I387" s="64"/>
      <c r="J387" s="64"/>
      <c r="K387" s="64"/>
      <c r="L387" s="80"/>
      <c r="M387" s="89"/>
      <c r="N387" s="105"/>
      <c r="O387" s="91"/>
      <c r="P387" s="91"/>
      <c r="Q387" s="116"/>
    </row>
    <row r="388" spans="1:17" s="5" customFormat="1" ht="13">
      <c r="A388" s="62"/>
      <c r="B388" s="63"/>
      <c r="C388" s="63"/>
      <c r="D388" s="64"/>
      <c r="E388" s="64"/>
      <c r="F388" s="64"/>
      <c r="G388" s="64"/>
      <c r="H388" s="64"/>
      <c r="I388" s="64"/>
      <c r="J388" s="64"/>
      <c r="K388" s="64"/>
      <c r="L388" s="80"/>
      <c r="M388" s="89"/>
      <c r="N388" s="105"/>
      <c r="O388" s="91"/>
      <c r="P388" s="91"/>
      <c r="Q388" s="116"/>
    </row>
    <row r="389" spans="1:17" s="5" customFormat="1" ht="13">
      <c r="A389" s="62"/>
      <c r="B389" s="63"/>
      <c r="C389" s="63"/>
      <c r="D389" s="64"/>
      <c r="E389" s="64"/>
      <c r="F389" s="64"/>
      <c r="G389" s="64"/>
      <c r="H389" s="64"/>
      <c r="I389" s="64"/>
      <c r="J389" s="64"/>
      <c r="K389" s="64"/>
      <c r="L389" s="80"/>
      <c r="M389" s="89"/>
      <c r="N389" s="105"/>
      <c r="O389" s="91"/>
      <c r="P389" s="91"/>
      <c r="Q389" s="116"/>
    </row>
    <row r="390" spans="1:17" s="5" customFormat="1" ht="13">
      <c r="B390" s="84"/>
      <c r="C390" s="84"/>
      <c r="D390" s="85"/>
      <c r="E390" s="85"/>
      <c r="F390" s="85"/>
      <c r="G390" s="85"/>
      <c r="H390" s="85"/>
      <c r="I390" s="85"/>
      <c r="J390" s="85"/>
      <c r="K390" s="85"/>
      <c r="L390" s="109"/>
      <c r="M390" s="110"/>
      <c r="N390" s="127"/>
      <c r="O390" s="112"/>
      <c r="P390" s="112"/>
      <c r="Q390" s="118"/>
    </row>
    <row r="391" spans="1:17" s="5" customFormat="1" ht="13">
      <c r="B391" s="84"/>
      <c r="C391" s="84"/>
      <c r="D391" s="85"/>
      <c r="E391" s="85"/>
      <c r="F391" s="85"/>
      <c r="G391" s="85"/>
      <c r="H391" s="85"/>
      <c r="I391" s="85"/>
      <c r="J391" s="85"/>
      <c r="K391" s="85"/>
      <c r="L391" s="109"/>
      <c r="M391" s="110"/>
      <c r="N391" s="127"/>
      <c r="O391" s="112"/>
      <c r="P391" s="112"/>
      <c r="Q391" s="118"/>
    </row>
    <row r="392" spans="1:17" s="5" customFormat="1" ht="13">
      <c r="B392" s="84"/>
      <c r="C392" s="84"/>
      <c r="D392" s="85"/>
      <c r="E392" s="85"/>
      <c r="F392" s="85"/>
      <c r="G392" s="85"/>
      <c r="H392" s="85"/>
      <c r="I392" s="85"/>
      <c r="J392" s="85"/>
      <c r="K392" s="85"/>
      <c r="L392" s="109"/>
      <c r="M392" s="110"/>
      <c r="N392" s="127"/>
      <c r="O392" s="112"/>
      <c r="P392" s="112"/>
      <c r="Q392" s="118"/>
    </row>
    <row r="393" spans="1:17" s="5" customFormat="1" ht="13">
      <c r="B393" s="84"/>
      <c r="C393" s="84"/>
      <c r="D393" s="85"/>
      <c r="E393" s="85"/>
      <c r="F393" s="85"/>
      <c r="G393" s="85"/>
      <c r="H393" s="85"/>
      <c r="I393" s="85"/>
      <c r="J393" s="85"/>
      <c r="K393" s="85"/>
      <c r="L393" s="109"/>
      <c r="M393" s="110"/>
      <c r="N393" s="127"/>
      <c r="O393" s="112"/>
      <c r="P393" s="112"/>
      <c r="Q393" s="118"/>
    </row>
    <row r="394" spans="1:17" s="5" customFormat="1" ht="13">
      <c r="B394" s="84"/>
      <c r="C394" s="84"/>
      <c r="D394" s="85"/>
      <c r="E394" s="85"/>
      <c r="F394" s="85"/>
      <c r="G394" s="85"/>
      <c r="H394" s="85"/>
      <c r="I394" s="85"/>
      <c r="J394" s="85"/>
      <c r="K394" s="85"/>
      <c r="L394" s="109"/>
      <c r="M394" s="110"/>
      <c r="N394" s="127"/>
      <c r="O394" s="112"/>
      <c r="P394" s="112"/>
      <c r="Q394" s="118"/>
    </row>
    <row r="395" spans="1:17" s="5" customFormat="1" ht="13">
      <c r="B395" s="84"/>
      <c r="C395" s="84"/>
      <c r="D395" s="85"/>
      <c r="E395" s="85"/>
      <c r="F395" s="85"/>
      <c r="G395" s="85"/>
      <c r="H395" s="85"/>
      <c r="I395" s="85"/>
      <c r="J395" s="85"/>
      <c r="K395" s="85"/>
      <c r="L395" s="109"/>
      <c r="M395" s="110"/>
      <c r="N395" s="127"/>
      <c r="O395" s="112"/>
      <c r="P395" s="112"/>
      <c r="Q395" s="118"/>
    </row>
    <row r="396" spans="1:17" s="5" customFormat="1" ht="13">
      <c r="B396" s="84"/>
      <c r="C396" s="84"/>
      <c r="D396" s="85"/>
      <c r="E396" s="85"/>
      <c r="F396" s="85"/>
      <c r="G396" s="85"/>
      <c r="H396" s="85"/>
      <c r="I396" s="85"/>
      <c r="J396" s="85"/>
      <c r="K396" s="85"/>
      <c r="L396" s="109"/>
      <c r="M396" s="110"/>
      <c r="N396" s="127"/>
      <c r="O396" s="112"/>
      <c r="P396" s="112"/>
      <c r="Q396" s="118"/>
    </row>
    <row r="397" spans="1:17" s="5" customFormat="1" ht="13">
      <c r="B397" s="84"/>
      <c r="C397" s="84"/>
      <c r="D397" s="85"/>
      <c r="E397" s="85"/>
      <c r="F397" s="85"/>
      <c r="G397" s="85"/>
      <c r="H397" s="85"/>
      <c r="I397" s="85"/>
      <c r="J397" s="85"/>
      <c r="K397" s="85"/>
      <c r="L397" s="109"/>
      <c r="M397" s="110"/>
      <c r="N397" s="127"/>
      <c r="O397" s="112"/>
      <c r="P397" s="112"/>
      <c r="Q397" s="118"/>
    </row>
    <row r="398" spans="1:17" s="5" customFormat="1" ht="13">
      <c r="B398" s="84"/>
      <c r="C398" s="84"/>
      <c r="D398" s="85"/>
      <c r="E398" s="85"/>
      <c r="F398" s="85"/>
      <c r="G398" s="85"/>
      <c r="H398" s="85"/>
      <c r="I398" s="85"/>
      <c r="J398" s="85"/>
      <c r="K398" s="85"/>
      <c r="L398" s="109"/>
      <c r="M398" s="110"/>
      <c r="N398" s="127"/>
      <c r="O398" s="112"/>
      <c r="P398" s="112"/>
      <c r="Q398" s="118"/>
    </row>
    <row r="399" spans="1:17" s="5" customFormat="1" ht="13">
      <c r="B399" s="84"/>
      <c r="C399" s="84"/>
      <c r="D399" s="85"/>
      <c r="E399" s="85"/>
      <c r="F399" s="85"/>
      <c r="G399" s="85"/>
      <c r="H399" s="85"/>
      <c r="I399" s="85"/>
      <c r="J399" s="85"/>
      <c r="K399" s="85"/>
      <c r="L399" s="109"/>
      <c r="M399" s="110"/>
      <c r="N399" s="127"/>
      <c r="O399" s="112"/>
      <c r="P399" s="112"/>
      <c r="Q399" s="118"/>
    </row>
    <row r="400" spans="1:17" s="5" customFormat="1" ht="13">
      <c r="B400" s="84"/>
      <c r="C400" s="84"/>
      <c r="D400" s="85"/>
      <c r="E400" s="85"/>
      <c r="F400" s="85"/>
      <c r="G400" s="85"/>
      <c r="H400" s="85"/>
      <c r="I400" s="85"/>
      <c r="J400" s="85"/>
      <c r="K400" s="85"/>
      <c r="L400" s="109"/>
      <c r="M400" s="110"/>
      <c r="N400" s="127"/>
      <c r="O400" s="112"/>
      <c r="P400" s="112"/>
      <c r="Q400" s="118"/>
    </row>
    <row r="401" spans="2:17" s="5" customFormat="1" ht="13">
      <c r="B401" s="84"/>
      <c r="C401" s="84"/>
      <c r="D401" s="85"/>
      <c r="E401" s="85"/>
      <c r="F401" s="85"/>
      <c r="G401" s="85"/>
      <c r="H401" s="85"/>
      <c r="I401" s="85"/>
      <c r="J401" s="85"/>
      <c r="K401" s="85"/>
      <c r="L401" s="109"/>
      <c r="M401" s="110"/>
      <c r="N401" s="127"/>
      <c r="O401" s="112"/>
      <c r="P401" s="112"/>
      <c r="Q401" s="118"/>
    </row>
    <row r="402" spans="2:17" s="5" customFormat="1" ht="13">
      <c r="B402" s="84"/>
      <c r="C402" s="84"/>
      <c r="D402" s="85"/>
      <c r="E402" s="85"/>
      <c r="F402" s="85"/>
      <c r="G402" s="85"/>
      <c r="H402" s="85"/>
      <c r="I402" s="85"/>
      <c r="J402" s="85"/>
      <c r="K402" s="85"/>
      <c r="L402" s="109"/>
      <c r="M402" s="110"/>
      <c r="N402" s="127"/>
      <c r="O402" s="112"/>
      <c r="P402" s="112"/>
      <c r="Q402" s="118"/>
    </row>
    <row r="403" spans="2:17" s="5" customFormat="1" ht="13">
      <c r="B403" s="84"/>
      <c r="C403" s="84"/>
      <c r="D403" s="85"/>
      <c r="E403" s="85"/>
      <c r="F403" s="85"/>
      <c r="G403" s="85"/>
      <c r="H403" s="85"/>
      <c r="I403" s="85"/>
      <c r="J403" s="85"/>
      <c r="K403" s="85"/>
      <c r="L403" s="109"/>
      <c r="M403" s="110"/>
      <c r="N403" s="127"/>
      <c r="O403" s="112"/>
      <c r="P403" s="112"/>
      <c r="Q403" s="118"/>
    </row>
    <row r="404" spans="2:17" s="5" customFormat="1" ht="13">
      <c r="B404" s="84"/>
      <c r="C404" s="84"/>
      <c r="D404" s="85"/>
      <c r="E404" s="85"/>
      <c r="F404" s="85"/>
      <c r="G404" s="85"/>
      <c r="H404" s="85"/>
      <c r="I404" s="85"/>
      <c r="J404" s="85"/>
      <c r="K404" s="85"/>
      <c r="L404" s="109"/>
      <c r="M404" s="110"/>
      <c r="N404" s="127"/>
      <c r="O404" s="112"/>
      <c r="P404" s="112"/>
      <c r="Q404" s="118"/>
    </row>
    <row r="405" spans="2:17" s="5" customFormat="1" ht="13">
      <c r="B405" s="84"/>
      <c r="C405" s="84"/>
      <c r="D405" s="85"/>
      <c r="E405" s="85"/>
      <c r="F405" s="85"/>
      <c r="G405" s="85"/>
      <c r="H405" s="85"/>
      <c r="I405" s="85"/>
      <c r="J405" s="85"/>
      <c r="K405" s="85"/>
      <c r="L405" s="109"/>
      <c r="M405" s="110"/>
      <c r="N405" s="127"/>
      <c r="O405" s="112"/>
      <c r="P405" s="112"/>
      <c r="Q405" s="118"/>
    </row>
    <row r="406" spans="2:17" s="5" customFormat="1" ht="13">
      <c r="B406" s="84"/>
      <c r="C406" s="84"/>
      <c r="D406" s="85"/>
      <c r="E406" s="85"/>
      <c r="F406" s="85"/>
      <c r="G406" s="85"/>
      <c r="H406" s="85"/>
      <c r="I406" s="85"/>
      <c r="J406" s="85"/>
      <c r="K406" s="85"/>
      <c r="L406" s="109"/>
      <c r="M406" s="110"/>
      <c r="N406" s="127"/>
      <c r="O406" s="112"/>
      <c r="P406" s="112"/>
      <c r="Q406" s="118"/>
    </row>
    <row r="407" spans="2:17" s="5" customFormat="1" ht="13">
      <c r="B407" s="84"/>
      <c r="C407" s="84"/>
      <c r="D407" s="85"/>
      <c r="E407" s="85"/>
      <c r="F407" s="85"/>
      <c r="G407" s="85"/>
      <c r="H407" s="85"/>
      <c r="I407" s="85"/>
      <c r="J407" s="85"/>
      <c r="K407" s="85"/>
      <c r="L407" s="109"/>
      <c r="M407" s="110"/>
      <c r="N407" s="127"/>
      <c r="O407" s="112"/>
      <c r="P407" s="112"/>
      <c r="Q407" s="118"/>
    </row>
    <row r="408" spans="2:17" s="5" customFormat="1" ht="13">
      <c r="B408" s="84"/>
      <c r="C408" s="84"/>
      <c r="D408" s="85"/>
      <c r="E408" s="85"/>
      <c r="F408" s="85"/>
      <c r="G408" s="85"/>
      <c r="H408" s="85"/>
      <c r="I408" s="85"/>
      <c r="J408" s="85"/>
      <c r="K408" s="85"/>
      <c r="L408" s="109"/>
      <c r="M408" s="110"/>
      <c r="N408" s="127"/>
      <c r="O408" s="112"/>
      <c r="P408" s="112"/>
      <c r="Q408" s="118"/>
    </row>
    <row r="409" spans="2:17" s="5" customFormat="1" ht="13">
      <c r="B409" s="84"/>
      <c r="C409" s="84"/>
      <c r="D409" s="85"/>
      <c r="E409" s="85"/>
      <c r="F409" s="85"/>
      <c r="G409" s="85"/>
      <c r="H409" s="85"/>
      <c r="I409" s="85"/>
      <c r="J409" s="85"/>
      <c r="K409" s="85"/>
      <c r="L409" s="109"/>
      <c r="M409" s="110"/>
      <c r="N409" s="127"/>
      <c r="O409" s="112"/>
      <c r="P409" s="112"/>
      <c r="Q409" s="118"/>
    </row>
    <row r="410" spans="2:17" s="5" customFormat="1" ht="13">
      <c r="B410" s="84"/>
      <c r="C410" s="84"/>
      <c r="D410" s="85"/>
      <c r="E410" s="85"/>
      <c r="F410" s="85"/>
      <c r="G410" s="85"/>
      <c r="H410" s="85"/>
      <c r="I410" s="85"/>
      <c r="J410" s="85"/>
      <c r="K410" s="85"/>
      <c r="L410" s="109"/>
      <c r="M410" s="110"/>
      <c r="N410" s="127"/>
      <c r="O410" s="112"/>
      <c r="P410" s="112"/>
      <c r="Q410" s="118"/>
    </row>
    <row r="411" spans="2:17" s="5" customFormat="1" ht="13">
      <c r="B411" s="84"/>
      <c r="C411" s="84"/>
      <c r="D411" s="85"/>
      <c r="E411" s="85"/>
      <c r="F411" s="85"/>
      <c r="G411" s="85"/>
      <c r="H411" s="85"/>
      <c r="I411" s="85"/>
      <c r="J411" s="85"/>
      <c r="K411" s="85"/>
      <c r="L411" s="109"/>
      <c r="M411" s="110"/>
      <c r="N411" s="127"/>
      <c r="O411" s="112"/>
      <c r="P411" s="112"/>
      <c r="Q411" s="118"/>
    </row>
    <row r="412" spans="2:17" s="5" customFormat="1" ht="13">
      <c r="B412" s="84"/>
      <c r="C412" s="84"/>
      <c r="D412" s="85"/>
      <c r="E412" s="85"/>
      <c r="F412" s="85"/>
      <c r="G412" s="85"/>
      <c r="H412" s="85"/>
      <c r="I412" s="85"/>
      <c r="J412" s="85"/>
      <c r="K412" s="85"/>
      <c r="L412" s="109"/>
      <c r="M412" s="110"/>
      <c r="N412" s="127"/>
      <c r="O412" s="112"/>
      <c r="P412" s="112"/>
      <c r="Q412" s="118"/>
    </row>
    <row r="413" spans="2:17" s="5" customFormat="1" ht="13">
      <c r="B413" s="84"/>
      <c r="C413" s="84"/>
      <c r="D413" s="85"/>
      <c r="E413" s="85"/>
      <c r="F413" s="85"/>
      <c r="G413" s="85"/>
      <c r="H413" s="85"/>
      <c r="I413" s="85"/>
      <c r="J413" s="85"/>
      <c r="K413" s="85"/>
      <c r="L413" s="109"/>
      <c r="M413" s="110"/>
      <c r="N413" s="127"/>
      <c r="O413" s="112"/>
      <c r="P413" s="112"/>
      <c r="Q413" s="118"/>
    </row>
    <row r="414" spans="2:17" s="5" customFormat="1" ht="13">
      <c r="B414" s="84"/>
      <c r="C414" s="84"/>
      <c r="D414" s="85"/>
      <c r="E414" s="85"/>
      <c r="F414" s="85"/>
      <c r="G414" s="85"/>
      <c r="H414" s="85"/>
      <c r="I414" s="85"/>
      <c r="J414" s="85"/>
      <c r="K414" s="85"/>
      <c r="L414" s="109"/>
      <c r="M414" s="110"/>
      <c r="N414" s="127"/>
      <c r="O414" s="112"/>
      <c r="P414" s="112"/>
      <c r="Q414" s="118"/>
    </row>
    <row r="415" spans="2:17" s="5" customFormat="1" ht="13">
      <c r="B415" s="84"/>
      <c r="C415" s="84"/>
      <c r="D415" s="85"/>
      <c r="E415" s="85"/>
      <c r="F415" s="85"/>
      <c r="G415" s="85"/>
      <c r="H415" s="85"/>
      <c r="I415" s="85"/>
      <c r="J415" s="85"/>
      <c r="K415" s="85"/>
      <c r="L415" s="109"/>
      <c r="M415" s="110"/>
      <c r="N415" s="127"/>
      <c r="O415" s="112"/>
      <c r="P415" s="112"/>
      <c r="Q415" s="118"/>
    </row>
    <row r="416" spans="2:17" s="5" customFormat="1" ht="13">
      <c r="B416" s="84"/>
      <c r="C416" s="84"/>
      <c r="D416" s="85"/>
      <c r="E416" s="85"/>
      <c r="F416" s="85"/>
      <c r="G416" s="85"/>
      <c r="H416" s="85"/>
      <c r="I416" s="85"/>
      <c r="J416" s="85"/>
      <c r="K416" s="85"/>
      <c r="L416" s="109"/>
      <c r="M416" s="110"/>
      <c r="N416" s="127"/>
      <c r="O416" s="112"/>
      <c r="P416" s="112"/>
      <c r="Q416" s="118"/>
    </row>
    <row r="417" spans="2:17" s="5" customFormat="1" ht="13">
      <c r="B417" s="84"/>
      <c r="C417" s="84"/>
      <c r="D417" s="85"/>
      <c r="E417" s="85"/>
      <c r="F417" s="85"/>
      <c r="G417" s="85"/>
      <c r="H417" s="85"/>
      <c r="I417" s="85"/>
      <c r="J417" s="85"/>
      <c r="K417" s="85"/>
      <c r="L417" s="109"/>
      <c r="M417" s="110"/>
      <c r="N417" s="127"/>
      <c r="O417" s="112"/>
      <c r="P417" s="112"/>
      <c r="Q417" s="118"/>
    </row>
    <row r="418" spans="2:17" s="5" customFormat="1" ht="13">
      <c r="B418" s="84"/>
      <c r="C418" s="84"/>
      <c r="D418" s="85"/>
      <c r="E418" s="85"/>
      <c r="F418" s="85"/>
      <c r="G418" s="85"/>
      <c r="H418" s="85"/>
      <c r="I418" s="85"/>
      <c r="J418" s="85"/>
      <c r="K418" s="85"/>
      <c r="L418" s="109"/>
      <c r="M418" s="110"/>
      <c r="N418" s="127"/>
      <c r="O418" s="112"/>
      <c r="P418" s="112"/>
      <c r="Q418" s="118"/>
    </row>
    <row r="419" spans="2:17" s="5" customFormat="1" ht="13">
      <c r="B419" s="84"/>
      <c r="C419" s="84"/>
      <c r="D419" s="85"/>
      <c r="E419" s="85"/>
      <c r="F419" s="85"/>
      <c r="G419" s="85"/>
      <c r="H419" s="85"/>
      <c r="I419" s="85"/>
      <c r="J419" s="85"/>
      <c r="K419" s="85"/>
      <c r="L419" s="109"/>
      <c r="M419" s="110"/>
      <c r="N419" s="127"/>
      <c r="O419" s="112"/>
      <c r="P419" s="112"/>
      <c r="Q419" s="118"/>
    </row>
    <row r="420" spans="2:17" s="5" customFormat="1" ht="13">
      <c r="B420" s="84"/>
      <c r="C420" s="84"/>
      <c r="D420" s="85"/>
      <c r="E420" s="85"/>
      <c r="F420" s="85"/>
      <c r="G420" s="85"/>
      <c r="H420" s="85"/>
      <c r="I420" s="85"/>
      <c r="J420" s="85"/>
      <c r="K420" s="85"/>
      <c r="L420" s="109"/>
      <c r="M420" s="110"/>
      <c r="N420" s="127"/>
      <c r="O420" s="112"/>
      <c r="P420" s="112"/>
      <c r="Q420" s="118"/>
    </row>
    <row r="421" spans="2:17" s="5" customFormat="1" ht="13">
      <c r="B421" s="84"/>
      <c r="C421" s="84"/>
      <c r="D421" s="85"/>
      <c r="E421" s="85"/>
      <c r="F421" s="85"/>
      <c r="G421" s="85"/>
      <c r="H421" s="85"/>
      <c r="I421" s="85"/>
      <c r="J421" s="85"/>
      <c r="K421" s="85"/>
      <c r="L421" s="109"/>
      <c r="M421" s="110"/>
      <c r="N421" s="127"/>
      <c r="O421" s="112"/>
      <c r="P421" s="112"/>
      <c r="Q421" s="118"/>
    </row>
    <row r="422" spans="2:17" s="5" customFormat="1" ht="13">
      <c r="B422" s="84"/>
      <c r="C422" s="84"/>
      <c r="D422" s="85"/>
      <c r="E422" s="85"/>
      <c r="F422" s="85"/>
      <c r="G422" s="85"/>
      <c r="H422" s="85"/>
      <c r="I422" s="85"/>
      <c r="J422" s="85"/>
      <c r="K422" s="85"/>
      <c r="L422" s="109"/>
      <c r="M422" s="110"/>
      <c r="N422" s="127"/>
      <c r="O422" s="112"/>
      <c r="P422" s="112"/>
      <c r="Q422" s="118"/>
    </row>
    <row r="423" spans="2:17" s="5" customFormat="1" ht="13">
      <c r="B423" s="84"/>
      <c r="C423" s="84"/>
      <c r="D423" s="85"/>
      <c r="E423" s="85"/>
      <c r="F423" s="85"/>
      <c r="G423" s="85"/>
      <c r="H423" s="85"/>
      <c r="I423" s="85"/>
      <c r="J423" s="85"/>
      <c r="K423" s="85"/>
      <c r="L423" s="109"/>
      <c r="M423" s="110"/>
      <c r="N423" s="127"/>
      <c r="O423" s="112"/>
      <c r="P423" s="112"/>
      <c r="Q423" s="118"/>
    </row>
    <row r="424" spans="2:17" s="5" customFormat="1" ht="13">
      <c r="B424" s="84"/>
      <c r="C424" s="84"/>
      <c r="D424" s="85"/>
      <c r="E424" s="85"/>
      <c r="F424" s="85"/>
      <c r="G424" s="85"/>
      <c r="H424" s="85"/>
      <c r="I424" s="85"/>
      <c r="J424" s="85"/>
      <c r="K424" s="85"/>
      <c r="L424" s="109"/>
      <c r="M424" s="110"/>
      <c r="N424" s="127"/>
      <c r="O424" s="112"/>
      <c r="P424" s="112"/>
      <c r="Q424" s="118"/>
    </row>
    <row r="425" spans="2:17" s="5" customFormat="1" ht="13">
      <c r="B425" s="84"/>
      <c r="C425" s="84"/>
      <c r="D425" s="85"/>
      <c r="E425" s="85"/>
      <c r="F425" s="85"/>
      <c r="G425" s="85"/>
      <c r="H425" s="85"/>
      <c r="I425" s="85"/>
      <c r="J425" s="85"/>
      <c r="K425" s="85"/>
      <c r="L425" s="109"/>
      <c r="M425" s="110"/>
      <c r="N425" s="127"/>
      <c r="O425" s="112"/>
      <c r="P425" s="112"/>
      <c r="Q425" s="118"/>
    </row>
    <row r="426" spans="2:17" s="5" customFormat="1" ht="13">
      <c r="B426" s="84"/>
      <c r="C426" s="84"/>
      <c r="D426" s="85"/>
      <c r="E426" s="85"/>
      <c r="F426" s="85"/>
      <c r="G426" s="85"/>
      <c r="H426" s="85"/>
      <c r="I426" s="85"/>
      <c r="J426" s="85"/>
      <c r="K426" s="85"/>
      <c r="L426" s="109"/>
      <c r="M426" s="110"/>
      <c r="N426" s="127"/>
      <c r="O426" s="112"/>
      <c r="P426" s="112"/>
      <c r="Q426" s="118"/>
    </row>
    <row r="427" spans="2:17" s="5" customFormat="1" ht="13">
      <c r="B427" s="84"/>
      <c r="C427" s="84"/>
      <c r="D427" s="85"/>
      <c r="E427" s="85"/>
      <c r="F427" s="85"/>
      <c r="G427" s="85"/>
      <c r="H427" s="85"/>
      <c r="I427" s="85"/>
      <c r="J427" s="85"/>
      <c r="K427" s="85"/>
      <c r="L427" s="109"/>
      <c r="M427" s="110"/>
      <c r="N427" s="127"/>
      <c r="O427" s="112"/>
      <c r="P427" s="112"/>
      <c r="Q427" s="118"/>
    </row>
    <row r="428" spans="2:17" s="5" customFormat="1" ht="13">
      <c r="B428" s="84"/>
      <c r="C428" s="84"/>
      <c r="D428" s="85"/>
      <c r="E428" s="85"/>
      <c r="F428" s="85"/>
      <c r="G428" s="85"/>
      <c r="H428" s="85"/>
      <c r="I428" s="85"/>
      <c r="J428" s="85"/>
      <c r="K428" s="85"/>
      <c r="L428" s="109"/>
      <c r="M428" s="110"/>
      <c r="N428" s="127"/>
      <c r="O428" s="112"/>
      <c r="P428" s="112"/>
      <c r="Q428" s="118"/>
    </row>
    <row r="429" spans="2:17" s="5" customFormat="1" ht="13">
      <c r="B429" s="84"/>
      <c r="C429" s="84"/>
      <c r="D429" s="85"/>
      <c r="E429" s="85"/>
      <c r="F429" s="85"/>
      <c r="G429" s="85"/>
      <c r="H429" s="85"/>
      <c r="I429" s="85"/>
      <c r="J429" s="85"/>
      <c r="K429" s="85"/>
      <c r="L429" s="109"/>
      <c r="M429" s="110"/>
      <c r="N429" s="127"/>
      <c r="O429" s="112"/>
      <c r="P429" s="112"/>
      <c r="Q429" s="118"/>
    </row>
    <row r="430" spans="2:17" s="5" customFormat="1" ht="13">
      <c r="B430" s="84"/>
      <c r="C430" s="84"/>
      <c r="D430" s="85"/>
      <c r="E430" s="85"/>
      <c r="F430" s="85"/>
      <c r="G430" s="85"/>
      <c r="H430" s="85"/>
      <c r="I430" s="85"/>
      <c r="J430" s="85"/>
      <c r="K430" s="85"/>
      <c r="L430" s="109"/>
      <c r="M430" s="110"/>
      <c r="N430" s="127"/>
      <c r="O430" s="112"/>
      <c r="P430" s="112"/>
      <c r="Q430" s="118"/>
    </row>
    <row r="431" spans="2:17" s="5" customFormat="1" ht="13">
      <c r="B431" s="84"/>
      <c r="C431" s="84"/>
      <c r="D431" s="85"/>
      <c r="E431" s="85"/>
      <c r="F431" s="85"/>
      <c r="G431" s="85"/>
      <c r="H431" s="85"/>
      <c r="I431" s="85"/>
      <c r="J431" s="85"/>
      <c r="K431" s="85"/>
      <c r="L431" s="109"/>
      <c r="M431" s="110"/>
      <c r="N431" s="127"/>
      <c r="O431" s="112"/>
      <c r="P431" s="112"/>
      <c r="Q431" s="118"/>
    </row>
    <row r="432" spans="2:17" s="5" customFormat="1" ht="13">
      <c r="B432" s="84"/>
      <c r="C432" s="84"/>
      <c r="D432" s="85"/>
      <c r="E432" s="85"/>
      <c r="F432" s="85"/>
      <c r="G432" s="85"/>
      <c r="H432" s="85"/>
      <c r="I432" s="85"/>
      <c r="J432" s="85"/>
      <c r="K432" s="85"/>
      <c r="L432" s="109"/>
      <c r="M432" s="110"/>
      <c r="N432" s="127"/>
      <c r="O432" s="112"/>
      <c r="P432" s="112"/>
      <c r="Q432" s="118"/>
    </row>
    <row r="433" spans="2:17" s="5" customFormat="1" ht="13">
      <c r="B433" s="84"/>
      <c r="C433" s="84"/>
      <c r="D433" s="85"/>
      <c r="E433" s="85"/>
      <c r="F433" s="85"/>
      <c r="G433" s="85"/>
      <c r="H433" s="85"/>
      <c r="I433" s="85"/>
      <c r="J433" s="85"/>
      <c r="K433" s="85"/>
      <c r="L433" s="109"/>
      <c r="M433" s="110"/>
      <c r="N433" s="127"/>
      <c r="O433" s="112"/>
      <c r="P433" s="112"/>
      <c r="Q433" s="118"/>
    </row>
    <row r="434" spans="2:17" s="5" customFormat="1" ht="13">
      <c r="B434" s="84"/>
      <c r="C434" s="84"/>
      <c r="D434" s="85"/>
      <c r="E434" s="85"/>
      <c r="F434" s="85"/>
      <c r="G434" s="85"/>
      <c r="H434" s="85"/>
      <c r="I434" s="85"/>
      <c r="J434" s="85"/>
      <c r="K434" s="85"/>
      <c r="L434" s="109"/>
      <c r="M434" s="110"/>
      <c r="N434" s="127"/>
      <c r="O434" s="112"/>
      <c r="P434" s="112"/>
      <c r="Q434" s="118"/>
    </row>
    <row r="435" spans="2:17" s="5" customFormat="1" ht="13">
      <c r="B435" s="84"/>
      <c r="C435" s="84"/>
      <c r="D435" s="85"/>
      <c r="E435" s="85"/>
      <c r="F435" s="85"/>
      <c r="G435" s="85"/>
      <c r="H435" s="85"/>
      <c r="I435" s="85"/>
      <c r="J435" s="85"/>
      <c r="K435" s="85"/>
      <c r="L435" s="109"/>
      <c r="M435" s="110"/>
      <c r="N435" s="127"/>
      <c r="O435" s="112"/>
      <c r="P435" s="112"/>
      <c r="Q435" s="118"/>
    </row>
    <row r="436" spans="2:17" s="5" customFormat="1" ht="13">
      <c r="B436" s="84"/>
      <c r="C436" s="84"/>
      <c r="D436" s="85"/>
      <c r="E436" s="85"/>
      <c r="F436" s="85"/>
      <c r="G436" s="85"/>
      <c r="H436" s="85"/>
      <c r="I436" s="85"/>
      <c r="J436" s="85"/>
      <c r="K436" s="85"/>
      <c r="L436" s="109"/>
      <c r="M436" s="110"/>
      <c r="N436" s="127"/>
      <c r="O436" s="112"/>
      <c r="P436" s="112"/>
      <c r="Q436" s="118"/>
    </row>
    <row r="437" spans="2:17" s="5" customFormat="1" ht="13">
      <c r="B437" s="84"/>
      <c r="C437" s="84"/>
      <c r="D437" s="85"/>
      <c r="E437" s="85"/>
      <c r="F437" s="85"/>
      <c r="G437" s="85"/>
      <c r="H437" s="85"/>
      <c r="I437" s="85"/>
      <c r="J437" s="85"/>
      <c r="K437" s="85"/>
      <c r="L437" s="109"/>
      <c r="M437" s="110"/>
      <c r="N437" s="127"/>
      <c r="O437" s="112"/>
      <c r="P437" s="112"/>
      <c r="Q437" s="118"/>
    </row>
    <row r="438" spans="2:17" s="5" customFormat="1" ht="13">
      <c r="B438" s="84"/>
      <c r="C438" s="84"/>
      <c r="D438" s="85"/>
      <c r="E438" s="85"/>
      <c r="F438" s="85"/>
      <c r="G438" s="85"/>
      <c r="H438" s="85"/>
      <c r="I438" s="85"/>
      <c r="J438" s="85"/>
      <c r="K438" s="85"/>
      <c r="L438" s="109"/>
      <c r="M438" s="110"/>
      <c r="N438" s="127"/>
      <c r="O438" s="112"/>
      <c r="P438" s="112"/>
      <c r="Q438" s="118"/>
    </row>
    <row r="439" spans="2:17" s="5" customFormat="1" ht="13">
      <c r="B439" s="84"/>
      <c r="C439" s="84"/>
      <c r="D439" s="85"/>
      <c r="E439" s="85"/>
      <c r="F439" s="85"/>
      <c r="G439" s="85"/>
      <c r="H439" s="85"/>
      <c r="I439" s="85"/>
      <c r="J439" s="85"/>
      <c r="K439" s="85"/>
      <c r="L439" s="109"/>
      <c r="M439" s="110"/>
      <c r="N439" s="127"/>
      <c r="O439" s="112"/>
      <c r="P439" s="112"/>
      <c r="Q439" s="118"/>
    </row>
    <row r="440" spans="2:17" s="5" customFormat="1" ht="13">
      <c r="B440" s="84"/>
      <c r="C440" s="84"/>
      <c r="D440" s="85"/>
      <c r="E440" s="85"/>
      <c r="F440" s="85"/>
      <c r="G440" s="85"/>
      <c r="H440" s="85"/>
      <c r="I440" s="85"/>
      <c r="J440" s="85"/>
      <c r="K440" s="85"/>
      <c r="L440" s="109"/>
      <c r="M440" s="110"/>
      <c r="N440" s="127"/>
      <c r="O440" s="112"/>
      <c r="P440" s="112"/>
      <c r="Q440" s="118"/>
    </row>
    <row r="441" spans="2:17" s="5" customFormat="1" ht="13">
      <c r="B441" s="84"/>
      <c r="C441" s="84"/>
      <c r="D441" s="85"/>
      <c r="E441" s="85"/>
      <c r="F441" s="85"/>
      <c r="G441" s="85"/>
      <c r="H441" s="85"/>
      <c r="I441" s="85"/>
      <c r="J441" s="85"/>
      <c r="K441" s="85"/>
      <c r="L441" s="109"/>
      <c r="M441" s="110"/>
      <c r="N441" s="127"/>
      <c r="O441" s="112"/>
      <c r="P441" s="112"/>
      <c r="Q441" s="118"/>
    </row>
    <row r="442" spans="2:17" s="5" customFormat="1" ht="13">
      <c r="B442" s="84"/>
      <c r="C442" s="84"/>
      <c r="D442" s="85"/>
      <c r="E442" s="85"/>
      <c r="F442" s="85"/>
      <c r="G442" s="85"/>
      <c r="H442" s="85"/>
      <c r="I442" s="85"/>
      <c r="J442" s="85"/>
      <c r="K442" s="85"/>
      <c r="L442" s="109"/>
      <c r="M442" s="110"/>
      <c r="N442" s="127"/>
      <c r="O442" s="112"/>
      <c r="P442" s="112"/>
      <c r="Q442" s="118"/>
    </row>
    <row r="443" spans="2:17" s="5" customFormat="1" ht="13">
      <c r="B443" s="84"/>
      <c r="C443" s="84"/>
      <c r="D443" s="85"/>
      <c r="E443" s="85"/>
      <c r="F443" s="85"/>
      <c r="G443" s="85"/>
      <c r="H443" s="85"/>
      <c r="I443" s="85"/>
      <c r="J443" s="85"/>
      <c r="K443" s="85"/>
      <c r="L443" s="109"/>
      <c r="M443" s="110"/>
      <c r="N443" s="127"/>
      <c r="O443" s="112"/>
      <c r="P443" s="112"/>
      <c r="Q443" s="118"/>
    </row>
    <row r="444" spans="2:17" s="5" customFormat="1" ht="13">
      <c r="B444" s="84"/>
      <c r="C444" s="84"/>
      <c r="D444" s="85"/>
      <c r="E444" s="85"/>
      <c r="F444" s="85"/>
      <c r="G444" s="85"/>
      <c r="H444" s="85"/>
      <c r="I444" s="85"/>
      <c r="J444" s="85"/>
      <c r="K444" s="85"/>
      <c r="L444" s="109"/>
      <c r="M444" s="110"/>
      <c r="N444" s="127"/>
      <c r="O444" s="112"/>
      <c r="P444" s="112"/>
      <c r="Q444" s="118"/>
    </row>
    <row r="445" spans="2:17" s="5" customFormat="1" ht="13">
      <c r="B445" s="84"/>
      <c r="C445" s="84"/>
      <c r="D445" s="85"/>
      <c r="E445" s="85"/>
      <c r="F445" s="85"/>
      <c r="G445" s="85"/>
      <c r="H445" s="85"/>
      <c r="I445" s="85"/>
      <c r="J445" s="85"/>
      <c r="K445" s="85"/>
      <c r="L445" s="109"/>
      <c r="M445" s="110"/>
      <c r="N445" s="127"/>
      <c r="O445" s="112"/>
      <c r="P445" s="112"/>
      <c r="Q445" s="118"/>
    </row>
    <row r="446" spans="2:17" s="5" customFormat="1" ht="13">
      <c r="B446" s="84"/>
      <c r="C446" s="84"/>
      <c r="D446" s="85"/>
      <c r="E446" s="85"/>
      <c r="F446" s="85"/>
      <c r="G446" s="85"/>
      <c r="H446" s="85"/>
      <c r="I446" s="85"/>
      <c r="J446" s="85"/>
      <c r="K446" s="85"/>
      <c r="L446" s="109"/>
      <c r="M446" s="110"/>
      <c r="N446" s="127"/>
      <c r="O446" s="112"/>
      <c r="P446" s="112"/>
      <c r="Q446" s="118"/>
    </row>
    <row r="447" spans="2:17" s="5" customFormat="1" ht="13">
      <c r="B447" s="84"/>
      <c r="C447" s="84"/>
      <c r="D447" s="85"/>
      <c r="E447" s="85"/>
      <c r="F447" s="85"/>
      <c r="G447" s="85"/>
      <c r="H447" s="85"/>
      <c r="I447" s="85"/>
      <c r="J447" s="85"/>
      <c r="K447" s="85"/>
      <c r="L447" s="109"/>
      <c r="M447" s="110"/>
      <c r="N447" s="127"/>
      <c r="O447" s="112"/>
      <c r="P447" s="112"/>
      <c r="Q447" s="118"/>
    </row>
    <row r="448" spans="2:17" s="5" customFormat="1" ht="13">
      <c r="B448" s="84"/>
      <c r="C448" s="84"/>
      <c r="D448" s="85"/>
      <c r="E448" s="85"/>
      <c r="F448" s="85"/>
      <c r="G448" s="85"/>
      <c r="H448" s="85"/>
      <c r="I448" s="85"/>
      <c r="J448" s="85"/>
      <c r="K448" s="85"/>
      <c r="L448" s="109"/>
      <c r="M448" s="110"/>
      <c r="N448" s="127"/>
      <c r="O448" s="112"/>
      <c r="P448" s="112"/>
      <c r="Q448" s="118"/>
    </row>
    <row r="449" spans="2:17" s="5" customFormat="1" ht="13">
      <c r="B449" s="84"/>
      <c r="C449" s="84"/>
      <c r="D449" s="85"/>
      <c r="E449" s="85"/>
      <c r="F449" s="85"/>
      <c r="G449" s="85"/>
      <c r="H449" s="85"/>
      <c r="I449" s="85"/>
      <c r="J449" s="85"/>
      <c r="K449" s="85"/>
      <c r="L449" s="109"/>
      <c r="M449" s="110"/>
      <c r="N449" s="127"/>
      <c r="O449" s="112"/>
      <c r="P449" s="112"/>
      <c r="Q449" s="118"/>
    </row>
    <row r="450" spans="2:17" s="5" customFormat="1" ht="13">
      <c r="B450" s="84"/>
      <c r="C450" s="84"/>
      <c r="D450" s="85"/>
      <c r="E450" s="85"/>
      <c r="F450" s="85"/>
      <c r="G450" s="85"/>
      <c r="H450" s="85"/>
      <c r="I450" s="85"/>
      <c r="J450" s="85"/>
      <c r="K450" s="85"/>
      <c r="L450" s="109"/>
      <c r="M450" s="110"/>
      <c r="N450" s="127"/>
      <c r="O450" s="112"/>
      <c r="P450" s="112"/>
      <c r="Q450" s="118"/>
    </row>
    <row r="451" spans="2:17" s="5" customFormat="1" ht="13">
      <c r="B451" s="84"/>
      <c r="C451" s="84"/>
      <c r="D451" s="85"/>
      <c r="E451" s="85"/>
      <c r="F451" s="85"/>
      <c r="G451" s="85"/>
      <c r="H451" s="85"/>
      <c r="I451" s="85"/>
      <c r="J451" s="85"/>
      <c r="K451" s="85"/>
      <c r="L451" s="109"/>
      <c r="M451" s="110"/>
      <c r="N451" s="127"/>
      <c r="O451" s="112"/>
      <c r="P451" s="112"/>
      <c r="Q451" s="118"/>
    </row>
    <row r="452" spans="2:17" s="5" customFormat="1" ht="13">
      <c r="B452" s="84"/>
      <c r="C452" s="84"/>
      <c r="D452" s="85"/>
      <c r="E452" s="85"/>
      <c r="F452" s="85"/>
      <c r="G452" s="85"/>
      <c r="H452" s="85"/>
      <c r="I452" s="85"/>
      <c r="J452" s="85"/>
      <c r="K452" s="85"/>
      <c r="L452" s="109"/>
      <c r="M452" s="110"/>
      <c r="N452" s="127"/>
      <c r="O452" s="112"/>
      <c r="P452" s="112"/>
      <c r="Q452" s="118"/>
    </row>
    <row r="453" spans="2:17" s="5" customFormat="1" ht="13">
      <c r="B453" s="84"/>
      <c r="C453" s="84"/>
      <c r="D453" s="85"/>
      <c r="E453" s="85"/>
      <c r="F453" s="85"/>
      <c r="G453" s="85"/>
      <c r="H453" s="85"/>
      <c r="I453" s="85"/>
      <c r="J453" s="85"/>
      <c r="K453" s="85"/>
      <c r="L453" s="109"/>
      <c r="M453" s="110"/>
      <c r="N453" s="127"/>
      <c r="O453" s="112"/>
      <c r="P453" s="112"/>
      <c r="Q453" s="118"/>
    </row>
    <row r="454" spans="2:17" s="5" customFormat="1" ht="13">
      <c r="B454" s="84"/>
      <c r="C454" s="84"/>
      <c r="D454" s="85"/>
      <c r="E454" s="85"/>
      <c r="F454" s="85"/>
      <c r="G454" s="85"/>
      <c r="H454" s="85"/>
      <c r="I454" s="85"/>
      <c r="J454" s="85"/>
      <c r="K454" s="85"/>
      <c r="L454" s="109"/>
      <c r="M454" s="110"/>
      <c r="N454" s="127"/>
      <c r="O454" s="112"/>
      <c r="P454" s="112"/>
      <c r="Q454" s="118"/>
    </row>
    <row r="455" spans="2:17" s="5" customFormat="1" ht="13">
      <c r="B455" s="84"/>
      <c r="C455" s="84"/>
      <c r="D455" s="85"/>
      <c r="E455" s="85"/>
      <c r="F455" s="85"/>
      <c r="G455" s="85"/>
      <c r="H455" s="85"/>
      <c r="I455" s="85"/>
      <c r="J455" s="85"/>
      <c r="K455" s="85"/>
      <c r="L455" s="109"/>
      <c r="M455" s="110"/>
      <c r="N455" s="127"/>
      <c r="O455" s="112"/>
      <c r="P455" s="112"/>
      <c r="Q455" s="118"/>
    </row>
    <row r="456" spans="2:17" s="5" customFormat="1" ht="13">
      <c r="B456" s="84"/>
      <c r="C456" s="84"/>
      <c r="D456" s="85"/>
      <c r="E456" s="85"/>
      <c r="F456" s="85"/>
      <c r="G456" s="85"/>
      <c r="H456" s="85"/>
      <c r="I456" s="85"/>
      <c r="J456" s="85"/>
      <c r="K456" s="85"/>
      <c r="L456" s="109"/>
      <c r="M456" s="110"/>
      <c r="N456" s="127"/>
      <c r="O456" s="112"/>
      <c r="P456" s="112"/>
      <c r="Q456" s="118"/>
    </row>
    <row r="457" spans="2:17" s="5" customFormat="1" ht="13">
      <c r="B457" s="84"/>
      <c r="C457" s="84"/>
      <c r="D457" s="85"/>
      <c r="E457" s="85"/>
      <c r="F457" s="85"/>
      <c r="G457" s="85"/>
      <c r="H457" s="85"/>
      <c r="I457" s="85"/>
      <c r="J457" s="85"/>
      <c r="K457" s="85"/>
      <c r="L457" s="109"/>
      <c r="M457" s="110"/>
      <c r="N457" s="127"/>
      <c r="O457" s="112"/>
      <c r="P457" s="112"/>
      <c r="Q457" s="118"/>
    </row>
    <row r="458" spans="2:17" s="5" customFormat="1" ht="13">
      <c r="B458" s="84"/>
      <c r="C458" s="84"/>
      <c r="D458" s="85"/>
      <c r="E458" s="85"/>
      <c r="F458" s="85"/>
      <c r="G458" s="85"/>
      <c r="H458" s="85"/>
      <c r="I458" s="85"/>
      <c r="J458" s="85"/>
      <c r="K458" s="85"/>
      <c r="L458" s="109"/>
      <c r="M458" s="110"/>
      <c r="N458" s="127"/>
      <c r="O458" s="112"/>
      <c r="P458" s="112"/>
      <c r="Q458" s="118"/>
    </row>
    <row r="459" spans="2:17" s="5" customFormat="1" ht="13">
      <c r="B459" s="84"/>
      <c r="C459" s="84"/>
      <c r="D459" s="85"/>
      <c r="E459" s="85"/>
      <c r="F459" s="85"/>
      <c r="G459" s="85"/>
      <c r="H459" s="85"/>
      <c r="I459" s="85"/>
      <c r="J459" s="85"/>
      <c r="K459" s="85"/>
      <c r="L459" s="109"/>
      <c r="M459" s="110"/>
      <c r="N459" s="127"/>
      <c r="O459" s="112"/>
      <c r="P459" s="112"/>
      <c r="Q459" s="118"/>
    </row>
    <row r="460" spans="2:17" s="5" customFormat="1" ht="13">
      <c r="B460" s="84"/>
      <c r="C460" s="84"/>
      <c r="D460" s="85"/>
      <c r="E460" s="85"/>
      <c r="F460" s="85"/>
      <c r="G460" s="85"/>
      <c r="H460" s="85"/>
      <c r="I460" s="85"/>
      <c r="J460" s="85"/>
      <c r="K460" s="85"/>
      <c r="L460" s="109"/>
      <c r="M460" s="110"/>
      <c r="N460" s="127"/>
      <c r="O460" s="112"/>
      <c r="P460" s="112"/>
      <c r="Q460" s="118"/>
    </row>
    <row r="461" spans="2:17" s="5" customFormat="1" ht="13">
      <c r="B461" s="84"/>
      <c r="C461" s="84"/>
      <c r="D461" s="85"/>
      <c r="E461" s="85"/>
      <c r="F461" s="85"/>
      <c r="G461" s="85"/>
      <c r="H461" s="85"/>
      <c r="I461" s="85"/>
      <c r="J461" s="85"/>
      <c r="K461" s="85"/>
      <c r="L461" s="109"/>
      <c r="M461" s="110"/>
      <c r="N461" s="127"/>
      <c r="O461" s="112"/>
      <c r="P461" s="112"/>
      <c r="Q461" s="118"/>
    </row>
    <row r="462" spans="2:17" s="5" customFormat="1" ht="13">
      <c r="B462" s="84"/>
      <c r="C462" s="84"/>
      <c r="D462" s="85"/>
      <c r="E462" s="85"/>
      <c r="F462" s="85"/>
      <c r="G462" s="85"/>
      <c r="H462" s="85"/>
      <c r="I462" s="85"/>
      <c r="J462" s="85"/>
      <c r="K462" s="85"/>
      <c r="L462" s="109"/>
      <c r="M462" s="110"/>
      <c r="N462" s="127"/>
      <c r="O462" s="112"/>
      <c r="P462" s="112"/>
      <c r="Q462" s="118"/>
    </row>
    <row r="463" spans="2:17" s="5" customFormat="1" ht="13">
      <c r="B463" s="84"/>
      <c r="C463" s="84"/>
      <c r="D463" s="85"/>
      <c r="E463" s="85"/>
      <c r="F463" s="85"/>
      <c r="G463" s="85"/>
      <c r="H463" s="85"/>
      <c r="I463" s="85"/>
      <c r="J463" s="85"/>
      <c r="K463" s="85"/>
      <c r="L463" s="109"/>
      <c r="M463" s="110"/>
      <c r="N463" s="127"/>
      <c r="O463" s="112"/>
      <c r="P463" s="112"/>
      <c r="Q463" s="118"/>
    </row>
    <row r="464" spans="2:17" s="5" customFormat="1" ht="13">
      <c r="B464" s="84"/>
      <c r="C464" s="84"/>
      <c r="D464" s="85"/>
      <c r="E464" s="85"/>
      <c r="F464" s="85"/>
      <c r="G464" s="85"/>
      <c r="H464" s="85"/>
      <c r="I464" s="85"/>
      <c r="J464" s="85"/>
      <c r="K464" s="85"/>
      <c r="L464" s="109"/>
      <c r="M464" s="110"/>
      <c r="N464" s="127"/>
      <c r="O464" s="112"/>
      <c r="P464" s="112"/>
      <c r="Q464" s="118"/>
    </row>
    <row r="465" spans="2:17" s="5" customFormat="1" ht="13">
      <c r="B465" s="84"/>
      <c r="C465" s="84"/>
      <c r="D465" s="85"/>
      <c r="E465" s="85"/>
      <c r="F465" s="85"/>
      <c r="G465" s="85"/>
      <c r="H465" s="85"/>
      <c r="I465" s="85"/>
      <c r="J465" s="85"/>
      <c r="K465" s="85"/>
      <c r="L465" s="109"/>
      <c r="M465" s="110"/>
      <c r="N465" s="127"/>
      <c r="O465" s="112"/>
      <c r="P465" s="112"/>
      <c r="Q465" s="118"/>
    </row>
    <row r="466" spans="2:17" s="5" customFormat="1" ht="13">
      <c r="B466" s="84"/>
      <c r="C466" s="84"/>
      <c r="D466" s="85"/>
      <c r="E466" s="85"/>
      <c r="F466" s="85"/>
      <c r="G466" s="85"/>
      <c r="H466" s="85"/>
      <c r="I466" s="85"/>
      <c r="J466" s="85"/>
      <c r="K466" s="85"/>
      <c r="L466" s="109"/>
      <c r="M466" s="110"/>
      <c r="N466" s="127"/>
      <c r="O466" s="112"/>
      <c r="P466" s="112"/>
      <c r="Q466" s="118"/>
    </row>
    <row r="467" spans="2:17" s="5" customFormat="1" ht="13">
      <c r="B467" s="84"/>
      <c r="C467" s="84"/>
      <c r="D467" s="85"/>
      <c r="E467" s="85"/>
      <c r="F467" s="85"/>
      <c r="G467" s="85"/>
      <c r="H467" s="85"/>
      <c r="I467" s="85"/>
      <c r="J467" s="85"/>
      <c r="K467" s="85"/>
      <c r="L467" s="109"/>
      <c r="M467" s="110"/>
      <c r="N467" s="127"/>
      <c r="O467" s="112"/>
      <c r="P467" s="112"/>
      <c r="Q467" s="118"/>
    </row>
    <row r="468" spans="2:17" s="5" customFormat="1" ht="13">
      <c r="B468" s="84"/>
      <c r="C468" s="84"/>
      <c r="D468" s="85"/>
      <c r="E468" s="85"/>
      <c r="F468" s="85"/>
      <c r="G468" s="85"/>
      <c r="H468" s="85"/>
      <c r="I468" s="85"/>
      <c r="J468" s="85"/>
      <c r="K468" s="85"/>
      <c r="L468" s="109"/>
      <c r="M468" s="110"/>
      <c r="N468" s="127"/>
      <c r="O468" s="112"/>
      <c r="P468" s="112"/>
      <c r="Q468" s="118"/>
    </row>
    <row r="469" spans="2:17" s="5" customFormat="1" ht="13">
      <c r="B469" s="84"/>
      <c r="C469" s="84"/>
      <c r="D469" s="85"/>
      <c r="E469" s="85"/>
      <c r="F469" s="85"/>
      <c r="G469" s="85"/>
      <c r="H469" s="85"/>
      <c r="I469" s="85"/>
      <c r="J469" s="85"/>
      <c r="K469" s="85"/>
      <c r="L469" s="109"/>
      <c r="M469" s="110"/>
      <c r="N469" s="127"/>
      <c r="O469" s="112"/>
      <c r="P469" s="112"/>
      <c r="Q469" s="118"/>
    </row>
    <row r="470" spans="2:17" s="5" customFormat="1" ht="13">
      <c r="B470" s="84"/>
      <c r="C470" s="84"/>
      <c r="D470" s="85"/>
      <c r="E470" s="85"/>
      <c r="F470" s="85"/>
      <c r="G470" s="85"/>
      <c r="H470" s="85"/>
      <c r="I470" s="85"/>
      <c r="J470" s="85"/>
      <c r="K470" s="85"/>
      <c r="L470" s="109"/>
      <c r="M470" s="110"/>
      <c r="N470" s="127"/>
      <c r="O470" s="112"/>
      <c r="P470" s="112"/>
      <c r="Q470" s="118"/>
    </row>
    <row r="471" spans="2:17" s="5" customFormat="1" ht="13">
      <c r="B471" s="84"/>
      <c r="C471" s="84"/>
      <c r="D471" s="85"/>
      <c r="E471" s="85"/>
      <c r="F471" s="85"/>
      <c r="G471" s="85"/>
      <c r="H471" s="85"/>
      <c r="I471" s="85"/>
      <c r="J471" s="85"/>
      <c r="K471" s="85"/>
      <c r="L471" s="109"/>
      <c r="M471" s="110"/>
      <c r="N471" s="127"/>
      <c r="O471" s="112"/>
      <c r="P471" s="112"/>
      <c r="Q471" s="118"/>
    </row>
    <row r="472" spans="2:17" s="5" customFormat="1" ht="13">
      <c r="B472" s="84"/>
      <c r="C472" s="84"/>
      <c r="D472" s="85"/>
      <c r="E472" s="85"/>
      <c r="F472" s="85"/>
      <c r="G472" s="85"/>
      <c r="H472" s="85"/>
      <c r="I472" s="85"/>
      <c r="J472" s="85"/>
      <c r="K472" s="85"/>
      <c r="L472" s="109"/>
      <c r="M472" s="110"/>
      <c r="N472" s="127"/>
      <c r="O472" s="112"/>
      <c r="P472" s="112"/>
      <c r="Q472" s="118"/>
    </row>
    <row r="473" spans="2:17" s="5" customFormat="1" ht="13">
      <c r="B473" s="84"/>
      <c r="C473" s="84"/>
      <c r="D473" s="85"/>
      <c r="E473" s="85"/>
      <c r="F473" s="85"/>
      <c r="G473" s="85"/>
      <c r="H473" s="85"/>
      <c r="I473" s="85"/>
      <c r="J473" s="85"/>
      <c r="K473" s="85"/>
      <c r="L473" s="109"/>
      <c r="M473" s="110"/>
      <c r="N473" s="127"/>
      <c r="O473" s="112"/>
      <c r="P473" s="112"/>
      <c r="Q473" s="118"/>
    </row>
    <row r="474" spans="2:17" s="5" customFormat="1" ht="13">
      <c r="B474" s="84"/>
      <c r="C474" s="84"/>
      <c r="D474" s="85"/>
      <c r="E474" s="85"/>
      <c r="F474" s="85"/>
      <c r="G474" s="85"/>
      <c r="H474" s="85"/>
      <c r="I474" s="85"/>
      <c r="J474" s="85"/>
      <c r="K474" s="85"/>
      <c r="L474" s="109"/>
      <c r="M474" s="110"/>
      <c r="N474" s="127"/>
      <c r="O474" s="112"/>
      <c r="P474" s="112"/>
      <c r="Q474" s="118"/>
    </row>
    <row r="475" spans="2:17" s="5" customFormat="1" ht="13">
      <c r="B475" s="84"/>
      <c r="C475" s="84"/>
      <c r="D475" s="85"/>
      <c r="E475" s="85"/>
      <c r="F475" s="85"/>
      <c r="G475" s="85"/>
      <c r="H475" s="85"/>
      <c r="I475" s="85"/>
      <c r="J475" s="85"/>
      <c r="K475" s="85"/>
      <c r="L475" s="109"/>
      <c r="M475" s="110"/>
      <c r="N475" s="127"/>
      <c r="O475" s="112"/>
      <c r="P475" s="112"/>
      <c r="Q475" s="118"/>
    </row>
    <row r="476" spans="2:17" s="5" customFormat="1" ht="13">
      <c r="B476" s="84"/>
      <c r="C476" s="84"/>
      <c r="D476" s="85"/>
      <c r="E476" s="85"/>
      <c r="F476" s="85"/>
      <c r="G476" s="85"/>
      <c r="H476" s="85"/>
      <c r="I476" s="85"/>
      <c r="J476" s="85"/>
      <c r="K476" s="85"/>
      <c r="L476" s="109"/>
      <c r="M476" s="110"/>
      <c r="N476" s="127"/>
      <c r="O476" s="112"/>
      <c r="P476" s="112"/>
      <c r="Q476" s="118"/>
    </row>
    <row r="477" spans="2:17" s="5" customFormat="1" ht="13">
      <c r="B477" s="84"/>
      <c r="C477" s="84"/>
      <c r="D477" s="85"/>
      <c r="E477" s="85"/>
      <c r="F477" s="85"/>
      <c r="G477" s="85"/>
      <c r="H477" s="85"/>
      <c r="I477" s="85"/>
      <c r="J477" s="85"/>
      <c r="K477" s="85"/>
      <c r="L477" s="109"/>
      <c r="M477" s="110"/>
      <c r="N477" s="127"/>
      <c r="O477" s="112"/>
      <c r="P477" s="112"/>
      <c r="Q477" s="118"/>
    </row>
    <row r="478" spans="2:17" s="5" customFormat="1" ht="13">
      <c r="B478" s="84"/>
      <c r="C478" s="84"/>
      <c r="D478" s="85"/>
      <c r="E478" s="85"/>
      <c r="F478" s="85"/>
      <c r="G478" s="85"/>
      <c r="H478" s="85"/>
      <c r="I478" s="85"/>
      <c r="J478" s="85"/>
      <c r="K478" s="85"/>
      <c r="L478" s="109"/>
      <c r="M478" s="110"/>
      <c r="N478" s="127"/>
      <c r="O478" s="112"/>
      <c r="P478" s="112"/>
      <c r="Q478" s="118"/>
    </row>
    <row r="479" spans="2:17" s="5" customFormat="1" ht="13">
      <c r="B479" s="84"/>
      <c r="C479" s="84"/>
      <c r="D479" s="85"/>
      <c r="E479" s="85"/>
      <c r="F479" s="85"/>
      <c r="G479" s="85"/>
      <c r="H479" s="85"/>
      <c r="I479" s="85"/>
      <c r="J479" s="85"/>
      <c r="K479" s="85"/>
      <c r="L479" s="109"/>
      <c r="M479" s="110"/>
      <c r="N479" s="127"/>
      <c r="O479" s="112"/>
      <c r="P479" s="112"/>
      <c r="Q479" s="118"/>
    </row>
    <row r="480" spans="2:17" s="5" customFormat="1" ht="13">
      <c r="B480" s="84"/>
      <c r="C480" s="84"/>
      <c r="D480" s="85"/>
      <c r="E480" s="85"/>
      <c r="F480" s="85"/>
      <c r="G480" s="85"/>
      <c r="H480" s="85"/>
      <c r="I480" s="85"/>
      <c r="J480" s="85"/>
      <c r="K480" s="85"/>
      <c r="L480" s="109"/>
      <c r="M480" s="110"/>
      <c r="N480" s="127"/>
      <c r="O480" s="112"/>
      <c r="P480" s="112"/>
      <c r="Q480" s="118"/>
    </row>
    <row r="481" spans="2:17" s="5" customFormat="1" ht="13">
      <c r="B481" s="84"/>
      <c r="C481" s="84"/>
      <c r="D481" s="85"/>
      <c r="E481" s="85"/>
      <c r="F481" s="85"/>
      <c r="G481" s="85"/>
      <c r="H481" s="85"/>
      <c r="I481" s="85"/>
      <c r="J481" s="85"/>
      <c r="K481" s="85"/>
      <c r="L481" s="109"/>
      <c r="M481" s="110"/>
      <c r="N481" s="127"/>
      <c r="O481" s="112"/>
      <c r="P481" s="112"/>
      <c r="Q481" s="118"/>
    </row>
    <row r="482" spans="2:17" s="5" customFormat="1" ht="13">
      <c r="B482" s="84"/>
      <c r="C482" s="84"/>
      <c r="D482" s="85"/>
      <c r="E482" s="85"/>
      <c r="F482" s="85"/>
      <c r="G482" s="85"/>
      <c r="H482" s="85"/>
      <c r="I482" s="85"/>
      <c r="J482" s="85"/>
      <c r="K482" s="85"/>
      <c r="L482" s="109"/>
      <c r="M482" s="110"/>
      <c r="N482" s="127"/>
      <c r="O482" s="112"/>
      <c r="P482" s="112"/>
      <c r="Q482" s="118"/>
    </row>
    <row r="483" spans="2:17" s="5" customFormat="1" ht="13">
      <c r="B483" s="84"/>
      <c r="C483" s="84"/>
      <c r="D483" s="85"/>
      <c r="E483" s="85"/>
      <c r="F483" s="85"/>
      <c r="G483" s="85"/>
      <c r="H483" s="85"/>
      <c r="I483" s="85"/>
      <c r="J483" s="85"/>
      <c r="K483" s="85"/>
      <c r="L483" s="109"/>
      <c r="M483" s="110"/>
      <c r="N483" s="127"/>
      <c r="O483" s="112"/>
      <c r="P483" s="112"/>
      <c r="Q483" s="118"/>
    </row>
    <row r="484" spans="2:17" s="5" customFormat="1" ht="13">
      <c r="B484" s="84"/>
      <c r="C484" s="84"/>
      <c r="D484" s="85"/>
      <c r="E484" s="85"/>
      <c r="F484" s="85"/>
      <c r="G484" s="85"/>
      <c r="H484" s="85"/>
      <c r="I484" s="85"/>
      <c r="J484" s="85"/>
      <c r="K484" s="85"/>
      <c r="L484" s="109"/>
      <c r="M484" s="110"/>
      <c r="N484" s="127"/>
      <c r="O484" s="112"/>
      <c r="P484" s="112"/>
      <c r="Q484" s="118"/>
    </row>
    <row r="485" spans="2:17" s="5" customFormat="1" ht="13">
      <c r="B485" s="84"/>
      <c r="C485" s="84"/>
      <c r="D485" s="85"/>
      <c r="E485" s="85"/>
      <c r="F485" s="85"/>
      <c r="G485" s="85"/>
      <c r="H485" s="85"/>
      <c r="I485" s="85"/>
      <c r="J485" s="85"/>
      <c r="K485" s="85"/>
      <c r="L485" s="109"/>
      <c r="M485" s="110"/>
      <c r="N485" s="127"/>
      <c r="O485" s="112"/>
      <c r="P485" s="112"/>
      <c r="Q485" s="118"/>
    </row>
    <row r="486" spans="2:17" s="5" customFormat="1" ht="13">
      <c r="B486" s="84"/>
      <c r="C486" s="84"/>
      <c r="D486" s="85"/>
      <c r="E486" s="85"/>
      <c r="F486" s="85"/>
      <c r="G486" s="85"/>
      <c r="H486" s="85"/>
      <c r="I486" s="85"/>
      <c r="J486" s="85"/>
      <c r="K486" s="85"/>
      <c r="L486" s="109"/>
      <c r="M486" s="110"/>
      <c r="N486" s="127"/>
      <c r="O486" s="112"/>
      <c r="P486" s="112"/>
      <c r="Q486" s="118"/>
    </row>
    <row r="487" spans="2:17" s="5" customFormat="1" ht="13">
      <c r="B487" s="84"/>
      <c r="C487" s="84"/>
      <c r="D487" s="85"/>
      <c r="E487" s="85"/>
      <c r="F487" s="85"/>
      <c r="G487" s="85"/>
      <c r="H487" s="85"/>
      <c r="I487" s="85"/>
      <c r="J487" s="85"/>
      <c r="K487" s="85"/>
      <c r="L487" s="109"/>
      <c r="M487" s="110"/>
      <c r="N487" s="127"/>
      <c r="O487" s="112"/>
      <c r="P487" s="112"/>
      <c r="Q487" s="118"/>
    </row>
    <row r="488" spans="2:17" s="5" customFormat="1" ht="13">
      <c r="B488" s="84"/>
      <c r="C488" s="84"/>
      <c r="D488" s="85"/>
      <c r="E488" s="85"/>
      <c r="F488" s="85"/>
      <c r="G488" s="85"/>
      <c r="H488" s="85"/>
      <c r="I488" s="85"/>
      <c r="J488" s="85"/>
      <c r="K488" s="85"/>
      <c r="L488" s="109"/>
      <c r="M488" s="110"/>
      <c r="N488" s="127"/>
      <c r="O488" s="112"/>
      <c r="P488" s="112"/>
      <c r="Q488" s="118"/>
    </row>
    <row r="489" spans="2:17" s="5" customFormat="1" ht="13">
      <c r="B489" s="84"/>
      <c r="C489" s="84"/>
      <c r="D489" s="85"/>
      <c r="E489" s="85"/>
      <c r="F489" s="85"/>
      <c r="G489" s="85"/>
      <c r="H489" s="85"/>
      <c r="I489" s="85"/>
      <c r="J489" s="85"/>
      <c r="K489" s="85"/>
      <c r="L489" s="109"/>
      <c r="M489" s="110"/>
      <c r="N489" s="127"/>
      <c r="O489" s="112"/>
      <c r="P489" s="112"/>
      <c r="Q489" s="118"/>
    </row>
    <row r="490" spans="2:17" s="5" customFormat="1" ht="13">
      <c r="B490" s="84"/>
      <c r="C490" s="84"/>
      <c r="D490" s="85"/>
      <c r="E490" s="85"/>
      <c r="F490" s="85"/>
      <c r="G490" s="85"/>
      <c r="H490" s="85"/>
      <c r="I490" s="85"/>
      <c r="J490" s="85"/>
      <c r="K490" s="85"/>
      <c r="L490" s="109"/>
      <c r="M490" s="110"/>
      <c r="N490" s="127"/>
      <c r="O490" s="112"/>
      <c r="P490" s="112"/>
      <c r="Q490" s="118"/>
    </row>
    <row r="491" spans="2:17" s="5" customFormat="1" ht="13">
      <c r="B491" s="84"/>
      <c r="C491" s="84"/>
      <c r="D491" s="85"/>
      <c r="E491" s="85"/>
      <c r="F491" s="85"/>
      <c r="G491" s="85"/>
      <c r="H491" s="85"/>
      <c r="I491" s="85"/>
      <c r="J491" s="85"/>
      <c r="K491" s="85"/>
      <c r="L491" s="109"/>
      <c r="M491" s="110"/>
      <c r="N491" s="127"/>
      <c r="O491" s="112"/>
      <c r="P491" s="112"/>
      <c r="Q491" s="118"/>
    </row>
    <row r="492" spans="2:17" s="5" customFormat="1" ht="13">
      <c r="B492" s="84"/>
      <c r="C492" s="84"/>
      <c r="D492" s="85"/>
      <c r="E492" s="85"/>
      <c r="F492" s="85"/>
      <c r="G492" s="85"/>
      <c r="H492" s="85"/>
      <c r="I492" s="85"/>
      <c r="J492" s="85"/>
      <c r="K492" s="85"/>
      <c r="L492" s="109"/>
      <c r="M492" s="110"/>
      <c r="N492" s="127"/>
      <c r="O492" s="112"/>
      <c r="P492" s="112"/>
      <c r="Q492" s="118"/>
    </row>
    <row r="493" spans="2:17" s="5" customFormat="1" ht="13">
      <c r="B493" s="84"/>
      <c r="C493" s="84"/>
      <c r="D493" s="85"/>
      <c r="E493" s="85"/>
      <c r="F493" s="85"/>
      <c r="G493" s="85"/>
      <c r="H493" s="85"/>
      <c r="I493" s="85"/>
      <c r="J493" s="85"/>
      <c r="K493" s="85"/>
      <c r="L493" s="109"/>
      <c r="M493" s="110"/>
      <c r="N493" s="127"/>
      <c r="O493" s="112"/>
      <c r="P493" s="112"/>
      <c r="Q493" s="118"/>
    </row>
    <row r="494" spans="2:17" s="5" customFormat="1" ht="13">
      <c r="B494" s="84"/>
      <c r="C494" s="84"/>
      <c r="D494" s="85"/>
      <c r="E494" s="85"/>
      <c r="F494" s="85"/>
      <c r="G494" s="85"/>
      <c r="H494" s="85"/>
      <c r="I494" s="85"/>
      <c r="J494" s="85"/>
      <c r="K494" s="85"/>
      <c r="L494" s="109"/>
      <c r="M494" s="110"/>
      <c r="N494" s="127"/>
      <c r="O494" s="112"/>
      <c r="P494" s="112"/>
      <c r="Q494" s="118"/>
    </row>
    <row r="495" spans="2:17" s="5" customFormat="1" ht="13">
      <c r="B495" s="84"/>
      <c r="C495" s="84"/>
      <c r="D495" s="85"/>
      <c r="E495" s="85"/>
      <c r="F495" s="85"/>
      <c r="G495" s="85"/>
      <c r="H495" s="85"/>
      <c r="I495" s="85"/>
      <c r="J495" s="85"/>
      <c r="K495" s="85"/>
      <c r="L495" s="109"/>
      <c r="M495" s="110"/>
      <c r="N495" s="127"/>
      <c r="O495" s="112"/>
      <c r="P495" s="112"/>
      <c r="Q495" s="118"/>
    </row>
    <row r="496" spans="2:17" s="5" customFormat="1" ht="13">
      <c r="B496" s="84"/>
      <c r="C496" s="84"/>
      <c r="D496" s="85"/>
      <c r="E496" s="85"/>
      <c r="F496" s="85"/>
      <c r="G496" s="85"/>
      <c r="H496" s="85"/>
      <c r="I496" s="85"/>
      <c r="J496" s="85"/>
      <c r="K496" s="85"/>
      <c r="L496" s="109"/>
      <c r="M496" s="110"/>
      <c r="N496" s="127"/>
      <c r="O496" s="112"/>
      <c r="P496" s="112"/>
      <c r="Q496" s="118"/>
    </row>
    <row r="497" spans="2:17" s="5" customFormat="1" ht="13">
      <c r="B497" s="84"/>
      <c r="C497" s="84"/>
      <c r="D497" s="85"/>
      <c r="E497" s="85"/>
      <c r="F497" s="85"/>
      <c r="G497" s="85"/>
      <c r="H497" s="85"/>
      <c r="I497" s="85"/>
      <c r="J497" s="85"/>
      <c r="K497" s="85"/>
      <c r="L497" s="109"/>
      <c r="M497" s="110"/>
      <c r="N497" s="127"/>
      <c r="O497" s="112"/>
      <c r="P497" s="112"/>
      <c r="Q497" s="118"/>
    </row>
    <row r="498" spans="2:17" s="5" customFormat="1" ht="13">
      <c r="B498" s="84"/>
      <c r="C498" s="84"/>
      <c r="D498" s="85"/>
      <c r="E498" s="85"/>
      <c r="F498" s="85"/>
      <c r="G498" s="85"/>
      <c r="H498" s="85"/>
      <c r="I498" s="85"/>
      <c r="J498" s="85"/>
      <c r="K498" s="85"/>
      <c r="L498" s="109"/>
      <c r="M498" s="110"/>
      <c r="N498" s="127"/>
      <c r="O498" s="112"/>
      <c r="P498" s="112"/>
      <c r="Q498" s="118"/>
    </row>
    <row r="499" spans="2:17" s="5" customFormat="1" ht="13">
      <c r="B499" s="84"/>
      <c r="C499" s="84"/>
      <c r="D499" s="85"/>
      <c r="E499" s="85"/>
      <c r="F499" s="85"/>
      <c r="G499" s="85"/>
      <c r="H499" s="85"/>
      <c r="I499" s="85"/>
      <c r="J499" s="85"/>
      <c r="K499" s="85"/>
      <c r="L499" s="109"/>
      <c r="M499" s="110"/>
      <c r="N499" s="127"/>
      <c r="O499" s="112"/>
      <c r="P499" s="112"/>
      <c r="Q499" s="118"/>
    </row>
    <row r="500" spans="2:17" s="5" customFormat="1" ht="13">
      <c r="B500" s="84"/>
      <c r="C500" s="84"/>
      <c r="D500" s="85"/>
      <c r="E500" s="85"/>
      <c r="F500" s="85"/>
      <c r="G500" s="85"/>
      <c r="H500" s="85"/>
      <c r="I500" s="85"/>
      <c r="J500" s="85"/>
      <c r="K500" s="85"/>
      <c r="L500" s="109"/>
      <c r="M500" s="110"/>
      <c r="N500" s="127"/>
      <c r="O500" s="112"/>
      <c r="P500" s="112"/>
      <c r="Q500" s="118"/>
    </row>
    <row r="501" spans="2:17" s="5" customFormat="1" ht="13">
      <c r="B501" s="84"/>
      <c r="C501" s="84"/>
      <c r="D501" s="85"/>
      <c r="E501" s="85"/>
      <c r="F501" s="85"/>
      <c r="G501" s="85"/>
      <c r="H501" s="85"/>
      <c r="I501" s="85"/>
      <c r="J501" s="85"/>
      <c r="K501" s="85"/>
      <c r="L501" s="109"/>
      <c r="M501" s="110"/>
      <c r="N501" s="127"/>
      <c r="O501" s="112"/>
      <c r="P501" s="112"/>
      <c r="Q501" s="118"/>
    </row>
    <row r="502" spans="2:17" s="5" customFormat="1" ht="13">
      <c r="B502" s="84"/>
      <c r="C502" s="84"/>
      <c r="D502" s="85"/>
      <c r="E502" s="85"/>
      <c r="F502" s="85"/>
      <c r="G502" s="85"/>
      <c r="H502" s="85"/>
      <c r="I502" s="85"/>
      <c r="J502" s="85"/>
      <c r="K502" s="85"/>
      <c r="L502" s="109"/>
      <c r="M502" s="110"/>
      <c r="N502" s="127"/>
      <c r="O502" s="112"/>
      <c r="P502" s="112"/>
      <c r="Q502" s="118"/>
    </row>
    <row r="503" spans="2:17" s="5" customFormat="1" ht="13">
      <c r="B503" s="84"/>
      <c r="C503" s="84"/>
      <c r="D503" s="85"/>
      <c r="E503" s="85"/>
      <c r="F503" s="85"/>
      <c r="G503" s="85"/>
      <c r="H503" s="85"/>
      <c r="I503" s="85"/>
      <c r="J503" s="85"/>
      <c r="K503" s="85"/>
      <c r="L503" s="109"/>
      <c r="M503" s="110"/>
      <c r="N503" s="127"/>
      <c r="O503" s="112"/>
      <c r="P503" s="112"/>
      <c r="Q503" s="118"/>
    </row>
    <row r="504" spans="2:17" s="5" customFormat="1" ht="13">
      <c r="B504" s="84"/>
      <c r="C504" s="84"/>
      <c r="D504" s="85"/>
      <c r="E504" s="85"/>
      <c r="F504" s="85"/>
      <c r="G504" s="85"/>
      <c r="H504" s="85"/>
      <c r="I504" s="85"/>
      <c r="J504" s="85"/>
      <c r="K504" s="85"/>
      <c r="L504" s="109"/>
      <c r="M504" s="110"/>
      <c r="N504" s="127"/>
      <c r="O504" s="112"/>
      <c r="P504" s="112"/>
      <c r="Q504" s="118"/>
    </row>
    <row r="505" spans="2:17" s="5" customFormat="1" ht="13">
      <c r="B505" s="84"/>
      <c r="C505" s="84"/>
      <c r="D505" s="85"/>
      <c r="E505" s="85"/>
      <c r="F505" s="85"/>
      <c r="G505" s="85"/>
      <c r="H505" s="85"/>
      <c r="I505" s="85"/>
      <c r="J505" s="85"/>
      <c r="K505" s="85"/>
      <c r="L505" s="109"/>
      <c r="M505" s="110"/>
      <c r="N505" s="127"/>
      <c r="O505" s="112"/>
      <c r="P505" s="112"/>
      <c r="Q505" s="118"/>
    </row>
    <row r="506" spans="2:17" s="5" customFormat="1" ht="13">
      <c r="B506" s="84"/>
      <c r="C506" s="84"/>
      <c r="D506" s="85"/>
      <c r="E506" s="85"/>
      <c r="F506" s="85"/>
      <c r="G506" s="85"/>
      <c r="H506" s="85"/>
      <c r="I506" s="85"/>
      <c r="J506" s="85"/>
      <c r="K506" s="85"/>
      <c r="L506" s="109"/>
      <c r="M506" s="110"/>
      <c r="N506" s="127"/>
      <c r="O506" s="112"/>
      <c r="P506" s="112"/>
      <c r="Q506" s="118"/>
    </row>
    <row r="507" spans="2:17" s="5" customFormat="1" ht="13">
      <c r="B507" s="84"/>
      <c r="C507" s="84"/>
      <c r="D507" s="85"/>
      <c r="E507" s="85"/>
      <c r="F507" s="85"/>
      <c r="G507" s="85"/>
      <c r="H507" s="85"/>
      <c r="I507" s="85"/>
      <c r="J507" s="85"/>
      <c r="K507" s="85"/>
      <c r="L507" s="109"/>
      <c r="M507" s="110"/>
      <c r="N507" s="127"/>
      <c r="O507" s="112"/>
      <c r="P507" s="112"/>
      <c r="Q507" s="118"/>
    </row>
    <row r="508" spans="2:17" s="5" customFormat="1" ht="13">
      <c r="B508" s="84"/>
      <c r="C508" s="84"/>
      <c r="D508" s="85"/>
      <c r="E508" s="85"/>
      <c r="F508" s="85"/>
      <c r="G508" s="85"/>
      <c r="H508" s="85"/>
      <c r="I508" s="85"/>
      <c r="J508" s="85"/>
      <c r="K508" s="85"/>
      <c r="L508" s="109"/>
      <c r="M508" s="110"/>
      <c r="N508" s="127"/>
      <c r="O508" s="112"/>
      <c r="P508" s="112"/>
      <c r="Q508" s="118"/>
    </row>
    <row r="509" spans="2:17" s="5" customFormat="1" ht="13">
      <c r="B509" s="84"/>
      <c r="C509" s="84"/>
      <c r="D509" s="85"/>
      <c r="E509" s="85"/>
      <c r="F509" s="85"/>
      <c r="G509" s="85"/>
      <c r="H509" s="85"/>
      <c r="I509" s="85"/>
      <c r="J509" s="85"/>
      <c r="K509" s="85"/>
      <c r="L509" s="109"/>
      <c r="M509" s="110"/>
      <c r="N509" s="127"/>
      <c r="O509" s="112"/>
      <c r="P509" s="112"/>
      <c r="Q509" s="118"/>
    </row>
    <row r="510" spans="2:17" s="5" customFormat="1" ht="13">
      <c r="B510" s="84"/>
      <c r="C510" s="84"/>
      <c r="D510" s="85"/>
      <c r="E510" s="85"/>
      <c r="F510" s="85"/>
      <c r="G510" s="85"/>
      <c r="H510" s="85"/>
      <c r="I510" s="85"/>
      <c r="J510" s="85"/>
      <c r="K510" s="85"/>
      <c r="L510" s="109"/>
      <c r="M510" s="110"/>
      <c r="N510" s="127"/>
      <c r="O510" s="112"/>
      <c r="P510" s="112"/>
      <c r="Q510" s="118"/>
    </row>
    <row r="511" spans="2:17" s="5" customFormat="1" ht="13">
      <c r="B511" s="84"/>
      <c r="C511" s="84"/>
      <c r="D511" s="85"/>
      <c r="E511" s="85"/>
      <c r="F511" s="85"/>
      <c r="G511" s="85"/>
      <c r="H511" s="85"/>
      <c r="I511" s="85"/>
      <c r="J511" s="85"/>
      <c r="K511" s="85"/>
      <c r="L511" s="109"/>
      <c r="M511" s="110"/>
      <c r="N511" s="127"/>
      <c r="O511" s="112"/>
      <c r="P511" s="112"/>
      <c r="Q511" s="118"/>
    </row>
    <row r="512" spans="2:17" s="5" customFormat="1" ht="13">
      <c r="B512" s="84"/>
      <c r="C512" s="84"/>
      <c r="D512" s="85"/>
      <c r="E512" s="85"/>
      <c r="F512" s="85"/>
      <c r="G512" s="85"/>
      <c r="H512" s="85"/>
      <c r="I512" s="85"/>
      <c r="J512" s="85"/>
      <c r="K512" s="85"/>
      <c r="L512" s="109"/>
      <c r="M512" s="110"/>
      <c r="N512" s="127"/>
      <c r="O512" s="112"/>
      <c r="P512" s="112"/>
      <c r="Q512" s="118"/>
    </row>
    <row r="513" spans="2:17" s="5" customFormat="1" ht="13">
      <c r="B513" s="84"/>
      <c r="C513" s="84"/>
      <c r="D513" s="85"/>
      <c r="E513" s="85"/>
      <c r="F513" s="85"/>
      <c r="G513" s="85"/>
      <c r="H513" s="85"/>
      <c r="I513" s="85"/>
      <c r="J513" s="85"/>
      <c r="K513" s="85"/>
      <c r="L513" s="109"/>
      <c r="M513" s="110"/>
      <c r="N513" s="127"/>
      <c r="O513" s="112"/>
      <c r="P513" s="112"/>
      <c r="Q513" s="118"/>
    </row>
    <row r="514" spans="2:17" s="5" customFormat="1" ht="13">
      <c r="B514" s="84"/>
      <c r="C514" s="84"/>
      <c r="D514" s="85"/>
      <c r="E514" s="85"/>
      <c r="F514" s="85"/>
      <c r="G514" s="85"/>
      <c r="H514" s="85"/>
      <c r="I514" s="85"/>
      <c r="J514" s="85"/>
      <c r="K514" s="85"/>
      <c r="L514" s="109"/>
      <c r="M514" s="110"/>
      <c r="N514" s="127"/>
      <c r="O514" s="112"/>
      <c r="P514" s="112"/>
      <c r="Q514" s="118"/>
    </row>
    <row r="515" spans="2:17" s="5" customFormat="1" ht="13">
      <c r="B515" s="84"/>
      <c r="C515" s="84"/>
      <c r="D515" s="85"/>
      <c r="E515" s="85"/>
      <c r="F515" s="85"/>
      <c r="G515" s="85"/>
      <c r="H515" s="85"/>
      <c r="I515" s="85"/>
      <c r="J515" s="85"/>
      <c r="K515" s="85"/>
      <c r="L515" s="109"/>
      <c r="M515" s="110"/>
      <c r="N515" s="127"/>
      <c r="O515" s="112"/>
      <c r="P515" s="112"/>
      <c r="Q515" s="118"/>
    </row>
    <row r="516" spans="2:17" s="5" customFormat="1" ht="13">
      <c r="B516" s="84"/>
      <c r="C516" s="84"/>
      <c r="D516" s="85"/>
      <c r="E516" s="85"/>
      <c r="F516" s="85"/>
      <c r="G516" s="85"/>
      <c r="H516" s="85"/>
      <c r="I516" s="85"/>
      <c r="J516" s="85"/>
      <c r="K516" s="85"/>
      <c r="L516" s="109"/>
      <c r="M516" s="110"/>
      <c r="N516" s="127"/>
      <c r="O516" s="112"/>
      <c r="P516" s="112"/>
      <c r="Q516" s="118"/>
    </row>
    <row r="517" spans="2:17" s="5" customFormat="1" ht="13">
      <c r="B517" s="84"/>
      <c r="C517" s="84"/>
      <c r="D517" s="85"/>
      <c r="E517" s="85"/>
      <c r="F517" s="85"/>
      <c r="G517" s="85"/>
      <c r="H517" s="85"/>
      <c r="I517" s="85"/>
      <c r="J517" s="85"/>
      <c r="K517" s="85"/>
      <c r="L517" s="109"/>
      <c r="M517" s="110"/>
      <c r="N517" s="127"/>
      <c r="O517" s="112"/>
      <c r="P517" s="112"/>
      <c r="Q517" s="118"/>
    </row>
    <row r="518" spans="2:17" s="5" customFormat="1" ht="13">
      <c r="B518" s="84"/>
      <c r="C518" s="84"/>
      <c r="D518" s="85"/>
      <c r="E518" s="85"/>
      <c r="F518" s="85"/>
      <c r="G518" s="85"/>
      <c r="H518" s="85"/>
      <c r="I518" s="85"/>
      <c r="J518" s="85"/>
      <c r="K518" s="85"/>
      <c r="L518" s="109"/>
      <c r="M518" s="110"/>
      <c r="N518" s="127"/>
      <c r="O518" s="112"/>
      <c r="P518" s="112"/>
      <c r="Q518" s="118"/>
    </row>
    <row r="519" spans="2:17" s="5" customFormat="1" ht="13">
      <c r="B519" s="84"/>
      <c r="C519" s="84"/>
      <c r="D519" s="85"/>
      <c r="E519" s="85"/>
      <c r="F519" s="85"/>
      <c r="G519" s="85"/>
      <c r="H519" s="85"/>
      <c r="I519" s="85"/>
      <c r="J519" s="85"/>
      <c r="K519" s="85"/>
      <c r="L519" s="109"/>
      <c r="M519" s="110"/>
      <c r="N519" s="127"/>
      <c r="O519" s="112"/>
      <c r="P519" s="112"/>
      <c r="Q519" s="118"/>
    </row>
    <row r="520" spans="2:17" s="5" customFormat="1" ht="13">
      <c r="B520" s="84"/>
      <c r="C520" s="84"/>
      <c r="D520" s="85"/>
      <c r="E520" s="85"/>
      <c r="F520" s="85"/>
      <c r="G520" s="85"/>
      <c r="H520" s="85"/>
      <c r="I520" s="85"/>
      <c r="J520" s="85"/>
      <c r="K520" s="85"/>
      <c r="L520" s="109"/>
      <c r="M520" s="110"/>
      <c r="N520" s="127"/>
      <c r="O520" s="112"/>
      <c r="P520" s="112"/>
      <c r="Q520" s="118"/>
    </row>
    <row r="521" spans="2:17" s="5" customFormat="1" ht="13">
      <c r="B521" s="84"/>
      <c r="C521" s="84"/>
      <c r="D521" s="85"/>
      <c r="E521" s="85"/>
      <c r="F521" s="85"/>
      <c r="G521" s="85"/>
      <c r="H521" s="85"/>
      <c r="I521" s="85"/>
      <c r="J521" s="85"/>
      <c r="K521" s="85"/>
      <c r="L521" s="109"/>
      <c r="M521" s="110"/>
      <c r="N521" s="127"/>
      <c r="O521" s="112"/>
      <c r="P521" s="112"/>
      <c r="Q521" s="118"/>
    </row>
    <row r="522" spans="2:17" s="5" customFormat="1" ht="13">
      <c r="B522" s="84"/>
      <c r="C522" s="84"/>
      <c r="D522" s="85"/>
      <c r="E522" s="85"/>
      <c r="F522" s="85"/>
      <c r="G522" s="85"/>
      <c r="H522" s="85"/>
      <c r="I522" s="85"/>
      <c r="J522" s="85"/>
      <c r="K522" s="85"/>
      <c r="L522" s="109"/>
      <c r="M522" s="110"/>
      <c r="N522" s="127"/>
      <c r="O522" s="112"/>
      <c r="P522" s="112"/>
      <c r="Q522" s="118"/>
    </row>
    <row r="523" spans="2:17" s="5" customFormat="1" ht="13">
      <c r="B523" s="84"/>
      <c r="C523" s="84"/>
      <c r="D523" s="85"/>
      <c r="E523" s="85"/>
      <c r="F523" s="85"/>
      <c r="G523" s="85"/>
      <c r="H523" s="85"/>
      <c r="I523" s="85"/>
      <c r="J523" s="85"/>
      <c r="K523" s="85"/>
      <c r="L523" s="109"/>
      <c r="M523" s="110"/>
      <c r="N523" s="127"/>
      <c r="O523" s="112"/>
      <c r="P523" s="112"/>
      <c r="Q523" s="118"/>
    </row>
    <row r="524" spans="2:17" s="5" customFormat="1" ht="13">
      <c r="B524" s="84"/>
      <c r="C524" s="84"/>
      <c r="D524" s="85"/>
      <c r="E524" s="85"/>
      <c r="F524" s="85"/>
      <c r="G524" s="85"/>
      <c r="H524" s="85"/>
      <c r="I524" s="85"/>
      <c r="J524" s="85"/>
      <c r="K524" s="85"/>
      <c r="L524" s="109"/>
      <c r="M524" s="110"/>
      <c r="N524" s="127"/>
      <c r="O524" s="112"/>
      <c r="P524" s="112"/>
      <c r="Q524" s="118"/>
    </row>
    <row r="525" spans="2:17" s="5" customFormat="1" ht="13">
      <c r="B525" s="84"/>
      <c r="C525" s="84"/>
      <c r="D525" s="85"/>
      <c r="E525" s="85"/>
      <c r="F525" s="85"/>
      <c r="G525" s="85"/>
      <c r="H525" s="85"/>
      <c r="I525" s="85"/>
      <c r="J525" s="85"/>
      <c r="K525" s="85"/>
      <c r="L525" s="109"/>
      <c r="M525" s="110"/>
      <c r="N525" s="127"/>
      <c r="O525" s="112"/>
      <c r="P525" s="112"/>
      <c r="Q525" s="118"/>
    </row>
    <row r="526" spans="2:17" s="5" customFormat="1" ht="13">
      <c r="B526" s="84"/>
      <c r="C526" s="84"/>
      <c r="D526" s="85"/>
      <c r="E526" s="85"/>
      <c r="F526" s="85"/>
      <c r="G526" s="85"/>
      <c r="H526" s="85"/>
      <c r="I526" s="85"/>
      <c r="J526" s="85"/>
      <c r="K526" s="85"/>
      <c r="L526" s="109"/>
      <c r="M526" s="110"/>
      <c r="N526" s="127"/>
      <c r="O526" s="112"/>
      <c r="P526" s="112"/>
      <c r="Q526" s="118"/>
    </row>
    <row r="527" spans="2:17" s="5" customFormat="1" ht="13">
      <c r="B527" s="84"/>
      <c r="C527" s="84"/>
      <c r="D527" s="85"/>
      <c r="E527" s="85"/>
      <c r="F527" s="85"/>
      <c r="G527" s="85"/>
      <c r="H527" s="85"/>
      <c r="I527" s="85"/>
      <c r="J527" s="85"/>
      <c r="K527" s="85"/>
      <c r="L527" s="109"/>
      <c r="M527" s="110"/>
      <c r="N527" s="127"/>
      <c r="O527" s="112"/>
      <c r="P527" s="112"/>
      <c r="Q527" s="118"/>
    </row>
    <row r="528" spans="2:17" s="5" customFormat="1" ht="13">
      <c r="B528" s="84"/>
      <c r="C528" s="84"/>
      <c r="D528" s="85"/>
      <c r="E528" s="85"/>
      <c r="F528" s="85"/>
      <c r="G528" s="85"/>
      <c r="H528" s="85"/>
      <c r="I528" s="85"/>
      <c r="J528" s="85"/>
      <c r="K528" s="85"/>
      <c r="L528" s="109"/>
      <c r="M528" s="110"/>
      <c r="N528" s="127"/>
      <c r="O528" s="112"/>
      <c r="P528" s="112"/>
      <c r="Q528" s="118"/>
    </row>
    <row r="529" spans="2:17" s="5" customFormat="1" ht="13">
      <c r="B529" s="84"/>
      <c r="C529" s="84"/>
      <c r="D529" s="85"/>
      <c r="E529" s="85"/>
      <c r="F529" s="85"/>
      <c r="G529" s="85"/>
      <c r="H529" s="85"/>
      <c r="I529" s="85"/>
      <c r="J529" s="85"/>
      <c r="K529" s="85"/>
      <c r="L529" s="109"/>
      <c r="M529" s="110"/>
      <c r="N529" s="127"/>
      <c r="O529" s="112"/>
      <c r="P529" s="112"/>
      <c r="Q529" s="118"/>
    </row>
    <row r="530" spans="2:17" s="5" customFormat="1" ht="13">
      <c r="B530" s="84"/>
      <c r="C530" s="84"/>
      <c r="D530" s="85"/>
      <c r="E530" s="85"/>
      <c r="F530" s="85"/>
      <c r="G530" s="85"/>
      <c r="H530" s="85"/>
      <c r="I530" s="85"/>
      <c r="J530" s="85"/>
      <c r="K530" s="85"/>
      <c r="L530" s="109"/>
      <c r="M530" s="110"/>
      <c r="N530" s="127"/>
      <c r="O530" s="112"/>
      <c r="P530" s="112"/>
      <c r="Q530" s="118"/>
    </row>
    <row r="531" spans="2:17" s="5" customFormat="1" ht="13">
      <c r="B531" s="84"/>
      <c r="C531" s="84"/>
      <c r="D531" s="85"/>
      <c r="E531" s="85"/>
      <c r="F531" s="85"/>
      <c r="G531" s="85"/>
      <c r="H531" s="85"/>
      <c r="I531" s="85"/>
      <c r="J531" s="85"/>
      <c r="K531" s="85"/>
      <c r="L531" s="109"/>
      <c r="M531" s="110"/>
      <c r="N531" s="127"/>
      <c r="O531" s="112"/>
      <c r="P531" s="112"/>
      <c r="Q531" s="118"/>
    </row>
    <row r="532" spans="2:17" s="5" customFormat="1" ht="13">
      <c r="B532" s="84"/>
      <c r="C532" s="84"/>
      <c r="D532" s="85"/>
      <c r="E532" s="85"/>
      <c r="F532" s="85"/>
      <c r="G532" s="85"/>
      <c r="H532" s="85"/>
      <c r="I532" s="85"/>
      <c r="J532" s="85"/>
      <c r="K532" s="85"/>
      <c r="L532" s="109"/>
      <c r="M532" s="110"/>
      <c r="N532" s="127"/>
      <c r="O532" s="112"/>
      <c r="P532" s="112"/>
      <c r="Q532" s="118"/>
    </row>
    <row r="533" spans="2:17" s="5" customFormat="1" ht="13">
      <c r="B533" s="84"/>
      <c r="C533" s="84"/>
      <c r="D533" s="85"/>
      <c r="E533" s="85"/>
      <c r="F533" s="85"/>
      <c r="G533" s="85"/>
      <c r="H533" s="85"/>
      <c r="I533" s="85"/>
      <c r="J533" s="85"/>
      <c r="K533" s="85"/>
      <c r="L533" s="109"/>
      <c r="M533" s="110"/>
      <c r="N533" s="127"/>
      <c r="O533" s="112"/>
      <c r="P533" s="112"/>
      <c r="Q533" s="118"/>
    </row>
    <row r="534" spans="2:17" s="5" customFormat="1" ht="13">
      <c r="B534" s="84"/>
      <c r="C534" s="84"/>
      <c r="D534" s="85"/>
      <c r="E534" s="85"/>
      <c r="F534" s="85"/>
      <c r="G534" s="85"/>
      <c r="H534" s="85"/>
      <c r="I534" s="85"/>
      <c r="J534" s="85"/>
      <c r="K534" s="85"/>
      <c r="L534" s="109"/>
      <c r="M534" s="110"/>
      <c r="N534" s="127"/>
      <c r="O534" s="112"/>
      <c r="P534" s="112"/>
      <c r="Q534" s="118"/>
    </row>
    <row r="535" spans="2:17" s="5" customFormat="1" ht="13">
      <c r="B535" s="84"/>
      <c r="C535" s="84"/>
      <c r="D535" s="85"/>
      <c r="E535" s="85"/>
      <c r="F535" s="85"/>
      <c r="G535" s="85"/>
      <c r="H535" s="85"/>
      <c r="I535" s="85"/>
      <c r="J535" s="85"/>
      <c r="K535" s="85"/>
      <c r="L535" s="109"/>
      <c r="M535" s="110"/>
      <c r="N535" s="127"/>
      <c r="O535" s="112"/>
      <c r="P535" s="112"/>
      <c r="Q535" s="118"/>
    </row>
    <row r="536" spans="2:17" s="5" customFormat="1" ht="13">
      <c r="B536" s="84"/>
      <c r="C536" s="84"/>
      <c r="D536" s="85"/>
      <c r="E536" s="85"/>
      <c r="F536" s="85"/>
      <c r="G536" s="85"/>
      <c r="H536" s="85"/>
      <c r="I536" s="85"/>
      <c r="J536" s="85"/>
      <c r="K536" s="85"/>
      <c r="L536" s="109"/>
      <c r="M536" s="110"/>
      <c r="N536" s="127"/>
      <c r="O536" s="112"/>
      <c r="P536" s="112"/>
      <c r="Q536" s="118"/>
    </row>
    <row r="537" spans="2:17" s="5" customFormat="1" ht="13">
      <c r="B537" s="84"/>
      <c r="C537" s="84"/>
      <c r="D537" s="85"/>
      <c r="E537" s="85"/>
      <c r="F537" s="85"/>
      <c r="G537" s="85"/>
      <c r="H537" s="85"/>
      <c r="I537" s="85"/>
      <c r="J537" s="85"/>
      <c r="K537" s="85"/>
      <c r="L537" s="109"/>
      <c r="M537" s="110"/>
      <c r="N537" s="127"/>
      <c r="O537" s="112"/>
      <c r="P537" s="112"/>
      <c r="Q537" s="118"/>
    </row>
    <row r="538" spans="2:17" s="5" customFormat="1" ht="13">
      <c r="B538" s="84"/>
      <c r="C538" s="84"/>
      <c r="D538" s="85"/>
      <c r="E538" s="85"/>
      <c r="F538" s="85"/>
      <c r="G538" s="85"/>
      <c r="H538" s="85"/>
      <c r="I538" s="85"/>
      <c r="J538" s="85"/>
      <c r="K538" s="85"/>
      <c r="L538" s="109"/>
      <c r="M538" s="110"/>
      <c r="N538" s="127"/>
      <c r="O538" s="112"/>
      <c r="P538" s="112"/>
      <c r="Q538" s="118"/>
    </row>
    <row r="539" spans="2:17" s="5" customFormat="1" ht="13">
      <c r="B539" s="84"/>
      <c r="C539" s="84"/>
      <c r="D539" s="85"/>
      <c r="E539" s="85"/>
      <c r="F539" s="85"/>
      <c r="G539" s="85"/>
      <c r="H539" s="85"/>
      <c r="I539" s="85"/>
      <c r="J539" s="85"/>
      <c r="K539" s="85"/>
      <c r="L539" s="109"/>
      <c r="M539" s="110"/>
      <c r="N539" s="127"/>
      <c r="O539" s="112"/>
      <c r="P539" s="112"/>
      <c r="Q539" s="118"/>
    </row>
    <row r="540" spans="2:17" s="5" customFormat="1" ht="13">
      <c r="B540" s="84"/>
      <c r="C540" s="84"/>
      <c r="D540" s="85"/>
      <c r="E540" s="85"/>
      <c r="F540" s="85"/>
      <c r="G540" s="85"/>
      <c r="H540" s="85"/>
      <c r="I540" s="85"/>
      <c r="J540" s="85"/>
      <c r="K540" s="85"/>
      <c r="L540" s="109"/>
      <c r="M540" s="110"/>
      <c r="N540" s="127"/>
      <c r="O540" s="112"/>
      <c r="P540" s="112"/>
      <c r="Q540" s="118"/>
    </row>
    <row r="541" spans="2:17" s="5" customFormat="1" ht="13">
      <c r="B541" s="84"/>
      <c r="C541" s="84"/>
      <c r="D541" s="85"/>
      <c r="E541" s="85"/>
      <c r="F541" s="85"/>
      <c r="G541" s="85"/>
      <c r="H541" s="85"/>
      <c r="I541" s="85"/>
      <c r="J541" s="85"/>
      <c r="K541" s="85"/>
      <c r="L541" s="109"/>
      <c r="M541" s="110"/>
      <c r="N541" s="127"/>
      <c r="O541" s="112"/>
      <c r="P541" s="112"/>
      <c r="Q541" s="118"/>
    </row>
    <row r="542" spans="2:17" s="5" customFormat="1" ht="13">
      <c r="B542" s="84"/>
      <c r="C542" s="84"/>
      <c r="D542" s="85"/>
      <c r="E542" s="85"/>
      <c r="F542" s="85"/>
      <c r="G542" s="85"/>
      <c r="H542" s="85"/>
      <c r="I542" s="85"/>
      <c r="J542" s="85"/>
      <c r="K542" s="85"/>
      <c r="L542" s="109"/>
      <c r="M542" s="110"/>
      <c r="N542" s="127"/>
      <c r="O542" s="112"/>
      <c r="P542" s="112"/>
      <c r="Q542" s="118"/>
    </row>
    <row r="543" spans="2:17" s="5" customFormat="1" ht="13">
      <c r="B543" s="84"/>
      <c r="C543" s="84"/>
      <c r="D543" s="85"/>
      <c r="E543" s="85"/>
      <c r="F543" s="85"/>
      <c r="G543" s="85"/>
      <c r="H543" s="85"/>
      <c r="I543" s="85"/>
      <c r="J543" s="85"/>
      <c r="K543" s="85"/>
      <c r="L543" s="109"/>
      <c r="M543" s="110"/>
      <c r="N543" s="127"/>
      <c r="O543" s="112"/>
      <c r="P543" s="112"/>
      <c r="Q543" s="118"/>
    </row>
    <row r="544" spans="2:17" s="5" customFormat="1" ht="13">
      <c r="B544" s="84"/>
      <c r="C544" s="84"/>
      <c r="D544" s="85"/>
      <c r="E544" s="85"/>
      <c r="F544" s="85"/>
      <c r="G544" s="85"/>
      <c r="H544" s="85"/>
      <c r="I544" s="85"/>
      <c r="J544" s="85"/>
      <c r="K544" s="85"/>
      <c r="L544" s="109"/>
      <c r="M544" s="110"/>
      <c r="N544" s="127"/>
      <c r="O544" s="112"/>
      <c r="P544" s="112"/>
      <c r="Q544" s="118"/>
    </row>
    <row r="545" spans="2:17" s="5" customFormat="1" ht="13">
      <c r="B545" s="84"/>
      <c r="C545" s="84"/>
      <c r="D545" s="85"/>
      <c r="E545" s="85"/>
      <c r="F545" s="85"/>
      <c r="G545" s="85"/>
      <c r="H545" s="85"/>
      <c r="I545" s="85"/>
      <c r="J545" s="85"/>
      <c r="K545" s="85"/>
      <c r="L545" s="109"/>
      <c r="M545" s="110"/>
      <c r="N545" s="127"/>
      <c r="O545" s="112"/>
      <c r="P545" s="112"/>
      <c r="Q545" s="118"/>
    </row>
    <row r="546" spans="2:17" s="5" customFormat="1" ht="13">
      <c r="B546" s="84"/>
      <c r="C546" s="84"/>
      <c r="D546" s="85"/>
      <c r="E546" s="85"/>
      <c r="F546" s="85"/>
      <c r="G546" s="85"/>
      <c r="H546" s="85"/>
      <c r="I546" s="85"/>
      <c r="J546" s="85"/>
      <c r="K546" s="85"/>
      <c r="L546" s="109"/>
      <c r="M546" s="110"/>
      <c r="N546" s="127"/>
      <c r="O546" s="112"/>
      <c r="P546" s="112"/>
      <c r="Q546" s="118"/>
    </row>
    <row r="547" spans="2:17" s="5" customFormat="1" ht="13">
      <c r="B547" s="84"/>
      <c r="C547" s="84"/>
      <c r="D547" s="85"/>
      <c r="E547" s="85"/>
      <c r="F547" s="85"/>
      <c r="G547" s="85"/>
      <c r="H547" s="85"/>
      <c r="I547" s="85"/>
      <c r="J547" s="85"/>
      <c r="K547" s="85"/>
      <c r="L547" s="109"/>
      <c r="M547" s="110"/>
      <c r="N547" s="127"/>
      <c r="O547" s="112"/>
      <c r="P547" s="112"/>
      <c r="Q547" s="118"/>
    </row>
    <row r="548" spans="2:17" s="5" customFormat="1" ht="13">
      <c r="B548" s="84"/>
      <c r="C548" s="84"/>
      <c r="D548" s="85"/>
      <c r="E548" s="85"/>
      <c r="F548" s="85"/>
      <c r="G548" s="85"/>
      <c r="H548" s="85"/>
      <c r="I548" s="85"/>
      <c r="J548" s="85"/>
      <c r="K548" s="85"/>
      <c r="L548" s="109"/>
      <c r="M548" s="110"/>
      <c r="N548" s="127"/>
      <c r="O548" s="112"/>
      <c r="P548" s="112"/>
      <c r="Q548" s="118"/>
    </row>
    <row r="549" spans="2:17" s="5" customFormat="1" ht="13">
      <c r="B549" s="84"/>
      <c r="C549" s="84"/>
      <c r="D549" s="85"/>
      <c r="E549" s="85"/>
      <c r="F549" s="85"/>
      <c r="G549" s="85"/>
      <c r="H549" s="85"/>
      <c r="I549" s="85"/>
      <c r="J549" s="85"/>
      <c r="K549" s="85"/>
      <c r="L549" s="109"/>
      <c r="M549" s="110"/>
      <c r="N549" s="127"/>
      <c r="O549" s="112"/>
      <c r="P549" s="112"/>
      <c r="Q549" s="118"/>
    </row>
    <row r="550" spans="2:17" s="5" customFormat="1" ht="13">
      <c r="B550" s="84"/>
      <c r="C550" s="84"/>
      <c r="D550" s="85"/>
      <c r="E550" s="85"/>
      <c r="F550" s="85"/>
      <c r="G550" s="85"/>
      <c r="H550" s="85"/>
      <c r="I550" s="85"/>
      <c r="J550" s="85"/>
      <c r="K550" s="85"/>
      <c r="L550" s="109"/>
      <c r="M550" s="110"/>
      <c r="N550" s="127"/>
      <c r="O550" s="112"/>
      <c r="P550" s="112"/>
      <c r="Q550" s="118"/>
    </row>
    <row r="551" spans="2:17" s="5" customFormat="1" ht="13">
      <c r="B551" s="84"/>
      <c r="C551" s="84"/>
      <c r="D551" s="85"/>
      <c r="E551" s="85"/>
      <c r="F551" s="85"/>
      <c r="G551" s="85"/>
      <c r="H551" s="85"/>
      <c r="I551" s="85"/>
      <c r="J551" s="85"/>
      <c r="K551" s="85"/>
      <c r="L551" s="109"/>
      <c r="M551" s="110"/>
      <c r="N551" s="127"/>
      <c r="O551" s="112"/>
      <c r="P551" s="112"/>
      <c r="Q551" s="118"/>
    </row>
    <row r="552" spans="2:17" s="5" customFormat="1" ht="13">
      <c r="B552" s="84"/>
      <c r="C552" s="84"/>
      <c r="D552" s="85"/>
      <c r="E552" s="85"/>
      <c r="F552" s="85"/>
      <c r="G552" s="85"/>
      <c r="H552" s="85"/>
      <c r="I552" s="85"/>
      <c r="J552" s="85"/>
      <c r="K552" s="85"/>
      <c r="L552" s="109"/>
      <c r="M552" s="110"/>
      <c r="N552" s="127"/>
      <c r="O552" s="112"/>
      <c r="P552" s="112"/>
      <c r="Q552" s="118"/>
    </row>
    <row r="553" spans="2:17" s="5" customFormat="1" ht="13">
      <c r="B553" s="84"/>
      <c r="C553" s="84"/>
      <c r="D553" s="85"/>
      <c r="E553" s="85"/>
      <c r="F553" s="85"/>
      <c r="G553" s="85"/>
      <c r="H553" s="85"/>
      <c r="I553" s="85"/>
      <c r="J553" s="85"/>
      <c r="K553" s="85"/>
      <c r="L553" s="109"/>
      <c r="M553" s="110"/>
      <c r="N553" s="127"/>
      <c r="O553" s="112"/>
      <c r="P553" s="112"/>
      <c r="Q553" s="118"/>
    </row>
    <row r="554" spans="2:17" s="5" customFormat="1" ht="13">
      <c r="B554" s="84"/>
      <c r="C554" s="84"/>
      <c r="D554" s="85"/>
      <c r="E554" s="85"/>
      <c r="F554" s="85"/>
      <c r="G554" s="85"/>
      <c r="H554" s="85"/>
      <c r="I554" s="85"/>
      <c r="J554" s="85"/>
      <c r="K554" s="85"/>
      <c r="L554" s="109"/>
      <c r="M554" s="110"/>
      <c r="N554" s="127"/>
      <c r="O554" s="112"/>
      <c r="P554" s="112"/>
      <c r="Q554" s="118"/>
    </row>
    <row r="555" spans="2:17" s="5" customFormat="1" ht="13">
      <c r="B555" s="84"/>
      <c r="C555" s="84"/>
      <c r="D555" s="85"/>
      <c r="E555" s="85"/>
      <c r="F555" s="85"/>
      <c r="G555" s="85"/>
      <c r="H555" s="85"/>
      <c r="I555" s="85"/>
      <c r="J555" s="85"/>
      <c r="K555" s="85"/>
      <c r="L555" s="109"/>
      <c r="M555" s="110"/>
      <c r="N555" s="127"/>
      <c r="O555" s="112"/>
      <c r="P555" s="112"/>
      <c r="Q555" s="118"/>
    </row>
    <row r="556" spans="2:17" s="5" customFormat="1" ht="13">
      <c r="B556" s="84"/>
      <c r="C556" s="84"/>
      <c r="D556" s="85"/>
      <c r="E556" s="85"/>
      <c r="F556" s="85"/>
      <c r="G556" s="85"/>
      <c r="H556" s="85"/>
      <c r="I556" s="85"/>
      <c r="J556" s="85"/>
      <c r="K556" s="85"/>
      <c r="L556" s="109"/>
      <c r="M556" s="110"/>
      <c r="N556" s="127"/>
      <c r="O556" s="112"/>
      <c r="P556" s="112"/>
      <c r="Q556" s="118"/>
    </row>
    <row r="557" spans="2:17" s="5" customFormat="1" ht="13">
      <c r="B557" s="84"/>
      <c r="C557" s="84"/>
      <c r="D557" s="85"/>
      <c r="E557" s="85"/>
      <c r="F557" s="85"/>
      <c r="G557" s="85"/>
      <c r="H557" s="85"/>
      <c r="I557" s="85"/>
      <c r="J557" s="85"/>
      <c r="K557" s="85"/>
      <c r="L557" s="109"/>
      <c r="M557" s="110"/>
      <c r="N557" s="127"/>
      <c r="O557" s="112"/>
      <c r="P557" s="112"/>
      <c r="Q557" s="118"/>
    </row>
    <row r="558" spans="2:17" s="5" customFormat="1" ht="13">
      <c r="B558" s="84"/>
      <c r="C558" s="84"/>
      <c r="D558" s="85"/>
      <c r="E558" s="85"/>
      <c r="F558" s="85"/>
      <c r="G558" s="85"/>
      <c r="H558" s="85"/>
      <c r="I558" s="85"/>
      <c r="J558" s="85"/>
      <c r="K558" s="85"/>
      <c r="L558" s="109"/>
      <c r="M558" s="110"/>
      <c r="N558" s="127"/>
      <c r="O558" s="112"/>
      <c r="P558" s="112"/>
      <c r="Q558" s="118"/>
    </row>
    <row r="559" spans="2:17" s="5" customFormat="1" ht="13">
      <c r="B559" s="84"/>
      <c r="C559" s="84"/>
      <c r="D559" s="85"/>
      <c r="E559" s="85"/>
      <c r="F559" s="85"/>
      <c r="G559" s="85"/>
      <c r="H559" s="85"/>
      <c r="I559" s="85"/>
      <c r="J559" s="85"/>
      <c r="K559" s="85"/>
      <c r="L559" s="109"/>
      <c r="M559" s="110"/>
      <c r="N559" s="127"/>
      <c r="O559" s="112"/>
      <c r="P559" s="112"/>
      <c r="Q559" s="118"/>
    </row>
    <row r="560" spans="2:17" s="5" customFormat="1" ht="13">
      <c r="B560" s="84"/>
      <c r="C560" s="84"/>
      <c r="D560" s="85"/>
      <c r="E560" s="85"/>
      <c r="F560" s="85"/>
      <c r="G560" s="85"/>
      <c r="H560" s="85"/>
      <c r="I560" s="85"/>
      <c r="J560" s="85"/>
      <c r="K560" s="85"/>
      <c r="L560" s="109"/>
      <c r="M560" s="110"/>
      <c r="N560" s="127"/>
      <c r="O560" s="112"/>
      <c r="P560" s="112"/>
      <c r="Q560" s="118"/>
    </row>
    <row r="561" spans="2:17" s="5" customFormat="1" ht="13">
      <c r="B561" s="84"/>
      <c r="C561" s="84"/>
      <c r="D561" s="85"/>
      <c r="E561" s="85"/>
      <c r="F561" s="85"/>
      <c r="G561" s="85"/>
      <c r="H561" s="85"/>
      <c r="I561" s="85"/>
      <c r="J561" s="85"/>
      <c r="K561" s="85"/>
      <c r="L561" s="109"/>
      <c r="M561" s="110"/>
      <c r="N561" s="127"/>
      <c r="O561" s="112"/>
      <c r="P561" s="112"/>
      <c r="Q561" s="118"/>
    </row>
    <row r="562" spans="2:17" s="5" customFormat="1" ht="13">
      <c r="B562" s="84"/>
      <c r="C562" s="84"/>
      <c r="D562" s="85"/>
      <c r="E562" s="85"/>
      <c r="F562" s="85"/>
      <c r="G562" s="85"/>
      <c r="H562" s="85"/>
      <c r="I562" s="85"/>
      <c r="J562" s="85"/>
      <c r="K562" s="85"/>
      <c r="L562" s="109"/>
      <c r="M562" s="110"/>
      <c r="N562" s="127"/>
      <c r="O562" s="112"/>
      <c r="P562" s="112"/>
      <c r="Q562" s="118"/>
    </row>
    <row r="563" spans="2:17" s="5" customFormat="1" ht="13">
      <c r="B563" s="84"/>
      <c r="C563" s="84"/>
      <c r="D563" s="85"/>
      <c r="E563" s="85"/>
      <c r="F563" s="85"/>
      <c r="G563" s="85"/>
      <c r="H563" s="85"/>
      <c r="I563" s="85"/>
      <c r="J563" s="85"/>
      <c r="K563" s="85"/>
      <c r="L563" s="109"/>
      <c r="M563" s="110"/>
      <c r="N563" s="127"/>
      <c r="O563" s="112"/>
      <c r="P563" s="112"/>
      <c r="Q563" s="118"/>
    </row>
    <row r="564" spans="2:17" s="5" customFormat="1" ht="13">
      <c r="B564" s="84"/>
      <c r="C564" s="84"/>
      <c r="D564" s="85"/>
      <c r="E564" s="85"/>
      <c r="F564" s="85"/>
      <c r="G564" s="85"/>
      <c r="H564" s="85"/>
      <c r="I564" s="85"/>
      <c r="J564" s="85"/>
      <c r="K564" s="85"/>
      <c r="L564" s="109"/>
      <c r="M564" s="110"/>
      <c r="N564" s="127"/>
      <c r="O564" s="112"/>
      <c r="P564" s="112"/>
      <c r="Q564" s="118"/>
    </row>
    <row r="565" spans="2:17" s="5" customFormat="1" ht="13">
      <c r="B565" s="84"/>
      <c r="C565" s="84"/>
      <c r="D565" s="85"/>
      <c r="E565" s="85"/>
      <c r="F565" s="85"/>
      <c r="G565" s="85"/>
      <c r="H565" s="85"/>
      <c r="I565" s="85"/>
      <c r="J565" s="85"/>
      <c r="K565" s="85"/>
      <c r="L565" s="109"/>
      <c r="M565" s="110"/>
      <c r="N565" s="127"/>
      <c r="O565" s="112"/>
      <c r="P565" s="112"/>
      <c r="Q565" s="118"/>
    </row>
    <row r="566" spans="2:17" s="5" customFormat="1" ht="13">
      <c r="B566" s="84"/>
      <c r="C566" s="84"/>
      <c r="D566" s="85"/>
      <c r="E566" s="85"/>
      <c r="F566" s="85"/>
      <c r="G566" s="85"/>
      <c r="H566" s="85"/>
      <c r="I566" s="85"/>
      <c r="J566" s="85"/>
      <c r="K566" s="85"/>
      <c r="L566" s="109"/>
      <c r="M566" s="110"/>
      <c r="N566" s="127"/>
      <c r="O566" s="112"/>
      <c r="P566" s="112"/>
      <c r="Q566" s="118"/>
    </row>
    <row r="567" spans="2:17" s="5" customFormat="1" ht="13">
      <c r="B567" s="84"/>
      <c r="C567" s="84"/>
      <c r="D567" s="85"/>
      <c r="E567" s="85"/>
      <c r="F567" s="85"/>
      <c r="G567" s="85"/>
      <c r="H567" s="85"/>
      <c r="I567" s="85"/>
      <c r="J567" s="85"/>
      <c r="K567" s="85"/>
      <c r="L567" s="109"/>
      <c r="M567" s="110"/>
      <c r="N567" s="127"/>
      <c r="O567" s="112"/>
      <c r="P567" s="112"/>
      <c r="Q567" s="118"/>
    </row>
    <row r="568" spans="2:17" s="5" customFormat="1" ht="13">
      <c r="B568" s="84"/>
      <c r="C568" s="84"/>
      <c r="D568" s="85"/>
      <c r="E568" s="85"/>
      <c r="F568" s="85"/>
      <c r="G568" s="85"/>
      <c r="H568" s="85"/>
      <c r="I568" s="85"/>
      <c r="J568" s="85"/>
      <c r="K568" s="85"/>
      <c r="L568" s="109"/>
      <c r="M568" s="110"/>
      <c r="N568" s="127"/>
      <c r="O568" s="112"/>
      <c r="P568" s="112"/>
      <c r="Q568" s="118"/>
    </row>
    <row r="569" spans="2:17" s="5" customFormat="1" ht="13">
      <c r="B569" s="84"/>
      <c r="C569" s="84"/>
      <c r="D569" s="85"/>
      <c r="E569" s="85"/>
      <c r="F569" s="85"/>
      <c r="G569" s="85"/>
      <c r="H569" s="85"/>
      <c r="I569" s="85"/>
      <c r="J569" s="85"/>
      <c r="K569" s="85"/>
      <c r="L569" s="109"/>
      <c r="M569" s="110"/>
      <c r="N569" s="127"/>
      <c r="O569" s="112"/>
      <c r="P569" s="112"/>
      <c r="Q569" s="118"/>
    </row>
    <row r="570" spans="2:17" s="5" customFormat="1" ht="13">
      <c r="B570" s="84"/>
      <c r="C570" s="84"/>
      <c r="D570" s="85"/>
      <c r="E570" s="85"/>
      <c r="F570" s="85"/>
      <c r="G570" s="85"/>
      <c r="H570" s="85"/>
      <c r="I570" s="85"/>
      <c r="J570" s="85"/>
      <c r="K570" s="85"/>
      <c r="L570" s="109"/>
      <c r="M570" s="110"/>
      <c r="N570" s="127"/>
      <c r="O570" s="112"/>
      <c r="P570" s="112"/>
      <c r="Q570" s="118"/>
    </row>
    <row r="571" spans="2:17" s="5" customFormat="1" ht="13">
      <c r="B571" s="84"/>
      <c r="C571" s="84"/>
      <c r="D571" s="85"/>
      <c r="E571" s="85"/>
      <c r="F571" s="85"/>
      <c r="G571" s="85"/>
      <c r="H571" s="85"/>
      <c r="I571" s="85"/>
      <c r="J571" s="85"/>
      <c r="K571" s="85"/>
      <c r="L571" s="109"/>
      <c r="M571" s="110"/>
      <c r="N571" s="127"/>
      <c r="O571" s="112"/>
      <c r="P571" s="112"/>
      <c r="Q571" s="118"/>
    </row>
    <row r="572" spans="2:17" s="5" customFormat="1" ht="13">
      <c r="B572" s="84"/>
      <c r="C572" s="84"/>
      <c r="D572" s="85"/>
      <c r="E572" s="85"/>
      <c r="F572" s="85"/>
      <c r="G572" s="85"/>
      <c r="H572" s="85"/>
      <c r="I572" s="85"/>
      <c r="J572" s="85"/>
      <c r="K572" s="85"/>
      <c r="L572" s="109"/>
      <c r="M572" s="110"/>
      <c r="N572" s="127"/>
      <c r="O572" s="112"/>
      <c r="P572" s="112"/>
      <c r="Q572" s="118"/>
    </row>
    <row r="573" spans="2:17" s="5" customFormat="1" ht="13">
      <c r="B573" s="84"/>
      <c r="C573" s="84"/>
      <c r="D573" s="85"/>
      <c r="E573" s="85"/>
      <c r="F573" s="85"/>
      <c r="G573" s="85"/>
      <c r="H573" s="85"/>
      <c r="I573" s="85"/>
      <c r="J573" s="85"/>
      <c r="K573" s="85"/>
      <c r="L573" s="109"/>
      <c r="M573" s="110"/>
      <c r="N573" s="127"/>
      <c r="O573" s="112"/>
      <c r="P573" s="112"/>
      <c r="Q573" s="118"/>
    </row>
    <row r="574" spans="2:17" s="5" customFormat="1" ht="13">
      <c r="B574" s="84"/>
      <c r="C574" s="84"/>
      <c r="D574" s="85"/>
      <c r="E574" s="85"/>
      <c r="F574" s="85"/>
      <c r="G574" s="85"/>
      <c r="H574" s="85"/>
      <c r="I574" s="85"/>
      <c r="J574" s="85"/>
      <c r="K574" s="85"/>
      <c r="L574" s="109"/>
      <c r="M574" s="110"/>
      <c r="N574" s="127"/>
      <c r="O574" s="112"/>
      <c r="P574" s="112"/>
      <c r="Q574" s="118"/>
    </row>
    <row r="575" spans="2:17" s="5" customFormat="1" ht="13">
      <c r="B575" s="84"/>
      <c r="C575" s="84"/>
      <c r="D575" s="85"/>
      <c r="E575" s="85"/>
      <c r="F575" s="85"/>
      <c r="G575" s="85"/>
      <c r="H575" s="85"/>
      <c r="I575" s="85"/>
      <c r="J575" s="85"/>
      <c r="K575" s="85"/>
      <c r="L575" s="109"/>
      <c r="M575" s="110"/>
      <c r="N575" s="127"/>
      <c r="O575" s="112"/>
      <c r="P575" s="112"/>
      <c r="Q575" s="118"/>
    </row>
    <row r="576" spans="2:17" s="5" customFormat="1" ht="13">
      <c r="B576" s="84"/>
      <c r="C576" s="84"/>
      <c r="D576" s="85"/>
      <c r="E576" s="85"/>
      <c r="F576" s="85"/>
      <c r="G576" s="85"/>
      <c r="H576" s="85"/>
      <c r="I576" s="85"/>
      <c r="J576" s="85"/>
      <c r="K576" s="85"/>
      <c r="L576" s="109"/>
      <c r="M576" s="110"/>
      <c r="N576" s="127"/>
      <c r="O576" s="112"/>
      <c r="P576" s="112"/>
      <c r="Q576" s="118"/>
    </row>
    <row r="577" spans="2:17" s="5" customFormat="1" ht="13">
      <c r="B577" s="84"/>
      <c r="C577" s="84"/>
      <c r="D577" s="85"/>
      <c r="E577" s="85"/>
      <c r="F577" s="85"/>
      <c r="G577" s="85"/>
      <c r="H577" s="85"/>
      <c r="I577" s="85"/>
      <c r="J577" s="85"/>
      <c r="K577" s="85"/>
      <c r="L577" s="109"/>
      <c r="M577" s="110"/>
      <c r="N577" s="127"/>
      <c r="O577" s="112"/>
      <c r="P577" s="112"/>
      <c r="Q577" s="118"/>
    </row>
    <row r="578" spans="2:17" s="5" customFormat="1" ht="13">
      <c r="B578" s="84"/>
      <c r="C578" s="84"/>
      <c r="D578" s="85"/>
      <c r="E578" s="85"/>
      <c r="F578" s="85"/>
      <c r="G578" s="85"/>
      <c r="H578" s="85"/>
      <c r="I578" s="85"/>
      <c r="J578" s="85"/>
      <c r="K578" s="85"/>
      <c r="L578" s="109"/>
      <c r="M578" s="110"/>
      <c r="N578" s="127"/>
      <c r="O578" s="112"/>
      <c r="P578" s="112"/>
      <c r="Q578" s="118"/>
    </row>
    <row r="579" spans="2:17" s="5" customFormat="1" ht="13">
      <c r="B579" s="84"/>
      <c r="C579" s="84"/>
      <c r="D579" s="85"/>
      <c r="E579" s="85"/>
      <c r="F579" s="85"/>
      <c r="G579" s="85"/>
      <c r="H579" s="85"/>
      <c r="I579" s="85"/>
      <c r="J579" s="85"/>
      <c r="K579" s="85"/>
      <c r="L579" s="109"/>
      <c r="M579" s="110"/>
      <c r="N579" s="127"/>
      <c r="O579" s="112"/>
      <c r="P579" s="112"/>
      <c r="Q579" s="118"/>
    </row>
    <row r="580" spans="2:17" s="5" customFormat="1" ht="13">
      <c r="B580" s="84"/>
      <c r="C580" s="84"/>
      <c r="D580" s="85"/>
      <c r="E580" s="85"/>
      <c r="F580" s="85"/>
      <c r="G580" s="85"/>
      <c r="H580" s="85"/>
      <c r="I580" s="85"/>
      <c r="J580" s="85"/>
      <c r="K580" s="85"/>
      <c r="L580" s="109"/>
      <c r="M580" s="110"/>
      <c r="N580" s="127"/>
      <c r="O580" s="112"/>
      <c r="P580" s="112"/>
      <c r="Q580" s="118"/>
    </row>
    <row r="581" spans="2:17" s="5" customFormat="1" ht="13">
      <c r="B581" s="84"/>
      <c r="C581" s="84"/>
      <c r="D581" s="85"/>
      <c r="E581" s="85"/>
      <c r="F581" s="85"/>
      <c r="G581" s="85"/>
      <c r="H581" s="85"/>
      <c r="I581" s="85"/>
      <c r="J581" s="85"/>
      <c r="K581" s="85"/>
      <c r="L581" s="109"/>
      <c r="M581" s="110"/>
      <c r="N581" s="127"/>
      <c r="O581" s="112"/>
      <c r="P581" s="112"/>
      <c r="Q581" s="118"/>
    </row>
    <row r="582" spans="2:17" s="5" customFormat="1" ht="13">
      <c r="B582" s="84"/>
      <c r="C582" s="84"/>
      <c r="D582" s="85"/>
      <c r="E582" s="85"/>
      <c r="F582" s="85"/>
      <c r="G582" s="85"/>
      <c r="H582" s="85"/>
      <c r="I582" s="85"/>
      <c r="J582" s="85"/>
      <c r="K582" s="85"/>
      <c r="L582" s="109"/>
      <c r="M582" s="110"/>
      <c r="N582" s="127"/>
      <c r="O582" s="112"/>
      <c r="P582" s="112"/>
      <c r="Q582" s="118"/>
    </row>
    <row r="583" spans="2:17" s="5" customFormat="1" ht="13">
      <c r="B583" s="84"/>
      <c r="C583" s="84"/>
      <c r="D583" s="85"/>
      <c r="E583" s="85"/>
      <c r="F583" s="85"/>
      <c r="G583" s="85"/>
      <c r="H583" s="85"/>
      <c r="I583" s="85"/>
      <c r="J583" s="85"/>
      <c r="K583" s="85"/>
      <c r="L583" s="109"/>
      <c r="M583" s="110"/>
      <c r="N583" s="127"/>
      <c r="O583" s="112"/>
      <c r="P583" s="112"/>
      <c r="Q583" s="118"/>
    </row>
    <row r="584" spans="2:17" s="5" customFormat="1" ht="13">
      <c r="B584" s="84"/>
      <c r="C584" s="84"/>
      <c r="D584" s="85"/>
      <c r="E584" s="85"/>
      <c r="F584" s="85"/>
      <c r="G584" s="85"/>
      <c r="H584" s="85"/>
      <c r="I584" s="85"/>
      <c r="J584" s="85"/>
      <c r="K584" s="85"/>
      <c r="L584" s="109"/>
      <c r="M584" s="110"/>
      <c r="N584" s="127"/>
      <c r="O584" s="112"/>
      <c r="P584" s="112"/>
      <c r="Q584" s="118"/>
    </row>
    <row r="585" spans="2:17" s="5" customFormat="1" ht="13">
      <c r="B585" s="84"/>
      <c r="C585" s="84"/>
      <c r="D585" s="85"/>
      <c r="E585" s="85"/>
      <c r="F585" s="85"/>
      <c r="G585" s="85"/>
      <c r="H585" s="85"/>
      <c r="I585" s="85"/>
      <c r="J585" s="85"/>
      <c r="K585" s="85"/>
      <c r="L585" s="109"/>
      <c r="M585" s="110"/>
      <c r="N585" s="127"/>
      <c r="O585" s="112"/>
      <c r="P585" s="112"/>
      <c r="Q585" s="118"/>
    </row>
    <row r="586" spans="2:17" s="5" customFormat="1" ht="13">
      <c r="B586" s="84"/>
      <c r="C586" s="84"/>
      <c r="D586" s="85"/>
      <c r="E586" s="85"/>
      <c r="F586" s="85"/>
      <c r="G586" s="85"/>
      <c r="H586" s="85"/>
      <c r="I586" s="85"/>
      <c r="J586" s="85"/>
      <c r="K586" s="85"/>
      <c r="L586" s="109"/>
      <c r="M586" s="110"/>
      <c r="N586" s="127"/>
      <c r="O586" s="112"/>
      <c r="P586" s="112"/>
      <c r="Q586" s="118"/>
    </row>
    <row r="587" spans="2:17" s="5" customFormat="1" ht="13">
      <c r="B587" s="84"/>
      <c r="C587" s="84"/>
      <c r="D587" s="85"/>
      <c r="E587" s="85"/>
      <c r="F587" s="85"/>
      <c r="G587" s="85"/>
      <c r="H587" s="85"/>
      <c r="I587" s="85"/>
      <c r="J587" s="85"/>
      <c r="K587" s="85"/>
      <c r="L587" s="109"/>
      <c r="M587" s="110"/>
      <c r="N587" s="127"/>
      <c r="O587" s="112"/>
      <c r="P587" s="112"/>
      <c r="Q587" s="118"/>
    </row>
    <row r="588" spans="2:17" s="5" customFormat="1" ht="13">
      <c r="B588" s="84"/>
      <c r="C588" s="84"/>
      <c r="D588" s="85"/>
      <c r="E588" s="85"/>
      <c r="F588" s="85"/>
      <c r="G588" s="85"/>
      <c r="H588" s="85"/>
      <c r="I588" s="85"/>
      <c r="J588" s="85"/>
      <c r="K588" s="85"/>
      <c r="L588" s="109"/>
      <c r="M588" s="110"/>
      <c r="N588" s="127"/>
      <c r="O588" s="112"/>
      <c r="P588" s="112"/>
      <c r="Q588" s="118"/>
    </row>
    <row r="589" spans="2:17" s="5" customFormat="1" ht="13">
      <c r="B589" s="84"/>
      <c r="C589" s="84"/>
      <c r="D589" s="85"/>
      <c r="E589" s="85"/>
      <c r="F589" s="85"/>
      <c r="G589" s="85"/>
      <c r="H589" s="85"/>
      <c r="I589" s="85"/>
      <c r="J589" s="85"/>
      <c r="K589" s="85"/>
      <c r="L589" s="109"/>
      <c r="M589" s="110"/>
      <c r="N589" s="127"/>
      <c r="O589" s="112"/>
      <c r="P589" s="112"/>
      <c r="Q589" s="118"/>
    </row>
    <row r="590" spans="2:17" s="5" customFormat="1" ht="13">
      <c r="B590" s="84"/>
      <c r="C590" s="84"/>
      <c r="D590" s="85"/>
      <c r="E590" s="85"/>
      <c r="F590" s="85"/>
      <c r="G590" s="85"/>
      <c r="H590" s="85"/>
      <c r="I590" s="85"/>
      <c r="J590" s="85"/>
      <c r="K590" s="85"/>
      <c r="L590" s="109"/>
      <c r="M590" s="110"/>
      <c r="N590" s="127"/>
      <c r="O590" s="112"/>
      <c r="P590" s="112"/>
      <c r="Q590" s="118"/>
    </row>
    <row r="591" spans="2:17" s="5" customFormat="1" ht="13">
      <c r="B591" s="84"/>
      <c r="C591" s="84"/>
      <c r="D591" s="85"/>
      <c r="E591" s="85"/>
      <c r="F591" s="85"/>
      <c r="G591" s="85"/>
      <c r="H591" s="85"/>
      <c r="I591" s="85"/>
      <c r="J591" s="85"/>
      <c r="K591" s="85"/>
      <c r="L591" s="109"/>
      <c r="M591" s="110"/>
      <c r="N591" s="127"/>
      <c r="O591" s="112"/>
      <c r="P591" s="112"/>
      <c r="Q591" s="118"/>
    </row>
    <row r="592" spans="2:17" s="5" customFormat="1" ht="13">
      <c r="B592" s="84"/>
      <c r="C592" s="84"/>
      <c r="D592" s="85"/>
      <c r="E592" s="85"/>
      <c r="F592" s="85"/>
      <c r="G592" s="85"/>
      <c r="H592" s="85"/>
      <c r="I592" s="85"/>
      <c r="J592" s="85"/>
      <c r="K592" s="85"/>
      <c r="L592" s="109"/>
      <c r="M592" s="110"/>
      <c r="N592" s="127"/>
      <c r="O592" s="112"/>
      <c r="P592" s="112"/>
      <c r="Q592" s="118"/>
    </row>
    <row r="593" spans="2:17" s="5" customFormat="1" ht="13">
      <c r="B593" s="84"/>
      <c r="C593" s="84"/>
      <c r="D593" s="85"/>
      <c r="E593" s="85"/>
      <c r="F593" s="85"/>
      <c r="G593" s="85"/>
      <c r="H593" s="85"/>
      <c r="I593" s="85"/>
      <c r="J593" s="85"/>
      <c r="K593" s="85"/>
      <c r="L593" s="109"/>
      <c r="M593" s="110"/>
      <c r="N593" s="127"/>
      <c r="O593" s="112"/>
      <c r="P593" s="112"/>
      <c r="Q593" s="118"/>
    </row>
    <row r="594" spans="2:17" s="5" customFormat="1" ht="13">
      <c r="B594" s="84"/>
      <c r="C594" s="84"/>
      <c r="D594" s="85"/>
      <c r="E594" s="85"/>
      <c r="F594" s="85"/>
      <c r="G594" s="85"/>
      <c r="H594" s="85"/>
      <c r="I594" s="85"/>
      <c r="J594" s="85"/>
      <c r="K594" s="85"/>
      <c r="L594" s="109"/>
      <c r="M594" s="110"/>
      <c r="N594" s="127"/>
      <c r="O594" s="112"/>
      <c r="P594" s="112"/>
      <c r="Q594" s="118"/>
    </row>
    <row r="595" spans="2:17" s="5" customFormat="1" ht="13">
      <c r="B595" s="84"/>
      <c r="C595" s="84"/>
      <c r="D595" s="85"/>
      <c r="E595" s="85"/>
      <c r="F595" s="85"/>
      <c r="G595" s="85"/>
      <c r="H595" s="85"/>
      <c r="I595" s="85"/>
      <c r="J595" s="85"/>
      <c r="K595" s="85"/>
      <c r="L595" s="109"/>
      <c r="M595" s="110"/>
      <c r="N595" s="127"/>
      <c r="O595" s="112"/>
      <c r="P595" s="112"/>
      <c r="Q595" s="118"/>
    </row>
    <row r="596" spans="2:17" s="5" customFormat="1" ht="13">
      <c r="B596" s="84"/>
      <c r="C596" s="84"/>
      <c r="D596" s="85"/>
      <c r="E596" s="85"/>
      <c r="F596" s="85"/>
      <c r="G596" s="85"/>
      <c r="H596" s="85"/>
      <c r="I596" s="85"/>
      <c r="J596" s="85"/>
      <c r="K596" s="85"/>
      <c r="L596" s="109"/>
      <c r="M596" s="110"/>
      <c r="N596" s="127"/>
      <c r="O596" s="112"/>
      <c r="P596" s="112"/>
      <c r="Q596" s="118"/>
    </row>
    <row r="597" spans="2:17" s="5" customFormat="1" ht="13">
      <c r="B597" s="84"/>
      <c r="C597" s="84"/>
      <c r="D597" s="85"/>
      <c r="E597" s="85"/>
      <c r="F597" s="85"/>
      <c r="G597" s="85"/>
      <c r="H597" s="85"/>
      <c r="I597" s="85"/>
      <c r="J597" s="85"/>
      <c r="K597" s="85"/>
      <c r="L597" s="109"/>
      <c r="M597" s="110"/>
      <c r="N597" s="127"/>
      <c r="O597" s="112"/>
      <c r="P597" s="112"/>
      <c r="Q597" s="118"/>
    </row>
    <row r="598" spans="2:17" s="5" customFormat="1" ht="13">
      <c r="B598" s="84"/>
      <c r="C598" s="84"/>
      <c r="D598" s="85"/>
      <c r="E598" s="85"/>
      <c r="F598" s="85"/>
      <c r="G598" s="85"/>
      <c r="H598" s="85"/>
      <c r="I598" s="85"/>
      <c r="J598" s="85"/>
      <c r="K598" s="85"/>
      <c r="L598" s="109"/>
      <c r="M598" s="110"/>
      <c r="N598" s="127"/>
      <c r="O598" s="112"/>
      <c r="P598" s="112"/>
      <c r="Q598" s="118"/>
    </row>
    <row r="599" spans="2:17" s="5" customFormat="1" ht="13">
      <c r="B599" s="84"/>
      <c r="C599" s="84"/>
      <c r="D599" s="85"/>
      <c r="E599" s="85"/>
      <c r="F599" s="85"/>
      <c r="G599" s="85"/>
      <c r="H599" s="85"/>
      <c r="I599" s="85"/>
      <c r="J599" s="85"/>
      <c r="K599" s="85"/>
      <c r="L599" s="109"/>
      <c r="M599" s="110"/>
      <c r="N599" s="127"/>
      <c r="O599" s="112"/>
      <c r="P599" s="112"/>
      <c r="Q599" s="118"/>
    </row>
    <row r="600" spans="2:17" s="5" customFormat="1" ht="13">
      <c r="B600" s="84"/>
      <c r="C600" s="84"/>
      <c r="D600" s="85"/>
      <c r="E600" s="85"/>
      <c r="F600" s="85"/>
      <c r="G600" s="85"/>
      <c r="H600" s="85"/>
      <c r="I600" s="85"/>
      <c r="J600" s="85"/>
      <c r="K600" s="85"/>
      <c r="L600" s="109"/>
      <c r="M600" s="110"/>
      <c r="N600" s="127"/>
      <c r="O600" s="112"/>
      <c r="P600" s="112"/>
      <c r="Q600" s="118"/>
    </row>
    <row r="601" spans="2:17" s="5" customFormat="1" ht="13">
      <c r="B601" s="84"/>
      <c r="C601" s="84"/>
      <c r="D601" s="85"/>
      <c r="E601" s="85"/>
      <c r="F601" s="85"/>
      <c r="G601" s="85"/>
      <c r="H601" s="85"/>
      <c r="I601" s="85"/>
      <c r="J601" s="85"/>
      <c r="K601" s="85"/>
      <c r="L601" s="109"/>
      <c r="M601" s="110"/>
      <c r="N601" s="127"/>
      <c r="O601" s="112"/>
      <c r="P601" s="112"/>
      <c r="Q601" s="118"/>
    </row>
    <row r="602" spans="2:17" s="5" customFormat="1" ht="13">
      <c r="B602" s="84"/>
      <c r="C602" s="84"/>
      <c r="D602" s="85"/>
      <c r="E602" s="85"/>
      <c r="F602" s="85"/>
      <c r="G602" s="85"/>
      <c r="H602" s="85"/>
      <c r="I602" s="85"/>
      <c r="J602" s="85"/>
      <c r="K602" s="85"/>
      <c r="L602" s="109"/>
      <c r="M602" s="110"/>
      <c r="N602" s="127"/>
      <c r="O602" s="112"/>
      <c r="P602" s="112"/>
      <c r="Q602" s="118"/>
    </row>
    <row r="603" spans="2:17" s="5" customFormat="1" ht="13">
      <c r="B603" s="84"/>
      <c r="C603" s="84"/>
      <c r="D603" s="85"/>
      <c r="E603" s="85"/>
      <c r="F603" s="85"/>
      <c r="G603" s="85"/>
      <c r="H603" s="85"/>
      <c r="I603" s="85"/>
      <c r="J603" s="85"/>
      <c r="K603" s="85"/>
      <c r="L603" s="109"/>
      <c r="M603" s="110"/>
      <c r="N603" s="127"/>
      <c r="O603" s="112"/>
      <c r="P603" s="112"/>
      <c r="Q603" s="118"/>
    </row>
    <row r="604" spans="2:17" s="5" customFormat="1" ht="13">
      <c r="B604" s="84"/>
      <c r="C604" s="84"/>
      <c r="D604" s="85"/>
      <c r="E604" s="85"/>
      <c r="F604" s="85"/>
      <c r="G604" s="85"/>
      <c r="H604" s="85"/>
      <c r="I604" s="85"/>
      <c r="J604" s="85"/>
      <c r="K604" s="85"/>
      <c r="L604" s="109"/>
      <c r="M604" s="110"/>
      <c r="N604" s="127"/>
      <c r="O604" s="112"/>
      <c r="P604" s="112"/>
      <c r="Q604" s="118"/>
    </row>
    <row r="605" spans="2:17" s="5" customFormat="1" ht="13">
      <c r="B605" s="84"/>
      <c r="C605" s="84"/>
      <c r="D605" s="85"/>
      <c r="E605" s="85"/>
      <c r="F605" s="85"/>
      <c r="G605" s="85"/>
      <c r="H605" s="85"/>
      <c r="I605" s="85"/>
      <c r="J605" s="85"/>
      <c r="K605" s="85"/>
      <c r="L605" s="109"/>
      <c r="M605" s="110"/>
      <c r="N605" s="127"/>
      <c r="O605" s="112"/>
      <c r="P605" s="112"/>
      <c r="Q605" s="118"/>
    </row>
    <row r="606" spans="2:17" s="5" customFormat="1" ht="13">
      <c r="B606" s="84"/>
      <c r="C606" s="84"/>
      <c r="D606" s="85"/>
      <c r="E606" s="85"/>
      <c r="F606" s="85"/>
      <c r="G606" s="85"/>
      <c r="H606" s="85"/>
      <c r="I606" s="85"/>
      <c r="J606" s="85"/>
      <c r="K606" s="85"/>
      <c r="L606" s="109"/>
      <c r="M606" s="110"/>
      <c r="N606" s="127"/>
      <c r="O606" s="112"/>
      <c r="P606" s="112"/>
      <c r="Q606" s="118"/>
    </row>
    <row r="607" spans="2:17" s="5" customFormat="1" ht="13">
      <c r="B607" s="84"/>
      <c r="C607" s="84"/>
      <c r="D607" s="85"/>
      <c r="E607" s="85"/>
      <c r="F607" s="85"/>
      <c r="G607" s="85"/>
      <c r="H607" s="85"/>
      <c r="I607" s="85"/>
      <c r="J607" s="85"/>
      <c r="K607" s="85"/>
      <c r="L607" s="109"/>
      <c r="M607" s="110"/>
      <c r="N607" s="127"/>
      <c r="O607" s="112"/>
      <c r="P607" s="112"/>
      <c r="Q607" s="118"/>
    </row>
    <row r="608" spans="2:17" s="5" customFormat="1" ht="13">
      <c r="B608" s="84"/>
      <c r="C608" s="84"/>
      <c r="D608" s="85"/>
      <c r="E608" s="85"/>
      <c r="F608" s="85"/>
      <c r="G608" s="85"/>
      <c r="H608" s="85"/>
      <c r="I608" s="85"/>
      <c r="J608" s="85"/>
      <c r="K608" s="85"/>
      <c r="L608" s="109"/>
      <c r="M608" s="110"/>
      <c r="N608" s="127"/>
      <c r="O608" s="112"/>
      <c r="P608" s="112"/>
      <c r="Q608" s="118"/>
    </row>
    <row r="609" spans="2:17" s="5" customFormat="1" ht="13">
      <c r="B609" s="84"/>
      <c r="C609" s="84"/>
      <c r="D609" s="85"/>
      <c r="E609" s="85"/>
      <c r="F609" s="85"/>
      <c r="G609" s="85"/>
      <c r="H609" s="85"/>
      <c r="I609" s="85"/>
      <c r="J609" s="85"/>
      <c r="K609" s="85"/>
      <c r="L609" s="109"/>
      <c r="M609" s="110"/>
      <c r="N609" s="127"/>
      <c r="O609" s="112"/>
      <c r="P609" s="112"/>
      <c r="Q609" s="118"/>
    </row>
    <row r="610" spans="2:17" s="5" customFormat="1" ht="13">
      <c r="B610" s="84"/>
      <c r="C610" s="84"/>
      <c r="D610" s="85"/>
      <c r="E610" s="85"/>
      <c r="F610" s="85"/>
      <c r="G610" s="85"/>
      <c r="H610" s="85"/>
      <c r="I610" s="85"/>
      <c r="J610" s="85"/>
      <c r="K610" s="85"/>
      <c r="L610" s="109"/>
      <c r="M610" s="110"/>
      <c r="N610" s="127"/>
      <c r="O610" s="112"/>
      <c r="P610" s="112"/>
      <c r="Q610" s="118"/>
    </row>
    <row r="611" spans="2:17" s="5" customFormat="1" ht="13">
      <c r="B611" s="84"/>
      <c r="C611" s="84"/>
      <c r="D611" s="85"/>
      <c r="E611" s="85"/>
      <c r="F611" s="85"/>
      <c r="G611" s="85"/>
      <c r="H611" s="85"/>
      <c r="I611" s="85"/>
      <c r="J611" s="85"/>
      <c r="K611" s="85"/>
      <c r="L611" s="109"/>
      <c r="M611" s="110"/>
      <c r="N611" s="127"/>
      <c r="O611" s="112"/>
      <c r="P611" s="112"/>
      <c r="Q611" s="118"/>
    </row>
    <row r="612" spans="2:17" s="5" customFormat="1" ht="13">
      <c r="B612" s="84"/>
      <c r="C612" s="84"/>
      <c r="D612" s="85"/>
      <c r="E612" s="85"/>
      <c r="F612" s="85"/>
      <c r="G612" s="85"/>
      <c r="H612" s="85"/>
      <c r="I612" s="85"/>
      <c r="J612" s="85"/>
      <c r="K612" s="85"/>
      <c r="L612" s="109"/>
      <c r="M612" s="110"/>
      <c r="N612" s="127"/>
      <c r="O612" s="112"/>
      <c r="P612" s="112"/>
      <c r="Q612" s="118"/>
    </row>
    <row r="613" spans="2:17" s="5" customFormat="1" ht="13">
      <c r="B613" s="84"/>
      <c r="C613" s="84"/>
      <c r="D613" s="85"/>
      <c r="E613" s="85"/>
      <c r="F613" s="85"/>
      <c r="G613" s="85"/>
      <c r="H613" s="85"/>
      <c r="I613" s="85"/>
      <c r="J613" s="85"/>
      <c r="K613" s="85"/>
      <c r="L613" s="109"/>
      <c r="M613" s="110"/>
      <c r="N613" s="127"/>
      <c r="O613" s="112"/>
      <c r="P613" s="112"/>
      <c r="Q613" s="118"/>
    </row>
    <row r="614" spans="2:17" s="5" customFormat="1" ht="13">
      <c r="B614" s="84"/>
      <c r="C614" s="84"/>
      <c r="D614" s="85"/>
      <c r="E614" s="85"/>
      <c r="F614" s="85"/>
      <c r="G614" s="85"/>
      <c r="H614" s="85"/>
      <c r="I614" s="85"/>
      <c r="J614" s="85"/>
      <c r="K614" s="85"/>
      <c r="L614" s="109"/>
      <c r="M614" s="110"/>
      <c r="N614" s="127"/>
      <c r="O614" s="112"/>
      <c r="P614" s="112"/>
      <c r="Q614" s="118"/>
    </row>
    <row r="615" spans="2:17" s="5" customFormat="1" ht="13">
      <c r="B615" s="84"/>
      <c r="C615" s="84"/>
      <c r="D615" s="85"/>
      <c r="E615" s="85"/>
      <c r="F615" s="85"/>
      <c r="G615" s="85"/>
      <c r="H615" s="85"/>
      <c r="I615" s="85"/>
      <c r="J615" s="85"/>
      <c r="K615" s="85"/>
      <c r="L615" s="109"/>
      <c r="M615" s="110"/>
      <c r="N615" s="127"/>
      <c r="O615" s="112"/>
      <c r="P615" s="112"/>
      <c r="Q615" s="118"/>
    </row>
    <row r="616" spans="2:17" s="5" customFormat="1" ht="13">
      <c r="B616" s="84"/>
      <c r="C616" s="84"/>
      <c r="D616" s="85"/>
      <c r="E616" s="85"/>
      <c r="F616" s="85"/>
      <c r="G616" s="85"/>
      <c r="H616" s="85"/>
      <c r="I616" s="85"/>
      <c r="J616" s="85"/>
      <c r="K616" s="85"/>
      <c r="L616" s="109"/>
      <c r="M616" s="110"/>
      <c r="N616" s="127"/>
      <c r="O616" s="112"/>
      <c r="P616" s="112"/>
      <c r="Q616" s="118"/>
    </row>
    <row r="617" spans="2:17" s="5" customFormat="1" ht="13">
      <c r="B617" s="84"/>
      <c r="C617" s="84"/>
      <c r="D617" s="85"/>
      <c r="E617" s="85"/>
      <c r="F617" s="85"/>
      <c r="G617" s="85"/>
      <c r="H617" s="85"/>
      <c r="I617" s="85"/>
      <c r="J617" s="85"/>
      <c r="K617" s="85"/>
      <c r="L617" s="109"/>
      <c r="M617" s="110"/>
      <c r="N617" s="127"/>
      <c r="O617" s="112"/>
      <c r="P617" s="112"/>
      <c r="Q617" s="118"/>
    </row>
    <row r="618" spans="2:17" s="5" customFormat="1" ht="13">
      <c r="B618" s="84"/>
      <c r="C618" s="84"/>
      <c r="D618" s="85"/>
      <c r="E618" s="85"/>
      <c r="F618" s="85"/>
      <c r="G618" s="85"/>
      <c r="H618" s="85"/>
      <c r="I618" s="85"/>
      <c r="J618" s="85"/>
      <c r="K618" s="85"/>
      <c r="L618" s="109"/>
      <c r="M618" s="110"/>
      <c r="N618" s="127"/>
      <c r="O618" s="112"/>
      <c r="P618" s="112"/>
      <c r="Q618" s="118"/>
    </row>
    <row r="619" spans="2:17" s="5" customFormat="1" ht="13">
      <c r="B619" s="84"/>
      <c r="C619" s="84"/>
      <c r="D619" s="85"/>
      <c r="E619" s="85"/>
      <c r="F619" s="85"/>
      <c r="G619" s="85"/>
      <c r="H619" s="85"/>
      <c r="I619" s="85"/>
      <c r="J619" s="85"/>
      <c r="K619" s="85"/>
      <c r="L619" s="109"/>
      <c r="M619" s="110"/>
      <c r="N619" s="127"/>
      <c r="O619" s="112"/>
      <c r="P619" s="112"/>
      <c r="Q619" s="118"/>
    </row>
    <row r="620" spans="2:17" s="5" customFormat="1" ht="13">
      <c r="B620" s="84"/>
      <c r="C620" s="84"/>
      <c r="D620" s="85"/>
      <c r="E620" s="85"/>
      <c r="F620" s="85"/>
      <c r="G620" s="85"/>
      <c r="H620" s="85"/>
      <c r="I620" s="85"/>
      <c r="J620" s="85"/>
      <c r="K620" s="85"/>
      <c r="L620" s="109"/>
      <c r="M620" s="110"/>
      <c r="N620" s="127"/>
      <c r="O620" s="112"/>
      <c r="P620" s="112"/>
      <c r="Q620" s="118"/>
    </row>
    <row r="621" spans="2:17" s="5" customFormat="1" ht="13">
      <c r="B621" s="84"/>
      <c r="C621" s="84"/>
      <c r="D621" s="85"/>
      <c r="E621" s="85"/>
      <c r="F621" s="85"/>
      <c r="G621" s="85"/>
      <c r="H621" s="85"/>
      <c r="I621" s="85"/>
      <c r="J621" s="85"/>
      <c r="K621" s="85"/>
      <c r="L621" s="109"/>
      <c r="M621" s="110"/>
      <c r="N621" s="127"/>
      <c r="O621" s="112"/>
      <c r="P621" s="112"/>
      <c r="Q621" s="118"/>
    </row>
    <row r="622" spans="2:17" s="5" customFormat="1" ht="13">
      <c r="B622" s="84"/>
      <c r="C622" s="84"/>
      <c r="D622" s="85"/>
      <c r="E622" s="85"/>
      <c r="F622" s="85"/>
      <c r="G622" s="85"/>
      <c r="H622" s="85"/>
      <c r="I622" s="85"/>
      <c r="J622" s="85"/>
      <c r="K622" s="85"/>
      <c r="L622" s="109"/>
      <c r="M622" s="110"/>
      <c r="N622" s="127"/>
      <c r="O622" s="112"/>
      <c r="P622" s="112"/>
      <c r="Q622" s="118"/>
    </row>
    <row r="623" spans="2:17" s="5" customFormat="1" ht="13">
      <c r="B623" s="84"/>
      <c r="C623" s="84"/>
      <c r="D623" s="85"/>
      <c r="E623" s="85"/>
      <c r="F623" s="85"/>
      <c r="G623" s="85"/>
      <c r="H623" s="85"/>
      <c r="I623" s="85"/>
      <c r="J623" s="85"/>
      <c r="K623" s="85"/>
      <c r="L623" s="109"/>
      <c r="M623" s="110"/>
      <c r="N623" s="127"/>
      <c r="O623" s="112"/>
      <c r="P623" s="112"/>
      <c r="Q623" s="118"/>
    </row>
    <row r="624" spans="2:17" s="5" customFormat="1" ht="13">
      <c r="B624" s="84"/>
      <c r="C624" s="84"/>
      <c r="D624" s="85"/>
      <c r="E624" s="85"/>
      <c r="F624" s="85"/>
      <c r="G624" s="85"/>
      <c r="H624" s="85"/>
      <c r="I624" s="85"/>
      <c r="J624" s="85"/>
      <c r="K624" s="85"/>
      <c r="L624" s="109"/>
      <c r="M624" s="110"/>
      <c r="N624" s="127"/>
      <c r="O624" s="112"/>
      <c r="P624" s="112"/>
      <c r="Q624" s="118"/>
    </row>
    <row r="625" spans="2:17" s="5" customFormat="1" ht="13">
      <c r="B625" s="84"/>
      <c r="C625" s="84"/>
      <c r="D625" s="85"/>
      <c r="E625" s="85"/>
      <c r="F625" s="85"/>
      <c r="G625" s="85"/>
      <c r="H625" s="85"/>
      <c r="I625" s="85"/>
      <c r="J625" s="85"/>
      <c r="K625" s="85"/>
      <c r="L625" s="109"/>
      <c r="M625" s="110"/>
      <c r="N625" s="127"/>
      <c r="O625" s="112"/>
      <c r="P625" s="112"/>
      <c r="Q625" s="118"/>
    </row>
    <row r="626" spans="2:17" s="5" customFormat="1" ht="13">
      <c r="B626" s="84"/>
      <c r="C626" s="84"/>
      <c r="D626" s="85"/>
      <c r="E626" s="85"/>
      <c r="F626" s="85"/>
      <c r="G626" s="85"/>
      <c r="H626" s="85"/>
      <c r="I626" s="85"/>
      <c r="J626" s="85"/>
      <c r="K626" s="85"/>
      <c r="L626" s="109"/>
      <c r="M626" s="110"/>
      <c r="N626" s="127"/>
      <c r="O626" s="112"/>
      <c r="P626" s="112"/>
      <c r="Q626" s="118"/>
    </row>
    <row r="627" spans="2:17" s="5" customFormat="1" ht="13">
      <c r="B627" s="84"/>
      <c r="C627" s="84"/>
      <c r="D627" s="85"/>
      <c r="E627" s="85"/>
      <c r="F627" s="85"/>
      <c r="G627" s="85"/>
      <c r="H627" s="85"/>
      <c r="I627" s="85"/>
      <c r="J627" s="85"/>
      <c r="K627" s="85"/>
      <c r="L627" s="109"/>
      <c r="M627" s="110"/>
      <c r="N627" s="127"/>
      <c r="O627" s="112"/>
      <c r="P627" s="112"/>
      <c r="Q627" s="118"/>
    </row>
    <row r="628" spans="2:17" s="5" customFormat="1" ht="13">
      <c r="B628" s="84"/>
      <c r="C628" s="84"/>
      <c r="D628" s="85"/>
      <c r="E628" s="85"/>
      <c r="F628" s="85"/>
      <c r="G628" s="85"/>
      <c r="H628" s="85"/>
      <c r="I628" s="85"/>
      <c r="J628" s="85"/>
      <c r="K628" s="85"/>
      <c r="L628" s="109"/>
      <c r="M628" s="110"/>
      <c r="N628" s="127"/>
      <c r="O628" s="112"/>
      <c r="P628" s="112"/>
      <c r="Q628" s="118"/>
    </row>
    <row r="629" spans="2:17" s="5" customFormat="1" ht="13">
      <c r="B629" s="84"/>
      <c r="C629" s="84"/>
      <c r="D629" s="85"/>
      <c r="E629" s="85"/>
      <c r="F629" s="85"/>
      <c r="G629" s="85"/>
      <c r="H629" s="85"/>
      <c r="I629" s="85"/>
      <c r="J629" s="85"/>
      <c r="K629" s="85"/>
      <c r="L629" s="109"/>
      <c r="M629" s="110"/>
      <c r="N629" s="127"/>
      <c r="O629" s="112"/>
      <c r="P629" s="112"/>
      <c r="Q629" s="118"/>
    </row>
    <row r="630" spans="2:17" s="5" customFormat="1" ht="13">
      <c r="B630" s="84"/>
      <c r="C630" s="84"/>
      <c r="D630" s="85"/>
      <c r="E630" s="85"/>
      <c r="F630" s="85"/>
      <c r="G630" s="85"/>
      <c r="H630" s="85"/>
      <c r="I630" s="85"/>
      <c r="J630" s="85"/>
      <c r="K630" s="85"/>
      <c r="L630" s="109"/>
      <c r="M630" s="110"/>
      <c r="N630" s="127"/>
      <c r="O630" s="112"/>
      <c r="P630" s="112"/>
      <c r="Q630" s="118"/>
    </row>
    <row r="631" spans="2:17" s="5" customFormat="1" ht="13">
      <c r="B631" s="84"/>
      <c r="C631" s="84"/>
      <c r="D631" s="85"/>
      <c r="E631" s="85"/>
      <c r="F631" s="85"/>
      <c r="G631" s="85"/>
      <c r="H631" s="85"/>
      <c r="I631" s="85"/>
      <c r="J631" s="85"/>
      <c r="K631" s="85"/>
      <c r="L631" s="109"/>
      <c r="M631" s="110"/>
      <c r="N631" s="127"/>
      <c r="O631" s="112"/>
      <c r="P631" s="112"/>
      <c r="Q631" s="118"/>
    </row>
    <row r="632" spans="2:17" s="5" customFormat="1" ht="13">
      <c r="B632" s="84"/>
      <c r="C632" s="84"/>
      <c r="D632" s="85"/>
      <c r="E632" s="85"/>
      <c r="F632" s="85"/>
      <c r="G632" s="85"/>
      <c r="H632" s="85"/>
      <c r="I632" s="85"/>
      <c r="J632" s="85"/>
      <c r="K632" s="85"/>
      <c r="L632" s="109"/>
      <c r="M632" s="110"/>
      <c r="N632" s="127"/>
      <c r="O632" s="112"/>
      <c r="P632" s="112"/>
      <c r="Q632" s="118"/>
    </row>
    <row r="633" spans="2:17" s="5" customFormat="1" ht="13">
      <c r="B633" s="84"/>
      <c r="C633" s="84"/>
      <c r="D633" s="85"/>
      <c r="E633" s="85"/>
      <c r="F633" s="85"/>
      <c r="G633" s="85"/>
      <c r="H633" s="85"/>
      <c r="I633" s="85"/>
      <c r="J633" s="85"/>
      <c r="K633" s="85"/>
      <c r="L633" s="109"/>
      <c r="M633" s="110"/>
      <c r="N633" s="127"/>
      <c r="O633" s="112"/>
      <c r="P633" s="112"/>
      <c r="Q633" s="118"/>
    </row>
    <row r="634" spans="2:17" s="5" customFormat="1" ht="13">
      <c r="B634" s="84"/>
      <c r="C634" s="84"/>
      <c r="D634" s="85"/>
      <c r="E634" s="85"/>
      <c r="F634" s="85"/>
      <c r="G634" s="85"/>
      <c r="H634" s="85"/>
      <c r="I634" s="85"/>
      <c r="J634" s="85"/>
      <c r="K634" s="85"/>
      <c r="L634" s="109"/>
      <c r="M634" s="110"/>
      <c r="N634" s="127"/>
      <c r="O634" s="112"/>
      <c r="P634" s="112"/>
      <c r="Q634" s="118"/>
    </row>
    <row r="635" spans="2:17" s="5" customFormat="1" ht="13">
      <c r="B635" s="84"/>
      <c r="C635" s="84"/>
      <c r="D635" s="85"/>
      <c r="E635" s="85"/>
      <c r="F635" s="85"/>
      <c r="G635" s="85"/>
      <c r="H635" s="85"/>
      <c r="I635" s="85"/>
      <c r="J635" s="85"/>
      <c r="K635" s="85"/>
      <c r="L635" s="109"/>
      <c r="M635" s="110"/>
      <c r="N635" s="127"/>
      <c r="O635" s="112"/>
      <c r="P635" s="112"/>
      <c r="Q635" s="118"/>
    </row>
    <row r="636" spans="2:17" s="5" customFormat="1" ht="13">
      <c r="B636" s="84"/>
      <c r="C636" s="84"/>
      <c r="D636" s="85"/>
      <c r="E636" s="85"/>
      <c r="F636" s="85"/>
      <c r="G636" s="85"/>
      <c r="H636" s="85"/>
      <c r="I636" s="85"/>
      <c r="J636" s="85"/>
      <c r="K636" s="85"/>
      <c r="L636" s="109"/>
      <c r="M636" s="110"/>
      <c r="N636" s="127"/>
      <c r="O636" s="112"/>
      <c r="P636" s="112"/>
      <c r="Q636" s="118"/>
    </row>
    <row r="637" spans="2:17" s="5" customFormat="1" ht="13">
      <c r="B637" s="84"/>
      <c r="C637" s="84"/>
      <c r="D637" s="85"/>
      <c r="E637" s="85"/>
      <c r="F637" s="85"/>
      <c r="G637" s="85"/>
      <c r="H637" s="85"/>
      <c r="I637" s="85"/>
      <c r="J637" s="85"/>
      <c r="K637" s="85"/>
      <c r="L637" s="109"/>
      <c r="M637" s="110"/>
      <c r="N637" s="127"/>
      <c r="O637" s="112"/>
      <c r="P637" s="112"/>
      <c r="Q637" s="118"/>
    </row>
    <row r="638" spans="2:17" s="5" customFormat="1" ht="13">
      <c r="B638" s="84"/>
      <c r="C638" s="84"/>
      <c r="D638" s="85"/>
      <c r="E638" s="85"/>
      <c r="F638" s="85"/>
      <c r="G638" s="85"/>
      <c r="H638" s="85"/>
      <c r="I638" s="85"/>
      <c r="J638" s="85"/>
      <c r="K638" s="85"/>
      <c r="L638" s="109"/>
      <c r="M638" s="110"/>
      <c r="N638" s="127"/>
      <c r="O638" s="112"/>
      <c r="P638" s="112"/>
      <c r="Q638" s="118"/>
    </row>
    <row r="639" spans="2:17" s="5" customFormat="1" ht="13">
      <c r="B639" s="84"/>
      <c r="C639" s="84"/>
      <c r="D639" s="85"/>
      <c r="E639" s="85"/>
      <c r="F639" s="85"/>
      <c r="G639" s="85"/>
      <c r="H639" s="85"/>
      <c r="I639" s="85"/>
      <c r="J639" s="85"/>
      <c r="K639" s="85"/>
      <c r="L639" s="109"/>
      <c r="M639" s="110"/>
      <c r="N639" s="127"/>
      <c r="O639" s="112"/>
      <c r="P639" s="112"/>
      <c r="Q639" s="118"/>
    </row>
    <row r="640" spans="2:17" s="5" customFormat="1" ht="13">
      <c r="B640" s="84"/>
      <c r="C640" s="84"/>
      <c r="D640" s="85"/>
      <c r="E640" s="85"/>
      <c r="F640" s="85"/>
      <c r="G640" s="85"/>
      <c r="H640" s="85"/>
      <c r="I640" s="85"/>
      <c r="J640" s="85"/>
      <c r="K640" s="85"/>
      <c r="L640" s="109"/>
      <c r="M640" s="110"/>
      <c r="N640" s="127"/>
      <c r="O640" s="112"/>
      <c r="P640" s="112"/>
      <c r="Q640" s="118"/>
    </row>
    <row r="641" spans="2:17" s="5" customFormat="1" ht="13">
      <c r="B641" s="84"/>
      <c r="C641" s="84"/>
      <c r="D641" s="85"/>
      <c r="E641" s="85"/>
      <c r="F641" s="85"/>
      <c r="G641" s="85"/>
      <c r="H641" s="85"/>
      <c r="I641" s="85"/>
      <c r="J641" s="85"/>
      <c r="K641" s="85"/>
      <c r="L641" s="109"/>
      <c r="M641" s="110"/>
      <c r="N641" s="127"/>
      <c r="O641" s="112"/>
      <c r="P641" s="112"/>
      <c r="Q641" s="118"/>
    </row>
    <row r="642" spans="2:17" s="5" customFormat="1" ht="13">
      <c r="B642" s="84"/>
      <c r="C642" s="84"/>
      <c r="D642" s="85"/>
      <c r="E642" s="85"/>
      <c r="F642" s="85"/>
      <c r="G642" s="85"/>
      <c r="H642" s="85"/>
      <c r="I642" s="85"/>
      <c r="J642" s="85"/>
      <c r="K642" s="85"/>
      <c r="L642" s="109"/>
      <c r="M642" s="110"/>
      <c r="N642" s="127"/>
      <c r="O642" s="112"/>
      <c r="P642" s="112"/>
      <c r="Q642" s="118"/>
    </row>
    <row r="643" spans="2:17" s="5" customFormat="1" ht="13">
      <c r="B643" s="84"/>
      <c r="C643" s="84"/>
      <c r="D643" s="85"/>
      <c r="E643" s="85"/>
      <c r="F643" s="85"/>
      <c r="G643" s="85"/>
      <c r="H643" s="85"/>
      <c r="I643" s="85"/>
      <c r="J643" s="85"/>
      <c r="K643" s="85"/>
      <c r="L643" s="109"/>
      <c r="M643" s="110"/>
      <c r="N643" s="127"/>
      <c r="O643" s="112"/>
      <c r="P643" s="112"/>
      <c r="Q643" s="118"/>
    </row>
    <row r="644" spans="2:17" s="5" customFormat="1" ht="13">
      <c r="B644" s="84"/>
      <c r="C644" s="84"/>
      <c r="D644" s="85"/>
      <c r="E644" s="85"/>
      <c r="F644" s="85"/>
      <c r="G644" s="85"/>
      <c r="H644" s="85"/>
      <c r="I644" s="85"/>
      <c r="J644" s="85"/>
      <c r="K644" s="85"/>
      <c r="L644" s="109"/>
      <c r="M644" s="110"/>
      <c r="N644" s="127"/>
      <c r="O644" s="112"/>
      <c r="P644" s="112"/>
      <c r="Q644" s="118"/>
    </row>
    <row r="645" spans="2:17" s="5" customFormat="1" ht="13">
      <c r="B645" s="84"/>
      <c r="C645" s="84"/>
      <c r="D645" s="85"/>
      <c r="E645" s="85"/>
      <c r="F645" s="85"/>
      <c r="G645" s="85"/>
      <c r="H645" s="85"/>
      <c r="I645" s="85"/>
      <c r="J645" s="85"/>
      <c r="K645" s="85"/>
      <c r="L645" s="109"/>
      <c r="M645" s="110"/>
      <c r="N645" s="127"/>
      <c r="O645" s="112"/>
      <c r="P645" s="112"/>
      <c r="Q645" s="118"/>
    </row>
    <row r="646" spans="2:17" s="5" customFormat="1" ht="13">
      <c r="B646" s="84"/>
      <c r="C646" s="84"/>
      <c r="D646" s="85"/>
      <c r="E646" s="85"/>
      <c r="F646" s="85"/>
      <c r="G646" s="85"/>
      <c r="H646" s="85"/>
      <c r="I646" s="85"/>
      <c r="J646" s="85"/>
      <c r="K646" s="85"/>
      <c r="L646" s="109"/>
      <c r="M646" s="110"/>
      <c r="N646" s="127"/>
      <c r="O646" s="112"/>
      <c r="P646" s="112"/>
      <c r="Q646" s="118"/>
    </row>
    <row r="647" spans="2:17" s="5" customFormat="1" ht="13">
      <c r="B647" s="84"/>
      <c r="C647" s="84"/>
      <c r="D647" s="85"/>
      <c r="E647" s="85"/>
      <c r="F647" s="85"/>
      <c r="G647" s="85"/>
      <c r="H647" s="85"/>
      <c r="I647" s="85"/>
      <c r="J647" s="85"/>
      <c r="K647" s="85"/>
      <c r="L647" s="109"/>
      <c r="M647" s="110"/>
      <c r="N647" s="127"/>
      <c r="O647" s="112"/>
      <c r="P647" s="112"/>
      <c r="Q647" s="118"/>
    </row>
    <row r="648" spans="2:17" s="5" customFormat="1" ht="13">
      <c r="B648" s="84"/>
      <c r="C648" s="84"/>
      <c r="D648" s="85"/>
      <c r="E648" s="85"/>
      <c r="F648" s="85"/>
      <c r="G648" s="85"/>
      <c r="H648" s="85"/>
      <c r="I648" s="85"/>
      <c r="J648" s="85"/>
      <c r="K648" s="85"/>
      <c r="L648" s="109"/>
      <c r="M648" s="110"/>
      <c r="N648" s="127"/>
      <c r="O648" s="112"/>
      <c r="P648" s="112"/>
      <c r="Q648" s="118"/>
    </row>
    <row r="649" spans="2:17" s="5" customFormat="1" ht="13">
      <c r="B649" s="84"/>
      <c r="C649" s="84"/>
      <c r="D649" s="85"/>
      <c r="E649" s="85"/>
      <c r="F649" s="85"/>
      <c r="G649" s="85"/>
      <c r="H649" s="85"/>
      <c r="I649" s="85"/>
      <c r="J649" s="85"/>
      <c r="K649" s="85"/>
      <c r="L649" s="109"/>
      <c r="M649" s="110"/>
      <c r="N649" s="127"/>
      <c r="O649" s="112"/>
      <c r="P649" s="112"/>
      <c r="Q649" s="118"/>
    </row>
    <row r="650" spans="2:17" s="5" customFormat="1" ht="13">
      <c r="B650" s="84"/>
      <c r="C650" s="84"/>
      <c r="D650" s="85"/>
      <c r="E650" s="85"/>
      <c r="F650" s="85"/>
      <c r="G650" s="85"/>
      <c r="H650" s="85"/>
      <c r="I650" s="85"/>
      <c r="J650" s="85"/>
      <c r="K650" s="85"/>
      <c r="L650" s="109"/>
      <c r="M650" s="110"/>
      <c r="N650" s="127"/>
      <c r="O650" s="112"/>
      <c r="P650" s="112"/>
      <c r="Q650" s="118"/>
    </row>
    <row r="651" spans="2:17" s="5" customFormat="1" ht="13">
      <c r="B651" s="84"/>
      <c r="C651" s="84"/>
      <c r="D651" s="85"/>
      <c r="E651" s="85"/>
      <c r="F651" s="85"/>
      <c r="G651" s="85"/>
      <c r="H651" s="85"/>
      <c r="I651" s="85"/>
      <c r="J651" s="85"/>
      <c r="K651" s="85"/>
      <c r="L651" s="109"/>
      <c r="M651" s="110"/>
      <c r="N651" s="127"/>
      <c r="O651" s="112"/>
      <c r="P651" s="112"/>
      <c r="Q651" s="118"/>
    </row>
    <row r="652" spans="2:17" s="5" customFormat="1" ht="13">
      <c r="B652" s="84"/>
      <c r="C652" s="84"/>
      <c r="D652" s="85"/>
      <c r="E652" s="85"/>
      <c r="F652" s="85"/>
      <c r="G652" s="85"/>
      <c r="H652" s="85"/>
      <c r="I652" s="85"/>
      <c r="J652" s="85"/>
      <c r="K652" s="85"/>
      <c r="L652" s="109"/>
      <c r="M652" s="110"/>
      <c r="N652" s="127"/>
      <c r="O652" s="112"/>
      <c r="P652" s="112"/>
      <c r="Q652" s="118"/>
    </row>
    <row r="653" spans="2:17" s="5" customFormat="1" ht="13">
      <c r="B653" s="84"/>
      <c r="C653" s="84"/>
      <c r="D653" s="85"/>
      <c r="E653" s="85"/>
      <c r="F653" s="85"/>
      <c r="G653" s="85"/>
      <c r="H653" s="85"/>
      <c r="I653" s="85"/>
      <c r="J653" s="85"/>
      <c r="K653" s="85"/>
      <c r="L653" s="109"/>
      <c r="M653" s="110"/>
      <c r="N653" s="127"/>
      <c r="O653" s="112"/>
      <c r="P653" s="112"/>
      <c r="Q653" s="118"/>
    </row>
    <row r="654" spans="2:17" s="5" customFormat="1" ht="13">
      <c r="B654" s="84"/>
      <c r="C654" s="84"/>
      <c r="D654" s="85"/>
      <c r="E654" s="85"/>
      <c r="F654" s="85"/>
      <c r="G654" s="85"/>
      <c r="H654" s="85"/>
      <c r="I654" s="85"/>
      <c r="J654" s="85"/>
      <c r="K654" s="85"/>
      <c r="L654" s="109"/>
      <c r="M654" s="110"/>
      <c r="N654" s="127"/>
      <c r="O654" s="112"/>
      <c r="P654" s="112"/>
      <c r="Q654" s="118"/>
    </row>
    <row r="655" spans="2:17" s="5" customFormat="1" ht="13">
      <c r="B655" s="84"/>
      <c r="C655" s="84"/>
      <c r="D655" s="85"/>
      <c r="E655" s="85"/>
      <c r="F655" s="85"/>
      <c r="G655" s="85"/>
      <c r="H655" s="85"/>
      <c r="I655" s="85"/>
      <c r="J655" s="85"/>
      <c r="K655" s="85"/>
      <c r="L655" s="109"/>
      <c r="M655" s="110"/>
      <c r="N655" s="127"/>
      <c r="O655" s="112"/>
      <c r="P655" s="112"/>
      <c r="Q655" s="118"/>
    </row>
    <row r="656" spans="2:17" s="5" customFormat="1" ht="13">
      <c r="B656" s="84"/>
      <c r="C656" s="84"/>
      <c r="D656" s="85"/>
      <c r="E656" s="85"/>
      <c r="F656" s="85"/>
      <c r="G656" s="85"/>
      <c r="H656" s="85"/>
      <c r="I656" s="85"/>
      <c r="J656" s="85"/>
      <c r="K656" s="85"/>
      <c r="L656" s="109"/>
      <c r="M656" s="110"/>
      <c r="N656" s="127"/>
      <c r="O656" s="112"/>
      <c r="P656" s="112"/>
      <c r="Q656" s="118"/>
    </row>
    <row r="657" spans="2:17" s="5" customFormat="1" ht="13">
      <c r="B657" s="84"/>
      <c r="C657" s="84"/>
      <c r="D657" s="85"/>
      <c r="E657" s="85"/>
      <c r="F657" s="85"/>
      <c r="G657" s="85"/>
      <c r="H657" s="85"/>
      <c r="I657" s="85"/>
      <c r="J657" s="85"/>
      <c r="K657" s="85"/>
      <c r="L657" s="109"/>
      <c r="M657" s="110"/>
      <c r="N657" s="127"/>
      <c r="O657" s="112"/>
      <c r="P657" s="112"/>
      <c r="Q657" s="118"/>
    </row>
    <row r="658" spans="2:17" s="5" customFormat="1" ht="13">
      <c r="B658" s="84"/>
      <c r="C658" s="84"/>
      <c r="D658" s="85"/>
      <c r="E658" s="85"/>
      <c r="F658" s="85"/>
      <c r="G658" s="85"/>
      <c r="H658" s="85"/>
      <c r="I658" s="85"/>
      <c r="J658" s="85"/>
      <c r="K658" s="85"/>
      <c r="L658" s="109"/>
      <c r="M658" s="110"/>
      <c r="N658" s="127"/>
      <c r="O658" s="112"/>
      <c r="P658" s="112"/>
      <c r="Q658" s="118"/>
    </row>
    <row r="659" spans="2:17" s="5" customFormat="1" ht="13">
      <c r="B659" s="84"/>
      <c r="C659" s="84"/>
      <c r="D659" s="85"/>
      <c r="E659" s="85"/>
      <c r="F659" s="85"/>
      <c r="G659" s="85"/>
      <c r="H659" s="85"/>
      <c r="I659" s="85"/>
      <c r="J659" s="85"/>
      <c r="K659" s="85"/>
      <c r="L659" s="109"/>
      <c r="M659" s="110"/>
      <c r="N659" s="127"/>
      <c r="O659" s="112"/>
      <c r="P659" s="112"/>
      <c r="Q659" s="118"/>
    </row>
    <row r="660" spans="2:17" s="5" customFormat="1" ht="13">
      <c r="B660" s="84"/>
      <c r="C660" s="84"/>
      <c r="D660" s="85"/>
      <c r="E660" s="85"/>
      <c r="F660" s="85"/>
      <c r="G660" s="85"/>
      <c r="H660" s="85"/>
      <c r="I660" s="85"/>
      <c r="J660" s="85"/>
      <c r="K660" s="85"/>
      <c r="L660" s="109"/>
      <c r="M660" s="110"/>
      <c r="N660" s="127"/>
      <c r="O660" s="112"/>
      <c r="P660" s="112"/>
      <c r="Q660" s="118"/>
    </row>
    <row r="661" spans="2:17" s="5" customFormat="1" ht="13">
      <c r="B661" s="84"/>
      <c r="C661" s="84"/>
      <c r="D661" s="85"/>
      <c r="E661" s="85"/>
      <c r="F661" s="85"/>
      <c r="G661" s="85"/>
      <c r="H661" s="85"/>
      <c r="I661" s="85"/>
      <c r="J661" s="85"/>
      <c r="K661" s="85"/>
      <c r="L661" s="109"/>
      <c r="M661" s="110"/>
      <c r="N661" s="127"/>
      <c r="O661" s="112"/>
      <c r="P661" s="112"/>
      <c r="Q661" s="118"/>
    </row>
    <row r="662" spans="2:17" s="5" customFormat="1" ht="13">
      <c r="B662" s="84"/>
      <c r="C662" s="84"/>
      <c r="D662" s="85"/>
      <c r="E662" s="85"/>
      <c r="F662" s="85"/>
      <c r="G662" s="85"/>
      <c r="H662" s="85"/>
      <c r="I662" s="85"/>
      <c r="J662" s="85"/>
      <c r="K662" s="85"/>
      <c r="L662" s="109"/>
      <c r="M662" s="110"/>
      <c r="N662" s="127"/>
      <c r="O662" s="112"/>
      <c r="P662" s="112"/>
      <c r="Q662" s="118"/>
    </row>
    <row r="663" spans="2:17" s="5" customFormat="1" ht="13">
      <c r="B663" s="84"/>
      <c r="C663" s="84"/>
      <c r="D663" s="85"/>
      <c r="E663" s="85"/>
      <c r="F663" s="85"/>
      <c r="G663" s="85"/>
      <c r="H663" s="85"/>
      <c r="I663" s="85"/>
      <c r="J663" s="85"/>
      <c r="K663" s="85"/>
      <c r="L663" s="109"/>
      <c r="M663" s="110"/>
      <c r="N663" s="127"/>
      <c r="O663" s="112"/>
      <c r="P663" s="112"/>
      <c r="Q663" s="118"/>
    </row>
    <row r="664" spans="2:17" s="5" customFormat="1" ht="13">
      <c r="B664" s="84"/>
      <c r="C664" s="84"/>
      <c r="D664" s="85"/>
      <c r="E664" s="85"/>
      <c r="F664" s="85"/>
      <c r="G664" s="85"/>
      <c r="H664" s="85"/>
      <c r="I664" s="85"/>
      <c r="J664" s="85"/>
      <c r="K664" s="85"/>
      <c r="L664" s="109"/>
      <c r="M664" s="110"/>
      <c r="N664" s="127"/>
      <c r="O664" s="112"/>
      <c r="P664" s="112"/>
      <c r="Q664" s="118"/>
    </row>
    <row r="665" spans="2:17" s="5" customFormat="1" ht="13">
      <c r="B665" s="84"/>
      <c r="C665" s="84"/>
      <c r="D665" s="85"/>
      <c r="E665" s="85"/>
      <c r="F665" s="85"/>
      <c r="G665" s="85"/>
      <c r="H665" s="85"/>
      <c r="I665" s="85"/>
      <c r="J665" s="85"/>
      <c r="K665" s="85"/>
      <c r="L665" s="109"/>
      <c r="M665" s="110"/>
      <c r="N665" s="127"/>
      <c r="O665" s="112"/>
      <c r="P665" s="112"/>
      <c r="Q665" s="118"/>
    </row>
    <row r="666" spans="2:17" s="5" customFormat="1" ht="13">
      <c r="B666" s="84"/>
      <c r="C666" s="84"/>
      <c r="D666" s="85"/>
      <c r="E666" s="85"/>
      <c r="F666" s="85"/>
      <c r="G666" s="85"/>
      <c r="H666" s="85"/>
      <c r="I666" s="85"/>
      <c r="J666" s="85"/>
      <c r="K666" s="85"/>
      <c r="L666" s="109"/>
      <c r="M666" s="110"/>
      <c r="N666" s="127"/>
      <c r="O666" s="112"/>
      <c r="P666" s="112"/>
      <c r="Q666" s="118"/>
    </row>
    <row r="667" spans="2:17" s="5" customFormat="1" ht="13">
      <c r="B667" s="84"/>
      <c r="C667" s="84"/>
      <c r="D667" s="85"/>
      <c r="E667" s="85"/>
      <c r="F667" s="85"/>
      <c r="G667" s="85"/>
      <c r="H667" s="85"/>
      <c r="I667" s="85"/>
      <c r="J667" s="85"/>
      <c r="K667" s="85"/>
      <c r="L667" s="109"/>
      <c r="M667" s="110"/>
      <c r="N667" s="127"/>
      <c r="O667" s="112"/>
      <c r="P667" s="112"/>
      <c r="Q667" s="118"/>
    </row>
    <row r="668" spans="2:17" s="5" customFormat="1" ht="13">
      <c r="B668" s="84"/>
      <c r="C668" s="84"/>
      <c r="D668" s="85"/>
      <c r="E668" s="85"/>
      <c r="F668" s="85"/>
      <c r="G668" s="85"/>
      <c r="H668" s="85"/>
      <c r="I668" s="85"/>
      <c r="J668" s="85"/>
      <c r="K668" s="85"/>
      <c r="L668" s="109"/>
      <c r="M668" s="110"/>
      <c r="N668" s="127"/>
      <c r="O668" s="112"/>
      <c r="P668" s="112"/>
      <c r="Q668" s="118"/>
    </row>
    <row r="669" spans="2:17" s="5" customFormat="1" ht="13">
      <c r="B669" s="84"/>
      <c r="C669" s="84"/>
      <c r="D669" s="85"/>
      <c r="E669" s="85"/>
      <c r="F669" s="85"/>
      <c r="G669" s="85"/>
      <c r="H669" s="85"/>
      <c r="I669" s="85"/>
      <c r="J669" s="85"/>
      <c r="K669" s="85"/>
      <c r="L669" s="109"/>
      <c r="M669" s="110"/>
      <c r="N669" s="127"/>
      <c r="O669" s="112"/>
      <c r="P669" s="112"/>
      <c r="Q669" s="118"/>
    </row>
    <row r="670" spans="2:17" s="5" customFormat="1" ht="13">
      <c r="B670" s="84"/>
      <c r="C670" s="84"/>
      <c r="D670" s="85"/>
      <c r="E670" s="85"/>
      <c r="F670" s="85"/>
      <c r="G670" s="85"/>
      <c r="H670" s="85"/>
      <c r="I670" s="85"/>
      <c r="J670" s="85"/>
      <c r="K670" s="85"/>
      <c r="L670" s="109"/>
      <c r="M670" s="110"/>
      <c r="N670" s="127"/>
      <c r="O670" s="112"/>
      <c r="P670" s="112"/>
      <c r="Q670" s="118"/>
    </row>
    <row r="671" spans="2:17" s="5" customFormat="1" ht="13">
      <c r="B671" s="84"/>
      <c r="C671" s="84"/>
      <c r="D671" s="85"/>
      <c r="E671" s="85"/>
      <c r="F671" s="85"/>
      <c r="G671" s="85"/>
      <c r="H671" s="85"/>
      <c r="I671" s="85"/>
      <c r="J671" s="85"/>
      <c r="K671" s="85"/>
      <c r="L671" s="109"/>
      <c r="M671" s="110"/>
      <c r="N671" s="127"/>
      <c r="O671" s="112"/>
      <c r="P671" s="112"/>
      <c r="Q671" s="118"/>
    </row>
    <row r="672" spans="2:17" s="5" customFormat="1" ht="13">
      <c r="B672" s="84"/>
      <c r="C672" s="84"/>
      <c r="D672" s="85"/>
      <c r="E672" s="85"/>
      <c r="F672" s="85"/>
      <c r="G672" s="85"/>
      <c r="H672" s="85"/>
      <c r="I672" s="85"/>
      <c r="J672" s="85"/>
      <c r="K672" s="85"/>
      <c r="L672" s="109"/>
      <c r="M672" s="110"/>
      <c r="N672" s="127"/>
      <c r="O672" s="112"/>
      <c r="P672" s="112"/>
      <c r="Q672" s="118"/>
    </row>
    <row r="673" spans="2:17" s="5" customFormat="1" ht="13">
      <c r="B673" s="84"/>
      <c r="C673" s="84"/>
      <c r="D673" s="85"/>
      <c r="E673" s="85"/>
      <c r="F673" s="85"/>
      <c r="G673" s="85"/>
      <c r="H673" s="85"/>
      <c r="I673" s="85"/>
      <c r="J673" s="85"/>
      <c r="K673" s="85"/>
      <c r="L673" s="109"/>
      <c r="M673" s="110"/>
      <c r="N673" s="127"/>
      <c r="O673" s="112"/>
      <c r="P673" s="112"/>
      <c r="Q673" s="118"/>
    </row>
    <row r="674" spans="2:17" s="5" customFormat="1" ht="13">
      <c r="B674" s="84"/>
      <c r="C674" s="84"/>
      <c r="D674" s="85"/>
      <c r="E674" s="85"/>
      <c r="F674" s="85"/>
      <c r="G674" s="85"/>
      <c r="H674" s="85"/>
      <c r="I674" s="85"/>
      <c r="J674" s="85"/>
      <c r="K674" s="85"/>
      <c r="L674" s="109"/>
      <c r="M674" s="110"/>
      <c r="N674" s="127"/>
      <c r="O674" s="112"/>
      <c r="P674" s="112"/>
      <c r="Q674" s="118"/>
    </row>
    <row r="675" spans="2:17" s="5" customFormat="1" ht="13">
      <c r="B675" s="84"/>
      <c r="C675" s="84"/>
      <c r="D675" s="85"/>
      <c r="E675" s="85"/>
      <c r="F675" s="85"/>
      <c r="G675" s="85"/>
      <c r="H675" s="85"/>
      <c r="I675" s="85"/>
      <c r="J675" s="85"/>
      <c r="K675" s="85"/>
      <c r="L675" s="109"/>
      <c r="M675" s="110"/>
      <c r="N675" s="127"/>
      <c r="O675" s="112"/>
      <c r="P675" s="112"/>
      <c r="Q675" s="118"/>
    </row>
    <row r="676" spans="2:17" s="5" customFormat="1" ht="13">
      <c r="B676" s="84"/>
      <c r="C676" s="84"/>
      <c r="D676" s="85"/>
      <c r="E676" s="85"/>
      <c r="F676" s="85"/>
      <c r="G676" s="85"/>
      <c r="H676" s="85"/>
      <c r="I676" s="85"/>
      <c r="J676" s="85"/>
      <c r="K676" s="85"/>
      <c r="L676" s="109"/>
      <c r="M676" s="110"/>
      <c r="N676" s="127"/>
      <c r="O676" s="112"/>
      <c r="P676" s="112"/>
      <c r="Q676" s="118"/>
    </row>
    <row r="677" spans="2:17" s="5" customFormat="1" ht="13">
      <c r="B677" s="84"/>
      <c r="C677" s="84"/>
      <c r="D677" s="85"/>
      <c r="E677" s="85"/>
      <c r="F677" s="85"/>
      <c r="G677" s="85"/>
      <c r="H677" s="85"/>
      <c r="I677" s="85"/>
      <c r="J677" s="85"/>
      <c r="K677" s="85"/>
      <c r="L677" s="109"/>
      <c r="M677" s="110"/>
      <c r="N677" s="127"/>
      <c r="O677" s="112"/>
      <c r="P677" s="112"/>
      <c r="Q677" s="118"/>
    </row>
    <row r="678" spans="2:17" s="5" customFormat="1" ht="13">
      <c r="B678" s="84"/>
      <c r="C678" s="84"/>
      <c r="D678" s="85"/>
      <c r="E678" s="85"/>
      <c r="F678" s="85"/>
      <c r="G678" s="85"/>
      <c r="H678" s="85"/>
      <c r="I678" s="85"/>
      <c r="J678" s="85"/>
      <c r="K678" s="85"/>
      <c r="L678" s="109"/>
      <c r="M678" s="110"/>
      <c r="N678" s="127"/>
      <c r="O678" s="112"/>
      <c r="P678" s="112"/>
      <c r="Q678" s="118"/>
    </row>
    <row r="679" spans="2:17" s="5" customFormat="1" ht="13">
      <c r="B679" s="84"/>
      <c r="C679" s="84"/>
      <c r="D679" s="85"/>
      <c r="E679" s="85"/>
      <c r="F679" s="85"/>
      <c r="G679" s="85"/>
      <c r="H679" s="85"/>
      <c r="I679" s="85"/>
      <c r="J679" s="85"/>
      <c r="K679" s="85"/>
      <c r="L679" s="109"/>
      <c r="M679" s="110"/>
      <c r="N679" s="127"/>
      <c r="O679" s="112"/>
      <c r="P679" s="112"/>
      <c r="Q679" s="118"/>
    </row>
    <row r="680" spans="2:17" s="5" customFormat="1" ht="13">
      <c r="B680" s="84"/>
      <c r="C680" s="84"/>
      <c r="D680" s="85"/>
      <c r="E680" s="85"/>
      <c r="F680" s="85"/>
      <c r="G680" s="85"/>
      <c r="H680" s="85"/>
      <c r="I680" s="85"/>
      <c r="J680" s="85"/>
      <c r="K680" s="85"/>
      <c r="L680" s="109"/>
      <c r="M680" s="110"/>
      <c r="N680" s="127"/>
      <c r="O680" s="112"/>
      <c r="P680" s="112"/>
      <c r="Q680" s="118"/>
    </row>
    <row r="681" spans="2:17" s="5" customFormat="1" ht="13">
      <c r="B681" s="84"/>
      <c r="C681" s="84"/>
      <c r="D681" s="85"/>
      <c r="E681" s="85"/>
      <c r="F681" s="85"/>
      <c r="G681" s="85"/>
      <c r="H681" s="85"/>
      <c r="I681" s="85"/>
      <c r="J681" s="85"/>
      <c r="K681" s="85"/>
      <c r="L681" s="109"/>
      <c r="M681" s="110"/>
      <c r="N681" s="127"/>
      <c r="O681" s="112"/>
      <c r="P681" s="112"/>
      <c r="Q681" s="118"/>
    </row>
    <row r="682" spans="2:17" s="5" customFormat="1" ht="13">
      <c r="B682" s="84"/>
      <c r="C682" s="84"/>
      <c r="D682" s="85"/>
      <c r="E682" s="85"/>
      <c r="F682" s="85"/>
      <c r="G682" s="85"/>
      <c r="H682" s="85"/>
      <c r="I682" s="85"/>
      <c r="J682" s="85"/>
      <c r="K682" s="85"/>
      <c r="L682" s="109"/>
      <c r="M682" s="110"/>
      <c r="N682" s="127"/>
      <c r="O682" s="112"/>
      <c r="P682" s="112"/>
      <c r="Q682" s="118"/>
    </row>
    <row r="683" spans="2:17" s="5" customFormat="1" ht="13">
      <c r="B683" s="84"/>
      <c r="C683" s="84"/>
      <c r="D683" s="85"/>
      <c r="E683" s="85"/>
      <c r="F683" s="85"/>
      <c r="G683" s="85"/>
      <c r="H683" s="85"/>
      <c r="I683" s="85"/>
      <c r="J683" s="85"/>
      <c r="K683" s="85"/>
      <c r="L683" s="109"/>
      <c r="M683" s="110"/>
      <c r="N683" s="127"/>
      <c r="O683" s="112"/>
      <c r="P683" s="112"/>
      <c r="Q683" s="118"/>
    </row>
    <row r="684" spans="2:17" s="5" customFormat="1" ht="13">
      <c r="B684" s="84"/>
      <c r="C684" s="84"/>
      <c r="D684" s="85"/>
      <c r="E684" s="85"/>
      <c r="F684" s="85"/>
      <c r="G684" s="85"/>
      <c r="H684" s="85"/>
      <c r="I684" s="85"/>
      <c r="J684" s="85"/>
      <c r="K684" s="85"/>
      <c r="L684" s="109"/>
      <c r="M684" s="110"/>
      <c r="N684" s="127"/>
      <c r="O684" s="112"/>
      <c r="P684" s="112"/>
      <c r="Q684" s="118"/>
    </row>
    <row r="685" spans="2:17" s="5" customFormat="1" ht="13">
      <c r="B685" s="84"/>
      <c r="C685" s="84"/>
      <c r="D685" s="85"/>
      <c r="E685" s="85"/>
      <c r="F685" s="85"/>
      <c r="G685" s="85"/>
      <c r="H685" s="85"/>
      <c r="I685" s="85"/>
      <c r="J685" s="85"/>
      <c r="K685" s="85"/>
      <c r="L685" s="109"/>
      <c r="M685" s="110"/>
      <c r="N685" s="127"/>
      <c r="O685" s="112"/>
      <c r="P685" s="112"/>
      <c r="Q685" s="118"/>
    </row>
    <row r="686" spans="2:17" s="5" customFormat="1" ht="13">
      <c r="B686" s="84"/>
      <c r="C686" s="84"/>
      <c r="D686" s="85"/>
      <c r="E686" s="85"/>
      <c r="F686" s="85"/>
      <c r="G686" s="85"/>
      <c r="H686" s="85"/>
      <c r="I686" s="85"/>
      <c r="J686" s="85"/>
      <c r="K686" s="85"/>
      <c r="L686" s="109"/>
      <c r="M686" s="110"/>
      <c r="N686" s="127"/>
      <c r="O686" s="112"/>
      <c r="P686" s="112"/>
      <c r="Q686" s="118"/>
    </row>
    <row r="687" spans="2:17" s="5" customFormat="1" ht="13">
      <c r="B687" s="84"/>
      <c r="C687" s="84"/>
      <c r="D687" s="85"/>
      <c r="E687" s="85"/>
      <c r="F687" s="85"/>
      <c r="G687" s="85"/>
      <c r="H687" s="85"/>
      <c r="I687" s="85"/>
      <c r="J687" s="85"/>
      <c r="K687" s="85"/>
      <c r="L687" s="109"/>
      <c r="M687" s="110"/>
      <c r="N687" s="127"/>
      <c r="O687" s="112"/>
      <c r="P687" s="112"/>
      <c r="Q687" s="118"/>
    </row>
    <row r="688" spans="2:17" s="5" customFormat="1" ht="13">
      <c r="B688" s="84"/>
      <c r="C688" s="84"/>
      <c r="D688" s="85"/>
      <c r="E688" s="85"/>
      <c r="F688" s="85"/>
      <c r="G688" s="85"/>
      <c r="H688" s="85"/>
      <c r="I688" s="85"/>
      <c r="J688" s="85"/>
      <c r="K688" s="85"/>
      <c r="L688" s="109"/>
      <c r="M688" s="110"/>
      <c r="N688" s="127"/>
      <c r="O688" s="112"/>
      <c r="P688" s="112"/>
      <c r="Q688" s="118"/>
    </row>
    <row r="689" spans="2:17" s="5" customFormat="1" ht="13">
      <c r="B689" s="84"/>
      <c r="C689" s="84"/>
      <c r="D689" s="85"/>
      <c r="E689" s="85"/>
      <c r="F689" s="85"/>
      <c r="G689" s="85"/>
      <c r="H689" s="85"/>
      <c r="I689" s="85"/>
      <c r="J689" s="85"/>
      <c r="K689" s="85"/>
      <c r="L689" s="109"/>
      <c r="M689" s="110"/>
      <c r="N689" s="127"/>
      <c r="O689" s="112"/>
      <c r="P689" s="112"/>
      <c r="Q689" s="118"/>
    </row>
    <row r="690" spans="2:17" s="5" customFormat="1" ht="13">
      <c r="B690" s="84"/>
      <c r="C690" s="84"/>
      <c r="D690" s="85"/>
      <c r="E690" s="85"/>
      <c r="F690" s="85"/>
      <c r="G690" s="85"/>
      <c r="H690" s="85"/>
      <c r="I690" s="85"/>
      <c r="J690" s="85"/>
      <c r="K690" s="85"/>
      <c r="L690" s="109"/>
      <c r="M690" s="110"/>
      <c r="N690" s="127"/>
      <c r="O690" s="112"/>
      <c r="P690" s="112"/>
      <c r="Q690" s="118"/>
    </row>
    <row r="691" spans="2:17" s="5" customFormat="1" ht="13">
      <c r="B691" s="84"/>
      <c r="C691" s="84"/>
      <c r="D691" s="85"/>
      <c r="E691" s="85"/>
      <c r="F691" s="85"/>
      <c r="G691" s="85"/>
      <c r="H691" s="85"/>
      <c r="I691" s="85"/>
      <c r="J691" s="85"/>
      <c r="K691" s="85"/>
      <c r="L691" s="109"/>
      <c r="M691" s="110"/>
      <c r="N691" s="127"/>
      <c r="O691" s="112"/>
      <c r="P691" s="112"/>
      <c r="Q691" s="118"/>
    </row>
    <row r="692" spans="2:17" s="5" customFormat="1" ht="13">
      <c r="B692" s="84"/>
      <c r="C692" s="84"/>
      <c r="D692" s="85"/>
      <c r="E692" s="85"/>
      <c r="F692" s="85"/>
      <c r="G692" s="85"/>
      <c r="H692" s="85"/>
      <c r="I692" s="85"/>
      <c r="J692" s="85"/>
      <c r="K692" s="85"/>
      <c r="L692" s="109"/>
      <c r="M692" s="110"/>
      <c r="N692" s="127"/>
      <c r="O692" s="112"/>
      <c r="P692" s="112"/>
      <c r="Q692" s="118"/>
    </row>
    <row r="693" spans="2:17" s="5" customFormat="1" ht="13">
      <c r="B693" s="84"/>
      <c r="C693" s="84"/>
      <c r="D693" s="85"/>
      <c r="E693" s="85"/>
      <c r="F693" s="85"/>
      <c r="G693" s="85"/>
      <c r="H693" s="85"/>
      <c r="I693" s="85"/>
      <c r="J693" s="85"/>
      <c r="K693" s="85"/>
      <c r="L693" s="109"/>
      <c r="M693" s="110"/>
      <c r="N693" s="127"/>
      <c r="O693" s="112"/>
      <c r="P693" s="112"/>
      <c r="Q693" s="118"/>
    </row>
    <row r="694" spans="2:17" s="5" customFormat="1" ht="13">
      <c r="B694" s="84"/>
      <c r="C694" s="84"/>
      <c r="D694" s="85"/>
      <c r="E694" s="85"/>
      <c r="F694" s="85"/>
      <c r="G694" s="85"/>
      <c r="H694" s="85"/>
      <c r="I694" s="85"/>
      <c r="J694" s="85"/>
      <c r="K694" s="85"/>
      <c r="L694" s="109"/>
      <c r="M694" s="110"/>
      <c r="N694" s="127"/>
      <c r="O694" s="112"/>
      <c r="P694" s="112"/>
      <c r="Q694" s="118"/>
    </row>
    <row r="695" spans="2:17" s="5" customFormat="1" ht="13">
      <c r="B695" s="84"/>
      <c r="C695" s="84"/>
      <c r="D695" s="85"/>
      <c r="E695" s="85"/>
      <c r="F695" s="85"/>
      <c r="G695" s="85"/>
      <c r="H695" s="85"/>
      <c r="I695" s="85"/>
      <c r="J695" s="85"/>
      <c r="K695" s="85"/>
      <c r="L695" s="109"/>
      <c r="M695" s="110"/>
      <c r="N695" s="127"/>
      <c r="O695" s="112"/>
      <c r="P695" s="112"/>
      <c r="Q695" s="118"/>
    </row>
    <row r="696" spans="2:17" s="5" customFormat="1" ht="13">
      <c r="B696" s="84"/>
      <c r="C696" s="84"/>
      <c r="D696" s="85"/>
      <c r="E696" s="85"/>
      <c r="F696" s="85"/>
      <c r="G696" s="85"/>
      <c r="H696" s="85"/>
      <c r="I696" s="85"/>
      <c r="J696" s="85"/>
      <c r="K696" s="85"/>
      <c r="L696" s="109"/>
      <c r="M696" s="110"/>
      <c r="N696" s="127"/>
      <c r="O696" s="112"/>
      <c r="P696" s="112"/>
      <c r="Q696" s="118"/>
    </row>
    <row r="697" spans="2:17" s="5" customFormat="1" ht="13">
      <c r="B697" s="84"/>
      <c r="C697" s="84"/>
      <c r="D697" s="85"/>
      <c r="E697" s="85"/>
      <c r="F697" s="85"/>
      <c r="G697" s="85"/>
      <c r="H697" s="85"/>
      <c r="I697" s="85"/>
      <c r="J697" s="85"/>
      <c r="K697" s="85"/>
      <c r="L697" s="109"/>
      <c r="M697" s="110"/>
      <c r="N697" s="127"/>
      <c r="O697" s="112"/>
      <c r="P697" s="112"/>
      <c r="Q697" s="118"/>
    </row>
    <row r="698" spans="2:17" s="5" customFormat="1" ht="13">
      <c r="B698" s="84"/>
      <c r="C698" s="84"/>
      <c r="D698" s="85"/>
      <c r="E698" s="85"/>
      <c r="F698" s="85"/>
      <c r="G698" s="85"/>
      <c r="H698" s="85"/>
      <c r="I698" s="85"/>
      <c r="J698" s="85"/>
      <c r="K698" s="85"/>
      <c r="L698" s="109"/>
      <c r="M698" s="110"/>
      <c r="N698" s="127"/>
      <c r="O698" s="112"/>
      <c r="P698" s="112"/>
      <c r="Q698" s="118"/>
    </row>
    <row r="699" spans="2:17" s="5" customFormat="1" ht="13">
      <c r="B699" s="84"/>
      <c r="C699" s="84"/>
      <c r="D699" s="85"/>
      <c r="E699" s="85"/>
      <c r="F699" s="85"/>
      <c r="G699" s="85"/>
      <c r="H699" s="85"/>
      <c r="I699" s="85"/>
      <c r="J699" s="85"/>
      <c r="K699" s="85"/>
      <c r="L699" s="109"/>
      <c r="M699" s="110"/>
      <c r="N699" s="127"/>
      <c r="O699" s="112"/>
      <c r="P699" s="112"/>
      <c r="Q699" s="118"/>
    </row>
    <row r="700" spans="2:17" s="5" customFormat="1" ht="13">
      <c r="B700" s="84"/>
      <c r="C700" s="84"/>
      <c r="D700" s="85"/>
      <c r="E700" s="85"/>
      <c r="F700" s="85"/>
      <c r="G700" s="85"/>
      <c r="H700" s="85"/>
      <c r="I700" s="85"/>
      <c r="J700" s="85"/>
      <c r="K700" s="85"/>
      <c r="L700" s="109"/>
      <c r="M700" s="110"/>
      <c r="N700" s="127"/>
      <c r="O700" s="112"/>
      <c r="P700" s="112"/>
      <c r="Q700" s="118"/>
    </row>
    <row r="701" spans="2:17" s="5" customFormat="1" ht="13">
      <c r="B701" s="84"/>
      <c r="C701" s="84"/>
      <c r="D701" s="85"/>
      <c r="E701" s="85"/>
      <c r="F701" s="85"/>
      <c r="G701" s="85"/>
      <c r="H701" s="85"/>
      <c r="I701" s="85"/>
      <c r="J701" s="85"/>
      <c r="K701" s="85"/>
      <c r="L701" s="109"/>
      <c r="M701" s="110"/>
      <c r="N701" s="127"/>
      <c r="O701" s="112"/>
      <c r="P701" s="112"/>
      <c r="Q701" s="118"/>
    </row>
    <row r="702" spans="2:17" s="5" customFormat="1" ht="13">
      <c r="B702" s="84"/>
      <c r="C702" s="84"/>
      <c r="D702" s="85"/>
      <c r="E702" s="85"/>
      <c r="F702" s="85"/>
      <c r="G702" s="85"/>
      <c r="H702" s="85"/>
      <c r="I702" s="85"/>
      <c r="J702" s="85"/>
      <c r="K702" s="85"/>
      <c r="L702" s="109"/>
      <c r="M702" s="110"/>
      <c r="N702" s="127"/>
      <c r="O702" s="112"/>
      <c r="P702" s="112"/>
      <c r="Q702" s="118"/>
    </row>
    <row r="703" spans="2:17" s="5" customFormat="1" ht="13">
      <c r="B703" s="84"/>
      <c r="C703" s="84"/>
      <c r="D703" s="85"/>
      <c r="E703" s="85"/>
      <c r="F703" s="85"/>
      <c r="G703" s="85"/>
      <c r="H703" s="85"/>
      <c r="I703" s="85"/>
      <c r="J703" s="85"/>
      <c r="K703" s="85"/>
      <c r="L703" s="109"/>
      <c r="M703" s="110"/>
      <c r="N703" s="127"/>
      <c r="O703" s="112"/>
      <c r="P703" s="112"/>
      <c r="Q703" s="118"/>
    </row>
    <row r="704" spans="2:17" s="5" customFormat="1" ht="13">
      <c r="B704" s="84"/>
      <c r="C704" s="84"/>
      <c r="D704" s="85"/>
      <c r="E704" s="85"/>
      <c r="F704" s="85"/>
      <c r="G704" s="85"/>
      <c r="H704" s="85"/>
      <c r="I704" s="85"/>
      <c r="J704" s="85"/>
      <c r="K704" s="85"/>
      <c r="L704" s="109"/>
      <c r="M704" s="110"/>
      <c r="N704" s="127"/>
      <c r="O704" s="112"/>
      <c r="P704" s="112"/>
      <c r="Q704" s="118"/>
    </row>
    <row r="705" spans="2:17" s="5" customFormat="1" ht="13">
      <c r="B705" s="84"/>
      <c r="C705" s="84"/>
      <c r="D705" s="85"/>
      <c r="E705" s="85"/>
      <c r="F705" s="85"/>
      <c r="G705" s="85"/>
      <c r="H705" s="85"/>
      <c r="I705" s="85"/>
      <c r="J705" s="85"/>
      <c r="K705" s="85"/>
      <c r="L705" s="109"/>
      <c r="M705" s="110"/>
      <c r="N705" s="127"/>
      <c r="O705" s="112"/>
      <c r="P705" s="112"/>
      <c r="Q705" s="118"/>
    </row>
    <row r="706" spans="2:17" s="5" customFormat="1" ht="13">
      <c r="B706" s="84"/>
      <c r="C706" s="84"/>
      <c r="D706" s="85"/>
      <c r="E706" s="85"/>
      <c r="F706" s="85"/>
      <c r="G706" s="85"/>
      <c r="H706" s="85"/>
      <c r="I706" s="85"/>
      <c r="J706" s="85"/>
      <c r="K706" s="85"/>
      <c r="L706" s="109"/>
      <c r="M706" s="110"/>
      <c r="N706" s="127"/>
      <c r="O706" s="112"/>
      <c r="P706" s="112"/>
      <c r="Q706" s="118"/>
    </row>
    <row r="707" spans="2:17" s="5" customFormat="1" ht="13">
      <c r="B707" s="84"/>
      <c r="C707" s="84"/>
      <c r="D707" s="85"/>
      <c r="E707" s="85"/>
      <c r="F707" s="85"/>
      <c r="G707" s="85"/>
      <c r="H707" s="85"/>
      <c r="I707" s="85"/>
      <c r="J707" s="85"/>
      <c r="K707" s="85"/>
      <c r="L707" s="109"/>
      <c r="M707" s="110"/>
      <c r="N707" s="127"/>
      <c r="O707" s="112"/>
      <c r="P707" s="112"/>
      <c r="Q707" s="118"/>
    </row>
    <row r="708" spans="2:17" s="5" customFormat="1" ht="13">
      <c r="B708" s="84"/>
      <c r="C708" s="84"/>
      <c r="D708" s="85"/>
      <c r="E708" s="85"/>
      <c r="F708" s="85"/>
      <c r="G708" s="85"/>
      <c r="H708" s="85"/>
      <c r="I708" s="85"/>
      <c r="J708" s="85"/>
      <c r="K708" s="85"/>
      <c r="L708" s="109"/>
      <c r="M708" s="110"/>
      <c r="N708" s="127"/>
      <c r="O708" s="112"/>
      <c r="P708" s="112"/>
      <c r="Q708" s="118"/>
    </row>
    <row r="709" spans="2:17" s="5" customFormat="1" ht="13">
      <c r="B709" s="84"/>
      <c r="C709" s="84"/>
      <c r="D709" s="85"/>
      <c r="E709" s="85"/>
      <c r="F709" s="85"/>
      <c r="G709" s="85"/>
      <c r="H709" s="85"/>
      <c r="I709" s="85"/>
      <c r="J709" s="85"/>
      <c r="K709" s="85"/>
      <c r="L709" s="109"/>
      <c r="M709" s="110"/>
      <c r="N709" s="127"/>
      <c r="O709" s="112"/>
      <c r="P709" s="112"/>
      <c r="Q709" s="118"/>
    </row>
    <row r="710" spans="2:17" s="5" customFormat="1" ht="13">
      <c r="B710" s="84"/>
      <c r="C710" s="84"/>
      <c r="D710" s="85"/>
      <c r="E710" s="85"/>
      <c r="F710" s="85"/>
      <c r="G710" s="85"/>
      <c r="H710" s="85"/>
      <c r="I710" s="85"/>
      <c r="J710" s="85"/>
      <c r="K710" s="85"/>
      <c r="L710" s="109"/>
      <c r="M710" s="110"/>
      <c r="N710" s="127"/>
      <c r="O710" s="112"/>
      <c r="P710" s="112"/>
      <c r="Q710" s="118"/>
    </row>
    <row r="711" spans="2:17" s="5" customFormat="1" ht="13">
      <c r="B711" s="84"/>
      <c r="C711" s="84"/>
      <c r="D711" s="85"/>
      <c r="E711" s="85"/>
      <c r="F711" s="85"/>
      <c r="G711" s="85"/>
      <c r="H711" s="85"/>
      <c r="I711" s="85"/>
      <c r="J711" s="85"/>
      <c r="K711" s="85"/>
      <c r="L711" s="109"/>
      <c r="M711" s="110"/>
      <c r="N711" s="127"/>
      <c r="O711" s="112"/>
      <c r="P711" s="112"/>
      <c r="Q711" s="118"/>
    </row>
    <row r="712" spans="2:17" s="5" customFormat="1" ht="13">
      <c r="B712" s="84"/>
      <c r="C712" s="84"/>
      <c r="D712" s="85"/>
      <c r="E712" s="85"/>
      <c r="F712" s="85"/>
      <c r="G712" s="85"/>
      <c r="H712" s="85"/>
      <c r="I712" s="85"/>
      <c r="J712" s="85"/>
      <c r="K712" s="85"/>
      <c r="L712" s="109"/>
      <c r="M712" s="110"/>
      <c r="N712" s="127"/>
      <c r="O712" s="112"/>
      <c r="P712" s="112"/>
      <c r="Q712" s="118"/>
    </row>
    <row r="713" spans="2:17" s="5" customFormat="1" ht="13">
      <c r="B713" s="84"/>
      <c r="C713" s="84"/>
      <c r="D713" s="85"/>
      <c r="E713" s="85"/>
      <c r="F713" s="85"/>
      <c r="G713" s="85"/>
      <c r="H713" s="85"/>
      <c r="I713" s="85"/>
      <c r="J713" s="85"/>
      <c r="K713" s="85"/>
      <c r="L713" s="109"/>
      <c r="M713" s="110"/>
      <c r="N713" s="127"/>
      <c r="O713" s="112"/>
      <c r="P713" s="112"/>
      <c r="Q713" s="118"/>
    </row>
    <row r="714" spans="2:17" s="5" customFormat="1" ht="13">
      <c r="B714" s="84"/>
      <c r="C714" s="84"/>
      <c r="D714" s="85"/>
      <c r="E714" s="85"/>
      <c r="F714" s="85"/>
      <c r="G714" s="85"/>
      <c r="H714" s="85"/>
      <c r="I714" s="85"/>
      <c r="J714" s="85"/>
      <c r="K714" s="85"/>
      <c r="L714" s="109"/>
      <c r="M714" s="110"/>
      <c r="N714" s="127"/>
      <c r="O714" s="112"/>
      <c r="P714" s="112"/>
      <c r="Q714" s="118"/>
    </row>
    <row r="715" spans="2:17" s="5" customFormat="1" ht="13">
      <c r="B715" s="84"/>
      <c r="C715" s="84"/>
      <c r="D715" s="85"/>
      <c r="E715" s="85"/>
      <c r="F715" s="85"/>
      <c r="G715" s="85"/>
      <c r="H715" s="85"/>
      <c r="I715" s="85"/>
      <c r="J715" s="85"/>
      <c r="K715" s="85"/>
      <c r="L715" s="109"/>
      <c r="M715" s="110"/>
      <c r="N715" s="127"/>
      <c r="O715" s="112"/>
      <c r="P715" s="112"/>
      <c r="Q715" s="118"/>
    </row>
    <row r="716" spans="2:17" s="5" customFormat="1" ht="13">
      <c r="B716" s="84"/>
      <c r="C716" s="84"/>
      <c r="D716" s="85"/>
      <c r="E716" s="85"/>
      <c r="F716" s="85"/>
      <c r="G716" s="85"/>
      <c r="H716" s="85"/>
      <c r="I716" s="85"/>
      <c r="J716" s="85"/>
      <c r="K716" s="85"/>
      <c r="L716" s="109"/>
      <c r="M716" s="110"/>
      <c r="N716" s="127"/>
      <c r="O716" s="112"/>
      <c r="P716" s="112"/>
      <c r="Q716" s="118"/>
    </row>
    <row r="717" spans="2:17" s="5" customFormat="1" ht="13">
      <c r="B717" s="84"/>
      <c r="C717" s="84"/>
      <c r="D717" s="85"/>
      <c r="E717" s="85"/>
      <c r="F717" s="85"/>
      <c r="G717" s="85"/>
      <c r="H717" s="85"/>
      <c r="I717" s="85"/>
      <c r="J717" s="85"/>
      <c r="K717" s="85"/>
      <c r="L717" s="109"/>
      <c r="M717" s="110"/>
      <c r="N717" s="127"/>
      <c r="O717" s="112"/>
      <c r="P717" s="112"/>
      <c r="Q717" s="118"/>
    </row>
    <row r="718" spans="2:17" s="5" customFormat="1" ht="13">
      <c r="B718" s="84"/>
      <c r="C718" s="84"/>
      <c r="D718" s="85"/>
      <c r="E718" s="85"/>
      <c r="F718" s="85"/>
      <c r="G718" s="85"/>
      <c r="H718" s="85"/>
      <c r="I718" s="85"/>
      <c r="J718" s="85"/>
      <c r="K718" s="85"/>
      <c r="L718" s="109"/>
      <c r="M718" s="110"/>
      <c r="N718" s="127"/>
      <c r="O718" s="112"/>
      <c r="P718" s="112"/>
      <c r="Q718" s="118"/>
    </row>
    <row r="719" spans="2:17" s="5" customFormat="1" ht="13">
      <c r="B719" s="84"/>
      <c r="C719" s="84"/>
      <c r="D719" s="85"/>
      <c r="E719" s="85"/>
      <c r="F719" s="85"/>
      <c r="G719" s="85"/>
      <c r="H719" s="85"/>
      <c r="I719" s="85"/>
      <c r="J719" s="85"/>
      <c r="K719" s="85"/>
      <c r="L719" s="109"/>
      <c r="M719" s="110"/>
      <c r="N719" s="127"/>
      <c r="O719" s="112"/>
      <c r="P719" s="112"/>
      <c r="Q719" s="118"/>
    </row>
    <row r="720" spans="2:17" s="5" customFormat="1" ht="13">
      <c r="B720" s="84"/>
      <c r="C720" s="84"/>
      <c r="D720" s="85"/>
      <c r="E720" s="85"/>
      <c r="F720" s="85"/>
      <c r="G720" s="85"/>
      <c r="H720" s="85"/>
      <c r="I720" s="85"/>
      <c r="J720" s="85"/>
      <c r="K720" s="85"/>
      <c r="L720" s="109"/>
      <c r="M720" s="110"/>
      <c r="N720" s="127"/>
      <c r="O720" s="112"/>
      <c r="P720" s="112"/>
      <c r="Q720" s="118"/>
    </row>
    <row r="721" spans="2:17" s="5" customFormat="1" ht="13">
      <c r="B721" s="84"/>
      <c r="C721" s="84"/>
      <c r="D721" s="85"/>
      <c r="E721" s="85"/>
      <c r="F721" s="85"/>
      <c r="G721" s="85"/>
      <c r="H721" s="85"/>
      <c r="I721" s="85"/>
      <c r="J721" s="85"/>
      <c r="K721" s="85"/>
      <c r="L721" s="109"/>
      <c r="M721" s="110"/>
      <c r="N721" s="127"/>
      <c r="O721" s="112"/>
      <c r="P721" s="112"/>
      <c r="Q721" s="118"/>
    </row>
    <row r="722" spans="2:17" s="5" customFormat="1" ht="13">
      <c r="B722" s="84"/>
      <c r="C722" s="84"/>
      <c r="D722" s="85"/>
      <c r="E722" s="85"/>
      <c r="F722" s="85"/>
      <c r="G722" s="85"/>
      <c r="H722" s="85"/>
      <c r="I722" s="85"/>
      <c r="J722" s="85"/>
      <c r="K722" s="85"/>
      <c r="L722" s="109"/>
      <c r="M722" s="110"/>
      <c r="N722" s="127"/>
      <c r="O722" s="112"/>
      <c r="P722" s="112"/>
      <c r="Q722" s="118"/>
    </row>
    <row r="723" spans="2:17" s="5" customFormat="1" ht="13">
      <c r="B723" s="84"/>
      <c r="C723" s="84"/>
      <c r="D723" s="85"/>
      <c r="E723" s="85"/>
      <c r="F723" s="85"/>
      <c r="G723" s="85"/>
      <c r="H723" s="85"/>
      <c r="I723" s="85"/>
      <c r="J723" s="85"/>
      <c r="K723" s="85"/>
      <c r="L723" s="109"/>
      <c r="M723" s="110"/>
      <c r="N723" s="127"/>
      <c r="O723" s="112"/>
      <c r="P723" s="112"/>
      <c r="Q723" s="118"/>
    </row>
    <row r="724" spans="2:17" s="5" customFormat="1" ht="13">
      <c r="B724" s="84"/>
      <c r="C724" s="84"/>
      <c r="D724" s="85"/>
      <c r="E724" s="85"/>
      <c r="F724" s="85"/>
      <c r="G724" s="85"/>
      <c r="H724" s="85"/>
      <c r="I724" s="85"/>
      <c r="J724" s="85"/>
      <c r="K724" s="85"/>
      <c r="L724" s="109"/>
      <c r="M724" s="110"/>
      <c r="N724" s="127"/>
      <c r="O724" s="112"/>
      <c r="P724" s="112"/>
      <c r="Q724" s="118"/>
    </row>
    <row r="725" spans="2:17" s="5" customFormat="1" ht="13">
      <c r="B725" s="84"/>
      <c r="C725" s="84"/>
      <c r="D725" s="85"/>
      <c r="E725" s="85"/>
      <c r="F725" s="85"/>
      <c r="G725" s="85"/>
      <c r="H725" s="85"/>
      <c r="I725" s="85"/>
      <c r="J725" s="85"/>
      <c r="K725" s="85"/>
      <c r="L725" s="109"/>
      <c r="M725" s="110"/>
      <c r="N725" s="127"/>
      <c r="O725" s="112"/>
      <c r="P725" s="112"/>
      <c r="Q725" s="118"/>
    </row>
    <row r="726" spans="2:17" s="5" customFormat="1" ht="13">
      <c r="B726" s="84"/>
      <c r="C726" s="84"/>
      <c r="D726" s="85"/>
      <c r="E726" s="85"/>
      <c r="F726" s="85"/>
      <c r="G726" s="85"/>
      <c r="H726" s="85"/>
      <c r="I726" s="85"/>
      <c r="J726" s="85"/>
      <c r="K726" s="85"/>
      <c r="L726" s="109"/>
      <c r="M726" s="110"/>
      <c r="N726" s="127"/>
      <c r="O726" s="112"/>
      <c r="P726" s="112"/>
      <c r="Q726" s="118"/>
    </row>
    <row r="727" spans="2:17" s="5" customFormat="1" ht="13">
      <c r="B727" s="84"/>
      <c r="C727" s="84"/>
      <c r="D727" s="85"/>
      <c r="E727" s="85"/>
      <c r="F727" s="85"/>
      <c r="G727" s="85"/>
      <c r="H727" s="85"/>
      <c r="I727" s="85"/>
      <c r="J727" s="85"/>
      <c r="K727" s="85"/>
      <c r="L727" s="109"/>
      <c r="M727" s="110"/>
      <c r="N727" s="127"/>
      <c r="O727" s="112"/>
      <c r="P727" s="112"/>
      <c r="Q727" s="118"/>
    </row>
    <row r="728" spans="2:17" s="5" customFormat="1" ht="13">
      <c r="B728" s="84"/>
      <c r="C728" s="84"/>
      <c r="D728" s="85"/>
      <c r="E728" s="85"/>
      <c r="F728" s="85"/>
      <c r="G728" s="85"/>
      <c r="H728" s="85"/>
      <c r="I728" s="85"/>
      <c r="J728" s="85"/>
      <c r="K728" s="85"/>
      <c r="L728" s="109"/>
      <c r="M728" s="110"/>
      <c r="N728" s="127"/>
      <c r="O728" s="112"/>
      <c r="P728" s="112"/>
      <c r="Q728" s="118"/>
    </row>
    <row r="729" spans="2:17" s="5" customFormat="1" ht="13">
      <c r="B729" s="84"/>
      <c r="C729" s="84"/>
      <c r="D729" s="85"/>
      <c r="E729" s="85"/>
      <c r="F729" s="85"/>
      <c r="G729" s="85"/>
      <c r="H729" s="85"/>
      <c r="I729" s="85"/>
      <c r="J729" s="85"/>
      <c r="K729" s="85"/>
      <c r="L729" s="109"/>
      <c r="M729" s="110"/>
      <c r="N729" s="127"/>
      <c r="O729" s="112"/>
      <c r="P729" s="112"/>
      <c r="Q729" s="118"/>
    </row>
    <row r="730" spans="2:17" s="5" customFormat="1" ht="13">
      <c r="B730" s="84"/>
      <c r="C730" s="84"/>
      <c r="D730" s="85"/>
      <c r="E730" s="85"/>
      <c r="F730" s="85"/>
      <c r="G730" s="85"/>
      <c r="H730" s="85"/>
      <c r="I730" s="85"/>
      <c r="J730" s="85"/>
      <c r="K730" s="85"/>
      <c r="L730" s="109"/>
      <c r="M730" s="110"/>
      <c r="N730" s="127"/>
      <c r="O730" s="112"/>
      <c r="P730" s="112"/>
      <c r="Q730" s="118"/>
    </row>
    <row r="731" spans="2:17" s="5" customFormat="1" ht="13">
      <c r="B731" s="84"/>
      <c r="C731" s="84"/>
      <c r="D731" s="85"/>
      <c r="E731" s="85"/>
      <c r="F731" s="85"/>
      <c r="G731" s="85"/>
      <c r="H731" s="85"/>
      <c r="I731" s="85"/>
      <c r="J731" s="85"/>
      <c r="K731" s="85"/>
      <c r="L731" s="109"/>
      <c r="M731" s="110"/>
      <c r="N731" s="127"/>
      <c r="O731" s="112"/>
      <c r="P731" s="112"/>
      <c r="Q731" s="118"/>
    </row>
    <row r="732" spans="2:17" s="5" customFormat="1" ht="13">
      <c r="B732" s="84"/>
      <c r="C732" s="84"/>
      <c r="D732" s="85"/>
      <c r="E732" s="85"/>
      <c r="F732" s="85"/>
      <c r="G732" s="85"/>
      <c r="H732" s="85"/>
      <c r="I732" s="85"/>
      <c r="J732" s="85"/>
      <c r="K732" s="85"/>
      <c r="L732" s="109"/>
      <c r="M732" s="110"/>
      <c r="N732" s="127"/>
      <c r="O732" s="112"/>
      <c r="P732" s="112"/>
      <c r="Q732" s="118"/>
    </row>
    <row r="733" spans="2:17" s="5" customFormat="1" ht="13">
      <c r="B733" s="84"/>
      <c r="C733" s="84"/>
      <c r="D733" s="85"/>
      <c r="E733" s="85"/>
      <c r="F733" s="85"/>
      <c r="G733" s="85"/>
      <c r="H733" s="85"/>
      <c r="I733" s="85"/>
      <c r="J733" s="85"/>
      <c r="K733" s="85"/>
      <c r="L733" s="109"/>
      <c r="M733" s="110"/>
      <c r="N733" s="127"/>
      <c r="O733" s="112"/>
      <c r="P733" s="112"/>
      <c r="Q733" s="118"/>
    </row>
    <row r="734" spans="2:17" s="5" customFormat="1" ht="13">
      <c r="B734" s="84"/>
      <c r="C734" s="84"/>
      <c r="D734" s="85"/>
      <c r="E734" s="85"/>
      <c r="F734" s="85"/>
      <c r="G734" s="85"/>
      <c r="H734" s="85"/>
      <c r="I734" s="85"/>
      <c r="J734" s="85"/>
      <c r="K734" s="85"/>
      <c r="L734" s="109"/>
      <c r="M734" s="110"/>
      <c r="N734" s="127"/>
      <c r="O734" s="112"/>
      <c r="P734" s="112"/>
      <c r="Q734" s="118"/>
    </row>
    <row r="735" spans="2:17" s="5" customFormat="1" ht="13">
      <c r="B735" s="84"/>
      <c r="C735" s="84"/>
      <c r="D735" s="85"/>
      <c r="E735" s="85"/>
      <c r="F735" s="85"/>
      <c r="G735" s="85"/>
      <c r="H735" s="85"/>
      <c r="I735" s="85"/>
      <c r="J735" s="85"/>
      <c r="K735" s="85"/>
      <c r="L735" s="109"/>
      <c r="M735" s="110"/>
      <c r="N735" s="127"/>
      <c r="O735" s="112"/>
      <c r="P735" s="112"/>
      <c r="Q735" s="118"/>
    </row>
    <row r="736" spans="2:17" s="5" customFormat="1" ht="13">
      <c r="B736" s="84"/>
      <c r="C736" s="84"/>
      <c r="D736" s="85"/>
      <c r="E736" s="85"/>
      <c r="F736" s="85"/>
      <c r="G736" s="85"/>
      <c r="H736" s="85"/>
      <c r="I736" s="85"/>
      <c r="J736" s="85"/>
      <c r="K736" s="85"/>
      <c r="L736" s="109"/>
      <c r="M736" s="110"/>
      <c r="N736" s="127"/>
      <c r="O736" s="112"/>
      <c r="P736" s="112"/>
      <c r="Q736" s="118"/>
    </row>
    <row r="737" spans="2:17" s="5" customFormat="1" ht="13">
      <c r="B737" s="84"/>
      <c r="C737" s="84"/>
      <c r="D737" s="85"/>
      <c r="E737" s="85"/>
      <c r="F737" s="85"/>
      <c r="G737" s="85"/>
      <c r="H737" s="85"/>
      <c r="I737" s="85"/>
      <c r="J737" s="85"/>
      <c r="K737" s="85"/>
      <c r="L737" s="109"/>
      <c r="M737" s="110"/>
      <c r="N737" s="127"/>
      <c r="O737" s="112"/>
      <c r="P737" s="112"/>
      <c r="Q737" s="118"/>
    </row>
    <row r="738" spans="2:17" s="5" customFormat="1" ht="13">
      <c r="B738" s="84"/>
      <c r="C738" s="84"/>
      <c r="D738" s="85"/>
      <c r="E738" s="85"/>
      <c r="F738" s="85"/>
      <c r="G738" s="85"/>
      <c r="H738" s="85"/>
      <c r="I738" s="85"/>
      <c r="J738" s="85"/>
      <c r="K738" s="85"/>
      <c r="L738" s="109"/>
      <c r="M738" s="110"/>
      <c r="N738" s="127"/>
      <c r="O738" s="112"/>
      <c r="P738" s="112"/>
      <c r="Q738" s="118"/>
    </row>
    <row r="739" spans="2:17" s="5" customFormat="1" ht="13">
      <c r="B739" s="84"/>
      <c r="C739" s="84"/>
      <c r="D739" s="85"/>
      <c r="E739" s="85"/>
      <c r="F739" s="85"/>
      <c r="G739" s="85"/>
      <c r="H739" s="85"/>
      <c r="I739" s="85"/>
      <c r="J739" s="85"/>
      <c r="K739" s="85"/>
      <c r="L739" s="109"/>
      <c r="M739" s="110"/>
      <c r="N739" s="127"/>
      <c r="O739" s="112"/>
      <c r="P739" s="112"/>
      <c r="Q739" s="118"/>
    </row>
    <row r="740" spans="2:17" s="5" customFormat="1" ht="13">
      <c r="B740" s="84"/>
      <c r="C740" s="84"/>
      <c r="D740" s="85"/>
      <c r="E740" s="85"/>
      <c r="F740" s="85"/>
      <c r="G740" s="85"/>
      <c r="H740" s="85"/>
      <c r="I740" s="85"/>
      <c r="J740" s="85"/>
      <c r="K740" s="85"/>
      <c r="L740" s="109"/>
      <c r="M740" s="110"/>
      <c r="N740" s="127"/>
      <c r="O740" s="112"/>
      <c r="P740" s="112"/>
      <c r="Q740" s="118"/>
    </row>
    <row r="741" spans="2:17" s="5" customFormat="1" ht="13">
      <c r="B741" s="84"/>
      <c r="C741" s="84"/>
      <c r="D741" s="85"/>
      <c r="E741" s="85"/>
      <c r="F741" s="85"/>
      <c r="G741" s="85"/>
      <c r="H741" s="85"/>
      <c r="I741" s="85"/>
      <c r="J741" s="85"/>
      <c r="K741" s="85"/>
      <c r="L741" s="109"/>
      <c r="M741" s="110"/>
      <c r="N741" s="127"/>
      <c r="O741" s="112"/>
      <c r="P741" s="112"/>
      <c r="Q741" s="118"/>
    </row>
    <row r="742" spans="2:17" s="5" customFormat="1" ht="13">
      <c r="B742" s="84"/>
      <c r="C742" s="84"/>
      <c r="D742" s="85"/>
      <c r="E742" s="85"/>
      <c r="F742" s="85"/>
      <c r="G742" s="85"/>
      <c r="H742" s="85"/>
      <c r="I742" s="85"/>
      <c r="J742" s="85"/>
      <c r="K742" s="85"/>
      <c r="L742" s="109"/>
      <c r="M742" s="110"/>
      <c r="N742" s="127"/>
      <c r="O742" s="112"/>
      <c r="P742" s="112"/>
      <c r="Q742" s="118"/>
    </row>
    <row r="743" spans="2:17" s="5" customFormat="1" ht="13">
      <c r="B743" s="84"/>
      <c r="C743" s="84"/>
      <c r="D743" s="85"/>
      <c r="E743" s="85"/>
      <c r="F743" s="85"/>
      <c r="G743" s="85"/>
      <c r="H743" s="85"/>
      <c r="I743" s="85"/>
      <c r="J743" s="85"/>
      <c r="K743" s="85"/>
      <c r="L743" s="109"/>
      <c r="M743" s="110"/>
      <c r="N743" s="127"/>
      <c r="O743" s="112"/>
      <c r="P743" s="112"/>
      <c r="Q743" s="118"/>
    </row>
    <row r="744" spans="2:17" s="5" customFormat="1" ht="13">
      <c r="B744" s="84"/>
      <c r="C744" s="84"/>
      <c r="D744" s="85"/>
      <c r="E744" s="85"/>
      <c r="F744" s="85"/>
      <c r="G744" s="85"/>
      <c r="H744" s="85"/>
      <c r="I744" s="85"/>
      <c r="J744" s="85"/>
      <c r="K744" s="85"/>
      <c r="L744" s="109"/>
      <c r="M744" s="110"/>
      <c r="N744" s="127"/>
      <c r="O744" s="112"/>
      <c r="P744" s="112"/>
      <c r="Q744" s="118"/>
    </row>
    <row r="745" spans="2:17" s="5" customFormat="1" ht="13">
      <c r="B745" s="84"/>
      <c r="C745" s="84"/>
      <c r="D745" s="85"/>
      <c r="E745" s="85"/>
      <c r="F745" s="85"/>
      <c r="G745" s="85"/>
      <c r="H745" s="85"/>
      <c r="I745" s="85"/>
      <c r="J745" s="85"/>
      <c r="K745" s="85"/>
      <c r="L745" s="109"/>
      <c r="M745" s="110"/>
      <c r="N745" s="127"/>
      <c r="O745" s="112"/>
      <c r="P745" s="112"/>
      <c r="Q745" s="118"/>
    </row>
    <row r="746" spans="2:17" s="5" customFormat="1" ht="13">
      <c r="B746" s="84"/>
      <c r="C746" s="84"/>
      <c r="D746" s="85"/>
      <c r="E746" s="85"/>
      <c r="F746" s="85"/>
      <c r="G746" s="85"/>
      <c r="H746" s="85"/>
      <c r="I746" s="85"/>
      <c r="J746" s="85"/>
      <c r="K746" s="85"/>
      <c r="L746" s="109"/>
      <c r="M746" s="110"/>
      <c r="N746" s="127"/>
      <c r="O746" s="112"/>
      <c r="P746" s="112"/>
      <c r="Q746" s="118"/>
    </row>
    <row r="747" spans="2:17" s="5" customFormat="1" ht="13">
      <c r="B747" s="84"/>
      <c r="C747" s="84"/>
      <c r="D747" s="85"/>
      <c r="E747" s="85"/>
      <c r="F747" s="85"/>
      <c r="G747" s="85"/>
      <c r="H747" s="85"/>
      <c r="I747" s="85"/>
      <c r="J747" s="85"/>
      <c r="K747" s="85"/>
      <c r="L747" s="109"/>
      <c r="M747" s="110"/>
      <c r="N747" s="127"/>
      <c r="O747" s="112"/>
      <c r="P747" s="112"/>
      <c r="Q747" s="118"/>
    </row>
    <row r="748" spans="2:17" s="5" customFormat="1" ht="13">
      <c r="B748" s="84"/>
      <c r="C748" s="84"/>
      <c r="D748" s="85"/>
      <c r="E748" s="85"/>
      <c r="F748" s="85"/>
      <c r="G748" s="85"/>
      <c r="H748" s="85"/>
      <c r="I748" s="85"/>
      <c r="J748" s="85"/>
      <c r="K748" s="85"/>
      <c r="L748" s="109"/>
      <c r="M748" s="110"/>
      <c r="N748" s="127"/>
      <c r="O748" s="112"/>
      <c r="P748" s="112"/>
      <c r="Q748" s="118"/>
    </row>
    <row r="749" spans="2:17" s="5" customFormat="1" ht="13">
      <c r="B749" s="84"/>
      <c r="C749" s="84"/>
      <c r="D749" s="85"/>
      <c r="E749" s="85"/>
      <c r="F749" s="85"/>
      <c r="G749" s="85"/>
      <c r="H749" s="85"/>
      <c r="I749" s="85"/>
      <c r="J749" s="85"/>
      <c r="K749" s="85"/>
      <c r="L749" s="109"/>
      <c r="M749" s="110"/>
      <c r="N749" s="127"/>
      <c r="O749" s="112"/>
      <c r="P749" s="112"/>
      <c r="Q749" s="118"/>
    </row>
    <row r="750" spans="2:17" s="5" customFormat="1" ht="13">
      <c r="B750" s="84"/>
      <c r="C750" s="84"/>
      <c r="D750" s="85"/>
      <c r="E750" s="85"/>
      <c r="F750" s="85"/>
      <c r="G750" s="85"/>
      <c r="H750" s="85"/>
      <c r="I750" s="85"/>
      <c r="J750" s="85"/>
      <c r="K750" s="85"/>
      <c r="L750" s="109"/>
      <c r="M750" s="110"/>
      <c r="N750" s="127"/>
      <c r="O750" s="112"/>
      <c r="P750" s="112"/>
      <c r="Q750" s="118"/>
    </row>
    <row r="751" spans="2:17" s="5" customFormat="1" ht="13">
      <c r="B751" s="84"/>
      <c r="C751" s="84"/>
      <c r="D751" s="85"/>
      <c r="E751" s="85"/>
      <c r="F751" s="85"/>
      <c r="G751" s="85"/>
      <c r="H751" s="85"/>
      <c r="I751" s="85"/>
      <c r="J751" s="85"/>
      <c r="K751" s="85"/>
      <c r="L751" s="109"/>
      <c r="M751" s="110"/>
      <c r="N751" s="127"/>
      <c r="O751" s="112"/>
      <c r="P751" s="112"/>
      <c r="Q751" s="118"/>
    </row>
    <row r="752" spans="2:17" s="5" customFormat="1" ht="13">
      <c r="B752" s="84"/>
      <c r="C752" s="84"/>
      <c r="D752" s="85"/>
      <c r="E752" s="85"/>
      <c r="F752" s="85"/>
      <c r="G752" s="85"/>
      <c r="H752" s="85"/>
      <c r="I752" s="85"/>
      <c r="J752" s="85"/>
      <c r="K752" s="85"/>
      <c r="L752" s="109"/>
      <c r="M752" s="110"/>
      <c r="N752" s="127"/>
      <c r="O752" s="112"/>
      <c r="P752" s="112"/>
      <c r="Q752" s="118"/>
    </row>
    <row r="753" spans="2:17" s="5" customFormat="1" ht="13">
      <c r="B753" s="84"/>
      <c r="C753" s="84"/>
      <c r="D753" s="85"/>
      <c r="E753" s="85"/>
      <c r="F753" s="85"/>
      <c r="G753" s="85"/>
      <c r="H753" s="85"/>
      <c r="I753" s="85"/>
      <c r="J753" s="85"/>
      <c r="K753" s="85"/>
      <c r="L753" s="109"/>
      <c r="M753" s="110"/>
      <c r="N753" s="127"/>
      <c r="O753" s="112"/>
      <c r="P753" s="112"/>
      <c r="Q753" s="118"/>
    </row>
    <row r="754" spans="2:17" s="5" customFormat="1" ht="13">
      <c r="B754" s="84"/>
      <c r="C754" s="84"/>
      <c r="D754" s="85"/>
      <c r="E754" s="85"/>
      <c r="F754" s="85"/>
      <c r="G754" s="85"/>
      <c r="H754" s="85"/>
      <c r="I754" s="85"/>
      <c r="J754" s="85"/>
      <c r="K754" s="85"/>
      <c r="L754" s="109"/>
      <c r="M754" s="110"/>
      <c r="N754" s="127"/>
      <c r="O754" s="112"/>
      <c r="P754" s="112"/>
      <c r="Q754" s="118"/>
    </row>
    <row r="755" spans="2:17" s="5" customFormat="1" ht="13">
      <c r="B755" s="84"/>
      <c r="C755" s="84"/>
      <c r="D755" s="85"/>
      <c r="E755" s="85"/>
      <c r="F755" s="85"/>
      <c r="G755" s="85"/>
      <c r="H755" s="85"/>
      <c r="I755" s="85"/>
      <c r="J755" s="85"/>
      <c r="K755" s="85"/>
      <c r="L755" s="109"/>
      <c r="M755" s="110"/>
      <c r="N755" s="127"/>
      <c r="O755" s="112"/>
      <c r="P755" s="112"/>
      <c r="Q755" s="118"/>
    </row>
    <row r="756" spans="2:17" s="5" customFormat="1" ht="13">
      <c r="B756" s="84"/>
      <c r="C756" s="84"/>
      <c r="D756" s="85"/>
      <c r="E756" s="85"/>
      <c r="F756" s="85"/>
      <c r="G756" s="85"/>
      <c r="H756" s="85"/>
      <c r="I756" s="85"/>
      <c r="J756" s="85"/>
      <c r="K756" s="85"/>
      <c r="L756" s="109"/>
      <c r="M756" s="110"/>
      <c r="N756" s="127"/>
      <c r="O756" s="112"/>
      <c r="P756" s="112"/>
      <c r="Q756" s="118"/>
    </row>
    <row r="757" spans="2:17" s="5" customFormat="1" ht="13">
      <c r="B757" s="84"/>
      <c r="C757" s="84"/>
      <c r="D757" s="85"/>
      <c r="E757" s="85"/>
      <c r="F757" s="85"/>
      <c r="G757" s="85"/>
      <c r="H757" s="85"/>
      <c r="I757" s="85"/>
      <c r="J757" s="85"/>
      <c r="K757" s="85"/>
      <c r="L757" s="109"/>
      <c r="M757" s="110"/>
      <c r="N757" s="127"/>
      <c r="O757" s="112"/>
      <c r="P757" s="112"/>
      <c r="Q757" s="118"/>
    </row>
    <row r="758" spans="2:17" s="5" customFormat="1" ht="13">
      <c r="B758" s="84"/>
      <c r="C758" s="84"/>
      <c r="D758" s="85"/>
      <c r="E758" s="85"/>
      <c r="F758" s="85"/>
      <c r="G758" s="85"/>
      <c r="H758" s="85"/>
      <c r="I758" s="85"/>
      <c r="J758" s="85"/>
      <c r="K758" s="85"/>
      <c r="L758" s="109"/>
      <c r="M758" s="110"/>
      <c r="N758" s="127"/>
      <c r="O758" s="112"/>
      <c r="P758" s="112"/>
      <c r="Q758" s="118"/>
    </row>
    <row r="759" spans="2:17" s="5" customFormat="1" ht="13">
      <c r="B759" s="84"/>
      <c r="C759" s="84"/>
      <c r="D759" s="85"/>
      <c r="E759" s="85"/>
      <c r="F759" s="85"/>
      <c r="G759" s="85"/>
      <c r="H759" s="85"/>
      <c r="I759" s="85"/>
      <c r="J759" s="85"/>
      <c r="K759" s="85"/>
      <c r="L759" s="109"/>
      <c r="M759" s="110"/>
      <c r="N759" s="127"/>
      <c r="O759" s="112"/>
      <c r="P759" s="112"/>
      <c r="Q759" s="118"/>
    </row>
    <row r="760" spans="2:17" s="5" customFormat="1" ht="13">
      <c r="B760" s="84"/>
      <c r="C760" s="84"/>
      <c r="D760" s="85"/>
      <c r="E760" s="85"/>
      <c r="F760" s="85"/>
      <c r="G760" s="85"/>
      <c r="H760" s="85"/>
      <c r="I760" s="85"/>
      <c r="J760" s="85"/>
      <c r="K760" s="85"/>
      <c r="L760" s="109"/>
      <c r="M760" s="110"/>
      <c r="N760" s="127"/>
      <c r="O760" s="112"/>
      <c r="P760" s="112"/>
      <c r="Q760" s="118"/>
    </row>
    <row r="761" spans="2:17" s="5" customFormat="1" ht="13">
      <c r="B761" s="84"/>
      <c r="C761" s="84"/>
      <c r="D761" s="85"/>
      <c r="E761" s="85"/>
      <c r="F761" s="85"/>
      <c r="G761" s="85"/>
      <c r="H761" s="85"/>
      <c r="I761" s="85"/>
      <c r="J761" s="85"/>
      <c r="K761" s="85"/>
      <c r="L761" s="109"/>
      <c r="M761" s="110"/>
      <c r="N761" s="127"/>
      <c r="O761" s="112"/>
      <c r="P761" s="112"/>
      <c r="Q761" s="118"/>
    </row>
    <row r="762" spans="2:17" s="5" customFormat="1" ht="13">
      <c r="B762" s="84"/>
      <c r="C762" s="84"/>
      <c r="D762" s="85"/>
      <c r="E762" s="85"/>
      <c r="F762" s="85"/>
      <c r="G762" s="85"/>
      <c r="H762" s="85"/>
      <c r="I762" s="85"/>
      <c r="J762" s="85"/>
      <c r="K762" s="85"/>
      <c r="L762" s="109"/>
      <c r="M762" s="110"/>
      <c r="N762" s="127"/>
      <c r="O762" s="112"/>
      <c r="P762" s="112"/>
      <c r="Q762" s="118"/>
    </row>
    <row r="763" spans="2:17" s="5" customFormat="1" ht="13">
      <c r="B763" s="84"/>
      <c r="C763" s="84"/>
      <c r="D763" s="85"/>
      <c r="E763" s="85"/>
      <c r="F763" s="85"/>
      <c r="G763" s="85"/>
      <c r="H763" s="85"/>
      <c r="I763" s="85"/>
      <c r="J763" s="85"/>
      <c r="K763" s="85"/>
      <c r="L763" s="109"/>
      <c r="M763" s="110"/>
      <c r="N763" s="127"/>
      <c r="O763" s="112"/>
      <c r="P763" s="112"/>
      <c r="Q763" s="118"/>
    </row>
    <row r="764" spans="2:17" s="5" customFormat="1" ht="13">
      <c r="B764" s="84"/>
      <c r="C764" s="84"/>
      <c r="D764" s="85"/>
      <c r="E764" s="85"/>
      <c r="F764" s="85"/>
      <c r="G764" s="85"/>
      <c r="H764" s="85"/>
      <c r="I764" s="85"/>
      <c r="J764" s="85"/>
      <c r="K764" s="85"/>
      <c r="L764" s="109"/>
      <c r="M764" s="110"/>
      <c r="N764" s="127"/>
      <c r="O764" s="112"/>
      <c r="P764" s="112"/>
      <c r="Q764" s="118"/>
    </row>
    <row r="765" spans="2:17" s="5" customFormat="1" ht="13">
      <c r="B765" s="84"/>
      <c r="C765" s="84"/>
      <c r="D765" s="85"/>
      <c r="E765" s="85"/>
      <c r="F765" s="85"/>
      <c r="G765" s="85"/>
      <c r="H765" s="85"/>
      <c r="I765" s="85"/>
      <c r="J765" s="85"/>
      <c r="K765" s="85"/>
      <c r="L765" s="109"/>
      <c r="M765" s="110"/>
      <c r="N765" s="127"/>
      <c r="O765" s="112"/>
      <c r="P765" s="112"/>
      <c r="Q765" s="118"/>
    </row>
    <row r="766" spans="2:17" s="5" customFormat="1" ht="13">
      <c r="B766" s="84"/>
      <c r="C766" s="84"/>
      <c r="D766" s="85"/>
      <c r="E766" s="85"/>
      <c r="F766" s="85"/>
      <c r="G766" s="85"/>
      <c r="H766" s="85"/>
      <c r="I766" s="85"/>
      <c r="J766" s="85"/>
      <c r="K766" s="85"/>
      <c r="L766" s="109"/>
      <c r="M766" s="110"/>
      <c r="N766" s="127"/>
      <c r="O766" s="112"/>
      <c r="P766" s="112"/>
      <c r="Q766" s="118"/>
    </row>
    <row r="767" spans="2:17" s="5" customFormat="1" ht="13">
      <c r="B767" s="84"/>
      <c r="C767" s="84"/>
      <c r="D767" s="85"/>
      <c r="E767" s="85"/>
      <c r="F767" s="85"/>
      <c r="G767" s="85"/>
      <c r="H767" s="85"/>
      <c r="I767" s="85"/>
      <c r="J767" s="85"/>
      <c r="K767" s="85"/>
      <c r="L767" s="109"/>
      <c r="M767" s="110"/>
      <c r="N767" s="127"/>
      <c r="O767" s="112"/>
      <c r="P767" s="112"/>
      <c r="Q767" s="118"/>
    </row>
    <row r="768" spans="2:17" s="5" customFormat="1" ht="13">
      <c r="B768" s="84"/>
      <c r="C768" s="84"/>
      <c r="D768" s="85"/>
      <c r="E768" s="85"/>
      <c r="F768" s="85"/>
      <c r="G768" s="85"/>
      <c r="H768" s="85"/>
      <c r="I768" s="85"/>
      <c r="J768" s="85"/>
      <c r="K768" s="85"/>
      <c r="L768" s="109"/>
      <c r="M768" s="110"/>
      <c r="N768" s="127"/>
      <c r="O768" s="112"/>
      <c r="P768" s="112"/>
      <c r="Q768" s="118"/>
    </row>
    <row r="769" spans="2:17" s="5" customFormat="1" ht="13">
      <c r="B769" s="84"/>
      <c r="C769" s="84"/>
      <c r="D769" s="85"/>
      <c r="E769" s="85"/>
      <c r="F769" s="85"/>
      <c r="G769" s="85"/>
      <c r="H769" s="85"/>
      <c r="I769" s="85"/>
      <c r="J769" s="85"/>
      <c r="K769" s="85"/>
      <c r="L769" s="109"/>
      <c r="M769" s="110"/>
      <c r="N769" s="127"/>
      <c r="O769" s="112"/>
      <c r="P769" s="112"/>
      <c r="Q769" s="118"/>
    </row>
    <row r="770" spans="2:17" s="5" customFormat="1" ht="13">
      <c r="B770" s="84"/>
      <c r="C770" s="84"/>
      <c r="D770" s="85"/>
      <c r="E770" s="85"/>
      <c r="F770" s="85"/>
      <c r="G770" s="85"/>
      <c r="H770" s="85"/>
      <c r="I770" s="85"/>
      <c r="J770" s="85"/>
      <c r="K770" s="85"/>
      <c r="L770" s="109"/>
      <c r="M770" s="110"/>
      <c r="N770" s="127"/>
      <c r="O770" s="112"/>
      <c r="P770" s="112"/>
      <c r="Q770" s="118"/>
    </row>
    <row r="771" spans="2:17" s="5" customFormat="1" ht="13">
      <c r="B771" s="84"/>
      <c r="C771" s="84"/>
      <c r="D771" s="85"/>
      <c r="E771" s="85"/>
      <c r="F771" s="85"/>
      <c r="G771" s="85"/>
      <c r="H771" s="85"/>
      <c r="I771" s="85"/>
      <c r="J771" s="85"/>
      <c r="K771" s="85"/>
      <c r="L771" s="109"/>
      <c r="M771" s="110"/>
      <c r="N771" s="127"/>
      <c r="O771" s="112"/>
      <c r="P771" s="112"/>
      <c r="Q771" s="118"/>
    </row>
    <row r="772" spans="2:17" s="5" customFormat="1" ht="13">
      <c r="B772" s="84"/>
      <c r="C772" s="84"/>
      <c r="D772" s="85"/>
      <c r="E772" s="85"/>
      <c r="F772" s="85"/>
      <c r="G772" s="85"/>
      <c r="H772" s="85"/>
      <c r="I772" s="85"/>
      <c r="J772" s="85"/>
      <c r="K772" s="85"/>
      <c r="L772" s="109"/>
      <c r="M772" s="110"/>
      <c r="N772" s="127"/>
      <c r="O772" s="112"/>
      <c r="P772" s="112"/>
      <c r="Q772" s="118"/>
    </row>
    <row r="773" spans="2:17" s="5" customFormat="1" ht="13">
      <c r="B773" s="84"/>
      <c r="C773" s="84"/>
      <c r="D773" s="85"/>
      <c r="E773" s="85"/>
      <c r="F773" s="85"/>
      <c r="G773" s="85"/>
      <c r="H773" s="85"/>
      <c r="I773" s="85"/>
      <c r="J773" s="85"/>
      <c r="K773" s="85"/>
      <c r="L773" s="109"/>
      <c r="M773" s="110"/>
      <c r="N773" s="127"/>
      <c r="O773" s="112"/>
      <c r="P773" s="112"/>
      <c r="Q773" s="118"/>
    </row>
    <row r="774" spans="2:17" s="5" customFormat="1" ht="13">
      <c r="B774" s="84"/>
      <c r="C774" s="84"/>
      <c r="D774" s="85"/>
      <c r="E774" s="85"/>
      <c r="F774" s="85"/>
      <c r="G774" s="85"/>
      <c r="H774" s="85"/>
      <c r="I774" s="85"/>
      <c r="J774" s="85"/>
      <c r="K774" s="85"/>
      <c r="L774" s="109"/>
      <c r="M774" s="110"/>
      <c r="N774" s="127"/>
      <c r="O774" s="112"/>
      <c r="P774" s="112"/>
      <c r="Q774" s="118"/>
    </row>
    <row r="775" spans="2:17" s="5" customFormat="1" ht="13">
      <c r="B775" s="84"/>
      <c r="C775" s="84"/>
      <c r="D775" s="85"/>
      <c r="E775" s="85"/>
      <c r="F775" s="85"/>
      <c r="G775" s="85"/>
      <c r="H775" s="85"/>
      <c r="I775" s="85"/>
      <c r="J775" s="85"/>
      <c r="K775" s="85"/>
      <c r="L775" s="109"/>
      <c r="M775" s="110"/>
      <c r="N775" s="127"/>
      <c r="O775" s="112"/>
      <c r="P775" s="112"/>
      <c r="Q775" s="118"/>
    </row>
    <row r="776" spans="2:17" s="5" customFormat="1" ht="13">
      <c r="B776" s="84"/>
      <c r="C776" s="84"/>
      <c r="D776" s="85"/>
      <c r="E776" s="85"/>
      <c r="F776" s="85"/>
      <c r="G776" s="85"/>
      <c r="H776" s="85"/>
      <c r="I776" s="85"/>
      <c r="J776" s="85"/>
      <c r="K776" s="85"/>
      <c r="L776" s="109"/>
      <c r="M776" s="110"/>
      <c r="N776" s="127"/>
      <c r="O776" s="112"/>
      <c r="P776" s="112"/>
      <c r="Q776" s="118"/>
    </row>
    <row r="777" spans="2:17" s="5" customFormat="1" ht="13">
      <c r="B777" s="84"/>
      <c r="C777" s="84"/>
      <c r="D777" s="85"/>
      <c r="E777" s="85"/>
      <c r="F777" s="85"/>
      <c r="G777" s="85"/>
      <c r="H777" s="85"/>
      <c r="I777" s="85"/>
      <c r="J777" s="85"/>
      <c r="K777" s="85"/>
      <c r="L777" s="109"/>
      <c r="M777" s="110"/>
      <c r="N777" s="127"/>
      <c r="O777" s="112"/>
      <c r="P777" s="112"/>
      <c r="Q777" s="118"/>
    </row>
    <row r="778" spans="2:17" s="5" customFormat="1" ht="13">
      <c r="B778" s="84"/>
      <c r="C778" s="84"/>
      <c r="D778" s="85"/>
      <c r="E778" s="85"/>
      <c r="F778" s="85"/>
      <c r="G778" s="85"/>
      <c r="H778" s="85"/>
      <c r="I778" s="85"/>
      <c r="J778" s="85"/>
      <c r="K778" s="85"/>
      <c r="L778" s="109"/>
      <c r="M778" s="110"/>
      <c r="N778" s="127"/>
      <c r="O778" s="112"/>
      <c r="P778" s="112"/>
      <c r="Q778" s="118"/>
    </row>
    <row r="779" spans="2:17" s="5" customFormat="1" ht="13">
      <c r="B779" s="84"/>
      <c r="C779" s="84"/>
      <c r="D779" s="85"/>
      <c r="E779" s="85"/>
      <c r="F779" s="85"/>
      <c r="G779" s="85"/>
      <c r="H779" s="85"/>
      <c r="I779" s="85"/>
      <c r="J779" s="85"/>
      <c r="K779" s="85"/>
      <c r="L779" s="109"/>
      <c r="M779" s="110"/>
      <c r="N779" s="127"/>
      <c r="O779" s="112"/>
      <c r="P779" s="112"/>
      <c r="Q779" s="118"/>
    </row>
    <row r="780" spans="2:17" s="5" customFormat="1" ht="13">
      <c r="B780" s="84"/>
      <c r="C780" s="84"/>
      <c r="D780" s="85"/>
      <c r="E780" s="85"/>
      <c r="F780" s="85"/>
      <c r="G780" s="85"/>
      <c r="H780" s="85"/>
      <c r="I780" s="85"/>
      <c r="J780" s="85"/>
      <c r="K780" s="85"/>
      <c r="L780" s="109"/>
      <c r="M780" s="110"/>
      <c r="N780" s="127"/>
      <c r="O780" s="112"/>
      <c r="P780" s="112"/>
      <c r="Q780" s="118"/>
    </row>
    <row r="781" spans="2:17" s="5" customFormat="1" ht="13">
      <c r="B781" s="84"/>
      <c r="C781" s="84"/>
      <c r="D781" s="85"/>
      <c r="E781" s="85"/>
      <c r="F781" s="85"/>
      <c r="G781" s="85"/>
      <c r="H781" s="85"/>
      <c r="I781" s="85"/>
      <c r="J781" s="85"/>
      <c r="K781" s="85"/>
      <c r="L781" s="109"/>
      <c r="M781" s="110"/>
      <c r="N781" s="127"/>
      <c r="O781" s="112"/>
      <c r="P781" s="112"/>
      <c r="Q781" s="118"/>
    </row>
    <row r="782" spans="2:17" s="5" customFormat="1" ht="13">
      <c r="B782" s="84"/>
      <c r="C782" s="84"/>
      <c r="D782" s="85"/>
      <c r="E782" s="85"/>
      <c r="F782" s="85"/>
      <c r="G782" s="85"/>
      <c r="H782" s="85"/>
      <c r="I782" s="85"/>
      <c r="J782" s="85"/>
      <c r="K782" s="85"/>
      <c r="L782" s="109"/>
      <c r="M782" s="110"/>
      <c r="N782" s="127"/>
      <c r="O782" s="112"/>
      <c r="P782" s="112"/>
      <c r="Q782" s="118"/>
    </row>
    <row r="783" spans="2:17" s="5" customFormat="1" ht="13">
      <c r="B783" s="84"/>
      <c r="C783" s="84"/>
      <c r="D783" s="85"/>
      <c r="E783" s="85"/>
      <c r="F783" s="85"/>
      <c r="G783" s="85"/>
      <c r="H783" s="85"/>
      <c r="I783" s="85"/>
      <c r="J783" s="85"/>
      <c r="K783" s="85"/>
      <c r="L783" s="109"/>
      <c r="M783" s="110"/>
      <c r="N783" s="127"/>
      <c r="O783" s="112"/>
      <c r="P783" s="112"/>
      <c r="Q783" s="118"/>
    </row>
    <row r="784" spans="2:17" s="5" customFormat="1" ht="13">
      <c r="B784" s="84"/>
      <c r="C784" s="84"/>
      <c r="D784" s="85"/>
      <c r="E784" s="85"/>
      <c r="F784" s="85"/>
      <c r="G784" s="85"/>
      <c r="H784" s="85"/>
      <c r="I784" s="85"/>
      <c r="J784" s="85"/>
      <c r="K784" s="85"/>
      <c r="L784" s="109"/>
      <c r="M784" s="110"/>
      <c r="N784" s="127"/>
      <c r="O784" s="112"/>
      <c r="P784" s="112"/>
      <c r="Q784" s="118"/>
    </row>
    <row r="785" spans="2:17" s="5" customFormat="1" ht="13">
      <c r="B785" s="84"/>
      <c r="C785" s="84"/>
      <c r="D785" s="85"/>
      <c r="E785" s="85"/>
      <c r="F785" s="85"/>
      <c r="G785" s="85"/>
      <c r="H785" s="85"/>
      <c r="I785" s="85"/>
      <c r="J785" s="85"/>
      <c r="K785" s="85"/>
      <c r="L785" s="109"/>
      <c r="M785" s="110"/>
      <c r="N785" s="127"/>
      <c r="O785" s="112"/>
      <c r="P785" s="112"/>
      <c r="Q785" s="118"/>
    </row>
    <row r="786" spans="2:17" s="5" customFormat="1" ht="13">
      <c r="B786" s="84"/>
      <c r="C786" s="84"/>
      <c r="D786" s="85"/>
      <c r="E786" s="85"/>
      <c r="F786" s="85"/>
      <c r="G786" s="85"/>
      <c r="H786" s="85"/>
      <c r="I786" s="85"/>
      <c r="J786" s="85"/>
      <c r="K786" s="85"/>
      <c r="L786" s="109"/>
      <c r="M786" s="110"/>
      <c r="N786" s="127"/>
      <c r="O786" s="112"/>
      <c r="P786" s="112"/>
      <c r="Q786" s="118"/>
    </row>
    <row r="787" spans="2:17" s="5" customFormat="1" ht="13">
      <c r="B787" s="84"/>
      <c r="C787" s="84"/>
      <c r="D787" s="85"/>
      <c r="E787" s="85"/>
      <c r="F787" s="85"/>
      <c r="G787" s="85"/>
      <c r="H787" s="85"/>
      <c r="I787" s="85"/>
      <c r="J787" s="85"/>
      <c r="K787" s="85"/>
      <c r="L787" s="109"/>
      <c r="M787" s="110"/>
      <c r="N787" s="127"/>
      <c r="O787" s="112"/>
      <c r="P787" s="112"/>
      <c r="Q787" s="118"/>
    </row>
    <row r="788" spans="2:17" s="5" customFormat="1" ht="13">
      <c r="B788" s="84"/>
      <c r="C788" s="84"/>
      <c r="D788" s="85"/>
      <c r="E788" s="85"/>
      <c r="F788" s="85"/>
      <c r="G788" s="85"/>
      <c r="H788" s="85"/>
      <c r="I788" s="85"/>
      <c r="J788" s="85"/>
      <c r="K788" s="85"/>
      <c r="L788" s="109"/>
      <c r="M788" s="110"/>
      <c r="N788" s="127"/>
      <c r="O788" s="112"/>
      <c r="P788" s="112"/>
      <c r="Q788" s="118"/>
    </row>
    <row r="789" spans="2:17" s="5" customFormat="1" ht="13">
      <c r="B789" s="84"/>
      <c r="C789" s="84"/>
      <c r="D789" s="85"/>
      <c r="E789" s="85"/>
      <c r="F789" s="85"/>
      <c r="G789" s="85"/>
      <c r="H789" s="85"/>
      <c r="I789" s="85"/>
      <c r="J789" s="85"/>
      <c r="K789" s="85"/>
      <c r="L789" s="109"/>
      <c r="M789" s="110"/>
      <c r="N789" s="127"/>
      <c r="O789" s="112"/>
      <c r="P789" s="112"/>
      <c r="Q789" s="118"/>
    </row>
    <row r="790" spans="2:17" s="5" customFormat="1" ht="13">
      <c r="B790" s="84"/>
      <c r="C790" s="84"/>
      <c r="D790" s="85"/>
      <c r="E790" s="85"/>
      <c r="F790" s="85"/>
      <c r="G790" s="85"/>
      <c r="H790" s="85"/>
      <c r="I790" s="85"/>
      <c r="J790" s="85"/>
      <c r="K790" s="85"/>
      <c r="L790" s="109"/>
      <c r="M790" s="110"/>
      <c r="N790" s="127"/>
      <c r="O790" s="112"/>
      <c r="P790" s="112"/>
      <c r="Q790" s="118"/>
    </row>
    <row r="791" spans="2:17" s="5" customFormat="1" ht="13">
      <c r="B791" s="84"/>
      <c r="C791" s="84"/>
      <c r="D791" s="85"/>
      <c r="E791" s="85"/>
      <c r="F791" s="85"/>
      <c r="G791" s="85"/>
      <c r="H791" s="85"/>
      <c r="I791" s="85"/>
      <c r="J791" s="85"/>
      <c r="K791" s="85"/>
      <c r="L791" s="109"/>
      <c r="M791" s="110"/>
      <c r="N791" s="127"/>
      <c r="O791" s="112"/>
      <c r="P791" s="112"/>
      <c r="Q791" s="118"/>
    </row>
    <row r="792" spans="2:17" s="5" customFormat="1" ht="13">
      <c r="B792" s="84"/>
      <c r="C792" s="84"/>
      <c r="D792" s="85"/>
      <c r="E792" s="85"/>
      <c r="F792" s="85"/>
      <c r="G792" s="85"/>
      <c r="H792" s="85"/>
      <c r="I792" s="85"/>
      <c r="J792" s="85"/>
      <c r="K792" s="85"/>
      <c r="L792" s="109"/>
      <c r="M792" s="110"/>
      <c r="N792" s="127"/>
      <c r="O792" s="112"/>
      <c r="P792" s="112"/>
      <c r="Q792" s="118"/>
    </row>
    <row r="793" spans="2:17" s="5" customFormat="1" ht="13">
      <c r="B793" s="84"/>
      <c r="C793" s="84"/>
      <c r="D793" s="85"/>
      <c r="E793" s="85"/>
      <c r="F793" s="85"/>
      <c r="G793" s="85"/>
      <c r="H793" s="85"/>
      <c r="I793" s="85"/>
      <c r="J793" s="85"/>
      <c r="K793" s="85"/>
      <c r="L793" s="109"/>
      <c r="M793" s="110"/>
      <c r="N793" s="127"/>
      <c r="O793" s="112"/>
      <c r="P793" s="112"/>
      <c r="Q793" s="118"/>
    </row>
    <row r="794" spans="2:17" s="5" customFormat="1" ht="13">
      <c r="B794" s="84"/>
      <c r="C794" s="84"/>
      <c r="D794" s="85"/>
      <c r="E794" s="85"/>
      <c r="F794" s="85"/>
      <c r="G794" s="85"/>
      <c r="H794" s="85"/>
      <c r="I794" s="85"/>
      <c r="J794" s="85"/>
      <c r="K794" s="85"/>
      <c r="L794" s="109"/>
      <c r="M794" s="110"/>
      <c r="N794" s="127"/>
      <c r="O794" s="112"/>
      <c r="P794" s="112"/>
      <c r="Q794" s="118"/>
    </row>
    <row r="795" spans="2:17" s="5" customFormat="1" ht="13">
      <c r="B795" s="84"/>
      <c r="C795" s="84"/>
      <c r="D795" s="85"/>
      <c r="E795" s="85"/>
      <c r="F795" s="85"/>
      <c r="G795" s="85"/>
      <c r="H795" s="85"/>
      <c r="I795" s="85"/>
      <c r="J795" s="85"/>
      <c r="K795" s="85"/>
      <c r="L795" s="109"/>
      <c r="M795" s="110"/>
      <c r="N795" s="127"/>
      <c r="O795" s="112"/>
      <c r="P795" s="112"/>
      <c r="Q795" s="118"/>
    </row>
    <row r="796" spans="2:17" s="5" customFormat="1" ht="13">
      <c r="B796" s="84"/>
      <c r="C796" s="84"/>
      <c r="D796" s="85"/>
      <c r="E796" s="85"/>
      <c r="F796" s="85"/>
      <c r="G796" s="85"/>
      <c r="H796" s="85"/>
      <c r="I796" s="85"/>
      <c r="J796" s="85"/>
      <c r="K796" s="85"/>
      <c r="L796" s="109"/>
      <c r="M796" s="110"/>
      <c r="N796" s="127"/>
      <c r="O796" s="112"/>
      <c r="P796" s="112"/>
      <c r="Q796" s="118"/>
    </row>
    <row r="797" spans="2:17" s="5" customFormat="1" ht="13">
      <c r="B797" s="84"/>
      <c r="C797" s="84"/>
      <c r="D797" s="85"/>
      <c r="E797" s="85"/>
      <c r="F797" s="85"/>
      <c r="G797" s="85"/>
      <c r="H797" s="85"/>
      <c r="I797" s="85"/>
      <c r="J797" s="85"/>
      <c r="K797" s="85"/>
      <c r="L797" s="109"/>
      <c r="M797" s="110"/>
      <c r="N797" s="127"/>
      <c r="O797" s="112"/>
      <c r="P797" s="112"/>
      <c r="Q797" s="118"/>
    </row>
    <row r="798" spans="2:17" s="5" customFormat="1" ht="13">
      <c r="B798" s="84"/>
      <c r="C798" s="84"/>
      <c r="D798" s="85"/>
      <c r="E798" s="85"/>
      <c r="F798" s="85"/>
      <c r="G798" s="85"/>
      <c r="H798" s="85"/>
      <c r="I798" s="85"/>
      <c r="J798" s="85"/>
      <c r="K798" s="85"/>
      <c r="L798" s="109"/>
      <c r="M798" s="110"/>
      <c r="N798" s="127"/>
      <c r="O798" s="112"/>
      <c r="P798" s="112"/>
      <c r="Q798" s="118"/>
    </row>
    <row r="799" spans="2:17" s="5" customFormat="1" ht="13">
      <c r="B799" s="84"/>
      <c r="C799" s="84"/>
      <c r="D799" s="85"/>
      <c r="E799" s="85"/>
      <c r="F799" s="85"/>
      <c r="G799" s="85"/>
      <c r="H799" s="85"/>
      <c r="I799" s="85"/>
      <c r="J799" s="85"/>
      <c r="K799" s="85"/>
      <c r="L799" s="109"/>
      <c r="M799" s="110"/>
      <c r="N799" s="127"/>
      <c r="O799" s="112"/>
      <c r="P799" s="112"/>
      <c r="Q799" s="118"/>
    </row>
    <row r="800" spans="2:17" s="5" customFormat="1" ht="13">
      <c r="B800" s="84"/>
      <c r="C800" s="84"/>
      <c r="D800" s="85"/>
      <c r="E800" s="85"/>
      <c r="F800" s="85"/>
      <c r="G800" s="85"/>
      <c r="H800" s="85"/>
      <c r="I800" s="85"/>
      <c r="J800" s="85"/>
      <c r="K800" s="85"/>
      <c r="L800" s="109"/>
      <c r="M800" s="110"/>
      <c r="N800" s="127"/>
      <c r="O800" s="112"/>
      <c r="P800" s="112"/>
      <c r="Q800" s="118"/>
    </row>
    <row r="801" spans="2:17" s="5" customFormat="1" ht="13">
      <c r="B801" s="84"/>
      <c r="C801" s="84"/>
      <c r="D801" s="85"/>
      <c r="E801" s="85"/>
      <c r="F801" s="85"/>
      <c r="G801" s="85"/>
      <c r="H801" s="85"/>
      <c r="I801" s="85"/>
      <c r="J801" s="85"/>
      <c r="K801" s="85"/>
      <c r="L801" s="109"/>
      <c r="M801" s="110"/>
      <c r="N801" s="127"/>
      <c r="O801" s="112"/>
      <c r="P801" s="112"/>
      <c r="Q801" s="118"/>
    </row>
    <row r="802" spans="2:17" s="5" customFormat="1" ht="13">
      <c r="B802" s="84"/>
      <c r="C802" s="84"/>
      <c r="D802" s="85"/>
      <c r="E802" s="85"/>
      <c r="F802" s="85"/>
      <c r="G802" s="85"/>
      <c r="H802" s="85"/>
      <c r="I802" s="85"/>
      <c r="J802" s="85"/>
      <c r="K802" s="85"/>
      <c r="L802" s="109"/>
      <c r="M802" s="110"/>
      <c r="N802" s="127"/>
      <c r="O802" s="112"/>
      <c r="P802" s="112"/>
      <c r="Q802" s="118"/>
    </row>
    <row r="803" spans="2:17" s="5" customFormat="1" ht="13">
      <c r="B803" s="84"/>
      <c r="C803" s="84"/>
      <c r="D803" s="85"/>
      <c r="E803" s="85"/>
      <c r="F803" s="85"/>
      <c r="G803" s="85"/>
      <c r="H803" s="85"/>
      <c r="I803" s="85"/>
      <c r="J803" s="85"/>
      <c r="K803" s="85"/>
      <c r="L803" s="109"/>
      <c r="M803" s="110"/>
      <c r="N803" s="127"/>
      <c r="O803" s="112"/>
      <c r="P803" s="112"/>
      <c r="Q803" s="118"/>
    </row>
    <row r="804" spans="2:17" s="5" customFormat="1" ht="13">
      <c r="B804" s="84"/>
      <c r="C804" s="84"/>
      <c r="D804" s="85"/>
      <c r="E804" s="85"/>
      <c r="F804" s="85"/>
      <c r="G804" s="85"/>
      <c r="H804" s="85"/>
      <c r="I804" s="85"/>
      <c r="J804" s="85"/>
      <c r="K804" s="85"/>
      <c r="L804" s="109"/>
      <c r="M804" s="110"/>
      <c r="N804" s="127"/>
      <c r="O804" s="112"/>
      <c r="P804" s="112"/>
      <c r="Q804" s="118"/>
    </row>
    <row r="805" spans="2:17" s="5" customFormat="1" ht="13">
      <c r="B805" s="84"/>
      <c r="C805" s="84"/>
      <c r="D805" s="85"/>
      <c r="E805" s="85"/>
      <c r="F805" s="85"/>
      <c r="G805" s="85"/>
      <c r="H805" s="85"/>
      <c r="I805" s="85"/>
      <c r="J805" s="85"/>
      <c r="K805" s="85"/>
      <c r="L805" s="109"/>
      <c r="M805" s="110"/>
      <c r="N805" s="127"/>
      <c r="O805" s="112"/>
      <c r="P805" s="112"/>
      <c r="Q805" s="118"/>
    </row>
    <row r="806" spans="2:17" s="5" customFormat="1" ht="13">
      <c r="B806" s="84"/>
      <c r="C806" s="84"/>
      <c r="D806" s="85"/>
      <c r="E806" s="85"/>
      <c r="F806" s="85"/>
      <c r="G806" s="85"/>
      <c r="H806" s="85"/>
      <c r="I806" s="85"/>
      <c r="J806" s="85"/>
      <c r="K806" s="85"/>
      <c r="L806" s="109"/>
      <c r="M806" s="110"/>
      <c r="N806" s="127"/>
      <c r="O806" s="112"/>
      <c r="P806" s="112"/>
      <c r="Q806" s="118"/>
    </row>
    <row r="807" spans="2:17" s="5" customFormat="1" ht="13">
      <c r="B807" s="84"/>
      <c r="C807" s="84"/>
      <c r="D807" s="85"/>
      <c r="E807" s="85"/>
      <c r="F807" s="85"/>
      <c r="G807" s="85"/>
      <c r="H807" s="85"/>
      <c r="I807" s="85"/>
      <c r="J807" s="85"/>
      <c r="K807" s="85"/>
      <c r="L807" s="109"/>
      <c r="M807" s="110"/>
      <c r="N807" s="127"/>
      <c r="O807" s="112"/>
      <c r="P807" s="112"/>
      <c r="Q807" s="118"/>
    </row>
    <row r="808" spans="2:17" s="5" customFormat="1" ht="13">
      <c r="B808" s="84"/>
      <c r="C808" s="84"/>
      <c r="D808" s="85"/>
      <c r="E808" s="85"/>
      <c r="F808" s="85"/>
      <c r="G808" s="85"/>
      <c r="H808" s="85"/>
      <c r="I808" s="85"/>
      <c r="J808" s="85"/>
      <c r="K808" s="85"/>
      <c r="L808" s="109"/>
      <c r="M808" s="110"/>
      <c r="N808" s="127"/>
      <c r="O808" s="112"/>
      <c r="P808" s="112"/>
      <c r="Q808" s="118"/>
    </row>
    <row r="809" spans="2:17" s="5" customFormat="1" ht="13">
      <c r="B809" s="84"/>
      <c r="C809" s="84"/>
      <c r="D809" s="85"/>
      <c r="E809" s="85"/>
      <c r="F809" s="85"/>
      <c r="G809" s="85"/>
      <c r="H809" s="85"/>
      <c r="I809" s="85"/>
      <c r="J809" s="85"/>
      <c r="K809" s="85"/>
      <c r="L809" s="109"/>
      <c r="M809" s="110"/>
      <c r="N809" s="127"/>
      <c r="O809" s="112"/>
      <c r="P809" s="112"/>
      <c r="Q809" s="118"/>
    </row>
    <row r="810" spans="2:17" s="5" customFormat="1" ht="13">
      <c r="B810" s="84"/>
      <c r="C810" s="84"/>
      <c r="D810" s="85"/>
      <c r="E810" s="85"/>
      <c r="F810" s="85"/>
      <c r="G810" s="85"/>
      <c r="H810" s="85"/>
      <c r="I810" s="85"/>
      <c r="J810" s="85"/>
      <c r="K810" s="85"/>
      <c r="L810" s="109"/>
      <c r="M810" s="110"/>
      <c r="N810" s="127"/>
      <c r="O810" s="112"/>
      <c r="P810" s="112"/>
      <c r="Q810" s="118"/>
    </row>
    <row r="811" spans="2:17" s="5" customFormat="1" ht="13">
      <c r="B811" s="84"/>
      <c r="C811" s="84"/>
      <c r="D811" s="85"/>
      <c r="E811" s="85"/>
      <c r="F811" s="85"/>
      <c r="G811" s="85"/>
      <c r="H811" s="85"/>
      <c r="I811" s="85"/>
      <c r="J811" s="85"/>
      <c r="K811" s="85"/>
      <c r="L811" s="109"/>
      <c r="M811" s="110"/>
      <c r="N811" s="127"/>
      <c r="O811" s="112"/>
      <c r="P811" s="112"/>
      <c r="Q811" s="118"/>
    </row>
    <row r="812" spans="2:17" s="5" customFormat="1" ht="13">
      <c r="B812" s="84"/>
      <c r="C812" s="84"/>
      <c r="D812" s="85"/>
      <c r="E812" s="85"/>
      <c r="F812" s="85"/>
      <c r="G812" s="85"/>
      <c r="H812" s="85"/>
      <c r="I812" s="85"/>
      <c r="J812" s="85"/>
      <c r="K812" s="85"/>
      <c r="L812" s="109"/>
      <c r="M812" s="110"/>
      <c r="N812" s="127"/>
      <c r="O812" s="112"/>
      <c r="P812" s="112"/>
      <c r="Q812" s="118"/>
    </row>
    <row r="813" spans="2:17" s="5" customFormat="1" ht="13">
      <c r="B813" s="84"/>
      <c r="C813" s="84"/>
      <c r="D813" s="85"/>
      <c r="E813" s="85"/>
      <c r="F813" s="85"/>
      <c r="G813" s="85"/>
      <c r="H813" s="85"/>
      <c r="I813" s="85"/>
      <c r="J813" s="85"/>
      <c r="K813" s="85"/>
      <c r="L813" s="109"/>
      <c r="M813" s="110"/>
      <c r="N813" s="127"/>
      <c r="O813" s="112"/>
      <c r="P813" s="112"/>
      <c r="Q813" s="118"/>
    </row>
    <row r="814" spans="2:17" s="5" customFormat="1" ht="13">
      <c r="B814" s="84"/>
      <c r="C814" s="84"/>
      <c r="D814" s="85"/>
      <c r="E814" s="85"/>
      <c r="F814" s="85"/>
      <c r="G814" s="85"/>
      <c r="H814" s="85"/>
      <c r="I814" s="85"/>
      <c r="J814" s="85"/>
      <c r="K814" s="85"/>
      <c r="L814" s="109"/>
      <c r="M814" s="110"/>
      <c r="N814" s="127"/>
      <c r="O814" s="112"/>
      <c r="P814" s="112"/>
      <c r="Q814" s="118"/>
    </row>
    <row r="815" spans="2:17" s="5" customFormat="1" ht="13">
      <c r="B815" s="84"/>
      <c r="C815" s="84"/>
      <c r="D815" s="85"/>
      <c r="E815" s="85"/>
      <c r="F815" s="85"/>
      <c r="G815" s="85"/>
      <c r="H815" s="85"/>
      <c r="I815" s="85"/>
      <c r="J815" s="85"/>
      <c r="K815" s="85"/>
      <c r="L815" s="109"/>
      <c r="M815" s="110"/>
      <c r="N815" s="127"/>
      <c r="O815" s="112"/>
      <c r="P815" s="112"/>
      <c r="Q815" s="118"/>
    </row>
    <row r="816" spans="2:17" s="5" customFormat="1" ht="13">
      <c r="B816" s="84"/>
      <c r="C816" s="84"/>
      <c r="D816" s="85"/>
      <c r="E816" s="85"/>
      <c r="F816" s="85"/>
      <c r="G816" s="85"/>
      <c r="H816" s="85"/>
      <c r="I816" s="85"/>
      <c r="J816" s="85"/>
      <c r="K816" s="85"/>
      <c r="L816" s="109"/>
      <c r="M816" s="110"/>
      <c r="N816" s="127"/>
      <c r="O816" s="112"/>
      <c r="P816" s="112"/>
      <c r="Q816" s="118"/>
    </row>
    <row r="817" spans="2:17" s="5" customFormat="1" ht="13">
      <c r="B817" s="84"/>
      <c r="C817" s="84"/>
      <c r="D817" s="85"/>
      <c r="E817" s="85"/>
      <c r="F817" s="85"/>
      <c r="G817" s="85"/>
      <c r="H817" s="85"/>
      <c r="I817" s="85"/>
      <c r="J817" s="85"/>
      <c r="K817" s="85"/>
      <c r="L817" s="109"/>
      <c r="M817" s="110"/>
      <c r="N817" s="127"/>
      <c r="O817" s="112"/>
      <c r="P817" s="112"/>
      <c r="Q817" s="118"/>
    </row>
    <row r="818" spans="2:17" s="5" customFormat="1" ht="13">
      <c r="B818" s="84"/>
      <c r="C818" s="84"/>
      <c r="D818" s="85"/>
      <c r="E818" s="85"/>
      <c r="F818" s="85"/>
      <c r="G818" s="85"/>
      <c r="H818" s="85"/>
      <c r="I818" s="85"/>
      <c r="J818" s="85"/>
      <c r="K818" s="85"/>
      <c r="L818" s="109"/>
      <c r="M818" s="110"/>
      <c r="N818" s="127"/>
      <c r="O818" s="112"/>
      <c r="P818" s="112"/>
      <c r="Q818" s="118"/>
    </row>
    <row r="819" spans="2:17" s="5" customFormat="1" ht="13">
      <c r="B819" s="84"/>
      <c r="C819" s="84"/>
      <c r="D819" s="85"/>
      <c r="E819" s="85"/>
      <c r="F819" s="85"/>
      <c r="G819" s="85"/>
      <c r="H819" s="85"/>
      <c r="I819" s="85"/>
      <c r="J819" s="85"/>
      <c r="K819" s="85"/>
      <c r="L819" s="109"/>
      <c r="M819" s="110"/>
      <c r="N819" s="127"/>
      <c r="O819" s="112"/>
      <c r="P819" s="112"/>
      <c r="Q819" s="118"/>
    </row>
    <row r="820" spans="2:17" s="5" customFormat="1" ht="13">
      <c r="B820" s="84"/>
      <c r="C820" s="84"/>
      <c r="D820" s="85"/>
      <c r="E820" s="85"/>
      <c r="F820" s="85"/>
      <c r="G820" s="85"/>
      <c r="H820" s="85"/>
      <c r="I820" s="85"/>
      <c r="J820" s="85"/>
      <c r="K820" s="85"/>
      <c r="L820" s="109"/>
      <c r="M820" s="110"/>
      <c r="N820" s="127"/>
      <c r="O820" s="112"/>
      <c r="P820" s="112"/>
      <c r="Q820" s="118"/>
    </row>
    <row r="821" spans="2:17" s="5" customFormat="1" ht="13">
      <c r="B821" s="84"/>
      <c r="C821" s="84"/>
      <c r="D821" s="85"/>
      <c r="E821" s="85"/>
      <c r="F821" s="85"/>
      <c r="G821" s="85"/>
      <c r="H821" s="85"/>
      <c r="I821" s="85"/>
      <c r="J821" s="85"/>
      <c r="K821" s="85"/>
      <c r="L821" s="109"/>
      <c r="M821" s="110"/>
      <c r="N821" s="127"/>
      <c r="O821" s="112"/>
      <c r="P821" s="112"/>
      <c r="Q821" s="118"/>
    </row>
    <row r="822" spans="2:17" s="5" customFormat="1" ht="13">
      <c r="B822" s="84"/>
      <c r="C822" s="84"/>
      <c r="D822" s="85"/>
      <c r="E822" s="85"/>
      <c r="F822" s="85"/>
      <c r="G822" s="85"/>
      <c r="H822" s="85"/>
      <c r="I822" s="85"/>
      <c r="J822" s="85"/>
      <c r="K822" s="85"/>
      <c r="L822" s="109"/>
      <c r="M822" s="110"/>
      <c r="N822" s="127"/>
      <c r="O822" s="112"/>
      <c r="P822" s="112"/>
      <c r="Q822" s="118"/>
    </row>
    <row r="823" spans="2:17" s="5" customFormat="1" ht="13">
      <c r="B823" s="84"/>
      <c r="C823" s="84"/>
      <c r="D823" s="85"/>
      <c r="E823" s="85"/>
      <c r="F823" s="85"/>
      <c r="G823" s="85"/>
      <c r="H823" s="85"/>
      <c r="I823" s="85"/>
      <c r="J823" s="85"/>
      <c r="K823" s="85"/>
      <c r="L823" s="109"/>
      <c r="M823" s="110"/>
      <c r="N823" s="127"/>
      <c r="O823" s="112"/>
      <c r="P823" s="112"/>
      <c r="Q823" s="118"/>
    </row>
    <row r="824" spans="2:17" s="5" customFormat="1" ht="13">
      <c r="B824" s="84"/>
      <c r="C824" s="84"/>
      <c r="D824" s="85"/>
      <c r="E824" s="85"/>
      <c r="F824" s="85"/>
      <c r="G824" s="85"/>
      <c r="H824" s="85"/>
      <c r="I824" s="85"/>
      <c r="J824" s="85"/>
      <c r="K824" s="85"/>
      <c r="L824" s="109"/>
      <c r="M824" s="110"/>
      <c r="N824" s="127"/>
      <c r="O824" s="112"/>
      <c r="P824" s="112"/>
      <c r="Q824" s="118"/>
    </row>
    <row r="825" spans="2:17" s="5" customFormat="1" ht="13">
      <c r="B825" s="84"/>
      <c r="C825" s="84"/>
      <c r="D825" s="85"/>
      <c r="E825" s="85"/>
      <c r="F825" s="85"/>
      <c r="G825" s="85"/>
      <c r="H825" s="85"/>
      <c r="I825" s="85"/>
      <c r="J825" s="85"/>
      <c r="K825" s="85"/>
      <c r="L825" s="109"/>
      <c r="M825" s="110"/>
      <c r="N825" s="127"/>
      <c r="O825" s="112"/>
      <c r="P825" s="112"/>
      <c r="Q825" s="118"/>
    </row>
    <row r="826" spans="2:17" s="5" customFormat="1" ht="13">
      <c r="B826" s="84"/>
      <c r="C826" s="84"/>
      <c r="D826" s="85"/>
      <c r="E826" s="85"/>
      <c r="F826" s="85"/>
      <c r="G826" s="85"/>
      <c r="H826" s="85"/>
      <c r="I826" s="85"/>
      <c r="J826" s="85"/>
      <c r="K826" s="85"/>
      <c r="L826" s="109"/>
      <c r="M826" s="110"/>
      <c r="N826" s="127"/>
      <c r="O826" s="112"/>
      <c r="P826" s="112"/>
      <c r="Q826" s="118"/>
    </row>
    <row r="827" spans="2:17" s="5" customFormat="1" ht="13">
      <c r="B827" s="84"/>
      <c r="C827" s="84"/>
      <c r="D827" s="85"/>
      <c r="E827" s="85"/>
      <c r="F827" s="85"/>
      <c r="G827" s="85"/>
      <c r="H827" s="85"/>
      <c r="I827" s="85"/>
      <c r="J827" s="85"/>
      <c r="K827" s="85"/>
      <c r="L827" s="109"/>
      <c r="M827" s="110"/>
      <c r="N827" s="127"/>
      <c r="O827" s="112"/>
      <c r="P827" s="112"/>
      <c r="Q827" s="118"/>
    </row>
    <row r="828" spans="2:17" s="5" customFormat="1" ht="13">
      <c r="B828" s="84"/>
      <c r="C828" s="84"/>
      <c r="D828" s="85"/>
      <c r="E828" s="85"/>
      <c r="F828" s="85"/>
      <c r="G828" s="85"/>
      <c r="H828" s="85"/>
      <c r="I828" s="85"/>
      <c r="J828" s="85"/>
      <c r="K828" s="85"/>
      <c r="L828" s="109"/>
      <c r="M828" s="110"/>
      <c r="N828" s="127"/>
      <c r="O828" s="112"/>
      <c r="P828" s="112"/>
      <c r="Q828" s="118"/>
    </row>
    <row r="829" spans="2:17" s="5" customFormat="1" ht="13">
      <c r="B829" s="84"/>
      <c r="C829" s="84"/>
      <c r="D829" s="85"/>
      <c r="E829" s="85"/>
      <c r="F829" s="85"/>
      <c r="G829" s="85"/>
      <c r="H829" s="85"/>
      <c r="I829" s="85"/>
      <c r="J829" s="85"/>
      <c r="K829" s="85"/>
      <c r="L829" s="109"/>
      <c r="M829" s="110"/>
      <c r="N829" s="127"/>
      <c r="O829" s="112"/>
      <c r="P829" s="112"/>
      <c r="Q829" s="118"/>
    </row>
    <row r="830" spans="2:17" s="5" customFormat="1" ht="13">
      <c r="B830" s="84"/>
      <c r="C830" s="84"/>
      <c r="D830" s="85"/>
      <c r="E830" s="85"/>
      <c r="F830" s="85"/>
      <c r="G830" s="85"/>
      <c r="H830" s="85"/>
      <c r="I830" s="85"/>
      <c r="J830" s="85"/>
      <c r="K830" s="85"/>
      <c r="L830" s="109"/>
      <c r="M830" s="110"/>
      <c r="N830" s="127"/>
      <c r="O830" s="112"/>
      <c r="P830" s="112"/>
      <c r="Q830" s="118"/>
    </row>
    <row r="831" spans="2:17" s="5" customFormat="1" ht="13">
      <c r="B831" s="84"/>
      <c r="C831" s="84"/>
      <c r="D831" s="85"/>
      <c r="E831" s="85"/>
      <c r="F831" s="85"/>
      <c r="G831" s="85"/>
      <c r="H831" s="85"/>
      <c r="I831" s="85"/>
      <c r="J831" s="85"/>
      <c r="K831" s="85"/>
      <c r="L831" s="109"/>
      <c r="M831" s="110"/>
      <c r="N831" s="127"/>
      <c r="O831" s="112"/>
      <c r="P831" s="112"/>
      <c r="Q831" s="118"/>
    </row>
    <row r="832" spans="2:17" s="5" customFormat="1" ht="13">
      <c r="B832" s="84"/>
      <c r="C832" s="84"/>
      <c r="D832" s="85"/>
      <c r="E832" s="85"/>
      <c r="F832" s="85"/>
      <c r="G832" s="85"/>
      <c r="H832" s="85"/>
      <c r="I832" s="85"/>
      <c r="J832" s="85"/>
      <c r="K832" s="85"/>
      <c r="L832" s="109"/>
      <c r="M832" s="110"/>
      <c r="N832" s="127"/>
      <c r="O832" s="112"/>
      <c r="P832" s="112"/>
      <c r="Q832" s="118"/>
    </row>
    <row r="833" spans="2:17" s="5" customFormat="1" ht="13">
      <c r="B833" s="84"/>
      <c r="C833" s="84"/>
      <c r="D833" s="85"/>
      <c r="E833" s="85"/>
      <c r="F833" s="85"/>
      <c r="G833" s="85"/>
      <c r="H833" s="85"/>
      <c r="I833" s="85"/>
      <c r="J833" s="85"/>
      <c r="K833" s="85"/>
      <c r="L833" s="109"/>
      <c r="M833" s="110"/>
      <c r="N833" s="127"/>
      <c r="O833" s="112"/>
      <c r="P833" s="112"/>
      <c r="Q833" s="118"/>
    </row>
    <row r="834" spans="2:17" s="5" customFormat="1" ht="13">
      <c r="B834" s="84"/>
      <c r="C834" s="84"/>
      <c r="D834" s="85"/>
      <c r="E834" s="85"/>
      <c r="F834" s="85"/>
      <c r="G834" s="85"/>
      <c r="H834" s="85"/>
      <c r="I834" s="85"/>
      <c r="J834" s="85"/>
      <c r="K834" s="85"/>
      <c r="L834" s="109"/>
      <c r="M834" s="110"/>
      <c r="N834" s="127"/>
      <c r="O834" s="112"/>
      <c r="P834" s="112"/>
      <c r="Q834" s="118"/>
    </row>
    <row r="835" spans="2:17" s="5" customFormat="1" ht="13">
      <c r="B835" s="84"/>
      <c r="C835" s="84"/>
      <c r="D835" s="85"/>
      <c r="E835" s="85"/>
      <c r="F835" s="85"/>
      <c r="G835" s="85"/>
      <c r="H835" s="85"/>
      <c r="I835" s="85"/>
      <c r="J835" s="85"/>
      <c r="K835" s="85"/>
      <c r="L835" s="109"/>
      <c r="M835" s="110"/>
      <c r="N835" s="127"/>
      <c r="O835" s="112"/>
      <c r="P835" s="112"/>
      <c r="Q835" s="118"/>
    </row>
    <row r="836" spans="2:17" s="5" customFormat="1" ht="13">
      <c r="B836" s="84"/>
      <c r="C836" s="84"/>
      <c r="D836" s="85"/>
      <c r="E836" s="85"/>
      <c r="F836" s="85"/>
      <c r="G836" s="85"/>
      <c r="H836" s="85"/>
      <c r="I836" s="85"/>
      <c r="J836" s="85"/>
      <c r="K836" s="85"/>
      <c r="L836" s="109"/>
      <c r="M836" s="110"/>
      <c r="N836" s="127"/>
      <c r="O836" s="112"/>
      <c r="P836" s="112"/>
      <c r="Q836" s="118"/>
    </row>
    <row r="837" spans="2:17" s="5" customFormat="1" ht="13">
      <c r="B837" s="84"/>
      <c r="C837" s="84"/>
      <c r="D837" s="85"/>
      <c r="E837" s="85"/>
      <c r="F837" s="85"/>
      <c r="G837" s="85"/>
      <c r="H837" s="85"/>
      <c r="I837" s="85"/>
      <c r="J837" s="85"/>
      <c r="K837" s="85"/>
      <c r="L837" s="109"/>
      <c r="M837" s="110"/>
      <c r="N837" s="127"/>
      <c r="O837" s="112"/>
      <c r="P837" s="112"/>
      <c r="Q837" s="118"/>
    </row>
    <row r="838" spans="2:17" s="5" customFormat="1" ht="13">
      <c r="B838" s="84"/>
      <c r="C838" s="84"/>
      <c r="D838" s="85"/>
      <c r="E838" s="85"/>
      <c r="F838" s="85"/>
      <c r="G838" s="85"/>
      <c r="H838" s="85"/>
      <c r="I838" s="85"/>
      <c r="J838" s="85"/>
      <c r="K838" s="85"/>
      <c r="L838" s="109"/>
      <c r="M838" s="110"/>
      <c r="N838" s="127"/>
      <c r="O838" s="112"/>
      <c r="P838" s="112"/>
      <c r="Q838" s="118"/>
    </row>
    <row r="839" spans="2:17" s="5" customFormat="1" ht="13">
      <c r="B839" s="84"/>
      <c r="C839" s="84"/>
      <c r="D839" s="85"/>
      <c r="E839" s="85"/>
      <c r="F839" s="85"/>
      <c r="G839" s="85"/>
      <c r="H839" s="85"/>
      <c r="I839" s="85"/>
      <c r="J839" s="85"/>
      <c r="K839" s="85"/>
      <c r="L839" s="109"/>
      <c r="M839" s="110"/>
      <c r="N839" s="127"/>
      <c r="O839" s="112"/>
      <c r="P839" s="112"/>
      <c r="Q839" s="118"/>
    </row>
    <row r="840" spans="2:17" s="5" customFormat="1" ht="13">
      <c r="B840" s="84"/>
      <c r="C840" s="84"/>
      <c r="D840" s="85"/>
      <c r="E840" s="85"/>
      <c r="F840" s="85"/>
      <c r="G840" s="85"/>
      <c r="H840" s="85"/>
      <c r="I840" s="85"/>
      <c r="J840" s="85"/>
      <c r="K840" s="85"/>
      <c r="L840" s="109"/>
      <c r="M840" s="110"/>
      <c r="N840" s="127"/>
      <c r="O840" s="112"/>
      <c r="P840" s="112"/>
      <c r="Q840" s="118"/>
    </row>
    <row r="841" spans="2:17" s="5" customFormat="1" ht="13">
      <c r="B841" s="84"/>
      <c r="C841" s="84"/>
      <c r="D841" s="85"/>
      <c r="E841" s="85"/>
      <c r="F841" s="85"/>
      <c r="G841" s="85"/>
      <c r="H841" s="85"/>
      <c r="I841" s="85"/>
      <c r="J841" s="85"/>
      <c r="K841" s="85"/>
      <c r="L841" s="109"/>
      <c r="M841" s="110"/>
      <c r="N841" s="127"/>
      <c r="O841" s="112"/>
      <c r="P841" s="112"/>
      <c r="Q841" s="118"/>
    </row>
    <row r="842" spans="2:17" s="5" customFormat="1" ht="13">
      <c r="B842" s="84"/>
      <c r="C842" s="84"/>
      <c r="D842" s="85"/>
      <c r="E842" s="85"/>
      <c r="F842" s="85"/>
      <c r="G842" s="85"/>
      <c r="H842" s="85"/>
      <c r="I842" s="85"/>
      <c r="J842" s="85"/>
      <c r="K842" s="85"/>
      <c r="L842" s="109"/>
      <c r="M842" s="110"/>
      <c r="N842" s="127"/>
      <c r="O842" s="112"/>
      <c r="P842" s="112"/>
      <c r="Q842" s="118"/>
    </row>
    <row r="843" spans="2:17" s="5" customFormat="1" ht="13">
      <c r="B843" s="84"/>
      <c r="C843" s="84"/>
      <c r="D843" s="85"/>
      <c r="E843" s="85"/>
      <c r="F843" s="85"/>
      <c r="G843" s="85"/>
      <c r="H843" s="85"/>
      <c r="I843" s="85"/>
      <c r="J843" s="85"/>
      <c r="K843" s="85"/>
      <c r="L843" s="109"/>
      <c r="M843" s="110"/>
      <c r="N843" s="127"/>
      <c r="O843" s="112"/>
      <c r="P843" s="112"/>
      <c r="Q843" s="118"/>
    </row>
    <row r="844" spans="2:17" s="5" customFormat="1" ht="13">
      <c r="B844" s="84"/>
      <c r="C844" s="84"/>
      <c r="D844" s="85"/>
      <c r="E844" s="85"/>
      <c r="F844" s="85"/>
      <c r="G844" s="85"/>
      <c r="H844" s="85"/>
      <c r="I844" s="85"/>
      <c r="J844" s="85"/>
      <c r="K844" s="85"/>
      <c r="L844" s="109"/>
      <c r="M844" s="110"/>
      <c r="N844" s="127"/>
      <c r="O844" s="112"/>
      <c r="P844" s="112"/>
      <c r="Q844" s="118"/>
    </row>
    <row r="845" spans="2:17" s="5" customFormat="1" ht="13">
      <c r="B845" s="84"/>
      <c r="C845" s="84"/>
      <c r="D845" s="85"/>
      <c r="E845" s="85"/>
      <c r="F845" s="85"/>
      <c r="G845" s="85"/>
      <c r="H845" s="85"/>
      <c r="I845" s="85"/>
      <c r="J845" s="85"/>
      <c r="K845" s="85"/>
      <c r="L845" s="109"/>
      <c r="M845" s="110"/>
      <c r="N845" s="127"/>
      <c r="O845" s="112"/>
      <c r="P845" s="112"/>
      <c r="Q845" s="118"/>
    </row>
    <row r="846" spans="2:17" s="5" customFormat="1" ht="13">
      <c r="B846" s="84"/>
      <c r="C846" s="84"/>
      <c r="D846" s="85"/>
      <c r="E846" s="85"/>
      <c r="F846" s="85"/>
      <c r="G846" s="85"/>
      <c r="H846" s="85"/>
      <c r="I846" s="85"/>
      <c r="J846" s="85"/>
      <c r="K846" s="85"/>
      <c r="L846" s="109"/>
      <c r="M846" s="110"/>
      <c r="N846" s="127"/>
      <c r="O846" s="112"/>
      <c r="P846" s="112"/>
      <c r="Q846" s="118"/>
    </row>
    <row r="847" spans="2:17" s="5" customFormat="1" ht="13">
      <c r="B847" s="84"/>
      <c r="C847" s="84"/>
      <c r="D847" s="85"/>
      <c r="E847" s="85"/>
      <c r="F847" s="85"/>
      <c r="G847" s="85"/>
      <c r="H847" s="85"/>
      <c r="I847" s="85"/>
      <c r="J847" s="85"/>
      <c r="K847" s="85"/>
      <c r="L847" s="109"/>
      <c r="M847" s="110"/>
      <c r="N847" s="127"/>
      <c r="O847" s="112"/>
      <c r="P847" s="112"/>
      <c r="Q847" s="118"/>
    </row>
    <row r="848" spans="2:17" s="5" customFormat="1" ht="13">
      <c r="B848" s="84"/>
      <c r="C848" s="84"/>
      <c r="D848" s="85"/>
      <c r="E848" s="85"/>
      <c r="F848" s="85"/>
      <c r="G848" s="85"/>
      <c r="H848" s="85"/>
      <c r="I848" s="85"/>
      <c r="J848" s="85"/>
      <c r="K848" s="85"/>
      <c r="L848" s="109"/>
      <c r="M848" s="110"/>
      <c r="N848" s="127"/>
      <c r="O848" s="112"/>
      <c r="P848" s="112"/>
      <c r="Q848" s="118"/>
    </row>
    <row r="849" spans="2:17" s="5" customFormat="1" ht="13">
      <c r="B849" s="84"/>
      <c r="C849" s="84"/>
      <c r="D849" s="85"/>
      <c r="E849" s="85"/>
      <c r="F849" s="85"/>
      <c r="G849" s="85"/>
      <c r="H849" s="85"/>
      <c r="I849" s="85"/>
      <c r="J849" s="85"/>
      <c r="K849" s="85"/>
      <c r="L849" s="109"/>
      <c r="M849" s="110"/>
      <c r="N849" s="127"/>
      <c r="O849" s="112"/>
      <c r="P849" s="112"/>
      <c r="Q849" s="118"/>
    </row>
    <row r="850" spans="2:17" s="5" customFormat="1" ht="13">
      <c r="B850" s="84"/>
      <c r="C850" s="84"/>
      <c r="D850" s="85"/>
      <c r="E850" s="85"/>
      <c r="F850" s="85"/>
      <c r="G850" s="85"/>
      <c r="H850" s="85"/>
      <c r="I850" s="85"/>
      <c r="J850" s="85"/>
      <c r="K850" s="85"/>
      <c r="L850" s="109"/>
      <c r="M850" s="110"/>
      <c r="N850" s="127"/>
      <c r="O850" s="112"/>
      <c r="P850" s="112"/>
      <c r="Q850" s="118"/>
    </row>
    <row r="851" spans="2:17" s="5" customFormat="1" ht="13">
      <c r="B851" s="84"/>
      <c r="C851" s="84"/>
      <c r="D851" s="85"/>
      <c r="E851" s="85"/>
      <c r="F851" s="85"/>
      <c r="G851" s="85"/>
      <c r="H851" s="85"/>
      <c r="I851" s="85"/>
      <c r="J851" s="85"/>
      <c r="K851" s="85"/>
      <c r="L851" s="109"/>
      <c r="M851" s="110"/>
      <c r="N851" s="127"/>
      <c r="O851" s="112"/>
      <c r="P851" s="112"/>
      <c r="Q851" s="118"/>
    </row>
    <row r="852" spans="2:17" s="5" customFormat="1" ht="13">
      <c r="B852" s="84"/>
      <c r="C852" s="84"/>
      <c r="D852" s="85"/>
      <c r="E852" s="85"/>
      <c r="F852" s="85"/>
      <c r="G852" s="85"/>
      <c r="H852" s="85"/>
      <c r="I852" s="85"/>
      <c r="J852" s="85"/>
      <c r="K852" s="85"/>
      <c r="L852" s="109"/>
      <c r="M852" s="110"/>
      <c r="N852" s="127"/>
      <c r="O852" s="112"/>
      <c r="P852" s="112"/>
      <c r="Q852" s="118"/>
    </row>
    <row r="853" spans="2:17" s="5" customFormat="1" ht="13">
      <c r="B853" s="84"/>
      <c r="C853" s="84"/>
      <c r="D853" s="85"/>
      <c r="E853" s="85"/>
      <c r="F853" s="85"/>
      <c r="G853" s="85"/>
      <c r="H853" s="85"/>
      <c r="I853" s="85"/>
      <c r="J853" s="85"/>
      <c r="K853" s="85"/>
      <c r="L853" s="109"/>
      <c r="M853" s="110"/>
      <c r="N853" s="127"/>
      <c r="O853" s="112"/>
      <c r="P853" s="112"/>
      <c r="Q853" s="118"/>
    </row>
    <row r="854" spans="2:17" s="5" customFormat="1" ht="13">
      <c r="B854" s="84"/>
      <c r="C854" s="84"/>
      <c r="D854" s="85"/>
      <c r="E854" s="85"/>
      <c r="F854" s="85"/>
      <c r="G854" s="85"/>
      <c r="H854" s="85"/>
      <c r="I854" s="85"/>
      <c r="J854" s="85"/>
      <c r="K854" s="85"/>
      <c r="L854" s="109"/>
      <c r="M854" s="110"/>
      <c r="N854" s="127"/>
      <c r="O854" s="112"/>
      <c r="P854" s="112"/>
      <c r="Q854" s="118"/>
    </row>
    <row r="855" spans="2:17" s="5" customFormat="1" ht="13">
      <c r="B855" s="84"/>
      <c r="C855" s="84"/>
      <c r="D855" s="85"/>
      <c r="E855" s="85"/>
      <c r="F855" s="85"/>
      <c r="G855" s="85"/>
      <c r="H855" s="85"/>
      <c r="I855" s="85"/>
      <c r="J855" s="85"/>
      <c r="K855" s="85"/>
      <c r="L855" s="109"/>
      <c r="M855" s="110"/>
      <c r="N855" s="127"/>
      <c r="O855" s="112"/>
      <c r="P855" s="112"/>
      <c r="Q855" s="118"/>
    </row>
    <row r="856" spans="2:17" s="5" customFormat="1" ht="13">
      <c r="B856" s="84"/>
      <c r="C856" s="84"/>
      <c r="D856" s="85"/>
      <c r="E856" s="85"/>
      <c r="F856" s="85"/>
      <c r="G856" s="85"/>
      <c r="H856" s="85"/>
      <c r="I856" s="85"/>
      <c r="J856" s="85"/>
      <c r="K856" s="85"/>
      <c r="L856" s="109"/>
      <c r="M856" s="110"/>
      <c r="N856" s="127"/>
      <c r="O856" s="112"/>
      <c r="P856" s="112"/>
      <c r="Q856" s="118"/>
    </row>
    <row r="857" spans="2:17" s="5" customFormat="1" ht="13">
      <c r="B857" s="84"/>
      <c r="C857" s="84"/>
      <c r="D857" s="85"/>
      <c r="E857" s="85"/>
      <c r="F857" s="85"/>
      <c r="G857" s="85"/>
      <c r="H857" s="85"/>
      <c r="I857" s="85"/>
      <c r="J857" s="85"/>
      <c r="K857" s="85"/>
      <c r="L857" s="109"/>
      <c r="M857" s="110"/>
      <c r="N857" s="127"/>
      <c r="O857" s="112"/>
      <c r="P857" s="112"/>
      <c r="Q857" s="118"/>
    </row>
    <row r="858" spans="2:17" s="5" customFormat="1" ht="13">
      <c r="B858" s="84"/>
      <c r="C858" s="84"/>
      <c r="D858" s="85"/>
      <c r="E858" s="85"/>
      <c r="F858" s="85"/>
      <c r="G858" s="85"/>
      <c r="H858" s="85"/>
      <c r="I858" s="85"/>
      <c r="J858" s="85"/>
      <c r="K858" s="85"/>
      <c r="L858" s="109"/>
      <c r="M858" s="110"/>
      <c r="N858" s="127"/>
      <c r="O858" s="112"/>
      <c r="P858" s="112"/>
      <c r="Q858" s="118"/>
    </row>
    <row r="859" spans="2:17" s="5" customFormat="1" ht="13">
      <c r="B859" s="84"/>
      <c r="C859" s="84"/>
      <c r="D859" s="85"/>
      <c r="E859" s="85"/>
      <c r="F859" s="85"/>
      <c r="G859" s="85"/>
      <c r="H859" s="85"/>
      <c r="I859" s="85"/>
      <c r="J859" s="85"/>
      <c r="K859" s="85"/>
      <c r="L859" s="109"/>
      <c r="M859" s="110"/>
      <c r="N859" s="127"/>
      <c r="O859" s="112"/>
      <c r="P859" s="112"/>
      <c r="Q859" s="118"/>
    </row>
    <row r="860" spans="2:17" s="5" customFormat="1" ht="13">
      <c r="B860" s="84"/>
      <c r="C860" s="84"/>
      <c r="D860" s="85"/>
      <c r="E860" s="85"/>
      <c r="F860" s="85"/>
      <c r="G860" s="85"/>
      <c r="H860" s="85"/>
      <c r="I860" s="85"/>
      <c r="J860" s="85"/>
      <c r="K860" s="85"/>
      <c r="L860" s="109"/>
      <c r="M860" s="110"/>
      <c r="N860" s="127"/>
      <c r="O860" s="112"/>
      <c r="P860" s="112"/>
      <c r="Q860" s="118"/>
    </row>
    <row r="861" spans="2:17" s="5" customFormat="1" ht="13">
      <c r="B861" s="84"/>
      <c r="C861" s="84"/>
      <c r="D861" s="85"/>
      <c r="E861" s="85"/>
      <c r="F861" s="85"/>
      <c r="G861" s="85"/>
      <c r="H861" s="85"/>
      <c r="I861" s="85"/>
      <c r="J861" s="85"/>
      <c r="K861" s="85"/>
      <c r="L861" s="109"/>
      <c r="M861" s="110"/>
      <c r="N861" s="127"/>
      <c r="O861" s="112"/>
      <c r="P861" s="112"/>
      <c r="Q861" s="118"/>
    </row>
    <row r="862" spans="2:17" s="5" customFormat="1" ht="13">
      <c r="B862" s="84"/>
      <c r="C862" s="84"/>
      <c r="D862" s="85"/>
      <c r="E862" s="85"/>
      <c r="F862" s="85"/>
      <c r="G862" s="85"/>
      <c r="H862" s="85"/>
      <c r="I862" s="85"/>
      <c r="J862" s="85"/>
      <c r="K862" s="85"/>
      <c r="L862" s="109"/>
      <c r="M862" s="110"/>
      <c r="N862" s="127"/>
      <c r="O862" s="112"/>
      <c r="P862" s="112"/>
      <c r="Q862" s="118"/>
    </row>
    <row r="863" spans="2:17" s="5" customFormat="1" ht="13">
      <c r="B863" s="84"/>
      <c r="C863" s="84"/>
      <c r="D863" s="85"/>
      <c r="E863" s="85"/>
      <c r="F863" s="85"/>
      <c r="G863" s="85"/>
      <c r="H863" s="85"/>
      <c r="I863" s="85"/>
      <c r="J863" s="85"/>
      <c r="K863" s="85"/>
      <c r="L863" s="109"/>
      <c r="M863" s="110"/>
      <c r="N863" s="127"/>
      <c r="O863" s="112"/>
      <c r="P863" s="112"/>
      <c r="Q863" s="118"/>
    </row>
    <row r="864" spans="2:17" s="5" customFormat="1" ht="13">
      <c r="B864" s="84"/>
      <c r="C864" s="84"/>
      <c r="D864" s="85"/>
      <c r="E864" s="85"/>
      <c r="F864" s="85"/>
      <c r="G864" s="85"/>
      <c r="H864" s="85"/>
      <c r="I864" s="85"/>
      <c r="J864" s="85"/>
      <c r="K864" s="85"/>
      <c r="L864" s="109"/>
      <c r="M864" s="110"/>
      <c r="N864" s="127"/>
      <c r="O864" s="112"/>
      <c r="P864" s="112"/>
      <c r="Q864" s="118"/>
    </row>
    <row r="865" spans="2:17" s="5" customFormat="1" ht="13">
      <c r="B865" s="84"/>
      <c r="C865" s="84"/>
      <c r="D865" s="85"/>
      <c r="E865" s="85"/>
      <c r="F865" s="85"/>
      <c r="G865" s="85"/>
      <c r="H865" s="85"/>
      <c r="I865" s="85"/>
      <c r="J865" s="85"/>
      <c r="K865" s="85"/>
      <c r="L865" s="109"/>
      <c r="M865" s="110"/>
      <c r="N865" s="127"/>
      <c r="O865" s="112"/>
      <c r="P865" s="112"/>
      <c r="Q865" s="118"/>
    </row>
    <row r="866" spans="2:17" s="5" customFormat="1" ht="13">
      <c r="B866" s="84"/>
      <c r="C866" s="84"/>
      <c r="D866" s="85"/>
      <c r="E866" s="85"/>
      <c r="F866" s="85"/>
      <c r="G866" s="85"/>
      <c r="H866" s="85"/>
      <c r="I866" s="85"/>
      <c r="J866" s="85"/>
      <c r="K866" s="85"/>
      <c r="L866" s="109"/>
      <c r="M866" s="110"/>
      <c r="N866" s="127"/>
      <c r="O866" s="112"/>
      <c r="P866" s="112"/>
      <c r="Q866" s="118"/>
    </row>
    <row r="867" spans="2:17" s="5" customFormat="1" ht="13">
      <c r="B867" s="84"/>
      <c r="C867" s="84"/>
      <c r="D867" s="85"/>
      <c r="E867" s="85"/>
      <c r="F867" s="85"/>
      <c r="G867" s="85"/>
      <c r="H867" s="85"/>
      <c r="I867" s="85"/>
      <c r="J867" s="85"/>
      <c r="K867" s="85"/>
      <c r="L867" s="109"/>
      <c r="M867" s="110"/>
      <c r="N867" s="127"/>
      <c r="O867" s="112"/>
      <c r="P867" s="112"/>
      <c r="Q867" s="118"/>
    </row>
    <row r="868" spans="2:17" s="5" customFormat="1" ht="13">
      <c r="B868" s="84"/>
      <c r="C868" s="84"/>
      <c r="D868" s="85"/>
      <c r="E868" s="85"/>
      <c r="F868" s="85"/>
      <c r="G868" s="85"/>
      <c r="H868" s="85"/>
      <c r="I868" s="85"/>
      <c r="J868" s="85"/>
      <c r="K868" s="85"/>
      <c r="L868" s="109"/>
      <c r="M868" s="110"/>
      <c r="N868" s="127"/>
      <c r="O868" s="112"/>
      <c r="P868" s="112"/>
      <c r="Q868" s="118"/>
    </row>
    <row r="869" spans="2:17" s="5" customFormat="1" ht="13">
      <c r="B869" s="84"/>
      <c r="C869" s="84"/>
      <c r="D869" s="85"/>
      <c r="E869" s="85"/>
      <c r="F869" s="85"/>
      <c r="G869" s="85"/>
      <c r="H869" s="85"/>
      <c r="I869" s="85"/>
      <c r="J869" s="85"/>
      <c r="K869" s="85"/>
      <c r="L869" s="109"/>
      <c r="M869" s="110"/>
      <c r="N869" s="127"/>
      <c r="O869" s="112"/>
      <c r="P869" s="112"/>
      <c r="Q869" s="118"/>
    </row>
    <row r="870" spans="2:17" s="5" customFormat="1" ht="13">
      <c r="B870" s="84"/>
      <c r="C870" s="84"/>
      <c r="D870" s="85"/>
      <c r="E870" s="85"/>
      <c r="F870" s="85"/>
      <c r="G870" s="85"/>
      <c r="H870" s="85"/>
      <c r="I870" s="85"/>
      <c r="J870" s="85"/>
      <c r="K870" s="85"/>
      <c r="L870" s="109"/>
      <c r="M870" s="110"/>
      <c r="N870" s="127"/>
      <c r="O870" s="112"/>
      <c r="P870" s="112"/>
      <c r="Q870" s="118"/>
    </row>
    <row r="871" spans="2:17" s="5" customFormat="1" ht="13">
      <c r="B871" s="84"/>
      <c r="C871" s="84"/>
      <c r="D871" s="85"/>
      <c r="E871" s="85"/>
      <c r="F871" s="85"/>
      <c r="G871" s="85"/>
      <c r="H871" s="85"/>
      <c r="I871" s="85"/>
      <c r="J871" s="85"/>
      <c r="K871" s="85"/>
      <c r="L871" s="109"/>
      <c r="M871" s="110"/>
      <c r="N871" s="127"/>
      <c r="O871" s="112"/>
      <c r="P871" s="112"/>
      <c r="Q871" s="118"/>
    </row>
    <row r="872" spans="2:17" s="5" customFormat="1" ht="13">
      <c r="B872" s="84"/>
      <c r="C872" s="84"/>
      <c r="D872" s="85"/>
      <c r="E872" s="85"/>
      <c r="F872" s="85"/>
      <c r="G872" s="85"/>
      <c r="H872" s="85"/>
      <c r="I872" s="85"/>
      <c r="J872" s="85"/>
      <c r="K872" s="85"/>
      <c r="L872" s="109"/>
      <c r="M872" s="110"/>
      <c r="N872" s="127"/>
      <c r="O872" s="112"/>
      <c r="P872" s="112"/>
      <c r="Q872" s="118"/>
    </row>
    <row r="873" spans="2:17" s="5" customFormat="1" ht="13">
      <c r="B873" s="84"/>
      <c r="C873" s="84"/>
      <c r="D873" s="85"/>
      <c r="E873" s="85"/>
      <c r="F873" s="85"/>
      <c r="G873" s="85"/>
      <c r="H873" s="85"/>
      <c r="I873" s="85"/>
      <c r="J873" s="85"/>
      <c r="K873" s="85"/>
      <c r="L873" s="109"/>
      <c r="M873" s="110"/>
      <c r="N873" s="127"/>
      <c r="O873" s="112"/>
      <c r="P873" s="112"/>
      <c r="Q873" s="118"/>
    </row>
    <row r="874" spans="2:17" s="5" customFormat="1" ht="13">
      <c r="B874" s="84"/>
      <c r="C874" s="84"/>
      <c r="D874" s="85"/>
      <c r="E874" s="85"/>
      <c r="F874" s="85"/>
      <c r="G874" s="85"/>
      <c r="H874" s="85"/>
      <c r="I874" s="85"/>
      <c r="J874" s="85"/>
      <c r="K874" s="85"/>
      <c r="L874" s="109"/>
      <c r="M874" s="110"/>
      <c r="N874" s="127"/>
      <c r="O874" s="112"/>
      <c r="P874" s="112"/>
      <c r="Q874" s="118"/>
    </row>
    <row r="875" spans="2:17" s="5" customFormat="1" ht="13">
      <c r="B875" s="84"/>
      <c r="C875" s="84"/>
      <c r="D875" s="85"/>
      <c r="E875" s="85"/>
      <c r="F875" s="85"/>
      <c r="G875" s="85"/>
      <c r="H875" s="85"/>
      <c r="I875" s="85"/>
      <c r="J875" s="85"/>
      <c r="K875" s="85"/>
      <c r="L875" s="109"/>
      <c r="M875" s="110"/>
      <c r="N875" s="127"/>
      <c r="O875" s="112"/>
      <c r="P875" s="112"/>
      <c r="Q875" s="118"/>
    </row>
    <row r="876" spans="2:17" s="5" customFormat="1" ht="13">
      <c r="B876" s="84"/>
      <c r="C876" s="84"/>
      <c r="D876" s="85"/>
      <c r="E876" s="85"/>
      <c r="F876" s="85"/>
      <c r="G876" s="85"/>
      <c r="H876" s="85"/>
      <c r="I876" s="85"/>
      <c r="J876" s="85"/>
      <c r="K876" s="85"/>
      <c r="L876" s="109"/>
      <c r="M876" s="110"/>
      <c r="N876" s="127"/>
      <c r="O876" s="112"/>
      <c r="P876" s="112"/>
      <c r="Q876" s="118"/>
    </row>
    <row r="877" spans="2:17" s="5" customFormat="1" ht="13">
      <c r="B877" s="84"/>
      <c r="C877" s="84"/>
      <c r="D877" s="85"/>
      <c r="E877" s="85"/>
      <c r="F877" s="85"/>
      <c r="G877" s="85"/>
      <c r="H877" s="85"/>
      <c r="I877" s="85"/>
      <c r="J877" s="85"/>
      <c r="K877" s="85"/>
      <c r="L877" s="109"/>
      <c r="M877" s="110"/>
      <c r="N877" s="127"/>
      <c r="O877" s="112"/>
      <c r="P877" s="112"/>
      <c r="Q877" s="118"/>
    </row>
    <row r="878" spans="2:17" s="5" customFormat="1" ht="13">
      <c r="B878" s="84"/>
      <c r="C878" s="84"/>
      <c r="D878" s="85"/>
      <c r="E878" s="85"/>
      <c r="F878" s="85"/>
      <c r="G878" s="85"/>
      <c r="H878" s="85"/>
      <c r="I878" s="85"/>
      <c r="J878" s="85"/>
      <c r="K878" s="85"/>
      <c r="L878" s="109"/>
      <c r="M878" s="110"/>
      <c r="N878" s="127"/>
      <c r="O878" s="112"/>
      <c r="P878" s="112"/>
      <c r="Q878" s="118"/>
    </row>
    <row r="879" spans="2:17" s="5" customFormat="1" ht="13">
      <c r="B879" s="84"/>
      <c r="C879" s="84"/>
      <c r="D879" s="85"/>
      <c r="E879" s="85"/>
      <c r="F879" s="85"/>
      <c r="G879" s="85"/>
      <c r="H879" s="85"/>
      <c r="I879" s="85"/>
      <c r="J879" s="85"/>
      <c r="K879" s="85"/>
      <c r="L879" s="109"/>
      <c r="M879" s="110"/>
      <c r="N879" s="127"/>
      <c r="O879" s="112"/>
      <c r="P879" s="112"/>
      <c r="Q879" s="118"/>
    </row>
    <row r="880" spans="2:17" s="5" customFormat="1" ht="13">
      <c r="B880" s="84"/>
      <c r="C880" s="84"/>
      <c r="D880" s="85"/>
      <c r="E880" s="85"/>
      <c r="F880" s="85"/>
      <c r="G880" s="85"/>
      <c r="H880" s="85"/>
      <c r="I880" s="85"/>
      <c r="J880" s="85"/>
      <c r="K880" s="85"/>
      <c r="L880" s="109"/>
      <c r="M880" s="110"/>
      <c r="N880" s="127"/>
      <c r="O880" s="112"/>
      <c r="P880" s="112"/>
      <c r="Q880" s="118"/>
    </row>
    <row r="881" spans="2:17" s="5" customFormat="1" ht="13">
      <c r="B881" s="84"/>
      <c r="C881" s="84"/>
      <c r="D881" s="85"/>
      <c r="E881" s="85"/>
      <c r="F881" s="85"/>
      <c r="G881" s="85"/>
      <c r="H881" s="85"/>
      <c r="I881" s="85"/>
      <c r="J881" s="85"/>
      <c r="K881" s="85"/>
      <c r="L881" s="109"/>
      <c r="M881" s="110"/>
      <c r="N881" s="127"/>
      <c r="O881" s="112"/>
      <c r="P881" s="112"/>
      <c r="Q881" s="118"/>
    </row>
    <row r="882" spans="2:17" s="5" customFormat="1" ht="13">
      <c r="B882" s="84"/>
      <c r="C882" s="84"/>
      <c r="D882" s="85"/>
      <c r="E882" s="85"/>
      <c r="F882" s="85"/>
      <c r="G882" s="85"/>
      <c r="H882" s="85"/>
      <c r="I882" s="85"/>
      <c r="J882" s="85"/>
      <c r="K882" s="85"/>
      <c r="L882" s="109"/>
      <c r="M882" s="110"/>
      <c r="N882" s="127"/>
      <c r="O882" s="112"/>
      <c r="P882" s="112"/>
      <c r="Q882" s="118"/>
    </row>
    <row r="883" spans="2:17" s="5" customFormat="1" ht="13">
      <c r="B883" s="84"/>
      <c r="C883" s="84"/>
      <c r="D883" s="85"/>
      <c r="E883" s="85"/>
      <c r="F883" s="85"/>
      <c r="G883" s="85"/>
      <c r="H883" s="85"/>
      <c r="I883" s="85"/>
      <c r="J883" s="85"/>
      <c r="K883" s="85"/>
      <c r="L883" s="109"/>
      <c r="M883" s="110"/>
      <c r="N883" s="127"/>
      <c r="O883" s="112"/>
      <c r="P883" s="112"/>
      <c r="Q883" s="118"/>
    </row>
    <row r="884" spans="2:17" s="5" customFormat="1" ht="13">
      <c r="B884" s="84"/>
      <c r="C884" s="84"/>
      <c r="D884" s="85"/>
      <c r="E884" s="85"/>
      <c r="F884" s="85"/>
      <c r="G884" s="85"/>
      <c r="H884" s="85"/>
      <c r="I884" s="85"/>
      <c r="J884" s="85"/>
      <c r="K884" s="85"/>
      <c r="L884" s="109"/>
      <c r="M884" s="110"/>
      <c r="N884" s="127"/>
      <c r="O884" s="112"/>
      <c r="P884" s="112"/>
      <c r="Q884" s="118"/>
    </row>
    <row r="885" spans="2:17" s="5" customFormat="1" ht="13">
      <c r="B885" s="84"/>
      <c r="C885" s="84"/>
      <c r="D885" s="85"/>
      <c r="E885" s="85"/>
      <c r="F885" s="85"/>
      <c r="G885" s="85"/>
      <c r="H885" s="85"/>
      <c r="I885" s="85"/>
      <c r="J885" s="85"/>
      <c r="K885" s="85"/>
      <c r="L885" s="109"/>
      <c r="M885" s="110"/>
      <c r="N885" s="127"/>
      <c r="O885" s="112"/>
      <c r="P885" s="112"/>
      <c r="Q885" s="118"/>
    </row>
    <row r="886" spans="2:17" s="5" customFormat="1" ht="13">
      <c r="B886" s="84"/>
      <c r="C886" s="84"/>
      <c r="D886" s="85"/>
      <c r="E886" s="85"/>
      <c r="F886" s="85"/>
      <c r="G886" s="85"/>
      <c r="H886" s="85"/>
      <c r="I886" s="85"/>
      <c r="J886" s="85"/>
      <c r="K886" s="85"/>
      <c r="L886" s="109"/>
      <c r="M886" s="110"/>
      <c r="N886" s="127"/>
      <c r="O886" s="112"/>
      <c r="P886" s="112"/>
      <c r="Q886" s="118"/>
    </row>
    <row r="887" spans="2:17" s="5" customFormat="1" ht="13">
      <c r="B887" s="84"/>
      <c r="C887" s="84"/>
      <c r="D887" s="85"/>
      <c r="E887" s="85"/>
      <c r="F887" s="85"/>
      <c r="G887" s="85"/>
      <c r="H887" s="85"/>
      <c r="I887" s="85"/>
      <c r="J887" s="85"/>
      <c r="K887" s="85"/>
      <c r="L887" s="109"/>
      <c r="M887" s="110"/>
      <c r="N887" s="127"/>
      <c r="O887" s="112"/>
      <c r="P887" s="112"/>
      <c r="Q887" s="118"/>
    </row>
    <row r="888" spans="2:17" s="5" customFormat="1" ht="13">
      <c r="B888" s="84"/>
      <c r="C888" s="84"/>
      <c r="D888" s="85"/>
      <c r="E888" s="85"/>
      <c r="F888" s="85"/>
      <c r="G888" s="85"/>
      <c r="H888" s="85"/>
      <c r="I888" s="85"/>
      <c r="J888" s="85"/>
      <c r="K888" s="85"/>
      <c r="L888" s="109"/>
      <c r="M888" s="110"/>
      <c r="N888" s="127"/>
      <c r="O888" s="112"/>
      <c r="P888" s="112"/>
      <c r="Q888" s="118"/>
    </row>
    <row r="889" spans="2:17" s="5" customFormat="1" ht="13">
      <c r="B889" s="84"/>
      <c r="C889" s="84"/>
      <c r="D889" s="85"/>
      <c r="E889" s="85"/>
      <c r="F889" s="85"/>
      <c r="G889" s="85"/>
      <c r="H889" s="85"/>
      <c r="I889" s="85"/>
      <c r="J889" s="85"/>
      <c r="K889" s="85"/>
      <c r="L889" s="109"/>
      <c r="M889" s="110"/>
      <c r="N889" s="127"/>
      <c r="O889" s="112"/>
      <c r="P889" s="112"/>
      <c r="Q889" s="118"/>
    </row>
    <row r="890" spans="2:17" s="5" customFormat="1" ht="13">
      <c r="B890" s="84"/>
      <c r="C890" s="84"/>
      <c r="D890" s="85"/>
      <c r="E890" s="85"/>
      <c r="F890" s="85"/>
      <c r="G890" s="85"/>
      <c r="H890" s="85"/>
      <c r="I890" s="85"/>
      <c r="J890" s="85"/>
      <c r="K890" s="85"/>
      <c r="L890" s="109"/>
      <c r="M890" s="110"/>
      <c r="N890" s="127"/>
      <c r="O890" s="112"/>
      <c r="P890" s="112"/>
      <c r="Q890" s="118"/>
    </row>
    <row r="891" spans="2:17" s="5" customFormat="1" ht="13">
      <c r="B891" s="84"/>
      <c r="C891" s="84"/>
      <c r="D891" s="85"/>
      <c r="E891" s="85"/>
      <c r="F891" s="85"/>
      <c r="G891" s="85"/>
      <c r="H891" s="85"/>
      <c r="I891" s="85"/>
      <c r="J891" s="85"/>
      <c r="K891" s="85"/>
      <c r="L891" s="109"/>
      <c r="M891" s="110"/>
      <c r="N891" s="127"/>
      <c r="O891" s="112"/>
      <c r="P891" s="112"/>
      <c r="Q891" s="118"/>
    </row>
    <row r="892" spans="2:17" s="5" customFormat="1" ht="13">
      <c r="B892" s="84"/>
      <c r="C892" s="84"/>
      <c r="D892" s="85"/>
      <c r="E892" s="85"/>
      <c r="F892" s="85"/>
      <c r="G892" s="85"/>
      <c r="H892" s="85"/>
      <c r="I892" s="85"/>
      <c r="J892" s="85"/>
      <c r="K892" s="85"/>
      <c r="L892" s="109"/>
      <c r="M892" s="110"/>
      <c r="N892" s="127"/>
      <c r="O892" s="112"/>
      <c r="P892" s="112"/>
      <c r="Q892" s="118"/>
    </row>
    <row r="893" spans="2:17" s="5" customFormat="1" ht="13">
      <c r="B893" s="84"/>
      <c r="C893" s="84"/>
      <c r="D893" s="85"/>
      <c r="E893" s="85"/>
      <c r="F893" s="85"/>
      <c r="G893" s="85"/>
      <c r="H893" s="85"/>
      <c r="I893" s="85"/>
      <c r="J893" s="85"/>
      <c r="K893" s="85"/>
      <c r="L893" s="109"/>
      <c r="M893" s="110"/>
      <c r="N893" s="127"/>
      <c r="O893" s="112"/>
      <c r="P893" s="112"/>
      <c r="Q893" s="118"/>
    </row>
    <row r="894" spans="2:17" s="5" customFormat="1" ht="13">
      <c r="B894" s="84"/>
      <c r="C894" s="84"/>
      <c r="D894" s="85"/>
      <c r="E894" s="85"/>
      <c r="F894" s="85"/>
      <c r="G894" s="85"/>
      <c r="H894" s="85"/>
      <c r="I894" s="85"/>
      <c r="J894" s="85"/>
      <c r="K894" s="85"/>
      <c r="L894" s="109"/>
      <c r="M894" s="110"/>
      <c r="N894" s="127"/>
      <c r="O894" s="112"/>
      <c r="P894" s="112"/>
      <c r="Q894" s="118"/>
    </row>
    <row r="895" spans="2:17" s="5" customFormat="1" ht="13">
      <c r="B895" s="84"/>
      <c r="C895" s="84"/>
      <c r="D895" s="85"/>
      <c r="E895" s="85"/>
      <c r="F895" s="85"/>
      <c r="G895" s="85"/>
      <c r="H895" s="85"/>
      <c r="I895" s="85"/>
      <c r="J895" s="85"/>
      <c r="K895" s="85"/>
      <c r="L895" s="109"/>
      <c r="M895" s="110"/>
      <c r="N895" s="127"/>
      <c r="O895" s="112"/>
      <c r="P895" s="112"/>
      <c r="Q895" s="118"/>
    </row>
    <row r="896" spans="2:17" s="5" customFormat="1" ht="13">
      <c r="B896" s="84"/>
      <c r="C896" s="84"/>
      <c r="D896" s="85"/>
      <c r="E896" s="85"/>
      <c r="F896" s="85"/>
      <c r="G896" s="85"/>
      <c r="H896" s="85"/>
      <c r="I896" s="85"/>
      <c r="J896" s="85"/>
      <c r="K896" s="85"/>
      <c r="L896" s="109"/>
      <c r="M896" s="110"/>
      <c r="N896" s="127"/>
      <c r="O896" s="112"/>
      <c r="P896" s="112"/>
      <c r="Q896" s="118"/>
    </row>
    <row r="897" spans="2:17" s="5" customFormat="1" ht="13">
      <c r="B897" s="84"/>
      <c r="C897" s="84"/>
      <c r="D897" s="85"/>
      <c r="E897" s="85"/>
      <c r="F897" s="85"/>
      <c r="G897" s="85"/>
      <c r="H897" s="85"/>
      <c r="I897" s="85"/>
      <c r="J897" s="85"/>
      <c r="K897" s="85"/>
      <c r="L897" s="109"/>
      <c r="M897" s="110"/>
      <c r="N897" s="127"/>
      <c r="O897" s="112"/>
      <c r="P897" s="112"/>
      <c r="Q897" s="118"/>
    </row>
    <row r="898" spans="2:17" s="5" customFormat="1" ht="13">
      <c r="B898" s="84"/>
      <c r="C898" s="84"/>
      <c r="D898" s="85"/>
      <c r="E898" s="85"/>
      <c r="F898" s="85"/>
      <c r="G898" s="85"/>
      <c r="H898" s="85"/>
      <c r="I898" s="85"/>
      <c r="J898" s="85"/>
      <c r="K898" s="85"/>
      <c r="L898" s="109"/>
      <c r="M898" s="110"/>
      <c r="N898" s="127"/>
      <c r="O898" s="112"/>
      <c r="P898" s="112"/>
      <c r="Q898" s="118"/>
    </row>
    <row r="899" spans="2:17" s="5" customFormat="1" ht="13">
      <c r="B899" s="84"/>
      <c r="C899" s="84"/>
      <c r="D899" s="85"/>
      <c r="E899" s="85"/>
      <c r="F899" s="85"/>
      <c r="G899" s="85"/>
      <c r="H899" s="85"/>
      <c r="I899" s="85"/>
      <c r="J899" s="85"/>
      <c r="K899" s="85"/>
      <c r="L899" s="109"/>
      <c r="M899" s="110"/>
      <c r="N899" s="127"/>
      <c r="O899" s="112"/>
      <c r="P899" s="112"/>
      <c r="Q899" s="118"/>
    </row>
    <row r="900" spans="2:17" s="5" customFormat="1" ht="13">
      <c r="B900" s="84"/>
      <c r="C900" s="84"/>
      <c r="D900" s="85"/>
      <c r="E900" s="85"/>
      <c r="F900" s="85"/>
      <c r="G900" s="85"/>
      <c r="H900" s="85"/>
      <c r="I900" s="85"/>
      <c r="J900" s="85"/>
      <c r="K900" s="85"/>
      <c r="L900" s="109"/>
      <c r="M900" s="110"/>
      <c r="N900" s="127"/>
      <c r="O900" s="112"/>
      <c r="P900" s="112"/>
      <c r="Q900" s="118"/>
    </row>
    <row r="901" spans="2:17" s="5" customFormat="1" ht="13">
      <c r="B901" s="84"/>
      <c r="C901" s="84"/>
      <c r="D901" s="85"/>
      <c r="E901" s="85"/>
      <c r="F901" s="85"/>
      <c r="G901" s="85"/>
      <c r="H901" s="85"/>
      <c r="I901" s="85"/>
      <c r="J901" s="85"/>
      <c r="K901" s="85"/>
      <c r="L901" s="109"/>
      <c r="M901" s="110"/>
      <c r="N901" s="127"/>
      <c r="O901" s="112"/>
      <c r="P901" s="112"/>
      <c r="Q901" s="118"/>
    </row>
    <row r="902" spans="2:17" s="5" customFormat="1" ht="13">
      <c r="B902" s="84"/>
      <c r="C902" s="84"/>
      <c r="D902" s="85"/>
      <c r="E902" s="85"/>
      <c r="F902" s="85"/>
      <c r="G902" s="85"/>
      <c r="H902" s="85"/>
      <c r="I902" s="85"/>
      <c r="J902" s="85"/>
      <c r="K902" s="85"/>
      <c r="L902" s="109"/>
      <c r="M902" s="110"/>
      <c r="N902" s="127"/>
      <c r="O902" s="112"/>
      <c r="P902" s="112"/>
      <c r="Q902" s="118"/>
    </row>
    <row r="903" spans="2:17" s="5" customFormat="1" ht="13">
      <c r="B903" s="84"/>
      <c r="C903" s="84"/>
      <c r="D903" s="85"/>
      <c r="E903" s="85"/>
      <c r="F903" s="85"/>
      <c r="G903" s="85"/>
      <c r="H903" s="85"/>
      <c r="I903" s="85"/>
      <c r="J903" s="85"/>
      <c r="K903" s="85"/>
      <c r="L903" s="109"/>
      <c r="M903" s="110"/>
      <c r="N903" s="127"/>
      <c r="O903" s="112"/>
      <c r="P903" s="112"/>
      <c r="Q903" s="118"/>
    </row>
    <row r="904" spans="2:17" s="5" customFormat="1" ht="13">
      <c r="B904" s="84"/>
      <c r="C904" s="84"/>
      <c r="D904" s="85"/>
      <c r="E904" s="85"/>
      <c r="F904" s="85"/>
      <c r="G904" s="85"/>
      <c r="H904" s="85"/>
      <c r="I904" s="85"/>
      <c r="J904" s="85"/>
      <c r="K904" s="85"/>
      <c r="L904" s="109"/>
      <c r="M904" s="110"/>
      <c r="N904" s="127"/>
      <c r="O904" s="112"/>
      <c r="P904" s="112"/>
      <c r="Q904" s="118"/>
    </row>
    <row r="905" spans="2:17" s="5" customFormat="1" ht="13">
      <c r="B905" s="84"/>
      <c r="C905" s="84"/>
      <c r="D905" s="85"/>
      <c r="E905" s="85"/>
      <c r="F905" s="85"/>
      <c r="G905" s="85"/>
      <c r="H905" s="85"/>
      <c r="I905" s="85"/>
      <c r="J905" s="85"/>
      <c r="K905" s="85"/>
      <c r="L905" s="109"/>
      <c r="M905" s="110"/>
      <c r="N905" s="127"/>
      <c r="O905" s="112"/>
      <c r="P905" s="112"/>
      <c r="Q905" s="118"/>
    </row>
    <row r="906" spans="2:17" s="5" customFormat="1" ht="13">
      <c r="B906" s="84"/>
      <c r="C906" s="84"/>
      <c r="D906" s="85"/>
      <c r="E906" s="85"/>
      <c r="F906" s="85"/>
      <c r="G906" s="85"/>
      <c r="H906" s="85"/>
      <c r="I906" s="85"/>
      <c r="J906" s="85"/>
      <c r="K906" s="85"/>
      <c r="L906" s="109"/>
      <c r="M906" s="110"/>
      <c r="N906" s="127"/>
      <c r="O906" s="112"/>
      <c r="P906" s="112"/>
      <c r="Q906" s="118"/>
    </row>
    <row r="907" spans="2:17" s="5" customFormat="1" ht="13">
      <c r="B907" s="84"/>
      <c r="C907" s="84"/>
      <c r="D907" s="85"/>
      <c r="E907" s="85"/>
      <c r="F907" s="85"/>
      <c r="G907" s="85"/>
      <c r="H907" s="85"/>
      <c r="I907" s="85"/>
      <c r="J907" s="85"/>
      <c r="K907" s="85"/>
      <c r="L907" s="109"/>
      <c r="M907" s="110"/>
      <c r="N907" s="127"/>
      <c r="O907" s="112"/>
      <c r="P907" s="112"/>
      <c r="Q907" s="118"/>
    </row>
    <row r="908" spans="2:17" s="5" customFormat="1" ht="13">
      <c r="B908" s="84"/>
      <c r="C908" s="84"/>
      <c r="D908" s="85"/>
      <c r="E908" s="85"/>
      <c r="F908" s="85"/>
      <c r="G908" s="85"/>
      <c r="H908" s="85"/>
      <c r="I908" s="85"/>
      <c r="J908" s="85"/>
      <c r="K908" s="85"/>
      <c r="L908" s="109"/>
      <c r="M908" s="110"/>
      <c r="N908" s="127"/>
      <c r="O908" s="112"/>
      <c r="P908" s="112"/>
      <c r="Q908" s="118"/>
    </row>
    <row r="909" spans="2:17" s="5" customFormat="1" ht="13">
      <c r="B909" s="84"/>
      <c r="C909" s="84"/>
      <c r="D909" s="85"/>
      <c r="E909" s="85"/>
      <c r="F909" s="85"/>
      <c r="G909" s="85"/>
      <c r="H909" s="85"/>
      <c r="I909" s="85"/>
      <c r="J909" s="85"/>
      <c r="K909" s="85"/>
      <c r="L909" s="109"/>
      <c r="M909" s="110"/>
      <c r="N909" s="127"/>
      <c r="O909" s="112"/>
      <c r="P909" s="112"/>
      <c r="Q909" s="118"/>
    </row>
    <row r="910" spans="2:17" s="5" customFormat="1" ht="13">
      <c r="B910" s="84"/>
      <c r="C910" s="84"/>
      <c r="D910" s="85"/>
      <c r="E910" s="85"/>
      <c r="F910" s="85"/>
      <c r="G910" s="85"/>
      <c r="H910" s="85"/>
      <c r="I910" s="85"/>
      <c r="J910" s="85"/>
      <c r="K910" s="85"/>
      <c r="L910" s="109"/>
      <c r="M910" s="110"/>
      <c r="N910" s="127"/>
      <c r="O910" s="112"/>
      <c r="P910" s="112"/>
      <c r="Q910" s="118"/>
    </row>
    <row r="911" spans="2:17" s="5" customFormat="1" ht="13">
      <c r="B911" s="84"/>
      <c r="C911" s="84"/>
      <c r="D911" s="85"/>
      <c r="E911" s="85"/>
      <c r="F911" s="85"/>
      <c r="G911" s="85"/>
      <c r="H911" s="85"/>
      <c r="I911" s="85"/>
      <c r="J911" s="85"/>
      <c r="K911" s="85"/>
      <c r="L911" s="109"/>
      <c r="M911" s="110"/>
      <c r="N911" s="127"/>
      <c r="O911" s="112"/>
      <c r="P911" s="112"/>
      <c r="Q911" s="118"/>
    </row>
    <row r="912" spans="2:17" s="5" customFormat="1" ht="13">
      <c r="B912" s="84"/>
      <c r="C912" s="84"/>
      <c r="D912" s="85"/>
      <c r="E912" s="85"/>
      <c r="F912" s="85"/>
      <c r="G912" s="85"/>
      <c r="H912" s="85"/>
      <c r="I912" s="85"/>
      <c r="J912" s="85"/>
      <c r="K912" s="85"/>
      <c r="L912" s="109"/>
      <c r="M912" s="110"/>
      <c r="N912" s="127"/>
      <c r="O912" s="112"/>
      <c r="P912" s="112"/>
      <c r="Q912" s="118"/>
    </row>
    <row r="913" spans="2:17" s="5" customFormat="1" ht="13">
      <c r="B913" s="84"/>
      <c r="C913" s="84"/>
      <c r="D913" s="85"/>
      <c r="E913" s="85"/>
      <c r="F913" s="85"/>
      <c r="G913" s="85"/>
      <c r="H913" s="85"/>
      <c r="I913" s="85"/>
      <c r="J913" s="85"/>
      <c r="K913" s="85"/>
      <c r="L913" s="109"/>
      <c r="M913" s="110"/>
      <c r="N913" s="127"/>
      <c r="O913" s="112"/>
      <c r="P913" s="112"/>
      <c r="Q913" s="118"/>
    </row>
    <row r="914" spans="2:17" s="5" customFormat="1" ht="13">
      <c r="B914" s="84"/>
      <c r="C914" s="84"/>
      <c r="D914" s="85"/>
      <c r="E914" s="85"/>
      <c r="F914" s="85"/>
      <c r="G914" s="85"/>
      <c r="H914" s="85"/>
      <c r="I914" s="85"/>
      <c r="J914" s="85"/>
      <c r="K914" s="85"/>
      <c r="L914" s="109"/>
      <c r="M914" s="110"/>
      <c r="N914" s="127"/>
      <c r="O914" s="112"/>
      <c r="P914" s="112"/>
      <c r="Q914" s="118"/>
    </row>
    <row r="915" spans="2:17" s="5" customFormat="1" ht="13">
      <c r="B915" s="84"/>
      <c r="C915" s="84"/>
      <c r="D915" s="85"/>
      <c r="E915" s="85"/>
      <c r="F915" s="85"/>
      <c r="G915" s="85"/>
      <c r="H915" s="85"/>
      <c r="I915" s="85"/>
      <c r="J915" s="85"/>
      <c r="K915" s="85"/>
      <c r="L915" s="109"/>
      <c r="M915" s="110"/>
      <c r="N915" s="127"/>
      <c r="O915" s="112"/>
      <c r="P915" s="112"/>
      <c r="Q915" s="118"/>
    </row>
    <row r="916" spans="2:17" s="5" customFormat="1" ht="13">
      <c r="B916" s="84"/>
      <c r="C916" s="84"/>
      <c r="D916" s="85"/>
      <c r="E916" s="85"/>
      <c r="F916" s="85"/>
      <c r="G916" s="85"/>
      <c r="H916" s="85"/>
      <c r="I916" s="85"/>
      <c r="J916" s="85"/>
      <c r="K916" s="85"/>
      <c r="L916" s="109"/>
      <c r="M916" s="110"/>
      <c r="N916" s="127"/>
      <c r="O916" s="112"/>
      <c r="P916" s="112"/>
      <c r="Q916" s="118"/>
    </row>
    <row r="917" spans="2:17" s="5" customFormat="1" ht="13">
      <c r="B917" s="84"/>
      <c r="C917" s="84"/>
      <c r="D917" s="85"/>
      <c r="E917" s="85"/>
      <c r="F917" s="85"/>
      <c r="G917" s="85"/>
      <c r="H917" s="85"/>
      <c r="I917" s="85"/>
      <c r="J917" s="85"/>
      <c r="K917" s="85"/>
      <c r="L917" s="109"/>
      <c r="M917" s="110"/>
      <c r="N917" s="127"/>
      <c r="O917" s="112"/>
      <c r="P917" s="112"/>
      <c r="Q917" s="118"/>
    </row>
    <row r="918" spans="2:17" s="5" customFormat="1" ht="13">
      <c r="B918" s="84"/>
      <c r="C918" s="84"/>
      <c r="D918" s="85"/>
      <c r="E918" s="85"/>
      <c r="F918" s="85"/>
      <c r="G918" s="85"/>
      <c r="H918" s="85"/>
      <c r="I918" s="85"/>
      <c r="J918" s="85"/>
      <c r="K918" s="85"/>
      <c r="L918" s="109"/>
      <c r="M918" s="110"/>
      <c r="N918" s="127"/>
      <c r="O918" s="112"/>
      <c r="P918" s="112"/>
      <c r="Q918" s="118"/>
    </row>
    <row r="919" spans="2:17" s="5" customFormat="1" ht="13">
      <c r="B919" s="84"/>
      <c r="C919" s="84"/>
      <c r="D919" s="85"/>
      <c r="E919" s="85"/>
      <c r="F919" s="85"/>
      <c r="G919" s="85"/>
      <c r="H919" s="85"/>
      <c r="I919" s="85"/>
      <c r="J919" s="85"/>
      <c r="K919" s="85"/>
      <c r="L919" s="109"/>
      <c r="M919" s="110"/>
      <c r="N919" s="127"/>
      <c r="O919" s="112"/>
      <c r="P919" s="112"/>
      <c r="Q919" s="118"/>
    </row>
    <row r="920" spans="2:17" s="5" customFormat="1" ht="13">
      <c r="B920" s="84"/>
      <c r="C920" s="84"/>
      <c r="D920" s="85"/>
      <c r="E920" s="85"/>
      <c r="F920" s="85"/>
      <c r="G920" s="85"/>
      <c r="H920" s="85"/>
      <c r="I920" s="85"/>
      <c r="J920" s="85"/>
      <c r="K920" s="85"/>
      <c r="L920" s="109"/>
      <c r="M920" s="110"/>
      <c r="N920" s="127"/>
      <c r="O920" s="112"/>
      <c r="P920" s="112"/>
      <c r="Q920" s="118"/>
    </row>
    <row r="921" spans="2:17" s="5" customFormat="1" ht="13">
      <c r="B921" s="84"/>
      <c r="C921" s="84"/>
      <c r="D921" s="85"/>
      <c r="E921" s="85"/>
      <c r="F921" s="85"/>
      <c r="G921" s="85"/>
      <c r="H921" s="85"/>
      <c r="I921" s="85"/>
      <c r="J921" s="85"/>
      <c r="K921" s="85"/>
      <c r="L921" s="109"/>
      <c r="M921" s="110"/>
      <c r="N921" s="127"/>
      <c r="O921" s="112"/>
      <c r="P921" s="112"/>
      <c r="Q921" s="118"/>
    </row>
    <row r="922" spans="2:17" s="5" customFormat="1" ht="13">
      <c r="B922" s="84"/>
      <c r="C922" s="84"/>
      <c r="D922" s="85"/>
      <c r="E922" s="85"/>
      <c r="F922" s="85"/>
      <c r="G922" s="85"/>
      <c r="H922" s="85"/>
      <c r="I922" s="85"/>
      <c r="J922" s="85"/>
      <c r="K922" s="85"/>
      <c r="L922" s="109"/>
      <c r="M922" s="110"/>
      <c r="N922" s="127"/>
      <c r="O922" s="112"/>
      <c r="P922" s="112"/>
      <c r="Q922" s="118"/>
    </row>
    <row r="923" spans="2:17" s="5" customFormat="1" ht="13">
      <c r="B923" s="84"/>
      <c r="C923" s="84"/>
      <c r="D923" s="85"/>
      <c r="E923" s="85"/>
      <c r="F923" s="85"/>
      <c r="G923" s="85"/>
      <c r="H923" s="85"/>
      <c r="I923" s="85"/>
      <c r="J923" s="85"/>
      <c r="K923" s="85"/>
      <c r="L923" s="109"/>
      <c r="M923" s="110"/>
      <c r="N923" s="127"/>
      <c r="O923" s="112"/>
      <c r="P923" s="112"/>
      <c r="Q923" s="118"/>
    </row>
    <row r="924" spans="2:17" s="5" customFormat="1" ht="13">
      <c r="B924" s="84"/>
      <c r="C924" s="84"/>
      <c r="D924" s="85"/>
      <c r="E924" s="85"/>
      <c r="F924" s="85"/>
      <c r="G924" s="85"/>
      <c r="H924" s="85"/>
      <c r="I924" s="85"/>
      <c r="J924" s="85"/>
      <c r="K924" s="85"/>
      <c r="L924" s="109"/>
      <c r="M924" s="110"/>
      <c r="N924" s="127"/>
      <c r="O924" s="112"/>
      <c r="P924" s="112"/>
      <c r="Q924" s="118"/>
    </row>
    <row r="925" spans="2:17" s="5" customFormat="1" ht="13">
      <c r="B925" s="84"/>
      <c r="C925" s="84"/>
      <c r="D925" s="85"/>
      <c r="E925" s="85"/>
      <c r="F925" s="85"/>
      <c r="G925" s="85"/>
      <c r="H925" s="85"/>
      <c r="I925" s="85"/>
      <c r="J925" s="85"/>
      <c r="K925" s="85"/>
      <c r="L925" s="109"/>
      <c r="M925" s="110"/>
      <c r="N925" s="127"/>
      <c r="O925" s="112"/>
      <c r="P925" s="112"/>
      <c r="Q925" s="118"/>
    </row>
    <row r="926" spans="2:17" s="5" customFormat="1" ht="13">
      <c r="B926" s="84"/>
      <c r="C926" s="84"/>
      <c r="D926" s="85"/>
      <c r="E926" s="85"/>
      <c r="F926" s="85"/>
      <c r="G926" s="85"/>
      <c r="H926" s="85"/>
      <c r="I926" s="85"/>
      <c r="J926" s="85"/>
      <c r="K926" s="85"/>
      <c r="L926" s="109"/>
      <c r="M926" s="110"/>
      <c r="N926" s="127"/>
      <c r="O926" s="112"/>
      <c r="P926" s="112"/>
      <c r="Q926" s="118"/>
    </row>
    <row r="927" spans="2:17" s="5" customFormat="1" ht="13">
      <c r="B927" s="84"/>
      <c r="C927" s="84"/>
      <c r="D927" s="85"/>
      <c r="E927" s="85"/>
      <c r="F927" s="85"/>
      <c r="G927" s="85"/>
      <c r="H927" s="85"/>
      <c r="I927" s="85"/>
      <c r="J927" s="85"/>
      <c r="K927" s="85"/>
      <c r="L927" s="109"/>
      <c r="M927" s="110"/>
      <c r="N927" s="127"/>
      <c r="O927" s="112"/>
      <c r="P927" s="112"/>
      <c r="Q927" s="118"/>
    </row>
    <row r="928" spans="2:17" s="5" customFormat="1" ht="13">
      <c r="B928" s="84"/>
      <c r="C928" s="84"/>
      <c r="D928" s="85"/>
      <c r="E928" s="85"/>
      <c r="F928" s="85"/>
      <c r="G928" s="85"/>
      <c r="H928" s="85"/>
      <c r="I928" s="85"/>
      <c r="J928" s="85"/>
      <c r="K928" s="85"/>
      <c r="L928" s="109"/>
      <c r="M928" s="110"/>
      <c r="N928" s="127"/>
      <c r="O928" s="112"/>
      <c r="P928" s="112"/>
      <c r="Q928" s="118"/>
    </row>
    <row r="929" spans="2:17" s="5" customFormat="1" ht="13">
      <c r="B929" s="84"/>
      <c r="C929" s="84"/>
      <c r="D929" s="85"/>
      <c r="E929" s="85"/>
      <c r="F929" s="85"/>
      <c r="G929" s="85"/>
      <c r="H929" s="85"/>
      <c r="I929" s="85"/>
      <c r="J929" s="85"/>
      <c r="K929" s="85"/>
      <c r="L929" s="109"/>
      <c r="M929" s="110"/>
      <c r="N929" s="127"/>
      <c r="O929" s="112"/>
      <c r="P929" s="112"/>
      <c r="Q929" s="118"/>
    </row>
    <row r="930" spans="2:17" s="5" customFormat="1" ht="13">
      <c r="B930" s="84"/>
      <c r="C930" s="84"/>
      <c r="D930" s="85"/>
      <c r="E930" s="85"/>
      <c r="F930" s="85"/>
      <c r="G930" s="85"/>
      <c r="H930" s="85"/>
      <c r="I930" s="85"/>
      <c r="J930" s="85"/>
      <c r="K930" s="85"/>
      <c r="L930" s="109"/>
      <c r="M930" s="110"/>
      <c r="N930" s="127"/>
      <c r="O930" s="112"/>
      <c r="P930" s="112"/>
      <c r="Q930" s="118"/>
    </row>
    <row r="931" spans="2:17" s="5" customFormat="1" ht="13">
      <c r="B931" s="84"/>
      <c r="C931" s="84"/>
      <c r="D931" s="85"/>
      <c r="E931" s="85"/>
      <c r="F931" s="85"/>
      <c r="G931" s="85"/>
      <c r="H931" s="85"/>
      <c r="I931" s="85"/>
      <c r="J931" s="85"/>
      <c r="K931" s="85"/>
      <c r="L931" s="109"/>
      <c r="M931" s="110"/>
      <c r="N931" s="127"/>
      <c r="O931" s="112"/>
      <c r="P931" s="112"/>
      <c r="Q931" s="118"/>
    </row>
    <row r="932" spans="2:17" s="5" customFormat="1" ht="13">
      <c r="B932" s="84"/>
      <c r="C932" s="84"/>
      <c r="D932" s="85"/>
      <c r="E932" s="85"/>
      <c r="F932" s="85"/>
      <c r="G932" s="85"/>
      <c r="H932" s="85"/>
      <c r="I932" s="85"/>
      <c r="J932" s="85"/>
      <c r="K932" s="85"/>
      <c r="L932" s="109"/>
      <c r="M932" s="110"/>
      <c r="N932" s="127"/>
      <c r="O932" s="112"/>
      <c r="P932" s="112"/>
      <c r="Q932" s="118"/>
    </row>
    <row r="933" spans="2:17" s="5" customFormat="1" ht="13">
      <c r="B933" s="84"/>
      <c r="C933" s="84"/>
      <c r="D933" s="85"/>
      <c r="E933" s="85"/>
      <c r="F933" s="85"/>
      <c r="G933" s="85"/>
      <c r="H933" s="85"/>
      <c r="I933" s="85"/>
      <c r="J933" s="85"/>
      <c r="K933" s="85"/>
      <c r="L933" s="109"/>
      <c r="M933" s="110"/>
      <c r="N933" s="127"/>
      <c r="O933" s="112"/>
      <c r="P933" s="112"/>
      <c r="Q933" s="118"/>
    </row>
    <row r="934" spans="2:17" s="5" customFormat="1" ht="13">
      <c r="B934" s="84"/>
      <c r="C934" s="84"/>
      <c r="D934" s="85"/>
      <c r="E934" s="85"/>
      <c r="F934" s="85"/>
      <c r="G934" s="85"/>
      <c r="H934" s="85"/>
      <c r="I934" s="85"/>
      <c r="J934" s="85"/>
      <c r="K934" s="85"/>
      <c r="L934" s="109"/>
      <c r="M934" s="110"/>
      <c r="N934" s="127"/>
      <c r="O934" s="112"/>
      <c r="P934" s="112"/>
      <c r="Q934" s="118"/>
    </row>
    <row r="935" spans="2:17" s="5" customFormat="1" ht="13">
      <c r="B935" s="84"/>
      <c r="C935" s="84"/>
      <c r="D935" s="85"/>
      <c r="E935" s="85"/>
      <c r="F935" s="85"/>
      <c r="G935" s="85"/>
      <c r="H935" s="85"/>
      <c r="I935" s="85"/>
      <c r="J935" s="85"/>
      <c r="K935" s="85"/>
      <c r="L935" s="109"/>
      <c r="M935" s="110"/>
      <c r="N935" s="127"/>
      <c r="O935" s="112"/>
      <c r="P935" s="112"/>
      <c r="Q935" s="118"/>
    </row>
    <row r="936" spans="2:17" s="5" customFormat="1" ht="13">
      <c r="B936" s="84"/>
      <c r="C936" s="84"/>
      <c r="D936" s="85"/>
      <c r="E936" s="85"/>
      <c r="F936" s="85"/>
      <c r="G936" s="85"/>
      <c r="H936" s="85"/>
      <c r="I936" s="85"/>
      <c r="J936" s="85"/>
      <c r="K936" s="85"/>
      <c r="L936" s="109"/>
      <c r="M936" s="110"/>
      <c r="N936" s="127"/>
      <c r="O936" s="112"/>
      <c r="P936" s="112"/>
      <c r="Q936" s="118"/>
    </row>
    <row r="937" spans="2:17" s="5" customFormat="1" ht="13">
      <c r="B937" s="84"/>
      <c r="C937" s="84"/>
      <c r="D937" s="85"/>
      <c r="E937" s="85"/>
      <c r="F937" s="85"/>
      <c r="G937" s="85"/>
      <c r="H937" s="85"/>
      <c r="I937" s="85"/>
      <c r="J937" s="85"/>
      <c r="K937" s="85"/>
      <c r="L937" s="109"/>
      <c r="M937" s="110"/>
      <c r="N937" s="127"/>
      <c r="O937" s="112"/>
      <c r="P937" s="112"/>
      <c r="Q937" s="118"/>
    </row>
    <row r="938" spans="2:17" s="5" customFormat="1" ht="13">
      <c r="B938" s="84"/>
      <c r="C938" s="84"/>
      <c r="D938" s="85"/>
      <c r="E938" s="85"/>
      <c r="F938" s="85"/>
      <c r="G938" s="85"/>
      <c r="H938" s="85"/>
      <c r="I938" s="85"/>
      <c r="J938" s="85"/>
      <c r="K938" s="85"/>
      <c r="L938" s="109"/>
      <c r="M938" s="110"/>
      <c r="N938" s="127"/>
      <c r="O938" s="112"/>
      <c r="P938" s="112"/>
      <c r="Q938" s="118"/>
    </row>
    <row r="939" spans="2:17" s="5" customFormat="1" ht="13">
      <c r="B939" s="84"/>
      <c r="C939" s="84"/>
      <c r="D939" s="85"/>
      <c r="E939" s="85"/>
      <c r="F939" s="85"/>
      <c r="G939" s="85"/>
      <c r="H939" s="85"/>
      <c r="I939" s="85"/>
      <c r="J939" s="85"/>
      <c r="K939" s="85"/>
      <c r="L939" s="109"/>
      <c r="M939" s="110"/>
      <c r="N939" s="127"/>
      <c r="O939" s="112"/>
      <c r="P939" s="112"/>
      <c r="Q939" s="118"/>
    </row>
    <row r="940" spans="2:17" s="5" customFormat="1" ht="13">
      <c r="B940" s="84"/>
      <c r="C940" s="84"/>
      <c r="D940" s="85"/>
      <c r="E940" s="85"/>
      <c r="F940" s="85"/>
      <c r="G940" s="85"/>
      <c r="H940" s="85"/>
      <c r="I940" s="85"/>
      <c r="J940" s="85"/>
      <c r="K940" s="85"/>
      <c r="L940" s="109"/>
      <c r="M940" s="110"/>
      <c r="N940" s="127"/>
      <c r="O940" s="112"/>
      <c r="P940" s="112"/>
      <c r="Q940" s="118"/>
    </row>
    <row r="941" spans="2:17" s="5" customFormat="1" ht="13">
      <c r="B941" s="84"/>
      <c r="C941" s="84"/>
      <c r="D941" s="85"/>
      <c r="E941" s="85"/>
      <c r="F941" s="85"/>
      <c r="G941" s="85"/>
      <c r="H941" s="85"/>
      <c r="I941" s="85"/>
      <c r="J941" s="85"/>
      <c r="K941" s="85"/>
      <c r="L941" s="109"/>
      <c r="M941" s="110"/>
      <c r="N941" s="127"/>
      <c r="O941" s="112"/>
      <c r="P941" s="112"/>
      <c r="Q941" s="118"/>
    </row>
    <row r="942" spans="2:17" s="5" customFormat="1" ht="13">
      <c r="B942" s="84"/>
      <c r="C942" s="84"/>
      <c r="D942" s="85"/>
      <c r="E942" s="85"/>
      <c r="F942" s="85"/>
      <c r="G942" s="85"/>
      <c r="H942" s="85"/>
      <c r="I942" s="85"/>
      <c r="J942" s="85"/>
      <c r="K942" s="85"/>
      <c r="L942" s="109"/>
      <c r="M942" s="110"/>
      <c r="N942" s="127"/>
      <c r="O942" s="112"/>
      <c r="P942" s="112"/>
      <c r="Q942" s="118"/>
    </row>
    <row r="943" spans="2:17" s="5" customFormat="1" ht="13">
      <c r="B943" s="84"/>
      <c r="C943" s="84"/>
      <c r="D943" s="85"/>
      <c r="E943" s="85"/>
      <c r="F943" s="85"/>
      <c r="G943" s="85"/>
      <c r="H943" s="85"/>
      <c r="I943" s="85"/>
      <c r="J943" s="85"/>
      <c r="K943" s="85"/>
      <c r="L943" s="109"/>
      <c r="M943" s="110"/>
      <c r="N943" s="127"/>
      <c r="O943" s="112"/>
      <c r="P943" s="112"/>
      <c r="Q943" s="118"/>
    </row>
    <row r="944" spans="2:17" s="5" customFormat="1" ht="13">
      <c r="B944" s="84"/>
      <c r="C944" s="84"/>
      <c r="D944" s="85"/>
      <c r="E944" s="85"/>
      <c r="F944" s="85"/>
      <c r="G944" s="85"/>
      <c r="H944" s="85"/>
      <c r="I944" s="85"/>
      <c r="J944" s="85"/>
      <c r="K944" s="85"/>
      <c r="L944" s="109"/>
      <c r="M944" s="110"/>
      <c r="N944" s="127"/>
      <c r="O944" s="112"/>
      <c r="P944" s="112"/>
      <c r="Q944" s="118"/>
    </row>
    <row r="945" spans="2:17" s="5" customFormat="1" ht="13">
      <c r="B945" s="84"/>
      <c r="C945" s="84"/>
      <c r="D945" s="85"/>
      <c r="E945" s="85"/>
      <c r="F945" s="85"/>
      <c r="G945" s="85"/>
      <c r="H945" s="85"/>
      <c r="I945" s="85"/>
      <c r="J945" s="85"/>
      <c r="K945" s="85"/>
      <c r="L945" s="109"/>
      <c r="M945" s="110"/>
      <c r="N945" s="127"/>
      <c r="O945" s="112"/>
      <c r="P945" s="112"/>
      <c r="Q945" s="118"/>
    </row>
    <row r="946" spans="2:17" s="5" customFormat="1" ht="13">
      <c r="B946" s="84"/>
      <c r="C946" s="84"/>
      <c r="D946" s="85"/>
      <c r="E946" s="85"/>
      <c r="F946" s="85"/>
      <c r="G946" s="85"/>
      <c r="H946" s="85"/>
      <c r="I946" s="85"/>
      <c r="J946" s="85"/>
      <c r="K946" s="85"/>
      <c r="L946" s="109"/>
      <c r="M946" s="110"/>
      <c r="N946" s="127"/>
      <c r="O946" s="112"/>
      <c r="P946" s="112"/>
      <c r="Q946" s="118"/>
    </row>
    <row r="947" spans="2:17" s="5" customFormat="1" ht="13">
      <c r="B947" s="84"/>
      <c r="C947" s="84"/>
      <c r="D947" s="85"/>
      <c r="E947" s="85"/>
      <c r="F947" s="85"/>
      <c r="G947" s="85"/>
      <c r="H947" s="85"/>
      <c r="I947" s="85"/>
      <c r="J947" s="85"/>
      <c r="K947" s="85"/>
      <c r="L947" s="109"/>
      <c r="M947" s="110"/>
      <c r="N947" s="127"/>
      <c r="O947" s="112"/>
      <c r="P947" s="112"/>
      <c r="Q947" s="118"/>
    </row>
    <row r="948" spans="2:17" s="5" customFormat="1" ht="13">
      <c r="B948" s="84"/>
      <c r="C948" s="84"/>
      <c r="D948" s="85"/>
      <c r="E948" s="85"/>
      <c r="F948" s="85"/>
      <c r="G948" s="85"/>
      <c r="H948" s="85"/>
      <c r="I948" s="85"/>
      <c r="J948" s="85"/>
      <c r="K948" s="85"/>
      <c r="L948" s="109"/>
      <c r="M948" s="110"/>
      <c r="N948" s="127"/>
      <c r="O948" s="112"/>
      <c r="P948" s="112"/>
      <c r="Q948" s="118"/>
    </row>
    <row r="949" spans="2:17" s="5" customFormat="1" ht="13">
      <c r="B949" s="84"/>
      <c r="C949" s="84"/>
      <c r="D949" s="85"/>
      <c r="E949" s="85"/>
      <c r="F949" s="85"/>
      <c r="G949" s="85"/>
      <c r="H949" s="85"/>
      <c r="I949" s="85"/>
      <c r="J949" s="85"/>
      <c r="K949" s="85"/>
      <c r="L949" s="109"/>
      <c r="M949" s="110"/>
      <c r="N949" s="127"/>
      <c r="O949" s="112"/>
      <c r="P949" s="112"/>
      <c r="Q949" s="118"/>
    </row>
    <row r="950" spans="2:17" s="5" customFormat="1" ht="13">
      <c r="B950" s="84"/>
      <c r="C950" s="84"/>
      <c r="D950" s="85"/>
      <c r="E950" s="85"/>
      <c r="F950" s="85"/>
      <c r="G950" s="85"/>
      <c r="H950" s="85"/>
      <c r="I950" s="85"/>
      <c r="J950" s="85"/>
      <c r="K950" s="85"/>
      <c r="L950" s="109"/>
      <c r="M950" s="110"/>
      <c r="N950" s="127"/>
      <c r="O950" s="112"/>
      <c r="P950" s="112"/>
      <c r="Q950" s="118"/>
    </row>
    <row r="951" spans="2:17" s="5" customFormat="1" ht="13">
      <c r="B951" s="84"/>
      <c r="C951" s="84"/>
      <c r="D951" s="85"/>
      <c r="E951" s="85"/>
      <c r="F951" s="85"/>
      <c r="G951" s="85"/>
      <c r="H951" s="85"/>
      <c r="I951" s="85"/>
      <c r="J951" s="85"/>
      <c r="K951" s="85"/>
      <c r="L951" s="109"/>
      <c r="M951" s="110"/>
      <c r="N951" s="127"/>
      <c r="O951" s="112"/>
      <c r="P951" s="112"/>
      <c r="Q951" s="118"/>
    </row>
    <row r="952" spans="2:17" s="5" customFormat="1" ht="13">
      <c r="B952" s="84"/>
      <c r="C952" s="84"/>
      <c r="D952" s="85"/>
      <c r="E952" s="85"/>
      <c r="F952" s="85"/>
      <c r="G952" s="85"/>
      <c r="H952" s="85"/>
      <c r="I952" s="85"/>
      <c r="J952" s="85"/>
      <c r="K952" s="85"/>
      <c r="L952" s="109"/>
      <c r="M952" s="110"/>
      <c r="N952" s="127"/>
      <c r="O952" s="112"/>
      <c r="P952" s="112"/>
      <c r="Q952" s="118"/>
    </row>
    <row r="953" spans="2:17" s="5" customFormat="1" ht="13">
      <c r="B953" s="84"/>
      <c r="C953" s="84"/>
      <c r="D953" s="85"/>
      <c r="E953" s="85"/>
      <c r="F953" s="85"/>
      <c r="G953" s="85"/>
      <c r="H953" s="85"/>
      <c r="I953" s="85"/>
      <c r="J953" s="85"/>
      <c r="K953" s="85"/>
      <c r="L953" s="109"/>
      <c r="M953" s="110"/>
      <c r="N953" s="127"/>
      <c r="O953" s="112"/>
      <c r="P953" s="112"/>
      <c r="Q953" s="118"/>
    </row>
    <row r="954" spans="2:17" s="5" customFormat="1" ht="13">
      <c r="B954" s="84"/>
      <c r="C954" s="84"/>
      <c r="D954" s="85"/>
      <c r="E954" s="85"/>
      <c r="F954" s="85"/>
      <c r="G954" s="85"/>
      <c r="H954" s="85"/>
      <c r="I954" s="85"/>
      <c r="J954" s="85"/>
      <c r="K954" s="85"/>
      <c r="L954" s="109"/>
      <c r="M954" s="110"/>
      <c r="N954" s="127"/>
      <c r="O954" s="112"/>
      <c r="P954" s="112"/>
      <c r="Q954" s="118"/>
    </row>
    <row r="955" spans="2:17" s="5" customFormat="1" ht="13">
      <c r="B955" s="84"/>
      <c r="C955" s="84"/>
      <c r="D955" s="85"/>
      <c r="E955" s="85"/>
      <c r="F955" s="85"/>
      <c r="G955" s="85"/>
      <c r="H955" s="85"/>
      <c r="I955" s="85"/>
      <c r="J955" s="85"/>
      <c r="K955" s="85"/>
      <c r="L955" s="109"/>
      <c r="M955" s="110"/>
      <c r="N955" s="127"/>
      <c r="O955" s="112"/>
      <c r="P955" s="112"/>
      <c r="Q955" s="118"/>
    </row>
    <row r="956" spans="2:17" s="5" customFormat="1" ht="13">
      <c r="B956" s="84"/>
      <c r="C956" s="84"/>
      <c r="D956" s="85"/>
      <c r="E956" s="85"/>
      <c r="F956" s="85"/>
      <c r="G956" s="85"/>
      <c r="H956" s="85"/>
      <c r="I956" s="85"/>
      <c r="J956" s="85"/>
      <c r="K956" s="85"/>
      <c r="L956" s="109"/>
      <c r="M956" s="110"/>
      <c r="N956" s="127"/>
      <c r="O956" s="112"/>
      <c r="P956" s="112"/>
      <c r="Q956" s="118"/>
    </row>
    <row r="957" spans="2:17" s="5" customFormat="1" ht="13">
      <c r="B957" s="84"/>
      <c r="C957" s="84"/>
      <c r="D957" s="85"/>
      <c r="E957" s="85"/>
      <c r="F957" s="85"/>
      <c r="G957" s="85"/>
      <c r="H957" s="85"/>
      <c r="I957" s="85"/>
      <c r="J957" s="85"/>
      <c r="K957" s="85"/>
      <c r="L957" s="109"/>
      <c r="M957" s="110"/>
      <c r="N957" s="127"/>
      <c r="O957" s="112"/>
      <c r="P957" s="112"/>
      <c r="Q957" s="118"/>
    </row>
    <row r="958" spans="2:17" s="5" customFormat="1" ht="13">
      <c r="B958" s="84"/>
      <c r="C958" s="84"/>
      <c r="D958" s="85"/>
      <c r="E958" s="85"/>
      <c r="F958" s="85"/>
      <c r="G958" s="85"/>
      <c r="H958" s="85"/>
      <c r="I958" s="85"/>
      <c r="J958" s="85"/>
      <c r="K958" s="85"/>
      <c r="L958" s="109"/>
      <c r="M958" s="110"/>
      <c r="N958" s="127"/>
      <c r="O958" s="112"/>
      <c r="P958" s="112"/>
      <c r="Q958" s="118"/>
    </row>
    <row r="959" spans="2:17" s="5" customFormat="1" ht="13">
      <c r="B959" s="84"/>
      <c r="C959" s="84"/>
      <c r="D959" s="85"/>
      <c r="E959" s="85"/>
      <c r="F959" s="85"/>
      <c r="G959" s="85"/>
      <c r="H959" s="85"/>
      <c r="I959" s="85"/>
      <c r="J959" s="85"/>
      <c r="K959" s="85"/>
      <c r="L959" s="109"/>
      <c r="M959" s="110"/>
      <c r="N959" s="127"/>
      <c r="O959" s="112"/>
      <c r="P959" s="112"/>
      <c r="Q959" s="118"/>
    </row>
    <row r="960" spans="2:17" s="5" customFormat="1" ht="13">
      <c r="B960" s="84"/>
      <c r="C960" s="84"/>
      <c r="D960" s="85"/>
      <c r="E960" s="85"/>
      <c r="F960" s="85"/>
      <c r="G960" s="85"/>
      <c r="H960" s="85"/>
      <c r="I960" s="85"/>
      <c r="J960" s="85"/>
      <c r="K960" s="85"/>
      <c r="L960" s="109"/>
      <c r="M960" s="110"/>
      <c r="N960" s="127"/>
      <c r="O960" s="112"/>
      <c r="P960" s="112"/>
      <c r="Q960" s="118"/>
    </row>
    <row r="961" spans="2:17" s="5" customFormat="1" ht="13">
      <c r="B961" s="84"/>
      <c r="C961" s="84"/>
      <c r="D961" s="85"/>
      <c r="E961" s="85"/>
      <c r="F961" s="85"/>
      <c r="G961" s="85"/>
      <c r="H961" s="85"/>
      <c r="I961" s="85"/>
      <c r="J961" s="85"/>
      <c r="K961" s="85"/>
      <c r="L961" s="109"/>
      <c r="M961" s="110"/>
      <c r="N961" s="127"/>
      <c r="O961" s="112"/>
      <c r="P961" s="112"/>
      <c r="Q961" s="118"/>
    </row>
    <row r="962" spans="2:17" s="5" customFormat="1" ht="13">
      <c r="B962" s="84"/>
      <c r="C962" s="84"/>
      <c r="D962" s="85"/>
      <c r="E962" s="85"/>
      <c r="F962" s="85"/>
      <c r="G962" s="85"/>
      <c r="H962" s="85"/>
      <c r="I962" s="85"/>
      <c r="J962" s="85"/>
      <c r="K962" s="85"/>
      <c r="L962" s="109"/>
      <c r="M962" s="110"/>
      <c r="N962" s="127"/>
      <c r="O962" s="112"/>
      <c r="P962" s="112"/>
      <c r="Q962" s="118"/>
    </row>
    <row r="963" spans="2:17" s="5" customFormat="1" ht="13">
      <c r="B963" s="84"/>
      <c r="C963" s="84"/>
      <c r="D963" s="85"/>
      <c r="E963" s="85"/>
      <c r="F963" s="85"/>
      <c r="G963" s="85"/>
      <c r="H963" s="85"/>
      <c r="I963" s="85"/>
      <c r="J963" s="85"/>
      <c r="K963" s="85"/>
      <c r="L963" s="109"/>
      <c r="M963" s="110"/>
      <c r="N963" s="127"/>
      <c r="O963" s="112"/>
      <c r="P963" s="112"/>
      <c r="Q963" s="118"/>
    </row>
    <row r="964" spans="2:17" s="5" customFormat="1" ht="13">
      <c r="B964" s="84"/>
      <c r="C964" s="84"/>
      <c r="D964" s="85"/>
      <c r="E964" s="85"/>
      <c r="F964" s="85"/>
      <c r="G964" s="85"/>
      <c r="H964" s="85"/>
      <c r="I964" s="85"/>
      <c r="J964" s="85"/>
      <c r="K964" s="85"/>
      <c r="L964" s="109"/>
      <c r="M964" s="110"/>
      <c r="N964" s="127"/>
      <c r="O964" s="112"/>
      <c r="P964" s="112"/>
      <c r="Q964" s="118"/>
    </row>
    <row r="965" spans="2:17" s="5" customFormat="1" ht="13">
      <c r="B965" s="84"/>
      <c r="C965" s="84"/>
      <c r="D965" s="85"/>
      <c r="E965" s="85"/>
      <c r="F965" s="85"/>
      <c r="G965" s="85"/>
      <c r="H965" s="85"/>
      <c r="I965" s="85"/>
      <c r="J965" s="85"/>
      <c r="K965" s="85"/>
      <c r="L965" s="109"/>
      <c r="M965" s="110"/>
      <c r="N965" s="127"/>
      <c r="O965" s="112"/>
      <c r="P965" s="112"/>
      <c r="Q965" s="118"/>
    </row>
    <row r="966" spans="2:17" s="5" customFormat="1" ht="13">
      <c r="B966" s="84"/>
      <c r="C966" s="84"/>
      <c r="D966" s="85"/>
      <c r="E966" s="85"/>
      <c r="F966" s="85"/>
      <c r="G966" s="85"/>
      <c r="H966" s="85"/>
      <c r="I966" s="85"/>
      <c r="J966" s="85"/>
      <c r="K966" s="85"/>
      <c r="L966" s="109"/>
      <c r="M966" s="110"/>
      <c r="N966" s="127"/>
      <c r="O966" s="112"/>
      <c r="P966" s="112"/>
      <c r="Q966" s="118"/>
    </row>
    <row r="967" spans="2:17" s="5" customFormat="1" ht="13">
      <c r="B967" s="84"/>
      <c r="C967" s="84"/>
      <c r="D967" s="85"/>
      <c r="E967" s="85"/>
      <c r="F967" s="85"/>
      <c r="G967" s="85"/>
      <c r="H967" s="85"/>
      <c r="I967" s="85"/>
      <c r="J967" s="85"/>
      <c r="K967" s="85"/>
      <c r="L967" s="109"/>
      <c r="M967" s="110"/>
      <c r="N967" s="127"/>
      <c r="O967" s="112"/>
      <c r="P967" s="112"/>
      <c r="Q967" s="118"/>
    </row>
    <row r="968" spans="2:17" s="5" customFormat="1" ht="13">
      <c r="B968" s="84"/>
      <c r="C968" s="84"/>
      <c r="D968" s="85"/>
      <c r="E968" s="85"/>
      <c r="F968" s="85"/>
      <c r="G968" s="85"/>
      <c r="H968" s="85"/>
      <c r="I968" s="85"/>
      <c r="J968" s="85"/>
      <c r="K968" s="85"/>
      <c r="L968" s="109"/>
      <c r="M968" s="110"/>
      <c r="N968" s="127"/>
      <c r="O968" s="112"/>
      <c r="P968" s="112"/>
      <c r="Q968" s="118"/>
    </row>
    <row r="969" spans="2:17" s="5" customFormat="1" ht="13">
      <c r="B969" s="84"/>
      <c r="C969" s="84"/>
      <c r="D969" s="85"/>
      <c r="E969" s="85"/>
      <c r="F969" s="85"/>
      <c r="G969" s="85"/>
      <c r="H969" s="85"/>
      <c r="I969" s="85"/>
      <c r="J969" s="85"/>
      <c r="K969" s="85"/>
      <c r="L969" s="109"/>
      <c r="M969" s="110"/>
      <c r="N969" s="127"/>
      <c r="O969" s="112"/>
      <c r="P969" s="112"/>
      <c r="Q969" s="118"/>
    </row>
    <row r="970" spans="2:17" s="5" customFormat="1" ht="13">
      <c r="B970" s="84"/>
      <c r="C970" s="84"/>
      <c r="D970" s="85"/>
      <c r="E970" s="85"/>
      <c r="F970" s="85"/>
      <c r="G970" s="85"/>
      <c r="H970" s="85"/>
      <c r="I970" s="85"/>
      <c r="J970" s="85"/>
      <c r="K970" s="85"/>
      <c r="L970" s="109"/>
      <c r="M970" s="110"/>
      <c r="N970" s="127"/>
      <c r="O970" s="112"/>
      <c r="P970" s="112"/>
      <c r="Q970" s="118"/>
    </row>
    <row r="971" spans="2:17" s="5" customFormat="1" ht="13">
      <c r="B971" s="84"/>
      <c r="C971" s="84"/>
      <c r="D971" s="85"/>
      <c r="E971" s="85"/>
      <c r="F971" s="85"/>
      <c r="G971" s="85"/>
      <c r="H971" s="85"/>
      <c r="I971" s="85"/>
      <c r="J971" s="85"/>
      <c r="K971" s="85"/>
      <c r="L971" s="109"/>
      <c r="M971" s="110"/>
      <c r="N971" s="127"/>
      <c r="O971" s="112"/>
      <c r="P971" s="112"/>
      <c r="Q971" s="118"/>
    </row>
    <row r="972" spans="2:17" s="5" customFormat="1" ht="13">
      <c r="B972" s="84"/>
      <c r="C972" s="84"/>
      <c r="D972" s="85"/>
      <c r="E972" s="85"/>
      <c r="F972" s="85"/>
      <c r="G972" s="85"/>
      <c r="H972" s="85"/>
      <c r="I972" s="85"/>
      <c r="J972" s="85"/>
      <c r="K972" s="85"/>
      <c r="L972" s="109"/>
      <c r="M972" s="110"/>
      <c r="N972" s="127"/>
      <c r="O972" s="112"/>
      <c r="P972" s="112"/>
      <c r="Q972" s="118"/>
    </row>
    <row r="973" spans="2:17" s="5" customFormat="1" ht="13">
      <c r="B973" s="84"/>
      <c r="C973" s="84"/>
      <c r="D973" s="85"/>
      <c r="E973" s="85"/>
      <c r="F973" s="85"/>
      <c r="G973" s="85"/>
      <c r="H973" s="85"/>
      <c r="I973" s="85"/>
      <c r="J973" s="85"/>
      <c r="K973" s="85"/>
      <c r="L973" s="109"/>
      <c r="M973" s="110"/>
      <c r="N973" s="127"/>
      <c r="O973" s="112"/>
      <c r="P973" s="112"/>
      <c r="Q973" s="118"/>
    </row>
    <row r="974" spans="2:17" s="5" customFormat="1" ht="13">
      <c r="B974" s="84"/>
      <c r="C974" s="84"/>
      <c r="D974" s="85"/>
      <c r="E974" s="85"/>
      <c r="F974" s="85"/>
      <c r="G974" s="85"/>
      <c r="H974" s="85"/>
      <c r="I974" s="85"/>
      <c r="J974" s="85"/>
      <c r="K974" s="85"/>
      <c r="L974" s="109"/>
      <c r="M974" s="110"/>
      <c r="N974" s="127"/>
      <c r="O974" s="112"/>
      <c r="P974" s="112"/>
      <c r="Q974" s="118"/>
    </row>
    <row r="975" spans="2:17" s="5" customFormat="1" ht="13">
      <c r="B975" s="84"/>
      <c r="C975" s="84"/>
      <c r="D975" s="85"/>
      <c r="E975" s="85"/>
      <c r="F975" s="85"/>
      <c r="G975" s="85"/>
      <c r="H975" s="85"/>
      <c r="I975" s="85"/>
      <c r="J975" s="85"/>
      <c r="K975" s="85"/>
      <c r="L975" s="109"/>
      <c r="M975" s="110"/>
      <c r="N975" s="127"/>
      <c r="O975" s="112"/>
      <c r="P975" s="112"/>
      <c r="Q975" s="118"/>
    </row>
    <row r="976" spans="2:17" s="5" customFormat="1" ht="13">
      <c r="B976" s="84"/>
      <c r="C976" s="84"/>
      <c r="D976" s="85"/>
      <c r="E976" s="85"/>
      <c r="F976" s="85"/>
      <c r="G976" s="85"/>
      <c r="H976" s="85"/>
      <c r="I976" s="85"/>
      <c r="J976" s="85"/>
      <c r="K976" s="85"/>
      <c r="L976" s="109"/>
      <c r="M976" s="110"/>
      <c r="N976" s="127"/>
      <c r="O976" s="112"/>
      <c r="P976" s="112"/>
      <c r="Q976" s="118"/>
    </row>
    <row r="977" spans="2:17" s="5" customFormat="1" ht="13">
      <c r="B977" s="84"/>
      <c r="C977" s="84"/>
      <c r="D977" s="85"/>
      <c r="E977" s="85"/>
      <c r="F977" s="85"/>
      <c r="G977" s="85"/>
      <c r="H977" s="85"/>
      <c r="I977" s="85"/>
      <c r="J977" s="85"/>
      <c r="K977" s="85"/>
      <c r="L977" s="109"/>
      <c r="M977" s="110"/>
      <c r="N977" s="127"/>
      <c r="O977" s="112"/>
      <c r="P977" s="112"/>
      <c r="Q977" s="118"/>
    </row>
    <row r="978" spans="2:17" s="5" customFormat="1" ht="13">
      <c r="B978" s="84"/>
      <c r="C978" s="84"/>
      <c r="D978" s="85"/>
      <c r="E978" s="85"/>
      <c r="F978" s="85"/>
      <c r="G978" s="85"/>
      <c r="H978" s="85"/>
      <c r="I978" s="85"/>
      <c r="J978" s="85"/>
      <c r="K978" s="85"/>
      <c r="L978" s="109"/>
      <c r="M978" s="110"/>
      <c r="N978" s="127"/>
      <c r="O978" s="112"/>
      <c r="P978" s="112"/>
      <c r="Q978" s="118"/>
    </row>
    <row r="979" spans="2:17" s="5" customFormat="1" ht="13">
      <c r="B979" s="84"/>
      <c r="C979" s="84"/>
      <c r="D979" s="85"/>
      <c r="E979" s="85"/>
      <c r="F979" s="85"/>
      <c r="G979" s="85"/>
      <c r="H979" s="85"/>
      <c r="I979" s="85"/>
      <c r="J979" s="85"/>
      <c r="K979" s="85"/>
      <c r="L979" s="109"/>
      <c r="M979" s="110"/>
      <c r="N979" s="127"/>
      <c r="O979" s="112"/>
      <c r="P979" s="112"/>
      <c r="Q979" s="118"/>
    </row>
    <row r="980" spans="2:17" s="5" customFormat="1" ht="13">
      <c r="B980" s="84"/>
      <c r="C980" s="84"/>
      <c r="D980" s="85"/>
      <c r="E980" s="85"/>
      <c r="F980" s="85"/>
      <c r="G980" s="85"/>
      <c r="H980" s="85"/>
      <c r="I980" s="85"/>
      <c r="J980" s="85"/>
      <c r="K980" s="85"/>
      <c r="L980" s="109"/>
      <c r="M980" s="110"/>
      <c r="N980" s="127"/>
      <c r="O980" s="112"/>
      <c r="P980" s="112"/>
      <c r="Q980" s="118"/>
    </row>
    <row r="981" spans="2:17" s="5" customFormat="1" ht="13">
      <c r="B981" s="84"/>
      <c r="C981" s="84"/>
      <c r="D981" s="85"/>
      <c r="E981" s="85"/>
      <c r="F981" s="85"/>
      <c r="G981" s="85"/>
      <c r="H981" s="85"/>
      <c r="I981" s="85"/>
      <c r="J981" s="85"/>
      <c r="K981" s="85"/>
      <c r="L981" s="109"/>
      <c r="M981" s="110"/>
      <c r="N981" s="127"/>
      <c r="O981" s="112"/>
      <c r="P981" s="112"/>
      <c r="Q981" s="118"/>
    </row>
    <row r="982" spans="2:17" s="5" customFormat="1" ht="13">
      <c r="B982" s="84"/>
      <c r="C982" s="84"/>
      <c r="D982" s="85"/>
      <c r="E982" s="85"/>
      <c r="F982" s="85"/>
      <c r="G982" s="85"/>
      <c r="H982" s="85"/>
      <c r="I982" s="85"/>
      <c r="J982" s="85"/>
      <c r="K982" s="85"/>
      <c r="L982" s="109"/>
      <c r="M982" s="110"/>
      <c r="N982" s="127"/>
      <c r="O982" s="112"/>
      <c r="P982" s="112"/>
      <c r="Q982" s="118"/>
    </row>
    <row r="983" spans="2:17" s="5" customFormat="1" ht="13">
      <c r="B983" s="84"/>
      <c r="C983" s="84"/>
      <c r="D983" s="85"/>
      <c r="E983" s="85"/>
      <c r="F983" s="85"/>
      <c r="G983" s="85"/>
      <c r="H983" s="85"/>
      <c r="I983" s="85"/>
      <c r="J983" s="85"/>
      <c r="K983" s="85"/>
      <c r="L983" s="109"/>
      <c r="M983" s="110"/>
      <c r="N983" s="127"/>
      <c r="O983" s="112"/>
      <c r="P983" s="112"/>
      <c r="Q983" s="118"/>
    </row>
    <row r="984" spans="2:17" s="5" customFormat="1" ht="13">
      <c r="B984" s="84"/>
      <c r="C984" s="84"/>
      <c r="D984" s="85"/>
      <c r="E984" s="85"/>
      <c r="F984" s="85"/>
      <c r="G984" s="85"/>
      <c r="H984" s="85"/>
      <c r="I984" s="85"/>
      <c r="J984" s="85"/>
      <c r="K984" s="85"/>
      <c r="L984" s="109"/>
      <c r="M984" s="110"/>
      <c r="N984" s="127"/>
      <c r="O984" s="112"/>
      <c r="P984" s="112"/>
      <c r="Q984" s="118"/>
    </row>
    <row r="985" spans="2:17" s="5" customFormat="1" ht="13">
      <c r="B985" s="84"/>
      <c r="C985" s="84"/>
      <c r="D985" s="85"/>
      <c r="E985" s="85"/>
      <c r="F985" s="85"/>
      <c r="G985" s="85"/>
      <c r="H985" s="85"/>
      <c r="I985" s="85"/>
      <c r="J985" s="85"/>
      <c r="K985" s="85"/>
      <c r="L985" s="109"/>
      <c r="M985" s="110"/>
      <c r="N985" s="127"/>
      <c r="O985" s="112"/>
      <c r="P985" s="112"/>
      <c r="Q985" s="118"/>
    </row>
    <row r="986" spans="2:17" s="5" customFormat="1" ht="13">
      <c r="B986" s="84"/>
      <c r="C986" s="84"/>
      <c r="D986" s="85"/>
      <c r="E986" s="85"/>
      <c r="F986" s="85"/>
      <c r="G986" s="85"/>
      <c r="H986" s="85"/>
      <c r="I986" s="85"/>
      <c r="J986" s="85"/>
      <c r="K986" s="85"/>
      <c r="L986" s="109"/>
      <c r="M986" s="110"/>
      <c r="N986" s="127"/>
      <c r="O986" s="112"/>
      <c r="P986" s="112"/>
      <c r="Q986" s="118"/>
    </row>
    <row r="987" spans="2:17" s="5" customFormat="1" ht="13">
      <c r="B987" s="84"/>
      <c r="C987" s="84"/>
      <c r="D987" s="85"/>
      <c r="E987" s="85"/>
      <c r="F987" s="85"/>
      <c r="G987" s="85"/>
      <c r="H987" s="85"/>
      <c r="I987" s="85"/>
      <c r="J987" s="85"/>
      <c r="K987" s="85"/>
      <c r="L987" s="109"/>
      <c r="M987" s="110"/>
      <c r="N987" s="127"/>
      <c r="O987" s="112"/>
      <c r="P987" s="112"/>
      <c r="Q987" s="118"/>
    </row>
    <row r="988" spans="2:17" s="5" customFormat="1" ht="13">
      <c r="B988" s="84"/>
      <c r="C988" s="84"/>
      <c r="D988" s="85"/>
      <c r="E988" s="85"/>
      <c r="F988" s="85"/>
      <c r="G988" s="85"/>
      <c r="H988" s="85"/>
      <c r="I988" s="85"/>
      <c r="J988" s="85"/>
      <c r="K988" s="85"/>
      <c r="L988" s="109"/>
      <c r="M988" s="110"/>
      <c r="N988" s="127"/>
      <c r="O988" s="112"/>
      <c r="P988" s="112"/>
      <c r="Q988" s="118"/>
    </row>
    <row r="989" spans="2:17" s="5" customFormat="1" ht="13">
      <c r="B989" s="84"/>
      <c r="C989" s="84"/>
      <c r="D989" s="85"/>
      <c r="E989" s="85"/>
      <c r="F989" s="85"/>
      <c r="G989" s="85"/>
      <c r="H989" s="85"/>
      <c r="I989" s="85"/>
      <c r="J989" s="85"/>
      <c r="K989" s="85"/>
      <c r="L989" s="109"/>
      <c r="M989" s="110"/>
      <c r="N989" s="127"/>
      <c r="O989" s="112"/>
      <c r="P989" s="112"/>
      <c r="Q989" s="118"/>
    </row>
    <row r="990" spans="2:17" s="5" customFormat="1" ht="13">
      <c r="B990" s="84"/>
      <c r="C990" s="84"/>
      <c r="D990" s="85"/>
      <c r="E990" s="85"/>
      <c r="F990" s="85"/>
      <c r="G990" s="85"/>
      <c r="H990" s="85"/>
      <c r="I990" s="85"/>
      <c r="J990" s="85"/>
      <c r="K990" s="85"/>
      <c r="L990" s="109"/>
      <c r="M990" s="110"/>
      <c r="N990" s="127"/>
      <c r="O990" s="112"/>
      <c r="P990" s="112"/>
      <c r="Q990" s="118"/>
    </row>
    <row r="991" spans="2:17" s="5" customFormat="1" ht="13">
      <c r="B991" s="84"/>
      <c r="C991" s="84"/>
      <c r="D991" s="85"/>
      <c r="E991" s="85"/>
      <c r="F991" s="85"/>
      <c r="G991" s="85"/>
      <c r="H991" s="85"/>
      <c r="I991" s="85"/>
      <c r="J991" s="85"/>
      <c r="K991" s="85"/>
      <c r="L991" s="109"/>
      <c r="M991" s="110"/>
      <c r="N991" s="127"/>
      <c r="O991" s="112"/>
      <c r="P991" s="112"/>
      <c r="Q991" s="118"/>
    </row>
    <row r="992" spans="2:17" s="5" customFormat="1" ht="13">
      <c r="B992" s="84"/>
      <c r="C992" s="84"/>
      <c r="D992" s="85"/>
      <c r="E992" s="85"/>
      <c r="F992" s="85"/>
      <c r="G992" s="85"/>
      <c r="H992" s="85"/>
      <c r="I992" s="85"/>
      <c r="J992" s="85"/>
      <c r="K992" s="85"/>
      <c r="L992" s="109"/>
      <c r="M992" s="110"/>
      <c r="N992" s="127"/>
      <c r="O992" s="112"/>
      <c r="P992" s="112"/>
      <c r="Q992" s="118"/>
    </row>
    <row r="993" spans="2:17" s="5" customFormat="1" ht="13">
      <c r="B993" s="84"/>
      <c r="C993" s="84"/>
      <c r="D993" s="85"/>
      <c r="E993" s="85"/>
      <c r="F993" s="85"/>
      <c r="G993" s="85"/>
      <c r="H993" s="85"/>
      <c r="I993" s="85"/>
      <c r="J993" s="85"/>
      <c r="K993" s="85"/>
      <c r="L993" s="109"/>
      <c r="M993" s="110"/>
      <c r="N993" s="127"/>
      <c r="O993" s="112"/>
      <c r="P993" s="112"/>
      <c r="Q993" s="118"/>
    </row>
    <row r="994" spans="2:17" s="5" customFormat="1" ht="13">
      <c r="B994" s="84"/>
      <c r="C994" s="84"/>
      <c r="D994" s="85"/>
      <c r="E994" s="85"/>
      <c r="F994" s="85"/>
      <c r="G994" s="85"/>
      <c r="H994" s="85"/>
      <c r="I994" s="85"/>
      <c r="J994" s="85"/>
      <c r="K994" s="85"/>
      <c r="L994" s="109"/>
      <c r="M994" s="110"/>
      <c r="N994" s="127"/>
      <c r="O994" s="112"/>
      <c r="P994" s="112"/>
      <c r="Q994" s="118"/>
    </row>
    <row r="995" spans="2:17" s="5" customFormat="1" ht="13">
      <c r="B995" s="84"/>
      <c r="C995" s="84"/>
      <c r="D995" s="85"/>
      <c r="E995" s="85"/>
      <c r="F995" s="85"/>
      <c r="G995" s="85"/>
      <c r="H995" s="85"/>
      <c r="I995" s="85"/>
      <c r="J995" s="85"/>
      <c r="K995" s="85"/>
      <c r="L995" s="109"/>
      <c r="M995" s="110"/>
      <c r="N995" s="127"/>
      <c r="O995" s="112"/>
      <c r="P995" s="112"/>
      <c r="Q995" s="118"/>
    </row>
    <row r="996" spans="2:17" s="5" customFormat="1" ht="13">
      <c r="B996" s="84"/>
      <c r="C996" s="84"/>
      <c r="D996" s="85"/>
      <c r="E996" s="85"/>
      <c r="F996" s="85"/>
      <c r="G996" s="85"/>
      <c r="H996" s="85"/>
      <c r="I996" s="85"/>
      <c r="J996" s="85"/>
      <c r="K996" s="85"/>
      <c r="L996" s="109"/>
      <c r="M996" s="110"/>
      <c r="N996" s="127"/>
      <c r="O996" s="112"/>
      <c r="P996" s="112"/>
      <c r="Q996" s="118"/>
    </row>
    <row r="997" spans="2:17" s="5" customFormat="1" ht="13">
      <c r="B997" s="84"/>
      <c r="C997" s="84"/>
      <c r="D997" s="85"/>
      <c r="E997" s="85"/>
      <c r="F997" s="85"/>
      <c r="G997" s="85"/>
      <c r="H997" s="85"/>
      <c r="I997" s="85"/>
      <c r="J997" s="85"/>
      <c r="K997" s="85"/>
      <c r="L997" s="109"/>
      <c r="M997" s="110"/>
      <c r="N997" s="127"/>
      <c r="O997" s="112"/>
      <c r="P997" s="112"/>
      <c r="Q997" s="118"/>
    </row>
    <row r="998" spans="2:17" s="5" customFormat="1" ht="13">
      <c r="B998" s="84"/>
      <c r="C998" s="84"/>
      <c r="D998" s="85"/>
      <c r="E998" s="85"/>
      <c r="F998" s="85"/>
      <c r="G998" s="85"/>
      <c r="H998" s="85"/>
      <c r="I998" s="85"/>
      <c r="J998" s="85"/>
      <c r="K998" s="85"/>
      <c r="L998" s="109"/>
      <c r="M998" s="110"/>
      <c r="N998" s="127"/>
      <c r="O998" s="112"/>
      <c r="P998" s="112"/>
      <c r="Q998" s="118"/>
    </row>
    <row r="999" spans="2:17" s="5" customFormat="1" ht="13">
      <c r="B999" s="84"/>
      <c r="C999" s="84"/>
      <c r="D999" s="85"/>
      <c r="E999" s="85"/>
      <c r="F999" s="85"/>
      <c r="G999" s="85"/>
      <c r="H999" s="85"/>
      <c r="I999" s="85"/>
      <c r="J999" s="85"/>
      <c r="K999" s="85"/>
      <c r="L999" s="109"/>
      <c r="M999" s="110"/>
      <c r="N999" s="127"/>
      <c r="O999" s="112"/>
      <c r="P999" s="112"/>
      <c r="Q999" s="118"/>
    </row>
    <row r="1000" spans="2:17" s="5" customFormat="1" ht="13">
      <c r="B1000" s="84"/>
      <c r="C1000" s="84"/>
      <c r="D1000" s="85"/>
      <c r="E1000" s="85"/>
      <c r="F1000" s="85"/>
      <c r="G1000" s="85"/>
      <c r="H1000" s="85"/>
      <c r="I1000" s="85"/>
      <c r="J1000" s="85"/>
      <c r="K1000" s="85"/>
      <c r="L1000" s="109"/>
      <c r="M1000" s="110"/>
      <c r="N1000" s="127"/>
      <c r="O1000" s="112"/>
      <c r="P1000" s="112"/>
      <c r="Q1000" s="118"/>
    </row>
    <row r="1001" spans="2:17" s="5" customFormat="1" ht="13">
      <c r="B1001" s="84"/>
      <c r="C1001" s="84"/>
      <c r="D1001" s="85"/>
      <c r="E1001" s="85"/>
      <c r="F1001" s="85"/>
      <c r="G1001" s="85"/>
      <c r="H1001" s="85"/>
      <c r="I1001" s="85"/>
      <c r="J1001" s="85"/>
      <c r="K1001" s="85"/>
      <c r="L1001" s="109"/>
      <c r="M1001" s="110"/>
      <c r="N1001" s="127"/>
      <c r="O1001" s="112"/>
      <c r="P1001" s="112"/>
      <c r="Q1001" s="118"/>
    </row>
    <row r="1002" spans="2:17" s="5" customFormat="1" ht="13">
      <c r="B1002" s="84"/>
      <c r="C1002" s="84"/>
      <c r="D1002" s="85"/>
      <c r="E1002" s="85"/>
      <c r="F1002" s="85"/>
      <c r="G1002" s="85"/>
      <c r="H1002" s="85"/>
      <c r="I1002" s="85"/>
      <c r="J1002" s="85"/>
      <c r="K1002" s="85"/>
      <c r="L1002" s="109"/>
      <c r="M1002" s="110"/>
      <c r="N1002" s="127"/>
      <c r="O1002" s="112"/>
      <c r="P1002" s="112"/>
      <c r="Q1002" s="118"/>
    </row>
    <row r="1003" spans="2:17" s="5" customFormat="1" ht="13">
      <c r="B1003" s="84"/>
      <c r="C1003" s="84"/>
      <c r="D1003" s="85"/>
      <c r="E1003" s="85"/>
      <c r="F1003" s="85"/>
      <c r="G1003" s="85"/>
      <c r="H1003" s="85"/>
      <c r="I1003" s="85"/>
      <c r="J1003" s="85"/>
      <c r="K1003" s="85"/>
      <c r="L1003" s="109"/>
      <c r="M1003" s="110"/>
      <c r="N1003" s="127"/>
      <c r="O1003" s="112"/>
      <c r="P1003" s="112"/>
      <c r="Q1003" s="118"/>
    </row>
    <row r="1004" spans="2:17" s="5" customFormat="1" ht="13">
      <c r="B1004" s="84"/>
      <c r="C1004" s="84"/>
      <c r="D1004" s="85"/>
      <c r="E1004" s="85"/>
      <c r="F1004" s="85"/>
      <c r="G1004" s="85"/>
      <c r="H1004" s="85"/>
      <c r="I1004" s="85"/>
      <c r="J1004" s="85"/>
      <c r="K1004" s="85"/>
      <c r="L1004" s="109"/>
      <c r="M1004" s="110"/>
      <c r="N1004" s="127"/>
      <c r="O1004" s="112"/>
      <c r="P1004" s="112"/>
      <c r="Q1004" s="118"/>
    </row>
    <row r="1005" spans="2:17" s="5" customFormat="1" ht="13">
      <c r="B1005" s="84"/>
      <c r="C1005" s="84"/>
      <c r="D1005" s="85"/>
      <c r="E1005" s="85"/>
      <c r="F1005" s="85"/>
      <c r="G1005" s="85"/>
      <c r="H1005" s="85"/>
      <c r="I1005" s="85"/>
      <c r="J1005" s="85"/>
      <c r="K1005" s="85"/>
      <c r="L1005" s="109"/>
      <c r="M1005" s="110"/>
      <c r="N1005" s="127"/>
      <c r="O1005" s="112"/>
      <c r="P1005" s="112"/>
      <c r="Q1005" s="118"/>
    </row>
    <row r="1006" spans="2:17" s="5" customFormat="1" ht="13">
      <c r="B1006" s="84"/>
      <c r="C1006" s="84"/>
      <c r="D1006" s="85"/>
      <c r="E1006" s="85"/>
      <c r="F1006" s="85"/>
      <c r="G1006" s="85"/>
      <c r="H1006" s="85"/>
      <c r="I1006" s="85"/>
      <c r="J1006" s="85"/>
      <c r="K1006" s="85"/>
      <c r="L1006" s="109"/>
      <c r="M1006" s="110"/>
      <c r="N1006" s="127"/>
      <c r="O1006" s="112"/>
      <c r="P1006" s="112"/>
      <c r="Q1006" s="118"/>
    </row>
    <row r="1007" spans="2:17" s="5" customFormat="1" ht="13">
      <c r="B1007" s="84"/>
      <c r="C1007" s="84"/>
      <c r="D1007" s="85"/>
      <c r="E1007" s="85"/>
      <c r="F1007" s="85"/>
      <c r="G1007" s="85"/>
      <c r="H1007" s="85"/>
      <c r="I1007" s="85"/>
      <c r="J1007" s="85"/>
      <c r="K1007" s="85"/>
      <c r="L1007" s="109"/>
      <c r="M1007" s="110"/>
      <c r="N1007" s="127"/>
      <c r="O1007" s="112"/>
      <c r="P1007" s="112"/>
      <c r="Q1007" s="118"/>
    </row>
    <row r="1008" spans="2:17" s="5" customFormat="1" ht="13">
      <c r="B1008" s="84"/>
      <c r="C1008" s="84"/>
      <c r="D1008" s="85"/>
      <c r="E1008" s="85"/>
      <c r="F1008" s="85"/>
      <c r="G1008" s="85"/>
      <c r="H1008" s="85"/>
      <c r="I1008" s="85"/>
      <c r="J1008" s="85"/>
      <c r="K1008" s="85"/>
      <c r="L1008" s="109"/>
      <c r="M1008" s="110"/>
      <c r="N1008" s="127"/>
      <c r="O1008" s="112"/>
      <c r="P1008" s="112"/>
      <c r="Q1008" s="118"/>
    </row>
    <row r="1009" spans="2:17" s="5" customFormat="1" ht="13">
      <c r="B1009" s="84"/>
      <c r="C1009" s="84"/>
      <c r="D1009" s="85"/>
      <c r="E1009" s="85"/>
      <c r="F1009" s="85"/>
      <c r="G1009" s="85"/>
      <c r="H1009" s="85"/>
      <c r="I1009" s="85"/>
      <c r="J1009" s="85"/>
      <c r="K1009" s="85"/>
      <c r="L1009" s="109"/>
      <c r="M1009" s="110"/>
      <c r="N1009" s="127"/>
      <c r="O1009" s="112"/>
      <c r="P1009" s="112"/>
      <c r="Q1009" s="118"/>
    </row>
    <row r="1010" spans="2:17" s="5" customFormat="1" ht="13">
      <c r="B1010" s="84"/>
      <c r="C1010" s="84"/>
      <c r="D1010" s="85"/>
      <c r="E1010" s="85"/>
      <c r="F1010" s="85"/>
      <c r="G1010" s="85"/>
      <c r="H1010" s="85"/>
      <c r="I1010" s="85"/>
      <c r="J1010" s="85"/>
      <c r="K1010" s="85"/>
      <c r="L1010" s="109"/>
      <c r="M1010" s="110"/>
      <c r="N1010" s="127"/>
      <c r="O1010" s="112"/>
      <c r="P1010" s="112"/>
      <c r="Q1010" s="118"/>
    </row>
    <row r="1011" spans="2:17" s="5" customFormat="1" ht="13">
      <c r="B1011" s="84"/>
      <c r="C1011" s="84"/>
      <c r="D1011" s="85"/>
      <c r="E1011" s="85"/>
      <c r="F1011" s="85"/>
      <c r="G1011" s="85"/>
      <c r="H1011" s="85"/>
      <c r="I1011" s="85"/>
      <c r="J1011" s="85"/>
      <c r="K1011" s="85"/>
      <c r="L1011" s="109"/>
      <c r="M1011" s="110"/>
      <c r="N1011" s="127"/>
      <c r="O1011" s="112"/>
      <c r="P1011" s="112"/>
      <c r="Q1011" s="118"/>
    </row>
    <row r="1012" spans="2:17" s="5" customFormat="1" ht="13">
      <c r="B1012" s="84"/>
      <c r="C1012" s="84"/>
      <c r="D1012" s="85"/>
      <c r="E1012" s="85"/>
      <c r="F1012" s="85"/>
      <c r="G1012" s="85"/>
      <c r="H1012" s="85"/>
      <c r="I1012" s="85"/>
      <c r="J1012" s="85"/>
      <c r="K1012" s="85"/>
      <c r="L1012" s="109"/>
      <c r="M1012" s="110"/>
      <c r="N1012" s="127"/>
      <c r="O1012" s="112"/>
      <c r="P1012" s="112"/>
      <c r="Q1012" s="118"/>
    </row>
    <row r="1013" spans="2:17" s="5" customFormat="1" ht="13">
      <c r="B1013" s="84"/>
      <c r="C1013" s="84"/>
      <c r="D1013" s="85"/>
      <c r="E1013" s="85"/>
      <c r="F1013" s="85"/>
      <c r="G1013" s="85"/>
      <c r="H1013" s="85"/>
      <c r="I1013" s="85"/>
      <c r="J1013" s="85"/>
      <c r="K1013" s="85"/>
      <c r="L1013" s="109"/>
      <c r="M1013" s="110"/>
      <c r="N1013" s="127"/>
      <c r="O1013" s="112"/>
      <c r="P1013" s="112"/>
      <c r="Q1013" s="118"/>
    </row>
    <row r="1014" spans="2:17" s="5" customFormat="1" ht="13">
      <c r="B1014" s="84"/>
      <c r="C1014" s="84"/>
      <c r="D1014" s="85"/>
      <c r="E1014" s="85"/>
      <c r="F1014" s="85"/>
      <c r="G1014" s="85"/>
      <c r="H1014" s="85"/>
      <c r="I1014" s="85"/>
      <c r="J1014" s="85"/>
      <c r="K1014" s="85"/>
      <c r="L1014" s="109"/>
      <c r="M1014" s="110"/>
      <c r="N1014" s="127"/>
      <c r="O1014" s="112"/>
      <c r="P1014" s="112"/>
      <c r="Q1014" s="118"/>
    </row>
    <row r="1015" spans="2:17" s="5" customFormat="1" ht="13">
      <c r="B1015" s="84"/>
      <c r="C1015" s="84"/>
      <c r="D1015" s="85"/>
      <c r="E1015" s="85"/>
      <c r="F1015" s="85"/>
      <c r="G1015" s="85"/>
      <c r="H1015" s="85"/>
      <c r="I1015" s="85"/>
      <c r="J1015" s="85"/>
      <c r="K1015" s="85"/>
      <c r="L1015" s="109"/>
      <c r="M1015" s="110"/>
      <c r="N1015" s="127"/>
      <c r="O1015" s="112"/>
      <c r="P1015" s="112"/>
      <c r="Q1015" s="118"/>
    </row>
    <row r="1016" spans="2:17" s="5" customFormat="1" ht="13">
      <c r="B1016" s="84"/>
      <c r="C1016" s="84"/>
      <c r="D1016" s="85"/>
      <c r="E1016" s="85"/>
      <c r="F1016" s="85"/>
      <c r="G1016" s="85"/>
      <c r="H1016" s="85"/>
      <c r="I1016" s="85"/>
      <c r="J1016" s="85"/>
      <c r="K1016" s="85"/>
      <c r="L1016" s="109"/>
      <c r="M1016" s="110"/>
      <c r="N1016" s="127"/>
      <c r="O1016" s="112"/>
      <c r="P1016" s="112"/>
      <c r="Q1016" s="118"/>
    </row>
    <row r="1017" spans="2:17" s="5" customFormat="1" ht="13">
      <c r="B1017" s="84"/>
      <c r="C1017" s="84"/>
      <c r="D1017" s="85"/>
      <c r="E1017" s="85"/>
      <c r="F1017" s="85"/>
      <c r="G1017" s="85"/>
      <c r="H1017" s="85"/>
      <c r="I1017" s="85"/>
      <c r="J1017" s="85"/>
      <c r="K1017" s="85"/>
      <c r="L1017" s="109"/>
      <c r="M1017" s="110"/>
      <c r="N1017" s="127"/>
      <c r="O1017" s="112"/>
      <c r="P1017" s="112"/>
      <c r="Q1017" s="118"/>
    </row>
    <row r="1018" spans="2:17" s="5" customFormat="1" ht="13">
      <c r="B1018" s="84"/>
      <c r="C1018" s="84"/>
      <c r="D1018" s="85"/>
      <c r="E1018" s="85"/>
      <c r="F1018" s="85"/>
      <c r="G1018" s="85"/>
      <c r="H1018" s="85"/>
      <c r="I1018" s="85"/>
      <c r="J1018" s="85"/>
      <c r="K1018" s="85"/>
      <c r="L1018" s="109"/>
      <c r="M1018" s="110"/>
      <c r="N1018" s="127"/>
      <c r="O1018" s="112"/>
      <c r="P1018" s="112"/>
      <c r="Q1018" s="118"/>
    </row>
    <row r="1019" spans="2:17" s="5" customFormat="1" ht="13">
      <c r="B1019" s="84"/>
      <c r="C1019" s="84"/>
      <c r="D1019" s="85"/>
      <c r="E1019" s="85"/>
      <c r="F1019" s="85"/>
      <c r="G1019" s="85"/>
      <c r="H1019" s="85"/>
      <c r="I1019" s="85"/>
      <c r="J1019" s="85"/>
      <c r="K1019" s="85"/>
      <c r="L1019" s="109"/>
      <c r="M1019" s="110"/>
      <c r="N1019" s="127"/>
      <c r="O1019" s="112"/>
      <c r="P1019" s="112"/>
      <c r="Q1019" s="118"/>
    </row>
    <row r="1020" spans="2:17" s="5" customFormat="1" ht="13">
      <c r="B1020" s="84"/>
      <c r="C1020" s="84"/>
      <c r="D1020" s="85"/>
      <c r="E1020" s="85"/>
      <c r="F1020" s="85"/>
      <c r="G1020" s="85"/>
      <c r="H1020" s="85"/>
      <c r="I1020" s="85"/>
      <c r="J1020" s="85"/>
      <c r="K1020" s="85"/>
      <c r="L1020" s="109"/>
      <c r="M1020" s="110"/>
      <c r="N1020" s="127"/>
      <c r="O1020" s="112"/>
      <c r="P1020" s="112"/>
      <c r="Q1020" s="118"/>
    </row>
    <row r="1021" spans="2:17" s="5" customFormat="1" ht="13">
      <c r="B1021" s="84"/>
      <c r="C1021" s="84"/>
      <c r="D1021" s="85"/>
      <c r="E1021" s="85"/>
      <c r="F1021" s="85"/>
      <c r="G1021" s="85"/>
      <c r="H1021" s="85"/>
      <c r="I1021" s="85"/>
      <c r="J1021" s="85"/>
      <c r="K1021" s="85"/>
      <c r="L1021" s="109"/>
      <c r="M1021" s="110"/>
      <c r="N1021" s="127"/>
      <c r="O1021" s="112"/>
      <c r="P1021" s="112"/>
      <c r="Q1021" s="118"/>
    </row>
    <row r="1022" spans="2:17" s="5" customFormat="1" ht="13">
      <c r="B1022" s="84"/>
      <c r="C1022" s="84"/>
      <c r="D1022" s="85"/>
      <c r="E1022" s="85"/>
      <c r="F1022" s="85"/>
      <c r="G1022" s="85"/>
      <c r="H1022" s="85"/>
      <c r="I1022" s="85"/>
      <c r="J1022" s="85"/>
      <c r="K1022" s="85"/>
      <c r="L1022" s="109"/>
      <c r="M1022" s="110"/>
      <c r="N1022" s="127"/>
      <c r="O1022" s="112"/>
      <c r="P1022" s="112"/>
      <c r="Q1022" s="118"/>
    </row>
    <row r="1023" spans="2:17" s="5" customFormat="1" ht="13">
      <c r="B1023" s="84"/>
      <c r="C1023" s="84"/>
      <c r="D1023" s="85"/>
      <c r="E1023" s="85"/>
      <c r="F1023" s="85"/>
      <c r="G1023" s="85"/>
      <c r="H1023" s="85"/>
      <c r="I1023" s="85"/>
      <c r="J1023" s="85"/>
      <c r="K1023" s="85"/>
      <c r="L1023" s="109"/>
      <c r="M1023" s="110"/>
      <c r="N1023" s="127"/>
      <c r="O1023" s="112"/>
      <c r="P1023" s="112"/>
      <c r="Q1023" s="118"/>
    </row>
    <row r="1024" spans="2:17" s="5" customFormat="1" ht="13">
      <c r="B1024" s="84"/>
      <c r="C1024" s="84"/>
      <c r="D1024" s="85"/>
      <c r="E1024" s="85"/>
      <c r="F1024" s="85"/>
      <c r="G1024" s="85"/>
      <c r="H1024" s="85"/>
      <c r="I1024" s="85"/>
      <c r="J1024" s="85"/>
      <c r="K1024" s="85"/>
      <c r="L1024" s="109"/>
      <c r="M1024" s="110"/>
      <c r="N1024" s="127"/>
      <c r="O1024" s="112"/>
      <c r="P1024" s="112"/>
      <c r="Q1024" s="118"/>
    </row>
    <row r="1025" spans="2:17" s="5" customFormat="1" ht="13">
      <c r="B1025" s="84"/>
      <c r="C1025" s="84"/>
      <c r="D1025" s="85"/>
      <c r="E1025" s="85"/>
      <c r="F1025" s="85"/>
      <c r="G1025" s="85"/>
      <c r="H1025" s="85"/>
      <c r="I1025" s="85"/>
      <c r="J1025" s="85"/>
      <c r="K1025" s="85"/>
      <c r="L1025" s="109"/>
      <c r="M1025" s="110"/>
      <c r="N1025" s="127"/>
      <c r="O1025" s="112"/>
      <c r="P1025" s="112"/>
      <c r="Q1025" s="118"/>
    </row>
    <row r="1026" spans="2:17" s="5" customFormat="1" ht="13">
      <c r="B1026" s="84"/>
      <c r="C1026" s="84"/>
      <c r="D1026" s="85"/>
      <c r="E1026" s="85"/>
      <c r="F1026" s="85"/>
      <c r="G1026" s="85"/>
      <c r="H1026" s="85"/>
      <c r="I1026" s="85"/>
      <c r="J1026" s="85"/>
      <c r="K1026" s="85"/>
      <c r="L1026" s="109"/>
      <c r="M1026" s="110"/>
      <c r="N1026" s="127"/>
      <c r="O1026" s="112"/>
      <c r="P1026" s="112"/>
      <c r="Q1026" s="118"/>
    </row>
    <row r="1027" spans="2:17" s="5" customFormat="1" ht="13">
      <c r="B1027" s="84"/>
      <c r="C1027" s="84"/>
      <c r="D1027" s="85"/>
      <c r="E1027" s="85"/>
      <c r="F1027" s="85"/>
      <c r="G1027" s="85"/>
      <c r="H1027" s="85"/>
      <c r="I1027" s="85"/>
      <c r="J1027" s="85"/>
      <c r="K1027" s="85"/>
      <c r="L1027" s="109"/>
      <c r="M1027" s="110"/>
      <c r="N1027" s="127"/>
      <c r="O1027" s="112"/>
      <c r="P1027" s="112"/>
      <c r="Q1027" s="118"/>
    </row>
    <row r="1028" spans="2:17" s="5" customFormat="1" ht="13">
      <c r="B1028" s="84"/>
      <c r="C1028" s="84"/>
      <c r="D1028" s="85"/>
      <c r="E1028" s="85"/>
      <c r="F1028" s="85"/>
      <c r="G1028" s="85"/>
      <c r="H1028" s="85"/>
      <c r="I1028" s="85"/>
      <c r="J1028" s="85"/>
      <c r="K1028" s="85"/>
      <c r="L1028" s="109"/>
      <c r="M1028" s="110"/>
      <c r="N1028" s="127"/>
      <c r="O1028" s="112"/>
      <c r="P1028" s="112"/>
      <c r="Q1028" s="118"/>
    </row>
    <row r="1029" spans="2:17" s="5" customFormat="1" ht="13">
      <c r="B1029" s="84"/>
      <c r="C1029" s="84"/>
      <c r="D1029" s="85"/>
      <c r="E1029" s="85"/>
      <c r="F1029" s="85"/>
      <c r="G1029" s="85"/>
      <c r="H1029" s="85"/>
      <c r="I1029" s="85"/>
      <c r="J1029" s="85"/>
      <c r="K1029" s="85"/>
      <c r="L1029" s="109"/>
      <c r="M1029" s="110"/>
      <c r="N1029" s="127"/>
      <c r="O1029" s="112"/>
      <c r="P1029" s="112"/>
      <c r="Q1029" s="118"/>
    </row>
    <row r="1030" spans="2:17" s="5" customFormat="1" ht="13">
      <c r="B1030" s="84"/>
      <c r="C1030" s="84"/>
      <c r="D1030" s="85"/>
      <c r="E1030" s="85"/>
      <c r="F1030" s="85"/>
      <c r="G1030" s="85"/>
      <c r="H1030" s="85"/>
      <c r="I1030" s="85"/>
      <c r="J1030" s="85"/>
      <c r="K1030" s="85"/>
      <c r="L1030" s="109"/>
      <c r="M1030" s="110"/>
      <c r="N1030" s="127"/>
      <c r="O1030" s="112"/>
      <c r="P1030" s="112"/>
      <c r="Q1030" s="118"/>
    </row>
    <row r="1031" spans="2:17" s="5" customFormat="1" ht="13">
      <c r="B1031" s="84"/>
      <c r="C1031" s="84"/>
      <c r="D1031" s="85"/>
      <c r="E1031" s="85"/>
      <c r="F1031" s="85"/>
      <c r="G1031" s="85"/>
      <c r="H1031" s="85"/>
      <c r="I1031" s="85"/>
      <c r="J1031" s="85"/>
      <c r="K1031" s="85"/>
      <c r="L1031" s="109"/>
      <c r="M1031" s="110"/>
      <c r="N1031" s="127"/>
      <c r="O1031" s="112"/>
      <c r="P1031" s="112"/>
      <c r="Q1031" s="118"/>
    </row>
    <row r="1032" spans="2:17" s="5" customFormat="1" ht="13">
      <c r="B1032" s="84"/>
      <c r="C1032" s="84"/>
      <c r="D1032" s="85"/>
      <c r="E1032" s="85"/>
      <c r="F1032" s="85"/>
      <c r="G1032" s="85"/>
      <c r="H1032" s="85"/>
      <c r="I1032" s="85"/>
      <c r="J1032" s="85"/>
      <c r="K1032" s="85"/>
      <c r="L1032" s="109"/>
      <c r="M1032" s="110"/>
      <c r="N1032" s="127"/>
      <c r="O1032" s="112"/>
      <c r="P1032" s="112"/>
      <c r="Q1032" s="118"/>
    </row>
    <row r="1033" spans="2:17" s="5" customFormat="1" ht="13">
      <c r="B1033" s="84"/>
      <c r="C1033" s="84"/>
      <c r="D1033" s="85"/>
      <c r="E1033" s="85"/>
      <c r="F1033" s="85"/>
      <c r="G1033" s="85"/>
      <c r="H1033" s="85"/>
      <c r="I1033" s="85"/>
      <c r="J1033" s="85"/>
      <c r="K1033" s="85"/>
      <c r="L1033" s="109"/>
      <c r="M1033" s="110"/>
      <c r="N1033" s="127"/>
      <c r="O1033" s="112"/>
      <c r="P1033" s="112"/>
      <c r="Q1033" s="118"/>
    </row>
    <row r="1034" spans="2:17" s="5" customFormat="1" ht="13">
      <c r="B1034" s="84"/>
      <c r="C1034" s="84"/>
      <c r="D1034" s="85"/>
      <c r="E1034" s="85"/>
      <c r="F1034" s="85"/>
      <c r="G1034" s="85"/>
      <c r="H1034" s="85"/>
      <c r="I1034" s="85"/>
      <c r="J1034" s="85"/>
      <c r="K1034" s="85"/>
      <c r="L1034" s="109"/>
      <c r="M1034" s="110"/>
      <c r="N1034" s="127"/>
      <c r="O1034" s="112"/>
      <c r="P1034" s="112"/>
      <c r="Q1034" s="118"/>
    </row>
    <row r="1035" spans="2:17" s="5" customFormat="1" ht="13">
      <c r="B1035" s="84"/>
      <c r="C1035" s="84"/>
      <c r="D1035" s="85"/>
      <c r="E1035" s="85"/>
      <c r="F1035" s="85"/>
      <c r="G1035" s="85"/>
      <c r="H1035" s="85"/>
      <c r="I1035" s="85"/>
      <c r="J1035" s="85"/>
      <c r="K1035" s="85"/>
      <c r="L1035" s="109"/>
      <c r="M1035" s="110"/>
      <c r="N1035" s="127"/>
      <c r="O1035" s="112"/>
      <c r="P1035" s="112"/>
      <c r="Q1035" s="118"/>
    </row>
    <row r="1036" spans="2:17" s="5" customFormat="1" ht="13">
      <c r="B1036" s="84"/>
      <c r="C1036" s="84"/>
      <c r="D1036" s="85"/>
      <c r="E1036" s="85"/>
      <c r="F1036" s="85"/>
      <c r="G1036" s="85"/>
      <c r="H1036" s="85"/>
      <c r="I1036" s="85"/>
      <c r="J1036" s="85"/>
      <c r="K1036" s="85"/>
      <c r="L1036" s="109"/>
      <c r="M1036" s="110"/>
      <c r="N1036" s="127"/>
      <c r="O1036" s="112"/>
      <c r="P1036" s="112"/>
      <c r="Q1036" s="118"/>
    </row>
    <row r="1037" spans="2:17" s="5" customFormat="1" ht="13">
      <c r="B1037" s="84"/>
      <c r="C1037" s="84"/>
      <c r="D1037" s="85"/>
      <c r="E1037" s="85"/>
      <c r="F1037" s="85"/>
      <c r="G1037" s="85"/>
      <c r="H1037" s="85"/>
      <c r="I1037" s="85"/>
      <c r="J1037" s="85"/>
      <c r="K1037" s="85"/>
      <c r="L1037" s="109"/>
      <c r="M1037" s="110"/>
      <c r="N1037" s="127"/>
      <c r="O1037" s="112"/>
      <c r="P1037" s="112"/>
      <c r="Q1037" s="118"/>
    </row>
    <row r="1038" spans="2:17" s="5" customFormat="1" ht="13">
      <c r="B1038" s="84"/>
      <c r="C1038" s="84"/>
      <c r="D1038" s="85"/>
      <c r="E1038" s="85"/>
      <c r="F1038" s="85"/>
      <c r="G1038" s="85"/>
      <c r="H1038" s="85"/>
      <c r="I1038" s="85"/>
      <c r="J1038" s="85"/>
      <c r="K1038" s="85"/>
      <c r="L1038" s="109"/>
      <c r="M1038" s="110"/>
      <c r="N1038" s="127"/>
      <c r="O1038" s="112"/>
      <c r="P1038" s="112"/>
      <c r="Q1038" s="118"/>
    </row>
    <row r="1039" spans="2:17" s="5" customFormat="1" ht="13">
      <c r="B1039" s="84"/>
      <c r="C1039" s="84"/>
      <c r="D1039" s="85"/>
      <c r="E1039" s="85"/>
      <c r="F1039" s="85"/>
      <c r="G1039" s="85"/>
      <c r="H1039" s="85"/>
      <c r="I1039" s="85"/>
      <c r="J1039" s="85"/>
      <c r="K1039" s="85"/>
      <c r="L1039" s="109"/>
      <c r="M1039" s="110"/>
      <c r="N1039" s="127"/>
      <c r="O1039" s="112"/>
      <c r="P1039" s="112"/>
      <c r="Q1039" s="118"/>
    </row>
    <row r="1040" spans="2:17" s="5" customFormat="1" ht="13">
      <c r="B1040" s="84"/>
      <c r="C1040" s="84"/>
      <c r="D1040" s="85"/>
      <c r="E1040" s="85"/>
      <c r="F1040" s="85"/>
      <c r="G1040" s="85"/>
      <c r="H1040" s="85"/>
      <c r="I1040" s="85"/>
      <c r="J1040" s="85"/>
      <c r="K1040" s="85"/>
      <c r="L1040" s="109"/>
      <c r="M1040" s="110"/>
      <c r="N1040" s="127"/>
      <c r="O1040" s="112"/>
      <c r="P1040" s="112"/>
      <c r="Q1040" s="118"/>
    </row>
    <row r="1041" spans="2:17" s="5" customFormat="1" ht="13">
      <c r="B1041" s="84"/>
      <c r="C1041" s="84"/>
      <c r="D1041" s="85"/>
      <c r="E1041" s="85"/>
      <c r="F1041" s="85"/>
      <c r="G1041" s="85"/>
      <c r="H1041" s="85"/>
      <c r="I1041" s="85"/>
      <c r="J1041" s="85"/>
      <c r="K1041" s="85"/>
      <c r="L1041" s="109"/>
      <c r="M1041" s="110"/>
      <c r="N1041" s="127"/>
      <c r="O1041" s="112"/>
      <c r="P1041" s="112"/>
      <c r="Q1041" s="118"/>
    </row>
    <row r="1042" spans="2:17" s="5" customFormat="1" ht="13">
      <c r="B1042" s="84"/>
      <c r="C1042" s="84"/>
      <c r="D1042" s="85"/>
      <c r="E1042" s="85"/>
      <c r="F1042" s="85"/>
      <c r="G1042" s="85"/>
      <c r="H1042" s="85"/>
      <c r="I1042" s="85"/>
      <c r="J1042" s="85"/>
      <c r="K1042" s="85"/>
      <c r="L1042" s="109"/>
      <c r="M1042" s="110"/>
      <c r="N1042" s="127"/>
      <c r="O1042" s="112"/>
      <c r="P1042" s="112"/>
      <c r="Q1042" s="118"/>
    </row>
    <row r="1043" spans="2:17" s="5" customFormat="1" ht="13">
      <c r="B1043" s="84"/>
      <c r="C1043" s="84"/>
      <c r="D1043" s="85"/>
      <c r="E1043" s="85"/>
      <c r="F1043" s="85"/>
      <c r="G1043" s="85"/>
      <c r="H1043" s="85"/>
      <c r="I1043" s="85"/>
      <c r="J1043" s="85"/>
      <c r="K1043" s="85"/>
      <c r="L1043" s="109"/>
      <c r="M1043" s="110"/>
      <c r="N1043" s="127"/>
      <c r="O1043" s="112"/>
      <c r="P1043" s="112"/>
      <c r="Q1043" s="118"/>
    </row>
    <row r="1044" spans="2:17" s="5" customFormat="1" ht="13">
      <c r="B1044" s="84"/>
      <c r="C1044" s="84"/>
      <c r="D1044" s="85"/>
      <c r="E1044" s="85"/>
      <c r="F1044" s="85"/>
      <c r="G1044" s="85"/>
      <c r="H1044" s="85"/>
      <c r="I1044" s="85"/>
      <c r="J1044" s="85"/>
      <c r="K1044" s="85"/>
      <c r="L1044" s="109"/>
      <c r="M1044" s="110"/>
      <c r="N1044" s="127"/>
      <c r="O1044" s="112"/>
      <c r="P1044" s="112"/>
      <c r="Q1044" s="118"/>
    </row>
    <row r="1045" spans="2:17" s="5" customFormat="1" ht="13">
      <c r="B1045" s="84"/>
      <c r="C1045" s="84"/>
      <c r="D1045" s="85"/>
      <c r="E1045" s="85"/>
      <c r="F1045" s="85"/>
      <c r="G1045" s="85"/>
      <c r="H1045" s="85"/>
      <c r="I1045" s="85"/>
      <c r="J1045" s="85"/>
      <c r="K1045" s="85"/>
      <c r="L1045" s="109"/>
      <c r="M1045" s="110"/>
      <c r="N1045" s="127"/>
      <c r="O1045" s="112"/>
      <c r="P1045" s="112"/>
      <c r="Q1045" s="118"/>
    </row>
    <row r="1046" spans="2:17" s="5" customFormat="1" ht="13">
      <c r="B1046" s="84"/>
      <c r="C1046" s="84"/>
      <c r="D1046" s="85"/>
      <c r="E1046" s="85"/>
      <c r="F1046" s="85"/>
      <c r="G1046" s="85"/>
      <c r="H1046" s="85"/>
      <c r="I1046" s="85"/>
      <c r="J1046" s="85"/>
      <c r="K1046" s="85"/>
      <c r="L1046" s="109"/>
      <c r="M1046" s="110"/>
      <c r="N1046" s="127"/>
      <c r="O1046" s="112"/>
      <c r="P1046" s="112"/>
      <c r="Q1046" s="118"/>
    </row>
    <row r="1047" spans="2:17" s="5" customFormat="1" ht="13">
      <c r="B1047" s="84"/>
      <c r="C1047" s="84"/>
      <c r="D1047" s="85"/>
      <c r="E1047" s="85"/>
      <c r="F1047" s="85"/>
      <c r="G1047" s="85"/>
      <c r="H1047" s="85"/>
      <c r="I1047" s="85"/>
      <c r="J1047" s="85"/>
      <c r="K1047" s="85"/>
      <c r="L1047" s="109"/>
      <c r="M1047" s="110"/>
      <c r="N1047" s="127"/>
      <c r="O1047" s="112"/>
      <c r="P1047" s="112"/>
      <c r="Q1047" s="118"/>
    </row>
    <row r="1048" spans="2:17" s="5" customFormat="1" ht="13">
      <c r="B1048" s="84"/>
      <c r="C1048" s="84"/>
      <c r="D1048" s="85"/>
      <c r="E1048" s="85"/>
      <c r="F1048" s="85"/>
      <c r="G1048" s="85"/>
      <c r="H1048" s="85"/>
      <c r="I1048" s="85"/>
      <c r="J1048" s="85"/>
      <c r="K1048" s="85"/>
      <c r="L1048" s="109"/>
      <c r="M1048" s="110"/>
      <c r="N1048" s="127"/>
      <c r="O1048" s="112"/>
      <c r="P1048" s="112"/>
      <c r="Q1048" s="118"/>
    </row>
    <row r="1049" spans="2:17" s="5" customFormat="1" ht="13">
      <c r="B1049" s="84"/>
      <c r="C1049" s="84"/>
      <c r="D1049" s="85"/>
      <c r="E1049" s="85"/>
      <c r="F1049" s="85"/>
      <c r="G1049" s="85"/>
      <c r="H1049" s="85"/>
      <c r="I1049" s="85"/>
      <c r="J1049" s="85"/>
      <c r="K1049" s="85"/>
      <c r="L1049" s="109"/>
      <c r="M1049" s="110"/>
      <c r="N1049" s="127"/>
      <c r="O1049" s="112"/>
      <c r="P1049" s="112"/>
      <c r="Q1049" s="118"/>
    </row>
    <row r="1050" spans="2:17" s="5" customFormat="1" ht="13">
      <c r="B1050" s="84"/>
      <c r="C1050" s="84"/>
      <c r="D1050" s="85"/>
      <c r="E1050" s="85"/>
      <c r="F1050" s="85"/>
      <c r="G1050" s="85"/>
      <c r="H1050" s="85"/>
      <c r="I1050" s="85"/>
      <c r="J1050" s="85"/>
      <c r="K1050" s="85"/>
      <c r="L1050" s="109"/>
      <c r="M1050" s="110"/>
      <c r="N1050" s="127"/>
      <c r="O1050" s="112"/>
      <c r="P1050" s="112"/>
      <c r="Q1050" s="118"/>
    </row>
    <row r="1051" spans="2:17" s="5" customFormat="1" ht="13">
      <c r="B1051" s="84"/>
      <c r="C1051" s="84"/>
      <c r="D1051" s="85"/>
      <c r="E1051" s="85"/>
      <c r="F1051" s="85"/>
      <c r="G1051" s="85"/>
      <c r="H1051" s="85"/>
      <c r="I1051" s="85"/>
      <c r="J1051" s="85"/>
      <c r="K1051" s="85"/>
      <c r="L1051" s="109"/>
      <c r="M1051" s="110"/>
      <c r="N1051" s="127"/>
      <c r="O1051" s="112"/>
      <c r="P1051" s="112"/>
      <c r="Q1051" s="118"/>
    </row>
    <row r="1052" spans="2:17" s="5" customFormat="1" ht="13">
      <c r="B1052" s="84"/>
      <c r="C1052" s="84"/>
      <c r="D1052" s="85"/>
      <c r="E1052" s="85"/>
      <c r="F1052" s="85"/>
      <c r="G1052" s="85"/>
      <c r="H1052" s="85"/>
      <c r="I1052" s="85"/>
      <c r="J1052" s="85"/>
      <c r="K1052" s="85"/>
      <c r="L1052" s="109"/>
      <c r="M1052" s="110"/>
      <c r="N1052" s="127"/>
      <c r="O1052" s="112"/>
      <c r="P1052" s="112"/>
      <c r="Q1052" s="118"/>
    </row>
    <row r="1053" spans="2:17" s="5" customFormat="1" ht="13">
      <c r="B1053" s="84"/>
      <c r="C1053" s="84"/>
      <c r="D1053" s="85"/>
      <c r="E1053" s="85"/>
      <c r="F1053" s="85"/>
      <c r="G1053" s="85"/>
      <c r="H1053" s="85"/>
      <c r="I1053" s="85"/>
      <c r="J1053" s="85"/>
      <c r="K1053" s="85"/>
      <c r="L1053" s="109"/>
      <c r="M1053" s="110"/>
      <c r="N1053" s="127"/>
      <c r="O1053" s="112"/>
      <c r="P1053" s="112"/>
      <c r="Q1053" s="118"/>
    </row>
    <row r="1054" spans="2:17" s="5" customFormat="1" ht="13">
      <c r="B1054" s="84"/>
      <c r="C1054" s="84"/>
      <c r="D1054" s="85"/>
      <c r="E1054" s="85"/>
      <c r="F1054" s="85"/>
      <c r="G1054" s="85"/>
      <c r="H1054" s="85"/>
      <c r="I1054" s="85"/>
      <c r="J1054" s="85"/>
      <c r="K1054" s="85"/>
      <c r="L1054" s="109"/>
      <c r="M1054" s="110"/>
      <c r="N1054" s="127"/>
      <c r="O1054" s="112"/>
      <c r="P1054" s="112"/>
      <c r="Q1054" s="118"/>
    </row>
    <row r="1055" spans="2:17" s="5" customFormat="1" ht="13">
      <c r="B1055" s="84"/>
      <c r="C1055" s="84"/>
      <c r="D1055" s="85"/>
      <c r="E1055" s="85"/>
      <c r="F1055" s="85"/>
      <c r="G1055" s="85"/>
      <c r="H1055" s="85"/>
      <c r="I1055" s="85"/>
      <c r="J1055" s="85"/>
      <c r="K1055" s="85"/>
      <c r="L1055" s="109"/>
      <c r="M1055" s="110"/>
      <c r="N1055" s="127"/>
      <c r="O1055" s="112"/>
      <c r="P1055" s="112"/>
      <c r="Q1055" s="118"/>
    </row>
    <row r="1056" spans="2:17" s="5" customFormat="1" ht="13">
      <c r="B1056" s="84"/>
      <c r="C1056" s="84"/>
      <c r="D1056" s="85"/>
      <c r="E1056" s="85"/>
      <c r="F1056" s="85"/>
      <c r="G1056" s="85"/>
      <c r="H1056" s="85"/>
      <c r="I1056" s="85"/>
      <c r="J1056" s="85"/>
      <c r="K1056" s="85"/>
      <c r="L1056" s="109"/>
      <c r="M1056" s="110"/>
      <c r="N1056" s="127"/>
      <c r="O1056" s="112"/>
      <c r="P1056" s="112"/>
      <c r="Q1056" s="118"/>
    </row>
    <row r="1057" spans="2:17" s="5" customFormat="1" ht="13">
      <c r="B1057" s="84"/>
      <c r="C1057" s="84"/>
      <c r="D1057" s="85"/>
      <c r="E1057" s="85"/>
      <c r="F1057" s="85"/>
      <c r="G1057" s="85"/>
      <c r="H1057" s="85"/>
      <c r="I1057" s="85"/>
      <c r="J1057" s="85"/>
      <c r="K1057" s="85"/>
      <c r="L1057" s="109"/>
      <c r="M1057" s="110"/>
      <c r="N1057" s="127"/>
      <c r="O1057" s="112"/>
      <c r="P1057" s="112"/>
      <c r="Q1057" s="118"/>
    </row>
    <row r="1058" spans="2:17" s="5" customFormat="1" ht="13">
      <c r="B1058" s="84"/>
      <c r="C1058" s="84"/>
      <c r="D1058" s="85"/>
      <c r="E1058" s="85"/>
      <c r="F1058" s="85"/>
      <c r="G1058" s="85"/>
      <c r="H1058" s="85"/>
      <c r="I1058" s="85"/>
      <c r="J1058" s="85"/>
      <c r="K1058" s="85"/>
      <c r="L1058" s="109"/>
      <c r="M1058" s="110"/>
      <c r="N1058" s="127"/>
      <c r="O1058" s="112"/>
      <c r="P1058" s="112"/>
      <c r="Q1058" s="118"/>
    </row>
    <row r="1059" spans="2:17" s="5" customFormat="1" ht="13">
      <c r="B1059" s="84"/>
      <c r="C1059" s="84"/>
      <c r="D1059" s="85"/>
      <c r="E1059" s="85"/>
      <c r="F1059" s="85"/>
      <c r="G1059" s="85"/>
      <c r="H1059" s="85"/>
      <c r="I1059" s="85"/>
      <c r="J1059" s="85"/>
      <c r="K1059" s="85"/>
      <c r="L1059" s="109"/>
      <c r="M1059" s="110"/>
      <c r="N1059" s="127"/>
      <c r="O1059" s="112"/>
      <c r="P1059" s="112"/>
      <c r="Q1059" s="118"/>
    </row>
    <row r="1060" spans="2:17" s="5" customFormat="1" ht="13">
      <c r="B1060" s="84"/>
      <c r="C1060" s="84"/>
      <c r="D1060" s="85"/>
      <c r="E1060" s="85"/>
      <c r="F1060" s="85"/>
      <c r="G1060" s="85"/>
      <c r="H1060" s="85"/>
      <c r="I1060" s="85"/>
      <c r="J1060" s="85"/>
      <c r="K1060" s="85"/>
      <c r="L1060" s="109"/>
      <c r="M1060" s="110"/>
      <c r="N1060" s="127"/>
      <c r="O1060" s="112"/>
      <c r="P1060" s="112"/>
      <c r="Q1060" s="118"/>
    </row>
    <row r="1061" spans="2:17" s="5" customFormat="1" ht="13">
      <c r="B1061" s="84"/>
      <c r="C1061" s="84"/>
      <c r="D1061" s="85"/>
      <c r="E1061" s="85"/>
      <c r="F1061" s="85"/>
      <c r="G1061" s="85"/>
      <c r="H1061" s="85"/>
      <c r="I1061" s="85"/>
      <c r="J1061" s="85"/>
      <c r="K1061" s="85"/>
      <c r="L1061" s="109"/>
      <c r="M1061" s="110"/>
      <c r="N1061" s="127"/>
      <c r="O1061" s="112"/>
      <c r="P1061" s="112"/>
      <c r="Q1061" s="118"/>
    </row>
    <row r="1062" spans="2:17" s="5" customFormat="1" ht="13">
      <c r="B1062" s="84"/>
      <c r="C1062" s="84"/>
      <c r="D1062" s="85"/>
      <c r="E1062" s="85"/>
      <c r="F1062" s="85"/>
      <c r="G1062" s="85"/>
      <c r="H1062" s="85"/>
      <c r="I1062" s="85"/>
      <c r="J1062" s="85"/>
      <c r="K1062" s="85"/>
      <c r="L1062" s="109"/>
      <c r="M1062" s="110"/>
      <c r="N1062" s="127"/>
      <c r="O1062" s="112"/>
      <c r="P1062" s="112"/>
      <c r="Q1062" s="118"/>
    </row>
    <row r="1063" spans="2:17" s="5" customFormat="1" ht="13">
      <c r="B1063" s="84"/>
      <c r="C1063" s="84"/>
      <c r="D1063" s="85"/>
      <c r="E1063" s="85"/>
      <c r="F1063" s="85"/>
      <c r="G1063" s="85"/>
      <c r="H1063" s="85"/>
      <c r="I1063" s="85"/>
      <c r="J1063" s="85"/>
      <c r="K1063" s="85"/>
      <c r="L1063" s="109"/>
      <c r="M1063" s="110"/>
      <c r="N1063" s="127"/>
      <c r="O1063" s="112"/>
      <c r="P1063" s="112"/>
      <c r="Q1063" s="118"/>
    </row>
    <row r="1064" spans="2:17" s="5" customFormat="1" ht="13">
      <c r="B1064" s="84"/>
      <c r="C1064" s="84"/>
      <c r="D1064" s="85"/>
      <c r="E1064" s="85"/>
      <c r="F1064" s="85"/>
      <c r="G1064" s="85"/>
      <c r="H1064" s="85"/>
      <c r="I1064" s="85"/>
      <c r="J1064" s="85"/>
      <c r="K1064" s="85"/>
      <c r="L1064" s="109"/>
      <c r="M1064" s="110"/>
      <c r="N1064" s="127"/>
      <c r="O1064" s="112"/>
      <c r="P1064" s="112"/>
      <c r="Q1064" s="118"/>
    </row>
    <row r="1065" spans="2:17" s="5" customFormat="1" ht="13">
      <c r="B1065" s="84"/>
      <c r="C1065" s="84"/>
      <c r="D1065" s="85"/>
      <c r="E1065" s="85"/>
      <c r="F1065" s="85"/>
      <c r="G1065" s="85"/>
      <c r="H1065" s="85"/>
      <c r="I1065" s="85"/>
      <c r="J1065" s="85"/>
      <c r="K1065" s="85"/>
      <c r="L1065" s="109"/>
      <c r="M1065" s="110"/>
      <c r="N1065" s="127"/>
      <c r="O1065" s="112"/>
      <c r="P1065" s="112"/>
      <c r="Q1065" s="118"/>
    </row>
    <row r="1066" spans="2:17" s="5" customFormat="1" ht="13">
      <c r="B1066" s="84"/>
      <c r="C1066" s="84"/>
      <c r="D1066" s="85"/>
      <c r="E1066" s="85"/>
      <c r="F1066" s="85"/>
      <c r="G1066" s="85"/>
      <c r="H1066" s="85"/>
      <c r="I1066" s="85"/>
      <c r="J1066" s="85"/>
      <c r="K1066" s="85"/>
      <c r="L1066" s="109"/>
      <c r="M1066" s="110"/>
      <c r="N1066" s="127"/>
      <c r="O1066" s="112"/>
      <c r="P1066" s="112"/>
      <c r="Q1066" s="118"/>
    </row>
    <row r="1067" spans="2:17" s="5" customFormat="1" ht="13">
      <c r="B1067" s="84"/>
      <c r="C1067" s="84"/>
      <c r="D1067" s="85"/>
      <c r="E1067" s="85"/>
      <c r="F1067" s="85"/>
      <c r="G1067" s="85"/>
      <c r="H1067" s="85"/>
      <c r="I1067" s="85"/>
      <c r="J1067" s="85"/>
      <c r="K1067" s="85"/>
      <c r="L1067" s="109"/>
      <c r="M1067" s="110"/>
      <c r="N1067" s="127"/>
      <c r="O1067" s="112"/>
      <c r="P1067" s="112"/>
      <c r="Q1067" s="118"/>
    </row>
    <row r="1068" spans="2:17" s="5" customFormat="1" ht="13">
      <c r="B1068" s="84"/>
      <c r="C1068" s="84"/>
      <c r="D1068" s="85"/>
      <c r="E1068" s="85"/>
      <c r="F1068" s="85"/>
      <c r="G1068" s="85"/>
      <c r="H1068" s="85"/>
      <c r="I1068" s="85"/>
      <c r="J1068" s="85"/>
      <c r="K1068" s="85"/>
      <c r="L1068" s="109"/>
      <c r="M1068" s="110"/>
      <c r="N1068" s="127"/>
      <c r="O1068" s="112"/>
      <c r="P1068" s="112"/>
      <c r="Q1068" s="118"/>
    </row>
    <row r="1069" spans="2:17" s="5" customFormat="1" ht="13">
      <c r="B1069" s="84"/>
      <c r="C1069" s="84"/>
      <c r="D1069" s="85"/>
      <c r="E1069" s="85"/>
      <c r="F1069" s="85"/>
      <c r="G1069" s="85"/>
      <c r="H1069" s="85"/>
      <c r="I1069" s="85"/>
      <c r="J1069" s="85"/>
      <c r="K1069" s="85"/>
      <c r="L1069" s="109"/>
      <c r="M1069" s="110"/>
      <c r="N1069" s="127"/>
      <c r="O1069" s="112"/>
      <c r="P1069" s="112"/>
      <c r="Q1069" s="118"/>
    </row>
    <row r="1070" spans="2:17" s="5" customFormat="1" ht="13">
      <c r="B1070" s="84"/>
      <c r="C1070" s="84"/>
      <c r="D1070" s="85"/>
      <c r="E1070" s="85"/>
      <c r="F1070" s="85"/>
      <c r="G1070" s="85"/>
      <c r="H1070" s="85"/>
      <c r="I1070" s="85"/>
      <c r="J1070" s="85"/>
      <c r="K1070" s="85"/>
      <c r="L1070" s="109"/>
      <c r="M1070" s="110"/>
      <c r="N1070" s="127"/>
      <c r="O1070" s="112"/>
      <c r="P1070" s="112"/>
      <c r="Q1070" s="118"/>
    </row>
    <row r="1071" spans="2:17" s="5" customFormat="1" ht="13">
      <c r="B1071" s="84"/>
      <c r="C1071" s="84"/>
      <c r="D1071" s="85"/>
      <c r="E1071" s="85"/>
      <c r="F1071" s="85"/>
      <c r="G1071" s="85"/>
      <c r="H1071" s="85"/>
      <c r="I1071" s="85"/>
      <c r="J1071" s="85"/>
      <c r="K1071" s="85"/>
      <c r="L1071" s="109"/>
      <c r="M1071" s="110"/>
      <c r="N1071" s="127"/>
      <c r="O1071" s="112"/>
      <c r="P1071" s="112"/>
      <c r="Q1071" s="118"/>
    </row>
    <row r="1072" spans="2:17" s="5" customFormat="1" ht="13">
      <c r="B1072" s="84"/>
      <c r="C1072" s="84"/>
      <c r="D1072" s="85"/>
      <c r="E1072" s="85"/>
      <c r="F1072" s="85"/>
      <c r="G1072" s="85"/>
      <c r="H1072" s="85"/>
      <c r="I1072" s="85"/>
      <c r="J1072" s="85"/>
      <c r="K1072" s="85"/>
      <c r="L1072" s="109"/>
      <c r="M1072" s="110"/>
      <c r="N1072" s="127"/>
      <c r="O1072" s="112"/>
      <c r="P1072" s="112"/>
      <c r="Q1072" s="118"/>
    </row>
    <row r="1073" spans="2:17" s="5" customFormat="1" ht="13">
      <c r="B1073" s="84"/>
      <c r="C1073" s="84"/>
      <c r="D1073" s="85"/>
      <c r="E1073" s="85"/>
      <c r="F1073" s="85"/>
      <c r="G1073" s="85"/>
      <c r="H1073" s="85"/>
      <c r="I1073" s="85"/>
      <c r="J1073" s="85"/>
      <c r="K1073" s="85"/>
      <c r="L1073" s="109"/>
      <c r="M1073" s="110"/>
      <c r="N1073" s="127"/>
      <c r="O1073" s="112"/>
      <c r="P1073" s="112"/>
      <c r="Q1073" s="118"/>
    </row>
    <row r="1074" spans="2:17" s="5" customFormat="1" ht="13">
      <c r="B1074" s="84"/>
      <c r="C1074" s="84"/>
      <c r="D1074" s="85"/>
      <c r="E1074" s="85"/>
      <c r="F1074" s="85"/>
      <c r="G1074" s="85"/>
      <c r="H1074" s="85"/>
      <c r="I1074" s="85"/>
      <c r="J1074" s="85"/>
      <c r="K1074" s="85"/>
      <c r="L1074" s="109"/>
      <c r="M1074" s="110"/>
      <c r="N1074" s="127"/>
      <c r="O1074" s="112"/>
      <c r="P1074" s="112"/>
      <c r="Q1074" s="118"/>
    </row>
    <row r="1075" spans="2:17" s="5" customFormat="1" ht="13">
      <c r="B1075" s="84"/>
      <c r="C1075" s="84"/>
      <c r="D1075" s="85"/>
      <c r="E1075" s="85"/>
      <c r="F1075" s="85"/>
      <c r="G1075" s="85"/>
      <c r="H1075" s="85"/>
      <c r="I1075" s="85"/>
      <c r="J1075" s="85"/>
      <c r="K1075" s="85"/>
      <c r="L1075" s="109"/>
      <c r="M1075" s="110"/>
      <c r="N1075" s="127"/>
      <c r="O1075" s="112"/>
      <c r="P1075" s="112"/>
      <c r="Q1075" s="118"/>
    </row>
    <row r="1076" spans="2:17" s="5" customFormat="1" ht="13">
      <c r="B1076" s="84"/>
      <c r="C1076" s="84"/>
      <c r="D1076" s="85"/>
      <c r="E1076" s="85"/>
      <c r="F1076" s="85"/>
      <c r="G1076" s="85"/>
      <c r="H1076" s="85"/>
      <c r="I1076" s="85"/>
      <c r="J1076" s="85"/>
      <c r="K1076" s="85"/>
      <c r="L1076" s="109"/>
      <c r="M1076" s="110"/>
      <c r="N1076" s="127"/>
      <c r="O1076" s="112"/>
      <c r="P1076" s="112"/>
      <c r="Q1076" s="118"/>
    </row>
    <row r="1077" spans="2:17" s="5" customFormat="1" ht="13">
      <c r="B1077" s="84"/>
      <c r="C1077" s="84"/>
      <c r="D1077" s="85"/>
      <c r="E1077" s="85"/>
      <c r="F1077" s="85"/>
      <c r="G1077" s="85"/>
      <c r="H1077" s="85"/>
      <c r="I1077" s="85"/>
      <c r="J1077" s="85"/>
      <c r="K1077" s="85"/>
      <c r="L1077" s="109"/>
      <c r="M1077" s="110"/>
      <c r="N1077" s="127"/>
      <c r="O1077" s="112"/>
      <c r="P1077" s="112"/>
      <c r="Q1077" s="118"/>
    </row>
    <row r="1078" spans="2:17" s="5" customFormat="1" ht="13">
      <c r="B1078" s="84"/>
      <c r="C1078" s="84"/>
      <c r="D1078" s="85"/>
      <c r="E1078" s="85"/>
      <c r="F1078" s="85"/>
      <c r="G1078" s="85"/>
      <c r="H1078" s="85"/>
      <c r="I1078" s="85"/>
      <c r="J1078" s="85"/>
      <c r="K1078" s="85"/>
      <c r="L1078" s="109"/>
      <c r="M1078" s="110"/>
      <c r="N1078" s="127"/>
      <c r="O1078" s="112"/>
      <c r="P1078" s="112"/>
      <c r="Q1078" s="118"/>
    </row>
    <row r="1079" spans="2:17" s="5" customFormat="1" ht="13">
      <c r="B1079" s="84"/>
      <c r="C1079" s="84"/>
      <c r="D1079" s="85"/>
      <c r="E1079" s="85"/>
      <c r="F1079" s="85"/>
      <c r="G1079" s="85"/>
      <c r="H1079" s="85"/>
      <c r="I1079" s="85"/>
      <c r="J1079" s="85"/>
      <c r="K1079" s="85"/>
      <c r="L1079" s="109"/>
      <c r="M1079" s="110"/>
      <c r="N1079" s="127"/>
      <c r="O1079" s="112"/>
      <c r="P1079" s="112"/>
      <c r="Q1079" s="118"/>
    </row>
    <row r="1080" spans="2:17" s="5" customFormat="1" ht="13">
      <c r="B1080" s="84"/>
      <c r="C1080" s="84"/>
      <c r="D1080" s="85"/>
      <c r="E1080" s="85"/>
      <c r="F1080" s="85"/>
      <c r="G1080" s="85"/>
      <c r="H1080" s="85"/>
      <c r="I1080" s="85"/>
      <c r="J1080" s="85"/>
      <c r="K1080" s="85"/>
      <c r="L1080" s="109"/>
      <c r="M1080" s="110"/>
      <c r="N1080" s="127"/>
      <c r="O1080" s="112"/>
      <c r="P1080" s="112"/>
      <c r="Q1080" s="118"/>
    </row>
    <row r="1081" spans="2:17" s="5" customFormat="1" ht="13">
      <c r="B1081" s="84"/>
      <c r="C1081" s="84"/>
      <c r="D1081" s="85"/>
      <c r="E1081" s="85"/>
      <c r="F1081" s="85"/>
      <c r="G1081" s="85"/>
      <c r="H1081" s="85"/>
      <c r="I1081" s="85"/>
      <c r="J1081" s="85"/>
      <c r="K1081" s="85"/>
      <c r="L1081" s="109"/>
      <c r="M1081" s="110"/>
      <c r="N1081" s="127"/>
      <c r="O1081" s="112"/>
      <c r="P1081" s="112"/>
      <c r="Q1081" s="118"/>
    </row>
    <row r="1082" spans="2:17" s="5" customFormat="1" ht="13">
      <c r="B1082" s="84"/>
      <c r="C1082" s="84"/>
      <c r="D1082" s="85"/>
      <c r="E1082" s="85"/>
      <c r="F1082" s="85"/>
      <c r="G1082" s="85"/>
      <c r="H1082" s="85"/>
      <c r="I1082" s="85"/>
      <c r="J1082" s="85"/>
      <c r="K1082" s="85"/>
      <c r="L1082" s="109"/>
      <c r="M1082" s="110"/>
      <c r="N1082" s="127"/>
      <c r="O1082" s="112"/>
      <c r="P1082" s="112"/>
      <c r="Q1082" s="118"/>
    </row>
    <row r="1083" spans="2:17" s="5" customFormat="1" ht="13">
      <c r="B1083" s="84"/>
      <c r="C1083" s="84"/>
      <c r="D1083" s="85"/>
      <c r="E1083" s="85"/>
      <c r="F1083" s="85"/>
      <c r="G1083" s="85"/>
      <c r="H1083" s="85"/>
      <c r="I1083" s="85"/>
      <c r="J1083" s="85"/>
      <c r="K1083" s="85"/>
      <c r="L1083" s="109"/>
      <c r="M1083" s="110"/>
      <c r="N1083" s="127"/>
      <c r="O1083" s="112"/>
      <c r="P1083" s="112"/>
      <c r="Q1083" s="118"/>
    </row>
    <row r="1084" spans="2:17" s="5" customFormat="1" ht="13">
      <c r="B1084" s="84"/>
      <c r="C1084" s="84"/>
      <c r="D1084" s="85"/>
      <c r="E1084" s="85"/>
      <c r="F1084" s="85"/>
      <c r="G1084" s="85"/>
      <c r="H1084" s="85"/>
      <c r="I1084" s="85"/>
      <c r="J1084" s="85"/>
      <c r="K1084" s="85"/>
      <c r="L1084" s="109"/>
      <c r="M1084" s="110"/>
      <c r="N1084" s="127"/>
      <c r="O1084" s="112"/>
      <c r="P1084" s="112"/>
      <c r="Q1084" s="118"/>
    </row>
    <row r="1085" spans="2:17" s="5" customFormat="1" ht="13">
      <c r="B1085" s="84"/>
      <c r="C1085" s="84"/>
      <c r="D1085" s="85"/>
      <c r="E1085" s="85"/>
      <c r="F1085" s="85"/>
      <c r="G1085" s="85"/>
      <c r="H1085" s="85"/>
      <c r="I1085" s="85"/>
      <c r="J1085" s="85"/>
      <c r="K1085" s="85"/>
      <c r="L1085" s="109"/>
      <c r="M1085" s="110"/>
      <c r="N1085" s="127"/>
      <c r="O1085" s="112"/>
      <c r="P1085" s="112"/>
      <c r="Q1085" s="118"/>
    </row>
    <row r="1086" spans="2:17" s="5" customFormat="1" ht="13">
      <c r="B1086" s="84"/>
      <c r="C1086" s="84"/>
      <c r="D1086" s="85"/>
      <c r="E1086" s="85"/>
      <c r="F1086" s="85"/>
      <c r="G1086" s="85"/>
      <c r="H1086" s="85"/>
      <c r="I1086" s="85"/>
      <c r="J1086" s="85"/>
      <c r="K1086" s="85"/>
      <c r="L1086" s="109"/>
      <c r="M1086" s="110"/>
      <c r="N1086" s="127"/>
      <c r="O1086" s="112"/>
      <c r="P1086" s="112"/>
      <c r="Q1086" s="118"/>
    </row>
    <row r="1087" spans="2:17" s="5" customFormat="1" ht="13">
      <c r="B1087" s="84"/>
      <c r="C1087" s="84"/>
      <c r="D1087" s="85"/>
      <c r="E1087" s="85"/>
      <c r="F1087" s="85"/>
      <c r="G1087" s="85"/>
      <c r="H1087" s="85"/>
      <c r="I1087" s="85"/>
      <c r="J1087" s="85"/>
      <c r="K1087" s="85"/>
      <c r="L1087" s="109"/>
      <c r="M1087" s="110"/>
      <c r="N1087" s="127"/>
      <c r="O1087" s="112"/>
      <c r="P1087" s="112"/>
      <c r="Q1087" s="118"/>
    </row>
    <row r="1088" spans="2:17" s="5" customFormat="1" ht="13">
      <c r="B1088" s="84"/>
      <c r="C1088" s="84"/>
      <c r="D1088" s="85"/>
      <c r="E1088" s="85"/>
      <c r="F1088" s="85"/>
      <c r="G1088" s="85"/>
      <c r="H1088" s="85"/>
      <c r="I1088" s="85"/>
      <c r="J1088" s="85"/>
      <c r="K1088" s="85"/>
      <c r="L1088" s="109"/>
      <c r="M1088" s="110"/>
      <c r="N1088" s="127"/>
      <c r="O1088" s="112"/>
      <c r="P1088" s="112"/>
      <c r="Q1088" s="118"/>
    </row>
    <row r="1089" spans="2:17" s="5" customFormat="1" ht="13">
      <c r="B1089" s="84"/>
      <c r="C1089" s="84"/>
      <c r="D1089" s="85"/>
      <c r="E1089" s="85"/>
      <c r="F1089" s="85"/>
      <c r="G1089" s="85"/>
      <c r="H1089" s="85"/>
      <c r="I1089" s="85"/>
      <c r="J1089" s="85"/>
      <c r="K1089" s="85"/>
      <c r="L1089" s="109"/>
      <c r="M1089" s="110"/>
      <c r="N1089" s="127"/>
      <c r="O1089" s="112"/>
      <c r="P1089" s="112"/>
      <c r="Q1089" s="118"/>
    </row>
    <row r="1090" spans="2:17" s="5" customFormat="1" ht="13">
      <c r="B1090" s="84"/>
      <c r="C1090" s="84"/>
      <c r="D1090" s="85"/>
      <c r="E1090" s="85"/>
      <c r="F1090" s="85"/>
      <c r="G1090" s="85"/>
      <c r="H1090" s="85"/>
      <c r="I1090" s="85"/>
      <c r="J1090" s="85"/>
      <c r="K1090" s="85"/>
      <c r="L1090" s="109"/>
      <c r="M1090" s="110"/>
      <c r="N1090" s="127"/>
      <c r="O1090" s="112"/>
      <c r="P1090" s="112"/>
      <c r="Q1090" s="118"/>
    </row>
    <row r="1091" spans="2:17" s="5" customFormat="1" ht="13">
      <c r="B1091" s="84"/>
      <c r="C1091" s="84"/>
      <c r="D1091" s="85"/>
      <c r="E1091" s="85"/>
      <c r="F1091" s="85"/>
      <c r="G1091" s="85"/>
      <c r="H1091" s="85"/>
      <c r="I1091" s="85"/>
      <c r="J1091" s="85"/>
      <c r="K1091" s="85"/>
      <c r="L1091" s="109"/>
      <c r="M1091" s="110"/>
      <c r="N1091" s="127"/>
      <c r="O1091" s="112"/>
      <c r="P1091" s="112"/>
      <c r="Q1091" s="118"/>
    </row>
    <row r="1092" spans="2:17" s="5" customFormat="1" ht="13">
      <c r="B1092" s="84"/>
      <c r="C1092" s="84"/>
      <c r="D1092" s="85"/>
      <c r="E1092" s="85"/>
      <c r="F1092" s="85"/>
      <c r="G1092" s="85"/>
      <c r="H1092" s="85"/>
      <c r="I1092" s="85"/>
      <c r="J1092" s="85"/>
      <c r="K1092" s="85"/>
      <c r="L1092" s="109"/>
      <c r="M1092" s="110"/>
      <c r="N1092" s="127"/>
      <c r="O1092" s="112"/>
      <c r="P1092" s="112"/>
      <c r="Q1092" s="118"/>
    </row>
    <row r="1093" spans="2:17" s="5" customFormat="1" ht="13">
      <c r="B1093" s="84"/>
      <c r="C1093" s="84"/>
      <c r="D1093" s="85"/>
      <c r="E1093" s="85"/>
      <c r="F1093" s="85"/>
      <c r="G1093" s="85"/>
      <c r="H1093" s="85"/>
      <c r="I1093" s="85"/>
      <c r="J1093" s="85"/>
      <c r="K1093" s="85"/>
      <c r="L1093" s="109"/>
      <c r="M1093" s="110"/>
      <c r="N1093" s="127"/>
      <c r="O1093" s="112"/>
      <c r="P1093" s="112"/>
      <c r="Q1093" s="118"/>
    </row>
    <row r="1094" spans="2:17" s="5" customFormat="1" ht="13">
      <c r="B1094" s="84"/>
      <c r="C1094" s="84"/>
      <c r="D1094" s="85"/>
      <c r="E1094" s="85"/>
      <c r="F1094" s="85"/>
      <c r="G1094" s="85"/>
      <c r="H1094" s="85"/>
      <c r="I1094" s="85"/>
      <c r="J1094" s="85"/>
      <c r="K1094" s="85"/>
      <c r="L1094" s="109"/>
      <c r="M1094" s="110"/>
      <c r="N1094" s="127"/>
      <c r="O1094" s="112"/>
      <c r="P1094" s="112"/>
      <c r="Q1094" s="118"/>
    </row>
    <row r="1095" spans="2:17" s="5" customFormat="1" ht="13">
      <c r="B1095" s="84"/>
      <c r="C1095" s="84"/>
      <c r="D1095" s="85"/>
      <c r="E1095" s="85"/>
      <c r="F1095" s="85"/>
      <c r="G1095" s="85"/>
      <c r="H1095" s="85"/>
      <c r="I1095" s="85"/>
      <c r="J1095" s="85"/>
      <c r="K1095" s="85"/>
      <c r="L1095" s="109"/>
      <c r="M1095" s="110"/>
      <c r="N1095" s="127"/>
      <c r="O1095" s="112"/>
      <c r="P1095" s="112"/>
      <c r="Q1095" s="118"/>
    </row>
    <row r="1096" spans="2:17" s="5" customFormat="1" ht="13">
      <c r="B1096" s="84"/>
      <c r="C1096" s="84"/>
      <c r="D1096" s="85"/>
      <c r="E1096" s="85"/>
      <c r="F1096" s="85"/>
      <c r="G1096" s="85"/>
      <c r="H1096" s="85"/>
      <c r="I1096" s="85"/>
      <c r="J1096" s="85"/>
      <c r="K1096" s="85"/>
      <c r="L1096" s="109"/>
      <c r="M1096" s="110"/>
      <c r="N1096" s="127"/>
      <c r="O1096" s="112"/>
      <c r="P1096" s="112"/>
      <c r="Q1096" s="118"/>
    </row>
    <row r="1097" spans="2:17" s="5" customFormat="1" ht="13">
      <c r="B1097" s="84"/>
      <c r="C1097" s="84"/>
      <c r="D1097" s="85"/>
      <c r="E1097" s="85"/>
      <c r="F1097" s="85"/>
      <c r="G1097" s="85"/>
      <c r="H1097" s="85"/>
      <c r="I1097" s="85"/>
      <c r="J1097" s="85"/>
      <c r="K1097" s="85"/>
      <c r="L1097" s="109"/>
      <c r="M1097" s="110"/>
      <c r="N1097" s="127"/>
      <c r="O1097" s="112"/>
      <c r="P1097" s="112"/>
      <c r="Q1097" s="118"/>
    </row>
    <row r="1098" spans="2:17" s="5" customFormat="1" ht="13">
      <c r="B1098" s="84"/>
      <c r="C1098" s="84"/>
      <c r="D1098" s="85"/>
      <c r="E1098" s="85"/>
      <c r="F1098" s="85"/>
      <c r="G1098" s="85"/>
      <c r="H1098" s="85"/>
      <c r="I1098" s="85"/>
      <c r="J1098" s="85"/>
      <c r="K1098" s="85"/>
      <c r="L1098" s="109"/>
      <c r="M1098" s="110"/>
      <c r="N1098" s="127"/>
      <c r="O1098" s="112"/>
      <c r="P1098" s="112"/>
      <c r="Q1098" s="118"/>
    </row>
    <row r="1099" spans="2:17" s="5" customFormat="1" ht="13">
      <c r="B1099" s="84"/>
      <c r="C1099" s="84"/>
      <c r="D1099" s="85"/>
      <c r="E1099" s="85"/>
      <c r="F1099" s="85"/>
      <c r="G1099" s="85"/>
      <c r="H1099" s="85"/>
      <c r="I1099" s="85"/>
      <c r="J1099" s="85"/>
      <c r="K1099" s="85"/>
      <c r="L1099" s="109"/>
      <c r="M1099" s="110"/>
      <c r="N1099" s="127"/>
      <c r="O1099" s="112"/>
      <c r="P1099" s="112"/>
      <c r="Q1099" s="118"/>
    </row>
    <row r="1100" spans="2:17" s="5" customFormat="1" ht="13">
      <c r="B1100" s="84"/>
      <c r="C1100" s="84"/>
      <c r="D1100" s="85"/>
      <c r="E1100" s="85"/>
      <c r="F1100" s="85"/>
      <c r="G1100" s="85"/>
      <c r="H1100" s="85"/>
      <c r="I1100" s="85"/>
      <c r="J1100" s="85"/>
      <c r="K1100" s="85"/>
      <c r="L1100" s="109"/>
      <c r="M1100" s="110"/>
      <c r="N1100" s="127"/>
      <c r="O1100" s="112"/>
      <c r="P1100" s="112"/>
      <c r="Q1100" s="118"/>
    </row>
    <row r="1101" spans="2:17" s="5" customFormat="1" ht="13">
      <c r="B1101" s="84"/>
      <c r="C1101" s="84"/>
      <c r="D1101" s="85"/>
      <c r="E1101" s="85"/>
      <c r="F1101" s="85"/>
      <c r="G1101" s="85"/>
      <c r="H1101" s="85"/>
      <c r="I1101" s="85"/>
      <c r="J1101" s="85"/>
      <c r="K1101" s="85"/>
      <c r="L1101" s="109"/>
      <c r="M1101" s="110"/>
      <c r="N1101" s="127"/>
      <c r="O1101" s="112"/>
      <c r="P1101" s="112"/>
      <c r="Q1101" s="118"/>
    </row>
    <row r="1102" spans="2:17" s="5" customFormat="1" ht="13">
      <c r="B1102" s="84"/>
      <c r="C1102" s="84"/>
      <c r="D1102" s="85"/>
      <c r="E1102" s="85"/>
      <c r="F1102" s="85"/>
      <c r="G1102" s="85"/>
      <c r="H1102" s="85"/>
      <c r="I1102" s="85"/>
      <c r="J1102" s="85"/>
      <c r="K1102" s="85"/>
      <c r="L1102" s="109"/>
      <c r="M1102" s="110"/>
      <c r="N1102" s="127"/>
      <c r="O1102" s="112"/>
      <c r="P1102" s="112"/>
      <c r="Q1102" s="118"/>
    </row>
    <row r="1103" spans="2:17" s="5" customFormat="1" ht="13">
      <c r="B1103" s="84"/>
      <c r="C1103" s="84"/>
      <c r="D1103" s="85"/>
      <c r="E1103" s="85"/>
      <c r="F1103" s="85"/>
      <c r="G1103" s="85"/>
      <c r="H1103" s="85"/>
      <c r="I1103" s="85"/>
      <c r="J1103" s="85"/>
      <c r="K1103" s="85"/>
      <c r="L1103" s="109"/>
      <c r="M1103" s="110"/>
      <c r="N1103" s="127"/>
      <c r="O1103" s="112"/>
      <c r="P1103" s="112"/>
      <c r="Q1103" s="118"/>
    </row>
    <row r="1104" spans="2:17" s="5" customFormat="1" ht="13">
      <c r="B1104" s="84"/>
      <c r="C1104" s="84"/>
      <c r="D1104" s="85"/>
      <c r="E1104" s="85"/>
      <c r="F1104" s="85"/>
      <c r="G1104" s="85"/>
      <c r="H1104" s="85"/>
      <c r="I1104" s="85"/>
      <c r="J1104" s="85"/>
      <c r="K1104" s="85"/>
      <c r="L1104" s="109"/>
      <c r="M1104" s="110"/>
      <c r="N1104" s="127"/>
      <c r="O1104" s="112"/>
      <c r="P1104" s="112"/>
      <c r="Q1104" s="118"/>
    </row>
    <row r="1105" spans="2:17" s="5" customFormat="1" ht="13">
      <c r="B1105" s="84"/>
      <c r="C1105" s="84"/>
      <c r="D1105" s="85"/>
      <c r="E1105" s="85"/>
      <c r="F1105" s="85"/>
      <c r="G1105" s="85"/>
      <c r="H1105" s="85"/>
      <c r="I1105" s="85"/>
      <c r="J1105" s="85"/>
      <c r="K1105" s="85"/>
      <c r="L1105" s="109"/>
      <c r="M1105" s="110"/>
      <c r="N1105" s="127"/>
      <c r="O1105" s="112"/>
      <c r="P1105" s="112"/>
      <c r="Q1105" s="118"/>
    </row>
    <row r="1106" spans="2:17" s="5" customFormat="1" ht="13">
      <c r="B1106" s="84"/>
      <c r="C1106" s="84"/>
      <c r="D1106" s="85"/>
      <c r="E1106" s="85"/>
      <c r="F1106" s="85"/>
      <c r="G1106" s="85"/>
      <c r="H1106" s="85"/>
      <c r="I1106" s="85"/>
      <c r="J1106" s="85"/>
      <c r="K1106" s="85"/>
      <c r="L1106" s="109"/>
      <c r="M1106" s="110"/>
      <c r="N1106" s="127"/>
      <c r="O1106" s="112"/>
      <c r="P1106" s="112"/>
      <c r="Q1106" s="118"/>
    </row>
    <row r="1107" spans="2:17" s="5" customFormat="1" ht="13">
      <c r="B1107" s="84"/>
      <c r="C1107" s="84"/>
      <c r="D1107" s="85"/>
      <c r="E1107" s="85"/>
      <c r="F1107" s="85"/>
      <c r="G1107" s="85"/>
      <c r="H1107" s="85"/>
      <c r="I1107" s="85"/>
      <c r="J1107" s="85"/>
      <c r="K1107" s="85"/>
      <c r="L1107" s="109"/>
      <c r="M1107" s="110"/>
      <c r="N1107" s="127"/>
      <c r="O1107" s="112"/>
      <c r="P1107" s="112"/>
      <c r="Q1107" s="118"/>
    </row>
    <row r="1108" spans="2:17" s="5" customFormat="1" ht="13">
      <c r="B1108" s="84"/>
      <c r="C1108" s="84"/>
      <c r="D1108" s="85"/>
      <c r="E1108" s="85"/>
      <c r="F1108" s="85"/>
      <c r="G1108" s="85"/>
      <c r="H1108" s="85"/>
      <c r="I1108" s="85"/>
      <c r="J1108" s="85"/>
      <c r="K1108" s="85"/>
      <c r="L1108" s="109"/>
      <c r="M1108" s="110"/>
      <c r="N1108" s="127"/>
      <c r="O1108" s="112"/>
      <c r="P1108" s="112"/>
      <c r="Q1108" s="118"/>
    </row>
    <row r="1109" spans="2:17" s="5" customFormat="1" ht="13">
      <c r="B1109" s="84"/>
      <c r="C1109" s="84"/>
      <c r="D1109" s="85"/>
      <c r="E1109" s="85"/>
      <c r="F1109" s="85"/>
      <c r="G1109" s="85"/>
      <c r="H1109" s="85"/>
      <c r="I1109" s="85"/>
      <c r="J1109" s="85"/>
      <c r="K1109" s="85"/>
      <c r="L1109" s="109"/>
      <c r="M1109" s="110"/>
      <c r="N1109" s="127"/>
      <c r="O1109" s="112"/>
      <c r="P1109" s="112"/>
      <c r="Q1109" s="118"/>
    </row>
    <row r="1110" spans="2:17" s="5" customFormat="1" ht="13">
      <c r="B1110" s="84"/>
      <c r="C1110" s="84"/>
      <c r="D1110" s="85"/>
      <c r="E1110" s="85"/>
      <c r="F1110" s="85"/>
      <c r="G1110" s="85"/>
      <c r="H1110" s="85"/>
      <c r="I1110" s="85"/>
      <c r="J1110" s="85"/>
      <c r="K1110" s="85"/>
      <c r="L1110" s="109"/>
      <c r="M1110" s="110"/>
      <c r="N1110" s="127"/>
      <c r="O1110" s="112"/>
      <c r="P1110" s="112"/>
      <c r="Q1110" s="118"/>
    </row>
    <row r="1111" spans="2:17" s="5" customFormat="1" ht="13">
      <c r="B1111" s="84"/>
      <c r="C1111" s="84"/>
      <c r="D1111" s="85"/>
      <c r="E1111" s="85"/>
      <c r="F1111" s="85"/>
      <c r="G1111" s="85"/>
      <c r="H1111" s="85"/>
      <c r="I1111" s="85"/>
      <c r="J1111" s="85"/>
      <c r="K1111" s="85"/>
      <c r="L1111" s="109"/>
      <c r="M1111" s="110"/>
      <c r="N1111" s="127"/>
      <c r="O1111" s="112"/>
      <c r="P1111" s="112"/>
      <c r="Q1111" s="118"/>
    </row>
    <row r="1112" spans="2:17" s="5" customFormat="1" ht="13">
      <c r="B1112" s="84"/>
      <c r="C1112" s="84"/>
      <c r="D1112" s="85"/>
      <c r="E1112" s="85"/>
      <c r="F1112" s="85"/>
      <c r="G1112" s="85"/>
      <c r="H1112" s="85"/>
      <c r="I1112" s="85"/>
      <c r="J1112" s="85"/>
      <c r="K1112" s="85"/>
      <c r="L1112" s="109"/>
      <c r="M1112" s="110"/>
      <c r="N1112" s="127"/>
      <c r="O1112" s="112"/>
      <c r="P1112" s="112"/>
      <c r="Q1112" s="118"/>
    </row>
    <row r="1113" spans="2:17" s="5" customFormat="1" ht="13">
      <c r="B1113" s="84"/>
      <c r="C1113" s="84"/>
      <c r="D1113" s="85"/>
      <c r="E1113" s="85"/>
      <c r="F1113" s="85"/>
      <c r="G1113" s="85"/>
      <c r="H1113" s="85"/>
      <c r="I1113" s="85"/>
      <c r="J1113" s="85"/>
      <c r="K1113" s="85"/>
      <c r="L1113" s="109"/>
      <c r="M1113" s="110"/>
      <c r="N1113" s="127"/>
      <c r="O1113" s="112"/>
      <c r="P1113" s="112"/>
      <c r="Q1113" s="118"/>
    </row>
    <row r="1114" spans="2:17" s="5" customFormat="1" ht="13">
      <c r="B1114" s="84"/>
      <c r="C1114" s="84"/>
      <c r="D1114" s="85"/>
      <c r="E1114" s="85"/>
      <c r="F1114" s="85"/>
      <c r="G1114" s="85"/>
      <c r="H1114" s="85"/>
      <c r="I1114" s="85"/>
      <c r="J1114" s="85"/>
      <c r="K1114" s="85"/>
      <c r="L1114" s="109"/>
      <c r="M1114" s="110"/>
      <c r="N1114" s="127"/>
      <c r="O1114" s="112"/>
      <c r="P1114" s="112"/>
      <c r="Q1114" s="118"/>
    </row>
    <row r="1115" spans="2:17" s="5" customFormat="1" ht="13">
      <c r="B1115" s="84"/>
      <c r="C1115" s="84"/>
      <c r="D1115" s="85"/>
      <c r="E1115" s="85"/>
      <c r="F1115" s="85"/>
      <c r="G1115" s="85"/>
      <c r="H1115" s="85"/>
      <c r="I1115" s="85"/>
      <c r="J1115" s="85"/>
      <c r="K1115" s="85"/>
      <c r="L1115" s="109"/>
      <c r="M1115" s="110"/>
      <c r="N1115" s="127"/>
      <c r="O1115" s="112"/>
      <c r="P1115" s="112"/>
      <c r="Q1115" s="118"/>
    </row>
    <row r="1116" spans="2:17" s="5" customFormat="1" ht="13">
      <c r="B1116" s="84"/>
      <c r="C1116" s="84"/>
      <c r="D1116" s="85"/>
      <c r="E1116" s="85"/>
      <c r="F1116" s="85"/>
      <c r="G1116" s="85"/>
      <c r="H1116" s="85"/>
      <c r="I1116" s="85"/>
      <c r="J1116" s="85"/>
      <c r="K1116" s="85"/>
      <c r="L1116" s="109"/>
      <c r="M1116" s="110"/>
      <c r="N1116" s="127"/>
      <c r="O1116" s="112"/>
      <c r="P1116" s="112"/>
      <c r="Q1116" s="118"/>
    </row>
    <row r="1117" spans="2:17" s="5" customFormat="1" ht="13">
      <c r="B1117" s="84"/>
      <c r="C1117" s="84"/>
      <c r="D1117" s="85"/>
      <c r="E1117" s="85"/>
      <c r="F1117" s="85"/>
      <c r="G1117" s="85"/>
      <c r="H1117" s="85"/>
      <c r="I1117" s="85"/>
      <c r="J1117" s="85"/>
      <c r="K1117" s="85"/>
      <c r="L1117" s="109"/>
      <c r="M1117" s="110"/>
      <c r="N1117" s="127"/>
      <c r="O1117" s="112"/>
      <c r="P1117" s="112"/>
      <c r="Q1117" s="118"/>
    </row>
    <row r="1118" spans="2:17" s="5" customFormat="1" ht="13">
      <c r="B1118" s="84"/>
      <c r="C1118" s="84"/>
      <c r="D1118" s="85"/>
      <c r="E1118" s="85"/>
      <c r="F1118" s="85"/>
      <c r="G1118" s="85"/>
      <c r="H1118" s="85"/>
      <c r="I1118" s="85"/>
      <c r="J1118" s="85"/>
      <c r="K1118" s="85"/>
      <c r="L1118" s="109"/>
      <c r="M1118" s="110"/>
      <c r="N1118" s="127"/>
      <c r="O1118" s="112"/>
      <c r="P1118" s="112"/>
      <c r="Q1118" s="118"/>
    </row>
    <row r="1119" spans="2:17" s="5" customFormat="1" ht="13">
      <c r="B1119" s="84"/>
      <c r="C1119" s="84"/>
      <c r="D1119" s="85"/>
      <c r="E1119" s="85"/>
      <c r="F1119" s="85"/>
      <c r="G1119" s="85"/>
      <c r="H1119" s="85"/>
      <c r="I1119" s="85"/>
      <c r="J1119" s="85"/>
      <c r="K1119" s="85"/>
      <c r="L1119" s="109"/>
      <c r="M1119" s="110"/>
      <c r="N1119" s="127"/>
      <c r="O1119" s="112"/>
      <c r="P1119" s="112"/>
      <c r="Q1119" s="118"/>
    </row>
    <row r="1120" spans="2:17" s="5" customFormat="1" ht="13">
      <c r="B1120" s="84"/>
      <c r="C1120" s="84"/>
      <c r="D1120" s="85"/>
      <c r="E1120" s="85"/>
      <c r="F1120" s="85"/>
      <c r="G1120" s="85"/>
      <c r="H1120" s="85"/>
      <c r="I1120" s="85"/>
      <c r="J1120" s="85"/>
      <c r="K1120" s="85"/>
      <c r="L1120" s="109"/>
      <c r="M1120" s="110"/>
      <c r="N1120" s="127"/>
      <c r="O1120" s="112"/>
      <c r="P1120" s="112"/>
      <c r="Q1120" s="118"/>
    </row>
    <row r="1121" spans="2:17" s="5" customFormat="1" ht="13">
      <c r="B1121" s="84"/>
      <c r="C1121" s="84"/>
      <c r="D1121" s="85"/>
      <c r="E1121" s="85"/>
      <c r="F1121" s="85"/>
      <c r="G1121" s="85"/>
      <c r="H1121" s="85"/>
      <c r="I1121" s="85"/>
      <c r="J1121" s="85"/>
      <c r="K1121" s="85"/>
      <c r="L1121" s="109"/>
      <c r="M1121" s="110"/>
      <c r="N1121" s="127"/>
      <c r="O1121" s="112"/>
      <c r="P1121" s="112"/>
      <c r="Q1121" s="118"/>
    </row>
    <row r="1122" spans="2:17" s="5" customFormat="1" ht="13">
      <c r="B1122" s="84"/>
      <c r="C1122" s="84"/>
      <c r="D1122" s="85"/>
      <c r="E1122" s="85"/>
      <c r="F1122" s="85"/>
      <c r="G1122" s="85"/>
      <c r="H1122" s="85"/>
      <c r="I1122" s="85"/>
      <c r="J1122" s="85"/>
      <c r="K1122" s="85"/>
      <c r="L1122" s="109"/>
      <c r="M1122" s="110"/>
      <c r="N1122" s="127"/>
      <c r="O1122" s="112"/>
      <c r="P1122" s="112"/>
      <c r="Q1122" s="118"/>
    </row>
    <row r="1123" spans="2:17" s="5" customFormat="1" ht="13">
      <c r="B1123" s="84"/>
      <c r="C1123" s="84"/>
      <c r="D1123" s="85"/>
      <c r="E1123" s="85"/>
      <c r="F1123" s="85"/>
      <c r="G1123" s="85"/>
      <c r="H1123" s="85"/>
      <c r="I1123" s="85"/>
      <c r="J1123" s="85"/>
      <c r="K1123" s="85"/>
      <c r="L1123" s="109"/>
      <c r="M1123" s="110"/>
      <c r="N1123" s="127"/>
      <c r="O1123" s="112"/>
      <c r="P1123" s="112"/>
      <c r="Q1123" s="118"/>
    </row>
    <row r="1124" spans="2:17" s="5" customFormat="1" ht="13">
      <c r="B1124" s="84"/>
      <c r="C1124" s="84"/>
      <c r="D1124" s="85"/>
      <c r="E1124" s="85"/>
      <c r="F1124" s="85"/>
      <c r="G1124" s="85"/>
      <c r="H1124" s="85"/>
      <c r="I1124" s="85"/>
      <c r="J1124" s="85"/>
      <c r="K1124" s="85"/>
      <c r="L1124" s="109"/>
      <c r="M1124" s="110"/>
      <c r="N1124" s="127"/>
      <c r="O1124" s="112"/>
      <c r="P1124" s="112"/>
      <c r="Q1124" s="118"/>
    </row>
    <row r="1125" spans="2:17" s="5" customFormat="1" ht="13">
      <c r="B1125" s="84"/>
      <c r="C1125" s="84"/>
      <c r="D1125" s="85"/>
      <c r="E1125" s="85"/>
      <c r="F1125" s="85"/>
      <c r="G1125" s="85"/>
      <c r="H1125" s="85"/>
      <c r="I1125" s="85"/>
      <c r="J1125" s="85"/>
      <c r="K1125" s="85"/>
      <c r="L1125" s="109"/>
      <c r="M1125" s="110"/>
      <c r="N1125" s="127"/>
      <c r="O1125" s="112"/>
      <c r="P1125" s="112"/>
      <c r="Q1125" s="118"/>
    </row>
    <row r="1126" spans="2:17" s="5" customFormat="1" ht="13">
      <c r="B1126" s="84"/>
      <c r="C1126" s="84"/>
      <c r="D1126" s="85"/>
      <c r="E1126" s="85"/>
      <c r="F1126" s="85"/>
      <c r="G1126" s="85"/>
      <c r="H1126" s="85"/>
      <c r="I1126" s="85"/>
      <c r="J1126" s="85"/>
      <c r="K1126" s="85"/>
      <c r="L1126" s="109"/>
      <c r="M1126" s="110"/>
      <c r="N1126" s="127"/>
      <c r="O1126" s="112"/>
      <c r="P1126" s="112"/>
      <c r="Q1126" s="118"/>
    </row>
    <row r="1127" spans="2:17" s="5" customFormat="1" ht="13">
      <c r="B1127" s="84"/>
      <c r="C1127" s="84"/>
      <c r="D1127" s="85"/>
      <c r="E1127" s="85"/>
      <c r="F1127" s="85"/>
      <c r="G1127" s="85"/>
      <c r="H1127" s="85"/>
      <c r="I1127" s="85"/>
      <c r="J1127" s="85"/>
      <c r="K1127" s="85"/>
      <c r="L1127" s="109"/>
      <c r="M1127" s="110"/>
      <c r="N1127" s="127"/>
      <c r="O1127" s="112"/>
      <c r="P1127" s="112"/>
      <c r="Q1127" s="118"/>
    </row>
    <row r="1128" spans="2:17" s="5" customFormat="1" ht="13">
      <c r="B1128" s="84"/>
      <c r="C1128" s="84"/>
      <c r="D1128" s="85"/>
      <c r="E1128" s="85"/>
      <c r="F1128" s="85"/>
      <c r="G1128" s="85"/>
      <c r="H1128" s="85"/>
      <c r="I1128" s="85"/>
      <c r="J1128" s="85"/>
      <c r="K1128" s="85"/>
      <c r="L1128" s="109"/>
      <c r="M1128" s="110"/>
      <c r="N1128" s="127"/>
      <c r="O1128" s="112"/>
      <c r="P1128" s="112"/>
      <c r="Q1128" s="118"/>
    </row>
    <row r="1129" spans="2:17" s="5" customFormat="1" ht="13">
      <c r="B1129" s="84"/>
      <c r="C1129" s="84"/>
      <c r="D1129" s="85"/>
      <c r="E1129" s="85"/>
      <c r="F1129" s="85"/>
      <c r="G1129" s="85"/>
      <c r="H1129" s="85"/>
      <c r="I1129" s="85"/>
      <c r="J1129" s="85"/>
      <c r="K1129" s="85"/>
      <c r="L1129" s="109"/>
      <c r="M1129" s="110"/>
      <c r="N1129" s="127"/>
      <c r="O1129" s="112"/>
      <c r="P1129" s="112"/>
      <c r="Q1129" s="118"/>
    </row>
    <row r="1130" spans="2:17" s="5" customFormat="1" ht="13">
      <c r="B1130" s="84"/>
      <c r="C1130" s="84"/>
      <c r="D1130" s="85"/>
      <c r="E1130" s="85"/>
      <c r="F1130" s="85"/>
      <c r="G1130" s="85"/>
      <c r="H1130" s="85"/>
      <c r="I1130" s="85"/>
      <c r="J1130" s="85"/>
      <c r="K1130" s="85"/>
      <c r="L1130" s="109"/>
      <c r="M1130" s="110"/>
      <c r="N1130" s="127"/>
      <c r="O1130" s="112"/>
      <c r="P1130" s="112"/>
      <c r="Q1130" s="118"/>
    </row>
    <row r="1131" spans="2:17" s="5" customFormat="1" ht="13">
      <c r="B1131" s="84"/>
      <c r="C1131" s="84"/>
      <c r="D1131" s="85"/>
      <c r="E1131" s="85"/>
      <c r="F1131" s="85"/>
      <c r="G1131" s="85"/>
      <c r="H1131" s="85"/>
      <c r="I1131" s="85"/>
      <c r="J1131" s="85"/>
      <c r="K1131" s="85"/>
      <c r="L1131" s="109"/>
      <c r="M1131" s="110"/>
      <c r="N1131" s="127"/>
      <c r="O1131" s="112"/>
      <c r="P1131" s="112"/>
      <c r="Q1131" s="118"/>
    </row>
    <row r="1132" spans="2:17" s="5" customFormat="1" ht="13">
      <c r="B1132" s="84"/>
      <c r="C1132" s="84"/>
      <c r="D1132" s="85"/>
      <c r="E1132" s="85"/>
      <c r="F1132" s="85"/>
      <c r="G1132" s="85"/>
      <c r="H1132" s="85"/>
      <c r="I1132" s="85"/>
      <c r="J1132" s="85"/>
      <c r="K1132" s="85"/>
      <c r="L1132" s="109"/>
      <c r="M1132" s="110"/>
      <c r="N1132" s="127"/>
      <c r="O1132" s="112"/>
      <c r="P1132" s="112"/>
      <c r="Q1132" s="118"/>
    </row>
    <row r="1133" spans="2:17" s="5" customFormat="1" ht="13">
      <c r="B1133" s="84"/>
      <c r="C1133" s="84"/>
      <c r="D1133" s="85"/>
      <c r="E1133" s="85"/>
      <c r="F1133" s="85"/>
      <c r="G1133" s="85"/>
      <c r="H1133" s="85"/>
      <c r="I1133" s="85"/>
      <c r="J1133" s="85"/>
      <c r="K1133" s="85"/>
      <c r="L1133" s="109"/>
      <c r="M1133" s="110"/>
      <c r="N1133" s="127"/>
      <c r="O1133" s="112"/>
      <c r="P1133" s="112"/>
      <c r="Q1133" s="118"/>
    </row>
    <row r="1134" spans="2:17" s="5" customFormat="1" ht="13">
      <c r="B1134" s="84"/>
      <c r="C1134" s="84"/>
      <c r="D1134" s="85"/>
      <c r="E1134" s="85"/>
      <c r="F1134" s="85"/>
      <c r="G1134" s="85"/>
      <c r="H1134" s="85"/>
      <c r="I1134" s="85"/>
      <c r="J1134" s="85"/>
      <c r="K1134" s="85"/>
      <c r="L1134" s="109"/>
      <c r="M1134" s="110"/>
      <c r="N1134" s="127"/>
      <c r="O1134" s="112"/>
      <c r="P1134" s="112"/>
      <c r="Q1134" s="118"/>
    </row>
    <row r="1135" spans="2:17" s="5" customFormat="1" ht="13">
      <c r="B1135" s="84"/>
      <c r="C1135" s="84"/>
      <c r="D1135" s="85"/>
      <c r="E1135" s="85"/>
      <c r="F1135" s="85"/>
      <c r="G1135" s="85"/>
      <c r="H1135" s="85"/>
      <c r="I1135" s="85"/>
      <c r="J1135" s="85"/>
      <c r="K1135" s="85"/>
      <c r="L1135" s="109"/>
      <c r="M1135" s="110"/>
      <c r="N1135" s="127"/>
      <c r="O1135" s="112"/>
      <c r="P1135" s="112"/>
      <c r="Q1135" s="118"/>
    </row>
    <row r="1136" spans="2:17" s="5" customFormat="1" ht="13">
      <c r="B1136" s="84"/>
      <c r="C1136" s="84"/>
      <c r="D1136" s="85"/>
      <c r="E1136" s="85"/>
      <c r="F1136" s="85"/>
      <c r="G1136" s="85"/>
      <c r="H1136" s="85"/>
      <c r="I1136" s="85"/>
      <c r="J1136" s="85"/>
      <c r="K1136" s="85"/>
      <c r="L1136" s="109"/>
      <c r="M1136" s="110"/>
      <c r="N1136" s="127"/>
      <c r="O1136" s="112"/>
      <c r="P1136" s="112"/>
      <c r="Q1136" s="118"/>
    </row>
    <row r="1137" spans="2:17" s="5" customFormat="1" ht="13">
      <c r="B1137" s="84"/>
      <c r="C1137" s="84"/>
      <c r="D1137" s="85"/>
      <c r="E1137" s="85"/>
      <c r="F1137" s="85"/>
      <c r="G1137" s="85"/>
      <c r="H1137" s="85"/>
      <c r="I1137" s="85"/>
      <c r="J1137" s="85"/>
      <c r="K1137" s="85"/>
      <c r="L1137" s="109"/>
      <c r="M1137" s="110"/>
      <c r="N1137" s="127"/>
      <c r="O1137" s="112"/>
      <c r="P1137" s="112"/>
      <c r="Q1137" s="118"/>
    </row>
    <row r="1138" spans="2:17" s="5" customFormat="1" ht="13">
      <c r="B1138" s="84"/>
      <c r="C1138" s="84"/>
      <c r="D1138" s="85"/>
      <c r="E1138" s="85"/>
      <c r="F1138" s="85"/>
      <c r="G1138" s="85"/>
      <c r="H1138" s="85"/>
      <c r="I1138" s="85"/>
      <c r="J1138" s="85"/>
      <c r="K1138" s="85"/>
      <c r="L1138" s="109"/>
      <c r="M1138" s="110"/>
      <c r="N1138" s="127"/>
      <c r="O1138" s="112"/>
      <c r="P1138" s="112"/>
      <c r="Q1138" s="118"/>
    </row>
    <row r="1139" spans="2:17" s="5" customFormat="1" ht="13">
      <c r="B1139" s="84"/>
      <c r="C1139" s="84"/>
      <c r="D1139" s="85"/>
      <c r="E1139" s="85"/>
      <c r="F1139" s="85"/>
      <c r="G1139" s="85"/>
      <c r="H1139" s="85"/>
      <c r="I1139" s="85"/>
      <c r="J1139" s="85"/>
      <c r="K1139" s="85"/>
      <c r="L1139" s="109"/>
      <c r="M1139" s="110"/>
      <c r="N1139" s="127"/>
      <c r="O1139" s="112"/>
      <c r="P1139" s="112"/>
      <c r="Q1139" s="118"/>
    </row>
    <row r="1140" spans="2:17" s="5" customFormat="1" ht="13">
      <c r="B1140" s="84"/>
      <c r="C1140" s="84"/>
      <c r="D1140" s="85"/>
      <c r="E1140" s="85"/>
      <c r="F1140" s="85"/>
      <c r="G1140" s="85"/>
      <c r="H1140" s="85"/>
      <c r="I1140" s="85"/>
      <c r="J1140" s="85"/>
      <c r="K1140" s="85"/>
      <c r="L1140" s="109"/>
      <c r="M1140" s="110"/>
      <c r="N1140" s="127"/>
      <c r="O1140" s="112"/>
      <c r="P1140" s="112"/>
      <c r="Q1140" s="118"/>
    </row>
    <row r="1141" spans="2:17" s="5" customFormat="1" ht="13">
      <c r="B1141" s="84"/>
      <c r="C1141" s="84"/>
      <c r="D1141" s="85"/>
      <c r="E1141" s="85"/>
      <c r="F1141" s="85"/>
      <c r="G1141" s="85"/>
      <c r="H1141" s="85"/>
      <c r="I1141" s="85"/>
      <c r="J1141" s="85"/>
      <c r="K1141" s="85"/>
      <c r="L1141" s="109"/>
      <c r="M1141" s="110"/>
      <c r="N1141" s="127"/>
      <c r="O1141" s="112"/>
      <c r="P1141" s="112"/>
      <c r="Q1141" s="118"/>
    </row>
    <row r="1142" spans="2:17" s="5" customFormat="1" ht="13">
      <c r="B1142" s="84"/>
      <c r="C1142" s="84"/>
      <c r="D1142" s="85"/>
      <c r="E1142" s="85"/>
      <c r="F1142" s="85"/>
      <c r="G1142" s="85"/>
      <c r="H1142" s="85"/>
      <c r="I1142" s="85"/>
      <c r="J1142" s="85"/>
      <c r="K1142" s="85"/>
      <c r="L1142" s="109"/>
      <c r="M1142" s="110"/>
      <c r="N1142" s="127"/>
      <c r="O1142" s="112"/>
      <c r="P1142" s="112"/>
      <c r="Q1142" s="118"/>
    </row>
    <row r="1143" spans="2:17" s="5" customFormat="1" ht="13">
      <c r="B1143" s="84"/>
      <c r="C1143" s="84"/>
      <c r="D1143" s="85"/>
      <c r="E1143" s="85"/>
      <c r="F1143" s="85"/>
      <c r="G1143" s="85"/>
      <c r="H1143" s="85"/>
      <c r="I1143" s="85"/>
      <c r="J1143" s="85"/>
      <c r="K1143" s="85"/>
      <c r="L1143" s="109"/>
      <c r="M1143" s="110"/>
      <c r="N1143" s="127"/>
      <c r="O1143" s="112"/>
      <c r="P1143" s="112"/>
      <c r="Q1143" s="118"/>
    </row>
    <row r="1144" spans="2:17" s="5" customFormat="1" ht="13">
      <c r="B1144" s="84"/>
      <c r="C1144" s="84"/>
      <c r="D1144" s="85"/>
      <c r="E1144" s="85"/>
      <c r="F1144" s="85"/>
      <c r="G1144" s="85"/>
      <c r="H1144" s="85"/>
      <c r="I1144" s="85"/>
      <c r="J1144" s="85"/>
      <c r="K1144" s="85"/>
      <c r="L1144" s="109"/>
      <c r="M1144" s="110"/>
      <c r="N1144" s="127"/>
      <c r="O1144" s="112"/>
      <c r="P1144" s="112"/>
      <c r="Q1144" s="118"/>
    </row>
    <row r="1145" spans="2:17" s="5" customFormat="1" ht="13">
      <c r="B1145" s="84"/>
      <c r="C1145" s="84"/>
      <c r="D1145" s="85"/>
      <c r="E1145" s="85"/>
      <c r="F1145" s="85"/>
      <c r="G1145" s="85"/>
      <c r="H1145" s="85"/>
      <c r="I1145" s="85"/>
      <c r="J1145" s="85"/>
      <c r="K1145" s="85"/>
      <c r="L1145" s="109"/>
      <c r="M1145" s="110"/>
      <c r="N1145" s="127"/>
      <c r="O1145" s="112"/>
      <c r="P1145" s="112"/>
      <c r="Q1145" s="118"/>
    </row>
    <row r="1146" spans="2:17" s="5" customFormat="1" ht="13">
      <c r="B1146" s="84"/>
      <c r="C1146" s="84"/>
      <c r="D1146" s="85"/>
      <c r="E1146" s="85"/>
      <c r="F1146" s="85"/>
      <c r="G1146" s="85"/>
      <c r="H1146" s="85"/>
      <c r="I1146" s="85"/>
      <c r="J1146" s="85"/>
      <c r="K1146" s="85"/>
      <c r="L1146" s="109"/>
      <c r="M1146" s="110"/>
      <c r="N1146" s="127"/>
      <c r="O1146" s="112"/>
      <c r="P1146" s="112"/>
      <c r="Q1146" s="118"/>
    </row>
    <row r="1147" spans="2:17" s="5" customFormat="1" ht="13">
      <c r="B1147" s="84"/>
      <c r="C1147" s="84"/>
      <c r="D1147" s="85"/>
      <c r="E1147" s="85"/>
      <c r="F1147" s="85"/>
      <c r="G1147" s="85"/>
      <c r="H1147" s="85"/>
      <c r="I1147" s="85"/>
      <c r="J1147" s="85"/>
      <c r="K1147" s="85"/>
      <c r="L1147" s="109"/>
      <c r="M1147" s="110"/>
      <c r="N1147" s="127"/>
      <c r="O1147" s="112"/>
      <c r="P1147" s="112"/>
      <c r="Q1147" s="118"/>
    </row>
    <row r="1148" spans="2:17" s="5" customFormat="1" ht="13">
      <c r="B1148" s="84"/>
      <c r="C1148" s="84"/>
      <c r="D1148" s="85"/>
      <c r="E1148" s="85"/>
      <c r="F1148" s="85"/>
      <c r="G1148" s="85"/>
      <c r="H1148" s="85"/>
      <c r="I1148" s="85"/>
      <c r="J1148" s="85"/>
      <c r="K1148" s="85"/>
      <c r="L1148" s="109"/>
      <c r="M1148" s="110"/>
      <c r="N1148" s="127"/>
      <c r="O1148" s="112"/>
      <c r="P1148" s="112"/>
      <c r="Q1148" s="118"/>
    </row>
    <row r="1149" spans="2:17" s="5" customFormat="1" ht="13">
      <c r="B1149" s="84"/>
      <c r="C1149" s="84"/>
      <c r="D1149" s="85"/>
      <c r="E1149" s="85"/>
      <c r="F1149" s="85"/>
      <c r="G1149" s="85"/>
      <c r="H1149" s="85"/>
      <c r="I1149" s="85"/>
      <c r="J1149" s="85"/>
      <c r="K1149" s="85"/>
      <c r="L1149" s="109"/>
      <c r="M1149" s="110"/>
      <c r="N1149" s="127"/>
      <c r="O1149" s="112"/>
      <c r="P1149" s="112"/>
      <c r="Q1149" s="118"/>
    </row>
    <row r="1150" spans="2:17" s="5" customFormat="1" ht="13">
      <c r="B1150" s="84"/>
      <c r="C1150" s="84"/>
      <c r="D1150" s="85"/>
      <c r="E1150" s="85"/>
      <c r="F1150" s="85"/>
      <c r="G1150" s="85"/>
      <c r="H1150" s="85"/>
      <c r="I1150" s="85"/>
      <c r="J1150" s="85"/>
      <c r="K1150" s="85"/>
      <c r="L1150" s="109"/>
      <c r="M1150" s="110"/>
      <c r="N1150" s="127"/>
      <c r="O1150" s="112"/>
      <c r="P1150" s="112"/>
      <c r="Q1150" s="118"/>
    </row>
    <row r="1151" spans="2:17" s="5" customFormat="1" ht="13">
      <c r="B1151" s="84"/>
      <c r="C1151" s="84"/>
      <c r="D1151" s="85"/>
      <c r="E1151" s="85"/>
      <c r="F1151" s="85"/>
      <c r="G1151" s="85"/>
      <c r="H1151" s="85"/>
      <c r="I1151" s="85"/>
      <c r="J1151" s="85"/>
      <c r="K1151" s="85"/>
      <c r="L1151" s="109"/>
      <c r="M1151" s="110"/>
      <c r="N1151" s="127"/>
      <c r="O1151" s="112"/>
      <c r="P1151" s="112"/>
      <c r="Q1151" s="118"/>
    </row>
    <row r="1152" spans="2:17" s="5" customFormat="1" ht="13">
      <c r="B1152" s="84"/>
      <c r="C1152" s="84"/>
      <c r="D1152" s="85"/>
      <c r="E1152" s="85"/>
      <c r="F1152" s="85"/>
      <c r="G1152" s="85"/>
      <c r="H1152" s="85"/>
      <c r="I1152" s="85"/>
      <c r="J1152" s="85"/>
      <c r="K1152" s="85"/>
      <c r="L1152" s="109"/>
      <c r="M1152" s="110"/>
      <c r="N1152" s="127"/>
      <c r="O1152" s="112"/>
      <c r="P1152" s="112"/>
      <c r="Q1152" s="118"/>
    </row>
    <row r="1153" spans="2:17" s="5" customFormat="1" ht="13">
      <c r="B1153" s="84"/>
      <c r="C1153" s="84"/>
      <c r="D1153" s="85"/>
      <c r="E1153" s="85"/>
      <c r="F1153" s="85"/>
      <c r="G1153" s="85"/>
      <c r="H1153" s="85"/>
      <c r="I1153" s="85"/>
      <c r="J1153" s="85"/>
      <c r="K1153" s="85"/>
      <c r="L1153" s="109"/>
      <c r="M1153" s="110"/>
      <c r="N1153" s="127"/>
      <c r="O1153" s="112"/>
      <c r="P1153" s="112"/>
      <c r="Q1153" s="118"/>
    </row>
    <row r="1154" spans="2:17" s="5" customFormat="1" ht="13">
      <c r="B1154" s="84"/>
      <c r="C1154" s="84"/>
      <c r="D1154" s="85"/>
      <c r="E1154" s="85"/>
      <c r="F1154" s="85"/>
      <c r="G1154" s="85"/>
      <c r="H1154" s="85"/>
      <c r="I1154" s="85"/>
      <c r="J1154" s="85"/>
      <c r="K1154" s="85"/>
      <c r="L1154" s="109"/>
      <c r="M1154" s="110"/>
      <c r="N1154" s="127"/>
      <c r="O1154" s="112"/>
      <c r="P1154" s="112"/>
      <c r="Q1154" s="118"/>
    </row>
    <row r="1155" spans="2:17" s="5" customFormat="1" ht="13">
      <c r="B1155" s="84"/>
      <c r="C1155" s="84"/>
      <c r="D1155" s="85"/>
      <c r="E1155" s="85"/>
      <c r="F1155" s="85"/>
      <c r="G1155" s="85"/>
      <c r="H1155" s="85"/>
      <c r="I1155" s="85"/>
      <c r="J1155" s="85"/>
      <c r="K1155" s="85"/>
      <c r="L1155" s="109"/>
      <c r="M1155" s="110"/>
      <c r="N1155" s="127"/>
      <c r="O1155" s="112"/>
      <c r="P1155" s="112"/>
      <c r="Q1155" s="118"/>
    </row>
    <row r="1156" spans="2:17" s="5" customFormat="1" ht="13">
      <c r="B1156" s="84"/>
      <c r="C1156" s="84"/>
      <c r="D1156" s="85"/>
      <c r="E1156" s="85"/>
      <c r="F1156" s="85"/>
      <c r="G1156" s="85"/>
      <c r="H1156" s="85"/>
      <c r="I1156" s="85"/>
      <c r="J1156" s="85"/>
      <c r="K1156" s="85"/>
      <c r="L1156" s="109"/>
      <c r="M1156" s="110"/>
      <c r="N1156" s="127"/>
      <c r="O1156" s="112"/>
      <c r="P1156" s="112"/>
      <c r="Q1156" s="118"/>
    </row>
    <row r="1157" spans="2:17" s="5" customFormat="1" ht="13">
      <c r="B1157" s="84"/>
      <c r="C1157" s="84"/>
      <c r="D1157" s="85"/>
      <c r="E1157" s="85"/>
      <c r="F1157" s="85"/>
      <c r="G1157" s="85"/>
      <c r="H1157" s="85"/>
      <c r="I1157" s="85"/>
      <c r="J1157" s="85"/>
      <c r="K1157" s="85"/>
      <c r="L1157" s="109"/>
      <c r="M1157" s="110"/>
      <c r="N1157" s="127"/>
      <c r="O1157" s="112"/>
      <c r="P1157" s="112"/>
      <c r="Q1157" s="118"/>
    </row>
    <row r="1158" spans="2:17" s="5" customFormat="1" ht="13">
      <c r="B1158" s="84"/>
      <c r="C1158" s="84"/>
      <c r="D1158" s="85"/>
      <c r="E1158" s="85"/>
      <c r="F1158" s="85"/>
      <c r="G1158" s="85"/>
      <c r="H1158" s="85"/>
      <c r="I1158" s="85"/>
      <c r="J1158" s="85"/>
      <c r="K1158" s="85"/>
      <c r="L1158" s="109"/>
      <c r="M1158" s="110"/>
      <c r="N1158" s="127"/>
      <c r="O1158" s="112"/>
      <c r="P1158" s="112"/>
      <c r="Q1158" s="118"/>
    </row>
    <row r="1159" spans="2:17" s="5" customFormat="1" ht="13">
      <c r="B1159" s="84"/>
      <c r="C1159" s="84"/>
      <c r="D1159" s="85"/>
      <c r="E1159" s="85"/>
      <c r="F1159" s="85"/>
      <c r="G1159" s="85"/>
      <c r="H1159" s="85"/>
      <c r="I1159" s="85"/>
      <c r="J1159" s="85"/>
      <c r="K1159" s="85"/>
      <c r="L1159" s="109"/>
      <c r="M1159" s="110"/>
      <c r="N1159" s="127"/>
      <c r="O1159" s="112"/>
      <c r="P1159" s="112"/>
      <c r="Q1159" s="118"/>
    </row>
    <row r="1160" spans="2:17" s="5" customFormat="1" ht="13">
      <c r="B1160" s="84"/>
      <c r="C1160" s="84"/>
      <c r="D1160" s="85"/>
      <c r="E1160" s="85"/>
      <c r="F1160" s="85"/>
      <c r="G1160" s="85"/>
      <c r="H1160" s="85"/>
      <c r="I1160" s="85"/>
      <c r="J1160" s="85"/>
      <c r="K1160" s="85"/>
      <c r="L1160" s="109"/>
      <c r="M1160" s="110"/>
      <c r="N1160" s="127"/>
      <c r="O1160" s="112"/>
      <c r="P1160" s="112"/>
      <c r="Q1160" s="118"/>
    </row>
    <row r="1161" spans="2:17" s="5" customFormat="1" ht="13">
      <c r="B1161" s="84"/>
      <c r="C1161" s="84"/>
      <c r="D1161" s="85"/>
      <c r="E1161" s="85"/>
      <c r="F1161" s="85"/>
      <c r="G1161" s="85"/>
      <c r="H1161" s="85"/>
      <c r="I1161" s="85"/>
      <c r="J1161" s="85"/>
      <c r="K1161" s="85"/>
      <c r="L1161" s="109"/>
      <c r="M1161" s="110"/>
      <c r="N1161" s="127"/>
      <c r="O1161" s="112"/>
      <c r="P1161" s="112"/>
      <c r="Q1161" s="118"/>
    </row>
    <row r="1162" spans="2:17" s="5" customFormat="1" ht="13">
      <c r="B1162" s="84"/>
      <c r="C1162" s="84"/>
      <c r="D1162" s="85"/>
      <c r="E1162" s="85"/>
      <c r="F1162" s="85"/>
      <c r="G1162" s="85"/>
      <c r="H1162" s="85"/>
      <c r="I1162" s="85"/>
      <c r="J1162" s="85"/>
      <c r="K1162" s="85"/>
      <c r="L1162" s="109"/>
      <c r="M1162" s="110"/>
      <c r="N1162" s="127"/>
      <c r="O1162" s="112"/>
      <c r="P1162" s="112"/>
      <c r="Q1162" s="118"/>
    </row>
    <row r="1163" spans="2:17" s="5" customFormat="1" ht="13">
      <c r="B1163" s="84"/>
      <c r="C1163" s="84"/>
      <c r="D1163" s="85"/>
      <c r="E1163" s="85"/>
      <c r="F1163" s="85"/>
      <c r="G1163" s="85"/>
      <c r="H1163" s="85"/>
      <c r="I1163" s="85"/>
      <c r="J1163" s="85"/>
      <c r="K1163" s="85"/>
      <c r="L1163" s="109"/>
      <c r="M1163" s="110"/>
      <c r="N1163" s="127"/>
      <c r="O1163" s="112"/>
      <c r="P1163" s="112"/>
      <c r="Q1163" s="118"/>
    </row>
    <row r="1164" spans="2:17" s="5" customFormat="1" ht="13">
      <c r="B1164" s="84"/>
      <c r="C1164" s="84"/>
      <c r="D1164" s="85"/>
      <c r="E1164" s="85"/>
      <c r="F1164" s="85"/>
      <c r="G1164" s="85"/>
      <c r="H1164" s="85"/>
      <c r="I1164" s="85"/>
      <c r="J1164" s="85"/>
      <c r="K1164" s="85"/>
      <c r="L1164" s="109"/>
      <c r="M1164" s="110"/>
      <c r="N1164" s="127"/>
      <c r="O1164" s="112"/>
      <c r="P1164" s="112"/>
      <c r="Q1164" s="118"/>
    </row>
    <row r="1165" spans="2:17" s="5" customFormat="1" ht="13">
      <c r="B1165" s="84"/>
      <c r="C1165" s="84"/>
      <c r="D1165" s="85"/>
      <c r="E1165" s="85"/>
      <c r="F1165" s="85"/>
      <c r="G1165" s="85"/>
      <c r="H1165" s="85"/>
      <c r="I1165" s="85"/>
      <c r="J1165" s="85"/>
      <c r="K1165" s="85"/>
      <c r="L1165" s="109"/>
      <c r="M1165" s="110"/>
      <c r="N1165" s="127"/>
      <c r="O1165" s="112"/>
      <c r="P1165" s="112"/>
      <c r="Q1165" s="118"/>
    </row>
    <row r="1166" spans="2:17" s="5" customFormat="1" ht="13">
      <c r="B1166" s="84"/>
      <c r="C1166" s="84"/>
      <c r="D1166" s="85"/>
      <c r="E1166" s="85"/>
      <c r="F1166" s="85"/>
      <c r="G1166" s="85"/>
      <c r="H1166" s="85"/>
      <c r="I1166" s="85"/>
      <c r="J1166" s="85"/>
      <c r="K1166" s="85"/>
      <c r="L1166" s="109"/>
      <c r="M1166" s="110"/>
      <c r="N1166" s="127"/>
      <c r="O1166" s="112"/>
      <c r="P1166" s="112"/>
      <c r="Q1166" s="118"/>
    </row>
    <row r="1167" spans="2:17" s="5" customFormat="1" ht="13">
      <c r="B1167" s="84"/>
      <c r="C1167" s="84"/>
      <c r="D1167" s="85"/>
      <c r="E1167" s="85"/>
      <c r="F1167" s="85"/>
      <c r="G1167" s="85"/>
      <c r="H1167" s="85"/>
      <c r="I1167" s="85"/>
      <c r="J1167" s="85"/>
      <c r="K1167" s="85"/>
      <c r="L1167" s="109"/>
      <c r="M1167" s="110"/>
      <c r="N1167" s="127"/>
      <c r="O1167" s="112"/>
      <c r="P1167" s="112"/>
      <c r="Q1167" s="118"/>
    </row>
    <row r="1168" spans="2:17" s="5" customFormat="1" ht="13">
      <c r="B1168" s="84"/>
      <c r="C1168" s="84"/>
      <c r="D1168" s="85"/>
      <c r="E1168" s="85"/>
      <c r="F1168" s="85"/>
      <c r="G1168" s="85"/>
      <c r="H1168" s="85"/>
      <c r="I1168" s="85"/>
      <c r="J1168" s="85"/>
      <c r="K1168" s="85"/>
      <c r="L1168" s="109"/>
      <c r="M1168" s="110"/>
      <c r="N1168" s="127"/>
      <c r="O1168" s="112"/>
      <c r="P1168" s="112"/>
      <c r="Q1168" s="118"/>
    </row>
    <row r="1169" spans="2:17" s="5" customFormat="1" ht="13">
      <c r="B1169" s="84"/>
      <c r="C1169" s="84"/>
      <c r="D1169" s="85"/>
      <c r="E1169" s="85"/>
      <c r="F1169" s="85"/>
      <c r="G1169" s="85"/>
      <c r="H1169" s="85"/>
      <c r="I1169" s="85"/>
      <c r="J1169" s="85"/>
      <c r="K1169" s="85"/>
      <c r="L1169" s="109"/>
      <c r="M1169" s="110"/>
      <c r="N1169" s="127"/>
      <c r="O1169" s="112"/>
      <c r="P1169" s="112"/>
      <c r="Q1169" s="118"/>
    </row>
    <row r="1170" spans="2:17" s="5" customFormat="1" ht="13">
      <c r="B1170" s="84"/>
      <c r="C1170" s="84"/>
      <c r="D1170" s="85"/>
      <c r="E1170" s="85"/>
      <c r="F1170" s="85"/>
      <c r="G1170" s="85"/>
      <c r="H1170" s="85"/>
      <c r="I1170" s="85"/>
      <c r="J1170" s="85"/>
      <c r="K1170" s="85"/>
      <c r="L1170" s="109"/>
      <c r="M1170" s="110"/>
      <c r="N1170" s="127"/>
      <c r="O1170" s="112"/>
      <c r="P1170" s="112"/>
      <c r="Q1170" s="118"/>
    </row>
    <row r="1171" spans="2:17" s="5" customFormat="1" ht="13">
      <c r="B1171" s="84"/>
      <c r="C1171" s="84"/>
      <c r="D1171" s="85"/>
      <c r="E1171" s="85"/>
      <c r="F1171" s="85"/>
      <c r="G1171" s="85"/>
      <c r="H1171" s="85"/>
      <c r="I1171" s="85"/>
      <c r="J1171" s="85"/>
      <c r="K1171" s="85"/>
      <c r="L1171" s="109"/>
      <c r="M1171" s="110"/>
      <c r="N1171" s="127"/>
      <c r="O1171" s="112"/>
      <c r="P1171" s="112"/>
      <c r="Q1171" s="118"/>
    </row>
    <row r="1172" spans="2:17" s="5" customFormat="1" ht="13">
      <c r="B1172" s="84"/>
      <c r="C1172" s="84"/>
      <c r="D1172" s="85"/>
      <c r="E1172" s="85"/>
      <c r="F1172" s="85"/>
      <c r="G1172" s="85"/>
      <c r="H1172" s="85"/>
      <c r="I1172" s="85"/>
      <c r="J1172" s="85"/>
      <c r="K1172" s="85"/>
      <c r="L1172" s="109"/>
      <c r="M1172" s="110"/>
      <c r="N1172" s="127"/>
      <c r="O1172" s="112"/>
      <c r="P1172" s="112"/>
      <c r="Q1172" s="118"/>
    </row>
    <row r="1173" spans="2:17" s="5" customFormat="1" ht="13">
      <c r="B1173" s="84"/>
      <c r="C1173" s="84"/>
      <c r="D1173" s="85"/>
      <c r="E1173" s="85"/>
      <c r="F1173" s="85"/>
      <c r="G1173" s="85"/>
      <c r="H1173" s="85"/>
      <c r="I1173" s="85"/>
      <c r="J1173" s="85"/>
      <c r="K1173" s="85"/>
      <c r="L1173" s="109"/>
      <c r="M1173" s="110"/>
      <c r="N1173" s="127"/>
      <c r="O1173" s="112"/>
      <c r="P1173" s="112"/>
      <c r="Q1173" s="118"/>
    </row>
    <row r="1174" spans="2:17" s="5" customFormat="1" ht="13">
      <c r="B1174" s="84"/>
      <c r="C1174" s="84"/>
      <c r="D1174" s="85"/>
      <c r="E1174" s="85"/>
      <c r="F1174" s="85"/>
      <c r="G1174" s="85"/>
      <c r="H1174" s="85"/>
      <c r="I1174" s="85"/>
      <c r="J1174" s="85"/>
      <c r="K1174" s="85"/>
      <c r="L1174" s="109"/>
      <c r="M1174" s="110"/>
      <c r="N1174" s="127"/>
      <c r="O1174" s="112"/>
      <c r="P1174" s="112"/>
      <c r="Q1174" s="118"/>
    </row>
    <row r="1175" spans="2:17" s="5" customFormat="1" ht="13">
      <c r="B1175" s="84"/>
      <c r="C1175" s="84"/>
      <c r="D1175" s="85"/>
      <c r="E1175" s="85"/>
      <c r="F1175" s="85"/>
      <c r="G1175" s="85"/>
      <c r="H1175" s="85"/>
      <c r="I1175" s="85"/>
      <c r="J1175" s="85"/>
      <c r="K1175" s="85"/>
      <c r="L1175" s="109"/>
      <c r="M1175" s="110"/>
      <c r="N1175" s="127"/>
      <c r="O1175" s="112"/>
      <c r="P1175" s="112"/>
      <c r="Q1175" s="118"/>
    </row>
    <row r="1176" spans="2:17" s="5" customFormat="1" ht="13">
      <c r="B1176" s="84"/>
      <c r="C1176" s="84"/>
      <c r="D1176" s="85"/>
      <c r="E1176" s="85"/>
      <c r="F1176" s="85"/>
      <c r="G1176" s="85"/>
      <c r="H1176" s="85"/>
      <c r="I1176" s="85"/>
      <c r="J1176" s="85"/>
      <c r="K1176" s="85"/>
      <c r="L1176" s="109"/>
      <c r="M1176" s="110"/>
      <c r="N1176" s="127"/>
      <c r="O1176" s="112"/>
      <c r="P1176" s="112"/>
      <c r="Q1176" s="118"/>
    </row>
    <row r="1177" spans="2:17" s="5" customFormat="1" ht="13">
      <c r="B1177" s="84"/>
      <c r="C1177" s="84"/>
      <c r="D1177" s="85"/>
      <c r="E1177" s="85"/>
      <c r="F1177" s="85"/>
      <c r="G1177" s="85"/>
      <c r="H1177" s="85"/>
      <c r="I1177" s="85"/>
      <c r="J1177" s="85"/>
      <c r="K1177" s="85"/>
      <c r="L1177" s="109"/>
      <c r="M1177" s="110"/>
      <c r="N1177" s="127"/>
      <c r="O1177" s="112"/>
      <c r="P1177" s="112"/>
      <c r="Q1177" s="118"/>
    </row>
    <row r="1178" spans="2:17" s="5" customFormat="1" ht="13">
      <c r="B1178" s="84"/>
      <c r="C1178" s="84"/>
      <c r="D1178" s="85"/>
      <c r="E1178" s="85"/>
      <c r="F1178" s="85"/>
      <c r="G1178" s="85"/>
      <c r="H1178" s="85"/>
      <c r="I1178" s="85"/>
      <c r="J1178" s="85"/>
      <c r="K1178" s="85"/>
      <c r="L1178" s="109"/>
      <c r="M1178" s="110"/>
      <c r="N1178" s="127"/>
      <c r="O1178" s="112"/>
      <c r="P1178" s="112"/>
      <c r="Q1178" s="118"/>
    </row>
    <row r="1179" spans="2:17" s="5" customFormat="1" ht="13">
      <c r="B1179" s="84"/>
      <c r="C1179" s="84"/>
      <c r="D1179" s="85"/>
      <c r="E1179" s="85"/>
      <c r="F1179" s="85"/>
      <c r="G1179" s="85"/>
      <c r="H1179" s="85"/>
      <c r="I1179" s="85"/>
      <c r="J1179" s="85"/>
      <c r="K1179" s="85"/>
      <c r="L1179" s="109"/>
      <c r="M1179" s="110"/>
      <c r="N1179" s="127"/>
      <c r="O1179" s="112"/>
      <c r="P1179" s="112"/>
      <c r="Q1179" s="118"/>
    </row>
    <row r="1180" spans="2:17" s="5" customFormat="1" ht="13">
      <c r="B1180" s="84"/>
      <c r="C1180" s="84"/>
      <c r="D1180" s="85"/>
      <c r="E1180" s="85"/>
      <c r="F1180" s="85"/>
      <c r="G1180" s="85"/>
      <c r="H1180" s="85"/>
      <c r="I1180" s="85"/>
      <c r="J1180" s="85"/>
      <c r="K1180" s="85"/>
      <c r="L1180" s="109"/>
      <c r="M1180" s="110"/>
      <c r="N1180" s="127"/>
      <c r="O1180" s="112"/>
      <c r="P1180" s="112"/>
      <c r="Q1180" s="118"/>
    </row>
    <row r="1181" spans="2:17" s="5" customFormat="1" ht="13">
      <c r="B1181" s="84"/>
      <c r="C1181" s="84"/>
      <c r="D1181" s="85"/>
      <c r="E1181" s="85"/>
      <c r="F1181" s="85"/>
      <c r="G1181" s="85"/>
      <c r="H1181" s="85"/>
      <c r="I1181" s="85"/>
      <c r="J1181" s="85"/>
      <c r="K1181" s="85"/>
      <c r="L1181" s="109"/>
      <c r="M1181" s="110"/>
      <c r="N1181" s="127"/>
      <c r="O1181" s="112"/>
      <c r="P1181" s="112"/>
      <c r="Q1181" s="118"/>
    </row>
    <row r="1182" spans="2:17" s="5" customFormat="1" ht="13">
      <c r="B1182" s="84"/>
      <c r="C1182" s="84"/>
      <c r="D1182" s="85"/>
      <c r="E1182" s="85"/>
      <c r="F1182" s="85"/>
      <c r="G1182" s="85"/>
      <c r="H1182" s="85"/>
      <c r="I1182" s="85"/>
      <c r="J1182" s="85"/>
      <c r="K1182" s="85"/>
      <c r="L1182" s="109"/>
      <c r="M1182" s="110"/>
      <c r="N1182" s="127"/>
      <c r="O1182" s="112"/>
      <c r="P1182" s="112"/>
      <c r="Q1182" s="118"/>
    </row>
    <row r="1183" spans="2:17" s="5" customFormat="1" ht="13">
      <c r="B1183" s="84"/>
      <c r="C1183" s="84"/>
      <c r="D1183" s="85"/>
      <c r="E1183" s="85"/>
      <c r="F1183" s="85"/>
      <c r="G1183" s="85"/>
      <c r="H1183" s="85"/>
      <c r="I1183" s="85"/>
      <c r="J1183" s="85"/>
      <c r="K1183" s="85"/>
      <c r="L1183" s="109"/>
      <c r="M1183" s="110"/>
      <c r="N1183" s="127"/>
      <c r="O1183" s="112"/>
      <c r="P1183" s="112"/>
      <c r="Q1183" s="118"/>
    </row>
    <row r="1184" spans="2:17" s="5" customFormat="1" ht="13">
      <c r="B1184" s="84"/>
      <c r="C1184" s="84"/>
      <c r="D1184" s="85"/>
      <c r="E1184" s="85"/>
      <c r="F1184" s="85"/>
      <c r="G1184" s="85"/>
      <c r="H1184" s="85"/>
      <c r="I1184" s="85"/>
      <c r="J1184" s="85"/>
      <c r="K1184" s="85"/>
      <c r="L1184" s="109"/>
      <c r="M1184" s="110"/>
      <c r="N1184" s="127"/>
      <c r="O1184" s="112"/>
      <c r="P1184" s="112"/>
      <c r="Q1184" s="118"/>
    </row>
    <row r="1185" spans="2:17" s="5" customFormat="1" ht="13">
      <c r="B1185" s="84"/>
      <c r="C1185" s="84"/>
      <c r="D1185" s="85"/>
      <c r="E1185" s="85"/>
      <c r="F1185" s="85"/>
      <c r="G1185" s="85"/>
      <c r="H1185" s="85"/>
      <c r="I1185" s="85"/>
      <c r="J1185" s="85"/>
      <c r="K1185" s="85"/>
      <c r="L1185" s="109"/>
      <c r="M1185" s="110"/>
      <c r="N1185" s="127"/>
      <c r="O1185" s="112"/>
      <c r="P1185" s="112"/>
      <c r="Q1185" s="118"/>
    </row>
    <row r="1186" spans="2:17" s="5" customFormat="1" ht="13">
      <c r="B1186" s="84"/>
      <c r="C1186" s="84"/>
      <c r="D1186" s="85"/>
      <c r="E1186" s="85"/>
      <c r="F1186" s="85"/>
      <c r="G1186" s="85"/>
      <c r="H1186" s="85"/>
      <c r="I1186" s="85"/>
      <c r="J1186" s="85"/>
      <c r="K1186" s="85"/>
      <c r="L1186" s="109"/>
      <c r="M1186" s="110"/>
      <c r="N1186" s="127"/>
      <c r="O1186" s="112"/>
      <c r="P1186" s="112"/>
      <c r="Q1186" s="118"/>
    </row>
    <row r="1187" spans="2:17" s="5" customFormat="1" ht="13">
      <c r="B1187" s="84"/>
      <c r="C1187" s="84"/>
      <c r="D1187" s="85"/>
      <c r="E1187" s="85"/>
      <c r="F1187" s="85"/>
      <c r="G1187" s="85"/>
      <c r="H1187" s="85"/>
      <c r="I1187" s="85"/>
      <c r="J1187" s="85"/>
      <c r="K1187" s="85"/>
      <c r="L1187" s="109"/>
      <c r="M1187" s="110"/>
      <c r="N1187" s="127"/>
      <c r="O1187" s="112"/>
      <c r="P1187" s="112"/>
      <c r="Q1187" s="118"/>
    </row>
    <row r="1188" spans="2:17" s="5" customFormat="1" ht="13">
      <c r="B1188" s="84"/>
      <c r="C1188" s="84"/>
      <c r="D1188" s="85"/>
      <c r="E1188" s="85"/>
      <c r="F1188" s="85"/>
      <c r="G1188" s="85"/>
      <c r="H1188" s="85"/>
      <c r="I1188" s="85"/>
      <c r="J1188" s="85"/>
      <c r="K1188" s="85"/>
      <c r="L1188" s="109"/>
      <c r="M1188" s="110"/>
      <c r="N1188" s="127"/>
      <c r="O1188" s="112"/>
      <c r="P1188" s="112"/>
      <c r="Q1188" s="118"/>
    </row>
    <row r="1189" spans="2:17" s="5" customFormat="1" ht="13">
      <c r="B1189" s="84"/>
      <c r="C1189" s="84"/>
      <c r="D1189" s="85"/>
      <c r="E1189" s="85"/>
      <c r="F1189" s="85"/>
      <c r="G1189" s="85"/>
      <c r="H1189" s="85"/>
      <c r="I1189" s="85"/>
      <c r="J1189" s="85"/>
      <c r="K1189" s="85"/>
      <c r="L1189" s="109"/>
      <c r="M1189" s="110"/>
      <c r="N1189" s="127"/>
      <c r="O1189" s="112"/>
      <c r="P1189" s="112"/>
      <c r="Q1189" s="118"/>
    </row>
    <row r="1190" spans="2:17" s="5" customFormat="1" ht="13">
      <c r="B1190" s="84"/>
      <c r="C1190" s="84"/>
      <c r="D1190" s="85"/>
      <c r="E1190" s="85"/>
      <c r="F1190" s="85"/>
      <c r="G1190" s="85"/>
      <c r="H1190" s="85"/>
      <c r="I1190" s="85"/>
      <c r="J1190" s="85"/>
      <c r="K1190" s="85"/>
      <c r="L1190" s="109"/>
      <c r="M1190" s="110"/>
      <c r="N1190" s="127"/>
      <c r="O1190" s="112"/>
      <c r="P1190" s="112"/>
      <c r="Q1190" s="118"/>
    </row>
    <row r="1191" spans="2:17" s="5" customFormat="1" ht="13">
      <c r="B1191" s="84"/>
      <c r="C1191" s="84"/>
      <c r="D1191" s="85"/>
      <c r="E1191" s="85"/>
      <c r="F1191" s="85"/>
      <c r="G1191" s="85"/>
      <c r="H1191" s="85"/>
      <c r="I1191" s="85"/>
      <c r="J1191" s="85"/>
      <c r="K1191" s="85"/>
      <c r="L1191" s="109"/>
      <c r="M1191" s="110"/>
      <c r="N1191" s="127"/>
      <c r="O1191" s="112"/>
      <c r="P1191" s="112"/>
      <c r="Q1191" s="118"/>
    </row>
    <row r="1192" spans="2:17" s="5" customFormat="1" ht="13">
      <c r="B1192" s="84"/>
      <c r="C1192" s="84"/>
      <c r="D1192" s="85"/>
      <c r="E1192" s="85"/>
      <c r="F1192" s="85"/>
      <c r="G1192" s="85"/>
      <c r="H1192" s="85"/>
      <c r="I1192" s="85"/>
      <c r="J1192" s="85"/>
      <c r="K1192" s="85"/>
      <c r="L1192" s="109"/>
      <c r="M1192" s="110"/>
      <c r="N1192" s="127"/>
      <c r="O1192" s="112"/>
      <c r="P1192" s="112"/>
      <c r="Q1192" s="118"/>
    </row>
    <row r="1193" spans="2:17" s="5" customFormat="1" ht="13">
      <c r="B1193" s="84"/>
      <c r="C1193" s="84"/>
      <c r="D1193" s="85"/>
      <c r="E1193" s="85"/>
      <c r="F1193" s="85"/>
      <c r="G1193" s="85"/>
      <c r="H1193" s="85"/>
      <c r="I1193" s="85"/>
      <c r="J1193" s="85"/>
      <c r="K1193" s="85"/>
      <c r="L1193" s="109"/>
      <c r="M1193" s="110"/>
      <c r="N1193" s="127"/>
      <c r="O1193" s="112"/>
      <c r="P1193" s="112"/>
      <c r="Q1193" s="118"/>
    </row>
    <row r="1194" spans="2:17" s="5" customFormat="1" ht="13">
      <c r="B1194" s="84"/>
      <c r="C1194" s="84"/>
      <c r="D1194" s="85"/>
      <c r="E1194" s="85"/>
      <c r="F1194" s="85"/>
      <c r="G1194" s="85"/>
      <c r="H1194" s="85"/>
      <c r="I1194" s="85"/>
      <c r="J1194" s="85"/>
      <c r="K1194" s="85"/>
      <c r="L1194" s="109"/>
      <c r="M1194" s="110"/>
      <c r="N1194" s="127"/>
      <c r="O1194" s="112"/>
      <c r="P1194" s="112"/>
      <c r="Q1194" s="118"/>
    </row>
    <row r="1195" spans="2:17" s="5" customFormat="1" ht="13">
      <c r="B1195" s="84"/>
      <c r="C1195" s="84"/>
      <c r="D1195" s="85"/>
      <c r="E1195" s="85"/>
      <c r="F1195" s="85"/>
      <c r="G1195" s="85"/>
      <c r="H1195" s="85"/>
      <c r="I1195" s="85"/>
      <c r="J1195" s="85"/>
      <c r="K1195" s="85"/>
      <c r="L1195" s="109"/>
      <c r="M1195" s="110"/>
      <c r="N1195" s="127"/>
      <c r="O1195" s="112"/>
      <c r="P1195" s="112"/>
      <c r="Q1195" s="118"/>
    </row>
    <row r="1196" spans="2:17" s="5" customFormat="1" ht="13">
      <c r="B1196" s="84"/>
      <c r="C1196" s="84"/>
      <c r="D1196" s="85"/>
      <c r="E1196" s="85"/>
      <c r="F1196" s="85"/>
      <c r="G1196" s="85"/>
      <c r="H1196" s="85"/>
      <c r="I1196" s="85"/>
      <c r="J1196" s="85"/>
      <c r="K1196" s="85"/>
      <c r="L1196" s="109"/>
      <c r="M1196" s="110"/>
      <c r="N1196" s="127"/>
      <c r="O1196" s="112"/>
      <c r="P1196" s="112"/>
      <c r="Q1196" s="118"/>
    </row>
    <row r="1197" spans="2:17" s="5" customFormat="1" ht="13">
      <c r="B1197" s="84"/>
      <c r="C1197" s="84"/>
      <c r="D1197" s="85"/>
      <c r="E1197" s="85"/>
      <c r="F1197" s="85"/>
      <c r="G1197" s="85"/>
      <c r="H1197" s="85"/>
      <c r="I1197" s="85"/>
      <c r="J1197" s="85"/>
      <c r="K1197" s="85"/>
      <c r="L1197" s="109"/>
      <c r="M1197" s="110"/>
      <c r="N1197" s="127"/>
      <c r="O1197" s="112"/>
      <c r="P1197" s="112"/>
      <c r="Q1197" s="118"/>
    </row>
    <row r="1198" spans="2:17" s="5" customFormat="1" ht="13">
      <c r="B1198" s="84"/>
      <c r="C1198" s="84"/>
      <c r="D1198" s="85"/>
      <c r="E1198" s="85"/>
      <c r="F1198" s="85"/>
      <c r="G1198" s="85"/>
      <c r="H1198" s="85"/>
      <c r="I1198" s="85"/>
      <c r="J1198" s="85"/>
      <c r="K1198" s="85"/>
      <c r="L1198" s="109"/>
      <c r="M1198" s="110"/>
      <c r="N1198" s="127"/>
      <c r="O1198" s="112"/>
      <c r="P1198" s="112"/>
      <c r="Q1198" s="118"/>
    </row>
    <row r="1199" spans="2:17" s="5" customFormat="1" ht="13">
      <c r="B1199" s="84"/>
      <c r="C1199" s="84"/>
      <c r="D1199" s="85"/>
      <c r="E1199" s="85"/>
      <c r="F1199" s="85"/>
      <c r="G1199" s="85"/>
      <c r="H1199" s="85"/>
      <c r="I1199" s="85"/>
      <c r="J1199" s="85"/>
      <c r="K1199" s="85"/>
      <c r="L1199" s="109"/>
      <c r="M1199" s="110"/>
      <c r="N1199" s="127"/>
      <c r="O1199" s="112"/>
      <c r="P1199" s="112"/>
      <c r="Q1199" s="118"/>
    </row>
    <row r="1200" spans="2:17" s="5" customFormat="1" ht="13">
      <c r="B1200" s="84"/>
      <c r="C1200" s="84"/>
      <c r="D1200" s="85"/>
      <c r="E1200" s="85"/>
      <c r="F1200" s="85"/>
      <c r="G1200" s="85"/>
      <c r="H1200" s="85"/>
      <c r="I1200" s="85"/>
      <c r="J1200" s="85"/>
      <c r="K1200" s="85"/>
      <c r="L1200" s="109"/>
      <c r="M1200" s="110"/>
      <c r="N1200" s="127"/>
      <c r="O1200" s="112"/>
      <c r="P1200" s="112"/>
      <c r="Q1200" s="118"/>
    </row>
    <row r="1201" spans="2:17" s="5" customFormat="1" ht="13">
      <c r="B1201" s="84"/>
      <c r="C1201" s="84"/>
      <c r="D1201" s="85"/>
      <c r="E1201" s="85"/>
      <c r="F1201" s="85"/>
      <c r="G1201" s="85"/>
      <c r="H1201" s="85"/>
      <c r="I1201" s="85"/>
      <c r="J1201" s="85"/>
      <c r="K1201" s="85"/>
      <c r="L1201" s="109"/>
      <c r="M1201" s="110"/>
      <c r="N1201" s="127"/>
      <c r="O1201" s="112"/>
      <c r="P1201" s="112"/>
      <c r="Q1201" s="118"/>
    </row>
    <row r="1202" spans="2:17" s="5" customFormat="1" ht="13">
      <c r="B1202" s="84"/>
      <c r="C1202" s="84"/>
      <c r="D1202" s="85"/>
      <c r="E1202" s="85"/>
      <c r="F1202" s="85"/>
      <c r="G1202" s="85"/>
      <c r="H1202" s="85"/>
      <c r="I1202" s="85"/>
      <c r="J1202" s="85"/>
      <c r="K1202" s="85"/>
      <c r="L1202" s="109"/>
      <c r="M1202" s="110"/>
      <c r="N1202" s="127"/>
      <c r="O1202" s="112"/>
      <c r="P1202" s="112"/>
      <c r="Q1202" s="118"/>
    </row>
    <row r="1203" spans="2:17" s="5" customFormat="1" ht="13">
      <c r="B1203" s="84"/>
      <c r="C1203" s="84"/>
      <c r="D1203" s="85"/>
      <c r="E1203" s="85"/>
      <c r="F1203" s="85"/>
      <c r="G1203" s="85"/>
      <c r="H1203" s="85"/>
      <c r="I1203" s="85"/>
      <c r="J1203" s="85"/>
      <c r="K1203" s="85"/>
      <c r="L1203" s="109"/>
      <c r="M1203" s="110"/>
      <c r="N1203" s="127"/>
      <c r="O1203" s="112"/>
      <c r="P1203" s="112"/>
      <c r="Q1203" s="118"/>
    </row>
    <row r="1204" spans="2:17" s="5" customFormat="1" ht="13">
      <c r="B1204" s="84"/>
      <c r="C1204" s="84"/>
      <c r="D1204" s="85"/>
      <c r="E1204" s="85"/>
      <c r="F1204" s="85"/>
      <c r="G1204" s="85"/>
      <c r="H1204" s="85"/>
      <c r="I1204" s="85"/>
      <c r="J1204" s="85"/>
      <c r="K1204" s="85"/>
      <c r="L1204" s="109"/>
      <c r="M1204" s="110"/>
      <c r="N1204" s="127"/>
      <c r="O1204" s="112"/>
      <c r="P1204" s="112"/>
      <c r="Q1204" s="118"/>
    </row>
    <row r="1205" spans="2:17" s="5" customFormat="1" ht="13">
      <c r="B1205" s="84"/>
      <c r="C1205" s="84"/>
      <c r="D1205" s="85"/>
      <c r="E1205" s="85"/>
      <c r="F1205" s="85"/>
      <c r="G1205" s="85"/>
      <c r="H1205" s="85"/>
      <c r="I1205" s="85"/>
      <c r="J1205" s="85"/>
      <c r="K1205" s="85"/>
      <c r="L1205" s="109"/>
      <c r="M1205" s="110"/>
      <c r="N1205" s="127"/>
      <c r="O1205" s="112"/>
      <c r="P1205" s="112"/>
      <c r="Q1205" s="118"/>
    </row>
    <row r="1206" spans="2:17" s="5" customFormat="1" ht="13">
      <c r="B1206" s="84"/>
      <c r="C1206" s="84"/>
      <c r="D1206" s="85"/>
      <c r="E1206" s="85"/>
      <c r="F1206" s="85"/>
      <c r="G1206" s="85"/>
      <c r="H1206" s="85"/>
      <c r="I1206" s="85"/>
      <c r="J1206" s="85"/>
      <c r="K1206" s="85"/>
      <c r="L1206" s="109"/>
      <c r="M1206" s="110"/>
      <c r="N1206" s="127"/>
      <c r="O1206" s="112"/>
      <c r="P1206" s="112"/>
      <c r="Q1206" s="118"/>
    </row>
    <row r="1207" spans="2:17" s="5" customFormat="1" ht="13">
      <c r="B1207" s="84"/>
      <c r="C1207" s="84"/>
      <c r="D1207" s="85"/>
      <c r="E1207" s="85"/>
      <c r="F1207" s="85"/>
      <c r="G1207" s="85"/>
      <c r="H1207" s="85"/>
      <c r="I1207" s="85"/>
      <c r="J1207" s="85"/>
      <c r="K1207" s="85"/>
      <c r="L1207" s="109"/>
      <c r="M1207" s="110"/>
      <c r="N1207" s="127"/>
      <c r="O1207" s="112"/>
      <c r="P1207" s="112"/>
      <c r="Q1207" s="118"/>
    </row>
    <row r="1208" spans="2:17" s="5" customFormat="1" ht="13">
      <c r="B1208" s="84"/>
      <c r="C1208" s="84"/>
      <c r="D1208" s="85"/>
      <c r="E1208" s="85"/>
      <c r="F1208" s="85"/>
      <c r="G1208" s="85"/>
      <c r="H1208" s="85"/>
      <c r="I1208" s="85"/>
      <c r="J1208" s="85"/>
      <c r="K1208" s="85"/>
      <c r="L1208" s="109"/>
      <c r="M1208" s="110"/>
      <c r="N1208" s="127"/>
      <c r="O1208" s="112"/>
      <c r="P1208" s="112"/>
      <c r="Q1208" s="118"/>
    </row>
    <row r="1209" spans="2:17" s="5" customFormat="1" ht="13">
      <c r="B1209" s="84"/>
      <c r="C1209" s="84"/>
      <c r="D1209" s="85"/>
      <c r="E1209" s="85"/>
      <c r="F1209" s="85"/>
      <c r="G1209" s="85"/>
      <c r="H1209" s="85"/>
      <c r="I1209" s="85"/>
      <c r="J1209" s="85"/>
      <c r="K1209" s="85"/>
      <c r="L1209" s="109"/>
      <c r="M1209" s="110"/>
      <c r="N1209" s="127"/>
      <c r="O1209" s="112"/>
      <c r="P1209" s="112"/>
      <c r="Q1209" s="118"/>
    </row>
    <row r="1210" spans="2:17" s="5" customFormat="1" ht="13">
      <c r="B1210" s="84"/>
      <c r="C1210" s="84"/>
      <c r="D1210" s="85"/>
      <c r="E1210" s="85"/>
      <c r="F1210" s="85"/>
      <c r="G1210" s="85"/>
      <c r="H1210" s="85"/>
      <c r="I1210" s="85"/>
      <c r="J1210" s="85"/>
      <c r="K1210" s="85"/>
      <c r="L1210" s="109"/>
      <c r="M1210" s="110"/>
      <c r="N1210" s="127"/>
      <c r="O1210" s="112"/>
      <c r="P1210" s="112"/>
      <c r="Q1210" s="118"/>
    </row>
    <row r="1211" spans="2:17" s="5" customFormat="1" ht="13">
      <c r="B1211" s="84"/>
      <c r="C1211" s="84"/>
      <c r="D1211" s="85"/>
      <c r="E1211" s="85"/>
      <c r="F1211" s="85"/>
      <c r="G1211" s="85"/>
      <c r="H1211" s="85"/>
      <c r="I1211" s="85"/>
      <c r="J1211" s="85"/>
      <c r="K1211" s="85"/>
      <c r="L1211" s="109"/>
      <c r="M1211" s="110"/>
      <c r="N1211" s="127"/>
      <c r="O1211" s="112"/>
      <c r="P1211" s="112"/>
      <c r="Q1211" s="118"/>
    </row>
    <row r="1212" spans="2:17" s="5" customFormat="1" ht="13">
      <c r="B1212" s="84"/>
      <c r="C1212" s="84"/>
      <c r="D1212" s="85"/>
      <c r="E1212" s="85"/>
      <c r="F1212" s="85"/>
      <c r="G1212" s="85"/>
      <c r="H1212" s="85"/>
      <c r="I1212" s="85"/>
      <c r="J1212" s="85"/>
      <c r="K1212" s="85"/>
      <c r="L1212" s="109"/>
      <c r="M1212" s="110"/>
      <c r="N1212" s="127"/>
      <c r="O1212" s="112"/>
      <c r="P1212" s="112"/>
      <c r="Q1212" s="118"/>
    </row>
    <row r="1213" spans="2:17" s="5" customFormat="1" ht="13">
      <c r="B1213" s="84"/>
      <c r="C1213" s="84"/>
      <c r="D1213" s="85"/>
      <c r="E1213" s="85"/>
      <c r="F1213" s="85"/>
      <c r="G1213" s="85"/>
      <c r="H1213" s="85"/>
      <c r="I1213" s="85"/>
      <c r="J1213" s="85"/>
      <c r="K1213" s="85"/>
      <c r="L1213" s="109"/>
      <c r="M1213" s="110"/>
      <c r="N1213" s="127"/>
      <c r="O1213" s="112"/>
      <c r="P1213" s="112"/>
      <c r="Q1213" s="118"/>
    </row>
    <row r="1214" spans="2:17" s="5" customFormat="1" ht="13">
      <c r="B1214" s="84"/>
      <c r="C1214" s="84"/>
      <c r="D1214" s="85"/>
      <c r="E1214" s="85"/>
      <c r="F1214" s="85"/>
      <c r="G1214" s="85"/>
      <c r="H1214" s="85"/>
      <c r="I1214" s="85"/>
      <c r="J1214" s="85"/>
      <c r="K1214" s="85"/>
      <c r="L1214" s="109"/>
      <c r="M1214" s="110"/>
      <c r="N1214" s="127"/>
      <c r="O1214" s="112"/>
      <c r="P1214" s="112"/>
      <c r="Q1214" s="118"/>
    </row>
    <row r="1215" spans="2:17" s="5" customFormat="1" ht="13">
      <c r="B1215" s="84"/>
      <c r="C1215" s="84"/>
      <c r="D1215" s="85"/>
      <c r="E1215" s="85"/>
      <c r="F1215" s="85"/>
      <c r="G1215" s="85"/>
      <c r="H1215" s="85"/>
      <c r="I1215" s="85"/>
      <c r="J1215" s="85"/>
      <c r="K1215" s="85"/>
      <c r="L1215" s="109"/>
      <c r="M1215" s="110"/>
      <c r="N1215" s="127"/>
      <c r="O1215" s="112"/>
      <c r="P1215" s="112"/>
      <c r="Q1215" s="118"/>
    </row>
    <row r="1216" spans="2:17" s="5" customFormat="1" ht="13">
      <c r="B1216" s="84"/>
      <c r="C1216" s="84"/>
      <c r="D1216" s="85"/>
      <c r="E1216" s="85"/>
      <c r="F1216" s="85"/>
      <c r="G1216" s="85"/>
      <c r="H1216" s="85"/>
      <c r="I1216" s="85"/>
      <c r="J1216" s="85"/>
      <c r="K1216" s="85"/>
      <c r="L1216" s="109"/>
      <c r="M1216" s="110"/>
      <c r="N1216" s="127"/>
      <c r="O1216" s="112"/>
      <c r="P1216" s="112"/>
      <c r="Q1216" s="118"/>
    </row>
    <row r="1217" spans="2:17" s="5" customFormat="1" ht="13">
      <c r="B1217" s="84"/>
      <c r="C1217" s="84"/>
      <c r="D1217" s="85"/>
      <c r="E1217" s="85"/>
      <c r="F1217" s="85"/>
      <c r="G1217" s="85"/>
      <c r="H1217" s="85"/>
      <c r="I1217" s="85"/>
      <c r="J1217" s="85"/>
      <c r="K1217" s="85"/>
      <c r="L1217" s="109"/>
      <c r="M1217" s="110"/>
      <c r="N1217" s="127"/>
      <c r="O1217" s="112"/>
      <c r="P1217" s="112"/>
      <c r="Q1217" s="118"/>
    </row>
    <row r="1218" spans="2:17" s="5" customFormat="1" ht="13">
      <c r="B1218" s="84"/>
      <c r="C1218" s="84"/>
      <c r="D1218" s="85"/>
      <c r="E1218" s="85"/>
      <c r="F1218" s="85"/>
      <c r="G1218" s="85"/>
      <c r="H1218" s="85"/>
      <c r="I1218" s="85"/>
      <c r="J1218" s="85"/>
      <c r="K1218" s="85"/>
      <c r="L1218" s="109"/>
      <c r="M1218" s="110"/>
      <c r="N1218" s="127"/>
      <c r="O1218" s="112"/>
      <c r="P1218" s="112"/>
      <c r="Q1218" s="118"/>
    </row>
    <row r="1219" spans="2:17" s="5" customFormat="1" ht="13">
      <c r="B1219" s="84"/>
      <c r="C1219" s="84"/>
      <c r="D1219" s="85"/>
      <c r="E1219" s="85"/>
      <c r="F1219" s="85"/>
      <c r="G1219" s="85"/>
      <c r="H1219" s="85"/>
      <c r="I1219" s="85"/>
      <c r="J1219" s="85"/>
      <c r="K1219" s="85"/>
      <c r="L1219" s="109"/>
      <c r="M1219" s="110"/>
      <c r="N1219" s="127"/>
      <c r="O1219" s="112"/>
      <c r="P1219" s="112"/>
      <c r="Q1219" s="118"/>
    </row>
    <row r="1220" spans="2:17" s="5" customFormat="1" ht="13">
      <c r="B1220" s="84"/>
      <c r="C1220" s="84"/>
      <c r="D1220" s="85"/>
      <c r="E1220" s="85"/>
      <c r="F1220" s="85"/>
      <c r="G1220" s="85"/>
      <c r="H1220" s="85"/>
      <c r="I1220" s="85"/>
      <c r="J1220" s="85"/>
      <c r="K1220" s="85"/>
      <c r="L1220" s="109"/>
      <c r="M1220" s="110"/>
      <c r="N1220" s="127"/>
      <c r="O1220" s="112"/>
      <c r="P1220" s="112"/>
      <c r="Q1220" s="118"/>
    </row>
    <row r="1221" spans="2:17" s="5" customFormat="1" ht="13">
      <c r="B1221" s="84"/>
      <c r="C1221" s="84"/>
      <c r="D1221" s="85"/>
      <c r="E1221" s="85"/>
      <c r="F1221" s="85"/>
      <c r="G1221" s="85"/>
      <c r="H1221" s="85"/>
      <c r="I1221" s="85"/>
      <c r="J1221" s="85"/>
      <c r="K1221" s="85"/>
      <c r="L1221" s="109"/>
      <c r="M1221" s="110"/>
      <c r="N1221" s="127"/>
      <c r="O1221" s="112"/>
      <c r="P1221" s="112"/>
      <c r="Q1221" s="118"/>
    </row>
    <row r="1222" spans="2:17" s="5" customFormat="1" ht="13">
      <c r="B1222" s="84"/>
      <c r="C1222" s="84"/>
      <c r="D1222" s="85"/>
      <c r="E1222" s="85"/>
      <c r="F1222" s="85"/>
      <c r="G1222" s="85"/>
      <c r="H1222" s="85"/>
      <c r="I1222" s="85"/>
      <c r="J1222" s="85"/>
      <c r="K1222" s="85"/>
      <c r="L1222" s="109"/>
      <c r="M1222" s="110"/>
      <c r="N1222" s="127"/>
      <c r="O1222" s="112"/>
      <c r="P1222" s="112"/>
      <c r="Q1222" s="118"/>
    </row>
    <row r="1223" spans="2:17" s="5" customFormat="1" ht="13">
      <c r="B1223" s="84"/>
      <c r="C1223" s="84"/>
      <c r="D1223" s="85"/>
      <c r="E1223" s="85"/>
      <c r="F1223" s="85"/>
      <c r="G1223" s="85"/>
      <c r="H1223" s="85"/>
      <c r="I1223" s="85"/>
      <c r="J1223" s="85"/>
      <c r="K1223" s="85"/>
      <c r="L1223" s="109"/>
      <c r="M1223" s="110"/>
      <c r="N1223" s="127"/>
      <c r="O1223" s="112"/>
      <c r="P1223" s="112"/>
      <c r="Q1223" s="118"/>
    </row>
    <row r="1224" spans="2:17" s="5" customFormat="1" ht="13">
      <c r="B1224" s="84"/>
      <c r="C1224" s="84"/>
      <c r="D1224" s="85"/>
      <c r="E1224" s="85"/>
      <c r="F1224" s="85"/>
      <c r="G1224" s="85"/>
      <c r="H1224" s="85"/>
      <c r="I1224" s="85"/>
      <c r="J1224" s="85"/>
      <c r="K1224" s="85"/>
      <c r="L1224" s="109"/>
      <c r="M1224" s="110"/>
      <c r="N1224" s="127"/>
      <c r="O1224" s="112"/>
      <c r="P1224" s="112"/>
      <c r="Q1224" s="118"/>
    </row>
    <row r="1225" spans="2:17" s="5" customFormat="1" ht="13">
      <c r="B1225" s="84"/>
      <c r="C1225" s="84"/>
      <c r="D1225" s="85"/>
      <c r="E1225" s="85"/>
      <c r="F1225" s="85"/>
      <c r="G1225" s="85"/>
      <c r="H1225" s="85"/>
      <c r="I1225" s="85"/>
      <c r="J1225" s="85"/>
      <c r="K1225" s="85"/>
      <c r="L1225" s="109"/>
      <c r="M1225" s="110"/>
      <c r="N1225" s="127"/>
      <c r="O1225" s="112"/>
      <c r="P1225" s="112"/>
      <c r="Q1225" s="118"/>
    </row>
    <row r="1226" spans="2:17" s="5" customFormat="1" ht="13">
      <c r="B1226" s="84"/>
      <c r="C1226" s="84"/>
      <c r="D1226" s="85"/>
      <c r="E1226" s="85"/>
      <c r="F1226" s="85"/>
      <c r="G1226" s="85"/>
      <c r="H1226" s="85"/>
      <c r="I1226" s="85"/>
      <c r="J1226" s="85"/>
      <c r="K1226" s="85"/>
      <c r="L1226" s="109"/>
      <c r="M1226" s="110"/>
      <c r="N1226" s="127"/>
      <c r="O1226" s="112"/>
      <c r="P1226" s="112"/>
      <c r="Q1226" s="118"/>
    </row>
    <row r="1227" spans="2:17" s="5" customFormat="1" ht="13">
      <c r="B1227" s="84"/>
      <c r="C1227" s="84"/>
      <c r="D1227" s="85"/>
      <c r="E1227" s="85"/>
      <c r="F1227" s="85"/>
      <c r="G1227" s="85"/>
      <c r="H1227" s="85"/>
      <c r="I1227" s="85"/>
      <c r="J1227" s="85"/>
      <c r="K1227" s="85"/>
      <c r="L1227" s="109"/>
      <c r="M1227" s="110"/>
      <c r="N1227" s="127"/>
      <c r="O1227" s="112"/>
      <c r="P1227" s="112"/>
      <c r="Q1227" s="118"/>
    </row>
    <row r="1228" spans="2:17" s="5" customFormat="1" ht="13">
      <c r="B1228" s="84"/>
      <c r="C1228" s="84"/>
      <c r="D1228" s="85"/>
      <c r="E1228" s="85"/>
      <c r="F1228" s="85"/>
      <c r="G1228" s="85"/>
      <c r="H1228" s="85"/>
      <c r="I1228" s="85"/>
      <c r="J1228" s="85"/>
      <c r="K1228" s="85"/>
      <c r="L1228" s="109"/>
      <c r="M1228" s="110"/>
      <c r="N1228" s="127"/>
      <c r="O1228" s="112"/>
      <c r="P1228" s="112"/>
      <c r="Q1228" s="118"/>
    </row>
    <row r="1229" spans="2:17" s="5" customFormat="1" ht="13">
      <c r="B1229" s="84"/>
      <c r="C1229" s="84"/>
      <c r="D1229" s="85"/>
      <c r="E1229" s="85"/>
      <c r="F1229" s="85"/>
      <c r="G1229" s="85"/>
      <c r="H1229" s="85"/>
      <c r="I1229" s="85"/>
      <c r="J1229" s="85"/>
      <c r="K1229" s="85"/>
      <c r="L1229" s="109"/>
      <c r="M1229" s="110"/>
      <c r="N1229" s="127"/>
      <c r="O1229" s="112"/>
      <c r="P1229" s="112"/>
      <c r="Q1229" s="118"/>
    </row>
    <row r="1230" spans="2:17" s="5" customFormat="1" ht="13">
      <c r="B1230" s="84"/>
      <c r="C1230" s="84"/>
      <c r="D1230" s="85"/>
      <c r="E1230" s="85"/>
      <c r="F1230" s="85"/>
      <c r="G1230" s="85"/>
      <c r="H1230" s="85"/>
      <c r="I1230" s="85"/>
      <c r="J1230" s="85"/>
      <c r="K1230" s="85"/>
      <c r="L1230" s="109"/>
      <c r="M1230" s="110"/>
      <c r="N1230" s="127"/>
      <c r="O1230" s="112"/>
      <c r="P1230" s="112"/>
      <c r="Q1230" s="118"/>
    </row>
    <row r="1231" spans="2:17" s="5" customFormat="1" ht="13">
      <c r="B1231" s="84"/>
      <c r="C1231" s="84"/>
      <c r="D1231" s="85"/>
      <c r="E1231" s="85"/>
      <c r="F1231" s="85"/>
      <c r="G1231" s="85"/>
      <c r="H1231" s="85"/>
      <c r="I1231" s="85"/>
      <c r="J1231" s="85"/>
      <c r="K1231" s="85"/>
      <c r="L1231" s="109"/>
      <c r="M1231" s="110"/>
      <c r="N1231" s="127"/>
      <c r="O1231" s="112"/>
      <c r="P1231" s="112"/>
      <c r="Q1231" s="118"/>
    </row>
    <row r="1232" spans="2:17" s="5" customFormat="1" ht="13">
      <c r="B1232" s="84"/>
      <c r="C1232" s="84"/>
      <c r="D1232" s="85"/>
      <c r="E1232" s="85"/>
      <c r="F1232" s="85"/>
      <c r="G1232" s="85"/>
      <c r="H1232" s="85"/>
      <c r="I1232" s="85"/>
      <c r="J1232" s="85"/>
      <c r="K1232" s="85"/>
      <c r="L1232" s="109"/>
      <c r="M1232" s="110"/>
      <c r="N1232" s="127"/>
      <c r="O1232" s="112"/>
      <c r="P1232" s="112"/>
      <c r="Q1232" s="118"/>
    </row>
    <row r="1233" spans="2:17" s="5" customFormat="1" ht="13">
      <c r="B1233" s="84"/>
      <c r="C1233" s="84"/>
      <c r="D1233" s="85"/>
      <c r="E1233" s="85"/>
      <c r="F1233" s="85"/>
      <c r="G1233" s="85"/>
      <c r="H1233" s="85"/>
      <c r="I1233" s="85"/>
      <c r="J1233" s="85"/>
      <c r="K1233" s="85"/>
      <c r="L1233" s="109"/>
      <c r="M1233" s="110"/>
      <c r="N1233" s="127"/>
      <c r="O1233" s="112"/>
      <c r="P1233" s="112"/>
      <c r="Q1233" s="118"/>
    </row>
    <row r="1234" spans="2:17" s="5" customFormat="1" ht="13">
      <c r="B1234" s="84"/>
      <c r="C1234" s="84"/>
      <c r="D1234" s="85"/>
      <c r="E1234" s="85"/>
      <c r="F1234" s="85"/>
      <c r="G1234" s="85"/>
      <c r="H1234" s="85"/>
      <c r="I1234" s="85"/>
      <c r="J1234" s="85"/>
      <c r="K1234" s="85"/>
      <c r="L1234" s="109"/>
      <c r="M1234" s="110"/>
      <c r="N1234" s="127"/>
      <c r="O1234" s="112"/>
      <c r="P1234" s="112"/>
      <c r="Q1234" s="118"/>
    </row>
    <row r="1235" spans="2:17" s="5" customFormat="1" ht="13">
      <c r="B1235" s="84"/>
      <c r="C1235" s="84"/>
      <c r="D1235" s="85"/>
      <c r="E1235" s="85"/>
      <c r="F1235" s="85"/>
      <c r="G1235" s="85"/>
      <c r="H1235" s="85"/>
      <c r="I1235" s="85"/>
      <c r="J1235" s="85"/>
      <c r="K1235" s="85"/>
      <c r="L1235" s="109"/>
      <c r="M1235" s="110"/>
      <c r="N1235" s="127"/>
      <c r="O1235" s="112"/>
      <c r="P1235" s="112"/>
      <c r="Q1235" s="118"/>
    </row>
    <row r="1236" spans="2:17" s="5" customFormat="1" ht="13">
      <c r="B1236" s="84"/>
      <c r="C1236" s="84"/>
      <c r="D1236" s="85"/>
      <c r="E1236" s="85"/>
      <c r="F1236" s="85"/>
      <c r="G1236" s="85"/>
      <c r="H1236" s="85"/>
      <c r="I1236" s="85"/>
      <c r="J1236" s="85"/>
      <c r="K1236" s="85"/>
      <c r="L1236" s="109"/>
      <c r="M1236" s="110"/>
      <c r="N1236" s="127"/>
      <c r="O1236" s="112"/>
      <c r="P1236" s="112"/>
      <c r="Q1236" s="118"/>
    </row>
    <row r="1237" spans="2:17" s="5" customFormat="1" ht="13">
      <c r="B1237" s="84"/>
      <c r="C1237" s="84"/>
      <c r="D1237" s="85"/>
      <c r="E1237" s="85"/>
      <c r="F1237" s="85"/>
      <c r="G1237" s="85"/>
      <c r="H1237" s="85"/>
      <c r="I1237" s="85"/>
      <c r="J1237" s="85"/>
      <c r="K1237" s="85"/>
      <c r="L1237" s="109"/>
      <c r="M1237" s="110"/>
      <c r="N1237" s="127"/>
      <c r="O1237" s="112"/>
      <c r="P1237" s="112"/>
      <c r="Q1237" s="118"/>
    </row>
    <row r="1238" spans="2:17" s="5" customFormat="1" ht="13">
      <c r="B1238" s="84"/>
      <c r="C1238" s="84"/>
      <c r="D1238" s="85"/>
      <c r="E1238" s="85"/>
      <c r="F1238" s="85"/>
      <c r="G1238" s="85"/>
      <c r="H1238" s="85"/>
      <c r="I1238" s="85"/>
      <c r="J1238" s="85"/>
      <c r="K1238" s="85"/>
      <c r="L1238" s="109"/>
      <c r="M1238" s="110"/>
      <c r="N1238" s="127"/>
      <c r="O1238" s="112"/>
      <c r="P1238" s="112"/>
      <c r="Q1238" s="118"/>
    </row>
    <row r="1239" spans="2:17" s="5" customFormat="1" ht="13">
      <c r="B1239" s="84"/>
      <c r="C1239" s="84"/>
      <c r="D1239" s="85"/>
      <c r="E1239" s="85"/>
      <c r="F1239" s="85"/>
      <c r="G1239" s="85"/>
      <c r="H1239" s="85"/>
      <c r="I1239" s="85"/>
      <c r="J1239" s="85"/>
      <c r="K1239" s="85"/>
      <c r="L1239" s="109"/>
      <c r="M1239" s="110"/>
      <c r="N1239" s="127"/>
      <c r="O1239" s="112"/>
      <c r="P1239" s="112"/>
      <c r="Q1239" s="118"/>
    </row>
    <row r="1240" spans="2:17" s="5" customFormat="1" ht="13">
      <c r="B1240" s="84"/>
      <c r="C1240" s="84"/>
      <c r="D1240" s="85"/>
      <c r="E1240" s="85"/>
      <c r="F1240" s="85"/>
      <c r="G1240" s="85"/>
      <c r="H1240" s="85"/>
      <c r="I1240" s="85"/>
      <c r="J1240" s="85"/>
      <c r="K1240" s="85"/>
      <c r="L1240" s="109"/>
      <c r="M1240" s="110"/>
      <c r="N1240" s="127"/>
      <c r="O1240" s="112"/>
      <c r="P1240" s="112"/>
      <c r="Q1240" s="118"/>
    </row>
    <row r="1241" spans="2:17" s="5" customFormat="1" ht="13">
      <c r="B1241" s="84"/>
      <c r="C1241" s="84"/>
      <c r="D1241" s="85"/>
      <c r="E1241" s="85"/>
      <c r="F1241" s="85"/>
      <c r="G1241" s="85"/>
      <c r="H1241" s="85"/>
      <c r="I1241" s="85"/>
      <c r="J1241" s="85"/>
      <c r="K1241" s="85"/>
      <c r="L1241" s="109"/>
      <c r="M1241" s="110"/>
      <c r="N1241" s="127"/>
      <c r="O1241" s="112"/>
      <c r="P1241" s="112"/>
      <c r="Q1241" s="118"/>
    </row>
    <row r="1242" spans="2:17" s="5" customFormat="1" ht="13">
      <c r="B1242" s="84"/>
      <c r="C1242" s="84"/>
      <c r="D1242" s="85"/>
      <c r="E1242" s="85"/>
      <c r="F1242" s="85"/>
      <c r="G1242" s="85"/>
      <c r="H1242" s="85"/>
      <c r="I1242" s="85"/>
      <c r="J1242" s="85"/>
      <c r="K1242" s="85"/>
      <c r="L1242" s="109"/>
      <c r="M1242" s="110"/>
      <c r="N1242" s="127"/>
      <c r="O1242" s="112"/>
      <c r="P1242" s="112"/>
      <c r="Q1242" s="118"/>
    </row>
    <row r="1243" spans="2:17" s="5" customFormat="1" ht="13">
      <c r="B1243" s="84"/>
      <c r="C1243" s="84"/>
      <c r="D1243" s="85"/>
      <c r="E1243" s="85"/>
      <c r="F1243" s="85"/>
      <c r="G1243" s="85"/>
      <c r="H1243" s="85"/>
      <c r="I1243" s="85"/>
      <c r="J1243" s="85"/>
      <c r="K1243" s="85"/>
      <c r="L1243" s="109"/>
      <c r="M1243" s="110"/>
      <c r="N1243" s="127"/>
      <c r="O1243" s="112"/>
      <c r="P1243" s="112"/>
      <c r="Q1243" s="118"/>
    </row>
    <row r="1244" spans="2:17" s="5" customFormat="1" ht="13">
      <c r="B1244" s="84"/>
      <c r="C1244" s="84"/>
      <c r="D1244" s="85"/>
      <c r="E1244" s="85"/>
      <c r="F1244" s="85"/>
      <c r="G1244" s="85"/>
      <c r="H1244" s="85"/>
      <c r="I1244" s="85"/>
      <c r="J1244" s="85"/>
      <c r="K1244" s="85"/>
      <c r="L1244" s="109"/>
      <c r="M1244" s="110"/>
      <c r="N1244" s="127"/>
      <c r="O1244" s="112"/>
      <c r="P1244" s="112"/>
      <c r="Q1244" s="118"/>
    </row>
    <row r="1245" spans="2:17" s="5" customFormat="1" ht="13">
      <c r="B1245" s="84"/>
      <c r="C1245" s="84"/>
      <c r="D1245" s="85"/>
      <c r="E1245" s="85"/>
      <c r="F1245" s="85"/>
      <c r="G1245" s="85"/>
      <c r="H1245" s="85"/>
      <c r="I1245" s="85"/>
      <c r="J1245" s="85"/>
      <c r="K1245" s="85"/>
      <c r="L1245" s="109"/>
      <c r="M1245" s="110"/>
      <c r="N1245" s="127"/>
      <c r="O1245" s="112"/>
      <c r="P1245" s="112"/>
      <c r="Q1245" s="118"/>
    </row>
    <row r="1246" spans="2:17" s="5" customFormat="1" ht="13">
      <c r="B1246" s="84"/>
      <c r="C1246" s="84"/>
      <c r="D1246" s="85"/>
      <c r="E1246" s="85"/>
      <c r="F1246" s="85"/>
      <c r="G1246" s="85"/>
      <c r="H1246" s="85"/>
      <c r="I1246" s="85"/>
      <c r="J1246" s="85"/>
      <c r="K1246" s="85"/>
      <c r="L1246" s="109"/>
      <c r="M1246" s="110"/>
      <c r="N1246" s="127"/>
      <c r="O1246" s="112"/>
      <c r="P1246" s="112"/>
      <c r="Q1246" s="118"/>
    </row>
    <row r="1247" spans="2:17" s="5" customFormat="1" ht="13">
      <c r="B1247" s="84"/>
      <c r="C1247" s="84"/>
      <c r="D1247" s="85"/>
      <c r="E1247" s="85"/>
      <c r="F1247" s="85"/>
      <c r="G1247" s="85"/>
      <c r="H1247" s="85"/>
      <c r="I1247" s="85"/>
      <c r="J1247" s="85"/>
      <c r="K1247" s="85"/>
      <c r="L1247" s="109"/>
      <c r="M1247" s="110"/>
      <c r="N1247" s="127"/>
      <c r="O1247" s="112"/>
      <c r="P1247" s="112"/>
      <c r="Q1247" s="118"/>
    </row>
    <row r="1248" spans="2:17" s="5" customFormat="1" ht="13">
      <c r="B1248" s="84"/>
      <c r="C1248" s="84"/>
      <c r="D1248" s="85"/>
      <c r="E1248" s="85"/>
      <c r="F1248" s="85"/>
      <c r="G1248" s="85"/>
      <c r="H1248" s="85"/>
      <c r="I1248" s="85"/>
      <c r="J1248" s="85"/>
      <c r="K1248" s="85"/>
      <c r="L1248" s="109"/>
      <c r="M1248" s="110"/>
      <c r="N1248" s="127"/>
      <c r="O1248" s="112"/>
      <c r="P1248" s="112"/>
      <c r="Q1248" s="118"/>
    </row>
    <row r="1249" spans="2:17" s="5" customFormat="1" ht="13">
      <c r="B1249" s="84"/>
      <c r="C1249" s="84"/>
      <c r="D1249" s="85"/>
      <c r="E1249" s="85"/>
      <c r="F1249" s="85"/>
      <c r="G1249" s="85"/>
      <c r="H1249" s="85"/>
      <c r="I1249" s="85"/>
      <c r="J1249" s="85"/>
      <c r="K1249" s="85"/>
      <c r="L1249" s="109"/>
      <c r="M1249" s="110"/>
      <c r="N1249" s="127"/>
      <c r="O1249" s="112"/>
      <c r="P1249" s="112"/>
      <c r="Q1249" s="118"/>
    </row>
    <row r="1250" spans="2:17" s="5" customFormat="1" ht="13">
      <c r="B1250" s="84"/>
      <c r="C1250" s="84"/>
      <c r="D1250" s="85"/>
      <c r="E1250" s="85"/>
      <c r="F1250" s="85"/>
      <c r="G1250" s="85"/>
      <c r="H1250" s="85"/>
      <c r="I1250" s="85"/>
      <c r="J1250" s="85"/>
      <c r="K1250" s="85"/>
      <c r="L1250" s="109"/>
      <c r="M1250" s="110"/>
      <c r="N1250" s="127"/>
      <c r="O1250" s="112"/>
      <c r="P1250" s="112"/>
      <c r="Q1250" s="118"/>
    </row>
    <row r="1251" spans="2:17" s="5" customFormat="1" ht="13">
      <c r="B1251" s="84"/>
      <c r="C1251" s="84"/>
      <c r="D1251" s="85"/>
      <c r="E1251" s="85"/>
      <c r="F1251" s="85"/>
      <c r="G1251" s="85"/>
      <c r="H1251" s="85"/>
      <c r="I1251" s="85"/>
      <c r="J1251" s="85"/>
      <c r="K1251" s="85"/>
      <c r="L1251" s="109"/>
      <c r="M1251" s="110"/>
      <c r="N1251" s="127"/>
      <c r="O1251" s="112"/>
      <c r="P1251" s="112"/>
      <c r="Q1251" s="118"/>
    </row>
    <row r="1252" spans="2:17" s="5" customFormat="1" ht="13">
      <c r="B1252" s="84"/>
      <c r="C1252" s="84"/>
      <c r="D1252" s="85"/>
      <c r="E1252" s="85"/>
      <c r="F1252" s="85"/>
      <c r="G1252" s="85"/>
      <c r="H1252" s="85"/>
      <c r="I1252" s="85"/>
      <c r="J1252" s="85"/>
      <c r="K1252" s="85"/>
      <c r="L1252" s="109"/>
      <c r="M1252" s="110"/>
      <c r="N1252" s="127"/>
      <c r="O1252" s="112"/>
      <c r="P1252" s="112"/>
      <c r="Q1252" s="118"/>
    </row>
    <row r="1253" spans="2:17" s="5" customFormat="1" ht="13">
      <c r="B1253" s="84"/>
      <c r="C1253" s="84"/>
      <c r="D1253" s="85"/>
      <c r="E1253" s="85"/>
      <c r="F1253" s="85"/>
      <c r="G1253" s="85"/>
      <c r="H1253" s="85"/>
      <c r="I1253" s="85"/>
      <c r="J1253" s="85"/>
      <c r="K1253" s="85"/>
      <c r="L1253" s="109"/>
      <c r="M1253" s="110"/>
      <c r="N1253" s="127"/>
      <c r="O1253" s="112"/>
      <c r="P1253" s="112"/>
      <c r="Q1253" s="118"/>
    </row>
    <row r="1254" spans="2:17" s="5" customFormat="1" ht="13">
      <c r="B1254" s="84"/>
      <c r="C1254" s="84"/>
      <c r="D1254" s="85"/>
      <c r="E1254" s="85"/>
      <c r="F1254" s="85"/>
      <c r="G1254" s="85"/>
      <c r="H1254" s="85"/>
      <c r="I1254" s="85"/>
      <c r="J1254" s="85"/>
      <c r="K1254" s="85"/>
      <c r="L1254" s="109"/>
      <c r="M1254" s="110"/>
      <c r="N1254" s="127"/>
      <c r="O1254" s="112"/>
      <c r="P1254" s="112"/>
      <c r="Q1254" s="118"/>
    </row>
    <row r="1255" spans="2:17" s="5" customFormat="1" ht="13">
      <c r="B1255" s="84"/>
      <c r="C1255" s="84"/>
      <c r="D1255" s="85"/>
      <c r="E1255" s="85"/>
      <c r="F1255" s="85"/>
      <c r="G1255" s="85"/>
      <c r="H1255" s="85"/>
      <c r="I1255" s="85"/>
      <c r="J1255" s="85"/>
      <c r="K1255" s="85"/>
      <c r="L1255" s="109"/>
      <c r="M1255" s="110"/>
      <c r="N1255" s="127"/>
      <c r="O1255" s="112"/>
      <c r="P1255" s="112"/>
      <c r="Q1255" s="118"/>
    </row>
    <row r="1256" spans="2:17" s="5" customFormat="1" ht="13">
      <c r="B1256" s="84"/>
      <c r="C1256" s="84"/>
      <c r="D1256" s="85"/>
      <c r="E1256" s="85"/>
      <c r="F1256" s="85"/>
      <c r="G1256" s="85"/>
      <c r="H1256" s="85"/>
      <c r="I1256" s="85"/>
      <c r="J1256" s="85"/>
      <c r="K1256" s="85"/>
      <c r="L1256" s="109"/>
      <c r="M1256" s="110"/>
      <c r="N1256" s="127"/>
      <c r="O1256" s="112"/>
      <c r="P1256" s="112"/>
      <c r="Q1256" s="118"/>
    </row>
    <row r="1257" spans="2:17" s="5" customFormat="1" ht="13">
      <c r="B1257" s="84"/>
      <c r="C1257" s="84"/>
      <c r="D1257" s="85"/>
      <c r="E1257" s="85"/>
      <c r="F1257" s="85"/>
      <c r="G1257" s="85"/>
      <c r="H1257" s="85"/>
      <c r="I1257" s="85"/>
      <c r="J1257" s="85"/>
      <c r="K1257" s="85"/>
      <c r="L1257" s="109"/>
      <c r="M1257" s="110"/>
      <c r="N1257" s="127"/>
      <c r="O1257" s="112"/>
      <c r="P1257" s="112"/>
      <c r="Q1257" s="118"/>
    </row>
    <row r="1258" spans="2:17" s="5" customFormat="1" ht="13">
      <c r="B1258" s="84"/>
      <c r="C1258" s="84"/>
      <c r="D1258" s="85"/>
      <c r="E1258" s="85"/>
      <c r="F1258" s="85"/>
      <c r="G1258" s="85"/>
      <c r="H1258" s="85"/>
      <c r="I1258" s="85"/>
      <c r="J1258" s="85"/>
      <c r="K1258" s="85"/>
      <c r="L1258" s="109"/>
      <c r="M1258" s="110"/>
      <c r="N1258" s="127"/>
      <c r="O1258" s="112"/>
      <c r="P1258" s="112"/>
      <c r="Q1258" s="118"/>
    </row>
    <row r="1259" spans="2:17" s="5" customFormat="1" ht="13">
      <c r="B1259" s="84"/>
      <c r="C1259" s="84"/>
      <c r="D1259" s="85"/>
      <c r="E1259" s="85"/>
      <c r="F1259" s="85"/>
      <c r="G1259" s="85"/>
      <c r="H1259" s="85"/>
      <c r="I1259" s="85"/>
      <c r="J1259" s="85"/>
      <c r="K1259" s="85"/>
      <c r="L1259" s="109"/>
      <c r="M1259" s="110"/>
      <c r="N1259" s="127"/>
      <c r="O1259" s="112"/>
      <c r="P1259" s="112"/>
      <c r="Q1259" s="118"/>
    </row>
    <row r="1260" spans="2:17" s="5" customFormat="1" ht="13">
      <c r="B1260" s="84"/>
      <c r="C1260" s="84"/>
      <c r="D1260" s="85"/>
      <c r="E1260" s="85"/>
      <c r="F1260" s="85"/>
      <c r="G1260" s="85"/>
      <c r="H1260" s="85"/>
      <c r="I1260" s="85"/>
      <c r="J1260" s="85"/>
      <c r="K1260" s="85"/>
      <c r="L1260" s="109"/>
      <c r="M1260" s="110"/>
      <c r="N1260" s="127"/>
      <c r="O1260" s="112"/>
      <c r="P1260" s="112"/>
      <c r="Q1260" s="118"/>
    </row>
    <row r="1261" spans="2:17" s="5" customFormat="1" ht="13">
      <c r="B1261" s="84"/>
      <c r="C1261" s="84"/>
      <c r="D1261" s="85"/>
      <c r="E1261" s="85"/>
      <c r="F1261" s="85"/>
      <c r="G1261" s="85"/>
      <c r="H1261" s="85"/>
      <c r="I1261" s="85"/>
      <c r="J1261" s="85"/>
      <c r="K1261" s="85"/>
      <c r="L1261" s="109"/>
      <c r="M1261" s="110"/>
      <c r="N1261" s="127"/>
      <c r="O1261" s="112"/>
      <c r="P1261" s="112"/>
      <c r="Q1261" s="118"/>
    </row>
    <row r="1262" spans="2:17" s="5" customFormat="1" ht="13">
      <c r="B1262" s="84"/>
      <c r="C1262" s="84"/>
      <c r="D1262" s="85"/>
      <c r="E1262" s="85"/>
      <c r="F1262" s="85"/>
      <c r="G1262" s="85"/>
      <c r="H1262" s="85"/>
      <c r="I1262" s="85"/>
      <c r="J1262" s="85"/>
      <c r="K1262" s="85"/>
      <c r="L1262" s="109"/>
      <c r="M1262" s="110"/>
      <c r="N1262" s="127"/>
      <c r="O1262" s="112"/>
      <c r="P1262" s="112"/>
      <c r="Q1262" s="118"/>
    </row>
    <row r="1263" spans="2:17" s="5" customFormat="1" ht="13">
      <c r="B1263" s="84"/>
      <c r="C1263" s="84"/>
      <c r="D1263" s="85"/>
      <c r="E1263" s="85"/>
      <c r="F1263" s="85"/>
      <c r="G1263" s="85"/>
      <c r="H1263" s="85"/>
      <c r="I1263" s="85"/>
      <c r="J1263" s="85"/>
      <c r="K1263" s="85"/>
      <c r="L1263" s="109"/>
      <c r="M1263" s="110"/>
      <c r="N1263" s="127"/>
      <c r="O1263" s="112"/>
      <c r="P1263" s="112"/>
      <c r="Q1263" s="118"/>
    </row>
    <row r="1264" spans="2:17" s="5" customFormat="1" ht="13">
      <c r="B1264" s="84"/>
      <c r="C1264" s="84"/>
      <c r="D1264" s="85"/>
      <c r="E1264" s="85"/>
      <c r="F1264" s="85"/>
      <c r="G1264" s="85"/>
      <c r="H1264" s="85"/>
      <c r="I1264" s="85"/>
      <c r="J1264" s="85"/>
      <c r="K1264" s="85"/>
      <c r="L1264" s="109"/>
      <c r="M1264" s="110"/>
      <c r="N1264" s="127"/>
      <c r="O1264" s="112"/>
      <c r="P1264" s="112"/>
      <c r="Q1264" s="118"/>
    </row>
    <row r="1265" spans="2:17" s="5" customFormat="1" ht="13">
      <c r="B1265" s="84"/>
      <c r="C1265" s="84"/>
      <c r="D1265" s="85"/>
      <c r="E1265" s="85"/>
      <c r="F1265" s="85"/>
      <c r="G1265" s="85"/>
      <c r="H1265" s="85"/>
      <c r="I1265" s="85"/>
      <c r="J1265" s="85"/>
      <c r="K1265" s="85"/>
      <c r="L1265" s="109"/>
      <c r="M1265" s="110"/>
      <c r="N1265" s="127"/>
      <c r="O1265" s="112"/>
      <c r="P1265" s="112"/>
      <c r="Q1265" s="118"/>
    </row>
    <row r="1266" spans="2:17" s="5" customFormat="1" ht="13">
      <c r="B1266" s="84"/>
      <c r="C1266" s="84"/>
      <c r="D1266" s="85"/>
      <c r="E1266" s="85"/>
      <c r="F1266" s="85"/>
      <c r="G1266" s="85"/>
      <c r="H1266" s="85"/>
      <c r="I1266" s="85"/>
      <c r="J1266" s="85"/>
      <c r="K1266" s="85"/>
      <c r="L1266" s="109"/>
      <c r="M1266" s="110"/>
      <c r="N1266" s="127"/>
      <c r="O1266" s="112"/>
      <c r="P1266" s="112"/>
      <c r="Q1266" s="118"/>
    </row>
    <row r="1267" spans="2:17" s="5" customFormat="1" ht="13">
      <c r="B1267" s="84"/>
      <c r="C1267" s="84"/>
      <c r="D1267" s="85"/>
      <c r="E1267" s="85"/>
      <c r="F1267" s="85"/>
      <c r="G1267" s="85"/>
      <c r="H1267" s="85"/>
      <c r="I1267" s="85"/>
      <c r="J1267" s="85"/>
      <c r="K1267" s="85"/>
      <c r="L1267" s="109"/>
      <c r="M1267" s="110"/>
      <c r="N1267" s="127"/>
      <c r="O1267" s="112"/>
      <c r="P1267" s="112"/>
      <c r="Q1267" s="118"/>
    </row>
    <row r="1268" spans="2:17" s="5" customFormat="1" ht="13">
      <c r="B1268" s="84"/>
      <c r="C1268" s="84"/>
      <c r="D1268" s="85"/>
      <c r="E1268" s="85"/>
      <c r="F1268" s="85"/>
      <c r="G1268" s="85"/>
      <c r="H1268" s="85"/>
      <c r="I1268" s="85"/>
      <c r="J1268" s="85"/>
      <c r="K1268" s="85"/>
      <c r="L1268" s="109"/>
      <c r="M1268" s="110"/>
      <c r="N1268" s="127"/>
      <c r="O1268" s="112"/>
      <c r="P1268" s="112"/>
      <c r="Q1268" s="118"/>
    </row>
    <row r="1269" spans="2:17" s="5" customFormat="1" ht="13">
      <c r="B1269" s="84"/>
      <c r="C1269" s="84"/>
      <c r="D1269" s="85"/>
      <c r="E1269" s="85"/>
      <c r="F1269" s="85"/>
      <c r="G1269" s="85"/>
      <c r="H1269" s="85"/>
      <c r="I1269" s="85"/>
      <c r="J1269" s="85"/>
      <c r="K1269" s="85"/>
      <c r="L1269" s="109"/>
      <c r="M1269" s="110"/>
      <c r="N1269" s="127"/>
      <c r="O1269" s="112"/>
      <c r="P1269" s="112"/>
      <c r="Q1269" s="118"/>
    </row>
    <row r="1270" spans="2:17" s="5" customFormat="1" ht="13">
      <c r="B1270" s="84"/>
      <c r="C1270" s="84"/>
      <c r="D1270" s="85"/>
      <c r="E1270" s="85"/>
      <c r="F1270" s="85"/>
      <c r="G1270" s="85"/>
      <c r="H1270" s="85"/>
      <c r="I1270" s="85"/>
      <c r="J1270" s="85"/>
      <c r="K1270" s="85"/>
      <c r="L1270" s="109"/>
      <c r="M1270" s="110"/>
      <c r="N1270" s="127"/>
      <c r="O1270" s="112"/>
      <c r="P1270" s="112"/>
      <c r="Q1270" s="118"/>
    </row>
    <row r="1271" spans="2:17" s="5" customFormat="1" ht="13">
      <c r="B1271" s="84"/>
      <c r="C1271" s="84"/>
      <c r="D1271" s="85"/>
      <c r="E1271" s="85"/>
      <c r="F1271" s="85"/>
      <c r="G1271" s="85"/>
      <c r="H1271" s="85"/>
      <c r="I1271" s="85"/>
      <c r="J1271" s="85"/>
      <c r="K1271" s="85"/>
      <c r="L1271" s="109"/>
      <c r="M1271" s="110"/>
      <c r="N1271" s="127"/>
      <c r="O1271" s="112"/>
      <c r="P1271" s="112"/>
      <c r="Q1271" s="118"/>
    </row>
    <row r="1272" spans="2:17" s="5" customFormat="1" ht="13">
      <c r="B1272" s="84"/>
      <c r="C1272" s="84"/>
      <c r="D1272" s="85"/>
      <c r="E1272" s="85"/>
      <c r="F1272" s="85"/>
      <c r="G1272" s="85"/>
      <c r="H1272" s="85"/>
      <c r="I1272" s="85"/>
      <c r="J1272" s="85"/>
      <c r="K1272" s="85"/>
      <c r="L1272" s="109"/>
      <c r="M1272" s="110"/>
      <c r="N1272" s="127"/>
      <c r="O1272" s="112"/>
      <c r="P1272" s="112"/>
      <c r="Q1272" s="118"/>
    </row>
    <row r="1273" spans="2:17" s="5" customFormat="1" ht="13">
      <c r="B1273" s="84"/>
      <c r="C1273" s="84"/>
      <c r="D1273" s="85"/>
      <c r="E1273" s="85"/>
      <c r="F1273" s="85"/>
      <c r="G1273" s="85"/>
      <c r="H1273" s="85"/>
      <c r="I1273" s="85"/>
      <c r="J1273" s="85"/>
      <c r="K1273" s="85"/>
      <c r="L1273" s="109"/>
      <c r="M1273" s="110"/>
      <c r="N1273" s="127"/>
      <c r="O1273" s="112"/>
      <c r="P1273" s="112"/>
      <c r="Q1273" s="118"/>
    </row>
    <row r="1274" spans="2:17" s="5" customFormat="1" ht="13">
      <c r="B1274" s="84"/>
      <c r="C1274" s="84"/>
      <c r="D1274" s="85"/>
      <c r="E1274" s="85"/>
      <c r="F1274" s="85"/>
      <c r="G1274" s="85"/>
      <c r="H1274" s="85"/>
      <c r="I1274" s="85"/>
      <c r="J1274" s="85"/>
      <c r="K1274" s="85"/>
      <c r="L1274" s="109"/>
      <c r="M1274" s="110"/>
      <c r="N1274" s="127"/>
      <c r="O1274" s="112"/>
      <c r="P1274" s="112"/>
      <c r="Q1274" s="118"/>
    </row>
    <row r="1275" spans="2:17" s="5" customFormat="1" ht="13">
      <c r="B1275" s="84"/>
      <c r="C1275" s="84"/>
      <c r="D1275" s="85"/>
      <c r="E1275" s="85"/>
      <c r="F1275" s="85"/>
      <c r="G1275" s="85"/>
      <c r="H1275" s="85"/>
      <c r="I1275" s="85"/>
      <c r="J1275" s="85"/>
      <c r="K1275" s="85"/>
      <c r="L1275" s="109"/>
      <c r="M1275" s="110"/>
      <c r="N1275" s="127"/>
      <c r="O1275" s="112"/>
      <c r="P1275" s="112"/>
      <c r="Q1275" s="118"/>
    </row>
    <row r="1276" spans="2:17" s="5" customFormat="1" ht="13">
      <c r="B1276" s="84"/>
      <c r="C1276" s="84"/>
      <c r="D1276" s="85"/>
      <c r="E1276" s="85"/>
      <c r="F1276" s="85"/>
      <c r="G1276" s="85"/>
      <c r="H1276" s="85"/>
      <c r="I1276" s="85"/>
      <c r="J1276" s="85"/>
      <c r="K1276" s="85"/>
      <c r="L1276" s="109"/>
      <c r="M1276" s="110"/>
      <c r="N1276" s="127"/>
      <c r="O1276" s="112"/>
      <c r="P1276" s="112"/>
      <c r="Q1276" s="118"/>
    </row>
    <row r="1277" spans="2:17" s="5" customFormat="1" ht="13">
      <c r="B1277" s="84"/>
      <c r="C1277" s="84"/>
      <c r="D1277" s="85"/>
      <c r="E1277" s="85"/>
      <c r="F1277" s="85"/>
      <c r="G1277" s="85"/>
      <c r="H1277" s="85"/>
      <c r="I1277" s="85"/>
      <c r="J1277" s="85"/>
      <c r="K1277" s="85"/>
      <c r="L1277" s="109"/>
      <c r="M1277" s="110"/>
      <c r="N1277" s="127"/>
      <c r="O1277" s="112"/>
      <c r="P1277" s="112"/>
      <c r="Q1277" s="118"/>
    </row>
    <row r="1278" spans="2:17" s="5" customFormat="1" ht="13">
      <c r="B1278" s="84"/>
      <c r="C1278" s="84"/>
      <c r="D1278" s="85"/>
      <c r="E1278" s="85"/>
      <c r="F1278" s="85"/>
      <c r="G1278" s="85"/>
      <c r="H1278" s="85"/>
      <c r="I1278" s="85"/>
      <c r="J1278" s="85"/>
      <c r="K1278" s="85"/>
      <c r="L1278" s="109"/>
      <c r="M1278" s="110"/>
      <c r="N1278" s="127"/>
      <c r="O1278" s="112"/>
      <c r="P1278" s="112"/>
      <c r="Q1278" s="118"/>
    </row>
    <row r="1279" spans="2:17" s="5" customFormat="1" ht="13">
      <c r="B1279" s="84"/>
      <c r="C1279" s="84"/>
      <c r="D1279" s="85"/>
      <c r="E1279" s="85"/>
      <c r="F1279" s="85"/>
      <c r="G1279" s="85"/>
      <c r="H1279" s="85"/>
      <c r="I1279" s="85"/>
      <c r="J1279" s="85"/>
      <c r="K1279" s="85"/>
      <c r="L1279" s="109"/>
      <c r="M1279" s="110"/>
      <c r="N1279" s="127"/>
      <c r="O1279" s="112"/>
      <c r="P1279" s="112"/>
      <c r="Q1279" s="118"/>
    </row>
    <row r="1280" spans="2:17" s="5" customFormat="1" ht="13">
      <c r="B1280" s="84"/>
      <c r="C1280" s="84"/>
      <c r="D1280" s="85"/>
      <c r="E1280" s="85"/>
      <c r="F1280" s="85"/>
      <c r="G1280" s="85"/>
      <c r="H1280" s="85"/>
      <c r="I1280" s="85"/>
      <c r="J1280" s="85"/>
      <c r="K1280" s="85"/>
      <c r="L1280" s="109"/>
      <c r="M1280" s="110"/>
      <c r="N1280" s="127"/>
      <c r="O1280" s="112"/>
      <c r="P1280" s="112"/>
      <c r="Q1280" s="118"/>
    </row>
    <row r="1281" spans="2:17" s="5" customFormat="1" ht="13">
      <c r="B1281" s="84"/>
      <c r="C1281" s="84"/>
      <c r="D1281" s="85"/>
      <c r="E1281" s="85"/>
      <c r="F1281" s="85"/>
      <c r="G1281" s="85"/>
      <c r="H1281" s="85"/>
      <c r="I1281" s="85"/>
      <c r="J1281" s="85"/>
      <c r="K1281" s="85"/>
      <c r="L1281" s="109"/>
      <c r="M1281" s="110"/>
      <c r="N1281" s="127"/>
      <c r="O1281" s="112"/>
      <c r="P1281" s="112"/>
      <c r="Q1281" s="118"/>
    </row>
    <row r="1282" spans="2:17" s="5" customFormat="1" ht="13">
      <c r="B1282" s="84"/>
      <c r="C1282" s="84"/>
      <c r="D1282" s="85"/>
      <c r="E1282" s="85"/>
      <c r="F1282" s="85"/>
      <c r="G1282" s="85"/>
      <c r="H1282" s="85"/>
      <c r="I1282" s="85"/>
      <c r="J1282" s="85"/>
      <c r="K1282" s="85"/>
      <c r="L1282" s="109"/>
      <c r="M1282" s="110"/>
      <c r="N1282" s="127"/>
      <c r="O1282" s="112"/>
      <c r="P1282" s="112"/>
      <c r="Q1282" s="118"/>
    </row>
    <row r="1283" spans="2:17" s="5" customFormat="1" ht="13">
      <c r="B1283" s="84"/>
      <c r="C1283" s="84"/>
      <c r="D1283" s="85"/>
      <c r="E1283" s="85"/>
      <c r="F1283" s="85"/>
      <c r="G1283" s="85"/>
      <c r="H1283" s="85"/>
      <c r="I1283" s="85"/>
      <c r="J1283" s="85"/>
      <c r="K1283" s="85"/>
      <c r="L1283" s="109"/>
      <c r="M1283" s="110"/>
      <c r="N1283" s="127"/>
      <c r="O1283" s="112"/>
      <c r="P1283" s="112"/>
      <c r="Q1283" s="118"/>
    </row>
    <row r="1284" spans="2:17" s="5" customFormat="1" ht="13">
      <c r="B1284" s="84"/>
      <c r="C1284" s="84"/>
      <c r="D1284" s="85"/>
      <c r="E1284" s="85"/>
      <c r="F1284" s="85"/>
      <c r="G1284" s="85"/>
      <c r="H1284" s="85"/>
      <c r="I1284" s="85"/>
      <c r="J1284" s="85"/>
      <c r="K1284" s="85"/>
      <c r="L1284" s="109"/>
      <c r="M1284" s="110"/>
      <c r="N1284" s="127"/>
      <c r="O1284" s="112"/>
      <c r="P1284" s="112"/>
      <c r="Q1284" s="118"/>
    </row>
    <row r="1285" spans="2:17" s="5" customFormat="1" ht="13">
      <c r="B1285" s="84"/>
      <c r="C1285" s="84"/>
      <c r="D1285" s="85"/>
      <c r="E1285" s="85"/>
      <c r="F1285" s="85"/>
      <c r="G1285" s="85"/>
      <c r="H1285" s="85"/>
      <c r="I1285" s="85"/>
      <c r="J1285" s="85"/>
      <c r="K1285" s="85"/>
      <c r="L1285" s="109"/>
      <c r="M1285" s="110"/>
      <c r="N1285" s="127"/>
      <c r="O1285" s="112"/>
      <c r="P1285" s="112"/>
      <c r="Q1285" s="118"/>
    </row>
    <row r="1286" spans="2:17" s="5" customFormat="1" ht="13">
      <c r="B1286" s="84"/>
      <c r="C1286" s="84"/>
      <c r="D1286" s="85"/>
      <c r="E1286" s="85"/>
      <c r="F1286" s="85"/>
      <c r="G1286" s="85"/>
      <c r="H1286" s="85"/>
      <c r="I1286" s="85"/>
      <c r="J1286" s="85"/>
      <c r="K1286" s="85"/>
      <c r="L1286" s="109"/>
      <c r="M1286" s="110"/>
      <c r="N1286" s="127"/>
      <c r="O1286" s="112"/>
      <c r="P1286" s="112"/>
      <c r="Q1286" s="118"/>
    </row>
    <row r="1287" spans="2:17" s="5" customFormat="1" ht="13">
      <c r="B1287" s="84"/>
      <c r="C1287" s="84"/>
      <c r="D1287" s="85"/>
      <c r="E1287" s="85"/>
      <c r="F1287" s="85"/>
      <c r="G1287" s="85"/>
      <c r="H1287" s="85"/>
      <c r="I1287" s="85"/>
      <c r="J1287" s="85"/>
      <c r="K1287" s="85"/>
      <c r="L1287" s="109"/>
      <c r="M1287" s="110"/>
      <c r="N1287" s="127"/>
      <c r="O1287" s="112"/>
      <c r="P1287" s="112"/>
      <c r="Q1287" s="118"/>
    </row>
    <row r="1288" spans="2:17" s="5" customFormat="1" ht="13">
      <c r="B1288" s="84"/>
      <c r="C1288" s="84"/>
      <c r="D1288" s="85"/>
      <c r="E1288" s="85"/>
      <c r="F1288" s="85"/>
      <c r="G1288" s="85"/>
      <c r="H1288" s="85"/>
      <c r="I1288" s="85"/>
      <c r="J1288" s="85"/>
      <c r="K1288" s="85"/>
      <c r="L1288" s="109"/>
      <c r="M1288" s="110"/>
      <c r="N1288" s="127"/>
      <c r="O1288" s="112"/>
      <c r="P1288" s="112"/>
      <c r="Q1288" s="118"/>
    </row>
    <row r="1289" spans="2:17" s="5" customFormat="1" ht="13">
      <c r="B1289" s="84"/>
      <c r="C1289" s="84"/>
      <c r="D1289" s="85"/>
      <c r="E1289" s="85"/>
      <c r="F1289" s="85"/>
      <c r="G1289" s="85"/>
      <c r="H1289" s="85"/>
      <c r="I1289" s="85"/>
      <c r="J1289" s="85"/>
      <c r="K1289" s="85"/>
      <c r="L1289" s="109"/>
      <c r="M1289" s="110"/>
      <c r="N1289" s="127"/>
      <c r="O1289" s="112"/>
      <c r="P1289" s="112"/>
      <c r="Q1289" s="118"/>
    </row>
    <row r="1290" spans="2:17" s="5" customFormat="1" ht="13">
      <c r="B1290" s="84"/>
      <c r="C1290" s="84"/>
      <c r="D1290" s="85"/>
      <c r="E1290" s="85"/>
      <c r="F1290" s="85"/>
      <c r="G1290" s="85"/>
      <c r="H1290" s="85"/>
      <c r="I1290" s="85"/>
      <c r="J1290" s="85"/>
      <c r="K1290" s="85"/>
      <c r="L1290" s="109"/>
      <c r="M1290" s="110"/>
      <c r="N1290" s="127"/>
      <c r="O1290" s="112"/>
      <c r="P1290" s="112"/>
      <c r="Q1290" s="118"/>
    </row>
    <row r="1291" spans="2:17" s="5" customFormat="1" ht="13">
      <c r="B1291" s="84"/>
      <c r="C1291" s="84"/>
      <c r="D1291" s="85"/>
      <c r="E1291" s="85"/>
      <c r="F1291" s="85"/>
      <c r="G1291" s="85"/>
      <c r="H1291" s="85"/>
      <c r="I1291" s="85"/>
      <c r="J1291" s="85"/>
      <c r="K1291" s="85"/>
      <c r="L1291" s="109"/>
      <c r="M1291" s="110"/>
      <c r="N1291" s="127"/>
      <c r="O1291" s="112"/>
      <c r="P1291" s="112"/>
      <c r="Q1291" s="118"/>
    </row>
    <row r="1292" spans="2:17" s="5" customFormat="1" ht="13">
      <c r="B1292" s="84"/>
      <c r="C1292" s="84"/>
      <c r="D1292" s="85"/>
      <c r="E1292" s="85"/>
      <c r="F1292" s="85"/>
      <c r="G1292" s="85"/>
      <c r="H1292" s="85"/>
      <c r="I1292" s="85"/>
      <c r="J1292" s="85"/>
      <c r="K1292" s="85"/>
      <c r="L1292" s="109"/>
      <c r="M1292" s="110"/>
      <c r="N1292" s="127"/>
      <c r="O1292" s="112"/>
      <c r="P1292" s="112"/>
      <c r="Q1292" s="118"/>
    </row>
    <row r="1293" spans="2:17" s="5" customFormat="1" ht="13">
      <c r="B1293" s="84"/>
      <c r="C1293" s="84"/>
      <c r="D1293" s="85"/>
      <c r="E1293" s="85"/>
      <c r="F1293" s="85"/>
      <c r="G1293" s="85"/>
      <c r="H1293" s="85"/>
      <c r="I1293" s="85"/>
      <c r="J1293" s="85"/>
      <c r="K1293" s="85"/>
      <c r="L1293" s="109"/>
      <c r="M1293" s="110"/>
      <c r="N1293" s="127"/>
      <c r="O1293" s="112"/>
      <c r="P1293" s="112"/>
      <c r="Q1293" s="118"/>
    </row>
    <row r="1294" spans="2:17" s="5" customFormat="1" ht="13">
      <c r="B1294" s="84"/>
      <c r="C1294" s="84"/>
      <c r="D1294" s="85"/>
      <c r="E1294" s="85"/>
      <c r="F1294" s="85"/>
      <c r="G1294" s="85"/>
      <c r="H1294" s="85"/>
      <c r="I1294" s="85"/>
      <c r="J1294" s="85"/>
      <c r="K1294" s="85"/>
      <c r="L1294" s="109"/>
      <c r="M1294" s="110"/>
      <c r="N1294" s="127"/>
      <c r="O1294" s="112"/>
      <c r="P1294" s="112"/>
      <c r="Q1294" s="118"/>
    </row>
    <row r="1295" spans="2:17" s="5" customFormat="1" ht="13">
      <c r="B1295" s="84"/>
      <c r="C1295" s="84"/>
      <c r="D1295" s="85"/>
      <c r="E1295" s="85"/>
      <c r="F1295" s="85"/>
      <c r="G1295" s="85"/>
      <c r="H1295" s="85"/>
      <c r="I1295" s="85"/>
      <c r="J1295" s="85"/>
      <c r="K1295" s="85"/>
      <c r="L1295" s="109"/>
      <c r="M1295" s="110"/>
      <c r="N1295" s="127"/>
      <c r="O1295" s="112"/>
      <c r="P1295" s="112"/>
      <c r="Q1295" s="118"/>
    </row>
    <row r="1296" spans="2:17" s="5" customFormat="1" ht="13">
      <c r="B1296" s="84"/>
      <c r="C1296" s="84"/>
      <c r="D1296" s="85"/>
      <c r="E1296" s="85"/>
      <c r="F1296" s="85"/>
      <c r="G1296" s="85"/>
      <c r="H1296" s="85"/>
      <c r="I1296" s="85"/>
      <c r="J1296" s="85"/>
      <c r="K1296" s="85"/>
      <c r="L1296" s="109"/>
      <c r="M1296" s="110"/>
      <c r="N1296" s="127"/>
      <c r="O1296" s="112"/>
      <c r="P1296" s="112"/>
      <c r="Q1296" s="118"/>
    </row>
    <row r="1297" spans="2:17" s="5" customFormat="1" ht="13">
      <c r="B1297" s="84"/>
      <c r="C1297" s="84"/>
      <c r="D1297" s="85"/>
      <c r="E1297" s="85"/>
      <c r="F1297" s="85"/>
      <c r="G1297" s="85"/>
      <c r="H1297" s="85"/>
      <c r="I1297" s="85"/>
      <c r="J1297" s="85"/>
      <c r="K1297" s="85"/>
      <c r="L1297" s="109"/>
      <c r="M1297" s="110"/>
      <c r="N1297" s="127"/>
      <c r="O1297" s="112"/>
      <c r="P1297" s="112"/>
      <c r="Q1297" s="118"/>
    </row>
    <row r="1298" spans="2:17" s="5" customFormat="1" ht="13">
      <c r="B1298" s="84"/>
      <c r="C1298" s="84"/>
      <c r="D1298" s="85"/>
      <c r="E1298" s="85"/>
      <c r="F1298" s="85"/>
      <c r="G1298" s="85"/>
      <c r="H1298" s="85"/>
      <c r="I1298" s="85"/>
      <c r="J1298" s="85"/>
      <c r="K1298" s="85"/>
      <c r="L1298" s="109"/>
      <c r="M1298" s="110"/>
      <c r="N1298" s="127"/>
      <c r="O1298" s="112"/>
      <c r="P1298" s="112"/>
      <c r="Q1298" s="118"/>
    </row>
    <row r="1299" spans="2:17" s="5" customFormat="1" ht="13">
      <c r="B1299" s="84"/>
      <c r="C1299" s="84"/>
      <c r="D1299" s="85"/>
      <c r="E1299" s="85"/>
      <c r="F1299" s="85"/>
      <c r="G1299" s="85"/>
      <c r="H1299" s="85"/>
      <c r="I1299" s="85"/>
      <c r="J1299" s="85"/>
      <c r="K1299" s="85"/>
      <c r="L1299" s="109"/>
      <c r="M1299" s="110"/>
      <c r="N1299" s="127"/>
      <c r="O1299" s="112"/>
      <c r="P1299" s="112"/>
      <c r="Q1299" s="118"/>
    </row>
    <row r="1300" spans="2:17" s="5" customFormat="1" ht="13">
      <c r="B1300" s="84"/>
      <c r="C1300" s="84"/>
      <c r="D1300" s="85"/>
      <c r="E1300" s="85"/>
      <c r="F1300" s="85"/>
      <c r="G1300" s="85"/>
      <c r="H1300" s="85"/>
      <c r="I1300" s="85"/>
      <c r="J1300" s="85"/>
      <c r="K1300" s="85"/>
      <c r="L1300" s="109"/>
      <c r="M1300" s="110"/>
      <c r="N1300" s="127"/>
      <c r="O1300" s="112"/>
      <c r="P1300" s="112"/>
      <c r="Q1300" s="118"/>
    </row>
    <row r="1301" spans="2:17" s="5" customFormat="1" ht="13">
      <c r="B1301" s="84"/>
      <c r="C1301" s="84"/>
      <c r="D1301" s="85"/>
      <c r="E1301" s="85"/>
      <c r="F1301" s="85"/>
      <c r="G1301" s="85"/>
      <c r="H1301" s="85"/>
      <c r="I1301" s="85"/>
      <c r="J1301" s="85"/>
      <c r="K1301" s="85"/>
      <c r="L1301" s="109"/>
      <c r="M1301" s="110"/>
      <c r="N1301" s="127"/>
      <c r="O1301" s="112"/>
      <c r="P1301" s="112"/>
      <c r="Q1301" s="118"/>
    </row>
    <row r="1302" spans="2:17" s="5" customFormat="1" ht="13">
      <c r="B1302" s="84"/>
      <c r="C1302" s="84"/>
      <c r="D1302" s="85"/>
      <c r="E1302" s="85"/>
      <c r="F1302" s="85"/>
      <c r="G1302" s="85"/>
      <c r="H1302" s="85"/>
      <c r="I1302" s="85"/>
      <c r="J1302" s="85"/>
      <c r="K1302" s="85"/>
      <c r="L1302" s="109"/>
      <c r="M1302" s="110"/>
      <c r="N1302" s="127"/>
      <c r="O1302" s="112"/>
      <c r="P1302" s="112"/>
      <c r="Q1302" s="118"/>
    </row>
    <row r="1303" spans="2:17" s="5" customFormat="1" ht="13">
      <c r="B1303" s="84"/>
      <c r="C1303" s="84"/>
      <c r="D1303" s="85"/>
      <c r="E1303" s="85"/>
      <c r="F1303" s="85"/>
      <c r="G1303" s="85"/>
      <c r="H1303" s="85"/>
      <c r="I1303" s="85"/>
      <c r="J1303" s="85"/>
      <c r="K1303" s="85"/>
      <c r="L1303" s="109"/>
      <c r="M1303" s="110"/>
      <c r="N1303" s="127"/>
      <c r="O1303" s="112"/>
      <c r="P1303" s="112"/>
      <c r="Q1303" s="118"/>
    </row>
    <row r="1304" spans="2:17" s="5" customFormat="1" ht="13">
      <c r="B1304" s="84"/>
      <c r="C1304" s="84"/>
      <c r="D1304" s="85"/>
      <c r="E1304" s="85"/>
      <c r="F1304" s="85"/>
      <c r="G1304" s="85"/>
      <c r="H1304" s="85"/>
      <c r="I1304" s="85"/>
      <c r="J1304" s="85"/>
      <c r="K1304" s="85"/>
      <c r="L1304" s="109"/>
      <c r="M1304" s="110"/>
      <c r="N1304" s="127"/>
      <c r="O1304" s="112"/>
      <c r="P1304" s="112"/>
      <c r="Q1304" s="118"/>
    </row>
    <row r="1305" spans="2:17" s="5" customFormat="1" ht="13">
      <c r="B1305" s="84"/>
      <c r="C1305" s="84"/>
      <c r="D1305" s="85"/>
      <c r="E1305" s="85"/>
      <c r="F1305" s="85"/>
      <c r="G1305" s="85"/>
      <c r="H1305" s="85"/>
      <c r="I1305" s="85"/>
      <c r="J1305" s="85"/>
      <c r="K1305" s="85"/>
      <c r="L1305" s="109"/>
      <c r="M1305" s="110"/>
      <c r="N1305" s="127"/>
      <c r="O1305" s="112"/>
      <c r="P1305" s="112"/>
      <c r="Q1305" s="118"/>
    </row>
    <row r="1306" spans="2:17" s="5" customFormat="1" ht="13">
      <c r="B1306" s="84"/>
      <c r="C1306" s="84"/>
      <c r="D1306" s="85"/>
      <c r="E1306" s="85"/>
      <c r="F1306" s="85"/>
      <c r="G1306" s="85"/>
      <c r="H1306" s="85"/>
      <c r="I1306" s="85"/>
      <c r="J1306" s="85"/>
      <c r="K1306" s="85"/>
      <c r="L1306" s="109"/>
      <c r="M1306" s="110"/>
      <c r="N1306" s="127"/>
      <c r="O1306" s="112"/>
      <c r="P1306" s="112"/>
      <c r="Q1306" s="118"/>
    </row>
    <row r="1307" spans="2:17" s="5" customFormat="1" ht="13">
      <c r="B1307" s="84"/>
      <c r="C1307" s="84"/>
      <c r="D1307" s="85"/>
      <c r="E1307" s="85"/>
      <c r="F1307" s="85"/>
      <c r="G1307" s="85"/>
      <c r="H1307" s="85"/>
      <c r="I1307" s="85"/>
      <c r="J1307" s="85"/>
      <c r="K1307" s="85"/>
      <c r="L1307" s="109"/>
      <c r="M1307" s="110"/>
      <c r="N1307" s="127"/>
      <c r="O1307" s="112"/>
      <c r="P1307" s="112"/>
      <c r="Q1307" s="118"/>
    </row>
    <row r="1308" spans="2:17" s="5" customFormat="1" ht="13">
      <c r="B1308" s="84"/>
      <c r="C1308" s="84"/>
      <c r="D1308" s="85"/>
      <c r="E1308" s="85"/>
      <c r="F1308" s="85"/>
      <c r="G1308" s="85"/>
      <c r="H1308" s="85"/>
      <c r="I1308" s="85"/>
      <c r="J1308" s="85"/>
      <c r="K1308" s="85"/>
      <c r="L1308" s="109"/>
      <c r="M1308" s="110"/>
      <c r="N1308" s="127"/>
      <c r="O1308" s="112"/>
      <c r="P1308" s="112"/>
      <c r="Q1308" s="118"/>
    </row>
    <row r="1309" spans="2:17" s="5" customFormat="1" ht="13">
      <c r="B1309" s="84"/>
      <c r="C1309" s="84"/>
      <c r="D1309" s="85"/>
      <c r="E1309" s="85"/>
      <c r="F1309" s="85"/>
      <c r="G1309" s="85"/>
      <c r="H1309" s="85"/>
      <c r="I1309" s="85"/>
      <c r="J1309" s="85"/>
      <c r="K1309" s="85"/>
      <c r="L1309" s="109"/>
      <c r="M1309" s="110"/>
      <c r="N1309" s="127"/>
      <c r="O1309" s="112"/>
      <c r="P1309" s="112"/>
      <c r="Q1309" s="118"/>
    </row>
    <row r="1310" spans="2:17" s="5" customFormat="1" ht="13">
      <c r="B1310" s="84"/>
      <c r="C1310" s="84"/>
      <c r="D1310" s="85"/>
      <c r="E1310" s="85"/>
      <c r="F1310" s="85"/>
      <c r="G1310" s="85"/>
      <c r="H1310" s="85"/>
      <c r="I1310" s="85"/>
      <c r="J1310" s="85"/>
      <c r="K1310" s="85"/>
      <c r="L1310" s="109"/>
      <c r="M1310" s="110"/>
      <c r="N1310" s="127"/>
      <c r="O1310" s="112"/>
      <c r="P1310" s="112"/>
      <c r="Q1310" s="118"/>
    </row>
    <row r="1311" spans="2:17" s="5" customFormat="1" ht="13">
      <c r="B1311" s="84"/>
      <c r="C1311" s="84"/>
      <c r="D1311" s="85"/>
      <c r="E1311" s="85"/>
      <c r="F1311" s="85"/>
      <c r="G1311" s="85"/>
      <c r="H1311" s="85"/>
      <c r="I1311" s="85"/>
      <c r="J1311" s="85"/>
      <c r="K1311" s="85"/>
      <c r="L1311" s="109"/>
      <c r="M1311" s="110"/>
      <c r="N1311" s="127"/>
      <c r="O1311" s="112"/>
      <c r="P1311" s="112"/>
      <c r="Q1311" s="118"/>
    </row>
    <row r="1312" spans="2:17" s="5" customFormat="1" ht="13">
      <c r="B1312" s="84"/>
      <c r="C1312" s="84"/>
      <c r="D1312" s="85"/>
      <c r="E1312" s="85"/>
      <c r="F1312" s="85"/>
      <c r="G1312" s="85"/>
      <c r="H1312" s="85"/>
      <c r="I1312" s="85"/>
      <c r="J1312" s="85"/>
      <c r="K1312" s="85"/>
      <c r="L1312" s="109"/>
      <c r="M1312" s="110"/>
      <c r="N1312" s="127"/>
      <c r="O1312" s="112"/>
      <c r="P1312" s="112"/>
      <c r="Q1312" s="118"/>
    </row>
    <row r="1313" spans="2:17" s="5" customFormat="1" ht="13">
      <c r="B1313" s="84"/>
      <c r="C1313" s="84"/>
      <c r="D1313" s="85"/>
      <c r="E1313" s="85"/>
      <c r="F1313" s="85"/>
      <c r="G1313" s="85"/>
      <c r="H1313" s="85"/>
      <c r="I1313" s="85"/>
      <c r="J1313" s="85"/>
      <c r="K1313" s="85"/>
      <c r="L1313" s="109"/>
      <c r="M1313" s="110"/>
      <c r="N1313" s="127"/>
      <c r="O1313" s="112"/>
      <c r="P1313" s="112"/>
      <c r="Q1313" s="118"/>
    </row>
    <row r="1314" spans="2:17" s="5" customFormat="1" ht="13">
      <c r="B1314" s="84"/>
      <c r="C1314" s="84"/>
      <c r="D1314" s="85"/>
      <c r="E1314" s="85"/>
      <c r="F1314" s="85"/>
      <c r="G1314" s="85"/>
      <c r="H1314" s="85"/>
      <c r="I1314" s="85"/>
      <c r="J1314" s="85"/>
      <c r="K1314" s="85"/>
      <c r="L1314" s="109"/>
      <c r="M1314" s="110"/>
      <c r="N1314" s="127"/>
      <c r="O1314" s="112"/>
      <c r="P1314" s="112"/>
      <c r="Q1314" s="118"/>
    </row>
    <row r="1315" spans="2:17" s="5" customFormat="1" ht="13">
      <c r="B1315" s="84"/>
      <c r="C1315" s="84"/>
      <c r="D1315" s="85"/>
      <c r="E1315" s="85"/>
      <c r="F1315" s="85"/>
      <c r="G1315" s="85"/>
      <c r="H1315" s="85"/>
      <c r="I1315" s="85"/>
      <c r="J1315" s="85"/>
      <c r="K1315" s="85"/>
      <c r="L1315" s="109"/>
      <c r="M1315" s="110"/>
      <c r="N1315" s="127"/>
      <c r="O1315" s="112"/>
      <c r="P1315" s="112"/>
      <c r="Q1315" s="118"/>
    </row>
    <row r="1316" spans="2:17" s="5" customFormat="1" ht="13">
      <c r="B1316" s="84"/>
      <c r="C1316" s="84"/>
      <c r="D1316" s="85"/>
      <c r="E1316" s="85"/>
      <c r="F1316" s="85"/>
      <c r="G1316" s="85"/>
      <c r="H1316" s="85"/>
      <c r="I1316" s="85"/>
      <c r="J1316" s="85"/>
      <c r="K1316" s="85"/>
      <c r="L1316" s="109"/>
      <c r="M1316" s="110"/>
      <c r="N1316" s="127"/>
      <c r="O1316" s="112"/>
      <c r="P1316" s="112"/>
      <c r="Q1316" s="118"/>
    </row>
    <row r="1317" spans="2:17" s="5" customFormat="1" ht="13">
      <c r="B1317" s="84"/>
      <c r="C1317" s="84"/>
      <c r="D1317" s="85"/>
      <c r="E1317" s="85"/>
      <c r="F1317" s="85"/>
      <c r="G1317" s="85"/>
      <c r="H1317" s="85"/>
      <c r="I1317" s="85"/>
      <c r="J1317" s="85"/>
      <c r="K1317" s="85"/>
      <c r="L1317" s="109"/>
      <c r="M1317" s="110"/>
      <c r="N1317" s="127"/>
      <c r="O1317" s="112"/>
      <c r="P1317" s="112"/>
      <c r="Q1317" s="118"/>
    </row>
    <row r="1318" spans="2:17" s="5" customFormat="1" ht="13">
      <c r="B1318" s="84"/>
      <c r="C1318" s="84"/>
      <c r="D1318" s="85"/>
      <c r="E1318" s="85"/>
      <c r="F1318" s="85"/>
      <c r="G1318" s="85"/>
      <c r="H1318" s="85"/>
      <c r="I1318" s="85"/>
      <c r="J1318" s="85"/>
      <c r="K1318" s="85"/>
      <c r="L1318" s="109"/>
      <c r="M1318" s="110"/>
      <c r="N1318" s="127"/>
      <c r="O1318" s="112"/>
      <c r="P1318" s="112"/>
      <c r="Q1318" s="118"/>
    </row>
    <row r="1319" spans="2:17" s="5" customFormat="1" ht="13">
      <c r="B1319" s="84"/>
      <c r="C1319" s="84"/>
      <c r="D1319" s="85"/>
      <c r="E1319" s="85"/>
      <c r="F1319" s="85"/>
      <c r="G1319" s="85"/>
      <c r="H1319" s="85"/>
      <c r="I1319" s="85"/>
      <c r="J1319" s="85"/>
      <c r="K1319" s="85"/>
      <c r="L1319" s="109"/>
      <c r="M1319" s="110"/>
      <c r="N1319" s="127"/>
      <c r="O1319" s="112"/>
      <c r="P1319" s="112"/>
      <c r="Q1319" s="118"/>
    </row>
    <row r="1320" spans="2:17" s="5" customFormat="1" ht="13">
      <c r="B1320" s="84"/>
      <c r="C1320" s="84"/>
      <c r="D1320" s="85"/>
      <c r="E1320" s="85"/>
      <c r="F1320" s="85"/>
      <c r="G1320" s="85"/>
      <c r="H1320" s="85"/>
      <c r="I1320" s="85"/>
      <c r="J1320" s="85"/>
      <c r="K1320" s="85"/>
      <c r="L1320" s="109"/>
      <c r="M1320" s="110"/>
      <c r="N1320" s="127"/>
      <c r="O1320" s="112"/>
      <c r="P1320" s="112"/>
      <c r="Q1320" s="118"/>
    </row>
    <row r="1321" spans="2:17" s="5" customFormat="1" ht="13">
      <c r="B1321" s="84"/>
      <c r="C1321" s="84"/>
      <c r="D1321" s="85"/>
      <c r="E1321" s="85"/>
      <c r="F1321" s="85"/>
      <c r="G1321" s="85"/>
      <c r="H1321" s="85"/>
      <c r="I1321" s="85"/>
      <c r="J1321" s="85"/>
      <c r="K1321" s="85"/>
      <c r="L1321" s="109"/>
      <c r="M1321" s="110"/>
      <c r="N1321" s="127"/>
      <c r="O1321" s="112"/>
      <c r="P1321" s="112"/>
      <c r="Q1321" s="118"/>
    </row>
    <row r="1322" spans="2:17" s="5" customFormat="1" ht="13">
      <c r="B1322" s="84"/>
      <c r="C1322" s="84"/>
      <c r="D1322" s="85"/>
      <c r="E1322" s="85"/>
      <c r="F1322" s="85"/>
      <c r="G1322" s="85"/>
      <c r="H1322" s="85"/>
      <c r="I1322" s="85"/>
      <c r="J1322" s="85"/>
      <c r="K1322" s="85"/>
      <c r="L1322" s="109"/>
      <c r="M1322" s="110"/>
      <c r="N1322" s="127"/>
      <c r="O1322" s="112"/>
      <c r="P1322" s="112"/>
      <c r="Q1322" s="118"/>
    </row>
    <row r="1323" spans="2:17" s="5" customFormat="1" ht="13">
      <c r="B1323" s="84"/>
      <c r="C1323" s="84"/>
      <c r="D1323" s="85"/>
      <c r="E1323" s="85"/>
      <c r="F1323" s="85"/>
      <c r="G1323" s="85"/>
      <c r="H1323" s="85"/>
      <c r="I1323" s="85"/>
      <c r="J1323" s="85"/>
      <c r="K1323" s="85"/>
      <c r="L1323" s="109"/>
      <c r="M1323" s="110"/>
      <c r="N1323" s="127"/>
      <c r="O1323" s="112"/>
      <c r="P1323" s="112"/>
      <c r="Q1323" s="118"/>
    </row>
    <row r="1324" spans="2:17" s="5" customFormat="1" ht="13">
      <c r="B1324" s="84"/>
      <c r="C1324" s="84"/>
      <c r="D1324" s="85"/>
      <c r="E1324" s="85"/>
      <c r="F1324" s="85"/>
      <c r="G1324" s="85"/>
      <c r="H1324" s="85"/>
      <c r="I1324" s="85"/>
      <c r="J1324" s="85"/>
      <c r="K1324" s="85"/>
      <c r="L1324" s="109"/>
      <c r="M1324" s="110"/>
      <c r="N1324" s="127"/>
      <c r="O1324" s="112"/>
      <c r="P1324" s="112"/>
      <c r="Q1324" s="118"/>
    </row>
    <row r="1325" spans="2:17" s="5" customFormat="1" ht="13">
      <c r="B1325" s="84"/>
      <c r="C1325" s="84"/>
      <c r="D1325" s="85"/>
      <c r="E1325" s="85"/>
      <c r="F1325" s="85"/>
      <c r="G1325" s="85"/>
      <c r="H1325" s="85"/>
      <c r="I1325" s="85"/>
      <c r="J1325" s="85"/>
      <c r="K1325" s="85"/>
      <c r="L1325" s="109"/>
      <c r="M1325" s="110"/>
      <c r="N1325" s="127"/>
      <c r="O1325" s="112"/>
      <c r="P1325" s="112"/>
      <c r="Q1325" s="118"/>
    </row>
    <row r="1326" spans="2:17" s="5" customFormat="1" ht="13">
      <c r="B1326" s="84"/>
      <c r="C1326" s="84"/>
      <c r="D1326" s="85"/>
      <c r="E1326" s="85"/>
      <c r="F1326" s="85"/>
      <c r="G1326" s="85"/>
      <c r="H1326" s="85"/>
      <c r="I1326" s="85"/>
      <c r="J1326" s="85"/>
      <c r="K1326" s="85"/>
      <c r="L1326" s="109"/>
      <c r="M1326" s="110"/>
      <c r="N1326" s="127"/>
      <c r="O1326" s="112"/>
      <c r="P1326" s="112"/>
      <c r="Q1326" s="118"/>
    </row>
    <row r="1327" spans="2:17" s="5" customFormat="1" ht="13">
      <c r="B1327" s="84"/>
      <c r="C1327" s="84"/>
      <c r="D1327" s="85"/>
      <c r="E1327" s="85"/>
      <c r="F1327" s="85"/>
      <c r="G1327" s="85"/>
      <c r="H1327" s="85"/>
      <c r="I1327" s="85"/>
      <c r="J1327" s="85"/>
      <c r="K1327" s="85"/>
      <c r="L1327" s="109"/>
      <c r="M1327" s="110"/>
      <c r="N1327" s="127"/>
      <c r="O1327" s="112"/>
      <c r="P1327" s="112"/>
      <c r="Q1327" s="118"/>
    </row>
    <row r="1328" spans="2:17" s="5" customFormat="1" ht="13">
      <c r="B1328" s="84"/>
      <c r="C1328" s="84"/>
      <c r="D1328" s="85"/>
      <c r="E1328" s="85"/>
      <c r="F1328" s="85"/>
      <c r="G1328" s="85"/>
      <c r="H1328" s="85"/>
      <c r="I1328" s="85"/>
      <c r="J1328" s="85"/>
      <c r="K1328" s="85"/>
      <c r="L1328" s="109"/>
      <c r="M1328" s="110"/>
      <c r="N1328" s="127"/>
      <c r="O1328" s="112"/>
      <c r="P1328" s="112"/>
      <c r="Q1328" s="118"/>
    </row>
    <row r="1329" spans="2:17" s="5" customFormat="1" ht="13">
      <c r="B1329" s="84"/>
      <c r="C1329" s="84"/>
      <c r="D1329" s="85"/>
      <c r="E1329" s="85"/>
      <c r="F1329" s="85"/>
      <c r="G1329" s="85"/>
      <c r="H1329" s="85"/>
      <c r="I1329" s="85"/>
      <c r="J1329" s="85"/>
      <c r="K1329" s="85"/>
      <c r="L1329" s="109"/>
      <c r="M1329" s="110"/>
      <c r="N1329" s="127"/>
      <c r="O1329" s="112"/>
      <c r="P1329" s="112"/>
      <c r="Q1329" s="118"/>
    </row>
    <row r="1330" spans="2:17" s="5" customFormat="1" ht="13">
      <c r="B1330" s="84"/>
      <c r="C1330" s="84"/>
      <c r="D1330" s="85"/>
      <c r="E1330" s="85"/>
      <c r="F1330" s="85"/>
      <c r="G1330" s="85"/>
      <c r="H1330" s="85"/>
      <c r="I1330" s="85"/>
      <c r="J1330" s="85"/>
      <c r="K1330" s="85"/>
      <c r="L1330" s="109"/>
      <c r="M1330" s="110"/>
      <c r="N1330" s="127"/>
      <c r="O1330" s="112"/>
      <c r="P1330" s="112"/>
      <c r="Q1330" s="118"/>
    </row>
    <row r="1331" spans="2:17" s="5" customFormat="1" ht="13">
      <c r="B1331" s="84"/>
      <c r="C1331" s="84"/>
      <c r="D1331" s="85"/>
      <c r="E1331" s="85"/>
      <c r="F1331" s="85"/>
      <c r="G1331" s="85"/>
      <c r="H1331" s="85"/>
      <c r="I1331" s="85"/>
      <c r="J1331" s="85"/>
      <c r="K1331" s="85"/>
      <c r="L1331" s="109"/>
      <c r="M1331" s="110"/>
      <c r="N1331" s="127"/>
      <c r="O1331" s="112"/>
      <c r="P1331" s="112"/>
      <c r="Q1331" s="118"/>
    </row>
    <row r="1332" spans="2:17" s="5" customFormat="1" ht="13">
      <c r="B1332" s="84"/>
      <c r="C1332" s="84"/>
      <c r="D1332" s="85"/>
      <c r="E1332" s="85"/>
      <c r="F1332" s="85"/>
      <c r="G1332" s="85"/>
      <c r="H1332" s="85"/>
      <c r="I1332" s="85"/>
      <c r="J1332" s="85"/>
      <c r="K1332" s="85"/>
      <c r="L1332" s="109"/>
      <c r="M1332" s="110"/>
      <c r="N1332" s="127"/>
      <c r="O1332" s="112"/>
      <c r="P1332" s="112"/>
      <c r="Q1332" s="118"/>
    </row>
    <row r="1333" spans="2:17" s="5" customFormat="1" ht="13">
      <c r="B1333" s="84"/>
      <c r="C1333" s="84"/>
      <c r="D1333" s="85"/>
      <c r="E1333" s="85"/>
      <c r="F1333" s="85"/>
      <c r="G1333" s="85"/>
      <c r="H1333" s="85"/>
      <c r="I1333" s="85"/>
      <c r="J1333" s="85"/>
      <c r="K1333" s="85"/>
      <c r="L1333" s="109"/>
      <c r="M1333" s="110"/>
      <c r="N1333" s="127"/>
      <c r="O1333" s="112"/>
      <c r="P1333" s="112"/>
      <c r="Q1333" s="118"/>
    </row>
    <row r="1334" spans="2:17" s="5" customFormat="1" ht="13">
      <c r="B1334" s="84"/>
      <c r="C1334" s="84"/>
      <c r="D1334" s="85"/>
      <c r="E1334" s="85"/>
      <c r="F1334" s="85"/>
      <c r="G1334" s="85"/>
      <c r="H1334" s="85"/>
      <c r="I1334" s="85"/>
      <c r="J1334" s="85"/>
      <c r="K1334" s="85"/>
      <c r="L1334" s="109"/>
      <c r="M1334" s="110"/>
      <c r="N1334" s="127"/>
      <c r="O1334" s="112"/>
      <c r="P1334" s="112"/>
      <c r="Q1334" s="118"/>
    </row>
    <row r="1335" spans="2:17" s="5" customFormat="1" ht="13">
      <c r="B1335" s="84"/>
      <c r="C1335" s="84"/>
      <c r="D1335" s="85"/>
      <c r="E1335" s="85"/>
      <c r="F1335" s="85"/>
      <c r="G1335" s="85"/>
      <c r="H1335" s="85"/>
      <c r="I1335" s="85"/>
      <c r="J1335" s="85"/>
      <c r="K1335" s="85"/>
      <c r="L1335" s="109"/>
      <c r="M1335" s="110"/>
      <c r="N1335" s="127"/>
      <c r="O1335" s="112"/>
      <c r="P1335" s="112"/>
      <c r="Q1335" s="118"/>
    </row>
    <row r="1336" spans="2:17" s="5" customFormat="1" ht="13">
      <c r="B1336" s="84"/>
      <c r="C1336" s="84"/>
      <c r="D1336" s="85"/>
      <c r="E1336" s="85"/>
      <c r="F1336" s="85"/>
      <c r="G1336" s="85"/>
      <c r="H1336" s="85"/>
      <c r="I1336" s="85"/>
      <c r="J1336" s="85"/>
      <c r="K1336" s="85"/>
      <c r="L1336" s="109"/>
      <c r="M1336" s="110"/>
      <c r="N1336" s="127"/>
      <c r="O1336" s="112"/>
      <c r="P1336" s="112"/>
      <c r="Q1336" s="118"/>
    </row>
    <row r="1337" spans="2:17" s="5" customFormat="1" ht="13">
      <c r="B1337" s="84"/>
      <c r="C1337" s="84"/>
      <c r="D1337" s="85"/>
      <c r="E1337" s="85"/>
      <c r="F1337" s="85"/>
      <c r="G1337" s="85"/>
      <c r="H1337" s="85"/>
      <c r="I1337" s="85"/>
      <c r="J1337" s="85"/>
      <c r="K1337" s="85"/>
      <c r="L1337" s="109"/>
      <c r="M1337" s="110"/>
      <c r="N1337" s="127"/>
      <c r="O1337" s="112"/>
      <c r="P1337" s="112"/>
      <c r="Q1337" s="118"/>
    </row>
    <row r="1338" spans="2:17" s="5" customFormat="1" ht="13">
      <c r="B1338" s="84"/>
      <c r="C1338" s="84"/>
      <c r="D1338" s="85"/>
      <c r="E1338" s="85"/>
      <c r="F1338" s="85"/>
      <c r="G1338" s="85"/>
      <c r="H1338" s="85"/>
      <c r="I1338" s="85"/>
      <c r="J1338" s="85"/>
      <c r="K1338" s="85"/>
      <c r="L1338" s="109"/>
      <c r="M1338" s="110"/>
      <c r="N1338" s="127"/>
      <c r="O1338" s="112"/>
      <c r="P1338" s="112"/>
      <c r="Q1338" s="118"/>
    </row>
    <row r="1339" spans="2:17" s="5" customFormat="1" ht="13">
      <c r="B1339" s="84"/>
      <c r="C1339" s="84"/>
      <c r="D1339" s="85"/>
      <c r="E1339" s="85"/>
      <c r="F1339" s="85"/>
      <c r="G1339" s="85"/>
      <c r="H1339" s="85"/>
      <c r="I1339" s="85"/>
      <c r="J1339" s="85"/>
      <c r="K1339" s="85"/>
      <c r="L1339" s="109"/>
      <c r="M1339" s="110"/>
      <c r="N1339" s="127"/>
      <c r="O1339" s="112"/>
      <c r="P1339" s="112"/>
      <c r="Q1339" s="118"/>
    </row>
    <row r="1340" spans="2:17" s="5" customFormat="1" ht="13">
      <c r="B1340" s="84"/>
      <c r="C1340" s="84"/>
      <c r="D1340" s="85"/>
      <c r="E1340" s="85"/>
      <c r="F1340" s="85"/>
      <c r="G1340" s="85"/>
      <c r="H1340" s="85"/>
      <c r="I1340" s="85"/>
      <c r="J1340" s="85"/>
      <c r="K1340" s="85"/>
      <c r="L1340" s="109"/>
      <c r="M1340" s="110"/>
      <c r="N1340" s="127"/>
      <c r="O1340" s="112"/>
      <c r="P1340" s="112"/>
      <c r="Q1340" s="118"/>
    </row>
    <row r="1341" spans="2:17" s="5" customFormat="1" ht="13">
      <c r="B1341" s="84"/>
      <c r="C1341" s="84"/>
      <c r="D1341" s="85"/>
      <c r="E1341" s="85"/>
      <c r="F1341" s="85"/>
      <c r="G1341" s="85"/>
      <c r="H1341" s="85"/>
      <c r="I1341" s="85"/>
      <c r="J1341" s="85"/>
      <c r="K1341" s="85"/>
      <c r="L1341" s="109"/>
      <c r="M1341" s="110"/>
      <c r="N1341" s="127"/>
      <c r="O1341" s="112"/>
      <c r="P1341" s="112"/>
      <c r="Q1341" s="118"/>
    </row>
    <row r="1342" spans="2:17" s="5" customFormat="1" ht="13">
      <c r="B1342" s="84"/>
      <c r="C1342" s="84"/>
      <c r="D1342" s="85"/>
      <c r="E1342" s="85"/>
      <c r="F1342" s="85"/>
      <c r="G1342" s="85"/>
      <c r="H1342" s="85"/>
      <c r="I1342" s="85"/>
      <c r="J1342" s="85"/>
      <c r="K1342" s="85"/>
      <c r="L1342" s="109"/>
      <c r="M1342" s="110"/>
      <c r="N1342" s="127"/>
      <c r="O1342" s="112"/>
      <c r="P1342" s="112"/>
      <c r="Q1342" s="118"/>
    </row>
    <row r="1343" spans="2:17" s="5" customFormat="1" ht="13">
      <c r="B1343" s="84"/>
      <c r="C1343" s="84"/>
      <c r="D1343" s="85"/>
      <c r="E1343" s="85"/>
      <c r="F1343" s="85"/>
      <c r="G1343" s="85"/>
      <c r="H1343" s="85"/>
      <c r="I1343" s="85"/>
      <c r="J1343" s="85"/>
      <c r="K1343" s="85"/>
      <c r="L1343" s="109"/>
      <c r="M1343" s="110"/>
      <c r="N1343" s="127"/>
      <c r="O1343" s="112"/>
      <c r="P1343" s="112"/>
      <c r="Q1343" s="118"/>
    </row>
    <row r="1344" spans="2:17" s="5" customFormat="1" ht="13">
      <c r="B1344" s="84"/>
      <c r="C1344" s="84"/>
      <c r="D1344" s="85"/>
      <c r="E1344" s="85"/>
      <c r="F1344" s="85"/>
      <c r="G1344" s="85"/>
      <c r="H1344" s="85"/>
      <c r="I1344" s="85"/>
      <c r="J1344" s="85"/>
      <c r="K1344" s="85"/>
      <c r="L1344" s="109"/>
      <c r="M1344" s="110"/>
      <c r="N1344" s="127"/>
      <c r="O1344" s="112"/>
      <c r="P1344" s="112"/>
      <c r="Q1344" s="118"/>
    </row>
    <row r="1345" spans="2:17" s="5" customFormat="1" ht="13">
      <c r="B1345" s="84"/>
      <c r="C1345" s="84"/>
      <c r="D1345" s="85"/>
      <c r="E1345" s="85"/>
      <c r="F1345" s="85"/>
      <c r="G1345" s="85"/>
      <c r="H1345" s="85"/>
      <c r="I1345" s="85"/>
      <c r="J1345" s="85"/>
      <c r="K1345" s="85"/>
      <c r="L1345" s="109"/>
      <c r="M1345" s="110"/>
      <c r="N1345" s="127"/>
      <c r="O1345" s="112"/>
      <c r="P1345" s="112"/>
      <c r="Q1345" s="118"/>
    </row>
    <row r="1346" spans="2:17" s="5" customFormat="1" ht="13">
      <c r="B1346" s="84"/>
      <c r="C1346" s="84"/>
      <c r="D1346" s="85"/>
      <c r="E1346" s="85"/>
      <c r="F1346" s="85"/>
      <c r="G1346" s="85"/>
      <c r="H1346" s="85"/>
      <c r="I1346" s="85"/>
      <c r="J1346" s="85"/>
      <c r="K1346" s="85"/>
      <c r="L1346" s="109"/>
      <c r="M1346" s="110"/>
      <c r="N1346" s="127"/>
      <c r="O1346" s="112"/>
      <c r="P1346" s="112"/>
      <c r="Q1346" s="118"/>
    </row>
    <row r="1347" spans="2:17" s="5" customFormat="1" ht="13">
      <c r="B1347" s="84"/>
      <c r="C1347" s="84"/>
      <c r="D1347" s="85"/>
      <c r="E1347" s="85"/>
      <c r="F1347" s="85"/>
      <c r="G1347" s="85"/>
      <c r="H1347" s="85"/>
      <c r="I1347" s="85"/>
      <c r="J1347" s="85"/>
      <c r="K1347" s="85"/>
      <c r="L1347" s="109"/>
      <c r="M1347" s="110"/>
      <c r="N1347" s="127"/>
      <c r="O1347" s="112"/>
      <c r="P1347" s="112"/>
      <c r="Q1347" s="118"/>
    </row>
    <row r="1348" spans="2:17" s="5" customFormat="1" ht="13">
      <c r="B1348" s="84"/>
      <c r="C1348" s="84"/>
      <c r="D1348" s="85"/>
      <c r="E1348" s="85"/>
      <c r="F1348" s="85"/>
      <c r="G1348" s="85"/>
      <c r="H1348" s="85"/>
      <c r="I1348" s="85"/>
      <c r="J1348" s="85"/>
      <c r="K1348" s="85"/>
      <c r="L1348" s="109"/>
      <c r="M1348" s="110"/>
      <c r="N1348" s="127"/>
      <c r="O1348" s="112"/>
      <c r="P1348" s="112"/>
      <c r="Q1348" s="118"/>
    </row>
    <row r="1349" spans="2:17" s="5" customFormat="1" ht="13">
      <c r="B1349" s="84"/>
      <c r="C1349" s="84"/>
      <c r="D1349" s="85"/>
      <c r="E1349" s="85"/>
      <c r="F1349" s="85"/>
      <c r="G1349" s="85"/>
      <c r="H1349" s="85"/>
      <c r="I1349" s="85"/>
      <c r="J1349" s="85"/>
      <c r="K1349" s="85"/>
      <c r="L1349" s="109"/>
      <c r="M1349" s="110"/>
      <c r="N1349" s="127"/>
      <c r="O1349" s="112"/>
      <c r="P1349" s="112"/>
      <c r="Q1349" s="118"/>
    </row>
    <row r="1350" spans="2:17" s="5" customFormat="1" ht="13">
      <c r="B1350" s="84"/>
      <c r="C1350" s="84"/>
      <c r="D1350" s="85"/>
      <c r="E1350" s="85"/>
      <c r="F1350" s="85"/>
      <c r="G1350" s="85"/>
      <c r="H1350" s="85"/>
      <c r="I1350" s="85"/>
      <c r="J1350" s="85"/>
      <c r="K1350" s="85"/>
      <c r="L1350" s="109"/>
      <c r="M1350" s="110"/>
      <c r="N1350" s="127"/>
      <c r="O1350" s="112"/>
      <c r="P1350" s="112"/>
      <c r="Q1350" s="118"/>
    </row>
    <row r="1351" spans="2:17" s="5" customFormat="1" ht="13">
      <c r="B1351" s="84"/>
      <c r="C1351" s="84"/>
      <c r="D1351" s="85"/>
      <c r="E1351" s="85"/>
      <c r="F1351" s="85"/>
      <c r="G1351" s="85"/>
      <c r="H1351" s="85"/>
      <c r="I1351" s="85"/>
      <c r="J1351" s="85"/>
      <c r="K1351" s="85"/>
      <c r="L1351" s="109"/>
      <c r="M1351" s="110"/>
      <c r="N1351" s="127"/>
      <c r="O1351" s="112"/>
      <c r="P1351" s="112"/>
      <c r="Q1351" s="118"/>
    </row>
    <row r="1352" spans="2:17" s="5" customFormat="1" ht="13">
      <c r="B1352" s="84"/>
      <c r="C1352" s="84"/>
      <c r="D1352" s="85"/>
      <c r="E1352" s="85"/>
      <c r="F1352" s="85"/>
      <c r="G1352" s="85"/>
      <c r="H1352" s="85"/>
      <c r="I1352" s="85"/>
      <c r="J1352" s="85"/>
      <c r="K1352" s="85"/>
      <c r="L1352" s="109"/>
      <c r="M1352" s="110"/>
      <c r="N1352" s="127"/>
      <c r="O1352" s="112"/>
      <c r="P1352" s="112"/>
      <c r="Q1352" s="118"/>
    </row>
    <row r="1353" spans="2:17" s="5" customFormat="1" ht="13">
      <c r="B1353" s="84"/>
      <c r="C1353" s="84"/>
      <c r="D1353" s="85"/>
      <c r="E1353" s="85"/>
      <c r="F1353" s="85"/>
      <c r="G1353" s="85"/>
      <c r="H1353" s="85"/>
      <c r="I1353" s="85"/>
      <c r="J1353" s="85"/>
      <c r="K1353" s="85"/>
      <c r="L1353" s="109"/>
      <c r="M1353" s="110"/>
      <c r="N1353" s="127"/>
      <c r="O1353" s="112"/>
      <c r="P1353" s="112"/>
      <c r="Q1353" s="118"/>
    </row>
    <row r="1354" spans="2:17" s="5" customFormat="1" ht="13">
      <c r="B1354" s="84"/>
      <c r="C1354" s="84"/>
      <c r="D1354" s="85"/>
      <c r="E1354" s="85"/>
      <c r="F1354" s="85"/>
      <c r="G1354" s="85"/>
      <c r="H1354" s="85"/>
      <c r="I1354" s="85"/>
      <c r="J1354" s="85"/>
      <c r="K1354" s="85"/>
      <c r="L1354" s="109"/>
      <c r="M1354" s="110"/>
      <c r="N1354" s="127"/>
      <c r="O1354" s="112"/>
      <c r="P1354" s="112"/>
      <c r="Q1354" s="118"/>
    </row>
    <row r="1355" spans="2:17" s="5" customFormat="1" ht="13">
      <c r="B1355" s="84"/>
      <c r="C1355" s="84"/>
      <c r="D1355" s="85"/>
      <c r="E1355" s="85"/>
      <c r="F1355" s="85"/>
      <c r="G1355" s="85"/>
      <c r="H1355" s="85"/>
      <c r="I1355" s="85"/>
      <c r="J1355" s="85"/>
      <c r="K1355" s="85"/>
      <c r="L1355" s="109"/>
      <c r="M1355" s="110"/>
      <c r="N1355" s="127"/>
      <c r="O1355" s="112"/>
      <c r="P1355" s="112"/>
      <c r="Q1355" s="118"/>
    </row>
    <row r="1356" spans="2:17" s="5" customFormat="1" ht="13">
      <c r="B1356" s="84"/>
      <c r="C1356" s="84"/>
      <c r="D1356" s="85"/>
      <c r="E1356" s="85"/>
      <c r="F1356" s="85"/>
      <c r="G1356" s="85"/>
      <c r="H1356" s="85"/>
      <c r="I1356" s="85"/>
      <c r="J1356" s="85"/>
      <c r="K1356" s="85"/>
      <c r="L1356" s="109"/>
      <c r="M1356" s="110"/>
      <c r="N1356" s="127"/>
      <c r="O1356" s="112"/>
      <c r="P1356" s="112"/>
      <c r="Q1356" s="118"/>
    </row>
    <row r="1357" spans="2:17" s="5" customFormat="1" ht="13">
      <c r="B1357" s="84"/>
      <c r="C1357" s="84"/>
      <c r="D1357" s="85"/>
      <c r="E1357" s="85"/>
      <c r="F1357" s="85"/>
      <c r="G1357" s="85"/>
      <c r="H1357" s="85"/>
      <c r="I1357" s="85"/>
      <c r="J1357" s="85"/>
      <c r="K1357" s="85"/>
      <c r="L1357" s="109"/>
      <c r="M1357" s="110"/>
      <c r="N1357" s="127"/>
      <c r="O1357" s="112"/>
      <c r="P1357" s="112"/>
      <c r="Q1357" s="118"/>
    </row>
    <row r="1358" spans="2:17" s="5" customFormat="1" ht="13">
      <c r="B1358" s="84"/>
      <c r="C1358" s="84"/>
      <c r="D1358" s="85"/>
      <c r="E1358" s="85"/>
      <c r="F1358" s="85"/>
      <c r="G1358" s="85"/>
      <c r="H1358" s="85"/>
      <c r="I1358" s="85"/>
      <c r="J1358" s="85"/>
      <c r="K1358" s="85"/>
      <c r="L1358" s="109"/>
      <c r="M1358" s="110"/>
      <c r="N1358" s="127"/>
      <c r="O1358" s="112"/>
      <c r="P1358" s="112"/>
      <c r="Q1358" s="118"/>
    </row>
    <row r="1359" spans="2:17" s="5" customFormat="1" ht="13">
      <c r="B1359" s="84"/>
      <c r="C1359" s="84"/>
      <c r="D1359" s="85"/>
      <c r="E1359" s="85"/>
      <c r="F1359" s="85"/>
      <c r="G1359" s="85"/>
      <c r="H1359" s="85"/>
      <c r="I1359" s="85"/>
      <c r="J1359" s="85"/>
      <c r="K1359" s="85"/>
      <c r="L1359" s="109"/>
      <c r="M1359" s="110"/>
      <c r="N1359" s="127"/>
      <c r="O1359" s="112"/>
      <c r="P1359" s="112"/>
      <c r="Q1359" s="118"/>
    </row>
    <row r="1360" spans="2:17" s="5" customFormat="1" ht="13">
      <c r="B1360" s="84"/>
      <c r="C1360" s="84"/>
      <c r="D1360" s="85"/>
      <c r="E1360" s="85"/>
      <c r="F1360" s="85"/>
      <c r="G1360" s="85"/>
      <c r="H1360" s="85"/>
      <c r="I1360" s="85"/>
      <c r="J1360" s="85"/>
      <c r="K1360" s="85"/>
      <c r="L1360" s="109"/>
      <c r="M1360" s="110"/>
      <c r="N1360" s="127"/>
      <c r="O1360" s="112"/>
      <c r="P1360" s="112"/>
      <c r="Q1360" s="118"/>
    </row>
    <row r="1361" spans="2:17" s="5" customFormat="1" ht="13">
      <c r="B1361" s="84"/>
      <c r="C1361" s="84"/>
      <c r="D1361" s="85"/>
      <c r="E1361" s="85"/>
      <c r="F1361" s="85"/>
      <c r="G1361" s="85"/>
      <c r="H1361" s="85"/>
      <c r="I1361" s="85"/>
      <c r="J1361" s="85"/>
      <c r="K1361" s="85"/>
      <c r="L1361" s="109"/>
      <c r="M1361" s="110"/>
      <c r="N1361" s="127"/>
      <c r="O1361" s="112"/>
      <c r="P1361" s="112"/>
      <c r="Q1361" s="118"/>
    </row>
    <row r="1362" spans="2:17" s="5" customFormat="1" ht="13">
      <c r="B1362" s="84"/>
      <c r="C1362" s="84"/>
      <c r="D1362" s="85"/>
      <c r="E1362" s="85"/>
      <c r="F1362" s="85"/>
      <c r="G1362" s="85"/>
      <c r="H1362" s="85"/>
      <c r="I1362" s="85"/>
      <c r="J1362" s="85"/>
      <c r="K1362" s="85"/>
      <c r="L1362" s="109"/>
      <c r="M1362" s="110"/>
      <c r="N1362" s="127"/>
      <c r="O1362" s="112"/>
      <c r="P1362" s="112"/>
      <c r="Q1362" s="118"/>
    </row>
    <row r="1363" spans="2:17" s="5" customFormat="1" ht="13">
      <c r="B1363" s="84"/>
      <c r="C1363" s="84"/>
      <c r="D1363" s="85"/>
      <c r="E1363" s="85"/>
      <c r="F1363" s="85"/>
      <c r="G1363" s="85"/>
      <c r="H1363" s="85"/>
      <c r="I1363" s="85"/>
      <c r="J1363" s="85"/>
      <c r="K1363" s="85"/>
      <c r="L1363" s="109"/>
      <c r="M1363" s="110"/>
      <c r="N1363" s="127"/>
      <c r="O1363" s="112"/>
      <c r="P1363" s="112"/>
      <c r="Q1363" s="118"/>
    </row>
    <row r="1364" spans="2:17" s="5" customFormat="1" ht="13">
      <c r="B1364" s="84"/>
      <c r="C1364" s="84"/>
      <c r="D1364" s="85"/>
      <c r="E1364" s="85"/>
      <c r="F1364" s="85"/>
      <c r="G1364" s="85"/>
      <c r="H1364" s="85"/>
      <c r="I1364" s="85"/>
      <c r="J1364" s="85"/>
      <c r="K1364" s="85"/>
      <c r="L1364" s="109"/>
      <c r="M1364" s="110"/>
      <c r="N1364" s="127"/>
      <c r="O1364" s="112"/>
      <c r="P1364" s="112"/>
      <c r="Q1364" s="118"/>
    </row>
    <row r="1365" spans="2:17" s="5" customFormat="1" ht="13">
      <c r="B1365" s="84"/>
      <c r="C1365" s="84"/>
      <c r="D1365" s="85"/>
      <c r="E1365" s="85"/>
      <c r="F1365" s="85"/>
      <c r="G1365" s="85"/>
      <c r="H1365" s="85"/>
      <c r="I1365" s="85"/>
      <c r="J1365" s="85"/>
      <c r="K1365" s="85"/>
      <c r="L1365" s="109"/>
      <c r="M1365" s="110"/>
      <c r="N1365" s="127"/>
      <c r="O1365" s="112"/>
      <c r="P1365" s="112"/>
      <c r="Q1365" s="118"/>
    </row>
    <row r="1366" spans="2:17" s="5" customFormat="1" ht="13">
      <c r="B1366" s="84"/>
      <c r="C1366" s="84"/>
      <c r="D1366" s="85"/>
      <c r="E1366" s="85"/>
      <c r="F1366" s="85"/>
      <c r="G1366" s="85"/>
      <c r="H1366" s="85"/>
      <c r="I1366" s="85"/>
      <c r="J1366" s="85"/>
      <c r="K1366" s="85"/>
      <c r="L1366" s="109"/>
      <c r="M1366" s="110"/>
      <c r="N1366" s="127"/>
      <c r="O1366" s="112"/>
      <c r="P1366" s="112"/>
      <c r="Q1366" s="118"/>
    </row>
    <row r="1367" spans="2:17" s="5" customFormat="1" ht="13">
      <c r="B1367" s="84"/>
      <c r="C1367" s="84"/>
      <c r="D1367" s="85"/>
      <c r="E1367" s="85"/>
      <c r="F1367" s="85"/>
      <c r="G1367" s="85"/>
      <c r="H1367" s="85"/>
      <c r="I1367" s="85"/>
      <c r="J1367" s="85"/>
      <c r="K1367" s="85"/>
      <c r="L1367" s="109"/>
      <c r="M1367" s="110"/>
      <c r="N1367" s="127"/>
      <c r="O1367" s="112"/>
      <c r="P1367" s="112"/>
      <c r="Q1367" s="118"/>
    </row>
    <row r="1368" spans="2:17" s="5" customFormat="1" ht="13">
      <c r="B1368" s="84"/>
      <c r="C1368" s="84"/>
      <c r="D1368" s="85"/>
      <c r="E1368" s="85"/>
      <c r="F1368" s="85"/>
      <c r="G1368" s="85"/>
      <c r="H1368" s="85"/>
      <c r="I1368" s="85"/>
      <c r="J1368" s="85"/>
      <c r="K1368" s="85"/>
      <c r="L1368" s="109"/>
      <c r="M1368" s="110"/>
      <c r="N1368" s="127"/>
      <c r="O1368" s="112"/>
      <c r="P1368" s="112"/>
      <c r="Q1368" s="118"/>
    </row>
    <row r="1369" spans="2:17" s="5" customFormat="1" ht="13">
      <c r="B1369" s="84"/>
      <c r="C1369" s="84"/>
      <c r="D1369" s="85"/>
      <c r="E1369" s="85"/>
      <c r="F1369" s="85"/>
      <c r="G1369" s="85"/>
      <c r="H1369" s="85"/>
      <c r="I1369" s="85"/>
      <c r="J1369" s="85"/>
      <c r="K1369" s="85"/>
      <c r="L1369" s="109"/>
      <c r="M1369" s="110"/>
      <c r="N1369" s="127"/>
      <c r="O1369" s="112"/>
      <c r="P1369" s="112"/>
      <c r="Q1369" s="118"/>
    </row>
    <row r="1370" spans="2:17" s="5" customFormat="1" ht="13">
      <c r="B1370" s="84"/>
      <c r="C1370" s="84"/>
      <c r="D1370" s="85"/>
      <c r="E1370" s="85"/>
      <c r="F1370" s="85"/>
      <c r="G1370" s="85"/>
      <c r="H1370" s="85"/>
      <c r="I1370" s="85"/>
      <c r="J1370" s="85"/>
      <c r="K1370" s="85"/>
      <c r="L1370" s="109"/>
      <c r="M1370" s="110"/>
      <c r="N1370" s="127"/>
      <c r="O1370" s="112"/>
      <c r="P1370" s="112"/>
      <c r="Q1370" s="118"/>
    </row>
    <row r="1371" spans="2:17" s="5" customFormat="1" ht="13">
      <c r="B1371" s="84"/>
      <c r="C1371" s="84"/>
      <c r="D1371" s="85"/>
      <c r="E1371" s="85"/>
      <c r="F1371" s="85"/>
      <c r="G1371" s="85"/>
      <c r="H1371" s="85"/>
      <c r="I1371" s="85"/>
      <c r="J1371" s="85"/>
      <c r="K1371" s="85"/>
      <c r="L1371" s="109"/>
      <c r="M1371" s="110"/>
      <c r="N1371" s="127"/>
      <c r="O1371" s="112"/>
      <c r="P1371" s="112"/>
      <c r="Q1371" s="118"/>
    </row>
    <row r="1372" spans="2:17" s="5" customFormat="1" ht="13">
      <c r="B1372" s="84"/>
      <c r="C1372" s="84"/>
      <c r="D1372" s="85"/>
      <c r="E1372" s="85"/>
      <c r="F1372" s="85"/>
      <c r="G1372" s="85"/>
      <c r="H1372" s="85"/>
      <c r="I1372" s="85"/>
      <c r="J1372" s="85"/>
      <c r="K1372" s="85"/>
      <c r="L1372" s="109"/>
      <c r="M1372" s="110"/>
      <c r="N1372" s="127"/>
      <c r="O1372" s="112"/>
      <c r="P1372" s="112"/>
      <c r="Q1372" s="118"/>
    </row>
    <row r="1373" spans="2:17" s="5" customFormat="1" ht="13">
      <c r="B1373" s="84"/>
      <c r="C1373" s="84"/>
      <c r="D1373" s="85"/>
      <c r="E1373" s="85"/>
      <c r="F1373" s="85"/>
      <c r="G1373" s="85"/>
      <c r="H1373" s="85"/>
      <c r="I1373" s="85"/>
      <c r="J1373" s="85"/>
      <c r="K1373" s="85"/>
      <c r="L1373" s="109"/>
      <c r="M1373" s="110"/>
      <c r="N1373" s="127"/>
      <c r="O1373" s="112"/>
      <c r="P1373" s="112"/>
      <c r="Q1373" s="118"/>
    </row>
    <row r="1374" spans="2:17" s="5" customFormat="1" ht="13">
      <c r="B1374" s="84"/>
      <c r="C1374" s="84"/>
      <c r="D1374" s="85"/>
      <c r="E1374" s="85"/>
      <c r="F1374" s="85"/>
      <c r="G1374" s="85"/>
      <c r="H1374" s="85"/>
      <c r="I1374" s="85"/>
      <c r="J1374" s="85"/>
      <c r="K1374" s="85"/>
      <c r="L1374" s="109"/>
      <c r="M1374" s="110"/>
      <c r="N1374" s="127"/>
      <c r="O1374" s="112"/>
      <c r="P1374" s="112"/>
      <c r="Q1374" s="118"/>
    </row>
    <row r="1375" spans="2:17" s="5" customFormat="1" ht="13">
      <c r="B1375" s="84"/>
      <c r="C1375" s="84"/>
      <c r="D1375" s="85"/>
      <c r="E1375" s="85"/>
      <c r="F1375" s="85"/>
      <c r="G1375" s="85"/>
      <c r="H1375" s="85"/>
      <c r="I1375" s="85"/>
      <c r="J1375" s="85"/>
      <c r="K1375" s="85"/>
      <c r="L1375" s="109"/>
      <c r="M1375" s="110"/>
      <c r="N1375" s="127"/>
      <c r="O1375" s="112"/>
      <c r="P1375" s="112"/>
      <c r="Q1375" s="118"/>
    </row>
    <row r="1376" spans="2:17" s="5" customFormat="1" ht="13">
      <c r="B1376" s="84"/>
      <c r="C1376" s="84"/>
      <c r="D1376" s="85"/>
      <c r="E1376" s="85"/>
      <c r="F1376" s="85"/>
      <c r="G1376" s="85"/>
      <c r="H1376" s="85"/>
      <c r="I1376" s="85"/>
      <c r="J1376" s="85"/>
      <c r="K1376" s="85"/>
      <c r="L1376" s="109"/>
      <c r="M1376" s="110"/>
      <c r="N1376" s="127"/>
      <c r="O1376" s="112"/>
      <c r="P1376" s="112"/>
      <c r="Q1376" s="118"/>
    </row>
    <row r="1377" spans="2:17" s="5" customFormat="1" ht="13">
      <c r="B1377" s="84"/>
      <c r="C1377" s="84"/>
      <c r="D1377" s="85"/>
      <c r="E1377" s="85"/>
      <c r="F1377" s="85"/>
      <c r="G1377" s="85"/>
      <c r="H1377" s="85"/>
      <c r="I1377" s="85"/>
      <c r="J1377" s="85"/>
      <c r="K1377" s="85"/>
      <c r="L1377" s="109"/>
      <c r="M1377" s="110"/>
      <c r="N1377" s="127"/>
      <c r="O1377" s="112"/>
      <c r="P1377" s="112"/>
      <c r="Q1377" s="118"/>
    </row>
    <row r="1378" spans="2:17" s="5" customFormat="1" ht="13">
      <c r="B1378" s="84"/>
      <c r="C1378" s="84"/>
      <c r="D1378" s="85"/>
      <c r="E1378" s="85"/>
      <c r="F1378" s="85"/>
      <c r="G1378" s="85"/>
      <c r="H1378" s="85"/>
      <c r="I1378" s="85"/>
      <c r="J1378" s="85"/>
      <c r="K1378" s="85"/>
      <c r="L1378" s="109"/>
      <c r="M1378" s="110"/>
      <c r="N1378" s="127"/>
      <c r="O1378" s="112"/>
      <c r="P1378" s="112"/>
      <c r="Q1378" s="118"/>
    </row>
    <row r="1379" spans="2:17" s="5" customFormat="1" ht="13">
      <c r="B1379" s="84"/>
      <c r="C1379" s="84"/>
      <c r="D1379" s="85"/>
      <c r="E1379" s="85"/>
      <c r="F1379" s="85"/>
      <c r="G1379" s="85"/>
      <c r="H1379" s="85"/>
      <c r="I1379" s="85"/>
      <c r="J1379" s="85"/>
      <c r="K1379" s="85"/>
      <c r="L1379" s="109"/>
      <c r="M1379" s="110"/>
      <c r="N1379" s="127"/>
      <c r="O1379" s="112"/>
      <c r="P1379" s="112"/>
      <c r="Q1379" s="118"/>
    </row>
    <row r="1380" spans="2:17" s="5" customFormat="1" ht="13">
      <c r="B1380" s="84"/>
      <c r="C1380" s="84"/>
      <c r="D1380" s="85"/>
      <c r="E1380" s="85"/>
      <c r="F1380" s="85"/>
      <c r="G1380" s="85"/>
      <c r="H1380" s="85"/>
      <c r="I1380" s="85"/>
      <c r="J1380" s="85"/>
      <c r="K1380" s="85"/>
      <c r="L1380" s="109"/>
      <c r="M1380" s="110"/>
      <c r="N1380" s="127"/>
      <c r="O1380" s="112"/>
      <c r="P1380" s="112"/>
      <c r="Q1380" s="118"/>
    </row>
    <row r="1381" spans="2:17" s="5" customFormat="1" ht="13">
      <c r="B1381" s="84"/>
      <c r="C1381" s="84"/>
      <c r="D1381" s="85"/>
      <c r="E1381" s="85"/>
      <c r="F1381" s="85"/>
      <c r="G1381" s="85"/>
      <c r="H1381" s="85"/>
      <c r="I1381" s="85"/>
      <c r="J1381" s="85"/>
      <c r="K1381" s="85"/>
      <c r="L1381" s="109"/>
      <c r="M1381" s="110"/>
      <c r="N1381" s="127"/>
      <c r="O1381" s="112"/>
      <c r="P1381" s="112"/>
      <c r="Q1381" s="118"/>
    </row>
    <row r="1382" spans="2:17" s="5" customFormat="1" ht="13">
      <c r="B1382" s="84"/>
      <c r="C1382" s="84"/>
      <c r="D1382" s="85"/>
      <c r="E1382" s="85"/>
      <c r="F1382" s="85"/>
      <c r="G1382" s="85"/>
      <c r="H1382" s="85"/>
      <c r="I1382" s="85"/>
      <c r="J1382" s="85"/>
      <c r="K1382" s="85"/>
      <c r="L1382" s="109"/>
      <c r="M1382" s="110"/>
      <c r="N1382" s="127"/>
      <c r="O1382" s="112"/>
      <c r="P1382" s="112"/>
      <c r="Q1382" s="118"/>
    </row>
    <row r="1383" spans="2:17" s="5" customFormat="1" ht="13">
      <c r="B1383" s="84"/>
      <c r="C1383" s="84"/>
      <c r="D1383" s="85"/>
      <c r="E1383" s="85"/>
      <c r="F1383" s="85"/>
      <c r="G1383" s="85"/>
      <c r="H1383" s="85"/>
      <c r="I1383" s="85"/>
      <c r="J1383" s="85"/>
      <c r="K1383" s="85"/>
      <c r="L1383" s="109"/>
      <c r="M1383" s="110"/>
      <c r="N1383" s="127"/>
      <c r="O1383" s="112"/>
      <c r="P1383" s="112"/>
      <c r="Q1383" s="118"/>
    </row>
    <row r="1384" spans="2:17" s="5" customFormat="1" ht="13">
      <c r="B1384" s="84"/>
      <c r="C1384" s="84"/>
      <c r="D1384" s="85"/>
      <c r="E1384" s="85"/>
      <c r="F1384" s="85"/>
      <c r="G1384" s="85"/>
      <c r="H1384" s="85"/>
      <c r="I1384" s="85"/>
      <c r="J1384" s="85"/>
      <c r="K1384" s="85"/>
      <c r="L1384" s="109"/>
      <c r="M1384" s="110"/>
      <c r="N1384" s="127"/>
      <c r="O1384" s="112"/>
      <c r="P1384" s="112"/>
      <c r="Q1384" s="118"/>
    </row>
    <row r="1385" spans="2:17" s="5" customFormat="1" ht="13">
      <c r="B1385" s="84"/>
      <c r="C1385" s="84"/>
      <c r="D1385" s="85"/>
      <c r="E1385" s="85"/>
      <c r="F1385" s="85"/>
      <c r="G1385" s="85"/>
      <c r="H1385" s="85"/>
      <c r="I1385" s="85"/>
      <c r="J1385" s="85"/>
      <c r="K1385" s="85"/>
      <c r="L1385" s="109"/>
      <c r="M1385" s="110"/>
      <c r="N1385" s="127"/>
      <c r="O1385" s="112"/>
      <c r="P1385" s="112"/>
      <c r="Q1385" s="118"/>
    </row>
    <row r="1386" spans="2:17" s="5" customFormat="1" ht="13">
      <c r="B1386" s="84"/>
      <c r="C1386" s="84"/>
      <c r="D1386" s="85"/>
      <c r="E1386" s="85"/>
      <c r="F1386" s="85"/>
      <c r="G1386" s="85"/>
      <c r="H1386" s="85"/>
      <c r="I1386" s="85"/>
      <c r="J1386" s="85"/>
      <c r="K1386" s="85"/>
      <c r="L1386" s="109"/>
      <c r="M1386" s="110"/>
      <c r="N1386" s="127"/>
      <c r="O1386" s="112"/>
      <c r="P1386" s="112"/>
      <c r="Q1386" s="118"/>
    </row>
    <row r="1387" spans="2:17" s="5" customFormat="1" ht="13">
      <c r="B1387" s="84"/>
      <c r="C1387" s="84"/>
      <c r="D1387" s="85"/>
      <c r="E1387" s="85"/>
      <c r="F1387" s="85"/>
      <c r="G1387" s="85"/>
      <c r="H1387" s="85"/>
      <c r="I1387" s="85"/>
      <c r="J1387" s="85"/>
      <c r="K1387" s="85"/>
      <c r="L1387" s="109"/>
      <c r="M1387" s="110"/>
      <c r="N1387" s="127"/>
      <c r="O1387" s="112"/>
      <c r="P1387" s="112"/>
      <c r="Q1387" s="118"/>
    </row>
    <row r="1388" spans="2:17" s="5" customFormat="1" ht="13">
      <c r="B1388" s="84"/>
      <c r="C1388" s="84"/>
      <c r="D1388" s="85"/>
      <c r="E1388" s="85"/>
      <c r="F1388" s="85"/>
      <c r="G1388" s="85"/>
      <c r="H1388" s="85"/>
      <c r="I1388" s="85"/>
      <c r="J1388" s="85"/>
      <c r="K1388" s="85"/>
      <c r="L1388" s="109"/>
      <c r="M1388" s="110"/>
      <c r="N1388" s="127"/>
      <c r="O1388" s="112"/>
      <c r="P1388" s="112"/>
      <c r="Q1388" s="118"/>
    </row>
    <row r="1389" spans="2:17" s="5" customFormat="1" ht="13">
      <c r="B1389" s="84"/>
      <c r="C1389" s="84"/>
      <c r="D1389" s="85"/>
      <c r="E1389" s="85"/>
      <c r="F1389" s="85"/>
      <c r="G1389" s="85"/>
      <c r="H1389" s="85"/>
      <c r="I1389" s="85"/>
      <c r="J1389" s="85"/>
      <c r="K1389" s="85"/>
      <c r="L1389" s="109"/>
      <c r="M1389" s="110"/>
      <c r="N1389" s="127"/>
      <c r="O1389" s="112"/>
      <c r="P1389" s="112"/>
      <c r="Q1389" s="118"/>
    </row>
    <row r="1390" spans="2:17" s="5" customFormat="1" ht="13">
      <c r="B1390" s="84"/>
      <c r="C1390" s="84"/>
      <c r="D1390" s="85"/>
      <c r="E1390" s="85"/>
      <c r="F1390" s="85"/>
      <c r="G1390" s="85"/>
      <c r="H1390" s="85"/>
      <c r="I1390" s="85"/>
      <c r="J1390" s="85"/>
      <c r="K1390" s="85"/>
      <c r="L1390" s="109"/>
      <c r="M1390" s="110"/>
      <c r="N1390" s="127"/>
      <c r="O1390" s="112"/>
      <c r="P1390" s="112"/>
      <c r="Q1390" s="118"/>
    </row>
    <row r="1391" spans="2:17" s="5" customFormat="1" ht="13">
      <c r="B1391" s="84"/>
      <c r="C1391" s="84"/>
      <c r="D1391" s="85"/>
      <c r="E1391" s="85"/>
      <c r="F1391" s="85"/>
      <c r="G1391" s="85"/>
      <c r="H1391" s="85"/>
      <c r="I1391" s="85"/>
      <c r="J1391" s="85"/>
      <c r="K1391" s="85"/>
      <c r="L1391" s="109"/>
      <c r="M1391" s="110"/>
      <c r="N1391" s="127"/>
      <c r="O1391" s="112"/>
      <c r="P1391" s="112"/>
      <c r="Q1391" s="118"/>
    </row>
    <row r="1392" spans="2:17" s="5" customFormat="1" ht="13">
      <c r="B1392" s="84"/>
      <c r="C1392" s="84"/>
      <c r="D1392" s="85"/>
      <c r="E1392" s="85"/>
      <c r="F1392" s="85"/>
      <c r="G1392" s="85"/>
      <c r="H1392" s="85"/>
      <c r="I1392" s="85"/>
      <c r="J1392" s="85"/>
      <c r="K1392" s="85"/>
      <c r="L1392" s="109"/>
      <c r="M1392" s="110"/>
      <c r="N1392" s="127"/>
      <c r="O1392" s="112"/>
      <c r="P1392" s="112"/>
      <c r="Q1392" s="118"/>
    </row>
    <row r="1393" spans="2:17" s="5" customFormat="1" ht="13">
      <c r="B1393" s="84"/>
      <c r="C1393" s="84"/>
      <c r="D1393" s="85"/>
      <c r="E1393" s="85"/>
      <c r="F1393" s="85"/>
      <c r="G1393" s="85"/>
      <c r="H1393" s="85"/>
      <c r="I1393" s="85"/>
      <c r="J1393" s="85"/>
      <c r="K1393" s="85"/>
      <c r="L1393" s="109"/>
      <c r="M1393" s="110"/>
      <c r="N1393" s="127"/>
      <c r="O1393" s="112"/>
      <c r="P1393" s="112"/>
      <c r="Q1393" s="118"/>
    </row>
    <row r="1394" spans="2:17" s="5" customFormat="1" ht="13">
      <c r="B1394" s="84"/>
      <c r="C1394" s="84"/>
      <c r="D1394" s="85"/>
      <c r="E1394" s="85"/>
      <c r="F1394" s="85"/>
      <c r="G1394" s="85"/>
      <c r="H1394" s="85"/>
      <c r="I1394" s="85"/>
      <c r="J1394" s="85"/>
      <c r="K1394" s="85"/>
      <c r="L1394" s="109"/>
      <c r="M1394" s="110"/>
      <c r="N1394" s="127"/>
      <c r="O1394" s="112"/>
      <c r="P1394" s="112"/>
      <c r="Q1394" s="118"/>
    </row>
    <row r="1395" spans="2:17" s="5" customFormat="1" ht="13">
      <c r="B1395" s="84"/>
      <c r="C1395" s="84"/>
      <c r="D1395" s="85"/>
      <c r="E1395" s="85"/>
      <c r="F1395" s="85"/>
      <c r="G1395" s="85"/>
      <c r="H1395" s="85"/>
      <c r="I1395" s="85"/>
      <c r="J1395" s="85"/>
      <c r="K1395" s="85"/>
      <c r="L1395" s="109"/>
      <c r="M1395" s="110"/>
      <c r="N1395" s="127"/>
      <c r="O1395" s="112"/>
      <c r="P1395" s="112"/>
      <c r="Q1395" s="118"/>
    </row>
    <row r="1396" spans="2:17" s="5" customFormat="1" ht="13">
      <c r="B1396" s="84"/>
      <c r="C1396" s="84"/>
      <c r="D1396" s="85"/>
      <c r="E1396" s="85"/>
      <c r="F1396" s="85"/>
      <c r="G1396" s="85"/>
      <c r="H1396" s="85"/>
      <c r="I1396" s="85"/>
      <c r="J1396" s="85"/>
      <c r="K1396" s="85"/>
      <c r="L1396" s="109"/>
      <c r="M1396" s="110"/>
      <c r="N1396" s="127"/>
      <c r="O1396" s="112"/>
      <c r="P1396" s="112"/>
      <c r="Q1396" s="118"/>
    </row>
    <row r="1397" spans="2:17" s="5" customFormat="1" ht="13">
      <c r="B1397" s="84"/>
      <c r="C1397" s="84"/>
      <c r="D1397" s="85"/>
      <c r="E1397" s="85"/>
      <c r="F1397" s="85"/>
      <c r="G1397" s="85"/>
      <c r="H1397" s="85"/>
      <c r="I1397" s="85"/>
      <c r="J1397" s="85"/>
      <c r="K1397" s="85"/>
      <c r="L1397" s="109"/>
      <c r="M1397" s="110"/>
      <c r="N1397" s="127"/>
      <c r="O1397" s="112"/>
      <c r="P1397" s="112"/>
      <c r="Q1397" s="118"/>
    </row>
    <row r="1398" spans="2:17" s="5" customFormat="1" ht="13">
      <c r="B1398" s="84"/>
      <c r="C1398" s="84"/>
      <c r="D1398" s="85"/>
      <c r="E1398" s="85"/>
      <c r="F1398" s="85"/>
      <c r="G1398" s="85"/>
      <c r="H1398" s="85"/>
      <c r="I1398" s="85"/>
      <c r="J1398" s="85"/>
      <c r="K1398" s="85"/>
      <c r="L1398" s="109"/>
      <c r="M1398" s="110"/>
      <c r="N1398" s="127"/>
      <c r="O1398" s="112"/>
      <c r="P1398" s="112"/>
      <c r="Q1398" s="118"/>
    </row>
    <row r="1399" spans="2:17" s="5" customFormat="1" ht="13">
      <c r="B1399" s="84"/>
      <c r="C1399" s="84"/>
      <c r="D1399" s="85"/>
      <c r="E1399" s="85"/>
      <c r="F1399" s="85"/>
      <c r="G1399" s="85"/>
      <c r="H1399" s="85"/>
      <c r="I1399" s="85"/>
      <c r="J1399" s="85"/>
      <c r="K1399" s="85"/>
      <c r="L1399" s="109"/>
      <c r="M1399" s="110"/>
      <c r="N1399" s="127"/>
      <c r="O1399" s="112"/>
      <c r="P1399" s="112"/>
      <c r="Q1399" s="118"/>
    </row>
    <row r="1400" spans="2:17" s="5" customFormat="1" ht="13">
      <c r="B1400" s="84"/>
      <c r="C1400" s="84"/>
      <c r="D1400" s="85"/>
      <c r="E1400" s="85"/>
      <c r="F1400" s="85"/>
      <c r="G1400" s="85"/>
      <c r="H1400" s="85"/>
      <c r="I1400" s="85"/>
      <c r="J1400" s="85"/>
      <c r="K1400" s="85"/>
      <c r="L1400" s="109"/>
      <c r="M1400" s="110"/>
      <c r="N1400" s="127"/>
      <c r="O1400" s="112"/>
      <c r="P1400" s="112"/>
      <c r="Q1400" s="118"/>
    </row>
    <row r="1401" spans="2:17" s="5" customFormat="1" ht="13">
      <c r="B1401" s="84"/>
      <c r="C1401" s="84"/>
      <c r="D1401" s="85"/>
      <c r="E1401" s="85"/>
      <c r="F1401" s="85"/>
      <c r="G1401" s="85"/>
      <c r="H1401" s="85"/>
      <c r="I1401" s="85"/>
      <c r="J1401" s="85"/>
      <c r="K1401" s="85"/>
      <c r="L1401" s="109"/>
      <c r="M1401" s="110"/>
      <c r="N1401" s="127"/>
      <c r="O1401" s="112"/>
      <c r="P1401" s="112"/>
      <c r="Q1401" s="118"/>
    </row>
    <row r="1402" spans="2:17" s="5" customFormat="1" ht="13">
      <c r="B1402" s="84"/>
      <c r="C1402" s="84"/>
      <c r="D1402" s="85"/>
      <c r="E1402" s="85"/>
      <c r="F1402" s="85"/>
      <c r="G1402" s="85"/>
      <c r="H1402" s="85"/>
      <c r="I1402" s="85"/>
      <c r="J1402" s="85"/>
      <c r="K1402" s="85"/>
      <c r="L1402" s="109"/>
      <c r="M1402" s="110"/>
      <c r="N1402" s="127"/>
      <c r="O1402" s="112"/>
      <c r="P1402" s="112"/>
      <c r="Q1402" s="118"/>
    </row>
    <row r="1403" spans="2:17" s="5" customFormat="1" ht="13">
      <c r="B1403" s="84"/>
      <c r="C1403" s="84"/>
      <c r="D1403" s="85"/>
      <c r="E1403" s="85"/>
      <c r="F1403" s="85"/>
      <c r="G1403" s="85"/>
      <c r="H1403" s="85"/>
      <c r="I1403" s="85"/>
      <c r="J1403" s="85"/>
      <c r="K1403" s="85"/>
      <c r="L1403" s="109"/>
      <c r="M1403" s="110"/>
      <c r="N1403" s="127"/>
      <c r="O1403" s="112"/>
      <c r="P1403" s="112"/>
      <c r="Q1403" s="118"/>
    </row>
    <row r="1404" spans="2:17" s="5" customFormat="1" ht="13">
      <c r="B1404" s="84"/>
      <c r="C1404" s="84"/>
      <c r="D1404" s="85"/>
      <c r="E1404" s="85"/>
      <c r="F1404" s="85"/>
      <c r="G1404" s="85"/>
      <c r="H1404" s="85"/>
      <c r="I1404" s="85"/>
      <c r="J1404" s="85"/>
      <c r="K1404" s="85"/>
      <c r="L1404" s="109"/>
      <c r="M1404" s="110"/>
      <c r="N1404" s="127"/>
      <c r="O1404" s="112"/>
      <c r="P1404" s="112"/>
      <c r="Q1404" s="118"/>
    </row>
    <row r="1405" spans="2:17" s="5" customFormat="1" ht="13">
      <c r="B1405" s="84"/>
      <c r="C1405" s="84"/>
      <c r="D1405" s="85"/>
      <c r="E1405" s="85"/>
      <c r="F1405" s="85"/>
      <c r="G1405" s="85"/>
      <c r="H1405" s="85"/>
      <c r="I1405" s="85"/>
      <c r="J1405" s="85"/>
      <c r="K1405" s="85"/>
      <c r="L1405" s="109"/>
      <c r="M1405" s="110"/>
      <c r="N1405" s="127"/>
      <c r="O1405" s="112"/>
      <c r="P1405" s="112"/>
      <c r="Q1405" s="118"/>
    </row>
    <row r="1406" spans="2:17" s="5" customFormat="1" ht="13">
      <c r="B1406" s="84"/>
      <c r="C1406" s="84"/>
      <c r="D1406" s="85"/>
      <c r="E1406" s="85"/>
      <c r="F1406" s="85"/>
      <c r="G1406" s="85"/>
      <c r="H1406" s="85"/>
      <c r="I1406" s="85"/>
      <c r="J1406" s="85"/>
      <c r="K1406" s="85"/>
      <c r="L1406" s="109"/>
      <c r="M1406" s="110"/>
      <c r="N1406" s="127"/>
      <c r="O1406" s="112"/>
      <c r="P1406" s="112"/>
      <c r="Q1406" s="118"/>
    </row>
    <row r="1407" spans="2:17" s="5" customFormat="1" ht="13">
      <c r="B1407" s="84"/>
      <c r="C1407" s="84"/>
      <c r="D1407" s="85"/>
      <c r="E1407" s="85"/>
      <c r="F1407" s="85"/>
      <c r="G1407" s="85"/>
      <c r="H1407" s="85"/>
      <c r="I1407" s="85"/>
      <c r="J1407" s="85"/>
      <c r="K1407" s="85"/>
      <c r="L1407" s="109"/>
      <c r="M1407" s="110"/>
      <c r="N1407" s="127"/>
      <c r="O1407" s="112"/>
      <c r="P1407" s="112"/>
      <c r="Q1407" s="118"/>
    </row>
    <row r="1408" spans="2:17" s="5" customFormat="1" ht="13">
      <c r="B1408" s="84"/>
      <c r="C1408" s="84"/>
      <c r="D1408" s="85"/>
      <c r="E1408" s="85"/>
      <c r="F1408" s="85"/>
      <c r="G1408" s="85"/>
      <c r="H1408" s="85"/>
      <c r="I1408" s="85"/>
      <c r="J1408" s="85"/>
      <c r="K1408" s="85"/>
      <c r="L1408" s="109"/>
      <c r="M1408" s="110"/>
      <c r="N1408" s="127"/>
      <c r="O1408" s="112"/>
      <c r="P1408" s="112"/>
      <c r="Q1408" s="118"/>
    </row>
    <row r="1409" spans="2:17" s="5" customFormat="1" ht="13">
      <c r="B1409" s="84"/>
      <c r="C1409" s="84"/>
      <c r="D1409" s="85"/>
      <c r="E1409" s="85"/>
      <c r="F1409" s="85"/>
      <c r="G1409" s="85"/>
      <c r="H1409" s="85"/>
      <c r="I1409" s="85"/>
      <c r="J1409" s="85"/>
      <c r="K1409" s="85"/>
      <c r="L1409" s="109"/>
      <c r="M1409" s="110"/>
      <c r="N1409" s="127"/>
      <c r="O1409" s="112"/>
      <c r="P1409" s="112"/>
      <c r="Q1409" s="118"/>
    </row>
    <row r="1410" spans="2:17" s="5" customFormat="1" ht="13">
      <c r="B1410" s="84"/>
      <c r="C1410" s="84"/>
      <c r="D1410" s="85"/>
      <c r="E1410" s="85"/>
      <c r="F1410" s="85"/>
      <c r="G1410" s="85"/>
      <c r="H1410" s="85"/>
      <c r="I1410" s="85"/>
      <c r="J1410" s="85"/>
      <c r="K1410" s="85"/>
      <c r="L1410" s="109"/>
      <c r="M1410" s="110"/>
      <c r="N1410" s="127"/>
      <c r="O1410" s="112"/>
      <c r="P1410" s="112"/>
      <c r="Q1410" s="118"/>
    </row>
    <row r="1411" spans="2:17" s="5" customFormat="1" ht="13">
      <c r="B1411" s="84"/>
      <c r="C1411" s="84"/>
      <c r="D1411" s="85"/>
      <c r="E1411" s="85"/>
      <c r="F1411" s="85"/>
      <c r="G1411" s="85"/>
      <c r="H1411" s="85"/>
      <c r="I1411" s="85"/>
      <c r="J1411" s="85"/>
      <c r="K1411" s="85"/>
      <c r="L1411" s="109"/>
      <c r="M1411" s="110"/>
      <c r="N1411" s="127"/>
      <c r="O1411" s="112"/>
      <c r="P1411" s="112"/>
      <c r="Q1411" s="118"/>
    </row>
    <row r="1412" spans="2:17" s="5" customFormat="1" ht="13">
      <c r="B1412" s="84"/>
      <c r="C1412" s="84"/>
      <c r="D1412" s="85"/>
      <c r="E1412" s="85"/>
      <c r="F1412" s="85"/>
      <c r="G1412" s="85"/>
      <c r="H1412" s="85"/>
      <c r="I1412" s="85"/>
      <c r="J1412" s="85"/>
      <c r="K1412" s="85"/>
      <c r="L1412" s="109"/>
      <c r="M1412" s="110"/>
      <c r="N1412" s="127"/>
      <c r="O1412" s="112"/>
      <c r="P1412" s="112"/>
      <c r="Q1412" s="118"/>
    </row>
    <row r="1413" spans="2:17" s="5" customFormat="1" ht="13">
      <c r="B1413" s="84"/>
      <c r="C1413" s="84"/>
      <c r="D1413" s="85"/>
      <c r="E1413" s="85"/>
      <c r="F1413" s="85"/>
      <c r="G1413" s="85"/>
      <c r="H1413" s="85"/>
      <c r="I1413" s="85"/>
      <c r="J1413" s="85"/>
      <c r="K1413" s="85"/>
      <c r="L1413" s="109"/>
      <c r="M1413" s="110"/>
      <c r="N1413" s="127"/>
      <c r="O1413" s="112"/>
      <c r="P1413" s="112"/>
      <c r="Q1413" s="118"/>
    </row>
    <row r="1414" spans="2:17" s="5" customFormat="1" ht="13">
      <c r="B1414" s="84"/>
      <c r="C1414" s="84"/>
      <c r="D1414" s="85"/>
      <c r="E1414" s="85"/>
      <c r="F1414" s="85"/>
      <c r="G1414" s="85"/>
      <c r="H1414" s="85"/>
      <c r="I1414" s="85"/>
      <c r="J1414" s="85"/>
      <c r="K1414" s="85"/>
      <c r="L1414" s="109"/>
      <c r="M1414" s="110"/>
      <c r="N1414" s="127"/>
      <c r="O1414" s="112"/>
      <c r="P1414" s="112"/>
      <c r="Q1414" s="118"/>
    </row>
    <row r="1415" spans="2:17" s="5" customFormat="1" ht="13">
      <c r="B1415" s="84"/>
      <c r="C1415" s="84"/>
      <c r="D1415" s="85"/>
      <c r="E1415" s="85"/>
      <c r="F1415" s="85"/>
      <c r="G1415" s="85"/>
      <c r="H1415" s="85"/>
      <c r="I1415" s="85"/>
      <c r="J1415" s="85"/>
      <c r="K1415" s="85"/>
      <c r="L1415" s="109"/>
      <c r="M1415" s="110"/>
      <c r="N1415" s="127"/>
      <c r="O1415" s="112"/>
      <c r="P1415" s="112"/>
      <c r="Q1415" s="118"/>
    </row>
    <row r="1416" spans="2:17" s="5" customFormat="1" ht="13">
      <c r="B1416" s="84"/>
      <c r="C1416" s="84"/>
      <c r="D1416" s="85"/>
      <c r="E1416" s="85"/>
      <c r="F1416" s="85"/>
      <c r="G1416" s="85"/>
      <c r="H1416" s="85"/>
      <c r="I1416" s="85"/>
      <c r="J1416" s="85"/>
      <c r="K1416" s="85"/>
      <c r="L1416" s="109"/>
      <c r="M1416" s="110"/>
      <c r="N1416" s="127"/>
      <c r="O1416" s="112"/>
      <c r="P1416" s="112"/>
      <c r="Q1416" s="118"/>
    </row>
    <row r="1417" spans="2:17" s="5" customFormat="1" ht="13">
      <c r="B1417" s="84"/>
      <c r="C1417" s="84"/>
      <c r="D1417" s="85"/>
      <c r="E1417" s="85"/>
      <c r="F1417" s="85"/>
      <c r="G1417" s="85"/>
      <c r="H1417" s="85"/>
      <c r="I1417" s="85"/>
      <c r="J1417" s="85"/>
      <c r="K1417" s="85"/>
      <c r="L1417" s="109"/>
      <c r="M1417" s="110"/>
      <c r="N1417" s="127"/>
      <c r="O1417" s="112"/>
      <c r="P1417" s="112"/>
      <c r="Q1417" s="118"/>
    </row>
    <row r="1418" spans="2:17" s="5" customFormat="1" ht="13">
      <c r="B1418" s="84"/>
      <c r="C1418" s="84"/>
      <c r="D1418" s="85"/>
      <c r="E1418" s="85"/>
      <c r="F1418" s="85"/>
      <c r="G1418" s="85"/>
      <c r="H1418" s="85"/>
      <c r="I1418" s="85"/>
      <c r="J1418" s="85"/>
      <c r="K1418" s="85"/>
      <c r="L1418" s="109"/>
      <c r="M1418" s="110"/>
      <c r="N1418" s="127"/>
      <c r="O1418" s="112"/>
      <c r="P1418" s="112"/>
      <c r="Q1418" s="118"/>
    </row>
    <row r="1419" spans="2:17" s="5" customFormat="1" ht="13">
      <c r="B1419" s="84"/>
      <c r="C1419" s="84"/>
      <c r="D1419" s="85"/>
      <c r="E1419" s="85"/>
      <c r="F1419" s="85"/>
      <c r="G1419" s="85"/>
      <c r="H1419" s="85"/>
      <c r="I1419" s="85"/>
      <c r="J1419" s="85"/>
      <c r="K1419" s="85"/>
      <c r="L1419" s="109"/>
      <c r="M1419" s="110"/>
      <c r="N1419" s="127"/>
      <c r="O1419" s="112"/>
      <c r="P1419" s="112"/>
      <c r="Q1419" s="118"/>
    </row>
    <row r="1420" spans="2:17" s="5" customFormat="1" ht="13">
      <c r="B1420" s="84"/>
      <c r="C1420" s="84"/>
      <c r="D1420" s="85"/>
      <c r="E1420" s="85"/>
      <c r="F1420" s="85"/>
      <c r="G1420" s="85"/>
      <c r="H1420" s="85"/>
      <c r="I1420" s="85"/>
      <c r="J1420" s="85"/>
      <c r="K1420" s="85"/>
      <c r="L1420" s="109"/>
      <c r="M1420" s="110"/>
      <c r="N1420" s="127"/>
      <c r="O1420" s="112"/>
      <c r="P1420" s="112"/>
      <c r="Q1420" s="118"/>
    </row>
    <row r="1421" spans="2:17" s="5" customFormat="1" ht="13">
      <c r="B1421" s="84"/>
      <c r="C1421" s="84"/>
      <c r="D1421" s="85"/>
      <c r="E1421" s="85"/>
      <c r="F1421" s="85"/>
      <c r="G1421" s="85"/>
      <c r="H1421" s="85"/>
      <c r="I1421" s="85"/>
      <c r="J1421" s="85"/>
      <c r="K1421" s="85"/>
      <c r="L1421" s="109"/>
      <c r="M1421" s="110"/>
      <c r="N1421" s="127"/>
      <c r="O1421" s="112"/>
      <c r="P1421" s="112"/>
      <c r="Q1421" s="118"/>
    </row>
    <row r="1422" spans="2:17" s="5" customFormat="1" ht="13">
      <c r="B1422" s="84"/>
      <c r="C1422" s="84"/>
      <c r="D1422" s="85"/>
      <c r="E1422" s="85"/>
      <c r="F1422" s="85"/>
      <c r="G1422" s="85"/>
      <c r="H1422" s="85"/>
      <c r="I1422" s="85"/>
      <c r="J1422" s="85"/>
      <c r="K1422" s="85"/>
      <c r="L1422" s="109"/>
      <c r="M1422" s="110"/>
      <c r="N1422" s="127"/>
      <c r="O1422" s="112"/>
      <c r="P1422" s="112"/>
      <c r="Q1422" s="118"/>
    </row>
    <row r="1423" spans="2:17" s="5" customFormat="1" ht="13">
      <c r="B1423" s="84"/>
      <c r="C1423" s="84"/>
      <c r="D1423" s="85"/>
      <c r="E1423" s="85"/>
      <c r="F1423" s="85"/>
      <c r="G1423" s="85"/>
      <c r="H1423" s="85"/>
      <c r="I1423" s="85"/>
      <c r="J1423" s="85"/>
      <c r="K1423" s="85"/>
      <c r="L1423" s="109"/>
      <c r="M1423" s="110"/>
      <c r="N1423" s="127"/>
      <c r="O1423" s="112"/>
      <c r="P1423" s="112"/>
      <c r="Q1423" s="118"/>
    </row>
    <row r="1424" spans="2:17" s="5" customFormat="1" ht="13">
      <c r="B1424" s="84"/>
      <c r="C1424" s="84"/>
      <c r="D1424" s="85"/>
      <c r="E1424" s="85"/>
      <c r="F1424" s="85"/>
      <c r="G1424" s="85"/>
      <c r="H1424" s="85"/>
      <c r="I1424" s="85"/>
      <c r="J1424" s="85"/>
      <c r="K1424" s="85"/>
      <c r="L1424" s="109"/>
      <c r="M1424" s="110"/>
      <c r="N1424" s="127"/>
      <c r="O1424" s="112"/>
      <c r="P1424" s="112"/>
      <c r="Q1424" s="118"/>
    </row>
    <row r="1425" spans="2:17" s="5" customFormat="1" ht="13">
      <c r="B1425" s="84"/>
      <c r="C1425" s="84"/>
      <c r="D1425" s="85"/>
      <c r="E1425" s="85"/>
      <c r="F1425" s="85"/>
      <c r="G1425" s="85"/>
      <c r="H1425" s="85"/>
      <c r="I1425" s="85"/>
      <c r="J1425" s="85"/>
      <c r="K1425" s="85"/>
      <c r="L1425" s="109"/>
      <c r="M1425" s="110"/>
      <c r="N1425" s="127"/>
      <c r="O1425" s="112"/>
      <c r="P1425" s="112"/>
      <c r="Q1425" s="118"/>
    </row>
    <row r="1426" spans="2:17" s="5" customFormat="1" ht="13">
      <c r="B1426" s="84"/>
      <c r="C1426" s="84"/>
      <c r="D1426" s="85"/>
      <c r="E1426" s="85"/>
      <c r="F1426" s="85"/>
      <c r="G1426" s="85"/>
      <c r="H1426" s="85"/>
      <c r="I1426" s="85"/>
      <c r="J1426" s="85"/>
      <c r="K1426" s="85"/>
      <c r="L1426" s="109"/>
      <c r="M1426" s="110"/>
      <c r="N1426" s="127"/>
      <c r="O1426" s="112"/>
      <c r="P1426" s="112"/>
      <c r="Q1426" s="118"/>
    </row>
    <row r="1427" spans="2:17" s="5" customFormat="1" ht="13">
      <c r="B1427" s="84"/>
      <c r="C1427" s="84"/>
      <c r="D1427" s="85"/>
      <c r="E1427" s="85"/>
      <c r="F1427" s="85"/>
      <c r="G1427" s="85"/>
      <c r="H1427" s="85"/>
      <c r="I1427" s="85"/>
      <c r="J1427" s="85"/>
      <c r="K1427" s="85"/>
      <c r="L1427" s="109"/>
      <c r="M1427" s="110"/>
      <c r="N1427" s="127"/>
      <c r="O1427" s="112"/>
      <c r="P1427" s="112"/>
      <c r="Q1427" s="118"/>
    </row>
    <row r="1428" spans="2:17" s="5" customFormat="1" ht="13">
      <c r="B1428" s="84"/>
      <c r="C1428" s="84"/>
      <c r="D1428" s="85"/>
      <c r="E1428" s="85"/>
      <c r="F1428" s="85"/>
      <c r="G1428" s="85"/>
      <c r="H1428" s="85"/>
      <c r="I1428" s="85"/>
      <c r="J1428" s="85"/>
      <c r="K1428" s="85"/>
      <c r="L1428" s="109"/>
      <c r="M1428" s="110"/>
      <c r="N1428" s="127"/>
      <c r="O1428" s="112"/>
      <c r="P1428" s="112"/>
      <c r="Q1428" s="118"/>
    </row>
    <row r="1429" spans="2:17" s="5" customFormat="1" ht="13">
      <c r="B1429" s="84"/>
      <c r="C1429" s="84"/>
      <c r="D1429" s="85"/>
      <c r="E1429" s="85"/>
      <c r="F1429" s="85"/>
      <c r="G1429" s="85"/>
      <c r="H1429" s="85"/>
      <c r="I1429" s="85"/>
      <c r="J1429" s="85"/>
      <c r="K1429" s="85"/>
      <c r="L1429" s="109"/>
      <c r="M1429" s="110"/>
      <c r="N1429" s="127"/>
      <c r="O1429" s="112"/>
      <c r="P1429" s="112"/>
      <c r="Q1429" s="118"/>
    </row>
    <row r="1430" spans="2:17" s="5" customFormat="1" ht="13">
      <c r="B1430" s="84"/>
      <c r="C1430" s="84"/>
      <c r="D1430" s="85"/>
      <c r="E1430" s="85"/>
      <c r="F1430" s="85"/>
      <c r="G1430" s="85"/>
      <c r="H1430" s="85"/>
      <c r="I1430" s="85"/>
      <c r="J1430" s="85"/>
      <c r="K1430" s="85"/>
      <c r="L1430" s="109"/>
      <c r="M1430" s="110"/>
      <c r="N1430" s="127"/>
      <c r="O1430" s="112"/>
      <c r="P1430" s="112"/>
      <c r="Q1430" s="118"/>
    </row>
    <row r="1431" spans="2:17" s="5" customFormat="1" ht="13">
      <c r="B1431" s="84"/>
      <c r="C1431" s="84"/>
      <c r="D1431" s="85"/>
      <c r="E1431" s="85"/>
      <c r="F1431" s="85"/>
      <c r="G1431" s="85"/>
      <c r="H1431" s="85"/>
      <c r="I1431" s="85"/>
      <c r="J1431" s="85"/>
      <c r="K1431" s="85"/>
      <c r="L1431" s="109"/>
      <c r="M1431" s="110"/>
      <c r="N1431" s="127"/>
      <c r="O1431" s="112"/>
      <c r="P1431" s="112"/>
      <c r="Q1431" s="118"/>
    </row>
    <row r="1432" spans="2:17" s="5" customFormat="1" ht="13">
      <c r="B1432" s="84"/>
      <c r="C1432" s="84"/>
      <c r="D1432" s="85"/>
      <c r="E1432" s="85"/>
      <c r="F1432" s="85"/>
      <c r="G1432" s="85"/>
      <c r="H1432" s="85"/>
      <c r="I1432" s="85"/>
      <c r="J1432" s="85"/>
      <c r="K1432" s="85"/>
      <c r="L1432" s="109"/>
      <c r="M1432" s="110"/>
      <c r="N1432" s="127"/>
      <c r="O1432" s="112"/>
      <c r="P1432" s="112"/>
      <c r="Q1432" s="118"/>
    </row>
    <row r="1433" spans="2:17" s="5" customFormat="1" ht="13">
      <c r="B1433" s="84"/>
      <c r="C1433" s="84"/>
      <c r="D1433" s="85"/>
      <c r="E1433" s="85"/>
      <c r="F1433" s="85"/>
      <c r="G1433" s="85"/>
      <c r="H1433" s="85"/>
      <c r="I1433" s="85"/>
      <c r="J1433" s="85"/>
      <c r="K1433" s="85"/>
      <c r="L1433" s="109"/>
      <c r="M1433" s="110"/>
      <c r="N1433" s="127"/>
      <c r="O1433" s="112"/>
      <c r="P1433" s="112"/>
      <c r="Q1433" s="118"/>
    </row>
    <row r="1434" spans="2:17" s="5" customFormat="1" ht="13">
      <c r="B1434" s="84"/>
      <c r="C1434" s="84"/>
      <c r="D1434" s="85"/>
      <c r="E1434" s="85"/>
      <c r="F1434" s="85"/>
      <c r="G1434" s="85"/>
      <c r="H1434" s="85"/>
      <c r="I1434" s="85"/>
      <c r="J1434" s="85"/>
      <c r="K1434" s="85"/>
      <c r="L1434" s="109"/>
      <c r="M1434" s="110"/>
      <c r="N1434" s="127"/>
      <c r="O1434" s="112"/>
      <c r="P1434" s="112"/>
      <c r="Q1434" s="118"/>
    </row>
    <row r="1435" spans="2:17" s="5" customFormat="1" ht="13">
      <c r="B1435" s="84"/>
      <c r="C1435" s="84"/>
      <c r="D1435" s="85"/>
      <c r="E1435" s="85"/>
      <c r="F1435" s="85"/>
      <c r="G1435" s="85"/>
      <c r="H1435" s="85"/>
      <c r="I1435" s="85"/>
      <c r="J1435" s="85"/>
      <c r="K1435" s="85"/>
      <c r="L1435" s="109"/>
      <c r="M1435" s="110"/>
      <c r="N1435" s="127"/>
      <c r="O1435" s="112"/>
      <c r="P1435" s="112"/>
      <c r="Q1435" s="118"/>
    </row>
    <row r="1436" spans="2:17" s="5" customFormat="1" ht="13">
      <c r="B1436" s="84"/>
      <c r="C1436" s="84"/>
      <c r="D1436" s="85"/>
      <c r="E1436" s="85"/>
      <c r="F1436" s="85"/>
      <c r="G1436" s="85"/>
      <c r="H1436" s="85"/>
      <c r="I1436" s="85"/>
      <c r="J1436" s="85"/>
      <c r="K1436" s="85"/>
      <c r="L1436" s="109"/>
      <c r="M1436" s="110"/>
      <c r="N1436" s="127"/>
      <c r="O1436" s="112"/>
      <c r="P1436" s="112"/>
      <c r="Q1436" s="118"/>
    </row>
    <row r="1437" spans="2:17" s="5" customFormat="1" ht="13">
      <c r="B1437" s="84"/>
      <c r="C1437" s="84"/>
      <c r="D1437" s="85"/>
      <c r="E1437" s="85"/>
      <c r="F1437" s="85"/>
      <c r="G1437" s="85"/>
      <c r="H1437" s="85"/>
      <c r="I1437" s="85"/>
      <c r="J1437" s="85"/>
      <c r="K1437" s="85"/>
      <c r="L1437" s="109"/>
      <c r="M1437" s="110"/>
      <c r="N1437" s="127"/>
      <c r="O1437" s="112"/>
      <c r="P1437" s="112"/>
      <c r="Q1437" s="118"/>
    </row>
    <row r="1438" spans="2:17" s="5" customFormat="1" ht="13">
      <c r="B1438" s="84"/>
      <c r="C1438" s="84"/>
      <c r="D1438" s="85"/>
      <c r="E1438" s="85"/>
      <c r="F1438" s="85"/>
      <c r="G1438" s="85"/>
      <c r="H1438" s="85"/>
      <c r="I1438" s="85"/>
      <c r="J1438" s="85"/>
      <c r="K1438" s="85"/>
      <c r="L1438" s="109"/>
      <c r="M1438" s="110"/>
      <c r="N1438" s="127"/>
      <c r="O1438" s="112"/>
      <c r="P1438" s="112"/>
      <c r="Q1438" s="118"/>
    </row>
    <row r="1439" spans="2:17" s="5" customFormat="1" ht="13">
      <c r="B1439" s="84"/>
      <c r="C1439" s="84"/>
      <c r="D1439" s="85"/>
      <c r="E1439" s="85"/>
      <c r="F1439" s="85"/>
      <c r="G1439" s="85"/>
      <c r="H1439" s="85"/>
      <c r="I1439" s="85"/>
      <c r="J1439" s="85"/>
      <c r="K1439" s="85"/>
      <c r="L1439" s="109"/>
      <c r="M1439" s="110"/>
      <c r="N1439" s="127"/>
      <c r="O1439" s="112"/>
      <c r="P1439" s="112"/>
      <c r="Q1439" s="118"/>
    </row>
    <row r="1440" spans="2:17" s="5" customFormat="1" ht="13">
      <c r="B1440" s="84"/>
      <c r="C1440" s="84"/>
      <c r="D1440" s="85"/>
      <c r="E1440" s="85"/>
      <c r="F1440" s="85"/>
      <c r="G1440" s="85"/>
      <c r="H1440" s="85"/>
      <c r="I1440" s="85"/>
      <c r="J1440" s="85"/>
      <c r="K1440" s="85"/>
      <c r="L1440" s="109"/>
      <c r="M1440" s="110"/>
      <c r="N1440" s="127"/>
      <c r="O1440" s="112"/>
      <c r="P1440" s="112"/>
      <c r="Q1440" s="118"/>
    </row>
    <row r="1441" spans="2:17" s="5" customFormat="1" ht="13">
      <c r="B1441" s="84"/>
      <c r="C1441" s="84"/>
      <c r="D1441" s="85"/>
      <c r="E1441" s="85"/>
      <c r="F1441" s="85"/>
      <c r="G1441" s="85"/>
      <c r="H1441" s="85"/>
      <c r="I1441" s="85"/>
      <c r="J1441" s="85"/>
      <c r="K1441" s="85"/>
      <c r="L1441" s="109"/>
      <c r="M1441" s="110"/>
      <c r="N1441" s="127"/>
      <c r="O1441" s="112"/>
      <c r="P1441" s="112"/>
      <c r="Q1441" s="118"/>
    </row>
    <row r="1442" spans="2:17" s="5" customFormat="1" ht="13">
      <c r="B1442" s="84"/>
      <c r="C1442" s="84"/>
      <c r="D1442" s="85"/>
      <c r="E1442" s="85"/>
      <c r="F1442" s="85"/>
      <c r="G1442" s="85"/>
      <c r="H1442" s="85"/>
      <c r="I1442" s="85"/>
      <c r="J1442" s="85"/>
      <c r="K1442" s="85"/>
      <c r="L1442" s="109"/>
      <c r="M1442" s="110"/>
      <c r="N1442" s="127"/>
      <c r="O1442" s="112"/>
      <c r="P1442" s="112"/>
      <c r="Q1442" s="118"/>
    </row>
    <row r="1443" spans="2:17" s="5" customFormat="1" ht="13">
      <c r="B1443" s="84"/>
      <c r="C1443" s="84"/>
      <c r="D1443" s="85"/>
      <c r="E1443" s="85"/>
      <c r="F1443" s="85"/>
      <c r="G1443" s="85"/>
      <c r="H1443" s="85"/>
      <c r="I1443" s="85"/>
      <c r="J1443" s="85"/>
      <c r="K1443" s="85"/>
      <c r="L1443" s="109"/>
      <c r="M1443" s="110"/>
      <c r="N1443" s="127"/>
      <c r="O1443" s="112"/>
      <c r="P1443" s="112"/>
      <c r="Q1443" s="118"/>
    </row>
    <row r="1444" spans="2:17" s="5" customFormat="1" ht="13">
      <c r="B1444" s="84"/>
      <c r="C1444" s="84"/>
      <c r="D1444" s="85"/>
      <c r="E1444" s="85"/>
      <c r="F1444" s="85"/>
      <c r="G1444" s="85"/>
      <c r="H1444" s="85"/>
      <c r="I1444" s="85"/>
      <c r="J1444" s="85"/>
      <c r="K1444" s="85"/>
      <c r="L1444" s="109"/>
      <c r="M1444" s="110"/>
      <c r="N1444" s="127"/>
      <c r="O1444" s="112"/>
      <c r="P1444" s="112"/>
      <c r="Q1444" s="118"/>
    </row>
    <row r="1445" spans="2:17" s="5" customFormat="1" ht="13">
      <c r="B1445" s="84"/>
      <c r="C1445" s="84"/>
      <c r="D1445" s="85"/>
      <c r="E1445" s="85"/>
      <c r="F1445" s="85"/>
      <c r="G1445" s="85"/>
      <c r="H1445" s="85"/>
      <c r="I1445" s="85"/>
      <c r="J1445" s="85"/>
      <c r="K1445" s="85"/>
      <c r="L1445" s="109"/>
      <c r="M1445" s="110"/>
      <c r="N1445" s="127"/>
      <c r="O1445" s="112"/>
      <c r="P1445" s="112"/>
      <c r="Q1445" s="118"/>
    </row>
    <row r="1446" spans="2:17" s="5" customFormat="1" ht="13">
      <c r="B1446" s="84"/>
      <c r="C1446" s="84"/>
      <c r="D1446" s="85"/>
      <c r="E1446" s="85"/>
      <c r="F1446" s="85"/>
      <c r="G1446" s="85"/>
      <c r="H1446" s="85"/>
      <c r="I1446" s="85"/>
      <c r="J1446" s="85"/>
      <c r="K1446" s="85"/>
      <c r="L1446" s="109"/>
      <c r="M1446" s="110"/>
      <c r="N1446" s="127"/>
      <c r="O1446" s="112"/>
      <c r="P1446" s="112"/>
      <c r="Q1446" s="118"/>
    </row>
    <row r="1447" spans="2:17" s="5" customFormat="1" ht="13">
      <c r="B1447" s="84"/>
      <c r="C1447" s="84"/>
      <c r="D1447" s="85"/>
      <c r="E1447" s="85"/>
      <c r="F1447" s="85"/>
      <c r="G1447" s="85"/>
      <c r="H1447" s="85"/>
      <c r="I1447" s="85"/>
      <c r="J1447" s="85"/>
      <c r="K1447" s="85"/>
      <c r="L1447" s="109"/>
      <c r="M1447" s="110"/>
      <c r="N1447" s="127"/>
      <c r="O1447" s="112"/>
      <c r="P1447" s="112"/>
      <c r="Q1447" s="118"/>
    </row>
    <row r="1448" spans="2:17" s="5" customFormat="1" ht="13">
      <c r="B1448" s="84"/>
      <c r="C1448" s="84"/>
      <c r="D1448" s="85"/>
      <c r="E1448" s="85"/>
      <c r="F1448" s="85"/>
      <c r="G1448" s="85"/>
      <c r="H1448" s="85"/>
      <c r="I1448" s="85"/>
      <c r="J1448" s="85"/>
      <c r="K1448" s="85"/>
      <c r="L1448" s="109"/>
      <c r="M1448" s="110"/>
      <c r="N1448" s="127"/>
      <c r="O1448" s="112"/>
      <c r="P1448" s="112"/>
      <c r="Q1448" s="118"/>
    </row>
    <row r="1449" spans="2:17" s="5" customFormat="1" ht="13">
      <c r="B1449" s="84"/>
      <c r="C1449" s="84"/>
      <c r="D1449" s="85"/>
      <c r="E1449" s="85"/>
      <c r="F1449" s="85"/>
      <c r="G1449" s="85"/>
      <c r="H1449" s="85"/>
      <c r="I1449" s="85"/>
      <c r="J1449" s="85"/>
      <c r="K1449" s="85"/>
      <c r="L1449" s="109"/>
      <c r="M1449" s="110"/>
      <c r="N1449" s="127"/>
      <c r="O1449" s="112"/>
      <c r="P1449" s="112"/>
      <c r="Q1449" s="118"/>
    </row>
    <row r="1450" spans="2:17" s="5" customFormat="1" ht="13">
      <c r="B1450" s="84"/>
      <c r="C1450" s="84"/>
      <c r="D1450" s="85"/>
      <c r="E1450" s="85"/>
      <c r="F1450" s="85"/>
      <c r="G1450" s="85"/>
      <c r="H1450" s="85"/>
      <c r="I1450" s="85"/>
      <c r="J1450" s="85"/>
      <c r="K1450" s="85"/>
      <c r="L1450" s="109"/>
      <c r="M1450" s="110"/>
      <c r="N1450" s="127"/>
      <c r="O1450" s="112"/>
      <c r="P1450" s="112"/>
      <c r="Q1450" s="118"/>
    </row>
    <row r="1451" spans="2:17" s="5" customFormat="1" ht="13">
      <c r="B1451" s="84"/>
      <c r="C1451" s="84"/>
      <c r="D1451" s="85"/>
      <c r="E1451" s="85"/>
      <c r="F1451" s="85"/>
      <c r="G1451" s="85"/>
      <c r="H1451" s="85"/>
      <c r="I1451" s="85"/>
      <c r="J1451" s="85"/>
      <c r="K1451" s="85"/>
      <c r="L1451" s="109"/>
      <c r="M1451" s="110"/>
      <c r="N1451" s="127"/>
      <c r="O1451" s="112"/>
      <c r="P1451" s="112"/>
      <c r="Q1451" s="118"/>
    </row>
    <row r="1452" spans="2:17" s="5" customFormat="1" ht="13">
      <c r="B1452" s="84"/>
      <c r="C1452" s="84"/>
      <c r="D1452" s="85"/>
      <c r="E1452" s="85"/>
      <c r="F1452" s="85"/>
      <c r="G1452" s="85"/>
      <c r="H1452" s="85"/>
      <c r="I1452" s="85"/>
      <c r="J1452" s="85"/>
      <c r="K1452" s="85"/>
      <c r="L1452" s="109"/>
      <c r="M1452" s="110"/>
      <c r="N1452" s="127"/>
      <c r="O1452" s="112"/>
      <c r="P1452" s="112"/>
      <c r="Q1452" s="118"/>
    </row>
    <row r="1453" spans="2:17" s="5" customFormat="1" ht="13">
      <c r="B1453" s="84"/>
      <c r="C1453" s="84"/>
      <c r="D1453" s="85"/>
      <c r="E1453" s="85"/>
      <c r="F1453" s="85"/>
      <c r="G1453" s="85"/>
      <c r="H1453" s="85"/>
      <c r="I1453" s="85"/>
      <c r="J1453" s="85"/>
      <c r="K1453" s="85"/>
      <c r="L1453" s="109"/>
      <c r="M1453" s="110"/>
      <c r="N1453" s="127"/>
      <c r="O1453" s="112"/>
      <c r="P1453" s="112"/>
      <c r="Q1453" s="118"/>
    </row>
    <row r="1454" spans="2:17" s="5" customFormat="1" ht="13">
      <c r="B1454" s="84"/>
      <c r="C1454" s="84"/>
      <c r="D1454" s="85"/>
      <c r="E1454" s="85"/>
      <c r="F1454" s="85"/>
      <c r="G1454" s="85"/>
      <c r="H1454" s="85"/>
      <c r="I1454" s="85"/>
      <c r="J1454" s="85"/>
      <c r="K1454" s="85"/>
      <c r="L1454" s="109"/>
      <c r="M1454" s="110"/>
      <c r="N1454" s="127"/>
      <c r="O1454" s="112"/>
      <c r="P1454" s="112"/>
      <c r="Q1454" s="118"/>
    </row>
    <row r="1455" spans="2:17" s="5" customFormat="1" ht="13">
      <c r="B1455" s="84"/>
      <c r="C1455" s="84"/>
      <c r="D1455" s="85"/>
      <c r="E1455" s="85"/>
      <c r="F1455" s="85"/>
      <c r="G1455" s="85"/>
      <c r="H1455" s="85"/>
      <c r="I1455" s="85"/>
      <c r="J1455" s="85"/>
      <c r="K1455" s="85"/>
      <c r="L1455" s="109"/>
      <c r="M1455" s="110"/>
      <c r="N1455" s="127"/>
      <c r="O1455" s="112"/>
      <c r="P1455" s="112"/>
      <c r="Q1455" s="118"/>
    </row>
    <row r="1456" spans="2:17" s="5" customFormat="1" ht="13">
      <c r="B1456" s="84"/>
      <c r="C1456" s="84"/>
      <c r="D1456" s="85"/>
      <c r="E1456" s="85"/>
      <c r="F1456" s="85"/>
      <c r="G1456" s="85"/>
      <c r="H1456" s="85"/>
      <c r="I1456" s="85"/>
      <c r="J1456" s="85"/>
      <c r="K1456" s="85"/>
      <c r="L1456" s="109"/>
      <c r="M1456" s="110"/>
      <c r="N1456" s="127"/>
      <c r="O1456" s="112"/>
      <c r="P1456" s="112"/>
      <c r="Q1456" s="118"/>
    </row>
    <row r="1457" spans="2:17" s="5" customFormat="1" ht="13">
      <c r="B1457" s="84"/>
      <c r="C1457" s="84"/>
      <c r="D1457" s="85"/>
      <c r="E1457" s="85"/>
      <c r="F1457" s="85"/>
      <c r="G1457" s="85"/>
      <c r="H1457" s="85"/>
      <c r="I1457" s="85"/>
      <c r="J1457" s="85"/>
      <c r="K1457" s="85"/>
      <c r="L1457" s="109"/>
      <c r="M1457" s="110"/>
      <c r="N1457" s="127"/>
      <c r="O1457" s="112"/>
      <c r="P1457" s="112"/>
      <c r="Q1457" s="118"/>
    </row>
    <row r="1458" spans="2:17" s="5" customFormat="1" ht="13">
      <c r="B1458" s="84"/>
      <c r="C1458" s="84"/>
      <c r="D1458" s="85"/>
      <c r="E1458" s="85"/>
      <c r="F1458" s="85"/>
      <c r="G1458" s="85"/>
      <c r="H1458" s="85"/>
      <c r="I1458" s="85"/>
      <c r="J1458" s="85"/>
      <c r="K1458" s="85"/>
      <c r="L1458" s="109"/>
      <c r="M1458" s="110"/>
      <c r="N1458" s="127"/>
      <c r="O1458" s="112"/>
      <c r="P1458" s="112"/>
      <c r="Q1458" s="118"/>
    </row>
    <row r="1459" spans="2:17" s="5" customFormat="1" ht="13">
      <c r="B1459" s="84"/>
      <c r="C1459" s="84"/>
      <c r="D1459" s="85"/>
      <c r="E1459" s="85"/>
      <c r="F1459" s="85"/>
      <c r="G1459" s="85"/>
      <c r="H1459" s="85"/>
      <c r="I1459" s="85"/>
      <c r="J1459" s="85"/>
      <c r="K1459" s="85"/>
      <c r="L1459" s="109"/>
      <c r="M1459" s="110"/>
      <c r="N1459" s="127"/>
      <c r="O1459" s="112"/>
      <c r="P1459" s="112"/>
      <c r="Q1459" s="118"/>
    </row>
    <row r="1460" spans="2:17" s="5" customFormat="1" ht="13">
      <c r="B1460" s="84"/>
      <c r="C1460" s="84"/>
      <c r="D1460" s="85"/>
      <c r="E1460" s="85"/>
      <c r="F1460" s="85"/>
      <c r="G1460" s="85"/>
      <c r="H1460" s="85"/>
      <c r="I1460" s="85"/>
      <c r="J1460" s="85"/>
      <c r="K1460" s="85"/>
      <c r="L1460" s="109"/>
      <c r="M1460" s="110"/>
      <c r="N1460" s="127"/>
      <c r="O1460" s="112"/>
      <c r="P1460" s="112"/>
      <c r="Q1460" s="118"/>
    </row>
    <row r="1461" spans="2:17" s="5" customFormat="1" ht="13">
      <c r="B1461" s="84"/>
      <c r="C1461" s="84"/>
      <c r="D1461" s="85"/>
      <c r="E1461" s="85"/>
      <c r="F1461" s="85"/>
      <c r="G1461" s="85"/>
      <c r="H1461" s="85"/>
      <c r="I1461" s="85"/>
      <c r="J1461" s="85"/>
      <c r="K1461" s="85"/>
      <c r="L1461" s="109"/>
      <c r="M1461" s="110"/>
      <c r="N1461" s="127"/>
      <c r="O1461" s="112"/>
      <c r="P1461" s="112"/>
      <c r="Q1461" s="118"/>
    </row>
    <row r="1462" spans="2:17" s="5" customFormat="1" ht="13">
      <c r="B1462" s="84"/>
      <c r="C1462" s="84"/>
      <c r="D1462" s="85"/>
      <c r="E1462" s="85"/>
      <c r="F1462" s="85"/>
      <c r="G1462" s="85"/>
      <c r="H1462" s="85"/>
      <c r="I1462" s="85"/>
      <c r="J1462" s="85"/>
      <c r="K1462" s="85"/>
      <c r="L1462" s="109"/>
      <c r="M1462" s="110"/>
      <c r="N1462" s="127"/>
      <c r="O1462" s="112"/>
      <c r="P1462" s="112"/>
      <c r="Q1462" s="118"/>
    </row>
    <row r="1463" spans="2:17" s="5" customFormat="1" ht="13">
      <c r="B1463" s="84"/>
      <c r="C1463" s="84"/>
      <c r="D1463" s="85"/>
      <c r="E1463" s="85"/>
      <c r="F1463" s="85"/>
      <c r="G1463" s="85"/>
      <c r="H1463" s="85"/>
      <c r="I1463" s="85"/>
      <c r="J1463" s="85"/>
      <c r="K1463" s="85"/>
      <c r="L1463" s="109"/>
      <c r="M1463" s="110"/>
      <c r="N1463" s="127"/>
      <c r="O1463" s="112"/>
      <c r="P1463" s="112"/>
      <c r="Q1463" s="118"/>
    </row>
    <row r="1464" spans="2:17" s="5" customFormat="1" ht="13">
      <c r="B1464" s="84"/>
      <c r="C1464" s="84"/>
      <c r="D1464" s="85"/>
      <c r="E1464" s="85"/>
      <c r="F1464" s="85"/>
      <c r="G1464" s="85"/>
      <c r="H1464" s="85"/>
      <c r="I1464" s="85"/>
      <c r="J1464" s="85"/>
      <c r="K1464" s="85"/>
      <c r="L1464" s="109"/>
      <c r="M1464" s="110"/>
      <c r="N1464" s="127"/>
      <c r="O1464" s="112"/>
      <c r="P1464" s="112"/>
      <c r="Q1464" s="118"/>
    </row>
  </sheetData>
  <autoFilter ref="A14:Q364" xr:uid="{00000000-0009-0000-0000-000001000000}"/>
  <mergeCells count="34">
    <mergeCell ref="P11:P13"/>
    <mergeCell ref="Q11:Q13"/>
    <mergeCell ref="A363:O363"/>
    <mergeCell ref="A364:O364"/>
    <mergeCell ref="M376:P376"/>
    <mergeCell ref="M377:P377"/>
    <mergeCell ref="M378:P378"/>
    <mergeCell ref="O10:Q10"/>
    <mergeCell ref="F11:I11"/>
    <mergeCell ref="F13:G13"/>
    <mergeCell ref="H13:I13"/>
    <mergeCell ref="A362:O362"/>
    <mergeCell ref="A11:A13"/>
    <mergeCell ref="B11:B13"/>
    <mergeCell ref="C11:C13"/>
    <mergeCell ref="D11:D13"/>
    <mergeCell ref="E11:E13"/>
    <mergeCell ref="J11:J13"/>
    <mergeCell ref="K11:K13"/>
    <mergeCell ref="L11:L13"/>
    <mergeCell ref="M11:M13"/>
    <mergeCell ref="N11:N13"/>
    <mergeCell ref="O11:O13"/>
    <mergeCell ref="A7:M7"/>
    <mergeCell ref="A8:M8"/>
    <mergeCell ref="A9:M9"/>
    <mergeCell ref="A10:B10"/>
    <mergeCell ref="D10:M10"/>
    <mergeCell ref="D2:Q2"/>
    <mergeCell ref="D3:Q3"/>
    <mergeCell ref="D4:Q4"/>
    <mergeCell ref="D5:Q5"/>
    <mergeCell ref="A6:Q6"/>
    <mergeCell ref="B3:B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433"/>
  <sheetViews>
    <sheetView tabSelected="1" topLeftCell="A184" zoomScale="85" zoomScaleNormal="85" workbookViewId="0">
      <selection activeCell="AD330" sqref="AD330"/>
    </sheetView>
  </sheetViews>
  <sheetFormatPr defaultColWidth="8.26953125" defaultRowHeight="14.5"/>
  <cols>
    <col min="1" max="1" width="5.7265625" customWidth="1"/>
    <col min="2" max="2" width="29.453125" style="6" customWidth="1"/>
    <col min="3" max="3" width="17.26953125" style="6" customWidth="1"/>
    <col min="4" max="4" width="13.26953125" style="7" customWidth="1"/>
    <col min="5" max="5" width="10.54296875" style="7" customWidth="1"/>
    <col min="6" max="6" width="6.26953125" style="7" customWidth="1"/>
    <col min="7" max="7" width="6.08984375" style="7" customWidth="1"/>
    <col min="8" max="11" width="6.26953125" style="7" customWidth="1"/>
    <col min="12" max="12" width="5.453125" style="8" customWidth="1"/>
    <col min="13" max="13" width="5" style="9" customWidth="1"/>
    <col min="14" max="14" width="8.7265625" style="10" customWidth="1"/>
    <col min="15" max="15" width="14.26953125" style="11" customWidth="1"/>
    <col min="16" max="16" width="15.453125" style="12" customWidth="1"/>
    <col min="17" max="17" width="40.26953125" style="13" customWidth="1"/>
    <col min="18" max="18" width="12.81640625" customWidth="1"/>
    <col min="20" max="20" width="12.26953125" customWidth="1"/>
  </cols>
  <sheetData>
    <row r="1" spans="1:17" ht="6.75" customHeight="1">
      <c r="A1" s="14"/>
      <c r="B1" s="15"/>
      <c r="C1" s="15"/>
      <c r="D1" s="16"/>
      <c r="E1" s="16"/>
      <c r="F1" s="16"/>
      <c r="G1" s="16"/>
      <c r="H1" s="16"/>
      <c r="I1" s="16"/>
      <c r="J1" s="16"/>
      <c r="K1" s="16"/>
      <c r="L1" s="31"/>
      <c r="M1" s="32"/>
      <c r="N1" s="33"/>
      <c r="O1" s="34"/>
      <c r="P1" s="35"/>
      <c r="Q1" s="48"/>
    </row>
    <row r="2" spans="1:17">
      <c r="A2" s="14"/>
      <c r="B2" s="17"/>
      <c r="C2" s="17"/>
      <c r="D2" s="299" t="s">
        <v>317</v>
      </c>
      <c r="E2" s="299"/>
      <c r="F2" s="299"/>
      <c r="G2" s="299"/>
      <c r="H2" s="299"/>
      <c r="I2" s="299"/>
      <c r="J2" s="299"/>
      <c r="K2" s="299"/>
      <c r="L2" s="299"/>
      <c r="M2" s="299"/>
      <c r="N2" s="299"/>
      <c r="O2" s="299"/>
      <c r="P2" s="299"/>
      <c r="Q2" s="299"/>
    </row>
    <row r="3" spans="1:17">
      <c r="A3" s="14"/>
      <c r="B3" s="328"/>
      <c r="C3" s="15"/>
      <c r="D3" s="300" t="s">
        <v>318</v>
      </c>
      <c r="E3" s="300"/>
      <c r="F3" s="300"/>
      <c r="G3" s="300"/>
      <c r="H3" s="300"/>
      <c r="I3" s="300"/>
      <c r="J3" s="300"/>
      <c r="K3" s="300"/>
      <c r="L3" s="300"/>
      <c r="M3" s="300"/>
      <c r="N3" s="300"/>
      <c r="O3" s="300"/>
      <c r="P3" s="300"/>
      <c r="Q3" s="300"/>
    </row>
    <row r="4" spans="1:17">
      <c r="A4" s="14"/>
      <c r="B4" s="328"/>
      <c r="C4" s="15"/>
      <c r="D4" s="300" t="s">
        <v>319</v>
      </c>
      <c r="E4" s="300"/>
      <c r="F4" s="300"/>
      <c r="G4" s="300"/>
      <c r="H4" s="300"/>
      <c r="I4" s="300"/>
      <c r="J4" s="300"/>
      <c r="K4" s="300"/>
      <c r="L4" s="300"/>
      <c r="M4" s="300"/>
      <c r="N4" s="300"/>
      <c r="O4" s="300"/>
      <c r="P4" s="300"/>
      <c r="Q4" s="300"/>
    </row>
    <row r="5" spans="1:17">
      <c r="A5" s="18"/>
      <c r="B5" s="19"/>
      <c r="C5" s="19"/>
      <c r="D5" s="301" t="s">
        <v>320</v>
      </c>
      <c r="E5" s="301"/>
      <c r="F5" s="301"/>
      <c r="G5" s="301"/>
      <c r="H5" s="301"/>
      <c r="I5" s="301"/>
      <c r="J5" s="301"/>
      <c r="K5" s="301"/>
      <c r="L5" s="301"/>
      <c r="M5" s="301"/>
      <c r="N5" s="301"/>
      <c r="O5" s="301"/>
      <c r="P5" s="301"/>
      <c r="Q5" s="301"/>
    </row>
    <row r="6" spans="1:17" s="1" customFormat="1" ht="30" customHeight="1">
      <c r="A6" s="302" t="s">
        <v>321</v>
      </c>
      <c r="B6" s="302"/>
      <c r="C6" s="302"/>
      <c r="D6" s="302"/>
      <c r="E6" s="302"/>
      <c r="F6" s="302"/>
      <c r="G6" s="302"/>
      <c r="H6" s="302"/>
      <c r="I6" s="302"/>
      <c r="J6" s="302"/>
      <c r="K6" s="302"/>
      <c r="L6" s="302"/>
      <c r="M6" s="302"/>
      <c r="N6" s="302"/>
      <c r="O6" s="302"/>
      <c r="P6" s="302"/>
      <c r="Q6" s="302"/>
    </row>
    <row r="7" spans="1:17" s="1" customFormat="1" ht="39" customHeight="1">
      <c r="A7" s="303" t="s">
        <v>322</v>
      </c>
      <c r="B7" s="304"/>
      <c r="C7" s="304"/>
      <c r="D7" s="304"/>
      <c r="E7" s="304"/>
      <c r="F7" s="304"/>
      <c r="G7" s="304"/>
      <c r="H7" s="304"/>
      <c r="I7" s="304"/>
      <c r="J7" s="304"/>
      <c r="K7" s="304"/>
      <c r="L7" s="304"/>
      <c r="M7" s="305"/>
      <c r="N7" s="36" t="s">
        <v>323</v>
      </c>
      <c r="O7" s="37"/>
      <c r="P7" s="38"/>
      <c r="Q7" s="49" t="s">
        <v>416</v>
      </c>
    </row>
    <row r="8" spans="1:17" s="1" customFormat="1" ht="18.75" customHeight="1">
      <c r="A8" s="303" t="s">
        <v>325</v>
      </c>
      <c r="B8" s="304"/>
      <c r="C8" s="304"/>
      <c r="D8" s="304"/>
      <c r="E8" s="304"/>
      <c r="F8" s="304"/>
      <c r="G8" s="304"/>
      <c r="H8" s="304"/>
      <c r="I8" s="304"/>
      <c r="J8" s="304"/>
      <c r="K8" s="304"/>
      <c r="L8" s="304"/>
      <c r="M8" s="305"/>
      <c r="N8" s="36" t="s">
        <v>326</v>
      </c>
      <c r="O8" s="39"/>
      <c r="P8" s="39"/>
      <c r="Q8" s="50" t="s">
        <v>327</v>
      </c>
    </row>
    <row r="9" spans="1:17" s="1" customFormat="1" ht="18.75" customHeight="1">
      <c r="A9" s="303" t="s">
        <v>328</v>
      </c>
      <c r="B9" s="304"/>
      <c r="C9" s="304"/>
      <c r="D9" s="304"/>
      <c r="E9" s="304"/>
      <c r="F9" s="304"/>
      <c r="G9" s="304"/>
      <c r="H9" s="304"/>
      <c r="I9" s="304"/>
      <c r="J9" s="304"/>
      <c r="K9" s="304"/>
      <c r="L9" s="304"/>
      <c r="M9" s="305"/>
      <c r="N9" s="36" t="s">
        <v>329</v>
      </c>
      <c r="O9" s="37"/>
      <c r="P9" s="38"/>
      <c r="Q9" s="281" t="s">
        <v>330</v>
      </c>
    </row>
    <row r="10" spans="1:17" s="1" customFormat="1" ht="28.5" customHeight="1">
      <c r="A10" s="303" t="s">
        <v>331</v>
      </c>
      <c r="B10" s="304"/>
      <c r="C10" s="20"/>
      <c r="D10" s="303" t="s">
        <v>332</v>
      </c>
      <c r="E10" s="304"/>
      <c r="F10" s="304"/>
      <c r="G10" s="304"/>
      <c r="H10" s="304"/>
      <c r="I10" s="304"/>
      <c r="J10" s="304"/>
      <c r="K10" s="304"/>
      <c r="L10" s="304"/>
      <c r="M10" s="305"/>
      <c r="N10" s="40" t="s">
        <v>333</v>
      </c>
      <c r="O10" s="306" t="s">
        <v>334</v>
      </c>
      <c r="P10" s="307"/>
      <c r="Q10" s="308"/>
    </row>
    <row r="11" spans="1:17" s="1" customFormat="1" ht="12.75" customHeight="1">
      <c r="A11" s="326" t="s">
        <v>335</v>
      </c>
      <c r="B11" s="326" t="s">
        <v>336</v>
      </c>
      <c r="C11" s="326" t="s">
        <v>337</v>
      </c>
      <c r="D11" s="329" t="s">
        <v>338</v>
      </c>
      <c r="E11" s="329" t="s">
        <v>339</v>
      </c>
      <c r="F11" s="309" t="s">
        <v>340</v>
      </c>
      <c r="G11" s="309"/>
      <c r="H11" s="309"/>
      <c r="I11" s="309"/>
      <c r="J11" s="331" t="s">
        <v>341</v>
      </c>
      <c r="K11" s="331" t="s">
        <v>342</v>
      </c>
      <c r="L11" s="329" t="s">
        <v>343</v>
      </c>
      <c r="M11" s="332" t="s">
        <v>344</v>
      </c>
      <c r="N11" s="340" t="s">
        <v>345</v>
      </c>
      <c r="O11" s="336" t="s">
        <v>346</v>
      </c>
      <c r="P11" s="336" t="s">
        <v>347</v>
      </c>
      <c r="Q11" s="338" t="s">
        <v>348</v>
      </c>
    </row>
    <row r="12" spans="1:17" s="1" customFormat="1" ht="27" customHeight="1">
      <c r="A12" s="327"/>
      <c r="B12" s="327"/>
      <c r="C12" s="327"/>
      <c r="D12" s="330"/>
      <c r="E12" s="330" t="s">
        <v>339</v>
      </c>
      <c r="F12" s="21" t="s">
        <v>349</v>
      </c>
      <c r="G12" s="21" t="s">
        <v>350</v>
      </c>
      <c r="H12" s="21" t="s">
        <v>351</v>
      </c>
      <c r="I12" s="21" t="s">
        <v>352</v>
      </c>
      <c r="J12" s="331"/>
      <c r="K12" s="331"/>
      <c r="L12" s="330"/>
      <c r="M12" s="333"/>
      <c r="N12" s="341"/>
      <c r="O12" s="337"/>
      <c r="P12" s="337"/>
      <c r="Q12" s="339"/>
    </row>
    <row r="13" spans="1:17" s="1" customFormat="1" ht="13">
      <c r="A13" s="327"/>
      <c r="B13" s="327"/>
      <c r="C13" s="327"/>
      <c r="D13" s="330"/>
      <c r="E13" s="330"/>
      <c r="F13" s="310" t="s">
        <v>353</v>
      </c>
      <c r="G13" s="310"/>
      <c r="H13" s="310" t="s">
        <v>354</v>
      </c>
      <c r="I13" s="310"/>
      <c r="J13" s="326"/>
      <c r="K13" s="326"/>
      <c r="L13" s="330"/>
      <c r="M13" s="333"/>
      <c r="N13" s="341"/>
      <c r="O13" s="337"/>
      <c r="P13" s="337"/>
      <c r="Q13" s="339"/>
    </row>
    <row r="14" spans="1:17" s="1" customFormat="1" ht="13">
      <c r="A14" s="22"/>
      <c r="B14" s="22"/>
      <c r="C14" s="22"/>
      <c r="D14" s="23"/>
      <c r="E14" s="23"/>
      <c r="F14" s="24"/>
      <c r="G14" s="24"/>
      <c r="H14" s="24"/>
      <c r="I14" s="24"/>
      <c r="J14" s="22"/>
      <c r="K14" s="22"/>
      <c r="L14" s="23"/>
      <c r="M14" s="41"/>
      <c r="N14" s="42"/>
      <c r="O14" s="43"/>
      <c r="P14" s="43"/>
      <c r="Q14" s="51"/>
    </row>
    <row r="15" spans="1:17" s="2" customFormat="1" ht="21" customHeight="1">
      <c r="A15" s="25" t="s">
        <v>61</v>
      </c>
      <c r="B15" s="26" t="s">
        <v>62</v>
      </c>
      <c r="C15" s="26"/>
      <c r="D15" s="25"/>
      <c r="E15" s="25"/>
      <c r="F15" s="25"/>
      <c r="G15" s="25"/>
      <c r="H15" s="25"/>
      <c r="I15" s="25"/>
      <c r="J15" s="25"/>
      <c r="K15" s="25"/>
      <c r="L15" s="25"/>
      <c r="M15" s="25"/>
      <c r="N15" s="44"/>
      <c r="O15" s="45"/>
      <c r="P15" s="45">
        <f t="shared" ref="P15:P49" si="0">O15*N15</f>
        <v>0</v>
      </c>
      <c r="Q15" s="25"/>
    </row>
    <row r="16" spans="1:17" s="2" customFormat="1" ht="13">
      <c r="A16" s="27"/>
      <c r="B16" s="28" t="s">
        <v>63</v>
      </c>
      <c r="C16" s="28"/>
      <c r="D16" s="27"/>
      <c r="E16" s="27"/>
      <c r="F16" s="27"/>
      <c r="G16" s="27"/>
      <c r="H16" s="27"/>
      <c r="I16" s="27"/>
      <c r="J16" s="27"/>
      <c r="K16" s="27"/>
      <c r="L16" s="27"/>
      <c r="M16" s="27"/>
      <c r="N16" s="46"/>
      <c r="O16" s="47"/>
      <c r="P16" s="47">
        <f t="shared" si="0"/>
        <v>0</v>
      </c>
      <c r="Q16" s="27"/>
    </row>
    <row r="17" spans="1:17" s="2" customFormat="1" ht="26">
      <c r="A17" s="27">
        <v>1</v>
      </c>
      <c r="B17" s="29" t="s">
        <v>64</v>
      </c>
      <c r="C17" s="29"/>
      <c r="D17" s="27" t="s">
        <v>359</v>
      </c>
      <c r="E17" s="27" t="s">
        <v>355</v>
      </c>
      <c r="F17" s="27">
        <v>100</v>
      </c>
      <c r="G17" s="27">
        <v>100</v>
      </c>
      <c r="H17" s="27"/>
      <c r="I17" s="27"/>
      <c r="J17" s="27"/>
      <c r="K17" s="27">
        <v>200</v>
      </c>
      <c r="L17" s="27">
        <v>0.75</v>
      </c>
      <c r="M17" s="27" t="s">
        <v>66</v>
      </c>
      <c r="N17" s="46">
        <v>111</v>
      </c>
      <c r="O17" s="47">
        <v>147420</v>
      </c>
      <c r="P17" s="47">
        <f t="shared" si="0"/>
        <v>16363620</v>
      </c>
      <c r="Q17" s="27" t="s">
        <v>360</v>
      </c>
    </row>
    <row r="18" spans="1:17" s="2" customFormat="1" ht="26">
      <c r="A18" s="27">
        <v>2</v>
      </c>
      <c r="B18" s="29" t="s">
        <v>67</v>
      </c>
      <c r="C18" s="29"/>
      <c r="D18" s="27" t="s">
        <v>359</v>
      </c>
      <c r="E18" s="27" t="s">
        <v>355</v>
      </c>
      <c r="F18" s="27">
        <v>150</v>
      </c>
      <c r="G18" s="27">
        <v>100</v>
      </c>
      <c r="H18" s="27"/>
      <c r="I18" s="27"/>
      <c r="J18" s="27"/>
      <c r="K18" s="27">
        <v>200</v>
      </c>
      <c r="L18" s="27">
        <v>0.75</v>
      </c>
      <c r="M18" s="27" t="s">
        <v>66</v>
      </c>
      <c r="N18" s="46">
        <v>23</v>
      </c>
      <c r="O18" s="47">
        <v>156870</v>
      </c>
      <c r="P18" s="47">
        <f t="shared" si="0"/>
        <v>3608010</v>
      </c>
      <c r="Q18" s="27" t="s">
        <v>360</v>
      </c>
    </row>
    <row r="19" spans="1:17" s="2" customFormat="1" ht="26">
      <c r="A19" s="27">
        <v>3</v>
      </c>
      <c r="B19" s="29" t="s">
        <v>68</v>
      </c>
      <c r="C19" s="29"/>
      <c r="D19" s="27" t="s">
        <v>359</v>
      </c>
      <c r="E19" s="27" t="s">
        <v>355</v>
      </c>
      <c r="F19" s="27">
        <v>150</v>
      </c>
      <c r="G19" s="27">
        <v>150</v>
      </c>
      <c r="H19" s="27"/>
      <c r="I19" s="27"/>
      <c r="J19" s="27"/>
      <c r="K19" s="27">
        <v>200</v>
      </c>
      <c r="L19" s="27">
        <v>0.75</v>
      </c>
      <c r="M19" s="27" t="s">
        <v>66</v>
      </c>
      <c r="N19" s="46">
        <v>23</v>
      </c>
      <c r="O19" s="47">
        <v>166320</v>
      </c>
      <c r="P19" s="47">
        <f t="shared" si="0"/>
        <v>3825360</v>
      </c>
      <c r="Q19" s="27" t="s">
        <v>360</v>
      </c>
    </row>
    <row r="20" spans="1:17" s="2" customFormat="1" ht="26">
      <c r="A20" s="27">
        <v>4</v>
      </c>
      <c r="B20" s="29" t="s">
        <v>69</v>
      </c>
      <c r="C20" s="29"/>
      <c r="D20" s="27" t="s">
        <v>359</v>
      </c>
      <c r="E20" s="27" t="s">
        <v>355</v>
      </c>
      <c r="F20" s="27">
        <v>200</v>
      </c>
      <c r="G20" s="27">
        <v>150</v>
      </c>
      <c r="H20" s="27"/>
      <c r="I20" s="27"/>
      <c r="J20" s="27"/>
      <c r="K20" s="27">
        <v>200</v>
      </c>
      <c r="L20" s="27">
        <v>0.75</v>
      </c>
      <c r="M20" s="27" t="s">
        <v>66</v>
      </c>
      <c r="N20" s="46">
        <v>1</v>
      </c>
      <c r="O20" s="47">
        <v>176715</v>
      </c>
      <c r="P20" s="47">
        <f t="shared" si="0"/>
        <v>176715</v>
      </c>
      <c r="Q20" s="27" t="s">
        <v>360</v>
      </c>
    </row>
    <row r="21" spans="1:17" s="2" customFormat="1" ht="26">
      <c r="A21" s="27">
        <v>5</v>
      </c>
      <c r="B21" s="29" t="s">
        <v>70</v>
      </c>
      <c r="C21" s="29"/>
      <c r="D21" s="27" t="s">
        <v>359</v>
      </c>
      <c r="E21" s="27" t="s">
        <v>355</v>
      </c>
      <c r="F21" s="27">
        <v>300</v>
      </c>
      <c r="G21" s="27">
        <v>250</v>
      </c>
      <c r="H21" s="27"/>
      <c r="I21" s="27"/>
      <c r="J21" s="27"/>
      <c r="K21" s="27">
        <v>200</v>
      </c>
      <c r="L21" s="27">
        <v>0.75</v>
      </c>
      <c r="M21" s="27" t="s">
        <v>66</v>
      </c>
      <c r="N21" s="46">
        <v>1</v>
      </c>
      <c r="O21" s="47">
        <v>219240</v>
      </c>
      <c r="P21" s="47">
        <f t="shared" si="0"/>
        <v>219240</v>
      </c>
      <c r="Q21" s="27" t="s">
        <v>360</v>
      </c>
    </row>
    <row r="22" spans="1:17" s="2" customFormat="1" ht="26">
      <c r="A22" s="27">
        <v>6</v>
      </c>
      <c r="B22" s="29" t="s">
        <v>71</v>
      </c>
      <c r="C22" s="29"/>
      <c r="D22" s="27" t="s">
        <v>359</v>
      </c>
      <c r="E22" s="27" t="s">
        <v>355</v>
      </c>
      <c r="F22" s="27">
        <v>350</v>
      </c>
      <c r="G22" s="27">
        <v>250</v>
      </c>
      <c r="H22" s="27"/>
      <c r="I22" s="27"/>
      <c r="J22" s="27"/>
      <c r="K22" s="27">
        <v>200</v>
      </c>
      <c r="L22" s="27">
        <v>0.75</v>
      </c>
      <c r="M22" s="27" t="s">
        <v>66</v>
      </c>
      <c r="N22" s="46">
        <v>1</v>
      </c>
      <c r="O22" s="47">
        <v>230580</v>
      </c>
      <c r="P22" s="47">
        <f t="shared" si="0"/>
        <v>230580</v>
      </c>
      <c r="Q22" s="27" t="s">
        <v>360</v>
      </c>
    </row>
    <row r="23" spans="1:17" s="2" customFormat="1" ht="26">
      <c r="A23" s="27">
        <v>7</v>
      </c>
      <c r="B23" s="29" t="s">
        <v>72</v>
      </c>
      <c r="C23" s="29"/>
      <c r="D23" s="27" t="s">
        <v>359</v>
      </c>
      <c r="E23" s="27" t="s">
        <v>355</v>
      </c>
      <c r="F23" s="27">
        <v>400</v>
      </c>
      <c r="G23" s="27">
        <v>200</v>
      </c>
      <c r="H23" s="27"/>
      <c r="I23" s="27"/>
      <c r="J23" s="27"/>
      <c r="K23" s="27">
        <v>200</v>
      </c>
      <c r="L23" s="27">
        <v>0.75</v>
      </c>
      <c r="M23" s="27" t="s">
        <v>66</v>
      </c>
      <c r="N23" s="46">
        <v>6</v>
      </c>
      <c r="O23" s="47">
        <v>228690</v>
      </c>
      <c r="P23" s="47">
        <f t="shared" si="0"/>
        <v>1372140</v>
      </c>
      <c r="Q23" s="27" t="s">
        <v>360</v>
      </c>
    </row>
    <row r="24" spans="1:17" s="2" customFormat="1" ht="26">
      <c r="A24" s="27">
        <v>8</v>
      </c>
      <c r="B24" s="29" t="s">
        <v>73</v>
      </c>
      <c r="C24" s="29"/>
      <c r="D24" s="27" t="s">
        <v>359</v>
      </c>
      <c r="E24" s="27" t="s">
        <v>355</v>
      </c>
      <c r="F24" s="27">
        <v>400</v>
      </c>
      <c r="G24" s="27">
        <v>250</v>
      </c>
      <c r="H24" s="27"/>
      <c r="I24" s="27"/>
      <c r="J24" s="27"/>
      <c r="K24" s="27">
        <v>200</v>
      </c>
      <c r="L24" s="27">
        <v>0.75</v>
      </c>
      <c r="M24" s="27" t="s">
        <v>66</v>
      </c>
      <c r="N24" s="46">
        <v>3</v>
      </c>
      <c r="O24" s="47">
        <v>241920</v>
      </c>
      <c r="P24" s="47">
        <f t="shared" si="0"/>
        <v>725760</v>
      </c>
      <c r="Q24" s="27" t="s">
        <v>360</v>
      </c>
    </row>
    <row r="25" spans="1:17" s="2" customFormat="1" ht="26">
      <c r="A25" s="27">
        <v>9</v>
      </c>
      <c r="B25" s="29" t="s">
        <v>74</v>
      </c>
      <c r="C25" s="29"/>
      <c r="D25" s="27" t="s">
        <v>359</v>
      </c>
      <c r="E25" s="27" t="s">
        <v>355</v>
      </c>
      <c r="F25" s="27">
        <v>400</v>
      </c>
      <c r="G25" s="27">
        <v>300</v>
      </c>
      <c r="H25" s="27"/>
      <c r="I25" s="27"/>
      <c r="J25" s="27"/>
      <c r="K25" s="27">
        <v>200</v>
      </c>
      <c r="L25" s="27">
        <v>0.75</v>
      </c>
      <c r="M25" s="27" t="s">
        <v>66</v>
      </c>
      <c r="N25" s="46">
        <v>4</v>
      </c>
      <c r="O25" s="47">
        <v>274050</v>
      </c>
      <c r="P25" s="47">
        <f t="shared" si="0"/>
        <v>1096200</v>
      </c>
      <c r="Q25" s="27" t="s">
        <v>360</v>
      </c>
    </row>
    <row r="26" spans="1:17" s="2" customFormat="1" ht="26">
      <c r="A26" s="27">
        <v>10</v>
      </c>
      <c r="B26" s="29" t="s">
        <v>75</v>
      </c>
      <c r="C26" s="29"/>
      <c r="D26" s="27" t="s">
        <v>359</v>
      </c>
      <c r="E26" s="27" t="s">
        <v>355</v>
      </c>
      <c r="F26" s="27">
        <v>450</v>
      </c>
      <c r="G26" s="27">
        <v>250</v>
      </c>
      <c r="H26" s="27"/>
      <c r="I26" s="27"/>
      <c r="J26" s="27"/>
      <c r="K26" s="27">
        <v>200</v>
      </c>
      <c r="L26" s="27">
        <v>0.75</v>
      </c>
      <c r="M26" s="27" t="s">
        <v>66</v>
      </c>
      <c r="N26" s="46">
        <v>2</v>
      </c>
      <c r="O26" s="47">
        <v>253260</v>
      </c>
      <c r="P26" s="47">
        <f t="shared" si="0"/>
        <v>506520</v>
      </c>
      <c r="Q26" s="27" t="s">
        <v>360</v>
      </c>
    </row>
    <row r="27" spans="1:17" s="2" customFormat="1" ht="26">
      <c r="A27" s="27">
        <v>11</v>
      </c>
      <c r="B27" s="29" t="s">
        <v>76</v>
      </c>
      <c r="C27" s="29"/>
      <c r="D27" s="27" t="s">
        <v>359</v>
      </c>
      <c r="E27" s="27" t="s">
        <v>355</v>
      </c>
      <c r="F27" s="27">
        <v>500</v>
      </c>
      <c r="G27" s="27">
        <v>300</v>
      </c>
      <c r="H27" s="27"/>
      <c r="I27" s="27"/>
      <c r="J27" s="27"/>
      <c r="K27" s="27">
        <v>200</v>
      </c>
      <c r="L27" s="27">
        <v>0.75</v>
      </c>
      <c r="M27" s="27" t="s">
        <v>66</v>
      </c>
      <c r="N27" s="46">
        <v>2</v>
      </c>
      <c r="O27" s="47">
        <v>297675</v>
      </c>
      <c r="P27" s="47">
        <f t="shared" si="0"/>
        <v>595350</v>
      </c>
      <c r="Q27" s="27" t="s">
        <v>360</v>
      </c>
    </row>
    <row r="28" spans="1:17" s="2" customFormat="1" ht="26">
      <c r="A28" s="27">
        <v>12</v>
      </c>
      <c r="B28" s="29" t="s">
        <v>77</v>
      </c>
      <c r="C28" s="29"/>
      <c r="D28" s="27" t="s">
        <v>359</v>
      </c>
      <c r="E28" s="27" t="s">
        <v>355</v>
      </c>
      <c r="F28" s="27">
        <v>500</v>
      </c>
      <c r="G28" s="27">
        <v>250</v>
      </c>
      <c r="H28" s="27"/>
      <c r="I28" s="27"/>
      <c r="J28" s="27"/>
      <c r="K28" s="27">
        <v>200</v>
      </c>
      <c r="L28" s="27">
        <v>0.75</v>
      </c>
      <c r="M28" s="27" t="s">
        <v>66</v>
      </c>
      <c r="N28" s="46">
        <v>1</v>
      </c>
      <c r="O28" s="47">
        <v>263655</v>
      </c>
      <c r="P28" s="47">
        <f t="shared" si="0"/>
        <v>263655</v>
      </c>
      <c r="Q28" s="27" t="s">
        <v>360</v>
      </c>
    </row>
    <row r="29" spans="1:17" s="2" customFormat="1" ht="26">
      <c r="A29" s="27">
        <v>13</v>
      </c>
      <c r="B29" s="29" t="s">
        <v>78</v>
      </c>
      <c r="C29" s="29"/>
      <c r="D29" s="27" t="s">
        <v>359</v>
      </c>
      <c r="E29" s="27" t="s">
        <v>355</v>
      </c>
      <c r="F29" s="27">
        <v>550</v>
      </c>
      <c r="G29" s="27">
        <v>250</v>
      </c>
      <c r="H29" s="27"/>
      <c r="I29" s="27"/>
      <c r="J29" s="27"/>
      <c r="K29" s="27">
        <v>200</v>
      </c>
      <c r="L29" s="27">
        <v>0.75</v>
      </c>
      <c r="M29" s="27" t="s">
        <v>66</v>
      </c>
      <c r="N29" s="46">
        <v>1</v>
      </c>
      <c r="O29" s="47">
        <v>274995</v>
      </c>
      <c r="P29" s="47">
        <f t="shared" si="0"/>
        <v>274995</v>
      </c>
      <c r="Q29" s="27" t="s">
        <v>360</v>
      </c>
    </row>
    <row r="30" spans="1:17" s="2" customFormat="1" ht="26">
      <c r="A30" s="27">
        <v>14</v>
      </c>
      <c r="B30" s="29" t="s">
        <v>79</v>
      </c>
      <c r="C30" s="29"/>
      <c r="D30" s="27" t="s">
        <v>359</v>
      </c>
      <c r="E30" s="27" t="s">
        <v>355</v>
      </c>
      <c r="F30" s="27">
        <v>600</v>
      </c>
      <c r="G30" s="27">
        <v>300</v>
      </c>
      <c r="H30" s="27"/>
      <c r="I30" s="27"/>
      <c r="J30" s="27"/>
      <c r="K30" s="27">
        <v>200</v>
      </c>
      <c r="L30" s="27">
        <v>0.75</v>
      </c>
      <c r="M30" s="27" t="s">
        <v>66</v>
      </c>
      <c r="N30" s="46">
        <v>3</v>
      </c>
      <c r="O30" s="47">
        <v>321300</v>
      </c>
      <c r="P30" s="47">
        <f t="shared" si="0"/>
        <v>963900</v>
      </c>
      <c r="Q30" s="27" t="s">
        <v>360</v>
      </c>
    </row>
    <row r="31" spans="1:17" s="2" customFormat="1" ht="26">
      <c r="A31" s="27">
        <v>15</v>
      </c>
      <c r="B31" s="29" t="s">
        <v>80</v>
      </c>
      <c r="C31" s="29"/>
      <c r="D31" s="27" t="s">
        <v>359</v>
      </c>
      <c r="E31" s="27" t="s">
        <v>355</v>
      </c>
      <c r="F31" s="27">
        <v>650</v>
      </c>
      <c r="G31" s="27">
        <v>250</v>
      </c>
      <c r="H31" s="27"/>
      <c r="I31" s="27"/>
      <c r="J31" s="27"/>
      <c r="K31" s="27">
        <v>200</v>
      </c>
      <c r="L31" s="27">
        <v>0.75</v>
      </c>
      <c r="M31" s="27" t="s">
        <v>66</v>
      </c>
      <c r="N31" s="46">
        <v>1</v>
      </c>
      <c r="O31" s="47">
        <v>297675</v>
      </c>
      <c r="P31" s="47">
        <f t="shared" si="0"/>
        <v>297675</v>
      </c>
      <c r="Q31" s="27" t="s">
        <v>360</v>
      </c>
    </row>
    <row r="32" spans="1:17" s="2" customFormat="1" ht="26">
      <c r="A32" s="27">
        <v>16</v>
      </c>
      <c r="B32" s="29" t="s">
        <v>81</v>
      </c>
      <c r="C32" s="29"/>
      <c r="D32" s="27" t="s">
        <v>359</v>
      </c>
      <c r="E32" s="27" t="s">
        <v>355</v>
      </c>
      <c r="F32" s="27">
        <v>650</v>
      </c>
      <c r="G32" s="27">
        <v>300</v>
      </c>
      <c r="H32" s="27"/>
      <c r="I32" s="27"/>
      <c r="J32" s="27"/>
      <c r="K32" s="27">
        <v>200</v>
      </c>
      <c r="L32" s="27">
        <v>0.75</v>
      </c>
      <c r="M32" s="27" t="s">
        <v>66</v>
      </c>
      <c r="N32" s="46">
        <v>1</v>
      </c>
      <c r="O32" s="47">
        <v>332640</v>
      </c>
      <c r="P32" s="47">
        <f t="shared" si="0"/>
        <v>332640</v>
      </c>
      <c r="Q32" s="27" t="s">
        <v>360</v>
      </c>
    </row>
    <row r="33" spans="1:17" s="2" customFormat="1" ht="26">
      <c r="A33" s="27">
        <v>17</v>
      </c>
      <c r="B33" s="29" t="s">
        <v>82</v>
      </c>
      <c r="C33" s="29"/>
      <c r="D33" s="27" t="s">
        <v>359</v>
      </c>
      <c r="E33" s="27" t="s">
        <v>355</v>
      </c>
      <c r="F33" s="27">
        <v>650</v>
      </c>
      <c r="G33" s="27">
        <v>350</v>
      </c>
      <c r="H33" s="27"/>
      <c r="I33" s="27"/>
      <c r="J33" s="27"/>
      <c r="K33" s="27">
        <v>200</v>
      </c>
      <c r="L33" s="27">
        <v>0.75</v>
      </c>
      <c r="M33" s="27" t="s">
        <v>66</v>
      </c>
      <c r="N33" s="46">
        <v>1</v>
      </c>
      <c r="O33" s="47">
        <v>348705</v>
      </c>
      <c r="P33" s="47">
        <f t="shared" si="0"/>
        <v>348705</v>
      </c>
      <c r="Q33" s="27" t="s">
        <v>360</v>
      </c>
    </row>
    <row r="34" spans="1:17" s="2" customFormat="1" ht="26">
      <c r="A34" s="27">
        <v>18</v>
      </c>
      <c r="B34" s="29" t="s">
        <v>83</v>
      </c>
      <c r="C34" s="29"/>
      <c r="D34" s="27" t="s">
        <v>359</v>
      </c>
      <c r="E34" s="27" t="s">
        <v>355</v>
      </c>
      <c r="F34" s="27">
        <v>800</v>
      </c>
      <c r="G34" s="27">
        <v>600</v>
      </c>
      <c r="H34" s="27"/>
      <c r="I34" s="27"/>
      <c r="J34" s="27"/>
      <c r="K34" s="27">
        <v>200</v>
      </c>
      <c r="L34" s="27">
        <v>0.95</v>
      </c>
      <c r="M34" s="27" t="s">
        <v>66</v>
      </c>
      <c r="N34" s="46">
        <v>1</v>
      </c>
      <c r="O34" s="47">
        <v>600075</v>
      </c>
      <c r="P34" s="47">
        <f t="shared" si="0"/>
        <v>600075</v>
      </c>
      <c r="Q34" s="27" t="s">
        <v>360</v>
      </c>
    </row>
    <row r="35" spans="1:17" s="2" customFormat="1" ht="26">
      <c r="A35" s="27">
        <v>19</v>
      </c>
      <c r="B35" s="29" t="s">
        <v>84</v>
      </c>
      <c r="C35" s="29"/>
      <c r="D35" s="27" t="s">
        <v>359</v>
      </c>
      <c r="E35" s="27" t="s">
        <v>355</v>
      </c>
      <c r="F35" s="27">
        <v>900</v>
      </c>
      <c r="G35" s="27">
        <v>300</v>
      </c>
      <c r="H35" s="27"/>
      <c r="I35" s="27"/>
      <c r="J35" s="27"/>
      <c r="K35" s="27">
        <v>200</v>
      </c>
      <c r="L35" s="27">
        <v>0.95</v>
      </c>
      <c r="M35" s="27" t="s">
        <v>66</v>
      </c>
      <c r="N35" s="46">
        <v>1</v>
      </c>
      <c r="O35" s="47">
        <v>438480</v>
      </c>
      <c r="P35" s="47">
        <f t="shared" si="0"/>
        <v>438480</v>
      </c>
      <c r="Q35" s="27" t="s">
        <v>360</v>
      </c>
    </row>
    <row r="36" spans="1:17" s="2" customFormat="1" ht="26">
      <c r="A36" s="27">
        <v>20</v>
      </c>
      <c r="B36" s="29" t="s">
        <v>85</v>
      </c>
      <c r="C36" s="29"/>
      <c r="D36" s="27" t="s">
        <v>359</v>
      </c>
      <c r="E36" s="27" t="s">
        <v>355</v>
      </c>
      <c r="F36" s="27">
        <v>900</v>
      </c>
      <c r="G36" s="27">
        <v>500</v>
      </c>
      <c r="H36" s="27"/>
      <c r="I36" s="27"/>
      <c r="J36" s="27"/>
      <c r="K36" s="27">
        <v>200</v>
      </c>
      <c r="L36" s="27">
        <v>0.95</v>
      </c>
      <c r="M36" s="27" t="s">
        <v>66</v>
      </c>
      <c r="N36" s="46">
        <v>1</v>
      </c>
      <c r="O36" s="47">
        <v>590625</v>
      </c>
      <c r="P36" s="47">
        <f t="shared" si="0"/>
        <v>590625</v>
      </c>
      <c r="Q36" s="27" t="s">
        <v>360</v>
      </c>
    </row>
    <row r="37" spans="1:17" s="2" customFormat="1" ht="26">
      <c r="A37" s="27">
        <v>21</v>
      </c>
      <c r="B37" s="29" t="s">
        <v>86</v>
      </c>
      <c r="C37" s="29"/>
      <c r="D37" s="27" t="s">
        <v>359</v>
      </c>
      <c r="E37" s="27" t="s">
        <v>355</v>
      </c>
      <c r="F37" s="27">
        <v>900</v>
      </c>
      <c r="G37" s="27">
        <v>900</v>
      </c>
      <c r="H37" s="27"/>
      <c r="I37" s="27"/>
      <c r="J37" s="27"/>
      <c r="K37" s="27">
        <v>200</v>
      </c>
      <c r="L37" s="27">
        <v>1.1499999999999999</v>
      </c>
      <c r="M37" s="27" t="s">
        <v>66</v>
      </c>
      <c r="N37" s="46">
        <v>1</v>
      </c>
      <c r="O37" s="47">
        <v>849555</v>
      </c>
      <c r="P37" s="47">
        <f t="shared" si="0"/>
        <v>849555</v>
      </c>
      <c r="Q37" s="27" t="s">
        <v>360</v>
      </c>
    </row>
    <row r="38" spans="1:17" s="2" customFormat="1" ht="26">
      <c r="A38" s="27">
        <v>22</v>
      </c>
      <c r="B38" s="29" t="s">
        <v>87</v>
      </c>
      <c r="C38" s="29"/>
      <c r="D38" s="27" t="s">
        <v>359</v>
      </c>
      <c r="E38" s="27" t="s">
        <v>355</v>
      </c>
      <c r="F38" s="27">
        <v>950</v>
      </c>
      <c r="G38" s="27">
        <v>500</v>
      </c>
      <c r="H38" s="27"/>
      <c r="I38" s="27"/>
      <c r="J38" s="27"/>
      <c r="K38" s="27">
        <v>200</v>
      </c>
      <c r="L38" s="27">
        <v>0.95</v>
      </c>
      <c r="M38" s="27" t="s">
        <v>66</v>
      </c>
      <c r="N38" s="46">
        <v>1</v>
      </c>
      <c r="O38" s="47">
        <v>607635</v>
      </c>
      <c r="P38" s="47">
        <f t="shared" si="0"/>
        <v>607635</v>
      </c>
      <c r="Q38" s="27" t="s">
        <v>360</v>
      </c>
    </row>
    <row r="39" spans="1:17" s="2" customFormat="1" ht="26">
      <c r="A39" s="27">
        <v>23</v>
      </c>
      <c r="B39" s="29" t="s">
        <v>88</v>
      </c>
      <c r="C39" s="29"/>
      <c r="D39" s="27" t="s">
        <v>359</v>
      </c>
      <c r="E39" s="27" t="s">
        <v>355</v>
      </c>
      <c r="F39" s="27">
        <v>1000</v>
      </c>
      <c r="G39" s="27">
        <v>1000</v>
      </c>
      <c r="H39" s="27"/>
      <c r="I39" s="27"/>
      <c r="J39" s="27"/>
      <c r="K39" s="27">
        <v>200</v>
      </c>
      <c r="L39" s="27">
        <v>1.1499999999999999</v>
      </c>
      <c r="M39" s="27" t="s">
        <v>66</v>
      </c>
      <c r="N39" s="46">
        <v>1</v>
      </c>
      <c r="O39" s="47">
        <v>1153845</v>
      </c>
      <c r="P39" s="47">
        <f t="shared" si="0"/>
        <v>1153845</v>
      </c>
      <c r="Q39" s="27" t="s">
        <v>360</v>
      </c>
    </row>
    <row r="40" spans="1:17" s="2" customFormat="1" ht="75.75" customHeight="1">
      <c r="A40" s="27">
        <v>24</v>
      </c>
      <c r="B40" s="29" t="s">
        <v>90</v>
      </c>
      <c r="C40" s="29"/>
      <c r="D40" s="27" t="s">
        <v>361</v>
      </c>
      <c r="E40" s="27" t="s">
        <v>355</v>
      </c>
      <c r="F40" s="30">
        <v>150</v>
      </c>
      <c r="G40" s="30">
        <v>150</v>
      </c>
      <c r="H40" s="27"/>
      <c r="I40" s="27"/>
      <c r="J40" s="27"/>
      <c r="K40" s="27">
        <v>200</v>
      </c>
      <c r="L40" s="27">
        <v>1.1499999999999999</v>
      </c>
      <c r="M40" s="27" t="s">
        <v>66</v>
      </c>
      <c r="N40" s="46">
        <v>93</v>
      </c>
      <c r="O40" s="47">
        <v>855742.28249999997</v>
      </c>
      <c r="P40" s="47">
        <f t="shared" si="0"/>
        <v>79584032.272499993</v>
      </c>
      <c r="Q40" s="27" t="s">
        <v>417</v>
      </c>
    </row>
    <row r="41" spans="1:17" s="2" customFormat="1" ht="70.5" customHeight="1">
      <c r="A41" s="27">
        <v>25</v>
      </c>
      <c r="B41" s="29" t="s">
        <v>91</v>
      </c>
      <c r="C41" s="29"/>
      <c r="D41" s="27" t="s">
        <v>361</v>
      </c>
      <c r="E41" s="27" t="s">
        <v>355</v>
      </c>
      <c r="F41" s="30">
        <v>150</v>
      </c>
      <c r="G41" s="30">
        <v>150</v>
      </c>
      <c r="H41" s="27"/>
      <c r="I41" s="27"/>
      <c r="J41" s="27"/>
      <c r="K41" s="27">
        <v>200</v>
      </c>
      <c r="L41" s="27">
        <v>1.1499999999999999</v>
      </c>
      <c r="M41" s="27" t="s">
        <v>66</v>
      </c>
      <c r="N41" s="46">
        <v>52</v>
      </c>
      <c r="O41" s="47">
        <v>855742.28249999997</v>
      </c>
      <c r="P41" s="47">
        <f t="shared" si="0"/>
        <v>44498598.689999998</v>
      </c>
      <c r="Q41" s="27" t="s">
        <v>417</v>
      </c>
    </row>
    <row r="42" spans="1:17" s="2" customFormat="1" ht="39">
      <c r="A42" s="27">
        <v>26</v>
      </c>
      <c r="B42" s="29" t="s">
        <v>92</v>
      </c>
      <c r="C42" s="29"/>
      <c r="D42" s="27" t="s">
        <v>361</v>
      </c>
      <c r="E42" s="27" t="s">
        <v>355</v>
      </c>
      <c r="F42" s="27">
        <v>150</v>
      </c>
      <c r="G42" s="27">
        <v>150</v>
      </c>
      <c r="H42" s="27"/>
      <c r="I42" s="27"/>
      <c r="J42" s="27"/>
      <c r="K42" s="27">
        <v>200</v>
      </c>
      <c r="L42" s="27">
        <v>1.1499999999999999</v>
      </c>
      <c r="M42" s="27" t="s">
        <v>66</v>
      </c>
      <c r="N42" s="46">
        <v>24</v>
      </c>
      <c r="O42" s="47">
        <v>855742.28249999997</v>
      </c>
      <c r="P42" s="47">
        <f t="shared" si="0"/>
        <v>20537814.780000001</v>
      </c>
      <c r="Q42" s="27" t="s">
        <v>364</v>
      </c>
    </row>
    <row r="43" spans="1:17" s="2" customFormat="1" ht="39">
      <c r="A43" s="27">
        <v>27</v>
      </c>
      <c r="B43" s="29" t="s">
        <v>93</v>
      </c>
      <c r="C43" s="29"/>
      <c r="D43" s="27" t="s">
        <v>361</v>
      </c>
      <c r="E43" s="27" t="s">
        <v>355</v>
      </c>
      <c r="F43" s="27">
        <v>300</v>
      </c>
      <c r="G43" s="27">
        <v>250</v>
      </c>
      <c r="H43" s="27"/>
      <c r="I43" s="27"/>
      <c r="J43" s="27"/>
      <c r="K43" s="27">
        <v>200</v>
      </c>
      <c r="L43" s="27">
        <v>1.1499999999999999</v>
      </c>
      <c r="M43" s="27" t="s">
        <v>66</v>
      </c>
      <c r="N43" s="46">
        <v>2</v>
      </c>
      <c r="O43" s="47">
        <v>1156469.58</v>
      </c>
      <c r="P43" s="47">
        <f t="shared" si="0"/>
        <v>2312939.16</v>
      </c>
      <c r="Q43" s="27" t="s">
        <v>364</v>
      </c>
    </row>
    <row r="44" spans="1:17" s="2" customFormat="1" ht="39">
      <c r="A44" s="27">
        <v>28</v>
      </c>
      <c r="B44" s="29" t="s">
        <v>94</v>
      </c>
      <c r="C44" s="29"/>
      <c r="D44" s="27" t="s">
        <v>361</v>
      </c>
      <c r="E44" s="27" t="s">
        <v>355</v>
      </c>
      <c r="F44" s="27">
        <v>300</v>
      </c>
      <c r="G44" s="27">
        <v>300</v>
      </c>
      <c r="H44" s="27"/>
      <c r="I44" s="27"/>
      <c r="J44" s="27"/>
      <c r="K44" s="27">
        <v>200</v>
      </c>
      <c r="L44" s="27">
        <v>1.1499999999999999</v>
      </c>
      <c r="M44" s="27" t="s">
        <v>66</v>
      </c>
      <c r="N44" s="46">
        <v>3</v>
      </c>
      <c r="O44" s="47">
        <v>1548740.4450000001</v>
      </c>
      <c r="P44" s="47">
        <f t="shared" si="0"/>
        <v>4646221.335</v>
      </c>
      <c r="Q44" s="27" t="s">
        <v>364</v>
      </c>
    </row>
    <row r="45" spans="1:17" s="2" customFormat="1" ht="39">
      <c r="A45" s="27">
        <v>29</v>
      </c>
      <c r="B45" s="29" t="s">
        <v>95</v>
      </c>
      <c r="C45" s="29"/>
      <c r="D45" s="27" t="s">
        <v>361</v>
      </c>
      <c r="E45" s="27" t="s">
        <v>355</v>
      </c>
      <c r="F45" s="27">
        <v>350</v>
      </c>
      <c r="G45" s="27">
        <v>250</v>
      </c>
      <c r="H45" s="27"/>
      <c r="I45" s="27"/>
      <c r="J45" s="27"/>
      <c r="K45" s="27">
        <v>200</v>
      </c>
      <c r="L45" s="27">
        <v>1.1499999999999999</v>
      </c>
      <c r="M45" s="27" t="s">
        <v>66</v>
      </c>
      <c r="N45" s="46">
        <v>3</v>
      </c>
      <c r="O45" s="47">
        <v>1220272.6725000001</v>
      </c>
      <c r="P45" s="47">
        <f t="shared" si="0"/>
        <v>3660818.0175000001</v>
      </c>
      <c r="Q45" s="27" t="s">
        <v>364</v>
      </c>
    </row>
    <row r="46" spans="1:17" s="2" customFormat="1" ht="39">
      <c r="A46" s="27">
        <v>30</v>
      </c>
      <c r="B46" s="29" t="s">
        <v>96</v>
      </c>
      <c r="C46" s="29"/>
      <c r="D46" s="27" t="s">
        <v>361</v>
      </c>
      <c r="E46" s="27" t="s">
        <v>355</v>
      </c>
      <c r="F46" s="27">
        <v>400</v>
      </c>
      <c r="G46" s="27">
        <v>200</v>
      </c>
      <c r="H46" s="27"/>
      <c r="I46" s="27"/>
      <c r="J46" s="27"/>
      <c r="K46" s="27">
        <v>200</v>
      </c>
      <c r="L46" s="27">
        <v>1.1499999999999999</v>
      </c>
      <c r="M46" s="27" t="s">
        <v>66</v>
      </c>
      <c r="N46" s="46">
        <v>2</v>
      </c>
      <c r="O46" s="47">
        <v>1207121.6325000001</v>
      </c>
      <c r="P46" s="47">
        <f t="shared" si="0"/>
        <v>2414243.2650000001</v>
      </c>
      <c r="Q46" s="27" t="s">
        <v>364</v>
      </c>
    </row>
    <row r="47" spans="1:17" s="2" customFormat="1" ht="39">
      <c r="A47" s="27">
        <v>31</v>
      </c>
      <c r="B47" s="29" t="s">
        <v>97</v>
      </c>
      <c r="C47" s="29"/>
      <c r="D47" s="27" t="s">
        <v>361</v>
      </c>
      <c r="E47" s="27" t="s">
        <v>355</v>
      </c>
      <c r="F47" s="27">
        <v>400</v>
      </c>
      <c r="G47" s="27">
        <v>250</v>
      </c>
      <c r="H47" s="27"/>
      <c r="I47" s="27"/>
      <c r="J47" s="27"/>
      <c r="K47" s="27">
        <v>200</v>
      </c>
      <c r="L47" s="27">
        <v>1.1499999999999999</v>
      </c>
      <c r="M47" s="27" t="s">
        <v>66</v>
      </c>
      <c r="N47" s="46">
        <v>0</v>
      </c>
      <c r="O47" s="47">
        <v>1283870.28</v>
      </c>
      <c r="P47" s="47">
        <f t="shared" si="0"/>
        <v>0</v>
      </c>
      <c r="Q47" s="27" t="s">
        <v>364</v>
      </c>
    </row>
    <row r="48" spans="1:17" s="2" customFormat="1" ht="39">
      <c r="A48" s="27">
        <v>32</v>
      </c>
      <c r="B48" s="29" t="s">
        <v>98</v>
      </c>
      <c r="C48" s="29"/>
      <c r="D48" s="27" t="s">
        <v>361</v>
      </c>
      <c r="E48" s="27" t="s">
        <v>355</v>
      </c>
      <c r="F48" s="27">
        <v>400</v>
      </c>
      <c r="G48" s="27">
        <v>300</v>
      </c>
      <c r="H48" s="27"/>
      <c r="I48" s="27"/>
      <c r="J48" s="27"/>
      <c r="K48" s="27">
        <v>200</v>
      </c>
      <c r="L48" s="27">
        <v>1.1499999999999999</v>
      </c>
      <c r="M48" s="27" t="s">
        <v>66</v>
      </c>
      <c r="N48" s="46">
        <v>3</v>
      </c>
      <c r="O48" s="47">
        <v>1674497.2649999999</v>
      </c>
      <c r="P48" s="47">
        <f t="shared" si="0"/>
        <v>5023491.7949999999</v>
      </c>
      <c r="Q48" s="27" t="s">
        <v>364</v>
      </c>
    </row>
    <row r="49" spans="1:17" s="2" customFormat="1" ht="39">
      <c r="A49" s="27">
        <v>33</v>
      </c>
      <c r="B49" s="29" t="s">
        <v>99</v>
      </c>
      <c r="C49" s="29"/>
      <c r="D49" s="27" t="s">
        <v>361</v>
      </c>
      <c r="E49" s="27" t="s">
        <v>355</v>
      </c>
      <c r="F49" s="27">
        <v>400</v>
      </c>
      <c r="G49" s="27">
        <v>350</v>
      </c>
      <c r="H49" s="27"/>
      <c r="I49" s="27"/>
      <c r="J49" s="27"/>
      <c r="K49" s="27">
        <v>200</v>
      </c>
      <c r="L49" s="27">
        <v>1.1499999999999999</v>
      </c>
      <c r="M49" s="27" t="s">
        <v>66</v>
      </c>
      <c r="N49" s="46">
        <v>1</v>
      </c>
      <c r="O49" s="47">
        <v>1745492.3325</v>
      </c>
      <c r="P49" s="47">
        <f t="shared" si="0"/>
        <v>1745492.3325</v>
      </c>
      <c r="Q49" s="27" t="s">
        <v>364</v>
      </c>
    </row>
    <row r="50" spans="1:17" s="2" customFormat="1" ht="39">
      <c r="A50" s="27">
        <v>34</v>
      </c>
      <c r="B50" s="29" t="s">
        <v>100</v>
      </c>
      <c r="C50" s="29"/>
      <c r="D50" s="27" t="s">
        <v>361</v>
      </c>
      <c r="E50" s="27" t="s">
        <v>355</v>
      </c>
      <c r="F50" s="27">
        <v>450</v>
      </c>
      <c r="G50" s="27">
        <v>250</v>
      </c>
      <c r="H50" s="27"/>
      <c r="I50" s="27"/>
      <c r="J50" s="27"/>
      <c r="K50" s="27">
        <v>200</v>
      </c>
      <c r="L50" s="27">
        <v>1.1499999999999999</v>
      </c>
      <c r="M50" s="27" t="s">
        <v>66</v>
      </c>
      <c r="N50" s="46">
        <v>4</v>
      </c>
      <c r="O50" s="47">
        <v>1347467.8875</v>
      </c>
      <c r="P50" s="47">
        <f t="shared" ref="P50:P113" si="1">O50*N50</f>
        <v>5389871.5499999998</v>
      </c>
      <c r="Q50" s="27" t="s">
        <v>364</v>
      </c>
    </row>
    <row r="51" spans="1:17" s="2" customFormat="1" ht="39">
      <c r="A51" s="27">
        <v>35</v>
      </c>
      <c r="B51" s="29" t="s">
        <v>101</v>
      </c>
      <c r="C51" s="29"/>
      <c r="D51" s="27" t="s">
        <v>361</v>
      </c>
      <c r="E51" s="27" t="s">
        <v>355</v>
      </c>
      <c r="F51" s="27">
        <v>550</v>
      </c>
      <c r="G51" s="27">
        <v>250</v>
      </c>
      <c r="H51" s="27"/>
      <c r="I51" s="27"/>
      <c r="J51" s="27"/>
      <c r="K51" s="27">
        <v>200</v>
      </c>
      <c r="L51" s="27">
        <v>1.1499999999999999</v>
      </c>
      <c r="M51" s="27" t="s">
        <v>66</v>
      </c>
      <c r="N51" s="46">
        <v>3</v>
      </c>
      <c r="O51" s="47">
        <v>1474868.5874999999</v>
      </c>
      <c r="P51" s="47">
        <f t="shared" si="1"/>
        <v>4424605.7625000002</v>
      </c>
      <c r="Q51" s="27" t="s">
        <v>364</v>
      </c>
    </row>
    <row r="52" spans="1:17" s="2" customFormat="1" ht="39">
      <c r="A52" s="27">
        <v>36</v>
      </c>
      <c r="B52" s="29" t="s">
        <v>102</v>
      </c>
      <c r="C52" s="29"/>
      <c r="D52" s="27" t="s">
        <v>361</v>
      </c>
      <c r="E52" s="27" t="s">
        <v>355</v>
      </c>
      <c r="F52" s="27">
        <v>550</v>
      </c>
      <c r="G52" s="27">
        <v>350</v>
      </c>
      <c r="H52" s="27"/>
      <c r="I52" s="27"/>
      <c r="J52" s="27"/>
      <c r="K52" s="27">
        <v>200</v>
      </c>
      <c r="L52" s="27">
        <v>1.1499999999999999</v>
      </c>
      <c r="M52" s="27" t="s">
        <v>66</v>
      </c>
      <c r="N52" s="46">
        <v>1</v>
      </c>
      <c r="O52" s="47">
        <v>1946148.4350000001</v>
      </c>
      <c r="P52" s="47">
        <f t="shared" si="1"/>
        <v>1946148.4350000001</v>
      </c>
      <c r="Q52" s="27" t="s">
        <v>364</v>
      </c>
    </row>
    <row r="53" spans="1:17" s="2" customFormat="1" ht="39">
      <c r="A53" s="27">
        <v>37</v>
      </c>
      <c r="B53" s="29" t="s">
        <v>103</v>
      </c>
      <c r="C53" s="29"/>
      <c r="D53" s="27" t="s">
        <v>361</v>
      </c>
      <c r="E53" s="27" t="s">
        <v>355</v>
      </c>
      <c r="F53" s="27">
        <v>600</v>
      </c>
      <c r="G53" s="27">
        <v>300</v>
      </c>
      <c r="H53" s="27"/>
      <c r="I53" s="27"/>
      <c r="J53" s="27"/>
      <c r="K53" s="27">
        <v>200</v>
      </c>
      <c r="L53" s="27">
        <v>1.1499999999999999</v>
      </c>
      <c r="M53" s="27" t="s">
        <v>66</v>
      </c>
      <c r="N53" s="46">
        <v>7</v>
      </c>
      <c r="O53" s="47">
        <v>1925702.6775</v>
      </c>
      <c r="P53" s="47">
        <f t="shared" si="1"/>
        <v>13479918.7425</v>
      </c>
      <c r="Q53" s="27" t="s">
        <v>364</v>
      </c>
    </row>
    <row r="54" spans="1:17" s="2" customFormat="1" ht="39">
      <c r="A54" s="27">
        <v>38</v>
      </c>
      <c r="B54" s="29" t="s">
        <v>104</v>
      </c>
      <c r="C54" s="29"/>
      <c r="D54" s="27" t="s">
        <v>361</v>
      </c>
      <c r="E54" s="27" t="s">
        <v>355</v>
      </c>
      <c r="F54" s="27">
        <v>600</v>
      </c>
      <c r="G54" s="27">
        <v>450</v>
      </c>
      <c r="H54" s="27"/>
      <c r="I54" s="27"/>
      <c r="J54" s="27"/>
      <c r="K54" s="27">
        <v>200</v>
      </c>
      <c r="L54" s="27">
        <v>1.1499999999999999</v>
      </c>
      <c r="M54" s="27" t="s">
        <v>66</v>
      </c>
      <c r="N54" s="46">
        <v>4</v>
      </c>
      <c r="O54" s="47">
        <v>2154715.71</v>
      </c>
      <c r="P54" s="47">
        <f t="shared" si="1"/>
        <v>8618862.8399999999</v>
      </c>
      <c r="Q54" s="27" t="s">
        <v>364</v>
      </c>
    </row>
    <row r="55" spans="1:17" s="2" customFormat="1" ht="39">
      <c r="A55" s="27">
        <v>39</v>
      </c>
      <c r="B55" s="29" t="s">
        <v>105</v>
      </c>
      <c r="C55" s="29"/>
      <c r="D55" s="27" t="s">
        <v>361</v>
      </c>
      <c r="E55" s="27" t="s">
        <v>355</v>
      </c>
      <c r="F55" s="27">
        <v>650</v>
      </c>
      <c r="G55" s="27">
        <v>250</v>
      </c>
      <c r="H55" s="27"/>
      <c r="I55" s="27"/>
      <c r="J55" s="27"/>
      <c r="K55" s="27">
        <v>200</v>
      </c>
      <c r="L55" s="27">
        <v>1.1499999999999999</v>
      </c>
      <c r="M55" s="27" t="s">
        <v>66</v>
      </c>
      <c r="N55" s="46">
        <v>3</v>
      </c>
      <c r="O55" s="47">
        <v>1602269.2875000001</v>
      </c>
      <c r="P55" s="47">
        <f t="shared" si="1"/>
        <v>4806807.8624999998</v>
      </c>
      <c r="Q55" s="27" t="s">
        <v>364</v>
      </c>
    </row>
    <row r="56" spans="1:17" s="2" customFormat="1" ht="39">
      <c r="A56" s="27">
        <v>40</v>
      </c>
      <c r="B56" s="29" t="s">
        <v>106</v>
      </c>
      <c r="C56" s="29"/>
      <c r="D56" s="27" t="s">
        <v>361</v>
      </c>
      <c r="E56" s="27" t="s">
        <v>355</v>
      </c>
      <c r="F56" s="27">
        <v>650</v>
      </c>
      <c r="G56" s="27">
        <v>300</v>
      </c>
      <c r="H56" s="27"/>
      <c r="I56" s="27"/>
      <c r="J56" s="27"/>
      <c r="K56" s="27">
        <v>200</v>
      </c>
      <c r="L56" s="27">
        <v>1.1499999999999999</v>
      </c>
      <c r="M56" s="27" t="s">
        <v>66</v>
      </c>
      <c r="N56" s="46">
        <v>2</v>
      </c>
      <c r="O56" s="47">
        <v>1988581.0874999999</v>
      </c>
      <c r="P56" s="47">
        <f t="shared" si="1"/>
        <v>3977162.1749999998</v>
      </c>
      <c r="Q56" s="27" t="s">
        <v>364</v>
      </c>
    </row>
    <row r="57" spans="1:17" s="2" customFormat="1" ht="39">
      <c r="A57" s="27">
        <v>41</v>
      </c>
      <c r="B57" s="29" t="s">
        <v>107</v>
      </c>
      <c r="C57" s="29"/>
      <c r="D57" s="27" t="s">
        <v>361</v>
      </c>
      <c r="E57" s="27" t="s">
        <v>355</v>
      </c>
      <c r="F57" s="27">
        <v>650</v>
      </c>
      <c r="G57" s="27">
        <v>350</v>
      </c>
      <c r="H57" s="27"/>
      <c r="I57" s="27"/>
      <c r="J57" s="27"/>
      <c r="K57" s="27">
        <v>200</v>
      </c>
      <c r="L57" s="27">
        <v>1.1499999999999999</v>
      </c>
      <c r="M57" s="27" t="s">
        <v>66</v>
      </c>
      <c r="N57" s="46">
        <v>1</v>
      </c>
      <c r="O57" s="47">
        <v>2079816.4275</v>
      </c>
      <c r="P57" s="47">
        <f t="shared" si="1"/>
        <v>2079816.4275</v>
      </c>
      <c r="Q57" s="27" t="s">
        <v>364</v>
      </c>
    </row>
    <row r="58" spans="1:17" s="2" customFormat="1" ht="39">
      <c r="A58" s="27">
        <v>42</v>
      </c>
      <c r="B58" s="29" t="s">
        <v>108</v>
      </c>
      <c r="C58" s="29"/>
      <c r="D58" s="27" t="s">
        <v>361</v>
      </c>
      <c r="E58" s="27" t="s">
        <v>355</v>
      </c>
      <c r="F58" s="27">
        <v>650</v>
      </c>
      <c r="G58" s="27">
        <v>400</v>
      </c>
      <c r="H58" s="27"/>
      <c r="I58" s="27"/>
      <c r="J58" s="27"/>
      <c r="K58" s="27">
        <v>200</v>
      </c>
      <c r="L58" s="27">
        <v>1.1499999999999999</v>
      </c>
      <c r="M58" s="27" t="s">
        <v>66</v>
      </c>
      <c r="N58" s="46">
        <v>2</v>
      </c>
      <c r="O58" s="47">
        <v>2171257.2524999999</v>
      </c>
      <c r="P58" s="47">
        <f t="shared" si="1"/>
        <v>4342514.5049999999</v>
      </c>
      <c r="Q58" s="27" t="s">
        <v>364</v>
      </c>
    </row>
    <row r="59" spans="1:17" s="2" customFormat="1" ht="39">
      <c r="A59" s="27">
        <v>43</v>
      </c>
      <c r="B59" s="29" t="s">
        <v>109</v>
      </c>
      <c r="C59" s="29"/>
      <c r="D59" s="27" t="s">
        <v>361</v>
      </c>
      <c r="E59" s="27" t="s">
        <v>355</v>
      </c>
      <c r="F59" s="27">
        <v>700</v>
      </c>
      <c r="G59" s="27">
        <v>350</v>
      </c>
      <c r="H59" s="27"/>
      <c r="I59" s="27"/>
      <c r="J59" s="27"/>
      <c r="K59" s="27">
        <v>200</v>
      </c>
      <c r="L59" s="27">
        <v>1.1499999999999999</v>
      </c>
      <c r="M59" s="27" t="s">
        <v>66</v>
      </c>
      <c r="N59" s="46">
        <v>1</v>
      </c>
      <c r="O59" s="47">
        <v>2146907.2799999998</v>
      </c>
      <c r="P59" s="47">
        <f t="shared" si="1"/>
        <v>2146907.2799999998</v>
      </c>
      <c r="Q59" s="27" t="s">
        <v>364</v>
      </c>
    </row>
    <row r="60" spans="1:17" s="2" customFormat="1" ht="39">
      <c r="A60" s="27">
        <v>44</v>
      </c>
      <c r="B60" s="29" t="s">
        <v>110</v>
      </c>
      <c r="C60" s="29"/>
      <c r="D60" s="27" t="s">
        <v>361</v>
      </c>
      <c r="E60" s="27" t="s">
        <v>355</v>
      </c>
      <c r="F60" s="27">
        <v>800</v>
      </c>
      <c r="G60" s="27">
        <v>600</v>
      </c>
      <c r="H60" s="27"/>
      <c r="I60" s="27"/>
      <c r="J60" s="27"/>
      <c r="K60" s="27">
        <v>200</v>
      </c>
      <c r="L60" s="27">
        <v>1.1499999999999999</v>
      </c>
      <c r="M60" s="27" t="s">
        <v>66</v>
      </c>
      <c r="N60" s="46">
        <v>1</v>
      </c>
      <c r="O60" s="47">
        <v>2702230.4925000002</v>
      </c>
      <c r="P60" s="47">
        <f t="shared" si="1"/>
        <v>2702230.4925000002</v>
      </c>
      <c r="Q60" s="27" t="s">
        <v>364</v>
      </c>
    </row>
    <row r="61" spans="1:17" s="2" customFormat="1" ht="39">
      <c r="A61" s="27">
        <v>45</v>
      </c>
      <c r="B61" s="29" t="s">
        <v>111</v>
      </c>
      <c r="C61" s="29"/>
      <c r="D61" s="27" t="s">
        <v>361</v>
      </c>
      <c r="E61" s="27" t="s">
        <v>355</v>
      </c>
      <c r="F61" s="27">
        <v>800</v>
      </c>
      <c r="G61" s="27">
        <v>800</v>
      </c>
      <c r="H61" s="27"/>
      <c r="I61" s="27"/>
      <c r="J61" s="27"/>
      <c r="K61" s="27">
        <v>200</v>
      </c>
      <c r="L61" s="27">
        <v>1.1499999999999999</v>
      </c>
      <c r="M61" s="27" t="s">
        <v>66</v>
      </c>
      <c r="N61" s="46">
        <v>3</v>
      </c>
      <c r="O61" s="47">
        <v>3390810.7275</v>
      </c>
      <c r="P61" s="47">
        <f t="shared" si="1"/>
        <v>10172432.182499999</v>
      </c>
      <c r="Q61" s="27" t="s">
        <v>364</v>
      </c>
    </row>
    <row r="62" spans="1:17" s="2" customFormat="1" ht="39">
      <c r="A62" s="27">
        <v>46</v>
      </c>
      <c r="B62" s="29" t="s">
        <v>112</v>
      </c>
      <c r="C62" s="29"/>
      <c r="D62" s="27" t="s">
        <v>361</v>
      </c>
      <c r="E62" s="27" t="s">
        <v>355</v>
      </c>
      <c r="F62" s="27">
        <v>850</v>
      </c>
      <c r="G62" s="27">
        <v>450</v>
      </c>
      <c r="H62" s="27"/>
      <c r="I62" s="27"/>
      <c r="J62" s="27"/>
      <c r="K62" s="27">
        <v>200</v>
      </c>
      <c r="L62" s="27">
        <v>1.1499999999999999</v>
      </c>
      <c r="M62" s="27" t="s">
        <v>66</v>
      </c>
      <c r="N62" s="46">
        <v>1</v>
      </c>
      <c r="O62" s="47">
        <v>2490375.4575</v>
      </c>
      <c r="P62" s="47">
        <f t="shared" si="1"/>
        <v>2490375.4575</v>
      </c>
      <c r="Q62" s="27" t="s">
        <v>364</v>
      </c>
    </row>
    <row r="63" spans="1:17" s="2" customFormat="1" ht="39">
      <c r="A63" s="27">
        <v>47</v>
      </c>
      <c r="B63" s="29" t="s">
        <v>113</v>
      </c>
      <c r="C63" s="29"/>
      <c r="D63" s="27" t="s">
        <v>361</v>
      </c>
      <c r="E63" s="27" t="s">
        <v>355</v>
      </c>
      <c r="F63" s="27">
        <v>1000</v>
      </c>
      <c r="G63" s="27">
        <v>500</v>
      </c>
      <c r="H63" s="27"/>
      <c r="I63" s="27"/>
      <c r="J63" s="27"/>
      <c r="K63" s="27">
        <v>200</v>
      </c>
      <c r="L63" s="27">
        <v>1.1499999999999999</v>
      </c>
      <c r="M63" s="27" t="s">
        <v>66</v>
      </c>
      <c r="N63" s="46">
        <v>2</v>
      </c>
      <c r="O63" s="47">
        <v>3069740.415</v>
      </c>
      <c r="P63" s="47">
        <f t="shared" si="1"/>
        <v>6139480.8300000001</v>
      </c>
      <c r="Q63" s="27" t="s">
        <v>364</v>
      </c>
    </row>
    <row r="64" spans="1:17" s="2" customFormat="1" ht="52">
      <c r="A64" s="27">
        <v>48</v>
      </c>
      <c r="B64" s="29" t="s">
        <v>114</v>
      </c>
      <c r="C64" s="29"/>
      <c r="D64" s="27" t="s">
        <v>361</v>
      </c>
      <c r="E64" s="27" t="s">
        <v>355</v>
      </c>
      <c r="F64" s="27">
        <v>1000</v>
      </c>
      <c r="G64" s="27">
        <v>1000</v>
      </c>
      <c r="H64" s="27">
        <v>1000</v>
      </c>
      <c r="I64" s="27">
        <v>500</v>
      </c>
      <c r="J64" s="27">
        <v>2</v>
      </c>
      <c r="K64" s="27">
        <v>200</v>
      </c>
      <c r="L64" s="27">
        <v>1.1499999999999999</v>
      </c>
      <c r="M64" s="27" t="s">
        <v>66</v>
      </c>
      <c r="N64" s="46">
        <v>4</v>
      </c>
      <c r="O64" s="47">
        <v>6139480.8300000001</v>
      </c>
      <c r="P64" s="47">
        <f t="shared" si="1"/>
        <v>24557923.32</v>
      </c>
      <c r="Q64" s="27" t="s">
        <v>365</v>
      </c>
    </row>
    <row r="65" spans="1:17" s="2" customFormat="1" ht="52">
      <c r="A65" s="27">
        <v>49</v>
      </c>
      <c r="B65" s="29" t="s">
        <v>115</v>
      </c>
      <c r="C65" s="29"/>
      <c r="D65" s="27" t="s">
        <v>361</v>
      </c>
      <c r="E65" s="27" t="s">
        <v>355</v>
      </c>
      <c r="F65" s="27">
        <v>1800</v>
      </c>
      <c r="G65" s="27">
        <v>600</v>
      </c>
      <c r="H65" s="27">
        <v>900</v>
      </c>
      <c r="I65" s="27">
        <v>500</v>
      </c>
      <c r="J65" s="27">
        <v>2</v>
      </c>
      <c r="K65" s="27">
        <v>200</v>
      </c>
      <c r="L65" s="27">
        <v>1.1499999999999999</v>
      </c>
      <c r="M65" s="27" t="s">
        <v>66</v>
      </c>
      <c r="N65" s="46">
        <v>1</v>
      </c>
      <c r="O65" s="47">
        <v>5315485.9800000004</v>
      </c>
      <c r="P65" s="47">
        <f t="shared" si="1"/>
        <v>5315485.9800000004</v>
      </c>
      <c r="Q65" s="27" t="s">
        <v>365</v>
      </c>
    </row>
    <row r="66" spans="1:17" s="2" customFormat="1" ht="13">
      <c r="A66" s="27"/>
      <c r="B66" s="28" t="s">
        <v>116</v>
      </c>
      <c r="C66" s="28"/>
      <c r="D66" s="27"/>
      <c r="E66" s="27"/>
      <c r="F66" s="27"/>
      <c r="G66" s="27"/>
      <c r="H66" s="27"/>
      <c r="I66" s="27"/>
      <c r="J66" s="27"/>
      <c r="K66" s="27"/>
      <c r="L66" s="27"/>
      <c r="M66" s="27"/>
      <c r="N66" s="46"/>
      <c r="O66" s="47">
        <v>0</v>
      </c>
      <c r="P66" s="47">
        <f t="shared" si="1"/>
        <v>0</v>
      </c>
      <c r="Q66" s="27"/>
    </row>
    <row r="67" spans="1:17" s="2" customFormat="1" ht="13">
      <c r="A67" s="27">
        <v>1</v>
      </c>
      <c r="B67" s="29" t="s">
        <v>117</v>
      </c>
      <c r="C67" s="29"/>
      <c r="D67" s="27" t="s">
        <v>366</v>
      </c>
      <c r="E67" s="27" t="s">
        <v>355</v>
      </c>
      <c r="F67" s="27">
        <v>600</v>
      </c>
      <c r="G67" s="27">
        <v>300</v>
      </c>
      <c r="H67" s="27">
        <v>550</v>
      </c>
      <c r="I67" s="27">
        <v>250</v>
      </c>
      <c r="J67" s="27"/>
      <c r="K67" s="27"/>
      <c r="L67" s="27"/>
      <c r="M67" s="27" t="s">
        <v>66</v>
      </c>
      <c r="N67" s="46">
        <v>1</v>
      </c>
      <c r="O67" s="47">
        <v>322350</v>
      </c>
      <c r="P67" s="47">
        <f t="shared" si="1"/>
        <v>322350</v>
      </c>
      <c r="Q67" s="27" t="s">
        <v>367</v>
      </c>
    </row>
    <row r="68" spans="1:17" s="2" customFormat="1" ht="13">
      <c r="A68" s="27">
        <v>2</v>
      </c>
      <c r="B68" s="29" t="s">
        <v>118</v>
      </c>
      <c r="C68" s="29"/>
      <c r="D68" s="27" t="s">
        <v>366</v>
      </c>
      <c r="E68" s="27" t="s">
        <v>355</v>
      </c>
      <c r="F68" s="27">
        <v>600</v>
      </c>
      <c r="G68" s="27">
        <v>250</v>
      </c>
      <c r="H68" s="27">
        <v>550</v>
      </c>
      <c r="I68" s="27">
        <v>200</v>
      </c>
      <c r="J68" s="27"/>
      <c r="K68" s="27"/>
      <c r="L68" s="27"/>
      <c r="M68" s="27" t="s">
        <v>66</v>
      </c>
      <c r="N68" s="46">
        <v>2</v>
      </c>
      <c r="O68" s="47">
        <v>280350</v>
      </c>
      <c r="P68" s="47">
        <f t="shared" si="1"/>
        <v>560700</v>
      </c>
      <c r="Q68" s="27" t="s">
        <v>367</v>
      </c>
    </row>
    <row r="69" spans="1:17" s="2" customFormat="1" ht="13">
      <c r="A69" s="27">
        <v>3</v>
      </c>
      <c r="B69" s="29" t="s">
        <v>119</v>
      </c>
      <c r="C69" s="29"/>
      <c r="D69" s="27" t="s">
        <v>366</v>
      </c>
      <c r="E69" s="27" t="s">
        <v>355</v>
      </c>
      <c r="F69" s="27">
        <v>500</v>
      </c>
      <c r="G69" s="27">
        <v>300</v>
      </c>
      <c r="H69" s="27">
        <v>450</v>
      </c>
      <c r="I69" s="27">
        <v>250</v>
      </c>
      <c r="J69" s="27"/>
      <c r="K69" s="27"/>
      <c r="L69" s="27"/>
      <c r="M69" s="27" t="s">
        <v>66</v>
      </c>
      <c r="N69" s="46">
        <v>4</v>
      </c>
      <c r="O69" s="47">
        <v>275100</v>
      </c>
      <c r="P69" s="47">
        <f t="shared" si="1"/>
        <v>1100400</v>
      </c>
      <c r="Q69" s="27" t="s">
        <v>367</v>
      </c>
    </row>
    <row r="70" spans="1:17" s="2" customFormat="1" ht="13">
      <c r="A70" s="27">
        <v>4</v>
      </c>
      <c r="B70" s="29" t="s">
        <v>120</v>
      </c>
      <c r="C70" s="29"/>
      <c r="D70" s="27" t="s">
        <v>366</v>
      </c>
      <c r="E70" s="27" t="s">
        <v>355</v>
      </c>
      <c r="F70" s="27">
        <v>500</v>
      </c>
      <c r="G70" s="27">
        <v>250</v>
      </c>
      <c r="H70" s="27">
        <v>450</v>
      </c>
      <c r="I70" s="27">
        <v>200</v>
      </c>
      <c r="J70" s="27"/>
      <c r="K70" s="27"/>
      <c r="L70" s="27"/>
      <c r="M70" s="27" t="s">
        <v>66</v>
      </c>
      <c r="N70" s="46">
        <v>6</v>
      </c>
      <c r="O70" s="47">
        <v>239400</v>
      </c>
      <c r="P70" s="47">
        <f t="shared" si="1"/>
        <v>1436400</v>
      </c>
      <c r="Q70" s="27" t="s">
        <v>367</v>
      </c>
    </row>
    <row r="71" spans="1:17" s="2" customFormat="1" ht="13">
      <c r="A71" s="27">
        <v>5</v>
      </c>
      <c r="B71" s="29" t="s">
        <v>121</v>
      </c>
      <c r="C71" s="29"/>
      <c r="D71" s="27" t="s">
        <v>366</v>
      </c>
      <c r="E71" s="27" t="s">
        <v>355</v>
      </c>
      <c r="F71" s="27">
        <v>400</v>
      </c>
      <c r="G71" s="27">
        <v>400</v>
      </c>
      <c r="H71" s="27">
        <v>350</v>
      </c>
      <c r="I71" s="27">
        <v>350</v>
      </c>
      <c r="J71" s="27"/>
      <c r="K71" s="27"/>
      <c r="L71" s="27"/>
      <c r="M71" s="27" t="s">
        <v>66</v>
      </c>
      <c r="N71" s="46">
        <v>4</v>
      </c>
      <c r="O71" s="47">
        <v>283500</v>
      </c>
      <c r="P71" s="47">
        <f t="shared" si="1"/>
        <v>1134000</v>
      </c>
      <c r="Q71" s="27" t="s">
        <v>367</v>
      </c>
    </row>
    <row r="72" spans="1:17" s="2" customFormat="1" ht="13">
      <c r="A72" s="27">
        <v>6</v>
      </c>
      <c r="B72" s="29" t="s">
        <v>122</v>
      </c>
      <c r="C72" s="29"/>
      <c r="D72" s="27" t="s">
        <v>366</v>
      </c>
      <c r="E72" s="27" t="s">
        <v>355</v>
      </c>
      <c r="F72" s="27">
        <v>400</v>
      </c>
      <c r="G72" s="27">
        <v>200</v>
      </c>
      <c r="H72" s="27">
        <v>350</v>
      </c>
      <c r="I72" s="27">
        <v>150</v>
      </c>
      <c r="J72" s="27"/>
      <c r="K72" s="27"/>
      <c r="L72" s="27"/>
      <c r="M72" s="27" t="s">
        <v>66</v>
      </c>
      <c r="N72" s="46">
        <v>5</v>
      </c>
      <c r="O72" s="47">
        <v>173250</v>
      </c>
      <c r="P72" s="47">
        <f t="shared" si="1"/>
        <v>866250</v>
      </c>
      <c r="Q72" s="27" t="s">
        <v>367</v>
      </c>
    </row>
    <row r="73" spans="1:17" s="2" customFormat="1" ht="13">
      <c r="A73" s="27">
        <v>7</v>
      </c>
      <c r="B73" s="29" t="s">
        <v>123</v>
      </c>
      <c r="C73" s="29"/>
      <c r="D73" s="27" t="s">
        <v>366</v>
      </c>
      <c r="E73" s="27" t="s">
        <v>355</v>
      </c>
      <c r="F73" s="27">
        <v>300</v>
      </c>
      <c r="G73" s="27">
        <v>300</v>
      </c>
      <c r="H73" s="27">
        <v>250</v>
      </c>
      <c r="I73" s="27">
        <v>250</v>
      </c>
      <c r="J73" s="27"/>
      <c r="K73" s="27"/>
      <c r="L73" s="27"/>
      <c r="M73" s="27" t="s">
        <v>66</v>
      </c>
      <c r="N73" s="46">
        <v>1</v>
      </c>
      <c r="O73" s="47">
        <v>181650</v>
      </c>
      <c r="P73" s="47">
        <f t="shared" si="1"/>
        <v>181650</v>
      </c>
      <c r="Q73" s="27" t="s">
        <v>367</v>
      </c>
    </row>
    <row r="74" spans="1:17" s="2" customFormat="1" ht="13">
      <c r="A74" s="27">
        <v>8</v>
      </c>
      <c r="B74" s="29" t="s">
        <v>124</v>
      </c>
      <c r="C74" s="29"/>
      <c r="D74" s="27" t="s">
        <v>366</v>
      </c>
      <c r="E74" s="27" t="s">
        <v>355</v>
      </c>
      <c r="F74" s="27">
        <v>250</v>
      </c>
      <c r="G74" s="27">
        <v>250</v>
      </c>
      <c r="H74" s="27">
        <v>200</v>
      </c>
      <c r="I74" s="27">
        <v>200</v>
      </c>
      <c r="J74" s="27"/>
      <c r="K74" s="27"/>
      <c r="L74" s="27"/>
      <c r="M74" s="27" t="s">
        <v>66</v>
      </c>
      <c r="N74" s="46">
        <v>4</v>
      </c>
      <c r="O74" s="47">
        <v>137550</v>
      </c>
      <c r="P74" s="47">
        <f t="shared" si="1"/>
        <v>550200</v>
      </c>
      <c r="Q74" s="27" t="s">
        <v>367</v>
      </c>
    </row>
    <row r="75" spans="1:17" s="2" customFormat="1" ht="13">
      <c r="A75" s="27">
        <v>9</v>
      </c>
      <c r="B75" s="29" t="s">
        <v>125</v>
      </c>
      <c r="C75" s="29"/>
      <c r="D75" s="27" t="s">
        <v>366</v>
      </c>
      <c r="E75" s="27" t="s">
        <v>355</v>
      </c>
      <c r="F75" s="27">
        <v>200</v>
      </c>
      <c r="G75" s="27">
        <v>200</v>
      </c>
      <c r="H75" s="27">
        <v>150</v>
      </c>
      <c r="I75" s="27">
        <v>150</v>
      </c>
      <c r="J75" s="27"/>
      <c r="K75" s="27"/>
      <c r="L75" s="27"/>
      <c r="M75" s="27" t="s">
        <v>66</v>
      </c>
      <c r="N75" s="46">
        <v>6</v>
      </c>
      <c r="O75" s="47">
        <v>101850</v>
      </c>
      <c r="P75" s="47">
        <f t="shared" si="1"/>
        <v>611100</v>
      </c>
      <c r="Q75" s="27" t="s">
        <v>367</v>
      </c>
    </row>
    <row r="76" spans="1:17" s="2" customFormat="1" ht="13">
      <c r="A76" s="27"/>
      <c r="B76" s="28" t="s">
        <v>126</v>
      </c>
      <c r="C76" s="28"/>
      <c r="D76" s="27"/>
      <c r="E76" s="27"/>
      <c r="F76" s="27"/>
      <c r="G76" s="27"/>
      <c r="H76" s="27"/>
      <c r="I76" s="27"/>
      <c r="J76" s="27"/>
      <c r="K76" s="27"/>
      <c r="L76" s="27"/>
      <c r="M76" s="27"/>
      <c r="N76" s="46"/>
      <c r="O76" s="47">
        <v>0</v>
      </c>
      <c r="P76" s="47">
        <f t="shared" si="1"/>
        <v>0</v>
      </c>
      <c r="Q76" s="27"/>
    </row>
    <row r="77" spans="1:17" s="2" customFormat="1" ht="52">
      <c r="A77" s="27">
        <v>1</v>
      </c>
      <c r="B77" s="29" t="s">
        <v>127</v>
      </c>
      <c r="C77" s="29"/>
      <c r="D77" s="27" t="s">
        <v>368</v>
      </c>
      <c r="E77" s="27"/>
      <c r="F77" s="27"/>
      <c r="G77" s="27"/>
      <c r="H77" s="27"/>
      <c r="I77" s="27"/>
      <c r="J77" s="27"/>
      <c r="K77" s="27"/>
      <c r="L77" s="27"/>
      <c r="M77" s="27" t="s">
        <v>128</v>
      </c>
      <c r="N77" s="46">
        <v>1</v>
      </c>
      <c r="O77" s="47">
        <v>1863448.2</v>
      </c>
      <c r="P77" s="47">
        <f t="shared" si="1"/>
        <v>1863448.2</v>
      </c>
      <c r="Q77" s="27" t="s">
        <v>418</v>
      </c>
    </row>
    <row r="78" spans="1:17" s="2" customFormat="1" ht="52">
      <c r="A78" s="27">
        <v>2</v>
      </c>
      <c r="B78" s="52" t="s">
        <v>129</v>
      </c>
      <c r="C78" s="29"/>
      <c r="D78" s="27" t="s">
        <v>368</v>
      </c>
      <c r="E78" s="27"/>
      <c r="F78" s="27"/>
      <c r="G78" s="53"/>
      <c r="H78" s="27"/>
      <c r="I78" s="53"/>
      <c r="J78" s="27"/>
      <c r="K78" s="27"/>
      <c r="L78" s="27"/>
      <c r="M78" s="27" t="s">
        <v>128</v>
      </c>
      <c r="N78" s="46">
        <v>1</v>
      </c>
      <c r="O78" s="47"/>
      <c r="P78" s="47">
        <f t="shared" si="1"/>
        <v>0</v>
      </c>
      <c r="Q78" s="27" t="s">
        <v>419</v>
      </c>
    </row>
    <row r="79" spans="1:17" s="2" customFormat="1" ht="52">
      <c r="A79" s="27">
        <v>3</v>
      </c>
      <c r="B79" s="29" t="s">
        <v>130</v>
      </c>
      <c r="C79" s="29"/>
      <c r="D79" s="27" t="s">
        <v>368</v>
      </c>
      <c r="E79" s="27"/>
      <c r="F79" s="27"/>
      <c r="G79" s="27"/>
      <c r="H79" s="27"/>
      <c r="I79" s="27"/>
      <c r="J79" s="27"/>
      <c r="K79" s="27"/>
      <c r="L79" s="27"/>
      <c r="M79" s="27" t="s">
        <v>128</v>
      </c>
      <c r="N79" s="46">
        <v>2</v>
      </c>
      <c r="O79" s="47">
        <v>2651100</v>
      </c>
      <c r="P79" s="47">
        <f t="shared" si="1"/>
        <v>5302200</v>
      </c>
      <c r="Q79" s="27" t="s">
        <v>418</v>
      </c>
    </row>
    <row r="80" spans="1:17" s="2" customFormat="1" ht="52">
      <c r="A80" s="27">
        <v>4</v>
      </c>
      <c r="B80" s="29" t="s">
        <v>131</v>
      </c>
      <c r="C80" s="29"/>
      <c r="D80" s="27" t="s">
        <v>368</v>
      </c>
      <c r="E80" s="27"/>
      <c r="F80" s="27"/>
      <c r="G80" s="27"/>
      <c r="H80" s="27"/>
      <c r="I80" s="27"/>
      <c r="J80" s="27"/>
      <c r="K80" s="27"/>
      <c r="L80" s="27"/>
      <c r="M80" s="27" t="s">
        <v>128</v>
      </c>
      <c r="N80" s="46">
        <v>1</v>
      </c>
      <c r="O80" s="47">
        <v>2651100</v>
      </c>
      <c r="P80" s="47">
        <f t="shared" si="1"/>
        <v>2651100</v>
      </c>
      <c r="Q80" s="27" t="s">
        <v>418</v>
      </c>
    </row>
    <row r="81" spans="1:17" s="2" customFormat="1" ht="52">
      <c r="A81" s="27">
        <v>5</v>
      </c>
      <c r="B81" s="29" t="s">
        <v>132</v>
      </c>
      <c r="C81" s="29"/>
      <c r="D81" s="27" t="s">
        <v>368</v>
      </c>
      <c r="E81" s="27"/>
      <c r="F81" s="27"/>
      <c r="G81" s="27"/>
      <c r="H81" s="27"/>
      <c r="I81" s="27"/>
      <c r="J81" s="27"/>
      <c r="K81" s="27"/>
      <c r="L81" s="27"/>
      <c r="M81" s="27" t="s">
        <v>128</v>
      </c>
      <c r="N81" s="46">
        <v>1</v>
      </c>
      <c r="O81" s="47">
        <v>2771600</v>
      </c>
      <c r="P81" s="47">
        <f t="shared" si="1"/>
        <v>2771600</v>
      </c>
      <c r="Q81" s="27" t="s">
        <v>418</v>
      </c>
    </row>
    <row r="82" spans="1:17" s="2" customFormat="1" ht="52">
      <c r="A82" s="27">
        <v>6</v>
      </c>
      <c r="B82" s="29" t="s">
        <v>133</v>
      </c>
      <c r="C82" s="29"/>
      <c r="D82" s="27" t="s">
        <v>368</v>
      </c>
      <c r="E82" s="27"/>
      <c r="F82" s="27"/>
      <c r="G82" s="27"/>
      <c r="H82" s="27"/>
      <c r="I82" s="27"/>
      <c r="J82" s="27"/>
      <c r="K82" s="27"/>
      <c r="L82" s="27"/>
      <c r="M82" s="27" t="s">
        <v>128</v>
      </c>
      <c r="N82" s="46">
        <v>2</v>
      </c>
      <c r="O82" s="47">
        <v>3856100</v>
      </c>
      <c r="P82" s="47">
        <f t="shared" si="1"/>
        <v>7712200</v>
      </c>
      <c r="Q82" s="27" t="s">
        <v>418</v>
      </c>
    </row>
    <row r="83" spans="1:17" s="2" customFormat="1" ht="52">
      <c r="A83" s="27">
        <v>7</v>
      </c>
      <c r="B83" s="29" t="s">
        <v>134</v>
      </c>
      <c r="C83" s="29"/>
      <c r="D83" s="27" t="s">
        <v>368</v>
      </c>
      <c r="E83" s="27"/>
      <c r="F83" s="27"/>
      <c r="G83" s="27"/>
      <c r="H83" s="27"/>
      <c r="I83" s="27"/>
      <c r="J83" s="27"/>
      <c r="K83" s="27"/>
      <c r="L83" s="27"/>
      <c r="M83" s="27" t="s">
        <v>128</v>
      </c>
      <c r="N83" s="46">
        <v>2</v>
      </c>
      <c r="O83" s="47">
        <v>3374100</v>
      </c>
      <c r="P83" s="47">
        <f t="shared" si="1"/>
        <v>6748200</v>
      </c>
      <c r="Q83" s="27" t="s">
        <v>418</v>
      </c>
    </row>
    <row r="84" spans="1:17" s="2" customFormat="1" ht="52">
      <c r="A84" s="27">
        <v>8</v>
      </c>
      <c r="B84" s="29" t="s">
        <v>135</v>
      </c>
      <c r="C84" s="29"/>
      <c r="D84" s="27" t="s">
        <v>368</v>
      </c>
      <c r="E84" s="27"/>
      <c r="F84" s="27"/>
      <c r="G84" s="27"/>
      <c r="H84" s="27"/>
      <c r="I84" s="27"/>
      <c r="J84" s="27"/>
      <c r="K84" s="27"/>
      <c r="L84" s="27"/>
      <c r="M84" s="27" t="s">
        <v>128</v>
      </c>
      <c r="N84" s="46">
        <v>1</v>
      </c>
      <c r="O84" s="47">
        <v>3856100</v>
      </c>
      <c r="P84" s="47">
        <f t="shared" si="1"/>
        <v>3856100</v>
      </c>
      <c r="Q84" s="27" t="s">
        <v>418</v>
      </c>
    </row>
    <row r="85" spans="1:17" s="2" customFormat="1" ht="52">
      <c r="A85" s="27">
        <v>9</v>
      </c>
      <c r="B85" s="29" t="s">
        <v>136</v>
      </c>
      <c r="C85" s="29"/>
      <c r="D85" s="27" t="s">
        <v>368</v>
      </c>
      <c r="E85" s="27"/>
      <c r="F85" s="27"/>
      <c r="G85" s="27"/>
      <c r="H85" s="27"/>
      <c r="I85" s="27"/>
      <c r="J85" s="27"/>
      <c r="K85" s="27"/>
      <c r="L85" s="27"/>
      <c r="M85" s="27" t="s">
        <v>128</v>
      </c>
      <c r="N85" s="46">
        <v>1</v>
      </c>
      <c r="O85" s="47">
        <v>4820100</v>
      </c>
      <c r="P85" s="47">
        <f t="shared" si="1"/>
        <v>4820100</v>
      </c>
      <c r="Q85" s="27" t="s">
        <v>418</v>
      </c>
    </row>
    <row r="86" spans="1:17" s="2" customFormat="1" ht="52">
      <c r="A86" s="27">
        <v>10</v>
      </c>
      <c r="B86" s="29" t="s">
        <v>137</v>
      </c>
      <c r="C86" s="29"/>
      <c r="D86" s="27" t="s">
        <v>368</v>
      </c>
      <c r="E86" s="27"/>
      <c r="F86" s="27"/>
      <c r="G86" s="27"/>
      <c r="H86" s="27"/>
      <c r="I86" s="27"/>
      <c r="J86" s="27"/>
      <c r="K86" s="27"/>
      <c r="L86" s="27"/>
      <c r="M86" s="27" t="s">
        <v>128</v>
      </c>
      <c r="N86" s="46">
        <v>1</v>
      </c>
      <c r="O86" s="47">
        <v>3976600</v>
      </c>
      <c r="P86" s="47">
        <f t="shared" si="1"/>
        <v>3976600</v>
      </c>
      <c r="Q86" s="27" t="s">
        <v>418</v>
      </c>
    </row>
    <row r="87" spans="1:17" s="2" customFormat="1" ht="52">
      <c r="A87" s="27">
        <v>11</v>
      </c>
      <c r="B87" s="29" t="s">
        <v>138</v>
      </c>
      <c r="C87" s="29"/>
      <c r="D87" s="27" t="s">
        <v>368</v>
      </c>
      <c r="E87" s="27"/>
      <c r="F87" s="27"/>
      <c r="G87" s="27"/>
      <c r="H87" s="27"/>
      <c r="I87" s="27"/>
      <c r="J87" s="27"/>
      <c r="K87" s="27"/>
      <c r="L87" s="27"/>
      <c r="M87" s="27" t="s">
        <v>128</v>
      </c>
      <c r="N87" s="46">
        <v>2</v>
      </c>
      <c r="O87" s="47">
        <v>5717700</v>
      </c>
      <c r="P87" s="47">
        <f t="shared" si="1"/>
        <v>11435400</v>
      </c>
      <c r="Q87" s="27" t="s">
        <v>418</v>
      </c>
    </row>
    <row r="88" spans="1:17" s="2" customFormat="1" ht="52">
      <c r="A88" s="27">
        <v>12</v>
      </c>
      <c r="B88" s="29" t="s">
        <v>139</v>
      </c>
      <c r="C88" s="29"/>
      <c r="D88" s="27" t="s">
        <v>368</v>
      </c>
      <c r="E88" s="27"/>
      <c r="F88" s="27"/>
      <c r="G88" s="27"/>
      <c r="H88" s="27"/>
      <c r="I88" s="27"/>
      <c r="J88" s="27"/>
      <c r="K88" s="27"/>
      <c r="L88" s="27"/>
      <c r="M88" s="27" t="s">
        <v>128</v>
      </c>
      <c r="N88" s="46">
        <v>1</v>
      </c>
      <c r="O88" s="47">
        <v>6757300</v>
      </c>
      <c r="P88" s="47">
        <f t="shared" si="1"/>
        <v>6757300</v>
      </c>
      <c r="Q88" s="27" t="s">
        <v>418</v>
      </c>
    </row>
    <row r="89" spans="1:17" s="2" customFormat="1" ht="13">
      <c r="A89" s="27">
        <v>13</v>
      </c>
      <c r="B89" s="29" t="s">
        <v>140</v>
      </c>
      <c r="C89" s="29"/>
      <c r="D89" s="27"/>
      <c r="E89" s="27"/>
      <c r="F89" s="27"/>
      <c r="G89" s="27"/>
      <c r="H89" s="27"/>
      <c r="I89" s="27"/>
      <c r="J89" s="27"/>
      <c r="K89" s="27"/>
      <c r="L89" s="27"/>
      <c r="M89" s="27" t="s">
        <v>66</v>
      </c>
      <c r="N89" s="46">
        <v>5</v>
      </c>
      <c r="O89" s="47">
        <v>0</v>
      </c>
      <c r="P89" s="47">
        <f t="shared" si="1"/>
        <v>0</v>
      </c>
      <c r="Q89" s="27"/>
    </row>
    <row r="90" spans="1:17" s="2" customFormat="1" ht="21" customHeight="1">
      <c r="A90" s="25" t="s">
        <v>141</v>
      </c>
      <c r="B90" s="26" t="s">
        <v>62</v>
      </c>
      <c r="C90" s="26"/>
      <c r="D90" s="25"/>
      <c r="E90" s="25"/>
      <c r="F90" s="25"/>
      <c r="G90" s="25"/>
      <c r="H90" s="25"/>
      <c r="I90" s="25"/>
      <c r="J90" s="27"/>
      <c r="K90" s="25"/>
      <c r="L90" s="25"/>
      <c r="M90" s="25"/>
      <c r="N90" s="44"/>
      <c r="O90" s="45">
        <v>0</v>
      </c>
      <c r="P90" s="45">
        <f t="shared" si="1"/>
        <v>0</v>
      </c>
      <c r="Q90" s="25"/>
    </row>
    <row r="91" spans="1:17" s="2" customFormat="1" ht="13">
      <c r="A91" s="27"/>
      <c r="B91" s="28" t="s">
        <v>63</v>
      </c>
      <c r="C91" s="28"/>
      <c r="D91" s="27"/>
      <c r="E91" s="27"/>
      <c r="F91" s="27"/>
      <c r="G91" s="27"/>
      <c r="H91" s="27"/>
      <c r="I91" s="27"/>
      <c r="J91" s="27"/>
      <c r="K91" s="27"/>
      <c r="L91" s="27"/>
      <c r="M91" s="27"/>
      <c r="N91" s="46"/>
      <c r="O91" s="47">
        <v>0</v>
      </c>
      <c r="P91" s="47">
        <f t="shared" si="1"/>
        <v>0</v>
      </c>
      <c r="Q91" s="27"/>
    </row>
    <row r="92" spans="1:17" s="2" customFormat="1" ht="26">
      <c r="A92" s="27">
        <v>1</v>
      </c>
      <c r="B92" s="29" t="s">
        <v>142</v>
      </c>
      <c r="C92" s="29"/>
      <c r="D92" s="27" t="s">
        <v>359</v>
      </c>
      <c r="E92" s="27" t="s">
        <v>355</v>
      </c>
      <c r="F92" s="27">
        <v>100</v>
      </c>
      <c r="G92" s="27"/>
      <c r="H92" s="27"/>
      <c r="I92" s="27"/>
      <c r="J92" s="27"/>
      <c r="K92" s="27">
        <v>200</v>
      </c>
      <c r="L92" s="27">
        <v>0.75</v>
      </c>
      <c r="M92" s="27" t="s">
        <v>66</v>
      </c>
      <c r="N92" s="46">
        <v>30</v>
      </c>
      <c r="O92" s="47">
        <v>127575</v>
      </c>
      <c r="P92" s="47">
        <f t="shared" si="1"/>
        <v>3827250</v>
      </c>
      <c r="Q92" s="27" t="s">
        <v>370</v>
      </c>
    </row>
    <row r="93" spans="1:17" s="2" customFormat="1" ht="26">
      <c r="A93" s="27">
        <v>2</v>
      </c>
      <c r="B93" s="29" t="s">
        <v>143</v>
      </c>
      <c r="C93" s="29"/>
      <c r="D93" s="27" t="s">
        <v>359</v>
      </c>
      <c r="E93" s="27" t="s">
        <v>355</v>
      </c>
      <c r="F93" s="27">
        <v>200</v>
      </c>
      <c r="G93" s="27"/>
      <c r="H93" s="27"/>
      <c r="I93" s="27"/>
      <c r="J93" s="27"/>
      <c r="K93" s="27">
        <v>250</v>
      </c>
      <c r="L93" s="27">
        <v>0.75</v>
      </c>
      <c r="M93" s="27" t="s">
        <v>66</v>
      </c>
      <c r="N93" s="46">
        <v>578</v>
      </c>
      <c r="O93" s="47">
        <v>155925</v>
      </c>
      <c r="P93" s="47">
        <f t="shared" si="1"/>
        <v>90124650</v>
      </c>
      <c r="Q93" s="27" t="s">
        <v>370</v>
      </c>
    </row>
    <row r="94" spans="1:17" s="2" customFormat="1" ht="26">
      <c r="A94" s="27">
        <v>3</v>
      </c>
      <c r="B94" s="29" t="s">
        <v>144</v>
      </c>
      <c r="C94" s="29"/>
      <c r="D94" s="27" t="s">
        <v>359</v>
      </c>
      <c r="E94" s="27" t="s">
        <v>355</v>
      </c>
      <c r="F94" s="27">
        <v>250</v>
      </c>
      <c r="G94" s="27"/>
      <c r="H94" s="27"/>
      <c r="I94" s="27"/>
      <c r="J94" s="27"/>
      <c r="K94" s="27">
        <v>300</v>
      </c>
      <c r="L94" s="27">
        <v>0.75</v>
      </c>
      <c r="M94" s="27" t="s">
        <v>66</v>
      </c>
      <c r="N94" s="46">
        <v>6</v>
      </c>
      <c r="O94" s="47">
        <v>175770</v>
      </c>
      <c r="P94" s="47">
        <f t="shared" si="1"/>
        <v>1054620</v>
      </c>
      <c r="Q94" s="27" t="s">
        <v>370</v>
      </c>
    </row>
    <row r="95" spans="1:17" s="2" customFormat="1" ht="26">
      <c r="A95" s="27">
        <v>4</v>
      </c>
      <c r="B95" s="29" t="s">
        <v>68</v>
      </c>
      <c r="C95" s="29"/>
      <c r="D95" s="27" t="s">
        <v>359</v>
      </c>
      <c r="E95" s="27" t="s">
        <v>355</v>
      </c>
      <c r="F95" s="27">
        <v>150</v>
      </c>
      <c r="G95" s="27">
        <v>150</v>
      </c>
      <c r="H95" s="27"/>
      <c r="I95" s="27"/>
      <c r="J95" s="27"/>
      <c r="K95" s="27">
        <v>200</v>
      </c>
      <c r="L95" s="27">
        <v>0.75</v>
      </c>
      <c r="M95" s="27" t="s">
        <v>66</v>
      </c>
      <c r="N95" s="46">
        <v>1</v>
      </c>
      <c r="O95" s="47">
        <v>166320</v>
      </c>
      <c r="P95" s="47">
        <f t="shared" si="1"/>
        <v>166320</v>
      </c>
      <c r="Q95" s="27" t="s">
        <v>370</v>
      </c>
    </row>
    <row r="96" spans="1:17" s="2" customFormat="1" ht="26">
      <c r="A96" s="27">
        <v>5</v>
      </c>
      <c r="B96" s="29" t="s">
        <v>145</v>
      </c>
      <c r="C96" s="29"/>
      <c r="D96" s="27" t="s">
        <v>359</v>
      </c>
      <c r="E96" s="27" t="s">
        <v>355</v>
      </c>
      <c r="F96" s="27">
        <v>200</v>
      </c>
      <c r="G96" s="27">
        <v>100</v>
      </c>
      <c r="H96" s="27"/>
      <c r="I96" s="27"/>
      <c r="J96" s="27"/>
      <c r="K96" s="27">
        <v>200</v>
      </c>
      <c r="L96" s="27">
        <v>0.75</v>
      </c>
      <c r="M96" s="27" t="s">
        <v>66</v>
      </c>
      <c r="N96" s="46">
        <v>1</v>
      </c>
      <c r="O96" s="47">
        <v>165375</v>
      </c>
      <c r="P96" s="47">
        <f t="shared" si="1"/>
        <v>165375</v>
      </c>
      <c r="Q96" s="27" t="s">
        <v>370</v>
      </c>
    </row>
    <row r="97" spans="1:17" s="2" customFormat="1" ht="26">
      <c r="A97" s="27">
        <v>6</v>
      </c>
      <c r="B97" s="29" t="s">
        <v>69</v>
      </c>
      <c r="C97" s="29"/>
      <c r="D97" s="27" t="s">
        <v>359</v>
      </c>
      <c r="E97" s="27" t="s">
        <v>355</v>
      </c>
      <c r="F97" s="27">
        <v>200</v>
      </c>
      <c r="G97" s="27">
        <v>150</v>
      </c>
      <c r="H97" s="27"/>
      <c r="I97" s="27"/>
      <c r="J97" s="27"/>
      <c r="K97" s="27">
        <v>200</v>
      </c>
      <c r="L97" s="27">
        <v>0.75</v>
      </c>
      <c r="M97" s="27" t="s">
        <v>66</v>
      </c>
      <c r="N97" s="46">
        <v>1</v>
      </c>
      <c r="O97" s="47">
        <v>176715</v>
      </c>
      <c r="P97" s="47">
        <f t="shared" si="1"/>
        <v>176715</v>
      </c>
      <c r="Q97" s="27" t="s">
        <v>370</v>
      </c>
    </row>
    <row r="98" spans="1:17" s="2" customFormat="1" ht="26">
      <c r="A98" s="27">
        <v>7</v>
      </c>
      <c r="B98" s="29" t="s">
        <v>146</v>
      </c>
      <c r="C98" s="29"/>
      <c r="D98" s="27" t="s">
        <v>359</v>
      </c>
      <c r="E98" s="27" t="s">
        <v>355</v>
      </c>
      <c r="F98" s="27">
        <v>200</v>
      </c>
      <c r="G98" s="27">
        <v>200</v>
      </c>
      <c r="H98" s="27"/>
      <c r="I98" s="27"/>
      <c r="J98" s="27"/>
      <c r="K98" s="27">
        <v>200</v>
      </c>
      <c r="L98" s="27">
        <v>0.75</v>
      </c>
      <c r="M98" s="27" t="s">
        <v>66</v>
      </c>
      <c r="N98" s="46">
        <v>2</v>
      </c>
      <c r="O98" s="47">
        <v>187110</v>
      </c>
      <c r="P98" s="47">
        <f t="shared" si="1"/>
        <v>374220</v>
      </c>
      <c r="Q98" s="27" t="s">
        <v>370</v>
      </c>
    </row>
    <row r="99" spans="1:17" s="2" customFormat="1" ht="26">
      <c r="A99" s="27">
        <v>8</v>
      </c>
      <c r="B99" s="29" t="s">
        <v>147</v>
      </c>
      <c r="C99" s="29"/>
      <c r="D99" s="27" t="s">
        <v>359</v>
      </c>
      <c r="E99" s="27" t="s">
        <v>355</v>
      </c>
      <c r="F99" s="27">
        <v>250</v>
      </c>
      <c r="G99" s="27">
        <v>150</v>
      </c>
      <c r="H99" s="27"/>
      <c r="I99" s="27"/>
      <c r="J99" s="27"/>
      <c r="K99" s="27">
        <v>200</v>
      </c>
      <c r="L99" s="27">
        <v>0.75</v>
      </c>
      <c r="M99" s="27" t="s">
        <v>66</v>
      </c>
      <c r="N99" s="46">
        <v>1</v>
      </c>
      <c r="O99" s="47">
        <v>186165</v>
      </c>
      <c r="P99" s="47">
        <f t="shared" si="1"/>
        <v>186165</v>
      </c>
      <c r="Q99" s="27" t="s">
        <v>370</v>
      </c>
    </row>
    <row r="100" spans="1:17" s="2" customFormat="1" ht="26">
      <c r="A100" s="27">
        <v>9</v>
      </c>
      <c r="B100" s="29" t="s">
        <v>148</v>
      </c>
      <c r="C100" s="29"/>
      <c r="D100" s="27" t="s">
        <v>359</v>
      </c>
      <c r="E100" s="27" t="s">
        <v>355</v>
      </c>
      <c r="F100" s="27">
        <v>250</v>
      </c>
      <c r="G100" s="27">
        <v>200</v>
      </c>
      <c r="H100" s="27"/>
      <c r="I100" s="27"/>
      <c r="J100" s="27"/>
      <c r="K100" s="27">
        <v>200</v>
      </c>
      <c r="L100" s="27">
        <v>0.75</v>
      </c>
      <c r="M100" s="27" t="s">
        <v>66</v>
      </c>
      <c r="N100" s="46">
        <v>1</v>
      </c>
      <c r="O100" s="47">
        <v>197505</v>
      </c>
      <c r="P100" s="47">
        <f t="shared" si="1"/>
        <v>197505</v>
      </c>
      <c r="Q100" s="27" t="s">
        <v>370</v>
      </c>
    </row>
    <row r="101" spans="1:17" s="2" customFormat="1" ht="26">
      <c r="A101" s="27">
        <v>10</v>
      </c>
      <c r="B101" s="29" t="s">
        <v>149</v>
      </c>
      <c r="C101" s="29"/>
      <c r="D101" s="27" t="s">
        <v>359</v>
      </c>
      <c r="E101" s="27" t="s">
        <v>355</v>
      </c>
      <c r="F101" s="27">
        <v>300</v>
      </c>
      <c r="G101" s="27">
        <v>200</v>
      </c>
      <c r="H101" s="27"/>
      <c r="I101" s="27"/>
      <c r="J101" s="27"/>
      <c r="K101" s="27">
        <v>200</v>
      </c>
      <c r="L101" s="27">
        <v>0.75</v>
      </c>
      <c r="M101" s="27" t="s">
        <v>66</v>
      </c>
      <c r="N101" s="46">
        <v>5</v>
      </c>
      <c r="O101" s="47">
        <v>207900</v>
      </c>
      <c r="P101" s="47">
        <f t="shared" si="1"/>
        <v>1039500</v>
      </c>
      <c r="Q101" s="27" t="s">
        <v>370</v>
      </c>
    </row>
    <row r="102" spans="1:17" s="2" customFormat="1" ht="26">
      <c r="A102" s="27">
        <v>11</v>
      </c>
      <c r="B102" s="29" t="s">
        <v>70</v>
      </c>
      <c r="C102" s="29"/>
      <c r="D102" s="27" t="s">
        <v>359</v>
      </c>
      <c r="E102" s="27" t="s">
        <v>355</v>
      </c>
      <c r="F102" s="27">
        <v>300</v>
      </c>
      <c r="G102" s="27">
        <v>250</v>
      </c>
      <c r="H102" s="27"/>
      <c r="I102" s="27"/>
      <c r="J102" s="27"/>
      <c r="K102" s="27">
        <v>200</v>
      </c>
      <c r="L102" s="27">
        <v>0.75</v>
      </c>
      <c r="M102" s="27" t="s">
        <v>66</v>
      </c>
      <c r="N102" s="46">
        <v>1</v>
      </c>
      <c r="O102" s="47">
        <v>219240</v>
      </c>
      <c r="P102" s="47">
        <f t="shared" si="1"/>
        <v>219240</v>
      </c>
      <c r="Q102" s="27" t="s">
        <v>370</v>
      </c>
    </row>
    <row r="103" spans="1:17" s="2" customFormat="1" ht="26">
      <c r="A103" s="27">
        <v>12</v>
      </c>
      <c r="B103" s="29" t="s">
        <v>71</v>
      </c>
      <c r="C103" s="29"/>
      <c r="D103" s="27" t="s">
        <v>359</v>
      </c>
      <c r="E103" s="27" t="s">
        <v>355</v>
      </c>
      <c r="F103" s="27">
        <v>350</v>
      </c>
      <c r="G103" s="27">
        <v>250</v>
      </c>
      <c r="H103" s="27"/>
      <c r="I103" s="27"/>
      <c r="J103" s="27"/>
      <c r="K103" s="27">
        <v>200</v>
      </c>
      <c r="L103" s="27">
        <v>0.75</v>
      </c>
      <c r="M103" s="27" t="s">
        <v>66</v>
      </c>
      <c r="N103" s="46">
        <v>2</v>
      </c>
      <c r="O103" s="47">
        <v>230580</v>
      </c>
      <c r="P103" s="47">
        <f t="shared" si="1"/>
        <v>461160</v>
      </c>
      <c r="Q103" s="27" t="s">
        <v>370</v>
      </c>
    </row>
    <row r="104" spans="1:17" s="2" customFormat="1" ht="26">
      <c r="A104" s="27">
        <v>13</v>
      </c>
      <c r="B104" s="29" t="s">
        <v>72</v>
      </c>
      <c r="C104" s="29"/>
      <c r="D104" s="27" t="s">
        <v>359</v>
      </c>
      <c r="E104" s="27" t="s">
        <v>355</v>
      </c>
      <c r="F104" s="27">
        <v>400</v>
      </c>
      <c r="G104" s="27">
        <v>200</v>
      </c>
      <c r="H104" s="27"/>
      <c r="I104" s="27"/>
      <c r="J104" s="27"/>
      <c r="K104" s="27">
        <v>200</v>
      </c>
      <c r="L104" s="27">
        <v>0.75</v>
      </c>
      <c r="M104" s="27" t="s">
        <v>66</v>
      </c>
      <c r="N104" s="46">
        <v>7</v>
      </c>
      <c r="O104" s="47">
        <v>228690</v>
      </c>
      <c r="P104" s="47">
        <f t="shared" si="1"/>
        <v>1600830</v>
      </c>
      <c r="Q104" s="27" t="s">
        <v>370</v>
      </c>
    </row>
    <row r="105" spans="1:17" s="2" customFormat="1" ht="26">
      <c r="A105" s="27">
        <v>14</v>
      </c>
      <c r="B105" s="29" t="s">
        <v>73</v>
      </c>
      <c r="C105" s="29"/>
      <c r="D105" s="27" t="s">
        <v>359</v>
      </c>
      <c r="E105" s="27" t="s">
        <v>355</v>
      </c>
      <c r="F105" s="27">
        <v>400</v>
      </c>
      <c r="G105" s="27">
        <v>250</v>
      </c>
      <c r="H105" s="27"/>
      <c r="I105" s="27"/>
      <c r="J105" s="27"/>
      <c r="K105" s="27">
        <v>200</v>
      </c>
      <c r="L105" s="27">
        <v>0.75</v>
      </c>
      <c r="M105" s="27" t="s">
        <v>66</v>
      </c>
      <c r="N105" s="46">
        <v>1</v>
      </c>
      <c r="O105" s="47">
        <v>241920</v>
      </c>
      <c r="P105" s="47">
        <f t="shared" si="1"/>
        <v>241920</v>
      </c>
      <c r="Q105" s="27" t="s">
        <v>370</v>
      </c>
    </row>
    <row r="106" spans="1:17" s="2" customFormat="1" ht="26">
      <c r="A106" s="27">
        <v>15</v>
      </c>
      <c r="B106" s="29" t="s">
        <v>74</v>
      </c>
      <c r="C106" s="29"/>
      <c r="D106" s="27" t="s">
        <v>359</v>
      </c>
      <c r="E106" s="27" t="s">
        <v>355</v>
      </c>
      <c r="F106" s="27">
        <v>400</v>
      </c>
      <c r="G106" s="27">
        <v>300</v>
      </c>
      <c r="H106" s="27"/>
      <c r="I106" s="27"/>
      <c r="J106" s="27"/>
      <c r="K106" s="27">
        <v>200</v>
      </c>
      <c r="L106" s="27">
        <v>0.75</v>
      </c>
      <c r="M106" s="27" t="s">
        <v>66</v>
      </c>
      <c r="N106" s="46">
        <v>3</v>
      </c>
      <c r="O106" s="47">
        <v>299565</v>
      </c>
      <c r="P106" s="47">
        <f t="shared" si="1"/>
        <v>898695</v>
      </c>
      <c r="Q106" s="27" t="s">
        <v>370</v>
      </c>
    </row>
    <row r="107" spans="1:17" s="2" customFormat="1" ht="26">
      <c r="A107" s="27">
        <v>16</v>
      </c>
      <c r="B107" s="29" t="s">
        <v>75</v>
      </c>
      <c r="C107" s="29"/>
      <c r="D107" s="27" t="s">
        <v>359</v>
      </c>
      <c r="E107" s="27" t="s">
        <v>355</v>
      </c>
      <c r="F107" s="27">
        <v>450</v>
      </c>
      <c r="G107" s="27">
        <v>250</v>
      </c>
      <c r="H107" s="27"/>
      <c r="I107" s="27"/>
      <c r="J107" s="27"/>
      <c r="K107" s="27">
        <v>200</v>
      </c>
      <c r="L107" s="27">
        <v>0.75</v>
      </c>
      <c r="M107" s="27" t="s">
        <v>66</v>
      </c>
      <c r="N107" s="46">
        <v>1</v>
      </c>
      <c r="O107" s="47">
        <v>253260</v>
      </c>
      <c r="P107" s="47">
        <f t="shared" si="1"/>
        <v>253260</v>
      </c>
      <c r="Q107" s="27" t="s">
        <v>370</v>
      </c>
    </row>
    <row r="108" spans="1:17" s="2" customFormat="1" ht="26">
      <c r="A108" s="27">
        <v>17</v>
      </c>
      <c r="B108" s="29" t="s">
        <v>77</v>
      </c>
      <c r="C108" s="29"/>
      <c r="D108" s="27" t="s">
        <v>359</v>
      </c>
      <c r="E108" s="27" t="s">
        <v>355</v>
      </c>
      <c r="F108" s="27">
        <v>500</v>
      </c>
      <c r="G108" s="27">
        <v>250</v>
      </c>
      <c r="H108" s="27"/>
      <c r="I108" s="27"/>
      <c r="J108" s="27"/>
      <c r="K108" s="27">
        <v>200</v>
      </c>
      <c r="L108" s="27">
        <v>0.75</v>
      </c>
      <c r="M108" s="27" t="s">
        <v>66</v>
      </c>
      <c r="N108" s="46">
        <v>1</v>
      </c>
      <c r="O108" s="47">
        <v>263655</v>
      </c>
      <c r="P108" s="47">
        <f t="shared" si="1"/>
        <v>263655</v>
      </c>
      <c r="Q108" s="27" t="s">
        <v>370</v>
      </c>
    </row>
    <row r="109" spans="1:17" s="2" customFormat="1" ht="26">
      <c r="A109" s="27">
        <v>18</v>
      </c>
      <c r="B109" s="29" t="s">
        <v>76</v>
      </c>
      <c r="C109" s="29"/>
      <c r="D109" s="27" t="s">
        <v>359</v>
      </c>
      <c r="E109" s="27" t="s">
        <v>355</v>
      </c>
      <c r="F109" s="27">
        <v>500</v>
      </c>
      <c r="G109" s="27">
        <v>300</v>
      </c>
      <c r="H109" s="27"/>
      <c r="I109" s="27"/>
      <c r="J109" s="27"/>
      <c r="K109" s="27">
        <v>200</v>
      </c>
      <c r="L109" s="27">
        <v>0.75</v>
      </c>
      <c r="M109" s="27" t="s">
        <v>66</v>
      </c>
      <c r="N109" s="46">
        <v>1</v>
      </c>
      <c r="O109" s="47">
        <v>326970</v>
      </c>
      <c r="P109" s="47">
        <f t="shared" si="1"/>
        <v>326970</v>
      </c>
      <c r="Q109" s="27" t="s">
        <v>370</v>
      </c>
    </row>
    <row r="110" spans="1:17" s="2" customFormat="1" ht="26">
      <c r="A110" s="27">
        <v>19</v>
      </c>
      <c r="B110" s="29" t="s">
        <v>150</v>
      </c>
      <c r="C110" s="29"/>
      <c r="D110" s="27" t="s">
        <v>359</v>
      </c>
      <c r="E110" s="27" t="s">
        <v>355</v>
      </c>
      <c r="F110" s="27">
        <v>600</v>
      </c>
      <c r="G110" s="27">
        <v>250</v>
      </c>
      <c r="H110" s="27"/>
      <c r="I110" s="27"/>
      <c r="J110" s="27"/>
      <c r="K110" s="27">
        <v>200</v>
      </c>
      <c r="L110" s="27">
        <v>0.75</v>
      </c>
      <c r="M110" s="27" t="s">
        <v>66</v>
      </c>
      <c r="N110" s="46">
        <v>1</v>
      </c>
      <c r="O110" s="47">
        <v>286335</v>
      </c>
      <c r="P110" s="47">
        <f t="shared" si="1"/>
        <v>286335</v>
      </c>
      <c r="Q110" s="27" t="s">
        <v>370</v>
      </c>
    </row>
    <row r="111" spans="1:17" s="2" customFormat="1" ht="26">
      <c r="A111" s="27">
        <v>20</v>
      </c>
      <c r="B111" s="29" t="s">
        <v>79</v>
      </c>
      <c r="C111" s="29"/>
      <c r="D111" s="27" t="s">
        <v>359</v>
      </c>
      <c r="E111" s="27" t="s">
        <v>355</v>
      </c>
      <c r="F111" s="27">
        <v>600</v>
      </c>
      <c r="G111" s="27">
        <v>300</v>
      </c>
      <c r="H111" s="27"/>
      <c r="I111" s="27"/>
      <c r="J111" s="27"/>
      <c r="K111" s="27">
        <v>200</v>
      </c>
      <c r="L111" s="27">
        <v>0.75</v>
      </c>
      <c r="M111" s="27" t="s">
        <v>66</v>
      </c>
      <c r="N111" s="46">
        <v>4</v>
      </c>
      <c r="O111" s="47">
        <v>354375</v>
      </c>
      <c r="P111" s="47">
        <f t="shared" si="1"/>
        <v>1417500</v>
      </c>
      <c r="Q111" s="27" t="s">
        <v>370</v>
      </c>
    </row>
    <row r="112" spans="1:17" s="2" customFormat="1" ht="26">
      <c r="A112" s="27">
        <v>21</v>
      </c>
      <c r="B112" s="29" t="s">
        <v>151</v>
      </c>
      <c r="C112" s="29"/>
      <c r="D112" s="27" t="s">
        <v>359</v>
      </c>
      <c r="E112" s="27" t="s">
        <v>355</v>
      </c>
      <c r="F112" s="27">
        <v>600</v>
      </c>
      <c r="G112" s="27">
        <v>400</v>
      </c>
      <c r="H112" s="27"/>
      <c r="I112" s="27"/>
      <c r="J112" s="27"/>
      <c r="K112" s="27">
        <v>200</v>
      </c>
      <c r="L112" s="27">
        <v>0.75</v>
      </c>
      <c r="M112" s="27" t="s">
        <v>66</v>
      </c>
      <c r="N112" s="46">
        <v>1</v>
      </c>
      <c r="O112" s="47">
        <v>352485</v>
      </c>
      <c r="P112" s="47">
        <f t="shared" si="1"/>
        <v>352485</v>
      </c>
      <c r="Q112" s="27" t="s">
        <v>370</v>
      </c>
    </row>
    <row r="113" spans="1:17" s="2" customFormat="1" ht="26">
      <c r="A113" s="27">
        <v>22</v>
      </c>
      <c r="B113" s="29" t="s">
        <v>80</v>
      </c>
      <c r="C113" s="29"/>
      <c r="D113" s="27" t="s">
        <v>359</v>
      </c>
      <c r="E113" s="27" t="s">
        <v>355</v>
      </c>
      <c r="F113" s="27">
        <v>650</v>
      </c>
      <c r="G113" s="27">
        <v>250</v>
      </c>
      <c r="H113" s="27"/>
      <c r="I113" s="27"/>
      <c r="J113" s="27"/>
      <c r="K113" s="27">
        <v>200</v>
      </c>
      <c r="L113" s="27">
        <v>0.75</v>
      </c>
      <c r="M113" s="27" t="s">
        <v>66</v>
      </c>
      <c r="N113" s="46">
        <v>2</v>
      </c>
      <c r="O113" s="47">
        <v>297675</v>
      </c>
      <c r="P113" s="47">
        <f t="shared" si="1"/>
        <v>595350</v>
      </c>
      <c r="Q113" s="27" t="s">
        <v>370</v>
      </c>
    </row>
    <row r="114" spans="1:17" s="2" customFormat="1" ht="26">
      <c r="A114" s="27">
        <v>23</v>
      </c>
      <c r="B114" s="29" t="s">
        <v>81</v>
      </c>
      <c r="C114" s="29"/>
      <c r="D114" s="27" t="s">
        <v>359</v>
      </c>
      <c r="E114" s="27" t="s">
        <v>355</v>
      </c>
      <c r="F114" s="27">
        <v>650</v>
      </c>
      <c r="G114" s="27">
        <v>300</v>
      </c>
      <c r="H114" s="27"/>
      <c r="I114" s="27"/>
      <c r="J114" s="27"/>
      <c r="K114" s="27">
        <v>200</v>
      </c>
      <c r="L114" s="27">
        <v>0.75</v>
      </c>
      <c r="M114" s="27" t="s">
        <v>66</v>
      </c>
      <c r="N114" s="46">
        <v>1</v>
      </c>
      <c r="O114" s="47">
        <v>368550</v>
      </c>
      <c r="P114" s="47">
        <f t="shared" ref="P114:P177" si="2">O114*N114</f>
        <v>368550</v>
      </c>
      <c r="Q114" s="27" t="s">
        <v>370</v>
      </c>
    </row>
    <row r="115" spans="1:17" s="2" customFormat="1" ht="26">
      <c r="A115" s="27">
        <v>24</v>
      </c>
      <c r="B115" s="29" t="s">
        <v>82</v>
      </c>
      <c r="C115" s="29"/>
      <c r="D115" s="27" t="s">
        <v>359</v>
      </c>
      <c r="E115" s="27" t="s">
        <v>355</v>
      </c>
      <c r="F115" s="27">
        <v>650</v>
      </c>
      <c r="G115" s="27">
        <v>350</v>
      </c>
      <c r="H115" s="27"/>
      <c r="I115" s="27"/>
      <c r="J115" s="27"/>
      <c r="K115" s="27">
        <v>200</v>
      </c>
      <c r="L115" s="27">
        <v>0.75</v>
      </c>
      <c r="M115" s="27" t="s">
        <v>66</v>
      </c>
      <c r="N115" s="46">
        <v>1</v>
      </c>
      <c r="O115" s="47">
        <v>348705</v>
      </c>
      <c r="P115" s="47">
        <f t="shared" si="2"/>
        <v>348705</v>
      </c>
      <c r="Q115" s="27" t="s">
        <v>370</v>
      </c>
    </row>
    <row r="116" spans="1:17" s="2" customFormat="1" ht="26">
      <c r="A116" s="27">
        <v>25</v>
      </c>
      <c r="B116" s="29" t="s">
        <v>152</v>
      </c>
      <c r="C116" s="29"/>
      <c r="D116" s="27" t="s">
        <v>359</v>
      </c>
      <c r="E116" s="27" t="s">
        <v>355</v>
      </c>
      <c r="F116" s="27">
        <v>650</v>
      </c>
      <c r="G116" s="27">
        <v>400</v>
      </c>
      <c r="H116" s="27"/>
      <c r="I116" s="27"/>
      <c r="J116" s="27"/>
      <c r="K116" s="27">
        <v>200</v>
      </c>
      <c r="L116" s="27">
        <v>0.75</v>
      </c>
      <c r="M116" s="27" t="s">
        <v>66</v>
      </c>
      <c r="N116" s="46">
        <v>1</v>
      </c>
      <c r="O116" s="47">
        <v>365715</v>
      </c>
      <c r="P116" s="47">
        <f t="shared" si="2"/>
        <v>365715</v>
      </c>
      <c r="Q116" s="27" t="s">
        <v>370</v>
      </c>
    </row>
    <row r="117" spans="1:17" s="2" customFormat="1" ht="26">
      <c r="A117" s="27">
        <v>26</v>
      </c>
      <c r="B117" s="29" t="s">
        <v>153</v>
      </c>
      <c r="C117" s="29"/>
      <c r="D117" s="27" t="s">
        <v>359</v>
      </c>
      <c r="E117" s="27" t="s">
        <v>355</v>
      </c>
      <c r="F117" s="27">
        <v>700</v>
      </c>
      <c r="G117" s="27">
        <v>350</v>
      </c>
      <c r="H117" s="27"/>
      <c r="I117" s="27"/>
      <c r="J117" s="27"/>
      <c r="K117" s="27">
        <v>200</v>
      </c>
      <c r="L117" s="27">
        <v>0.75</v>
      </c>
      <c r="M117" s="27" t="s">
        <v>66</v>
      </c>
      <c r="N117" s="46">
        <v>1</v>
      </c>
      <c r="O117" s="47">
        <v>361935</v>
      </c>
      <c r="P117" s="47">
        <f t="shared" si="2"/>
        <v>361935</v>
      </c>
      <c r="Q117" s="27" t="s">
        <v>370</v>
      </c>
    </row>
    <row r="118" spans="1:17" s="2" customFormat="1" ht="26">
      <c r="A118" s="27">
        <v>27</v>
      </c>
      <c r="B118" s="29" t="s">
        <v>154</v>
      </c>
      <c r="C118" s="29"/>
      <c r="D118" s="27" t="s">
        <v>359</v>
      </c>
      <c r="E118" s="27" t="s">
        <v>355</v>
      </c>
      <c r="F118" s="27">
        <v>700</v>
      </c>
      <c r="G118" s="27">
        <v>400</v>
      </c>
      <c r="H118" s="27"/>
      <c r="I118" s="27"/>
      <c r="J118" s="27"/>
      <c r="K118" s="27">
        <v>200</v>
      </c>
      <c r="L118" s="27">
        <v>0.75</v>
      </c>
      <c r="M118" s="27" t="s">
        <v>66</v>
      </c>
      <c r="N118" s="46">
        <v>1</v>
      </c>
      <c r="O118" s="47">
        <v>422415</v>
      </c>
      <c r="P118" s="47">
        <f t="shared" si="2"/>
        <v>422415</v>
      </c>
      <c r="Q118" s="27" t="s">
        <v>370</v>
      </c>
    </row>
    <row r="119" spans="1:17" s="2" customFormat="1" ht="26">
      <c r="A119" s="27">
        <v>28</v>
      </c>
      <c r="B119" s="29" t="s">
        <v>83</v>
      </c>
      <c r="C119" s="29"/>
      <c r="D119" s="27" t="s">
        <v>359</v>
      </c>
      <c r="E119" s="27" t="s">
        <v>355</v>
      </c>
      <c r="F119" s="27">
        <v>800</v>
      </c>
      <c r="G119" s="27">
        <v>600</v>
      </c>
      <c r="H119" s="27"/>
      <c r="I119" s="27"/>
      <c r="J119" s="27"/>
      <c r="K119" s="27">
        <v>200</v>
      </c>
      <c r="L119" s="27">
        <v>0.95</v>
      </c>
      <c r="M119" s="27" t="s">
        <v>66</v>
      </c>
      <c r="N119" s="46">
        <v>1</v>
      </c>
      <c r="O119" s="47">
        <v>600075</v>
      </c>
      <c r="P119" s="47">
        <f t="shared" si="2"/>
        <v>600075</v>
      </c>
      <c r="Q119" s="27" t="s">
        <v>370</v>
      </c>
    </row>
    <row r="120" spans="1:17" s="2" customFormat="1" ht="26">
      <c r="A120" s="27">
        <v>29</v>
      </c>
      <c r="B120" s="29" t="s">
        <v>85</v>
      </c>
      <c r="C120" s="29"/>
      <c r="D120" s="27" t="s">
        <v>359</v>
      </c>
      <c r="E120" s="27" t="s">
        <v>355</v>
      </c>
      <c r="F120" s="27">
        <v>900</v>
      </c>
      <c r="G120" s="27">
        <v>500</v>
      </c>
      <c r="H120" s="27"/>
      <c r="I120" s="27"/>
      <c r="J120" s="27"/>
      <c r="K120" s="27">
        <v>200</v>
      </c>
      <c r="L120" s="27">
        <v>0.95</v>
      </c>
      <c r="M120" s="27" t="s">
        <v>66</v>
      </c>
      <c r="N120" s="46">
        <v>1</v>
      </c>
      <c r="O120" s="47">
        <v>590625</v>
      </c>
      <c r="P120" s="47">
        <f t="shared" si="2"/>
        <v>590625</v>
      </c>
      <c r="Q120" s="27" t="s">
        <v>370</v>
      </c>
    </row>
    <row r="121" spans="1:17" s="2" customFormat="1" ht="26">
      <c r="A121" s="27">
        <v>30</v>
      </c>
      <c r="B121" s="29" t="s">
        <v>87</v>
      </c>
      <c r="C121" s="29"/>
      <c r="D121" s="27" t="s">
        <v>359</v>
      </c>
      <c r="E121" s="27" t="s">
        <v>355</v>
      </c>
      <c r="F121" s="27">
        <v>950</v>
      </c>
      <c r="G121" s="27">
        <v>500</v>
      </c>
      <c r="H121" s="27"/>
      <c r="I121" s="27"/>
      <c r="J121" s="27"/>
      <c r="K121" s="27">
        <v>200</v>
      </c>
      <c r="L121" s="27">
        <v>0.95</v>
      </c>
      <c r="M121" s="27" t="s">
        <v>66</v>
      </c>
      <c r="N121" s="46">
        <v>1</v>
      </c>
      <c r="O121" s="47">
        <v>607635</v>
      </c>
      <c r="P121" s="47">
        <f t="shared" si="2"/>
        <v>607635</v>
      </c>
      <c r="Q121" s="27" t="s">
        <v>370</v>
      </c>
    </row>
    <row r="122" spans="1:17" s="2" customFormat="1" ht="26">
      <c r="A122" s="27">
        <v>31</v>
      </c>
      <c r="B122" s="29" t="s">
        <v>88</v>
      </c>
      <c r="C122" s="29"/>
      <c r="D122" s="27" t="s">
        <v>359</v>
      </c>
      <c r="E122" s="27" t="s">
        <v>355</v>
      </c>
      <c r="F122" s="27">
        <v>1000</v>
      </c>
      <c r="G122" s="27">
        <v>1000</v>
      </c>
      <c r="H122" s="27"/>
      <c r="I122" s="27"/>
      <c r="J122" s="27"/>
      <c r="K122" s="27">
        <v>200</v>
      </c>
      <c r="L122" s="27">
        <v>1.1499999999999999</v>
      </c>
      <c r="M122" s="27" t="s">
        <v>66</v>
      </c>
      <c r="N122" s="46">
        <v>2</v>
      </c>
      <c r="O122" s="47">
        <v>1153845</v>
      </c>
      <c r="P122" s="47">
        <f t="shared" si="2"/>
        <v>2307690</v>
      </c>
      <c r="Q122" s="27" t="s">
        <v>370</v>
      </c>
    </row>
    <row r="123" spans="1:17" s="2" customFormat="1" ht="26">
      <c r="A123" s="27">
        <v>32</v>
      </c>
      <c r="B123" s="29" t="s">
        <v>155</v>
      </c>
      <c r="C123" s="29"/>
      <c r="D123" s="27" t="s">
        <v>359</v>
      </c>
      <c r="E123" s="27" t="s">
        <v>355</v>
      </c>
      <c r="F123" s="27">
        <v>1900</v>
      </c>
      <c r="G123" s="27">
        <v>600</v>
      </c>
      <c r="H123" s="27"/>
      <c r="I123" s="27"/>
      <c r="J123" s="27"/>
      <c r="K123" s="27">
        <v>200</v>
      </c>
      <c r="L123" s="27">
        <v>1.1499999999999999</v>
      </c>
      <c r="M123" s="27" t="s">
        <v>66</v>
      </c>
      <c r="N123" s="46">
        <v>1</v>
      </c>
      <c r="O123" s="47">
        <v>1154790</v>
      </c>
      <c r="P123" s="47">
        <f t="shared" si="2"/>
        <v>1154790</v>
      </c>
      <c r="Q123" s="27" t="s">
        <v>370</v>
      </c>
    </row>
    <row r="124" spans="1:17" s="2" customFormat="1" ht="74.25" customHeight="1">
      <c r="A124" s="27">
        <v>33</v>
      </c>
      <c r="B124" s="29" t="s">
        <v>91</v>
      </c>
      <c r="C124" s="29"/>
      <c r="D124" s="27" t="s">
        <v>361</v>
      </c>
      <c r="E124" s="27" t="s">
        <v>355</v>
      </c>
      <c r="F124" s="30">
        <v>150</v>
      </c>
      <c r="G124" s="30">
        <v>150</v>
      </c>
      <c r="H124" s="27"/>
      <c r="I124" s="27"/>
      <c r="J124" s="27"/>
      <c r="K124" s="27">
        <v>200</v>
      </c>
      <c r="L124" s="27">
        <v>1.1499999999999999</v>
      </c>
      <c r="M124" s="27" t="s">
        <v>66</v>
      </c>
      <c r="N124" s="46">
        <v>76</v>
      </c>
      <c r="O124" s="47">
        <v>855742.28249999997</v>
      </c>
      <c r="P124" s="47">
        <f t="shared" si="2"/>
        <v>65036413.469999999</v>
      </c>
      <c r="Q124" s="27" t="s">
        <v>417</v>
      </c>
    </row>
    <row r="125" spans="1:17" s="2" customFormat="1" ht="39">
      <c r="A125" s="27">
        <v>34</v>
      </c>
      <c r="B125" s="29" t="s">
        <v>92</v>
      </c>
      <c r="C125" s="29"/>
      <c r="D125" s="27" t="s">
        <v>361</v>
      </c>
      <c r="E125" s="27" t="s">
        <v>355</v>
      </c>
      <c r="F125" s="27">
        <v>150</v>
      </c>
      <c r="G125" s="27">
        <v>150</v>
      </c>
      <c r="H125" s="27"/>
      <c r="I125" s="27"/>
      <c r="J125" s="27"/>
      <c r="K125" s="27">
        <v>200</v>
      </c>
      <c r="L125" s="27">
        <v>1.1499999999999999</v>
      </c>
      <c r="M125" s="27" t="s">
        <v>66</v>
      </c>
      <c r="N125" s="46">
        <v>23</v>
      </c>
      <c r="O125" s="47">
        <v>855742.28249999997</v>
      </c>
      <c r="P125" s="47">
        <f t="shared" si="2"/>
        <v>19682072.497499999</v>
      </c>
      <c r="Q125" s="27" t="s">
        <v>364</v>
      </c>
    </row>
    <row r="126" spans="1:17" s="2" customFormat="1" ht="86.25" customHeight="1">
      <c r="A126" s="27">
        <v>35</v>
      </c>
      <c r="B126" s="29" t="s">
        <v>156</v>
      </c>
      <c r="C126" s="29"/>
      <c r="D126" s="27" t="s">
        <v>361</v>
      </c>
      <c r="E126" s="27" t="s">
        <v>355</v>
      </c>
      <c r="F126" s="30">
        <v>200</v>
      </c>
      <c r="G126" s="30">
        <v>150</v>
      </c>
      <c r="H126" s="27"/>
      <c r="I126" s="27"/>
      <c r="J126" s="27"/>
      <c r="K126" s="27">
        <v>200</v>
      </c>
      <c r="L126" s="27">
        <v>1.1499999999999999</v>
      </c>
      <c r="M126" s="27" t="s">
        <v>66</v>
      </c>
      <c r="N126" s="46">
        <v>29</v>
      </c>
      <c r="O126" s="47">
        <v>910709.52</v>
      </c>
      <c r="P126" s="47">
        <f t="shared" si="2"/>
        <v>26410576.079999998</v>
      </c>
      <c r="Q126" s="27" t="s">
        <v>420</v>
      </c>
    </row>
    <row r="127" spans="1:17" s="2" customFormat="1" ht="39">
      <c r="A127" s="27">
        <v>36</v>
      </c>
      <c r="B127" s="29" t="s">
        <v>157</v>
      </c>
      <c r="C127" s="29"/>
      <c r="D127" s="27" t="s">
        <v>361</v>
      </c>
      <c r="E127" s="27" t="s">
        <v>355</v>
      </c>
      <c r="F127" s="27">
        <v>200</v>
      </c>
      <c r="G127" s="27">
        <v>150</v>
      </c>
      <c r="H127" s="27"/>
      <c r="I127" s="27"/>
      <c r="J127" s="27"/>
      <c r="K127" s="27">
        <v>200</v>
      </c>
      <c r="L127" s="27">
        <v>1.1499999999999999</v>
      </c>
      <c r="M127" s="27" t="s">
        <v>66</v>
      </c>
      <c r="N127" s="46">
        <v>21</v>
      </c>
      <c r="O127" s="47">
        <v>910709.52</v>
      </c>
      <c r="P127" s="47">
        <f t="shared" si="2"/>
        <v>19124899.920000002</v>
      </c>
      <c r="Q127" s="27" t="s">
        <v>364</v>
      </c>
    </row>
    <row r="128" spans="1:17" s="2" customFormat="1" ht="39">
      <c r="A128" s="27">
        <v>37</v>
      </c>
      <c r="B128" s="29" t="s">
        <v>158</v>
      </c>
      <c r="C128" s="29"/>
      <c r="D128" s="27" t="s">
        <v>361</v>
      </c>
      <c r="E128" s="27" t="s">
        <v>355</v>
      </c>
      <c r="F128" s="27">
        <v>200</v>
      </c>
      <c r="G128" s="27">
        <v>200</v>
      </c>
      <c r="H128" s="27"/>
      <c r="I128" s="27"/>
      <c r="J128" s="27"/>
      <c r="K128" s="27">
        <v>200</v>
      </c>
      <c r="L128" s="27">
        <v>1.1499999999999999</v>
      </c>
      <c r="M128" s="27" t="s">
        <v>66</v>
      </c>
      <c r="N128" s="46">
        <v>2</v>
      </c>
      <c r="O128" s="47">
        <v>969991.9425</v>
      </c>
      <c r="P128" s="47">
        <f t="shared" si="2"/>
        <v>1939983.885</v>
      </c>
      <c r="Q128" s="27" t="s">
        <v>364</v>
      </c>
    </row>
    <row r="129" spans="1:17" s="2" customFormat="1" ht="39">
      <c r="A129" s="27">
        <v>38</v>
      </c>
      <c r="B129" s="29" t="s">
        <v>159</v>
      </c>
      <c r="C129" s="29"/>
      <c r="D129" s="27" t="s">
        <v>361</v>
      </c>
      <c r="E129" s="27" t="s">
        <v>355</v>
      </c>
      <c r="F129" s="27">
        <v>250</v>
      </c>
      <c r="G129" s="27">
        <v>150</v>
      </c>
      <c r="H129" s="27"/>
      <c r="I129" s="27"/>
      <c r="J129" s="27"/>
      <c r="K129" s="27">
        <v>200</v>
      </c>
      <c r="L129" s="27">
        <v>1.1499999999999999</v>
      </c>
      <c r="M129" s="27" t="s">
        <v>66</v>
      </c>
      <c r="N129" s="46">
        <v>3</v>
      </c>
      <c r="O129" s="47">
        <v>965676.75749999995</v>
      </c>
      <c r="P129" s="47">
        <f t="shared" si="2"/>
        <v>2897030.2725</v>
      </c>
      <c r="Q129" s="27" t="s">
        <v>364</v>
      </c>
    </row>
    <row r="130" spans="1:17" s="2" customFormat="1" ht="39">
      <c r="A130" s="27">
        <v>39</v>
      </c>
      <c r="B130" s="29" t="s">
        <v>160</v>
      </c>
      <c r="C130" s="29"/>
      <c r="D130" s="27" t="s">
        <v>361</v>
      </c>
      <c r="E130" s="27" t="s">
        <v>355</v>
      </c>
      <c r="F130" s="27">
        <v>300</v>
      </c>
      <c r="G130" s="27">
        <v>200</v>
      </c>
      <c r="H130" s="27"/>
      <c r="I130" s="27"/>
      <c r="J130" s="27"/>
      <c r="K130" s="27">
        <v>200</v>
      </c>
      <c r="L130" s="27">
        <v>1.1499999999999999</v>
      </c>
      <c r="M130" s="27" t="s">
        <v>66</v>
      </c>
      <c r="N130" s="46">
        <v>8</v>
      </c>
      <c r="O130" s="47">
        <v>1088556.7875000001</v>
      </c>
      <c r="P130" s="47">
        <f t="shared" si="2"/>
        <v>8708454.3000000007</v>
      </c>
      <c r="Q130" s="27" t="s">
        <v>364</v>
      </c>
    </row>
    <row r="131" spans="1:17" s="2" customFormat="1" ht="39">
      <c r="A131" s="27">
        <v>40</v>
      </c>
      <c r="B131" s="29" t="s">
        <v>93</v>
      </c>
      <c r="C131" s="29"/>
      <c r="D131" s="27" t="s">
        <v>361</v>
      </c>
      <c r="E131" s="27" t="s">
        <v>355</v>
      </c>
      <c r="F131" s="27">
        <v>300</v>
      </c>
      <c r="G131" s="27">
        <v>250</v>
      </c>
      <c r="H131" s="27"/>
      <c r="I131" s="27"/>
      <c r="J131" s="27"/>
      <c r="K131" s="27">
        <v>200</v>
      </c>
      <c r="L131" s="27">
        <v>1.1499999999999999</v>
      </c>
      <c r="M131" s="27" t="s">
        <v>66</v>
      </c>
      <c r="N131" s="46">
        <v>3</v>
      </c>
      <c r="O131" s="47">
        <v>1156469.58</v>
      </c>
      <c r="P131" s="47">
        <f t="shared" si="2"/>
        <v>3469408.74</v>
      </c>
      <c r="Q131" s="27" t="s">
        <v>364</v>
      </c>
    </row>
    <row r="132" spans="1:17" s="2" customFormat="1" ht="39">
      <c r="A132" s="27">
        <v>41</v>
      </c>
      <c r="B132" s="29" t="s">
        <v>161</v>
      </c>
      <c r="C132" s="29"/>
      <c r="D132" s="27" t="s">
        <v>361</v>
      </c>
      <c r="E132" s="27" t="s">
        <v>355</v>
      </c>
      <c r="F132" s="27">
        <v>350</v>
      </c>
      <c r="G132" s="27">
        <v>150</v>
      </c>
      <c r="H132" s="27"/>
      <c r="I132" s="27"/>
      <c r="J132" s="27"/>
      <c r="K132" s="27">
        <v>200</v>
      </c>
      <c r="L132" s="27">
        <v>1.1499999999999999</v>
      </c>
      <c r="M132" s="27" t="s">
        <v>66</v>
      </c>
      <c r="N132" s="46">
        <v>2</v>
      </c>
      <c r="O132" s="47">
        <v>1075405.7475000001</v>
      </c>
      <c r="P132" s="47">
        <f t="shared" si="2"/>
        <v>2150811.4950000001</v>
      </c>
      <c r="Q132" s="27" t="s">
        <v>364</v>
      </c>
    </row>
    <row r="133" spans="1:17" s="2" customFormat="1" ht="39">
      <c r="A133" s="27">
        <v>42</v>
      </c>
      <c r="B133" s="29" t="s">
        <v>162</v>
      </c>
      <c r="C133" s="29"/>
      <c r="D133" s="27" t="s">
        <v>361</v>
      </c>
      <c r="E133" s="27" t="s">
        <v>355</v>
      </c>
      <c r="F133" s="27">
        <v>350</v>
      </c>
      <c r="G133" s="27">
        <v>200</v>
      </c>
      <c r="H133" s="27"/>
      <c r="I133" s="27"/>
      <c r="J133" s="27"/>
      <c r="K133" s="27">
        <v>200</v>
      </c>
      <c r="L133" s="27">
        <v>1.1499999999999999</v>
      </c>
      <c r="M133" s="27" t="s">
        <v>66</v>
      </c>
      <c r="N133" s="46">
        <v>1</v>
      </c>
      <c r="O133" s="47">
        <v>1147839.21</v>
      </c>
      <c r="P133" s="47">
        <f t="shared" si="2"/>
        <v>1147839.21</v>
      </c>
      <c r="Q133" s="27" t="s">
        <v>364</v>
      </c>
    </row>
    <row r="134" spans="1:17" s="2" customFormat="1" ht="39">
      <c r="A134" s="27">
        <v>43</v>
      </c>
      <c r="B134" s="29" t="s">
        <v>95</v>
      </c>
      <c r="C134" s="29"/>
      <c r="D134" s="27" t="s">
        <v>361</v>
      </c>
      <c r="E134" s="27" t="s">
        <v>355</v>
      </c>
      <c r="F134" s="27">
        <v>350</v>
      </c>
      <c r="G134" s="27">
        <v>250</v>
      </c>
      <c r="H134" s="27"/>
      <c r="I134" s="27"/>
      <c r="J134" s="27"/>
      <c r="K134" s="27">
        <v>200</v>
      </c>
      <c r="L134" s="27">
        <v>1.1499999999999999</v>
      </c>
      <c r="M134" s="27" t="s">
        <v>66</v>
      </c>
      <c r="N134" s="46">
        <v>4</v>
      </c>
      <c r="O134" s="47">
        <v>1220272.6725000001</v>
      </c>
      <c r="P134" s="47">
        <f t="shared" si="2"/>
        <v>4881090.6900000004</v>
      </c>
      <c r="Q134" s="27" t="s">
        <v>364</v>
      </c>
    </row>
    <row r="135" spans="1:17" s="2" customFormat="1" ht="39">
      <c r="A135" s="27">
        <v>44</v>
      </c>
      <c r="B135" s="29" t="s">
        <v>163</v>
      </c>
      <c r="C135" s="29"/>
      <c r="D135" s="27" t="s">
        <v>361</v>
      </c>
      <c r="E135" s="27" t="s">
        <v>355</v>
      </c>
      <c r="F135" s="27">
        <v>350</v>
      </c>
      <c r="G135" s="27">
        <v>300</v>
      </c>
      <c r="H135" s="27"/>
      <c r="I135" s="27"/>
      <c r="J135" s="27"/>
      <c r="K135" s="27">
        <v>200</v>
      </c>
      <c r="L135" s="27">
        <v>1.1499999999999999</v>
      </c>
      <c r="M135" s="27" t="s">
        <v>66</v>
      </c>
      <c r="N135" s="46">
        <v>2</v>
      </c>
      <c r="O135" s="47">
        <v>1611618.855</v>
      </c>
      <c r="P135" s="47">
        <f t="shared" si="2"/>
        <v>3223237.71</v>
      </c>
      <c r="Q135" s="27" t="s">
        <v>364</v>
      </c>
    </row>
    <row r="136" spans="1:17" s="2" customFormat="1" ht="39">
      <c r="A136" s="27">
        <v>45</v>
      </c>
      <c r="B136" s="29" t="s">
        <v>96</v>
      </c>
      <c r="C136" s="29"/>
      <c r="D136" s="27" t="s">
        <v>361</v>
      </c>
      <c r="E136" s="27" t="s">
        <v>355</v>
      </c>
      <c r="F136" s="27">
        <v>400</v>
      </c>
      <c r="G136" s="27">
        <v>200</v>
      </c>
      <c r="H136" s="27"/>
      <c r="I136" s="27"/>
      <c r="J136" s="27"/>
      <c r="K136" s="27">
        <v>200</v>
      </c>
      <c r="L136" s="27">
        <v>1.1499999999999999</v>
      </c>
      <c r="M136" s="27" t="s">
        <v>66</v>
      </c>
      <c r="N136" s="46">
        <v>3</v>
      </c>
      <c r="O136" s="47">
        <v>1207121.6325000001</v>
      </c>
      <c r="P136" s="47">
        <f t="shared" si="2"/>
        <v>3621364.8975</v>
      </c>
      <c r="Q136" s="27" t="s">
        <v>364</v>
      </c>
    </row>
    <row r="137" spans="1:17" s="2" customFormat="1" ht="39">
      <c r="A137" s="27">
        <v>46</v>
      </c>
      <c r="B137" s="29" t="s">
        <v>97</v>
      </c>
      <c r="C137" s="29"/>
      <c r="D137" s="27" t="s">
        <v>361</v>
      </c>
      <c r="E137" s="27" t="s">
        <v>355</v>
      </c>
      <c r="F137" s="27">
        <v>400</v>
      </c>
      <c r="G137" s="27">
        <v>250</v>
      </c>
      <c r="H137" s="27"/>
      <c r="I137" s="27"/>
      <c r="J137" s="27"/>
      <c r="K137" s="27">
        <v>200</v>
      </c>
      <c r="L137" s="27">
        <v>1.1499999999999999</v>
      </c>
      <c r="M137" s="27" t="s">
        <v>66</v>
      </c>
      <c r="N137" s="46">
        <v>4</v>
      </c>
      <c r="O137" s="47">
        <v>1283870.28</v>
      </c>
      <c r="P137" s="47">
        <f t="shared" si="2"/>
        <v>5135481.12</v>
      </c>
      <c r="Q137" s="27" t="s">
        <v>364</v>
      </c>
    </row>
    <row r="138" spans="1:17" s="2" customFormat="1" ht="39">
      <c r="A138" s="27">
        <v>47</v>
      </c>
      <c r="B138" s="29" t="s">
        <v>98</v>
      </c>
      <c r="C138" s="29"/>
      <c r="D138" s="27" t="s">
        <v>361</v>
      </c>
      <c r="E138" s="27" t="s">
        <v>355</v>
      </c>
      <c r="F138" s="27">
        <v>400</v>
      </c>
      <c r="G138" s="27">
        <v>300</v>
      </c>
      <c r="H138" s="27"/>
      <c r="I138" s="27"/>
      <c r="J138" s="27"/>
      <c r="K138" s="27">
        <v>200</v>
      </c>
      <c r="L138" s="27">
        <v>1.1499999999999999</v>
      </c>
      <c r="M138" s="27" t="s">
        <v>66</v>
      </c>
      <c r="N138" s="46">
        <v>5</v>
      </c>
      <c r="O138" s="47">
        <v>1674497.2649999999</v>
      </c>
      <c r="P138" s="47">
        <f t="shared" si="2"/>
        <v>8372486.3250000002</v>
      </c>
      <c r="Q138" s="27" t="s">
        <v>364</v>
      </c>
    </row>
    <row r="139" spans="1:17" s="2" customFormat="1" ht="39">
      <c r="A139" s="27">
        <v>48</v>
      </c>
      <c r="B139" s="29" t="s">
        <v>99</v>
      </c>
      <c r="C139" s="29"/>
      <c r="D139" s="27" t="s">
        <v>361</v>
      </c>
      <c r="E139" s="27" t="s">
        <v>355</v>
      </c>
      <c r="F139" s="27">
        <v>400</v>
      </c>
      <c r="G139" s="27">
        <v>350</v>
      </c>
      <c r="H139" s="27"/>
      <c r="I139" s="27"/>
      <c r="J139" s="27"/>
      <c r="K139" s="27">
        <v>200</v>
      </c>
      <c r="L139" s="27">
        <v>1.1499999999999999</v>
      </c>
      <c r="M139" s="27" t="s">
        <v>66</v>
      </c>
      <c r="N139" s="46">
        <v>1</v>
      </c>
      <c r="O139" s="47">
        <v>1745492.3325</v>
      </c>
      <c r="P139" s="47">
        <f t="shared" si="2"/>
        <v>1745492.3325</v>
      </c>
      <c r="Q139" s="27" t="s">
        <v>364</v>
      </c>
    </row>
    <row r="140" spans="1:17" s="2" customFormat="1" ht="39">
      <c r="A140" s="27">
        <v>49</v>
      </c>
      <c r="B140" s="29" t="s">
        <v>164</v>
      </c>
      <c r="C140" s="29"/>
      <c r="D140" s="27" t="s">
        <v>361</v>
      </c>
      <c r="E140" s="27" t="s">
        <v>355</v>
      </c>
      <c r="F140" s="27">
        <v>450</v>
      </c>
      <c r="G140" s="27">
        <v>350</v>
      </c>
      <c r="H140" s="27"/>
      <c r="I140" s="27"/>
      <c r="J140" s="27"/>
      <c r="K140" s="27">
        <v>200</v>
      </c>
      <c r="L140" s="27">
        <v>1.1499999999999999</v>
      </c>
      <c r="M140" s="27" t="s">
        <v>66</v>
      </c>
      <c r="N140" s="46">
        <v>2</v>
      </c>
      <c r="O140" s="47">
        <v>1812377.7</v>
      </c>
      <c r="P140" s="47">
        <f t="shared" si="2"/>
        <v>3624755.4</v>
      </c>
      <c r="Q140" s="27" t="s">
        <v>364</v>
      </c>
    </row>
    <row r="141" spans="1:17" s="2" customFormat="1" ht="71.25" customHeight="1">
      <c r="A141" s="27">
        <v>50</v>
      </c>
      <c r="B141" s="29" t="s">
        <v>165</v>
      </c>
      <c r="C141" s="29"/>
      <c r="D141" s="27" t="s">
        <v>361</v>
      </c>
      <c r="E141" s="27" t="s">
        <v>355</v>
      </c>
      <c r="F141" s="27">
        <v>500</v>
      </c>
      <c r="G141" s="27">
        <v>250</v>
      </c>
      <c r="H141" s="27"/>
      <c r="I141" s="27"/>
      <c r="J141" s="27"/>
      <c r="K141" s="27">
        <v>200</v>
      </c>
      <c r="L141" s="27">
        <v>1.1499999999999999</v>
      </c>
      <c r="M141" s="27" t="s">
        <v>66</v>
      </c>
      <c r="N141" s="46">
        <v>2</v>
      </c>
      <c r="O141" s="47">
        <v>1411270.98</v>
      </c>
      <c r="P141" s="47">
        <f t="shared" si="2"/>
        <v>2822541.96</v>
      </c>
      <c r="Q141" s="27" t="s">
        <v>364</v>
      </c>
    </row>
    <row r="142" spans="1:17" s="2" customFormat="1" ht="39">
      <c r="A142" s="27">
        <v>51</v>
      </c>
      <c r="B142" s="29" t="s">
        <v>166</v>
      </c>
      <c r="C142" s="29"/>
      <c r="D142" s="27" t="s">
        <v>361</v>
      </c>
      <c r="E142" s="27" t="s">
        <v>355</v>
      </c>
      <c r="F142" s="27">
        <v>500</v>
      </c>
      <c r="G142" s="27">
        <v>300</v>
      </c>
      <c r="H142" s="27"/>
      <c r="I142" s="27"/>
      <c r="J142" s="27"/>
      <c r="K142" s="27">
        <v>200</v>
      </c>
      <c r="L142" s="27">
        <v>1.1499999999999999</v>
      </c>
      <c r="M142" s="27" t="s">
        <v>66</v>
      </c>
      <c r="N142" s="46">
        <v>3</v>
      </c>
      <c r="O142" s="47">
        <v>1800151.3425</v>
      </c>
      <c r="P142" s="47">
        <f t="shared" si="2"/>
        <v>5400454.0274999999</v>
      </c>
      <c r="Q142" s="27" t="s">
        <v>364</v>
      </c>
    </row>
    <row r="143" spans="1:17" s="2" customFormat="1" ht="39">
      <c r="A143" s="27">
        <v>52</v>
      </c>
      <c r="B143" s="29" t="s">
        <v>167</v>
      </c>
      <c r="C143" s="29"/>
      <c r="D143" s="27" t="s">
        <v>361</v>
      </c>
      <c r="E143" s="27" t="s">
        <v>355</v>
      </c>
      <c r="F143" s="27">
        <v>500</v>
      </c>
      <c r="G143" s="27">
        <v>350</v>
      </c>
      <c r="H143" s="27"/>
      <c r="I143" s="27"/>
      <c r="J143" s="27"/>
      <c r="K143" s="27">
        <v>200</v>
      </c>
      <c r="L143" s="27">
        <v>1.1499999999999999</v>
      </c>
      <c r="M143" s="27" t="s">
        <v>66</v>
      </c>
      <c r="N143" s="46">
        <v>3</v>
      </c>
      <c r="O143" s="47">
        <v>1879263.0674999999</v>
      </c>
      <c r="P143" s="47">
        <f t="shared" si="2"/>
        <v>5637789.2024999997</v>
      </c>
      <c r="Q143" s="27" t="s">
        <v>364</v>
      </c>
    </row>
    <row r="144" spans="1:17" s="2" customFormat="1" ht="39">
      <c r="A144" s="27">
        <v>53</v>
      </c>
      <c r="B144" s="29" t="s">
        <v>101</v>
      </c>
      <c r="C144" s="29"/>
      <c r="D144" s="27" t="s">
        <v>361</v>
      </c>
      <c r="E144" s="27" t="s">
        <v>355</v>
      </c>
      <c r="F144" s="27">
        <v>550</v>
      </c>
      <c r="G144" s="27">
        <v>250</v>
      </c>
      <c r="H144" s="27"/>
      <c r="I144" s="27"/>
      <c r="J144" s="27"/>
      <c r="K144" s="27">
        <v>200</v>
      </c>
      <c r="L144" s="27">
        <v>1.1499999999999999</v>
      </c>
      <c r="M144" s="27" t="s">
        <v>66</v>
      </c>
      <c r="N144" s="46">
        <v>3</v>
      </c>
      <c r="O144" s="47">
        <v>1474868.5874999999</v>
      </c>
      <c r="P144" s="47">
        <f t="shared" si="2"/>
        <v>4424605.7625000002</v>
      </c>
      <c r="Q144" s="27" t="s">
        <v>364</v>
      </c>
    </row>
    <row r="145" spans="1:17" s="2" customFormat="1" ht="39">
      <c r="A145" s="27">
        <v>54</v>
      </c>
      <c r="B145" s="29" t="s">
        <v>168</v>
      </c>
      <c r="C145" s="29"/>
      <c r="D145" s="27" t="s">
        <v>361</v>
      </c>
      <c r="E145" s="27" t="s">
        <v>355</v>
      </c>
      <c r="F145" s="27">
        <v>600</v>
      </c>
      <c r="G145" s="27">
        <v>250</v>
      </c>
      <c r="H145" s="27"/>
      <c r="I145" s="27"/>
      <c r="J145" s="27"/>
      <c r="K145" s="27">
        <v>200</v>
      </c>
      <c r="L145" s="27">
        <v>1.1499999999999999</v>
      </c>
      <c r="M145" s="27" t="s">
        <v>66</v>
      </c>
      <c r="N145" s="46">
        <v>1</v>
      </c>
      <c r="O145" s="47">
        <v>1538466.1950000001</v>
      </c>
      <c r="P145" s="47">
        <f t="shared" si="2"/>
        <v>1538466.1950000001</v>
      </c>
      <c r="Q145" s="27" t="s">
        <v>364</v>
      </c>
    </row>
    <row r="146" spans="1:17" s="2" customFormat="1" ht="39">
      <c r="A146" s="27">
        <v>55</v>
      </c>
      <c r="B146" s="29" t="s">
        <v>103</v>
      </c>
      <c r="C146" s="29"/>
      <c r="D146" s="27" t="s">
        <v>361</v>
      </c>
      <c r="E146" s="27" t="s">
        <v>355</v>
      </c>
      <c r="F146" s="27">
        <v>600</v>
      </c>
      <c r="G146" s="27">
        <v>300</v>
      </c>
      <c r="H146" s="27"/>
      <c r="I146" s="27"/>
      <c r="J146" s="27"/>
      <c r="K146" s="27">
        <v>200</v>
      </c>
      <c r="L146" s="27">
        <v>1.1499999999999999</v>
      </c>
      <c r="M146" s="27" t="s">
        <v>66</v>
      </c>
      <c r="N146" s="46">
        <v>8</v>
      </c>
      <c r="O146" s="47">
        <v>1925702.6775</v>
      </c>
      <c r="P146" s="47">
        <f t="shared" si="2"/>
        <v>15405621.42</v>
      </c>
      <c r="Q146" s="27" t="s">
        <v>364</v>
      </c>
    </row>
    <row r="147" spans="1:17" s="2" customFormat="1" ht="39">
      <c r="A147" s="27">
        <v>56</v>
      </c>
      <c r="B147" s="29" t="s">
        <v>169</v>
      </c>
      <c r="C147" s="29"/>
      <c r="D147" s="27" t="s">
        <v>361</v>
      </c>
      <c r="E147" s="27" t="s">
        <v>355</v>
      </c>
      <c r="F147" s="27">
        <v>600</v>
      </c>
      <c r="G147" s="27">
        <v>350</v>
      </c>
      <c r="H147" s="27"/>
      <c r="I147" s="27"/>
      <c r="J147" s="27"/>
      <c r="K147" s="27">
        <v>200</v>
      </c>
      <c r="L147" s="27">
        <v>1.1499999999999999</v>
      </c>
      <c r="M147" s="27" t="s">
        <v>66</v>
      </c>
      <c r="N147" s="46">
        <v>2</v>
      </c>
      <c r="O147" s="47">
        <v>2012931.06</v>
      </c>
      <c r="P147" s="47">
        <f t="shared" si="2"/>
        <v>4025862.12</v>
      </c>
      <c r="Q147" s="27" t="s">
        <v>364</v>
      </c>
    </row>
    <row r="148" spans="1:17" s="2" customFormat="1" ht="39">
      <c r="A148" s="27">
        <v>57</v>
      </c>
      <c r="B148" s="29" t="s">
        <v>170</v>
      </c>
      <c r="C148" s="29"/>
      <c r="D148" s="27" t="s">
        <v>361</v>
      </c>
      <c r="E148" s="27" t="s">
        <v>355</v>
      </c>
      <c r="F148" s="27">
        <v>600</v>
      </c>
      <c r="G148" s="27">
        <v>400</v>
      </c>
      <c r="H148" s="27"/>
      <c r="I148" s="27"/>
      <c r="J148" s="27"/>
      <c r="K148" s="27">
        <v>200</v>
      </c>
      <c r="L148" s="27">
        <v>1.1499999999999999</v>
      </c>
      <c r="M148" s="27" t="s">
        <v>66</v>
      </c>
      <c r="N148" s="46">
        <v>3</v>
      </c>
      <c r="O148" s="47">
        <v>2100262.1850000001</v>
      </c>
      <c r="P148" s="47">
        <f t="shared" si="2"/>
        <v>6300786.5549999997</v>
      </c>
      <c r="Q148" s="27" t="s">
        <v>364</v>
      </c>
    </row>
    <row r="149" spans="1:17" s="2" customFormat="1" ht="39">
      <c r="A149" s="27">
        <v>58</v>
      </c>
      <c r="B149" s="29" t="s">
        <v>171</v>
      </c>
      <c r="C149" s="29"/>
      <c r="D149" s="27" t="s">
        <v>361</v>
      </c>
      <c r="E149" s="27" t="s">
        <v>355</v>
      </c>
      <c r="F149" s="27">
        <v>600</v>
      </c>
      <c r="G149" s="27">
        <v>600</v>
      </c>
      <c r="H149" s="27"/>
      <c r="I149" s="27"/>
      <c r="J149" s="27"/>
      <c r="K149" s="27">
        <v>200</v>
      </c>
      <c r="L149" s="27">
        <v>1.1499999999999999</v>
      </c>
      <c r="M149" s="27" t="s">
        <v>66</v>
      </c>
      <c r="N149" s="46">
        <v>1</v>
      </c>
      <c r="O149" s="47">
        <v>2389276.8374999999</v>
      </c>
      <c r="P149" s="47">
        <f t="shared" si="2"/>
        <v>2389276.8374999999</v>
      </c>
      <c r="Q149" s="27" t="s">
        <v>364</v>
      </c>
    </row>
    <row r="150" spans="1:17" s="2" customFormat="1" ht="39">
      <c r="A150" s="27">
        <v>59</v>
      </c>
      <c r="B150" s="52" t="s">
        <v>172</v>
      </c>
      <c r="C150" s="29"/>
      <c r="D150" s="27" t="s">
        <v>361</v>
      </c>
      <c r="E150" s="27" t="s">
        <v>355</v>
      </c>
      <c r="F150" s="27"/>
      <c r="G150" s="27"/>
      <c r="H150" s="27"/>
      <c r="I150" s="27"/>
      <c r="J150" s="27"/>
      <c r="K150" s="27">
        <v>200</v>
      </c>
      <c r="L150" s="27">
        <v>1.1499999999999999</v>
      </c>
      <c r="M150" s="27" t="s">
        <v>66</v>
      </c>
      <c r="N150" s="46">
        <v>1</v>
      </c>
      <c r="O150" s="47">
        <v>0</v>
      </c>
      <c r="P150" s="47">
        <f t="shared" si="2"/>
        <v>0</v>
      </c>
      <c r="Q150" s="27" t="s">
        <v>364</v>
      </c>
    </row>
    <row r="151" spans="1:17" s="2" customFormat="1" ht="39">
      <c r="A151" s="27">
        <v>60</v>
      </c>
      <c r="B151" s="29" t="s">
        <v>105</v>
      </c>
      <c r="C151" s="29"/>
      <c r="D151" s="27" t="s">
        <v>361</v>
      </c>
      <c r="E151" s="27" t="s">
        <v>355</v>
      </c>
      <c r="F151" s="27">
        <v>650</v>
      </c>
      <c r="G151" s="27">
        <v>250</v>
      </c>
      <c r="H151" s="27"/>
      <c r="I151" s="27"/>
      <c r="J151" s="27"/>
      <c r="K151" s="27">
        <v>200</v>
      </c>
      <c r="L151" s="27">
        <v>1.1499999999999999</v>
      </c>
      <c r="M151" s="27" t="s">
        <v>66</v>
      </c>
      <c r="N151" s="46">
        <v>11</v>
      </c>
      <c r="O151" s="47">
        <v>1602269.2875000001</v>
      </c>
      <c r="P151" s="47">
        <f t="shared" si="2"/>
        <v>17624962.162500001</v>
      </c>
      <c r="Q151" s="27" t="s">
        <v>364</v>
      </c>
    </row>
    <row r="152" spans="1:17" s="2" customFormat="1" ht="39">
      <c r="A152" s="27">
        <v>61</v>
      </c>
      <c r="B152" s="29" t="s">
        <v>106</v>
      </c>
      <c r="C152" s="29"/>
      <c r="D152" s="27" t="s">
        <v>361</v>
      </c>
      <c r="E152" s="27" t="s">
        <v>355</v>
      </c>
      <c r="F152" s="27">
        <v>650</v>
      </c>
      <c r="G152" s="27">
        <v>300</v>
      </c>
      <c r="H152" s="27"/>
      <c r="I152" s="27"/>
      <c r="J152" s="27"/>
      <c r="K152" s="27">
        <v>200</v>
      </c>
      <c r="L152" s="27">
        <v>1.1499999999999999</v>
      </c>
      <c r="M152" s="27" t="s">
        <v>66</v>
      </c>
      <c r="N152" s="46">
        <v>2</v>
      </c>
      <c r="O152" s="47">
        <v>1988581.0874999999</v>
      </c>
      <c r="P152" s="47">
        <f t="shared" si="2"/>
        <v>3977162.1749999998</v>
      </c>
      <c r="Q152" s="27" t="s">
        <v>364</v>
      </c>
    </row>
    <row r="153" spans="1:17" s="2" customFormat="1" ht="39">
      <c r="A153" s="27">
        <v>62</v>
      </c>
      <c r="B153" s="29" t="s">
        <v>107</v>
      </c>
      <c r="C153" s="29"/>
      <c r="D153" s="27" t="s">
        <v>361</v>
      </c>
      <c r="E153" s="27" t="s">
        <v>355</v>
      </c>
      <c r="F153" s="27">
        <v>650</v>
      </c>
      <c r="G153" s="27">
        <v>350</v>
      </c>
      <c r="H153" s="27"/>
      <c r="I153" s="27"/>
      <c r="J153" s="27"/>
      <c r="K153" s="27">
        <v>200</v>
      </c>
      <c r="L153" s="27">
        <v>1.1499999999999999</v>
      </c>
      <c r="M153" s="27" t="s">
        <v>66</v>
      </c>
      <c r="N153" s="46">
        <v>6</v>
      </c>
      <c r="O153" s="47">
        <v>2079816.4275</v>
      </c>
      <c r="P153" s="47">
        <f t="shared" si="2"/>
        <v>12478898.564999999</v>
      </c>
      <c r="Q153" s="27" t="s">
        <v>364</v>
      </c>
    </row>
    <row r="154" spans="1:17" s="2" customFormat="1" ht="39">
      <c r="A154" s="27">
        <v>63</v>
      </c>
      <c r="B154" s="29" t="s">
        <v>108</v>
      </c>
      <c r="C154" s="29"/>
      <c r="D154" s="27" t="s">
        <v>361</v>
      </c>
      <c r="E154" s="27" t="s">
        <v>355</v>
      </c>
      <c r="F154" s="27">
        <v>650</v>
      </c>
      <c r="G154" s="27">
        <v>400</v>
      </c>
      <c r="H154" s="27"/>
      <c r="I154" s="27"/>
      <c r="J154" s="27"/>
      <c r="K154" s="27">
        <v>200</v>
      </c>
      <c r="L154" s="27">
        <v>1.1499999999999999</v>
      </c>
      <c r="M154" s="27" t="s">
        <v>66</v>
      </c>
      <c r="N154" s="46">
        <v>1</v>
      </c>
      <c r="O154" s="47">
        <v>2171257.2524999999</v>
      </c>
      <c r="P154" s="47">
        <f t="shared" si="2"/>
        <v>2171257.2524999999</v>
      </c>
      <c r="Q154" s="27" t="s">
        <v>364</v>
      </c>
    </row>
    <row r="155" spans="1:17" s="2" customFormat="1" ht="39">
      <c r="A155" s="27">
        <v>64</v>
      </c>
      <c r="B155" s="29" t="s">
        <v>173</v>
      </c>
      <c r="C155" s="29"/>
      <c r="D155" s="27" t="s">
        <v>361</v>
      </c>
      <c r="E155" s="27" t="s">
        <v>355</v>
      </c>
      <c r="F155" s="27">
        <v>700</v>
      </c>
      <c r="G155" s="27">
        <v>400</v>
      </c>
      <c r="H155" s="27"/>
      <c r="I155" s="27"/>
      <c r="J155" s="27"/>
      <c r="K155" s="27">
        <v>200</v>
      </c>
      <c r="L155" s="27">
        <v>1.1499999999999999</v>
      </c>
      <c r="M155" s="27" t="s">
        <v>66</v>
      </c>
      <c r="N155" s="46">
        <v>3</v>
      </c>
      <c r="O155" s="47">
        <v>2242149.5775000001</v>
      </c>
      <c r="P155" s="47">
        <f t="shared" si="2"/>
        <v>6726448.7324999999</v>
      </c>
      <c r="Q155" s="27" t="s">
        <v>364</v>
      </c>
    </row>
    <row r="156" spans="1:17" s="2" customFormat="1" ht="39">
      <c r="A156" s="27">
        <v>65</v>
      </c>
      <c r="B156" s="29" t="s">
        <v>174</v>
      </c>
      <c r="C156" s="29"/>
      <c r="D156" s="27" t="s">
        <v>361</v>
      </c>
      <c r="E156" s="27" t="s">
        <v>355</v>
      </c>
      <c r="F156" s="27">
        <v>750</v>
      </c>
      <c r="G156" s="27">
        <v>500</v>
      </c>
      <c r="H156" s="27"/>
      <c r="I156" s="27"/>
      <c r="J156" s="27"/>
      <c r="K156" s="27">
        <v>200</v>
      </c>
      <c r="L156" s="27">
        <v>1.1499999999999999</v>
      </c>
      <c r="M156" s="27" t="s">
        <v>66</v>
      </c>
      <c r="N156" s="46">
        <v>2</v>
      </c>
      <c r="O156" s="47">
        <v>2445374.2425000002</v>
      </c>
      <c r="P156" s="47">
        <f t="shared" si="2"/>
        <v>4890748.4850000003</v>
      </c>
      <c r="Q156" s="27" t="s">
        <v>364</v>
      </c>
    </row>
    <row r="157" spans="1:17" s="2" customFormat="1" ht="39">
      <c r="A157" s="27">
        <v>66</v>
      </c>
      <c r="B157" s="29" t="s">
        <v>175</v>
      </c>
      <c r="C157" s="29"/>
      <c r="D157" s="27" t="s">
        <v>361</v>
      </c>
      <c r="E157" s="27" t="s">
        <v>355</v>
      </c>
      <c r="F157" s="27">
        <v>750</v>
      </c>
      <c r="G157" s="27">
        <v>550</v>
      </c>
      <c r="H157" s="27"/>
      <c r="I157" s="27"/>
      <c r="J157" s="27"/>
      <c r="K157" s="27">
        <v>200</v>
      </c>
      <c r="L157" s="27">
        <v>1.1499999999999999</v>
      </c>
      <c r="M157" s="27" t="s">
        <v>66</v>
      </c>
      <c r="N157" s="46">
        <v>2</v>
      </c>
      <c r="O157" s="47">
        <v>2534657.4750000001</v>
      </c>
      <c r="P157" s="47">
        <f t="shared" si="2"/>
        <v>5069314.95</v>
      </c>
      <c r="Q157" s="27" t="s">
        <v>364</v>
      </c>
    </row>
    <row r="158" spans="1:17" s="2" customFormat="1" ht="39">
      <c r="A158" s="27">
        <v>67</v>
      </c>
      <c r="B158" s="29" t="s">
        <v>176</v>
      </c>
      <c r="C158" s="29"/>
      <c r="D158" s="27" t="s">
        <v>361</v>
      </c>
      <c r="E158" s="27" t="s">
        <v>355</v>
      </c>
      <c r="F158" s="27">
        <v>800</v>
      </c>
      <c r="G158" s="27">
        <v>400</v>
      </c>
      <c r="H158" s="27"/>
      <c r="I158" s="27"/>
      <c r="J158" s="27"/>
      <c r="K158" s="27">
        <v>200</v>
      </c>
      <c r="L158" s="27">
        <v>1.1499999999999999</v>
      </c>
      <c r="M158" s="27" t="s">
        <v>66</v>
      </c>
      <c r="N158" s="46">
        <v>1</v>
      </c>
      <c r="O158" s="47">
        <v>2384242.4550000001</v>
      </c>
      <c r="P158" s="47">
        <f t="shared" si="2"/>
        <v>2384242.4550000001</v>
      </c>
      <c r="Q158" s="27" t="s">
        <v>364</v>
      </c>
    </row>
    <row r="159" spans="1:17" s="2" customFormat="1" ht="39">
      <c r="A159" s="27">
        <v>68</v>
      </c>
      <c r="B159" s="29" t="s">
        <v>177</v>
      </c>
      <c r="C159" s="29"/>
      <c r="D159" s="27" t="s">
        <v>361</v>
      </c>
      <c r="E159" s="27" t="s">
        <v>355</v>
      </c>
      <c r="F159" s="27">
        <v>800</v>
      </c>
      <c r="G159" s="27">
        <v>450</v>
      </c>
      <c r="H159" s="27"/>
      <c r="I159" s="27"/>
      <c r="J159" s="27"/>
      <c r="K159" s="27">
        <v>200</v>
      </c>
      <c r="L159" s="27">
        <v>1.1499999999999999</v>
      </c>
      <c r="M159" s="27" t="s">
        <v>66</v>
      </c>
      <c r="N159" s="46">
        <v>4</v>
      </c>
      <c r="O159" s="47">
        <v>2487704.1524999999</v>
      </c>
      <c r="P159" s="47">
        <f t="shared" si="2"/>
        <v>9950816.6099999994</v>
      </c>
      <c r="Q159" s="27" t="s">
        <v>364</v>
      </c>
    </row>
    <row r="160" spans="1:17" s="2" customFormat="1" ht="39">
      <c r="A160" s="27">
        <v>69</v>
      </c>
      <c r="B160" s="29" t="s">
        <v>178</v>
      </c>
      <c r="C160" s="29"/>
      <c r="D160" s="27" t="s">
        <v>361</v>
      </c>
      <c r="E160" s="27" t="s">
        <v>355</v>
      </c>
      <c r="F160" s="27">
        <v>900</v>
      </c>
      <c r="G160" s="27">
        <v>300</v>
      </c>
      <c r="H160" s="27"/>
      <c r="I160" s="27"/>
      <c r="J160" s="27"/>
      <c r="K160" s="27">
        <v>200</v>
      </c>
      <c r="L160" s="27">
        <v>1.1499999999999999</v>
      </c>
      <c r="M160" s="27" t="s">
        <v>66</v>
      </c>
      <c r="N160" s="46">
        <v>2</v>
      </c>
      <c r="O160" s="47">
        <v>2302664.91</v>
      </c>
      <c r="P160" s="47">
        <f t="shared" si="2"/>
        <v>4605329.82</v>
      </c>
      <c r="Q160" s="27" t="s">
        <v>364</v>
      </c>
    </row>
    <row r="161" spans="1:17" s="2" customFormat="1" ht="39">
      <c r="A161" s="27">
        <v>70</v>
      </c>
      <c r="B161" s="29" t="s">
        <v>179</v>
      </c>
      <c r="C161" s="29"/>
      <c r="D161" s="27" t="s">
        <v>361</v>
      </c>
      <c r="E161" s="27" t="s">
        <v>355</v>
      </c>
      <c r="F161" s="27">
        <v>900</v>
      </c>
      <c r="G161" s="27">
        <v>500</v>
      </c>
      <c r="H161" s="27"/>
      <c r="I161" s="27"/>
      <c r="J161" s="27"/>
      <c r="K161" s="27">
        <v>200</v>
      </c>
      <c r="L161" s="27">
        <v>1.1499999999999999</v>
      </c>
      <c r="M161" s="27" t="s">
        <v>66</v>
      </c>
      <c r="N161" s="46">
        <v>3</v>
      </c>
      <c r="O161" s="47">
        <v>2657742.9900000002</v>
      </c>
      <c r="P161" s="47">
        <f t="shared" si="2"/>
        <v>7973228.9699999997</v>
      </c>
      <c r="Q161" s="27" t="s">
        <v>364</v>
      </c>
    </row>
    <row r="162" spans="1:17" s="2" customFormat="1" ht="52">
      <c r="A162" s="27">
        <v>71</v>
      </c>
      <c r="B162" s="29" t="s">
        <v>114</v>
      </c>
      <c r="C162" s="29"/>
      <c r="D162" s="27" t="s">
        <v>361</v>
      </c>
      <c r="E162" s="27" t="s">
        <v>355</v>
      </c>
      <c r="F162" s="27">
        <v>1000</v>
      </c>
      <c r="G162" s="27">
        <v>1000</v>
      </c>
      <c r="H162" s="27">
        <v>1000</v>
      </c>
      <c r="I162" s="27">
        <v>500</v>
      </c>
      <c r="J162" s="27">
        <v>2</v>
      </c>
      <c r="K162" s="27">
        <v>200</v>
      </c>
      <c r="L162" s="27">
        <v>1.1499999999999999</v>
      </c>
      <c r="M162" s="27" t="s">
        <v>66</v>
      </c>
      <c r="N162" s="46">
        <v>8</v>
      </c>
      <c r="O162" s="47">
        <v>6139480.8300000001</v>
      </c>
      <c r="P162" s="47">
        <f t="shared" si="2"/>
        <v>49115846.640000001</v>
      </c>
      <c r="Q162" s="27" t="s">
        <v>372</v>
      </c>
    </row>
    <row r="163" spans="1:17" s="2" customFormat="1" ht="39">
      <c r="A163" s="27">
        <v>72</v>
      </c>
      <c r="B163" s="29" t="s">
        <v>180</v>
      </c>
      <c r="C163" s="29"/>
      <c r="D163" s="27" t="s">
        <v>361</v>
      </c>
      <c r="E163" s="27" t="s">
        <v>355</v>
      </c>
      <c r="F163" s="27">
        <v>1200</v>
      </c>
      <c r="G163" s="27">
        <v>650</v>
      </c>
      <c r="H163" s="27"/>
      <c r="I163" s="27"/>
      <c r="J163" s="27"/>
      <c r="K163" s="27">
        <v>200</v>
      </c>
      <c r="L163" s="27">
        <v>1.1499999999999999</v>
      </c>
      <c r="M163" s="27" t="s">
        <v>66</v>
      </c>
      <c r="N163" s="46">
        <v>4</v>
      </c>
      <c r="O163" s="47">
        <v>3720922.38</v>
      </c>
      <c r="P163" s="47">
        <f t="shared" si="2"/>
        <v>14883689.52</v>
      </c>
      <c r="Q163" s="27" t="s">
        <v>364</v>
      </c>
    </row>
    <row r="164" spans="1:17" s="2" customFormat="1" ht="39">
      <c r="A164" s="27">
        <v>73</v>
      </c>
      <c r="B164" s="29" t="s">
        <v>181</v>
      </c>
      <c r="C164" s="29"/>
      <c r="D164" s="27" t="s">
        <v>361</v>
      </c>
      <c r="E164" s="27" t="s">
        <v>355</v>
      </c>
      <c r="F164" s="27">
        <v>1400</v>
      </c>
      <c r="G164" s="27">
        <v>600</v>
      </c>
      <c r="H164" s="27"/>
      <c r="I164" s="27"/>
      <c r="J164" s="27"/>
      <c r="K164" s="27">
        <v>200</v>
      </c>
      <c r="L164" s="27">
        <v>1.1499999999999999</v>
      </c>
      <c r="M164" s="27" t="s">
        <v>66</v>
      </c>
      <c r="N164" s="46">
        <v>1</v>
      </c>
      <c r="O164" s="47">
        <v>3910996.0049999999</v>
      </c>
      <c r="P164" s="47">
        <f t="shared" si="2"/>
        <v>3910996.0049999999</v>
      </c>
      <c r="Q164" s="27" t="s">
        <v>364</v>
      </c>
    </row>
    <row r="165" spans="1:17" s="2" customFormat="1" ht="52">
      <c r="A165" s="27">
        <v>74</v>
      </c>
      <c r="B165" s="29" t="s">
        <v>182</v>
      </c>
      <c r="C165" s="29"/>
      <c r="D165" s="27" t="s">
        <v>361</v>
      </c>
      <c r="E165" s="27" t="s">
        <v>355</v>
      </c>
      <c r="F165" s="27">
        <v>1900</v>
      </c>
      <c r="G165" s="27">
        <v>600</v>
      </c>
      <c r="H165" s="27">
        <v>800</v>
      </c>
      <c r="I165" s="27">
        <v>600</v>
      </c>
      <c r="J165" s="27">
        <v>2</v>
      </c>
      <c r="K165" s="27">
        <v>200</v>
      </c>
      <c r="L165" s="27">
        <v>1.1499999999999999</v>
      </c>
      <c r="M165" s="27" t="s">
        <v>66</v>
      </c>
      <c r="N165" s="46">
        <v>1</v>
      </c>
      <c r="O165" s="47">
        <v>5404460.9850000003</v>
      </c>
      <c r="P165" s="47">
        <f t="shared" si="2"/>
        <v>5404460.9850000003</v>
      </c>
      <c r="Q165" s="27" t="s">
        <v>372</v>
      </c>
    </row>
    <row r="166" spans="1:17" s="3" customFormat="1" ht="13">
      <c r="A166" s="54"/>
      <c r="B166" s="28" t="s">
        <v>116</v>
      </c>
      <c r="C166" s="28"/>
      <c r="D166" s="54"/>
      <c r="E166" s="54"/>
      <c r="F166" s="54"/>
      <c r="G166" s="54"/>
      <c r="H166" s="54"/>
      <c r="I166" s="54"/>
      <c r="J166" s="27"/>
      <c r="K166" s="54"/>
      <c r="L166" s="54"/>
      <c r="M166" s="54"/>
      <c r="N166" s="55"/>
      <c r="O166" s="56">
        <v>0</v>
      </c>
      <c r="P166" s="56">
        <f t="shared" si="2"/>
        <v>0</v>
      </c>
      <c r="Q166" s="54"/>
    </row>
    <row r="167" spans="1:17" s="2" customFormat="1" ht="13">
      <c r="A167" s="27">
        <v>75</v>
      </c>
      <c r="B167" s="29" t="s">
        <v>183</v>
      </c>
      <c r="C167" s="29"/>
      <c r="D167" s="27" t="s">
        <v>373</v>
      </c>
      <c r="E167" s="27" t="s">
        <v>355</v>
      </c>
      <c r="F167" s="27">
        <v>200</v>
      </c>
      <c r="G167" s="27">
        <v>100</v>
      </c>
      <c r="H167" s="27">
        <v>150</v>
      </c>
      <c r="I167" s="27">
        <v>50</v>
      </c>
      <c r="J167" s="27"/>
      <c r="K167" s="27"/>
      <c r="L167" s="27"/>
      <c r="M167" s="27" t="s">
        <v>66</v>
      </c>
      <c r="N167" s="46">
        <v>48</v>
      </c>
      <c r="O167" s="47">
        <v>43050</v>
      </c>
      <c r="P167" s="47">
        <f t="shared" si="2"/>
        <v>2066400</v>
      </c>
      <c r="Q167" s="27" t="s">
        <v>374</v>
      </c>
    </row>
    <row r="168" spans="1:17" s="2" customFormat="1" ht="13">
      <c r="A168" s="27">
        <v>76</v>
      </c>
      <c r="B168" s="29" t="s">
        <v>184</v>
      </c>
      <c r="C168" s="29"/>
      <c r="D168" s="27" t="s">
        <v>373</v>
      </c>
      <c r="E168" s="27" t="s">
        <v>355</v>
      </c>
      <c r="F168" s="27">
        <v>200</v>
      </c>
      <c r="G168" s="27">
        <v>150</v>
      </c>
      <c r="H168" s="27">
        <v>150</v>
      </c>
      <c r="I168" s="27">
        <v>100</v>
      </c>
      <c r="J168" s="27"/>
      <c r="K168" s="27"/>
      <c r="L168" s="27"/>
      <c r="M168" s="27" t="s">
        <v>66</v>
      </c>
      <c r="N168" s="46">
        <v>2</v>
      </c>
      <c r="O168" s="47">
        <v>51450</v>
      </c>
      <c r="P168" s="47">
        <f t="shared" si="2"/>
        <v>102900</v>
      </c>
      <c r="Q168" s="27" t="s">
        <v>374</v>
      </c>
    </row>
    <row r="169" spans="1:17" s="2" customFormat="1" ht="13">
      <c r="A169" s="27">
        <v>77</v>
      </c>
      <c r="B169" s="29" t="s">
        <v>185</v>
      </c>
      <c r="C169" s="29"/>
      <c r="D169" s="27" t="s">
        <v>373</v>
      </c>
      <c r="E169" s="27" t="s">
        <v>355</v>
      </c>
      <c r="F169" s="27">
        <v>300</v>
      </c>
      <c r="G169" s="27">
        <v>100</v>
      </c>
      <c r="H169" s="27">
        <v>250</v>
      </c>
      <c r="I169" s="27">
        <v>50</v>
      </c>
      <c r="J169" s="27"/>
      <c r="K169" s="27"/>
      <c r="L169" s="27"/>
      <c r="M169" s="27" t="s">
        <v>66</v>
      </c>
      <c r="N169" s="46">
        <v>2</v>
      </c>
      <c r="O169" s="47">
        <v>53550</v>
      </c>
      <c r="P169" s="47">
        <f t="shared" si="2"/>
        <v>107100</v>
      </c>
      <c r="Q169" s="27" t="s">
        <v>374</v>
      </c>
    </row>
    <row r="170" spans="1:17" s="3" customFormat="1" ht="13">
      <c r="A170" s="54"/>
      <c r="B170" s="28" t="s">
        <v>186</v>
      </c>
      <c r="C170" s="28"/>
      <c r="D170" s="54"/>
      <c r="E170" s="54"/>
      <c r="F170" s="54"/>
      <c r="G170" s="54"/>
      <c r="H170" s="54"/>
      <c r="I170" s="54"/>
      <c r="J170" s="27"/>
      <c r="K170" s="54"/>
      <c r="L170" s="54"/>
      <c r="M170" s="54"/>
      <c r="N170" s="55"/>
      <c r="O170" s="56">
        <v>0</v>
      </c>
      <c r="P170" s="56">
        <f t="shared" si="2"/>
        <v>0</v>
      </c>
      <c r="Q170" s="54"/>
    </row>
    <row r="171" spans="1:17" s="2" customFormat="1" ht="52">
      <c r="A171" s="27">
        <v>95</v>
      </c>
      <c r="B171" s="29" t="s">
        <v>187</v>
      </c>
      <c r="C171" s="29"/>
      <c r="D171" s="27" t="s">
        <v>368</v>
      </c>
      <c r="E171" s="27"/>
      <c r="F171" s="27"/>
      <c r="G171" s="27"/>
      <c r="H171" s="27"/>
      <c r="I171" s="27"/>
      <c r="J171" s="27"/>
      <c r="K171" s="27"/>
      <c r="L171" s="27"/>
      <c r="M171" s="27" t="s">
        <v>128</v>
      </c>
      <c r="N171" s="46">
        <v>1</v>
      </c>
      <c r="O171" s="47">
        <v>1862700</v>
      </c>
      <c r="P171" s="47">
        <f t="shared" si="2"/>
        <v>1862700</v>
      </c>
      <c r="Q171" s="27" t="s">
        <v>418</v>
      </c>
    </row>
    <row r="172" spans="1:17" s="2" customFormat="1" ht="52">
      <c r="A172" s="27">
        <v>96</v>
      </c>
      <c r="B172" s="29" t="s">
        <v>130</v>
      </c>
      <c r="C172" s="29"/>
      <c r="D172" s="27" t="s">
        <v>368</v>
      </c>
      <c r="E172" s="27"/>
      <c r="F172" s="27"/>
      <c r="G172" s="27"/>
      <c r="H172" s="27"/>
      <c r="I172" s="27"/>
      <c r="J172" s="27"/>
      <c r="K172" s="27"/>
      <c r="L172" s="27"/>
      <c r="M172" s="27" t="s">
        <v>128</v>
      </c>
      <c r="N172" s="46">
        <v>2</v>
      </c>
      <c r="O172" s="47">
        <v>2651100</v>
      </c>
      <c r="P172" s="47">
        <f t="shared" si="2"/>
        <v>5302200</v>
      </c>
      <c r="Q172" s="27" t="s">
        <v>418</v>
      </c>
    </row>
    <row r="173" spans="1:17" s="2" customFormat="1" ht="52">
      <c r="A173" s="27">
        <v>97</v>
      </c>
      <c r="B173" s="29" t="s">
        <v>131</v>
      </c>
      <c r="C173" s="29"/>
      <c r="D173" s="27" t="s">
        <v>368</v>
      </c>
      <c r="E173" s="27"/>
      <c r="F173" s="27"/>
      <c r="G173" s="27"/>
      <c r="H173" s="27"/>
      <c r="I173" s="27"/>
      <c r="J173" s="27"/>
      <c r="K173" s="27"/>
      <c r="L173" s="27"/>
      <c r="M173" s="27" t="s">
        <v>128</v>
      </c>
      <c r="N173" s="46">
        <v>1</v>
      </c>
      <c r="O173" s="47">
        <v>2651100</v>
      </c>
      <c r="P173" s="47">
        <f t="shared" si="2"/>
        <v>2651100</v>
      </c>
      <c r="Q173" s="27" t="s">
        <v>418</v>
      </c>
    </row>
    <row r="174" spans="1:17" s="2" customFormat="1" ht="52">
      <c r="A174" s="27">
        <v>98</v>
      </c>
      <c r="B174" s="29" t="s">
        <v>132</v>
      </c>
      <c r="C174" s="29"/>
      <c r="D174" s="27" t="s">
        <v>368</v>
      </c>
      <c r="E174" s="27"/>
      <c r="F174" s="27"/>
      <c r="G174" s="27"/>
      <c r="H174" s="27"/>
      <c r="I174" s="27"/>
      <c r="J174" s="27"/>
      <c r="K174" s="27"/>
      <c r="L174" s="27"/>
      <c r="M174" s="27" t="s">
        <v>128</v>
      </c>
      <c r="N174" s="46">
        <v>1</v>
      </c>
      <c r="O174" s="47">
        <v>2771600</v>
      </c>
      <c r="P174" s="47">
        <f t="shared" si="2"/>
        <v>2771600</v>
      </c>
      <c r="Q174" s="27" t="s">
        <v>418</v>
      </c>
    </row>
    <row r="175" spans="1:17" s="2" customFormat="1" ht="52">
      <c r="A175" s="27">
        <v>99</v>
      </c>
      <c r="B175" s="29" t="s">
        <v>188</v>
      </c>
      <c r="C175" s="29"/>
      <c r="D175" s="27" t="s">
        <v>368</v>
      </c>
      <c r="E175" s="27"/>
      <c r="F175" s="27"/>
      <c r="G175" s="27"/>
      <c r="H175" s="27"/>
      <c r="I175" s="27"/>
      <c r="J175" s="27"/>
      <c r="K175" s="27"/>
      <c r="L175" s="27"/>
      <c r="M175" s="27" t="s">
        <v>128</v>
      </c>
      <c r="N175" s="46">
        <v>1</v>
      </c>
      <c r="O175" s="47">
        <v>3012600</v>
      </c>
      <c r="P175" s="47">
        <f t="shared" si="2"/>
        <v>3012600</v>
      </c>
      <c r="Q175" s="27" t="s">
        <v>418</v>
      </c>
    </row>
    <row r="176" spans="1:17" s="2" customFormat="1" ht="52">
      <c r="A176" s="27">
        <v>100</v>
      </c>
      <c r="B176" s="29" t="s">
        <v>189</v>
      </c>
      <c r="C176" s="29"/>
      <c r="D176" s="27" t="s">
        <v>368</v>
      </c>
      <c r="E176" s="27"/>
      <c r="F176" s="27"/>
      <c r="G176" s="27"/>
      <c r="H176" s="27"/>
      <c r="I176" s="27"/>
      <c r="J176" s="27"/>
      <c r="K176" s="27"/>
      <c r="L176" s="27"/>
      <c r="M176" s="27" t="s">
        <v>128</v>
      </c>
      <c r="N176" s="46">
        <v>2</v>
      </c>
      <c r="O176" s="47">
        <v>3494600</v>
      </c>
      <c r="P176" s="47">
        <f t="shared" si="2"/>
        <v>6989200</v>
      </c>
      <c r="Q176" s="27" t="s">
        <v>418</v>
      </c>
    </row>
    <row r="177" spans="1:17" s="2" customFormat="1" ht="52">
      <c r="A177" s="27">
        <v>101</v>
      </c>
      <c r="B177" s="29" t="s">
        <v>133</v>
      </c>
      <c r="C177" s="29"/>
      <c r="D177" s="27" t="s">
        <v>368</v>
      </c>
      <c r="E177" s="27"/>
      <c r="F177" s="27"/>
      <c r="G177" s="27"/>
      <c r="H177" s="27"/>
      <c r="I177" s="27"/>
      <c r="J177" s="27"/>
      <c r="K177" s="27"/>
      <c r="L177" s="27"/>
      <c r="M177" s="27" t="s">
        <v>128</v>
      </c>
      <c r="N177" s="46">
        <v>1</v>
      </c>
      <c r="O177" s="47">
        <v>3856100</v>
      </c>
      <c r="P177" s="47">
        <f t="shared" si="2"/>
        <v>3856100</v>
      </c>
      <c r="Q177" s="27" t="s">
        <v>418</v>
      </c>
    </row>
    <row r="178" spans="1:17" s="2" customFormat="1" ht="52">
      <c r="A178" s="27">
        <v>102</v>
      </c>
      <c r="B178" s="29" t="s">
        <v>134</v>
      </c>
      <c r="C178" s="29"/>
      <c r="D178" s="27" t="s">
        <v>368</v>
      </c>
      <c r="E178" s="27"/>
      <c r="F178" s="27"/>
      <c r="G178" s="27"/>
      <c r="H178" s="27"/>
      <c r="I178" s="27"/>
      <c r="J178" s="27"/>
      <c r="K178" s="27"/>
      <c r="L178" s="27"/>
      <c r="M178" s="27" t="s">
        <v>128</v>
      </c>
      <c r="N178" s="46">
        <v>2</v>
      </c>
      <c r="O178" s="47">
        <v>3638600</v>
      </c>
      <c r="P178" s="47">
        <f t="shared" ref="P178:P241" si="3">O178*N178</f>
        <v>7277200</v>
      </c>
      <c r="Q178" s="27" t="s">
        <v>418</v>
      </c>
    </row>
    <row r="179" spans="1:17" s="2" customFormat="1" ht="52">
      <c r="A179" s="27">
        <v>103</v>
      </c>
      <c r="B179" s="29" t="s">
        <v>135</v>
      </c>
      <c r="C179" s="29"/>
      <c r="D179" s="27" t="s">
        <v>368</v>
      </c>
      <c r="E179" s="27"/>
      <c r="F179" s="27"/>
      <c r="G179" s="27"/>
      <c r="H179" s="27"/>
      <c r="I179" s="27"/>
      <c r="J179" s="27"/>
      <c r="K179" s="27"/>
      <c r="L179" s="27"/>
      <c r="M179" s="27" t="s">
        <v>128</v>
      </c>
      <c r="N179" s="46">
        <v>3</v>
      </c>
      <c r="O179" s="47">
        <v>4158400</v>
      </c>
      <c r="P179" s="47">
        <f t="shared" si="3"/>
        <v>12475200</v>
      </c>
      <c r="Q179" s="27" t="s">
        <v>418</v>
      </c>
    </row>
    <row r="180" spans="1:17" s="2" customFormat="1" ht="52">
      <c r="A180" s="27">
        <v>104</v>
      </c>
      <c r="B180" s="29" t="s">
        <v>137</v>
      </c>
      <c r="C180" s="29"/>
      <c r="D180" s="27" t="s">
        <v>368</v>
      </c>
      <c r="E180" s="27"/>
      <c r="F180" s="27"/>
      <c r="G180" s="27"/>
      <c r="H180" s="27"/>
      <c r="I180" s="27"/>
      <c r="J180" s="27"/>
      <c r="K180" s="27"/>
      <c r="L180" s="27"/>
      <c r="M180" s="27" t="s">
        <v>128</v>
      </c>
      <c r="N180" s="46">
        <v>1</v>
      </c>
      <c r="O180" s="47">
        <v>4288300</v>
      </c>
      <c r="P180" s="47">
        <f t="shared" si="3"/>
        <v>4288300</v>
      </c>
      <c r="Q180" s="27" t="s">
        <v>418</v>
      </c>
    </row>
    <row r="181" spans="1:17" s="2" customFormat="1" ht="52">
      <c r="A181" s="27">
        <v>105</v>
      </c>
      <c r="B181" s="29" t="s">
        <v>138</v>
      </c>
      <c r="C181" s="29"/>
      <c r="D181" s="27" t="s">
        <v>368</v>
      </c>
      <c r="E181" s="27"/>
      <c r="F181" s="27"/>
      <c r="G181" s="27"/>
      <c r="H181" s="27"/>
      <c r="I181" s="27"/>
      <c r="J181" s="27"/>
      <c r="K181" s="27"/>
      <c r="L181" s="27"/>
      <c r="M181" s="27" t="s">
        <v>128</v>
      </c>
      <c r="N181" s="46">
        <v>4</v>
      </c>
      <c r="O181" s="47">
        <v>5717700</v>
      </c>
      <c r="P181" s="47">
        <f t="shared" si="3"/>
        <v>22870800</v>
      </c>
      <c r="Q181" s="27" t="s">
        <v>418</v>
      </c>
    </row>
    <row r="182" spans="1:17" s="2" customFormat="1" ht="52">
      <c r="A182" s="27">
        <v>106</v>
      </c>
      <c r="B182" s="29" t="s">
        <v>190</v>
      </c>
      <c r="C182" s="29"/>
      <c r="D182" s="27" t="s">
        <v>368</v>
      </c>
      <c r="E182" s="27"/>
      <c r="F182" s="27"/>
      <c r="G182" s="27"/>
      <c r="H182" s="27"/>
      <c r="I182" s="27"/>
      <c r="J182" s="27"/>
      <c r="K182" s="27"/>
      <c r="L182" s="27"/>
      <c r="M182" s="27" t="s">
        <v>128</v>
      </c>
      <c r="N182" s="46">
        <v>2</v>
      </c>
      <c r="O182" s="47">
        <v>5198000</v>
      </c>
      <c r="P182" s="47">
        <f t="shared" si="3"/>
        <v>10396000</v>
      </c>
      <c r="Q182" s="27" t="s">
        <v>418</v>
      </c>
    </row>
    <row r="183" spans="1:17" s="2" customFormat="1" ht="52">
      <c r="A183" s="27">
        <v>107</v>
      </c>
      <c r="B183" s="29" t="s">
        <v>191</v>
      </c>
      <c r="C183" s="29"/>
      <c r="D183" s="27" t="s">
        <v>368</v>
      </c>
      <c r="E183" s="27"/>
      <c r="F183" s="27"/>
      <c r="G183" s="27"/>
      <c r="H183" s="27"/>
      <c r="I183" s="27"/>
      <c r="J183" s="27"/>
      <c r="K183" s="27"/>
      <c r="L183" s="27"/>
      <c r="M183" s="27" t="s">
        <v>128</v>
      </c>
      <c r="N183" s="46">
        <v>1</v>
      </c>
      <c r="O183" s="47">
        <v>7017200</v>
      </c>
      <c r="P183" s="47">
        <f t="shared" si="3"/>
        <v>7017200</v>
      </c>
      <c r="Q183" s="27" t="s">
        <v>418</v>
      </c>
    </row>
    <row r="184" spans="1:17" s="2" customFormat="1" ht="21" customHeight="1">
      <c r="A184" s="25" t="s">
        <v>192</v>
      </c>
      <c r="B184" s="26" t="s">
        <v>58</v>
      </c>
      <c r="C184" s="26"/>
      <c r="D184" s="25"/>
      <c r="E184" s="25"/>
      <c r="F184" s="25"/>
      <c r="G184" s="25"/>
      <c r="H184" s="25"/>
      <c r="I184" s="25"/>
      <c r="J184" s="25"/>
      <c r="K184" s="25"/>
      <c r="L184" s="25"/>
      <c r="M184" s="25"/>
      <c r="N184" s="44"/>
      <c r="O184" s="45">
        <v>0</v>
      </c>
      <c r="P184" s="45">
        <f t="shared" si="3"/>
        <v>0</v>
      </c>
      <c r="Q184" s="25"/>
    </row>
    <row r="185" spans="1:17" s="3" customFormat="1" ht="13">
      <c r="A185" s="54">
        <v>1</v>
      </c>
      <c r="B185" s="28" t="s">
        <v>193</v>
      </c>
      <c r="C185" s="28"/>
      <c r="D185" s="54"/>
      <c r="E185" s="54"/>
      <c r="F185" s="54"/>
      <c r="G185" s="54"/>
      <c r="H185" s="54"/>
      <c r="I185" s="54"/>
      <c r="J185" s="54"/>
      <c r="K185" s="54"/>
      <c r="L185" s="54"/>
      <c r="M185" s="54"/>
      <c r="N185" s="55"/>
      <c r="O185" s="56">
        <v>0</v>
      </c>
      <c r="P185" s="56">
        <f t="shared" si="3"/>
        <v>0</v>
      </c>
      <c r="Q185" s="54"/>
    </row>
    <row r="186" spans="1:17" s="3" customFormat="1" ht="13">
      <c r="A186" s="54">
        <v>1.1000000000000001</v>
      </c>
      <c r="B186" s="28" t="s">
        <v>194</v>
      </c>
      <c r="C186" s="28"/>
      <c r="D186" s="54"/>
      <c r="E186" s="54"/>
      <c r="F186" s="54"/>
      <c r="G186" s="54"/>
      <c r="H186" s="54"/>
      <c r="I186" s="54"/>
      <c r="J186" s="54"/>
      <c r="K186" s="54"/>
      <c r="L186" s="54"/>
      <c r="M186" s="54"/>
      <c r="N186" s="55"/>
      <c r="O186" s="56">
        <v>0</v>
      </c>
      <c r="P186" s="56">
        <f t="shared" si="3"/>
        <v>0</v>
      </c>
      <c r="Q186" s="54"/>
    </row>
    <row r="187" spans="1:17" s="2" customFormat="1" ht="13">
      <c r="A187" s="27">
        <v>1</v>
      </c>
      <c r="B187" s="29" t="s">
        <v>195</v>
      </c>
      <c r="C187" s="29"/>
      <c r="D187" s="27" t="s">
        <v>375</v>
      </c>
      <c r="E187" s="27" t="s">
        <v>355</v>
      </c>
      <c r="F187" s="27">
        <v>1500</v>
      </c>
      <c r="G187" s="27">
        <v>200</v>
      </c>
      <c r="H187" s="27">
        <v>1450</v>
      </c>
      <c r="I187" s="27">
        <v>150</v>
      </c>
      <c r="J187" s="27"/>
      <c r="K187" s="27"/>
      <c r="L187" s="27"/>
      <c r="M187" s="27" t="s">
        <v>66</v>
      </c>
      <c r="N187" s="46">
        <v>1</v>
      </c>
      <c r="O187" s="47">
        <v>563850</v>
      </c>
      <c r="P187" s="47">
        <f t="shared" si="3"/>
        <v>563850</v>
      </c>
      <c r="Q187" s="27" t="s">
        <v>376</v>
      </c>
    </row>
    <row r="188" spans="1:17" s="2" customFormat="1" ht="13">
      <c r="A188" s="27">
        <v>2</v>
      </c>
      <c r="B188" s="29" t="s">
        <v>196</v>
      </c>
      <c r="C188" s="29"/>
      <c r="D188" s="27" t="s">
        <v>375</v>
      </c>
      <c r="E188" s="27" t="s">
        <v>355</v>
      </c>
      <c r="F188" s="27">
        <v>1200</v>
      </c>
      <c r="G188" s="27">
        <v>1000</v>
      </c>
      <c r="H188" s="27">
        <v>1150</v>
      </c>
      <c r="I188" s="27">
        <v>950</v>
      </c>
      <c r="J188" s="27"/>
      <c r="K188" s="27"/>
      <c r="L188" s="27"/>
      <c r="M188" s="27" t="s">
        <v>66</v>
      </c>
      <c r="N188" s="46">
        <v>1</v>
      </c>
      <c r="O188" s="47">
        <v>1647450</v>
      </c>
      <c r="P188" s="47">
        <f t="shared" si="3"/>
        <v>1647450</v>
      </c>
      <c r="Q188" s="27" t="s">
        <v>376</v>
      </c>
    </row>
    <row r="189" spans="1:17" s="2" customFormat="1" ht="13">
      <c r="A189" s="27">
        <v>3</v>
      </c>
      <c r="B189" s="29" t="s">
        <v>197</v>
      </c>
      <c r="C189" s="29"/>
      <c r="D189" s="27" t="s">
        <v>375</v>
      </c>
      <c r="E189" s="27" t="s">
        <v>355</v>
      </c>
      <c r="F189" s="27">
        <v>1200</v>
      </c>
      <c r="G189" s="27">
        <v>600</v>
      </c>
      <c r="H189" s="27">
        <v>1150</v>
      </c>
      <c r="I189" s="27">
        <v>550</v>
      </c>
      <c r="J189" s="27"/>
      <c r="K189" s="27"/>
      <c r="L189" s="27"/>
      <c r="M189" s="27" t="s">
        <v>66</v>
      </c>
      <c r="N189" s="46">
        <v>14</v>
      </c>
      <c r="O189" s="47">
        <v>1052100</v>
      </c>
      <c r="P189" s="47">
        <f t="shared" si="3"/>
        <v>14729400</v>
      </c>
      <c r="Q189" s="27" t="s">
        <v>376</v>
      </c>
    </row>
    <row r="190" spans="1:17" s="2" customFormat="1" ht="13">
      <c r="A190" s="27">
        <v>4</v>
      </c>
      <c r="B190" s="29" t="s">
        <v>198</v>
      </c>
      <c r="C190" s="29"/>
      <c r="D190" s="27" t="s">
        <v>375</v>
      </c>
      <c r="E190" s="27" t="s">
        <v>355</v>
      </c>
      <c r="F190" s="27">
        <v>1200</v>
      </c>
      <c r="G190" s="27">
        <v>300</v>
      </c>
      <c r="H190" s="27">
        <v>1150</v>
      </c>
      <c r="I190" s="27">
        <v>250</v>
      </c>
      <c r="J190" s="27"/>
      <c r="K190" s="27"/>
      <c r="L190" s="27"/>
      <c r="M190" s="27" t="s">
        <v>66</v>
      </c>
      <c r="N190" s="46">
        <v>10</v>
      </c>
      <c r="O190" s="47">
        <v>605850</v>
      </c>
      <c r="P190" s="47">
        <f t="shared" si="3"/>
        <v>6058500</v>
      </c>
      <c r="Q190" s="27" t="s">
        <v>376</v>
      </c>
    </row>
    <row r="191" spans="1:17" s="2" customFormat="1" ht="13">
      <c r="A191" s="27">
        <v>5</v>
      </c>
      <c r="B191" s="29" t="s">
        <v>199</v>
      </c>
      <c r="C191" s="29"/>
      <c r="D191" s="27" t="s">
        <v>375</v>
      </c>
      <c r="E191" s="27" t="s">
        <v>355</v>
      </c>
      <c r="F191" s="27">
        <v>1200</v>
      </c>
      <c r="G191" s="27">
        <v>200</v>
      </c>
      <c r="H191" s="27">
        <v>1150</v>
      </c>
      <c r="I191" s="27">
        <v>150</v>
      </c>
      <c r="J191" s="27"/>
      <c r="K191" s="27"/>
      <c r="L191" s="27"/>
      <c r="M191" s="27" t="s">
        <v>66</v>
      </c>
      <c r="N191" s="46">
        <v>283</v>
      </c>
      <c r="O191" s="47">
        <v>456750</v>
      </c>
      <c r="P191" s="47">
        <f t="shared" si="3"/>
        <v>129260250</v>
      </c>
      <c r="Q191" s="27" t="s">
        <v>376</v>
      </c>
    </row>
    <row r="192" spans="1:17" s="2" customFormat="1" ht="13">
      <c r="A192" s="27">
        <v>6</v>
      </c>
      <c r="B192" s="29" t="s">
        <v>200</v>
      </c>
      <c r="C192" s="29"/>
      <c r="D192" s="27" t="s">
        <v>375</v>
      </c>
      <c r="E192" s="27" t="s">
        <v>355</v>
      </c>
      <c r="F192" s="27">
        <v>1200</v>
      </c>
      <c r="G192" s="27">
        <v>150</v>
      </c>
      <c r="H192" s="27">
        <v>1150</v>
      </c>
      <c r="I192" s="27">
        <v>100</v>
      </c>
      <c r="J192" s="27"/>
      <c r="K192" s="27"/>
      <c r="L192" s="27"/>
      <c r="M192" s="27" t="s">
        <v>66</v>
      </c>
      <c r="N192" s="46">
        <v>14</v>
      </c>
      <c r="O192" s="47">
        <v>375900</v>
      </c>
      <c r="P192" s="47">
        <f t="shared" si="3"/>
        <v>5262600</v>
      </c>
      <c r="Q192" s="27" t="s">
        <v>376</v>
      </c>
    </row>
    <row r="193" spans="1:17" s="2" customFormat="1" ht="13">
      <c r="A193" s="27">
        <v>7</v>
      </c>
      <c r="B193" s="29" t="s">
        <v>201</v>
      </c>
      <c r="C193" s="29"/>
      <c r="D193" s="27" t="s">
        <v>375</v>
      </c>
      <c r="E193" s="27" t="s">
        <v>355</v>
      </c>
      <c r="F193" s="27">
        <v>1200</v>
      </c>
      <c r="G193" s="27">
        <v>100</v>
      </c>
      <c r="H193" s="27">
        <v>1150</v>
      </c>
      <c r="I193" s="27">
        <v>50</v>
      </c>
      <c r="J193" s="27"/>
      <c r="K193" s="27"/>
      <c r="L193" s="27"/>
      <c r="M193" s="27" t="s">
        <v>66</v>
      </c>
      <c r="N193" s="46">
        <v>228</v>
      </c>
      <c r="O193" s="47">
        <v>308700</v>
      </c>
      <c r="P193" s="47">
        <f t="shared" si="3"/>
        <v>70383600</v>
      </c>
      <c r="Q193" s="27" t="s">
        <v>376</v>
      </c>
    </row>
    <row r="194" spans="1:17" s="2" customFormat="1" ht="13">
      <c r="A194" s="27">
        <v>8</v>
      </c>
      <c r="B194" s="29" t="s">
        <v>202</v>
      </c>
      <c r="C194" s="29"/>
      <c r="D194" s="27" t="s">
        <v>375</v>
      </c>
      <c r="E194" s="27" t="s">
        <v>355</v>
      </c>
      <c r="F194" s="27">
        <v>1100</v>
      </c>
      <c r="G194" s="27">
        <v>300</v>
      </c>
      <c r="H194" s="27">
        <v>1050</v>
      </c>
      <c r="I194" s="27">
        <v>250</v>
      </c>
      <c r="J194" s="27"/>
      <c r="K194" s="27"/>
      <c r="L194" s="27"/>
      <c r="M194" s="27" t="s">
        <v>66</v>
      </c>
      <c r="N194" s="46">
        <v>110</v>
      </c>
      <c r="O194" s="47">
        <v>558600</v>
      </c>
      <c r="P194" s="47">
        <f t="shared" si="3"/>
        <v>61446000</v>
      </c>
      <c r="Q194" s="27" t="s">
        <v>376</v>
      </c>
    </row>
    <row r="195" spans="1:17" s="2" customFormat="1" ht="13">
      <c r="A195" s="27">
        <v>9</v>
      </c>
      <c r="B195" s="29" t="s">
        <v>203</v>
      </c>
      <c r="C195" s="29"/>
      <c r="D195" s="27" t="s">
        <v>375</v>
      </c>
      <c r="E195" s="27" t="s">
        <v>355</v>
      </c>
      <c r="F195" s="27">
        <v>1000</v>
      </c>
      <c r="G195" s="27">
        <v>500</v>
      </c>
      <c r="H195" s="27">
        <v>950</v>
      </c>
      <c r="I195" s="27">
        <v>450</v>
      </c>
      <c r="J195" s="27"/>
      <c r="K195" s="27"/>
      <c r="L195" s="27"/>
      <c r="M195" s="27" t="s">
        <v>66</v>
      </c>
      <c r="N195" s="46">
        <v>22</v>
      </c>
      <c r="O195" s="47">
        <v>762300</v>
      </c>
      <c r="P195" s="47">
        <f t="shared" si="3"/>
        <v>16770600</v>
      </c>
      <c r="Q195" s="27" t="s">
        <v>376</v>
      </c>
    </row>
    <row r="196" spans="1:17" s="2" customFormat="1" ht="13">
      <c r="A196" s="27">
        <v>10</v>
      </c>
      <c r="B196" s="29" t="s">
        <v>204</v>
      </c>
      <c r="C196" s="29"/>
      <c r="D196" s="27" t="s">
        <v>375</v>
      </c>
      <c r="E196" s="27" t="s">
        <v>355</v>
      </c>
      <c r="F196" s="27">
        <v>900</v>
      </c>
      <c r="G196" s="27">
        <v>600</v>
      </c>
      <c r="H196" s="27">
        <v>850</v>
      </c>
      <c r="I196" s="27">
        <v>550</v>
      </c>
      <c r="J196" s="27"/>
      <c r="K196" s="27"/>
      <c r="L196" s="27"/>
      <c r="M196" s="27" t="s">
        <v>66</v>
      </c>
      <c r="N196" s="46">
        <v>16</v>
      </c>
      <c r="O196" s="47">
        <v>804300</v>
      </c>
      <c r="P196" s="47">
        <f t="shared" si="3"/>
        <v>12868800</v>
      </c>
      <c r="Q196" s="27" t="s">
        <v>376</v>
      </c>
    </row>
    <row r="197" spans="1:17" s="2" customFormat="1" ht="13">
      <c r="A197" s="27">
        <v>11</v>
      </c>
      <c r="B197" s="29" t="s">
        <v>205</v>
      </c>
      <c r="C197" s="29"/>
      <c r="D197" s="27" t="s">
        <v>375</v>
      </c>
      <c r="E197" s="27" t="s">
        <v>355</v>
      </c>
      <c r="F197" s="27">
        <v>900</v>
      </c>
      <c r="G197" s="27">
        <v>400</v>
      </c>
      <c r="H197" s="27">
        <v>850</v>
      </c>
      <c r="I197" s="27">
        <v>350</v>
      </c>
      <c r="J197" s="27"/>
      <c r="K197" s="27"/>
      <c r="L197" s="27"/>
      <c r="M197" s="27" t="s">
        <v>66</v>
      </c>
      <c r="N197" s="46">
        <v>2</v>
      </c>
      <c r="O197" s="47">
        <v>577500</v>
      </c>
      <c r="P197" s="47">
        <f t="shared" si="3"/>
        <v>1155000</v>
      </c>
      <c r="Q197" s="27" t="s">
        <v>376</v>
      </c>
    </row>
    <row r="198" spans="1:17" s="2" customFormat="1" ht="13">
      <c r="A198" s="27">
        <v>12</v>
      </c>
      <c r="B198" s="29" t="s">
        <v>206</v>
      </c>
      <c r="C198" s="29"/>
      <c r="D198" s="27" t="s">
        <v>375</v>
      </c>
      <c r="E198" s="27" t="s">
        <v>355</v>
      </c>
      <c r="F198" s="27">
        <v>900</v>
      </c>
      <c r="G198" s="27">
        <v>300</v>
      </c>
      <c r="H198" s="27">
        <v>850</v>
      </c>
      <c r="I198" s="27">
        <v>250</v>
      </c>
      <c r="J198" s="27"/>
      <c r="K198" s="27"/>
      <c r="L198" s="27"/>
      <c r="M198" s="27" t="s">
        <v>66</v>
      </c>
      <c r="N198" s="46">
        <v>4</v>
      </c>
      <c r="O198" s="47">
        <v>465150</v>
      </c>
      <c r="P198" s="47">
        <f t="shared" si="3"/>
        <v>1860600</v>
      </c>
      <c r="Q198" s="27" t="s">
        <v>376</v>
      </c>
    </row>
    <row r="199" spans="1:17" s="2" customFormat="1" ht="13">
      <c r="A199" s="27">
        <v>13</v>
      </c>
      <c r="B199" s="29" t="s">
        <v>207</v>
      </c>
      <c r="C199" s="29"/>
      <c r="D199" s="27" t="s">
        <v>375</v>
      </c>
      <c r="E199" s="27" t="s">
        <v>355</v>
      </c>
      <c r="F199" s="27">
        <v>800</v>
      </c>
      <c r="G199" s="27">
        <v>400</v>
      </c>
      <c r="H199" s="27">
        <v>750</v>
      </c>
      <c r="I199" s="27">
        <v>350</v>
      </c>
      <c r="J199" s="27"/>
      <c r="K199" s="27"/>
      <c r="L199" s="27"/>
      <c r="M199" s="27" t="s">
        <v>66</v>
      </c>
      <c r="N199" s="46">
        <v>2</v>
      </c>
      <c r="O199" s="47">
        <v>519750</v>
      </c>
      <c r="P199" s="47">
        <f t="shared" si="3"/>
        <v>1039500</v>
      </c>
      <c r="Q199" s="27" t="s">
        <v>376</v>
      </c>
    </row>
    <row r="200" spans="1:17" s="2" customFormat="1" ht="13">
      <c r="A200" s="27">
        <v>14</v>
      </c>
      <c r="B200" s="29" t="s">
        <v>208</v>
      </c>
      <c r="C200" s="29"/>
      <c r="D200" s="27" t="s">
        <v>375</v>
      </c>
      <c r="E200" s="27" t="s">
        <v>355</v>
      </c>
      <c r="F200" s="27">
        <v>700</v>
      </c>
      <c r="G200" s="27">
        <v>700</v>
      </c>
      <c r="H200" s="27">
        <v>650</v>
      </c>
      <c r="I200" s="27">
        <v>650</v>
      </c>
      <c r="J200" s="27"/>
      <c r="K200" s="27"/>
      <c r="L200" s="27"/>
      <c r="M200" s="27" t="s">
        <v>66</v>
      </c>
      <c r="N200" s="46">
        <v>3</v>
      </c>
      <c r="O200" s="47">
        <v>729750</v>
      </c>
      <c r="P200" s="47">
        <f t="shared" si="3"/>
        <v>2189250</v>
      </c>
      <c r="Q200" s="27" t="s">
        <v>376</v>
      </c>
    </row>
    <row r="201" spans="1:17" s="3" customFormat="1" ht="13">
      <c r="A201" s="54">
        <v>1.2</v>
      </c>
      <c r="B201" s="28" t="s">
        <v>209</v>
      </c>
      <c r="C201" s="28"/>
      <c r="D201" s="54"/>
      <c r="E201" s="54"/>
      <c r="F201" s="54"/>
      <c r="G201" s="54"/>
      <c r="H201" s="54"/>
      <c r="I201" s="54"/>
      <c r="J201" s="54"/>
      <c r="K201" s="54"/>
      <c r="L201" s="54"/>
      <c r="M201" s="54"/>
      <c r="N201" s="55"/>
      <c r="O201" s="56">
        <v>0</v>
      </c>
      <c r="P201" s="56">
        <f t="shared" si="3"/>
        <v>0</v>
      </c>
      <c r="Q201" s="54"/>
    </row>
    <row r="202" spans="1:17" s="2" customFormat="1" ht="13">
      <c r="A202" s="27">
        <v>1</v>
      </c>
      <c r="B202" s="29" t="s">
        <v>210</v>
      </c>
      <c r="C202" s="29"/>
      <c r="D202" s="27" t="s">
        <v>377</v>
      </c>
      <c r="E202" s="27" t="s">
        <v>355</v>
      </c>
      <c r="F202" s="27">
        <v>1200</v>
      </c>
      <c r="G202" s="27">
        <v>300</v>
      </c>
      <c r="H202" s="27">
        <v>1150</v>
      </c>
      <c r="I202" s="27">
        <v>250</v>
      </c>
      <c r="J202" s="27"/>
      <c r="K202" s="27"/>
      <c r="L202" s="27"/>
      <c r="M202" s="27" t="s">
        <v>66</v>
      </c>
      <c r="N202" s="46">
        <v>4</v>
      </c>
      <c r="O202" s="47">
        <v>382725</v>
      </c>
      <c r="P202" s="47">
        <f t="shared" si="3"/>
        <v>1530900</v>
      </c>
      <c r="Q202" s="27" t="s">
        <v>378</v>
      </c>
    </row>
    <row r="203" spans="1:17" s="2" customFormat="1" ht="13">
      <c r="A203" s="27">
        <v>2</v>
      </c>
      <c r="B203" s="29" t="s">
        <v>212</v>
      </c>
      <c r="C203" s="29"/>
      <c r="D203" s="27" t="s">
        <v>377</v>
      </c>
      <c r="E203" s="27" t="s">
        <v>355</v>
      </c>
      <c r="F203" s="27">
        <v>1200</v>
      </c>
      <c r="G203" s="27">
        <v>200</v>
      </c>
      <c r="H203" s="27">
        <v>1150</v>
      </c>
      <c r="I203" s="27">
        <v>150</v>
      </c>
      <c r="J203" s="27"/>
      <c r="K203" s="27"/>
      <c r="L203" s="27"/>
      <c r="M203" s="27" t="s">
        <v>66</v>
      </c>
      <c r="N203" s="46">
        <v>283</v>
      </c>
      <c r="O203" s="47">
        <v>262500</v>
      </c>
      <c r="P203" s="47">
        <f t="shared" si="3"/>
        <v>74287500</v>
      </c>
      <c r="Q203" s="27" t="s">
        <v>378</v>
      </c>
    </row>
    <row r="204" spans="1:17" s="2" customFormat="1" ht="13">
      <c r="A204" s="27">
        <v>3</v>
      </c>
      <c r="B204" s="29" t="s">
        <v>213</v>
      </c>
      <c r="C204" s="29"/>
      <c r="D204" s="27" t="s">
        <v>377</v>
      </c>
      <c r="E204" s="27" t="s">
        <v>355</v>
      </c>
      <c r="F204" s="27">
        <v>1200</v>
      </c>
      <c r="G204" s="27">
        <v>150</v>
      </c>
      <c r="H204" s="27">
        <v>1150</v>
      </c>
      <c r="I204" s="27">
        <v>100</v>
      </c>
      <c r="J204" s="27"/>
      <c r="K204" s="27"/>
      <c r="L204" s="27"/>
      <c r="M204" s="27" t="s">
        <v>66</v>
      </c>
      <c r="N204" s="46">
        <v>236</v>
      </c>
      <c r="O204" s="47">
        <v>199500</v>
      </c>
      <c r="P204" s="47">
        <f t="shared" si="3"/>
        <v>47082000</v>
      </c>
      <c r="Q204" s="27" t="s">
        <v>378</v>
      </c>
    </row>
    <row r="205" spans="1:17" s="2" customFormat="1" ht="13">
      <c r="A205" s="27">
        <v>4</v>
      </c>
      <c r="B205" s="29" t="s">
        <v>214</v>
      </c>
      <c r="C205" s="29"/>
      <c r="D205" s="27" t="s">
        <v>377</v>
      </c>
      <c r="E205" s="27" t="s">
        <v>355</v>
      </c>
      <c r="F205" s="27">
        <v>1200</v>
      </c>
      <c r="G205" s="27">
        <v>100</v>
      </c>
      <c r="H205" s="27">
        <v>1150</v>
      </c>
      <c r="I205" s="27">
        <v>50</v>
      </c>
      <c r="J205" s="27"/>
      <c r="K205" s="27"/>
      <c r="L205" s="27"/>
      <c r="M205" s="27" t="s">
        <v>66</v>
      </c>
      <c r="N205" s="46">
        <v>107</v>
      </c>
      <c r="O205" s="47">
        <v>166425</v>
      </c>
      <c r="P205" s="47">
        <f t="shared" si="3"/>
        <v>17807475</v>
      </c>
      <c r="Q205" s="27" t="s">
        <v>378</v>
      </c>
    </row>
    <row r="206" spans="1:17" s="2" customFormat="1" ht="13">
      <c r="A206" s="27">
        <v>5</v>
      </c>
      <c r="B206" s="29" t="s">
        <v>215</v>
      </c>
      <c r="C206" s="29"/>
      <c r="D206" s="27" t="s">
        <v>377</v>
      </c>
      <c r="E206" s="27" t="s">
        <v>355</v>
      </c>
      <c r="F206" s="27">
        <v>1100</v>
      </c>
      <c r="G206" s="27">
        <v>300</v>
      </c>
      <c r="H206" s="27">
        <v>1050</v>
      </c>
      <c r="I206" s="27">
        <v>250</v>
      </c>
      <c r="J206" s="27"/>
      <c r="K206" s="27"/>
      <c r="L206" s="27"/>
      <c r="M206" s="27" t="s">
        <v>66</v>
      </c>
      <c r="N206" s="46">
        <v>21</v>
      </c>
      <c r="O206" s="47">
        <v>353325</v>
      </c>
      <c r="P206" s="47">
        <f t="shared" si="3"/>
        <v>7419825</v>
      </c>
      <c r="Q206" s="27" t="s">
        <v>378</v>
      </c>
    </row>
    <row r="207" spans="1:17" s="2" customFormat="1" ht="13">
      <c r="A207" s="27">
        <v>6</v>
      </c>
      <c r="B207" s="29" t="s">
        <v>216</v>
      </c>
      <c r="C207" s="29"/>
      <c r="D207" s="27" t="s">
        <v>377</v>
      </c>
      <c r="E207" s="27" t="s">
        <v>355</v>
      </c>
      <c r="F207" s="27">
        <v>1000</v>
      </c>
      <c r="G207" s="27">
        <v>500</v>
      </c>
      <c r="H207" s="27">
        <v>950</v>
      </c>
      <c r="I207" s="27">
        <v>450</v>
      </c>
      <c r="J207" s="27"/>
      <c r="K207" s="27"/>
      <c r="L207" s="27"/>
      <c r="M207" s="27" t="s">
        <v>66</v>
      </c>
      <c r="N207" s="46">
        <v>13</v>
      </c>
      <c r="O207" s="47">
        <v>505575</v>
      </c>
      <c r="P207" s="47">
        <f t="shared" si="3"/>
        <v>6572475</v>
      </c>
      <c r="Q207" s="27" t="s">
        <v>378</v>
      </c>
    </row>
    <row r="208" spans="1:17" s="2" customFormat="1" ht="13">
      <c r="A208" s="27">
        <v>7</v>
      </c>
      <c r="B208" s="29" t="s">
        <v>217</v>
      </c>
      <c r="C208" s="29"/>
      <c r="D208" s="27" t="s">
        <v>377</v>
      </c>
      <c r="E208" s="27" t="s">
        <v>355</v>
      </c>
      <c r="F208" s="27">
        <v>450</v>
      </c>
      <c r="G208" s="27">
        <v>300</v>
      </c>
      <c r="H208" s="27">
        <v>400</v>
      </c>
      <c r="I208" s="27">
        <v>250</v>
      </c>
      <c r="J208" s="27"/>
      <c r="K208" s="27"/>
      <c r="L208" s="27"/>
      <c r="M208" s="27" t="s">
        <v>66</v>
      </c>
      <c r="N208" s="46">
        <v>1</v>
      </c>
      <c r="O208" s="47">
        <v>161700</v>
      </c>
      <c r="P208" s="47">
        <f t="shared" si="3"/>
        <v>161700</v>
      </c>
      <c r="Q208" s="27" t="s">
        <v>378</v>
      </c>
    </row>
    <row r="209" spans="1:17" s="2" customFormat="1" ht="13">
      <c r="A209" s="27">
        <v>8</v>
      </c>
      <c r="B209" s="29" t="s">
        <v>218</v>
      </c>
      <c r="C209" s="29"/>
      <c r="D209" s="27" t="s">
        <v>377</v>
      </c>
      <c r="E209" s="27" t="s">
        <v>355</v>
      </c>
      <c r="F209" s="27">
        <v>400</v>
      </c>
      <c r="G209" s="27">
        <v>300</v>
      </c>
      <c r="H209" s="27">
        <v>350</v>
      </c>
      <c r="I209" s="27">
        <v>250</v>
      </c>
      <c r="J209" s="27"/>
      <c r="K209" s="27"/>
      <c r="L209" s="27"/>
      <c r="M209" s="27" t="s">
        <v>66</v>
      </c>
      <c r="N209" s="46">
        <v>1</v>
      </c>
      <c r="O209" s="47">
        <v>146475</v>
      </c>
      <c r="P209" s="47">
        <f t="shared" si="3"/>
        <v>146475</v>
      </c>
      <c r="Q209" s="27" t="s">
        <v>378</v>
      </c>
    </row>
    <row r="210" spans="1:17" s="2" customFormat="1" ht="13">
      <c r="A210" s="27">
        <v>9</v>
      </c>
      <c r="B210" s="29" t="s">
        <v>219</v>
      </c>
      <c r="C210" s="29"/>
      <c r="D210" s="27" t="s">
        <v>377</v>
      </c>
      <c r="E210" s="27" t="s">
        <v>355</v>
      </c>
      <c r="F210" s="27">
        <v>500</v>
      </c>
      <c r="G210" s="27">
        <v>300</v>
      </c>
      <c r="H210" s="27">
        <v>450</v>
      </c>
      <c r="I210" s="27">
        <v>250</v>
      </c>
      <c r="J210" s="27"/>
      <c r="K210" s="27"/>
      <c r="L210" s="27"/>
      <c r="M210" s="27" t="s">
        <v>66</v>
      </c>
      <c r="N210" s="46">
        <v>1</v>
      </c>
      <c r="O210" s="47">
        <v>175875</v>
      </c>
      <c r="P210" s="47">
        <f t="shared" si="3"/>
        <v>175875</v>
      </c>
      <c r="Q210" s="27" t="s">
        <v>378</v>
      </c>
    </row>
    <row r="211" spans="1:17" s="2" customFormat="1" ht="13">
      <c r="A211" s="27">
        <v>10</v>
      </c>
      <c r="B211" s="29" t="s">
        <v>220</v>
      </c>
      <c r="C211" s="29"/>
      <c r="D211" s="27" t="s">
        <v>377</v>
      </c>
      <c r="E211" s="27" t="s">
        <v>355</v>
      </c>
      <c r="F211" s="27">
        <v>600</v>
      </c>
      <c r="G211" s="27">
        <v>500</v>
      </c>
      <c r="H211" s="27">
        <v>550</v>
      </c>
      <c r="I211" s="27">
        <v>450</v>
      </c>
      <c r="J211" s="27"/>
      <c r="K211" s="27"/>
      <c r="L211" s="27"/>
      <c r="M211" s="27" t="s">
        <v>66</v>
      </c>
      <c r="N211" s="46">
        <v>1</v>
      </c>
      <c r="O211" s="47">
        <v>317625</v>
      </c>
      <c r="P211" s="47">
        <f t="shared" si="3"/>
        <v>317625</v>
      </c>
      <c r="Q211" s="27" t="s">
        <v>378</v>
      </c>
    </row>
    <row r="212" spans="1:17" s="2" customFormat="1" ht="13">
      <c r="A212" s="27">
        <v>11</v>
      </c>
      <c r="B212" s="29" t="s">
        <v>221</v>
      </c>
      <c r="C212" s="29"/>
      <c r="D212" s="27" t="s">
        <v>377</v>
      </c>
      <c r="E212" s="27" t="s">
        <v>355</v>
      </c>
      <c r="F212" s="27">
        <v>900</v>
      </c>
      <c r="G212" s="27">
        <v>550</v>
      </c>
      <c r="H212" s="27">
        <v>850</v>
      </c>
      <c r="I212" s="27">
        <v>500</v>
      </c>
      <c r="J212" s="27"/>
      <c r="K212" s="27"/>
      <c r="L212" s="27"/>
      <c r="M212" s="27" t="s">
        <v>66</v>
      </c>
      <c r="N212" s="46">
        <v>1</v>
      </c>
      <c r="O212" s="47">
        <v>493500</v>
      </c>
      <c r="P212" s="47">
        <f t="shared" si="3"/>
        <v>493500</v>
      </c>
      <c r="Q212" s="27" t="s">
        <v>378</v>
      </c>
    </row>
    <row r="213" spans="1:17" s="3" customFormat="1" ht="13">
      <c r="A213" s="54">
        <v>1.3</v>
      </c>
      <c r="B213" s="28" t="s">
        <v>63</v>
      </c>
      <c r="C213" s="28"/>
      <c r="D213" s="54"/>
      <c r="E213" s="54"/>
      <c r="F213" s="54"/>
      <c r="G213" s="54"/>
      <c r="H213" s="54"/>
      <c r="I213" s="54"/>
      <c r="J213" s="54"/>
      <c r="K213" s="54"/>
      <c r="L213" s="54"/>
      <c r="M213" s="54"/>
      <c r="N213" s="55"/>
      <c r="O213" s="56">
        <v>0</v>
      </c>
      <c r="P213" s="56">
        <f t="shared" si="3"/>
        <v>0</v>
      </c>
      <c r="Q213" s="54"/>
    </row>
    <row r="214" spans="1:17" s="2" customFormat="1" ht="26">
      <c r="A214" s="27">
        <v>1</v>
      </c>
      <c r="B214" s="29" t="s">
        <v>143</v>
      </c>
      <c r="C214" s="29"/>
      <c r="D214" s="27" t="s">
        <v>359</v>
      </c>
      <c r="E214" s="27" t="s">
        <v>355</v>
      </c>
      <c r="F214" s="27">
        <v>200</v>
      </c>
      <c r="G214" s="27"/>
      <c r="H214" s="27"/>
      <c r="I214" s="27"/>
      <c r="J214" s="27"/>
      <c r="K214" s="27">
        <v>250</v>
      </c>
      <c r="L214" s="27">
        <v>0.75</v>
      </c>
      <c r="M214" s="27" t="s">
        <v>66</v>
      </c>
      <c r="N214" s="46">
        <v>416</v>
      </c>
      <c r="O214" s="47">
        <v>155925</v>
      </c>
      <c r="P214" s="47">
        <f t="shared" si="3"/>
        <v>64864800</v>
      </c>
      <c r="Q214" s="27" t="s">
        <v>370</v>
      </c>
    </row>
    <row r="215" spans="1:17" s="2" customFormat="1" ht="26">
      <c r="A215" s="27">
        <v>2</v>
      </c>
      <c r="B215" s="29" t="s">
        <v>144</v>
      </c>
      <c r="C215" s="29"/>
      <c r="D215" s="27" t="s">
        <v>359</v>
      </c>
      <c r="E215" s="27" t="s">
        <v>355</v>
      </c>
      <c r="F215" s="27">
        <v>250</v>
      </c>
      <c r="G215" s="27"/>
      <c r="H215" s="27"/>
      <c r="I215" s="27"/>
      <c r="J215" s="27"/>
      <c r="K215" s="27">
        <v>300</v>
      </c>
      <c r="L215" s="27">
        <v>0.75</v>
      </c>
      <c r="M215" s="27" t="s">
        <v>66</v>
      </c>
      <c r="N215" s="46">
        <v>42</v>
      </c>
      <c r="O215" s="47">
        <v>174825</v>
      </c>
      <c r="P215" s="47">
        <f t="shared" si="3"/>
        <v>7342650</v>
      </c>
      <c r="Q215" s="27" t="s">
        <v>370</v>
      </c>
    </row>
    <row r="216" spans="1:17" s="2" customFormat="1" ht="26">
      <c r="A216" s="27">
        <v>3</v>
      </c>
      <c r="B216" s="29" t="s">
        <v>222</v>
      </c>
      <c r="C216" s="29"/>
      <c r="D216" s="27" t="s">
        <v>359</v>
      </c>
      <c r="E216" s="27" t="s">
        <v>355</v>
      </c>
      <c r="F216" s="27">
        <v>300</v>
      </c>
      <c r="G216" s="27"/>
      <c r="H216" s="27"/>
      <c r="I216" s="27"/>
      <c r="J216" s="27"/>
      <c r="K216" s="27">
        <v>350</v>
      </c>
      <c r="L216" s="27">
        <v>0.75</v>
      </c>
      <c r="M216" s="27" t="s">
        <v>66</v>
      </c>
      <c r="N216" s="46">
        <v>391</v>
      </c>
      <c r="O216" s="47">
        <v>193725</v>
      </c>
      <c r="P216" s="47">
        <f t="shared" si="3"/>
        <v>75746475</v>
      </c>
      <c r="Q216" s="27" t="s">
        <v>370</v>
      </c>
    </row>
    <row r="217" spans="1:17" s="2" customFormat="1" ht="26">
      <c r="A217" s="27">
        <v>4</v>
      </c>
      <c r="B217" s="29" t="s">
        <v>223</v>
      </c>
      <c r="C217" s="29"/>
      <c r="D217" s="27" t="s">
        <v>359</v>
      </c>
      <c r="E217" s="27" t="s">
        <v>355</v>
      </c>
      <c r="F217" s="27">
        <v>400</v>
      </c>
      <c r="G217" s="27"/>
      <c r="H217" s="27"/>
      <c r="I217" s="27"/>
      <c r="J217" s="27"/>
      <c r="K217" s="27">
        <v>450</v>
      </c>
      <c r="L217" s="27">
        <v>0.75</v>
      </c>
      <c r="M217" s="27" t="s">
        <v>66</v>
      </c>
      <c r="N217" s="46">
        <v>61</v>
      </c>
      <c r="O217" s="47">
        <v>297675</v>
      </c>
      <c r="P217" s="47">
        <f t="shared" si="3"/>
        <v>18158175</v>
      </c>
      <c r="Q217" s="27" t="s">
        <v>370</v>
      </c>
    </row>
    <row r="218" spans="1:17" s="2" customFormat="1" ht="26">
      <c r="A218" s="27">
        <v>5</v>
      </c>
      <c r="B218" s="29" t="s">
        <v>149</v>
      </c>
      <c r="C218" s="29"/>
      <c r="D218" s="27" t="s">
        <v>359</v>
      </c>
      <c r="E218" s="27" t="s">
        <v>355</v>
      </c>
      <c r="F218" s="27">
        <v>300</v>
      </c>
      <c r="G218" s="27">
        <v>200</v>
      </c>
      <c r="H218" s="27"/>
      <c r="I218" s="27"/>
      <c r="J218" s="27"/>
      <c r="K218" s="27">
        <v>200</v>
      </c>
      <c r="L218" s="27">
        <v>0.75</v>
      </c>
      <c r="M218" s="27" t="s">
        <v>66</v>
      </c>
      <c r="N218" s="46">
        <v>12</v>
      </c>
      <c r="O218" s="47">
        <v>207900</v>
      </c>
      <c r="P218" s="47">
        <f t="shared" si="3"/>
        <v>2494800</v>
      </c>
      <c r="Q218" s="27" t="s">
        <v>370</v>
      </c>
    </row>
    <row r="219" spans="1:17" s="2" customFormat="1" ht="26">
      <c r="A219" s="27">
        <v>6</v>
      </c>
      <c r="B219" s="29" t="s">
        <v>224</v>
      </c>
      <c r="C219" s="29"/>
      <c r="D219" s="27" t="s">
        <v>359</v>
      </c>
      <c r="E219" s="27" t="s">
        <v>355</v>
      </c>
      <c r="F219" s="27">
        <v>300</v>
      </c>
      <c r="G219" s="27">
        <v>300</v>
      </c>
      <c r="H219" s="27"/>
      <c r="I219" s="27"/>
      <c r="J219" s="27"/>
      <c r="K219" s="27">
        <v>200</v>
      </c>
      <c r="L219" s="27">
        <v>0.75</v>
      </c>
      <c r="M219" s="27" t="s">
        <v>66</v>
      </c>
      <c r="N219" s="46">
        <v>2</v>
      </c>
      <c r="O219" s="47">
        <v>271215</v>
      </c>
      <c r="P219" s="47">
        <f t="shared" si="3"/>
        <v>542430</v>
      </c>
      <c r="Q219" s="27" t="s">
        <v>370</v>
      </c>
    </row>
    <row r="220" spans="1:17" s="2" customFormat="1" ht="26">
      <c r="A220" s="27">
        <v>7</v>
      </c>
      <c r="B220" s="29" t="s">
        <v>225</v>
      </c>
      <c r="C220" s="29"/>
      <c r="D220" s="27" t="s">
        <v>359</v>
      </c>
      <c r="E220" s="27" t="s">
        <v>355</v>
      </c>
      <c r="F220" s="27">
        <v>350</v>
      </c>
      <c r="G220" s="27">
        <v>300</v>
      </c>
      <c r="H220" s="27"/>
      <c r="I220" s="27"/>
      <c r="J220" s="27"/>
      <c r="K220" s="27">
        <v>200</v>
      </c>
      <c r="L220" s="27">
        <v>0.75</v>
      </c>
      <c r="M220" s="27" t="s">
        <v>66</v>
      </c>
      <c r="N220" s="46">
        <v>3</v>
      </c>
      <c r="O220" s="47">
        <v>261765</v>
      </c>
      <c r="P220" s="47">
        <f t="shared" si="3"/>
        <v>785295</v>
      </c>
      <c r="Q220" s="27" t="s">
        <v>370</v>
      </c>
    </row>
    <row r="221" spans="1:17" s="2" customFormat="1" ht="26">
      <c r="A221" s="27">
        <v>8</v>
      </c>
      <c r="B221" s="29" t="s">
        <v>226</v>
      </c>
      <c r="C221" s="29"/>
      <c r="D221" s="27" t="s">
        <v>359</v>
      </c>
      <c r="E221" s="27" t="s">
        <v>355</v>
      </c>
      <c r="F221" s="27">
        <v>350</v>
      </c>
      <c r="G221" s="27">
        <v>350</v>
      </c>
      <c r="H221" s="27"/>
      <c r="I221" s="27"/>
      <c r="J221" s="27"/>
      <c r="K221" s="27">
        <v>200</v>
      </c>
      <c r="L221" s="27">
        <v>0.75</v>
      </c>
      <c r="M221" s="27" t="s">
        <v>66</v>
      </c>
      <c r="N221" s="46">
        <v>1</v>
      </c>
      <c r="O221" s="47">
        <v>274050</v>
      </c>
      <c r="P221" s="47">
        <f t="shared" si="3"/>
        <v>274050</v>
      </c>
      <c r="Q221" s="27" t="s">
        <v>370</v>
      </c>
    </row>
    <row r="222" spans="1:17" s="2" customFormat="1" ht="26">
      <c r="A222" s="27">
        <v>9</v>
      </c>
      <c r="B222" s="29" t="s">
        <v>227</v>
      </c>
      <c r="C222" s="29"/>
      <c r="D222" s="27" t="s">
        <v>359</v>
      </c>
      <c r="E222" s="27" t="s">
        <v>355</v>
      </c>
      <c r="F222" s="27">
        <v>400</v>
      </c>
      <c r="G222" s="27">
        <v>350</v>
      </c>
      <c r="H222" s="27"/>
      <c r="I222" s="27"/>
      <c r="J222" s="27"/>
      <c r="K222" s="27">
        <v>200</v>
      </c>
      <c r="L222" s="27">
        <v>0.75</v>
      </c>
      <c r="M222" s="27" t="s">
        <v>66</v>
      </c>
      <c r="N222" s="46">
        <v>1</v>
      </c>
      <c r="O222" s="47">
        <v>287280</v>
      </c>
      <c r="P222" s="47">
        <f t="shared" si="3"/>
        <v>287280</v>
      </c>
      <c r="Q222" s="27" t="s">
        <v>370</v>
      </c>
    </row>
    <row r="223" spans="1:17" s="2" customFormat="1" ht="26">
      <c r="A223" s="27">
        <v>10</v>
      </c>
      <c r="B223" s="29" t="s">
        <v>228</v>
      </c>
      <c r="C223" s="29"/>
      <c r="D223" s="27" t="s">
        <v>359</v>
      </c>
      <c r="E223" s="27" t="s">
        <v>355</v>
      </c>
      <c r="F223" s="27">
        <v>450</v>
      </c>
      <c r="G223" s="27">
        <v>200</v>
      </c>
      <c r="H223" s="27"/>
      <c r="I223" s="27"/>
      <c r="J223" s="27"/>
      <c r="K223" s="27">
        <v>200</v>
      </c>
      <c r="L223" s="27">
        <v>0.75</v>
      </c>
      <c r="M223" s="27" t="s">
        <v>66</v>
      </c>
      <c r="N223" s="46">
        <v>3</v>
      </c>
      <c r="O223" s="47">
        <v>239085</v>
      </c>
      <c r="P223" s="47">
        <f t="shared" si="3"/>
        <v>717255</v>
      </c>
      <c r="Q223" s="27" t="s">
        <v>370</v>
      </c>
    </row>
    <row r="224" spans="1:17" s="2" customFormat="1" ht="26">
      <c r="A224" s="27">
        <v>11</v>
      </c>
      <c r="B224" s="29" t="s">
        <v>229</v>
      </c>
      <c r="C224" s="29"/>
      <c r="D224" s="27" t="s">
        <v>359</v>
      </c>
      <c r="E224" s="27" t="s">
        <v>355</v>
      </c>
      <c r="F224" s="27">
        <v>600</v>
      </c>
      <c r="G224" s="27">
        <v>200</v>
      </c>
      <c r="H224" s="27"/>
      <c r="I224" s="27"/>
      <c r="J224" s="27"/>
      <c r="K224" s="27">
        <v>200</v>
      </c>
      <c r="L224" s="27">
        <v>0.75</v>
      </c>
      <c r="M224" s="27" t="s">
        <v>66</v>
      </c>
      <c r="N224" s="46">
        <v>2</v>
      </c>
      <c r="O224" s="47">
        <v>270270</v>
      </c>
      <c r="P224" s="47">
        <f t="shared" si="3"/>
        <v>540540</v>
      </c>
      <c r="Q224" s="27" t="s">
        <v>370</v>
      </c>
    </row>
    <row r="225" spans="1:17" s="2" customFormat="1" ht="26">
      <c r="A225" s="27">
        <v>12</v>
      </c>
      <c r="B225" s="29" t="s">
        <v>79</v>
      </c>
      <c r="C225" s="29"/>
      <c r="D225" s="27" t="s">
        <v>359</v>
      </c>
      <c r="E225" s="27" t="s">
        <v>355</v>
      </c>
      <c r="F225" s="27">
        <v>600</v>
      </c>
      <c r="G225" s="27">
        <v>300</v>
      </c>
      <c r="H225" s="27"/>
      <c r="I225" s="27"/>
      <c r="J225" s="27"/>
      <c r="K225" s="27">
        <v>200</v>
      </c>
      <c r="L225" s="27">
        <v>0.75</v>
      </c>
      <c r="M225" s="27" t="s">
        <v>66</v>
      </c>
      <c r="N225" s="46">
        <v>2</v>
      </c>
      <c r="O225" s="47">
        <v>354375</v>
      </c>
      <c r="P225" s="47">
        <f t="shared" si="3"/>
        <v>708750</v>
      </c>
      <c r="Q225" s="27" t="s">
        <v>370</v>
      </c>
    </row>
    <row r="226" spans="1:17" s="2" customFormat="1" ht="26">
      <c r="A226" s="27">
        <v>13</v>
      </c>
      <c r="B226" s="29" t="s">
        <v>154</v>
      </c>
      <c r="C226" s="29"/>
      <c r="D226" s="27" t="s">
        <v>359</v>
      </c>
      <c r="E226" s="27" t="s">
        <v>355</v>
      </c>
      <c r="F226" s="27">
        <v>700</v>
      </c>
      <c r="G226" s="27">
        <v>400</v>
      </c>
      <c r="H226" s="27"/>
      <c r="I226" s="27"/>
      <c r="J226" s="27"/>
      <c r="K226" s="27">
        <v>200</v>
      </c>
      <c r="L226" s="27">
        <v>0.75</v>
      </c>
      <c r="M226" s="27" t="s">
        <v>66</v>
      </c>
      <c r="N226" s="46">
        <v>2</v>
      </c>
      <c r="O226" s="47">
        <v>378945</v>
      </c>
      <c r="P226" s="47">
        <f t="shared" si="3"/>
        <v>757890</v>
      </c>
      <c r="Q226" s="27" t="s">
        <v>370</v>
      </c>
    </row>
    <row r="227" spans="1:17" s="2" customFormat="1" ht="26">
      <c r="A227" s="27">
        <v>14</v>
      </c>
      <c r="B227" s="29" t="s">
        <v>85</v>
      </c>
      <c r="C227" s="29"/>
      <c r="D227" s="27" t="s">
        <v>359</v>
      </c>
      <c r="E227" s="27" t="s">
        <v>355</v>
      </c>
      <c r="F227" s="27">
        <v>900</v>
      </c>
      <c r="G227" s="27">
        <v>500</v>
      </c>
      <c r="H227" s="27"/>
      <c r="I227" s="27"/>
      <c r="J227" s="27"/>
      <c r="K227" s="27">
        <v>200</v>
      </c>
      <c r="L227" s="27">
        <v>0.95</v>
      </c>
      <c r="M227" s="27" t="s">
        <v>66</v>
      </c>
      <c r="N227" s="46">
        <v>3</v>
      </c>
      <c r="O227" s="47">
        <v>590625</v>
      </c>
      <c r="P227" s="47">
        <f t="shared" si="3"/>
        <v>1771875</v>
      </c>
      <c r="Q227" s="27" t="s">
        <v>370</v>
      </c>
    </row>
    <row r="228" spans="1:17" s="2" customFormat="1" ht="26">
      <c r="A228" s="27">
        <v>15</v>
      </c>
      <c r="B228" s="29" t="s">
        <v>230</v>
      </c>
      <c r="C228" s="29"/>
      <c r="D228" s="27" t="s">
        <v>359</v>
      </c>
      <c r="E228" s="27" t="s">
        <v>355</v>
      </c>
      <c r="F228" s="27">
        <v>1100</v>
      </c>
      <c r="G228" s="27">
        <v>550</v>
      </c>
      <c r="H228" s="27"/>
      <c r="I228" s="27"/>
      <c r="J228" s="27"/>
      <c r="K228" s="27">
        <v>200</v>
      </c>
      <c r="L228" s="27">
        <v>1.1499999999999999</v>
      </c>
      <c r="M228" s="27" t="s">
        <v>66</v>
      </c>
      <c r="N228" s="46">
        <v>2</v>
      </c>
      <c r="O228" s="47">
        <v>901530</v>
      </c>
      <c r="P228" s="47">
        <f t="shared" si="3"/>
        <v>1803060</v>
      </c>
      <c r="Q228" s="27" t="s">
        <v>370</v>
      </c>
    </row>
    <row r="229" spans="1:17" s="2" customFormat="1" ht="26">
      <c r="A229" s="27">
        <v>16</v>
      </c>
      <c r="B229" s="29" t="s">
        <v>231</v>
      </c>
      <c r="C229" s="29"/>
      <c r="D229" s="27" t="s">
        <v>359</v>
      </c>
      <c r="E229" s="27" t="s">
        <v>355</v>
      </c>
      <c r="F229" s="27">
        <v>1200</v>
      </c>
      <c r="G229" s="27">
        <v>550</v>
      </c>
      <c r="H229" s="27"/>
      <c r="I229" s="27"/>
      <c r="J229" s="27"/>
      <c r="K229" s="27">
        <v>200</v>
      </c>
      <c r="L229" s="27">
        <v>1.1499999999999999</v>
      </c>
      <c r="M229" s="27" t="s">
        <v>66</v>
      </c>
      <c r="N229" s="46">
        <v>1</v>
      </c>
      <c r="O229" s="47">
        <v>942165</v>
      </c>
      <c r="P229" s="47">
        <f t="shared" si="3"/>
        <v>942165</v>
      </c>
      <c r="Q229" s="27" t="s">
        <v>370</v>
      </c>
    </row>
    <row r="230" spans="1:17" s="2" customFormat="1" ht="26">
      <c r="A230" s="27">
        <v>17</v>
      </c>
      <c r="B230" s="29" t="s">
        <v>232</v>
      </c>
      <c r="C230" s="29"/>
      <c r="D230" s="27" t="s">
        <v>359</v>
      </c>
      <c r="E230" s="27" t="s">
        <v>355</v>
      </c>
      <c r="F230" s="27">
        <v>1250</v>
      </c>
      <c r="G230" s="27">
        <v>600</v>
      </c>
      <c r="H230" s="27"/>
      <c r="I230" s="27"/>
      <c r="J230" s="27"/>
      <c r="K230" s="27">
        <v>200</v>
      </c>
      <c r="L230" s="27">
        <v>1.1499999999999999</v>
      </c>
      <c r="M230" s="27" t="s">
        <v>66</v>
      </c>
      <c r="N230" s="46">
        <v>2</v>
      </c>
      <c r="O230" s="47">
        <v>995085</v>
      </c>
      <c r="P230" s="47">
        <f t="shared" si="3"/>
        <v>1990170</v>
      </c>
      <c r="Q230" s="27" t="s">
        <v>370</v>
      </c>
    </row>
    <row r="231" spans="1:17" s="2" customFormat="1" ht="26">
      <c r="A231" s="27">
        <v>18</v>
      </c>
      <c r="B231" s="29" t="s">
        <v>233</v>
      </c>
      <c r="C231" s="29"/>
      <c r="D231" s="27" t="s">
        <v>359</v>
      </c>
      <c r="E231" s="27" t="s">
        <v>355</v>
      </c>
      <c r="F231" s="27">
        <v>1300</v>
      </c>
      <c r="G231" s="27">
        <v>650</v>
      </c>
      <c r="H231" s="27"/>
      <c r="I231" s="27"/>
      <c r="J231" s="27"/>
      <c r="K231" s="27">
        <v>200</v>
      </c>
      <c r="L231" s="27">
        <v>1.1499999999999999</v>
      </c>
      <c r="M231" s="27" t="s">
        <v>66</v>
      </c>
      <c r="N231" s="46">
        <v>1</v>
      </c>
      <c r="O231" s="47">
        <v>1050840</v>
      </c>
      <c r="P231" s="47">
        <f t="shared" si="3"/>
        <v>1050840</v>
      </c>
      <c r="Q231" s="27" t="s">
        <v>370</v>
      </c>
    </row>
    <row r="232" spans="1:17" s="2" customFormat="1" ht="39">
      <c r="A232" s="27">
        <v>19</v>
      </c>
      <c r="B232" s="29" t="s">
        <v>160</v>
      </c>
      <c r="C232" s="29"/>
      <c r="D232" s="27" t="s">
        <v>361</v>
      </c>
      <c r="E232" s="27" t="s">
        <v>355</v>
      </c>
      <c r="F232" s="27">
        <v>300</v>
      </c>
      <c r="G232" s="27">
        <v>200</v>
      </c>
      <c r="H232" s="27"/>
      <c r="I232" s="27"/>
      <c r="J232" s="27"/>
      <c r="K232" s="27">
        <v>200</v>
      </c>
      <c r="L232" s="27">
        <v>1.1499999999999999</v>
      </c>
      <c r="M232" s="27" t="s">
        <v>66</v>
      </c>
      <c r="N232" s="46">
        <v>12</v>
      </c>
      <c r="O232" s="47">
        <v>1088556.7875000001</v>
      </c>
      <c r="P232" s="47">
        <f t="shared" si="3"/>
        <v>13062681.449999999</v>
      </c>
      <c r="Q232" s="27" t="s">
        <v>364</v>
      </c>
    </row>
    <row r="233" spans="1:17" s="2" customFormat="1" ht="39">
      <c r="A233" s="27">
        <v>20</v>
      </c>
      <c r="B233" s="29" t="s">
        <v>163</v>
      </c>
      <c r="C233" s="29"/>
      <c r="D233" s="27" t="s">
        <v>361</v>
      </c>
      <c r="E233" s="27" t="s">
        <v>355</v>
      </c>
      <c r="F233" s="27">
        <v>350</v>
      </c>
      <c r="G233" s="27">
        <v>300</v>
      </c>
      <c r="H233" s="27"/>
      <c r="I233" s="27"/>
      <c r="J233" s="27"/>
      <c r="K233" s="27">
        <v>200</v>
      </c>
      <c r="L233" s="27">
        <v>1.1499999999999999</v>
      </c>
      <c r="M233" s="27" t="s">
        <v>66</v>
      </c>
      <c r="N233" s="46">
        <v>3</v>
      </c>
      <c r="O233" s="47">
        <v>1611618.855</v>
      </c>
      <c r="P233" s="47">
        <f t="shared" si="3"/>
        <v>4834856.5650000004</v>
      </c>
      <c r="Q233" s="27" t="s">
        <v>364</v>
      </c>
    </row>
    <row r="234" spans="1:17" s="2" customFormat="1" ht="39">
      <c r="A234" s="27">
        <v>21</v>
      </c>
      <c r="B234" s="29" t="s">
        <v>234</v>
      </c>
      <c r="C234" s="29"/>
      <c r="D234" s="27" t="s">
        <v>361</v>
      </c>
      <c r="E234" s="27" t="s">
        <v>355</v>
      </c>
      <c r="F234" s="27">
        <v>350</v>
      </c>
      <c r="G234" s="27">
        <v>350</v>
      </c>
      <c r="H234" s="27"/>
      <c r="I234" s="27"/>
      <c r="J234" s="27"/>
      <c r="K234" s="27">
        <v>200</v>
      </c>
      <c r="L234" s="27">
        <v>1.1499999999999999</v>
      </c>
      <c r="M234" s="27" t="s">
        <v>66</v>
      </c>
      <c r="N234" s="46">
        <v>1</v>
      </c>
      <c r="O234" s="47">
        <v>1678504.2224999999</v>
      </c>
      <c r="P234" s="47">
        <f t="shared" si="3"/>
        <v>1678504.2224999999</v>
      </c>
      <c r="Q234" s="27" t="s">
        <v>364</v>
      </c>
    </row>
    <row r="235" spans="1:17" s="2" customFormat="1" ht="39">
      <c r="A235" s="27">
        <v>22</v>
      </c>
      <c r="B235" s="29" t="s">
        <v>99</v>
      </c>
      <c r="C235" s="29"/>
      <c r="D235" s="27" t="s">
        <v>361</v>
      </c>
      <c r="E235" s="27" t="s">
        <v>355</v>
      </c>
      <c r="F235" s="27">
        <v>400</v>
      </c>
      <c r="G235" s="27">
        <v>300</v>
      </c>
      <c r="H235" s="27"/>
      <c r="I235" s="27"/>
      <c r="J235" s="27"/>
      <c r="K235" s="27">
        <v>200</v>
      </c>
      <c r="L235" s="27">
        <v>1.1499999999999999</v>
      </c>
      <c r="M235" s="27" t="s">
        <v>66</v>
      </c>
      <c r="N235" s="46">
        <v>3</v>
      </c>
      <c r="O235" s="47">
        <v>1674497.2649999999</v>
      </c>
      <c r="P235" s="47">
        <f t="shared" si="3"/>
        <v>5023491.7949999999</v>
      </c>
      <c r="Q235" s="27" t="s">
        <v>364</v>
      </c>
    </row>
    <row r="236" spans="1:17" s="2" customFormat="1" ht="39">
      <c r="A236" s="27">
        <v>23</v>
      </c>
      <c r="B236" s="29" t="s">
        <v>235</v>
      </c>
      <c r="C236" s="29"/>
      <c r="D236" s="27" t="s">
        <v>361</v>
      </c>
      <c r="E236" s="27" t="s">
        <v>355</v>
      </c>
      <c r="F236" s="27">
        <v>450</v>
      </c>
      <c r="G236" s="27">
        <v>200</v>
      </c>
      <c r="H236" s="27"/>
      <c r="I236" s="27"/>
      <c r="J236" s="27"/>
      <c r="K236" s="27">
        <v>200</v>
      </c>
      <c r="L236" s="27">
        <v>1.1499999999999999</v>
      </c>
      <c r="M236" s="27" t="s">
        <v>66</v>
      </c>
      <c r="N236" s="46">
        <v>3</v>
      </c>
      <c r="O236" s="47">
        <v>1266404.0549999999</v>
      </c>
      <c r="P236" s="47">
        <f t="shared" si="3"/>
        <v>3799212.165</v>
      </c>
      <c r="Q236" s="27" t="s">
        <v>364</v>
      </c>
    </row>
    <row r="237" spans="1:17" s="2" customFormat="1" ht="39">
      <c r="A237" s="27">
        <v>24</v>
      </c>
      <c r="B237" s="29" t="s">
        <v>236</v>
      </c>
      <c r="C237" s="29"/>
      <c r="D237" s="27" t="s">
        <v>361</v>
      </c>
      <c r="E237" s="27" t="s">
        <v>355</v>
      </c>
      <c r="F237" s="27">
        <v>600</v>
      </c>
      <c r="G237" s="27">
        <v>200</v>
      </c>
      <c r="H237" s="27"/>
      <c r="I237" s="27"/>
      <c r="J237" s="27"/>
      <c r="K237" s="27">
        <v>200</v>
      </c>
      <c r="L237" s="27">
        <v>1.1499999999999999</v>
      </c>
      <c r="M237" s="27" t="s">
        <v>66</v>
      </c>
      <c r="N237" s="46">
        <v>2</v>
      </c>
      <c r="O237" s="47">
        <v>1444354.0649999999</v>
      </c>
      <c r="P237" s="47">
        <f t="shared" si="3"/>
        <v>2888708.13</v>
      </c>
      <c r="Q237" s="27" t="s">
        <v>364</v>
      </c>
    </row>
    <row r="238" spans="1:17" s="2" customFormat="1" ht="39">
      <c r="A238" s="27">
        <v>25</v>
      </c>
      <c r="B238" s="29" t="s">
        <v>103</v>
      </c>
      <c r="C238" s="29"/>
      <c r="D238" s="27" t="s">
        <v>361</v>
      </c>
      <c r="E238" s="27" t="s">
        <v>355</v>
      </c>
      <c r="F238" s="27">
        <v>600</v>
      </c>
      <c r="G238" s="27">
        <v>300</v>
      </c>
      <c r="H238" s="27"/>
      <c r="I238" s="27"/>
      <c r="J238" s="27"/>
      <c r="K238" s="27">
        <v>200</v>
      </c>
      <c r="L238" s="27">
        <v>1.1499999999999999</v>
      </c>
      <c r="M238" s="27" t="s">
        <v>66</v>
      </c>
      <c r="N238" s="46">
        <v>2</v>
      </c>
      <c r="O238" s="47">
        <v>1925702.6775</v>
      </c>
      <c r="P238" s="47">
        <f t="shared" si="3"/>
        <v>3851405.355</v>
      </c>
      <c r="Q238" s="27" t="s">
        <v>364</v>
      </c>
    </row>
    <row r="239" spans="1:17" s="2" customFormat="1" ht="39">
      <c r="A239" s="27">
        <v>26</v>
      </c>
      <c r="B239" s="29" t="s">
        <v>237</v>
      </c>
      <c r="C239" s="29"/>
      <c r="D239" s="27" t="s">
        <v>361</v>
      </c>
      <c r="E239" s="27" t="s">
        <v>355</v>
      </c>
      <c r="F239" s="27">
        <v>750</v>
      </c>
      <c r="G239" s="27">
        <v>450</v>
      </c>
      <c r="H239" s="27"/>
      <c r="I239" s="27"/>
      <c r="J239" s="27"/>
      <c r="K239" s="27">
        <v>200</v>
      </c>
      <c r="L239" s="27">
        <v>1.1499999999999999</v>
      </c>
      <c r="M239" s="27" t="s">
        <v>66</v>
      </c>
      <c r="N239" s="46">
        <v>4</v>
      </c>
      <c r="O239" s="47">
        <v>2412702.1274999999</v>
      </c>
      <c r="P239" s="47">
        <f t="shared" si="3"/>
        <v>9650808.5099999998</v>
      </c>
      <c r="Q239" s="27" t="s">
        <v>364</v>
      </c>
    </row>
    <row r="240" spans="1:17" s="2" customFormat="1" ht="39">
      <c r="A240" s="27">
        <v>27</v>
      </c>
      <c r="B240" s="29" t="s">
        <v>179</v>
      </c>
      <c r="C240" s="29"/>
      <c r="D240" s="27" t="s">
        <v>361</v>
      </c>
      <c r="E240" s="27" t="s">
        <v>355</v>
      </c>
      <c r="F240" s="27">
        <v>900</v>
      </c>
      <c r="G240" s="27">
        <v>500</v>
      </c>
      <c r="H240" s="27"/>
      <c r="I240" s="27"/>
      <c r="J240" s="27"/>
      <c r="K240" s="27">
        <v>200</v>
      </c>
      <c r="L240" s="27">
        <v>1.1499999999999999</v>
      </c>
      <c r="M240" s="27" t="s">
        <v>66</v>
      </c>
      <c r="N240" s="46">
        <v>4</v>
      </c>
      <c r="O240" s="47">
        <v>2657742.9900000002</v>
      </c>
      <c r="P240" s="47">
        <f t="shared" si="3"/>
        <v>10630971.960000001</v>
      </c>
      <c r="Q240" s="27" t="s">
        <v>364</v>
      </c>
    </row>
    <row r="241" spans="1:17" s="2" customFormat="1" ht="52">
      <c r="A241" s="27">
        <v>28</v>
      </c>
      <c r="B241" s="29" t="s">
        <v>238</v>
      </c>
      <c r="C241" s="29"/>
      <c r="D241" s="27" t="s">
        <v>361</v>
      </c>
      <c r="E241" s="27" t="s">
        <v>355</v>
      </c>
      <c r="F241" s="27">
        <v>1700</v>
      </c>
      <c r="G241" s="27">
        <v>750</v>
      </c>
      <c r="H241" s="27">
        <v>850</v>
      </c>
      <c r="I241" s="27">
        <v>750</v>
      </c>
      <c r="J241" s="27">
        <v>2</v>
      </c>
      <c r="K241" s="27">
        <v>200</v>
      </c>
      <c r="L241" s="27">
        <v>1.1499999999999999</v>
      </c>
      <c r="M241" s="27" t="s">
        <v>66</v>
      </c>
      <c r="N241" s="46">
        <v>2</v>
      </c>
      <c r="O241" s="47">
        <v>6773607.54</v>
      </c>
      <c r="P241" s="47">
        <f t="shared" si="3"/>
        <v>13547215.08</v>
      </c>
      <c r="Q241" s="27" t="s">
        <v>372</v>
      </c>
    </row>
    <row r="242" spans="1:17" s="2" customFormat="1" ht="52">
      <c r="A242" s="27">
        <v>29</v>
      </c>
      <c r="B242" s="29" t="s">
        <v>239</v>
      </c>
      <c r="C242" s="29"/>
      <c r="D242" s="27" t="s">
        <v>361</v>
      </c>
      <c r="E242" s="27" t="s">
        <v>355</v>
      </c>
      <c r="F242" s="27">
        <v>2000</v>
      </c>
      <c r="G242" s="27">
        <v>1000</v>
      </c>
      <c r="H242" s="27">
        <v>1000</v>
      </c>
      <c r="I242" s="27">
        <v>500</v>
      </c>
      <c r="J242" s="27">
        <v>4</v>
      </c>
      <c r="K242" s="27">
        <v>200</v>
      </c>
      <c r="L242" s="27">
        <v>1.1499999999999999</v>
      </c>
      <c r="M242" s="27" t="s">
        <v>66</v>
      </c>
      <c r="N242" s="46">
        <v>4</v>
      </c>
      <c r="O242" s="47">
        <v>12278961.66</v>
      </c>
      <c r="P242" s="47">
        <f t="shared" ref="P242:P305" si="4">O242*N242</f>
        <v>49115846.640000001</v>
      </c>
      <c r="Q242" s="27" t="s">
        <v>379</v>
      </c>
    </row>
    <row r="243" spans="1:17" s="2" customFormat="1" ht="21" customHeight="1">
      <c r="A243" s="25" t="s">
        <v>240</v>
      </c>
      <c r="B243" s="26" t="s">
        <v>62</v>
      </c>
      <c r="C243" s="26"/>
      <c r="D243" s="25"/>
      <c r="E243" s="25"/>
      <c r="F243" s="25"/>
      <c r="G243" s="25"/>
      <c r="H243" s="25"/>
      <c r="I243" s="25"/>
      <c r="J243" s="25"/>
      <c r="K243" s="25"/>
      <c r="L243" s="25"/>
      <c r="M243" s="25"/>
      <c r="N243" s="44"/>
      <c r="O243" s="45">
        <v>0</v>
      </c>
      <c r="P243" s="45">
        <f t="shared" si="4"/>
        <v>0</v>
      </c>
      <c r="Q243" s="25"/>
    </row>
    <row r="244" spans="1:17" s="3" customFormat="1" ht="13">
      <c r="A244" s="54"/>
      <c r="B244" s="28" t="s">
        <v>63</v>
      </c>
      <c r="C244" s="28"/>
      <c r="D244" s="54"/>
      <c r="E244" s="54"/>
      <c r="F244" s="54"/>
      <c r="G244" s="54"/>
      <c r="H244" s="54"/>
      <c r="I244" s="54"/>
      <c r="J244" s="54"/>
      <c r="K244" s="54"/>
      <c r="L244" s="54"/>
      <c r="M244" s="54"/>
      <c r="N244" s="55"/>
      <c r="O244" s="56">
        <v>0</v>
      </c>
      <c r="P244" s="56">
        <f t="shared" si="4"/>
        <v>0</v>
      </c>
      <c r="Q244" s="54"/>
    </row>
    <row r="245" spans="1:17" s="2" customFormat="1" ht="13">
      <c r="A245" s="27">
        <v>1</v>
      </c>
      <c r="B245" s="29" t="s">
        <v>241</v>
      </c>
      <c r="C245" s="29"/>
      <c r="D245" s="27" t="s">
        <v>380</v>
      </c>
      <c r="E245" s="27" t="s">
        <v>355</v>
      </c>
      <c r="F245" s="27">
        <v>300</v>
      </c>
      <c r="G245" s="27">
        <v>300</v>
      </c>
      <c r="H245" s="27"/>
      <c r="I245" s="27"/>
      <c r="J245" s="27"/>
      <c r="K245" s="27">
        <v>200</v>
      </c>
      <c r="L245" s="27">
        <v>1.1499999999999999</v>
      </c>
      <c r="M245" s="27" t="s">
        <v>66</v>
      </c>
      <c r="N245" s="46">
        <v>1</v>
      </c>
      <c r="O245" s="47">
        <v>2193206.4</v>
      </c>
      <c r="P245" s="47">
        <f t="shared" si="4"/>
        <v>2193206.4</v>
      </c>
      <c r="Q245" s="27" t="s">
        <v>381</v>
      </c>
    </row>
    <row r="246" spans="1:17" s="2" customFormat="1" ht="13">
      <c r="A246" s="27">
        <v>2</v>
      </c>
      <c r="B246" s="29" t="s">
        <v>242</v>
      </c>
      <c r="C246" s="29"/>
      <c r="D246" s="27" t="s">
        <v>380</v>
      </c>
      <c r="E246" s="27" t="s">
        <v>355</v>
      </c>
      <c r="F246" s="27">
        <v>500</v>
      </c>
      <c r="G246" s="27">
        <v>400</v>
      </c>
      <c r="H246" s="27"/>
      <c r="I246" s="27"/>
      <c r="J246" s="27"/>
      <c r="K246" s="27">
        <v>200</v>
      </c>
      <c r="L246" s="27">
        <v>1.1499999999999999</v>
      </c>
      <c r="M246" s="27" t="s">
        <v>66</v>
      </c>
      <c r="N246" s="46">
        <v>1</v>
      </c>
      <c r="O246" s="47">
        <v>2301314.4</v>
      </c>
      <c r="P246" s="47">
        <f t="shared" si="4"/>
        <v>2301314.4</v>
      </c>
      <c r="Q246" s="27" t="s">
        <v>381</v>
      </c>
    </row>
    <row r="247" spans="1:17" s="2" customFormat="1" ht="13">
      <c r="A247" s="27">
        <v>3</v>
      </c>
      <c r="B247" s="29" t="s">
        <v>243</v>
      </c>
      <c r="C247" s="29"/>
      <c r="D247" s="27" t="s">
        <v>380</v>
      </c>
      <c r="E247" s="27" t="s">
        <v>355</v>
      </c>
      <c r="F247" s="27">
        <v>550</v>
      </c>
      <c r="G247" s="27">
        <v>450</v>
      </c>
      <c r="H247" s="27"/>
      <c r="I247" s="27"/>
      <c r="J247" s="27"/>
      <c r="K247" s="27">
        <v>200</v>
      </c>
      <c r="L247" s="27">
        <v>1.1499999999999999</v>
      </c>
      <c r="M247" s="27" t="s">
        <v>66</v>
      </c>
      <c r="N247" s="46">
        <v>1</v>
      </c>
      <c r="O247" s="47">
        <v>2295031.2000000002</v>
      </c>
      <c r="P247" s="47">
        <f t="shared" si="4"/>
        <v>2295031.2000000002</v>
      </c>
      <c r="Q247" s="27" t="s">
        <v>381</v>
      </c>
    </row>
    <row r="248" spans="1:17" s="2" customFormat="1" ht="13">
      <c r="A248" s="27">
        <v>4</v>
      </c>
      <c r="B248" s="29" t="s">
        <v>244</v>
      </c>
      <c r="C248" s="29"/>
      <c r="D248" s="27" t="s">
        <v>380</v>
      </c>
      <c r="E248" s="27" t="s">
        <v>355</v>
      </c>
      <c r="F248" s="27">
        <v>600</v>
      </c>
      <c r="G248" s="27">
        <v>200</v>
      </c>
      <c r="H248" s="27"/>
      <c r="I248" s="27"/>
      <c r="J248" s="27"/>
      <c r="K248" s="27">
        <v>200</v>
      </c>
      <c r="L248" s="27">
        <v>1.1499999999999999</v>
      </c>
      <c r="M248" s="27" t="s">
        <v>66</v>
      </c>
      <c r="N248" s="46">
        <v>1</v>
      </c>
      <c r="O248" s="47">
        <v>2227764</v>
      </c>
      <c r="P248" s="47">
        <f t="shared" si="4"/>
        <v>2227764</v>
      </c>
      <c r="Q248" s="27" t="s">
        <v>381</v>
      </c>
    </row>
    <row r="249" spans="1:17" s="2" customFormat="1" ht="13">
      <c r="A249" s="27">
        <v>5</v>
      </c>
      <c r="B249" s="29" t="s">
        <v>245</v>
      </c>
      <c r="C249" s="29"/>
      <c r="D249" s="27" t="s">
        <v>380</v>
      </c>
      <c r="E249" s="27" t="s">
        <v>355</v>
      </c>
      <c r="F249" s="27">
        <v>600</v>
      </c>
      <c r="G249" s="27">
        <v>450</v>
      </c>
      <c r="H249" s="27"/>
      <c r="I249" s="27"/>
      <c r="J249" s="27"/>
      <c r="K249" s="27">
        <v>200</v>
      </c>
      <c r="L249" s="27">
        <v>1.1499999999999999</v>
      </c>
      <c r="M249" s="27" t="s">
        <v>66</v>
      </c>
      <c r="N249" s="46">
        <v>1</v>
      </c>
      <c r="O249" s="47">
        <v>2411917.2000000002</v>
      </c>
      <c r="P249" s="47">
        <f t="shared" si="4"/>
        <v>2411917.2000000002</v>
      </c>
      <c r="Q249" s="27" t="s">
        <v>381</v>
      </c>
    </row>
    <row r="250" spans="1:17" s="2" customFormat="1" ht="13">
      <c r="A250" s="27">
        <v>6</v>
      </c>
      <c r="B250" s="29" t="s">
        <v>246</v>
      </c>
      <c r="C250" s="29"/>
      <c r="D250" s="27" t="s">
        <v>380</v>
      </c>
      <c r="E250" s="27" t="s">
        <v>355</v>
      </c>
      <c r="F250" s="27">
        <v>600</v>
      </c>
      <c r="G250" s="27">
        <v>600</v>
      </c>
      <c r="H250" s="27"/>
      <c r="I250" s="27"/>
      <c r="J250" s="27"/>
      <c r="K250" s="27">
        <v>200</v>
      </c>
      <c r="L250" s="27">
        <v>1.1499999999999999</v>
      </c>
      <c r="M250" s="27" t="s">
        <v>66</v>
      </c>
      <c r="N250" s="46">
        <v>1</v>
      </c>
      <c r="O250" s="47">
        <v>2466248.4</v>
      </c>
      <c r="P250" s="47">
        <f t="shared" si="4"/>
        <v>2466248.4</v>
      </c>
      <c r="Q250" s="27" t="s">
        <v>381</v>
      </c>
    </row>
    <row r="251" spans="1:17" s="2" customFormat="1" ht="13">
      <c r="A251" s="27">
        <v>7</v>
      </c>
      <c r="B251" s="29" t="s">
        <v>247</v>
      </c>
      <c r="C251" s="29"/>
      <c r="D251" s="27" t="s">
        <v>380</v>
      </c>
      <c r="E251" s="27" t="s">
        <v>355</v>
      </c>
      <c r="F251" s="27">
        <v>650</v>
      </c>
      <c r="G251" s="27">
        <v>400</v>
      </c>
      <c r="H251" s="27"/>
      <c r="I251" s="27"/>
      <c r="J251" s="27"/>
      <c r="K251" s="27">
        <v>200</v>
      </c>
      <c r="L251" s="27">
        <v>1.1499999999999999</v>
      </c>
      <c r="M251" s="27" t="s">
        <v>66</v>
      </c>
      <c r="N251" s="46">
        <v>1</v>
      </c>
      <c r="O251" s="47">
        <v>2305934.4</v>
      </c>
      <c r="P251" s="47">
        <f t="shared" si="4"/>
        <v>2305934.4</v>
      </c>
      <c r="Q251" s="27" t="s">
        <v>381</v>
      </c>
    </row>
    <row r="252" spans="1:17" s="2" customFormat="1" ht="13">
      <c r="A252" s="27">
        <v>8</v>
      </c>
      <c r="B252" s="29" t="s">
        <v>248</v>
      </c>
      <c r="C252" s="29"/>
      <c r="D252" s="27" t="s">
        <v>380</v>
      </c>
      <c r="E252" s="27" t="s">
        <v>355</v>
      </c>
      <c r="F252" s="27">
        <v>750</v>
      </c>
      <c r="G252" s="27">
        <v>600</v>
      </c>
      <c r="H252" s="27"/>
      <c r="I252" s="27"/>
      <c r="J252" s="27"/>
      <c r="K252" s="27">
        <v>200</v>
      </c>
      <c r="L252" s="27">
        <v>1.1499999999999999</v>
      </c>
      <c r="M252" s="27" t="s">
        <v>66</v>
      </c>
      <c r="N252" s="46">
        <v>1</v>
      </c>
      <c r="O252" s="47">
        <v>2520579.6</v>
      </c>
      <c r="P252" s="47">
        <f t="shared" si="4"/>
        <v>2520579.6</v>
      </c>
      <c r="Q252" s="27" t="s">
        <v>381</v>
      </c>
    </row>
    <row r="253" spans="1:17" s="2" customFormat="1" ht="26">
      <c r="A253" s="27">
        <v>9</v>
      </c>
      <c r="B253" s="29" t="s">
        <v>249</v>
      </c>
      <c r="C253" s="29"/>
      <c r="D253" s="27" t="s">
        <v>380</v>
      </c>
      <c r="E253" s="27" t="s">
        <v>355</v>
      </c>
      <c r="F253" s="27">
        <v>500</v>
      </c>
      <c r="G253" s="27">
        <v>500</v>
      </c>
      <c r="H253" s="27"/>
      <c r="I253" s="27"/>
      <c r="J253" s="27"/>
      <c r="K253" s="27">
        <v>200</v>
      </c>
      <c r="L253" s="27">
        <v>1.1499999999999999</v>
      </c>
      <c r="M253" s="27" t="s">
        <v>66</v>
      </c>
      <c r="N253" s="46">
        <v>2</v>
      </c>
      <c r="O253" s="47">
        <v>2396763.6</v>
      </c>
      <c r="P253" s="47">
        <f t="shared" si="4"/>
        <v>4793527.2</v>
      </c>
      <c r="Q253" s="27" t="s">
        <v>382</v>
      </c>
    </row>
    <row r="254" spans="1:17" s="2" customFormat="1" ht="26">
      <c r="A254" s="27">
        <v>10</v>
      </c>
      <c r="B254" s="29" t="s">
        <v>250</v>
      </c>
      <c r="C254" s="29"/>
      <c r="D254" s="27" t="s">
        <v>380</v>
      </c>
      <c r="E254" s="27" t="s">
        <v>355</v>
      </c>
      <c r="F254" s="27">
        <v>700</v>
      </c>
      <c r="G254" s="27">
        <v>700</v>
      </c>
      <c r="H254" s="27"/>
      <c r="I254" s="27"/>
      <c r="J254" s="27"/>
      <c r="K254" s="27">
        <v>200</v>
      </c>
      <c r="L254" s="27">
        <v>1.1499999999999999</v>
      </c>
      <c r="M254" s="27" t="s">
        <v>66</v>
      </c>
      <c r="N254" s="46">
        <v>6</v>
      </c>
      <c r="O254" s="47">
        <v>2584058.4</v>
      </c>
      <c r="P254" s="47">
        <f t="shared" si="4"/>
        <v>15504350.4</v>
      </c>
      <c r="Q254" s="27" t="s">
        <v>383</v>
      </c>
    </row>
    <row r="255" spans="1:17" s="2" customFormat="1" ht="26">
      <c r="A255" s="27">
        <v>11</v>
      </c>
      <c r="B255" s="29" t="s">
        <v>251</v>
      </c>
      <c r="C255" s="29"/>
      <c r="D255" s="27" t="s">
        <v>380</v>
      </c>
      <c r="E255" s="27" t="s">
        <v>355</v>
      </c>
      <c r="F255" s="27">
        <v>800</v>
      </c>
      <c r="G255" s="27">
        <v>800</v>
      </c>
      <c r="H255" s="27"/>
      <c r="I255" s="27"/>
      <c r="J255" s="27"/>
      <c r="K255" s="27">
        <v>200</v>
      </c>
      <c r="L255" s="27">
        <v>1.1499999999999999</v>
      </c>
      <c r="M255" s="27" t="s">
        <v>66</v>
      </c>
      <c r="N255" s="46">
        <v>12</v>
      </c>
      <c r="O255" s="47">
        <v>2665555.2000000002</v>
      </c>
      <c r="P255" s="47">
        <f t="shared" si="4"/>
        <v>31986662.399999999</v>
      </c>
      <c r="Q255" s="27" t="s">
        <v>384</v>
      </c>
    </row>
    <row r="256" spans="1:17" s="2" customFormat="1" ht="52">
      <c r="A256" s="27">
        <v>13</v>
      </c>
      <c r="B256" s="29" t="s">
        <v>252</v>
      </c>
      <c r="C256" s="29"/>
      <c r="D256" s="27" t="s">
        <v>421</v>
      </c>
      <c r="E256" s="27" t="s">
        <v>355</v>
      </c>
      <c r="F256" s="27">
        <v>150</v>
      </c>
      <c r="G256" s="27">
        <v>150</v>
      </c>
      <c r="H256" s="27"/>
      <c r="I256" s="27"/>
      <c r="J256" s="27"/>
      <c r="K256" s="27">
        <v>200</v>
      </c>
      <c r="L256" s="27">
        <v>1.1499999999999999</v>
      </c>
      <c r="M256" s="27" t="s">
        <v>66</v>
      </c>
      <c r="N256" s="46">
        <v>102</v>
      </c>
      <c r="O256" s="47">
        <v>4314051.5880000005</v>
      </c>
      <c r="P256" s="47">
        <f t="shared" si="4"/>
        <v>440033261.97600001</v>
      </c>
      <c r="Q256" s="27" t="s">
        <v>422</v>
      </c>
    </row>
    <row r="257" spans="1:17" s="2" customFormat="1" ht="65">
      <c r="A257" s="27">
        <v>15</v>
      </c>
      <c r="B257" s="29" t="s">
        <v>253</v>
      </c>
      <c r="C257" s="29"/>
      <c r="D257" s="27" t="s">
        <v>421</v>
      </c>
      <c r="E257" s="27" t="s">
        <v>355</v>
      </c>
      <c r="F257" s="30">
        <v>200</v>
      </c>
      <c r="G257" s="30">
        <v>150</v>
      </c>
      <c r="H257" s="27"/>
      <c r="I257" s="27"/>
      <c r="J257" s="27"/>
      <c r="K257" s="27">
        <v>200</v>
      </c>
      <c r="L257" s="27">
        <v>1.1499999999999999</v>
      </c>
      <c r="M257" s="27" t="s">
        <v>66</v>
      </c>
      <c r="N257" s="46">
        <v>1</v>
      </c>
      <c r="O257" s="47">
        <v>4364968.608</v>
      </c>
      <c r="P257" s="47">
        <f t="shared" si="4"/>
        <v>4364968.608</v>
      </c>
      <c r="Q257" s="27" t="s">
        <v>423</v>
      </c>
    </row>
    <row r="258" spans="1:17" s="2" customFormat="1" ht="65">
      <c r="A258" s="27">
        <v>16</v>
      </c>
      <c r="B258" s="29" t="s">
        <v>254</v>
      </c>
      <c r="C258" s="29"/>
      <c r="D258" s="27" t="s">
        <v>421</v>
      </c>
      <c r="E258" s="27" t="s">
        <v>355</v>
      </c>
      <c r="F258" s="30">
        <v>200</v>
      </c>
      <c r="G258" s="30">
        <v>150</v>
      </c>
      <c r="H258" s="27"/>
      <c r="I258" s="27"/>
      <c r="J258" s="27"/>
      <c r="K258" s="27">
        <v>200</v>
      </c>
      <c r="L258" s="27">
        <v>1.1499999999999999</v>
      </c>
      <c r="M258" s="27" t="s">
        <v>66</v>
      </c>
      <c r="N258" s="46">
        <v>1</v>
      </c>
      <c r="O258" s="47">
        <v>4364968.608</v>
      </c>
      <c r="P258" s="47">
        <f t="shared" si="4"/>
        <v>4364968.608</v>
      </c>
      <c r="Q258" s="27" t="s">
        <v>423</v>
      </c>
    </row>
    <row r="259" spans="1:17" s="2" customFormat="1" ht="65">
      <c r="A259" s="27">
        <v>17</v>
      </c>
      <c r="B259" s="29" t="s">
        <v>255</v>
      </c>
      <c r="C259" s="29"/>
      <c r="D259" s="27" t="s">
        <v>421</v>
      </c>
      <c r="E259" s="27" t="s">
        <v>355</v>
      </c>
      <c r="F259" s="30">
        <v>200</v>
      </c>
      <c r="G259" s="30">
        <v>150</v>
      </c>
      <c r="H259" s="27"/>
      <c r="I259" s="27"/>
      <c r="J259" s="27"/>
      <c r="K259" s="27">
        <v>200</v>
      </c>
      <c r="L259" s="27">
        <v>1.1499999999999999</v>
      </c>
      <c r="M259" s="27" t="s">
        <v>66</v>
      </c>
      <c r="N259" s="46">
        <v>45</v>
      </c>
      <c r="O259" s="47">
        <v>4364968.608</v>
      </c>
      <c r="P259" s="47">
        <f t="shared" si="4"/>
        <v>196423587.36000001</v>
      </c>
      <c r="Q259" s="27" t="s">
        <v>423</v>
      </c>
    </row>
    <row r="260" spans="1:17" s="2" customFormat="1" ht="52">
      <c r="A260" s="27">
        <v>18</v>
      </c>
      <c r="B260" s="29" t="s">
        <v>256</v>
      </c>
      <c r="C260" s="29"/>
      <c r="D260" s="27" t="s">
        <v>421</v>
      </c>
      <c r="E260" s="27" t="s">
        <v>355</v>
      </c>
      <c r="F260" s="27">
        <v>200</v>
      </c>
      <c r="G260" s="27">
        <v>200</v>
      </c>
      <c r="H260" s="27"/>
      <c r="I260" s="27"/>
      <c r="J260" s="27"/>
      <c r="K260" s="27">
        <v>200</v>
      </c>
      <c r="L260" s="27">
        <v>1.1499999999999999</v>
      </c>
      <c r="M260" s="27" t="s">
        <v>66</v>
      </c>
      <c r="N260" s="46">
        <v>26</v>
      </c>
      <c r="O260" s="47">
        <v>4419882.852</v>
      </c>
      <c r="P260" s="47">
        <f t="shared" si="4"/>
        <v>114916954.152</v>
      </c>
      <c r="Q260" s="27" t="s">
        <v>422</v>
      </c>
    </row>
    <row r="261" spans="1:17" s="2" customFormat="1" ht="52">
      <c r="A261" s="27">
        <v>19</v>
      </c>
      <c r="B261" s="29" t="s">
        <v>257</v>
      </c>
      <c r="C261" s="29"/>
      <c r="D261" s="27" t="s">
        <v>421</v>
      </c>
      <c r="E261" s="27" t="s">
        <v>355</v>
      </c>
      <c r="F261" s="27">
        <v>300</v>
      </c>
      <c r="G261" s="27">
        <v>300</v>
      </c>
      <c r="H261" s="27"/>
      <c r="I261" s="27"/>
      <c r="J261" s="27"/>
      <c r="K261" s="27">
        <v>200</v>
      </c>
      <c r="L261" s="27">
        <v>1.1499999999999999</v>
      </c>
      <c r="M261" s="27" t="s">
        <v>66</v>
      </c>
      <c r="N261" s="46">
        <v>1</v>
      </c>
      <c r="O261" s="47">
        <v>5437967.0469798697</v>
      </c>
      <c r="P261" s="47">
        <f t="shared" si="4"/>
        <v>5437967.0469798697</v>
      </c>
      <c r="Q261" s="27" t="s">
        <v>424</v>
      </c>
    </row>
    <row r="262" spans="1:17" s="2" customFormat="1" ht="65">
      <c r="A262" s="27">
        <v>20</v>
      </c>
      <c r="B262" s="29" t="s">
        <v>258</v>
      </c>
      <c r="C262" s="29"/>
      <c r="D262" s="27" t="s">
        <v>421</v>
      </c>
      <c r="E262" s="27" t="s">
        <v>355</v>
      </c>
      <c r="F262" s="27">
        <v>500</v>
      </c>
      <c r="G262" s="27">
        <v>400</v>
      </c>
      <c r="H262" s="27"/>
      <c r="I262" s="27"/>
      <c r="J262" s="27"/>
      <c r="K262" s="27">
        <v>200</v>
      </c>
      <c r="L262" s="27">
        <v>1.1499999999999999</v>
      </c>
      <c r="M262" s="27" t="s">
        <v>66</v>
      </c>
      <c r="N262" s="46">
        <v>1</v>
      </c>
      <c r="O262" s="47">
        <v>6228567.7315436201</v>
      </c>
      <c r="P262" s="47">
        <f t="shared" si="4"/>
        <v>6228567.7315436201</v>
      </c>
      <c r="Q262" s="27" t="s">
        <v>425</v>
      </c>
    </row>
    <row r="263" spans="1:17" s="2" customFormat="1" ht="65">
      <c r="A263" s="27">
        <v>21</v>
      </c>
      <c r="B263" s="29" t="s">
        <v>259</v>
      </c>
      <c r="C263" s="29"/>
      <c r="D263" s="27" t="s">
        <v>421</v>
      </c>
      <c r="E263" s="27" t="s">
        <v>355</v>
      </c>
      <c r="F263" s="27">
        <v>550</v>
      </c>
      <c r="G263" s="27">
        <v>450</v>
      </c>
      <c r="H263" s="27"/>
      <c r="I263" s="27"/>
      <c r="J263" s="27"/>
      <c r="K263" s="27">
        <v>200</v>
      </c>
      <c r="L263" s="27">
        <v>1.1499999999999999</v>
      </c>
      <c r="M263" s="27" t="s">
        <v>66</v>
      </c>
      <c r="N263" s="46">
        <v>1</v>
      </c>
      <c r="O263" s="47">
        <v>6396253.79865772</v>
      </c>
      <c r="P263" s="47">
        <f t="shared" si="4"/>
        <v>6396253.79865772</v>
      </c>
      <c r="Q263" s="27" t="s">
        <v>425</v>
      </c>
    </row>
    <row r="264" spans="1:17" s="2" customFormat="1" ht="52">
      <c r="A264" s="27">
        <v>22</v>
      </c>
      <c r="B264" s="29" t="s">
        <v>260</v>
      </c>
      <c r="C264" s="29"/>
      <c r="D264" s="27" t="s">
        <v>421</v>
      </c>
      <c r="E264" s="27" t="s">
        <v>355</v>
      </c>
      <c r="F264" s="27">
        <v>600</v>
      </c>
      <c r="G264" s="27">
        <v>200</v>
      </c>
      <c r="H264" s="27"/>
      <c r="I264" s="27"/>
      <c r="J264" s="27"/>
      <c r="K264" s="27">
        <v>200</v>
      </c>
      <c r="L264" s="27">
        <v>1.1499999999999999</v>
      </c>
      <c r="M264" s="27" t="s">
        <v>66</v>
      </c>
      <c r="N264" s="46">
        <v>2</v>
      </c>
      <c r="O264" s="47">
        <v>4859291.9759999998</v>
      </c>
      <c r="P264" s="47">
        <f t="shared" si="4"/>
        <v>9718583.9519999996</v>
      </c>
      <c r="Q264" s="27" t="s">
        <v>422</v>
      </c>
    </row>
    <row r="265" spans="1:17" s="2" customFormat="1" ht="65">
      <c r="A265" s="27">
        <v>23</v>
      </c>
      <c r="B265" s="29" t="s">
        <v>261</v>
      </c>
      <c r="C265" s="29"/>
      <c r="D265" s="27" t="s">
        <v>421</v>
      </c>
      <c r="E265" s="27" t="s">
        <v>355</v>
      </c>
      <c r="F265" s="27">
        <v>600</v>
      </c>
      <c r="G265" s="27">
        <v>450</v>
      </c>
      <c r="H265" s="27"/>
      <c r="I265" s="27"/>
      <c r="J265" s="27"/>
      <c r="K265" s="27">
        <v>200</v>
      </c>
      <c r="L265" s="27">
        <v>1.1499999999999999</v>
      </c>
      <c r="M265" s="27" t="s">
        <v>66</v>
      </c>
      <c r="N265" s="46">
        <v>3</v>
      </c>
      <c r="O265" s="47">
        <v>6710926.3033557003</v>
      </c>
      <c r="P265" s="47">
        <f t="shared" si="4"/>
        <v>20132778.9100671</v>
      </c>
      <c r="Q265" s="27" t="s">
        <v>425</v>
      </c>
    </row>
    <row r="266" spans="1:17" s="2" customFormat="1" ht="65">
      <c r="A266" s="27">
        <v>24</v>
      </c>
      <c r="B266" s="29" t="s">
        <v>262</v>
      </c>
      <c r="C266" s="29"/>
      <c r="D266" s="27" t="s">
        <v>421</v>
      </c>
      <c r="E266" s="27" t="s">
        <v>355</v>
      </c>
      <c r="F266" s="27">
        <v>600</v>
      </c>
      <c r="G266" s="27">
        <v>600</v>
      </c>
      <c r="H266" s="27"/>
      <c r="I266" s="27"/>
      <c r="J266" s="27"/>
      <c r="K266" s="27">
        <v>200</v>
      </c>
      <c r="L266" s="27">
        <v>1.1499999999999999</v>
      </c>
      <c r="M266" s="27" t="s">
        <v>66</v>
      </c>
      <c r="N266" s="46">
        <v>1</v>
      </c>
      <c r="O266" s="47">
        <v>7838870.0563758397</v>
      </c>
      <c r="P266" s="47">
        <f t="shared" si="4"/>
        <v>7838870.0563758397</v>
      </c>
      <c r="Q266" s="27" t="s">
        <v>425</v>
      </c>
    </row>
    <row r="267" spans="1:17" s="2" customFormat="1" ht="65">
      <c r="A267" s="27">
        <v>25</v>
      </c>
      <c r="B267" s="29" t="s">
        <v>263</v>
      </c>
      <c r="C267" s="29"/>
      <c r="D267" s="27" t="s">
        <v>421</v>
      </c>
      <c r="E267" s="27" t="s">
        <v>355</v>
      </c>
      <c r="F267" s="27">
        <v>750</v>
      </c>
      <c r="G267" s="27">
        <v>600</v>
      </c>
      <c r="H267" s="27"/>
      <c r="I267" s="27"/>
      <c r="J267" s="27"/>
      <c r="K267" s="27">
        <v>200</v>
      </c>
      <c r="L267" s="27">
        <v>1.1499999999999999</v>
      </c>
      <c r="M267" s="27" t="s">
        <v>66</v>
      </c>
      <c r="N267" s="46">
        <v>2</v>
      </c>
      <c r="O267" s="47">
        <v>8100000</v>
      </c>
      <c r="P267" s="47">
        <f t="shared" si="4"/>
        <v>16200000</v>
      </c>
      <c r="Q267" s="27" t="s">
        <v>425</v>
      </c>
    </row>
    <row r="268" spans="1:17" s="2" customFormat="1" ht="65">
      <c r="A268" s="27">
        <v>26</v>
      </c>
      <c r="B268" s="29" t="s">
        <v>264</v>
      </c>
      <c r="C268" s="29"/>
      <c r="D268" s="27" t="s">
        <v>421</v>
      </c>
      <c r="E268" s="27" t="s">
        <v>355</v>
      </c>
      <c r="F268" s="27">
        <v>800</v>
      </c>
      <c r="G268" s="27">
        <v>700</v>
      </c>
      <c r="H268" s="27"/>
      <c r="I268" s="27"/>
      <c r="J268" s="27"/>
      <c r="K268" s="27">
        <v>200</v>
      </c>
      <c r="L268" s="27">
        <v>1.1499999999999999</v>
      </c>
      <c r="M268" s="27" t="s">
        <v>66</v>
      </c>
      <c r="N268" s="46">
        <v>6</v>
      </c>
      <c r="O268" s="59">
        <v>8600000</v>
      </c>
      <c r="P268" s="47">
        <f t="shared" si="4"/>
        <v>51600000</v>
      </c>
      <c r="Q268" s="27" t="s">
        <v>425</v>
      </c>
    </row>
    <row r="269" spans="1:17" s="2" customFormat="1" ht="52">
      <c r="A269" s="27">
        <v>27</v>
      </c>
      <c r="B269" s="29" t="s">
        <v>265</v>
      </c>
      <c r="C269" s="29"/>
      <c r="D269" s="27" t="s">
        <v>421</v>
      </c>
      <c r="E269" s="27" t="s">
        <v>355</v>
      </c>
      <c r="F269" s="27">
        <v>900</v>
      </c>
      <c r="G269" s="27">
        <v>300</v>
      </c>
      <c r="H269" s="27"/>
      <c r="I269" s="27"/>
      <c r="J269" s="27"/>
      <c r="K269" s="27">
        <v>200</v>
      </c>
      <c r="L269" s="27">
        <v>1.1499999999999999</v>
      </c>
      <c r="M269" s="27" t="s">
        <v>66</v>
      </c>
      <c r="N269" s="46">
        <v>1</v>
      </c>
      <c r="O269" s="59">
        <v>5654358.8640000001</v>
      </c>
      <c r="P269" s="47">
        <f t="shared" si="4"/>
        <v>5654358.8640000001</v>
      </c>
      <c r="Q269" s="27" t="s">
        <v>424</v>
      </c>
    </row>
    <row r="270" spans="1:17" s="2" customFormat="1" ht="52">
      <c r="A270" s="27">
        <v>28</v>
      </c>
      <c r="B270" s="29" t="s">
        <v>266</v>
      </c>
      <c r="C270" s="29"/>
      <c r="D270" s="27" t="s">
        <v>421</v>
      </c>
      <c r="E270" s="27" t="s">
        <v>355</v>
      </c>
      <c r="F270" s="27">
        <v>900</v>
      </c>
      <c r="G270" s="27">
        <v>200</v>
      </c>
      <c r="H270" s="27"/>
      <c r="I270" s="27"/>
      <c r="J270" s="27"/>
      <c r="K270" s="27">
        <v>200</v>
      </c>
      <c r="L270" s="27">
        <v>1.1499999999999999</v>
      </c>
      <c r="M270" s="27" t="s">
        <v>66</v>
      </c>
      <c r="N270" s="46">
        <v>1</v>
      </c>
      <c r="O270" s="47">
        <v>5188967.784</v>
      </c>
      <c r="P270" s="47">
        <f t="shared" si="4"/>
        <v>5188967.784</v>
      </c>
      <c r="Q270" s="27" t="s">
        <v>422</v>
      </c>
    </row>
    <row r="271" spans="1:17" s="2" customFormat="1" ht="52">
      <c r="A271" s="27">
        <v>29</v>
      </c>
      <c r="B271" s="29" t="s">
        <v>267</v>
      </c>
      <c r="C271" s="29"/>
      <c r="D271" s="27" t="s">
        <v>421</v>
      </c>
      <c r="E271" s="27" t="s">
        <v>355</v>
      </c>
      <c r="F271" s="27">
        <v>900</v>
      </c>
      <c r="G271" s="27">
        <v>200</v>
      </c>
      <c r="H271" s="27"/>
      <c r="I271" s="27"/>
      <c r="J271" s="27"/>
      <c r="K271" s="27">
        <v>200</v>
      </c>
      <c r="L271" s="27">
        <v>1.1499999999999999</v>
      </c>
      <c r="M271" s="27" t="s">
        <v>66</v>
      </c>
      <c r="N271" s="46">
        <v>1</v>
      </c>
      <c r="O271" s="47">
        <v>5188967.784</v>
      </c>
      <c r="P271" s="47">
        <f t="shared" si="4"/>
        <v>5188967.784</v>
      </c>
      <c r="Q271" s="27" t="s">
        <v>422</v>
      </c>
    </row>
    <row r="272" spans="1:17" s="2" customFormat="1" ht="65">
      <c r="A272" s="27">
        <v>30</v>
      </c>
      <c r="B272" s="29" t="s">
        <v>268</v>
      </c>
      <c r="C272" s="29"/>
      <c r="D272" s="27" t="s">
        <v>421</v>
      </c>
      <c r="E272" s="27" t="s">
        <v>355</v>
      </c>
      <c r="F272" s="27">
        <v>1000</v>
      </c>
      <c r="G272" s="27">
        <v>600</v>
      </c>
      <c r="H272" s="27"/>
      <c r="I272" s="27"/>
      <c r="J272" s="27"/>
      <c r="K272" s="27">
        <v>200</v>
      </c>
      <c r="L272" s="27">
        <v>1.1499999999999999</v>
      </c>
      <c r="M272" s="27" t="s">
        <v>66</v>
      </c>
      <c r="N272" s="46">
        <v>11</v>
      </c>
      <c r="O272" s="47">
        <v>7877614.8528000005</v>
      </c>
      <c r="P272" s="47">
        <f t="shared" si="4"/>
        <v>86653763.380799994</v>
      </c>
      <c r="Q272" s="27" t="s">
        <v>425</v>
      </c>
    </row>
    <row r="273" spans="1:17" s="2" customFormat="1" ht="65">
      <c r="A273" s="27">
        <v>31</v>
      </c>
      <c r="B273" s="29" t="s">
        <v>269</v>
      </c>
      <c r="C273" s="29"/>
      <c r="D273" s="27" t="s">
        <v>421</v>
      </c>
      <c r="E273" s="27" t="s">
        <v>355</v>
      </c>
      <c r="F273" s="27">
        <v>1000</v>
      </c>
      <c r="G273" s="27">
        <v>800</v>
      </c>
      <c r="H273" s="27"/>
      <c r="I273" s="27"/>
      <c r="J273" s="27"/>
      <c r="K273" s="27">
        <v>200</v>
      </c>
      <c r="L273" s="27">
        <v>1.1499999999999999</v>
      </c>
      <c r="M273" s="27" t="s">
        <v>66</v>
      </c>
      <c r="N273" s="46">
        <v>1</v>
      </c>
      <c r="O273" s="47">
        <v>8539555.1471999995</v>
      </c>
      <c r="P273" s="47">
        <f t="shared" si="4"/>
        <v>8539555.1471999995</v>
      </c>
      <c r="Q273" s="27" t="s">
        <v>425</v>
      </c>
    </row>
    <row r="274" spans="1:17" s="2" customFormat="1" ht="65">
      <c r="A274" s="27">
        <v>32</v>
      </c>
      <c r="B274" s="29" t="s">
        <v>270</v>
      </c>
      <c r="C274" s="29"/>
      <c r="D274" s="27" t="s">
        <v>421</v>
      </c>
      <c r="E274" s="27" t="s">
        <v>355</v>
      </c>
      <c r="F274" s="27">
        <v>1000</v>
      </c>
      <c r="G274" s="27">
        <v>800</v>
      </c>
      <c r="H274" s="27"/>
      <c r="I274" s="27"/>
      <c r="J274" s="27"/>
      <c r="K274" s="27">
        <v>200</v>
      </c>
      <c r="L274" s="27">
        <v>1.1499999999999999</v>
      </c>
      <c r="M274" s="27" t="s">
        <v>66</v>
      </c>
      <c r="N274" s="46">
        <v>1</v>
      </c>
      <c r="O274" s="47">
        <v>8539555.1471999995</v>
      </c>
      <c r="P274" s="47">
        <f t="shared" si="4"/>
        <v>8539555.1471999995</v>
      </c>
      <c r="Q274" s="27" t="s">
        <v>425</v>
      </c>
    </row>
    <row r="275" spans="1:17" s="2" customFormat="1" ht="13">
      <c r="A275" s="27"/>
      <c r="B275" s="29" t="s">
        <v>116</v>
      </c>
      <c r="C275" s="29"/>
      <c r="D275" s="27"/>
      <c r="E275" s="27"/>
      <c r="F275" s="27"/>
      <c r="G275" s="27"/>
      <c r="H275" s="27"/>
      <c r="I275" s="27"/>
      <c r="J275" s="27"/>
      <c r="K275" s="27"/>
      <c r="L275" s="27"/>
      <c r="M275" s="27"/>
      <c r="N275" s="46"/>
      <c r="O275" s="47">
        <v>0</v>
      </c>
      <c r="P275" s="47">
        <f t="shared" si="4"/>
        <v>0</v>
      </c>
      <c r="Q275" s="27"/>
    </row>
    <row r="276" spans="1:17" s="2" customFormat="1" ht="13">
      <c r="A276" s="27">
        <v>1</v>
      </c>
      <c r="B276" s="29" t="s">
        <v>271</v>
      </c>
      <c r="C276" s="29"/>
      <c r="D276" s="27" t="s">
        <v>375</v>
      </c>
      <c r="E276" s="27" t="s">
        <v>355</v>
      </c>
      <c r="F276" s="27">
        <v>450</v>
      </c>
      <c r="G276" s="27">
        <v>450</v>
      </c>
      <c r="H276" s="27">
        <v>400</v>
      </c>
      <c r="I276" s="27">
        <v>400</v>
      </c>
      <c r="J276" s="27"/>
      <c r="K276" s="27"/>
      <c r="L276" s="27"/>
      <c r="M276" s="27" t="s">
        <v>66</v>
      </c>
      <c r="N276" s="46">
        <v>1</v>
      </c>
      <c r="O276" s="47">
        <v>341250</v>
      </c>
      <c r="P276" s="47">
        <f t="shared" si="4"/>
        <v>341250</v>
      </c>
      <c r="Q276" s="27" t="s">
        <v>376</v>
      </c>
    </row>
    <row r="277" spans="1:17" s="2" customFormat="1" ht="13">
      <c r="A277" s="27">
        <v>2</v>
      </c>
      <c r="B277" s="29" t="s">
        <v>272</v>
      </c>
      <c r="C277" s="29"/>
      <c r="D277" s="27" t="s">
        <v>375</v>
      </c>
      <c r="E277" s="27" t="s">
        <v>355</v>
      </c>
      <c r="F277" s="27">
        <v>600</v>
      </c>
      <c r="G277" s="27">
        <v>600</v>
      </c>
      <c r="H277" s="27">
        <v>550</v>
      </c>
      <c r="I277" s="27">
        <v>550</v>
      </c>
      <c r="J277" s="27"/>
      <c r="K277" s="27"/>
      <c r="L277" s="27"/>
      <c r="M277" s="27" t="s">
        <v>66</v>
      </c>
      <c r="N277" s="46">
        <v>95</v>
      </c>
      <c r="O277" s="47">
        <v>558600</v>
      </c>
      <c r="P277" s="47">
        <f t="shared" si="4"/>
        <v>53067000</v>
      </c>
      <c r="Q277" s="27" t="s">
        <v>376</v>
      </c>
    </row>
    <row r="278" spans="1:17" s="2" customFormat="1" ht="13">
      <c r="A278" s="27">
        <v>3</v>
      </c>
      <c r="B278" s="29" t="s">
        <v>272</v>
      </c>
      <c r="C278" s="29"/>
      <c r="D278" s="27" t="s">
        <v>375</v>
      </c>
      <c r="E278" s="27" t="s">
        <v>355</v>
      </c>
      <c r="F278" s="27">
        <v>600</v>
      </c>
      <c r="G278" s="27">
        <v>600</v>
      </c>
      <c r="H278" s="27">
        <v>550</v>
      </c>
      <c r="I278" s="27">
        <v>550</v>
      </c>
      <c r="J278" s="27"/>
      <c r="K278" s="27"/>
      <c r="L278" s="27"/>
      <c r="M278" s="27" t="s">
        <v>66</v>
      </c>
      <c r="N278" s="46">
        <v>77</v>
      </c>
      <c r="O278" s="47">
        <v>558600</v>
      </c>
      <c r="P278" s="47">
        <f t="shared" si="4"/>
        <v>43012200</v>
      </c>
      <c r="Q278" s="27" t="s">
        <v>376</v>
      </c>
    </row>
    <row r="279" spans="1:17" s="2" customFormat="1" ht="13">
      <c r="A279" s="27">
        <v>4</v>
      </c>
      <c r="B279" s="29" t="s">
        <v>272</v>
      </c>
      <c r="C279" s="29"/>
      <c r="D279" s="27" t="s">
        <v>375</v>
      </c>
      <c r="E279" s="27" t="s">
        <v>355</v>
      </c>
      <c r="F279" s="27">
        <v>600</v>
      </c>
      <c r="G279" s="27">
        <v>600</v>
      </c>
      <c r="H279" s="27">
        <v>550</v>
      </c>
      <c r="I279" s="27">
        <v>550</v>
      </c>
      <c r="J279" s="27"/>
      <c r="K279" s="27"/>
      <c r="L279" s="27"/>
      <c r="M279" s="27" t="s">
        <v>66</v>
      </c>
      <c r="N279" s="46">
        <v>24</v>
      </c>
      <c r="O279" s="47">
        <v>558600</v>
      </c>
      <c r="P279" s="47">
        <f t="shared" si="4"/>
        <v>13406400</v>
      </c>
      <c r="Q279" s="27" t="s">
        <v>376</v>
      </c>
    </row>
    <row r="280" spans="1:17" s="2" customFormat="1" ht="13">
      <c r="A280" s="27">
        <v>5</v>
      </c>
      <c r="B280" s="29" t="s">
        <v>272</v>
      </c>
      <c r="C280" s="29"/>
      <c r="D280" s="27" t="s">
        <v>375</v>
      </c>
      <c r="E280" s="27" t="s">
        <v>355</v>
      </c>
      <c r="F280" s="27">
        <v>600</v>
      </c>
      <c r="G280" s="27">
        <v>600</v>
      </c>
      <c r="H280" s="27">
        <v>550</v>
      </c>
      <c r="I280" s="27">
        <v>550</v>
      </c>
      <c r="J280" s="27"/>
      <c r="K280" s="27"/>
      <c r="L280" s="27"/>
      <c r="M280" s="27" t="s">
        <v>66</v>
      </c>
      <c r="N280" s="46">
        <v>26</v>
      </c>
      <c r="O280" s="47">
        <v>558600</v>
      </c>
      <c r="P280" s="47">
        <f t="shared" si="4"/>
        <v>14523600</v>
      </c>
      <c r="Q280" s="27" t="s">
        <v>376</v>
      </c>
    </row>
    <row r="281" spans="1:17" s="2" customFormat="1" ht="26">
      <c r="A281" s="27">
        <v>6</v>
      </c>
      <c r="B281" s="29" t="s">
        <v>273</v>
      </c>
      <c r="C281" s="29"/>
      <c r="D281" s="27" t="s">
        <v>389</v>
      </c>
      <c r="E281" s="27" t="s">
        <v>355</v>
      </c>
      <c r="F281" s="27">
        <v>1400</v>
      </c>
      <c r="G281" s="27">
        <v>350</v>
      </c>
      <c r="H281" s="27">
        <v>1350</v>
      </c>
      <c r="I281" s="27">
        <v>300</v>
      </c>
      <c r="J281" s="27"/>
      <c r="K281" s="27"/>
      <c r="L281" s="27"/>
      <c r="M281" s="27" t="s">
        <v>66</v>
      </c>
      <c r="N281" s="46">
        <v>1</v>
      </c>
      <c r="O281" s="47">
        <v>670740</v>
      </c>
      <c r="P281" s="47">
        <f t="shared" si="4"/>
        <v>670740</v>
      </c>
      <c r="Q281" s="27" t="s">
        <v>390</v>
      </c>
    </row>
    <row r="282" spans="1:17" s="2" customFormat="1" ht="26">
      <c r="A282" s="27">
        <v>7</v>
      </c>
      <c r="B282" s="29" t="s">
        <v>274</v>
      </c>
      <c r="C282" s="29"/>
      <c r="D282" s="27" t="s">
        <v>389</v>
      </c>
      <c r="E282" s="27" t="s">
        <v>355</v>
      </c>
      <c r="F282" s="27">
        <v>1600</v>
      </c>
      <c r="G282" s="27">
        <v>600</v>
      </c>
      <c r="H282" s="27">
        <v>1550</v>
      </c>
      <c r="I282" s="27">
        <v>550</v>
      </c>
      <c r="J282" s="27"/>
      <c r="K282" s="27"/>
      <c r="L282" s="27"/>
      <c r="M282" s="27" t="s">
        <v>66</v>
      </c>
      <c r="N282" s="46">
        <v>1</v>
      </c>
      <c r="O282" s="47">
        <v>670740</v>
      </c>
      <c r="P282" s="47">
        <f t="shared" si="4"/>
        <v>670740</v>
      </c>
      <c r="Q282" s="27" t="s">
        <v>390</v>
      </c>
    </row>
    <row r="283" spans="1:17" s="2" customFormat="1" ht="21" customHeight="1">
      <c r="A283" s="25" t="s">
        <v>275</v>
      </c>
      <c r="B283" s="26" t="s">
        <v>62</v>
      </c>
      <c r="C283" s="26"/>
      <c r="D283" s="25"/>
      <c r="E283" s="25"/>
      <c r="F283" s="25"/>
      <c r="G283" s="25"/>
      <c r="H283" s="25"/>
      <c r="I283" s="25"/>
      <c r="J283" s="25"/>
      <c r="K283" s="25"/>
      <c r="L283" s="25"/>
      <c r="M283" s="25"/>
      <c r="N283" s="44"/>
      <c r="O283" s="45">
        <v>0</v>
      </c>
      <c r="P283" s="45">
        <f t="shared" si="4"/>
        <v>0</v>
      </c>
      <c r="Q283" s="25"/>
    </row>
    <row r="284" spans="1:17" s="2" customFormat="1" ht="13">
      <c r="A284" s="27"/>
      <c r="B284" s="28" t="s">
        <v>63</v>
      </c>
      <c r="C284" s="28"/>
      <c r="D284" s="27"/>
      <c r="E284" s="27"/>
      <c r="F284" s="27"/>
      <c r="G284" s="27"/>
      <c r="H284" s="27"/>
      <c r="I284" s="27"/>
      <c r="J284" s="27"/>
      <c r="K284" s="27"/>
      <c r="L284" s="27"/>
      <c r="M284" s="27"/>
      <c r="N284" s="46"/>
      <c r="O284" s="47">
        <v>0</v>
      </c>
      <c r="P284" s="47">
        <f t="shared" si="4"/>
        <v>0</v>
      </c>
      <c r="Q284" s="27"/>
    </row>
    <row r="285" spans="1:17" s="2" customFormat="1" ht="13">
      <c r="A285" s="27">
        <v>1</v>
      </c>
      <c r="B285" s="29" t="s">
        <v>276</v>
      </c>
      <c r="C285" s="29"/>
      <c r="D285" s="27" t="s">
        <v>380</v>
      </c>
      <c r="E285" s="27" t="s">
        <v>355</v>
      </c>
      <c r="F285" s="27">
        <v>600</v>
      </c>
      <c r="G285" s="27">
        <v>300</v>
      </c>
      <c r="H285" s="27"/>
      <c r="I285" s="27"/>
      <c r="J285" s="27"/>
      <c r="K285" s="27">
        <v>200</v>
      </c>
      <c r="L285" s="27">
        <v>1.1499999999999999</v>
      </c>
      <c r="M285" s="27" t="s">
        <v>66</v>
      </c>
      <c r="N285" s="46">
        <v>2</v>
      </c>
      <c r="O285" s="47">
        <v>2262321.6</v>
      </c>
      <c r="P285" s="47">
        <f t="shared" si="4"/>
        <v>4524643.2</v>
      </c>
      <c r="Q285" s="27" t="s">
        <v>381</v>
      </c>
    </row>
    <row r="286" spans="1:17" s="2" customFormat="1" ht="13">
      <c r="A286" s="27">
        <v>2</v>
      </c>
      <c r="B286" s="29" t="s">
        <v>245</v>
      </c>
      <c r="C286" s="29"/>
      <c r="D286" s="27" t="s">
        <v>380</v>
      </c>
      <c r="E286" s="27" t="s">
        <v>355</v>
      </c>
      <c r="F286" s="27">
        <v>600</v>
      </c>
      <c r="G286" s="27">
        <v>450</v>
      </c>
      <c r="H286" s="27"/>
      <c r="I286" s="27"/>
      <c r="J286" s="27"/>
      <c r="K286" s="27">
        <v>200</v>
      </c>
      <c r="L286" s="27">
        <v>1.1499999999999999</v>
      </c>
      <c r="M286" s="27" t="s">
        <v>66</v>
      </c>
      <c r="N286" s="46">
        <v>2</v>
      </c>
      <c r="O286" s="47">
        <v>2909029.2</v>
      </c>
      <c r="P286" s="47">
        <f t="shared" si="4"/>
        <v>5818058.4000000004</v>
      </c>
      <c r="Q286" s="27" t="s">
        <v>381</v>
      </c>
    </row>
    <row r="287" spans="1:17" s="2" customFormat="1" ht="13">
      <c r="A287" s="27">
        <v>3</v>
      </c>
      <c r="B287" s="29" t="s">
        <v>277</v>
      </c>
      <c r="C287" s="29"/>
      <c r="D287" s="27" t="s">
        <v>380</v>
      </c>
      <c r="E287" s="27" t="s">
        <v>355</v>
      </c>
      <c r="F287" s="27">
        <v>1000</v>
      </c>
      <c r="G287" s="27">
        <v>500</v>
      </c>
      <c r="H287" s="27"/>
      <c r="I287" s="27"/>
      <c r="J287" s="27"/>
      <c r="K287" s="27">
        <v>200</v>
      </c>
      <c r="L287" s="27">
        <v>1.1499999999999999</v>
      </c>
      <c r="M287" s="27" t="s">
        <v>66</v>
      </c>
      <c r="N287" s="46">
        <v>1</v>
      </c>
      <c r="O287" s="47">
        <v>3299788.7999999998</v>
      </c>
      <c r="P287" s="47">
        <f t="shared" si="4"/>
        <v>3299788.7999999998</v>
      </c>
      <c r="Q287" s="27" t="s">
        <v>381</v>
      </c>
    </row>
    <row r="288" spans="1:17" s="2" customFormat="1" ht="13">
      <c r="A288" s="27">
        <v>4</v>
      </c>
      <c r="B288" s="29" t="s">
        <v>278</v>
      </c>
      <c r="C288" s="29"/>
      <c r="D288" s="27" t="s">
        <v>380</v>
      </c>
      <c r="E288" s="27" t="s">
        <v>355</v>
      </c>
      <c r="F288" s="27">
        <v>1000</v>
      </c>
      <c r="G288" s="27">
        <v>600</v>
      </c>
      <c r="H288" s="27"/>
      <c r="I288" s="27"/>
      <c r="J288" s="27"/>
      <c r="K288" s="27">
        <v>200</v>
      </c>
      <c r="L288" s="27">
        <v>1.1499999999999999</v>
      </c>
      <c r="M288" s="27" t="s">
        <v>66</v>
      </c>
      <c r="N288" s="46">
        <v>2</v>
      </c>
      <c r="O288" s="47">
        <v>3355228.8</v>
      </c>
      <c r="P288" s="47">
        <f t="shared" si="4"/>
        <v>6710457.5999999996</v>
      </c>
      <c r="Q288" s="27" t="s">
        <v>381</v>
      </c>
    </row>
    <row r="289" spans="1:17" s="2" customFormat="1" ht="13">
      <c r="A289" s="27">
        <v>5</v>
      </c>
      <c r="B289" s="29" t="s">
        <v>279</v>
      </c>
      <c r="C289" s="29"/>
      <c r="D289" s="27" t="s">
        <v>380</v>
      </c>
      <c r="E289" s="27" t="s">
        <v>355</v>
      </c>
      <c r="F289" s="27">
        <v>1200</v>
      </c>
      <c r="G289" s="27">
        <v>900</v>
      </c>
      <c r="H289" s="27"/>
      <c r="I289" s="27"/>
      <c r="J289" s="27"/>
      <c r="K289" s="27">
        <v>200</v>
      </c>
      <c r="L289" s="27">
        <v>1.1499999999999999</v>
      </c>
      <c r="M289" s="27" t="s">
        <v>66</v>
      </c>
      <c r="N289" s="46">
        <v>1</v>
      </c>
      <c r="O289" s="47">
        <v>3688423.2</v>
      </c>
      <c r="P289" s="47">
        <f t="shared" si="4"/>
        <v>3688423.2</v>
      </c>
      <c r="Q289" s="27" t="s">
        <v>381</v>
      </c>
    </row>
    <row r="290" spans="1:17" s="2" customFormat="1" ht="26">
      <c r="A290" s="27">
        <v>6</v>
      </c>
      <c r="B290" s="29" t="s">
        <v>280</v>
      </c>
      <c r="C290" s="29"/>
      <c r="D290" s="27" t="s">
        <v>380</v>
      </c>
      <c r="E290" s="27" t="s">
        <v>355</v>
      </c>
      <c r="F290" s="27">
        <v>600</v>
      </c>
      <c r="G290" s="27">
        <v>600</v>
      </c>
      <c r="H290" s="27"/>
      <c r="I290" s="27"/>
      <c r="J290" s="27"/>
      <c r="K290" s="27">
        <v>200</v>
      </c>
      <c r="L290" s="27">
        <v>1.1499999999999999</v>
      </c>
      <c r="M290" s="27" t="s">
        <v>66</v>
      </c>
      <c r="N290" s="46">
        <v>1</v>
      </c>
      <c r="O290" s="47">
        <v>2466248.4</v>
      </c>
      <c r="P290" s="47">
        <f t="shared" si="4"/>
        <v>2466248.4</v>
      </c>
      <c r="Q290" s="27" t="s">
        <v>381</v>
      </c>
    </row>
    <row r="291" spans="1:17" s="2" customFormat="1" ht="26">
      <c r="A291" s="27">
        <v>7</v>
      </c>
      <c r="B291" s="29" t="s">
        <v>281</v>
      </c>
      <c r="C291" s="29"/>
      <c r="D291" s="27" t="s">
        <v>380</v>
      </c>
      <c r="E291" s="27" t="s">
        <v>355</v>
      </c>
      <c r="F291" s="27">
        <v>750</v>
      </c>
      <c r="G291" s="27">
        <v>750</v>
      </c>
      <c r="H291" s="27"/>
      <c r="I291" s="27"/>
      <c r="J291" s="27"/>
      <c r="K291" s="27">
        <v>200</v>
      </c>
      <c r="L291" s="27">
        <v>1.1499999999999999</v>
      </c>
      <c r="M291" s="27" t="s">
        <v>66</v>
      </c>
      <c r="N291" s="46">
        <v>1</v>
      </c>
      <c r="O291" s="47">
        <v>2623975.2000000002</v>
      </c>
      <c r="P291" s="47">
        <f t="shared" si="4"/>
        <v>2623975.2000000002</v>
      </c>
      <c r="Q291" s="27" t="s">
        <v>381</v>
      </c>
    </row>
    <row r="292" spans="1:17" s="2" customFormat="1" ht="52">
      <c r="A292" s="27">
        <v>8</v>
      </c>
      <c r="B292" s="29" t="s">
        <v>282</v>
      </c>
      <c r="C292" s="29"/>
      <c r="D292" s="27" t="s">
        <v>421</v>
      </c>
      <c r="E292" s="27" t="s">
        <v>355</v>
      </c>
      <c r="F292" s="27">
        <v>600</v>
      </c>
      <c r="G292" s="27">
        <v>250</v>
      </c>
      <c r="H292" s="27"/>
      <c r="I292" s="27"/>
      <c r="J292" s="27"/>
      <c r="K292" s="27">
        <v>200</v>
      </c>
      <c r="L292" s="27">
        <v>1.1499999999999999</v>
      </c>
      <c r="M292" s="27" t="s">
        <v>66</v>
      </c>
      <c r="N292" s="46">
        <v>97</v>
      </c>
      <c r="O292" s="47">
        <v>4946469.5279999999</v>
      </c>
      <c r="P292" s="47">
        <f t="shared" si="4"/>
        <v>479807544.21600002</v>
      </c>
      <c r="Q292" s="27" t="s">
        <v>422</v>
      </c>
    </row>
    <row r="293" spans="1:17" s="2" customFormat="1" ht="65">
      <c r="A293" s="27">
        <v>9</v>
      </c>
      <c r="B293" s="29" t="s">
        <v>283</v>
      </c>
      <c r="C293" s="29"/>
      <c r="D293" s="27" t="s">
        <v>421</v>
      </c>
      <c r="E293" s="27" t="s">
        <v>355</v>
      </c>
      <c r="F293" s="27">
        <v>600</v>
      </c>
      <c r="G293" s="27">
        <v>300</v>
      </c>
      <c r="H293" s="27"/>
      <c r="I293" s="27"/>
      <c r="J293" s="27"/>
      <c r="K293" s="27">
        <v>200</v>
      </c>
      <c r="L293" s="27">
        <v>1.1499999999999999</v>
      </c>
      <c r="M293" s="27" t="s">
        <v>66</v>
      </c>
      <c r="N293" s="46">
        <v>2</v>
      </c>
      <c r="O293" s="47">
        <v>6254759.59731544</v>
      </c>
      <c r="P293" s="47">
        <f t="shared" si="4"/>
        <v>12509519.1946309</v>
      </c>
      <c r="Q293" s="27" t="s">
        <v>425</v>
      </c>
    </row>
    <row r="294" spans="1:17" s="2" customFormat="1" ht="65">
      <c r="A294" s="27">
        <v>10</v>
      </c>
      <c r="B294" s="29" t="s">
        <v>284</v>
      </c>
      <c r="C294" s="29"/>
      <c r="D294" s="27" t="s">
        <v>421</v>
      </c>
      <c r="E294" s="27" t="s">
        <v>355</v>
      </c>
      <c r="F294" s="27">
        <v>600</v>
      </c>
      <c r="G294" s="27">
        <v>300</v>
      </c>
      <c r="H294" s="27"/>
      <c r="I294" s="27"/>
      <c r="J294" s="27"/>
      <c r="K294" s="27">
        <v>200</v>
      </c>
      <c r="L294" s="27">
        <v>1.1499999999999999</v>
      </c>
      <c r="M294" s="27" t="s">
        <v>66</v>
      </c>
      <c r="N294" s="46">
        <v>1</v>
      </c>
      <c r="O294" s="47">
        <v>6254759.59731544</v>
      </c>
      <c r="P294" s="47">
        <f t="shared" si="4"/>
        <v>6254759.59731544</v>
      </c>
      <c r="Q294" s="27" t="s">
        <v>425</v>
      </c>
    </row>
    <row r="295" spans="1:17" s="2" customFormat="1" ht="65">
      <c r="A295" s="27">
        <v>11</v>
      </c>
      <c r="B295" s="29" t="s">
        <v>285</v>
      </c>
      <c r="C295" s="29"/>
      <c r="D295" s="27" t="s">
        <v>421</v>
      </c>
      <c r="E295" s="27" t="s">
        <v>355</v>
      </c>
      <c r="F295" s="27">
        <v>600</v>
      </c>
      <c r="G295" s="27">
        <v>400</v>
      </c>
      <c r="H295" s="27"/>
      <c r="I295" s="27"/>
      <c r="J295" s="27"/>
      <c r="K295" s="27">
        <v>200</v>
      </c>
      <c r="L295" s="27">
        <v>1.1499999999999999</v>
      </c>
      <c r="M295" s="27" t="s">
        <v>66</v>
      </c>
      <c r="N295" s="46">
        <v>1</v>
      </c>
      <c r="O295" s="47">
        <v>6526140.60671141</v>
      </c>
      <c r="P295" s="47">
        <f t="shared" si="4"/>
        <v>6526140.60671141</v>
      </c>
      <c r="Q295" s="27" t="s">
        <v>425</v>
      </c>
    </row>
    <row r="296" spans="1:17" s="2" customFormat="1" ht="65">
      <c r="A296" s="27">
        <v>12</v>
      </c>
      <c r="B296" s="29" t="s">
        <v>286</v>
      </c>
      <c r="C296" s="29"/>
      <c r="D296" s="27" t="s">
        <v>421</v>
      </c>
      <c r="E296" s="27" t="s">
        <v>355</v>
      </c>
      <c r="F296" s="27">
        <v>600</v>
      </c>
      <c r="G296" s="27">
        <v>450</v>
      </c>
      <c r="H296" s="27"/>
      <c r="I296" s="27"/>
      <c r="J296" s="27"/>
      <c r="K296" s="27">
        <v>200</v>
      </c>
      <c r="L296" s="27">
        <v>1.1499999999999999</v>
      </c>
      <c r="M296" s="27" t="s">
        <v>66</v>
      </c>
      <c r="N296" s="46">
        <v>2</v>
      </c>
      <c r="O296" s="47">
        <v>6710926.3033557003</v>
      </c>
      <c r="P296" s="47">
        <f t="shared" si="4"/>
        <v>13421852.606711401</v>
      </c>
      <c r="Q296" s="27" t="s">
        <v>425</v>
      </c>
    </row>
    <row r="297" spans="1:17" s="2" customFormat="1" ht="65">
      <c r="A297" s="27">
        <v>13</v>
      </c>
      <c r="B297" s="29" t="s">
        <v>261</v>
      </c>
      <c r="C297" s="29"/>
      <c r="D297" s="27" t="s">
        <v>421</v>
      </c>
      <c r="E297" s="27" t="s">
        <v>355</v>
      </c>
      <c r="F297" s="27">
        <v>600</v>
      </c>
      <c r="G297" s="27">
        <v>450</v>
      </c>
      <c r="H297" s="27"/>
      <c r="I297" s="27"/>
      <c r="J297" s="27"/>
      <c r="K297" s="27">
        <v>200</v>
      </c>
      <c r="L297" s="27">
        <v>1.1499999999999999</v>
      </c>
      <c r="M297" s="27" t="s">
        <v>66</v>
      </c>
      <c r="N297" s="46">
        <v>2</v>
      </c>
      <c r="O297" s="47">
        <v>6710926.3033557003</v>
      </c>
      <c r="P297" s="47">
        <f t="shared" si="4"/>
        <v>13421852.606711401</v>
      </c>
      <c r="Q297" s="27" t="s">
        <v>425</v>
      </c>
    </row>
    <row r="298" spans="1:17" s="2" customFormat="1" ht="65">
      <c r="A298" s="27">
        <v>14</v>
      </c>
      <c r="B298" s="29" t="s">
        <v>287</v>
      </c>
      <c r="C298" s="29"/>
      <c r="D298" s="27" t="s">
        <v>421</v>
      </c>
      <c r="E298" s="27" t="s">
        <v>355</v>
      </c>
      <c r="F298" s="27">
        <v>750</v>
      </c>
      <c r="G298" s="27">
        <v>350</v>
      </c>
      <c r="H298" s="27"/>
      <c r="I298" s="27"/>
      <c r="J298" s="27"/>
      <c r="K298" s="27">
        <v>200</v>
      </c>
      <c r="L298" s="27">
        <v>1.1499999999999999</v>
      </c>
      <c r="M298" s="27" t="s">
        <v>66</v>
      </c>
      <c r="N298" s="46">
        <v>1</v>
      </c>
      <c r="O298" s="47">
        <v>6760864.7785234898</v>
      </c>
      <c r="P298" s="47">
        <f t="shared" si="4"/>
        <v>6760864.7785234898</v>
      </c>
      <c r="Q298" s="27" t="s">
        <v>425</v>
      </c>
    </row>
    <row r="299" spans="1:17" s="2" customFormat="1" ht="65">
      <c r="A299" s="27">
        <v>15</v>
      </c>
      <c r="B299" s="29" t="s">
        <v>288</v>
      </c>
      <c r="C299" s="29"/>
      <c r="D299" s="27" t="s">
        <v>421</v>
      </c>
      <c r="E299" s="27" t="s">
        <v>355</v>
      </c>
      <c r="F299" s="27">
        <v>750</v>
      </c>
      <c r="G299" s="27">
        <v>350</v>
      </c>
      <c r="H299" s="27"/>
      <c r="I299" s="27"/>
      <c r="J299" s="27"/>
      <c r="K299" s="27">
        <v>200</v>
      </c>
      <c r="L299" s="27">
        <v>1.1499999999999999</v>
      </c>
      <c r="M299" s="27" t="s">
        <v>66</v>
      </c>
      <c r="N299" s="46">
        <v>1</v>
      </c>
      <c r="O299" s="47">
        <v>6760864.7785234898</v>
      </c>
      <c r="P299" s="47">
        <f t="shared" si="4"/>
        <v>6760864.7785234898</v>
      </c>
      <c r="Q299" s="27" t="s">
        <v>425</v>
      </c>
    </row>
    <row r="300" spans="1:17" s="2" customFormat="1" ht="65">
      <c r="A300" s="27">
        <v>16</v>
      </c>
      <c r="B300" s="29" t="s">
        <v>289</v>
      </c>
      <c r="C300" s="29"/>
      <c r="D300" s="27" t="s">
        <v>421</v>
      </c>
      <c r="E300" s="27" t="s">
        <v>355</v>
      </c>
      <c r="F300" s="27">
        <v>1000</v>
      </c>
      <c r="G300" s="27">
        <v>600</v>
      </c>
      <c r="H300" s="27"/>
      <c r="I300" s="27"/>
      <c r="J300" s="27"/>
      <c r="K300" s="27">
        <v>200</v>
      </c>
      <c r="L300" s="27">
        <v>1.1499999999999999</v>
      </c>
      <c r="M300" s="27" t="s">
        <v>66</v>
      </c>
      <c r="N300" s="46">
        <v>3</v>
      </c>
      <c r="O300" s="47">
        <v>7877614.8528000005</v>
      </c>
      <c r="P300" s="47">
        <f t="shared" si="4"/>
        <v>23632844.558400001</v>
      </c>
      <c r="Q300" s="27" t="s">
        <v>425</v>
      </c>
    </row>
    <row r="301" spans="1:17" s="2" customFormat="1" ht="65">
      <c r="A301" s="27">
        <v>17</v>
      </c>
      <c r="B301" s="29" t="s">
        <v>290</v>
      </c>
      <c r="C301" s="29"/>
      <c r="D301" s="27" t="s">
        <v>421</v>
      </c>
      <c r="E301" s="27" t="s">
        <v>355</v>
      </c>
      <c r="F301" s="27">
        <v>1200</v>
      </c>
      <c r="G301" s="27">
        <v>900</v>
      </c>
      <c r="H301" s="27"/>
      <c r="I301" s="27"/>
      <c r="J301" s="27"/>
      <c r="K301" s="27">
        <v>200</v>
      </c>
      <c r="L301" s="27">
        <v>1.1499999999999999</v>
      </c>
      <c r="M301" s="27" t="s">
        <v>66</v>
      </c>
      <c r="N301" s="46">
        <v>1</v>
      </c>
      <c r="O301" s="47">
        <v>15459891.9552</v>
      </c>
      <c r="P301" s="47">
        <f t="shared" si="4"/>
        <v>15459891.9552</v>
      </c>
      <c r="Q301" s="27" t="s">
        <v>425</v>
      </c>
    </row>
    <row r="302" spans="1:17" s="2" customFormat="1" ht="13">
      <c r="A302" s="27"/>
      <c r="B302" s="29" t="s">
        <v>116</v>
      </c>
      <c r="C302" s="29"/>
      <c r="D302" s="27"/>
      <c r="E302" s="27"/>
      <c r="F302" s="27"/>
      <c r="G302" s="27"/>
      <c r="H302" s="27"/>
      <c r="I302" s="27"/>
      <c r="J302" s="27"/>
      <c r="K302" s="27"/>
      <c r="L302" s="27"/>
      <c r="M302" s="27"/>
      <c r="N302" s="46"/>
      <c r="O302" s="47">
        <v>0</v>
      </c>
      <c r="P302" s="47">
        <f t="shared" si="4"/>
        <v>0</v>
      </c>
      <c r="Q302" s="27"/>
    </row>
    <row r="303" spans="1:17" s="2" customFormat="1" ht="13">
      <c r="A303" s="27">
        <v>9</v>
      </c>
      <c r="B303" s="29" t="s">
        <v>291</v>
      </c>
      <c r="C303" s="29"/>
      <c r="D303" s="27" t="s">
        <v>375</v>
      </c>
      <c r="E303" s="27" t="s">
        <v>355</v>
      </c>
      <c r="F303" s="27">
        <v>200</v>
      </c>
      <c r="G303" s="27">
        <v>300</v>
      </c>
      <c r="H303" s="27">
        <v>150</v>
      </c>
      <c r="I303" s="27">
        <v>250</v>
      </c>
      <c r="J303" s="27"/>
      <c r="K303" s="27"/>
      <c r="L303" s="27"/>
      <c r="M303" s="27" t="s">
        <v>66</v>
      </c>
      <c r="N303" s="46">
        <v>11</v>
      </c>
      <c r="O303" s="47">
        <v>134400</v>
      </c>
      <c r="P303" s="47">
        <f t="shared" si="4"/>
        <v>1478400</v>
      </c>
      <c r="Q303" s="27" t="s">
        <v>376</v>
      </c>
    </row>
    <row r="304" spans="1:17" s="2" customFormat="1" ht="13">
      <c r="A304" s="27">
        <v>10</v>
      </c>
      <c r="B304" s="29" t="s">
        <v>125</v>
      </c>
      <c r="C304" s="29"/>
      <c r="D304" s="27" t="s">
        <v>375</v>
      </c>
      <c r="E304" s="27" t="s">
        <v>355</v>
      </c>
      <c r="F304" s="27">
        <v>200</v>
      </c>
      <c r="G304" s="27">
        <v>200</v>
      </c>
      <c r="H304" s="27">
        <v>150</v>
      </c>
      <c r="I304" s="27">
        <v>150</v>
      </c>
      <c r="J304" s="27"/>
      <c r="K304" s="27"/>
      <c r="L304" s="27"/>
      <c r="M304" s="27" t="s">
        <v>66</v>
      </c>
      <c r="N304" s="46">
        <v>51</v>
      </c>
      <c r="O304" s="47">
        <v>101850</v>
      </c>
      <c r="P304" s="47">
        <f t="shared" si="4"/>
        <v>5194350</v>
      </c>
      <c r="Q304" s="27" t="s">
        <v>376</v>
      </c>
    </row>
    <row r="305" spans="1:17" s="2" customFormat="1" ht="13">
      <c r="A305" s="27">
        <v>11</v>
      </c>
      <c r="B305" s="29" t="s">
        <v>123</v>
      </c>
      <c r="C305" s="29"/>
      <c r="D305" s="27" t="s">
        <v>375</v>
      </c>
      <c r="E305" s="27" t="s">
        <v>355</v>
      </c>
      <c r="F305" s="27">
        <v>300</v>
      </c>
      <c r="G305" s="27">
        <v>300</v>
      </c>
      <c r="H305" s="27">
        <v>250</v>
      </c>
      <c r="I305" s="27">
        <v>250</v>
      </c>
      <c r="J305" s="27"/>
      <c r="K305" s="27"/>
      <c r="L305" s="27"/>
      <c r="M305" s="27" t="s">
        <v>66</v>
      </c>
      <c r="N305" s="46">
        <v>32</v>
      </c>
      <c r="O305" s="47">
        <v>181650</v>
      </c>
      <c r="P305" s="47">
        <f t="shared" si="4"/>
        <v>5812800</v>
      </c>
      <c r="Q305" s="27" t="s">
        <v>376</v>
      </c>
    </row>
    <row r="306" spans="1:17" s="2" customFormat="1" ht="21" customHeight="1">
      <c r="A306" s="25" t="s">
        <v>292</v>
      </c>
      <c r="B306" s="26" t="s">
        <v>293</v>
      </c>
      <c r="C306" s="26"/>
      <c r="D306" s="25"/>
      <c r="E306" s="25"/>
      <c r="F306" s="25"/>
      <c r="G306" s="25"/>
      <c r="H306" s="25"/>
      <c r="I306" s="25"/>
      <c r="J306" s="25"/>
      <c r="K306" s="25"/>
      <c r="L306" s="25"/>
      <c r="M306" s="25"/>
      <c r="N306" s="44"/>
      <c r="O306" s="45">
        <v>0</v>
      </c>
      <c r="P306" s="45">
        <f t="shared" ref="P306:P328" si="5">O306*N306</f>
        <v>0</v>
      </c>
      <c r="Q306" s="25"/>
    </row>
    <row r="307" spans="1:17" s="2" customFormat="1" ht="13">
      <c r="A307" s="27">
        <v>1</v>
      </c>
      <c r="B307" s="29" t="s">
        <v>245</v>
      </c>
      <c r="C307" s="29"/>
      <c r="D307" s="27" t="s">
        <v>380</v>
      </c>
      <c r="E307" s="27" t="s">
        <v>355</v>
      </c>
      <c r="F307" s="27">
        <v>800</v>
      </c>
      <c r="G307" s="27">
        <v>450</v>
      </c>
      <c r="H307" s="27"/>
      <c r="I307" s="27"/>
      <c r="J307" s="27"/>
      <c r="K307" s="27">
        <v>200</v>
      </c>
      <c r="L307" s="27">
        <v>1.1499999999999999</v>
      </c>
      <c r="M307" s="27" t="s">
        <v>66</v>
      </c>
      <c r="N307" s="46">
        <v>1</v>
      </c>
      <c r="O307" s="47">
        <v>2362206</v>
      </c>
      <c r="P307" s="47">
        <f t="shared" si="5"/>
        <v>2362206</v>
      </c>
      <c r="Q307" s="27" t="s">
        <v>381</v>
      </c>
    </row>
    <row r="308" spans="1:17" s="2" customFormat="1" ht="13">
      <c r="A308" s="27">
        <v>2</v>
      </c>
      <c r="B308" s="29" t="s">
        <v>294</v>
      </c>
      <c r="C308" s="29"/>
      <c r="D308" s="27" t="s">
        <v>380</v>
      </c>
      <c r="E308" s="27" t="s">
        <v>355</v>
      </c>
      <c r="F308" s="27">
        <v>800</v>
      </c>
      <c r="G308" s="27">
        <v>350</v>
      </c>
      <c r="H308" s="27"/>
      <c r="I308" s="27"/>
      <c r="J308" s="27"/>
      <c r="K308" s="27">
        <v>200</v>
      </c>
      <c r="L308" s="27">
        <v>1.1499999999999999</v>
      </c>
      <c r="M308" s="27" t="s">
        <v>66</v>
      </c>
      <c r="N308" s="46">
        <v>2</v>
      </c>
      <c r="O308" s="47">
        <v>2326354.7999999998</v>
      </c>
      <c r="P308" s="47">
        <f t="shared" si="5"/>
        <v>4652709.5999999996</v>
      </c>
      <c r="Q308" s="27" t="s">
        <v>381</v>
      </c>
    </row>
    <row r="309" spans="1:17" s="4" customFormat="1" ht="65">
      <c r="A309" s="57">
        <v>3</v>
      </c>
      <c r="B309" s="58" t="s">
        <v>261</v>
      </c>
      <c r="C309" s="58"/>
      <c r="D309" s="57" t="s">
        <v>421</v>
      </c>
      <c r="E309" s="57" t="s">
        <v>355</v>
      </c>
      <c r="F309" s="57">
        <v>600</v>
      </c>
      <c r="G309" s="57">
        <v>450</v>
      </c>
      <c r="H309" s="57"/>
      <c r="I309" s="57"/>
      <c r="J309" s="57"/>
      <c r="K309" s="57">
        <v>200</v>
      </c>
      <c r="L309" s="57">
        <v>1.1499999999999999</v>
      </c>
      <c r="M309" s="57" t="s">
        <v>66</v>
      </c>
      <c r="N309" s="60">
        <v>14</v>
      </c>
      <c r="O309" s="61">
        <v>6710926.3033557003</v>
      </c>
      <c r="P309" s="61">
        <f t="shared" si="5"/>
        <v>93952968.246979907</v>
      </c>
      <c r="Q309" s="57" t="s">
        <v>425</v>
      </c>
    </row>
    <row r="310" spans="1:17" s="2" customFormat="1" ht="26">
      <c r="A310" s="27">
        <v>5</v>
      </c>
      <c r="B310" s="29" t="s">
        <v>295</v>
      </c>
      <c r="C310" s="29"/>
      <c r="D310" s="27" t="s">
        <v>392</v>
      </c>
      <c r="E310" s="27" t="s">
        <v>355</v>
      </c>
      <c r="F310" s="27">
        <v>1500</v>
      </c>
      <c r="G310" s="27">
        <v>100</v>
      </c>
      <c r="H310" s="27">
        <v>1450</v>
      </c>
      <c r="I310" s="27">
        <v>50</v>
      </c>
      <c r="J310" s="27"/>
      <c r="K310" s="27"/>
      <c r="L310" s="27"/>
      <c r="M310" s="27" t="s">
        <v>66</v>
      </c>
      <c r="N310" s="46">
        <v>1</v>
      </c>
      <c r="O310" s="47">
        <v>258195</v>
      </c>
      <c r="P310" s="47">
        <f t="shared" si="5"/>
        <v>258195</v>
      </c>
      <c r="Q310" s="27" t="s">
        <v>393</v>
      </c>
    </row>
    <row r="311" spans="1:17" s="2" customFormat="1" ht="26">
      <c r="A311" s="27">
        <v>6</v>
      </c>
      <c r="B311" s="29" t="s">
        <v>296</v>
      </c>
      <c r="C311" s="29"/>
      <c r="D311" s="27" t="s">
        <v>392</v>
      </c>
      <c r="E311" s="27" t="s">
        <v>355</v>
      </c>
      <c r="F311" s="27">
        <v>2050</v>
      </c>
      <c r="G311" s="27">
        <v>750</v>
      </c>
      <c r="H311" s="27">
        <v>2000</v>
      </c>
      <c r="I311" s="27">
        <v>700</v>
      </c>
      <c r="J311" s="27"/>
      <c r="K311" s="27"/>
      <c r="L311" s="27"/>
      <c r="M311" s="27" t="s">
        <v>66</v>
      </c>
      <c r="N311" s="46">
        <v>1</v>
      </c>
      <c r="O311" s="47">
        <v>1902600</v>
      </c>
      <c r="P311" s="47">
        <f t="shared" si="5"/>
        <v>1902600</v>
      </c>
      <c r="Q311" s="27" t="s">
        <v>393</v>
      </c>
    </row>
    <row r="312" spans="1:17" s="2" customFormat="1" ht="13">
      <c r="A312" s="54" t="s">
        <v>297</v>
      </c>
      <c r="B312" s="28" t="s">
        <v>193</v>
      </c>
      <c r="C312" s="28"/>
      <c r="D312" s="27"/>
      <c r="E312" s="27"/>
      <c r="F312" s="27"/>
      <c r="G312" s="27"/>
      <c r="H312" s="27"/>
      <c r="I312" s="27"/>
      <c r="J312" s="27"/>
      <c r="K312" s="27"/>
      <c r="L312" s="27"/>
      <c r="M312" s="27"/>
      <c r="N312" s="46"/>
      <c r="O312" s="47">
        <v>0</v>
      </c>
      <c r="P312" s="47">
        <f t="shared" si="5"/>
        <v>0</v>
      </c>
      <c r="Q312" s="27"/>
    </row>
    <row r="313" spans="1:17" s="2" customFormat="1" ht="13">
      <c r="A313" s="54"/>
      <c r="B313" s="28" t="s">
        <v>63</v>
      </c>
      <c r="C313" s="28"/>
      <c r="D313" s="27"/>
      <c r="E313" s="27"/>
      <c r="F313" s="27"/>
      <c r="G313" s="27"/>
      <c r="H313" s="27"/>
      <c r="I313" s="27"/>
      <c r="J313" s="27"/>
      <c r="K313" s="27"/>
      <c r="L313" s="27"/>
      <c r="M313" s="27"/>
      <c r="N313" s="46"/>
      <c r="O313" s="47">
        <v>0</v>
      </c>
      <c r="P313" s="47">
        <f t="shared" si="5"/>
        <v>0</v>
      </c>
      <c r="Q313" s="27"/>
    </row>
    <row r="314" spans="1:17" s="2" customFormat="1" ht="65">
      <c r="A314" s="27">
        <v>1</v>
      </c>
      <c r="B314" s="29" t="s">
        <v>298</v>
      </c>
      <c r="C314" s="29"/>
      <c r="D314" s="27" t="s">
        <v>421</v>
      </c>
      <c r="E314" s="27" t="s">
        <v>355</v>
      </c>
      <c r="F314" s="30">
        <v>150</v>
      </c>
      <c r="G314" s="30">
        <v>150</v>
      </c>
      <c r="H314" s="27"/>
      <c r="I314" s="27"/>
      <c r="J314" s="27"/>
      <c r="K314" s="27">
        <v>200</v>
      </c>
      <c r="L314" s="27">
        <v>1.1499999999999999</v>
      </c>
      <c r="M314" s="27" t="s">
        <v>66</v>
      </c>
      <c r="N314" s="46">
        <v>550</v>
      </c>
      <c r="O314" s="47">
        <v>4314051.5880000005</v>
      </c>
      <c r="P314" s="47">
        <f t="shared" si="5"/>
        <v>2372728373.4000001</v>
      </c>
      <c r="Q314" s="27" t="s">
        <v>426</v>
      </c>
    </row>
    <row r="315" spans="1:17" s="2" customFormat="1" ht="52">
      <c r="A315" s="27">
        <v>2</v>
      </c>
      <c r="B315" s="29" t="s">
        <v>299</v>
      </c>
      <c r="C315" s="29"/>
      <c r="D315" s="27" t="s">
        <v>421</v>
      </c>
      <c r="E315" s="27" t="s">
        <v>355</v>
      </c>
      <c r="F315" s="27">
        <v>150</v>
      </c>
      <c r="G315" s="27">
        <v>150</v>
      </c>
      <c r="H315" s="27"/>
      <c r="I315" s="27"/>
      <c r="J315" s="27"/>
      <c r="K315" s="27">
        <v>200</v>
      </c>
      <c r="L315" s="27">
        <v>1.1499999999999999</v>
      </c>
      <c r="M315" s="27" t="s">
        <v>66</v>
      </c>
      <c r="N315" s="46">
        <v>593</v>
      </c>
      <c r="O315" s="47">
        <v>4314051.5880000005</v>
      </c>
      <c r="P315" s="47">
        <f t="shared" si="5"/>
        <v>2558232591.684</v>
      </c>
      <c r="Q315" s="27" t="s">
        <v>422</v>
      </c>
    </row>
    <row r="316" spans="1:17" s="2" customFormat="1" ht="26">
      <c r="A316" s="27">
        <v>3</v>
      </c>
      <c r="B316" s="29" t="s">
        <v>300</v>
      </c>
      <c r="C316" s="29"/>
      <c r="D316" s="27" t="s">
        <v>359</v>
      </c>
      <c r="E316" s="27" t="s">
        <v>355</v>
      </c>
      <c r="F316" s="27">
        <v>150</v>
      </c>
      <c r="G316" s="27">
        <v>100</v>
      </c>
      <c r="H316" s="27"/>
      <c r="I316" s="27"/>
      <c r="J316" s="27"/>
      <c r="K316" s="27">
        <v>200</v>
      </c>
      <c r="L316" s="27">
        <v>0.75</v>
      </c>
      <c r="M316" s="27" t="s">
        <v>66</v>
      </c>
      <c r="N316" s="46">
        <v>636</v>
      </c>
      <c r="O316" s="47">
        <v>156870</v>
      </c>
      <c r="P316" s="47">
        <f t="shared" si="5"/>
        <v>99769320</v>
      </c>
      <c r="Q316" s="27" t="s">
        <v>370</v>
      </c>
    </row>
    <row r="317" spans="1:17" s="2" customFormat="1" ht="26">
      <c r="A317" s="27">
        <v>4</v>
      </c>
      <c r="B317" s="29" t="s">
        <v>301</v>
      </c>
      <c r="C317" s="29"/>
      <c r="D317" s="27" t="s">
        <v>359</v>
      </c>
      <c r="E317" s="27" t="s">
        <v>355</v>
      </c>
      <c r="F317" s="27">
        <v>150</v>
      </c>
      <c r="G317" s="27">
        <v>150</v>
      </c>
      <c r="H317" s="27"/>
      <c r="I317" s="27"/>
      <c r="J317" s="27"/>
      <c r="K317" s="27">
        <v>200</v>
      </c>
      <c r="L317" s="27">
        <v>0.75</v>
      </c>
      <c r="M317" s="27" t="s">
        <v>66</v>
      </c>
      <c r="N317" s="46">
        <v>39</v>
      </c>
      <c r="O317" s="47">
        <v>166320</v>
      </c>
      <c r="P317" s="47">
        <f t="shared" si="5"/>
        <v>6486480</v>
      </c>
      <c r="Q317" s="27" t="s">
        <v>370</v>
      </c>
    </row>
    <row r="318" spans="1:17" s="2" customFormat="1" ht="26">
      <c r="A318" s="27">
        <v>5</v>
      </c>
      <c r="B318" s="29" t="s">
        <v>302</v>
      </c>
      <c r="C318" s="29"/>
      <c r="D318" s="27" t="s">
        <v>380</v>
      </c>
      <c r="E318" s="27" t="s">
        <v>355</v>
      </c>
      <c r="F318" s="27">
        <v>150</v>
      </c>
      <c r="G318" s="27">
        <v>100</v>
      </c>
      <c r="H318" s="27"/>
      <c r="I318" s="27"/>
      <c r="J318" s="27"/>
      <c r="K318" s="27">
        <v>200</v>
      </c>
      <c r="L318" s="27">
        <v>1.1499999999999999</v>
      </c>
      <c r="M318" s="27" t="s">
        <v>66</v>
      </c>
      <c r="N318" s="46">
        <v>558</v>
      </c>
      <c r="O318" s="47">
        <v>2116329.6</v>
      </c>
      <c r="P318" s="47">
        <f t="shared" si="5"/>
        <v>1180911916.8</v>
      </c>
      <c r="Q318" s="27" t="s">
        <v>381</v>
      </c>
    </row>
    <row r="319" spans="1:17" s="2" customFormat="1" ht="26">
      <c r="A319" s="27">
        <v>6</v>
      </c>
      <c r="B319" s="29" t="s">
        <v>303</v>
      </c>
      <c r="C319" s="29"/>
      <c r="D319" s="27" t="s">
        <v>380</v>
      </c>
      <c r="E319" s="27" t="s">
        <v>355</v>
      </c>
      <c r="F319" s="27">
        <v>150</v>
      </c>
      <c r="G319" s="27">
        <v>150</v>
      </c>
      <c r="H319" s="27"/>
      <c r="I319" s="27"/>
      <c r="J319" s="27"/>
      <c r="K319" s="27">
        <v>200</v>
      </c>
      <c r="L319" s="27">
        <v>1.1499999999999999</v>
      </c>
      <c r="M319" s="27" t="s">
        <v>66</v>
      </c>
      <c r="N319" s="46">
        <v>593</v>
      </c>
      <c r="O319" s="47">
        <v>2125939.2000000002</v>
      </c>
      <c r="P319" s="47">
        <f t="shared" si="5"/>
        <v>1260681945.5999999</v>
      </c>
      <c r="Q319" s="27" t="s">
        <v>381</v>
      </c>
    </row>
    <row r="320" spans="1:17" s="2" customFormat="1" ht="13">
      <c r="A320" s="54">
        <v>2</v>
      </c>
      <c r="B320" s="28" t="s">
        <v>293</v>
      </c>
      <c r="C320" s="28"/>
      <c r="D320" s="27"/>
      <c r="E320" s="27"/>
      <c r="F320" s="27"/>
      <c r="G320" s="27"/>
      <c r="H320" s="27"/>
      <c r="I320" s="27"/>
      <c r="J320" s="27"/>
      <c r="K320" s="27"/>
      <c r="L320" s="27"/>
      <c r="M320" s="27"/>
      <c r="N320" s="46"/>
      <c r="O320" s="47">
        <v>0</v>
      </c>
      <c r="P320" s="47">
        <f t="shared" si="5"/>
        <v>0</v>
      </c>
      <c r="Q320" s="27"/>
    </row>
    <row r="321" spans="1:20" s="2" customFormat="1" ht="18" customHeight="1">
      <c r="A321" s="27">
        <v>1</v>
      </c>
      <c r="B321" s="29" t="s">
        <v>272</v>
      </c>
      <c r="C321" s="29"/>
      <c r="D321" s="27" t="s">
        <v>375</v>
      </c>
      <c r="E321" s="27" t="s">
        <v>355</v>
      </c>
      <c r="F321" s="27">
        <v>600</v>
      </c>
      <c r="G321" s="27">
        <v>600</v>
      </c>
      <c r="H321" s="27">
        <v>550</v>
      </c>
      <c r="I321" s="27">
        <v>550</v>
      </c>
      <c r="J321" s="27"/>
      <c r="K321" s="27"/>
      <c r="L321" s="27"/>
      <c r="M321" s="27" t="s">
        <v>66</v>
      </c>
      <c r="N321" s="46">
        <v>1302</v>
      </c>
      <c r="O321" s="47">
        <v>504000</v>
      </c>
      <c r="P321" s="47">
        <f t="shared" si="5"/>
        <v>656208000</v>
      </c>
      <c r="Q321" s="27" t="s">
        <v>376</v>
      </c>
    </row>
    <row r="322" spans="1:20" s="2" customFormat="1" ht="65">
      <c r="A322" s="27">
        <v>2</v>
      </c>
      <c r="B322" s="29" t="s">
        <v>298</v>
      </c>
      <c r="C322" s="29"/>
      <c r="D322" s="27" t="s">
        <v>421</v>
      </c>
      <c r="E322" s="27" t="s">
        <v>355</v>
      </c>
      <c r="F322" s="30">
        <v>150</v>
      </c>
      <c r="G322" s="30">
        <v>150</v>
      </c>
      <c r="H322" s="27"/>
      <c r="I322" s="27"/>
      <c r="J322" s="27"/>
      <c r="K322" s="27">
        <v>200</v>
      </c>
      <c r="L322" s="27">
        <v>1.1499999999999999</v>
      </c>
      <c r="M322" s="27" t="s">
        <v>66</v>
      </c>
      <c r="N322" s="46">
        <v>550</v>
      </c>
      <c r="O322" s="47">
        <v>4314051.5880000005</v>
      </c>
      <c r="P322" s="47">
        <f t="shared" si="5"/>
        <v>2372728373.4000001</v>
      </c>
      <c r="Q322" s="27" t="s">
        <v>426</v>
      </c>
    </row>
    <row r="323" spans="1:20" s="2" customFormat="1" ht="52">
      <c r="A323" s="27">
        <v>3</v>
      </c>
      <c r="B323" s="29" t="s">
        <v>299</v>
      </c>
      <c r="C323" s="29"/>
      <c r="D323" s="27" t="s">
        <v>421</v>
      </c>
      <c r="E323" s="27" t="s">
        <v>355</v>
      </c>
      <c r="F323" s="27">
        <v>150</v>
      </c>
      <c r="G323" s="27">
        <v>150</v>
      </c>
      <c r="H323" s="27"/>
      <c r="I323" s="27"/>
      <c r="J323" s="27"/>
      <c r="K323" s="27">
        <v>200</v>
      </c>
      <c r="L323" s="27">
        <v>1.1499999999999999</v>
      </c>
      <c r="M323" s="27" t="s">
        <v>66</v>
      </c>
      <c r="N323" s="46">
        <v>43</v>
      </c>
      <c r="O323" s="47">
        <v>4314051.5880000005</v>
      </c>
      <c r="P323" s="47">
        <f t="shared" si="5"/>
        <v>185504218.28400001</v>
      </c>
      <c r="Q323" s="27" t="s">
        <v>422</v>
      </c>
    </row>
    <row r="324" spans="1:20" s="2" customFormat="1" ht="26">
      <c r="A324" s="27">
        <v>4</v>
      </c>
      <c r="B324" s="29" t="s">
        <v>304</v>
      </c>
      <c r="C324" s="29"/>
      <c r="D324" s="27" t="s">
        <v>359</v>
      </c>
      <c r="E324" s="27"/>
      <c r="F324" s="27"/>
      <c r="G324" s="27"/>
      <c r="H324" s="27"/>
      <c r="I324" s="27"/>
      <c r="J324" s="27"/>
      <c r="K324" s="27"/>
      <c r="L324" s="27"/>
      <c r="M324" s="27" t="s">
        <v>66</v>
      </c>
      <c r="N324" s="46">
        <v>1229</v>
      </c>
      <c r="O324" s="47">
        <v>122850</v>
      </c>
      <c r="P324" s="47">
        <f t="shared" si="5"/>
        <v>150982650</v>
      </c>
      <c r="Q324" s="27"/>
    </row>
    <row r="325" spans="1:20" s="2" customFormat="1" ht="26">
      <c r="A325" s="27">
        <v>5</v>
      </c>
      <c r="B325" s="29" t="s">
        <v>300</v>
      </c>
      <c r="C325" s="29"/>
      <c r="D325" s="27" t="s">
        <v>359</v>
      </c>
      <c r="E325" s="27"/>
      <c r="F325" s="27"/>
      <c r="G325" s="27"/>
      <c r="H325" s="27"/>
      <c r="I325" s="27"/>
      <c r="J325" s="27"/>
      <c r="K325" s="27"/>
      <c r="L325" s="27"/>
      <c r="M325" s="27" t="s">
        <v>66</v>
      </c>
      <c r="N325" s="46">
        <v>118</v>
      </c>
      <c r="O325" s="47">
        <v>156870</v>
      </c>
      <c r="P325" s="47">
        <f t="shared" si="5"/>
        <v>18510660</v>
      </c>
      <c r="Q325" s="27" t="s">
        <v>370</v>
      </c>
    </row>
    <row r="326" spans="1:20" s="2" customFormat="1" ht="26">
      <c r="A326" s="27">
        <v>6</v>
      </c>
      <c r="B326" s="29" t="s">
        <v>301</v>
      </c>
      <c r="C326" s="29"/>
      <c r="D326" s="27" t="s">
        <v>359</v>
      </c>
      <c r="E326" s="27"/>
      <c r="F326" s="27"/>
      <c r="G326" s="27"/>
      <c r="H326" s="27"/>
      <c r="I326" s="27"/>
      <c r="J326" s="27"/>
      <c r="K326" s="27"/>
      <c r="L326" s="27"/>
      <c r="M326" s="27" t="s">
        <v>66</v>
      </c>
      <c r="N326" s="46">
        <v>39</v>
      </c>
      <c r="O326" s="47">
        <v>166320</v>
      </c>
      <c r="P326" s="47">
        <f t="shared" si="5"/>
        <v>6486480</v>
      </c>
      <c r="Q326" s="27" t="s">
        <v>370</v>
      </c>
    </row>
    <row r="327" spans="1:20" s="2" customFormat="1" ht="26">
      <c r="A327" s="27">
        <v>7</v>
      </c>
      <c r="B327" s="29" t="s">
        <v>302</v>
      </c>
      <c r="C327" s="29"/>
      <c r="D327" s="27" t="s">
        <v>380</v>
      </c>
      <c r="E327" s="27" t="s">
        <v>355</v>
      </c>
      <c r="F327" s="27">
        <v>150</v>
      </c>
      <c r="G327" s="27">
        <v>100</v>
      </c>
      <c r="H327" s="27"/>
      <c r="I327" s="27"/>
      <c r="J327" s="27"/>
      <c r="K327" s="27">
        <v>200</v>
      </c>
      <c r="L327" s="27">
        <v>1.1499999999999999</v>
      </c>
      <c r="M327" s="27" t="s">
        <v>66</v>
      </c>
      <c r="N327" s="46">
        <v>63</v>
      </c>
      <c r="O327" s="47">
        <v>2116329.6</v>
      </c>
      <c r="P327" s="47">
        <f t="shared" si="5"/>
        <v>133328764.8</v>
      </c>
      <c r="Q327" s="27" t="s">
        <v>381</v>
      </c>
    </row>
    <row r="328" spans="1:20" s="2" customFormat="1" ht="26">
      <c r="A328" s="27">
        <v>8</v>
      </c>
      <c r="B328" s="29" t="s">
        <v>303</v>
      </c>
      <c r="C328" s="29"/>
      <c r="D328" s="27" t="s">
        <v>380</v>
      </c>
      <c r="E328" s="27" t="s">
        <v>355</v>
      </c>
      <c r="F328" s="27">
        <v>150</v>
      </c>
      <c r="G328" s="27">
        <v>150</v>
      </c>
      <c r="H328" s="27"/>
      <c r="I328" s="27"/>
      <c r="J328" s="27"/>
      <c r="K328" s="27">
        <v>200</v>
      </c>
      <c r="L328" s="27">
        <v>1.1499999999999999</v>
      </c>
      <c r="M328" s="27" t="s">
        <v>66</v>
      </c>
      <c r="N328" s="46">
        <v>43</v>
      </c>
      <c r="O328" s="47">
        <v>2125939.2000000002</v>
      </c>
      <c r="P328" s="47">
        <f t="shared" si="5"/>
        <v>91415385.599999994</v>
      </c>
      <c r="Q328" s="27" t="s">
        <v>381</v>
      </c>
    </row>
    <row r="329" spans="1:20" s="2" customFormat="1" ht="22.5" customHeight="1">
      <c r="A329" s="27"/>
      <c r="B329" s="29" t="s">
        <v>395</v>
      </c>
      <c r="C329" s="29"/>
      <c r="D329" s="27"/>
      <c r="E329" s="27"/>
      <c r="F329" s="27"/>
      <c r="G329" s="27"/>
      <c r="H329" s="27"/>
      <c r="I329" s="27"/>
      <c r="J329" s="27"/>
      <c r="K329" s="27"/>
      <c r="L329" s="27"/>
      <c r="M329" s="27" t="s">
        <v>396</v>
      </c>
      <c r="N329" s="46">
        <v>1</v>
      </c>
      <c r="O329" s="47"/>
      <c r="P329" s="47"/>
      <c r="Q329" s="27" t="s">
        <v>397</v>
      </c>
    </row>
    <row r="330" spans="1:20" s="2" customFormat="1" ht="29.5" customHeight="1">
      <c r="A330" s="27"/>
      <c r="B330" s="29" t="s">
        <v>398</v>
      </c>
      <c r="C330" s="29"/>
      <c r="D330" s="27"/>
      <c r="E330" s="27"/>
      <c r="F330" s="27"/>
      <c r="G330" s="27"/>
      <c r="H330" s="27"/>
      <c r="I330" s="27"/>
      <c r="J330" s="27"/>
      <c r="K330" s="27"/>
      <c r="L330" s="27"/>
      <c r="M330" s="27" t="s">
        <v>396</v>
      </c>
      <c r="N330" s="46">
        <v>1</v>
      </c>
      <c r="O330" s="47"/>
      <c r="P330" s="47"/>
      <c r="Q330" s="27" t="s">
        <v>427</v>
      </c>
    </row>
    <row r="331" spans="1:20" s="2" customFormat="1" ht="32.25" customHeight="1">
      <c r="A331" s="311" t="s">
        <v>400</v>
      </c>
      <c r="B331" s="312"/>
      <c r="C331" s="312"/>
      <c r="D331" s="312"/>
      <c r="E331" s="312"/>
      <c r="F331" s="312"/>
      <c r="G331" s="312"/>
      <c r="H331" s="312"/>
      <c r="I331" s="312"/>
      <c r="J331" s="312"/>
      <c r="K331" s="312"/>
      <c r="L331" s="312"/>
      <c r="M331" s="312"/>
      <c r="N331" s="312"/>
      <c r="O331" s="313"/>
      <c r="P331" s="86">
        <f>SUM(P15:P330)</f>
        <v>14755291900.335501</v>
      </c>
      <c r="Q331" s="113"/>
      <c r="T331" s="59"/>
    </row>
    <row r="332" spans="1:20" s="2" customFormat="1" ht="32.25" customHeight="1">
      <c r="A332" s="314" t="s">
        <v>401</v>
      </c>
      <c r="B332" s="315"/>
      <c r="C332" s="315"/>
      <c r="D332" s="315"/>
      <c r="E332" s="315"/>
      <c r="F332" s="315"/>
      <c r="G332" s="315"/>
      <c r="H332" s="315"/>
      <c r="I332" s="315"/>
      <c r="J332" s="315"/>
      <c r="K332" s="315"/>
      <c r="L332" s="315"/>
      <c r="M332" s="315"/>
      <c r="N332" s="315"/>
      <c r="O332" s="316"/>
      <c r="P332" s="87">
        <f>P331*0.1</f>
        <v>1475529190.03355</v>
      </c>
      <c r="Q332" s="114"/>
    </row>
    <row r="333" spans="1:20" s="2" customFormat="1" ht="32.25" customHeight="1">
      <c r="A333" s="317" t="s">
        <v>402</v>
      </c>
      <c r="B333" s="318"/>
      <c r="C333" s="318"/>
      <c r="D333" s="318"/>
      <c r="E333" s="318"/>
      <c r="F333" s="318"/>
      <c r="G333" s="318"/>
      <c r="H333" s="318"/>
      <c r="I333" s="318"/>
      <c r="J333" s="318"/>
      <c r="K333" s="318"/>
      <c r="L333" s="318"/>
      <c r="M333" s="318"/>
      <c r="N333" s="318"/>
      <c r="O333" s="319"/>
      <c r="P333" s="88">
        <f>SUM(P331:P332)</f>
        <v>16230821090.369101</v>
      </c>
      <c r="Q333" s="115"/>
    </row>
    <row r="334" spans="1:20" s="5" customFormat="1" ht="15" customHeight="1">
      <c r="A334" s="62"/>
      <c r="B334" s="63"/>
      <c r="C334" s="63"/>
      <c r="D334" s="64"/>
      <c r="E334" s="64"/>
      <c r="F334" s="64"/>
      <c r="G334" s="64"/>
      <c r="H334" s="64"/>
      <c r="I334" s="64"/>
      <c r="J334" s="64"/>
      <c r="K334" s="64"/>
      <c r="L334" s="80"/>
      <c r="M334" s="89"/>
      <c r="N334" s="90"/>
      <c r="O334" s="91"/>
      <c r="P334" s="91"/>
      <c r="Q334" s="116"/>
    </row>
    <row r="335" spans="1:20" s="5" customFormat="1" ht="15" customHeight="1">
      <c r="A335" s="65"/>
      <c r="B335" s="283" t="s">
        <v>403</v>
      </c>
      <c r="C335" s="66"/>
      <c r="D335" s="67"/>
      <c r="E335" s="67"/>
      <c r="F335" s="67"/>
      <c r="G335" s="68"/>
      <c r="H335" s="67"/>
      <c r="I335" s="65"/>
      <c r="J335" s="65"/>
      <c r="K335" s="65"/>
      <c r="L335" s="65"/>
      <c r="M335" s="65"/>
      <c r="N335" s="92"/>
      <c r="O335" s="93"/>
      <c r="P335" s="94"/>
      <c r="Q335" s="112"/>
    </row>
    <row r="336" spans="1:20" s="5" customFormat="1" ht="15" customHeight="1">
      <c r="A336" s="65"/>
      <c r="B336" s="69" t="s">
        <v>404</v>
      </c>
      <c r="C336" s="69"/>
      <c r="D336" s="70"/>
      <c r="E336" s="70"/>
      <c r="F336" s="70"/>
      <c r="G336" s="71"/>
      <c r="H336" s="71"/>
      <c r="I336" s="65"/>
      <c r="J336" s="65"/>
      <c r="K336" s="65"/>
      <c r="L336" s="65"/>
      <c r="M336" s="95"/>
      <c r="N336" s="92"/>
      <c r="O336" s="96"/>
      <c r="P336" s="94"/>
      <c r="Q336" s="112"/>
    </row>
    <row r="337" spans="1:17" s="5" customFormat="1" ht="15" customHeight="1">
      <c r="A337" s="65"/>
      <c r="B337" s="69" t="s">
        <v>405</v>
      </c>
      <c r="C337" s="69"/>
      <c r="D337" s="70"/>
      <c r="E337" s="70"/>
      <c r="F337" s="70"/>
      <c r="G337" s="71"/>
      <c r="H337" s="71"/>
      <c r="I337" s="65"/>
      <c r="J337" s="65"/>
      <c r="K337" s="65"/>
      <c r="L337" s="65"/>
      <c r="M337" s="95"/>
      <c r="N337" s="92"/>
      <c r="O337" s="96"/>
      <c r="P337" s="94"/>
      <c r="Q337" s="112"/>
    </row>
    <row r="338" spans="1:17" s="5" customFormat="1" ht="15" customHeight="1">
      <c r="A338" s="65"/>
      <c r="B338" s="69" t="s">
        <v>406</v>
      </c>
      <c r="C338" s="69"/>
      <c r="D338" s="70"/>
      <c r="E338" s="70"/>
      <c r="F338" s="70"/>
      <c r="G338" s="71"/>
      <c r="H338" s="71"/>
      <c r="I338" s="65"/>
      <c r="J338" s="65"/>
      <c r="K338" s="65"/>
      <c r="L338" s="65"/>
      <c r="M338" s="95"/>
      <c r="N338" s="92"/>
      <c r="O338" s="96"/>
      <c r="P338" s="94"/>
      <c r="Q338" s="112"/>
    </row>
    <row r="339" spans="1:17" s="5" customFormat="1" ht="15" customHeight="1">
      <c r="A339" s="65"/>
      <c r="B339" s="69" t="s">
        <v>407</v>
      </c>
      <c r="C339" s="69"/>
      <c r="D339" s="70"/>
      <c r="E339" s="70"/>
      <c r="F339" s="70"/>
      <c r="G339" s="71"/>
      <c r="H339" s="71"/>
      <c r="I339" s="65"/>
      <c r="J339" s="65"/>
      <c r="K339" s="65"/>
      <c r="L339" s="65"/>
      <c r="M339" s="95"/>
      <c r="N339" s="92"/>
      <c r="O339" s="96"/>
      <c r="P339" s="94"/>
      <c r="Q339" s="112"/>
    </row>
    <row r="340" spans="1:17" s="5" customFormat="1" ht="15" customHeight="1">
      <c r="A340" s="65"/>
      <c r="B340" s="72" t="s">
        <v>408</v>
      </c>
      <c r="C340" s="72"/>
      <c r="D340" s="73"/>
      <c r="E340" s="73"/>
      <c r="F340" s="73"/>
      <c r="G340" s="74"/>
      <c r="H340" s="74"/>
      <c r="I340" s="65"/>
      <c r="J340" s="65"/>
      <c r="K340" s="65"/>
      <c r="L340" s="65"/>
      <c r="M340" s="95"/>
      <c r="N340" s="97"/>
      <c r="O340" s="98"/>
      <c r="P340" s="99"/>
      <c r="Q340" s="112"/>
    </row>
    <row r="341" spans="1:17" s="5" customFormat="1" ht="15" customHeight="1">
      <c r="A341" s="65"/>
      <c r="B341" s="75" t="s">
        <v>428</v>
      </c>
      <c r="C341" s="75"/>
      <c r="D341" s="75"/>
      <c r="E341" s="75"/>
      <c r="F341" s="75"/>
      <c r="G341" s="75"/>
      <c r="H341" s="75"/>
      <c r="I341" s="65"/>
      <c r="J341" s="65"/>
      <c r="K341" s="65"/>
      <c r="L341" s="65"/>
      <c r="M341" s="95"/>
      <c r="N341" s="97"/>
      <c r="O341" s="98"/>
      <c r="P341" s="99"/>
      <c r="Q341" s="112"/>
    </row>
    <row r="342" spans="1:17" s="5" customFormat="1" ht="15" customHeight="1">
      <c r="A342" s="65"/>
      <c r="B342" s="76" t="s">
        <v>410</v>
      </c>
      <c r="C342" s="76"/>
      <c r="D342" s="70"/>
      <c r="E342" s="70"/>
      <c r="F342" s="70"/>
      <c r="G342" s="74"/>
      <c r="H342" s="74"/>
      <c r="I342" s="65"/>
      <c r="J342" s="65"/>
      <c r="K342" s="65"/>
      <c r="L342" s="65"/>
      <c r="M342" s="95"/>
      <c r="N342" s="97"/>
      <c r="O342" s="98"/>
      <c r="P342" s="99"/>
      <c r="Q342" s="112"/>
    </row>
    <row r="343" spans="1:17" s="5" customFormat="1" ht="15" customHeight="1">
      <c r="A343" s="65"/>
      <c r="B343" s="77" t="s">
        <v>411</v>
      </c>
      <c r="C343" s="77"/>
      <c r="D343" s="78"/>
      <c r="E343" s="78"/>
      <c r="F343" s="78"/>
      <c r="G343" s="79"/>
      <c r="H343" s="79"/>
      <c r="I343" s="65"/>
      <c r="J343" s="65"/>
      <c r="K343" s="65"/>
      <c r="L343" s="65"/>
      <c r="M343" s="95"/>
      <c r="N343" s="97"/>
      <c r="O343" s="98"/>
      <c r="P343" s="100"/>
      <c r="Q343" s="112"/>
    </row>
    <row r="344" spans="1:17" s="5" customFormat="1" ht="15" customHeight="1">
      <c r="A344" s="65"/>
      <c r="B344" s="75" t="s">
        <v>412</v>
      </c>
      <c r="C344" s="75"/>
      <c r="D344" s="75"/>
      <c r="E344" s="75"/>
      <c r="F344" s="75"/>
      <c r="G344" s="75"/>
      <c r="H344" s="75"/>
      <c r="I344" s="65"/>
      <c r="J344" s="65"/>
      <c r="K344" s="65"/>
      <c r="L344" s="65"/>
      <c r="M344" s="95"/>
      <c r="N344" s="97"/>
      <c r="O344" s="98"/>
      <c r="P344" s="100"/>
      <c r="Q344" s="112"/>
    </row>
    <row r="345" spans="1:17" s="5" customFormat="1" ht="15" customHeight="1">
      <c r="A345" s="80"/>
      <c r="B345" s="75" t="s">
        <v>413</v>
      </c>
      <c r="C345" s="75"/>
      <c r="D345" s="75"/>
      <c r="E345" s="75"/>
      <c r="F345" s="75"/>
      <c r="G345" s="75"/>
      <c r="H345" s="75"/>
      <c r="I345" s="65"/>
      <c r="J345" s="80"/>
      <c r="K345" s="80"/>
      <c r="L345" s="101"/>
      <c r="M345" s="320"/>
      <c r="N345" s="320"/>
      <c r="O345" s="320"/>
      <c r="P345" s="321"/>
      <c r="Q345" s="112"/>
    </row>
    <row r="346" spans="1:17" s="5" customFormat="1" ht="15" customHeight="1">
      <c r="A346" s="81"/>
      <c r="B346" s="284" t="s">
        <v>414</v>
      </c>
      <c r="C346" s="75"/>
      <c r="D346" s="75"/>
      <c r="E346" s="75"/>
      <c r="F346" s="75"/>
      <c r="G346" s="75"/>
      <c r="H346" s="75"/>
      <c r="I346" s="102"/>
      <c r="J346" s="81"/>
      <c r="K346" s="81"/>
      <c r="L346" s="81"/>
      <c r="M346" s="322"/>
      <c r="N346" s="322"/>
      <c r="O346" s="322"/>
      <c r="P346" s="323"/>
      <c r="Q346" s="112"/>
    </row>
    <row r="347" spans="1:17" s="1" customFormat="1" ht="15" customHeight="1">
      <c r="A347" s="82"/>
      <c r="B347" s="284" t="s">
        <v>415</v>
      </c>
      <c r="C347" s="75"/>
      <c r="D347" s="75"/>
      <c r="E347" s="75"/>
      <c r="F347" s="75"/>
      <c r="G347" s="75"/>
      <c r="H347" s="75"/>
      <c r="I347" s="102"/>
      <c r="J347" s="103"/>
      <c r="K347" s="103"/>
      <c r="L347" s="104"/>
      <c r="M347" s="324"/>
      <c r="N347" s="324"/>
      <c r="O347" s="324"/>
      <c r="P347" s="325"/>
      <c r="Q347" s="117"/>
    </row>
    <row r="348" spans="1:17" s="5" customFormat="1" ht="15" customHeight="1">
      <c r="A348" s="62"/>
      <c r="B348" s="83"/>
      <c r="C348" s="83"/>
      <c r="D348" s="78"/>
      <c r="E348" s="78"/>
      <c r="F348" s="78"/>
      <c r="G348" s="79"/>
      <c r="H348" s="79"/>
      <c r="I348" s="103"/>
      <c r="J348" s="64"/>
      <c r="K348" s="80"/>
      <c r="L348" s="89"/>
      <c r="M348" s="105"/>
      <c r="N348" s="106"/>
      <c r="O348" s="107"/>
      <c r="P348" s="108"/>
      <c r="Q348" s="112"/>
    </row>
    <row r="349" spans="1:17" s="5" customFormat="1" ht="15" customHeight="1">
      <c r="A349" s="62"/>
      <c r="B349" s="63"/>
      <c r="C349" s="63"/>
      <c r="D349" s="64"/>
      <c r="E349" s="64"/>
      <c r="F349" s="64"/>
      <c r="G349" s="64"/>
      <c r="H349" s="64"/>
      <c r="I349" s="64"/>
      <c r="J349" s="64"/>
      <c r="K349" s="64"/>
      <c r="L349" s="80"/>
      <c r="M349" s="89"/>
      <c r="N349" s="90"/>
      <c r="O349" s="91"/>
      <c r="P349" s="91"/>
      <c r="Q349" s="116"/>
    </row>
    <row r="350" spans="1:17" s="5" customFormat="1" ht="15" customHeight="1">
      <c r="A350" s="62"/>
      <c r="B350" s="63"/>
      <c r="C350" s="63"/>
      <c r="D350" s="64"/>
      <c r="E350" s="64"/>
      <c r="F350" s="64"/>
      <c r="G350" s="64"/>
      <c r="H350" s="64"/>
      <c r="I350" s="64"/>
      <c r="J350" s="64"/>
      <c r="K350" s="64"/>
      <c r="L350" s="80"/>
      <c r="M350" s="89"/>
      <c r="N350" s="90"/>
      <c r="O350" s="91"/>
      <c r="P350" s="91"/>
      <c r="Q350" s="116"/>
    </row>
    <row r="351" spans="1:17" s="5" customFormat="1" ht="15" customHeight="1">
      <c r="A351" s="62"/>
      <c r="B351" s="63"/>
      <c r="C351" s="63"/>
      <c r="D351" s="64"/>
      <c r="E351" s="64"/>
      <c r="F351" s="64"/>
      <c r="G351" s="64"/>
      <c r="H351" s="64"/>
      <c r="I351" s="64"/>
      <c r="J351" s="64"/>
      <c r="K351" s="64"/>
      <c r="L351" s="80"/>
      <c r="M351" s="89"/>
      <c r="N351" s="90"/>
      <c r="O351" s="91"/>
      <c r="P351" s="91"/>
      <c r="Q351" s="116"/>
    </row>
    <row r="352" spans="1:17" s="5" customFormat="1" ht="15" customHeight="1">
      <c r="A352" s="62"/>
      <c r="B352" s="63"/>
      <c r="C352" s="63"/>
      <c r="D352" s="64"/>
      <c r="E352" s="64"/>
      <c r="F352" s="64"/>
      <c r="G352" s="64"/>
      <c r="H352" s="64"/>
      <c r="I352" s="64"/>
      <c r="J352" s="64"/>
      <c r="K352" s="64"/>
      <c r="L352" s="80"/>
      <c r="M352" s="89"/>
      <c r="N352" s="90"/>
      <c r="O352" s="91"/>
      <c r="P352" s="91"/>
      <c r="Q352" s="116"/>
    </row>
    <row r="353" spans="1:17" s="5" customFormat="1" ht="15" customHeight="1">
      <c r="A353" s="62"/>
      <c r="B353" s="63"/>
      <c r="C353" s="63"/>
      <c r="D353" s="64"/>
      <c r="E353" s="64"/>
      <c r="F353" s="64"/>
      <c r="G353" s="64"/>
      <c r="H353" s="64"/>
      <c r="I353" s="64"/>
      <c r="J353" s="64"/>
      <c r="K353" s="64"/>
      <c r="L353" s="80"/>
      <c r="M353" s="89"/>
      <c r="N353" s="90"/>
      <c r="O353" s="91"/>
      <c r="P353" s="91"/>
      <c r="Q353" s="116"/>
    </row>
    <row r="354" spans="1:17" s="5" customFormat="1" ht="15" customHeight="1">
      <c r="A354" s="62"/>
      <c r="B354" s="63"/>
      <c r="C354" s="63"/>
      <c r="D354" s="64"/>
      <c r="E354" s="64"/>
      <c r="F354" s="64"/>
      <c r="G354" s="64"/>
      <c r="H354" s="64"/>
      <c r="I354" s="64"/>
      <c r="J354" s="64"/>
      <c r="K354" s="64"/>
      <c r="L354" s="80"/>
      <c r="M354" s="89"/>
      <c r="N354" s="90"/>
      <c r="O354" s="91"/>
      <c r="P354" s="91"/>
      <c r="Q354" s="116"/>
    </row>
    <row r="355" spans="1:17" s="5" customFormat="1" ht="15" customHeight="1">
      <c r="A355" s="62"/>
      <c r="B355" s="63"/>
      <c r="C355" s="63"/>
      <c r="D355" s="64"/>
      <c r="E355" s="64"/>
      <c r="F355" s="64"/>
      <c r="G355" s="64"/>
      <c r="H355" s="64"/>
      <c r="I355" s="64"/>
      <c r="J355" s="64"/>
      <c r="K355" s="64"/>
      <c r="L355" s="80"/>
      <c r="M355" s="89"/>
      <c r="N355" s="90"/>
      <c r="O355" s="91"/>
      <c r="P355" s="91"/>
      <c r="Q355" s="116"/>
    </row>
    <row r="356" spans="1:17" s="5" customFormat="1" ht="15" customHeight="1">
      <c r="A356" s="62"/>
      <c r="B356" s="63"/>
      <c r="C356" s="63"/>
      <c r="D356" s="64"/>
      <c r="E356" s="64"/>
      <c r="F356" s="64"/>
      <c r="G356" s="64"/>
      <c r="H356" s="64"/>
      <c r="I356" s="64"/>
      <c r="J356" s="64"/>
      <c r="K356" s="64"/>
      <c r="L356" s="80"/>
      <c r="M356" s="89"/>
      <c r="N356" s="90"/>
      <c r="O356" s="91"/>
      <c r="P356" s="91"/>
      <c r="Q356" s="116"/>
    </row>
    <row r="357" spans="1:17" s="5" customFormat="1" ht="13">
      <c r="A357" s="62"/>
      <c r="B357" s="63"/>
      <c r="C357" s="63"/>
      <c r="D357" s="64"/>
      <c r="E357" s="64"/>
      <c r="F357" s="64"/>
      <c r="G357" s="64"/>
      <c r="H357" s="64"/>
      <c r="I357" s="64"/>
      <c r="J357" s="64"/>
      <c r="K357" s="64"/>
      <c r="L357" s="80"/>
      <c r="M357" s="89"/>
      <c r="N357" s="90"/>
      <c r="O357" s="91"/>
      <c r="P357" s="91"/>
      <c r="Q357" s="116"/>
    </row>
    <row r="358" spans="1:17" s="5" customFormat="1" ht="13">
      <c r="A358" s="62"/>
      <c r="B358" s="63"/>
      <c r="C358" s="63"/>
      <c r="D358" s="64"/>
      <c r="E358" s="64"/>
      <c r="F358" s="64"/>
      <c r="G358" s="64"/>
      <c r="H358" s="64"/>
      <c r="I358" s="64"/>
      <c r="J358" s="64"/>
      <c r="K358" s="64"/>
      <c r="L358" s="80"/>
      <c r="M358" s="89"/>
      <c r="N358" s="90"/>
      <c r="O358" s="91"/>
      <c r="P358" s="91"/>
      <c r="Q358" s="116"/>
    </row>
    <row r="359" spans="1:17" s="5" customFormat="1" ht="13">
      <c r="B359" s="84"/>
      <c r="C359" s="84"/>
      <c r="D359" s="85"/>
      <c r="E359" s="85"/>
      <c r="F359" s="85"/>
      <c r="G359" s="85"/>
      <c r="H359" s="85"/>
      <c r="I359" s="85"/>
      <c r="J359" s="85"/>
      <c r="K359" s="85"/>
      <c r="L359" s="109"/>
      <c r="M359" s="110"/>
      <c r="N359" s="111"/>
      <c r="O359" s="112"/>
      <c r="P359" s="112"/>
      <c r="Q359" s="118"/>
    </row>
    <row r="360" spans="1:17" s="5" customFormat="1" ht="13">
      <c r="B360" s="84"/>
      <c r="C360" s="84"/>
      <c r="D360" s="85"/>
      <c r="E360" s="85"/>
      <c r="F360" s="85"/>
      <c r="G360" s="85"/>
      <c r="H360" s="85"/>
      <c r="I360" s="85"/>
      <c r="J360" s="85"/>
      <c r="K360" s="85"/>
      <c r="L360" s="109"/>
      <c r="M360" s="110"/>
      <c r="N360" s="111"/>
      <c r="O360" s="112"/>
      <c r="P360" s="112"/>
      <c r="Q360" s="118"/>
    </row>
    <row r="361" spans="1:17" s="5" customFormat="1" ht="13">
      <c r="B361" s="84"/>
      <c r="C361" s="84"/>
      <c r="D361" s="85"/>
      <c r="E361" s="85"/>
      <c r="F361" s="85"/>
      <c r="G361" s="85"/>
      <c r="H361" s="85"/>
      <c r="I361" s="85"/>
      <c r="J361" s="85"/>
      <c r="K361" s="85"/>
      <c r="L361" s="109"/>
      <c r="M361" s="110"/>
      <c r="N361" s="111"/>
      <c r="O361" s="112"/>
      <c r="P361" s="112"/>
      <c r="Q361" s="118"/>
    </row>
    <row r="362" spans="1:17" s="5" customFormat="1" ht="13">
      <c r="B362" s="84"/>
      <c r="C362" s="84"/>
      <c r="D362" s="85"/>
      <c r="E362" s="85"/>
      <c r="F362" s="85"/>
      <c r="G362" s="85"/>
      <c r="H362" s="85"/>
      <c r="I362" s="85"/>
      <c r="J362" s="85"/>
      <c r="K362" s="85"/>
      <c r="L362" s="109"/>
      <c r="M362" s="110"/>
      <c r="N362" s="111"/>
      <c r="O362" s="112"/>
      <c r="P362" s="112"/>
      <c r="Q362" s="118"/>
    </row>
    <row r="363" spans="1:17" s="5" customFormat="1" ht="13">
      <c r="B363" s="84"/>
      <c r="C363" s="84"/>
      <c r="D363" s="85"/>
      <c r="E363" s="85"/>
      <c r="F363" s="85"/>
      <c r="G363" s="85"/>
      <c r="H363" s="85"/>
      <c r="I363" s="85"/>
      <c r="J363" s="85"/>
      <c r="K363" s="85"/>
      <c r="L363" s="109"/>
      <c r="M363" s="110"/>
      <c r="N363" s="111"/>
      <c r="O363" s="112"/>
      <c r="P363" s="112"/>
      <c r="Q363" s="118"/>
    </row>
    <row r="364" spans="1:17" s="5" customFormat="1" ht="13">
      <c r="B364" s="84"/>
      <c r="C364" s="84"/>
      <c r="D364" s="85"/>
      <c r="E364" s="85"/>
      <c r="F364" s="85"/>
      <c r="G364" s="85"/>
      <c r="H364" s="85"/>
      <c r="I364" s="85"/>
      <c r="J364" s="85"/>
      <c r="K364" s="85"/>
      <c r="L364" s="109"/>
      <c r="M364" s="110"/>
      <c r="N364" s="111"/>
      <c r="O364" s="112"/>
      <c r="P364" s="112"/>
      <c r="Q364" s="118"/>
    </row>
    <row r="365" spans="1:17" s="5" customFormat="1" ht="13">
      <c r="B365" s="84"/>
      <c r="C365" s="84"/>
      <c r="D365" s="85"/>
      <c r="E365" s="85"/>
      <c r="F365" s="85"/>
      <c r="G365" s="85"/>
      <c r="H365" s="85"/>
      <c r="I365" s="85"/>
      <c r="J365" s="85"/>
      <c r="K365" s="85"/>
      <c r="L365" s="109"/>
      <c r="M365" s="110"/>
      <c r="N365" s="111"/>
      <c r="O365" s="112"/>
      <c r="P365" s="112"/>
      <c r="Q365" s="118"/>
    </row>
    <row r="366" spans="1:17" s="5" customFormat="1" ht="13">
      <c r="B366" s="84"/>
      <c r="C366" s="84"/>
      <c r="D366" s="85"/>
      <c r="E366" s="85"/>
      <c r="F366" s="85"/>
      <c r="G366" s="85"/>
      <c r="H366" s="85"/>
      <c r="I366" s="85"/>
      <c r="J366" s="85"/>
      <c r="K366" s="85"/>
      <c r="L366" s="109"/>
      <c r="M366" s="110"/>
      <c r="N366" s="111"/>
      <c r="O366" s="112"/>
      <c r="P366" s="112"/>
      <c r="Q366" s="118"/>
    </row>
    <row r="367" spans="1:17" s="5" customFormat="1" ht="13">
      <c r="B367" s="84"/>
      <c r="C367" s="84"/>
      <c r="D367" s="85"/>
      <c r="E367" s="85"/>
      <c r="F367" s="85"/>
      <c r="G367" s="85"/>
      <c r="H367" s="85"/>
      <c r="I367" s="85"/>
      <c r="J367" s="85"/>
      <c r="K367" s="85"/>
      <c r="L367" s="109"/>
      <c r="M367" s="110"/>
      <c r="N367" s="111"/>
      <c r="O367" s="112"/>
      <c r="P367" s="112"/>
      <c r="Q367" s="118"/>
    </row>
    <row r="368" spans="1:17" s="5" customFormat="1" ht="13">
      <c r="B368" s="84"/>
      <c r="C368" s="84"/>
      <c r="D368" s="85"/>
      <c r="E368" s="85"/>
      <c r="F368" s="85"/>
      <c r="G368" s="85"/>
      <c r="H368" s="85"/>
      <c r="I368" s="85"/>
      <c r="J368" s="85"/>
      <c r="K368" s="85"/>
      <c r="L368" s="109"/>
      <c r="M368" s="110"/>
      <c r="N368" s="111"/>
      <c r="O368" s="112"/>
      <c r="P368" s="112"/>
      <c r="Q368" s="118"/>
    </row>
    <row r="369" spans="2:17" s="5" customFormat="1" ht="13">
      <c r="B369" s="84"/>
      <c r="C369" s="84"/>
      <c r="D369" s="85"/>
      <c r="E369" s="85"/>
      <c r="F369" s="85"/>
      <c r="G369" s="85"/>
      <c r="H369" s="85"/>
      <c r="I369" s="85"/>
      <c r="J369" s="85"/>
      <c r="K369" s="85"/>
      <c r="L369" s="109"/>
      <c r="M369" s="110"/>
      <c r="N369" s="111"/>
      <c r="O369" s="112"/>
      <c r="P369" s="112"/>
      <c r="Q369" s="118"/>
    </row>
    <row r="370" spans="2:17" s="5" customFormat="1" ht="13">
      <c r="B370" s="84"/>
      <c r="C370" s="84"/>
      <c r="D370" s="85"/>
      <c r="E370" s="85"/>
      <c r="F370" s="85"/>
      <c r="G370" s="85"/>
      <c r="H370" s="85"/>
      <c r="I370" s="85"/>
      <c r="J370" s="85"/>
      <c r="K370" s="85"/>
      <c r="L370" s="109"/>
      <c r="M370" s="110"/>
      <c r="N370" s="111"/>
      <c r="O370" s="112"/>
      <c r="P370" s="112"/>
      <c r="Q370" s="118"/>
    </row>
    <row r="371" spans="2:17" s="5" customFormat="1" ht="13">
      <c r="B371" s="84"/>
      <c r="C371" s="84"/>
      <c r="D371" s="85"/>
      <c r="E371" s="85"/>
      <c r="F371" s="85"/>
      <c r="G371" s="85"/>
      <c r="H371" s="85"/>
      <c r="I371" s="85"/>
      <c r="J371" s="85"/>
      <c r="K371" s="85"/>
      <c r="L371" s="109"/>
      <c r="M371" s="110"/>
      <c r="N371" s="111"/>
      <c r="O371" s="112"/>
      <c r="P371" s="112"/>
      <c r="Q371" s="118"/>
    </row>
    <row r="372" spans="2:17" s="5" customFormat="1" ht="13">
      <c r="B372" s="84"/>
      <c r="C372" s="84"/>
      <c r="D372" s="85"/>
      <c r="E372" s="85"/>
      <c r="F372" s="85"/>
      <c r="G372" s="85"/>
      <c r="H372" s="85"/>
      <c r="I372" s="85"/>
      <c r="J372" s="85"/>
      <c r="K372" s="85"/>
      <c r="L372" s="109"/>
      <c r="M372" s="110"/>
      <c r="N372" s="111"/>
      <c r="O372" s="112"/>
      <c r="P372" s="112"/>
      <c r="Q372" s="118"/>
    </row>
    <row r="373" spans="2:17" s="5" customFormat="1" ht="13">
      <c r="B373" s="84"/>
      <c r="C373" s="84"/>
      <c r="D373" s="85"/>
      <c r="E373" s="85"/>
      <c r="F373" s="85"/>
      <c r="G373" s="85"/>
      <c r="H373" s="85"/>
      <c r="I373" s="85"/>
      <c r="J373" s="85"/>
      <c r="K373" s="85"/>
      <c r="L373" s="109"/>
      <c r="M373" s="110"/>
      <c r="N373" s="111"/>
      <c r="O373" s="112"/>
      <c r="P373" s="112"/>
      <c r="Q373" s="118"/>
    </row>
    <row r="374" spans="2:17" s="5" customFormat="1" ht="13">
      <c r="B374" s="84"/>
      <c r="C374" s="84"/>
      <c r="D374" s="85"/>
      <c r="E374" s="85"/>
      <c r="F374" s="85"/>
      <c r="G374" s="85"/>
      <c r="H374" s="85"/>
      <c r="I374" s="85"/>
      <c r="J374" s="85"/>
      <c r="K374" s="85"/>
      <c r="L374" s="109"/>
      <c r="M374" s="110"/>
      <c r="N374" s="111"/>
      <c r="O374" s="112"/>
      <c r="P374" s="112"/>
      <c r="Q374" s="118"/>
    </row>
    <row r="375" spans="2:17" s="5" customFormat="1" ht="13">
      <c r="B375" s="84"/>
      <c r="C375" s="84"/>
      <c r="D375" s="85"/>
      <c r="E375" s="85"/>
      <c r="F375" s="85"/>
      <c r="G375" s="85"/>
      <c r="H375" s="85"/>
      <c r="I375" s="85"/>
      <c r="J375" s="85"/>
      <c r="K375" s="85"/>
      <c r="L375" s="109"/>
      <c r="M375" s="110"/>
      <c r="N375" s="111"/>
      <c r="O375" s="112"/>
      <c r="P375" s="112"/>
      <c r="Q375" s="118"/>
    </row>
    <row r="376" spans="2:17" s="5" customFormat="1" ht="13">
      <c r="B376" s="84"/>
      <c r="C376" s="84"/>
      <c r="D376" s="85"/>
      <c r="E376" s="85"/>
      <c r="F376" s="85"/>
      <c r="G376" s="85"/>
      <c r="H376" s="85"/>
      <c r="I376" s="85"/>
      <c r="J376" s="85"/>
      <c r="K376" s="85"/>
      <c r="L376" s="109"/>
      <c r="M376" s="110"/>
      <c r="N376" s="111"/>
      <c r="O376" s="112"/>
      <c r="P376" s="112"/>
      <c r="Q376" s="118"/>
    </row>
    <row r="377" spans="2:17" s="5" customFormat="1" ht="13">
      <c r="B377" s="84"/>
      <c r="C377" s="84"/>
      <c r="D377" s="85"/>
      <c r="E377" s="85"/>
      <c r="F377" s="85"/>
      <c r="G377" s="85"/>
      <c r="H377" s="85"/>
      <c r="I377" s="85"/>
      <c r="J377" s="85"/>
      <c r="K377" s="85"/>
      <c r="L377" s="109"/>
      <c r="M377" s="110"/>
      <c r="N377" s="111"/>
      <c r="O377" s="112"/>
      <c r="P377" s="112"/>
      <c r="Q377" s="118"/>
    </row>
    <row r="378" spans="2:17" s="5" customFormat="1" ht="13">
      <c r="B378" s="84"/>
      <c r="C378" s="84"/>
      <c r="D378" s="85"/>
      <c r="E378" s="85"/>
      <c r="F378" s="85"/>
      <c r="G378" s="85"/>
      <c r="H378" s="85"/>
      <c r="I378" s="85"/>
      <c r="J378" s="85"/>
      <c r="K378" s="85"/>
      <c r="L378" s="109"/>
      <c r="M378" s="110"/>
      <c r="N378" s="111"/>
      <c r="O378" s="112"/>
      <c r="P378" s="112"/>
      <c r="Q378" s="118"/>
    </row>
    <row r="379" spans="2:17" s="5" customFormat="1" ht="13">
      <c r="B379" s="84"/>
      <c r="C379" s="84"/>
      <c r="D379" s="85"/>
      <c r="E379" s="85"/>
      <c r="F379" s="85"/>
      <c r="G379" s="85"/>
      <c r="H379" s="85"/>
      <c r="I379" s="85"/>
      <c r="J379" s="85"/>
      <c r="K379" s="85"/>
      <c r="L379" s="109"/>
      <c r="M379" s="110"/>
      <c r="N379" s="111"/>
      <c r="O379" s="112"/>
      <c r="P379" s="112"/>
      <c r="Q379" s="118"/>
    </row>
    <row r="380" spans="2:17" s="5" customFormat="1" ht="13">
      <c r="B380" s="84"/>
      <c r="C380" s="84"/>
      <c r="D380" s="85"/>
      <c r="E380" s="85"/>
      <c r="F380" s="85"/>
      <c r="G380" s="85"/>
      <c r="H380" s="85"/>
      <c r="I380" s="85"/>
      <c r="J380" s="85"/>
      <c r="K380" s="85"/>
      <c r="L380" s="109"/>
      <c r="M380" s="110"/>
      <c r="N380" s="111"/>
      <c r="O380" s="112"/>
      <c r="P380" s="112"/>
      <c r="Q380" s="118"/>
    </row>
    <row r="381" spans="2:17" s="5" customFormat="1" ht="13">
      <c r="B381" s="84"/>
      <c r="C381" s="84"/>
      <c r="D381" s="85"/>
      <c r="E381" s="85"/>
      <c r="F381" s="85"/>
      <c r="G381" s="85"/>
      <c r="H381" s="85"/>
      <c r="I381" s="85"/>
      <c r="J381" s="85"/>
      <c r="K381" s="85"/>
      <c r="L381" s="109"/>
      <c r="M381" s="110"/>
      <c r="N381" s="111"/>
      <c r="O381" s="112"/>
      <c r="P381" s="112"/>
      <c r="Q381" s="118"/>
    </row>
    <row r="382" spans="2:17" s="5" customFormat="1" ht="13">
      <c r="B382" s="84"/>
      <c r="C382" s="84"/>
      <c r="D382" s="85"/>
      <c r="E382" s="85"/>
      <c r="F382" s="85"/>
      <c r="G382" s="85"/>
      <c r="H382" s="85"/>
      <c r="I382" s="85"/>
      <c r="J382" s="85"/>
      <c r="K382" s="85"/>
      <c r="L382" s="109"/>
      <c r="M382" s="110"/>
      <c r="N382" s="111"/>
      <c r="O382" s="112"/>
      <c r="P382" s="112"/>
      <c r="Q382" s="118"/>
    </row>
    <row r="383" spans="2:17" s="5" customFormat="1" ht="13">
      <c r="B383" s="84"/>
      <c r="C383" s="84"/>
      <c r="D383" s="85"/>
      <c r="E383" s="85"/>
      <c r="F383" s="85"/>
      <c r="G383" s="85"/>
      <c r="H383" s="85"/>
      <c r="I383" s="85"/>
      <c r="J383" s="85"/>
      <c r="K383" s="85"/>
      <c r="L383" s="109"/>
      <c r="M383" s="110"/>
      <c r="N383" s="111"/>
      <c r="O383" s="112"/>
      <c r="P383" s="112"/>
      <c r="Q383" s="118"/>
    </row>
    <row r="384" spans="2:17" s="5" customFormat="1" ht="13">
      <c r="B384" s="84"/>
      <c r="C384" s="84"/>
      <c r="D384" s="85"/>
      <c r="E384" s="85"/>
      <c r="F384" s="85"/>
      <c r="G384" s="85"/>
      <c r="H384" s="85"/>
      <c r="I384" s="85"/>
      <c r="J384" s="85"/>
      <c r="K384" s="85"/>
      <c r="L384" s="109"/>
      <c r="M384" s="110"/>
      <c r="N384" s="111"/>
      <c r="O384" s="112"/>
      <c r="P384" s="112"/>
      <c r="Q384" s="118"/>
    </row>
    <row r="385" spans="2:17" s="5" customFormat="1" ht="13">
      <c r="B385" s="84"/>
      <c r="C385" s="84"/>
      <c r="D385" s="85"/>
      <c r="E385" s="85"/>
      <c r="F385" s="85"/>
      <c r="G385" s="85"/>
      <c r="H385" s="85"/>
      <c r="I385" s="85"/>
      <c r="J385" s="85"/>
      <c r="K385" s="85"/>
      <c r="L385" s="109"/>
      <c r="M385" s="110"/>
      <c r="N385" s="111"/>
      <c r="O385" s="112"/>
      <c r="P385" s="112"/>
      <c r="Q385" s="118"/>
    </row>
    <row r="386" spans="2:17" s="5" customFormat="1" ht="13">
      <c r="B386" s="84"/>
      <c r="C386" s="84"/>
      <c r="D386" s="85"/>
      <c r="E386" s="85"/>
      <c r="F386" s="85"/>
      <c r="G386" s="85"/>
      <c r="H386" s="85"/>
      <c r="I386" s="85"/>
      <c r="J386" s="85"/>
      <c r="K386" s="85"/>
      <c r="L386" s="109"/>
      <c r="M386" s="110"/>
      <c r="N386" s="111"/>
      <c r="O386" s="112"/>
      <c r="P386" s="112"/>
      <c r="Q386" s="118"/>
    </row>
    <row r="387" spans="2:17" s="5" customFormat="1" ht="13">
      <c r="B387" s="84"/>
      <c r="C387" s="84"/>
      <c r="D387" s="85"/>
      <c r="E387" s="85"/>
      <c r="F387" s="85"/>
      <c r="G387" s="85"/>
      <c r="H387" s="85"/>
      <c r="I387" s="85"/>
      <c r="J387" s="85"/>
      <c r="K387" s="85"/>
      <c r="L387" s="109"/>
      <c r="M387" s="110"/>
      <c r="N387" s="111"/>
      <c r="O387" s="112"/>
      <c r="P387" s="112"/>
      <c r="Q387" s="118"/>
    </row>
    <row r="388" spans="2:17" s="5" customFormat="1" ht="13">
      <c r="B388" s="84"/>
      <c r="C388" s="84"/>
      <c r="D388" s="85"/>
      <c r="E388" s="85"/>
      <c r="F388" s="85"/>
      <c r="G388" s="85"/>
      <c r="H388" s="85"/>
      <c r="I388" s="85"/>
      <c r="J388" s="85"/>
      <c r="K388" s="85"/>
      <c r="L388" s="109"/>
      <c r="M388" s="110"/>
      <c r="N388" s="111"/>
      <c r="O388" s="112"/>
      <c r="P388" s="112"/>
      <c r="Q388" s="118"/>
    </row>
    <row r="389" spans="2:17" s="5" customFormat="1" ht="13">
      <c r="B389" s="84"/>
      <c r="C389" s="84"/>
      <c r="D389" s="85"/>
      <c r="E389" s="85"/>
      <c r="F389" s="85"/>
      <c r="G389" s="85"/>
      <c r="H389" s="85"/>
      <c r="I389" s="85"/>
      <c r="J389" s="85"/>
      <c r="K389" s="85"/>
      <c r="L389" s="109"/>
      <c r="M389" s="110"/>
      <c r="N389" s="111"/>
      <c r="O389" s="112"/>
      <c r="P389" s="112"/>
      <c r="Q389" s="118"/>
    </row>
    <row r="390" spans="2:17" s="5" customFormat="1" ht="13">
      <c r="B390" s="84"/>
      <c r="C390" s="84"/>
      <c r="D390" s="85"/>
      <c r="E390" s="85"/>
      <c r="F390" s="85"/>
      <c r="G390" s="85"/>
      <c r="H390" s="85"/>
      <c r="I390" s="85"/>
      <c r="J390" s="85"/>
      <c r="K390" s="85"/>
      <c r="L390" s="109"/>
      <c r="M390" s="110"/>
      <c r="N390" s="111"/>
      <c r="O390" s="112"/>
      <c r="P390" s="112"/>
      <c r="Q390" s="118"/>
    </row>
    <row r="391" spans="2:17" s="5" customFormat="1" ht="13">
      <c r="B391" s="84"/>
      <c r="C391" s="84"/>
      <c r="D391" s="85"/>
      <c r="E391" s="85"/>
      <c r="F391" s="85"/>
      <c r="G391" s="85"/>
      <c r="H391" s="85"/>
      <c r="I391" s="85"/>
      <c r="J391" s="85"/>
      <c r="K391" s="85"/>
      <c r="L391" s="109"/>
      <c r="M391" s="110"/>
      <c r="N391" s="111"/>
      <c r="O391" s="112"/>
      <c r="P391" s="112"/>
      <c r="Q391" s="118"/>
    </row>
    <row r="392" spans="2:17" s="5" customFormat="1" ht="13">
      <c r="B392" s="84"/>
      <c r="C392" s="84"/>
      <c r="D392" s="85"/>
      <c r="E392" s="85"/>
      <c r="F392" s="85"/>
      <c r="G392" s="85"/>
      <c r="H392" s="85"/>
      <c r="I392" s="85"/>
      <c r="J392" s="85"/>
      <c r="K392" s="85"/>
      <c r="L392" s="109"/>
      <c r="M392" s="110"/>
      <c r="N392" s="111"/>
      <c r="O392" s="112"/>
      <c r="P392" s="112"/>
      <c r="Q392" s="118"/>
    </row>
    <row r="393" spans="2:17" s="5" customFormat="1" ht="13">
      <c r="B393" s="84"/>
      <c r="C393" s="84"/>
      <c r="D393" s="85"/>
      <c r="E393" s="85"/>
      <c r="F393" s="85"/>
      <c r="G393" s="85"/>
      <c r="H393" s="85"/>
      <c r="I393" s="85"/>
      <c r="J393" s="85"/>
      <c r="K393" s="85"/>
      <c r="L393" s="109"/>
      <c r="M393" s="110"/>
      <c r="N393" s="111"/>
      <c r="O393" s="112"/>
      <c r="P393" s="112"/>
      <c r="Q393" s="118"/>
    </row>
    <row r="394" spans="2:17" s="5" customFormat="1" ht="13">
      <c r="B394" s="84"/>
      <c r="C394" s="84"/>
      <c r="D394" s="85"/>
      <c r="E394" s="85"/>
      <c r="F394" s="85"/>
      <c r="G394" s="85"/>
      <c r="H394" s="85"/>
      <c r="I394" s="85"/>
      <c r="J394" s="85"/>
      <c r="K394" s="85"/>
      <c r="L394" s="109"/>
      <c r="M394" s="110"/>
      <c r="N394" s="111"/>
      <c r="O394" s="112"/>
      <c r="P394" s="112"/>
      <c r="Q394" s="118"/>
    </row>
    <row r="395" spans="2:17" s="5" customFormat="1" ht="13">
      <c r="B395" s="84"/>
      <c r="C395" s="84"/>
      <c r="D395" s="85"/>
      <c r="E395" s="85"/>
      <c r="F395" s="85"/>
      <c r="G395" s="85"/>
      <c r="H395" s="85"/>
      <c r="I395" s="85"/>
      <c r="J395" s="85"/>
      <c r="K395" s="85"/>
      <c r="L395" s="109"/>
      <c r="M395" s="110"/>
      <c r="N395" s="111"/>
      <c r="O395" s="112"/>
      <c r="P395" s="112"/>
      <c r="Q395" s="118"/>
    </row>
    <row r="396" spans="2:17" s="5" customFormat="1" ht="13">
      <c r="B396" s="84"/>
      <c r="C396" s="84"/>
      <c r="D396" s="85"/>
      <c r="E396" s="85"/>
      <c r="F396" s="85"/>
      <c r="G396" s="85"/>
      <c r="H396" s="85"/>
      <c r="I396" s="85"/>
      <c r="J396" s="85"/>
      <c r="K396" s="85"/>
      <c r="L396" s="109"/>
      <c r="M396" s="110"/>
      <c r="N396" s="111"/>
      <c r="O396" s="112"/>
      <c r="P396" s="112"/>
      <c r="Q396" s="118"/>
    </row>
    <row r="397" spans="2:17" s="5" customFormat="1" ht="13">
      <c r="B397" s="84"/>
      <c r="C397" s="84"/>
      <c r="D397" s="85"/>
      <c r="E397" s="85"/>
      <c r="F397" s="85"/>
      <c r="G397" s="85"/>
      <c r="H397" s="85"/>
      <c r="I397" s="85"/>
      <c r="J397" s="85"/>
      <c r="K397" s="85"/>
      <c r="L397" s="109"/>
      <c r="M397" s="110"/>
      <c r="N397" s="111"/>
      <c r="O397" s="112"/>
      <c r="P397" s="112"/>
      <c r="Q397" s="118"/>
    </row>
    <row r="398" spans="2:17" s="5" customFormat="1" ht="13">
      <c r="B398" s="84"/>
      <c r="C398" s="84"/>
      <c r="D398" s="85"/>
      <c r="E398" s="85"/>
      <c r="F398" s="85"/>
      <c r="G398" s="85"/>
      <c r="H398" s="85"/>
      <c r="I398" s="85"/>
      <c r="J398" s="85"/>
      <c r="K398" s="85"/>
      <c r="L398" s="109"/>
      <c r="M398" s="110"/>
      <c r="N398" s="111"/>
      <c r="O398" s="112"/>
      <c r="P398" s="112"/>
      <c r="Q398" s="118"/>
    </row>
    <row r="399" spans="2:17" s="5" customFormat="1" ht="13">
      <c r="B399" s="84"/>
      <c r="C399" s="84"/>
      <c r="D399" s="85"/>
      <c r="E399" s="85"/>
      <c r="F399" s="85"/>
      <c r="G399" s="85"/>
      <c r="H399" s="85"/>
      <c r="I399" s="85"/>
      <c r="J399" s="85"/>
      <c r="K399" s="85"/>
      <c r="L399" s="109"/>
      <c r="M399" s="110"/>
      <c r="N399" s="111"/>
      <c r="O399" s="112"/>
      <c r="P399" s="112"/>
      <c r="Q399" s="118"/>
    </row>
    <row r="400" spans="2:17" s="5" customFormat="1" ht="13">
      <c r="B400" s="84"/>
      <c r="C400" s="84"/>
      <c r="D400" s="85"/>
      <c r="E400" s="85"/>
      <c r="F400" s="85"/>
      <c r="G400" s="85"/>
      <c r="H400" s="85"/>
      <c r="I400" s="85"/>
      <c r="J400" s="85"/>
      <c r="K400" s="85"/>
      <c r="L400" s="109"/>
      <c r="M400" s="110"/>
      <c r="N400" s="111"/>
      <c r="O400" s="112"/>
      <c r="P400" s="112"/>
      <c r="Q400" s="118"/>
    </row>
    <row r="401" spans="2:17" s="5" customFormat="1" ht="13">
      <c r="B401" s="84"/>
      <c r="C401" s="84"/>
      <c r="D401" s="85"/>
      <c r="E401" s="85"/>
      <c r="F401" s="85"/>
      <c r="G401" s="85"/>
      <c r="H401" s="85"/>
      <c r="I401" s="85"/>
      <c r="J401" s="85"/>
      <c r="K401" s="85"/>
      <c r="L401" s="109"/>
      <c r="M401" s="110"/>
      <c r="N401" s="111"/>
      <c r="O401" s="112"/>
      <c r="P401" s="112"/>
      <c r="Q401" s="118"/>
    </row>
    <row r="402" spans="2:17" s="5" customFormat="1" ht="13">
      <c r="B402" s="84"/>
      <c r="C402" s="84"/>
      <c r="D402" s="85"/>
      <c r="E402" s="85"/>
      <c r="F402" s="85"/>
      <c r="G402" s="85"/>
      <c r="H402" s="85"/>
      <c r="I402" s="85"/>
      <c r="J402" s="85"/>
      <c r="K402" s="85"/>
      <c r="L402" s="109"/>
      <c r="M402" s="110"/>
      <c r="N402" s="111"/>
      <c r="O402" s="112"/>
      <c r="P402" s="112"/>
      <c r="Q402" s="118"/>
    </row>
    <row r="403" spans="2:17" s="5" customFormat="1" ht="13">
      <c r="B403" s="84"/>
      <c r="C403" s="84"/>
      <c r="D403" s="85"/>
      <c r="E403" s="85"/>
      <c r="F403" s="85"/>
      <c r="G403" s="85"/>
      <c r="H403" s="85"/>
      <c r="I403" s="85"/>
      <c r="J403" s="85"/>
      <c r="K403" s="85"/>
      <c r="L403" s="109"/>
      <c r="M403" s="110"/>
      <c r="N403" s="111"/>
      <c r="O403" s="112"/>
      <c r="P403" s="112"/>
      <c r="Q403" s="118"/>
    </row>
    <row r="404" spans="2:17" s="5" customFormat="1" ht="13">
      <c r="B404" s="84"/>
      <c r="C404" s="84"/>
      <c r="D404" s="85"/>
      <c r="E404" s="85"/>
      <c r="F404" s="85"/>
      <c r="G404" s="85"/>
      <c r="H404" s="85"/>
      <c r="I404" s="85"/>
      <c r="J404" s="85"/>
      <c r="K404" s="85"/>
      <c r="L404" s="109"/>
      <c r="M404" s="110"/>
      <c r="N404" s="111"/>
      <c r="O404" s="112"/>
      <c r="P404" s="112"/>
      <c r="Q404" s="118"/>
    </row>
    <row r="405" spans="2:17" s="5" customFormat="1" ht="13">
      <c r="B405" s="84"/>
      <c r="C405" s="84"/>
      <c r="D405" s="85"/>
      <c r="E405" s="85"/>
      <c r="F405" s="85"/>
      <c r="G405" s="85"/>
      <c r="H405" s="85"/>
      <c r="I405" s="85"/>
      <c r="J405" s="85"/>
      <c r="K405" s="85"/>
      <c r="L405" s="109"/>
      <c r="M405" s="110"/>
      <c r="N405" s="111"/>
      <c r="O405" s="112"/>
      <c r="P405" s="112"/>
      <c r="Q405" s="118"/>
    </row>
    <row r="406" spans="2:17" s="5" customFormat="1" ht="13">
      <c r="B406" s="84"/>
      <c r="C406" s="84"/>
      <c r="D406" s="85"/>
      <c r="E406" s="85"/>
      <c r="F406" s="85"/>
      <c r="G406" s="85"/>
      <c r="H406" s="85"/>
      <c r="I406" s="85"/>
      <c r="J406" s="85"/>
      <c r="K406" s="85"/>
      <c r="L406" s="109"/>
      <c r="M406" s="110"/>
      <c r="N406" s="111"/>
      <c r="O406" s="112"/>
      <c r="P406" s="112"/>
      <c r="Q406" s="118"/>
    </row>
    <row r="407" spans="2:17" s="5" customFormat="1" ht="13">
      <c r="B407" s="84"/>
      <c r="C407" s="84"/>
      <c r="D407" s="85"/>
      <c r="E407" s="85"/>
      <c r="F407" s="85"/>
      <c r="G407" s="85"/>
      <c r="H407" s="85"/>
      <c r="I407" s="85"/>
      <c r="J407" s="85"/>
      <c r="K407" s="85"/>
      <c r="L407" s="109"/>
      <c r="M407" s="110"/>
      <c r="N407" s="111"/>
      <c r="O407" s="112"/>
      <c r="P407" s="112"/>
      <c r="Q407" s="118"/>
    </row>
    <row r="408" spans="2:17" s="5" customFormat="1" ht="13">
      <c r="B408" s="84"/>
      <c r="C408" s="84"/>
      <c r="D408" s="85"/>
      <c r="E408" s="85"/>
      <c r="F408" s="85"/>
      <c r="G408" s="85"/>
      <c r="H408" s="85"/>
      <c r="I408" s="85"/>
      <c r="J408" s="85"/>
      <c r="K408" s="85"/>
      <c r="L408" s="109"/>
      <c r="M408" s="110"/>
      <c r="N408" s="111"/>
      <c r="O408" s="112"/>
      <c r="P408" s="112"/>
      <c r="Q408" s="118"/>
    </row>
    <row r="409" spans="2:17" s="5" customFormat="1" ht="13">
      <c r="B409" s="84"/>
      <c r="C409" s="84"/>
      <c r="D409" s="85"/>
      <c r="E409" s="85"/>
      <c r="F409" s="85"/>
      <c r="G409" s="85"/>
      <c r="H409" s="85"/>
      <c r="I409" s="85"/>
      <c r="J409" s="85"/>
      <c r="K409" s="85"/>
      <c r="L409" s="109"/>
      <c r="M409" s="110"/>
      <c r="N409" s="111"/>
      <c r="O409" s="112"/>
      <c r="P409" s="112"/>
      <c r="Q409" s="118"/>
    </row>
    <row r="410" spans="2:17" s="5" customFormat="1" ht="13">
      <c r="B410" s="84"/>
      <c r="C410" s="84"/>
      <c r="D410" s="85"/>
      <c r="E410" s="85"/>
      <c r="F410" s="85"/>
      <c r="G410" s="85"/>
      <c r="H410" s="85"/>
      <c r="I410" s="85"/>
      <c r="J410" s="85"/>
      <c r="K410" s="85"/>
      <c r="L410" s="109"/>
      <c r="M410" s="110"/>
      <c r="N410" s="111"/>
      <c r="O410" s="112"/>
      <c r="P410" s="112"/>
      <c r="Q410" s="118"/>
    </row>
    <row r="411" spans="2:17" s="5" customFormat="1" ht="13">
      <c r="B411" s="84"/>
      <c r="C411" s="84"/>
      <c r="D411" s="85"/>
      <c r="E411" s="85"/>
      <c r="F411" s="85"/>
      <c r="G411" s="85"/>
      <c r="H411" s="85"/>
      <c r="I411" s="85"/>
      <c r="J411" s="85"/>
      <c r="K411" s="85"/>
      <c r="L411" s="109"/>
      <c r="M411" s="110"/>
      <c r="N411" s="111"/>
      <c r="O411" s="112"/>
      <c r="P411" s="112"/>
      <c r="Q411" s="118"/>
    </row>
    <row r="412" spans="2:17" s="5" customFormat="1" ht="13">
      <c r="B412" s="84"/>
      <c r="C412" s="84"/>
      <c r="D412" s="85"/>
      <c r="E412" s="85"/>
      <c r="F412" s="85"/>
      <c r="G412" s="85"/>
      <c r="H412" s="85"/>
      <c r="I412" s="85"/>
      <c r="J412" s="85"/>
      <c r="K412" s="85"/>
      <c r="L412" s="109"/>
      <c r="M412" s="110"/>
      <c r="N412" s="111"/>
      <c r="O412" s="112"/>
      <c r="P412" s="112"/>
      <c r="Q412" s="118"/>
    </row>
    <row r="413" spans="2:17" s="5" customFormat="1" ht="13">
      <c r="B413" s="84"/>
      <c r="C413" s="84"/>
      <c r="D413" s="85"/>
      <c r="E413" s="85"/>
      <c r="F413" s="85"/>
      <c r="G413" s="85"/>
      <c r="H413" s="85"/>
      <c r="I413" s="85"/>
      <c r="J413" s="85"/>
      <c r="K413" s="85"/>
      <c r="L413" s="109"/>
      <c r="M413" s="110"/>
      <c r="N413" s="111"/>
      <c r="O413" s="112"/>
      <c r="P413" s="112"/>
      <c r="Q413" s="118"/>
    </row>
    <row r="414" spans="2:17" s="5" customFormat="1" ht="13">
      <c r="B414" s="84"/>
      <c r="C414" s="84"/>
      <c r="D414" s="85"/>
      <c r="E414" s="85"/>
      <c r="F414" s="85"/>
      <c r="G414" s="85"/>
      <c r="H414" s="85"/>
      <c r="I414" s="85"/>
      <c r="J414" s="85"/>
      <c r="K414" s="85"/>
      <c r="L414" s="109"/>
      <c r="M414" s="110"/>
      <c r="N414" s="111"/>
      <c r="O414" s="112"/>
      <c r="P414" s="112"/>
      <c r="Q414" s="118"/>
    </row>
    <row r="415" spans="2:17" s="5" customFormat="1" ht="13">
      <c r="B415" s="84"/>
      <c r="C415" s="84"/>
      <c r="D415" s="85"/>
      <c r="E415" s="85"/>
      <c r="F415" s="85"/>
      <c r="G415" s="85"/>
      <c r="H415" s="85"/>
      <c r="I415" s="85"/>
      <c r="J415" s="85"/>
      <c r="K415" s="85"/>
      <c r="L415" s="109"/>
      <c r="M415" s="110"/>
      <c r="N415" s="111"/>
      <c r="O415" s="112"/>
      <c r="P415" s="112"/>
      <c r="Q415" s="118"/>
    </row>
    <row r="416" spans="2:17" s="5" customFormat="1" ht="13">
      <c r="B416" s="84"/>
      <c r="C416" s="84"/>
      <c r="D416" s="85"/>
      <c r="E416" s="85"/>
      <c r="F416" s="85"/>
      <c r="G416" s="85"/>
      <c r="H416" s="85"/>
      <c r="I416" s="85"/>
      <c r="J416" s="85"/>
      <c r="K416" s="85"/>
      <c r="L416" s="109"/>
      <c r="M416" s="110"/>
      <c r="N416" s="111"/>
      <c r="O416" s="112"/>
      <c r="P416" s="112"/>
      <c r="Q416" s="118"/>
    </row>
    <row r="417" spans="2:17" s="5" customFormat="1" ht="13">
      <c r="B417" s="84"/>
      <c r="C417" s="84"/>
      <c r="D417" s="85"/>
      <c r="E417" s="85"/>
      <c r="F417" s="85"/>
      <c r="G417" s="85"/>
      <c r="H417" s="85"/>
      <c r="I417" s="85"/>
      <c r="J417" s="85"/>
      <c r="K417" s="85"/>
      <c r="L417" s="109"/>
      <c r="M417" s="110"/>
      <c r="N417" s="111"/>
      <c r="O417" s="112"/>
      <c r="P417" s="112"/>
      <c r="Q417" s="118"/>
    </row>
    <row r="418" spans="2:17" s="5" customFormat="1" ht="13">
      <c r="B418" s="84"/>
      <c r="C418" s="84"/>
      <c r="D418" s="85"/>
      <c r="E418" s="85"/>
      <c r="F418" s="85"/>
      <c r="G418" s="85"/>
      <c r="H418" s="85"/>
      <c r="I418" s="85"/>
      <c r="J418" s="85"/>
      <c r="K418" s="85"/>
      <c r="L418" s="109"/>
      <c r="M418" s="110"/>
      <c r="N418" s="111"/>
      <c r="O418" s="112"/>
      <c r="P418" s="112"/>
      <c r="Q418" s="118"/>
    </row>
    <row r="419" spans="2:17" s="5" customFormat="1" ht="13">
      <c r="B419" s="84"/>
      <c r="C419" s="84"/>
      <c r="D419" s="85"/>
      <c r="E419" s="85"/>
      <c r="F419" s="85"/>
      <c r="G419" s="85"/>
      <c r="H419" s="85"/>
      <c r="I419" s="85"/>
      <c r="J419" s="85"/>
      <c r="K419" s="85"/>
      <c r="L419" s="109"/>
      <c r="M419" s="110"/>
      <c r="N419" s="111"/>
      <c r="O419" s="112"/>
      <c r="P419" s="112"/>
      <c r="Q419" s="118"/>
    </row>
    <row r="420" spans="2:17" s="5" customFormat="1" ht="13">
      <c r="B420" s="84"/>
      <c r="C420" s="84"/>
      <c r="D420" s="85"/>
      <c r="E420" s="85"/>
      <c r="F420" s="85"/>
      <c r="G420" s="85"/>
      <c r="H420" s="85"/>
      <c r="I420" s="85"/>
      <c r="J420" s="85"/>
      <c r="K420" s="85"/>
      <c r="L420" s="109"/>
      <c r="M420" s="110"/>
      <c r="N420" s="111"/>
      <c r="O420" s="112"/>
      <c r="P420" s="112"/>
      <c r="Q420" s="118"/>
    </row>
    <row r="421" spans="2:17" s="5" customFormat="1" ht="13">
      <c r="B421" s="84"/>
      <c r="C421" s="84"/>
      <c r="D421" s="85"/>
      <c r="E421" s="85"/>
      <c r="F421" s="85"/>
      <c r="G421" s="85"/>
      <c r="H421" s="85"/>
      <c r="I421" s="85"/>
      <c r="J421" s="85"/>
      <c r="K421" s="85"/>
      <c r="L421" s="109"/>
      <c r="M421" s="110"/>
      <c r="N421" s="111"/>
      <c r="O421" s="112"/>
      <c r="P421" s="112"/>
      <c r="Q421" s="118"/>
    </row>
    <row r="422" spans="2:17" s="5" customFormat="1" ht="13">
      <c r="B422" s="84"/>
      <c r="C422" s="84"/>
      <c r="D422" s="85"/>
      <c r="E422" s="85"/>
      <c r="F422" s="85"/>
      <c r="G422" s="85"/>
      <c r="H422" s="85"/>
      <c r="I422" s="85"/>
      <c r="J422" s="85"/>
      <c r="K422" s="85"/>
      <c r="L422" s="109"/>
      <c r="M422" s="110"/>
      <c r="N422" s="111"/>
      <c r="O422" s="112"/>
      <c r="P422" s="112"/>
      <c r="Q422" s="118"/>
    </row>
    <row r="423" spans="2:17" s="5" customFormat="1" ht="13">
      <c r="B423" s="84"/>
      <c r="C423" s="84"/>
      <c r="D423" s="85"/>
      <c r="E423" s="85"/>
      <c r="F423" s="85"/>
      <c r="G423" s="85"/>
      <c r="H423" s="85"/>
      <c r="I423" s="85"/>
      <c r="J423" s="85"/>
      <c r="K423" s="85"/>
      <c r="L423" s="109"/>
      <c r="M423" s="110"/>
      <c r="N423" s="111"/>
      <c r="O423" s="112"/>
      <c r="P423" s="112"/>
      <c r="Q423" s="118"/>
    </row>
    <row r="424" spans="2:17" s="5" customFormat="1" ht="13">
      <c r="B424" s="84"/>
      <c r="C424" s="84"/>
      <c r="D424" s="85"/>
      <c r="E424" s="85"/>
      <c r="F424" s="85"/>
      <c r="G424" s="85"/>
      <c r="H424" s="85"/>
      <c r="I424" s="85"/>
      <c r="J424" s="85"/>
      <c r="K424" s="85"/>
      <c r="L424" s="109"/>
      <c r="M424" s="110"/>
      <c r="N424" s="111"/>
      <c r="O424" s="112"/>
      <c r="P424" s="112"/>
      <c r="Q424" s="118"/>
    </row>
    <row r="425" spans="2:17" s="5" customFormat="1" ht="13">
      <c r="B425" s="84"/>
      <c r="C425" s="84"/>
      <c r="D425" s="85"/>
      <c r="E425" s="85"/>
      <c r="F425" s="85"/>
      <c r="G425" s="85"/>
      <c r="H425" s="85"/>
      <c r="I425" s="85"/>
      <c r="J425" s="85"/>
      <c r="K425" s="85"/>
      <c r="L425" s="109"/>
      <c r="M425" s="110"/>
      <c r="N425" s="111"/>
      <c r="O425" s="112"/>
      <c r="P425" s="112"/>
      <c r="Q425" s="118"/>
    </row>
    <row r="426" spans="2:17" s="5" customFormat="1" ht="13">
      <c r="B426" s="84"/>
      <c r="C426" s="84"/>
      <c r="D426" s="85"/>
      <c r="E426" s="85"/>
      <c r="F426" s="85"/>
      <c r="G426" s="85"/>
      <c r="H426" s="85"/>
      <c r="I426" s="85"/>
      <c r="J426" s="85"/>
      <c r="K426" s="85"/>
      <c r="L426" s="109"/>
      <c r="M426" s="110"/>
      <c r="N426" s="111"/>
      <c r="O426" s="112"/>
      <c r="P426" s="112"/>
      <c r="Q426" s="118"/>
    </row>
    <row r="427" spans="2:17" s="5" customFormat="1" ht="13">
      <c r="B427" s="84"/>
      <c r="C427" s="84"/>
      <c r="D427" s="85"/>
      <c r="E427" s="85"/>
      <c r="F427" s="85"/>
      <c r="G427" s="85"/>
      <c r="H427" s="85"/>
      <c r="I427" s="85"/>
      <c r="J427" s="85"/>
      <c r="K427" s="85"/>
      <c r="L427" s="109"/>
      <c r="M427" s="110"/>
      <c r="N427" s="111"/>
      <c r="O427" s="112"/>
      <c r="P427" s="112"/>
      <c r="Q427" s="118"/>
    </row>
    <row r="428" spans="2:17" s="5" customFormat="1" ht="13">
      <c r="B428" s="84"/>
      <c r="C428" s="84"/>
      <c r="D428" s="85"/>
      <c r="E428" s="85"/>
      <c r="F428" s="85"/>
      <c r="G428" s="85"/>
      <c r="H428" s="85"/>
      <c r="I428" s="85"/>
      <c r="J428" s="85"/>
      <c r="K428" s="85"/>
      <c r="L428" s="109"/>
      <c r="M428" s="110"/>
      <c r="N428" s="111"/>
      <c r="O428" s="112"/>
      <c r="P428" s="112"/>
      <c r="Q428" s="118"/>
    </row>
    <row r="429" spans="2:17" s="5" customFormat="1" ht="13">
      <c r="B429" s="84"/>
      <c r="C429" s="84"/>
      <c r="D429" s="85"/>
      <c r="E429" s="85"/>
      <c r="F429" s="85"/>
      <c r="G429" s="85"/>
      <c r="H429" s="85"/>
      <c r="I429" s="85"/>
      <c r="J429" s="85"/>
      <c r="K429" s="85"/>
      <c r="L429" s="109"/>
      <c r="M429" s="110"/>
      <c r="N429" s="111"/>
      <c r="O429" s="112"/>
      <c r="P429" s="112"/>
      <c r="Q429" s="118"/>
    </row>
    <row r="430" spans="2:17" s="5" customFormat="1" ht="13">
      <c r="B430" s="84"/>
      <c r="C430" s="84"/>
      <c r="D430" s="85"/>
      <c r="E430" s="85"/>
      <c r="F430" s="85"/>
      <c r="G430" s="85"/>
      <c r="H430" s="85"/>
      <c r="I430" s="85"/>
      <c r="J430" s="85"/>
      <c r="K430" s="85"/>
      <c r="L430" s="109"/>
      <c r="M430" s="110"/>
      <c r="N430" s="111"/>
      <c r="O430" s="112"/>
      <c r="P430" s="112"/>
      <c r="Q430" s="118"/>
    </row>
    <row r="431" spans="2:17" s="5" customFormat="1" ht="13">
      <c r="B431" s="84"/>
      <c r="C431" s="84"/>
      <c r="D431" s="85"/>
      <c r="E431" s="85"/>
      <c r="F431" s="85"/>
      <c r="G431" s="85"/>
      <c r="H431" s="85"/>
      <c r="I431" s="85"/>
      <c r="J431" s="85"/>
      <c r="K431" s="85"/>
      <c r="L431" s="109"/>
      <c r="M431" s="110"/>
      <c r="N431" s="111"/>
      <c r="O431" s="112"/>
      <c r="P431" s="112"/>
      <c r="Q431" s="118"/>
    </row>
    <row r="432" spans="2:17" s="5" customFormat="1" ht="13">
      <c r="B432" s="84"/>
      <c r="C432" s="84"/>
      <c r="D432" s="85"/>
      <c r="E432" s="85"/>
      <c r="F432" s="85"/>
      <c r="G432" s="85"/>
      <c r="H432" s="85"/>
      <c r="I432" s="85"/>
      <c r="J432" s="85"/>
      <c r="K432" s="85"/>
      <c r="L432" s="109"/>
      <c r="M432" s="110"/>
      <c r="N432" s="111"/>
      <c r="O432" s="112"/>
      <c r="P432" s="112"/>
      <c r="Q432" s="118"/>
    </row>
    <row r="433" spans="2:17" s="5" customFormat="1" ht="13">
      <c r="B433" s="84"/>
      <c r="C433" s="84"/>
      <c r="D433" s="85"/>
      <c r="E433" s="85"/>
      <c r="F433" s="85"/>
      <c r="G433" s="85"/>
      <c r="H433" s="85"/>
      <c r="I433" s="85"/>
      <c r="J433" s="85"/>
      <c r="K433" s="85"/>
      <c r="L433" s="109"/>
      <c r="M433" s="110"/>
      <c r="N433" s="111"/>
      <c r="O433" s="112"/>
      <c r="P433" s="112"/>
      <c r="Q433" s="118"/>
    </row>
    <row r="434" spans="2:17" s="5" customFormat="1" ht="13">
      <c r="B434" s="84"/>
      <c r="C434" s="84"/>
      <c r="D434" s="85"/>
      <c r="E434" s="85"/>
      <c r="F434" s="85"/>
      <c r="G434" s="85"/>
      <c r="H434" s="85"/>
      <c r="I434" s="85"/>
      <c r="J434" s="85"/>
      <c r="K434" s="85"/>
      <c r="L434" s="109"/>
      <c r="M434" s="110"/>
      <c r="N434" s="111"/>
      <c r="O434" s="112"/>
      <c r="P434" s="112"/>
      <c r="Q434" s="118"/>
    </row>
    <row r="435" spans="2:17" s="5" customFormat="1" ht="13">
      <c r="B435" s="84"/>
      <c r="C435" s="84"/>
      <c r="D435" s="85"/>
      <c r="E435" s="85"/>
      <c r="F435" s="85"/>
      <c r="G435" s="85"/>
      <c r="H435" s="85"/>
      <c r="I435" s="85"/>
      <c r="J435" s="85"/>
      <c r="K435" s="85"/>
      <c r="L435" s="109"/>
      <c r="M435" s="110"/>
      <c r="N435" s="111"/>
      <c r="O435" s="112"/>
      <c r="P435" s="112"/>
      <c r="Q435" s="118"/>
    </row>
    <row r="436" spans="2:17" s="5" customFormat="1" ht="13">
      <c r="B436" s="84"/>
      <c r="C436" s="84"/>
      <c r="D436" s="85"/>
      <c r="E436" s="85"/>
      <c r="F436" s="85"/>
      <c r="G436" s="85"/>
      <c r="H436" s="85"/>
      <c r="I436" s="85"/>
      <c r="J436" s="85"/>
      <c r="K436" s="85"/>
      <c r="L436" s="109"/>
      <c r="M436" s="110"/>
      <c r="N436" s="111"/>
      <c r="O436" s="112"/>
      <c r="P436" s="112"/>
      <c r="Q436" s="118"/>
    </row>
    <row r="437" spans="2:17" s="5" customFormat="1" ht="13">
      <c r="B437" s="84"/>
      <c r="C437" s="84"/>
      <c r="D437" s="85"/>
      <c r="E437" s="85"/>
      <c r="F437" s="85"/>
      <c r="G437" s="85"/>
      <c r="H437" s="85"/>
      <c r="I437" s="85"/>
      <c r="J437" s="85"/>
      <c r="K437" s="85"/>
      <c r="L437" s="109"/>
      <c r="M437" s="110"/>
      <c r="N437" s="111"/>
      <c r="O437" s="112"/>
      <c r="P437" s="112"/>
      <c r="Q437" s="118"/>
    </row>
    <row r="438" spans="2:17" s="5" customFormat="1" ht="13">
      <c r="B438" s="84"/>
      <c r="C438" s="84"/>
      <c r="D438" s="85"/>
      <c r="E438" s="85"/>
      <c r="F438" s="85"/>
      <c r="G438" s="85"/>
      <c r="H438" s="85"/>
      <c r="I438" s="85"/>
      <c r="J438" s="85"/>
      <c r="K438" s="85"/>
      <c r="L438" s="109"/>
      <c r="M438" s="110"/>
      <c r="N438" s="111"/>
      <c r="O438" s="112"/>
      <c r="P438" s="112"/>
      <c r="Q438" s="118"/>
    </row>
    <row r="439" spans="2:17" s="5" customFormat="1" ht="13">
      <c r="B439" s="84"/>
      <c r="C439" s="84"/>
      <c r="D439" s="85"/>
      <c r="E439" s="85"/>
      <c r="F439" s="85"/>
      <c r="G439" s="85"/>
      <c r="H439" s="85"/>
      <c r="I439" s="85"/>
      <c r="J439" s="85"/>
      <c r="K439" s="85"/>
      <c r="L439" s="109"/>
      <c r="M439" s="110"/>
      <c r="N439" s="111"/>
      <c r="O439" s="112"/>
      <c r="P439" s="112"/>
      <c r="Q439" s="118"/>
    </row>
    <row r="440" spans="2:17" s="5" customFormat="1" ht="13">
      <c r="B440" s="84"/>
      <c r="C440" s="84"/>
      <c r="D440" s="85"/>
      <c r="E440" s="85"/>
      <c r="F440" s="85"/>
      <c r="G440" s="85"/>
      <c r="H440" s="85"/>
      <c r="I440" s="85"/>
      <c r="J440" s="85"/>
      <c r="K440" s="85"/>
      <c r="L440" s="109"/>
      <c r="M440" s="110"/>
      <c r="N440" s="111"/>
      <c r="O440" s="112"/>
      <c r="P440" s="112"/>
      <c r="Q440" s="118"/>
    </row>
    <row r="441" spans="2:17" s="5" customFormat="1" ht="13">
      <c r="B441" s="84"/>
      <c r="C441" s="84"/>
      <c r="D441" s="85"/>
      <c r="E441" s="85"/>
      <c r="F441" s="85"/>
      <c r="G441" s="85"/>
      <c r="H441" s="85"/>
      <c r="I441" s="85"/>
      <c r="J441" s="85"/>
      <c r="K441" s="85"/>
      <c r="L441" s="109"/>
      <c r="M441" s="110"/>
      <c r="N441" s="111"/>
      <c r="O441" s="112"/>
      <c r="P441" s="112"/>
      <c r="Q441" s="118"/>
    </row>
    <row r="442" spans="2:17" s="5" customFormat="1" ht="13">
      <c r="B442" s="84"/>
      <c r="C442" s="84"/>
      <c r="D442" s="85"/>
      <c r="E442" s="85"/>
      <c r="F442" s="85"/>
      <c r="G442" s="85"/>
      <c r="H442" s="85"/>
      <c r="I442" s="85"/>
      <c r="J442" s="85"/>
      <c r="K442" s="85"/>
      <c r="L442" s="109"/>
      <c r="M442" s="110"/>
      <c r="N442" s="111"/>
      <c r="O442" s="112"/>
      <c r="P442" s="112"/>
      <c r="Q442" s="118"/>
    </row>
    <row r="443" spans="2:17" s="5" customFormat="1" ht="13">
      <c r="B443" s="84"/>
      <c r="C443" s="84"/>
      <c r="D443" s="85"/>
      <c r="E443" s="85"/>
      <c r="F443" s="85"/>
      <c r="G443" s="85"/>
      <c r="H443" s="85"/>
      <c r="I443" s="85"/>
      <c r="J443" s="85"/>
      <c r="K443" s="85"/>
      <c r="L443" s="109"/>
      <c r="M443" s="110"/>
      <c r="N443" s="111"/>
      <c r="O443" s="112"/>
      <c r="P443" s="112"/>
      <c r="Q443" s="118"/>
    </row>
    <row r="444" spans="2:17" s="5" customFormat="1" ht="13">
      <c r="B444" s="84"/>
      <c r="C444" s="84"/>
      <c r="D444" s="85"/>
      <c r="E444" s="85"/>
      <c r="F444" s="85"/>
      <c r="G444" s="85"/>
      <c r="H444" s="85"/>
      <c r="I444" s="85"/>
      <c r="J444" s="85"/>
      <c r="K444" s="85"/>
      <c r="L444" s="109"/>
      <c r="M444" s="110"/>
      <c r="N444" s="111"/>
      <c r="O444" s="112"/>
      <c r="P444" s="112"/>
      <c r="Q444" s="118"/>
    </row>
    <row r="445" spans="2:17" s="5" customFormat="1" ht="13">
      <c r="B445" s="84"/>
      <c r="C445" s="84"/>
      <c r="D445" s="85"/>
      <c r="E445" s="85"/>
      <c r="F445" s="85"/>
      <c r="G445" s="85"/>
      <c r="H445" s="85"/>
      <c r="I445" s="85"/>
      <c r="J445" s="85"/>
      <c r="K445" s="85"/>
      <c r="L445" s="109"/>
      <c r="M445" s="110"/>
      <c r="N445" s="111"/>
      <c r="O445" s="112"/>
      <c r="P445" s="112"/>
      <c r="Q445" s="118"/>
    </row>
    <row r="446" spans="2:17" s="5" customFormat="1" ht="13">
      <c r="B446" s="84"/>
      <c r="C446" s="84"/>
      <c r="D446" s="85"/>
      <c r="E446" s="85"/>
      <c r="F446" s="85"/>
      <c r="G446" s="85"/>
      <c r="H446" s="85"/>
      <c r="I446" s="85"/>
      <c r="J446" s="85"/>
      <c r="K446" s="85"/>
      <c r="L446" s="109"/>
      <c r="M446" s="110"/>
      <c r="N446" s="111"/>
      <c r="O446" s="112"/>
      <c r="P446" s="112"/>
      <c r="Q446" s="118"/>
    </row>
    <row r="447" spans="2:17" s="5" customFormat="1" ht="13">
      <c r="B447" s="84"/>
      <c r="C447" s="84"/>
      <c r="D447" s="85"/>
      <c r="E447" s="85"/>
      <c r="F447" s="85"/>
      <c r="G447" s="85"/>
      <c r="H447" s="85"/>
      <c r="I447" s="85"/>
      <c r="J447" s="85"/>
      <c r="K447" s="85"/>
      <c r="L447" s="109"/>
      <c r="M447" s="110"/>
      <c r="N447" s="111"/>
      <c r="O447" s="112"/>
      <c r="P447" s="112"/>
      <c r="Q447" s="118"/>
    </row>
    <row r="448" spans="2:17" s="5" customFormat="1" ht="13">
      <c r="B448" s="84"/>
      <c r="C448" s="84"/>
      <c r="D448" s="85"/>
      <c r="E448" s="85"/>
      <c r="F448" s="85"/>
      <c r="G448" s="85"/>
      <c r="H448" s="85"/>
      <c r="I448" s="85"/>
      <c r="J448" s="85"/>
      <c r="K448" s="85"/>
      <c r="L448" s="109"/>
      <c r="M448" s="110"/>
      <c r="N448" s="111"/>
      <c r="O448" s="112"/>
      <c r="P448" s="112"/>
      <c r="Q448" s="118"/>
    </row>
    <row r="449" spans="2:17" s="5" customFormat="1" ht="13">
      <c r="B449" s="84"/>
      <c r="C449" s="84"/>
      <c r="D449" s="85"/>
      <c r="E449" s="85"/>
      <c r="F449" s="85"/>
      <c r="G449" s="85"/>
      <c r="H449" s="85"/>
      <c r="I449" s="85"/>
      <c r="J449" s="85"/>
      <c r="K449" s="85"/>
      <c r="L449" s="109"/>
      <c r="M449" s="110"/>
      <c r="N449" s="111"/>
      <c r="O449" s="112"/>
      <c r="P449" s="112"/>
      <c r="Q449" s="118"/>
    </row>
    <row r="450" spans="2:17" s="5" customFormat="1" ht="13">
      <c r="B450" s="84"/>
      <c r="C450" s="84"/>
      <c r="D450" s="85"/>
      <c r="E450" s="85"/>
      <c r="F450" s="85"/>
      <c r="G450" s="85"/>
      <c r="H450" s="85"/>
      <c r="I450" s="85"/>
      <c r="J450" s="85"/>
      <c r="K450" s="85"/>
      <c r="L450" s="109"/>
      <c r="M450" s="110"/>
      <c r="N450" s="111"/>
      <c r="O450" s="112"/>
      <c r="P450" s="112"/>
      <c r="Q450" s="118"/>
    </row>
    <row r="451" spans="2:17" s="5" customFormat="1" ht="13">
      <c r="B451" s="84"/>
      <c r="C451" s="84"/>
      <c r="D451" s="85"/>
      <c r="E451" s="85"/>
      <c r="F451" s="85"/>
      <c r="G451" s="85"/>
      <c r="H451" s="85"/>
      <c r="I451" s="85"/>
      <c r="J451" s="85"/>
      <c r="K451" s="85"/>
      <c r="L451" s="109"/>
      <c r="M451" s="110"/>
      <c r="N451" s="111"/>
      <c r="O451" s="112"/>
      <c r="P451" s="112"/>
      <c r="Q451" s="118"/>
    </row>
    <row r="452" spans="2:17" s="5" customFormat="1" ht="13">
      <c r="B452" s="84"/>
      <c r="C452" s="84"/>
      <c r="D452" s="85"/>
      <c r="E452" s="85"/>
      <c r="F452" s="85"/>
      <c r="G452" s="85"/>
      <c r="H452" s="85"/>
      <c r="I452" s="85"/>
      <c r="J452" s="85"/>
      <c r="K452" s="85"/>
      <c r="L452" s="109"/>
      <c r="M452" s="110"/>
      <c r="N452" s="111"/>
      <c r="O452" s="112"/>
      <c r="P452" s="112"/>
      <c r="Q452" s="118"/>
    </row>
    <row r="453" spans="2:17" s="5" customFormat="1" ht="13">
      <c r="B453" s="84"/>
      <c r="C453" s="84"/>
      <c r="D453" s="85"/>
      <c r="E453" s="85"/>
      <c r="F453" s="85"/>
      <c r="G453" s="85"/>
      <c r="H453" s="85"/>
      <c r="I453" s="85"/>
      <c r="J453" s="85"/>
      <c r="K453" s="85"/>
      <c r="L453" s="109"/>
      <c r="M453" s="110"/>
      <c r="N453" s="111"/>
      <c r="O453" s="112"/>
      <c r="P453" s="112"/>
      <c r="Q453" s="118"/>
    </row>
    <row r="454" spans="2:17" s="5" customFormat="1" ht="13">
      <c r="B454" s="84"/>
      <c r="C454" s="84"/>
      <c r="D454" s="85"/>
      <c r="E454" s="85"/>
      <c r="F454" s="85"/>
      <c r="G454" s="85"/>
      <c r="H454" s="85"/>
      <c r="I454" s="85"/>
      <c r="J454" s="85"/>
      <c r="K454" s="85"/>
      <c r="L454" s="109"/>
      <c r="M454" s="110"/>
      <c r="N454" s="111"/>
      <c r="O454" s="112"/>
      <c r="P454" s="112"/>
      <c r="Q454" s="118"/>
    </row>
    <row r="455" spans="2:17" s="5" customFormat="1" ht="13">
      <c r="B455" s="84"/>
      <c r="C455" s="84"/>
      <c r="D455" s="85"/>
      <c r="E455" s="85"/>
      <c r="F455" s="85"/>
      <c r="G455" s="85"/>
      <c r="H455" s="85"/>
      <c r="I455" s="85"/>
      <c r="J455" s="85"/>
      <c r="K455" s="85"/>
      <c r="L455" s="109"/>
      <c r="M455" s="110"/>
      <c r="N455" s="111"/>
      <c r="O455" s="112"/>
      <c r="P455" s="112"/>
      <c r="Q455" s="118"/>
    </row>
    <row r="456" spans="2:17" s="5" customFormat="1" ht="13">
      <c r="B456" s="84"/>
      <c r="C456" s="84"/>
      <c r="D456" s="85"/>
      <c r="E456" s="85"/>
      <c r="F456" s="85"/>
      <c r="G456" s="85"/>
      <c r="H456" s="85"/>
      <c r="I456" s="85"/>
      <c r="J456" s="85"/>
      <c r="K456" s="85"/>
      <c r="L456" s="109"/>
      <c r="M456" s="110"/>
      <c r="N456" s="111"/>
      <c r="O456" s="112"/>
      <c r="P456" s="112"/>
      <c r="Q456" s="118"/>
    </row>
    <row r="457" spans="2:17" s="5" customFormat="1" ht="13">
      <c r="B457" s="84"/>
      <c r="C457" s="84"/>
      <c r="D457" s="85"/>
      <c r="E457" s="85"/>
      <c r="F457" s="85"/>
      <c r="G457" s="85"/>
      <c r="H457" s="85"/>
      <c r="I457" s="85"/>
      <c r="J457" s="85"/>
      <c r="K457" s="85"/>
      <c r="L457" s="109"/>
      <c r="M457" s="110"/>
      <c r="N457" s="111"/>
      <c r="O457" s="112"/>
      <c r="P457" s="112"/>
      <c r="Q457" s="118"/>
    </row>
    <row r="458" spans="2:17" s="5" customFormat="1" ht="13">
      <c r="B458" s="84"/>
      <c r="C458" s="84"/>
      <c r="D458" s="85"/>
      <c r="E458" s="85"/>
      <c r="F458" s="85"/>
      <c r="G458" s="85"/>
      <c r="H458" s="85"/>
      <c r="I458" s="85"/>
      <c r="J458" s="85"/>
      <c r="K458" s="85"/>
      <c r="L458" s="109"/>
      <c r="M458" s="110"/>
      <c r="N458" s="111"/>
      <c r="O458" s="112"/>
      <c r="P458" s="112"/>
      <c r="Q458" s="118"/>
    </row>
    <row r="459" spans="2:17" s="5" customFormat="1" ht="13">
      <c r="B459" s="84"/>
      <c r="C459" s="84"/>
      <c r="D459" s="85"/>
      <c r="E459" s="85"/>
      <c r="F459" s="85"/>
      <c r="G459" s="85"/>
      <c r="H459" s="85"/>
      <c r="I459" s="85"/>
      <c r="J459" s="85"/>
      <c r="K459" s="85"/>
      <c r="L459" s="109"/>
      <c r="M459" s="110"/>
      <c r="N459" s="111"/>
      <c r="O459" s="112"/>
      <c r="P459" s="112"/>
      <c r="Q459" s="118"/>
    </row>
    <row r="460" spans="2:17" s="5" customFormat="1" ht="13">
      <c r="B460" s="84"/>
      <c r="C460" s="84"/>
      <c r="D460" s="85"/>
      <c r="E460" s="85"/>
      <c r="F460" s="85"/>
      <c r="G460" s="85"/>
      <c r="H460" s="85"/>
      <c r="I460" s="85"/>
      <c r="J460" s="85"/>
      <c r="K460" s="85"/>
      <c r="L460" s="109"/>
      <c r="M460" s="110"/>
      <c r="N460" s="111"/>
      <c r="O460" s="112"/>
      <c r="P460" s="112"/>
      <c r="Q460" s="118"/>
    </row>
    <row r="461" spans="2:17" s="5" customFormat="1" ht="13">
      <c r="B461" s="84"/>
      <c r="C461" s="84"/>
      <c r="D461" s="85"/>
      <c r="E461" s="85"/>
      <c r="F461" s="85"/>
      <c r="G461" s="85"/>
      <c r="H461" s="85"/>
      <c r="I461" s="85"/>
      <c r="J461" s="85"/>
      <c r="K461" s="85"/>
      <c r="L461" s="109"/>
      <c r="M461" s="110"/>
      <c r="N461" s="111"/>
      <c r="O461" s="112"/>
      <c r="P461" s="112"/>
      <c r="Q461" s="118"/>
    </row>
    <row r="462" spans="2:17" s="5" customFormat="1" ht="13">
      <c r="B462" s="84"/>
      <c r="C462" s="84"/>
      <c r="D462" s="85"/>
      <c r="E462" s="85"/>
      <c r="F462" s="85"/>
      <c r="G462" s="85"/>
      <c r="H462" s="85"/>
      <c r="I462" s="85"/>
      <c r="J462" s="85"/>
      <c r="K462" s="85"/>
      <c r="L462" s="109"/>
      <c r="M462" s="110"/>
      <c r="N462" s="111"/>
      <c r="O462" s="112"/>
      <c r="P462" s="112"/>
      <c r="Q462" s="118"/>
    </row>
    <row r="463" spans="2:17" s="5" customFormat="1" ht="13">
      <c r="B463" s="84"/>
      <c r="C463" s="84"/>
      <c r="D463" s="85"/>
      <c r="E463" s="85"/>
      <c r="F463" s="85"/>
      <c r="G463" s="85"/>
      <c r="H463" s="85"/>
      <c r="I463" s="85"/>
      <c r="J463" s="85"/>
      <c r="K463" s="85"/>
      <c r="L463" s="109"/>
      <c r="M463" s="110"/>
      <c r="N463" s="111"/>
      <c r="O463" s="112"/>
      <c r="P463" s="112"/>
      <c r="Q463" s="118"/>
    </row>
    <row r="464" spans="2:17" s="5" customFormat="1" ht="13">
      <c r="B464" s="84"/>
      <c r="C464" s="84"/>
      <c r="D464" s="85"/>
      <c r="E464" s="85"/>
      <c r="F464" s="85"/>
      <c r="G464" s="85"/>
      <c r="H464" s="85"/>
      <c r="I464" s="85"/>
      <c r="J464" s="85"/>
      <c r="K464" s="85"/>
      <c r="L464" s="109"/>
      <c r="M464" s="110"/>
      <c r="N464" s="111"/>
      <c r="O464" s="112"/>
      <c r="P464" s="112"/>
      <c r="Q464" s="118"/>
    </row>
    <row r="465" spans="2:17" s="5" customFormat="1" ht="13">
      <c r="B465" s="84"/>
      <c r="C465" s="84"/>
      <c r="D465" s="85"/>
      <c r="E465" s="85"/>
      <c r="F465" s="85"/>
      <c r="G465" s="85"/>
      <c r="H465" s="85"/>
      <c r="I465" s="85"/>
      <c r="J465" s="85"/>
      <c r="K465" s="85"/>
      <c r="L465" s="109"/>
      <c r="M465" s="110"/>
      <c r="N465" s="111"/>
      <c r="O465" s="112"/>
      <c r="P465" s="112"/>
      <c r="Q465" s="118"/>
    </row>
    <row r="466" spans="2:17" s="5" customFormat="1" ht="13">
      <c r="B466" s="84"/>
      <c r="C466" s="84"/>
      <c r="D466" s="85"/>
      <c r="E466" s="85"/>
      <c r="F466" s="85"/>
      <c r="G466" s="85"/>
      <c r="H466" s="85"/>
      <c r="I466" s="85"/>
      <c r="J466" s="85"/>
      <c r="K466" s="85"/>
      <c r="L466" s="109"/>
      <c r="M466" s="110"/>
      <c r="N466" s="111"/>
      <c r="O466" s="112"/>
      <c r="P466" s="112"/>
      <c r="Q466" s="118"/>
    </row>
    <row r="467" spans="2:17" s="5" customFormat="1" ht="13">
      <c r="B467" s="84"/>
      <c r="C467" s="84"/>
      <c r="D467" s="85"/>
      <c r="E467" s="85"/>
      <c r="F467" s="85"/>
      <c r="G467" s="85"/>
      <c r="H467" s="85"/>
      <c r="I467" s="85"/>
      <c r="J467" s="85"/>
      <c r="K467" s="85"/>
      <c r="L467" s="109"/>
      <c r="M467" s="110"/>
      <c r="N467" s="111"/>
      <c r="O467" s="112"/>
      <c r="P467" s="112"/>
      <c r="Q467" s="118"/>
    </row>
    <row r="468" spans="2:17" s="5" customFormat="1" ht="13">
      <c r="B468" s="84"/>
      <c r="C468" s="84"/>
      <c r="D468" s="85"/>
      <c r="E468" s="85"/>
      <c r="F468" s="85"/>
      <c r="G468" s="85"/>
      <c r="H468" s="85"/>
      <c r="I468" s="85"/>
      <c r="J468" s="85"/>
      <c r="K468" s="85"/>
      <c r="L468" s="109"/>
      <c r="M468" s="110"/>
      <c r="N468" s="111"/>
      <c r="O468" s="112"/>
      <c r="P468" s="112"/>
      <c r="Q468" s="118"/>
    </row>
    <row r="469" spans="2:17" s="5" customFormat="1" ht="13">
      <c r="B469" s="84"/>
      <c r="C469" s="84"/>
      <c r="D469" s="85"/>
      <c r="E469" s="85"/>
      <c r="F469" s="85"/>
      <c r="G469" s="85"/>
      <c r="H469" s="85"/>
      <c r="I469" s="85"/>
      <c r="J469" s="85"/>
      <c r="K469" s="85"/>
      <c r="L469" s="109"/>
      <c r="M469" s="110"/>
      <c r="N469" s="111"/>
      <c r="O469" s="112"/>
      <c r="P469" s="112"/>
      <c r="Q469" s="118"/>
    </row>
    <row r="470" spans="2:17" s="5" customFormat="1" ht="13">
      <c r="B470" s="84"/>
      <c r="C470" s="84"/>
      <c r="D470" s="85"/>
      <c r="E470" s="85"/>
      <c r="F470" s="85"/>
      <c r="G470" s="85"/>
      <c r="H470" s="85"/>
      <c r="I470" s="85"/>
      <c r="J470" s="85"/>
      <c r="K470" s="85"/>
      <c r="L470" s="109"/>
      <c r="M470" s="110"/>
      <c r="N470" s="111"/>
      <c r="O470" s="112"/>
      <c r="P470" s="112"/>
      <c r="Q470" s="118"/>
    </row>
    <row r="471" spans="2:17" s="5" customFormat="1" ht="13">
      <c r="B471" s="84"/>
      <c r="C471" s="84"/>
      <c r="D471" s="85"/>
      <c r="E471" s="85"/>
      <c r="F471" s="85"/>
      <c r="G471" s="85"/>
      <c r="H471" s="85"/>
      <c r="I471" s="85"/>
      <c r="J471" s="85"/>
      <c r="K471" s="85"/>
      <c r="L471" s="109"/>
      <c r="M471" s="110"/>
      <c r="N471" s="111"/>
      <c r="O471" s="112"/>
      <c r="P471" s="112"/>
      <c r="Q471" s="118"/>
    </row>
    <row r="472" spans="2:17" s="5" customFormat="1" ht="13">
      <c r="B472" s="84"/>
      <c r="C472" s="84"/>
      <c r="D472" s="85"/>
      <c r="E472" s="85"/>
      <c r="F472" s="85"/>
      <c r="G472" s="85"/>
      <c r="H472" s="85"/>
      <c r="I472" s="85"/>
      <c r="J472" s="85"/>
      <c r="K472" s="85"/>
      <c r="L472" s="109"/>
      <c r="M472" s="110"/>
      <c r="N472" s="111"/>
      <c r="O472" s="112"/>
      <c r="P472" s="112"/>
      <c r="Q472" s="118"/>
    </row>
    <row r="473" spans="2:17" s="5" customFormat="1" ht="13">
      <c r="B473" s="84"/>
      <c r="C473" s="84"/>
      <c r="D473" s="85"/>
      <c r="E473" s="85"/>
      <c r="F473" s="85"/>
      <c r="G473" s="85"/>
      <c r="H473" s="85"/>
      <c r="I473" s="85"/>
      <c r="J473" s="85"/>
      <c r="K473" s="85"/>
      <c r="L473" s="109"/>
      <c r="M473" s="110"/>
      <c r="N473" s="111"/>
      <c r="O473" s="112"/>
      <c r="P473" s="112"/>
      <c r="Q473" s="118"/>
    </row>
    <row r="474" spans="2:17" s="5" customFormat="1" ht="13">
      <c r="B474" s="84"/>
      <c r="C474" s="84"/>
      <c r="D474" s="85"/>
      <c r="E474" s="85"/>
      <c r="F474" s="85"/>
      <c r="G474" s="85"/>
      <c r="H474" s="85"/>
      <c r="I474" s="85"/>
      <c r="J474" s="85"/>
      <c r="K474" s="85"/>
      <c r="L474" s="109"/>
      <c r="M474" s="110"/>
      <c r="N474" s="111"/>
      <c r="O474" s="112"/>
      <c r="P474" s="112"/>
      <c r="Q474" s="118"/>
    </row>
    <row r="475" spans="2:17" s="5" customFormat="1" ht="13">
      <c r="B475" s="84"/>
      <c r="C475" s="84"/>
      <c r="D475" s="85"/>
      <c r="E475" s="85"/>
      <c r="F475" s="85"/>
      <c r="G475" s="85"/>
      <c r="H475" s="85"/>
      <c r="I475" s="85"/>
      <c r="J475" s="85"/>
      <c r="K475" s="85"/>
      <c r="L475" s="109"/>
      <c r="M475" s="110"/>
      <c r="N475" s="111"/>
      <c r="O475" s="112"/>
      <c r="P475" s="112"/>
      <c r="Q475" s="118"/>
    </row>
    <row r="476" spans="2:17" s="5" customFormat="1" ht="13">
      <c r="B476" s="84"/>
      <c r="C476" s="84"/>
      <c r="D476" s="85"/>
      <c r="E476" s="85"/>
      <c r="F476" s="85"/>
      <c r="G476" s="85"/>
      <c r="H476" s="85"/>
      <c r="I476" s="85"/>
      <c r="J476" s="85"/>
      <c r="K476" s="85"/>
      <c r="L476" s="109"/>
      <c r="M476" s="110"/>
      <c r="N476" s="111"/>
      <c r="O476" s="112"/>
      <c r="P476" s="112"/>
      <c r="Q476" s="118"/>
    </row>
    <row r="477" spans="2:17" s="5" customFormat="1" ht="13">
      <c r="B477" s="84"/>
      <c r="C477" s="84"/>
      <c r="D477" s="85"/>
      <c r="E477" s="85"/>
      <c r="F477" s="85"/>
      <c r="G477" s="85"/>
      <c r="H477" s="85"/>
      <c r="I477" s="85"/>
      <c r="J477" s="85"/>
      <c r="K477" s="85"/>
      <c r="L477" s="109"/>
      <c r="M477" s="110"/>
      <c r="N477" s="111"/>
      <c r="O477" s="112"/>
      <c r="P477" s="112"/>
      <c r="Q477" s="118"/>
    </row>
    <row r="478" spans="2:17" s="5" customFormat="1" ht="13">
      <c r="B478" s="84"/>
      <c r="C478" s="84"/>
      <c r="D478" s="85"/>
      <c r="E478" s="85"/>
      <c r="F478" s="85"/>
      <c r="G478" s="85"/>
      <c r="H478" s="85"/>
      <c r="I478" s="85"/>
      <c r="J478" s="85"/>
      <c r="K478" s="85"/>
      <c r="L478" s="109"/>
      <c r="M478" s="110"/>
      <c r="N478" s="111"/>
      <c r="O478" s="112"/>
      <c r="P478" s="112"/>
      <c r="Q478" s="118"/>
    </row>
    <row r="479" spans="2:17" s="5" customFormat="1" ht="13">
      <c r="B479" s="84"/>
      <c r="C479" s="84"/>
      <c r="D479" s="85"/>
      <c r="E479" s="85"/>
      <c r="F479" s="85"/>
      <c r="G479" s="85"/>
      <c r="H479" s="85"/>
      <c r="I479" s="85"/>
      <c r="J479" s="85"/>
      <c r="K479" s="85"/>
      <c r="L479" s="109"/>
      <c r="M479" s="110"/>
      <c r="N479" s="111"/>
      <c r="O479" s="112"/>
      <c r="P479" s="112"/>
      <c r="Q479" s="118"/>
    </row>
    <row r="480" spans="2:17" s="5" customFormat="1" ht="13">
      <c r="B480" s="84"/>
      <c r="C480" s="84"/>
      <c r="D480" s="85"/>
      <c r="E480" s="85"/>
      <c r="F480" s="85"/>
      <c r="G480" s="85"/>
      <c r="H480" s="85"/>
      <c r="I480" s="85"/>
      <c r="J480" s="85"/>
      <c r="K480" s="85"/>
      <c r="L480" s="109"/>
      <c r="M480" s="110"/>
      <c r="N480" s="111"/>
      <c r="O480" s="112"/>
      <c r="P480" s="112"/>
      <c r="Q480" s="118"/>
    </row>
    <row r="481" spans="2:17" s="5" customFormat="1" ht="13">
      <c r="B481" s="84"/>
      <c r="C481" s="84"/>
      <c r="D481" s="85"/>
      <c r="E481" s="85"/>
      <c r="F481" s="85"/>
      <c r="G481" s="85"/>
      <c r="H481" s="85"/>
      <c r="I481" s="85"/>
      <c r="J481" s="85"/>
      <c r="K481" s="85"/>
      <c r="L481" s="109"/>
      <c r="M481" s="110"/>
      <c r="N481" s="111"/>
      <c r="O481" s="112"/>
      <c r="P481" s="112"/>
      <c r="Q481" s="118"/>
    </row>
    <row r="482" spans="2:17" s="5" customFormat="1" ht="13">
      <c r="B482" s="84"/>
      <c r="C482" s="84"/>
      <c r="D482" s="85"/>
      <c r="E482" s="85"/>
      <c r="F482" s="85"/>
      <c r="G482" s="85"/>
      <c r="H482" s="85"/>
      <c r="I482" s="85"/>
      <c r="J482" s="85"/>
      <c r="K482" s="85"/>
      <c r="L482" s="109"/>
      <c r="M482" s="110"/>
      <c r="N482" s="111"/>
      <c r="O482" s="112"/>
      <c r="P482" s="112"/>
      <c r="Q482" s="118"/>
    </row>
    <row r="483" spans="2:17" s="5" customFormat="1" ht="13">
      <c r="B483" s="84"/>
      <c r="C483" s="84"/>
      <c r="D483" s="85"/>
      <c r="E483" s="85"/>
      <c r="F483" s="85"/>
      <c r="G483" s="85"/>
      <c r="H483" s="85"/>
      <c r="I483" s="85"/>
      <c r="J483" s="85"/>
      <c r="K483" s="85"/>
      <c r="L483" s="109"/>
      <c r="M483" s="110"/>
      <c r="N483" s="111"/>
      <c r="O483" s="112"/>
      <c r="P483" s="112"/>
      <c r="Q483" s="118"/>
    </row>
    <row r="484" spans="2:17" s="5" customFormat="1" ht="13">
      <c r="B484" s="84"/>
      <c r="C484" s="84"/>
      <c r="D484" s="85"/>
      <c r="E484" s="85"/>
      <c r="F484" s="85"/>
      <c r="G484" s="85"/>
      <c r="H484" s="85"/>
      <c r="I484" s="85"/>
      <c r="J484" s="85"/>
      <c r="K484" s="85"/>
      <c r="L484" s="109"/>
      <c r="M484" s="110"/>
      <c r="N484" s="111"/>
      <c r="O484" s="112"/>
      <c r="P484" s="112"/>
      <c r="Q484" s="118"/>
    </row>
    <row r="485" spans="2:17" s="5" customFormat="1" ht="13">
      <c r="B485" s="84"/>
      <c r="C485" s="84"/>
      <c r="D485" s="85"/>
      <c r="E485" s="85"/>
      <c r="F485" s="85"/>
      <c r="G485" s="85"/>
      <c r="H485" s="85"/>
      <c r="I485" s="85"/>
      <c r="J485" s="85"/>
      <c r="K485" s="85"/>
      <c r="L485" s="109"/>
      <c r="M485" s="110"/>
      <c r="N485" s="111"/>
      <c r="O485" s="112"/>
      <c r="P485" s="112"/>
      <c r="Q485" s="118"/>
    </row>
    <row r="486" spans="2:17" s="5" customFormat="1" ht="13">
      <c r="B486" s="84"/>
      <c r="C486" s="84"/>
      <c r="D486" s="85"/>
      <c r="E486" s="85"/>
      <c r="F486" s="85"/>
      <c r="G486" s="85"/>
      <c r="H486" s="85"/>
      <c r="I486" s="85"/>
      <c r="J486" s="85"/>
      <c r="K486" s="85"/>
      <c r="L486" s="109"/>
      <c r="M486" s="110"/>
      <c r="N486" s="111"/>
      <c r="O486" s="112"/>
      <c r="P486" s="112"/>
      <c r="Q486" s="118"/>
    </row>
    <row r="487" spans="2:17" s="5" customFormat="1" ht="13">
      <c r="B487" s="84"/>
      <c r="C487" s="84"/>
      <c r="D487" s="85"/>
      <c r="E487" s="85"/>
      <c r="F487" s="85"/>
      <c r="G487" s="85"/>
      <c r="H487" s="85"/>
      <c r="I487" s="85"/>
      <c r="J487" s="85"/>
      <c r="K487" s="85"/>
      <c r="L487" s="109"/>
      <c r="M487" s="110"/>
      <c r="N487" s="111"/>
      <c r="O487" s="112"/>
      <c r="P487" s="112"/>
      <c r="Q487" s="118"/>
    </row>
    <row r="488" spans="2:17" s="5" customFormat="1" ht="13">
      <c r="B488" s="84"/>
      <c r="C488" s="84"/>
      <c r="D488" s="85"/>
      <c r="E488" s="85"/>
      <c r="F488" s="85"/>
      <c r="G488" s="85"/>
      <c r="H488" s="85"/>
      <c r="I488" s="85"/>
      <c r="J488" s="85"/>
      <c r="K488" s="85"/>
      <c r="L488" s="109"/>
      <c r="M488" s="110"/>
      <c r="N488" s="111"/>
      <c r="O488" s="112"/>
      <c r="P488" s="112"/>
      <c r="Q488" s="118"/>
    </row>
    <row r="489" spans="2:17" s="5" customFormat="1" ht="13">
      <c r="B489" s="84"/>
      <c r="C489" s="84"/>
      <c r="D489" s="85"/>
      <c r="E489" s="85"/>
      <c r="F489" s="85"/>
      <c r="G489" s="85"/>
      <c r="H489" s="85"/>
      <c r="I489" s="85"/>
      <c r="J489" s="85"/>
      <c r="K489" s="85"/>
      <c r="L489" s="109"/>
      <c r="M489" s="110"/>
      <c r="N489" s="111"/>
      <c r="O489" s="112"/>
      <c r="P489" s="112"/>
      <c r="Q489" s="118"/>
    </row>
    <row r="490" spans="2:17" s="5" customFormat="1" ht="13">
      <c r="B490" s="84"/>
      <c r="C490" s="84"/>
      <c r="D490" s="85"/>
      <c r="E490" s="85"/>
      <c r="F490" s="85"/>
      <c r="G490" s="85"/>
      <c r="H490" s="85"/>
      <c r="I490" s="85"/>
      <c r="J490" s="85"/>
      <c r="K490" s="85"/>
      <c r="L490" s="109"/>
      <c r="M490" s="110"/>
      <c r="N490" s="111"/>
      <c r="O490" s="112"/>
      <c r="P490" s="112"/>
      <c r="Q490" s="118"/>
    </row>
    <row r="491" spans="2:17" s="5" customFormat="1" ht="13">
      <c r="B491" s="84"/>
      <c r="C491" s="84"/>
      <c r="D491" s="85"/>
      <c r="E491" s="85"/>
      <c r="F491" s="85"/>
      <c r="G491" s="85"/>
      <c r="H491" s="85"/>
      <c r="I491" s="85"/>
      <c r="J491" s="85"/>
      <c r="K491" s="85"/>
      <c r="L491" s="109"/>
      <c r="M491" s="110"/>
      <c r="N491" s="111"/>
      <c r="O491" s="112"/>
      <c r="P491" s="112"/>
      <c r="Q491" s="118"/>
    </row>
    <row r="492" spans="2:17" s="5" customFormat="1" ht="13">
      <c r="B492" s="84"/>
      <c r="C492" s="84"/>
      <c r="D492" s="85"/>
      <c r="E492" s="85"/>
      <c r="F492" s="85"/>
      <c r="G492" s="85"/>
      <c r="H492" s="85"/>
      <c r="I492" s="85"/>
      <c r="J492" s="85"/>
      <c r="K492" s="85"/>
      <c r="L492" s="109"/>
      <c r="M492" s="110"/>
      <c r="N492" s="111"/>
      <c r="O492" s="112"/>
      <c r="P492" s="112"/>
      <c r="Q492" s="118"/>
    </row>
    <row r="493" spans="2:17" s="5" customFormat="1" ht="13">
      <c r="B493" s="84"/>
      <c r="C493" s="84"/>
      <c r="D493" s="85"/>
      <c r="E493" s="85"/>
      <c r="F493" s="85"/>
      <c r="G493" s="85"/>
      <c r="H493" s="85"/>
      <c r="I493" s="85"/>
      <c r="J493" s="85"/>
      <c r="K493" s="85"/>
      <c r="L493" s="109"/>
      <c r="M493" s="110"/>
      <c r="N493" s="111"/>
      <c r="O493" s="112"/>
      <c r="P493" s="112"/>
      <c r="Q493" s="118"/>
    </row>
    <row r="494" spans="2:17" s="5" customFormat="1" ht="13">
      <c r="B494" s="84"/>
      <c r="C494" s="84"/>
      <c r="D494" s="85"/>
      <c r="E494" s="85"/>
      <c r="F494" s="85"/>
      <c r="G494" s="85"/>
      <c r="H494" s="85"/>
      <c r="I494" s="85"/>
      <c r="J494" s="85"/>
      <c r="K494" s="85"/>
      <c r="L494" s="109"/>
      <c r="M494" s="110"/>
      <c r="N494" s="111"/>
      <c r="O494" s="112"/>
      <c r="P494" s="112"/>
      <c r="Q494" s="118"/>
    </row>
    <row r="495" spans="2:17" s="5" customFormat="1" ht="13">
      <c r="B495" s="84"/>
      <c r="C495" s="84"/>
      <c r="D495" s="85"/>
      <c r="E495" s="85"/>
      <c r="F495" s="85"/>
      <c r="G495" s="85"/>
      <c r="H495" s="85"/>
      <c r="I495" s="85"/>
      <c r="J495" s="85"/>
      <c r="K495" s="85"/>
      <c r="L495" s="109"/>
      <c r="M495" s="110"/>
      <c r="N495" s="111"/>
      <c r="O495" s="112"/>
      <c r="P495" s="112"/>
      <c r="Q495" s="118"/>
    </row>
    <row r="496" spans="2:17" s="5" customFormat="1" ht="13">
      <c r="B496" s="84"/>
      <c r="C496" s="84"/>
      <c r="D496" s="85"/>
      <c r="E496" s="85"/>
      <c r="F496" s="85"/>
      <c r="G496" s="85"/>
      <c r="H496" s="85"/>
      <c r="I496" s="85"/>
      <c r="J496" s="85"/>
      <c r="K496" s="85"/>
      <c r="L496" s="109"/>
      <c r="M496" s="110"/>
      <c r="N496" s="111"/>
      <c r="O496" s="112"/>
      <c r="P496" s="112"/>
      <c r="Q496" s="118"/>
    </row>
    <row r="497" spans="2:17" s="5" customFormat="1" ht="13">
      <c r="B497" s="84"/>
      <c r="C497" s="84"/>
      <c r="D497" s="85"/>
      <c r="E497" s="85"/>
      <c r="F497" s="85"/>
      <c r="G497" s="85"/>
      <c r="H497" s="85"/>
      <c r="I497" s="85"/>
      <c r="J497" s="85"/>
      <c r="K497" s="85"/>
      <c r="L497" s="109"/>
      <c r="M497" s="110"/>
      <c r="N497" s="111"/>
      <c r="O497" s="112"/>
      <c r="P497" s="112"/>
      <c r="Q497" s="118"/>
    </row>
    <row r="498" spans="2:17" s="5" customFormat="1" ht="13">
      <c r="B498" s="84"/>
      <c r="C498" s="84"/>
      <c r="D498" s="85"/>
      <c r="E498" s="85"/>
      <c r="F498" s="85"/>
      <c r="G498" s="85"/>
      <c r="H498" s="85"/>
      <c r="I498" s="85"/>
      <c r="J498" s="85"/>
      <c r="K498" s="85"/>
      <c r="L498" s="109"/>
      <c r="M498" s="110"/>
      <c r="N498" s="111"/>
      <c r="O498" s="112"/>
      <c r="P498" s="112"/>
      <c r="Q498" s="118"/>
    </row>
    <row r="499" spans="2:17" s="5" customFormat="1" ht="13">
      <c r="B499" s="84"/>
      <c r="C499" s="84"/>
      <c r="D499" s="85"/>
      <c r="E499" s="85"/>
      <c r="F499" s="85"/>
      <c r="G499" s="85"/>
      <c r="H499" s="85"/>
      <c r="I499" s="85"/>
      <c r="J499" s="85"/>
      <c r="K499" s="85"/>
      <c r="L499" s="109"/>
      <c r="M499" s="110"/>
      <c r="N499" s="111"/>
      <c r="O499" s="112"/>
      <c r="P499" s="112"/>
      <c r="Q499" s="118"/>
    </row>
    <row r="500" spans="2:17" s="5" customFormat="1" ht="13">
      <c r="B500" s="84"/>
      <c r="C500" s="84"/>
      <c r="D500" s="85"/>
      <c r="E500" s="85"/>
      <c r="F500" s="85"/>
      <c r="G500" s="85"/>
      <c r="H500" s="85"/>
      <c r="I500" s="85"/>
      <c r="J500" s="85"/>
      <c r="K500" s="85"/>
      <c r="L500" s="109"/>
      <c r="M500" s="110"/>
      <c r="N500" s="111"/>
      <c r="O500" s="112"/>
      <c r="P500" s="112"/>
      <c r="Q500" s="118"/>
    </row>
    <row r="501" spans="2:17" s="5" customFormat="1" ht="13">
      <c r="B501" s="84"/>
      <c r="C501" s="84"/>
      <c r="D501" s="85"/>
      <c r="E501" s="85"/>
      <c r="F501" s="85"/>
      <c r="G501" s="85"/>
      <c r="H501" s="85"/>
      <c r="I501" s="85"/>
      <c r="J501" s="85"/>
      <c r="K501" s="85"/>
      <c r="L501" s="109"/>
      <c r="M501" s="110"/>
      <c r="N501" s="111"/>
      <c r="O501" s="112"/>
      <c r="P501" s="112"/>
      <c r="Q501" s="118"/>
    </row>
    <row r="502" spans="2:17" s="5" customFormat="1" ht="13">
      <c r="B502" s="84"/>
      <c r="C502" s="84"/>
      <c r="D502" s="85"/>
      <c r="E502" s="85"/>
      <c r="F502" s="85"/>
      <c r="G502" s="85"/>
      <c r="H502" s="85"/>
      <c r="I502" s="85"/>
      <c r="J502" s="85"/>
      <c r="K502" s="85"/>
      <c r="L502" s="109"/>
      <c r="M502" s="110"/>
      <c r="N502" s="111"/>
      <c r="O502" s="112"/>
      <c r="P502" s="112"/>
      <c r="Q502" s="118"/>
    </row>
    <row r="503" spans="2:17" s="5" customFormat="1" ht="13">
      <c r="B503" s="84"/>
      <c r="C503" s="84"/>
      <c r="D503" s="85"/>
      <c r="E503" s="85"/>
      <c r="F503" s="85"/>
      <c r="G503" s="85"/>
      <c r="H503" s="85"/>
      <c r="I503" s="85"/>
      <c r="J503" s="85"/>
      <c r="K503" s="85"/>
      <c r="L503" s="109"/>
      <c r="M503" s="110"/>
      <c r="N503" s="111"/>
      <c r="O503" s="112"/>
      <c r="P503" s="112"/>
      <c r="Q503" s="118"/>
    </row>
    <row r="504" spans="2:17" s="5" customFormat="1" ht="13">
      <c r="B504" s="84"/>
      <c r="C504" s="84"/>
      <c r="D504" s="85"/>
      <c r="E504" s="85"/>
      <c r="F504" s="85"/>
      <c r="G504" s="85"/>
      <c r="H504" s="85"/>
      <c r="I504" s="85"/>
      <c r="J504" s="85"/>
      <c r="K504" s="85"/>
      <c r="L504" s="109"/>
      <c r="M504" s="110"/>
      <c r="N504" s="111"/>
      <c r="O504" s="112"/>
      <c r="P504" s="112"/>
      <c r="Q504" s="118"/>
    </row>
    <row r="505" spans="2:17" s="5" customFormat="1" ht="13">
      <c r="B505" s="84"/>
      <c r="C505" s="84"/>
      <c r="D505" s="85"/>
      <c r="E505" s="85"/>
      <c r="F505" s="85"/>
      <c r="G505" s="85"/>
      <c r="H505" s="85"/>
      <c r="I505" s="85"/>
      <c r="J505" s="85"/>
      <c r="K505" s="85"/>
      <c r="L505" s="109"/>
      <c r="M505" s="110"/>
      <c r="N505" s="111"/>
      <c r="O505" s="112"/>
      <c r="P505" s="112"/>
      <c r="Q505" s="118"/>
    </row>
    <row r="506" spans="2:17" s="5" customFormat="1" ht="13">
      <c r="B506" s="84"/>
      <c r="C506" s="84"/>
      <c r="D506" s="85"/>
      <c r="E506" s="85"/>
      <c r="F506" s="85"/>
      <c r="G506" s="85"/>
      <c r="H506" s="85"/>
      <c r="I506" s="85"/>
      <c r="J506" s="85"/>
      <c r="K506" s="85"/>
      <c r="L506" s="109"/>
      <c r="M506" s="110"/>
      <c r="N506" s="111"/>
      <c r="O506" s="112"/>
      <c r="P506" s="112"/>
      <c r="Q506" s="118"/>
    </row>
    <row r="507" spans="2:17" s="5" customFormat="1" ht="13">
      <c r="B507" s="84"/>
      <c r="C507" s="84"/>
      <c r="D507" s="85"/>
      <c r="E507" s="85"/>
      <c r="F507" s="85"/>
      <c r="G507" s="85"/>
      <c r="H507" s="85"/>
      <c r="I507" s="85"/>
      <c r="J507" s="85"/>
      <c r="K507" s="85"/>
      <c r="L507" s="109"/>
      <c r="M507" s="110"/>
      <c r="N507" s="111"/>
      <c r="O507" s="112"/>
      <c r="P507" s="112"/>
      <c r="Q507" s="118"/>
    </row>
    <row r="508" spans="2:17" s="5" customFormat="1" ht="13">
      <c r="B508" s="84"/>
      <c r="C508" s="84"/>
      <c r="D508" s="85"/>
      <c r="E508" s="85"/>
      <c r="F508" s="85"/>
      <c r="G508" s="85"/>
      <c r="H508" s="85"/>
      <c r="I508" s="85"/>
      <c r="J508" s="85"/>
      <c r="K508" s="85"/>
      <c r="L508" s="109"/>
      <c r="M508" s="110"/>
      <c r="N508" s="111"/>
      <c r="O508" s="112"/>
      <c r="P508" s="112"/>
      <c r="Q508" s="118"/>
    </row>
    <row r="509" spans="2:17" s="5" customFormat="1" ht="13">
      <c r="B509" s="84"/>
      <c r="C509" s="84"/>
      <c r="D509" s="85"/>
      <c r="E509" s="85"/>
      <c r="F509" s="85"/>
      <c r="G509" s="85"/>
      <c r="H509" s="85"/>
      <c r="I509" s="85"/>
      <c r="J509" s="85"/>
      <c r="K509" s="85"/>
      <c r="L509" s="109"/>
      <c r="M509" s="110"/>
      <c r="N509" s="111"/>
      <c r="O509" s="112"/>
      <c r="P509" s="112"/>
      <c r="Q509" s="118"/>
    </row>
    <row r="510" spans="2:17" s="5" customFormat="1" ht="13">
      <c r="B510" s="84"/>
      <c r="C510" s="84"/>
      <c r="D510" s="85"/>
      <c r="E510" s="85"/>
      <c r="F510" s="85"/>
      <c r="G510" s="85"/>
      <c r="H510" s="85"/>
      <c r="I510" s="85"/>
      <c r="J510" s="85"/>
      <c r="K510" s="85"/>
      <c r="L510" s="109"/>
      <c r="M510" s="110"/>
      <c r="N510" s="111"/>
      <c r="O510" s="112"/>
      <c r="P510" s="112"/>
      <c r="Q510" s="118"/>
    </row>
    <row r="511" spans="2:17" s="5" customFormat="1" ht="13">
      <c r="B511" s="84"/>
      <c r="C511" s="84"/>
      <c r="D511" s="85"/>
      <c r="E511" s="85"/>
      <c r="F511" s="85"/>
      <c r="G511" s="85"/>
      <c r="H511" s="85"/>
      <c r="I511" s="85"/>
      <c r="J511" s="85"/>
      <c r="K511" s="85"/>
      <c r="L511" s="109"/>
      <c r="M511" s="110"/>
      <c r="N511" s="111"/>
      <c r="O511" s="112"/>
      <c r="P511" s="112"/>
      <c r="Q511" s="118"/>
    </row>
    <row r="512" spans="2:17" s="5" customFormat="1" ht="13">
      <c r="B512" s="84"/>
      <c r="C512" s="84"/>
      <c r="D512" s="85"/>
      <c r="E512" s="85"/>
      <c r="F512" s="85"/>
      <c r="G512" s="85"/>
      <c r="H512" s="85"/>
      <c r="I512" s="85"/>
      <c r="J512" s="85"/>
      <c r="K512" s="85"/>
      <c r="L512" s="109"/>
      <c r="M512" s="110"/>
      <c r="N512" s="111"/>
      <c r="O512" s="112"/>
      <c r="P512" s="112"/>
      <c r="Q512" s="118"/>
    </row>
    <row r="513" spans="2:17" s="5" customFormat="1" ht="13">
      <c r="B513" s="84"/>
      <c r="C513" s="84"/>
      <c r="D513" s="85"/>
      <c r="E513" s="85"/>
      <c r="F513" s="85"/>
      <c r="G513" s="85"/>
      <c r="H513" s="85"/>
      <c r="I513" s="85"/>
      <c r="J513" s="85"/>
      <c r="K513" s="85"/>
      <c r="L513" s="109"/>
      <c r="M513" s="110"/>
      <c r="N513" s="111"/>
      <c r="O513" s="112"/>
      <c r="P513" s="112"/>
      <c r="Q513" s="118"/>
    </row>
    <row r="514" spans="2:17" s="5" customFormat="1" ht="13">
      <c r="B514" s="84"/>
      <c r="C514" s="84"/>
      <c r="D514" s="85"/>
      <c r="E514" s="85"/>
      <c r="F514" s="85"/>
      <c r="G514" s="85"/>
      <c r="H514" s="85"/>
      <c r="I514" s="85"/>
      <c r="J514" s="85"/>
      <c r="K514" s="85"/>
      <c r="L514" s="109"/>
      <c r="M514" s="110"/>
      <c r="N514" s="111"/>
      <c r="O514" s="112"/>
      <c r="P514" s="112"/>
      <c r="Q514" s="118"/>
    </row>
    <row r="515" spans="2:17" s="5" customFormat="1" ht="13">
      <c r="B515" s="84"/>
      <c r="C515" s="84"/>
      <c r="D515" s="85"/>
      <c r="E515" s="85"/>
      <c r="F515" s="85"/>
      <c r="G515" s="85"/>
      <c r="H515" s="85"/>
      <c r="I515" s="85"/>
      <c r="J515" s="85"/>
      <c r="K515" s="85"/>
      <c r="L515" s="109"/>
      <c r="M515" s="110"/>
      <c r="N515" s="111"/>
      <c r="O515" s="112"/>
      <c r="P515" s="112"/>
      <c r="Q515" s="118"/>
    </row>
    <row r="516" spans="2:17" s="5" customFormat="1" ht="13">
      <c r="B516" s="84"/>
      <c r="C516" s="84"/>
      <c r="D516" s="85"/>
      <c r="E516" s="85"/>
      <c r="F516" s="85"/>
      <c r="G516" s="85"/>
      <c r="H516" s="85"/>
      <c r="I516" s="85"/>
      <c r="J516" s="85"/>
      <c r="K516" s="85"/>
      <c r="L516" s="109"/>
      <c r="M516" s="110"/>
      <c r="N516" s="111"/>
      <c r="O516" s="112"/>
      <c r="P516" s="112"/>
      <c r="Q516" s="118"/>
    </row>
    <row r="517" spans="2:17" s="5" customFormat="1" ht="13">
      <c r="B517" s="84"/>
      <c r="C517" s="84"/>
      <c r="D517" s="85"/>
      <c r="E517" s="85"/>
      <c r="F517" s="85"/>
      <c r="G517" s="85"/>
      <c r="H517" s="85"/>
      <c r="I517" s="85"/>
      <c r="J517" s="85"/>
      <c r="K517" s="85"/>
      <c r="L517" s="109"/>
      <c r="M517" s="110"/>
      <c r="N517" s="111"/>
      <c r="O517" s="112"/>
      <c r="P517" s="112"/>
      <c r="Q517" s="118"/>
    </row>
    <row r="518" spans="2:17" s="5" customFormat="1" ht="13">
      <c r="B518" s="84"/>
      <c r="C518" s="84"/>
      <c r="D518" s="85"/>
      <c r="E518" s="85"/>
      <c r="F518" s="85"/>
      <c r="G518" s="85"/>
      <c r="H518" s="85"/>
      <c r="I518" s="85"/>
      <c r="J518" s="85"/>
      <c r="K518" s="85"/>
      <c r="L518" s="109"/>
      <c r="M518" s="110"/>
      <c r="N518" s="111"/>
      <c r="O518" s="112"/>
      <c r="P518" s="112"/>
      <c r="Q518" s="118"/>
    </row>
    <row r="519" spans="2:17" s="5" customFormat="1" ht="13">
      <c r="B519" s="84"/>
      <c r="C519" s="84"/>
      <c r="D519" s="85"/>
      <c r="E519" s="85"/>
      <c r="F519" s="85"/>
      <c r="G519" s="85"/>
      <c r="H519" s="85"/>
      <c r="I519" s="85"/>
      <c r="J519" s="85"/>
      <c r="K519" s="85"/>
      <c r="L519" s="109"/>
      <c r="M519" s="110"/>
      <c r="N519" s="111"/>
      <c r="O519" s="112"/>
      <c r="P519" s="112"/>
      <c r="Q519" s="118"/>
    </row>
    <row r="520" spans="2:17" s="5" customFormat="1" ht="13">
      <c r="B520" s="84"/>
      <c r="C520" s="84"/>
      <c r="D520" s="85"/>
      <c r="E520" s="85"/>
      <c r="F520" s="85"/>
      <c r="G520" s="85"/>
      <c r="H520" s="85"/>
      <c r="I520" s="85"/>
      <c r="J520" s="85"/>
      <c r="K520" s="85"/>
      <c r="L520" s="109"/>
      <c r="M520" s="110"/>
      <c r="N520" s="111"/>
      <c r="O520" s="112"/>
      <c r="P520" s="112"/>
      <c r="Q520" s="118"/>
    </row>
    <row r="521" spans="2:17" s="5" customFormat="1" ht="13">
      <c r="B521" s="84"/>
      <c r="C521" s="84"/>
      <c r="D521" s="85"/>
      <c r="E521" s="85"/>
      <c r="F521" s="85"/>
      <c r="G521" s="85"/>
      <c r="H521" s="85"/>
      <c r="I521" s="85"/>
      <c r="J521" s="85"/>
      <c r="K521" s="85"/>
      <c r="L521" s="109"/>
      <c r="M521" s="110"/>
      <c r="N521" s="111"/>
      <c r="O521" s="112"/>
      <c r="P521" s="112"/>
      <c r="Q521" s="118"/>
    </row>
    <row r="522" spans="2:17" s="5" customFormat="1" ht="13">
      <c r="B522" s="84"/>
      <c r="C522" s="84"/>
      <c r="D522" s="85"/>
      <c r="E522" s="85"/>
      <c r="F522" s="85"/>
      <c r="G522" s="85"/>
      <c r="H522" s="85"/>
      <c r="I522" s="85"/>
      <c r="J522" s="85"/>
      <c r="K522" s="85"/>
      <c r="L522" s="109"/>
      <c r="M522" s="110"/>
      <c r="N522" s="111"/>
      <c r="O522" s="112"/>
      <c r="P522" s="112"/>
      <c r="Q522" s="118"/>
    </row>
    <row r="523" spans="2:17" s="5" customFormat="1" ht="13">
      <c r="B523" s="84"/>
      <c r="C523" s="84"/>
      <c r="D523" s="85"/>
      <c r="E523" s="85"/>
      <c r="F523" s="85"/>
      <c r="G523" s="85"/>
      <c r="H523" s="85"/>
      <c r="I523" s="85"/>
      <c r="J523" s="85"/>
      <c r="K523" s="85"/>
      <c r="L523" s="109"/>
      <c r="M523" s="110"/>
      <c r="N523" s="111"/>
      <c r="O523" s="112"/>
      <c r="P523" s="112"/>
      <c r="Q523" s="118"/>
    </row>
    <row r="524" spans="2:17" s="5" customFormat="1" ht="13">
      <c r="B524" s="84"/>
      <c r="C524" s="84"/>
      <c r="D524" s="85"/>
      <c r="E524" s="85"/>
      <c r="F524" s="85"/>
      <c r="G524" s="85"/>
      <c r="H524" s="85"/>
      <c r="I524" s="85"/>
      <c r="J524" s="85"/>
      <c r="K524" s="85"/>
      <c r="L524" s="109"/>
      <c r="M524" s="110"/>
      <c r="N524" s="111"/>
      <c r="O524" s="112"/>
      <c r="P524" s="112"/>
      <c r="Q524" s="118"/>
    </row>
    <row r="525" spans="2:17" s="5" customFormat="1" ht="13">
      <c r="B525" s="84"/>
      <c r="C525" s="84"/>
      <c r="D525" s="85"/>
      <c r="E525" s="85"/>
      <c r="F525" s="85"/>
      <c r="G525" s="85"/>
      <c r="H525" s="85"/>
      <c r="I525" s="85"/>
      <c r="J525" s="85"/>
      <c r="K525" s="85"/>
      <c r="L525" s="109"/>
      <c r="M525" s="110"/>
      <c r="N525" s="111"/>
      <c r="O525" s="112"/>
      <c r="P525" s="112"/>
      <c r="Q525" s="118"/>
    </row>
    <row r="526" spans="2:17" s="5" customFormat="1" ht="13">
      <c r="B526" s="84"/>
      <c r="C526" s="84"/>
      <c r="D526" s="85"/>
      <c r="E526" s="85"/>
      <c r="F526" s="85"/>
      <c r="G526" s="85"/>
      <c r="H526" s="85"/>
      <c r="I526" s="85"/>
      <c r="J526" s="85"/>
      <c r="K526" s="85"/>
      <c r="L526" s="109"/>
      <c r="M526" s="110"/>
      <c r="N526" s="111"/>
      <c r="O526" s="112"/>
      <c r="P526" s="112"/>
      <c r="Q526" s="118"/>
    </row>
    <row r="527" spans="2:17" s="5" customFormat="1" ht="13">
      <c r="B527" s="84"/>
      <c r="C527" s="84"/>
      <c r="D527" s="85"/>
      <c r="E527" s="85"/>
      <c r="F527" s="85"/>
      <c r="G527" s="85"/>
      <c r="H527" s="85"/>
      <c r="I527" s="85"/>
      <c r="J527" s="85"/>
      <c r="K527" s="85"/>
      <c r="L527" s="109"/>
      <c r="M527" s="110"/>
      <c r="N527" s="111"/>
      <c r="O527" s="112"/>
      <c r="P527" s="112"/>
      <c r="Q527" s="118"/>
    </row>
    <row r="528" spans="2:17" s="5" customFormat="1" ht="13">
      <c r="B528" s="84"/>
      <c r="C528" s="84"/>
      <c r="D528" s="85"/>
      <c r="E528" s="85"/>
      <c r="F528" s="85"/>
      <c r="G528" s="85"/>
      <c r="H528" s="85"/>
      <c r="I528" s="85"/>
      <c r="J528" s="85"/>
      <c r="K528" s="85"/>
      <c r="L528" s="109"/>
      <c r="M528" s="110"/>
      <c r="N528" s="111"/>
      <c r="O528" s="112"/>
      <c r="P528" s="112"/>
      <c r="Q528" s="118"/>
    </row>
    <row r="529" spans="2:17" s="5" customFormat="1" ht="13">
      <c r="B529" s="84"/>
      <c r="C529" s="84"/>
      <c r="D529" s="85"/>
      <c r="E529" s="85"/>
      <c r="F529" s="85"/>
      <c r="G529" s="85"/>
      <c r="H529" s="85"/>
      <c r="I529" s="85"/>
      <c r="J529" s="85"/>
      <c r="K529" s="85"/>
      <c r="L529" s="109"/>
      <c r="M529" s="110"/>
      <c r="N529" s="111"/>
      <c r="O529" s="112"/>
      <c r="P529" s="112"/>
      <c r="Q529" s="118"/>
    </row>
    <row r="530" spans="2:17" s="5" customFormat="1" ht="13">
      <c r="B530" s="84"/>
      <c r="C530" s="84"/>
      <c r="D530" s="85"/>
      <c r="E530" s="85"/>
      <c r="F530" s="85"/>
      <c r="G530" s="85"/>
      <c r="H530" s="85"/>
      <c r="I530" s="85"/>
      <c r="J530" s="85"/>
      <c r="K530" s="85"/>
      <c r="L530" s="109"/>
      <c r="M530" s="110"/>
      <c r="N530" s="111"/>
      <c r="O530" s="112"/>
      <c r="P530" s="112"/>
      <c r="Q530" s="118"/>
    </row>
    <row r="531" spans="2:17" s="5" customFormat="1" ht="13">
      <c r="B531" s="84"/>
      <c r="C531" s="84"/>
      <c r="D531" s="85"/>
      <c r="E531" s="85"/>
      <c r="F531" s="85"/>
      <c r="G531" s="85"/>
      <c r="H531" s="85"/>
      <c r="I531" s="85"/>
      <c r="J531" s="85"/>
      <c r="K531" s="85"/>
      <c r="L531" s="109"/>
      <c r="M531" s="110"/>
      <c r="N531" s="111"/>
      <c r="O531" s="112"/>
      <c r="P531" s="112"/>
      <c r="Q531" s="118"/>
    </row>
    <row r="532" spans="2:17" s="5" customFormat="1" ht="13">
      <c r="B532" s="84"/>
      <c r="C532" s="84"/>
      <c r="D532" s="85"/>
      <c r="E532" s="85"/>
      <c r="F532" s="85"/>
      <c r="G532" s="85"/>
      <c r="H532" s="85"/>
      <c r="I532" s="85"/>
      <c r="J532" s="85"/>
      <c r="K532" s="85"/>
      <c r="L532" s="109"/>
      <c r="M532" s="110"/>
      <c r="N532" s="111"/>
      <c r="O532" s="112"/>
      <c r="P532" s="112"/>
      <c r="Q532" s="118"/>
    </row>
    <row r="533" spans="2:17" s="5" customFormat="1" ht="13">
      <c r="B533" s="84"/>
      <c r="C533" s="84"/>
      <c r="D533" s="85"/>
      <c r="E533" s="85"/>
      <c r="F533" s="85"/>
      <c r="G533" s="85"/>
      <c r="H533" s="85"/>
      <c r="I533" s="85"/>
      <c r="J533" s="85"/>
      <c r="K533" s="85"/>
      <c r="L533" s="109"/>
      <c r="M533" s="110"/>
      <c r="N533" s="111"/>
      <c r="O533" s="112"/>
      <c r="P533" s="112"/>
      <c r="Q533" s="118"/>
    </row>
    <row r="534" spans="2:17" s="5" customFormat="1" ht="13">
      <c r="B534" s="84"/>
      <c r="C534" s="84"/>
      <c r="D534" s="85"/>
      <c r="E534" s="85"/>
      <c r="F534" s="85"/>
      <c r="G534" s="85"/>
      <c r="H534" s="85"/>
      <c r="I534" s="85"/>
      <c r="J534" s="85"/>
      <c r="K534" s="85"/>
      <c r="L534" s="109"/>
      <c r="M534" s="110"/>
      <c r="N534" s="111"/>
      <c r="O534" s="112"/>
      <c r="P534" s="112"/>
      <c r="Q534" s="118"/>
    </row>
    <row r="535" spans="2:17" s="5" customFormat="1" ht="13">
      <c r="B535" s="84"/>
      <c r="C535" s="84"/>
      <c r="D535" s="85"/>
      <c r="E535" s="85"/>
      <c r="F535" s="85"/>
      <c r="G535" s="85"/>
      <c r="H535" s="85"/>
      <c r="I535" s="85"/>
      <c r="J535" s="85"/>
      <c r="K535" s="85"/>
      <c r="L535" s="109"/>
      <c r="M535" s="110"/>
      <c r="N535" s="111"/>
      <c r="O535" s="112"/>
      <c r="P535" s="112"/>
      <c r="Q535" s="118"/>
    </row>
    <row r="536" spans="2:17" s="5" customFormat="1" ht="13">
      <c r="B536" s="84"/>
      <c r="C536" s="84"/>
      <c r="D536" s="85"/>
      <c r="E536" s="85"/>
      <c r="F536" s="85"/>
      <c r="G536" s="85"/>
      <c r="H536" s="85"/>
      <c r="I536" s="85"/>
      <c r="J536" s="85"/>
      <c r="K536" s="85"/>
      <c r="L536" s="109"/>
      <c r="M536" s="110"/>
      <c r="N536" s="111"/>
      <c r="O536" s="112"/>
      <c r="P536" s="112"/>
      <c r="Q536" s="118"/>
    </row>
    <row r="537" spans="2:17" s="5" customFormat="1" ht="13">
      <c r="B537" s="84"/>
      <c r="C537" s="84"/>
      <c r="D537" s="85"/>
      <c r="E537" s="85"/>
      <c r="F537" s="85"/>
      <c r="G537" s="85"/>
      <c r="H537" s="85"/>
      <c r="I537" s="85"/>
      <c r="J537" s="85"/>
      <c r="K537" s="85"/>
      <c r="L537" s="109"/>
      <c r="M537" s="110"/>
      <c r="N537" s="111"/>
      <c r="O537" s="112"/>
      <c r="P537" s="112"/>
      <c r="Q537" s="118"/>
    </row>
    <row r="538" spans="2:17" s="5" customFormat="1" ht="13">
      <c r="B538" s="84"/>
      <c r="C538" s="84"/>
      <c r="D538" s="85"/>
      <c r="E538" s="85"/>
      <c r="F538" s="85"/>
      <c r="G538" s="85"/>
      <c r="H538" s="85"/>
      <c r="I538" s="85"/>
      <c r="J538" s="85"/>
      <c r="K538" s="85"/>
      <c r="L538" s="109"/>
      <c r="M538" s="110"/>
      <c r="N538" s="111"/>
      <c r="O538" s="112"/>
      <c r="P538" s="112"/>
      <c r="Q538" s="118"/>
    </row>
    <row r="539" spans="2:17" s="5" customFormat="1" ht="13">
      <c r="B539" s="84"/>
      <c r="C539" s="84"/>
      <c r="D539" s="85"/>
      <c r="E539" s="85"/>
      <c r="F539" s="85"/>
      <c r="G539" s="85"/>
      <c r="H539" s="85"/>
      <c r="I539" s="85"/>
      <c r="J539" s="85"/>
      <c r="K539" s="85"/>
      <c r="L539" s="109"/>
      <c r="M539" s="110"/>
      <c r="N539" s="111"/>
      <c r="O539" s="112"/>
      <c r="P539" s="112"/>
      <c r="Q539" s="118"/>
    </row>
    <row r="540" spans="2:17" s="5" customFormat="1" ht="13">
      <c r="B540" s="84"/>
      <c r="C540" s="84"/>
      <c r="D540" s="85"/>
      <c r="E540" s="85"/>
      <c r="F540" s="85"/>
      <c r="G540" s="85"/>
      <c r="H540" s="85"/>
      <c r="I540" s="85"/>
      <c r="J540" s="85"/>
      <c r="K540" s="85"/>
      <c r="L540" s="109"/>
      <c r="M540" s="110"/>
      <c r="N540" s="111"/>
      <c r="O540" s="112"/>
      <c r="P540" s="112"/>
      <c r="Q540" s="118"/>
    </row>
    <row r="541" spans="2:17" s="5" customFormat="1" ht="13">
      <c r="B541" s="84"/>
      <c r="C541" s="84"/>
      <c r="D541" s="85"/>
      <c r="E541" s="85"/>
      <c r="F541" s="85"/>
      <c r="G541" s="85"/>
      <c r="H541" s="85"/>
      <c r="I541" s="85"/>
      <c r="J541" s="85"/>
      <c r="K541" s="85"/>
      <c r="L541" s="109"/>
      <c r="M541" s="110"/>
      <c r="N541" s="111"/>
      <c r="O541" s="112"/>
      <c r="P541" s="112"/>
      <c r="Q541" s="118"/>
    </row>
    <row r="542" spans="2:17" s="5" customFormat="1" ht="13">
      <c r="B542" s="84"/>
      <c r="C542" s="84"/>
      <c r="D542" s="85"/>
      <c r="E542" s="85"/>
      <c r="F542" s="85"/>
      <c r="G542" s="85"/>
      <c r="H542" s="85"/>
      <c r="I542" s="85"/>
      <c r="J542" s="85"/>
      <c r="K542" s="85"/>
      <c r="L542" s="109"/>
      <c r="M542" s="110"/>
      <c r="N542" s="111"/>
      <c r="O542" s="112"/>
      <c r="P542" s="112"/>
      <c r="Q542" s="118"/>
    </row>
    <row r="543" spans="2:17" s="5" customFormat="1" ht="13">
      <c r="B543" s="84"/>
      <c r="C543" s="84"/>
      <c r="D543" s="85"/>
      <c r="E543" s="85"/>
      <c r="F543" s="85"/>
      <c r="G543" s="85"/>
      <c r="H543" s="85"/>
      <c r="I543" s="85"/>
      <c r="J543" s="85"/>
      <c r="K543" s="85"/>
      <c r="L543" s="109"/>
      <c r="M543" s="110"/>
      <c r="N543" s="111"/>
      <c r="O543" s="112"/>
      <c r="P543" s="112"/>
      <c r="Q543" s="118"/>
    </row>
    <row r="544" spans="2:17" s="5" customFormat="1" ht="13">
      <c r="B544" s="84"/>
      <c r="C544" s="84"/>
      <c r="D544" s="85"/>
      <c r="E544" s="85"/>
      <c r="F544" s="85"/>
      <c r="G544" s="85"/>
      <c r="H544" s="85"/>
      <c r="I544" s="85"/>
      <c r="J544" s="85"/>
      <c r="K544" s="85"/>
      <c r="L544" s="109"/>
      <c r="M544" s="110"/>
      <c r="N544" s="111"/>
      <c r="O544" s="112"/>
      <c r="P544" s="112"/>
      <c r="Q544" s="118"/>
    </row>
    <row r="545" spans="2:17" s="5" customFormat="1" ht="13">
      <c r="B545" s="84"/>
      <c r="C545" s="84"/>
      <c r="D545" s="85"/>
      <c r="E545" s="85"/>
      <c r="F545" s="85"/>
      <c r="G545" s="85"/>
      <c r="H545" s="85"/>
      <c r="I545" s="85"/>
      <c r="J545" s="85"/>
      <c r="K545" s="85"/>
      <c r="L545" s="109"/>
      <c r="M545" s="110"/>
      <c r="N545" s="111"/>
      <c r="O545" s="112"/>
      <c r="P545" s="112"/>
      <c r="Q545" s="118"/>
    </row>
    <row r="546" spans="2:17" s="5" customFormat="1" ht="13">
      <c r="B546" s="84"/>
      <c r="C546" s="84"/>
      <c r="D546" s="85"/>
      <c r="E546" s="85"/>
      <c r="F546" s="85"/>
      <c r="G546" s="85"/>
      <c r="H546" s="85"/>
      <c r="I546" s="85"/>
      <c r="J546" s="85"/>
      <c r="K546" s="85"/>
      <c r="L546" s="109"/>
      <c r="M546" s="110"/>
      <c r="N546" s="111"/>
      <c r="O546" s="112"/>
      <c r="P546" s="112"/>
      <c r="Q546" s="118"/>
    </row>
    <row r="547" spans="2:17" s="5" customFormat="1" ht="13">
      <c r="B547" s="84"/>
      <c r="C547" s="84"/>
      <c r="D547" s="85"/>
      <c r="E547" s="85"/>
      <c r="F547" s="85"/>
      <c r="G547" s="85"/>
      <c r="H547" s="85"/>
      <c r="I547" s="85"/>
      <c r="J547" s="85"/>
      <c r="K547" s="85"/>
      <c r="L547" s="109"/>
      <c r="M547" s="110"/>
      <c r="N547" s="111"/>
      <c r="O547" s="112"/>
      <c r="P547" s="112"/>
      <c r="Q547" s="118"/>
    </row>
    <row r="548" spans="2:17" s="5" customFormat="1" ht="13">
      <c r="B548" s="84"/>
      <c r="C548" s="84"/>
      <c r="D548" s="85"/>
      <c r="E548" s="85"/>
      <c r="F548" s="85"/>
      <c r="G548" s="85"/>
      <c r="H548" s="85"/>
      <c r="I548" s="85"/>
      <c r="J548" s="85"/>
      <c r="K548" s="85"/>
      <c r="L548" s="109"/>
      <c r="M548" s="110"/>
      <c r="N548" s="111"/>
      <c r="O548" s="112"/>
      <c r="P548" s="112"/>
      <c r="Q548" s="118"/>
    </row>
    <row r="549" spans="2:17" s="5" customFormat="1" ht="13">
      <c r="B549" s="84"/>
      <c r="C549" s="84"/>
      <c r="D549" s="85"/>
      <c r="E549" s="85"/>
      <c r="F549" s="85"/>
      <c r="G549" s="85"/>
      <c r="H549" s="85"/>
      <c r="I549" s="85"/>
      <c r="J549" s="85"/>
      <c r="K549" s="85"/>
      <c r="L549" s="109"/>
      <c r="M549" s="110"/>
      <c r="N549" s="111"/>
      <c r="O549" s="112"/>
      <c r="P549" s="112"/>
      <c r="Q549" s="118"/>
    </row>
    <row r="550" spans="2:17" s="5" customFormat="1" ht="13">
      <c r="B550" s="84"/>
      <c r="C550" s="84"/>
      <c r="D550" s="85"/>
      <c r="E550" s="85"/>
      <c r="F550" s="85"/>
      <c r="G550" s="85"/>
      <c r="H550" s="85"/>
      <c r="I550" s="85"/>
      <c r="J550" s="85"/>
      <c r="K550" s="85"/>
      <c r="L550" s="109"/>
      <c r="M550" s="110"/>
      <c r="N550" s="111"/>
      <c r="O550" s="112"/>
      <c r="P550" s="112"/>
      <c r="Q550" s="118"/>
    </row>
    <row r="551" spans="2:17" s="5" customFormat="1" ht="13">
      <c r="B551" s="84"/>
      <c r="C551" s="84"/>
      <c r="D551" s="85"/>
      <c r="E551" s="85"/>
      <c r="F551" s="85"/>
      <c r="G551" s="85"/>
      <c r="H551" s="85"/>
      <c r="I551" s="85"/>
      <c r="J551" s="85"/>
      <c r="K551" s="85"/>
      <c r="L551" s="109"/>
      <c r="M551" s="110"/>
      <c r="N551" s="111"/>
      <c r="O551" s="112"/>
      <c r="P551" s="112"/>
      <c r="Q551" s="118"/>
    </row>
    <row r="552" spans="2:17" s="5" customFormat="1" ht="13">
      <c r="B552" s="84"/>
      <c r="C552" s="84"/>
      <c r="D552" s="85"/>
      <c r="E552" s="85"/>
      <c r="F552" s="85"/>
      <c r="G552" s="85"/>
      <c r="H552" s="85"/>
      <c r="I552" s="85"/>
      <c r="J552" s="85"/>
      <c r="K552" s="85"/>
      <c r="L552" s="109"/>
      <c r="M552" s="110"/>
      <c r="N552" s="111"/>
      <c r="O552" s="112"/>
      <c r="P552" s="112"/>
      <c r="Q552" s="118"/>
    </row>
    <row r="553" spans="2:17" s="5" customFormat="1" ht="13">
      <c r="B553" s="84"/>
      <c r="C553" s="84"/>
      <c r="D553" s="85"/>
      <c r="E553" s="85"/>
      <c r="F553" s="85"/>
      <c r="G553" s="85"/>
      <c r="H553" s="85"/>
      <c r="I553" s="85"/>
      <c r="J553" s="85"/>
      <c r="K553" s="85"/>
      <c r="L553" s="109"/>
      <c r="M553" s="110"/>
      <c r="N553" s="111"/>
      <c r="O553" s="112"/>
      <c r="P553" s="112"/>
      <c r="Q553" s="118"/>
    </row>
    <row r="554" spans="2:17" s="5" customFormat="1" ht="13">
      <c r="B554" s="84"/>
      <c r="C554" s="84"/>
      <c r="D554" s="85"/>
      <c r="E554" s="85"/>
      <c r="F554" s="85"/>
      <c r="G554" s="85"/>
      <c r="H554" s="85"/>
      <c r="I554" s="85"/>
      <c r="J554" s="85"/>
      <c r="K554" s="85"/>
      <c r="L554" s="109"/>
      <c r="M554" s="110"/>
      <c r="N554" s="111"/>
      <c r="O554" s="112"/>
      <c r="P554" s="112"/>
      <c r="Q554" s="118"/>
    </row>
    <row r="555" spans="2:17" s="5" customFormat="1" ht="13">
      <c r="B555" s="84"/>
      <c r="C555" s="84"/>
      <c r="D555" s="85"/>
      <c r="E555" s="85"/>
      <c r="F555" s="85"/>
      <c r="G555" s="85"/>
      <c r="H555" s="85"/>
      <c r="I555" s="85"/>
      <c r="J555" s="85"/>
      <c r="K555" s="85"/>
      <c r="L555" s="109"/>
      <c r="M555" s="110"/>
      <c r="N555" s="111"/>
      <c r="O555" s="112"/>
      <c r="P555" s="112"/>
      <c r="Q555" s="118"/>
    </row>
    <row r="556" spans="2:17" s="5" customFormat="1" ht="13">
      <c r="B556" s="84"/>
      <c r="C556" s="84"/>
      <c r="D556" s="85"/>
      <c r="E556" s="85"/>
      <c r="F556" s="85"/>
      <c r="G556" s="85"/>
      <c r="H556" s="85"/>
      <c r="I556" s="85"/>
      <c r="J556" s="85"/>
      <c r="K556" s="85"/>
      <c r="L556" s="109"/>
      <c r="M556" s="110"/>
      <c r="N556" s="111"/>
      <c r="O556" s="112"/>
      <c r="P556" s="112"/>
      <c r="Q556" s="118"/>
    </row>
    <row r="557" spans="2:17" s="5" customFormat="1" ht="13">
      <c r="B557" s="84"/>
      <c r="C557" s="84"/>
      <c r="D557" s="85"/>
      <c r="E557" s="85"/>
      <c r="F557" s="85"/>
      <c r="G557" s="85"/>
      <c r="H557" s="85"/>
      <c r="I557" s="85"/>
      <c r="J557" s="85"/>
      <c r="K557" s="85"/>
      <c r="L557" s="109"/>
      <c r="M557" s="110"/>
      <c r="N557" s="111"/>
      <c r="O557" s="112"/>
      <c r="P557" s="112"/>
      <c r="Q557" s="118"/>
    </row>
    <row r="558" spans="2:17" s="5" customFormat="1" ht="13">
      <c r="B558" s="84"/>
      <c r="C558" s="84"/>
      <c r="D558" s="85"/>
      <c r="E558" s="85"/>
      <c r="F558" s="85"/>
      <c r="G558" s="85"/>
      <c r="H558" s="85"/>
      <c r="I558" s="85"/>
      <c r="J558" s="85"/>
      <c r="K558" s="85"/>
      <c r="L558" s="109"/>
      <c r="M558" s="110"/>
      <c r="N558" s="111"/>
      <c r="O558" s="112"/>
      <c r="P558" s="112"/>
      <c r="Q558" s="118"/>
    </row>
    <row r="559" spans="2:17" s="5" customFormat="1" ht="13">
      <c r="B559" s="84"/>
      <c r="C559" s="84"/>
      <c r="D559" s="85"/>
      <c r="E559" s="85"/>
      <c r="F559" s="85"/>
      <c r="G559" s="85"/>
      <c r="H559" s="85"/>
      <c r="I559" s="85"/>
      <c r="J559" s="85"/>
      <c r="K559" s="85"/>
      <c r="L559" s="109"/>
      <c r="M559" s="110"/>
      <c r="N559" s="111"/>
      <c r="O559" s="112"/>
      <c r="P559" s="112"/>
      <c r="Q559" s="118"/>
    </row>
    <row r="560" spans="2:17" s="5" customFormat="1" ht="13">
      <c r="B560" s="84"/>
      <c r="C560" s="84"/>
      <c r="D560" s="85"/>
      <c r="E560" s="85"/>
      <c r="F560" s="85"/>
      <c r="G560" s="85"/>
      <c r="H560" s="85"/>
      <c r="I560" s="85"/>
      <c r="J560" s="85"/>
      <c r="K560" s="85"/>
      <c r="L560" s="109"/>
      <c r="M560" s="110"/>
      <c r="N560" s="111"/>
      <c r="O560" s="112"/>
      <c r="P560" s="112"/>
      <c r="Q560" s="118"/>
    </row>
    <row r="561" spans="2:17" s="5" customFormat="1" ht="13">
      <c r="B561" s="84"/>
      <c r="C561" s="84"/>
      <c r="D561" s="85"/>
      <c r="E561" s="85"/>
      <c r="F561" s="85"/>
      <c r="G561" s="85"/>
      <c r="H561" s="85"/>
      <c r="I561" s="85"/>
      <c r="J561" s="85"/>
      <c r="K561" s="85"/>
      <c r="L561" s="109"/>
      <c r="M561" s="110"/>
      <c r="N561" s="111"/>
      <c r="O561" s="112"/>
      <c r="P561" s="112"/>
      <c r="Q561" s="118"/>
    </row>
    <row r="562" spans="2:17" s="5" customFormat="1" ht="13">
      <c r="B562" s="84"/>
      <c r="C562" s="84"/>
      <c r="D562" s="85"/>
      <c r="E562" s="85"/>
      <c r="F562" s="85"/>
      <c r="G562" s="85"/>
      <c r="H562" s="85"/>
      <c r="I562" s="85"/>
      <c r="J562" s="85"/>
      <c r="K562" s="85"/>
      <c r="L562" s="109"/>
      <c r="M562" s="110"/>
      <c r="N562" s="111"/>
      <c r="O562" s="112"/>
      <c r="P562" s="112"/>
      <c r="Q562" s="118"/>
    </row>
    <row r="563" spans="2:17" s="5" customFormat="1" ht="13">
      <c r="B563" s="84"/>
      <c r="C563" s="84"/>
      <c r="D563" s="85"/>
      <c r="E563" s="85"/>
      <c r="F563" s="85"/>
      <c r="G563" s="85"/>
      <c r="H563" s="85"/>
      <c r="I563" s="85"/>
      <c r="J563" s="85"/>
      <c r="K563" s="85"/>
      <c r="L563" s="109"/>
      <c r="M563" s="110"/>
      <c r="N563" s="111"/>
      <c r="O563" s="112"/>
      <c r="P563" s="112"/>
      <c r="Q563" s="118"/>
    </row>
    <row r="564" spans="2:17" s="5" customFormat="1" ht="13">
      <c r="B564" s="84"/>
      <c r="C564" s="84"/>
      <c r="D564" s="85"/>
      <c r="E564" s="85"/>
      <c r="F564" s="85"/>
      <c r="G564" s="85"/>
      <c r="H564" s="85"/>
      <c r="I564" s="85"/>
      <c r="J564" s="85"/>
      <c r="K564" s="85"/>
      <c r="L564" s="109"/>
      <c r="M564" s="110"/>
      <c r="N564" s="111"/>
      <c r="O564" s="112"/>
      <c r="P564" s="112"/>
      <c r="Q564" s="118"/>
    </row>
    <row r="565" spans="2:17" s="5" customFormat="1" ht="13">
      <c r="B565" s="84"/>
      <c r="C565" s="84"/>
      <c r="D565" s="85"/>
      <c r="E565" s="85"/>
      <c r="F565" s="85"/>
      <c r="G565" s="85"/>
      <c r="H565" s="85"/>
      <c r="I565" s="85"/>
      <c r="J565" s="85"/>
      <c r="K565" s="85"/>
      <c r="L565" s="109"/>
      <c r="M565" s="110"/>
      <c r="N565" s="111"/>
      <c r="O565" s="112"/>
      <c r="P565" s="112"/>
      <c r="Q565" s="118"/>
    </row>
    <row r="566" spans="2:17" s="5" customFormat="1" ht="13">
      <c r="B566" s="84"/>
      <c r="C566" s="84"/>
      <c r="D566" s="85"/>
      <c r="E566" s="85"/>
      <c r="F566" s="85"/>
      <c r="G566" s="85"/>
      <c r="H566" s="85"/>
      <c r="I566" s="85"/>
      <c r="J566" s="85"/>
      <c r="K566" s="85"/>
      <c r="L566" s="109"/>
      <c r="M566" s="110"/>
      <c r="N566" s="111"/>
      <c r="O566" s="112"/>
      <c r="P566" s="112"/>
      <c r="Q566" s="118"/>
    </row>
    <row r="567" spans="2:17" s="5" customFormat="1" ht="13">
      <c r="B567" s="84"/>
      <c r="C567" s="84"/>
      <c r="D567" s="85"/>
      <c r="E567" s="85"/>
      <c r="F567" s="85"/>
      <c r="G567" s="85"/>
      <c r="H567" s="85"/>
      <c r="I567" s="85"/>
      <c r="J567" s="85"/>
      <c r="K567" s="85"/>
      <c r="L567" s="109"/>
      <c r="M567" s="110"/>
      <c r="N567" s="111"/>
      <c r="O567" s="112"/>
      <c r="P567" s="112"/>
      <c r="Q567" s="118"/>
    </row>
    <row r="568" spans="2:17" s="5" customFormat="1" ht="13">
      <c r="B568" s="84"/>
      <c r="C568" s="84"/>
      <c r="D568" s="85"/>
      <c r="E568" s="85"/>
      <c r="F568" s="85"/>
      <c r="G568" s="85"/>
      <c r="H568" s="85"/>
      <c r="I568" s="85"/>
      <c r="J568" s="85"/>
      <c r="K568" s="85"/>
      <c r="L568" s="109"/>
      <c r="M568" s="110"/>
      <c r="N568" s="111"/>
      <c r="O568" s="112"/>
      <c r="P568" s="112"/>
      <c r="Q568" s="118"/>
    </row>
    <row r="569" spans="2:17" s="5" customFormat="1" ht="13">
      <c r="B569" s="84"/>
      <c r="C569" s="84"/>
      <c r="D569" s="85"/>
      <c r="E569" s="85"/>
      <c r="F569" s="85"/>
      <c r="G569" s="85"/>
      <c r="H569" s="85"/>
      <c r="I569" s="85"/>
      <c r="J569" s="85"/>
      <c r="K569" s="85"/>
      <c r="L569" s="109"/>
      <c r="M569" s="110"/>
      <c r="N569" s="111"/>
      <c r="O569" s="112"/>
      <c r="P569" s="112"/>
      <c r="Q569" s="118"/>
    </row>
    <row r="570" spans="2:17" s="5" customFormat="1" ht="13">
      <c r="B570" s="84"/>
      <c r="C570" s="84"/>
      <c r="D570" s="85"/>
      <c r="E570" s="85"/>
      <c r="F570" s="85"/>
      <c r="G570" s="85"/>
      <c r="H570" s="85"/>
      <c r="I570" s="85"/>
      <c r="J570" s="85"/>
      <c r="K570" s="85"/>
      <c r="L570" s="109"/>
      <c r="M570" s="110"/>
      <c r="N570" s="111"/>
      <c r="O570" s="112"/>
      <c r="P570" s="112"/>
      <c r="Q570" s="118"/>
    </row>
    <row r="571" spans="2:17" s="5" customFormat="1" ht="13">
      <c r="B571" s="84"/>
      <c r="C571" s="84"/>
      <c r="D571" s="85"/>
      <c r="E571" s="85"/>
      <c r="F571" s="85"/>
      <c r="G571" s="85"/>
      <c r="H571" s="85"/>
      <c r="I571" s="85"/>
      <c r="J571" s="85"/>
      <c r="K571" s="85"/>
      <c r="L571" s="109"/>
      <c r="M571" s="110"/>
      <c r="N571" s="111"/>
      <c r="O571" s="112"/>
      <c r="P571" s="112"/>
      <c r="Q571" s="118"/>
    </row>
    <row r="572" spans="2:17" s="5" customFormat="1" ht="13">
      <c r="B572" s="84"/>
      <c r="C572" s="84"/>
      <c r="D572" s="85"/>
      <c r="E572" s="85"/>
      <c r="F572" s="85"/>
      <c r="G572" s="85"/>
      <c r="H572" s="85"/>
      <c r="I572" s="85"/>
      <c r="J572" s="85"/>
      <c r="K572" s="85"/>
      <c r="L572" s="109"/>
      <c r="M572" s="110"/>
      <c r="N572" s="111"/>
      <c r="O572" s="112"/>
      <c r="P572" s="112"/>
      <c r="Q572" s="118"/>
    </row>
    <row r="573" spans="2:17" s="5" customFormat="1" ht="13">
      <c r="B573" s="84"/>
      <c r="C573" s="84"/>
      <c r="D573" s="85"/>
      <c r="E573" s="85"/>
      <c r="F573" s="85"/>
      <c r="G573" s="85"/>
      <c r="H573" s="85"/>
      <c r="I573" s="85"/>
      <c r="J573" s="85"/>
      <c r="K573" s="85"/>
      <c r="L573" s="109"/>
      <c r="M573" s="110"/>
      <c r="N573" s="111"/>
      <c r="O573" s="112"/>
      <c r="P573" s="112"/>
      <c r="Q573" s="118"/>
    </row>
    <row r="574" spans="2:17" s="5" customFormat="1" ht="13">
      <c r="B574" s="84"/>
      <c r="C574" s="84"/>
      <c r="D574" s="85"/>
      <c r="E574" s="85"/>
      <c r="F574" s="85"/>
      <c r="G574" s="85"/>
      <c r="H574" s="85"/>
      <c r="I574" s="85"/>
      <c r="J574" s="85"/>
      <c r="K574" s="85"/>
      <c r="L574" s="109"/>
      <c r="M574" s="110"/>
      <c r="N574" s="111"/>
      <c r="O574" s="112"/>
      <c r="P574" s="112"/>
      <c r="Q574" s="118"/>
    </row>
    <row r="575" spans="2:17" s="5" customFormat="1" ht="13">
      <c r="B575" s="84"/>
      <c r="C575" s="84"/>
      <c r="D575" s="85"/>
      <c r="E575" s="85"/>
      <c r="F575" s="85"/>
      <c r="G575" s="85"/>
      <c r="H575" s="85"/>
      <c r="I575" s="85"/>
      <c r="J575" s="85"/>
      <c r="K575" s="85"/>
      <c r="L575" s="109"/>
      <c r="M575" s="110"/>
      <c r="N575" s="111"/>
      <c r="O575" s="112"/>
      <c r="P575" s="112"/>
      <c r="Q575" s="118"/>
    </row>
    <row r="576" spans="2:17" s="5" customFormat="1" ht="13">
      <c r="B576" s="84"/>
      <c r="C576" s="84"/>
      <c r="D576" s="85"/>
      <c r="E576" s="85"/>
      <c r="F576" s="85"/>
      <c r="G576" s="85"/>
      <c r="H576" s="85"/>
      <c r="I576" s="85"/>
      <c r="J576" s="85"/>
      <c r="K576" s="85"/>
      <c r="L576" s="109"/>
      <c r="M576" s="110"/>
      <c r="N576" s="111"/>
      <c r="O576" s="112"/>
      <c r="P576" s="112"/>
      <c r="Q576" s="118"/>
    </row>
    <row r="577" spans="2:17" s="5" customFormat="1" ht="13">
      <c r="B577" s="84"/>
      <c r="C577" s="84"/>
      <c r="D577" s="85"/>
      <c r="E577" s="85"/>
      <c r="F577" s="85"/>
      <c r="G577" s="85"/>
      <c r="H577" s="85"/>
      <c r="I577" s="85"/>
      <c r="J577" s="85"/>
      <c r="K577" s="85"/>
      <c r="L577" s="109"/>
      <c r="M577" s="110"/>
      <c r="N577" s="111"/>
      <c r="O577" s="112"/>
      <c r="P577" s="112"/>
      <c r="Q577" s="118"/>
    </row>
    <row r="578" spans="2:17" s="5" customFormat="1" ht="13">
      <c r="B578" s="84"/>
      <c r="C578" s="84"/>
      <c r="D578" s="85"/>
      <c r="E578" s="85"/>
      <c r="F578" s="85"/>
      <c r="G578" s="85"/>
      <c r="H578" s="85"/>
      <c r="I578" s="85"/>
      <c r="J578" s="85"/>
      <c r="K578" s="85"/>
      <c r="L578" s="109"/>
      <c r="M578" s="110"/>
      <c r="N578" s="111"/>
      <c r="O578" s="112"/>
      <c r="P578" s="112"/>
      <c r="Q578" s="118"/>
    </row>
    <row r="579" spans="2:17" s="5" customFormat="1" ht="13">
      <c r="B579" s="84"/>
      <c r="C579" s="84"/>
      <c r="D579" s="85"/>
      <c r="E579" s="85"/>
      <c r="F579" s="85"/>
      <c r="G579" s="85"/>
      <c r="H579" s="85"/>
      <c r="I579" s="85"/>
      <c r="J579" s="85"/>
      <c r="K579" s="85"/>
      <c r="L579" s="109"/>
      <c r="M579" s="110"/>
      <c r="N579" s="111"/>
      <c r="O579" s="112"/>
      <c r="P579" s="112"/>
      <c r="Q579" s="118"/>
    </row>
    <row r="580" spans="2:17" s="5" customFormat="1" ht="13">
      <c r="B580" s="84"/>
      <c r="C580" s="84"/>
      <c r="D580" s="85"/>
      <c r="E580" s="85"/>
      <c r="F580" s="85"/>
      <c r="G580" s="85"/>
      <c r="H580" s="85"/>
      <c r="I580" s="85"/>
      <c r="J580" s="85"/>
      <c r="K580" s="85"/>
      <c r="L580" s="109"/>
      <c r="M580" s="110"/>
      <c r="N580" s="111"/>
      <c r="O580" s="112"/>
      <c r="P580" s="112"/>
      <c r="Q580" s="118"/>
    </row>
    <row r="581" spans="2:17" s="5" customFormat="1" ht="13">
      <c r="B581" s="84"/>
      <c r="C581" s="84"/>
      <c r="D581" s="85"/>
      <c r="E581" s="85"/>
      <c r="F581" s="85"/>
      <c r="G581" s="85"/>
      <c r="H581" s="85"/>
      <c r="I581" s="85"/>
      <c r="J581" s="85"/>
      <c r="K581" s="85"/>
      <c r="L581" s="109"/>
      <c r="M581" s="110"/>
      <c r="N581" s="111"/>
      <c r="O581" s="112"/>
      <c r="P581" s="112"/>
      <c r="Q581" s="118"/>
    </row>
    <row r="582" spans="2:17" s="5" customFormat="1" ht="13">
      <c r="B582" s="84"/>
      <c r="C582" s="84"/>
      <c r="D582" s="85"/>
      <c r="E582" s="85"/>
      <c r="F582" s="85"/>
      <c r="G582" s="85"/>
      <c r="H582" s="85"/>
      <c r="I582" s="85"/>
      <c r="J582" s="85"/>
      <c r="K582" s="85"/>
      <c r="L582" s="109"/>
      <c r="M582" s="110"/>
      <c r="N582" s="111"/>
      <c r="O582" s="112"/>
      <c r="P582" s="112"/>
      <c r="Q582" s="118"/>
    </row>
    <row r="583" spans="2:17" s="5" customFormat="1" ht="13">
      <c r="B583" s="84"/>
      <c r="C583" s="84"/>
      <c r="D583" s="85"/>
      <c r="E583" s="85"/>
      <c r="F583" s="85"/>
      <c r="G583" s="85"/>
      <c r="H583" s="85"/>
      <c r="I583" s="85"/>
      <c r="J583" s="85"/>
      <c r="K583" s="85"/>
      <c r="L583" s="109"/>
      <c r="M583" s="110"/>
      <c r="N583" s="111"/>
      <c r="O583" s="112"/>
      <c r="P583" s="112"/>
      <c r="Q583" s="118"/>
    </row>
    <row r="584" spans="2:17" s="5" customFormat="1" ht="13">
      <c r="B584" s="84"/>
      <c r="C584" s="84"/>
      <c r="D584" s="85"/>
      <c r="E584" s="85"/>
      <c r="F584" s="85"/>
      <c r="G584" s="85"/>
      <c r="H584" s="85"/>
      <c r="I584" s="85"/>
      <c r="J584" s="85"/>
      <c r="K584" s="85"/>
      <c r="L584" s="109"/>
      <c r="M584" s="110"/>
      <c r="N584" s="111"/>
      <c r="O584" s="112"/>
      <c r="P584" s="112"/>
      <c r="Q584" s="118"/>
    </row>
    <row r="585" spans="2:17" s="5" customFormat="1" ht="13">
      <c r="B585" s="84"/>
      <c r="C585" s="84"/>
      <c r="D585" s="85"/>
      <c r="E585" s="85"/>
      <c r="F585" s="85"/>
      <c r="G585" s="85"/>
      <c r="H585" s="85"/>
      <c r="I585" s="85"/>
      <c r="J585" s="85"/>
      <c r="K585" s="85"/>
      <c r="L585" s="109"/>
      <c r="M585" s="110"/>
      <c r="N585" s="111"/>
      <c r="O585" s="112"/>
      <c r="P585" s="112"/>
      <c r="Q585" s="118"/>
    </row>
    <row r="586" spans="2:17" s="5" customFormat="1" ht="13">
      <c r="B586" s="84"/>
      <c r="C586" s="84"/>
      <c r="D586" s="85"/>
      <c r="E586" s="85"/>
      <c r="F586" s="85"/>
      <c r="G586" s="85"/>
      <c r="H586" s="85"/>
      <c r="I586" s="85"/>
      <c r="J586" s="85"/>
      <c r="K586" s="85"/>
      <c r="L586" s="109"/>
      <c r="M586" s="110"/>
      <c r="N586" s="111"/>
      <c r="O586" s="112"/>
      <c r="P586" s="112"/>
      <c r="Q586" s="118"/>
    </row>
    <row r="587" spans="2:17" s="5" customFormat="1" ht="13">
      <c r="B587" s="84"/>
      <c r="C587" s="84"/>
      <c r="D587" s="85"/>
      <c r="E587" s="85"/>
      <c r="F587" s="85"/>
      <c r="G587" s="85"/>
      <c r="H587" s="85"/>
      <c r="I587" s="85"/>
      <c r="J587" s="85"/>
      <c r="K587" s="85"/>
      <c r="L587" s="109"/>
      <c r="M587" s="110"/>
      <c r="N587" s="111"/>
      <c r="O587" s="112"/>
      <c r="P587" s="112"/>
      <c r="Q587" s="118"/>
    </row>
    <row r="588" spans="2:17" s="5" customFormat="1" ht="13">
      <c r="B588" s="84"/>
      <c r="C588" s="84"/>
      <c r="D588" s="85"/>
      <c r="E588" s="85"/>
      <c r="F588" s="85"/>
      <c r="G588" s="85"/>
      <c r="H588" s="85"/>
      <c r="I588" s="85"/>
      <c r="J588" s="85"/>
      <c r="K588" s="85"/>
      <c r="L588" s="109"/>
      <c r="M588" s="110"/>
      <c r="N588" s="111"/>
      <c r="O588" s="112"/>
      <c r="P588" s="112"/>
      <c r="Q588" s="118"/>
    </row>
    <row r="589" spans="2:17" s="5" customFormat="1" ht="13">
      <c r="B589" s="84"/>
      <c r="C589" s="84"/>
      <c r="D589" s="85"/>
      <c r="E589" s="85"/>
      <c r="F589" s="85"/>
      <c r="G589" s="85"/>
      <c r="H589" s="85"/>
      <c r="I589" s="85"/>
      <c r="J589" s="85"/>
      <c r="K589" s="85"/>
      <c r="L589" s="109"/>
      <c r="M589" s="110"/>
      <c r="N589" s="111"/>
      <c r="O589" s="112"/>
      <c r="P589" s="112"/>
      <c r="Q589" s="118"/>
    </row>
    <row r="590" spans="2:17" s="5" customFormat="1" ht="13">
      <c r="B590" s="84"/>
      <c r="C590" s="84"/>
      <c r="D590" s="85"/>
      <c r="E590" s="85"/>
      <c r="F590" s="85"/>
      <c r="G590" s="85"/>
      <c r="H590" s="85"/>
      <c r="I590" s="85"/>
      <c r="J590" s="85"/>
      <c r="K590" s="85"/>
      <c r="L590" s="109"/>
      <c r="M590" s="110"/>
      <c r="N590" s="111"/>
      <c r="O590" s="112"/>
      <c r="P590" s="112"/>
      <c r="Q590" s="118"/>
    </row>
    <row r="591" spans="2:17" s="5" customFormat="1" ht="13">
      <c r="B591" s="84"/>
      <c r="C591" s="84"/>
      <c r="D591" s="85"/>
      <c r="E591" s="85"/>
      <c r="F591" s="85"/>
      <c r="G591" s="85"/>
      <c r="H591" s="85"/>
      <c r="I591" s="85"/>
      <c r="J591" s="85"/>
      <c r="K591" s="85"/>
      <c r="L591" s="109"/>
      <c r="M591" s="110"/>
      <c r="N591" s="111"/>
      <c r="O591" s="112"/>
      <c r="P591" s="112"/>
      <c r="Q591" s="118"/>
    </row>
    <row r="592" spans="2:17" s="5" customFormat="1" ht="13">
      <c r="B592" s="84"/>
      <c r="C592" s="84"/>
      <c r="D592" s="85"/>
      <c r="E592" s="85"/>
      <c r="F592" s="85"/>
      <c r="G592" s="85"/>
      <c r="H592" s="85"/>
      <c r="I592" s="85"/>
      <c r="J592" s="85"/>
      <c r="K592" s="85"/>
      <c r="L592" s="109"/>
      <c r="M592" s="110"/>
      <c r="N592" s="111"/>
      <c r="O592" s="112"/>
      <c r="P592" s="112"/>
      <c r="Q592" s="118"/>
    </row>
    <row r="593" spans="2:17" s="5" customFormat="1" ht="13">
      <c r="B593" s="84"/>
      <c r="C593" s="84"/>
      <c r="D593" s="85"/>
      <c r="E593" s="85"/>
      <c r="F593" s="85"/>
      <c r="G593" s="85"/>
      <c r="H593" s="85"/>
      <c r="I593" s="85"/>
      <c r="J593" s="85"/>
      <c r="K593" s="85"/>
      <c r="L593" s="109"/>
      <c r="M593" s="110"/>
      <c r="N593" s="111"/>
      <c r="O593" s="112"/>
      <c r="P593" s="112"/>
      <c r="Q593" s="118"/>
    </row>
    <row r="594" spans="2:17" s="5" customFormat="1" ht="13">
      <c r="B594" s="84"/>
      <c r="C594" s="84"/>
      <c r="D594" s="85"/>
      <c r="E594" s="85"/>
      <c r="F594" s="85"/>
      <c r="G594" s="85"/>
      <c r="H594" s="85"/>
      <c r="I594" s="85"/>
      <c r="J594" s="85"/>
      <c r="K594" s="85"/>
      <c r="L594" s="109"/>
      <c r="M594" s="110"/>
      <c r="N594" s="111"/>
      <c r="O594" s="112"/>
      <c r="P594" s="112"/>
      <c r="Q594" s="118"/>
    </row>
    <row r="595" spans="2:17" s="5" customFormat="1" ht="13">
      <c r="B595" s="84"/>
      <c r="C595" s="84"/>
      <c r="D595" s="85"/>
      <c r="E595" s="85"/>
      <c r="F595" s="85"/>
      <c r="G595" s="85"/>
      <c r="H595" s="85"/>
      <c r="I595" s="85"/>
      <c r="J595" s="85"/>
      <c r="K595" s="85"/>
      <c r="L595" s="109"/>
      <c r="M595" s="110"/>
      <c r="N595" s="111"/>
      <c r="O595" s="112"/>
      <c r="P595" s="112"/>
      <c r="Q595" s="118"/>
    </row>
    <row r="596" spans="2:17" s="5" customFormat="1" ht="13">
      <c r="B596" s="84"/>
      <c r="C596" s="84"/>
      <c r="D596" s="85"/>
      <c r="E596" s="85"/>
      <c r="F596" s="85"/>
      <c r="G596" s="85"/>
      <c r="H596" s="85"/>
      <c r="I596" s="85"/>
      <c r="J596" s="85"/>
      <c r="K596" s="85"/>
      <c r="L596" s="109"/>
      <c r="M596" s="110"/>
      <c r="N596" s="111"/>
      <c r="O596" s="112"/>
      <c r="P596" s="112"/>
      <c r="Q596" s="118"/>
    </row>
    <row r="597" spans="2:17" s="5" customFormat="1" ht="13">
      <c r="B597" s="84"/>
      <c r="C597" s="84"/>
      <c r="D597" s="85"/>
      <c r="E597" s="85"/>
      <c r="F597" s="85"/>
      <c r="G597" s="85"/>
      <c r="H597" s="85"/>
      <c r="I597" s="85"/>
      <c r="J597" s="85"/>
      <c r="K597" s="85"/>
      <c r="L597" s="109"/>
      <c r="M597" s="110"/>
      <c r="N597" s="111"/>
      <c r="O597" s="112"/>
      <c r="P597" s="112"/>
      <c r="Q597" s="118"/>
    </row>
    <row r="598" spans="2:17" s="5" customFormat="1" ht="13">
      <c r="B598" s="84"/>
      <c r="C598" s="84"/>
      <c r="D598" s="85"/>
      <c r="E598" s="85"/>
      <c r="F598" s="85"/>
      <c r="G598" s="85"/>
      <c r="H598" s="85"/>
      <c r="I598" s="85"/>
      <c r="J598" s="85"/>
      <c r="K598" s="85"/>
      <c r="L598" s="109"/>
      <c r="M598" s="110"/>
      <c r="N598" s="111"/>
      <c r="O598" s="112"/>
      <c r="P598" s="112"/>
      <c r="Q598" s="118"/>
    </row>
    <row r="599" spans="2:17" s="5" customFormat="1" ht="13">
      <c r="B599" s="84"/>
      <c r="C599" s="84"/>
      <c r="D599" s="85"/>
      <c r="E599" s="85"/>
      <c r="F599" s="85"/>
      <c r="G599" s="85"/>
      <c r="H599" s="85"/>
      <c r="I599" s="85"/>
      <c r="J599" s="85"/>
      <c r="K599" s="85"/>
      <c r="L599" s="109"/>
      <c r="M599" s="110"/>
      <c r="N599" s="111"/>
      <c r="O599" s="112"/>
      <c r="P599" s="112"/>
      <c r="Q599" s="118"/>
    </row>
    <row r="600" spans="2:17" s="5" customFormat="1" ht="13">
      <c r="B600" s="84"/>
      <c r="C600" s="84"/>
      <c r="D600" s="85"/>
      <c r="E600" s="85"/>
      <c r="F600" s="85"/>
      <c r="G600" s="85"/>
      <c r="H600" s="85"/>
      <c r="I600" s="85"/>
      <c r="J600" s="85"/>
      <c r="K600" s="85"/>
      <c r="L600" s="109"/>
      <c r="M600" s="110"/>
      <c r="N600" s="111"/>
      <c r="O600" s="112"/>
      <c r="P600" s="112"/>
      <c r="Q600" s="118"/>
    </row>
    <row r="601" spans="2:17" s="5" customFormat="1" ht="13">
      <c r="B601" s="84"/>
      <c r="C601" s="84"/>
      <c r="D601" s="85"/>
      <c r="E601" s="85"/>
      <c r="F601" s="85"/>
      <c r="G601" s="85"/>
      <c r="H601" s="85"/>
      <c r="I601" s="85"/>
      <c r="J601" s="85"/>
      <c r="K601" s="85"/>
      <c r="L601" s="109"/>
      <c r="M601" s="110"/>
      <c r="N601" s="111"/>
      <c r="O601" s="112"/>
      <c r="P601" s="112"/>
      <c r="Q601" s="118"/>
    </row>
    <row r="602" spans="2:17" s="5" customFormat="1" ht="13">
      <c r="B602" s="84"/>
      <c r="C602" s="84"/>
      <c r="D602" s="85"/>
      <c r="E602" s="85"/>
      <c r="F602" s="85"/>
      <c r="G602" s="85"/>
      <c r="H602" s="85"/>
      <c r="I602" s="85"/>
      <c r="J602" s="85"/>
      <c r="K602" s="85"/>
      <c r="L602" s="109"/>
      <c r="M602" s="110"/>
      <c r="N602" s="111"/>
      <c r="O602" s="112"/>
      <c r="P602" s="112"/>
      <c r="Q602" s="118"/>
    </row>
    <row r="603" spans="2:17" s="5" customFormat="1" ht="13">
      <c r="B603" s="84"/>
      <c r="C603" s="84"/>
      <c r="D603" s="85"/>
      <c r="E603" s="85"/>
      <c r="F603" s="85"/>
      <c r="G603" s="85"/>
      <c r="H603" s="85"/>
      <c r="I603" s="85"/>
      <c r="J603" s="85"/>
      <c r="K603" s="85"/>
      <c r="L603" s="109"/>
      <c r="M603" s="110"/>
      <c r="N603" s="111"/>
      <c r="O603" s="112"/>
      <c r="P603" s="112"/>
      <c r="Q603" s="118"/>
    </row>
    <row r="604" spans="2:17" s="5" customFormat="1" ht="13">
      <c r="B604" s="84"/>
      <c r="C604" s="84"/>
      <c r="D604" s="85"/>
      <c r="E604" s="85"/>
      <c r="F604" s="85"/>
      <c r="G604" s="85"/>
      <c r="H604" s="85"/>
      <c r="I604" s="85"/>
      <c r="J604" s="85"/>
      <c r="K604" s="85"/>
      <c r="L604" s="109"/>
      <c r="M604" s="110"/>
      <c r="N604" s="111"/>
      <c r="O604" s="112"/>
      <c r="P604" s="112"/>
      <c r="Q604" s="118"/>
    </row>
    <row r="605" spans="2:17" s="5" customFormat="1" ht="13">
      <c r="B605" s="84"/>
      <c r="C605" s="84"/>
      <c r="D605" s="85"/>
      <c r="E605" s="85"/>
      <c r="F605" s="85"/>
      <c r="G605" s="85"/>
      <c r="H605" s="85"/>
      <c r="I605" s="85"/>
      <c r="J605" s="85"/>
      <c r="K605" s="85"/>
      <c r="L605" s="109"/>
      <c r="M605" s="110"/>
      <c r="N605" s="111"/>
      <c r="O605" s="112"/>
      <c r="P605" s="112"/>
      <c r="Q605" s="118"/>
    </row>
    <row r="606" spans="2:17" s="5" customFormat="1" ht="13">
      <c r="B606" s="84"/>
      <c r="C606" s="84"/>
      <c r="D606" s="85"/>
      <c r="E606" s="85"/>
      <c r="F606" s="85"/>
      <c r="G606" s="85"/>
      <c r="H606" s="85"/>
      <c r="I606" s="85"/>
      <c r="J606" s="85"/>
      <c r="K606" s="85"/>
      <c r="L606" s="109"/>
      <c r="M606" s="110"/>
      <c r="N606" s="111"/>
      <c r="O606" s="112"/>
      <c r="P606" s="112"/>
      <c r="Q606" s="118"/>
    </row>
    <row r="607" spans="2:17" s="5" customFormat="1" ht="13">
      <c r="B607" s="84"/>
      <c r="C607" s="84"/>
      <c r="D607" s="85"/>
      <c r="E607" s="85"/>
      <c r="F607" s="85"/>
      <c r="G607" s="85"/>
      <c r="H607" s="85"/>
      <c r="I607" s="85"/>
      <c r="J607" s="85"/>
      <c r="K607" s="85"/>
      <c r="L607" s="109"/>
      <c r="M607" s="110"/>
      <c r="N607" s="111"/>
      <c r="O607" s="112"/>
      <c r="P607" s="112"/>
      <c r="Q607" s="118"/>
    </row>
    <row r="608" spans="2:17" s="5" customFormat="1" ht="13">
      <c r="B608" s="84"/>
      <c r="C608" s="84"/>
      <c r="D608" s="85"/>
      <c r="E608" s="85"/>
      <c r="F608" s="85"/>
      <c r="G608" s="85"/>
      <c r="H608" s="85"/>
      <c r="I608" s="85"/>
      <c r="J608" s="85"/>
      <c r="K608" s="85"/>
      <c r="L608" s="109"/>
      <c r="M608" s="110"/>
      <c r="N608" s="111"/>
      <c r="O608" s="112"/>
      <c r="P608" s="112"/>
      <c r="Q608" s="118"/>
    </row>
    <row r="609" spans="2:17" s="5" customFormat="1" ht="13">
      <c r="B609" s="84"/>
      <c r="C609" s="84"/>
      <c r="D609" s="85"/>
      <c r="E609" s="85"/>
      <c r="F609" s="85"/>
      <c r="G609" s="85"/>
      <c r="H609" s="85"/>
      <c r="I609" s="85"/>
      <c r="J609" s="85"/>
      <c r="K609" s="85"/>
      <c r="L609" s="109"/>
      <c r="M609" s="110"/>
      <c r="N609" s="111"/>
      <c r="O609" s="112"/>
      <c r="P609" s="112"/>
      <c r="Q609" s="118"/>
    </row>
    <row r="610" spans="2:17" s="5" customFormat="1" ht="13">
      <c r="B610" s="84"/>
      <c r="C610" s="84"/>
      <c r="D610" s="85"/>
      <c r="E610" s="85"/>
      <c r="F610" s="85"/>
      <c r="G610" s="85"/>
      <c r="H610" s="85"/>
      <c r="I610" s="85"/>
      <c r="J610" s="85"/>
      <c r="K610" s="85"/>
      <c r="L610" s="109"/>
      <c r="M610" s="110"/>
      <c r="N610" s="111"/>
      <c r="O610" s="112"/>
      <c r="P610" s="112"/>
      <c r="Q610" s="118"/>
    </row>
    <row r="611" spans="2:17" s="5" customFormat="1" ht="13">
      <c r="B611" s="84"/>
      <c r="C611" s="84"/>
      <c r="D611" s="85"/>
      <c r="E611" s="85"/>
      <c r="F611" s="85"/>
      <c r="G611" s="85"/>
      <c r="H611" s="85"/>
      <c r="I611" s="85"/>
      <c r="J611" s="85"/>
      <c r="K611" s="85"/>
      <c r="L611" s="109"/>
      <c r="M611" s="110"/>
      <c r="N611" s="111"/>
      <c r="O611" s="112"/>
      <c r="P611" s="112"/>
      <c r="Q611" s="118"/>
    </row>
    <row r="612" spans="2:17" s="5" customFormat="1" ht="13">
      <c r="B612" s="84"/>
      <c r="C612" s="84"/>
      <c r="D612" s="85"/>
      <c r="E612" s="85"/>
      <c r="F612" s="85"/>
      <c r="G612" s="85"/>
      <c r="H612" s="85"/>
      <c r="I612" s="85"/>
      <c r="J612" s="85"/>
      <c r="K612" s="85"/>
      <c r="L612" s="109"/>
      <c r="M612" s="110"/>
      <c r="N612" s="111"/>
      <c r="O612" s="112"/>
      <c r="P612" s="112"/>
      <c r="Q612" s="118"/>
    </row>
    <row r="613" spans="2:17" s="5" customFormat="1" ht="13">
      <c r="B613" s="84"/>
      <c r="C613" s="84"/>
      <c r="D613" s="85"/>
      <c r="E613" s="85"/>
      <c r="F613" s="85"/>
      <c r="G613" s="85"/>
      <c r="H613" s="85"/>
      <c r="I613" s="85"/>
      <c r="J613" s="85"/>
      <c r="K613" s="85"/>
      <c r="L613" s="109"/>
      <c r="M613" s="110"/>
      <c r="N613" s="111"/>
      <c r="O613" s="112"/>
      <c r="P613" s="112"/>
      <c r="Q613" s="118"/>
    </row>
    <row r="614" spans="2:17" s="5" customFormat="1" ht="13">
      <c r="B614" s="84"/>
      <c r="C614" s="84"/>
      <c r="D614" s="85"/>
      <c r="E614" s="85"/>
      <c r="F614" s="85"/>
      <c r="G614" s="85"/>
      <c r="H614" s="85"/>
      <c r="I614" s="85"/>
      <c r="J614" s="85"/>
      <c r="K614" s="85"/>
      <c r="L614" s="109"/>
      <c r="M614" s="110"/>
      <c r="N614" s="111"/>
      <c r="O614" s="112"/>
      <c r="P614" s="112"/>
      <c r="Q614" s="118"/>
    </row>
    <row r="615" spans="2:17" s="5" customFormat="1" ht="13">
      <c r="B615" s="84"/>
      <c r="C615" s="84"/>
      <c r="D615" s="85"/>
      <c r="E615" s="85"/>
      <c r="F615" s="85"/>
      <c r="G615" s="85"/>
      <c r="H615" s="85"/>
      <c r="I615" s="85"/>
      <c r="J615" s="85"/>
      <c r="K615" s="85"/>
      <c r="L615" s="109"/>
      <c r="M615" s="110"/>
      <c r="N615" s="111"/>
      <c r="O615" s="112"/>
      <c r="P615" s="112"/>
      <c r="Q615" s="118"/>
    </row>
    <row r="616" spans="2:17" s="5" customFormat="1" ht="13">
      <c r="B616" s="84"/>
      <c r="C616" s="84"/>
      <c r="D616" s="85"/>
      <c r="E616" s="85"/>
      <c r="F616" s="85"/>
      <c r="G616" s="85"/>
      <c r="H616" s="85"/>
      <c r="I616" s="85"/>
      <c r="J616" s="85"/>
      <c r="K616" s="85"/>
      <c r="L616" s="109"/>
      <c r="M616" s="110"/>
      <c r="N616" s="111"/>
      <c r="O616" s="112"/>
      <c r="P616" s="112"/>
      <c r="Q616" s="118"/>
    </row>
    <row r="617" spans="2:17" s="5" customFormat="1" ht="13">
      <c r="B617" s="84"/>
      <c r="C617" s="84"/>
      <c r="D617" s="85"/>
      <c r="E617" s="85"/>
      <c r="F617" s="85"/>
      <c r="G617" s="85"/>
      <c r="H617" s="85"/>
      <c r="I617" s="85"/>
      <c r="J617" s="85"/>
      <c r="K617" s="85"/>
      <c r="L617" s="109"/>
      <c r="M617" s="110"/>
      <c r="N617" s="111"/>
      <c r="O617" s="112"/>
      <c r="P617" s="112"/>
      <c r="Q617" s="118"/>
    </row>
    <row r="618" spans="2:17" s="5" customFormat="1" ht="13">
      <c r="B618" s="84"/>
      <c r="C618" s="84"/>
      <c r="D618" s="85"/>
      <c r="E618" s="85"/>
      <c r="F618" s="85"/>
      <c r="G618" s="85"/>
      <c r="H618" s="85"/>
      <c r="I618" s="85"/>
      <c r="J618" s="85"/>
      <c r="K618" s="85"/>
      <c r="L618" s="109"/>
      <c r="M618" s="110"/>
      <c r="N618" s="111"/>
      <c r="O618" s="112"/>
      <c r="P618" s="112"/>
      <c r="Q618" s="118"/>
    </row>
    <row r="619" spans="2:17" s="5" customFormat="1" ht="13">
      <c r="B619" s="84"/>
      <c r="C619" s="84"/>
      <c r="D619" s="85"/>
      <c r="E619" s="85"/>
      <c r="F619" s="85"/>
      <c r="G619" s="85"/>
      <c r="H619" s="85"/>
      <c r="I619" s="85"/>
      <c r="J619" s="85"/>
      <c r="K619" s="85"/>
      <c r="L619" s="109"/>
      <c r="M619" s="110"/>
      <c r="N619" s="111"/>
      <c r="O619" s="112"/>
      <c r="P619" s="112"/>
      <c r="Q619" s="118"/>
    </row>
    <row r="620" spans="2:17" s="5" customFormat="1" ht="13">
      <c r="B620" s="84"/>
      <c r="C620" s="84"/>
      <c r="D620" s="85"/>
      <c r="E620" s="85"/>
      <c r="F620" s="85"/>
      <c r="G620" s="85"/>
      <c r="H620" s="85"/>
      <c r="I620" s="85"/>
      <c r="J620" s="85"/>
      <c r="K620" s="85"/>
      <c r="L620" s="109"/>
      <c r="M620" s="110"/>
      <c r="N620" s="111"/>
      <c r="O620" s="112"/>
      <c r="P620" s="112"/>
      <c r="Q620" s="118"/>
    </row>
    <row r="621" spans="2:17" s="5" customFormat="1" ht="13">
      <c r="B621" s="84"/>
      <c r="C621" s="84"/>
      <c r="D621" s="85"/>
      <c r="E621" s="85"/>
      <c r="F621" s="85"/>
      <c r="G621" s="85"/>
      <c r="H621" s="85"/>
      <c r="I621" s="85"/>
      <c r="J621" s="85"/>
      <c r="K621" s="85"/>
      <c r="L621" s="109"/>
      <c r="M621" s="110"/>
      <c r="N621" s="111"/>
      <c r="O621" s="112"/>
      <c r="P621" s="112"/>
      <c r="Q621" s="118"/>
    </row>
    <row r="622" spans="2:17" s="5" customFormat="1" ht="13">
      <c r="B622" s="84"/>
      <c r="C622" s="84"/>
      <c r="D622" s="85"/>
      <c r="E622" s="85"/>
      <c r="F622" s="85"/>
      <c r="G622" s="85"/>
      <c r="H622" s="85"/>
      <c r="I622" s="85"/>
      <c r="J622" s="85"/>
      <c r="K622" s="85"/>
      <c r="L622" s="109"/>
      <c r="M622" s="110"/>
      <c r="N622" s="111"/>
      <c r="O622" s="112"/>
      <c r="P622" s="112"/>
      <c r="Q622" s="118"/>
    </row>
    <row r="623" spans="2:17" s="5" customFormat="1" ht="13">
      <c r="B623" s="84"/>
      <c r="C623" s="84"/>
      <c r="D623" s="85"/>
      <c r="E623" s="85"/>
      <c r="F623" s="85"/>
      <c r="G623" s="85"/>
      <c r="H623" s="85"/>
      <c r="I623" s="85"/>
      <c r="J623" s="85"/>
      <c r="K623" s="85"/>
      <c r="L623" s="109"/>
      <c r="M623" s="110"/>
      <c r="N623" s="111"/>
      <c r="O623" s="112"/>
      <c r="P623" s="112"/>
      <c r="Q623" s="118"/>
    </row>
    <row r="624" spans="2:17" s="5" customFormat="1" ht="13">
      <c r="B624" s="84"/>
      <c r="C624" s="84"/>
      <c r="D624" s="85"/>
      <c r="E624" s="85"/>
      <c r="F624" s="85"/>
      <c r="G624" s="85"/>
      <c r="H624" s="85"/>
      <c r="I624" s="85"/>
      <c r="J624" s="85"/>
      <c r="K624" s="85"/>
      <c r="L624" s="109"/>
      <c r="M624" s="110"/>
      <c r="N624" s="111"/>
      <c r="O624" s="112"/>
      <c r="P624" s="112"/>
      <c r="Q624" s="118"/>
    </row>
    <row r="625" spans="2:17" s="5" customFormat="1" ht="13">
      <c r="B625" s="84"/>
      <c r="C625" s="84"/>
      <c r="D625" s="85"/>
      <c r="E625" s="85"/>
      <c r="F625" s="85"/>
      <c r="G625" s="85"/>
      <c r="H625" s="85"/>
      <c r="I625" s="85"/>
      <c r="J625" s="85"/>
      <c r="K625" s="85"/>
      <c r="L625" s="109"/>
      <c r="M625" s="110"/>
      <c r="N625" s="111"/>
      <c r="O625" s="112"/>
      <c r="P625" s="112"/>
      <c r="Q625" s="118"/>
    </row>
    <row r="626" spans="2:17" s="5" customFormat="1" ht="13">
      <c r="B626" s="84"/>
      <c r="C626" s="84"/>
      <c r="D626" s="85"/>
      <c r="E626" s="85"/>
      <c r="F626" s="85"/>
      <c r="G626" s="85"/>
      <c r="H626" s="85"/>
      <c r="I626" s="85"/>
      <c r="J626" s="85"/>
      <c r="K626" s="85"/>
      <c r="L626" s="109"/>
      <c r="M626" s="110"/>
      <c r="N626" s="111"/>
      <c r="O626" s="112"/>
      <c r="P626" s="112"/>
      <c r="Q626" s="118"/>
    </row>
    <row r="627" spans="2:17" s="5" customFormat="1" ht="13">
      <c r="B627" s="84"/>
      <c r="C627" s="84"/>
      <c r="D627" s="85"/>
      <c r="E627" s="85"/>
      <c r="F627" s="85"/>
      <c r="G627" s="85"/>
      <c r="H627" s="85"/>
      <c r="I627" s="85"/>
      <c r="J627" s="85"/>
      <c r="K627" s="85"/>
      <c r="L627" s="109"/>
      <c r="M627" s="110"/>
      <c r="N627" s="111"/>
      <c r="O627" s="112"/>
      <c r="P627" s="112"/>
      <c r="Q627" s="118"/>
    </row>
    <row r="628" spans="2:17" s="5" customFormat="1" ht="13">
      <c r="B628" s="84"/>
      <c r="C628" s="84"/>
      <c r="D628" s="85"/>
      <c r="E628" s="85"/>
      <c r="F628" s="85"/>
      <c r="G628" s="85"/>
      <c r="H628" s="85"/>
      <c r="I628" s="85"/>
      <c r="J628" s="85"/>
      <c r="K628" s="85"/>
      <c r="L628" s="109"/>
      <c r="M628" s="110"/>
      <c r="N628" s="111"/>
      <c r="O628" s="112"/>
      <c r="P628" s="112"/>
      <c r="Q628" s="118"/>
    </row>
    <row r="629" spans="2:17" s="5" customFormat="1" ht="13">
      <c r="B629" s="84"/>
      <c r="C629" s="84"/>
      <c r="D629" s="85"/>
      <c r="E629" s="85"/>
      <c r="F629" s="85"/>
      <c r="G629" s="85"/>
      <c r="H629" s="85"/>
      <c r="I629" s="85"/>
      <c r="J629" s="85"/>
      <c r="K629" s="85"/>
      <c r="L629" s="109"/>
      <c r="M629" s="110"/>
      <c r="N629" s="111"/>
      <c r="O629" s="112"/>
      <c r="P629" s="112"/>
      <c r="Q629" s="118"/>
    </row>
    <row r="630" spans="2:17" s="5" customFormat="1" ht="13">
      <c r="B630" s="84"/>
      <c r="C630" s="84"/>
      <c r="D630" s="85"/>
      <c r="E630" s="85"/>
      <c r="F630" s="85"/>
      <c r="G630" s="85"/>
      <c r="H630" s="85"/>
      <c r="I630" s="85"/>
      <c r="J630" s="85"/>
      <c r="K630" s="85"/>
      <c r="L630" s="109"/>
      <c r="M630" s="110"/>
      <c r="N630" s="111"/>
      <c r="O630" s="112"/>
      <c r="P630" s="112"/>
      <c r="Q630" s="118"/>
    </row>
    <row r="631" spans="2:17" s="5" customFormat="1" ht="13">
      <c r="B631" s="84"/>
      <c r="C631" s="84"/>
      <c r="D631" s="85"/>
      <c r="E631" s="85"/>
      <c r="F631" s="85"/>
      <c r="G631" s="85"/>
      <c r="H631" s="85"/>
      <c r="I631" s="85"/>
      <c r="J631" s="85"/>
      <c r="K631" s="85"/>
      <c r="L631" s="109"/>
      <c r="M631" s="110"/>
      <c r="N631" s="111"/>
      <c r="O631" s="112"/>
      <c r="P631" s="112"/>
      <c r="Q631" s="118"/>
    </row>
    <row r="632" spans="2:17" s="5" customFormat="1" ht="13">
      <c r="B632" s="84"/>
      <c r="C632" s="84"/>
      <c r="D632" s="85"/>
      <c r="E632" s="85"/>
      <c r="F632" s="85"/>
      <c r="G632" s="85"/>
      <c r="H632" s="85"/>
      <c r="I632" s="85"/>
      <c r="J632" s="85"/>
      <c r="K632" s="85"/>
      <c r="L632" s="109"/>
      <c r="M632" s="110"/>
      <c r="N632" s="111"/>
      <c r="O632" s="112"/>
      <c r="P632" s="112"/>
      <c r="Q632" s="118"/>
    </row>
    <row r="633" spans="2:17" s="5" customFormat="1" ht="13">
      <c r="B633" s="84"/>
      <c r="C633" s="84"/>
      <c r="D633" s="85"/>
      <c r="E633" s="85"/>
      <c r="F633" s="85"/>
      <c r="G633" s="85"/>
      <c r="H633" s="85"/>
      <c r="I633" s="85"/>
      <c r="J633" s="85"/>
      <c r="K633" s="85"/>
      <c r="L633" s="109"/>
      <c r="M633" s="110"/>
      <c r="N633" s="111"/>
      <c r="O633" s="112"/>
      <c r="P633" s="112"/>
      <c r="Q633" s="118"/>
    </row>
    <row r="634" spans="2:17" s="5" customFormat="1" ht="13">
      <c r="B634" s="84"/>
      <c r="C634" s="84"/>
      <c r="D634" s="85"/>
      <c r="E634" s="85"/>
      <c r="F634" s="85"/>
      <c r="G634" s="85"/>
      <c r="H634" s="85"/>
      <c r="I634" s="85"/>
      <c r="J634" s="85"/>
      <c r="K634" s="85"/>
      <c r="L634" s="109"/>
      <c r="M634" s="110"/>
      <c r="N634" s="111"/>
      <c r="O634" s="112"/>
      <c r="P634" s="112"/>
      <c r="Q634" s="118"/>
    </row>
    <row r="635" spans="2:17" s="5" customFormat="1" ht="13">
      <c r="B635" s="84"/>
      <c r="C635" s="84"/>
      <c r="D635" s="85"/>
      <c r="E635" s="85"/>
      <c r="F635" s="85"/>
      <c r="G635" s="85"/>
      <c r="H635" s="85"/>
      <c r="I635" s="85"/>
      <c r="J635" s="85"/>
      <c r="K635" s="85"/>
      <c r="L635" s="109"/>
      <c r="M635" s="110"/>
      <c r="N635" s="111"/>
      <c r="O635" s="112"/>
      <c r="P635" s="112"/>
      <c r="Q635" s="118"/>
    </row>
    <row r="636" spans="2:17" s="5" customFormat="1" ht="13">
      <c r="B636" s="84"/>
      <c r="C636" s="84"/>
      <c r="D636" s="85"/>
      <c r="E636" s="85"/>
      <c r="F636" s="85"/>
      <c r="G636" s="85"/>
      <c r="H636" s="85"/>
      <c r="I636" s="85"/>
      <c r="J636" s="85"/>
      <c r="K636" s="85"/>
      <c r="L636" s="109"/>
      <c r="M636" s="110"/>
      <c r="N636" s="111"/>
      <c r="O636" s="112"/>
      <c r="P636" s="112"/>
      <c r="Q636" s="118"/>
    </row>
    <row r="637" spans="2:17" s="5" customFormat="1" ht="13">
      <c r="B637" s="84"/>
      <c r="C637" s="84"/>
      <c r="D637" s="85"/>
      <c r="E637" s="85"/>
      <c r="F637" s="85"/>
      <c r="G637" s="85"/>
      <c r="H637" s="85"/>
      <c r="I637" s="85"/>
      <c r="J637" s="85"/>
      <c r="K637" s="85"/>
      <c r="L637" s="109"/>
      <c r="M637" s="110"/>
      <c r="N637" s="111"/>
      <c r="O637" s="112"/>
      <c r="P637" s="112"/>
      <c r="Q637" s="118"/>
    </row>
    <row r="638" spans="2:17" s="5" customFormat="1" ht="13">
      <c r="B638" s="84"/>
      <c r="C638" s="84"/>
      <c r="D638" s="85"/>
      <c r="E638" s="85"/>
      <c r="F638" s="85"/>
      <c r="G638" s="85"/>
      <c r="H638" s="85"/>
      <c r="I638" s="85"/>
      <c r="J638" s="85"/>
      <c r="K638" s="85"/>
      <c r="L638" s="109"/>
      <c r="M638" s="110"/>
      <c r="N638" s="111"/>
      <c r="O638" s="112"/>
      <c r="P638" s="112"/>
      <c r="Q638" s="118"/>
    </row>
    <row r="639" spans="2:17" s="5" customFormat="1" ht="13">
      <c r="B639" s="84"/>
      <c r="C639" s="84"/>
      <c r="D639" s="85"/>
      <c r="E639" s="85"/>
      <c r="F639" s="85"/>
      <c r="G639" s="85"/>
      <c r="H639" s="85"/>
      <c r="I639" s="85"/>
      <c r="J639" s="85"/>
      <c r="K639" s="85"/>
      <c r="L639" s="109"/>
      <c r="M639" s="110"/>
      <c r="N639" s="111"/>
      <c r="O639" s="112"/>
      <c r="P639" s="112"/>
      <c r="Q639" s="118"/>
    </row>
    <row r="640" spans="2:17" s="5" customFormat="1" ht="13">
      <c r="B640" s="84"/>
      <c r="C640" s="84"/>
      <c r="D640" s="85"/>
      <c r="E640" s="85"/>
      <c r="F640" s="85"/>
      <c r="G640" s="85"/>
      <c r="H640" s="85"/>
      <c r="I640" s="85"/>
      <c r="J640" s="85"/>
      <c r="K640" s="85"/>
      <c r="L640" s="109"/>
      <c r="M640" s="110"/>
      <c r="N640" s="111"/>
      <c r="O640" s="112"/>
      <c r="P640" s="112"/>
      <c r="Q640" s="118"/>
    </row>
    <row r="641" spans="2:17" s="5" customFormat="1" ht="13">
      <c r="B641" s="84"/>
      <c r="C641" s="84"/>
      <c r="D641" s="85"/>
      <c r="E641" s="85"/>
      <c r="F641" s="85"/>
      <c r="G641" s="85"/>
      <c r="H641" s="85"/>
      <c r="I641" s="85"/>
      <c r="J641" s="85"/>
      <c r="K641" s="85"/>
      <c r="L641" s="109"/>
      <c r="M641" s="110"/>
      <c r="N641" s="111"/>
      <c r="O641" s="112"/>
      <c r="P641" s="112"/>
      <c r="Q641" s="118"/>
    </row>
    <row r="642" spans="2:17" s="5" customFormat="1" ht="13">
      <c r="B642" s="84"/>
      <c r="C642" s="84"/>
      <c r="D642" s="85"/>
      <c r="E642" s="85"/>
      <c r="F642" s="85"/>
      <c r="G642" s="85"/>
      <c r="H642" s="85"/>
      <c r="I642" s="85"/>
      <c r="J642" s="85"/>
      <c r="K642" s="85"/>
      <c r="L642" s="109"/>
      <c r="M642" s="110"/>
      <c r="N642" s="111"/>
      <c r="O642" s="112"/>
      <c r="P642" s="112"/>
      <c r="Q642" s="118"/>
    </row>
    <row r="643" spans="2:17" s="5" customFormat="1" ht="13">
      <c r="B643" s="84"/>
      <c r="C643" s="84"/>
      <c r="D643" s="85"/>
      <c r="E643" s="85"/>
      <c r="F643" s="85"/>
      <c r="G643" s="85"/>
      <c r="H643" s="85"/>
      <c r="I643" s="85"/>
      <c r="J643" s="85"/>
      <c r="K643" s="85"/>
      <c r="L643" s="109"/>
      <c r="M643" s="110"/>
      <c r="N643" s="111"/>
      <c r="O643" s="112"/>
      <c r="P643" s="112"/>
      <c r="Q643" s="118"/>
    </row>
    <row r="644" spans="2:17" s="5" customFormat="1" ht="13">
      <c r="B644" s="84"/>
      <c r="C644" s="84"/>
      <c r="D644" s="85"/>
      <c r="E644" s="85"/>
      <c r="F644" s="85"/>
      <c r="G644" s="85"/>
      <c r="H644" s="85"/>
      <c r="I644" s="85"/>
      <c r="J644" s="85"/>
      <c r="K644" s="85"/>
      <c r="L644" s="109"/>
      <c r="M644" s="110"/>
      <c r="N644" s="111"/>
      <c r="O644" s="112"/>
      <c r="P644" s="112"/>
      <c r="Q644" s="118"/>
    </row>
    <row r="645" spans="2:17" s="5" customFormat="1" ht="13">
      <c r="B645" s="84"/>
      <c r="C645" s="84"/>
      <c r="D645" s="85"/>
      <c r="E645" s="85"/>
      <c r="F645" s="85"/>
      <c r="G645" s="85"/>
      <c r="H645" s="85"/>
      <c r="I645" s="85"/>
      <c r="J645" s="85"/>
      <c r="K645" s="85"/>
      <c r="L645" s="109"/>
      <c r="M645" s="110"/>
      <c r="N645" s="111"/>
      <c r="O645" s="112"/>
      <c r="P645" s="112"/>
      <c r="Q645" s="118"/>
    </row>
    <row r="646" spans="2:17" s="5" customFormat="1" ht="13">
      <c r="B646" s="84"/>
      <c r="C646" s="84"/>
      <c r="D646" s="85"/>
      <c r="E646" s="85"/>
      <c r="F646" s="85"/>
      <c r="G646" s="85"/>
      <c r="H646" s="85"/>
      <c r="I646" s="85"/>
      <c r="J646" s="85"/>
      <c r="K646" s="85"/>
      <c r="L646" s="109"/>
      <c r="M646" s="110"/>
      <c r="N646" s="111"/>
      <c r="O646" s="112"/>
      <c r="P646" s="112"/>
      <c r="Q646" s="118"/>
    </row>
    <row r="647" spans="2:17" s="5" customFormat="1" ht="13">
      <c r="B647" s="84"/>
      <c r="C647" s="84"/>
      <c r="D647" s="85"/>
      <c r="E647" s="85"/>
      <c r="F647" s="85"/>
      <c r="G647" s="85"/>
      <c r="H647" s="85"/>
      <c r="I647" s="85"/>
      <c r="J647" s="85"/>
      <c r="K647" s="85"/>
      <c r="L647" s="109"/>
      <c r="M647" s="110"/>
      <c r="N647" s="111"/>
      <c r="O647" s="112"/>
      <c r="P647" s="112"/>
      <c r="Q647" s="118"/>
    </row>
    <row r="648" spans="2:17" s="5" customFormat="1" ht="13">
      <c r="B648" s="84"/>
      <c r="C648" s="84"/>
      <c r="D648" s="85"/>
      <c r="E648" s="85"/>
      <c r="F648" s="85"/>
      <c r="G648" s="85"/>
      <c r="H648" s="85"/>
      <c r="I648" s="85"/>
      <c r="J648" s="85"/>
      <c r="K648" s="85"/>
      <c r="L648" s="109"/>
      <c r="M648" s="110"/>
      <c r="N648" s="111"/>
      <c r="O648" s="112"/>
      <c r="P648" s="112"/>
      <c r="Q648" s="118"/>
    </row>
    <row r="649" spans="2:17" s="5" customFormat="1" ht="13">
      <c r="B649" s="84"/>
      <c r="C649" s="84"/>
      <c r="D649" s="85"/>
      <c r="E649" s="85"/>
      <c r="F649" s="85"/>
      <c r="G649" s="85"/>
      <c r="H649" s="85"/>
      <c r="I649" s="85"/>
      <c r="J649" s="85"/>
      <c r="K649" s="85"/>
      <c r="L649" s="109"/>
      <c r="M649" s="110"/>
      <c r="N649" s="111"/>
      <c r="O649" s="112"/>
      <c r="P649" s="112"/>
      <c r="Q649" s="118"/>
    </row>
    <row r="650" spans="2:17" s="5" customFormat="1" ht="13">
      <c r="B650" s="84"/>
      <c r="C650" s="84"/>
      <c r="D650" s="85"/>
      <c r="E650" s="85"/>
      <c r="F650" s="85"/>
      <c r="G650" s="85"/>
      <c r="H650" s="85"/>
      <c r="I650" s="85"/>
      <c r="J650" s="85"/>
      <c r="K650" s="85"/>
      <c r="L650" s="109"/>
      <c r="M650" s="110"/>
      <c r="N650" s="111"/>
      <c r="O650" s="112"/>
      <c r="P650" s="112"/>
      <c r="Q650" s="118"/>
    </row>
    <row r="651" spans="2:17" s="5" customFormat="1" ht="13">
      <c r="B651" s="84"/>
      <c r="C651" s="84"/>
      <c r="D651" s="85"/>
      <c r="E651" s="85"/>
      <c r="F651" s="85"/>
      <c r="G651" s="85"/>
      <c r="H651" s="85"/>
      <c r="I651" s="85"/>
      <c r="J651" s="85"/>
      <c r="K651" s="85"/>
      <c r="L651" s="109"/>
      <c r="M651" s="110"/>
      <c r="N651" s="111"/>
      <c r="O651" s="112"/>
      <c r="P651" s="112"/>
      <c r="Q651" s="118"/>
    </row>
    <row r="652" spans="2:17" s="5" customFormat="1" ht="13">
      <c r="B652" s="84"/>
      <c r="C652" s="84"/>
      <c r="D652" s="85"/>
      <c r="E652" s="85"/>
      <c r="F652" s="85"/>
      <c r="G652" s="85"/>
      <c r="H652" s="85"/>
      <c r="I652" s="85"/>
      <c r="J652" s="85"/>
      <c r="K652" s="85"/>
      <c r="L652" s="109"/>
      <c r="M652" s="110"/>
      <c r="N652" s="111"/>
      <c r="O652" s="112"/>
      <c r="P652" s="112"/>
      <c r="Q652" s="118"/>
    </row>
    <row r="653" spans="2:17" s="5" customFormat="1" ht="13">
      <c r="B653" s="84"/>
      <c r="C653" s="84"/>
      <c r="D653" s="85"/>
      <c r="E653" s="85"/>
      <c r="F653" s="85"/>
      <c r="G653" s="85"/>
      <c r="H653" s="85"/>
      <c r="I653" s="85"/>
      <c r="J653" s="85"/>
      <c r="K653" s="85"/>
      <c r="L653" s="109"/>
      <c r="M653" s="110"/>
      <c r="N653" s="111"/>
      <c r="O653" s="112"/>
      <c r="P653" s="112"/>
      <c r="Q653" s="118"/>
    </row>
    <row r="654" spans="2:17" s="5" customFormat="1" ht="13">
      <c r="B654" s="84"/>
      <c r="C654" s="84"/>
      <c r="D654" s="85"/>
      <c r="E654" s="85"/>
      <c r="F654" s="85"/>
      <c r="G654" s="85"/>
      <c r="H654" s="85"/>
      <c r="I654" s="85"/>
      <c r="J654" s="85"/>
      <c r="K654" s="85"/>
      <c r="L654" s="109"/>
      <c r="M654" s="110"/>
      <c r="N654" s="111"/>
      <c r="O654" s="112"/>
      <c r="P654" s="112"/>
      <c r="Q654" s="118"/>
    </row>
    <row r="655" spans="2:17" s="5" customFormat="1" ht="13">
      <c r="B655" s="84"/>
      <c r="C655" s="84"/>
      <c r="D655" s="85"/>
      <c r="E655" s="85"/>
      <c r="F655" s="85"/>
      <c r="G655" s="85"/>
      <c r="H655" s="85"/>
      <c r="I655" s="85"/>
      <c r="J655" s="85"/>
      <c r="K655" s="85"/>
      <c r="L655" s="109"/>
      <c r="M655" s="110"/>
      <c r="N655" s="111"/>
      <c r="O655" s="112"/>
      <c r="P655" s="112"/>
      <c r="Q655" s="118"/>
    </row>
    <row r="656" spans="2:17" s="5" customFormat="1" ht="13">
      <c r="B656" s="84"/>
      <c r="C656" s="84"/>
      <c r="D656" s="85"/>
      <c r="E656" s="85"/>
      <c r="F656" s="85"/>
      <c r="G656" s="85"/>
      <c r="H656" s="85"/>
      <c r="I656" s="85"/>
      <c r="J656" s="85"/>
      <c r="K656" s="85"/>
      <c r="L656" s="109"/>
      <c r="M656" s="110"/>
      <c r="N656" s="111"/>
      <c r="O656" s="112"/>
      <c r="P656" s="112"/>
      <c r="Q656" s="118"/>
    </row>
    <row r="657" spans="2:17" s="5" customFormat="1" ht="13">
      <c r="B657" s="84"/>
      <c r="C657" s="84"/>
      <c r="D657" s="85"/>
      <c r="E657" s="85"/>
      <c r="F657" s="85"/>
      <c r="G657" s="85"/>
      <c r="H657" s="85"/>
      <c r="I657" s="85"/>
      <c r="J657" s="85"/>
      <c r="K657" s="85"/>
      <c r="L657" s="109"/>
      <c r="M657" s="110"/>
      <c r="N657" s="111"/>
      <c r="O657" s="112"/>
      <c r="P657" s="112"/>
      <c r="Q657" s="118"/>
    </row>
    <row r="658" spans="2:17" s="5" customFormat="1" ht="13">
      <c r="B658" s="84"/>
      <c r="C658" s="84"/>
      <c r="D658" s="85"/>
      <c r="E658" s="85"/>
      <c r="F658" s="85"/>
      <c r="G658" s="85"/>
      <c r="H658" s="85"/>
      <c r="I658" s="85"/>
      <c r="J658" s="85"/>
      <c r="K658" s="85"/>
      <c r="L658" s="109"/>
      <c r="M658" s="110"/>
      <c r="N658" s="111"/>
      <c r="O658" s="112"/>
      <c r="P658" s="112"/>
      <c r="Q658" s="118"/>
    </row>
    <row r="659" spans="2:17" s="5" customFormat="1" ht="13">
      <c r="B659" s="84"/>
      <c r="C659" s="84"/>
      <c r="D659" s="85"/>
      <c r="E659" s="85"/>
      <c r="F659" s="85"/>
      <c r="G659" s="85"/>
      <c r="H659" s="85"/>
      <c r="I659" s="85"/>
      <c r="J659" s="85"/>
      <c r="K659" s="85"/>
      <c r="L659" s="109"/>
      <c r="M659" s="110"/>
      <c r="N659" s="111"/>
      <c r="O659" s="112"/>
      <c r="P659" s="112"/>
      <c r="Q659" s="118"/>
    </row>
    <row r="660" spans="2:17" s="5" customFormat="1" ht="13">
      <c r="B660" s="84"/>
      <c r="C660" s="84"/>
      <c r="D660" s="85"/>
      <c r="E660" s="85"/>
      <c r="F660" s="85"/>
      <c r="G660" s="85"/>
      <c r="H660" s="85"/>
      <c r="I660" s="85"/>
      <c r="J660" s="85"/>
      <c r="K660" s="85"/>
      <c r="L660" s="109"/>
      <c r="M660" s="110"/>
      <c r="N660" s="111"/>
      <c r="O660" s="112"/>
      <c r="P660" s="112"/>
      <c r="Q660" s="118"/>
    </row>
    <row r="661" spans="2:17" s="5" customFormat="1" ht="13">
      <c r="B661" s="84"/>
      <c r="C661" s="84"/>
      <c r="D661" s="85"/>
      <c r="E661" s="85"/>
      <c r="F661" s="85"/>
      <c r="G661" s="85"/>
      <c r="H661" s="85"/>
      <c r="I661" s="85"/>
      <c r="J661" s="85"/>
      <c r="K661" s="85"/>
      <c r="L661" s="109"/>
      <c r="M661" s="110"/>
      <c r="N661" s="111"/>
      <c r="O661" s="112"/>
      <c r="P661" s="112"/>
      <c r="Q661" s="118"/>
    </row>
    <row r="662" spans="2:17" s="5" customFormat="1" ht="13">
      <c r="B662" s="84"/>
      <c r="C662" s="84"/>
      <c r="D662" s="85"/>
      <c r="E662" s="85"/>
      <c r="F662" s="85"/>
      <c r="G662" s="85"/>
      <c r="H662" s="85"/>
      <c r="I662" s="85"/>
      <c r="J662" s="85"/>
      <c r="K662" s="85"/>
      <c r="L662" s="109"/>
      <c r="M662" s="110"/>
      <c r="N662" s="111"/>
      <c r="O662" s="112"/>
      <c r="P662" s="112"/>
      <c r="Q662" s="118"/>
    </row>
    <row r="663" spans="2:17" s="5" customFormat="1" ht="13">
      <c r="B663" s="84"/>
      <c r="C663" s="84"/>
      <c r="D663" s="85"/>
      <c r="E663" s="85"/>
      <c r="F663" s="85"/>
      <c r="G663" s="85"/>
      <c r="H663" s="85"/>
      <c r="I663" s="85"/>
      <c r="J663" s="85"/>
      <c r="K663" s="85"/>
      <c r="L663" s="109"/>
      <c r="M663" s="110"/>
      <c r="N663" s="111"/>
      <c r="O663" s="112"/>
      <c r="P663" s="112"/>
      <c r="Q663" s="118"/>
    </row>
    <row r="664" spans="2:17" s="5" customFormat="1" ht="13">
      <c r="B664" s="84"/>
      <c r="C664" s="84"/>
      <c r="D664" s="85"/>
      <c r="E664" s="85"/>
      <c r="F664" s="85"/>
      <c r="G664" s="85"/>
      <c r="H664" s="85"/>
      <c r="I664" s="85"/>
      <c r="J664" s="85"/>
      <c r="K664" s="85"/>
      <c r="L664" s="109"/>
      <c r="M664" s="110"/>
      <c r="N664" s="111"/>
      <c r="O664" s="112"/>
      <c r="P664" s="112"/>
      <c r="Q664" s="118"/>
    </row>
    <row r="665" spans="2:17" s="5" customFormat="1" ht="13">
      <c r="B665" s="84"/>
      <c r="C665" s="84"/>
      <c r="D665" s="85"/>
      <c r="E665" s="85"/>
      <c r="F665" s="85"/>
      <c r="G665" s="85"/>
      <c r="H665" s="85"/>
      <c r="I665" s="85"/>
      <c r="J665" s="85"/>
      <c r="K665" s="85"/>
      <c r="L665" s="109"/>
      <c r="M665" s="110"/>
      <c r="N665" s="111"/>
      <c r="O665" s="112"/>
      <c r="P665" s="112"/>
      <c r="Q665" s="118"/>
    </row>
    <row r="666" spans="2:17" s="5" customFormat="1" ht="13">
      <c r="B666" s="84"/>
      <c r="C666" s="84"/>
      <c r="D666" s="85"/>
      <c r="E666" s="85"/>
      <c r="F666" s="85"/>
      <c r="G666" s="85"/>
      <c r="H666" s="85"/>
      <c r="I666" s="85"/>
      <c r="J666" s="85"/>
      <c r="K666" s="85"/>
      <c r="L666" s="109"/>
      <c r="M666" s="110"/>
      <c r="N666" s="111"/>
      <c r="O666" s="112"/>
      <c r="P666" s="112"/>
      <c r="Q666" s="118"/>
    </row>
    <row r="667" spans="2:17" s="5" customFormat="1" ht="13">
      <c r="B667" s="84"/>
      <c r="C667" s="84"/>
      <c r="D667" s="85"/>
      <c r="E667" s="85"/>
      <c r="F667" s="85"/>
      <c r="G667" s="85"/>
      <c r="H667" s="85"/>
      <c r="I667" s="85"/>
      <c r="J667" s="85"/>
      <c r="K667" s="85"/>
      <c r="L667" s="109"/>
      <c r="M667" s="110"/>
      <c r="N667" s="111"/>
      <c r="O667" s="112"/>
      <c r="P667" s="112"/>
      <c r="Q667" s="118"/>
    </row>
    <row r="668" spans="2:17" s="5" customFormat="1" ht="13">
      <c r="B668" s="84"/>
      <c r="C668" s="84"/>
      <c r="D668" s="85"/>
      <c r="E668" s="85"/>
      <c r="F668" s="85"/>
      <c r="G668" s="85"/>
      <c r="H668" s="85"/>
      <c r="I668" s="85"/>
      <c r="J668" s="85"/>
      <c r="K668" s="85"/>
      <c r="L668" s="109"/>
      <c r="M668" s="110"/>
      <c r="N668" s="111"/>
      <c r="O668" s="112"/>
      <c r="P668" s="112"/>
      <c r="Q668" s="118"/>
    </row>
    <row r="669" spans="2:17" s="5" customFormat="1" ht="13">
      <c r="B669" s="84"/>
      <c r="C669" s="84"/>
      <c r="D669" s="85"/>
      <c r="E669" s="85"/>
      <c r="F669" s="85"/>
      <c r="G669" s="85"/>
      <c r="H669" s="85"/>
      <c r="I669" s="85"/>
      <c r="J669" s="85"/>
      <c r="K669" s="85"/>
      <c r="L669" s="109"/>
      <c r="M669" s="110"/>
      <c r="N669" s="111"/>
      <c r="O669" s="112"/>
      <c r="P669" s="112"/>
      <c r="Q669" s="118"/>
    </row>
    <row r="670" spans="2:17" s="5" customFormat="1" ht="13">
      <c r="B670" s="84"/>
      <c r="C670" s="84"/>
      <c r="D670" s="85"/>
      <c r="E670" s="85"/>
      <c r="F670" s="85"/>
      <c r="G670" s="85"/>
      <c r="H670" s="85"/>
      <c r="I670" s="85"/>
      <c r="J670" s="85"/>
      <c r="K670" s="85"/>
      <c r="L670" s="109"/>
      <c r="M670" s="110"/>
      <c r="N670" s="111"/>
      <c r="O670" s="112"/>
      <c r="P670" s="112"/>
      <c r="Q670" s="118"/>
    </row>
    <row r="671" spans="2:17" s="5" customFormat="1" ht="13">
      <c r="B671" s="84"/>
      <c r="C671" s="84"/>
      <c r="D671" s="85"/>
      <c r="E671" s="85"/>
      <c r="F671" s="85"/>
      <c r="G671" s="85"/>
      <c r="H671" s="85"/>
      <c r="I671" s="85"/>
      <c r="J671" s="85"/>
      <c r="K671" s="85"/>
      <c r="L671" s="109"/>
      <c r="M671" s="110"/>
      <c r="N671" s="111"/>
      <c r="O671" s="112"/>
      <c r="P671" s="112"/>
      <c r="Q671" s="118"/>
    </row>
    <row r="672" spans="2:17" s="5" customFormat="1" ht="13">
      <c r="B672" s="84"/>
      <c r="C672" s="84"/>
      <c r="D672" s="85"/>
      <c r="E672" s="85"/>
      <c r="F672" s="85"/>
      <c r="G672" s="85"/>
      <c r="H672" s="85"/>
      <c r="I672" s="85"/>
      <c r="J672" s="85"/>
      <c r="K672" s="85"/>
      <c r="L672" s="109"/>
      <c r="M672" s="110"/>
      <c r="N672" s="111"/>
      <c r="O672" s="112"/>
      <c r="P672" s="112"/>
      <c r="Q672" s="118"/>
    </row>
    <row r="673" spans="2:17" s="5" customFormat="1" ht="13">
      <c r="B673" s="84"/>
      <c r="C673" s="84"/>
      <c r="D673" s="85"/>
      <c r="E673" s="85"/>
      <c r="F673" s="85"/>
      <c r="G673" s="85"/>
      <c r="H673" s="85"/>
      <c r="I673" s="85"/>
      <c r="J673" s="85"/>
      <c r="K673" s="85"/>
      <c r="L673" s="109"/>
      <c r="M673" s="110"/>
      <c r="N673" s="111"/>
      <c r="O673" s="112"/>
      <c r="P673" s="112"/>
      <c r="Q673" s="118"/>
    </row>
    <row r="674" spans="2:17" s="5" customFormat="1" ht="13">
      <c r="B674" s="84"/>
      <c r="C674" s="84"/>
      <c r="D674" s="85"/>
      <c r="E674" s="85"/>
      <c r="F674" s="85"/>
      <c r="G674" s="85"/>
      <c r="H674" s="85"/>
      <c r="I674" s="85"/>
      <c r="J674" s="85"/>
      <c r="K674" s="85"/>
      <c r="L674" s="109"/>
      <c r="M674" s="110"/>
      <c r="N674" s="111"/>
      <c r="O674" s="112"/>
      <c r="P674" s="112"/>
      <c r="Q674" s="118"/>
    </row>
    <row r="675" spans="2:17" s="5" customFormat="1" ht="13">
      <c r="B675" s="84"/>
      <c r="C675" s="84"/>
      <c r="D675" s="85"/>
      <c r="E675" s="85"/>
      <c r="F675" s="85"/>
      <c r="G675" s="85"/>
      <c r="H675" s="85"/>
      <c r="I675" s="85"/>
      <c r="J675" s="85"/>
      <c r="K675" s="85"/>
      <c r="L675" s="109"/>
      <c r="M675" s="110"/>
      <c r="N675" s="111"/>
      <c r="O675" s="112"/>
      <c r="P675" s="112"/>
      <c r="Q675" s="118"/>
    </row>
    <row r="676" spans="2:17" s="5" customFormat="1" ht="13">
      <c r="B676" s="84"/>
      <c r="C676" s="84"/>
      <c r="D676" s="85"/>
      <c r="E676" s="85"/>
      <c r="F676" s="85"/>
      <c r="G676" s="85"/>
      <c r="H676" s="85"/>
      <c r="I676" s="85"/>
      <c r="J676" s="85"/>
      <c r="K676" s="85"/>
      <c r="L676" s="109"/>
      <c r="M676" s="110"/>
      <c r="N676" s="111"/>
      <c r="O676" s="112"/>
      <c r="P676" s="112"/>
      <c r="Q676" s="118"/>
    </row>
    <row r="677" spans="2:17" s="5" customFormat="1" ht="13">
      <c r="B677" s="84"/>
      <c r="C677" s="84"/>
      <c r="D677" s="85"/>
      <c r="E677" s="85"/>
      <c r="F677" s="85"/>
      <c r="G677" s="85"/>
      <c r="H677" s="85"/>
      <c r="I677" s="85"/>
      <c r="J677" s="85"/>
      <c r="K677" s="85"/>
      <c r="L677" s="109"/>
      <c r="M677" s="110"/>
      <c r="N677" s="111"/>
      <c r="O677" s="112"/>
      <c r="P677" s="112"/>
      <c r="Q677" s="118"/>
    </row>
    <row r="678" spans="2:17" s="5" customFormat="1" ht="13">
      <c r="B678" s="84"/>
      <c r="C678" s="84"/>
      <c r="D678" s="85"/>
      <c r="E678" s="85"/>
      <c r="F678" s="85"/>
      <c r="G678" s="85"/>
      <c r="H678" s="85"/>
      <c r="I678" s="85"/>
      <c r="J678" s="85"/>
      <c r="K678" s="85"/>
      <c r="L678" s="109"/>
      <c r="M678" s="110"/>
      <c r="N678" s="111"/>
      <c r="O678" s="112"/>
      <c r="P678" s="112"/>
      <c r="Q678" s="118"/>
    </row>
    <row r="679" spans="2:17" s="5" customFormat="1" ht="13">
      <c r="B679" s="84"/>
      <c r="C679" s="84"/>
      <c r="D679" s="85"/>
      <c r="E679" s="85"/>
      <c r="F679" s="85"/>
      <c r="G679" s="85"/>
      <c r="H679" s="85"/>
      <c r="I679" s="85"/>
      <c r="J679" s="85"/>
      <c r="K679" s="85"/>
      <c r="L679" s="109"/>
      <c r="M679" s="110"/>
      <c r="N679" s="111"/>
      <c r="O679" s="112"/>
      <c r="P679" s="112"/>
      <c r="Q679" s="118"/>
    </row>
    <row r="680" spans="2:17" s="5" customFormat="1" ht="13">
      <c r="B680" s="84"/>
      <c r="C680" s="84"/>
      <c r="D680" s="85"/>
      <c r="E680" s="85"/>
      <c r="F680" s="85"/>
      <c r="G680" s="85"/>
      <c r="H680" s="85"/>
      <c r="I680" s="85"/>
      <c r="J680" s="85"/>
      <c r="K680" s="85"/>
      <c r="L680" s="109"/>
      <c r="M680" s="110"/>
      <c r="N680" s="111"/>
      <c r="O680" s="112"/>
      <c r="P680" s="112"/>
      <c r="Q680" s="118"/>
    </row>
    <row r="681" spans="2:17" s="5" customFormat="1" ht="13">
      <c r="B681" s="84"/>
      <c r="C681" s="84"/>
      <c r="D681" s="85"/>
      <c r="E681" s="85"/>
      <c r="F681" s="85"/>
      <c r="G681" s="85"/>
      <c r="H681" s="85"/>
      <c r="I681" s="85"/>
      <c r="J681" s="85"/>
      <c r="K681" s="85"/>
      <c r="L681" s="109"/>
      <c r="M681" s="110"/>
      <c r="N681" s="111"/>
      <c r="O681" s="112"/>
      <c r="P681" s="112"/>
      <c r="Q681" s="118"/>
    </row>
    <row r="682" spans="2:17" s="5" customFormat="1" ht="13">
      <c r="B682" s="84"/>
      <c r="C682" s="84"/>
      <c r="D682" s="85"/>
      <c r="E682" s="85"/>
      <c r="F682" s="85"/>
      <c r="G682" s="85"/>
      <c r="H682" s="85"/>
      <c r="I682" s="85"/>
      <c r="J682" s="85"/>
      <c r="K682" s="85"/>
      <c r="L682" s="109"/>
      <c r="M682" s="110"/>
      <c r="N682" s="111"/>
      <c r="O682" s="112"/>
      <c r="P682" s="112"/>
      <c r="Q682" s="118"/>
    </row>
    <row r="683" spans="2:17" s="5" customFormat="1" ht="13">
      <c r="B683" s="84"/>
      <c r="C683" s="84"/>
      <c r="D683" s="85"/>
      <c r="E683" s="85"/>
      <c r="F683" s="85"/>
      <c r="G683" s="85"/>
      <c r="H683" s="85"/>
      <c r="I683" s="85"/>
      <c r="J683" s="85"/>
      <c r="K683" s="85"/>
      <c r="L683" s="109"/>
      <c r="M683" s="110"/>
      <c r="N683" s="111"/>
      <c r="O683" s="112"/>
      <c r="P683" s="112"/>
      <c r="Q683" s="118"/>
    </row>
    <row r="684" spans="2:17" s="5" customFormat="1" ht="13">
      <c r="B684" s="84"/>
      <c r="C684" s="84"/>
      <c r="D684" s="85"/>
      <c r="E684" s="85"/>
      <c r="F684" s="85"/>
      <c r="G684" s="85"/>
      <c r="H684" s="85"/>
      <c r="I684" s="85"/>
      <c r="J684" s="85"/>
      <c r="K684" s="85"/>
      <c r="L684" s="109"/>
      <c r="M684" s="110"/>
      <c r="N684" s="111"/>
      <c r="O684" s="112"/>
      <c r="P684" s="112"/>
      <c r="Q684" s="118"/>
    </row>
    <row r="685" spans="2:17" s="5" customFormat="1" ht="13">
      <c r="B685" s="84"/>
      <c r="C685" s="84"/>
      <c r="D685" s="85"/>
      <c r="E685" s="85"/>
      <c r="F685" s="85"/>
      <c r="G685" s="85"/>
      <c r="H685" s="85"/>
      <c r="I685" s="85"/>
      <c r="J685" s="85"/>
      <c r="K685" s="85"/>
      <c r="L685" s="109"/>
      <c r="M685" s="110"/>
      <c r="N685" s="111"/>
      <c r="O685" s="112"/>
      <c r="P685" s="112"/>
      <c r="Q685" s="118"/>
    </row>
    <row r="686" spans="2:17" s="5" customFormat="1" ht="13">
      <c r="B686" s="84"/>
      <c r="C686" s="84"/>
      <c r="D686" s="85"/>
      <c r="E686" s="85"/>
      <c r="F686" s="85"/>
      <c r="G686" s="85"/>
      <c r="H686" s="85"/>
      <c r="I686" s="85"/>
      <c r="J686" s="85"/>
      <c r="K686" s="85"/>
      <c r="L686" s="109"/>
      <c r="M686" s="110"/>
      <c r="N686" s="111"/>
      <c r="O686" s="112"/>
      <c r="P686" s="112"/>
      <c r="Q686" s="118"/>
    </row>
    <row r="687" spans="2:17" s="5" customFormat="1" ht="13">
      <c r="B687" s="84"/>
      <c r="C687" s="84"/>
      <c r="D687" s="85"/>
      <c r="E687" s="85"/>
      <c r="F687" s="85"/>
      <c r="G687" s="85"/>
      <c r="H687" s="85"/>
      <c r="I687" s="85"/>
      <c r="J687" s="85"/>
      <c r="K687" s="85"/>
      <c r="L687" s="109"/>
      <c r="M687" s="110"/>
      <c r="N687" s="111"/>
      <c r="O687" s="112"/>
      <c r="P687" s="112"/>
      <c r="Q687" s="118"/>
    </row>
    <row r="688" spans="2:17" s="5" customFormat="1" ht="13">
      <c r="B688" s="84"/>
      <c r="C688" s="84"/>
      <c r="D688" s="85"/>
      <c r="E688" s="85"/>
      <c r="F688" s="85"/>
      <c r="G688" s="85"/>
      <c r="H688" s="85"/>
      <c r="I688" s="85"/>
      <c r="J688" s="85"/>
      <c r="K688" s="85"/>
      <c r="L688" s="109"/>
      <c r="M688" s="110"/>
      <c r="N688" s="111"/>
      <c r="O688" s="112"/>
      <c r="P688" s="112"/>
      <c r="Q688" s="118"/>
    </row>
    <row r="689" spans="2:17" s="5" customFormat="1" ht="13">
      <c r="B689" s="84"/>
      <c r="C689" s="84"/>
      <c r="D689" s="85"/>
      <c r="E689" s="85"/>
      <c r="F689" s="85"/>
      <c r="G689" s="85"/>
      <c r="H689" s="85"/>
      <c r="I689" s="85"/>
      <c r="J689" s="85"/>
      <c r="K689" s="85"/>
      <c r="L689" s="109"/>
      <c r="M689" s="110"/>
      <c r="N689" s="111"/>
      <c r="O689" s="112"/>
      <c r="P689" s="112"/>
      <c r="Q689" s="118"/>
    </row>
    <row r="690" spans="2:17" s="5" customFormat="1" ht="13">
      <c r="B690" s="84"/>
      <c r="C690" s="84"/>
      <c r="D690" s="85"/>
      <c r="E690" s="85"/>
      <c r="F690" s="85"/>
      <c r="G690" s="85"/>
      <c r="H690" s="85"/>
      <c r="I690" s="85"/>
      <c r="J690" s="85"/>
      <c r="K690" s="85"/>
      <c r="L690" s="109"/>
      <c r="M690" s="110"/>
      <c r="N690" s="111"/>
      <c r="O690" s="112"/>
      <c r="P690" s="112"/>
      <c r="Q690" s="118"/>
    </row>
    <row r="691" spans="2:17" s="5" customFormat="1" ht="13">
      <c r="B691" s="84"/>
      <c r="C691" s="84"/>
      <c r="D691" s="85"/>
      <c r="E691" s="85"/>
      <c r="F691" s="85"/>
      <c r="G691" s="85"/>
      <c r="H691" s="85"/>
      <c r="I691" s="85"/>
      <c r="J691" s="85"/>
      <c r="K691" s="85"/>
      <c r="L691" s="109"/>
      <c r="M691" s="110"/>
      <c r="N691" s="111"/>
      <c r="O691" s="112"/>
      <c r="P691" s="112"/>
      <c r="Q691" s="118"/>
    </row>
    <row r="692" spans="2:17" s="5" customFormat="1" ht="13">
      <c r="B692" s="84"/>
      <c r="C692" s="84"/>
      <c r="D692" s="85"/>
      <c r="E692" s="85"/>
      <c r="F692" s="85"/>
      <c r="G692" s="85"/>
      <c r="H692" s="85"/>
      <c r="I692" s="85"/>
      <c r="J692" s="85"/>
      <c r="K692" s="85"/>
      <c r="L692" s="109"/>
      <c r="M692" s="110"/>
      <c r="N692" s="111"/>
      <c r="O692" s="112"/>
      <c r="P692" s="112"/>
      <c r="Q692" s="118"/>
    </row>
    <row r="693" spans="2:17" s="5" customFormat="1" ht="13">
      <c r="B693" s="84"/>
      <c r="C693" s="84"/>
      <c r="D693" s="85"/>
      <c r="E693" s="85"/>
      <c r="F693" s="85"/>
      <c r="G693" s="85"/>
      <c r="H693" s="85"/>
      <c r="I693" s="85"/>
      <c r="J693" s="85"/>
      <c r="K693" s="85"/>
      <c r="L693" s="109"/>
      <c r="M693" s="110"/>
      <c r="N693" s="111"/>
      <c r="O693" s="112"/>
      <c r="P693" s="112"/>
      <c r="Q693" s="118"/>
    </row>
    <row r="694" spans="2:17" s="5" customFormat="1" ht="13">
      <c r="B694" s="84"/>
      <c r="C694" s="84"/>
      <c r="D694" s="85"/>
      <c r="E694" s="85"/>
      <c r="F694" s="85"/>
      <c r="G694" s="85"/>
      <c r="H694" s="85"/>
      <c r="I694" s="85"/>
      <c r="J694" s="85"/>
      <c r="K694" s="85"/>
      <c r="L694" s="109"/>
      <c r="M694" s="110"/>
      <c r="N694" s="111"/>
      <c r="O694" s="112"/>
      <c r="P694" s="112"/>
      <c r="Q694" s="118"/>
    </row>
    <row r="695" spans="2:17" s="5" customFormat="1" ht="13">
      <c r="B695" s="84"/>
      <c r="C695" s="84"/>
      <c r="D695" s="85"/>
      <c r="E695" s="85"/>
      <c r="F695" s="85"/>
      <c r="G695" s="85"/>
      <c r="H695" s="85"/>
      <c r="I695" s="85"/>
      <c r="J695" s="85"/>
      <c r="K695" s="85"/>
      <c r="L695" s="109"/>
      <c r="M695" s="110"/>
      <c r="N695" s="111"/>
      <c r="O695" s="112"/>
      <c r="P695" s="112"/>
      <c r="Q695" s="118"/>
    </row>
    <row r="696" spans="2:17" s="5" customFormat="1" ht="13">
      <c r="B696" s="84"/>
      <c r="C696" s="84"/>
      <c r="D696" s="85"/>
      <c r="E696" s="85"/>
      <c r="F696" s="85"/>
      <c r="G696" s="85"/>
      <c r="H696" s="85"/>
      <c r="I696" s="85"/>
      <c r="J696" s="85"/>
      <c r="K696" s="85"/>
      <c r="L696" s="109"/>
      <c r="M696" s="110"/>
      <c r="N696" s="111"/>
      <c r="O696" s="112"/>
      <c r="P696" s="112"/>
      <c r="Q696" s="118"/>
    </row>
    <row r="697" spans="2:17" s="5" customFormat="1" ht="13">
      <c r="B697" s="84"/>
      <c r="C697" s="84"/>
      <c r="D697" s="85"/>
      <c r="E697" s="85"/>
      <c r="F697" s="85"/>
      <c r="G697" s="85"/>
      <c r="H697" s="85"/>
      <c r="I697" s="85"/>
      <c r="J697" s="85"/>
      <c r="K697" s="85"/>
      <c r="L697" s="109"/>
      <c r="M697" s="110"/>
      <c r="N697" s="111"/>
      <c r="O697" s="112"/>
      <c r="P697" s="112"/>
      <c r="Q697" s="118"/>
    </row>
    <row r="698" spans="2:17" s="5" customFormat="1" ht="13">
      <c r="B698" s="84"/>
      <c r="C698" s="84"/>
      <c r="D698" s="85"/>
      <c r="E698" s="85"/>
      <c r="F698" s="85"/>
      <c r="G698" s="85"/>
      <c r="H698" s="85"/>
      <c r="I698" s="85"/>
      <c r="J698" s="85"/>
      <c r="K698" s="85"/>
      <c r="L698" s="109"/>
      <c r="M698" s="110"/>
      <c r="N698" s="111"/>
      <c r="O698" s="112"/>
      <c r="P698" s="112"/>
      <c r="Q698" s="118"/>
    </row>
    <row r="699" spans="2:17" s="5" customFormat="1" ht="13">
      <c r="B699" s="84"/>
      <c r="C699" s="84"/>
      <c r="D699" s="85"/>
      <c r="E699" s="85"/>
      <c r="F699" s="85"/>
      <c r="G699" s="85"/>
      <c r="H699" s="85"/>
      <c r="I699" s="85"/>
      <c r="J699" s="85"/>
      <c r="K699" s="85"/>
      <c r="L699" s="109"/>
      <c r="M699" s="110"/>
      <c r="N699" s="111"/>
      <c r="O699" s="112"/>
      <c r="P699" s="112"/>
      <c r="Q699" s="118"/>
    </row>
    <row r="700" spans="2:17" s="5" customFormat="1" ht="13">
      <c r="B700" s="84"/>
      <c r="C700" s="84"/>
      <c r="D700" s="85"/>
      <c r="E700" s="85"/>
      <c r="F700" s="85"/>
      <c r="G700" s="85"/>
      <c r="H700" s="85"/>
      <c r="I700" s="85"/>
      <c r="J700" s="85"/>
      <c r="K700" s="85"/>
      <c r="L700" s="109"/>
      <c r="M700" s="110"/>
      <c r="N700" s="111"/>
      <c r="O700" s="112"/>
      <c r="P700" s="112"/>
      <c r="Q700" s="118"/>
    </row>
    <row r="701" spans="2:17" s="5" customFormat="1" ht="13">
      <c r="B701" s="84"/>
      <c r="C701" s="84"/>
      <c r="D701" s="85"/>
      <c r="E701" s="85"/>
      <c r="F701" s="85"/>
      <c r="G701" s="85"/>
      <c r="H701" s="85"/>
      <c r="I701" s="85"/>
      <c r="J701" s="85"/>
      <c r="K701" s="85"/>
      <c r="L701" s="109"/>
      <c r="M701" s="110"/>
      <c r="N701" s="111"/>
      <c r="O701" s="112"/>
      <c r="P701" s="112"/>
      <c r="Q701" s="118"/>
    </row>
    <row r="702" spans="2:17" s="5" customFormat="1" ht="13">
      <c r="B702" s="84"/>
      <c r="C702" s="84"/>
      <c r="D702" s="85"/>
      <c r="E702" s="85"/>
      <c r="F702" s="85"/>
      <c r="G702" s="85"/>
      <c r="H702" s="85"/>
      <c r="I702" s="85"/>
      <c r="J702" s="85"/>
      <c r="K702" s="85"/>
      <c r="L702" s="109"/>
      <c r="M702" s="110"/>
      <c r="N702" s="111"/>
      <c r="O702" s="112"/>
      <c r="P702" s="112"/>
      <c r="Q702" s="118"/>
    </row>
    <row r="703" spans="2:17" s="5" customFormat="1" ht="13">
      <c r="B703" s="84"/>
      <c r="C703" s="84"/>
      <c r="D703" s="85"/>
      <c r="E703" s="85"/>
      <c r="F703" s="85"/>
      <c r="G703" s="85"/>
      <c r="H703" s="85"/>
      <c r="I703" s="85"/>
      <c r="J703" s="85"/>
      <c r="K703" s="85"/>
      <c r="L703" s="109"/>
      <c r="M703" s="110"/>
      <c r="N703" s="111"/>
      <c r="O703" s="112"/>
      <c r="P703" s="112"/>
      <c r="Q703" s="118"/>
    </row>
    <row r="704" spans="2:17" s="5" customFormat="1" ht="13">
      <c r="B704" s="84"/>
      <c r="C704" s="84"/>
      <c r="D704" s="85"/>
      <c r="E704" s="85"/>
      <c r="F704" s="85"/>
      <c r="G704" s="85"/>
      <c r="H704" s="85"/>
      <c r="I704" s="85"/>
      <c r="J704" s="85"/>
      <c r="K704" s="85"/>
      <c r="L704" s="109"/>
      <c r="M704" s="110"/>
      <c r="N704" s="111"/>
      <c r="O704" s="112"/>
      <c r="P704" s="112"/>
      <c r="Q704" s="118"/>
    </row>
    <row r="705" spans="2:17" s="5" customFormat="1" ht="13">
      <c r="B705" s="84"/>
      <c r="C705" s="84"/>
      <c r="D705" s="85"/>
      <c r="E705" s="85"/>
      <c r="F705" s="85"/>
      <c r="G705" s="85"/>
      <c r="H705" s="85"/>
      <c r="I705" s="85"/>
      <c r="J705" s="85"/>
      <c r="K705" s="85"/>
      <c r="L705" s="109"/>
      <c r="M705" s="110"/>
      <c r="N705" s="111"/>
      <c r="O705" s="112"/>
      <c r="P705" s="112"/>
      <c r="Q705" s="118"/>
    </row>
    <row r="706" spans="2:17" s="5" customFormat="1" ht="13">
      <c r="B706" s="84"/>
      <c r="C706" s="84"/>
      <c r="D706" s="85"/>
      <c r="E706" s="85"/>
      <c r="F706" s="85"/>
      <c r="G706" s="85"/>
      <c r="H706" s="85"/>
      <c r="I706" s="85"/>
      <c r="J706" s="85"/>
      <c r="K706" s="85"/>
      <c r="L706" s="109"/>
      <c r="M706" s="110"/>
      <c r="N706" s="111"/>
      <c r="O706" s="112"/>
      <c r="P706" s="112"/>
      <c r="Q706" s="118"/>
    </row>
    <row r="707" spans="2:17" s="5" customFormat="1" ht="13">
      <c r="B707" s="84"/>
      <c r="C707" s="84"/>
      <c r="D707" s="85"/>
      <c r="E707" s="85"/>
      <c r="F707" s="85"/>
      <c r="G707" s="85"/>
      <c r="H707" s="85"/>
      <c r="I707" s="85"/>
      <c r="J707" s="85"/>
      <c r="K707" s="85"/>
      <c r="L707" s="109"/>
      <c r="M707" s="110"/>
      <c r="N707" s="111"/>
      <c r="O707" s="112"/>
      <c r="P707" s="112"/>
      <c r="Q707" s="118"/>
    </row>
    <row r="708" spans="2:17" s="5" customFormat="1" ht="13">
      <c r="B708" s="84"/>
      <c r="C708" s="84"/>
      <c r="D708" s="85"/>
      <c r="E708" s="85"/>
      <c r="F708" s="85"/>
      <c r="G708" s="85"/>
      <c r="H708" s="85"/>
      <c r="I708" s="85"/>
      <c r="J708" s="85"/>
      <c r="K708" s="85"/>
      <c r="L708" s="109"/>
      <c r="M708" s="110"/>
      <c r="N708" s="111"/>
      <c r="O708" s="112"/>
      <c r="P708" s="112"/>
      <c r="Q708" s="118"/>
    </row>
    <row r="709" spans="2:17" s="5" customFormat="1" ht="13">
      <c r="B709" s="84"/>
      <c r="C709" s="84"/>
      <c r="D709" s="85"/>
      <c r="E709" s="85"/>
      <c r="F709" s="85"/>
      <c r="G709" s="85"/>
      <c r="H709" s="85"/>
      <c r="I709" s="85"/>
      <c r="J709" s="85"/>
      <c r="K709" s="85"/>
      <c r="L709" s="109"/>
      <c r="M709" s="110"/>
      <c r="N709" s="111"/>
      <c r="O709" s="112"/>
      <c r="P709" s="112"/>
      <c r="Q709" s="118"/>
    </row>
    <row r="710" spans="2:17" s="5" customFormat="1" ht="13">
      <c r="B710" s="84"/>
      <c r="C710" s="84"/>
      <c r="D710" s="85"/>
      <c r="E710" s="85"/>
      <c r="F710" s="85"/>
      <c r="G710" s="85"/>
      <c r="H710" s="85"/>
      <c r="I710" s="85"/>
      <c r="J710" s="85"/>
      <c r="K710" s="85"/>
      <c r="L710" s="109"/>
      <c r="M710" s="110"/>
      <c r="N710" s="111"/>
      <c r="O710" s="112"/>
      <c r="P710" s="112"/>
      <c r="Q710" s="118"/>
    </row>
    <row r="711" spans="2:17" s="5" customFormat="1" ht="13">
      <c r="B711" s="84"/>
      <c r="C711" s="84"/>
      <c r="D711" s="85"/>
      <c r="E711" s="85"/>
      <c r="F711" s="85"/>
      <c r="G711" s="85"/>
      <c r="H711" s="85"/>
      <c r="I711" s="85"/>
      <c r="J711" s="85"/>
      <c r="K711" s="85"/>
      <c r="L711" s="109"/>
      <c r="M711" s="110"/>
      <c r="N711" s="111"/>
      <c r="O711" s="112"/>
      <c r="P711" s="112"/>
      <c r="Q711" s="118"/>
    </row>
    <row r="712" spans="2:17" s="5" customFormat="1" ht="13">
      <c r="B712" s="84"/>
      <c r="C712" s="84"/>
      <c r="D712" s="85"/>
      <c r="E712" s="85"/>
      <c r="F712" s="85"/>
      <c r="G712" s="85"/>
      <c r="H712" s="85"/>
      <c r="I712" s="85"/>
      <c r="J712" s="85"/>
      <c r="K712" s="85"/>
      <c r="L712" s="109"/>
      <c r="M712" s="110"/>
      <c r="N712" s="111"/>
      <c r="O712" s="112"/>
      <c r="P712" s="112"/>
      <c r="Q712" s="118"/>
    </row>
    <row r="713" spans="2:17" s="5" customFormat="1" ht="13">
      <c r="B713" s="84"/>
      <c r="C713" s="84"/>
      <c r="D713" s="85"/>
      <c r="E713" s="85"/>
      <c r="F713" s="85"/>
      <c r="G713" s="85"/>
      <c r="H713" s="85"/>
      <c r="I713" s="85"/>
      <c r="J713" s="85"/>
      <c r="K713" s="85"/>
      <c r="L713" s="109"/>
      <c r="M713" s="110"/>
      <c r="N713" s="111"/>
      <c r="O713" s="112"/>
      <c r="P713" s="112"/>
      <c r="Q713" s="118"/>
    </row>
    <row r="714" spans="2:17" s="5" customFormat="1" ht="13">
      <c r="B714" s="84"/>
      <c r="C714" s="84"/>
      <c r="D714" s="85"/>
      <c r="E714" s="85"/>
      <c r="F714" s="85"/>
      <c r="G714" s="85"/>
      <c r="H714" s="85"/>
      <c r="I714" s="85"/>
      <c r="J714" s="85"/>
      <c r="K714" s="85"/>
      <c r="L714" s="109"/>
      <c r="M714" s="110"/>
      <c r="N714" s="111"/>
      <c r="O714" s="112"/>
      <c r="P714" s="112"/>
      <c r="Q714" s="118"/>
    </row>
    <row r="715" spans="2:17" s="5" customFormat="1" ht="13">
      <c r="B715" s="84"/>
      <c r="C715" s="84"/>
      <c r="D715" s="85"/>
      <c r="E715" s="85"/>
      <c r="F715" s="85"/>
      <c r="G715" s="85"/>
      <c r="H715" s="85"/>
      <c r="I715" s="85"/>
      <c r="J715" s="85"/>
      <c r="K715" s="85"/>
      <c r="L715" s="109"/>
      <c r="M715" s="110"/>
      <c r="N715" s="111"/>
      <c r="O715" s="112"/>
      <c r="P715" s="112"/>
      <c r="Q715" s="118"/>
    </row>
    <row r="716" spans="2:17" s="5" customFormat="1" ht="13">
      <c r="B716" s="84"/>
      <c r="C716" s="84"/>
      <c r="D716" s="85"/>
      <c r="E716" s="85"/>
      <c r="F716" s="85"/>
      <c r="G716" s="85"/>
      <c r="H716" s="85"/>
      <c r="I716" s="85"/>
      <c r="J716" s="85"/>
      <c r="K716" s="85"/>
      <c r="L716" s="109"/>
      <c r="M716" s="110"/>
      <c r="N716" s="111"/>
      <c r="O716" s="112"/>
      <c r="P716" s="112"/>
      <c r="Q716" s="118"/>
    </row>
    <row r="717" spans="2:17" s="5" customFormat="1" ht="13">
      <c r="B717" s="84"/>
      <c r="C717" s="84"/>
      <c r="D717" s="85"/>
      <c r="E717" s="85"/>
      <c r="F717" s="85"/>
      <c r="G717" s="85"/>
      <c r="H717" s="85"/>
      <c r="I717" s="85"/>
      <c r="J717" s="85"/>
      <c r="K717" s="85"/>
      <c r="L717" s="109"/>
      <c r="M717" s="110"/>
      <c r="N717" s="111"/>
      <c r="O717" s="112"/>
      <c r="P717" s="112"/>
      <c r="Q717" s="118"/>
    </row>
    <row r="718" spans="2:17" s="5" customFormat="1" ht="13">
      <c r="B718" s="84"/>
      <c r="C718" s="84"/>
      <c r="D718" s="85"/>
      <c r="E718" s="85"/>
      <c r="F718" s="85"/>
      <c r="G718" s="85"/>
      <c r="H718" s="85"/>
      <c r="I718" s="85"/>
      <c r="J718" s="85"/>
      <c r="K718" s="85"/>
      <c r="L718" s="109"/>
      <c r="M718" s="110"/>
      <c r="N718" s="111"/>
      <c r="O718" s="112"/>
      <c r="P718" s="112"/>
      <c r="Q718" s="118"/>
    </row>
    <row r="719" spans="2:17" s="5" customFormat="1" ht="13">
      <c r="B719" s="84"/>
      <c r="C719" s="84"/>
      <c r="D719" s="85"/>
      <c r="E719" s="85"/>
      <c r="F719" s="85"/>
      <c r="G719" s="85"/>
      <c r="H719" s="85"/>
      <c r="I719" s="85"/>
      <c r="J719" s="85"/>
      <c r="K719" s="85"/>
      <c r="L719" s="109"/>
      <c r="M719" s="110"/>
      <c r="N719" s="111"/>
      <c r="O719" s="112"/>
      <c r="P719" s="112"/>
      <c r="Q719" s="118"/>
    </row>
    <row r="720" spans="2:17" s="5" customFormat="1" ht="13">
      <c r="B720" s="84"/>
      <c r="C720" s="84"/>
      <c r="D720" s="85"/>
      <c r="E720" s="85"/>
      <c r="F720" s="85"/>
      <c r="G720" s="85"/>
      <c r="H720" s="85"/>
      <c r="I720" s="85"/>
      <c r="J720" s="85"/>
      <c r="K720" s="85"/>
      <c r="L720" s="109"/>
      <c r="M720" s="110"/>
      <c r="N720" s="111"/>
      <c r="O720" s="112"/>
      <c r="P720" s="112"/>
      <c r="Q720" s="118"/>
    </row>
    <row r="721" spans="2:17" s="5" customFormat="1" ht="13">
      <c r="B721" s="84"/>
      <c r="C721" s="84"/>
      <c r="D721" s="85"/>
      <c r="E721" s="85"/>
      <c r="F721" s="85"/>
      <c r="G721" s="85"/>
      <c r="H721" s="85"/>
      <c r="I721" s="85"/>
      <c r="J721" s="85"/>
      <c r="K721" s="85"/>
      <c r="L721" s="109"/>
      <c r="M721" s="110"/>
      <c r="N721" s="111"/>
      <c r="O721" s="112"/>
      <c r="P721" s="112"/>
      <c r="Q721" s="118"/>
    </row>
    <row r="722" spans="2:17" s="5" customFormat="1" ht="13">
      <c r="B722" s="84"/>
      <c r="C722" s="84"/>
      <c r="D722" s="85"/>
      <c r="E722" s="85"/>
      <c r="F722" s="85"/>
      <c r="G722" s="85"/>
      <c r="H722" s="85"/>
      <c r="I722" s="85"/>
      <c r="J722" s="85"/>
      <c r="K722" s="85"/>
      <c r="L722" s="109"/>
      <c r="M722" s="110"/>
      <c r="N722" s="111"/>
      <c r="O722" s="112"/>
      <c r="P722" s="112"/>
      <c r="Q722" s="118"/>
    </row>
    <row r="723" spans="2:17" s="5" customFormat="1" ht="13">
      <c r="B723" s="84"/>
      <c r="C723" s="84"/>
      <c r="D723" s="85"/>
      <c r="E723" s="85"/>
      <c r="F723" s="85"/>
      <c r="G723" s="85"/>
      <c r="H723" s="85"/>
      <c r="I723" s="85"/>
      <c r="J723" s="85"/>
      <c r="K723" s="85"/>
      <c r="L723" s="109"/>
      <c r="M723" s="110"/>
      <c r="N723" s="111"/>
      <c r="O723" s="112"/>
      <c r="P723" s="112"/>
      <c r="Q723" s="118"/>
    </row>
    <row r="724" spans="2:17" s="5" customFormat="1" ht="13">
      <c r="B724" s="84"/>
      <c r="C724" s="84"/>
      <c r="D724" s="85"/>
      <c r="E724" s="85"/>
      <c r="F724" s="85"/>
      <c r="G724" s="85"/>
      <c r="H724" s="85"/>
      <c r="I724" s="85"/>
      <c r="J724" s="85"/>
      <c r="K724" s="85"/>
      <c r="L724" s="109"/>
      <c r="M724" s="110"/>
      <c r="N724" s="111"/>
      <c r="O724" s="112"/>
      <c r="P724" s="112"/>
      <c r="Q724" s="118"/>
    </row>
    <row r="725" spans="2:17" s="5" customFormat="1" ht="13">
      <c r="B725" s="84"/>
      <c r="C725" s="84"/>
      <c r="D725" s="85"/>
      <c r="E725" s="85"/>
      <c r="F725" s="85"/>
      <c r="G725" s="85"/>
      <c r="H725" s="85"/>
      <c r="I725" s="85"/>
      <c r="J725" s="85"/>
      <c r="K725" s="85"/>
      <c r="L725" s="109"/>
      <c r="M725" s="110"/>
      <c r="N725" s="111"/>
      <c r="O725" s="112"/>
      <c r="P725" s="112"/>
      <c r="Q725" s="118"/>
    </row>
    <row r="726" spans="2:17" s="5" customFormat="1" ht="13">
      <c r="B726" s="84"/>
      <c r="C726" s="84"/>
      <c r="D726" s="85"/>
      <c r="E726" s="85"/>
      <c r="F726" s="85"/>
      <c r="G726" s="85"/>
      <c r="H726" s="85"/>
      <c r="I726" s="85"/>
      <c r="J726" s="85"/>
      <c r="K726" s="85"/>
      <c r="L726" s="109"/>
      <c r="M726" s="110"/>
      <c r="N726" s="111"/>
      <c r="O726" s="112"/>
      <c r="P726" s="112"/>
      <c r="Q726" s="118"/>
    </row>
    <row r="727" spans="2:17" s="5" customFormat="1" ht="13">
      <c r="B727" s="84"/>
      <c r="C727" s="84"/>
      <c r="D727" s="85"/>
      <c r="E727" s="85"/>
      <c r="F727" s="85"/>
      <c r="G727" s="85"/>
      <c r="H727" s="85"/>
      <c r="I727" s="85"/>
      <c r="J727" s="85"/>
      <c r="K727" s="85"/>
      <c r="L727" s="109"/>
      <c r="M727" s="110"/>
      <c r="N727" s="111"/>
      <c r="O727" s="112"/>
      <c r="P727" s="112"/>
      <c r="Q727" s="118"/>
    </row>
    <row r="728" spans="2:17" s="5" customFormat="1" ht="13">
      <c r="B728" s="84"/>
      <c r="C728" s="84"/>
      <c r="D728" s="85"/>
      <c r="E728" s="85"/>
      <c r="F728" s="85"/>
      <c r="G728" s="85"/>
      <c r="H728" s="85"/>
      <c r="I728" s="85"/>
      <c r="J728" s="85"/>
      <c r="K728" s="85"/>
      <c r="L728" s="109"/>
      <c r="M728" s="110"/>
      <c r="N728" s="111"/>
      <c r="O728" s="112"/>
      <c r="P728" s="112"/>
      <c r="Q728" s="118"/>
    </row>
    <row r="729" spans="2:17" s="5" customFormat="1" ht="13">
      <c r="B729" s="84"/>
      <c r="C729" s="84"/>
      <c r="D729" s="85"/>
      <c r="E729" s="85"/>
      <c r="F729" s="85"/>
      <c r="G729" s="85"/>
      <c r="H729" s="85"/>
      <c r="I729" s="85"/>
      <c r="J729" s="85"/>
      <c r="K729" s="85"/>
      <c r="L729" s="109"/>
      <c r="M729" s="110"/>
      <c r="N729" s="111"/>
      <c r="O729" s="112"/>
      <c r="P729" s="112"/>
      <c r="Q729" s="118"/>
    </row>
    <row r="730" spans="2:17" s="5" customFormat="1" ht="13">
      <c r="B730" s="84"/>
      <c r="C730" s="84"/>
      <c r="D730" s="85"/>
      <c r="E730" s="85"/>
      <c r="F730" s="85"/>
      <c r="G730" s="85"/>
      <c r="H730" s="85"/>
      <c r="I730" s="85"/>
      <c r="J730" s="85"/>
      <c r="K730" s="85"/>
      <c r="L730" s="109"/>
      <c r="M730" s="110"/>
      <c r="N730" s="111"/>
      <c r="O730" s="112"/>
      <c r="P730" s="112"/>
      <c r="Q730" s="118"/>
    </row>
    <row r="731" spans="2:17" s="5" customFormat="1" ht="13">
      <c r="B731" s="84"/>
      <c r="C731" s="84"/>
      <c r="D731" s="85"/>
      <c r="E731" s="85"/>
      <c r="F731" s="85"/>
      <c r="G731" s="85"/>
      <c r="H731" s="85"/>
      <c r="I731" s="85"/>
      <c r="J731" s="85"/>
      <c r="K731" s="85"/>
      <c r="L731" s="109"/>
      <c r="M731" s="110"/>
      <c r="N731" s="111"/>
      <c r="O731" s="112"/>
      <c r="P731" s="112"/>
      <c r="Q731" s="118"/>
    </row>
    <row r="732" spans="2:17" s="5" customFormat="1" ht="13">
      <c r="B732" s="84"/>
      <c r="C732" s="84"/>
      <c r="D732" s="85"/>
      <c r="E732" s="85"/>
      <c r="F732" s="85"/>
      <c r="G732" s="85"/>
      <c r="H732" s="85"/>
      <c r="I732" s="85"/>
      <c r="J732" s="85"/>
      <c r="K732" s="85"/>
      <c r="L732" s="109"/>
      <c r="M732" s="110"/>
      <c r="N732" s="111"/>
      <c r="O732" s="112"/>
      <c r="P732" s="112"/>
      <c r="Q732" s="118"/>
    </row>
    <row r="733" spans="2:17" s="5" customFormat="1" ht="13">
      <c r="B733" s="84"/>
      <c r="C733" s="84"/>
      <c r="D733" s="85"/>
      <c r="E733" s="85"/>
      <c r="F733" s="85"/>
      <c r="G733" s="85"/>
      <c r="H733" s="85"/>
      <c r="I733" s="85"/>
      <c r="J733" s="85"/>
      <c r="K733" s="85"/>
      <c r="L733" s="109"/>
      <c r="M733" s="110"/>
      <c r="N733" s="111"/>
      <c r="O733" s="112"/>
      <c r="P733" s="112"/>
      <c r="Q733" s="118"/>
    </row>
    <row r="734" spans="2:17" s="5" customFormat="1" ht="13">
      <c r="B734" s="84"/>
      <c r="C734" s="84"/>
      <c r="D734" s="85"/>
      <c r="E734" s="85"/>
      <c r="F734" s="85"/>
      <c r="G734" s="85"/>
      <c r="H734" s="85"/>
      <c r="I734" s="85"/>
      <c r="J734" s="85"/>
      <c r="K734" s="85"/>
      <c r="L734" s="109"/>
      <c r="M734" s="110"/>
      <c r="N734" s="111"/>
      <c r="O734" s="112"/>
      <c r="P734" s="112"/>
      <c r="Q734" s="118"/>
    </row>
    <row r="735" spans="2:17" s="5" customFormat="1" ht="13">
      <c r="B735" s="84"/>
      <c r="C735" s="84"/>
      <c r="D735" s="85"/>
      <c r="E735" s="85"/>
      <c r="F735" s="85"/>
      <c r="G735" s="85"/>
      <c r="H735" s="85"/>
      <c r="I735" s="85"/>
      <c r="J735" s="85"/>
      <c r="K735" s="85"/>
      <c r="L735" s="109"/>
      <c r="M735" s="110"/>
      <c r="N735" s="111"/>
      <c r="O735" s="112"/>
      <c r="P735" s="112"/>
      <c r="Q735" s="118"/>
    </row>
    <row r="736" spans="2:17" s="5" customFormat="1" ht="13">
      <c r="B736" s="84"/>
      <c r="C736" s="84"/>
      <c r="D736" s="85"/>
      <c r="E736" s="85"/>
      <c r="F736" s="85"/>
      <c r="G736" s="85"/>
      <c r="H736" s="85"/>
      <c r="I736" s="85"/>
      <c r="J736" s="85"/>
      <c r="K736" s="85"/>
      <c r="L736" s="109"/>
      <c r="M736" s="110"/>
      <c r="N736" s="111"/>
      <c r="O736" s="112"/>
      <c r="P736" s="112"/>
      <c r="Q736" s="118"/>
    </row>
    <row r="737" spans="2:17" s="5" customFormat="1" ht="13">
      <c r="B737" s="84"/>
      <c r="C737" s="84"/>
      <c r="D737" s="85"/>
      <c r="E737" s="85"/>
      <c r="F737" s="85"/>
      <c r="G737" s="85"/>
      <c r="H737" s="85"/>
      <c r="I737" s="85"/>
      <c r="J737" s="85"/>
      <c r="K737" s="85"/>
      <c r="L737" s="109"/>
      <c r="M737" s="110"/>
      <c r="N737" s="111"/>
      <c r="O737" s="112"/>
      <c r="P737" s="112"/>
      <c r="Q737" s="118"/>
    </row>
    <row r="738" spans="2:17" s="5" customFormat="1" ht="13">
      <c r="B738" s="84"/>
      <c r="C738" s="84"/>
      <c r="D738" s="85"/>
      <c r="E738" s="85"/>
      <c r="F738" s="85"/>
      <c r="G738" s="85"/>
      <c r="H738" s="85"/>
      <c r="I738" s="85"/>
      <c r="J738" s="85"/>
      <c r="K738" s="85"/>
      <c r="L738" s="109"/>
      <c r="M738" s="110"/>
      <c r="N738" s="111"/>
      <c r="O738" s="112"/>
      <c r="P738" s="112"/>
      <c r="Q738" s="118"/>
    </row>
    <row r="739" spans="2:17" s="5" customFormat="1" ht="13">
      <c r="B739" s="84"/>
      <c r="C739" s="84"/>
      <c r="D739" s="85"/>
      <c r="E739" s="85"/>
      <c r="F739" s="85"/>
      <c r="G739" s="85"/>
      <c r="H739" s="85"/>
      <c r="I739" s="85"/>
      <c r="J739" s="85"/>
      <c r="K739" s="85"/>
      <c r="L739" s="109"/>
      <c r="M739" s="110"/>
      <c r="N739" s="111"/>
      <c r="O739" s="112"/>
      <c r="P739" s="112"/>
      <c r="Q739" s="118"/>
    </row>
    <row r="740" spans="2:17" s="5" customFormat="1" ht="13">
      <c r="B740" s="84"/>
      <c r="C740" s="84"/>
      <c r="D740" s="85"/>
      <c r="E740" s="85"/>
      <c r="F740" s="85"/>
      <c r="G740" s="85"/>
      <c r="H740" s="85"/>
      <c r="I740" s="85"/>
      <c r="J740" s="85"/>
      <c r="K740" s="85"/>
      <c r="L740" s="109"/>
      <c r="M740" s="110"/>
      <c r="N740" s="111"/>
      <c r="O740" s="112"/>
      <c r="P740" s="112"/>
      <c r="Q740" s="118"/>
    </row>
    <row r="741" spans="2:17" s="5" customFormat="1" ht="13">
      <c r="B741" s="84"/>
      <c r="C741" s="84"/>
      <c r="D741" s="85"/>
      <c r="E741" s="85"/>
      <c r="F741" s="85"/>
      <c r="G741" s="85"/>
      <c r="H741" s="85"/>
      <c r="I741" s="85"/>
      <c r="J741" s="85"/>
      <c r="K741" s="85"/>
      <c r="L741" s="109"/>
      <c r="M741" s="110"/>
      <c r="N741" s="111"/>
      <c r="O741" s="112"/>
      <c r="P741" s="112"/>
      <c r="Q741" s="118"/>
    </row>
    <row r="742" spans="2:17" s="5" customFormat="1" ht="13">
      <c r="B742" s="84"/>
      <c r="C742" s="84"/>
      <c r="D742" s="85"/>
      <c r="E742" s="85"/>
      <c r="F742" s="85"/>
      <c r="G742" s="85"/>
      <c r="H742" s="85"/>
      <c r="I742" s="85"/>
      <c r="J742" s="85"/>
      <c r="K742" s="85"/>
      <c r="L742" s="109"/>
      <c r="M742" s="110"/>
      <c r="N742" s="111"/>
      <c r="O742" s="112"/>
      <c r="P742" s="112"/>
      <c r="Q742" s="118"/>
    </row>
    <row r="743" spans="2:17" s="5" customFormat="1" ht="13">
      <c r="B743" s="84"/>
      <c r="C743" s="84"/>
      <c r="D743" s="85"/>
      <c r="E743" s="85"/>
      <c r="F743" s="85"/>
      <c r="G743" s="85"/>
      <c r="H743" s="85"/>
      <c r="I743" s="85"/>
      <c r="J743" s="85"/>
      <c r="K743" s="85"/>
      <c r="L743" s="109"/>
      <c r="M743" s="110"/>
      <c r="N743" s="111"/>
      <c r="O743" s="112"/>
      <c r="P743" s="112"/>
      <c r="Q743" s="118"/>
    </row>
    <row r="744" spans="2:17" s="5" customFormat="1" ht="13">
      <c r="B744" s="84"/>
      <c r="C744" s="84"/>
      <c r="D744" s="85"/>
      <c r="E744" s="85"/>
      <c r="F744" s="85"/>
      <c r="G744" s="85"/>
      <c r="H744" s="85"/>
      <c r="I744" s="85"/>
      <c r="J744" s="85"/>
      <c r="K744" s="85"/>
      <c r="L744" s="109"/>
      <c r="M744" s="110"/>
      <c r="N744" s="111"/>
      <c r="O744" s="112"/>
      <c r="P744" s="112"/>
      <c r="Q744" s="118"/>
    </row>
    <row r="745" spans="2:17" s="5" customFormat="1" ht="13">
      <c r="B745" s="84"/>
      <c r="C745" s="84"/>
      <c r="D745" s="85"/>
      <c r="E745" s="85"/>
      <c r="F745" s="85"/>
      <c r="G745" s="85"/>
      <c r="H745" s="85"/>
      <c r="I745" s="85"/>
      <c r="J745" s="85"/>
      <c r="K745" s="85"/>
      <c r="L745" s="109"/>
      <c r="M745" s="110"/>
      <c r="N745" s="111"/>
      <c r="O745" s="112"/>
      <c r="P745" s="112"/>
      <c r="Q745" s="118"/>
    </row>
    <row r="746" spans="2:17" s="5" customFormat="1" ht="13">
      <c r="B746" s="84"/>
      <c r="C746" s="84"/>
      <c r="D746" s="85"/>
      <c r="E746" s="85"/>
      <c r="F746" s="85"/>
      <c r="G746" s="85"/>
      <c r="H746" s="85"/>
      <c r="I746" s="85"/>
      <c r="J746" s="85"/>
      <c r="K746" s="85"/>
      <c r="L746" s="109"/>
      <c r="M746" s="110"/>
      <c r="N746" s="111"/>
      <c r="O746" s="112"/>
      <c r="P746" s="112"/>
      <c r="Q746" s="118"/>
    </row>
    <row r="747" spans="2:17" s="5" customFormat="1" ht="13">
      <c r="B747" s="84"/>
      <c r="C747" s="84"/>
      <c r="D747" s="85"/>
      <c r="E747" s="85"/>
      <c r="F747" s="85"/>
      <c r="G747" s="85"/>
      <c r="H747" s="85"/>
      <c r="I747" s="85"/>
      <c r="J747" s="85"/>
      <c r="K747" s="85"/>
      <c r="L747" s="109"/>
      <c r="M747" s="110"/>
      <c r="N747" s="111"/>
      <c r="O747" s="112"/>
      <c r="P747" s="112"/>
      <c r="Q747" s="118"/>
    </row>
    <row r="748" spans="2:17" s="5" customFormat="1" ht="13">
      <c r="B748" s="84"/>
      <c r="C748" s="84"/>
      <c r="D748" s="85"/>
      <c r="E748" s="85"/>
      <c r="F748" s="85"/>
      <c r="G748" s="85"/>
      <c r="H748" s="85"/>
      <c r="I748" s="85"/>
      <c r="J748" s="85"/>
      <c r="K748" s="85"/>
      <c r="L748" s="109"/>
      <c r="M748" s="110"/>
      <c r="N748" s="111"/>
      <c r="O748" s="112"/>
      <c r="P748" s="112"/>
      <c r="Q748" s="118"/>
    </row>
    <row r="749" spans="2:17" s="5" customFormat="1" ht="13">
      <c r="B749" s="84"/>
      <c r="C749" s="84"/>
      <c r="D749" s="85"/>
      <c r="E749" s="85"/>
      <c r="F749" s="85"/>
      <c r="G749" s="85"/>
      <c r="H749" s="85"/>
      <c r="I749" s="85"/>
      <c r="J749" s="85"/>
      <c r="K749" s="85"/>
      <c r="L749" s="109"/>
      <c r="M749" s="110"/>
      <c r="N749" s="111"/>
      <c r="O749" s="112"/>
      <c r="P749" s="112"/>
      <c r="Q749" s="118"/>
    </row>
    <row r="750" spans="2:17" s="5" customFormat="1" ht="13">
      <c r="B750" s="84"/>
      <c r="C750" s="84"/>
      <c r="D750" s="85"/>
      <c r="E750" s="85"/>
      <c r="F750" s="85"/>
      <c r="G750" s="85"/>
      <c r="H750" s="85"/>
      <c r="I750" s="85"/>
      <c r="J750" s="85"/>
      <c r="K750" s="85"/>
      <c r="L750" s="109"/>
      <c r="M750" s="110"/>
      <c r="N750" s="111"/>
      <c r="O750" s="112"/>
      <c r="P750" s="112"/>
      <c r="Q750" s="118"/>
    </row>
    <row r="751" spans="2:17" s="5" customFormat="1" ht="13">
      <c r="B751" s="84"/>
      <c r="C751" s="84"/>
      <c r="D751" s="85"/>
      <c r="E751" s="85"/>
      <c r="F751" s="85"/>
      <c r="G751" s="85"/>
      <c r="H751" s="85"/>
      <c r="I751" s="85"/>
      <c r="J751" s="85"/>
      <c r="K751" s="85"/>
      <c r="L751" s="109"/>
      <c r="M751" s="110"/>
      <c r="N751" s="111"/>
      <c r="O751" s="112"/>
      <c r="P751" s="112"/>
      <c r="Q751" s="118"/>
    </row>
    <row r="752" spans="2:17" s="5" customFormat="1" ht="13">
      <c r="B752" s="84"/>
      <c r="C752" s="84"/>
      <c r="D752" s="85"/>
      <c r="E752" s="85"/>
      <c r="F752" s="85"/>
      <c r="G752" s="85"/>
      <c r="H752" s="85"/>
      <c r="I752" s="85"/>
      <c r="J752" s="85"/>
      <c r="K752" s="85"/>
      <c r="L752" s="109"/>
      <c r="M752" s="110"/>
      <c r="N752" s="111"/>
      <c r="O752" s="112"/>
      <c r="P752" s="112"/>
      <c r="Q752" s="118"/>
    </row>
    <row r="753" spans="2:17" s="5" customFormat="1" ht="13">
      <c r="B753" s="84"/>
      <c r="C753" s="84"/>
      <c r="D753" s="85"/>
      <c r="E753" s="85"/>
      <c r="F753" s="85"/>
      <c r="G753" s="85"/>
      <c r="H753" s="85"/>
      <c r="I753" s="85"/>
      <c r="J753" s="85"/>
      <c r="K753" s="85"/>
      <c r="L753" s="109"/>
      <c r="M753" s="110"/>
      <c r="N753" s="111"/>
      <c r="O753" s="112"/>
      <c r="P753" s="112"/>
      <c r="Q753" s="118"/>
    </row>
    <row r="754" spans="2:17" s="5" customFormat="1" ht="13">
      <c r="B754" s="84"/>
      <c r="C754" s="84"/>
      <c r="D754" s="85"/>
      <c r="E754" s="85"/>
      <c r="F754" s="85"/>
      <c r="G754" s="85"/>
      <c r="H754" s="85"/>
      <c r="I754" s="85"/>
      <c r="J754" s="85"/>
      <c r="K754" s="85"/>
      <c r="L754" s="109"/>
      <c r="M754" s="110"/>
      <c r="N754" s="111"/>
      <c r="O754" s="112"/>
      <c r="P754" s="112"/>
      <c r="Q754" s="118"/>
    </row>
    <row r="755" spans="2:17" s="5" customFormat="1" ht="13">
      <c r="B755" s="84"/>
      <c r="C755" s="84"/>
      <c r="D755" s="85"/>
      <c r="E755" s="85"/>
      <c r="F755" s="85"/>
      <c r="G755" s="85"/>
      <c r="H755" s="85"/>
      <c r="I755" s="85"/>
      <c r="J755" s="85"/>
      <c r="K755" s="85"/>
      <c r="L755" s="109"/>
      <c r="M755" s="110"/>
      <c r="N755" s="111"/>
      <c r="O755" s="112"/>
      <c r="P755" s="112"/>
      <c r="Q755" s="118"/>
    </row>
    <row r="756" spans="2:17" s="5" customFormat="1" ht="13">
      <c r="B756" s="84"/>
      <c r="C756" s="84"/>
      <c r="D756" s="85"/>
      <c r="E756" s="85"/>
      <c r="F756" s="85"/>
      <c r="G756" s="85"/>
      <c r="H756" s="85"/>
      <c r="I756" s="85"/>
      <c r="J756" s="85"/>
      <c r="K756" s="85"/>
      <c r="L756" s="109"/>
      <c r="M756" s="110"/>
      <c r="N756" s="111"/>
      <c r="O756" s="112"/>
      <c r="P756" s="112"/>
      <c r="Q756" s="118"/>
    </row>
    <row r="757" spans="2:17" s="5" customFormat="1" ht="13">
      <c r="B757" s="84"/>
      <c r="C757" s="84"/>
      <c r="D757" s="85"/>
      <c r="E757" s="85"/>
      <c r="F757" s="85"/>
      <c r="G757" s="85"/>
      <c r="H757" s="85"/>
      <c r="I757" s="85"/>
      <c r="J757" s="85"/>
      <c r="K757" s="85"/>
      <c r="L757" s="109"/>
      <c r="M757" s="110"/>
      <c r="N757" s="111"/>
      <c r="O757" s="112"/>
      <c r="P757" s="112"/>
      <c r="Q757" s="118"/>
    </row>
    <row r="758" spans="2:17" s="5" customFormat="1" ht="13">
      <c r="B758" s="84"/>
      <c r="C758" s="84"/>
      <c r="D758" s="85"/>
      <c r="E758" s="85"/>
      <c r="F758" s="85"/>
      <c r="G758" s="85"/>
      <c r="H758" s="85"/>
      <c r="I758" s="85"/>
      <c r="J758" s="85"/>
      <c r="K758" s="85"/>
      <c r="L758" s="109"/>
      <c r="M758" s="110"/>
      <c r="N758" s="111"/>
      <c r="O758" s="112"/>
      <c r="P758" s="112"/>
      <c r="Q758" s="118"/>
    </row>
    <row r="759" spans="2:17" s="5" customFormat="1" ht="13">
      <c r="B759" s="84"/>
      <c r="C759" s="84"/>
      <c r="D759" s="85"/>
      <c r="E759" s="85"/>
      <c r="F759" s="85"/>
      <c r="G759" s="85"/>
      <c r="H759" s="85"/>
      <c r="I759" s="85"/>
      <c r="J759" s="85"/>
      <c r="K759" s="85"/>
      <c r="L759" s="109"/>
      <c r="M759" s="110"/>
      <c r="N759" s="111"/>
      <c r="O759" s="112"/>
      <c r="P759" s="112"/>
      <c r="Q759" s="118"/>
    </row>
    <row r="760" spans="2:17" s="5" customFormat="1" ht="13">
      <c r="B760" s="84"/>
      <c r="C760" s="84"/>
      <c r="D760" s="85"/>
      <c r="E760" s="85"/>
      <c r="F760" s="85"/>
      <c r="G760" s="85"/>
      <c r="H760" s="85"/>
      <c r="I760" s="85"/>
      <c r="J760" s="85"/>
      <c r="K760" s="85"/>
      <c r="L760" s="109"/>
      <c r="M760" s="110"/>
      <c r="N760" s="111"/>
      <c r="O760" s="112"/>
      <c r="P760" s="112"/>
      <c r="Q760" s="118"/>
    </row>
    <row r="761" spans="2:17" s="5" customFormat="1" ht="13">
      <c r="B761" s="84"/>
      <c r="C761" s="84"/>
      <c r="D761" s="85"/>
      <c r="E761" s="85"/>
      <c r="F761" s="85"/>
      <c r="G761" s="85"/>
      <c r="H761" s="85"/>
      <c r="I761" s="85"/>
      <c r="J761" s="85"/>
      <c r="K761" s="85"/>
      <c r="L761" s="109"/>
      <c r="M761" s="110"/>
      <c r="N761" s="111"/>
      <c r="O761" s="112"/>
      <c r="P761" s="112"/>
      <c r="Q761" s="118"/>
    </row>
    <row r="762" spans="2:17" s="5" customFormat="1" ht="13">
      <c r="B762" s="84"/>
      <c r="C762" s="84"/>
      <c r="D762" s="85"/>
      <c r="E762" s="85"/>
      <c r="F762" s="85"/>
      <c r="G762" s="85"/>
      <c r="H762" s="85"/>
      <c r="I762" s="85"/>
      <c r="J762" s="85"/>
      <c r="K762" s="85"/>
      <c r="L762" s="109"/>
      <c r="M762" s="110"/>
      <c r="N762" s="111"/>
      <c r="O762" s="112"/>
      <c r="P762" s="112"/>
      <c r="Q762" s="118"/>
    </row>
    <row r="763" spans="2:17" s="5" customFormat="1" ht="13">
      <c r="B763" s="84"/>
      <c r="C763" s="84"/>
      <c r="D763" s="85"/>
      <c r="E763" s="85"/>
      <c r="F763" s="85"/>
      <c r="G763" s="85"/>
      <c r="H763" s="85"/>
      <c r="I763" s="85"/>
      <c r="J763" s="85"/>
      <c r="K763" s="85"/>
      <c r="L763" s="109"/>
      <c r="M763" s="110"/>
      <c r="N763" s="111"/>
      <c r="O763" s="112"/>
      <c r="P763" s="112"/>
      <c r="Q763" s="118"/>
    </row>
    <row r="764" spans="2:17" s="5" customFormat="1" ht="13">
      <c r="B764" s="84"/>
      <c r="C764" s="84"/>
      <c r="D764" s="85"/>
      <c r="E764" s="85"/>
      <c r="F764" s="85"/>
      <c r="G764" s="85"/>
      <c r="H764" s="85"/>
      <c r="I764" s="85"/>
      <c r="J764" s="85"/>
      <c r="K764" s="85"/>
      <c r="L764" s="109"/>
      <c r="M764" s="110"/>
      <c r="N764" s="111"/>
      <c r="O764" s="112"/>
      <c r="P764" s="112"/>
      <c r="Q764" s="118"/>
    </row>
    <row r="765" spans="2:17" s="5" customFormat="1" ht="13">
      <c r="B765" s="84"/>
      <c r="C765" s="84"/>
      <c r="D765" s="85"/>
      <c r="E765" s="85"/>
      <c r="F765" s="85"/>
      <c r="G765" s="85"/>
      <c r="H765" s="85"/>
      <c r="I765" s="85"/>
      <c r="J765" s="85"/>
      <c r="K765" s="85"/>
      <c r="L765" s="109"/>
      <c r="M765" s="110"/>
      <c r="N765" s="111"/>
      <c r="O765" s="112"/>
      <c r="P765" s="112"/>
      <c r="Q765" s="118"/>
    </row>
    <row r="766" spans="2:17" s="5" customFormat="1" ht="13">
      <c r="B766" s="84"/>
      <c r="C766" s="84"/>
      <c r="D766" s="85"/>
      <c r="E766" s="85"/>
      <c r="F766" s="85"/>
      <c r="G766" s="85"/>
      <c r="H766" s="85"/>
      <c r="I766" s="85"/>
      <c r="J766" s="85"/>
      <c r="K766" s="85"/>
      <c r="L766" s="109"/>
      <c r="M766" s="110"/>
      <c r="N766" s="111"/>
      <c r="O766" s="112"/>
      <c r="P766" s="112"/>
      <c r="Q766" s="118"/>
    </row>
    <row r="767" spans="2:17" s="5" customFormat="1" ht="13">
      <c r="B767" s="84"/>
      <c r="C767" s="84"/>
      <c r="D767" s="85"/>
      <c r="E767" s="85"/>
      <c r="F767" s="85"/>
      <c r="G767" s="85"/>
      <c r="H767" s="85"/>
      <c r="I767" s="85"/>
      <c r="J767" s="85"/>
      <c r="K767" s="85"/>
      <c r="L767" s="109"/>
      <c r="M767" s="110"/>
      <c r="N767" s="111"/>
      <c r="O767" s="112"/>
      <c r="P767" s="112"/>
      <c r="Q767" s="118"/>
    </row>
    <row r="768" spans="2:17" s="5" customFormat="1" ht="13">
      <c r="B768" s="84"/>
      <c r="C768" s="84"/>
      <c r="D768" s="85"/>
      <c r="E768" s="85"/>
      <c r="F768" s="85"/>
      <c r="G768" s="85"/>
      <c r="H768" s="85"/>
      <c r="I768" s="85"/>
      <c r="J768" s="85"/>
      <c r="K768" s="85"/>
      <c r="L768" s="109"/>
      <c r="M768" s="110"/>
      <c r="N768" s="111"/>
      <c r="O768" s="112"/>
      <c r="P768" s="112"/>
      <c r="Q768" s="118"/>
    </row>
    <row r="769" spans="2:17" s="5" customFormat="1" ht="13">
      <c r="B769" s="84"/>
      <c r="C769" s="84"/>
      <c r="D769" s="85"/>
      <c r="E769" s="85"/>
      <c r="F769" s="85"/>
      <c r="G769" s="85"/>
      <c r="H769" s="85"/>
      <c r="I769" s="85"/>
      <c r="J769" s="85"/>
      <c r="K769" s="85"/>
      <c r="L769" s="109"/>
      <c r="M769" s="110"/>
      <c r="N769" s="111"/>
      <c r="O769" s="112"/>
      <c r="P769" s="112"/>
      <c r="Q769" s="118"/>
    </row>
    <row r="770" spans="2:17" s="5" customFormat="1" ht="13">
      <c r="B770" s="84"/>
      <c r="C770" s="84"/>
      <c r="D770" s="85"/>
      <c r="E770" s="85"/>
      <c r="F770" s="85"/>
      <c r="G770" s="85"/>
      <c r="H770" s="85"/>
      <c r="I770" s="85"/>
      <c r="J770" s="85"/>
      <c r="K770" s="85"/>
      <c r="L770" s="109"/>
      <c r="M770" s="110"/>
      <c r="N770" s="111"/>
      <c r="O770" s="112"/>
      <c r="P770" s="112"/>
      <c r="Q770" s="118"/>
    </row>
    <row r="771" spans="2:17" s="5" customFormat="1" ht="13">
      <c r="B771" s="84"/>
      <c r="C771" s="84"/>
      <c r="D771" s="85"/>
      <c r="E771" s="85"/>
      <c r="F771" s="85"/>
      <c r="G771" s="85"/>
      <c r="H771" s="85"/>
      <c r="I771" s="85"/>
      <c r="J771" s="85"/>
      <c r="K771" s="85"/>
      <c r="L771" s="109"/>
      <c r="M771" s="110"/>
      <c r="N771" s="111"/>
      <c r="O771" s="112"/>
      <c r="P771" s="112"/>
      <c r="Q771" s="118"/>
    </row>
    <row r="772" spans="2:17" s="5" customFormat="1" ht="13">
      <c r="B772" s="84"/>
      <c r="C772" s="84"/>
      <c r="D772" s="85"/>
      <c r="E772" s="85"/>
      <c r="F772" s="85"/>
      <c r="G772" s="85"/>
      <c r="H772" s="85"/>
      <c r="I772" s="85"/>
      <c r="J772" s="85"/>
      <c r="K772" s="85"/>
      <c r="L772" s="109"/>
      <c r="M772" s="110"/>
      <c r="N772" s="111"/>
      <c r="O772" s="112"/>
      <c r="P772" s="112"/>
      <c r="Q772" s="118"/>
    </row>
    <row r="773" spans="2:17" s="5" customFormat="1" ht="13">
      <c r="B773" s="84"/>
      <c r="C773" s="84"/>
      <c r="D773" s="85"/>
      <c r="E773" s="85"/>
      <c r="F773" s="85"/>
      <c r="G773" s="85"/>
      <c r="H773" s="85"/>
      <c r="I773" s="85"/>
      <c r="J773" s="85"/>
      <c r="K773" s="85"/>
      <c r="L773" s="109"/>
      <c r="M773" s="110"/>
      <c r="N773" s="111"/>
      <c r="O773" s="112"/>
      <c r="P773" s="112"/>
      <c r="Q773" s="118"/>
    </row>
    <row r="774" spans="2:17" s="5" customFormat="1" ht="13">
      <c r="B774" s="84"/>
      <c r="C774" s="84"/>
      <c r="D774" s="85"/>
      <c r="E774" s="85"/>
      <c r="F774" s="85"/>
      <c r="G774" s="85"/>
      <c r="H774" s="85"/>
      <c r="I774" s="85"/>
      <c r="J774" s="85"/>
      <c r="K774" s="85"/>
      <c r="L774" s="109"/>
      <c r="M774" s="110"/>
      <c r="N774" s="111"/>
      <c r="O774" s="112"/>
      <c r="P774" s="112"/>
      <c r="Q774" s="118"/>
    </row>
    <row r="775" spans="2:17" s="5" customFormat="1" ht="13">
      <c r="B775" s="84"/>
      <c r="C775" s="84"/>
      <c r="D775" s="85"/>
      <c r="E775" s="85"/>
      <c r="F775" s="85"/>
      <c r="G775" s="85"/>
      <c r="H775" s="85"/>
      <c r="I775" s="85"/>
      <c r="J775" s="85"/>
      <c r="K775" s="85"/>
      <c r="L775" s="109"/>
      <c r="M775" s="110"/>
      <c r="N775" s="111"/>
      <c r="O775" s="112"/>
      <c r="P775" s="112"/>
      <c r="Q775" s="118"/>
    </row>
    <row r="776" spans="2:17" s="5" customFormat="1" ht="13">
      <c r="B776" s="84"/>
      <c r="C776" s="84"/>
      <c r="D776" s="85"/>
      <c r="E776" s="85"/>
      <c r="F776" s="85"/>
      <c r="G776" s="85"/>
      <c r="H776" s="85"/>
      <c r="I776" s="85"/>
      <c r="J776" s="85"/>
      <c r="K776" s="85"/>
      <c r="L776" s="109"/>
      <c r="M776" s="110"/>
      <c r="N776" s="111"/>
      <c r="O776" s="112"/>
      <c r="P776" s="112"/>
      <c r="Q776" s="118"/>
    </row>
    <row r="777" spans="2:17" s="5" customFormat="1" ht="13">
      <c r="B777" s="84"/>
      <c r="C777" s="84"/>
      <c r="D777" s="85"/>
      <c r="E777" s="85"/>
      <c r="F777" s="85"/>
      <c r="G777" s="85"/>
      <c r="H777" s="85"/>
      <c r="I777" s="85"/>
      <c r="J777" s="85"/>
      <c r="K777" s="85"/>
      <c r="L777" s="109"/>
      <c r="M777" s="110"/>
      <c r="N777" s="111"/>
      <c r="O777" s="112"/>
      <c r="P777" s="112"/>
      <c r="Q777" s="118"/>
    </row>
    <row r="778" spans="2:17" s="5" customFormat="1" ht="13">
      <c r="B778" s="84"/>
      <c r="C778" s="84"/>
      <c r="D778" s="85"/>
      <c r="E778" s="85"/>
      <c r="F778" s="85"/>
      <c r="G778" s="85"/>
      <c r="H778" s="85"/>
      <c r="I778" s="85"/>
      <c r="J778" s="85"/>
      <c r="K778" s="85"/>
      <c r="L778" s="109"/>
      <c r="M778" s="110"/>
      <c r="N778" s="111"/>
      <c r="O778" s="112"/>
      <c r="P778" s="112"/>
      <c r="Q778" s="118"/>
    </row>
    <row r="779" spans="2:17" s="5" customFormat="1" ht="13">
      <c r="B779" s="84"/>
      <c r="C779" s="84"/>
      <c r="D779" s="85"/>
      <c r="E779" s="85"/>
      <c r="F779" s="85"/>
      <c r="G779" s="85"/>
      <c r="H779" s="85"/>
      <c r="I779" s="85"/>
      <c r="J779" s="85"/>
      <c r="K779" s="85"/>
      <c r="L779" s="109"/>
      <c r="M779" s="110"/>
      <c r="N779" s="111"/>
      <c r="O779" s="112"/>
      <c r="P779" s="112"/>
      <c r="Q779" s="118"/>
    </row>
    <row r="780" spans="2:17" s="5" customFormat="1" ht="13">
      <c r="B780" s="84"/>
      <c r="C780" s="84"/>
      <c r="D780" s="85"/>
      <c r="E780" s="85"/>
      <c r="F780" s="85"/>
      <c r="G780" s="85"/>
      <c r="H780" s="85"/>
      <c r="I780" s="85"/>
      <c r="J780" s="85"/>
      <c r="K780" s="85"/>
      <c r="L780" s="109"/>
      <c r="M780" s="110"/>
      <c r="N780" s="111"/>
      <c r="O780" s="112"/>
      <c r="P780" s="112"/>
      <c r="Q780" s="118"/>
    </row>
    <row r="781" spans="2:17" s="5" customFormat="1" ht="13">
      <c r="B781" s="84"/>
      <c r="C781" s="84"/>
      <c r="D781" s="85"/>
      <c r="E781" s="85"/>
      <c r="F781" s="85"/>
      <c r="G781" s="85"/>
      <c r="H781" s="85"/>
      <c r="I781" s="85"/>
      <c r="J781" s="85"/>
      <c r="K781" s="85"/>
      <c r="L781" s="109"/>
      <c r="M781" s="110"/>
      <c r="N781" s="111"/>
      <c r="O781" s="112"/>
      <c r="P781" s="112"/>
      <c r="Q781" s="118"/>
    </row>
    <row r="782" spans="2:17" s="5" customFormat="1" ht="13">
      <c r="B782" s="84"/>
      <c r="C782" s="84"/>
      <c r="D782" s="85"/>
      <c r="E782" s="85"/>
      <c r="F782" s="85"/>
      <c r="G782" s="85"/>
      <c r="H782" s="85"/>
      <c r="I782" s="85"/>
      <c r="J782" s="85"/>
      <c r="K782" s="85"/>
      <c r="L782" s="109"/>
      <c r="M782" s="110"/>
      <c r="N782" s="111"/>
      <c r="O782" s="112"/>
      <c r="P782" s="112"/>
      <c r="Q782" s="118"/>
    </row>
    <row r="783" spans="2:17" s="5" customFormat="1" ht="13">
      <c r="B783" s="84"/>
      <c r="C783" s="84"/>
      <c r="D783" s="85"/>
      <c r="E783" s="85"/>
      <c r="F783" s="85"/>
      <c r="G783" s="85"/>
      <c r="H783" s="85"/>
      <c r="I783" s="85"/>
      <c r="J783" s="85"/>
      <c r="K783" s="85"/>
      <c r="L783" s="109"/>
      <c r="M783" s="110"/>
      <c r="N783" s="111"/>
      <c r="O783" s="112"/>
      <c r="P783" s="112"/>
      <c r="Q783" s="118"/>
    </row>
    <row r="784" spans="2:17" s="5" customFormat="1" ht="13">
      <c r="B784" s="84"/>
      <c r="C784" s="84"/>
      <c r="D784" s="85"/>
      <c r="E784" s="85"/>
      <c r="F784" s="85"/>
      <c r="G784" s="85"/>
      <c r="H784" s="85"/>
      <c r="I784" s="85"/>
      <c r="J784" s="85"/>
      <c r="K784" s="85"/>
      <c r="L784" s="109"/>
      <c r="M784" s="110"/>
      <c r="N784" s="111"/>
      <c r="O784" s="112"/>
      <c r="P784" s="112"/>
      <c r="Q784" s="118"/>
    </row>
    <row r="785" spans="2:17" s="5" customFormat="1" ht="13">
      <c r="B785" s="84"/>
      <c r="C785" s="84"/>
      <c r="D785" s="85"/>
      <c r="E785" s="85"/>
      <c r="F785" s="85"/>
      <c r="G785" s="85"/>
      <c r="H785" s="85"/>
      <c r="I785" s="85"/>
      <c r="J785" s="85"/>
      <c r="K785" s="85"/>
      <c r="L785" s="109"/>
      <c r="M785" s="110"/>
      <c r="N785" s="111"/>
      <c r="O785" s="112"/>
      <c r="P785" s="112"/>
      <c r="Q785" s="118"/>
    </row>
    <row r="786" spans="2:17" s="5" customFormat="1" ht="13">
      <c r="B786" s="84"/>
      <c r="C786" s="84"/>
      <c r="D786" s="85"/>
      <c r="E786" s="85"/>
      <c r="F786" s="85"/>
      <c r="G786" s="85"/>
      <c r="H786" s="85"/>
      <c r="I786" s="85"/>
      <c r="J786" s="85"/>
      <c r="K786" s="85"/>
      <c r="L786" s="109"/>
      <c r="M786" s="110"/>
      <c r="N786" s="111"/>
      <c r="O786" s="112"/>
      <c r="P786" s="112"/>
      <c r="Q786" s="118"/>
    </row>
    <row r="787" spans="2:17" s="5" customFormat="1" ht="13">
      <c r="B787" s="84"/>
      <c r="C787" s="84"/>
      <c r="D787" s="85"/>
      <c r="E787" s="85"/>
      <c r="F787" s="85"/>
      <c r="G787" s="85"/>
      <c r="H787" s="85"/>
      <c r="I787" s="85"/>
      <c r="J787" s="85"/>
      <c r="K787" s="85"/>
      <c r="L787" s="109"/>
      <c r="M787" s="110"/>
      <c r="N787" s="111"/>
      <c r="O787" s="112"/>
      <c r="P787" s="112"/>
      <c r="Q787" s="118"/>
    </row>
    <row r="788" spans="2:17" s="5" customFormat="1" ht="13">
      <c r="B788" s="84"/>
      <c r="C788" s="84"/>
      <c r="D788" s="85"/>
      <c r="E788" s="85"/>
      <c r="F788" s="85"/>
      <c r="G788" s="85"/>
      <c r="H788" s="85"/>
      <c r="I788" s="85"/>
      <c r="J788" s="85"/>
      <c r="K788" s="85"/>
      <c r="L788" s="109"/>
      <c r="M788" s="110"/>
      <c r="N788" s="111"/>
      <c r="O788" s="112"/>
      <c r="P788" s="112"/>
      <c r="Q788" s="118"/>
    </row>
    <row r="789" spans="2:17" s="5" customFormat="1" ht="13">
      <c r="B789" s="84"/>
      <c r="C789" s="84"/>
      <c r="D789" s="85"/>
      <c r="E789" s="85"/>
      <c r="F789" s="85"/>
      <c r="G789" s="85"/>
      <c r="H789" s="85"/>
      <c r="I789" s="85"/>
      <c r="J789" s="85"/>
      <c r="K789" s="85"/>
      <c r="L789" s="109"/>
      <c r="M789" s="110"/>
      <c r="N789" s="111"/>
      <c r="O789" s="112"/>
      <c r="P789" s="112"/>
      <c r="Q789" s="118"/>
    </row>
    <row r="790" spans="2:17" s="5" customFormat="1" ht="13">
      <c r="B790" s="84"/>
      <c r="C790" s="84"/>
      <c r="D790" s="85"/>
      <c r="E790" s="85"/>
      <c r="F790" s="85"/>
      <c r="G790" s="85"/>
      <c r="H790" s="85"/>
      <c r="I790" s="85"/>
      <c r="J790" s="85"/>
      <c r="K790" s="85"/>
      <c r="L790" s="109"/>
      <c r="M790" s="110"/>
      <c r="N790" s="111"/>
      <c r="O790" s="112"/>
      <c r="P790" s="112"/>
      <c r="Q790" s="118"/>
    </row>
    <row r="791" spans="2:17" s="5" customFormat="1" ht="13">
      <c r="B791" s="84"/>
      <c r="C791" s="84"/>
      <c r="D791" s="85"/>
      <c r="E791" s="85"/>
      <c r="F791" s="85"/>
      <c r="G791" s="85"/>
      <c r="H791" s="85"/>
      <c r="I791" s="85"/>
      <c r="J791" s="85"/>
      <c r="K791" s="85"/>
      <c r="L791" s="109"/>
      <c r="M791" s="110"/>
      <c r="N791" s="111"/>
      <c r="O791" s="112"/>
      <c r="P791" s="112"/>
      <c r="Q791" s="118"/>
    </row>
    <row r="792" spans="2:17" s="5" customFormat="1" ht="13">
      <c r="B792" s="84"/>
      <c r="C792" s="84"/>
      <c r="D792" s="85"/>
      <c r="E792" s="85"/>
      <c r="F792" s="85"/>
      <c r="G792" s="85"/>
      <c r="H792" s="85"/>
      <c r="I792" s="85"/>
      <c r="J792" s="85"/>
      <c r="K792" s="85"/>
      <c r="L792" s="109"/>
      <c r="M792" s="110"/>
      <c r="N792" s="111"/>
      <c r="O792" s="112"/>
      <c r="P792" s="112"/>
      <c r="Q792" s="118"/>
    </row>
    <row r="793" spans="2:17" s="5" customFormat="1" ht="13">
      <c r="B793" s="84"/>
      <c r="C793" s="84"/>
      <c r="D793" s="85"/>
      <c r="E793" s="85"/>
      <c r="F793" s="85"/>
      <c r="G793" s="85"/>
      <c r="H793" s="85"/>
      <c r="I793" s="85"/>
      <c r="J793" s="85"/>
      <c r="K793" s="85"/>
      <c r="L793" s="109"/>
      <c r="M793" s="110"/>
      <c r="N793" s="111"/>
      <c r="O793" s="112"/>
      <c r="P793" s="112"/>
      <c r="Q793" s="118"/>
    </row>
    <row r="794" spans="2:17" s="5" customFormat="1" ht="13">
      <c r="B794" s="84"/>
      <c r="C794" s="84"/>
      <c r="D794" s="85"/>
      <c r="E794" s="85"/>
      <c r="F794" s="85"/>
      <c r="G794" s="85"/>
      <c r="H794" s="85"/>
      <c r="I794" s="85"/>
      <c r="J794" s="85"/>
      <c r="K794" s="85"/>
      <c r="L794" s="109"/>
      <c r="M794" s="110"/>
      <c r="N794" s="111"/>
      <c r="O794" s="112"/>
      <c r="P794" s="112"/>
      <c r="Q794" s="118"/>
    </row>
    <row r="795" spans="2:17" s="5" customFormat="1" ht="13">
      <c r="B795" s="84"/>
      <c r="C795" s="84"/>
      <c r="D795" s="85"/>
      <c r="E795" s="85"/>
      <c r="F795" s="85"/>
      <c r="G795" s="85"/>
      <c r="H795" s="85"/>
      <c r="I795" s="85"/>
      <c r="J795" s="85"/>
      <c r="K795" s="85"/>
      <c r="L795" s="109"/>
      <c r="M795" s="110"/>
      <c r="N795" s="111"/>
      <c r="O795" s="112"/>
      <c r="P795" s="112"/>
      <c r="Q795" s="118"/>
    </row>
    <row r="796" spans="2:17" s="5" customFormat="1" ht="13">
      <c r="B796" s="84"/>
      <c r="C796" s="84"/>
      <c r="D796" s="85"/>
      <c r="E796" s="85"/>
      <c r="F796" s="85"/>
      <c r="G796" s="85"/>
      <c r="H796" s="85"/>
      <c r="I796" s="85"/>
      <c r="J796" s="85"/>
      <c r="K796" s="85"/>
      <c r="L796" s="109"/>
      <c r="M796" s="110"/>
      <c r="N796" s="111"/>
      <c r="O796" s="112"/>
      <c r="P796" s="112"/>
      <c r="Q796" s="118"/>
    </row>
    <row r="797" spans="2:17" s="5" customFormat="1" ht="13">
      <c r="B797" s="84"/>
      <c r="C797" s="84"/>
      <c r="D797" s="85"/>
      <c r="E797" s="85"/>
      <c r="F797" s="85"/>
      <c r="G797" s="85"/>
      <c r="H797" s="85"/>
      <c r="I797" s="85"/>
      <c r="J797" s="85"/>
      <c r="K797" s="85"/>
      <c r="L797" s="109"/>
      <c r="M797" s="110"/>
      <c r="N797" s="111"/>
      <c r="O797" s="112"/>
      <c r="P797" s="112"/>
      <c r="Q797" s="118"/>
    </row>
    <row r="798" spans="2:17" s="5" customFormat="1" ht="13">
      <c r="B798" s="84"/>
      <c r="C798" s="84"/>
      <c r="D798" s="85"/>
      <c r="E798" s="85"/>
      <c r="F798" s="85"/>
      <c r="G798" s="85"/>
      <c r="H798" s="85"/>
      <c r="I798" s="85"/>
      <c r="J798" s="85"/>
      <c r="K798" s="85"/>
      <c r="L798" s="109"/>
      <c r="M798" s="110"/>
      <c r="N798" s="111"/>
      <c r="O798" s="112"/>
      <c r="P798" s="112"/>
      <c r="Q798" s="118"/>
    </row>
    <row r="799" spans="2:17" s="5" customFormat="1" ht="13">
      <c r="B799" s="84"/>
      <c r="C799" s="84"/>
      <c r="D799" s="85"/>
      <c r="E799" s="85"/>
      <c r="F799" s="85"/>
      <c r="G799" s="85"/>
      <c r="H799" s="85"/>
      <c r="I799" s="85"/>
      <c r="J799" s="85"/>
      <c r="K799" s="85"/>
      <c r="L799" s="109"/>
      <c r="M799" s="110"/>
      <c r="N799" s="111"/>
      <c r="O799" s="112"/>
      <c r="P799" s="112"/>
      <c r="Q799" s="118"/>
    </row>
    <row r="800" spans="2:17" s="5" customFormat="1" ht="13">
      <c r="B800" s="84"/>
      <c r="C800" s="84"/>
      <c r="D800" s="85"/>
      <c r="E800" s="85"/>
      <c r="F800" s="85"/>
      <c r="G800" s="85"/>
      <c r="H800" s="85"/>
      <c r="I800" s="85"/>
      <c r="J800" s="85"/>
      <c r="K800" s="85"/>
      <c r="L800" s="109"/>
      <c r="M800" s="110"/>
      <c r="N800" s="111"/>
      <c r="O800" s="112"/>
      <c r="P800" s="112"/>
      <c r="Q800" s="118"/>
    </row>
    <row r="801" spans="2:17" s="5" customFormat="1" ht="13">
      <c r="B801" s="84"/>
      <c r="C801" s="84"/>
      <c r="D801" s="85"/>
      <c r="E801" s="85"/>
      <c r="F801" s="85"/>
      <c r="G801" s="85"/>
      <c r="H801" s="85"/>
      <c r="I801" s="85"/>
      <c r="J801" s="85"/>
      <c r="K801" s="85"/>
      <c r="L801" s="109"/>
      <c r="M801" s="110"/>
      <c r="N801" s="111"/>
      <c r="O801" s="112"/>
      <c r="P801" s="112"/>
      <c r="Q801" s="118"/>
    </row>
    <row r="802" spans="2:17" s="5" customFormat="1" ht="13">
      <c r="B802" s="84"/>
      <c r="C802" s="84"/>
      <c r="D802" s="85"/>
      <c r="E802" s="85"/>
      <c r="F802" s="85"/>
      <c r="G802" s="85"/>
      <c r="H802" s="85"/>
      <c r="I802" s="85"/>
      <c r="J802" s="85"/>
      <c r="K802" s="85"/>
      <c r="L802" s="109"/>
      <c r="M802" s="110"/>
      <c r="N802" s="111"/>
      <c r="O802" s="112"/>
      <c r="P802" s="112"/>
      <c r="Q802" s="118"/>
    </row>
    <row r="803" spans="2:17" s="5" customFormat="1" ht="13">
      <c r="B803" s="84"/>
      <c r="C803" s="84"/>
      <c r="D803" s="85"/>
      <c r="E803" s="85"/>
      <c r="F803" s="85"/>
      <c r="G803" s="85"/>
      <c r="H803" s="85"/>
      <c r="I803" s="85"/>
      <c r="J803" s="85"/>
      <c r="K803" s="85"/>
      <c r="L803" s="109"/>
      <c r="M803" s="110"/>
      <c r="N803" s="111"/>
      <c r="O803" s="112"/>
      <c r="P803" s="112"/>
      <c r="Q803" s="118"/>
    </row>
    <row r="804" spans="2:17" s="5" customFormat="1" ht="13">
      <c r="B804" s="84"/>
      <c r="C804" s="84"/>
      <c r="D804" s="85"/>
      <c r="E804" s="85"/>
      <c r="F804" s="85"/>
      <c r="G804" s="85"/>
      <c r="H804" s="85"/>
      <c r="I804" s="85"/>
      <c r="J804" s="85"/>
      <c r="K804" s="85"/>
      <c r="L804" s="109"/>
      <c r="M804" s="110"/>
      <c r="N804" s="111"/>
      <c r="O804" s="112"/>
      <c r="P804" s="112"/>
      <c r="Q804" s="118"/>
    </row>
    <row r="805" spans="2:17" s="5" customFormat="1" ht="13">
      <c r="B805" s="84"/>
      <c r="C805" s="84"/>
      <c r="D805" s="85"/>
      <c r="E805" s="85"/>
      <c r="F805" s="85"/>
      <c r="G805" s="85"/>
      <c r="H805" s="85"/>
      <c r="I805" s="85"/>
      <c r="J805" s="85"/>
      <c r="K805" s="85"/>
      <c r="L805" s="109"/>
      <c r="M805" s="110"/>
      <c r="N805" s="111"/>
      <c r="O805" s="112"/>
      <c r="P805" s="112"/>
      <c r="Q805" s="118"/>
    </row>
    <row r="806" spans="2:17" s="5" customFormat="1" ht="13">
      <c r="B806" s="84"/>
      <c r="C806" s="84"/>
      <c r="D806" s="85"/>
      <c r="E806" s="85"/>
      <c r="F806" s="85"/>
      <c r="G806" s="85"/>
      <c r="H806" s="85"/>
      <c r="I806" s="85"/>
      <c r="J806" s="85"/>
      <c r="K806" s="85"/>
      <c r="L806" s="109"/>
      <c r="M806" s="110"/>
      <c r="N806" s="111"/>
      <c r="O806" s="112"/>
      <c r="P806" s="112"/>
      <c r="Q806" s="118"/>
    </row>
    <row r="807" spans="2:17" s="5" customFormat="1" ht="13">
      <c r="B807" s="84"/>
      <c r="C807" s="84"/>
      <c r="D807" s="85"/>
      <c r="E807" s="85"/>
      <c r="F807" s="85"/>
      <c r="G807" s="85"/>
      <c r="H807" s="85"/>
      <c r="I807" s="85"/>
      <c r="J807" s="85"/>
      <c r="K807" s="85"/>
      <c r="L807" s="109"/>
      <c r="M807" s="110"/>
      <c r="N807" s="111"/>
      <c r="O807" s="112"/>
      <c r="P807" s="112"/>
      <c r="Q807" s="118"/>
    </row>
    <row r="808" spans="2:17" s="5" customFormat="1" ht="13">
      <c r="B808" s="84"/>
      <c r="C808" s="84"/>
      <c r="D808" s="85"/>
      <c r="E808" s="85"/>
      <c r="F808" s="85"/>
      <c r="G808" s="85"/>
      <c r="H808" s="85"/>
      <c r="I808" s="85"/>
      <c r="J808" s="85"/>
      <c r="K808" s="85"/>
      <c r="L808" s="109"/>
      <c r="M808" s="110"/>
      <c r="N808" s="111"/>
      <c r="O808" s="112"/>
      <c r="P808" s="112"/>
      <c r="Q808" s="118"/>
    </row>
    <row r="809" spans="2:17" s="5" customFormat="1" ht="13">
      <c r="B809" s="84"/>
      <c r="C809" s="84"/>
      <c r="D809" s="85"/>
      <c r="E809" s="85"/>
      <c r="F809" s="85"/>
      <c r="G809" s="85"/>
      <c r="H809" s="85"/>
      <c r="I809" s="85"/>
      <c r="J809" s="85"/>
      <c r="K809" s="85"/>
      <c r="L809" s="109"/>
      <c r="M809" s="110"/>
      <c r="N809" s="111"/>
      <c r="O809" s="112"/>
      <c r="P809" s="112"/>
      <c r="Q809" s="118"/>
    </row>
    <row r="810" spans="2:17" s="5" customFormat="1" ht="13">
      <c r="B810" s="84"/>
      <c r="C810" s="84"/>
      <c r="D810" s="85"/>
      <c r="E810" s="85"/>
      <c r="F810" s="85"/>
      <c r="G810" s="85"/>
      <c r="H810" s="85"/>
      <c r="I810" s="85"/>
      <c r="J810" s="85"/>
      <c r="K810" s="85"/>
      <c r="L810" s="109"/>
      <c r="M810" s="110"/>
      <c r="N810" s="111"/>
      <c r="O810" s="112"/>
      <c r="P810" s="112"/>
      <c r="Q810" s="118"/>
    </row>
    <row r="811" spans="2:17" s="5" customFormat="1" ht="13">
      <c r="B811" s="84"/>
      <c r="C811" s="84"/>
      <c r="D811" s="85"/>
      <c r="E811" s="85"/>
      <c r="F811" s="85"/>
      <c r="G811" s="85"/>
      <c r="H811" s="85"/>
      <c r="I811" s="85"/>
      <c r="J811" s="85"/>
      <c r="K811" s="85"/>
      <c r="L811" s="109"/>
      <c r="M811" s="110"/>
      <c r="N811" s="111"/>
      <c r="O811" s="112"/>
      <c r="P811" s="112"/>
      <c r="Q811" s="118"/>
    </row>
    <row r="812" spans="2:17" s="5" customFormat="1" ht="13">
      <c r="B812" s="84"/>
      <c r="C812" s="84"/>
      <c r="D812" s="85"/>
      <c r="E812" s="85"/>
      <c r="F812" s="85"/>
      <c r="G812" s="85"/>
      <c r="H812" s="85"/>
      <c r="I812" s="85"/>
      <c r="J812" s="85"/>
      <c r="K812" s="85"/>
      <c r="L812" s="109"/>
      <c r="M812" s="110"/>
      <c r="N812" s="111"/>
      <c r="O812" s="112"/>
      <c r="P812" s="112"/>
      <c r="Q812" s="118"/>
    </row>
    <row r="813" spans="2:17" s="5" customFormat="1" ht="13">
      <c r="B813" s="84"/>
      <c r="C813" s="84"/>
      <c r="D813" s="85"/>
      <c r="E813" s="85"/>
      <c r="F813" s="85"/>
      <c r="G813" s="85"/>
      <c r="H813" s="85"/>
      <c r="I813" s="85"/>
      <c r="J813" s="85"/>
      <c r="K813" s="85"/>
      <c r="L813" s="109"/>
      <c r="M813" s="110"/>
      <c r="N813" s="111"/>
      <c r="O813" s="112"/>
      <c r="P813" s="112"/>
      <c r="Q813" s="118"/>
    </row>
    <row r="814" spans="2:17" s="5" customFormat="1" ht="13">
      <c r="B814" s="84"/>
      <c r="C814" s="84"/>
      <c r="D814" s="85"/>
      <c r="E814" s="85"/>
      <c r="F814" s="85"/>
      <c r="G814" s="85"/>
      <c r="H814" s="85"/>
      <c r="I814" s="85"/>
      <c r="J814" s="85"/>
      <c r="K814" s="85"/>
      <c r="L814" s="109"/>
      <c r="M814" s="110"/>
      <c r="N814" s="111"/>
      <c r="O814" s="112"/>
      <c r="P814" s="112"/>
      <c r="Q814" s="118"/>
    </row>
    <row r="815" spans="2:17" s="5" customFormat="1" ht="13">
      <c r="B815" s="84"/>
      <c r="C815" s="84"/>
      <c r="D815" s="85"/>
      <c r="E815" s="85"/>
      <c r="F815" s="85"/>
      <c r="G815" s="85"/>
      <c r="H815" s="85"/>
      <c r="I815" s="85"/>
      <c r="J815" s="85"/>
      <c r="K815" s="85"/>
      <c r="L815" s="109"/>
      <c r="M815" s="110"/>
      <c r="N815" s="111"/>
      <c r="O815" s="112"/>
      <c r="P815" s="112"/>
      <c r="Q815" s="118"/>
    </row>
    <row r="816" spans="2:17" s="5" customFormat="1" ht="13">
      <c r="B816" s="84"/>
      <c r="C816" s="84"/>
      <c r="D816" s="85"/>
      <c r="E816" s="85"/>
      <c r="F816" s="85"/>
      <c r="G816" s="85"/>
      <c r="H816" s="85"/>
      <c r="I816" s="85"/>
      <c r="J816" s="85"/>
      <c r="K816" s="85"/>
      <c r="L816" s="109"/>
      <c r="M816" s="110"/>
      <c r="N816" s="111"/>
      <c r="O816" s="112"/>
      <c r="P816" s="112"/>
      <c r="Q816" s="118"/>
    </row>
    <row r="817" spans="2:17" s="5" customFormat="1" ht="13">
      <c r="B817" s="84"/>
      <c r="C817" s="84"/>
      <c r="D817" s="85"/>
      <c r="E817" s="85"/>
      <c r="F817" s="85"/>
      <c r="G817" s="85"/>
      <c r="H817" s="85"/>
      <c r="I817" s="85"/>
      <c r="J817" s="85"/>
      <c r="K817" s="85"/>
      <c r="L817" s="109"/>
      <c r="M817" s="110"/>
      <c r="N817" s="111"/>
      <c r="O817" s="112"/>
      <c r="P817" s="112"/>
      <c r="Q817" s="118"/>
    </row>
    <row r="818" spans="2:17" s="5" customFormat="1" ht="13">
      <c r="B818" s="84"/>
      <c r="C818" s="84"/>
      <c r="D818" s="85"/>
      <c r="E818" s="85"/>
      <c r="F818" s="85"/>
      <c r="G818" s="85"/>
      <c r="H818" s="85"/>
      <c r="I818" s="85"/>
      <c r="J818" s="85"/>
      <c r="K818" s="85"/>
      <c r="L818" s="109"/>
      <c r="M818" s="110"/>
      <c r="N818" s="111"/>
      <c r="O818" s="112"/>
      <c r="P818" s="112"/>
      <c r="Q818" s="118"/>
    </row>
    <row r="819" spans="2:17" s="5" customFormat="1" ht="13">
      <c r="B819" s="84"/>
      <c r="C819" s="84"/>
      <c r="D819" s="85"/>
      <c r="E819" s="85"/>
      <c r="F819" s="85"/>
      <c r="G819" s="85"/>
      <c r="H819" s="85"/>
      <c r="I819" s="85"/>
      <c r="J819" s="85"/>
      <c r="K819" s="85"/>
      <c r="L819" s="109"/>
      <c r="M819" s="110"/>
      <c r="N819" s="111"/>
      <c r="O819" s="112"/>
      <c r="P819" s="112"/>
      <c r="Q819" s="118"/>
    </row>
    <row r="820" spans="2:17" s="5" customFormat="1" ht="13">
      <c r="B820" s="84"/>
      <c r="C820" s="84"/>
      <c r="D820" s="85"/>
      <c r="E820" s="85"/>
      <c r="F820" s="85"/>
      <c r="G820" s="85"/>
      <c r="H820" s="85"/>
      <c r="I820" s="85"/>
      <c r="J820" s="85"/>
      <c r="K820" s="85"/>
      <c r="L820" s="109"/>
      <c r="M820" s="110"/>
      <c r="N820" s="111"/>
      <c r="O820" s="112"/>
      <c r="P820" s="112"/>
      <c r="Q820" s="118"/>
    </row>
    <row r="821" spans="2:17" s="5" customFormat="1" ht="13">
      <c r="B821" s="84"/>
      <c r="C821" s="84"/>
      <c r="D821" s="85"/>
      <c r="E821" s="85"/>
      <c r="F821" s="85"/>
      <c r="G821" s="85"/>
      <c r="H821" s="85"/>
      <c r="I821" s="85"/>
      <c r="J821" s="85"/>
      <c r="K821" s="85"/>
      <c r="L821" s="109"/>
      <c r="M821" s="110"/>
      <c r="N821" s="111"/>
      <c r="O821" s="112"/>
      <c r="P821" s="112"/>
      <c r="Q821" s="118"/>
    </row>
    <row r="822" spans="2:17" s="5" customFormat="1" ht="13">
      <c r="B822" s="84"/>
      <c r="C822" s="84"/>
      <c r="D822" s="85"/>
      <c r="E822" s="85"/>
      <c r="F822" s="85"/>
      <c r="G822" s="85"/>
      <c r="H822" s="85"/>
      <c r="I822" s="85"/>
      <c r="J822" s="85"/>
      <c r="K822" s="85"/>
      <c r="L822" s="109"/>
      <c r="M822" s="110"/>
      <c r="N822" s="111"/>
      <c r="O822" s="112"/>
      <c r="P822" s="112"/>
      <c r="Q822" s="118"/>
    </row>
    <row r="823" spans="2:17" s="5" customFormat="1" ht="13">
      <c r="B823" s="84"/>
      <c r="C823" s="84"/>
      <c r="D823" s="85"/>
      <c r="E823" s="85"/>
      <c r="F823" s="85"/>
      <c r="G823" s="85"/>
      <c r="H823" s="85"/>
      <c r="I823" s="85"/>
      <c r="J823" s="85"/>
      <c r="K823" s="85"/>
      <c r="L823" s="109"/>
      <c r="M823" s="110"/>
      <c r="N823" s="111"/>
      <c r="O823" s="112"/>
      <c r="P823" s="112"/>
      <c r="Q823" s="118"/>
    </row>
    <row r="824" spans="2:17" s="5" customFormat="1" ht="13">
      <c r="B824" s="84"/>
      <c r="C824" s="84"/>
      <c r="D824" s="85"/>
      <c r="E824" s="85"/>
      <c r="F824" s="85"/>
      <c r="G824" s="85"/>
      <c r="H824" s="85"/>
      <c r="I824" s="85"/>
      <c r="J824" s="85"/>
      <c r="K824" s="85"/>
      <c r="L824" s="109"/>
      <c r="M824" s="110"/>
      <c r="N824" s="111"/>
      <c r="O824" s="112"/>
      <c r="P824" s="112"/>
      <c r="Q824" s="118"/>
    </row>
    <row r="825" spans="2:17" s="5" customFormat="1" ht="13">
      <c r="B825" s="84"/>
      <c r="C825" s="84"/>
      <c r="D825" s="85"/>
      <c r="E825" s="85"/>
      <c r="F825" s="85"/>
      <c r="G825" s="85"/>
      <c r="H825" s="85"/>
      <c r="I825" s="85"/>
      <c r="J825" s="85"/>
      <c r="K825" s="85"/>
      <c r="L825" s="109"/>
      <c r="M825" s="110"/>
      <c r="N825" s="111"/>
      <c r="O825" s="112"/>
      <c r="P825" s="112"/>
      <c r="Q825" s="118"/>
    </row>
    <row r="826" spans="2:17" s="5" customFormat="1" ht="13">
      <c r="B826" s="84"/>
      <c r="C826" s="84"/>
      <c r="D826" s="85"/>
      <c r="E826" s="85"/>
      <c r="F826" s="85"/>
      <c r="G826" s="85"/>
      <c r="H826" s="85"/>
      <c r="I826" s="85"/>
      <c r="J826" s="85"/>
      <c r="K826" s="85"/>
      <c r="L826" s="109"/>
      <c r="M826" s="110"/>
      <c r="N826" s="111"/>
      <c r="O826" s="112"/>
      <c r="P826" s="112"/>
      <c r="Q826" s="118"/>
    </row>
    <row r="827" spans="2:17" s="5" customFormat="1" ht="13">
      <c r="B827" s="84"/>
      <c r="C827" s="84"/>
      <c r="D827" s="85"/>
      <c r="E827" s="85"/>
      <c r="F827" s="85"/>
      <c r="G827" s="85"/>
      <c r="H827" s="85"/>
      <c r="I827" s="85"/>
      <c r="J827" s="85"/>
      <c r="K827" s="85"/>
      <c r="L827" s="109"/>
      <c r="M827" s="110"/>
      <c r="N827" s="111"/>
      <c r="O827" s="112"/>
      <c r="P827" s="112"/>
      <c r="Q827" s="118"/>
    </row>
    <row r="828" spans="2:17" s="5" customFormat="1" ht="13">
      <c r="B828" s="84"/>
      <c r="C828" s="84"/>
      <c r="D828" s="85"/>
      <c r="E828" s="85"/>
      <c r="F828" s="85"/>
      <c r="G828" s="85"/>
      <c r="H828" s="85"/>
      <c r="I828" s="85"/>
      <c r="J828" s="85"/>
      <c r="K828" s="85"/>
      <c r="L828" s="109"/>
      <c r="M828" s="110"/>
      <c r="N828" s="111"/>
      <c r="O828" s="112"/>
      <c r="P828" s="112"/>
      <c r="Q828" s="118"/>
    </row>
    <row r="829" spans="2:17" s="5" customFormat="1" ht="13">
      <c r="B829" s="84"/>
      <c r="C829" s="84"/>
      <c r="D829" s="85"/>
      <c r="E829" s="85"/>
      <c r="F829" s="85"/>
      <c r="G829" s="85"/>
      <c r="H829" s="85"/>
      <c r="I829" s="85"/>
      <c r="J829" s="85"/>
      <c r="K829" s="85"/>
      <c r="L829" s="109"/>
      <c r="M829" s="110"/>
      <c r="N829" s="111"/>
      <c r="O829" s="112"/>
      <c r="P829" s="112"/>
      <c r="Q829" s="118"/>
    </row>
    <row r="830" spans="2:17" s="5" customFormat="1" ht="13">
      <c r="B830" s="84"/>
      <c r="C830" s="84"/>
      <c r="D830" s="85"/>
      <c r="E830" s="85"/>
      <c r="F830" s="85"/>
      <c r="G830" s="85"/>
      <c r="H830" s="85"/>
      <c r="I830" s="85"/>
      <c r="J830" s="85"/>
      <c r="K830" s="85"/>
      <c r="L830" s="109"/>
      <c r="M830" s="110"/>
      <c r="N830" s="111"/>
      <c r="O830" s="112"/>
      <c r="P830" s="112"/>
      <c r="Q830" s="118"/>
    </row>
    <row r="831" spans="2:17" s="5" customFormat="1" ht="13">
      <c r="B831" s="84"/>
      <c r="C831" s="84"/>
      <c r="D831" s="85"/>
      <c r="E831" s="85"/>
      <c r="F831" s="85"/>
      <c r="G831" s="85"/>
      <c r="H831" s="85"/>
      <c r="I831" s="85"/>
      <c r="J831" s="85"/>
      <c r="K831" s="85"/>
      <c r="L831" s="109"/>
      <c r="M831" s="110"/>
      <c r="N831" s="111"/>
      <c r="O831" s="112"/>
      <c r="P831" s="112"/>
      <c r="Q831" s="118"/>
    </row>
    <row r="832" spans="2:17" s="5" customFormat="1" ht="13">
      <c r="B832" s="84"/>
      <c r="C832" s="84"/>
      <c r="D832" s="85"/>
      <c r="E832" s="85"/>
      <c r="F832" s="85"/>
      <c r="G832" s="85"/>
      <c r="H832" s="85"/>
      <c r="I832" s="85"/>
      <c r="J832" s="85"/>
      <c r="K832" s="85"/>
      <c r="L832" s="109"/>
      <c r="M832" s="110"/>
      <c r="N832" s="111"/>
      <c r="O832" s="112"/>
      <c r="P832" s="112"/>
      <c r="Q832" s="118"/>
    </row>
    <row r="833" spans="2:17" s="5" customFormat="1" ht="13">
      <c r="B833" s="84"/>
      <c r="C833" s="84"/>
      <c r="D833" s="85"/>
      <c r="E833" s="85"/>
      <c r="F833" s="85"/>
      <c r="G833" s="85"/>
      <c r="H833" s="85"/>
      <c r="I833" s="85"/>
      <c r="J833" s="85"/>
      <c r="K833" s="85"/>
      <c r="L833" s="109"/>
      <c r="M833" s="110"/>
      <c r="N833" s="111"/>
      <c r="O833" s="112"/>
      <c r="P833" s="112"/>
      <c r="Q833" s="118"/>
    </row>
    <row r="834" spans="2:17" s="5" customFormat="1" ht="13">
      <c r="B834" s="84"/>
      <c r="C834" s="84"/>
      <c r="D834" s="85"/>
      <c r="E834" s="85"/>
      <c r="F834" s="85"/>
      <c r="G834" s="85"/>
      <c r="H834" s="85"/>
      <c r="I834" s="85"/>
      <c r="J834" s="85"/>
      <c r="K834" s="85"/>
      <c r="L834" s="109"/>
      <c r="M834" s="110"/>
      <c r="N834" s="111"/>
      <c r="O834" s="112"/>
      <c r="P834" s="112"/>
      <c r="Q834" s="118"/>
    </row>
    <row r="835" spans="2:17" s="5" customFormat="1" ht="13">
      <c r="B835" s="84"/>
      <c r="C835" s="84"/>
      <c r="D835" s="85"/>
      <c r="E835" s="85"/>
      <c r="F835" s="85"/>
      <c r="G835" s="85"/>
      <c r="H835" s="85"/>
      <c r="I835" s="85"/>
      <c r="J835" s="85"/>
      <c r="K835" s="85"/>
      <c r="L835" s="109"/>
      <c r="M835" s="110"/>
      <c r="N835" s="111"/>
      <c r="O835" s="112"/>
      <c r="P835" s="112"/>
      <c r="Q835" s="118"/>
    </row>
    <row r="836" spans="2:17" s="5" customFormat="1" ht="13">
      <c r="B836" s="84"/>
      <c r="C836" s="84"/>
      <c r="D836" s="85"/>
      <c r="E836" s="85"/>
      <c r="F836" s="85"/>
      <c r="G836" s="85"/>
      <c r="H836" s="85"/>
      <c r="I836" s="85"/>
      <c r="J836" s="85"/>
      <c r="K836" s="85"/>
      <c r="L836" s="109"/>
      <c r="M836" s="110"/>
      <c r="N836" s="111"/>
      <c r="O836" s="112"/>
      <c r="P836" s="112"/>
      <c r="Q836" s="118"/>
    </row>
    <row r="837" spans="2:17" s="5" customFormat="1" ht="13">
      <c r="B837" s="84"/>
      <c r="C837" s="84"/>
      <c r="D837" s="85"/>
      <c r="E837" s="85"/>
      <c r="F837" s="85"/>
      <c r="G837" s="85"/>
      <c r="H837" s="85"/>
      <c r="I837" s="85"/>
      <c r="J837" s="85"/>
      <c r="K837" s="85"/>
      <c r="L837" s="109"/>
      <c r="M837" s="110"/>
      <c r="N837" s="111"/>
      <c r="O837" s="112"/>
      <c r="P837" s="112"/>
      <c r="Q837" s="118"/>
    </row>
    <row r="838" spans="2:17" s="5" customFormat="1" ht="13">
      <c r="B838" s="84"/>
      <c r="C838" s="84"/>
      <c r="D838" s="85"/>
      <c r="E838" s="85"/>
      <c r="F838" s="85"/>
      <c r="G838" s="85"/>
      <c r="H838" s="85"/>
      <c r="I838" s="85"/>
      <c r="J838" s="85"/>
      <c r="K838" s="85"/>
      <c r="L838" s="109"/>
      <c r="M838" s="110"/>
      <c r="N838" s="111"/>
      <c r="O838" s="112"/>
      <c r="P838" s="112"/>
      <c r="Q838" s="118"/>
    </row>
    <row r="839" spans="2:17" s="5" customFormat="1" ht="13">
      <c r="B839" s="84"/>
      <c r="C839" s="84"/>
      <c r="D839" s="85"/>
      <c r="E839" s="85"/>
      <c r="F839" s="85"/>
      <c r="G839" s="85"/>
      <c r="H839" s="85"/>
      <c r="I839" s="85"/>
      <c r="J839" s="85"/>
      <c r="K839" s="85"/>
      <c r="L839" s="109"/>
      <c r="M839" s="110"/>
      <c r="N839" s="111"/>
      <c r="O839" s="112"/>
      <c r="P839" s="112"/>
      <c r="Q839" s="118"/>
    </row>
    <row r="840" spans="2:17" s="5" customFormat="1" ht="13">
      <c r="B840" s="84"/>
      <c r="C840" s="84"/>
      <c r="D840" s="85"/>
      <c r="E840" s="85"/>
      <c r="F840" s="85"/>
      <c r="G840" s="85"/>
      <c r="H840" s="85"/>
      <c r="I840" s="85"/>
      <c r="J840" s="85"/>
      <c r="K840" s="85"/>
      <c r="L840" s="109"/>
      <c r="M840" s="110"/>
      <c r="N840" s="111"/>
      <c r="O840" s="112"/>
      <c r="P840" s="112"/>
      <c r="Q840" s="118"/>
    </row>
    <row r="841" spans="2:17" s="5" customFormat="1" ht="13">
      <c r="B841" s="84"/>
      <c r="C841" s="84"/>
      <c r="D841" s="85"/>
      <c r="E841" s="85"/>
      <c r="F841" s="85"/>
      <c r="G841" s="85"/>
      <c r="H841" s="85"/>
      <c r="I841" s="85"/>
      <c r="J841" s="85"/>
      <c r="K841" s="85"/>
      <c r="L841" s="109"/>
      <c r="M841" s="110"/>
      <c r="N841" s="111"/>
      <c r="O841" s="112"/>
      <c r="P841" s="112"/>
      <c r="Q841" s="118"/>
    </row>
    <row r="842" spans="2:17" s="5" customFormat="1" ht="13">
      <c r="B842" s="84"/>
      <c r="C842" s="84"/>
      <c r="D842" s="85"/>
      <c r="E842" s="85"/>
      <c r="F842" s="85"/>
      <c r="G842" s="85"/>
      <c r="H842" s="85"/>
      <c r="I842" s="85"/>
      <c r="J842" s="85"/>
      <c r="K842" s="85"/>
      <c r="L842" s="109"/>
      <c r="M842" s="110"/>
      <c r="N842" s="111"/>
      <c r="O842" s="112"/>
      <c r="P842" s="112"/>
      <c r="Q842" s="118"/>
    </row>
    <row r="843" spans="2:17" s="5" customFormat="1" ht="13">
      <c r="B843" s="84"/>
      <c r="C843" s="84"/>
      <c r="D843" s="85"/>
      <c r="E843" s="85"/>
      <c r="F843" s="85"/>
      <c r="G843" s="85"/>
      <c r="H843" s="85"/>
      <c r="I843" s="85"/>
      <c r="J843" s="85"/>
      <c r="K843" s="85"/>
      <c r="L843" s="109"/>
      <c r="M843" s="110"/>
      <c r="N843" s="111"/>
      <c r="O843" s="112"/>
      <c r="P843" s="112"/>
      <c r="Q843" s="118"/>
    </row>
    <row r="844" spans="2:17" s="5" customFormat="1" ht="13">
      <c r="B844" s="84"/>
      <c r="C844" s="84"/>
      <c r="D844" s="85"/>
      <c r="E844" s="85"/>
      <c r="F844" s="85"/>
      <c r="G844" s="85"/>
      <c r="H844" s="85"/>
      <c r="I844" s="85"/>
      <c r="J844" s="85"/>
      <c r="K844" s="85"/>
      <c r="L844" s="109"/>
      <c r="M844" s="110"/>
      <c r="N844" s="111"/>
      <c r="O844" s="112"/>
      <c r="P844" s="112"/>
      <c r="Q844" s="118"/>
    </row>
    <row r="845" spans="2:17" s="5" customFormat="1" ht="13">
      <c r="B845" s="84"/>
      <c r="C845" s="84"/>
      <c r="D845" s="85"/>
      <c r="E845" s="85"/>
      <c r="F845" s="85"/>
      <c r="G845" s="85"/>
      <c r="H845" s="85"/>
      <c r="I845" s="85"/>
      <c r="J845" s="85"/>
      <c r="K845" s="85"/>
      <c r="L845" s="109"/>
      <c r="M845" s="110"/>
      <c r="N845" s="111"/>
      <c r="O845" s="112"/>
      <c r="P845" s="112"/>
      <c r="Q845" s="118"/>
    </row>
    <row r="846" spans="2:17" s="5" customFormat="1" ht="13">
      <c r="B846" s="84"/>
      <c r="C846" s="84"/>
      <c r="D846" s="85"/>
      <c r="E846" s="85"/>
      <c r="F846" s="85"/>
      <c r="G846" s="85"/>
      <c r="H846" s="85"/>
      <c r="I846" s="85"/>
      <c r="J846" s="85"/>
      <c r="K846" s="85"/>
      <c r="L846" s="109"/>
      <c r="M846" s="110"/>
      <c r="N846" s="111"/>
      <c r="O846" s="112"/>
      <c r="P846" s="112"/>
      <c r="Q846" s="118"/>
    </row>
    <row r="847" spans="2:17" s="5" customFormat="1" ht="13">
      <c r="B847" s="84"/>
      <c r="C847" s="84"/>
      <c r="D847" s="85"/>
      <c r="E847" s="85"/>
      <c r="F847" s="85"/>
      <c r="G847" s="85"/>
      <c r="H847" s="85"/>
      <c r="I847" s="85"/>
      <c r="J847" s="85"/>
      <c r="K847" s="85"/>
      <c r="L847" s="109"/>
      <c r="M847" s="110"/>
      <c r="N847" s="111"/>
      <c r="O847" s="112"/>
      <c r="P847" s="112"/>
      <c r="Q847" s="118"/>
    </row>
    <row r="848" spans="2:17" s="5" customFormat="1" ht="13">
      <c r="B848" s="84"/>
      <c r="C848" s="84"/>
      <c r="D848" s="85"/>
      <c r="E848" s="85"/>
      <c r="F848" s="85"/>
      <c r="G848" s="85"/>
      <c r="H848" s="85"/>
      <c r="I848" s="85"/>
      <c r="J848" s="85"/>
      <c r="K848" s="85"/>
      <c r="L848" s="109"/>
      <c r="M848" s="110"/>
      <c r="N848" s="111"/>
      <c r="O848" s="112"/>
      <c r="P848" s="112"/>
      <c r="Q848" s="118"/>
    </row>
    <row r="849" spans="2:17" s="5" customFormat="1" ht="13">
      <c r="B849" s="84"/>
      <c r="C849" s="84"/>
      <c r="D849" s="85"/>
      <c r="E849" s="85"/>
      <c r="F849" s="85"/>
      <c r="G849" s="85"/>
      <c r="H849" s="85"/>
      <c r="I849" s="85"/>
      <c r="J849" s="85"/>
      <c r="K849" s="85"/>
      <c r="L849" s="109"/>
      <c r="M849" s="110"/>
      <c r="N849" s="111"/>
      <c r="O849" s="112"/>
      <c r="P849" s="112"/>
      <c r="Q849" s="118"/>
    </row>
    <row r="850" spans="2:17" s="5" customFormat="1" ht="13">
      <c r="B850" s="84"/>
      <c r="C850" s="84"/>
      <c r="D850" s="85"/>
      <c r="E850" s="85"/>
      <c r="F850" s="85"/>
      <c r="G850" s="85"/>
      <c r="H850" s="85"/>
      <c r="I850" s="85"/>
      <c r="J850" s="85"/>
      <c r="K850" s="85"/>
      <c r="L850" s="109"/>
      <c r="M850" s="110"/>
      <c r="N850" s="111"/>
      <c r="O850" s="112"/>
      <c r="P850" s="112"/>
      <c r="Q850" s="118"/>
    </row>
    <row r="851" spans="2:17" s="5" customFormat="1" ht="13">
      <c r="B851" s="84"/>
      <c r="C851" s="84"/>
      <c r="D851" s="85"/>
      <c r="E851" s="85"/>
      <c r="F851" s="85"/>
      <c r="G851" s="85"/>
      <c r="H851" s="85"/>
      <c r="I851" s="85"/>
      <c r="J851" s="85"/>
      <c r="K851" s="85"/>
      <c r="L851" s="109"/>
      <c r="M851" s="110"/>
      <c r="N851" s="111"/>
      <c r="O851" s="112"/>
      <c r="P851" s="112"/>
      <c r="Q851" s="118"/>
    </row>
    <row r="852" spans="2:17" s="5" customFormat="1" ht="13">
      <c r="B852" s="84"/>
      <c r="C852" s="84"/>
      <c r="D852" s="85"/>
      <c r="E852" s="85"/>
      <c r="F852" s="85"/>
      <c r="G852" s="85"/>
      <c r="H852" s="85"/>
      <c r="I852" s="85"/>
      <c r="J852" s="85"/>
      <c r="K852" s="85"/>
      <c r="L852" s="109"/>
      <c r="M852" s="110"/>
      <c r="N852" s="111"/>
      <c r="O852" s="112"/>
      <c r="P852" s="112"/>
      <c r="Q852" s="118"/>
    </row>
    <row r="853" spans="2:17" s="5" customFormat="1" ht="13">
      <c r="B853" s="84"/>
      <c r="C853" s="84"/>
      <c r="D853" s="85"/>
      <c r="E853" s="85"/>
      <c r="F853" s="85"/>
      <c r="G853" s="85"/>
      <c r="H853" s="85"/>
      <c r="I853" s="85"/>
      <c r="J853" s="85"/>
      <c r="K853" s="85"/>
      <c r="L853" s="109"/>
      <c r="M853" s="110"/>
      <c r="N853" s="111"/>
      <c r="O853" s="112"/>
      <c r="P853" s="112"/>
      <c r="Q853" s="118"/>
    </row>
    <row r="854" spans="2:17" s="5" customFormat="1" ht="13">
      <c r="B854" s="84"/>
      <c r="C854" s="84"/>
      <c r="D854" s="85"/>
      <c r="E854" s="85"/>
      <c r="F854" s="85"/>
      <c r="G854" s="85"/>
      <c r="H854" s="85"/>
      <c r="I854" s="85"/>
      <c r="J854" s="85"/>
      <c r="K854" s="85"/>
      <c r="L854" s="109"/>
      <c r="M854" s="110"/>
      <c r="N854" s="111"/>
      <c r="O854" s="112"/>
      <c r="P854" s="112"/>
      <c r="Q854" s="118"/>
    </row>
    <row r="855" spans="2:17" s="5" customFormat="1" ht="13">
      <c r="B855" s="84"/>
      <c r="C855" s="84"/>
      <c r="D855" s="85"/>
      <c r="E855" s="85"/>
      <c r="F855" s="85"/>
      <c r="G855" s="85"/>
      <c r="H855" s="85"/>
      <c r="I855" s="85"/>
      <c r="J855" s="85"/>
      <c r="K855" s="85"/>
      <c r="L855" s="109"/>
      <c r="M855" s="110"/>
      <c r="N855" s="111"/>
      <c r="O855" s="112"/>
      <c r="P855" s="112"/>
      <c r="Q855" s="118"/>
    </row>
    <row r="856" spans="2:17" s="5" customFormat="1" ht="13">
      <c r="B856" s="84"/>
      <c r="C856" s="84"/>
      <c r="D856" s="85"/>
      <c r="E856" s="85"/>
      <c r="F856" s="85"/>
      <c r="G856" s="85"/>
      <c r="H856" s="85"/>
      <c r="I856" s="85"/>
      <c r="J856" s="85"/>
      <c r="K856" s="85"/>
      <c r="L856" s="109"/>
      <c r="M856" s="110"/>
      <c r="N856" s="111"/>
      <c r="O856" s="112"/>
      <c r="P856" s="112"/>
      <c r="Q856" s="118"/>
    </row>
    <row r="857" spans="2:17" s="5" customFormat="1" ht="13">
      <c r="B857" s="84"/>
      <c r="C857" s="84"/>
      <c r="D857" s="85"/>
      <c r="E857" s="85"/>
      <c r="F857" s="85"/>
      <c r="G857" s="85"/>
      <c r="H857" s="85"/>
      <c r="I857" s="85"/>
      <c r="J857" s="85"/>
      <c r="K857" s="85"/>
      <c r="L857" s="109"/>
      <c r="M857" s="110"/>
      <c r="N857" s="111"/>
      <c r="O857" s="112"/>
      <c r="P857" s="112"/>
      <c r="Q857" s="118"/>
    </row>
    <row r="858" spans="2:17" s="5" customFormat="1" ht="13">
      <c r="B858" s="84"/>
      <c r="C858" s="84"/>
      <c r="D858" s="85"/>
      <c r="E858" s="85"/>
      <c r="F858" s="85"/>
      <c r="G858" s="85"/>
      <c r="H858" s="85"/>
      <c r="I858" s="85"/>
      <c r="J858" s="85"/>
      <c r="K858" s="85"/>
      <c r="L858" s="109"/>
      <c r="M858" s="110"/>
      <c r="N858" s="111"/>
      <c r="O858" s="112"/>
      <c r="P858" s="112"/>
      <c r="Q858" s="118"/>
    </row>
    <row r="859" spans="2:17" s="5" customFormat="1" ht="13">
      <c r="B859" s="84"/>
      <c r="C859" s="84"/>
      <c r="D859" s="85"/>
      <c r="E859" s="85"/>
      <c r="F859" s="85"/>
      <c r="G859" s="85"/>
      <c r="H859" s="85"/>
      <c r="I859" s="85"/>
      <c r="J859" s="85"/>
      <c r="K859" s="85"/>
      <c r="L859" s="109"/>
      <c r="M859" s="110"/>
      <c r="N859" s="111"/>
      <c r="O859" s="112"/>
      <c r="P859" s="112"/>
      <c r="Q859" s="118"/>
    </row>
    <row r="860" spans="2:17" s="5" customFormat="1" ht="13">
      <c r="B860" s="84"/>
      <c r="C860" s="84"/>
      <c r="D860" s="85"/>
      <c r="E860" s="85"/>
      <c r="F860" s="85"/>
      <c r="G860" s="85"/>
      <c r="H860" s="85"/>
      <c r="I860" s="85"/>
      <c r="J860" s="85"/>
      <c r="K860" s="85"/>
      <c r="L860" s="109"/>
      <c r="M860" s="110"/>
      <c r="N860" s="111"/>
      <c r="O860" s="112"/>
      <c r="P860" s="112"/>
      <c r="Q860" s="118"/>
    </row>
    <row r="861" spans="2:17" s="5" customFormat="1" ht="13">
      <c r="B861" s="84"/>
      <c r="C861" s="84"/>
      <c r="D861" s="85"/>
      <c r="E861" s="85"/>
      <c r="F861" s="85"/>
      <c r="G861" s="85"/>
      <c r="H861" s="85"/>
      <c r="I861" s="85"/>
      <c r="J861" s="85"/>
      <c r="K861" s="85"/>
      <c r="L861" s="109"/>
      <c r="M861" s="110"/>
      <c r="N861" s="111"/>
      <c r="O861" s="112"/>
      <c r="P861" s="112"/>
      <c r="Q861" s="118"/>
    </row>
    <row r="862" spans="2:17" s="5" customFormat="1" ht="13">
      <c r="B862" s="84"/>
      <c r="C862" s="84"/>
      <c r="D862" s="85"/>
      <c r="E862" s="85"/>
      <c r="F862" s="85"/>
      <c r="G862" s="85"/>
      <c r="H862" s="85"/>
      <c r="I862" s="85"/>
      <c r="J862" s="85"/>
      <c r="K862" s="85"/>
      <c r="L862" s="109"/>
      <c r="M862" s="110"/>
      <c r="N862" s="111"/>
      <c r="O862" s="112"/>
      <c r="P862" s="112"/>
      <c r="Q862" s="118"/>
    </row>
    <row r="863" spans="2:17" s="5" customFormat="1" ht="13">
      <c r="B863" s="84"/>
      <c r="C863" s="84"/>
      <c r="D863" s="85"/>
      <c r="E863" s="85"/>
      <c r="F863" s="85"/>
      <c r="G863" s="85"/>
      <c r="H863" s="85"/>
      <c r="I863" s="85"/>
      <c r="J863" s="85"/>
      <c r="K863" s="85"/>
      <c r="L863" s="109"/>
      <c r="M863" s="110"/>
      <c r="N863" s="111"/>
      <c r="O863" s="112"/>
      <c r="P863" s="112"/>
      <c r="Q863" s="118"/>
    </row>
    <row r="864" spans="2:17" s="5" customFormat="1" ht="13">
      <c r="B864" s="84"/>
      <c r="C864" s="84"/>
      <c r="D864" s="85"/>
      <c r="E864" s="85"/>
      <c r="F864" s="85"/>
      <c r="G864" s="85"/>
      <c r="H864" s="85"/>
      <c r="I864" s="85"/>
      <c r="J864" s="85"/>
      <c r="K864" s="85"/>
      <c r="L864" s="109"/>
      <c r="M864" s="110"/>
      <c r="N864" s="111"/>
      <c r="O864" s="112"/>
      <c r="P864" s="112"/>
      <c r="Q864" s="118"/>
    </row>
    <row r="865" spans="2:17" s="5" customFormat="1" ht="13">
      <c r="B865" s="84"/>
      <c r="C865" s="84"/>
      <c r="D865" s="85"/>
      <c r="E865" s="85"/>
      <c r="F865" s="85"/>
      <c r="G865" s="85"/>
      <c r="H865" s="85"/>
      <c r="I865" s="85"/>
      <c r="J865" s="85"/>
      <c r="K865" s="85"/>
      <c r="L865" s="109"/>
      <c r="M865" s="110"/>
      <c r="N865" s="111"/>
      <c r="O865" s="112"/>
      <c r="P865" s="112"/>
      <c r="Q865" s="118"/>
    </row>
    <row r="866" spans="2:17" s="5" customFormat="1" ht="13">
      <c r="B866" s="84"/>
      <c r="C866" s="84"/>
      <c r="D866" s="85"/>
      <c r="E866" s="85"/>
      <c r="F866" s="85"/>
      <c r="G866" s="85"/>
      <c r="H866" s="85"/>
      <c r="I866" s="85"/>
      <c r="J866" s="85"/>
      <c r="K866" s="85"/>
      <c r="L866" s="109"/>
      <c r="M866" s="110"/>
      <c r="N866" s="111"/>
      <c r="O866" s="112"/>
      <c r="P866" s="112"/>
      <c r="Q866" s="118"/>
    </row>
    <row r="867" spans="2:17" s="5" customFormat="1" ht="13">
      <c r="B867" s="84"/>
      <c r="C867" s="84"/>
      <c r="D867" s="85"/>
      <c r="E867" s="85"/>
      <c r="F867" s="85"/>
      <c r="G867" s="85"/>
      <c r="H867" s="85"/>
      <c r="I867" s="85"/>
      <c r="J867" s="85"/>
      <c r="K867" s="85"/>
      <c r="L867" s="109"/>
      <c r="M867" s="110"/>
      <c r="N867" s="111"/>
      <c r="O867" s="112"/>
      <c r="P867" s="112"/>
      <c r="Q867" s="118"/>
    </row>
    <row r="868" spans="2:17" s="5" customFormat="1" ht="13">
      <c r="B868" s="84"/>
      <c r="C868" s="84"/>
      <c r="D868" s="85"/>
      <c r="E868" s="85"/>
      <c r="F868" s="85"/>
      <c r="G868" s="85"/>
      <c r="H868" s="85"/>
      <c r="I868" s="85"/>
      <c r="J868" s="85"/>
      <c r="K868" s="85"/>
      <c r="L868" s="109"/>
      <c r="M868" s="110"/>
      <c r="N868" s="111"/>
      <c r="O868" s="112"/>
      <c r="P868" s="112"/>
      <c r="Q868" s="118"/>
    </row>
    <row r="869" spans="2:17" s="5" customFormat="1" ht="13">
      <c r="B869" s="84"/>
      <c r="C869" s="84"/>
      <c r="D869" s="85"/>
      <c r="E869" s="85"/>
      <c r="F869" s="85"/>
      <c r="G869" s="85"/>
      <c r="H869" s="85"/>
      <c r="I869" s="85"/>
      <c r="J869" s="85"/>
      <c r="K869" s="85"/>
      <c r="L869" s="109"/>
      <c r="M869" s="110"/>
      <c r="N869" s="111"/>
      <c r="O869" s="112"/>
      <c r="P869" s="112"/>
      <c r="Q869" s="118"/>
    </row>
    <row r="870" spans="2:17" s="5" customFormat="1" ht="13">
      <c r="B870" s="84"/>
      <c r="C870" s="84"/>
      <c r="D870" s="85"/>
      <c r="E870" s="85"/>
      <c r="F870" s="85"/>
      <c r="G870" s="85"/>
      <c r="H870" s="85"/>
      <c r="I870" s="85"/>
      <c r="J870" s="85"/>
      <c r="K870" s="85"/>
      <c r="L870" s="109"/>
      <c r="M870" s="110"/>
      <c r="N870" s="111"/>
      <c r="O870" s="112"/>
      <c r="P870" s="112"/>
      <c r="Q870" s="118"/>
    </row>
    <row r="871" spans="2:17" s="5" customFormat="1" ht="13">
      <c r="B871" s="84"/>
      <c r="C871" s="84"/>
      <c r="D871" s="85"/>
      <c r="E871" s="85"/>
      <c r="F871" s="85"/>
      <c r="G871" s="85"/>
      <c r="H871" s="85"/>
      <c r="I871" s="85"/>
      <c r="J871" s="85"/>
      <c r="K871" s="85"/>
      <c r="L871" s="109"/>
      <c r="M871" s="110"/>
      <c r="N871" s="111"/>
      <c r="O871" s="112"/>
      <c r="P871" s="112"/>
      <c r="Q871" s="118"/>
    </row>
    <row r="872" spans="2:17" s="5" customFormat="1" ht="13">
      <c r="B872" s="84"/>
      <c r="C872" s="84"/>
      <c r="D872" s="85"/>
      <c r="E872" s="85"/>
      <c r="F872" s="85"/>
      <c r="G872" s="85"/>
      <c r="H872" s="85"/>
      <c r="I872" s="85"/>
      <c r="J872" s="85"/>
      <c r="K872" s="85"/>
      <c r="L872" s="109"/>
      <c r="M872" s="110"/>
      <c r="N872" s="111"/>
      <c r="O872" s="112"/>
      <c r="P872" s="112"/>
      <c r="Q872" s="118"/>
    </row>
    <row r="873" spans="2:17" s="5" customFormat="1" ht="13">
      <c r="B873" s="84"/>
      <c r="C873" s="84"/>
      <c r="D873" s="85"/>
      <c r="E873" s="85"/>
      <c r="F873" s="85"/>
      <c r="G873" s="85"/>
      <c r="H873" s="85"/>
      <c r="I873" s="85"/>
      <c r="J873" s="85"/>
      <c r="K873" s="85"/>
      <c r="L873" s="109"/>
      <c r="M873" s="110"/>
      <c r="N873" s="111"/>
      <c r="O873" s="112"/>
      <c r="P873" s="112"/>
      <c r="Q873" s="118"/>
    </row>
    <row r="874" spans="2:17" s="5" customFormat="1" ht="13">
      <c r="B874" s="84"/>
      <c r="C874" s="84"/>
      <c r="D874" s="85"/>
      <c r="E874" s="85"/>
      <c r="F874" s="85"/>
      <c r="G874" s="85"/>
      <c r="H874" s="85"/>
      <c r="I874" s="85"/>
      <c r="J874" s="85"/>
      <c r="K874" s="85"/>
      <c r="L874" s="109"/>
      <c r="M874" s="110"/>
      <c r="N874" s="111"/>
      <c r="O874" s="112"/>
      <c r="P874" s="112"/>
      <c r="Q874" s="118"/>
    </row>
    <row r="875" spans="2:17" s="5" customFormat="1" ht="13">
      <c r="B875" s="84"/>
      <c r="C875" s="84"/>
      <c r="D875" s="85"/>
      <c r="E875" s="85"/>
      <c r="F875" s="85"/>
      <c r="G875" s="85"/>
      <c r="H875" s="85"/>
      <c r="I875" s="85"/>
      <c r="J875" s="85"/>
      <c r="K875" s="85"/>
      <c r="L875" s="109"/>
      <c r="M875" s="110"/>
      <c r="N875" s="111"/>
      <c r="O875" s="112"/>
      <c r="P875" s="112"/>
      <c r="Q875" s="118"/>
    </row>
    <row r="876" spans="2:17" s="5" customFormat="1" ht="13">
      <c r="B876" s="84"/>
      <c r="C876" s="84"/>
      <c r="D876" s="85"/>
      <c r="E876" s="85"/>
      <c r="F876" s="85"/>
      <c r="G876" s="85"/>
      <c r="H876" s="85"/>
      <c r="I876" s="85"/>
      <c r="J876" s="85"/>
      <c r="K876" s="85"/>
      <c r="L876" s="109"/>
      <c r="M876" s="110"/>
      <c r="N876" s="111"/>
      <c r="O876" s="112"/>
      <c r="P876" s="112"/>
      <c r="Q876" s="118"/>
    </row>
    <row r="877" spans="2:17" s="5" customFormat="1" ht="13">
      <c r="B877" s="84"/>
      <c r="C877" s="84"/>
      <c r="D877" s="85"/>
      <c r="E877" s="85"/>
      <c r="F877" s="85"/>
      <c r="G877" s="85"/>
      <c r="H877" s="85"/>
      <c r="I877" s="85"/>
      <c r="J877" s="85"/>
      <c r="K877" s="85"/>
      <c r="L877" s="109"/>
      <c r="M877" s="110"/>
      <c r="N877" s="111"/>
      <c r="O877" s="112"/>
      <c r="P877" s="112"/>
      <c r="Q877" s="118"/>
    </row>
    <row r="878" spans="2:17" s="5" customFormat="1" ht="13">
      <c r="B878" s="84"/>
      <c r="C878" s="84"/>
      <c r="D878" s="85"/>
      <c r="E878" s="85"/>
      <c r="F878" s="85"/>
      <c r="G878" s="85"/>
      <c r="H878" s="85"/>
      <c r="I878" s="85"/>
      <c r="J878" s="85"/>
      <c r="K878" s="85"/>
      <c r="L878" s="109"/>
      <c r="M878" s="110"/>
      <c r="N878" s="111"/>
      <c r="O878" s="112"/>
      <c r="P878" s="112"/>
      <c r="Q878" s="118"/>
    </row>
    <row r="879" spans="2:17" s="5" customFormat="1" ht="13">
      <c r="B879" s="84"/>
      <c r="C879" s="84"/>
      <c r="D879" s="85"/>
      <c r="E879" s="85"/>
      <c r="F879" s="85"/>
      <c r="G879" s="85"/>
      <c r="H879" s="85"/>
      <c r="I879" s="85"/>
      <c r="J879" s="85"/>
      <c r="K879" s="85"/>
      <c r="L879" s="109"/>
      <c r="M879" s="110"/>
      <c r="N879" s="111"/>
      <c r="O879" s="112"/>
      <c r="P879" s="112"/>
      <c r="Q879" s="118"/>
    </row>
    <row r="880" spans="2:17" s="5" customFormat="1" ht="13">
      <c r="B880" s="84"/>
      <c r="C880" s="84"/>
      <c r="D880" s="85"/>
      <c r="E880" s="85"/>
      <c r="F880" s="85"/>
      <c r="G880" s="85"/>
      <c r="H880" s="85"/>
      <c r="I880" s="85"/>
      <c r="J880" s="85"/>
      <c r="K880" s="85"/>
      <c r="L880" s="109"/>
      <c r="M880" s="110"/>
      <c r="N880" s="111"/>
      <c r="O880" s="112"/>
      <c r="P880" s="112"/>
      <c r="Q880" s="118"/>
    </row>
    <row r="881" spans="2:17" s="5" customFormat="1" ht="13">
      <c r="B881" s="84"/>
      <c r="C881" s="84"/>
      <c r="D881" s="85"/>
      <c r="E881" s="85"/>
      <c r="F881" s="85"/>
      <c r="G881" s="85"/>
      <c r="H881" s="85"/>
      <c r="I881" s="85"/>
      <c r="J881" s="85"/>
      <c r="K881" s="85"/>
      <c r="L881" s="109"/>
      <c r="M881" s="110"/>
      <c r="N881" s="111"/>
      <c r="O881" s="112"/>
      <c r="P881" s="112"/>
      <c r="Q881" s="118"/>
    </row>
    <row r="882" spans="2:17" s="5" customFormat="1" ht="13">
      <c r="B882" s="84"/>
      <c r="C882" s="84"/>
      <c r="D882" s="85"/>
      <c r="E882" s="85"/>
      <c r="F882" s="85"/>
      <c r="G882" s="85"/>
      <c r="H882" s="85"/>
      <c r="I882" s="85"/>
      <c r="J882" s="85"/>
      <c r="K882" s="85"/>
      <c r="L882" s="109"/>
      <c r="M882" s="110"/>
      <c r="N882" s="111"/>
      <c r="O882" s="112"/>
      <c r="P882" s="112"/>
      <c r="Q882" s="118"/>
    </row>
    <row r="883" spans="2:17" s="5" customFormat="1" ht="13">
      <c r="B883" s="84"/>
      <c r="C883" s="84"/>
      <c r="D883" s="85"/>
      <c r="E883" s="85"/>
      <c r="F883" s="85"/>
      <c r="G883" s="85"/>
      <c r="H883" s="85"/>
      <c r="I883" s="85"/>
      <c r="J883" s="85"/>
      <c r="K883" s="85"/>
      <c r="L883" s="109"/>
      <c r="M883" s="110"/>
      <c r="N883" s="111"/>
      <c r="O883" s="112"/>
      <c r="P883" s="112"/>
      <c r="Q883" s="118"/>
    </row>
    <row r="884" spans="2:17" s="5" customFormat="1" ht="13">
      <c r="B884" s="84"/>
      <c r="C884" s="84"/>
      <c r="D884" s="85"/>
      <c r="E884" s="85"/>
      <c r="F884" s="85"/>
      <c r="G884" s="85"/>
      <c r="H884" s="85"/>
      <c r="I884" s="85"/>
      <c r="J884" s="85"/>
      <c r="K884" s="85"/>
      <c r="L884" s="109"/>
      <c r="M884" s="110"/>
      <c r="N884" s="111"/>
      <c r="O884" s="112"/>
      <c r="P884" s="112"/>
      <c r="Q884" s="118"/>
    </row>
    <row r="885" spans="2:17" s="5" customFormat="1" ht="13">
      <c r="B885" s="84"/>
      <c r="C885" s="84"/>
      <c r="D885" s="85"/>
      <c r="E885" s="85"/>
      <c r="F885" s="85"/>
      <c r="G885" s="85"/>
      <c r="H885" s="85"/>
      <c r="I885" s="85"/>
      <c r="J885" s="85"/>
      <c r="K885" s="85"/>
      <c r="L885" s="109"/>
      <c r="M885" s="110"/>
      <c r="N885" s="111"/>
      <c r="O885" s="112"/>
      <c r="P885" s="112"/>
      <c r="Q885" s="118"/>
    </row>
    <row r="886" spans="2:17" s="5" customFormat="1" ht="13">
      <c r="B886" s="84"/>
      <c r="C886" s="84"/>
      <c r="D886" s="85"/>
      <c r="E886" s="85"/>
      <c r="F886" s="85"/>
      <c r="G886" s="85"/>
      <c r="H886" s="85"/>
      <c r="I886" s="85"/>
      <c r="J886" s="85"/>
      <c r="K886" s="85"/>
      <c r="L886" s="109"/>
      <c r="M886" s="110"/>
      <c r="N886" s="111"/>
      <c r="O886" s="112"/>
      <c r="P886" s="112"/>
      <c r="Q886" s="118"/>
    </row>
    <row r="887" spans="2:17" s="5" customFormat="1" ht="13">
      <c r="B887" s="84"/>
      <c r="C887" s="84"/>
      <c r="D887" s="85"/>
      <c r="E887" s="85"/>
      <c r="F887" s="85"/>
      <c r="G887" s="85"/>
      <c r="H887" s="85"/>
      <c r="I887" s="85"/>
      <c r="J887" s="85"/>
      <c r="K887" s="85"/>
      <c r="L887" s="109"/>
      <c r="M887" s="110"/>
      <c r="N887" s="111"/>
      <c r="O887" s="112"/>
      <c r="P887" s="112"/>
      <c r="Q887" s="118"/>
    </row>
    <row r="888" spans="2:17" s="5" customFormat="1" ht="13">
      <c r="B888" s="84"/>
      <c r="C888" s="84"/>
      <c r="D888" s="85"/>
      <c r="E888" s="85"/>
      <c r="F888" s="85"/>
      <c r="G888" s="85"/>
      <c r="H888" s="85"/>
      <c r="I888" s="85"/>
      <c r="J888" s="85"/>
      <c r="K888" s="85"/>
      <c r="L888" s="109"/>
      <c r="M888" s="110"/>
      <c r="N888" s="111"/>
      <c r="O888" s="112"/>
      <c r="P888" s="112"/>
      <c r="Q888" s="118"/>
    </row>
    <row r="889" spans="2:17" s="5" customFormat="1" ht="13">
      <c r="B889" s="84"/>
      <c r="C889" s="84"/>
      <c r="D889" s="85"/>
      <c r="E889" s="85"/>
      <c r="F889" s="85"/>
      <c r="G889" s="85"/>
      <c r="H889" s="85"/>
      <c r="I889" s="85"/>
      <c r="J889" s="85"/>
      <c r="K889" s="85"/>
      <c r="L889" s="109"/>
      <c r="M889" s="110"/>
      <c r="N889" s="111"/>
      <c r="O889" s="112"/>
      <c r="P889" s="112"/>
      <c r="Q889" s="118"/>
    </row>
    <row r="890" spans="2:17" s="5" customFormat="1" ht="13">
      <c r="B890" s="84"/>
      <c r="C890" s="84"/>
      <c r="D890" s="85"/>
      <c r="E890" s="85"/>
      <c r="F890" s="85"/>
      <c r="G890" s="85"/>
      <c r="H890" s="85"/>
      <c r="I890" s="85"/>
      <c r="J890" s="85"/>
      <c r="K890" s="85"/>
      <c r="L890" s="109"/>
      <c r="M890" s="110"/>
      <c r="N890" s="111"/>
      <c r="O890" s="112"/>
      <c r="P890" s="112"/>
      <c r="Q890" s="118"/>
    </row>
    <row r="891" spans="2:17" s="5" customFormat="1" ht="13">
      <c r="B891" s="84"/>
      <c r="C891" s="84"/>
      <c r="D891" s="85"/>
      <c r="E891" s="85"/>
      <c r="F891" s="85"/>
      <c r="G891" s="85"/>
      <c r="H891" s="85"/>
      <c r="I891" s="85"/>
      <c r="J891" s="85"/>
      <c r="K891" s="85"/>
      <c r="L891" s="109"/>
      <c r="M891" s="110"/>
      <c r="N891" s="111"/>
      <c r="O891" s="112"/>
      <c r="P891" s="112"/>
      <c r="Q891" s="118"/>
    </row>
    <row r="892" spans="2:17" s="5" customFormat="1" ht="13">
      <c r="B892" s="84"/>
      <c r="C892" s="84"/>
      <c r="D892" s="85"/>
      <c r="E892" s="85"/>
      <c r="F892" s="85"/>
      <c r="G892" s="85"/>
      <c r="H892" s="85"/>
      <c r="I892" s="85"/>
      <c r="J892" s="85"/>
      <c r="K892" s="85"/>
      <c r="L892" s="109"/>
      <c r="M892" s="110"/>
      <c r="N892" s="111"/>
      <c r="O892" s="112"/>
      <c r="P892" s="112"/>
      <c r="Q892" s="118"/>
    </row>
    <row r="893" spans="2:17" s="5" customFormat="1" ht="13">
      <c r="B893" s="84"/>
      <c r="C893" s="84"/>
      <c r="D893" s="85"/>
      <c r="E893" s="85"/>
      <c r="F893" s="85"/>
      <c r="G893" s="85"/>
      <c r="H893" s="85"/>
      <c r="I893" s="85"/>
      <c r="J893" s="85"/>
      <c r="K893" s="85"/>
      <c r="L893" s="109"/>
      <c r="M893" s="110"/>
      <c r="N893" s="111"/>
      <c r="O893" s="112"/>
      <c r="P893" s="112"/>
      <c r="Q893" s="118"/>
    </row>
    <row r="894" spans="2:17" s="5" customFormat="1" ht="13">
      <c r="B894" s="84"/>
      <c r="C894" s="84"/>
      <c r="D894" s="85"/>
      <c r="E894" s="85"/>
      <c r="F894" s="85"/>
      <c r="G894" s="85"/>
      <c r="H894" s="85"/>
      <c r="I894" s="85"/>
      <c r="J894" s="85"/>
      <c r="K894" s="85"/>
      <c r="L894" s="109"/>
      <c r="M894" s="110"/>
      <c r="N894" s="111"/>
      <c r="O894" s="112"/>
      <c r="P894" s="112"/>
      <c r="Q894" s="118"/>
    </row>
    <row r="895" spans="2:17" s="5" customFormat="1" ht="13">
      <c r="B895" s="84"/>
      <c r="C895" s="84"/>
      <c r="D895" s="85"/>
      <c r="E895" s="85"/>
      <c r="F895" s="85"/>
      <c r="G895" s="85"/>
      <c r="H895" s="85"/>
      <c r="I895" s="85"/>
      <c r="J895" s="85"/>
      <c r="K895" s="85"/>
      <c r="L895" s="109"/>
      <c r="M895" s="110"/>
      <c r="N895" s="111"/>
      <c r="O895" s="112"/>
      <c r="P895" s="112"/>
      <c r="Q895" s="118"/>
    </row>
    <row r="896" spans="2:17" s="5" customFormat="1" ht="13">
      <c r="B896" s="84"/>
      <c r="C896" s="84"/>
      <c r="D896" s="85"/>
      <c r="E896" s="85"/>
      <c r="F896" s="85"/>
      <c r="G896" s="85"/>
      <c r="H896" s="85"/>
      <c r="I896" s="85"/>
      <c r="J896" s="85"/>
      <c r="K896" s="85"/>
      <c r="L896" s="109"/>
      <c r="M896" s="110"/>
      <c r="N896" s="111"/>
      <c r="O896" s="112"/>
      <c r="P896" s="112"/>
      <c r="Q896" s="118"/>
    </row>
    <row r="897" spans="2:17" s="5" customFormat="1" ht="13">
      <c r="B897" s="84"/>
      <c r="C897" s="84"/>
      <c r="D897" s="85"/>
      <c r="E897" s="85"/>
      <c r="F897" s="85"/>
      <c r="G897" s="85"/>
      <c r="H897" s="85"/>
      <c r="I897" s="85"/>
      <c r="J897" s="85"/>
      <c r="K897" s="85"/>
      <c r="L897" s="109"/>
      <c r="M897" s="110"/>
      <c r="N897" s="111"/>
      <c r="O897" s="112"/>
      <c r="P897" s="112"/>
      <c r="Q897" s="118"/>
    </row>
    <row r="898" spans="2:17" s="5" customFormat="1" ht="13">
      <c r="B898" s="84"/>
      <c r="C898" s="84"/>
      <c r="D898" s="85"/>
      <c r="E898" s="85"/>
      <c r="F898" s="85"/>
      <c r="G898" s="85"/>
      <c r="H898" s="85"/>
      <c r="I898" s="85"/>
      <c r="J898" s="85"/>
      <c r="K898" s="85"/>
      <c r="L898" s="109"/>
      <c r="M898" s="110"/>
      <c r="N898" s="111"/>
      <c r="O898" s="112"/>
      <c r="P898" s="112"/>
      <c r="Q898" s="118"/>
    </row>
    <row r="899" spans="2:17" s="5" customFormat="1" ht="13">
      <c r="B899" s="84"/>
      <c r="C899" s="84"/>
      <c r="D899" s="85"/>
      <c r="E899" s="85"/>
      <c r="F899" s="85"/>
      <c r="G899" s="85"/>
      <c r="H899" s="85"/>
      <c r="I899" s="85"/>
      <c r="J899" s="85"/>
      <c r="K899" s="85"/>
      <c r="L899" s="109"/>
      <c r="M899" s="110"/>
      <c r="N899" s="111"/>
      <c r="O899" s="112"/>
      <c r="P899" s="112"/>
      <c r="Q899" s="118"/>
    </row>
    <row r="900" spans="2:17" s="5" customFormat="1" ht="13">
      <c r="B900" s="84"/>
      <c r="C900" s="84"/>
      <c r="D900" s="85"/>
      <c r="E900" s="85"/>
      <c r="F900" s="85"/>
      <c r="G900" s="85"/>
      <c r="H900" s="85"/>
      <c r="I900" s="85"/>
      <c r="J900" s="85"/>
      <c r="K900" s="85"/>
      <c r="L900" s="109"/>
      <c r="M900" s="110"/>
      <c r="N900" s="111"/>
      <c r="O900" s="112"/>
      <c r="P900" s="112"/>
      <c r="Q900" s="118"/>
    </row>
    <row r="901" spans="2:17" s="5" customFormat="1" ht="13">
      <c r="B901" s="84"/>
      <c r="C901" s="84"/>
      <c r="D901" s="85"/>
      <c r="E901" s="85"/>
      <c r="F901" s="85"/>
      <c r="G901" s="85"/>
      <c r="H901" s="85"/>
      <c r="I901" s="85"/>
      <c r="J901" s="85"/>
      <c r="K901" s="85"/>
      <c r="L901" s="109"/>
      <c r="M901" s="110"/>
      <c r="N901" s="111"/>
      <c r="O901" s="112"/>
      <c r="P901" s="112"/>
      <c r="Q901" s="118"/>
    </row>
    <row r="902" spans="2:17" s="5" customFormat="1" ht="13">
      <c r="B902" s="84"/>
      <c r="C902" s="84"/>
      <c r="D902" s="85"/>
      <c r="E902" s="85"/>
      <c r="F902" s="85"/>
      <c r="G902" s="85"/>
      <c r="H902" s="85"/>
      <c r="I902" s="85"/>
      <c r="J902" s="85"/>
      <c r="K902" s="85"/>
      <c r="L902" s="109"/>
      <c r="M902" s="110"/>
      <c r="N902" s="111"/>
      <c r="O902" s="112"/>
      <c r="P902" s="112"/>
      <c r="Q902" s="118"/>
    </row>
    <row r="903" spans="2:17" s="5" customFormat="1" ht="13">
      <c r="B903" s="84"/>
      <c r="C903" s="84"/>
      <c r="D903" s="85"/>
      <c r="E903" s="85"/>
      <c r="F903" s="85"/>
      <c r="G903" s="85"/>
      <c r="H903" s="85"/>
      <c r="I903" s="85"/>
      <c r="J903" s="85"/>
      <c r="K903" s="85"/>
      <c r="L903" s="109"/>
      <c r="M903" s="110"/>
      <c r="N903" s="111"/>
      <c r="O903" s="112"/>
      <c r="P903" s="112"/>
      <c r="Q903" s="118"/>
    </row>
    <row r="904" spans="2:17" s="5" customFormat="1" ht="13">
      <c r="B904" s="84"/>
      <c r="C904" s="84"/>
      <c r="D904" s="85"/>
      <c r="E904" s="85"/>
      <c r="F904" s="85"/>
      <c r="G904" s="85"/>
      <c r="H904" s="85"/>
      <c r="I904" s="85"/>
      <c r="J904" s="85"/>
      <c r="K904" s="85"/>
      <c r="L904" s="109"/>
      <c r="M904" s="110"/>
      <c r="N904" s="111"/>
      <c r="O904" s="112"/>
      <c r="P904" s="112"/>
      <c r="Q904" s="118"/>
    </row>
    <row r="905" spans="2:17" s="5" customFormat="1" ht="13">
      <c r="B905" s="84"/>
      <c r="C905" s="84"/>
      <c r="D905" s="85"/>
      <c r="E905" s="85"/>
      <c r="F905" s="85"/>
      <c r="G905" s="85"/>
      <c r="H905" s="85"/>
      <c r="I905" s="85"/>
      <c r="J905" s="85"/>
      <c r="K905" s="85"/>
      <c r="L905" s="109"/>
      <c r="M905" s="110"/>
      <c r="N905" s="111"/>
      <c r="O905" s="112"/>
      <c r="P905" s="112"/>
      <c r="Q905" s="118"/>
    </row>
    <row r="906" spans="2:17" s="5" customFormat="1" ht="13">
      <c r="B906" s="84"/>
      <c r="C906" s="84"/>
      <c r="D906" s="85"/>
      <c r="E906" s="85"/>
      <c r="F906" s="85"/>
      <c r="G906" s="85"/>
      <c r="H906" s="85"/>
      <c r="I906" s="85"/>
      <c r="J906" s="85"/>
      <c r="K906" s="85"/>
      <c r="L906" s="109"/>
      <c r="M906" s="110"/>
      <c r="N906" s="111"/>
      <c r="O906" s="112"/>
      <c r="P906" s="112"/>
      <c r="Q906" s="118"/>
    </row>
    <row r="907" spans="2:17" s="5" customFormat="1" ht="13">
      <c r="B907" s="84"/>
      <c r="C907" s="84"/>
      <c r="D907" s="85"/>
      <c r="E907" s="85"/>
      <c r="F907" s="85"/>
      <c r="G907" s="85"/>
      <c r="H907" s="85"/>
      <c r="I907" s="85"/>
      <c r="J907" s="85"/>
      <c r="K907" s="85"/>
      <c r="L907" s="109"/>
      <c r="M907" s="110"/>
      <c r="N907" s="111"/>
      <c r="O907" s="112"/>
      <c r="P907" s="112"/>
      <c r="Q907" s="118"/>
    </row>
    <row r="908" spans="2:17" s="5" customFormat="1" ht="13">
      <c r="B908" s="84"/>
      <c r="C908" s="84"/>
      <c r="D908" s="85"/>
      <c r="E908" s="85"/>
      <c r="F908" s="85"/>
      <c r="G908" s="85"/>
      <c r="H908" s="85"/>
      <c r="I908" s="85"/>
      <c r="J908" s="85"/>
      <c r="K908" s="85"/>
      <c r="L908" s="109"/>
      <c r="M908" s="110"/>
      <c r="N908" s="111"/>
      <c r="O908" s="112"/>
      <c r="P908" s="112"/>
      <c r="Q908" s="118"/>
    </row>
    <row r="909" spans="2:17" s="5" customFormat="1" ht="13">
      <c r="B909" s="84"/>
      <c r="C909" s="84"/>
      <c r="D909" s="85"/>
      <c r="E909" s="85"/>
      <c r="F909" s="85"/>
      <c r="G909" s="85"/>
      <c r="H909" s="85"/>
      <c r="I909" s="85"/>
      <c r="J909" s="85"/>
      <c r="K909" s="85"/>
      <c r="L909" s="109"/>
      <c r="M909" s="110"/>
      <c r="N909" s="111"/>
      <c r="O909" s="112"/>
      <c r="P909" s="112"/>
      <c r="Q909" s="118"/>
    </row>
    <row r="910" spans="2:17" s="5" customFormat="1" ht="13">
      <c r="B910" s="84"/>
      <c r="C910" s="84"/>
      <c r="D910" s="85"/>
      <c r="E910" s="85"/>
      <c r="F910" s="85"/>
      <c r="G910" s="85"/>
      <c r="H910" s="85"/>
      <c r="I910" s="85"/>
      <c r="J910" s="85"/>
      <c r="K910" s="85"/>
      <c r="L910" s="109"/>
      <c r="M910" s="110"/>
      <c r="N910" s="111"/>
      <c r="O910" s="112"/>
      <c r="P910" s="112"/>
      <c r="Q910" s="118"/>
    </row>
    <row r="911" spans="2:17" s="5" customFormat="1" ht="13">
      <c r="B911" s="84"/>
      <c r="C911" s="84"/>
      <c r="D911" s="85"/>
      <c r="E911" s="85"/>
      <c r="F911" s="85"/>
      <c r="G911" s="85"/>
      <c r="H911" s="85"/>
      <c r="I911" s="85"/>
      <c r="J911" s="85"/>
      <c r="K911" s="85"/>
      <c r="L911" s="109"/>
      <c r="M911" s="110"/>
      <c r="N911" s="111"/>
      <c r="O911" s="112"/>
      <c r="P911" s="112"/>
      <c r="Q911" s="118"/>
    </row>
    <row r="912" spans="2:17" s="5" customFormat="1" ht="13">
      <c r="B912" s="84"/>
      <c r="C912" s="84"/>
      <c r="D912" s="85"/>
      <c r="E912" s="85"/>
      <c r="F912" s="85"/>
      <c r="G912" s="85"/>
      <c r="H912" s="85"/>
      <c r="I912" s="85"/>
      <c r="J912" s="85"/>
      <c r="K912" s="85"/>
      <c r="L912" s="109"/>
      <c r="M912" s="110"/>
      <c r="N912" s="111"/>
      <c r="O912" s="112"/>
      <c r="P912" s="112"/>
      <c r="Q912" s="118"/>
    </row>
    <row r="913" spans="2:17" s="5" customFormat="1" ht="13">
      <c r="B913" s="84"/>
      <c r="C913" s="84"/>
      <c r="D913" s="85"/>
      <c r="E913" s="85"/>
      <c r="F913" s="85"/>
      <c r="G913" s="85"/>
      <c r="H913" s="85"/>
      <c r="I913" s="85"/>
      <c r="J913" s="85"/>
      <c r="K913" s="85"/>
      <c r="L913" s="109"/>
      <c r="M913" s="110"/>
      <c r="N913" s="111"/>
      <c r="O913" s="112"/>
      <c r="P913" s="112"/>
      <c r="Q913" s="118"/>
    </row>
    <row r="914" spans="2:17" s="5" customFormat="1" ht="13">
      <c r="B914" s="84"/>
      <c r="C914" s="84"/>
      <c r="D914" s="85"/>
      <c r="E914" s="85"/>
      <c r="F914" s="85"/>
      <c r="G914" s="85"/>
      <c r="H914" s="85"/>
      <c r="I914" s="85"/>
      <c r="J914" s="85"/>
      <c r="K914" s="85"/>
      <c r="L914" s="109"/>
      <c r="M914" s="110"/>
      <c r="N914" s="111"/>
      <c r="O914" s="112"/>
      <c r="P914" s="112"/>
      <c r="Q914" s="118"/>
    </row>
    <row r="915" spans="2:17" s="5" customFormat="1" ht="13">
      <c r="B915" s="84"/>
      <c r="C915" s="84"/>
      <c r="D915" s="85"/>
      <c r="E915" s="85"/>
      <c r="F915" s="85"/>
      <c r="G915" s="85"/>
      <c r="H915" s="85"/>
      <c r="I915" s="85"/>
      <c r="J915" s="85"/>
      <c r="K915" s="85"/>
      <c r="L915" s="109"/>
      <c r="M915" s="110"/>
      <c r="N915" s="111"/>
      <c r="O915" s="112"/>
      <c r="P915" s="112"/>
      <c r="Q915" s="118"/>
    </row>
    <row r="916" spans="2:17" s="5" customFormat="1" ht="13">
      <c r="B916" s="84"/>
      <c r="C916" s="84"/>
      <c r="D916" s="85"/>
      <c r="E916" s="85"/>
      <c r="F916" s="85"/>
      <c r="G916" s="85"/>
      <c r="H916" s="85"/>
      <c r="I916" s="85"/>
      <c r="J916" s="85"/>
      <c r="K916" s="85"/>
      <c r="L916" s="109"/>
      <c r="M916" s="110"/>
      <c r="N916" s="111"/>
      <c r="O916" s="112"/>
      <c r="P916" s="112"/>
      <c r="Q916" s="118"/>
    </row>
    <row r="917" spans="2:17" s="5" customFormat="1" ht="13">
      <c r="B917" s="84"/>
      <c r="C917" s="84"/>
      <c r="D917" s="85"/>
      <c r="E917" s="85"/>
      <c r="F917" s="85"/>
      <c r="G917" s="85"/>
      <c r="H917" s="85"/>
      <c r="I917" s="85"/>
      <c r="J917" s="85"/>
      <c r="K917" s="85"/>
      <c r="L917" s="109"/>
      <c r="M917" s="110"/>
      <c r="N917" s="111"/>
      <c r="O917" s="112"/>
      <c r="P917" s="112"/>
      <c r="Q917" s="118"/>
    </row>
    <row r="918" spans="2:17" s="5" customFormat="1" ht="13">
      <c r="B918" s="84"/>
      <c r="C918" s="84"/>
      <c r="D918" s="85"/>
      <c r="E918" s="85"/>
      <c r="F918" s="85"/>
      <c r="G918" s="85"/>
      <c r="H918" s="85"/>
      <c r="I918" s="85"/>
      <c r="J918" s="85"/>
      <c r="K918" s="85"/>
      <c r="L918" s="109"/>
      <c r="M918" s="110"/>
      <c r="N918" s="111"/>
      <c r="O918" s="112"/>
      <c r="P918" s="112"/>
      <c r="Q918" s="118"/>
    </row>
    <row r="919" spans="2:17" s="5" customFormat="1" ht="13">
      <c r="B919" s="84"/>
      <c r="C919" s="84"/>
      <c r="D919" s="85"/>
      <c r="E919" s="85"/>
      <c r="F919" s="85"/>
      <c r="G919" s="85"/>
      <c r="H919" s="85"/>
      <c r="I919" s="85"/>
      <c r="J919" s="85"/>
      <c r="K919" s="85"/>
      <c r="L919" s="109"/>
      <c r="M919" s="110"/>
      <c r="N919" s="111"/>
      <c r="O919" s="112"/>
      <c r="P919" s="112"/>
      <c r="Q919" s="118"/>
    </row>
    <row r="920" spans="2:17" s="5" customFormat="1" ht="13">
      <c r="B920" s="84"/>
      <c r="C920" s="84"/>
      <c r="D920" s="85"/>
      <c r="E920" s="85"/>
      <c r="F920" s="85"/>
      <c r="G920" s="85"/>
      <c r="H920" s="85"/>
      <c r="I920" s="85"/>
      <c r="J920" s="85"/>
      <c r="K920" s="85"/>
      <c r="L920" s="109"/>
      <c r="M920" s="110"/>
      <c r="N920" s="111"/>
      <c r="O920" s="112"/>
      <c r="P920" s="112"/>
      <c r="Q920" s="118"/>
    </row>
    <row r="921" spans="2:17" s="5" customFormat="1" ht="13">
      <c r="B921" s="84"/>
      <c r="C921" s="84"/>
      <c r="D921" s="85"/>
      <c r="E921" s="85"/>
      <c r="F921" s="85"/>
      <c r="G921" s="85"/>
      <c r="H921" s="85"/>
      <c r="I921" s="85"/>
      <c r="J921" s="85"/>
      <c r="K921" s="85"/>
      <c r="L921" s="109"/>
      <c r="M921" s="110"/>
      <c r="N921" s="111"/>
      <c r="O921" s="112"/>
      <c r="P921" s="112"/>
      <c r="Q921" s="118"/>
    </row>
    <row r="922" spans="2:17" s="5" customFormat="1" ht="13">
      <c r="B922" s="84"/>
      <c r="C922" s="84"/>
      <c r="D922" s="85"/>
      <c r="E922" s="85"/>
      <c r="F922" s="85"/>
      <c r="G922" s="85"/>
      <c r="H922" s="85"/>
      <c r="I922" s="85"/>
      <c r="J922" s="85"/>
      <c r="K922" s="85"/>
      <c r="L922" s="109"/>
      <c r="M922" s="110"/>
      <c r="N922" s="111"/>
      <c r="O922" s="112"/>
      <c r="P922" s="112"/>
      <c r="Q922" s="118"/>
    </row>
    <row r="923" spans="2:17" s="5" customFormat="1" ht="13">
      <c r="B923" s="84"/>
      <c r="C923" s="84"/>
      <c r="D923" s="85"/>
      <c r="E923" s="85"/>
      <c r="F923" s="85"/>
      <c r="G923" s="85"/>
      <c r="H923" s="85"/>
      <c r="I923" s="85"/>
      <c r="J923" s="85"/>
      <c r="K923" s="85"/>
      <c r="L923" s="109"/>
      <c r="M923" s="110"/>
      <c r="N923" s="111"/>
      <c r="O923" s="112"/>
      <c r="P923" s="112"/>
      <c r="Q923" s="118"/>
    </row>
    <row r="924" spans="2:17" s="5" customFormat="1" ht="13">
      <c r="B924" s="84"/>
      <c r="C924" s="84"/>
      <c r="D924" s="85"/>
      <c r="E924" s="85"/>
      <c r="F924" s="85"/>
      <c r="G924" s="85"/>
      <c r="H924" s="85"/>
      <c r="I924" s="85"/>
      <c r="J924" s="85"/>
      <c r="K924" s="85"/>
      <c r="L924" s="109"/>
      <c r="M924" s="110"/>
      <c r="N924" s="111"/>
      <c r="O924" s="112"/>
      <c r="P924" s="112"/>
      <c r="Q924" s="118"/>
    </row>
    <row r="925" spans="2:17" s="5" customFormat="1" ht="13">
      <c r="B925" s="84"/>
      <c r="C925" s="84"/>
      <c r="D925" s="85"/>
      <c r="E925" s="85"/>
      <c r="F925" s="85"/>
      <c r="G925" s="85"/>
      <c r="H925" s="85"/>
      <c r="I925" s="85"/>
      <c r="J925" s="85"/>
      <c r="K925" s="85"/>
      <c r="L925" s="109"/>
      <c r="M925" s="110"/>
      <c r="N925" s="111"/>
      <c r="O925" s="112"/>
      <c r="P925" s="112"/>
      <c r="Q925" s="118"/>
    </row>
    <row r="926" spans="2:17" s="5" customFormat="1" ht="13">
      <c r="B926" s="84"/>
      <c r="C926" s="84"/>
      <c r="D926" s="85"/>
      <c r="E926" s="85"/>
      <c r="F926" s="85"/>
      <c r="G926" s="85"/>
      <c r="H926" s="85"/>
      <c r="I926" s="85"/>
      <c r="J926" s="85"/>
      <c r="K926" s="85"/>
      <c r="L926" s="109"/>
      <c r="M926" s="110"/>
      <c r="N926" s="111"/>
      <c r="O926" s="112"/>
      <c r="P926" s="112"/>
      <c r="Q926" s="118"/>
    </row>
    <row r="927" spans="2:17" s="5" customFormat="1" ht="13">
      <c r="B927" s="84"/>
      <c r="C927" s="84"/>
      <c r="D927" s="85"/>
      <c r="E927" s="85"/>
      <c r="F927" s="85"/>
      <c r="G927" s="85"/>
      <c r="H927" s="85"/>
      <c r="I927" s="85"/>
      <c r="J927" s="85"/>
      <c r="K927" s="85"/>
      <c r="L927" s="109"/>
      <c r="M927" s="110"/>
      <c r="N927" s="111"/>
      <c r="O927" s="112"/>
      <c r="P927" s="112"/>
      <c r="Q927" s="118"/>
    </row>
    <row r="928" spans="2:17" s="5" customFormat="1" ht="13">
      <c r="B928" s="84"/>
      <c r="C928" s="84"/>
      <c r="D928" s="85"/>
      <c r="E928" s="85"/>
      <c r="F928" s="85"/>
      <c r="G928" s="85"/>
      <c r="H928" s="85"/>
      <c r="I928" s="85"/>
      <c r="J928" s="85"/>
      <c r="K928" s="85"/>
      <c r="L928" s="109"/>
      <c r="M928" s="110"/>
      <c r="N928" s="111"/>
      <c r="O928" s="112"/>
      <c r="P928" s="112"/>
      <c r="Q928" s="118"/>
    </row>
    <row r="929" spans="2:17" s="5" customFormat="1" ht="13">
      <c r="B929" s="84"/>
      <c r="C929" s="84"/>
      <c r="D929" s="85"/>
      <c r="E929" s="85"/>
      <c r="F929" s="85"/>
      <c r="G929" s="85"/>
      <c r="H929" s="85"/>
      <c r="I929" s="85"/>
      <c r="J929" s="85"/>
      <c r="K929" s="85"/>
      <c r="L929" s="109"/>
      <c r="M929" s="110"/>
      <c r="N929" s="111"/>
      <c r="O929" s="112"/>
      <c r="P929" s="112"/>
      <c r="Q929" s="118"/>
    </row>
    <row r="930" spans="2:17" s="5" customFormat="1" ht="13">
      <c r="B930" s="84"/>
      <c r="C930" s="84"/>
      <c r="D930" s="85"/>
      <c r="E930" s="85"/>
      <c r="F930" s="85"/>
      <c r="G930" s="85"/>
      <c r="H930" s="85"/>
      <c r="I930" s="85"/>
      <c r="J930" s="85"/>
      <c r="K930" s="85"/>
      <c r="L930" s="109"/>
      <c r="M930" s="110"/>
      <c r="N930" s="111"/>
      <c r="O930" s="112"/>
      <c r="P930" s="112"/>
      <c r="Q930" s="118"/>
    </row>
    <row r="931" spans="2:17" s="5" customFormat="1" ht="13">
      <c r="B931" s="84"/>
      <c r="C931" s="84"/>
      <c r="D931" s="85"/>
      <c r="E931" s="85"/>
      <c r="F931" s="85"/>
      <c r="G931" s="85"/>
      <c r="H931" s="85"/>
      <c r="I931" s="85"/>
      <c r="J931" s="85"/>
      <c r="K931" s="85"/>
      <c r="L931" s="109"/>
      <c r="M931" s="110"/>
      <c r="N931" s="111"/>
      <c r="O931" s="112"/>
      <c r="P931" s="112"/>
      <c r="Q931" s="118"/>
    </row>
    <row r="932" spans="2:17" s="5" customFormat="1" ht="13">
      <c r="B932" s="84"/>
      <c r="C932" s="84"/>
      <c r="D932" s="85"/>
      <c r="E932" s="85"/>
      <c r="F932" s="85"/>
      <c r="G932" s="85"/>
      <c r="H932" s="85"/>
      <c r="I932" s="85"/>
      <c r="J932" s="85"/>
      <c r="K932" s="85"/>
      <c r="L932" s="109"/>
      <c r="M932" s="110"/>
      <c r="N932" s="111"/>
      <c r="O932" s="112"/>
      <c r="P932" s="112"/>
      <c r="Q932" s="118"/>
    </row>
    <row r="933" spans="2:17" s="5" customFormat="1" ht="13">
      <c r="B933" s="84"/>
      <c r="C933" s="84"/>
      <c r="D933" s="85"/>
      <c r="E933" s="85"/>
      <c r="F933" s="85"/>
      <c r="G933" s="85"/>
      <c r="H933" s="85"/>
      <c r="I933" s="85"/>
      <c r="J933" s="85"/>
      <c r="K933" s="85"/>
      <c r="L933" s="109"/>
      <c r="M933" s="110"/>
      <c r="N933" s="111"/>
      <c r="O933" s="112"/>
      <c r="P933" s="112"/>
      <c r="Q933" s="118"/>
    </row>
    <row r="934" spans="2:17" s="5" customFormat="1" ht="13">
      <c r="B934" s="84"/>
      <c r="C934" s="84"/>
      <c r="D934" s="85"/>
      <c r="E934" s="85"/>
      <c r="F934" s="85"/>
      <c r="G934" s="85"/>
      <c r="H934" s="85"/>
      <c r="I934" s="85"/>
      <c r="J934" s="85"/>
      <c r="K934" s="85"/>
      <c r="L934" s="109"/>
      <c r="M934" s="110"/>
      <c r="N934" s="111"/>
      <c r="O934" s="112"/>
      <c r="P934" s="112"/>
      <c r="Q934" s="118"/>
    </row>
    <row r="935" spans="2:17" s="5" customFormat="1" ht="13">
      <c r="B935" s="84"/>
      <c r="C935" s="84"/>
      <c r="D935" s="85"/>
      <c r="E935" s="85"/>
      <c r="F935" s="85"/>
      <c r="G935" s="85"/>
      <c r="H935" s="85"/>
      <c r="I935" s="85"/>
      <c r="J935" s="85"/>
      <c r="K935" s="85"/>
      <c r="L935" s="109"/>
      <c r="M935" s="110"/>
      <c r="N935" s="111"/>
      <c r="O935" s="112"/>
      <c r="P935" s="112"/>
      <c r="Q935" s="118"/>
    </row>
    <row r="936" spans="2:17" s="5" customFormat="1" ht="13">
      <c r="B936" s="84"/>
      <c r="C936" s="84"/>
      <c r="D936" s="85"/>
      <c r="E936" s="85"/>
      <c r="F936" s="85"/>
      <c r="G936" s="85"/>
      <c r="H936" s="85"/>
      <c r="I936" s="85"/>
      <c r="J936" s="85"/>
      <c r="K936" s="85"/>
      <c r="L936" s="109"/>
      <c r="M936" s="110"/>
      <c r="N936" s="111"/>
      <c r="O936" s="112"/>
      <c r="P936" s="112"/>
      <c r="Q936" s="118"/>
    </row>
    <row r="937" spans="2:17" s="5" customFormat="1" ht="13">
      <c r="B937" s="84"/>
      <c r="C937" s="84"/>
      <c r="D937" s="85"/>
      <c r="E937" s="85"/>
      <c r="F937" s="85"/>
      <c r="G937" s="85"/>
      <c r="H937" s="85"/>
      <c r="I937" s="85"/>
      <c r="J937" s="85"/>
      <c r="K937" s="85"/>
      <c r="L937" s="109"/>
      <c r="M937" s="110"/>
      <c r="N937" s="111"/>
      <c r="O937" s="112"/>
      <c r="P937" s="112"/>
      <c r="Q937" s="118"/>
    </row>
    <row r="938" spans="2:17" s="5" customFormat="1" ht="13">
      <c r="B938" s="84"/>
      <c r="C938" s="84"/>
      <c r="D938" s="85"/>
      <c r="E938" s="85"/>
      <c r="F938" s="85"/>
      <c r="G938" s="85"/>
      <c r="H938" s="85"/>
      <c r="I938" s="85"/>
      <c r="J938" s="85"/>
      <c r="K938" s="85"/>
      <c r="L938" s="109"/>
      <c r="M938" s="110"/>
      <c r="N938" s="111"/>
      <c r="O938" s="112"/>
      <c r="P938" s="112"/>
      <c r="Q938" s="118"/>
    </row>
    <row r="939" spans="2:17" s="5" customFormat="1" ht="13">
      <c r="B939" s="84"/>
      <c r="C939" s="84"/>
      <c r="D939" s="85"/>
      <c r="E939" s="85"/>
      <c r="F939" s="85"/>
      <c r="G939" s="85"/>
      <c r="H939" s="85"/>
      <c r="I939" s="85"/>
      <c r="J939" s="85"/>
      <c r="K939" s="85"/>
      <c r="L939" s="109"/>
      <c r="M939" s="110"/>
      <c r="N939" s="111"/>
      <c r="O939" s="112"/>
      <c r="P939" s="112"/>
      <c r="Q939" s="118"/>
    </row>
    <row r="940" spans="2:17" s="5" customFormat="1" ht="13">
      <c r="B940" s="84"/>
      <c r="C940" s="84"/>
      <c r="D940" s="85"/>
      <c r="E940" s="85"/>
      <c r="F940" s="85"/>
      <c r="G940" s="85"/>
      <c r="H940" s="85"/>
      <c r="I940" s="85"/>
      <c r="J940" s="85"/>
      <c r="K940" s="85"/>
      <c r="L940" s="109"/>
      <c r="M940" s="110"/>
      <c r="N940" s="111"/>
      <c r="O940" s="112"/>
      <c r="P940" s="112"/>
      <c r="Q940" s="118"/>
    </row>
    <row r="941" spans="2:17" s="5" customFormat="1" ht="13">
      <c r="B941" s="84"/>
      <c r="C941" s="84"/>
      <c r="D941" s="85"/>
      <c r="E941" s="85"/>
      <c r="F941" s="85"/>
      <c r="G941" s="85"/>
      <c r="H941" s="85"/>
      <c r="I941" s="85"/>
      <c r="J941" s="85"/>
      <c r="K941" s="85"/>
      <c r="L941" s="109"/>
      <c r="M941" s="110"/>
      <c r="N941" s="111"/>
      <c r="O941" s="112"/>
      <c r="P941" s="112"/>
      <c r="Q941" s="118"/>
    </row>
    <row r="942" spans="2:17" s="5" customFormat="1" ht="13">
      <c r="B942" s="84"/>
      <c r="C942" s="84"/>
      <c r="D942" s="85"/>
      <c r="E942" s="85"/>
      <c r="F942" s="85"/>
      <c r="G942" s="85"/>
      <c r="H942" s="85"/>
      <c r="I942" s="85"/>
      <c r="J942" s="85"/>
      <c r="K942" s="85"/>
      <c r="L942" s="109"/>
      <c r="M942" s="110"/>
      <c r="N942" s="111"/>
      <c r="O942" s="112"/>
      <c r="P942" s="112"/>
      <c r="Q942" s="118"/>
    </row>
    <row r="943" spans="2:17" s="5" customFormat="1" ht="13">
      <c r="B943" s="84"/>
      <c r="C943" s="84"/>
      <c r="D943" s="85"/>
      <c r="E943" s="85"/>
      <c r="F943" s="85"/>
      <c r="G943" s="85"/>
      <c r="H943" s="85"/>
      <c r="I943" s="85"/>
      <c r="J943" s="85"/>
      <c r="K943" s="85"/>
      <c r="L943" s="109"/>
      <c r="M943" s="110"/>
      <c r="N943" s="111"/>
      <c r="O943" s="112"/>
      <c r="P943" s="112"/>
      <c r="Q943" s="118"/>
    </row>
    <row r="944" spans="2:17" s="5" customFormat="1" ht="13">
      <c r="B944" s="84"/>
      <c r="C944" s="84"/>
      <c r="D944" s="85"/>
      <c r="E944" s="85"/>
      <c r="F944" s="85"/>
      <c r="G944" s="85"/>
      <c r="H944" s="85"/>
      <c r="I944" s="85"/>
      <c r="J944" s="85"/>
      <c r="K944" s="85"/>
      <c r="L944" s="109"/>
      <c r="M944" s="110"/>
      <c r="N944" s="111"/>
      <c r="O944" s="112"/>
      <c r="P944" s="112"/>
      <c r="Q944" s="118"/>
    </row>
    <row r="945" spans="2:17" s="5" customFormat="1" ht="13">
      <c r="B945" s="84"/>
      <c r="C945" s="84"/>
      <c r="D945" s="85"/>
      <c r="E945" s="85"/>
      <c r="F945" s="85"/>
      <c r="G945" s="85"/>
      <c r="H945" s="85"/>
      <c r="I945" s="85"/>
      <c r="J945" s="85"/>
      <c r="K945" s="85"/>
      <c r="L945" s="109"/>
      <c r="M945" s="110"/>
      <c r="N945" s="111"/>
      <c r="O945" s="112"/>
      <c r="P945" s="112"/>
      <c r="Q945" s="118"/>
    </row>
    <row r="946" spans="2:17" s="5" customFormat="1" ht="13">
      <c r="B946" s="84"/>
      <c r="C946" s="84"/>
      <c r="D946" s="85"/>
      <c r="E946" s="85"/>
      <c r="F946" s="85"/>
      <c r="G946" s="85"/>
      <c r="H946" s="85"/>
      <c r="I946" s="85"/>
      <c r="J946" s="85"/>
      <c r="K946" s="85"/>
      <c r="L946" s="109"/>
      <c r="M946" s="110"/>
      <c r="N946" s="111"/>
      <c r="O946" s="112"/>
      <c r="P946" s="112"/>
      <c r="Q946" s="118"/>
    </row>
    <row r="947" spans="2:17" s="5" customFormat="1" ht="13">
      <c r="B947" s="84"/>
      <c r="C947" s="84"/>
      <c r="D947" s="85"/>
      <c r="E947" s="85"/>
      <c r="F947" s="85"/>
      <c r="G947" s="85"/>
      <c r="H947" s="85"/>
      <c r="I947" s="85"/>
      <c r="J947" s="85"/>
      <c r="K947" s="85"/>
      <c r="L947" s="109"/>
      <c r="M947" s="110"/>
      <c r="N947" s="111"/>
      <c r="O947" s="112"/>
      <c r="P947" s="112"/>
      <c r="Q947" s="118"/>
    </row>
    <row r="948" spans="2:17" s="5" customFormat="1" ht="13">
      <c r="B948" s="84"/>
      <c r="C948" s="84"/>
      <c r="D948" s="85"/>
      <c r="E948" s="85"/>
      <c r="F948" s="85"/>
      <c r="G948" s="85"/>
      <c r="H948" s="85"/>
      <c r="I948" s="85"/>
      <c r="J948" s="85"/>
      <c r="K948" s="85"/>
      <c r="L948" s="109"/>
      <c r="M948" s="110"/>
      <c r="N948" s="111"/>
      <c r="O948" s="112"/>
      <c r="P948" s="112"/>
      <c r="Q948" s="118"/>
    </row>
    <row r="949" spans="2:17" s="5" customFormat="1" ht="13">
      <c r="B949" s="84"/>
      <c r="C949" s="84"/>
      <c r="D949" s="85"/>
      <c r="E949" s="85"/>
      <c r="F949" s="85"/>
      <c r="G949" s="85"/>
      <c r="H949" s="85"/>
      <c r="I949" s="85"/>
      <c r="J949" s="85"/>
      <c r="K949" s="85"/>
      <c r="L949" s="109"/>
      <c r="M949" s="110"/>
      <c r="N949" s="111"/>
      <c r="O949" s="112"/>
      <c r="P949" s="112"/>
      <c r="Q949" s="118"/>
    </row>
    <row r="950" spans="2:17" s="5" customFormat="1" ht="13">
      <c r="B950" s="84"/>
      <c r="C950" s="84"/>
      <c r="D950" s="85"/>
      <c r="E950" s="85"/>
      <c r="F950" s="85"/>
      <c r="G950" s="85"/>
      <c r="H950" s="85"/>
      <c r="I950" s="85"/>
      <c r="J950" s="85"/>
      <c r="K950" s="85"/>
      <c r="L950" s="109"/>
      <c r="M950" s="110"/>
      <c r="N950" s="111"/>
      <c r="O950" s="112"/>
      <c r="P950" s="112"/>
      <c r="Q950" s="118"/>
    </row>
    <row r="951" spans="2:17" s="5" customFormat="1" ht="13">
      <c r="B951" s="84"/>
      <c r="C951" s="84"/>
      <c r="D951" s="85"/>
      <c r="E951" s="85"/>
      <c r="F951" s="85"/>
      <c r="G951" s="85"/>
      <c r="H951" s="85"/>
      <c r="I951" s="85"/>
      <c r="J951" s="85"/>
      <c r="K951" s="85"/>
      <c r="L951" s="109"/>
      <c r="M951" s="110"/>
      <c r="N951" s="111"/>
      <c r="O951" s="112"/>
      <c r="P951" s="112"/>
      <c r="Q951" s="118"/>
    </row>
    <row r="952" spans="2:17" s="5" customFormat="1" ht="13">
      <c r="B952" s="84"/>
      <c r="C952" s="84"/>
      <c r="D952" s="85"/>
      <c r="E952" s="85"/>
      <c r="F952" s="85"/>
      <c r="G952" s="85"/>
      <c r="H952" s="85"/>
      <c r="I952" s="85"/>
      <c r="J952" s="85"/>
      <c r="K952" s="85"/>
      <c r="L952" s="109"/>
      <c r="M952" s="110"/>
      <c r="N952" s="111"/>
      <c r="O952" s="112"/>
      <c r="P952" s="112"/>
      <c r="Q952" s="118"/>
    </row>
    <row r="953" spans="2:17" s="5" customFormat="1" ht="13">
      <c r="B953" s="84"/>
      <c r="C953" s="84"/>
      <c r="D953" s="85"/>
      <c r="E953" s="85"/>
      <c r="F953" s="85"/>
      <c r="G953" s="85"/>
      <c r="H953" s="85"/>
      <c r="I953" s="85"/>
      <c r="J953" s="85"/>
      <c r="K953" s="85"/>
      <c r="L953" s="109"/>
      <c r="M953" s="110"/>
      <c r="N953" s="111"/>
      <c r="O953" s="112"/>
      <c r="P953" s="112"/>
      <c r="Q953" s="118"/>
    </row>
    <row r="954" spans="2:17" s="5" customFormat="1" ht="13">
      <c r="B954" s="84"/>
      <c r="C954" s="84"/>
      <c r="D954" s="85"/>
      <c r="E954" s="85"/>
      <c r="F954" s="85"/>
      <c r="G954" s="85"/>
      <c r="H954" s="85"/>
      <c r="I954" s="85"/>
      <c r="J954" s="85"/>
      <c r="K954" s="85"/>
      <c r="L954" s="109"/>
      <c r="M954" s="110"/>
      <c r="N954" s="111"/>
      <c r="O954" s="112"/>
      <c r="P954" s="112"/>
      <c r="Q954" s="118"/>
    </row>
    <row r="955" spans="2:17" s="5" customFormat="1" ht="13">
      <c r="B955" s="84"/>
      <c r="C955" s="84"/>
      <c r="D955" s="85"/>
      <c r="E955" s="85"/>
      <c r="F955" s="85"/>
      <c r="G955" s="85"/>
      <c r="H955" s="85"/>
      <c r="I955" s="85"/>
      <c r="J955" s="85"/>
      <c r="K955" s="85"/>
      <c r="L955" s="109"/>
      <c r="M955" s="110"/>
      <c r="N955" s="111"/>
      <c r="O955" s="112"/>
      <c r="P955" s="112"/>
      <c r="Q955" s="118"/>
    </row>
    <row r="956" spans="2:17" s="5" customFormat="1" ht="13">
      <c r="B956" s="84"/>
      <c r="C956" s="84"/>
      <c r="D956" s="85"/>
      <c r="E956" s="85"/>
      <c r="F956" s="85"/>
      <c r="G956" s="85"/>
      <c r="H956" s="85"/>
      <c r="I956" s="85"/>
      <c r="J956" s="85"/>
      <c r="K956" s="85"/>
      <c r="L956" s="109"/>
      <c r="M956" s="110"/>
      <c r="N956" s="111"/>
      <c r="O956" s="112"/>
      <c r="P956" s="112"/>
      <c r="Q956" s="118"/>
    </row>
    <row r="957" spans="2:17" s="5" customFormat="1" ht="13">
      <c r="B957" s="84"/>
      <c r="C957" s="84"/>
      <c r="D957" s="85"/>
      <c r="E957" s="85"/>
      <c r="F957" s="85"/>
      <c r="G957" s="85"/>
      <c r="H957" s="85"/>
      <c r="I957" s="85"/>
      <c r="J957" s="85"/>
      <c r="K957" s="85"/>
      <c r="L957" s="109"/>
      <c r="M957" s="110"/>
      <c r="N957" s="111"/>
      <c r="O957" s="112"/>
      <c r="P957" s="112"/>
      <c r="Q957" s="118"/>
    </row>
    <row r="958" spans="2:17" s="5" customFormat="1" ht="13">
      <c r="B958" s="84"/>
      <c r="C958" s="84"/>
      <c r="D958" s="85"/>
      <c r="E958" s="85"/>
      <c r="F958" s="85"/>
      <c r="G958" s="85"/>
      <c r="H958" s="85"/>
      <c r="I958" s="85"/>
      <c r="J958" s="85"/>
      <c r="K958" s="85"/>
      <c r="L958" s="109"/>
      <c r="M958" s="110"/>
      <c r="N958" s="111"/>
      <c r="O958" s="112"/>
      <c r="P958" s="112"/>
      <c r="Q958" s="118"/>
    </row>
    <row r="959" spans="2:17" s="5" customFormat="1" ht="13">
      <c r="B959" s="84"/>
      <c r="C959" s="84"/>
      <c r="D959" s="85"/>
      <c r="E959" s="85"/>
      <c r="F959" s="85"/>
      <c r="G959" s="85"/>
      <c r="H959" s="85"/>
      <c r="I959" s="85"/>
      <c r="J959" s="85"/>
      <c r="K959" s="85"/>
      <c r="L959" s="109"/>
      <c r="M959" s="110"/>
      <c r="N959" s="111"/>
      <c r="O959" s="112"/>
      <c r="P959" s="112"/>
      <c r="Q959" s="118"/>
    </row>
    <row r="960" spans="2:17" s="5" customFormat="1" ht="13">
      <c r="B960" s="84"/>
      <c r="C960" s="84"/>
      <c r="D960" s="85"/>
      <c r="E960" s="85"/>
      <c r="F960" s="85"/>
      <c r="G960" s="85"/>
      <c r="H960" s="85"/>
      <c r="I960" s="85"/>
      <c r="J960" s="85"/>
      <c r="K960" s="85"/>
      <c r="L960" s="109"/>
      <c r="M960" s="110"/>
      <c r="N960" s="111"/>
      <c r="O960" s="112"/>
      <c r="P960" s="112"/>
      <c r="Q960" s="118"/>
    </row>
    <row r="961" spans="2:17" s="5" customFormat="1" ht="13">
      <c r="B961" s="84"/>
      <c r="C961" s="84"/>
      <c r="D961" s="85"/>
      <c r="E961" s="85"/>
      <c r="F961" s="85"/>
      <c r="G961" s="85"/>
      <c r="H961" s="85"/>
      <c r="I961" s="85"/>
      <c r="J961" s="85"/>
      <c r="K961" s="85"/>
      <c r="L961" s="109"/>
      <c r="M961" s="110"/>
      <c r="N961" s="111"/>
      <c r="O961" s="112"/>
      <c r="P961" s="112"/>
      <c r="Q961" s="118"/>
    </row>
    <row r="962" spans="2:17" s="5" customFormat="1" ht="13">
      <c r="B962" s="84"/>
      <c r="C962" s="84"/>
      <c r="D962" s="85"/>
      <c r="E962" s="85"/>
      <c r="F962" s="85"/>
      <c r="G962" s="85"/>
      <c r="H962" s="85"/>
      <c r="I962" s="85"/>
      <c r="J962" s="85"/>
      <c r="K962" s="85"/>
      <c r="L962" s="109"/>
      <c r="M962" s="110"/>
      <c r="N962" s="111"/>
      <c r="O962" s="112"/>
      <c r="P962" s="112"/>
      <c r="Q962" s="118"/>
    </row>
    <row r="963" spans="2:17" s="5" customFormat="1" ht="13">
      <c r="B963" s="84"/>
      <c r="C963" s="84"/>
      <c r="D963" s="85"/>
      <c r="E963" s="85"/>
      <c r="F963" s="85"/>
      <c r="G963" s="85"/>
      <c r="H963" s="85"/>
      <c r="I963" s="85"/>
      <c r="J963" s="85"/>
      <c r="K963" s="85"/>
      <c r="L963" s="109"/>
      <c r="M963" s="110"/>
      <c r="N963" s="111"/>
      <c r="O963" s="112"/>
      <c r="P963" s="112"/>
      <c r="Q963" s="118"/>
    </row>
    <row r="964" spans="2:17" s="5" customFormat="1" ht="13">
      <c r="B964" s="84"/>
      <c r="C964" s="84"/>
      <c r="D964" s="85"/>
      <c r="E964" s="85"/>
      <c r="F964" s="85"/>
      <c r="G964" s="85"/>
      <c r="H964" s="85"/>
      <c r="I964" s="85"/>
      <c r="J964" s="85"/>
      <c r="K964" s="85"/>
      <c r="L964" s="109"/>
      <c r="M964" s="110"/>
      <c r="N964" s="111"/>
      <c r="O964" s="112"/>
      <c r="P964" s="112"/>
      <c r="Q964" s="118"/>
    </row>
    <row r="965" spans="2:17" s="5" customFormat="1" ht="13">
      <c r="B965" s="84"/>
      <c r="C965" s="84"/>
      <c r="D965" s="85"/>
      <c r="E965" s="85"/>
      <c r="F965" s="85"/>
      <c r="G965" s="85"/>
      <c r="H965" s="85"/>
      <c r="I965" s="85"/>
      <c r="J965" s="85"/>
      <c r="K965" s="85"/>
      <c r="L965" s="109"/>
      <c r="M965" s="110"/>
      <c r="N965" s="111"/>
      <c r="O965" s="112"/>
      <c r="P965" s="112"/>
      <c r="Q965" s="118"/>
    </row>
    <row r="966" spans="2:17" s="5" customFormat="1" ht="13">
      <c r="B966" s="84"/>
      <c r="C966" s="84"/>
      <c r="D966" s="85"/>
      <c r="E966" s="85"/>
      <c r="F966" s="85"/>
      <c r="G966" s="85"/>
      <c r="H966" s="85"/>
      <c r="I966" s="85"/>
      <c r="J966" s="85"/>
      <c r="K966" s="85"/>
      <c r="L966" s="109"/>
      <c r="M966" s="110"/>
      <c r="N966" s="111"/>
      <c r="O966" s="112"/>
      <c r="P966" s="112"/>
      <c r="Q966" s="118"/>
    </row>
    <row r="967" spans="2:17" s="5" customFormat="1" ht="13">
      <c r="B967" s="84"/>
      <c r="C967" s="84"/>
      <c r="D967" s="85"/>
      <c r="E967" s="85"/>
      <c r="F967" s="85"/>
      <c r="G967" s="85"/>
      <c r="H967" s="85"/>
      <c r="I967" s="85"/>
      <c r="J967" s="85"/>
      <c r="K967" s="85"/>
      <c r="L967" s="109"/>
      <c r="M967" s="110"/>
      <c r="N967" s="111"/>
      <c r="O967" s="112"/>
      <c r="P967" s="112"/>
      <c r="Q967" s="118"/>
    </row>
    <row r="968" spans="2:17" s="5" customFormat="1" ht="13">
      <c r="B968" s="84"/>
      <c r="C968" s="84"/>
      <c r="D968" s="85"/>
      <c r="E968" s="85"/>
      <c r="F968" s="85"/>
      <c r="G968" s="85"/>
      <c r="H968" s="85"/>
      <c r="I968" s="85"/>
      <c r="J968" s="85"/>
      <c r="K968" s="85"/>
      <c r="L968" s="109"/>
      <c r="M968" s="110"/>
      <c r="N968" s="111"/>
      <c r="O968" s="112"/>
      <c r="P968" s="112"/>
      <c r="Q968" s="118"/>
    </row>
    <row r="969" spans="2:17" s="5" customFormat="1" ht="13">
      <c r="B969" s="84"/>
      <c r="C969" s="84"/>
      <c r="D969" s="85"/>
      <c r="E969" s="85"/>
      <c r="F969" s="85"/>
      <c r="G969" s="85"/>
      <c r="H969" s="85"/>
      <c r="I969" s="85"/>
      <c r="J969" s="85"/>
      <c r="K969" s="85"/>
      <c r="L969" s="109"/>
      <c r="M969" s="110"/>
      <c r="N969" s="111"/>
      <c r="O969" s="112"/>
      <c r="P969" s="112"/>
      <c r="Q969" s="118"/>
    </row>
    <row r="970" spans="2:17" s="5" customFormat="1" ht="13">
      <c r="B970" s="84"/>
      <c r="C970" s="84"/>
      <c r="D970" s="85"/>
      <c r="E970" s="85"/>
      <c r="F970" s="85"/>
      <c r="G970" s="85"/>
      <c r="H970" s="85"/>
      <c r="I970" s="85"/>
      <c r="J970" s="85"/>
      <c r="K970" s="85"/>
      <c r="L970" s="109"/>
      <c r="M970" s="110"/>
      <c r="N970" s="111"/>
      <c r="O970" s="112"/>
      <c r="P970" s="112"/>
      <c r="Q970" s="118"/>
    </row>
    <row r="971" spans="2:17" s="5" customFormat="1" ht="13">
      <c r="B971" s="84"/>
      <c r="C971" s="84"/>
      <c r="D971" s="85"/>
      <c r="E971" s="85"/>
      <c r="F971" s="85"/>
      <c r="G971" s="85"/>
      <c r="H971" s="85"/>
      <c r="I971" s="85"/>
      <c r="J971" s="85"/>
      <c r="K971" s="85"/>
      <c r="L971" s="109"/>
      <c r="M971" s="110"/>
      <c r="N971" s="111"/>
      <c r="O971" s="112"/>
      <c r="P971" s="112"/>
      <c r="Q971" s="118"/>
    </row>
    <row r="972" spans="2:17" s="5" customFormat="1" ht="13">
      <c r="B972" s="84"/>
      <c r="C972" s="84"/>
      <c r="D972" s="85"/>
      <c r="E972" s="85"/>
      <c r="F972" s="85"/>
      <c r="G972" s="85"/>
      <c r="H972" s="85"/>
      <c r="I972" s="85"/>
      <c r="J972" s="85"/>
      <c r="K972" s="85"/>
      <c r="L972" s="109"/>
      <c r="M972" s="110"/>
      <c r="N972" s="111"/>
      <c r="O972" s="112"/>
      <c r="P972" s="112"/>
      <c r="Q972" s="118"/>
    </row>
    <row r="973" spans="2:17" s="5" customFormat="1" ht="13">
      <c r="B973" s="84"/>
      <c r="C973" s="84"/>
      <c r="D973" s="85"/>
      <c r="E973" s="85"/>
      <c r="F973" s="85"/>
      <c r="G973" s="85"/>
      <c r="H973" s="85"/>
      <c r="I973" s="85"/>
      <c r="J973" s="85"/>
      <c r="K973" s="85"/>
      <c r="L973" s="109"/>
      <c r="M973" s="110"/>
      <c r="N973" s="111"/>
      <c r="O973" s="112"/>
      <c r="P973" s="112"/>
      <c r="Q973" s="118"/>
    </row>
    <row r="974" spans="2:17" s="5" customFormat="1" ht="13">
      <c r="B974" s="84"/>
      <c r="C974" s="84"/>
      <c r="D974" s="85"/>
      <c r="E974" s="85"/>
      <c r="F974" s="85"/>
      <c r="G974" s="85"/>
      <c r="H974" s="85"/>
      <c r="I974" s="85"/>
      <c r="J974" s="85"/>
      <c r="K974" s="85"/>
      <c r="L974" s="109"/>
      <c r="M974" s="110"/>
      <c r="N974" s="111"/>
      <c r="O974" s="112"/>
      <c r="P974" s="112"/>
      <c r="Q974" s="118"/>
    </row>
    <row r="975" spans="2:17" s="5" customFormat="1" ht="13">
      <c r="B975" s="84"/>
      <c r="C975" s="84"/>
      <c r="D975" s="85"/>
      <c r="E975" s="85"/>
      <c r="F975" s="85"/>
      <c r="G975" s="85"/>
      <c r="H975" s="85"/>
      <c r="I975" s="85"/>
      <c r="J975" s="85"/>
      <c r="K975" s="85"/>
      <c r="L975" s="109"/>
      <c r="M975" s="110"/>
      <c r="N975" s="111"/>
      <c r="O975" s="112"/>
      <c r="P975" s="112"/>
      <c r="Q975" s="118"/>
    </row>
    <row r="976" spans="2:17" s="5" customFormat="1" ht="13">
      <c r="B976" s="84"/>
      <c r="C976" s="84"/>
      <c r="D976" s="85"/>
      <c r="E976" s="85"/>
      <c r="F976" s="85"/>
      <c r="G976" s="85"/>
      <c r="H976" s="85"/>
      <c r="I976" s="85"/>
      <c r="J976" s="85"/>
      <c r="K976" s="85"/>
      <c r="L976" s="109"/>
      <c r="M976" s="110"/>
      <c r="N976" s="111"/>
      <c r="O976" s="112"/>
      <c r="P976" s="112"/>
      <c r="Q976" s="118"/>
    </row>
    <row r="977" spans="2:17" s="5" customFormat="1" ht="13">
      <c r="B977" s="84"/>
      <c r="C977" s="84"/>
      <c r="D977" s="85"/>
      <c r="E977" s="85"/>
      <c r="F977" s="85"/>
      <c r="G977" s="85"/>
      <c r="H977" s="85"/>
      <c r="I977" s="85"/>
      <c r="J977" s="85"/>
      <c r="K977" s="85"/>
      <c r="L977" s="109"/>
      <c r="M977" s="110"/>
      <c r="N977" s="111"/>
      <c r="O977" s="112"/>
      <c r="P977" s="112"/>
      <c r="Q977" s="118"/>
    </row>
    <row r="978" spans="2:17" s="5" customFormat="1" ht="13">
      <c r="B978" s="84"/>
      <c r="C978" s="84"/>
      <c r="D978" s="85"/>
      <c r="E978" s="85"/>
      <c r="F978" s="85"/>
      <c r="G978" s="85"/>
      <c r="H978" s="85"/>
      <c r="I978" s="85"/>
      <c r="J978" s="85"/>
      <c r="K978" s="85"/>
      <c r="L978" s="109"/>
      <c r="M978" s="110"/>
      <c r="N978" s="111"/>
      <c r="O978" s="112"/>
      <c r="P978" s="112"/>
      <c r="Q978" s="118"/>
    </row>
    <row r="979" spans="2:17" s="5" customFormat="1" ht="13">
      <c r="B979" s="84"/>
      <c r="C979" s="84"/>
      <c r="D979" s="85"/>
      <c r="E979" s="85"/>
      <c r="F979" s="85"/>
      <c r="G979" s="85"/>
      <c r="H979" s="85"/>
      <c r="I979" s="85"/>
      <c r="J979" s="85"/>
      <c r="K979" s="85"/>
      <c r="L979" s="109"/>
      <c r="M979" s="110"/>
      <c r="N979" s="111"/>
      <c r="O979" s="112"/>
      <c r="P979" s="112"/>
      <c r="Q979" s="118"/>
    </row>
    <row r="980" spans="2:17" s="5" customFormat="1" ht="13">
      <c r="B980" s="84"/>
      <c r="C980" s="84"/>
      <c r="D980" s="85"/>
      <c r="E980" s="85"/>
      <c r="F980" s="85"/>
      <c r="G980" s="85"/>
      <c r="H980" s="85"/>
      <c r="I980" s="85"/>
      <c r="J980" s="85"/>
      <c r="K980" s="85"/>
      <c r="L980" s="109"/>
      <c r="M980" s="110"/>
      <c r="N980" s="111"/>
      <c r="O980" s="112"/>
      <c r="P980" s="112"/>
      <c r="Q980" s="118"/>
    </row>
    <row r="981" spans="2:17" s="5" customFormat="1" ht="13">
      <c r="B981" s="84"/>
      <c r="C981" s="84"/>
      <c r="D981" s="85"/>
      <c r="E981" s="85"/>
      <c r="F981" s="85"/>
      <c r="G981" s="85"/>
      <c r="H981" s="85"/>
      <c r="I981" s="85"/>
      <c r="J981" s="85"/>
      <c r="K981" s="85"/>
      <c r="L981" s="109"/>
      <c r="M981" s="110"/>
      <c r="N981" s="111"/>
      <c r="O981" s="112"/>
      <c r="P981" s="112"/>
      <c r="Q981" s="118"/>
    </row>
    <row r="982" spans="2:17" s="5" customFormat="1" ht="13">
      <c r="B982" s="84"/>
      <c r="C982" s="84"/>
      <c r="D982" s="85"/>
      <c r="E982" s="85"/>
      <c r="F982" s="85"/>
      <c r="G982" s="85"/>
      <c r="H982" s="85"/>
      <c r="I982" s="85"/>
      <c r="J982" s="85"/>
      <c r="K982" s="85"/>
      <c r="L982" s="109"/>
      <c r="M982" s="110"/>
      <c r="N982" s="111"/>
      <c r="O982" s="112"/>
      <c r="P982" s="112"/>
      <c r="Q982" s="118"/>
    </row>
    <row r="983" spans="2:17" s="5" customFormat="1" ht="13">
      <c r="B983" s="84"/>
      <c r="C983" s="84"/>
      <c r="D983" s="85"/>
      <c r="E983" s="85"/>
      <c r="F983" s="85"/>
      <c r="G983" s="85"/>
      <c r="H983" s="85"/>
      <c r="I983" s="85"/>
      <c r="J983" s="85"/>
      <c r="K983" s="85"/>
      <c r="L983" s="109"/>
      <c r="M983" s="110"/>
      <c r="N983" s="111"/>
      <c r="O983" s="112"/>
      <c r="P983" s="112"/>
      <c r="Q983" s="118"/>
    </row>
    <row r="984" spans="2:17" s="5" customFormat="1" ht="13">
      <c r="B984" s="84"/>
      <c r="C984" s="84"/>
      <c r="D984" s="85"/>
      <c r="E984" s="85"/>
      <c r="F984" s="85"/>
      <c r="G984" s="85"/>
      <c r="H984" s="85"/>
      <c r="I984" s="85"/>
      <c r="J984" s="85"/>
      <c r="K984" s="85"/>
      <c r="L984" s="109"/>
      <c r="M984" s="110"/>
      <c r="N984" s="111"/>
      <c r="O984" s="112"/>
      <c r="P984" s="112"/>
      <c r="Q984" s="118"/>
    </row>
    <row r="985" spans="2:17" s="5" customFormat="1" ht="13">
      <c r="B985" s="84"/>
      <c r="C985" s="84"/>
      <c r="D985" s="85"/>
      <c r="E985" s="85"/>
      <c r="F985" s="85"/>
      <c r="G985" s="85"/>
      <c r="H985" s="85"/>
      <c r="I985" s="85"/>
      <c r="J985" s="85"/>
      <c r="K985" s="85"/>
      <c r="L985" s="109"/>
      <c r="M985" s="110"/>
      <c r="N985" s="111"/>
      <c r="O985" s="112"/>
      <c r="P985" s="112"/>
      <c r="Q985" s="118"/>
    </row>
    <row r="986" spans="2:17" s="5" customFormat="1" ht="13">
      <c r="B986" s="84"/>
      <c r="C986" s="84"/>
      <c r="D986" s="85"/>
      <c r="E986" s="85"/>
      <c r="F986" s="85"/>
      <c r="G986" s="85"/>
      <c r="H986" s="85"/>
      <c r="I986" s="85"/>
      <c r="J986" s="85"/>
      <c r="K986" s="85"/>
      <c r="L986" s="109"/>
      <c r="M986" s="110"/>
      <c r="N986" s="111"/>
      <c r="O986" s="112"/>
      <c r="P986" s="112"/>
      <c r="Q986" s="118"/>
    </row>
    <row r="987" spans="2:17" s="5" customFormat="1" ht="13">
      <c r="B987" s="84"/>
      <c r="C987" s="84"/>
      <c r="D987" s="85"/>
      <c r="E987" s="85"/>
      <c r="F987" s="85"/>
      <c r="G987" s="85"/>
      <c r="H987" s="85"/>
      <c r="I987" s="85"/>
      <c r="J987" s="85"/>
      <c r="K987" s="85"/>
      <c r="L987" s="109"/>
      <c r="M987" s="110"/>
      <c r="N987" s="111"/>
      <c r="O987" s="112"/>
      <c r="P987" s="112"/>
      <c r="Q987" s="118"/>
    </row>
    <row r="988" spans="2:17" s="5" customFormat="1" ht="13">
      <c r="B988" s="84"/>
      <c r="C988" s="84"/>
      <c r="D988" s="85"/>
      <c r="E988" s="85"/>
      <c r="F988" s="85"/>
      <c r="G988" s="85"/>
      <c r="H988" s="85"/>
      <c r="I988" s="85"/>
      <c r="J988" s="85"/>
      <c r="K988" s="85"/>
      <c r="L988" s="109"/>
      <c r="M988" s="110"/>
      <c r="N988" s="111"/>
      <c r="O988" s="112"/>
      <c r="P988" s="112"/>
      <c r="Q988" s="118"/>
    </row>
    <row r="989" spans="2:17" s="5" customFormat="1" ht="13">
      <c r="B989" s="84"/>
      <c r="C989" s="84"/>
      <c r="D989" s="85"/>
      <c r="E989" s="85"/>
      <c r="F989" s="85"/>
      <c r="G989" s="85"/>
      <c r="H989" s="85"/>
      <c r="I989" s="85"/>
      <c r="J989" s="85"/>
      <c r="K989" s="85"/>
      <c r="L989" s="109"/>
      <c r="M989" s="110"/>
      <c r="N989" s="111"/>
      <c r="O989" s="112"/>
      <c r="P989" s="112"/>
      <c r="Q989" s="118"/>
    </row>
    <row r="990" spans="2:17" s="5" customFormat="1" ht="13">
      <c r="B990" s="84"/>
      <c r="C990" s="84"/>
      <c r="D990" s="85"/>
      <c r="E990" s="85"/>
      <c r="F990" s="85"/>
      <c r="G990" s="85"/>
      <c r="H990" s="85"/>
      <c r="I990" s="85"/>
      <c r="J990" s="85"/>
      <c r="K990" s="85"/>
      <c r="L990" s="109"/>
      <c r="M990" s="110"/>
      <c r="N990" s="111"/>
      <c r="O990" s="112"/>
      <c r="P990" s="112"/>
      <c r="Q990" s="118"/>
    </row>
    <row r="991" spans="2:17" s="5" customFormat="1" ht="13">
      <c r="B991" s="84"/>
      <c r="C991" s="84"/>
      <c r="D991" s="85"/>
      <c r="E991" s="85"/>
      <c r="F991" s="85"/>
      <c r="G991" s="85"/>
      <c r="H991" s="85"/>
      <c r="I991" s="85"/>
      <c r="J991" s="85"/>
      <c r="K991" s="85"/>
      <c r="L991" s="109"/>
      <c r="M991" s="110"/>
      <c r="N991" s="111"/>
      <c r="O991" s="112"/>
      <c r="P991" s="112"/>
      <c r="Q991" s="118"/>
    </row>
    <row r="992" spans="2:17" s="5" customFormat="1" ht="13">
      <c r="B992" s="84"/>
      <c r="C992" s="84"/>
      <c r="D992" s="85"/>
      <c r="E992" s="85"/>
      <c r="F992" s="85"/>
      <c r="G992" s="85"/>
      <c r="H992" s="85"/>
      <c r="I992" s="85"/>
      <c r="J992" s="85"/>
      <c r="K992" s="85"/>
      <c r="L992" s="109"/>
      <c r="M992" s="110"/>
      <c r="N992" s="111"/>
      <c r="O992" s="112"/>
      <c r="P992" s="112"/>
      <c r="Q992" s="118"/>
    </row>
    <row r="993" spans="2:17" s="5" customFormat="1" ht="13">
      <c r="B993" s="84"/>
      <c r="C993" s="84"/>
      <c r="D993" s="85"/>
      <c r="E993" s="85"/>
      <c r="F993" s="85"/>
      <c r="G993" s="85"/>
      <c r="H993" s="85"/>
      <c r="I993" s="85"/>
      <c r="J993" s="85"/>
      <c r="K993" s="85"/>
      <c r="L993" s="109"/>
      <c r="M993" s="110"/>
      <c r="N993" s="111"/>
      <c r="O993" s="112"/>
      <c r="P993" s="112"/>
      <c r="Q993" s="118"/>
    </row>
    <row r="994" spans="2:17" s="5" customFormat="1" ht="13">
      <c r="B994" s="84"/>
      <c r="C994" s="84"/>
      <c r="D994" s="85"/>
      <c r="E994" s="85"/>
      <c r="F994" s="85"/>
      <c r="G994" s="85"/>
      <c r="H994" s="85"/>
      <c r="I994" s="85"/>
      <c r="J994" s="85"/>
      <c r="K994" s="85"/>
      <c r="L994" s="109"/>
      <c r="M994" s="110"/>
      <c r="N994" s="111"/>
      <c r="O994" s="112"/>
      <c r="P994" s="112"/>
      <c r="Q994" s="118"/>
    </row>
    <row r="995" spans="2:17" s="5" customFormat="1" ht="13">
      <c r="B995" s="84"/>
      <c r="C995" s="84"/>
      <c r="D995" s="85"/>
      <c r="E995" s="85"/>
      <c r="F995" s="85"/>
      <c r="G995" s="85"/>
      <c r="H995" s="85"/>
      <c r="I995" s="85"/>
      <c r="J995" s="85"/>
      <c r="K995" s="85"/>
      <c r="L995" s="109"/>
      <c r="M995" s="110"/>
      <c r="N995" s="111"/>
      <c r="O995" s="112"/>
      <c r="P995" s="112"/>
      <c r="Q995" s="118"/>
    </row>
    <row r="996" spans="2:17" s="5" customFormat="1" ht="13">
      <c r="B996" s="84"/>
      <c r="C996" s="84"/>
      <c r="D996" s="85"/>
      <c r="E996" s="85"/>
      <c r="F996" s="85"/>
      <c r="G996" s="85"/>
      <c r="H996" s="85"/>
      <c r="I996" s="85"/>
      <c r="J996" s="85"/>
      <c r="K996" s="85"/>
      <c r="L996" s="109"/>
      <c r="M996" s="110"/>
      <c r="N996" s="111"/>
      <c r="O996" s="112"/>
      <c r="P996" s="112"/>
      <c r="Q996" s="118"/>
    </row>
    <row r="997" spans="2:17" s="5" customFormat="1" ht="13">
      <c r="B997" s="84"/>
      <c r="C997" s="84"/>
      <c r="D997" s="85"/>
      <c r="E997" s="85"/>
      <c r="F997" s="85"/>
      <c r="G997" s="85"/>
      <c r="H997" s="85"/>
      <c r="I997" s="85"/>
      <c r="J997" s="85"/>
      <c r="K997" s="85"/>
      <c r="L997" s="109"/>
      <c r="M997" s="110"/>
      <c r="N997" s="111"/>
      <c r="O997" s="112"/>
      <c r="P997" s="112"/>
      <c r="Q997" s="118"/>
    </row>
    <row r="998" spans="2:17" s="5" customFormat="1" ht="13">
      <c r="B998" s="84"/>
      <c r="C998" s="84"/>
      <c r="D998" s="85"/>
      <c r="E998" s="85"/>
      <c r="F998" s="85"/>
      <c r="G998" s="85"/>
      <c r="H998" s="85"/>
      <c r="I998" s="85"/>
      <c r="J998" s="85"/>
      <c r="K998" s="85"/>
      <c r="L998" s="109"/>
      <c r="M998" s="110"/>
      <c r="N998" s="111"/>
      <c r="O998" s="112"/>
      <c r="P998" s="112"/>
      <c r="Q998" s="118"/>
    </row>
    <row r="999" spans="2:17" s="5" customFormat="1" ht="13">
      <c r="B999" s="84"/>
      <c r="C999" s="84"/>
      <c r="D999" s="85"/>
      <c r="E999" s="85"/>
      <c r="F999" s="85"/>
      <c r="G999" s="85"/>
      <c r="H999" s="85"/>
      <c r="I999" s="85"/>
      <c r="J999" s="85"/>
      <c r="K999" s="85"/>
      <c r="L999" s="109"/>
      <c r="M999" s="110"/>
      <c r="N999" s="111"/>
      <c r="O999" s="112"/>
      <c r="P999" s="112"/>
      <c r="Q999" s="118"/>
    </row>
    <row r="1000" spans="2:17" s="5" customFormat="1" ht="13">
      <c r="B1000" s="84"/>
      <c r="C1000" s="84"/>
      <c r="D1000" s="85"/>
      <c r="E1000" s="85"/>
      <c r="F1000" s="85"/>
      <c r="G1000" s="85"/>
      <c r="H1000" s="85"/>
      <c r="I1000" s="85"/>
      <c r="J1000" s="85"/>
      <c r="K1000" s="85"/>
      <c r="L1000" s="109"/>
      <c r="M1000" s="110"/>
      <c r="N1000" s="111"/>
      <c r="O1000" s="112"/>
      <c r="P1000" s="112"/>
      <c r="Q1000" s="118"/>
    </row>
    <row r="1001" spans="2:17" s="5" customFormat="1" ht="13">
      <c r="B1001" s="84"/>
      <c r="C1001" s="84"/>
      <c r="D1001" s="85"/>
      <c r="E1001" s="85"/>
      <c r="F1001" s="85"/>
      <c r="G1001" s="85"/>
      <c r="H1001" s="85"/>
      <c r="I1001" s="85"/>
      <c r="J1001" s="85"/>
      <c r="K1001" s="85"/>
      <c r="L1001" s="109"/>
      <c r="M1001" s="110"/>
      <c r="N1001" s="111"/>
      <c r="O1001" s="112"/>
      <c r="P1001" s="112"/>
      <c r="Q1001" s="118"/>
    </row>
    <row r="1002" spans="2:17" s="5" customFormat="1" ht="13">
      <c r="B1002" s="84"/>
      <c r="C1002" s="84"/>
      <c r="D1002" s="85"/>
      <c r="E1002" s="85"/>
      <c r="F1002" s="85"/>
      <c r="G1002" s="85"/>
      <c r="H1002" s="85"/>
      <c r="I1002" s="85"/>
      <c r="J1002" s="85"/>
      <c r="K1002" s="85"/>
      <c r="L1002" s="109"/>
      <c r="M1002" s="110"/>
      <c r="N1002" s="111"/>
      <c r="O1002" s="112"/>
      <c r="P1002" s="112"/>
      <c r="Q1002" s="118"/>
    </row>
    <row r="1003" spans="2:17" s="5" customFormat="1" ht="13">
      <c r="B1003" s="84"/>
      <c r="C1003" s="84"/>
      <c r="D1003" s="85"/>
      <c r="E1003" s="85"/>
      <c r="F1003" s="85"/>
      <c r="G1003" s="85"/>
      <c r="H1003" s="85"/>
      <c r="I1003" s="85"/>
      <c r="J1003" s="85"/>
      <c r="K1003" s="85"/>
      <c r="L1003" s="109"/>
      <c r="M1003" s="110"/>
      <c r="N1003" s="111"/>
      <c r="O1003" s="112"/>
      <c r="P1003" s="112"/>
      <c r="Q1003" s="118"/>
    </row>
    <row r="1004" spans="2:17" s="5" customFormat="1" ht="13">
      <c r="B1004" s="84"/>
      <c r="C1004" s="84"/>
      <c r="D1004" s="85"/>
      <c r="E1004" s="85"/>
      <c r="F1004" s="85"/>
      <c r="G1004" s="85"/>
      <c r="H1004" s="85"/>
      <c r="I1004" s="85"/>
      <c r="J1004" s="85"/>
      <c r="K1004" s="85"/>
      <c r="L1004" s="109"/>
      <c r="M1004" s="110"/>
      <c r="N1004" s="111"/>
      <c r="O1004" s="112"/>
      <c r="P1004" s="112"/>
      <c r="Q1004" s="118"/>
    </row>
    <row r="1005" spans="2:17" s="5" customFormat="1" ht="13">
      <c r="B1005" s="84"/>
      <c r="C1005" s="84"/>
      <c r="D1005" s="85"/>
      <c r="E1005" s="85"/>
      <c r="F1005" s="85"/>
      <c r="G1005" s="85"/>
      <c r="H1005" s="85"/>
      <c r="I1005" s="85"/>
      <c r="J1005" s="85"/>
      <c r="K1005" s="85"/>
      <c r="L1005" s="109"/>
      <c r="M1005" s="110"/>
      <c r="N1005" s="111"/>
      <c r="O1005" s="112"/>
      <c r="P1005" s="112"/>
      <c r="Q1005" s="118"/>
    </row>
    <row r="1006" spans="2:17" s="5" customFormat="1" ht="13">
      <c r="B1006" s="84"/>
      <c r="C1006" s="84"/>
      <c r="D1006" s="85"/>
      <c r="E1006" s="85"/>
      <c r="F1006" s="85"/>
      <c r="G1006" s="85"/>
      <c r="H1006" s="85"/>
      <c r="I1006" s="85"/>
      <c r="J1006" s="85"/>
      <c r="K1006" s="85"/>
      <c r="L1006" s="109"/>
      <c r="M1006" s="110"/>
      <c r="N1006" s="111"/>
      <c r="O1006" s="112"/>
      <c r="P1006" s="112"/>
      <c r="Q1006" s="118"/>
    </row>
    <row r="1007" spans="2:17" s="5" customFormat="1" ht="13">
      <c r="B1007" s="84"/>
      <c r="C1007" s="84"/>
      <c r="D1007" s="85"/>
      <c r="E1007" s="85"/>
      <c r="F1007" s="85"/>
      <c r="G1007" s="85"/>
      <c r="H1007" s="85"/>
      <c r="I1007" s="85"/>
      <c r="J1007" s="85"/>
      <c r="K1007" s="85"/>
      <c r="L1007" s="109"/>
      <c r="M1007" s="110"/>
      <c r="N1007" s="111"/>
      <c r="O1007" s="112"/>
      <c r="P1007" s="112"/>
      <c r="Q1007" s="118"/>
    </row>
    <row r="1008" spans="2:17" s="5" customFormat="1" ht="13">
      <c r="B1008" s="84"/>
      <c r="C1008" s="84"/>
      <c r="D1008" s="85"/>
      <c r="E1008" s="85"/>
      <c r="F1008" s="85"/>
      <c r="G1008" s="85"/>
      <c r="H1008" s="85"/>
      <c r="I1008" s="85"/>
      <c r="J1008" s="85"/>
      <c r="K1008" s="85"/>
      <c r="L1008" s="109"/>
      <c r="M1008" s="110"/>
      <c r="N1008" s="111"/>
      <c r="O1008" s="112"/>
      <c r="P1008" s="112"/>
      <c r="Q1008" s="118"/>
    </row>
    <row r="1009" spans="2:17" s="5" customFormat="1" ht="13">
      <c r="B1009" s="84"/>
      <c r="C1009" s="84"/>
      <c r="D1009" s="85"/>
      <c r="E1009" s="85"/>
      <c r="F1009" s="85"/>
      <c r="G1009" s="85"/>
      <c r="H1009" s="85"/>
      <c r="I1009" s="85"/>
      <c r="J1009" s="85"/>
      <c r="K1009" s="85"/>
      <c r="L1009" s="109"/>
      <c r="M1009" s="110"/>
      <c r="N1009" s="111"/>
      <c r="O1009" s="112"/>
      <c r="P1009" s="112"/>
      <c r="Q1009" s="118"/>
    </row>
    <row r="1010" spans="2:17" s="5" customFormat="1" ht="13">
      <c r="B1010" s="84"/>
      <c r="C1010" s="84"/>
      <c r="D1010" s="85"/>
      <c r="E1010" s="85"/>
      <c r="F1010" s="85"/>
      <c r="G1010" s="85"/>
      <c r="H1010" s="85"/>
      <c r="I1010" s="85"/>
      <c r="J1010" s="85"/>
      <c r="K1010" s="85"/>
      <c r="L1010" s="109"/>
      <c r="M1010" s="110"/>
      <c r="N1010" s="111"/>
      <c r="O1010" s="112"/>
      <c r="P1010" s="112"/>
      <c r="Q1010" s="118"/>
    </row>
    <row r="1011" spans="2:17" s="5" customFormat="1" ht="13">
      <c r="B1011" s="84"/>
      <c r="C1011" s="84"/>
      <c r="D1011" s="85"/>
      <c r="E1011" s="85"/>
      <c r="F1011" s="85"/>
      <c r="G1011" s="85"/>
      <c r="H1011" s="85"/>
      <c r="I1011" s="85"/>
      <c r="J1011" s="85"/>
      <c r="K1011" s="85"/>
      <c r="L1011" s="109"/>
      <c r="M1011" s="110"/>
      <c r="N1011" s="111"/>
      <c r="O1011" s="112"/>
      <c r="P1011" s="112"/>
      <c r="Q1011" s="118"/>
    </row>
    <row r="1012" spans="2:17" s="5" customFormat="1" ht="13">
      <c r="B1012" s="84"/>
      <c r="C1012" s="84"/>
      <c r="D1012" s="85"/>
      <c r="E1012" s="85"/>
      <c r="F1012" s="85"/>
      <c r="G1012" s="85"/>
      <c r="H1012" s="85"/>
      <c r="I1012" s="85"/>
      <c r="J1012" s="85"/>
      <c r="K1012" s="85"/>
      <c r="L1012" s="109"/>
      <c r="M1012" s="110"/>
      <c r="N1012" s="111"/>
      <c r="O1012" s="112"/>
      <c r="P1012" s="112"/>
      <c r="Q1012" s="118"/>
    </row>
    <row r="1013" spans="2:17" s="5" customFormat="1" ht="13">
      <c r="B1013" s="84"/>
      <c r="C1013" s="84"/>
      <c r="D1013" s="85"/>
      <c r="E1013" s="85"/>
      <c r="F1013" s="85"/>
      <c r="G1013" s="85"/>
      <c r="H1013" s="85"/>
      <c r="I1013" s="85"/>
      <c r="J1013" s="85"/>
      <c r="K1013" s="85"/>
      <c r="L1013" s="109"/>
      <c r="M1013" s="110"/>
      <c r="N1013" s="111"/>
      <c r="O1013" s="112"/>
      <c r="P1013" s="112"/>
      <c r="Q1013" s="118"/>
    </row>
    <row r="1014" spans="2:17" s="5" customFormat="1" ht="13">
      <c r="B1014" s="84"/>
      <c r="C1014" s="84"/>
      <c r="D1014" s="85"/>
      <c r="E1014" s="85"/>
      <c r="F1014" s="85"/>
      <c r="G1014" s="85"/>
      <c r="H1014" s="85"/>
      <c r="I1014" s="85"/>
      <c r="J1014" s="85"/>
      <c r="K1014" s="85"/>
      <c r="L1014" s="109"/>
      <c r="M1014" s="110"/>
      <c r="N1014" s="111"/>
      <c r="O1014" s="112"/>
      <c r="P1014" s="112"/>
      <c r="Q1014" s="118"/>
    </row>
    <row r="1015" spans="2:17" s="5" customFormat="1" ht="13">
      <c r="B1015" s="84"/>
      <c r="C1015" s="84"/>
      <c r="D1015" s="85"/>
      <c r="E1015" s="85"/>
      <c r="F1015" s="85"/>
      <c r="G1015" s="85"/>
      <c r="H1015" s="85"/>
      <c r="I1015" s="85"/>
      <c r="J1015" s="85"/>
      <c r="K1015" s="85"/>
      <c r="L1015" s="109"/>
      <c r="M1015" s="110"/>
      <c r="N1015" s="111"/>
      <c r="O1015" s="112"/>
      <c r="P1015" s="112"/>
      <c r="Q1015" s="118"/>
    </row>
    <row r="1016" spans="2:17" s="5" customFormat="1" ht="13">
      <c r="B1016" s="84"/>
      <c r="C1016" s="84"/>
      <c r="D1016" s="85"/>
      <c r="E1016" s="85"/>
      <c r="F1016" s="85"/>
      <c r="G1016" s="85"/>
      <c r="H1016" s="85"/>
      <c r="I1016" s="85"/>
      <c r="J1016" s="85"/>
      <c r="K1016" s="85"/>
      <c r="L1016" s="109"/>
      <c r="M1016" s="110"/>
      <c r="N1016" s="111"/>
      <c r="O1016" s="112"/>
      <c r="P1016" s="112"/>
      <c r="Q1016" s="118"/>
    </row>
    <row r="1017" spans="2:17" s="5" customFormat="1" ht="13">
      <c r="B1017" s="84"/>
      <c r="C1017" s="84"/>
      <c r="D1017" s="85"/>
      <c r="E1017" s="85"/>
      <c r="F1017" s="85"/>
      <c r="G1017" s="85"/>
      <c r="H1017" s="85"/>
      <c r="I1017" s="85"/>
      <c r="J1017" s="85"/>
      <c r="K1017" s="85"/>
      <c r="L1017" s="109"/>
      <c r="M1017" s="110"/>
      <c r="N1017" s="111"/>
      <c r="O1017" s="112"/>
      <c r="P1017" s="112"/>
      <c r="Q1017" s="118"/>
    </row>
    <row r="1018" spans="2:17" s="5" customFormat="1" ht="13">
      <c r="B1018" s="84"/>
      <c r="C1018" s="84"/>
      <c r="D1018" s="85"/>
      <c r="E1018" s="85"/>
      <c r="F1018" s="85"/>
      <c r="G1018" s="85"/>
      <c r="H1018" s="85"/>
      <c r="I1018" s="85"/>
      <c r="J1018" s="85"/>
      <c r="K1018" s="85"/>
      <c r="L1018" s="109"/>
      <c r="M1018" s="110"/>
      <c r="N1018" s="111"/>
      <c r="O1018" s="112"/>
      <c r="P1018" s="112"/>
      <c r="Q1018" s="118"/>
    </row>
    <row r="1019" spans="2:17" s="5" customFormat="1" ht="13">
      <c r="B1019" s="84"/>
      <c r="C1019" s="84"/>
      <c r="D1019" s="85"/>
      <c r="E1019" s="85"/>
      <c r="F1019" s="85"/>
      <c r="G1019" s="85"/>
      <c r="H1019" s="85"/>
      <c r="I1019" s="85"/>
      <c r="J1019" s="85"/>
      <c r="K1019" s="85"/>
      <c r="L1019" s="109"/>
      <c r="M1019" s="110"/>
      <c r="N1019" s="111"/>
      <c r="O1019" s="112"/>
      <c r="P1019" s="112"/>
      <c r="Q1019" s="118"/>
    </row>
    <row r="1020" spans="2:17" s="5" customFormat="1" ht="13">
      <c r="B1020" s="84"/>
      <c r="C1020" s="84"/>
      <c r="D1020" s="85"/>
      <c r="E1020" s="85"/>
      <c r="F1020" s="85"/>
      <c r="G1020" s="85"/>
      <c r="H1020" s="85"/>
      <c r="I1020" s="85"/>
      <c r="J1020" s="85"/>
      <c r="K1020" s="85"/>
      <c r="L1020" s="109"/>
      <c r="M1020" s="110"/>
      <c r="N1020" s="111"/>
      <c r="O1020" s="112"/>
      <c r="P1020" s="112"/>
      <c r="Q1020" s="118"/>
    </row>
    <row r="1021" spans="2:17" s="5" customFormat="1" ht="13">
      <c r="B1021" s="84"/>
      <c r="C1021" s="84"/>
      <c r="D1021" s="85"/>
      <c r="E1021" s="85"/>
      <c r="F1021" s="85"/>
      <c r="G1021" s="85"/>
      <c r="H1021" s="85"/>
      <c r="I1021" s="85"/>
      <c r="J1021" s="85"/>
      <c r="K1021" s="85"/>
      <c r="L1021" s="109"/>
      <c r="M1021" s="110"/>
      <c r="N1021" s="111"/>
      <c r="O1021" s="112"/>
      <c r="P1021" s="112"/>
      <c r="Q1021" s="118"/>
    </row>
    <row r="1022" spans="2:17" s="5" customFormat="1" ht="13">
      <c r="B1022" s="84"/>
      <c r="C1022" s="84"/>
      <c r="D1022" s="85"/>
      <c r="E1022" s="85"/>
      <c r="F1022" s="85"/>
      <c r="G1022" s="85"/>
      <c r="H1022" s="85"/>
      <c r="I1022" s="85"/>
      <c r="J1022" s="85"/>
      <c r="K1022" s="85"/>
      <c r="L1022" s="109"/>
      <c r="M1022" s="110"/>
      <c r="N1022" s="111"/>
      <c r="O1022" s="112"/>
      <c r="P1022" s="112"/>
      <c r="Q1022" s="118"/>
    </row>
    <row r="1023" spans="2:17" s="5" customFormat="1" ht="13">
      <c r="B1023" s="84"/>
      <c r="C1023" s="84"/>
      <c r="D1023" s="85"/>
      <c r="E1023" s="85"/>
      <c r="F1023" s="85"/>
      <c r="G1023" s="85"/>
      <c r="H1023" s="85"/>
      <c r="I1023" s="85"/>
      <c r="J1023" s="85"/>
      <c r="K1023" s="85"/>
      <c r="L1023" s="109"/>
      <c r="M1023" s="110"/>
      <c r="N1023" s="111"/>
      <c r="O1023" s="112"/>
      <c r="P1023" s="112"/>
      <c r="Q1023" s="118"/>
    </row>
    <row r="1024" spans="2:17" s="5" customFormat="1" ht="13">
      <c r="B1024" s="84"/>
      <c r="C1024" s="84"/>
      <c r="D1024" s="85"/>
      <c r="E1024" s="85"/>
      <c r="F1024" s="85"/>
      <c r="G1024" s="85"/>
      <c r="H1024" s="85"/>
      <c r="I1024" s="85"/>
      <c r="J1024" s="85"/>
      <c r="K1024" s="85"/>
      <c r="L1024" s="109"/>
      <c r="M1024" s="110"/>
      <c r="N1024" s="111"/>
      <c r="O1024" s="112"/>
      <c r="P1024" s="112"/>
      <c r="Q1024" s="118"/>
    </row>
    <row r="1025" spans="2:17" s="5" customFormat="1" ht="13">
      <c r="B1025" s="84"/>
      <c r="C1025" s="84"/>
      <c r="D1025" s="85"/>
      <c r="E1025" s="85"/>
      <c r="F1025" s="85"/>
      <c r="G1025" s="85"/>
      <c r="H1025" s="85"/>
      <c r="I1025" s="85"/>
      <c r="J1025" s="85"/>
      <c r="K1025" s="85"/>
      <c r="L1025" s="109"/>
      <c r="M1025" s="110"/>
      <c r="N1025" s="111"/>
      <c r="O1025" s="112"/>
      <c r="P1025" s="112"/>
      <c r="Q1025" s="118"/>
    </row>
    <row r="1026" spans="2:17" s="5" customFormat="1" ht="13">
      <c r="B1026" s="84"/>
      <c r="C1026" s="84"/>
      <c r="D1026" s="85"/>
      <c r="E1026" s="85"/>
      <c r="F1026" s="85"/>
      <c r="G1026" s="85"/>
      <c r="H1026" s="85"/>
      <c r="I1026" s="85"/>
      <c r="J1026" s="85"/>
      <c r="K1026" s="85"/>
      <c r="L1026" s="109"/>
      <c r="M1026" s="110"/>
      <c r="N1026" s="111"/>
      <c r="O1026" s="112"/>
      <c r="P1026" s="112"/>
      <c r="Q1026" s="118"/>
    </row>
    <row r="1027" spans="2:17" s="5" customFormat="1" ht="13">
      <c r="B1027" s="84"/>
      <c r="C1027" s="84"/>
      <c r="D1027" s="85"/>
      <c r="E1027" s="85"/>
      <c r="F1027" s="85"/>
      <c r="G1027" s="85"/>
      <c r="H1027" s="85"/>
      <c r="I1027" s="85"/>
      <c r="J1027" s="85"/>
      <c r="K1027" s="85"/>
      <c r="L1027" s="109"/>
      <c r="M1027" s="110"/>
      <c r="N1027" s="111"/>
      <c r="O1027" s="112"/>
      <c r="P1027" s="112"/>
      <c r="Q1027" s="118"/>
    </row>
    <row r="1028" spans="2:17" s="5" customFormat="1" ht="13">
      <c r="B1028" s="84"/>
      <c r="C1028" s="84"/>
      <c r="D1028" s="85"/>
      <c r="E1028" s="85"/>
      <c r="F1028" s="85"/>
      <c r="G1028" s="85"/>
      <c r="H1028" s="85"/>
      <c r="I1028" s="85"/>
      <c r="J1028" s="85"/>
      <c r="K1028" s="85"/>
      <c r="L1028" s="109"/>
      <c r="M1028" s="110"/>
      <c r="N1028" s="111"/>
      <c r="O1028" s="112"/>
      <c r="P1028" s="112"/>
      <c r="Q1028" s="118"/>
    </row>
    <row r="1029" spans="2:17" s="5" customFormat="1" ht="13">
      <c r="B1029" s="84"/>
      <c r="C1029" s="84"/>
      <c r="D1029" s="85"/>
      <c r="E1029" s="85"/>
      <c r="F1029" s="85"/>
      <c r="G1029" s="85"/>
      <c r="H1029" s="85"/>
      <c r="I1029" s="85"/>
      <c r="J1029" s="85"/>
      <c r="K1029" s="85"/>
      <c r="L1029" s="109"/>
      <c r="M1029" s="110"/>
      <c r="N1029" s="111"/>
      <c r="O1029" s="112"/>
      <c r="P1029" s="112"/>
      <c r="Q1029" s="118"/>
    </row>
    <row r="1030" spans="2:17" s="5" customFormat="1" ht="13">
      <c r="B1030" s="84"/>
      <c r="C1030" s="84"/>
      <c r="D1030" s="85"/>
      <c r="E1030" s="85"/>
      <c r="F1030" s="85"/>
      <c r="G1030" s="85"/>
      <c r="H1030" s="85"/>
      <c r="I1030" s="85"/>
      <c r="J1030" s="85"/>
      <c r="K1030" s="85"/>
      <c r="L1030" s="109"/>
      <c r="M1030" s="110"/>
      <c r="N1030" s="111"/>
      <c r="O1030" s="112"/>
      <c r="P1030" s="112"/>
      <c r="Q1030" s="118"/>
    </row>
    <row r="1031" spans="2:17" s="5" customFormat="1" ht="13">
      <c r="B1031" s="84"/>
      <c r="C1031" s="84"/>
      <c r="D1031" s="85"/>
      <c r="E1031" s="85"/>
      <c r="F1031" s="85"/>
      <c r="G1031" s="85"/>
      <c r="H1031" s="85"/>
      <c r="I1031" s="85"/>
      <c r="J1031" s="85"/>
      <c r="K1031" s="85"/>
      <c r="L1031" s="109"/>
      <c r="M1031" s="110"/>
      <c r="N1031" s="111"/>
      <c r="O1031" s="112"/>
      <c r="P1031" s="112"/>
      <c r="Q1031" s="118"/>
    </row>
    <row r="1032" spans="2:17" s="5" customFormat="1" ht="13">
      <c r="B1032" s="84"/>
      <c r="C1032" s="84"/>
      <c r="D1032" s="85"/>
      <c r="E1032" s="85"/>
      <c r="F1032" s="85"/>
      <c r="G1032" s="85"/>
      <c r="H1032" s="85"/>
      <c r="I1032" s="85"/>
      <c r="J1032" s="85"/>
      <c r="K1032" s="85"/>
      <c r="L1032" s="109"/>
      <c r="M1032" s="110"/>
      <c r="N1032" s="111"/>
      <c r="O1032" s="112"/>
      <c r="P1032" s="112"/>
      <c r="Q1032" s="118"/>
    </row>
    <row r="1033" spans="2:17" s="5" customFormat="1" ht="13">
      <c r="B1033" s="84"/>
      <c r="C1033" s="84"/>
      <c r="D1033" s="85"/>
      <c r="E1033" s="85"/>
      <c r="F1033" s="85"/>
      <c r="G1033" s="85"/>
      <c r="H1033" s="85"/>
      <c r="I1033" s="85"/>
      <c r="J1033" s="85"/>
      <c r="K1033" s="85"/>
      <c r="L1033" s="109"/>
      <c r="M1033" s="110"/>
      <c r="N1033" s="111"/>
      <c r="O1033" s="112"/>
      <c r="P1033" s="112"/>
      <c r="Q1033" s="118"/>
    </row>
    <row r="1034" spans="2:17" s="5" customFormat="1" ht="13">
      <c r="B1034" s="84"/>
      <c r="C1034" s="84"/>
      <c r="D1034" s="85"/>
      <c r="E1034" s="85"/>
      <c r="F1034" s="85"/>
      <c r="G1034" s="85"/>
      <c r="H1034" s="85"/>
      <c r="I1034" s="85"/>
      <c r="J1034" s="85"/>
      <c r="K1034" s="85"/>
      <c r="L1034" s="109"/>
      <c r="M1034" s="110"/>
      <c r="N1034" s="111"/>
      <c r="O1034" s="112"/>
      <c r="P1034" s="112"/>
      <c r="Q1034" s="118"/>
    </row>
    <row r="1035" spans="2:17" s="5" customFormat="1" ht="13">
      <c r="B1035" s="84"/>
      <c r="C1035" s="84"/>
      <c r="D1035" s="85"/>
      <c r="E1035" s="85"/>
      <c r="F1035" s="85"/>
      <c r="G1035" s="85"/>
      <c r="H1035" s="85"/>
      <c r="I1035" s="85"/>
      <c r="J1035" s="85"/>
      <c r="K1035" s="85"/>
      <c r="L1035" s="109"/>
      <c r="M1035" s="110"/>
      <c r="N1035" s="111"/>
      <c r="O1035" s="112"/>
      <c r="P1035" s="112"/>
      <c r="Q1035" s="118"/>
    </row>
    <row r="1036" spans="2:17" s="5" customFormat="1" ht="13">
      <c r="B1036" s="84"/>
      <c r="C1036" s="84"/>
      <c r="D1036" s="85"/>
      <c r="E1036" s="85"/>
      <c r="F1036" s="85"/>
      <c r="G1036" s="85"/>
      <c r="H1036" s="85"/>
      <c r="I1036" s="85"/>
      <c r="J1036" s="85"/>
      <c r="K1036" s="85"/>
      <c r="L1036" s="109"/>
      <c r="M1036" s="110"/>
      <c r="N1036" s="111"/>
      <c r="O1036" s="112"/>
      <c r="P1036" s="112"/>
      <c r="Q1036" s="118"/>
    </row>
    <row r="1037" spans="2:17" s="5" customFormat="1" ht="13">
      <c r="B1037" s="84"/>
      <c r="C1037" s="84"/>
      <c r="D1037" s="85"/>
      <c r="E1037" s="85"/>
      <c r="F1037" s="85"/>
      <c r="G1037" s="85"/>
      <c r="H1037" s="85"/>
      <c r="I1037" s="85"/>
      <c r="J1037" s="85"/>
      <c r="K1037" s="85"/>
      <c r="L1037" s="109"/>
      <c r="M1037" s="110"/>
      <c r="N1037" s="111"/>
      <c r="O1037" s="112"/>
      <c r="P1037" s="112"/>
      <c r="Q1037" s="118"/>
    </row>
    <row r="1038" spans="2:17" s="5" customFormat="1" ht="13">
      <c r="B1038" s="84"/>
      <c r="C1038" s="84"/>
      <c r="D1038" s="85"/>
      <c r="E1038" s="85"/>
      <c r="F1038" s="85"/>
      <c r="G1038" s="85"/>
      <c r="H1038" s="85"/>
      <c r="I1038" s="85"/>
      <c r="J1038" s="85"/>
      <c r="K1038" s="85"/>
      <c r="L1038" s="109"/>
      <c r="M1038" s="110"/>
      <c r="N1038" s="111"/>
      <c r="O1038" s="112"/>
      <c r="P1038" s="112"/>
      <c r="Q1038" s="118"/>
    </row>
    <row r="1039" spans="2:17" s="5" customFormat="1" ht="13">
      <c r="B1039" s="84"/>
      <c r="C1039" s="84"/>
      <c r="D1039" s="85"/>
      <c r="E1039" s="85"/>
      <c r="F1039" s="85"/>
      <c r="G1039" s="85"/>
      <c r="H1039" s="85"/>
      <c r="I1039" s="85"/>
      <c r="J1039" s="85"/>
      <c r="K1039" s="85"/>
      <c r="L1039" s="109"/>
      <c r="M1039" s="110"/>
      <c r="N1039" s="111"/>
      <c r="O1039" s="112"/>
      <c r="P1039" s="112"/>
      <c r="Q1039" s="118"/>
    </row>
    <row r="1040" spans="2:17" s="5" customFormat="1" ht="13">
      <c r="B1040" s="84"/>
      <c r="C1040" s="84"/>
      <c r="D1040" s="85"/>
      <c r="E1040" s="85"/>
      <c r="F1040" s="85"/>
      <c r="G1040" s="85"/>
      <c r="H1040" s="85"/>
      <c r="I1040" s="85"/>
      <c r="J1040" s="85"/>
      <c r="K1040" s="85"/>
      <c r="L1040" s="109"/>
      <c r="M1040" s="110"/>
      <c r="N1040" s="111"/>
      <c r="O1040" s="112"/>
      <c r="P1040" s="112"/>
      <c r="Q1040" s="118"/>
    </row>
    <row r="1041" spans="2:17" s="5" customFormat="1" ht="13">
      <c r="B1041" s="84"/>
      <c r="C1041" s="84"/>
      <c r="D1041" s="85"/>
      <c r="E1041" s="85"/>
      <c r="F1041" s="85"/>
      <c r="G1041" s="85"/>
      <c r="H1041" s="85"/>
      <c r="I1041" s="85"/>
      <c r="J1041" s="85"/>
      <c r="K1041" s="85"/>
      <c r="L1041" s="109"/>
      <c r="M1041" s="110"/>
      <c r="N1041" s="111"/>
      <c r="O1041" s="112"/>
      <c r="P1041" s="112"/>
      <c r="Q1041" s="118"/>
    </row>
    <row r="1042" spans="2:17" s="5" customFormat="1" ht="13">
      <c r="B1042" s="84"/>
      <c r="C1042" s="84"/>
      <c r="D1042" s="85"/>
      <c r="E1042" s="85"/>
      <c r="F1042" s="85"/>
      <c r="G1042" s="85"/>
      <c r="H1042" s="85"/>
      <c r="I1042" s="85"/>
      <c r="J1042" s="85"/>
      <c r="K1042" s="85"/>
      <c r="L1042" s="109"/>
      <c r="M1042" s="110"/>
      <c r="N1042" s="111"/>
      <c r="O1042" s="112"/>
      <c r="P1042" s="112"/>
      <c r="Q1042" s="118"/>
    </row>
    <row r="1043" spans="2:17" s="5" customFormat="1" ht="13">
      <c r="B1043" s="84"/>
      <c r="C1043" s="84"/>
      <c r="D1043" s="85"/>
      <c r="E1043" s="85"/>
      <c r="F1043" s="85"/>
      <c r="G1043" s="85"/>
      <c r="H1043" s="85"/>
      <c r="I1043" s="85"/>
      <c r="J1043" s="85"/>
      <c r="K1043" s="85"/>
      <c r="L1043" s="109"/>
      <c r="M1043" s="110"/>
      <c r="N1043" s="111"/>
      <c r="O1043" s="112"/>
      <c r="P1043" s="112"/>
      <c r="Q1043" s="118"/>
    </row>
    <row r="1044" spans="2:17" s="5" customFormat="1" ht="13">
      <c r="B1044" s="84"/>
      <c r="C1044" s="84"/>
      <c r="D1044" s="85"/>
      <c r="E1044" s="85"/>
      <c r="F1044" s="85"/>
      <c r="G1044" s="85"/>
      <c r="H1044" s="85"/>
      <c r="I1044" s="85"/>
      <c r="J1044" s="85"/>
      <c r="K1044" s="85"/>
      <c r="L1044" s="109"/>
      <c r="M1044" s="110"/>
      <c r="N1044" s="111"/>
      <c r="O1044" s="112"/>
      <c r="P1044" s="112"/>
      <c r="Q1044" s="118"/>
    </row>
    <row r="1045" spans="2:17" s="5" customFormat="1" ht="13">
      <c r="B1045" s="84"/>
      <c r="C1045" s="84"/>
      <c r="D1045" s="85"/>
      <c r="E1045" s="85"/>
      <c r="F1045" s="85"/>
      <c r="G1045" s="85"/>
      <c r="H1045" s="85"/>
      <c r="I1045" s="85"/>
      <c r="J1045" s="85"/>
      <c r="K1045" s="85"/>
      <c r="L1045" s="109"/>
      <c r="M1045" s="110"/>
      <c r="N1045" s="111"/>
      <c r="O1045" s="112"/>
      <c r="P1045" s="112"/>
      <c r="Q1045" s="118"/>
    </row>
    <row r="1046" spans="2:17" s="5" customFormat="1" ht="13">
      <c r="B1046" s="84"/>
      <c r="C1046" s="84"/>
      <c r="D1046" s="85"/>
      <c r="E1046" s="85"/>
      <c r="F1046" s="85"/>
      <c r="G1046" s="85"/>
      <c r="H1046" s="85"/>
      <c r="I1046" s="85"/>
      <c r="J1046" s="85"/>
      <c r="K1046" s="85"/>
      <c r="L1046" s="109"/>
      <c r="M1046" s="110"/>
      <c r="N1046" s="111"/>
      <c r="O1046" s="112"/>
      <c r="P1046" s="112"/>
      <c r="Q1046" s="118"/>
    </row>
    <row r="1047" spans="2:17" s="5" customFormat="1" ht="13">
      <c r="B1047" s="84"/>
      <c r="C1047" s="84"/>
      <c r="D1047" s="85"/>
      <c r="E1047" s="85"/>
      <c r="F1047" s="85"/>
      <c r="G1047" s="85"/>
      <c r="H1047" s="85"/>
      <c r="I1047" s="85"/>
      <c r="J1047" s="85"/>
      <c r="K1047" s="85"/>
      <c r="L1047" s="109"/>
      <c r="M1047" s="110"/>
      <c r="N1047" s="111"/>
      <c r="O1047" s="112"/>
      <c r="P1047" s="112"/>
      <c r="Q1047" s="118"/>
    </row>
    <row r="1048" spans="2:17" s="5" customFormat="1" ht="13">
      <c r="B1048" s="84"/>
      <c r="C1048" s="84"/>
      <c r="D1048" s="85"/>
      <c r="E1048" s="85"/>
      <c r="F1048" s="85"/>
      <c r="G1048" s="85"/>
      <c r="H1048" s="85"/>
      <c r="I1048" s="85"/>
      <c r="J1048" s="85"/>
      <c r="K1048" s="85"/>
      <c r="L1048" s="109"/>
      <c r="M1048" s="110"/>
      <c r="N1048" s="111"/>
      <c r="O1048" s="112"/>
      <c r="P1048" s="112"/>
      <c r="Q1048" s="118"/>
    </row>
    <row r="1049" spans="2:17" s="5" customFormat="1" ht="13">
      <c r="B1049" s="84"/>
      <c r="C1049" s="84"/>
      <c r="D1049" s="85"/>
      <c r="E1049" s="85"/>
      <c r="F1049" s="85"/>
      <c r="G1049" s="85"/>
      <c r="H1049" s="85"/>
      <c r="I1049" s="85"/>
      <c r="J1049" s="85"/>
      <c r="K1049" s="85"/>
      <c r="L1049" s="109"/>
      <c r="M1049" s="110"/>
      <c r="N1049" s="111"/>
      <c r="O1049" s="112"/>
      <c r="P1049" s="112"/>
      <c r="Q1049" s="118"/>
    </row>
    <row r="1050" spans="2:17" s="5" customFormat="1" ht="13">
      <c r="B1050" s="84"/>
      <c r="C1050" s="84"/>
      <c r="D1050" s="85"/>
      <c r="E1050" s="85"/>
      <c r="F1050" s="85"/>
      <c r="G1050" s="85"/>
      <c r="H1050" s="85"/>
      <c r="I1050" s="85"/>
      <c r="J1050" s="85"/>
      <c r="K1050" s="85"/>
      <c r="L1050" s="109"/>
      <c r="M1050" s="110"/>
      <c r="N1050" s="111"/>
      <c r="O1050" s="112"/>
      <c r="P1050" s="112"/>
      <c r="Q1050" s="118"/>
    </row>
    <row r="1051" spans="2:17" s="5" customFormat="1" ht="13">
      <c r="B1051" s="84"/>
      <c r="C1051" s="84"/>
      <c r="D1051" s="85"/>
      <c r="E1051" s="85"/>
      <c r="F1051" s="85"/>
      <c r="G1051" s="85"/>
      <c r="H1051" s="85"/>
      <c r="I1051" s="85"/>
      <c r="J1051" s="85"/>
      <c r="K1051" s="85"/>
      <c r="L1051" s="109"/>
      <c r="M1051" s="110"/>
      <c r="N1051" s="111"/>
      <c r="O1051" s="112"/>
      <c r="P1051" s="112"/>
      <c r="Q1051" s="118"/>
    </row>
    <row r="1052" spans="2:17" s="5" customFormat="1" ht="13">
      <c r="B1052" s="84"/>
      <c r="C1052" s="84"/>
      <c r="D1052" s="85"/>
      <c r="E1052" s="85"/>
      <c r="F1052" s="85"/>
      <c r="G1052" s="85"/>
      <c r="H1052" s="85"/>
      <c r="I1052" s="85"/>
      <c r="J1052" s="85"/>
      <c r="K1052" s="85"/>
      <c r="L1052" s="109"/>
      <c r="M1052" s="110"/>
      <c r="N1052" s="111"/>
      <c r="O1052" s="112"/>
      <c r="P1052" s="112"/>
      <c r="Q1052" s="118"/>
    </row>
    <row r="1053" spans="2:17" s="5" customFormat="1" ht="13">
      <c r="B1053" s="84"/>
      <c r="C1053" s="84"/>
      <c r="D1053" s="85"/>
      <c r="E1053" s="85"/>
      <c r="F1053" s="85"/>
      <c r="G1053" s="85"/>
      <c r="H1053" s="85"/>
      <c r="I1053" s="85"/>
      <c r="J1053" s="85"/>
      <c r="K1053" s="85"/>
      <c r="L1053" s="109"/>
      <c r="M1053" s="110"/>
      <c r="N1053" s="111"/>
      <c r="O1053" s="112"/>
      <c r="P1053" s="112"/>
      <c r="Q1053" s="118"/>
    </row>
    <row r="1054" spans="2:17" s="5" customFormat="1" ht="13">
      <c r="B1054" s="84"/>
      <c r="C1054" s="84"/>
      <c r="D1054" s="85"/>
      <c r="E1054" s="85"/>
      <c r="F1054" s="85"/>
      <c r="G1054" s="85"/>
      <c r="H1054" s="85"/>
      <c r="I1054" s="85"/>
      <c r="J1054" s="85"/>
      <c r="K1054" s="85"/>
      <c r="L1054" s="109"/>
      <c r="M1054" s="110"/>
      <c r="N1054" s="111"/>
      <c r="O1054" s="112"/>
      <c r="P1054" s="112"/>
      <c r="Q1054" s="118"/>
    </row>
    <row r="1055" spans="2:17" s="5" customFormat="1" ht="13">
      <c r="B1055" s="84"/>
      <c r="C1055" s="84"/>
      <c r="D1055" s="85"/>
      <c r="E1055" s="85"/>
      <c r="F1055" s="85"/>
      <c r="G1055" s="85"/>
      <c r="H1055" s="85"/>
      <c r="I1055" s="85"/>
      <c r="J1055" s="85"/>
      <c r="K1055" s="85"/>
      <c r="L1055" s="109"/>
      <c r="M1055" s="110"/>
      <c r="N1055" s="111"/>
      <c r="O1055" s="112"/>
      <c r="P1055" s="112"/>
      <c r="Q1055" s="118"/>
    </row>
    <row r="1056" spans="2:17" s="5" customFormat="1" ht="13">
      <c r="B1056" s="84"/>
      <c r="C1056" s="84"/>
      <c r="D1056" s="85"/>
      <c r="E1056" s="85"/>
      <c r="F1056" s="85"/>
      <c r="G1056" s="85"/>
      <c r="H1056" s="85"/>
      <c r="I1056" s="85"/>
      <c r="J1056" s="85"/>
      <c r="K1056" s="85"/>
      <c r="L1056" s="109"/>
      <c r="M1056" s="110"/>
      <c r="N1056" s="111"/>
      <c r="O1056" s="112"/>
      <c r="P1056" s="112"/>
      <c r="Q1056" s="118"/>
    </row>
    <row r="1057" spans="2:17" s="5" customFormat="1" ht="13">
      <c r="B1057" s="84"/>
      <c r="C1057" s="84"/>
      <c r="D1057" s="85"/>
      <c r="E1057" s="85"/>
      <c r="F1057" s="85"/>
      <c r="G1057" s="85"/>
      <c r="H1057" s="85"/>
      <c r="I1057" s="85"/>
      <c r="J1057" s="85"/>
      <c r="K1057" s="85"/>
      <c r="L1057" s="109"/>
      <c r="M1057" s="110"/>
      <c r="N1057" s="111"/>
      <c r="O1057" s="112"/>
      <c r="P1057" s="112"/>
      <c r="Q1057" s="118"/>
    </row>
    <row r="1058" spans="2:17" s="5" customFormat="1" ht="13">
      <c r="B1058" s="84"/>
      <c r="C1058" s="84"/>
      <c r="D1058" s="85"/>
      <c r="E1058" s="85"/>
      <c r="F1058" s="85"/>
      <c r="G1058" s="85"/>
      <c r="H1058" s="85"/>
      <c r="I1058" s="85"/>
      <c r="J1058" s="85"/>
      <c r="K1058" s="85"/>
      <c r="L1058" s="109"/>
      <c r="M1058" s="110"/>
      <c r="N1058" s="111"/>
      <c r="O1058" s="112"/>
      <c r="P1058" s="112"/>
      <c r="Q1058" s="118"/>
    </row>
    <row r="1059" spans="2:17" s="5" customFormat="1" ht="13">
      <c r="B1059" s="84"/>
      <c r="C1059" s="84"/>
      <c r="D1059" s="85"/>
      <c r="E1059" s="85"/>
      <c r="F1059" s="85"/>
      <c r="G1059" s="85"/>
      <c r="H1059" s="85"/>
      <c r="I1059" s="85"/>
      <c r="J1059" s="85"/>
      <c r="K1059" s="85"/>
      <c r="L1059" s="109"/>
      <c r="M1059" s="110"/>
      <c r="N1059" s="111"/>
      <c r="O1059" s="112"/>
      <c r="P1059" s="112"/>
      <c r="Q1059" s="118"/>
    </row>
    <row r="1060" spans="2:17" s="5" customFormat="1" ht="13">
      <c r="B1060" s="84"/>
      <c r="C1060" s="84"/>
      <c r="D1060" s="85"/>
      <c r="E1060" s="85"/>
      <c r="F1060" s="85"/>
      <c r="G1060" s="85"/>
      <c r="H1060" s="85"/>
      <c r="I1060" s="85"/>
      <c r="J1060" s="85"/>
      <c r="K1060" s="85"/>
      <c r="L1060" s="109"/>
      <c r="M1060" s="110"/>
      <c r="N1060" s="111"/>
      <c r="O1060" s="112"/>
      <c r="P1060" s="112"/>
      <c r="Q1060" s="118"/>
    </row>
    <row r="1061" spans="2:17" s="5" customFormat="1" ht="13">
      <c r="B1061" s="84"/>
      <c r="C1061" s="84"/>
      <c r="D1061" s="85"/>
      <c r="E1061" s="85"/>
      <c r="F1061" s="85"/>
      <c r="G1061" s="85"/>
      <c r="H1061" s="85"/>
      <c r="I1061" s="85"/>
      <c r="J1061" s="85"/>
      <c r="K1061" s="85"/>
      <c r="L1061" s="109"/>
      <c r="M1061" s="110"/>
      <c r="N1061" s="111"/>
      <c r="O1061" s="112"/>
      <c r="P1061" s="112"/>
      <c r="Q1061" s="118"/>
    </row>
    <row r="1062" spans="2:17" s="5" customFormat="1" ht="13">
      <c r="B1062" s="84"/>
      <c r="C1062" s="84"/>
      <c r="D1062" s="85"/>
      <c r="E1062" s="85"/>
      <c r="F1062" s="85"/>
      <c r="G1062" s="85"/>
      <c r="H1062" s="85"/>
      <c r="I1062" s="85"/>
      <c r="J1062" s="85"/>
      <c r="K1062" s="85"/>
      <c r="L1062" s="109"/>
      <c r="M1062" s="110"/>
      <c r="N1062" s="111"/>
      <c r="O1062" s="112"/>
      <c r="P1062" s="112"/>
      <c r="Q1062" s="118"/>
    </row>
    <row r="1063" spans="2:17" s="5" customFormat="1" ht="13">
      <c r="B1063" s="84"/>
      <c r="C1063" s="84"/>
      <c r="D1063" s="85"/>
      <c r="E1063" s="85"/>
      <c r="F1063" s="85"/>
      <c r="G1063" s="85"/>
      <c r="H1063" s="85"/>
      <c r="I1063" s="85"/>
      <c r="J1063" s="85"/>
      <c r="K1063" s="85"/>
      <c r="L1063" s="109"/>
      <c r="M1063" s="110"/>
      <c r="N1063" s="111"/>
      <c r="O1063" s="112"/>
      <c r="P1063" s="112"/>
      <c r="Q1063" s="118"/>
    </row>
    <row r="1064" spans="2:17" s="5" customFormat="1" ht="13">
      <c r="B1064" s="84"/>
      <c r="C1064" s="84"/>
      <c r="D1064" s="85"/>
      <c r="E1064" s="85"/>
      <c r="F1064" s="85"/>
      <c r="G1064" s="85"/>
      <c r="H1064" s="85"/>
      <c r="I1064" s="85"/>
      <c r="J1064" s="85"/>
      <c r="K1064" s="85"/>
      <c r="L1064" s="109"/>
      <c r="M1064" s="110"/>
      <c r="N1064" s="111"/>
      <c r="O1064" s="112"/>
      <c r="P1064" s="112"/>
      <c r="Q1064" s="118"/>
    </row>
    <row r="1065" spans="2:17" s="5" customFormat="1" ht="13">
      <c r="B1065" s="84"/>
      <c r="C1065" s="84"/>
      <c r="D1065" s="85"/>
      <c r="E1065" s="85"/>
      <c r="F1065" s="85"/>
      <c r="G1065" s="85"/>
      <c r="H1065" s="85"/>
      <c r="I1065" s="85"/>
      <c r="J1065" s="85"/>
      <c r="K1065" s="85"/>
      <c r="L1065" s="109"/>
      <c r="M1065" s="110"/>
      <c r="N1065" s="111"/>
      <c r="O1065" s="112"/>
      <c r="P1065" s="112"/>
      <c r="Q1065" s="118"/>
    </row>
    <row r="1066" spans="2:17" s="5" customFormat="1" ht="13">
      <c r="B1066" s="84"/>
      <c r="C1066" s="84"/>
      <c r="D1066" s="85"/>
      <c r="E1066" s="85"/>
      <c r="F1066" s="85"/>
      <c r="G1066" s="85"/>
      <c r="H1066" s="85"/>
      <c r="I1066" s="85"/>
      <c r="J1066" s="85"/>
      <c r="K1066" s="85"/>
      <c r="L1066" s="109"/>
      <c r="M1066" s="110"/>
      <c r="N1066" s="111"/>
      <c r="O1066" s="112"/>
      <c r="P1066" s="112"/>
      <c r="Q1066" s="118"/>
    </row>
    <row r="1067" spans="2:17" s="5" customFormat="1" ht="13">
      <c r="B1067" s="84"/>
      <c r="C1067" s="84"/>
      <c r="D1067" s="85"/>
      <c r="E1067" s="85"/>
      <c r="F1067" s="85"/>
      <c r="G1067" s="85"/>
      <c r="H1067" s="85"/>
      <c r="I1067" s="85"/>
      <c r="J1067" s="85"/>
      <c r="K1067" s="85"/>
      <c r="L1067" s="109"/>
      <c r="M1067" s="110"/>
      <c r="N1067" s="111"/>
      <c r="O1067" s="112"/>
      <c r="P1067" s="112"/>
      <c r="Q1067" s="118"/>
    </row>
    <row r="1068" spans="2:17" s="5" customFormat="1" ht="13">
      <c r="B1068" s="84"/>
      <c r="C1068" s="84"/>
      <c r="D1068" s="85"/>
      <c r="E1068" s="85"/>
      <c r="F1068" s="85"/>
      <c r="G1068" s="85"/>
      <c r="H1068" s="85"/>
      <c r="I1068" s="85"/>
      <c r="J1068" s="85"/>
      <c r="K1068" s="85"/>
      <c r="L1068" s="109"/>
      <c r="M1068" s="110"/>
      <c r="N1068" s="111"/>
      <c r="O1068" s="112"/>
      <c r="P1068" s="112"/>
      <c r="Q1068" s="118"/>
    </row>
    <row r="1069" spans="2:17" s="5" customFormat="1" ht="13">
      <c r="B1069" s="84"/>
      <c r="C1069" s="84"/>
      <c r="D1069" s="85"/>
      <c r="E1069" s="85"/>
      <c r="F1069" s="85"/>
      <c r="G1069" s="85"/>
      <c r="H1069" s="85"/>
      <c r="I1069" s="85"/>
      <c r="J1069" s="85"/>
      <c r="K1069" s="85"/>
      <c r="L1069" s="109"/>
      <c r="M1069" s="110"/>
      <c r="N1069" s="111"/>
      <c r="O1069" s="112"/>
      <c r="P1069" s="112"/>
      <c r="Q1069" s="118"/>
    </row>
    <row r="1070" spans="2:17" s="5" customFormat="1" ht="13">
      <c r="B1070" s="84"/>
      <c r="C1070" s="84"/>
      <c r="D1070" s="85"/>
      <c r="E1070" s="85"/>
      <c r="F1070" s="85"/>
      <c r="G1070" s="85"/>
      <c r="H1070" s="85"/>
      <c r="I1070" s="85"/>
      <c r="J1070" s="85"/>
      <c r="K1070" s="85"/>
      <c r="L1070" s="109"/>
      <c r="M1070" s="110"/>
      <c r="N1070" s="111"/>
      <c r="O1070" s="112"/>
      <c r="P1070" s="112"/>
      <c r="Q1070" s="118"/>
    </row>
    <row r="1071" spans="2:17" s="5" customFormat="1" ht="13">
      <c r="B1071" s="84"/>
      <c r="C1071" s="84"/>
      <c r="D1071" s="85"/>
      <c r="E1071" s="85"/>
      <c r="F1071" s="85"/>
      <c r="G1071" s="85"/>
      <c r="H1071" s="85"/>
      <c r="I1071" s="85"/>
      <c r="J1071" s="85"/>
      <c r="K1071" s="85"/>
      <c r="L1071" s="109"/>
      <c r="M1071" s="110"/>
      <c r="N1071" s="111"/>
      <c r="O1071" s="112"/>
      <c r="P1071" s="112"/>
      <c r="Q1071" s="118"/>
    </row>
    <row r="1072" spans="2:17" s="5" customFormat="1" ht="13">
      <c r="B1072" s="84"/>
      <c r="C1072" s="84"/>
      <c r="D1072" s="85"/>
      <c r="E1072" s="85"/>
      <c r="F1072" s="85"/>
      <c r="G1072" s="85"/>
      <c r="H1072" s="85"/>
      <c r="I1072" s="85"/>
      <c r="J1072" s="85"/>
      <c r="K1072" s="85"/>
      <c r="L1072" s="109"/>
      <c r="M1072" s="110"/>
      <c r="N1072" s="111"/>
      <c r="O1072" s="112"/>
      <c r="P1072" s="112"/>
      <c r="Q1072" s="118"/>
    </row>
    <row r="1073" spans="2:17" s="5" customFormat="1" ht="13">
      <c r="B1073" s="84"/>
      <c r="C1073" s="84"/>
      <c r="D1073" s="85"/>
      <c r="E1073" s="85"/>
      <c r="F1073" s="85"/>
      <c r="G1073" s="85"/>
      <c r="H1073" s="85"/>
      <c r="I1073" s="85"/>
      <c r="J1073" s="85"/>
      <c r="K1073" s="85"/>
      <c r="L1073" s="109"/>
      <c r="M1073" s="110"/>
      <c r="N1073" s="111"/>
      <c r="O1073" s="112"/>
      <c r="P1073" s="112"/>
      <c r="Q1073" s="118"/>
    </row>
    <row r="1074" spans="2:17" s="5" customFormat="1" ht="13">
      <c r="B1074" s="84"/>
      <c r="C1074" s="84"/>
      <c r="D1074" s="85"/>
      <c r="E1074" s="85"/>
      <c r="F1074" s="85"/>
      <c r="G1074" s="85"/>
      <c r="H1074" s="85"/>
      <c r="I1074" s="85"/>
      <c r="J1074" s="85"/>
      <c r="K1074" s="85"/>
      <c r="L1074" s="109"/>
      <c r="M1074" s="110"/>
      <c r="N1074" s="111"/>
      <c r="O1074" s="112"/>
      <c r="P1074" s="112"/>
      <c r="Q1074" s="118"/>
    </row>
    <row r="1075" spans="2:17" s="5" customFormat="1" ht="13">
      <c r="B1075" s="84"/>
      <c r="C1075" s="84"/>
      <c r="D1075" s="85"/>
      <c r="E1075" s="85"/>
      <c r="F1075" s="85"/>
      <c r="G1075" s="85"/>
      <c r="H1075" s="85"/>
      <c r="I1075" s="85"/>
      <c r="J1075" s="85"/>
      <c r="K1075" s="85"/>
      <c r="L1075" s="109"/>
      <c r="M1075" s="110"/>
      <c r="N1075" s="111"/>
      <c r="O1075" s="112"/>
      <c r="P1075" s="112"/>
      <c r="Q1075" s="118"/>
    </row>
    <row r="1076" spans="2:17" s="5" customFormat="1" ht="13">
      <c r="B1076" s="84"/>
      <c r="C1076" s="84"/>
      <c r="D1076" s="85"/>
      <c r="E1076" s="85"/>
      <c r="F1076" s="85"/>
      <c r="G1076" s="85"/>
      <c r="H1076" s="85"/>
      <c r="I1076" s="85"/>
      <c r="J1076" s="85"/>
      <c r="K1076" s="85"/>
      <c r="L1076" s="109"/>
      <c r="M1076" s="110"/>
      <c r="N1076" s="111"/>
      <c r="O1076" s="112"/>
      <c r="P1076" s="112"/>
      <c r="Q1076" s="118"/>
    </row>
    <row r="1077" spans="2:17" s="5" customFormat="1" ht="13">
      <c r="B1077" s="84"/>
      <c r="C1077" s="84"/>
      <c r="D1077" s="85"/>
      <c r="E1077" s="85"/>
      <c r="F1077" s="85"/>
      <c r="G1077" s="85"/>
      <c r="H1077" s="85"/>
      <c r="I1077" s="85"/>
      <c r="J1077" s="85"/>
      <c r="K1077" s="85"/>
      <c r="L1077" s="109"/>
      <c r="M1077" s="110"/>
      <c r="N1077" s="111"/>
      <c r="O1077" s="112"/>
      <c r="P1077" s="112"/>
      <c r="Q1077" s="118"/>
    </row>
    <row r="1078" spans="2:17" s="5" customFormat="1" ht="13">
      <c r="B1078" s="84"/>
      <c r="C1078" s="84"/>
      <c r="D1078" s="85"/>
      <c r="E1078" s="85"/>
      <c r="F1078" s="85"/>
      <c r="G1078" s="85"/>
      <c r="H1078" s="85"/>
      <c r="I1078" s="85"/>
      <c r="J1078" s="85"/>
      <c r="K1078" s="85"/>
      <c r="L1078" s="109"/>
      <c r="M1078" s="110"/>
      <c r="N1078" s="111"/>
      <c r="O1078" s="112"/>
      <c r="P1078" s="112"/>
      <c r="Q1078" s="118"/>
    </row>
    <row r="1079" spans="2:17" s="5" customFormat="1" ht="13">
      <c r="B1079" s="84"/>
      <c r="C1079" s="84"/>
      <c r="D1079" s="85"/>
      <c r="E1079" s="85"/>
      <c r="F1079" s="85"/>
      <c r="G1079" s="85"/>
      <c r="H1079" s="85"/>
      <c r="I1079" s="85"/>
      <c r="J1079" s="85"/>
      <c r="K1079" s="85"/>
      <c r="L1079" s="109"/>
      <c r="M1079" s="110"/>
      <c r="N1079" s="111"/>
      <c r="O1079" s="112"/>
      <c r="P1079" s="112"/>
      <c r="Q1079" s="118"/>
    </row>
    <row r="1080" spans="2:17" s="5" customFormat="1" ht="13">
      <c r="B1080" s="84"/>
      <c r="C1080" s="84"/>
      <c r="D1080" s="85"/>
      <c r="E1080" s="85"/>
      <c r="F1080" s="85"/>
      <c r="G1080" s="85"/>
      <c r="H1080" s="85"/>
      <c r="I1080" s="85"/>
      <c r="J1080" s="85"/>
      <c r="K1080" s="85"/>
      <c r="L1080" s="109"/>
      <c r="M1080" s="110"/>
      <c r="N1080" s="111"/>
      <c r="O1080" s="112"/>
      <c r="P1080" s="112"/>
      <c r="Q1080" s="118"/>
    </row>
    <row r="1081" spans="2:17" s="5" customFormat="1" ht="13">
      <c r="B1081" s="84"/>
      <c r="C1081" s="84"/>
      <c r="D1081" s="85"/>
      <c r="E1081" s="85"/>
      <c r="F1081" s="85"/>
      <c r="G1081" s="85"/>
      <c r="H1081" s="85"/>
      <c r="I1081" s="85"/>
      <c r="J1081" s="85"/>
      <c r="K1081" s="85"/>
      <c r="L1081" s="109"/>
      <c r="M1081" s="110"/>
      <c r="N1081" s="111"/>
      <c r="O1081" s="112"/>
      <c r="P1081" s="112"/>
      <c r="Q1081" s="118"/>
    </row>
    <row r="1082" spans="2:17" s="5" customFormat="1" ht="13">
      <c r="B1082" s="84"/>
      <c r="C1082" s="84"/>
      <c r="D1082" s="85"/>
      <c r="E1082" s="85"/>
      <c r="F1082" s="85"/>
      <c r="G1082" s="85"/>
      <c r="H1082" s="85"/>
      <c r="I1082" s="85"/>
      <c r="J1082" s="85"/>
      <c r="K1082" s="85"/>
      <c r="L1082" s="109"/>
      <c r="M1082" s="110"/>
      <c r="N1082" s="111"/>
      <c r="O1082" s="112"/>
      <c r="P1082" s="112"/>
      <c r="Q1082" s="118"/>
    </row>
    <row r="1083" spans="2:17" s="5" customFormat="1" ht="13">
      <c r="B1083" s="84"/>
      <c r="C1083" s="84"/>
      <c r="D1083" s="85"/>
      <c r="E1083" s="85"/>
      <c r="F1083" s="85"/>
      <c r="G1083" s="85"/>
      <c r="H1083" s="85"/>
      <c r="I1083" s="85"/>
      <c r="J1083" s="85"/>
      <c r="K1083" s="85"/>
      <c r="L1083" s="109"/>
      <c r="M1083" s="110"/>
      <c r="N1083" s="111"/>
      <c r="O1083" s="112"/>
      <c r="P1083" s="112"/>
      <c r="Q1083" s="118"/>
    </row>
    <row r="1084" spans="2:17" s="5" customFormat="1" ht="13">
      <c r="B1084" s="84"/>
      <c r="C1084" s="84"/>
      <c r="D1084" s="85"/>
      <c r="E1084" s="85"/>
      <c r="F1084" s="85"/>
      <c r="G1084" s="85"/>
      <c r="H1084" s="85"/>
      <c r="I1084" s="85"/>
      <c r="J1084" s="85"/>
      <c r="K1084" s="85"/>
      <c r="L1084" s="109"/>
      <c r="M1084" s="110"/>
      <c r="N1084" s="111"/>
      <c r="O1084" s="112"/>
      <c r="P1084" s="112"/>
      <c r="Q1084" s="118"/>
    </row>
    <row r="1085" spans="2:17" s="5" customFormat="1" ht="13">
      <c r="B1085" s="84"/>
      <c r="C1085" s="84"/>
      <c r="D1085" s="85"/>
      <c r="E1085" s="85"/>
      <c r="F1085" s="85"/>
      <c r="G1085" s="85"/>
      <c r="H1085" s="85"/>
      <c r="I1085" s="85"/>
      <c r="J1085" s="85"/>
      <c r="K1085" s="85"/>
      <c r="L1085" s="109"/>
      <c r="M1085" s="110"/>
      <c r="N1085" s="111"/>
      <c r="O1085" s="112"/>
      <c r="P1085" s="112"/>
      <c r="Q1085" s="118"/>
    </row>
    <row r="1086" spans="2:17" s="5" customFormat="1" ht="13">
      <c r="B1086" s="84"/>
      <c r="C1086" s="84"/>
      <c r="D1086" s="85"/>
      <c r="E1086" s="85"/>
      <c r="F1086" s="85"/>
      <c r="G1086" s="85"/>
      <c r="H1086" s="85"/>
      <c r="I1086" s="85"/>
      <c r="J1086" s="85"/>
      <c r="K1086" s="85"/>
      <c r="L1086" s="109"/>
      <c r="M1086" s="110"/>
      <c r="N1086" s="111"/>
      <c r="O1086" s="112"/>
      <c r="P1086" s="112"/>
      <c r="Q1086" s="118"/>
    </row>
    <row r="1087" spans="2:17" s="5" customFormat="1" ht="13">
      <c r="B1087" s="84"/>
      <c r="C1087" s="84"/>
      <c r="D1087" s="85"/>
      <c r="E1087" s="85"/>
      <c r="F1087" s="85"/>
      <c r="G1087" s="85"/>
      <c r="H1087" s="85"/>
      <c r="I1087" s="85"/>
      <c r="J1087" s="85"/>
      <c r="K1087" s="85"/>
      <c r="L1087" s="109"/>
      <c r="M1087" s="110"/>
      <c r="N1087" s="111"/>
      <c r="O1087" s="112"/>
      <c r="P1087" s="112"/>
      <c r="Q1087" s="118"/>
    </row>
    <row r="1088" spans="2:17" s="5" customFormat="1" ht="13">
      <c r="B1088" s="84"/>
      <c r="C1088" s="84"/>
      <c r="D1088" s="85"/>
      <c r="E1088" s="85"/>
      <c r="F1088" s="85"/>
      <c r="G1088" s="85"/>
      <c r="H1088" s="85"/>
      <c r="I1088" s="85"/>
      <c r="J1088" s="85"/>
      <c r="K1088" s="85"/>
      <c r="L1088" s="109"/>
      <c r="M1088" s="110"/>
      <c r="N1088" s="111"/>
      <c r="O1088" s="112"/>
      <c r="P1088" s="112"/>
      <c r="Q1088" s="118"/>
    </row>
    <row r="1089" spans="2:17" s="5" customFormat="1" ht="13">
      <c r="B1089" s="84"/>
      <c r="C1089" s="84"/>
      <c r="D1089" s="85"/>
      <c r="E1089" s="85"/>
      <c r="F1089" s="85"/>
      <c r="G1089" s="85"/>
      <c r="H1089" s="85"/>
      <c r="I1089" s="85"/>
      <c r="J1089" s="85"/>
      <c r="K1089" s="85"/>
      <c r="L1089" s="109"/>
      <c r="M1089" s="110"/>
      <c r="N1089" s="111"/>
      <c r="O1089" s="112"/>
      <c r="P1089" s="112"/>
      <c r="Q1089" s="118"/>
    </row>
    <row r="1090" spans="2:17" s="5" customFormat="1" ht="13">
      <c r="B1090" s="84"/>
      <c r="C1090" s="84"/>
      <c r="D1090" s="85"/>
      <c r="E1090" s="85"/>
      <c r="F1090" s="85"/>
      <c r="G1090" s="85"/>
      <c r="H1090" s="85"/>
      <c r="I1090" s="85"/>
      <c r="J1090" s="85"/>
      <c r="K1090" s="85"/>
      <c r="L1090" s="109"/>
      <c r="M1090" s="110"/>
      <c r="N1090" s="111"/>
      <c r="O1090" s="112"/>
      <c r="P1090" s="112"/>
      <c r="Q1090" s="118"/>
    </row>
    <row r="1091" spans="2:17" s="5" customFormat="1" ht="13">
      <c r="B1091" s="84"/>
      <c r="C1091" s="84"/>
      <c r="D1091" s="85"/>
      <c r="E1091" s="85"/>
      <c r="F1091" s="85"/>
      <c r="G1091" s="85"/>
      <c r="H1091" s="85"/>
      <c r="I1091" s="85"/>
      <c r="J1091" s="85"/>
      <c r="K1091" s="85"/>
      <c r="L1091" s="109"/>
      <c r="M1091" s="110"/>
      <c r="N1091" s="111"/>
      <c r="O1091" s="112"/>
      <c r="P1091" s="112"/>
      <c r="Q1091" s="118"/>
    </row>
    <row r="1092" spans="2:17" s="5" customFormat="1" ht="13">
      <c r="B1092" s="84"/>
      <c r="C1092" s="84"/>
      <c r="D1092" s="85"/>
      <c r="E1092" s="85"/>
      <c r="F1092" s="85"/>
      <c r="G1092" s="85"/>
      <c r="H1092" s="85"/>
      <c r="I1092" s="85"/>
      <c r="J1092" s="85"/>
      <c r="K1092" s="85"/>
      <c r="L1092" s="109"/>
      <c r="M1092" s="110"/>
      <c r="N1092" s="111"/>
      <c r="O1092" s="112"/>
      <c r="P1092" s="112"/>
      <c r="Q1092" s="118"/>
    </row>
    <row r="1093" spans="2:17" s="5" customFormat="1" ht="13">
      <c r="B1093" s="84"/>
      <c r="C1093" s="84"/>
      <c r="D1093" s="85"/>
      <c r="E1093" s="85"/>
      <c r="F1093" s="85"/>
      <c r="G1093" s="85"/>
      <c r="H1093" s="85"/>
      <c r="I1093" s="85"/>
      <c r="J1093" s="85"/>
      <c r="K1093" s="85"/>
      <c r="L1093" s="109"/>
      <c r="M1093" s="110"/>
      <c r="N1093" s="111"/>
      <c r="O1093" s="112"/>
      <c r="P1093" s="112"/>
      <c r="Q1093" s="118"/>
    </row>
    <row r="1094" spans="2:17" s="5" customFormat="1" ht="13">
      <c r="B1094" s="84"/>
      <c r="C1094" s="84"/>
      <c r="D1094" s="85"/>
      <c r="E1094" s="85"/>
      <c r="F1094" s="85"/>
      <c r="G1094" s="85"/>
      <c r="H1094" s="85"/>
      <c r="I1094" s="85"/>
      <c r="J1094" s="85"/>
      <c r="K1094" s="85"/>
      <c r="L1094" s="109"/>
      <c r="M1094" s="110"/>
      <c r="N1094" s="111"/>
      <c r="O1094" s="112"/>
      <c r="P1094" s="112"/>
      <c r="Q1094" s="118"/>
    </row>
    <row r="1095" spans="2:17" s="5" customFormat="1" ht="13">
      <c r="B1095" s="84"/>
      <c r="C1095" s="84"/>
      <c r="D1095" s="85"/>
      <c r="E1095" s="85"/>
      <c r="F1095" s="85"/>
      <c r="G1095" s="85"/>
      <c r="H1095" s="85"/>
      <c r="I1095" s="85"/>
      <c r="J1095" s="85"/>
      <c r="K1095" s="85"/>
      <c r="L1095" s="109"/>
      <c r="M1095" s="110"/>
      <c r="N1095" s="111"/>
      <c r="O1095" s="112"/>
      <c r="P1095" s="112"/>
      <c r="Q1095" s="118"/>
    </row>
    <row r="1096" spans="2:17" s="5" customFormat="1" ht="13">
      <c r="B1096" s="84"/>
      <c r="C1096" s="84"/>
      <c r="D1096" s="85"/>
      <c r="E1096" s="85"/>
      <c r="F1096" s="85"/>
      <c r="G1096" s="85"/>
      <c r="H1096" s="85"/>
      <c r="I1096" s="85"/>
      <c r="J1096" s="85"/>
      <c r="K1096" s="85"/>
      <c r="L1096" s="109"/>
      <c r="M1096" s="110"/>
      <c r="N1096" s="111"/>
      <c r="O1096" s="112"/>
      <c r="P1096" s="112"/>
      <c r="Q1096" s="118"/>
    </row>
    <row r="1097" spans="2:17" s="5" customFormat="1" ht="13">
      <c r="B1097" s="84"/>
      <c r="C1097" s="84"/>
      <c r="D1097" s="85"/>
      <c r="E1097" s="85"/>
      <c r="F1097" s="85"/>
      <c r="G1097" s="85"/>
      <c r="H1097" s="85"/>
      <c r="I1097" s="85"/>
      <c r="J1097" s="85"/>
      <c r="K1097" s="85"/>
      <c r="L1097" s="109"/>
      <c r="M1097" s="110"/>
      <c r="N1097" s="111"/>
      <c r="O1097" s="112"/>
      <c r="P1097" s="112"/>
      <c r="Q1097" s="118"/>
    </row>
    <row r="1098" spans="2:17" s="5" customFormat="1" ht="13">
      <c r="B1098" s="84"/>
      <c r="C1098" s="84"/>
      <c r="D1098" s="85"/>
      <c r="E1098" s="85"/>
      <c r="F1098" s="85"/>
      <c r="G1098" s="85"/>
      <c r="H1098" s="85"/>
      <c r="I1098" s="85"/>
      <c r="J1098" s="85"/>
      <c r="K1098" s="85"/>
      <c r="L1098" s="109"/>
      <c r="M1098" s="110"/>
      <c r="N1098" s="111"/>
      <c r="O1098" s="112"/>
      <c r="P1098" s="112"/>
      <c r="Q1098" s="118"/>
    </row>
    <row r="1099" spans="2:17" s="5" customFormat="1" ht="13">
      <c r="B1099" s="84"/>
      <c r="C1099" s="84"/>
      <c r="D1099" s="85"/>
      <c r="E1099" s="85"/>
      <c r="F1099" s="85"/>
      <c r="G1099" s="85"/>
      <c r="H1099" s="85"/>
      <c r="I1099" s="85"/>
      <c r="J1099" s="85"/>
      <c r="K1099" s="85"/>
      <c r="L1099" s="109"/>
      <c r="M1099" s="110"/>
      <c r="N1099" s="111"/>
      <c r="O1099" s="112"/>
      <c r="P1099" s="112"/>
      <c r="Q1099" s="118"/>
    </row>
    <row r="1100" spans="2:17" s="5" customFormat="1" ht="13">
      <c r="B1100" s="84"/>
      <c r="C1100" s="84"/>
      <c r="D1100" s="85"/>
      <c r="E1100" s="85"/>
      <c r="F1100" s="85"/>
      <c r="G1100" s="85"/>
      <c r="H1100" s="85"/>
      <c r="I1100" s="85"/>
      <c r="J1100" s="85"/>
      <c r="K1100" s="85"/>
      <c r="L1100" s="109"/>
      <c r="M1100" s="110"/>
      <c r="N1100" s="111"/>
      <c r="O1100" s="112"/>
      <c r="P1100" s="112"/>
      <c r="Q1100" s="118"/>
    </row>
    <row r="1101" spans="2:17" s="5" customFormat="1" ht="13">
      <c r="B1101" s="84"/>
      <c r="C1101" s="84"/>
      <c r="D1101" s="85"/>
      <c r="E1101" s="85"/>
      <c r="F1101" s="85"/>
      <c r="G1101" s="85"/>
      <c r="H1101" s="85"/>
      <c r="I1101" s="85"/>
      <c r="J1101" s="85"/>
      <c r="K1101" s="85"/>
      <c r="L1101" s="109"/>
      <c r="M1101" s="110"/>
      <c r="N1101" s="111"/>
      <c r="O1101" s="112"/>
      <c r="P1101" s="112"/>
      <c r="Q1101" s="118"/>
    </row>
    <row r="1102" spans="2:17" s="5" customFormat="1" ht="13">
      <c r="B1102" s="84"/>
      <c r="C1102" s="84"/>
      <c r="D1102" s="85"/>
      <c r="E1102" s="85"/>
      <c r="F1102" s="85"/>
      <c r="G1102" s="85"/>
      <c r="H1102" s="85"/>
      <c r="I1102" s="85"/>
      <c r="J1102" s="85"/>
      <c r="K1102" s="85"/>
      <c r="L1102" s="109"/>
      <c r="M1102" s="110"/>
      <c r="N1102" s="111"/>
      <c r="O1102" s="112"/>
      <c r="P1102" s="112"/>
      <c r="Q1102" s="118"/>
    </row>
    <row r="1103" spans="2:17" s="5" customFormat="1" ht="13">
      <c r="B1103" s="84"/>
      <c r="C1103" s="84"/>
      <c r="D1103" s="85"/>
      <c r="E1103" s="85"/>
      <c r="F1103" s="85"/>
      <c r="G1103" s="85"/>
      <c r="H1103" s="85"/>
      <c r="I1103" s="85"/>
      <c r="J1103" s="85"/>
      <c r="K1103" s="85"/>
      <c r="L1103" s="109"/>
      <c r="M1103" s="110"/>
      <c r="N1103" s="111"/>
      <c r="O1103" s="112"/>
      <c r="P1103" s="112"/>
      <c r="Q1103" s="118"/>
    </row>
    <row r="1104" spans="2:17" s="5" customFormat="1" ht="13">
      <c r="B1104" s="84"/>
      <c r="C1104" s="84"/>
      <c r="D1104" s="85"/>
      <c r="E1104" s="85"/>
      <c r="F1104" s="85"/>
      <c r="G1104" s="85"/>
      <c r="H1104" s="85"/>
      <c r="I1104" s="85"/>
      <c r="J1104" s="85"/>
      <c r="K1104" s="85"/>
      <c r="L1104" s="109"/>
      <c r="M1104" s="110"/>
      <c r="N1104" s="111"/>
      <c r="O1104" s="112"/>
      <c r="P1104" s="112"/>
      <c r="Q1104" s="118"/>
    </row>
    <row r="1105" spans="2:17" s="5" customFormat="1" ht="13">
      <c r="B1105" s="84"/>
      <c r="C1105" s="84"/>
      <c r="D1105" s="85"/>
      <c r="E1105" s="85"/>
      <c r="F1105" s="85"/>
      <c r="G1105" s="85"/>
      <c r="H1105" s="85"/>
      <c r="I1105" s="85"/>
      <c r="J1105" s="85"/>
      <c r="K1105" s="85"/>
      <c r="L1105" s="109"/>
      <c r="M1105" s="110"/>
      <c r="N1105" s="111"/>
      <c r="O1105" s="112"/>
      <c r="P1105" s="112"/>
      <c r="Q1105" s="118"/>
    </row>
    <row r="1106" spans="2:17" s="5" customFormat="1" ht="13">
      <c r="B1106" s="84"/>
      <c r="C1106" s="84"/>
      <c r="D1106" s="85"/>
      <c r="E1106" s="85"/>
      <c r="F1106" s="85"/>
      <c r="G1106" s="85"/>
      <c r="H1106" s="85"/>
      <c r="I1106" s="85"/>
      <c r="J1106" s="85"/>
      <c r="K1106" s="85"/>
      <c r="L1106" s="109"/>
      <c r="M1106" s="110"/>
      <c r="N1106" s="111"/>
      <c r="O1106" s="112"/>
      <c r="P1106" s="112"/>
      <c r="Q1106" s="118"/>
    </row>
    <row r="1107" spans="2:17" s="5" customFormat="1" ht="13">
      <c r="B1107" s="84"/>
      <c r="C1107" s="84"/>
      <c r="D1107" s="85"/>
      <c r="E1107" s="85"/>
      <c r="F1107" s="85"/>
      <c r="G1107" s="85"/>
      <c r="H1107" s="85"/>
      <c r="I1107" s="85"/>
      <c r="J1107" s="85"/>
      <c r="K1107" s="85"/>
      <c r="L1107" s="109"/>
      <c r="M1107" s="110"/>
      <c r="N1107" s="111"/>
      <c r="O1107" s="112"/>
      <c r="P1107" s="112"/>
      <c r="Q1107" s="118"/>
    </row>
    <row r="1108" spans="2:17" s="5" customFormat="1" ht="13">
      <c r="B1108" s="84"/>
      <c r="C1108" s="84"/>
      <c r="D1108" s="85"/>
      <c r="E1108" s="85"/>
      <c r="F1108" s="85"/>
      <c r="G1108" s="85"/>
      <c r="H1108" s="85"/>
      <c r="I1108" s="85"/>
      <c r="J1108" s="85"/>
      <c r="K1108" s="85"/>
      <c r="L1108" s="109"/>
      <c r="M1108" s="110"/>
      <c r="N1108" s="111"/>
      <c r="O1108" s="112"/>
      <c r="P1108" s="112"/>
      <c r="Q1108" s="118"/>
    </row>
    <row r="1109" spans="2:17" s="5" customFormat="1" ht="13">
      <c r="B1109" s="84"/>
      <c r="C1109" s="84"/>
      <c r="D1109" s="85"/>
      <c r="E1109" s="85"/>
      <c r="F1109" s="85"/>
      <c r="G1109" s="85"/>
      <c r="H1109" s="85"/>
      <c r="I1109" s="85"/>
      <c r="J1109" s="85"/>
      <c r="K1109" s="85"/>
      <c r="L1109" s="109"/>
      <c r="M1109" s="110"/>
      <c r="N1109" s="111"/>
      <c r="O1109" s="112"/>
      <c r="P1109" s="112"/>
      <c r="Q1109" s="118"/>
    </row>
    <row r="1110" spans="2:17" s="5" customFormat="1" ht="13">
      <c r="B1110" s="84"/>
      <c r="C1110" s="84"/>
      <c r="D1110" s="85"/>
      <c r="E1110" s="85"/>
      <c r="F1110" s="85"/>
      <c r="G1110" s="85"/>
      <c r="H1110" s="85"/>
      <c r="I1110" s="85"/>
      <c r="J1110" s="85"/>
      <c r="K1110" s="85"/>
      <c r="L1110" s="109"/>
      <c r="M1110" s="110"/>
      <c r="N1110" s="111"/>
      <c r="O1110" s="112"/>
      <c r="P1110" s="112"/>
      <c r="Q1110" s="118"/>
    </row>
    <row r="1111" spans="2:17" s="5" customFormat="1" ht="13">
      <c r="B1111" s="84"/>
      <c r="C1111" s="84"/>
      <c r="D1111" s="85"/>
      <c r="E1111" s="85"/>
      <c r="F1111" s="85"/>
      <c r="G1111" s="85"/>
      <c r="H1111" s="85"/>
      <c r="I1111" s="85"/>
      <c r="J1111" s="85"/>
      <c r="K1111" s="85"/>
      <c r="L1111" s="109"/>
      <c r="M1111" s="110"/>
      <c r="N1111" s="111"/>
      <c r="O1111" s="112"/>
      <c r="P1111" s="112"/>
      <c r="Q1111" s="118"/>
    </row>
    <row r="1112" spans="2:17" s="5" customFormat="1" ht="13">
      <c r="B1112" s="84"/>
      <c r="C1112" s="84"/>
      <c r="D1112" s="85"/>
      <c r="E1112" s="85"/>
      <c r="F1112" s="85"/>
      <c r="G1112" s="85"/>
      <c r="H1112" s="85"/>
      <c r="I1112" s="85"/>
      <c r="J1112" s="85"/>
      <c r="K1112" s="85"/>
      <c r="L1112" s="109"/>
      <c r="M1112" s="110"/>
      <c r="N1112" s="111"/>
      <c r="O1112" s="112"/>
      <c r="P1112" s="112"/>
      <c r="Q1112" s="118"/>
    </row>
    <row r="1113" spans="2:17" s="5" customFormat="1" ht="13">
      <c r="B1113" s="84"/>
      <c r="C1113" s="84"/>
      <c r="D1113" s="85"/>
      <c r="E1113" s="85"/>
      <c r="F1113" s="85"/>
      <c r="G1113" s="85"/>
      <c r="H1113" s="85"/>
      <c r="I1113" s="85"/>
      <c r="J1113" s="85"/>
      <c r="K1113" s="85"/>
      <c r="L1113" s="109"/>
      <c r="M1113" s="110"/>
      <c r="N1113" s="111"/>
      <c r="O1113" s="112"/>
      <c r="P1113" s="112"/>
      <c r="Q1113" s="118"/>
    </row>
    <row r="1114" spans="2:17" s="5" customFormat="1" ht="13">
      <c r="B1114" s="84"/>
      <c r="C1114" s="84"/>
      <c r="D1114" s="85"/>
      <c r="E1114" s="85"/>
      <c r="F1114" s="85"/>
      <c r="G1114" s="85"/>
      <c r="H1114" s="85"/>
      <c r="I1114" s="85"/>
      <c r="J1114" s="85"/>
      <c r="K1114" s="85"/>
      <c r="L1114" s="109"/>
      <c r="M1114" s="110"/>
      <c r="N1114" s="111"/>
      <c r="O1114" s="112"/>
      <c r="P1114" s="112"/>
      <c r="Q1114" s="118"/>
    </row>
    <row r="1115" spans="2:17" s="5" customFormat="1" ht="13">
      <c r="B1115" s="84"/>
      <c r="C1115" s="84"/>
      <c r="D1115" s="85"/>
      <c r="E1115" s="85"/>
      <c r="F1115" s="85"/>
      <c r="G1115" s="85"/>
      <c r="H1115" s="85"/>
      <c r="I1115" s="85"/>
      <c r="J1115" s="85"/>
      <c r="K1115" s="85"/>
      <c r="L1115" s="109"/>
      <c r="M1115" s="110"/>
      <c r="N1115" s="111"/>
      <c r="O1115" s="112"/>
      <c r="P1115" s="112"/>
      <c r="Q1115" s="118"/>
    </row>
    <row r="1116" spans="2:17" s="5" customFormat="1" ht="13">
      <c r="B1116" s="84"/>
      <c r="C1116" s="84"/>
      <c r="D1116" s="85"/>
      <c r="E1116" s="85"/>
      <c r="F1116" s="85"/>
      <c r="G1116" s="85"/>
      <c r="H1116" s="85"/>
      <c r="I1116" s="85"/>
      <c r="J1116" s="85"/>
      <c r="K1116" s="85"/>
      <c r="L1116" s="109"/>
      <c r="M1116" s="110"/>
      <c r="N1116" s="111"/>
      <c r="O1116" s="112"/>
      <c r="P1116" s="112"/>
      <c r="Q1116" s="118"/>
    </row>
    <row r="1117" spans="2:17" s="5" customFormat="1" ht="13">
      <c r="B1117" s="84"/>
      <c r="C1117" s="84"/>
      <c r="D1117" s="85"/>
      <c r="E1117" s="85"/>
      <c r="F1117" s="85"/>
      <c r="G1117" s="85"/>
      <c r="H1117" s="85"/>
      <c r="I1117" s="85"/>
      <c r="J1117" s="85"/>
      <c r="K1117" s="85"/>
      <c r="L1117" s="109"/>
      <c r="M1117" s="110"/>
      <c r="N1117" s="111"/>
      <c r="O1117" s="112"/>
      <c r="P1117" s="112"/>
      <c r="Q1117" s="118"/>
    </row>
    <row r="1118" spans="2:17" s="5" customFormat="1" ht="13">
      <c r="B1118" s="84"/>
      <c r="C1118" s="84"/>
      <c r="D1118" s="85"/>
      <c r="E1118" s="85"/>
      <c r="F1118" s="85"/>
      <c r="G1118" s="85"/>
      <c r="H1118" s="85"/>
      <c r="I1118" s="85"/>
      <c r="J1118" s="85"/>
      <c r="K1118" s="85"/>
      <c r="L1118" s="109"/>
      <c r="M1118" s="110"/>
      <c r="N1118" s="111"/>
      <c r="O1118" s="112"/>
      <c r="P1118" s="112"/>
      <c r="Q1118" s="118"/>
    </row>
    <row r="1119" spans="2:17" s="5" customFormat="1" ht="13">
      <c r="B1119" s="84"/>
      <c r="C1119" s="84"/>
      <c r="D1119" s="85"/>
      <c r="E1119" s="85"/>
      <c r="F1119" s="85"/>
      <c r="G1119" s="85"/>
      <c r="H1119" s="85"/>
      <c r="I1119" s="85"/>
      <c r="J1119" s="85"/>
      <c r="K1119" s="85"/>
      <c r="L1119" s="109"/>
      <c r="M1119" s="110"/>
      <c r="N1119" s="111"/>
      <c r="O1119" s="112"/>
      <c r="P1119" s="112"/>
      <c r="Q1119" s="118"/>
    </row>
    <row r="1120" spans="2:17" s="5" customFormat="1" ht="13">
      <c r="B1120" s="84"/>
      <c r="C1120" s="84"/>
      <c r="D1120" s="85"/>
      <c r="E1120" s="85"/>
      <c r="F1120" s="85"/>
      <c r="G1120" s="85"/>
      <c r="H1120" s="85"/>
      <c r="I1120" s="85"/>
      <c r="J1120" s="85"/>
      <c r="K1120" s="85"/>
      <c r="L1120" s="109"/>
      <c r="M1120" s="110"/>
      <c r="N1120" s="111"/>
      <c r="O1120" s="112"/>
      <c r="P1120" s="112"/>
      <c r="Q1120" s="118"/>
    </row>
    <row r="1121" spans="2:17" s="5" customFormat="1" ht="13">
      <c r="B1121" s="84"/>
      <c r="C1121" s="84"/>
      <c r="D1121" s="85"/>
      <c r="E1121" s="85"/>
      <c r="F1121" s="85"/>
      <c r="G1121" s="85"/>
      <c r="H1121" s="85"/>
      <c r="I1121" s="85"/>
      <c r="J1121" s="85"/>
      <c r="K1121" s="85"/>
      <c r="L1121" s="109"/>
      <c r="M1121" s="110"/>
      <c r="N1121" s="111"/>
      <c r="O1121" s="112"/>
      <c r="P1121" s="112"/>
      <c r="Q1121" s="118"/>
    </row>
    <row r="1122" spans="2:17" s="5" customFormat="1" ht="13">
      <c r="B1122" s="84"/>
      <c r="C1122" s="84"/>
      <c r="D1122" s="85"/>
      <c r="E1122" s="85"/>
      <c r="F1122" s="85"/>
      <c r="G1122" s="85"/>
      <c r="H1122" s="85"/>
      <c r="I1122" s="85"/>
      <c r="J1122" s="85"/>
      <c r="K1122" s="85"/>
      <c r="L1122" s="109"/>
      <c r="M1122" s="110"/>
      <c r="N1122" s="111"/>
      <c r="O1122" s="112"/>
      <c r="P1122" s="112"/>
      <c r="Q1122" s="118"/>
    </row>
    <row r="1123" spans="2:17" s="5" customFormat="1" ht="13">
      <c r="B1123" s="84"/>
      <c r="C1123" s="84"/>
      <c r="D1123" s="85"/>
      <c r="E1123" s="85"/>
      <c r="F1123" s="85"/>
      <c r="G1123" s="85"/>
      <c r="H1123" s="85"/>
      <c r="I1123" s="85"/>
      <c r="J1123" s="85"/>
      <c r="K1123" s="85"/>
      <c r="L1123" s="109"/>
      <c r="M1123" s="110"/>
      <c r="N1123" s="111"/>
      <c r="O1123" s="112"/>
      <c r="P1123" s="112"/>
      <c r="Q1123" s="118"/>
    </row>
    <row r="1124" spans="2:17" s="5" customFormat="1" ht="13">
      <c r="B1124" s="84"/>
      <c r="C1124" s="84"/>
      <c r="D1124" s="85"/>
      <c r="E1124" s="85"/>
      <c r="F1124" s="85"/>
      <c r="G1124" s="85"/>
      <c r="H1124" s="85"/>
      <c r="I1124" s="85"/>
      <c r="J1124" s="85"/>
      <c r="K1124" s="85"/>
      <c r="L1124" s="109"/>
      <c r="M1124" s="110"/>
      <c r="N1124" s="111"/>
      <c r="O1124" s="112"/>
      <c r="P1124" s="112"/>
      <c r="Q1124" s="118"/>
    </row>
    <row r="1125" spans="2:17" s="5" customFormat="1" ht="13">
      <c r="B1125" s="84"/>
      <c r="C1125" s="84"/>
      <c r="D1125" s="85"/>
      <c r="E1125" s="85"/>
      <c r="F1125" s="85"/>
      <c r="G1125" s="85"/>
      <c r="H1125" s="85"/>
      <c r="I1125" s="85"/>
      <c r="J1125" s="85"/>
      <c r="K1125" s="85"/>
      <c r="L1125" s="109"/>
      <c r="M1125" s="110"/>
      <c r="N1125" s="111"/>
      <c r="O1125" s="112"/>
      <c r="P1125" s="112"/>
      <c r="Q1125" s="118"/>
    </row>
    <row r="1126" spans="2:17" s="5" customFormat="1" ht="13">
      <c r="B1126" s="84"/>
      <c r="C1126" s="84"/>
      <c r="D1126" s="85"/>
      <c r="E1126" s="85"/>
      <c r="F1126" s="85"/>
      <c r="G1126" s="85"/>
      <c r="H1126" s="85"/>
      <c r="I1126" s="85"/>
      <c r="J1126" s="85"/>
      <c r="K1126" s="85"/>
      <c r="L1126" s="109"/>
      <c r="M1126" s="110"/>
      <c r="N1126" s="111"/>
      <c r="O1126" s="112"/>
      <c r="P1126" s="112"/>
      <c r="Q1126" s="118"/>
    </row>
    <row r="1127" spans="2:17" s="5" customFormat="1" ht="13">
      <c r="B1127" s="84"/>
      <c r="C1127" s="84"/>
      <c r="D1127" s="85"/>
      <c r="E1127" s="85"/>
      <c r="F1127" s="85"/>
      <c r="G1127" s="85"/>
      <c r="H1127" s="85"/>
      <c r="I1127" s="85"/>
      <c r="J1127" s="85"/>
      <c r="K1127" s="85"/>
      <c r="L1127" s="109"/>
      <c r="M1127" s="110"/>
      <c r="N1127" s="111"/>
      <c r="O1127" s="112"/>
      <c r="P1127" s="112"/>
      <c r="Q1127" s="118"/>
    </row>
    <row r="1128" spans="2:17" s="5" customFormat="1" ht="13">
      <c r="B1128" s="84"/>
      <c r="C1128" s="84"/>
      <c r="D1128" s="85"/>
      <c r="E1128" s="85"/>
      <c r="F1128" s="85"/>
      <c r="G1128" s="85"/>
      <c r="H1128" s="85"/>
      <c r="I1128" s="85"/>
      <c r="J1128" s="85"/>
      <c r="K1128" s="85"/>
      <c r="L1128" s="109"/>
      <c r="M1128" s="110"/>
      <c r="N1128" s="111"/>
      <c r="O1128" s="112"/>
      <c r="P1128" s="112"/>
      <c r="Q1128" s="118"/>
    </row>
    <row r="1129" spans="2:17" s="5" customFormat="1" ht="13">
      <c r="B1129" s="84"/>
      <c r="C1129" s="84"/>
      <c r="D1129" s="85"/>
      <c r="E1129" s="85"/>
      <c r="F1129" s="85"/>
      <c r="G1129" s="85"/>
      <c r="H1129" s="85"/>
      <c r="I1129" s="85"/>
      <c r="J1129" s="85"/>
      <c r="K1129" s="85"/>
      <c r="L1129" s="109"/>
      <c r="M1129" s="110"/>
      <c r="N1129" s="111"/>
      <c r="O1129" s="112"/>
      <c r="P1129" s="112"/>
      <c r="Q1129" s="118"/>
    </row>
    <row r="1130" spans="2:17" s="5" customFormat="1" ht="13">
      <c r="B1130" s="84"/>
      <c r="C1130" s="84"/>
      <c r="D1130" s="85"/>
      <c r="E1130" s="85"/>
      <c r="F1130" s="85"/>
      <c r="G1130" s="85"/>
      <c r="H1130" s="85"/>
      <c r="I1130" s="85"/>
      <c r="J1130" s="85"/>
      <c r="K1130" s="85"/>
      <c r="L1130" s="109"/>
      <c r="M1130" s="110"/>
      <c r="N1130" s="111"/>
      <c r="O1130" s="112"/>
      <c r="P1130" s="112"/>
      <c r="Q1130" s="118"/>
    </row>
    <row r="1131" spans="2:17" s="5" customFormat="1" ht="13">
      <c r="B1131" s="84"/>
      <c r="C1131" s="84"/>
      <c r="D1131" s="85"/>
      <c r="E1131" s="85"/>
      <c r="F1131" s="85"/>
      <c r="G1131" s="85"/>
      <c r="H1131" s="85"/>
      <c r="I1131" s="85"/>
      <c r="J1131" s="85"/>
      <c r="K1131" s="85"/>
      <c r="L1131" s="109"/>
      <c r="M1131" s="110"/>
      <c r="N1131" s="111"/>
      <c r="O1131" s="112"/>
      <c r="P1131" s="112"/>
      <c r="Q1131" s="118"/>
    </row>
    <row r="1132" spans="2:17" s="5" customFormat="1" ht="13">
      <c r="B1132" s="84"/>
      <c r="C1132" s="84"/>
      <c r="D1132" s="85"/>
      <c r="E1132" s="85"/>
      <c r="F1132" s="85"/>
      <c r="G1132" s="85"/>
      <c r="H1132" s="85"/>
      <c r="I1132" s="85"/>
      <c r="J1132" s="85"/>
      <c r="K1132" s="85"/>
      <c r="L1132" s="109"/>
      <c r="M1132" s="110"/>
      <c r="N1132" s="111"/>
      <c r="O1132" s="112"/>
      <c r="P1132" s="112"/>
      <c r="Q1132" s="118"/>
    </row>
    <row r="1133" spans="2:17" s="5" customFormat="1" ht="13">
      <c r="B1133" s="84"/>
      <c r="C1133" s="84"/>
      <c r="D1133" s="85"/>
      <c r="E1133" s="85"/>
      <c r="F1133" s="85"/>
      <c r="G1133" s="85"/>
      <c r="H1133" s="85"/>
      <c r="I1133" s="85"/>
      <c r="J1133" s="85"/>
      <c r="K1133" s="85"/>
      <c r="L1133" s="109"/>
      <c r="M1133" s="110"/>
      <c r="N1133" s="111"/>
      <c r="O1133" s="112"/>
      <c r="P1133" s="112"/>
      <c r="Q1133" s="118"/>
    </row>
    <row r="1134" spans="2:17" s="5" customFormat="1" ht="13">
      <c r="B1134" s="84"/>
      <c r="C1134" s="84"/>
      <c r="D1134" s="85"/>
      <c r="E1134" s="85"/>
      <c r="F1134" s="85"/>
      <c r="G1134" s="85"/>
      <c r="H1134" s="85"/>
      <c r="I1134" s="85"/>
      <c r="J1134" s="85"/>
      <c r="K1134" s="85"/>
      <c r="L1134" s="109"/>
      <c r="M1134" s="110"/>
      <c r="N1134" s="111"/>
      <c r="O1134" s="112"/>
      <c r="P1134" s="112"/>
      <c r="Q1134" s="118"/>
    </row>
    <row r="1135" spans="2:17" s="5" customFormat="1" ht="13">
      <c r="B1135" s="84"/>
      <c r="C1135" s="84"/>
      <c r="D1135" s="85"/>
      <c r="E1135" s="85"/>
      <c r="F1135" s="85"/>
      <c r="G1135" s="85"/>
      <c r="H1135" s="85"/>
      <c r="I1135" s="85"/>
      <c r="J1135" s="85"/>
      <c r="K1135" s="85"/>
      <c r="L1135" s="109"/>
      <c r="M1135" s="110"/>
      <c r="N1135" s="111"/>
      <c r="O1135" s="112"/>
      <c r="P1135" s="112"/>
      <c r="Q1135" s="118"/>
    </row>
    <row r="1136" spans="2:17" s="5" customFormat="1" ht="13">
      <c r="B1136" s="84"/>
      <c r="C1136" s="84"/>
      <c r="D1136" s="85"/>
      <c r="E1136" s="85"/>
      <c r="F1136" s="85"/>
      <c r="G1136" s="85"/>
      <c r="H1136" s="85"/>
      <c r="I1136" s="85"/>
      <c r="J1136" s="85"/>
      <c r="K1136" s="85"/>
      <c r="L1136" s="109"/>
      <c r="M1136" s="110"/>
      <c r="N1136" s="111"/>
      <c r="O1136" s="112"/>
      <c r="P1136" s="112"/>
      <c r="Q1136" s="118"/>
    </row>
    <row r="1137" spans="2:17" s="5" customFormat="1" ht="13">
      <c r="B1137" s="84"/>
      <c r="C1137" s="84"/>
      <c r="D1137" s="85"/>
      <c r="E1137" s="85"/>
      <c r="F1137" s="85"/>
      <c r="G1137" s="85"/>
      <c r="H1137" s="85"/>
      <c r="I1137" s="85"/>
      <c r="J1137" s="85"/>
      <c r="K1137" s="85"/>
      <c r="L1137" s="109"/>
      <c r="M1137" s="110"/>
      <c r="N1137" s="111"/>
      <c r="O1137" s="112"/>
      <c r="P1137" s="112"/>
      <c r="Q1137" s="118"/>
    </row>
    <row r="1138" spans="2:17" s="5" customFormat="1" ht="13">
      <c r="B1138" s="84"/>
      <c r="C1138" s="84"/>
      <c r="D1138" s="85"/>
      <c r="E1138" s="85"/>
      <c r="F1138" s="85"/>
      <c r="G1138" s="85"/>
      <c r="H1138" s="85"/>
      <c r="I1138" s="85"/>
      <c r="J1138" s="85"/>
      <c r="K1138" s="85"/>
      <c r="L1138" s="109"/>
      <c r="M1138" s="110"/>
      <c r="N1138" s="111"/>
      <c r="O1138" s="112"/>
      <c r="P1138" s="112"/>
      <c r="Q1138" s="118"/>
    </row>
    <row r="1139" spans="2:17" s="5" customFormat="1" ht="13">
      <c r="B1139" s="84"/>
      <c r="C1139" s="84"/>
      <c r="D1139" s="85"/>
      <c r="E1139" s="85"/>
      <c r="F1139" s="85"/>
      <c r="G1139" s="85"/>
      <c r="H1139" s="85"/>
      <c r="I1139" s="85"/>
      <c r="J1139" s="85"/>
      <c r="K1139" s="85"/>
      <c r="L1139" s="109"/>
      <c r="M1139" s="110"/>
      <c r="N1139" s="111"/>
      <c r="O1139" s="112"/>
      <c r="P1139" s="112"/>
      <c r="Q1139" s="118"/>
    </row>
    <row r="1140" spans="2:17" s="5" customFormat="1" ht="13">
      <c r="B1140" s="84"/>
      <c r="C1140" s="84"/>
      <c r="D1140" s="85"/>
      <c r="E1140" s="85"/>
      <c r="F1140" s="85"/>
      <c r="G1140" s="85"/>
      <c r="H1140" s="85"/>
      <c r="I1140" s="85"/>
      <c r="J1140" s="85"/>
      <c r="K1140" s="85"/>
      <c r="L1140" s="109"/>
      <c r="M1140" s="110"/>
      <c r="N1140" s="111"/>
      <c r="O1140" s="112"/>
      <c r="P1140" s="112"/>
      <c r="Q1140" s="118"/>
    </row>
    <row r="1141" spans="2:17" s="5" customFormat="1" ht="13">
      <c r="B1141" s="84"/>
      <c r="C1141" s="84"/>
      <c r="D1141" s="85"/>
      <c r="E1141" s="85"/>
      <c r="F1141" s="85"/>
      <c r="G1141" s="85"/>
      <c r="H1141" s="85"/>
      <c r="I1141" s="85"/>
      <c r="J1141" s="85"/>
      <c r="K1141" s="85"/>
      <c r="L1141" s="109"/>
      <c r="M1141" s="110"/>
      <c r="N1141" s="111"/>
      <c r="O1141" s="112"/>
      <c r="P1141" s="112"/>
      <c r="Q1141" s="118"/>
    </row>
    <row r="1142" spans="2:17" s="5" customFormat="1" ht="13">
      <c r="B1142" s="84"/>
      <c r="C1142" s="84"/>
      <c r="D1142" s="85"/>
      <c r="E1142" s="85"/>
      <c r="F1142" s="85"/>
      <c r="G1142" s="85"/>
      <c r="H1142" s="85"/>
      <c r="I1142" s="85"/>
      <c r="J1142" s="85"/>
      <c r="K1142" s="85"/>
      <c r="L1142" s="109"/>
      <c r="M1142" s="110"/>
      <c r="N1142" s="111"/>
      <c r="O1142" s="112"/>
      <c r="P1142" s="112"/>
      <c r="Q1142" s="118"/>
    </row>
    <row r="1143" spans="2:17" s="5" customFormat="1" ht="13">
      <c r="B1143" s="84"/>
      <c r="C1143" s="84"/>
      <c r="D1143" s="85"/>
      <c r="E1143" s="85"/>
      <c r="F1143" s="85"/>
      <c r="G1143" s="85"/>
      <c r="H1143" s="85"/>
      <c r="I1143" s="85"/>
      <c r="J1143" s="85"/>
      <c r="K1143" s="85"/>
      <c r="L1143" s="109"/>
      <c r="M1143" s="110"/>
      <c r="N1143" s="111"/>
      <c r="O1143" s="112"/>
      <c r="P1143" s="112"/>
      <c r="Q1143" s="118"/>
    </row>
    <row r="1144" spans="2:17" s="5" customFormat="1" ht="13">
      <c r="B1144" s="84"/>
      <c r="C1144" s="84"/>
      <c r="D1144" s="85"/>
      <c r="E1144" s="85"/>
      <c r="F1144" s="85"/>
      <c r="G1144" s="85"/>
      <c r="H1144" s="85"/>
      <c r="I1144" s="85"/>
      <c r="J1144" s="85"/>
      <c r="K1144" s="85"/>
      <c r="L1144" s="109"/>
      <c r="M1144" s="110"/>
      <c r="N1144" s="111"/>
      <c r="O1144" s="112"/>
      <c r="P1144" s="112"/>
      <c r="Q1144" s="118"/>
    </row>
    <row r="1145" spans="2:17" s="5" customFormat="1" ht="13">
      <c r="B1145" s="84"/>
      <c r="C1145" s="84"/>
      <c r="D1145" s="85"/>
      <c r="E1145" s="85"/>
      <c r="F1145" s="85"/>
      <c r="G1145" s="85"/>
      <c r="H1145" s="85"/>
      <c r="I1145" s="85"/>
      <c r="J1145" s="85"/>
      <c r="K1145" s="85"/>
      <c r="L1145" s="109"/>
      <c r="M1145" s="110"/>
      <c r="N1145" s="111"/>
      <c r="O1145" s="112"/>
      <c r="P1145" s="112"/>
      <c r="Q1145" s="118"/>
    </row>
    <row r="1146" spans="2:17" s="5" customFormat="1" ht="13">
      <c r="B1146" s="84"/>
      <c r="C1146" s="84"/>
      <c r="D1146" s="85"/>
      <c r="E1146" s="85"/>
      <c r="F1146" s="85"/>
      <c r="G1146" s="85"/>
      <c r="H1146" s="85"/>
      <c r="I1146" s="85"/>
      <c r="J1146" s="85"/>
      <c r="K1146" s="85"/>
      <c r="L1146" s="109"/>
      <c r="M1146" s="110"/>
      <c r="N1146" s="111"/>
      <c r="O1146" s="112"/>
      <c r="P1146" s="112"/>
      <c r="Q1146" s="118"/>
    </row>
    <row r="1147" spans="2:17" s="5" customFormat="1" ht="13">
      <c r="B1147" s="84"/>
      <c r="C1147" s="84"/>
      <c r="D1147" s="85"/>
      <c r="E1147" s="85"/>
      <c r="F1147" s="85"/>
      <c r="G1147" s="85"/>
      <c r="H1147" s="85"/>
      <c r="I1147" s="85"/>
      <c r="J1147" s="85"/>
      <c r="K1147" s="85"/>
      <c r="L1147" s="109"/>
      <c r="M1147" s="110"/>
      <c r="N1147" s="111"/>
      <c r="O1147" s="112"/>
      <c r="P1147" s="112"/>
      <c r="Q1147" s="118"/>
    </row>
    <row r="1148" spans="2:17" s="5" customFormat="1" ht="13">
      <c r="B1148" s="84"/>
      <c r="C1148" s="84"/>
      <c r="D1148" s="85"/>
      <c r="E1148" s="85"/>
      <c r="F1148" s="85"/>
      <c r="G1148" s="85"/>
      <c r="H1148" s="85"/>
      <c r="I1148" s="85"/>
      <c r="J1148" s="85"/>
      <c r="K1148" s="85"/>
      <c r="L1148" s="109"/>
      <c r="M1148" s="110"/>
      <c r="N1148" s="111"/>
      <c r="O1148" s="112"/>
      <c r="P1148" s="112"/>
      <c r="Q1148" s="118"/>
    </row>
    <row r="1149" spans="2:17" s="5" customFormat="1" ht="13">
      <c r="B1149" s="84"/>
      <c r="C1149" s="84"/>
      <c r="D1149" s="85"/>
      <c r="E1149" s="85"/>
      <c r="F1149" s="85"/>
      <c r="G1149" s="85"/>
      <c r="H1149" s="85"/>
      <c r="I1149" s="85"/>
      <c r="J1149" s="85"/>
      <c r="K1149" s="85"/>
      <c r="L1149" s="109"/>
      <c r="M1149" s="110"/>
      <c r="N1149" s="111"/>
      <c r="O1149" s="112"/>
      <c r="P1149" s="112"/>
      <c r="Q1149" s="118"/>
    </row>
    <row r="1150" spans="2:17" s="5" customFormat="1" ht="13">
      <c r="B1150" s="84"/>
      <c r="C1150" s="84"/>
      <c r="D1150" s="85"/>
      <c r="E1150" s="85"/>
      <c r="F1150" s="85"/>
      <c r="G1150" s="85"/>
      <c r="H1150" s="85"/>
      <c r="I1150" s="85"/>
      <c r="J1150" s="85"/>
      <c r="K1150" s="85"/>
      <c r="L1150" s="109"/>
      <c r="M1150" s="110"/>
      <c r="N1150" s="111"/>
      <c r="O1150" s="112"/>
      <c r="P1150" s="112"/>
      <c r="Q1150" s="118"/>
    </row>
    <row r="1151" spans="2:17" s="5" customFormat="1" ht="13">
      <c r="B1151" s="84"/>
      <c r="C1151" s="84"/>
      <c r="D1151" s="85"/>
      <c r="E1151" s="85"/>
      <c r="F1151" s="85"/>
      <c r="G1151" s="85"/>
      <c r="H1151" s="85"/>
      <c r="I1151" s="85"/>
      <c r="J1151" s="85"/>
      <c r="K1151" s="85"/>
      <c r="L1151" s="109"/>
      <c r="M1151" s="110"/>
      <c r="N1151" s="111"/>
      <c r="O1151" s="112"/>
      <c r="P1151" s="112"/>
      <c r="Q1151" s="118"/>
    </row>
    <row r="1152" spans="2:17" s="5" customFormat="1" ht="13">
      <c r="B1152" s="84"/>
      <c r="C1152" s="84"/>
      <c r="D1152" s="85"/>
      <c r="E1152" s="85"/>
      <c r="F1152" s="85"/>
      <c r="G1152" s="85"/>
      <c r="H1152" s="85"/>
      <c r="I1152" s="85"/>
      <c r="J1152" s="85"/>
      <c r="K1152" s="85"/>
      <c r="L1152" s="109"/>
      <c r="M1152" s="110"/>
      <c r="N1152" s="111"/>
      <c r="O1152" s="112"/>
      <c r="P1152" s="112"/>
      <c r="Q1152" s="118"/>
    </row>
    <row r="1153" spans="2:17" s="5" customFormat="1" ht="13">
      <c r="B1153" s="84"/>
      <c r="C1153" s="84"/>
      <c r="D1153" s="85"/>
      <c r="E1153" s="85"/>
      <c r="F1153" s="85"/>
      <c r="G1153" s="85"/>
      <c r="H1153" s="85"/>
      <c r="I1153" s="85"/>
      <c r="J1153" s="85"/>
      <c r="K1153" s="85"/>
      <c r="L1153" s="109"/>
      <c r="M1153" s="110"/>
      <c r="N1153" s="111"/>
      <c r="O1153" s="112"/>
      <c r="P1153" s="112"/>
      <c r="Q1153" s="118"/>
    </row>
    <row r="1154" spans="2:17" s="5" customFormat="1" ht="13">
      <c r="B1154" s="84"/>
      <c r="C1154" s="84"/>
      <c r="D1154" s="85"/>
      <c r="E1154" s="85"/>
      <c r="F1154" s="85"/>
      <c r="G1154" s="85"/>
      <c r="H1154" s="85"/>
      <c r="I1154" s="85"/>
      <c r="J1154" s="85"/>
      <c r="K1154" s="85"/>
      <c r="L1154" s="109"/>
      <c r="M1154" s="110"/>
      <c r="N1154" s="111"/>
      <c r="O1154" s="112"/>
      <c r="P1154" s="112"/>
      <c r="Q1154" s="118"/>
    </row>
    <row r="1155" spans="2:17" s="5" customFormat="1" ht="13">
      <c r="B1155" s="84"/>
      <c r="C1155" s="84"/>
      <c r="D1155" s="85"/>
      <c r="E1155" s="85"/>
      <c r="F1155" s="85"/>
      <c r="G1155" s="85"/>
      <c r="H1155" s="85"/>
      <c r="I1155" s="85"/>
      <c r="J1155" s="85"/>
      <c r="K1155" s="85"/>
      <c r="L1155" s="109"/>
      <c r="M1155" s="110"/>
      <c r="N1155" s="111"/>
      <c r="O1155" s="112"/>
      <c r="P1155" s="112"/>
      <c r="Q1155" s="118"/>
    </row>
    <row r="1156" spans="2:17" s="5" customFormat="1" ht="13">
      <c r="B1156" s="84"/>
      <c r="C1156" s="84"/>
      <c r="D1156" s="85"/>
      <c r="E1156" s="85"/>
      <c r="F1156" s="85"/>
      <c r="G1156" s="85"/>
      <c r="H1156" s="85"/>
      <c r="I1156" s="85"/>
      <c r="J1156" s="85"/>
      <c r="K1156" s="85"/>
      <c r="L1156" s="109"/>
      <c r="M1156" s="110"/>
      <c r="N1156" s="111"/>
      <c r="O1156" s="112"/>
      <c r="P1156" s="112"/>
      <c r="Q1156" s="118"/>
    </row>
    <row r="1157" spans="2:17" s="5" customFormat="1" ht="13">
      <c r="B1157" s="84"/>
      <c r="C1157" s="84"/>
      <c r="D1157" s="85"/>
      <c r="E1157" s="85"/>
      <c r="F1157" s="85"/>
      <c r="G1157" s="85"/>
      <c r="H1157" s="85"/>
      <c r="I1157" s="85"/>
      <c r="J1157" s="85"/>
      <c r="K1157" s="85"/>
      <c r="L1157" s="109"/>
      <c r="M1157" s="110"/>
      <c r="N1157" s="111"/>
      <c r="O1157" s="112"/>
      <c r="P1157" s="112"/>
      <c r="Q1157" s="118"/>
    </row>
    <row r="1158" spans="2:17" s="5" customFormat="1" ht="13">
      <c r="B1158" s="84"/>
      <c r="C1158" s="84"/>
      <c r="D1158" s="85"/>
      <c r="E1158" s="85"/>
      <c r="F1158" s="85"/>
      <c r="G1158" s="85"/>
      <c r="H1158" s="85"/>
      <c r="I1158" s="85"/>
      <c r="J1158" s="85"/>
      <c r="K1158" s="85"/>
      <c r="L1158" s="109"/>
      <c r="M1158" s="110"/>
      <c r="N1158" s="111"/>
      <c r="O1158" s="112"/>
      <c r="P1158" s="112"/>
      <c r="Q1158" s="118"/>
    </row>
    <row r="1159" spans="2:17" s="5" customFormat="1" ht="13">
      <c r="B1159" s="84"/>
      <c r="C1159" s="84"/>
      <c r="D1159" s="85"/>
      <c r="E1159" s="85"/>
      <c r="F1159" s="85"/>
      <c r="G1159" s="85"/>
      <c r="H1159" s="85"/>
      <c r="I1159" s="85"/>
      <c r="J1159" s="85"/>
      <c r="K1159" s="85"/>
      <c r="L1159" s="109"/>
      <c r="M1159" s="110"/>
      <c r="N1159" s="111"/>
      <c r="O1159" s="112"/>
      <c r="P1159" s="112"/>
      <c r="Q1159" s="118"/>
    </row>
    <row r="1160" spans="2:17" s="5" customFormat="1" ht="13">
      <c r="B1160" s="84"/>
      <c r="C1160" s="84"/>
      <c r="D1160" s="85"/>
      <c r="E1160" s="85"/>
      <c r="F1160" s="85"/>
      <c r="G1160" s="85"/>
      <c r="H1160" s="85"/>
      <c r="I1160" s="85"/>
      <c r="J1160" s="85"/>
      <c r="K1160" s="85"/>
      <c r="L1160" s="109"/>
      <c r="M1160" s="110"/>
      <c r="N1160" s="111"/>
      <c r="O1160" s="112"/>
      <c r="P1160" s="112"/>
      <c r="Q1160" s="118"/>
    </row>
    <row r="1161" spans="2:17" s="5" customFormat="1" ht="13">
      <c r="B1161" s="84"/>
      <c r="C1161" s="84"/>
      <c r="D1161" s="85"/>
      <c r="E1161" s="85"/>
      <c r="F1161" s="85"/>
      <c r="G1161" s="85"/>
      <c r="H1161" s="85"/>
      <c r="I1161" s="85"/>
      <c r="J1161" s="85"/>
      <c r="K1161" s="85"/>
      <c r="L1161" s="109"/>
      <c r="M1161" s="110"/>
      <c r="N1161" s="111"/>
      <c r="O1161" s="112"/>
      <c r="P1161" s="112"/>
      <c r="Q1161" s="118"/>
    </row>
    <row r="1162" spans="2:17" s="5" customFormat="1" ht="13">
      <c r="B1162" s="84"/>
      <c r="C1162" s="84"/>
      <c r="D1162" s="85"/>
      <c r="E1162" s="85"/>
      <c r="F1162" s="85"/>
      <c r="G1162" s="85"/>
      <c r="H1162" s="85"/>
      <c r="I1162" s="85"/>
      <c r="J1162" s="85"/>
      <c r="K1162" s="85"/>
      <c r="L1162" s="109"/>
      <c r="M1162" s="110"/>
      <c r="N1162" s="111"/>
      <c r="O1162" s="112"/>
      <c r="P1162" s="112"/>
      <c r="Q1162" s="118"/>
    </row>
    <row r="1163" spans="2:17" s="5" customFormat="1" ht="13">
      <c r="B1163" s="84"/>
      <c r="C1163" s="84"/>
      <c r="D1163" s="85"/>
      <c r="E1163" s="85"/>
      <c r="F1163" s="85"/>
      <c r="G1163" s="85"/>
      <c r="H1163" s="85"/>
      <c r="I1163" s="85"/>
      <c r="J1163" s="85"/>
      <c r="K1163" s="85"/>
      <c r="L1163" s="109"/>
      <c r="M1163" s="110"/>
      <c r="N1163" s="111"/>
      <c r="O1163" s="112"/>
      <c r="P1163" s="112"/>
      <c r="Q1163" s="118"/>
    </row>
    <row r="1164" spans="2:17" s="5" customFormat="1" ht="13">
      <c r="B1164" s="84"/>
      <c r="C1164" s="84"/>
      <c r="D1164" s="85"/>
      <c r="E1164" s="85"/>
      <c r="F1164" s="85"/>
      <c r="G1164" s="85"/>
      <c r="H1164" s="85"/>
      <c r="I1164" s="85"/>
      <c r="J1164" s="85"/>
      <c r="K1164" s="85"/>
      <c r="L1164" s="109"/>
      <c r="M1164" s="110"/>
      <c r="N1164" s="111"/>
      <c r="O1164" s="112"/>
      <c r="P1164" s="112"/>
      <c r="Q1164" s="118"/>
    </row>
    <row r="1165" spans="2:17" s="5" customFormat="1" ht="13">
      <c r="B1165" s="84"/>
      <c r="C1165" s="84"/>
      <c r="D1165" s="85"/>
      <c r="E1165" s="85"/>
      <c r="F1165" s="85"/>
      <c r="G1165" s="85"/>
      <c r="H1165" s="85"/>
      <c r="I1165" s="85"/>
      <c r="J1165" s="85"/>
      <c r="K1165" s="85"/>
      <c r="L1165" s="109"/>
      <c r="M1165" s="110"/>
      <c r="N1165" s="111"/>
      <c r="O1165" s="112"/>
      <c r="P1165" s="112"/>
      <c r="Q1165" s="118"/>
    </row>
    <row r="1166" spans="2:17" s="5" customFormat="1" ht="13">
      <c r="B1166" s="84"/>
      <c r="C1166" s="84"/>
      <c r="D1166" s="85"/>
      <c r="E1166" s="85"/>
      <c r="F1166" s="85"/>
      <c r="G1166" s="85"/>
      <c r="H1166" s="85"/>
      <c r="I1166" s="85"/>
      <c r="J1166" s="85"/>
      <c r="K1166" s="85"/>
      <c r="L1166" s="109"/>
      <c r="M1166" s="110"/>
      <c r="N1166" s="111"/>
      <c r="O1166" s="112"/>
      <c r="P1166" s="112"/>
      <c r="Q1166" s="118"/>
    </row>
    <row r="1167" spans="2:17" s="5" customFormat="1" ht="13">
      <c r="B1167" s="84"/>
      <c r="C1167" s="84"/>
      <c r="D1167" s="85"/>
      <c r="E1167" s="85"/>
      <c r="F1167" s="85"/>
      <c r="G1167" s="85"/>
      <c r="H1167" s="85"/>
      <c r="I1167" s="85"/>
      <c r="J1167" s="85"/>
      <c r="K1167" s="85"/>
      <c r="L1167" s="109"/>
      <c r="M1167" s="110"/>
      <c r="N1167" s="111"/>
      <c r="O1167" s="112"/>
      <c r="P1167" s="112"/>
      <c r="Q1167" s="118"/>
    </row>
    <row r="1168" spans="2:17" s="5" customFormat="1" ht="13">
      <c r="B1168" s="84"/>
      <c r="C1168" s="84"/>
      <c r="D1168" s="85"/>
      <c r="E1168" s="85"/>
      <c r="F1168" s="85"/>
      <c r="G1168" s="85"/>
      <c r="H1168" s="85"/>
      <c r="I1168" s="85"/>
      <c r="J1168" s="85"/>
      <c r="K1168" s="85"/>
      <c r="L1168" s="109"/>
      <c r="M1168" s="110"/>
      <c r="N1168" s="111"/>
      <c r="O1168" s="112"/>
      <c r="P1168" s="112"/>
      <c r="Q1168" s="118"/>
    </row>
    <row r="1169" spans="2:17" s="5" customFormat="1" ht="13">
      <c r="B1169" s="84"/>
      <c r="C1169" s="84"/>
      <c r="D1169" s="85"/>
      <c r="E1169" s="85"/>
      <c r="F1169" s="85"/>
      <c r="G1169" s="85"/>
      <c r="H1169" s="85"/>
      <c r="I1169" s="85"/>
      <c r="J1169" s="85"/>
      <c r="K1169" s="85"/>
      <c r="L1169" s="109"/>
      <c r="M1169" s="110"/>
      <c r="N1169" s="111"/>
      <c r="O1169" s="112"/>
      <c r="P1169" s="112"/>
      <c r="Q1169" s="118"/>
    </row>
    <row r="1170" spans="2:17" s="5" customFormat="1" ht="13">
      <c r="B1170" s="84"/>
      <c r="C1170" s="84"/>
      <c r="D1170" s="85"/>
      <c r="E1170" s="85"/>
      <c r="F1170" s="85"/>
      <c r="G1170" s="85"/>
      <c r="H1170" s="85"/>
      <c r="I1170" s="85"/>
      <c r="J1170" s="85"/>
      <c r="K1170" s="85"/>
      <c r="L1170" s="109"/>
      <c r="M1170" s="110"/>
      <c r="N1170" s="111"/>
      <c r="O1170" s="112"/>
      <c r="P1170" s="112"/>
      <c r="Q1170" s="118"/>
    </row>
    <row r="1171" spans="2:17" s="5" customFormat="1" ht="13">
      <c r="B1171" s="84"/>
      <c r="C1171" s="84"/>
      <c r="D1171" s="85"/>
      <c r="E1171" s="85"/>
      <c r="F1171" s="85"/>
      <c r="G1171" s="85"/>
      <c r="H1171" s="85"/>
      <c r="I1171" s="85"/>
      <c r="J1171" s="85"/>
      <c r="K1171" s="85"/>
      <c r="L1171" s="109"/>
      <c r="M1171" s="110"/>
      <c r="N1171" s="111"/>
      <c r="O1171" s="112"/>
      <c r="P1171" s="112"/>
      <c r="Q1171" s="118"/>
    </row>
    <row r="1172" spans="2:17" s="5" customFormat="1" ht="13">
      <c r="B1172" s="84"/>
      <c r="C1172" s="84"/>
      <c r="D1172" s="85"/>
      <c r="E1172" s="85"/>
      <c r="F1172" s="85"/>
      <c r="G1172" s="85"/>
      <c r="H1172" s="85"/>
      <c r="I1172" s="85"/>
      <c r="J1172" s="85"/>
      <c r="K1172" s="85"/>
      <c r="L1172" s="109"/>
      <c r="M1172" s="110"/>
      <c r="N1172" s="111"/>
      <c r="O1172" s="112"/>
      <c r="P1172" s="112"/>
      <c r="Q1172" s="118"/>
    </row>
    <row r="1173" spans="2:17" s="5" customFormat="1" ht="13">
      <c r="B1173" s="84"/>
      <c r="C1173" s="84"/>
      <c r="D1173" s="85"/>
      <c r="E1173" s="85"/>
      <c r="F1173" s="85"/>
      <c r="G1173" s="85"/>
      <c r="H1173" s="85"/>
      <c r="I1173" s="85"/>
      <c r="J1173" s="85"/>
      <c r="K1173" s="85"/>
      <c r="L1173" s="109"/>
      <c r="M1173" s="110"/>
      <c r="N1173" s="111"/>
      <c r="O1173" s="112"/>
      <c r="P1173" s="112"/>
      <c r="Q1173" s="118"/>
    </row>
    <row r="1174" spans="2:17" s="5" customFormat="1" ht="13">
      <c r="B1174" s="84"/>
      <c r="C1174" s="84"/>
      <c r="D1174" s="85"/>
      <c r="E1174" s="85"/>
      <c r="F1174" s="85"/>
      <c r="G1174" s="85"/>
      <c r="H1174" s="85"/>
      <c r="I1174" s="85"/>
      <c r="J1174" s="85"/>
      <c r="K1174" s="85"/>
      <c r="L1174" s="109"/>
      <c r="M1174" s="110"/>
      <c r="N1174" s="111"/>
      <c r="O1174" s="112"/>
      <c r="P1174" s="112"/>
      <c r="Q1174" s="118"/>
    </row>
    <row r="1175" spans="2:17" s="5" customFormat="1" ht="13">
      <c r="B1175" s="84"/>
      <c r="C1175" s="84"/>
      <c r="D1175" s="85"/>
      <c r="E1175" s="85"/>
      <c r="F1175" s="85"/>
      <c r="G1175" s="85"/>
      <c r="H1175" s="85"/>
      <c r="I1175" s="85"/>
      <c r="J1175" s="85"/>
      <c r="K1175" s="85"/>
      <c r="L1175" s="109"/>
      <c r="M1175" s="110"/>
      <c r="N1175" s="111"/>
      <c r="O1175" s="112"/>
      <c r="P1175" s="112"/>
      <c r="Q1175" s="118"/>
    </row>
    <row r="1176" spans="2:17" s="5" customFormat="1" ht="13">
      <c r="B1176" s="84"/>
      <c r="C1176" s="84"/>
      <c r="D1176" s="85"/>
      <c r="E1176" s="85"/>
      <c r="F1176" s="85"/>
      <c r="G1176" s="85"/>
      <c r="H1176" s="85"/>
      <c r="I1176" s="85"/>
      <c r="J1176" s="85"/>
      <c r="K1176" s="85"/>
      <c r="L1176" s="109"/>
      <c r="M1176" s="110"/>
      <c r="N1176" s="111"/>
      <c r="O1176" s="112"/>
      <c r="P1176" s="112"/>
      <c r="Q1176" s="118"/>
    </row>
    <row r="1177" spans="2:17" s="5" customFormat="1" ht="13">
      <c r="B1177" s="84"/>
      <c r="C1177" s="84"/>
      <c r="D1177" s="85"/>
      <c r="E1177" s="85"/>
      <c r="F1177" s="85"/>
      <c r="G1177" s="85"/>
      <c r="H1177" s="85"/>
      <c r="I1177" s="85"/>
      <c r="J1177" s="85"/>
      <c r="K1177" s="85"/>
      <c r="L1177" s="109"/>
      <c r="M1177" s="110"/>
      <c r="N1177" s="111"/>
      <c r="O1177" s="112"/>
      <c r="P1177" s="112"/>
      <c r="Q1177" s="118"/>
    </row>
    <row r="1178" spans="2:17" s="5" customFormat="1" ht="13">
      <c r="B1178" s="84"/>
      <c r="C1178" s="84"/>
      <c r="D1178" s="85"/>
      <c r="E1178" s="85"/>
      <c r="F1178" s="85"/>
      <c r="G1178" s="85"/>
      <c r="H1178" s="85"/>
      <c r="I1178" s="85"/>
      <c r="J1178" s="85"/>
      <c r="K1178" s="85"/>
      <c r="L1178" s="109"/>
      <c r="M1178" s="110"/>
      <c r="N1178" s="111"/>
      <c r="O1178" s="112"/>
      <c r="P1178" s="112"/>
      <c r="Q1178" s="118"/>
    </row>
    <row r="1179" spans="2:17" s="5" customFormat="1" ht="13">
      <c r="B1179" s="84"/>
      <c r="C1179" s="84"/>
      <c r="D1179" s="85"/>
      <c r="E1179" s="85"/>
      <c r="F1179" s="85"/>
      <c r="G1179" s="85"/>
      <c r="H1179" s="85"/>
      <c r="I1179" s="85"/>
      <c r="J1179" s="85"/>
      <c r="K1179" s="85"/>
      <c r="L1179" s="109"/>
      <c r="M1179" s="110"/>
      <c r="N1179" s="111"/>
      <c r="O1179" s="112"/>
      <c r="P1179" s="112"/>
      <c r="Q1179" s="118"/>
    </row>
    <row r="1180" spans="2:17" s="5" customFormat="1" ht="13">
      <c r="B1180" s="84"/>
      <c r="C1180" s="84"/>
      <c r="D1180" s="85"/>
      <c r="E1180" s="85"/>
      <c r="F1180" s="85"/>
      <c r="G1180" s="85"/>
      <c r="H1180" s="85"/>
      <c r="I1180" s="85"/>
      <c r="J1180" s="85"/>
      <c r="K1180" s="85"/>
      <c r="L1180" s="109"/>
      <c r="M1180" s="110"/>
      <c r="N1180" s="111"/>
      <c r="O1180" s="112"/>
      <c r="P1180" s="112"/>
      <c r="Q1180" s="118"/>
    </row>
    <row r="1181" spans="2:17" s="5" customFormat="1" ht="13">
      <c r="B1181" s="84"/>
      <c r="C1181" s="84"/>
      <c r="D1181" s="85"/>
      <c r="E1181" s="85"/>
      <c r="F1181" s="85"/>
      <c r="G1181" s="85"/>
      <c r="H1181" s="85"/>
      <c r="I1181" s="85"/>
      <c r="J1181" s="85"/>
      <c r="K1181" s="85"/>
      <c r="L1181" s="109"/>
      <c r="M1181" s="110"/>
      <c r="N1181" s="111"/>
      <c r="O1181" s="112"/>
      <c r="P1181" s="112"/>
      <c r="Q1181" s="118"/>
    </row>
    <row r="1182" spans="2:17" s="5" customFormat="1" ht="13">
      <c r="B1182" s="84"/>
      <c r="C1182" s="84"/>
      <c r="D1182" s="85"/>
      <c r="E1182" s="85"/>
      <c r="F1182" s="85"/>
      <c r="G1182" s="85"/>
      <c r="H1182" s="85"/>
      <c r="I1182" s="85"/>
      <c r="J1182" s="85"/>
      <c r="K1182" s="85"/>
      <c r="L1182" s="109"/>
      <c r="M1182" s="110"/>
      <c r="N1182" s="111"/>
      <c r="O1182" s="112"/>
      <c r="P1182" s="112"/>
      <c r="Q1182" s="118"/>
    </row>
    <row r="1183" spans="2:17" s="5" customFormat="1" ht="13">
      <c r="B1183" s="84"/>
      <c r="C1183" s="84"/>
      <c r="D1183" s="85"/>
      <c r="E1183" s="85"/>
      <c r="F1183" s="85"/>
      <c r="G1183" s="85"/>
      <c r="H1183" s="85"/>
      <c r="I1183" s="85"/>
      <c r="J1183" s="85"/>
      <c r="K1183" s="85"/>
      <c r="L1183" s="109"/>
      <c r="M1183" s="110"/>
      <c r="N1183" s="111"/>
      <c r="O1183" s="112"/>
      <c r="P1183" s="112"/>
      <c r="Q1183" s="118"/>
    </row>
    <row r="1184" spans="2:17" s="5" customFormat="1" ht="13">
      <c r="B1184" s="84"/>
      <c r="C1184" s="84"/>
      <c r="D1184" s="85"/>
      <c r="E1184" s="85"/>
      <c r="F1184" s="85"/>
      <c r="G1184" s="85"/>
      <c r="H1184" s="85"/>
      <c r="I1184" s="85"/>
      <c r="J1184" s="85"/>
      <c r="K1184" s="85"/>
      <c r="L1184" s="109"/>
      <c r="M1184" s="110"/>
      <c r="N1184" s="111"/>
      <c r="O1184" s="112"/>
      <c r="P1184" s="112"/>
      <c r="Q1184" s="118"/>
    </row>
    <row r="1185" spans="2:17" s="5" customFormat="1" ht="13">
      <c r="B1185" s="84"/>
      <c r="C1185" s="84"/>
      <c r="D1185" s="85"/>
      <c r="E1185" s="85"/>
      <c r="F1185" s="85"/>
      <c r="G1185" s="85"/>
      <c r="H1185" s="85"/>
      <c r="I1185" s="85"/>
      <c r="J1185" s="85"/>
      <c r="K1185" s="85"/>
      <c r="L1185" s="109"/>
      <c r="M1185" s="110"/>
      <c r="N1185" s="111"/>
      <c r="O1185" s="112"/>
      <c r="P1185" s="112"/>
      <c r="Q1185" s="118"/>
    </row>
    <row r="1186" spans="2:17" s="5" customFormat="1" ht="13">
      <c r="B1186" s="84"/>
      <c r="C1186" s="84"/>
      <c r="D1186" s="85"/>
      <c r="E1186" s="85"/>
      <c r="F1186" s="85"/>
      <c r="G1186" s="85"/>
      <c r="H1186" s="85"/>
      <c r="I1186" s="85"/>
      <c r="J1186" s="85"/>
      <c r="K1186" s="85"/>
      <c r="L1186" s="109"/>
      <c r="M1186" s="110"/>
      <c r="N1186" s="111"/>
      <c r="O1186" s="112"/>
      <c r="P1186" s="112"/>
      <c r="Q1186" s="118"/>
    </row>
    <row r="1187" spans="2:17" s="5" customFormat="1" ht="13">
      <c r="B1187" s="84"/>
      <c r="C1187" s="84"/>
      <c r="D1187" s="85"/>
      <c r="E1187" s="85"/>
      <c r="F1187" s="85"/>
      <c r="G1187" s="85"/>
      <c r="H1187" s="85"/>
      <c r="I1187" s="85"/>
      <c r="J1187" s="85"/>
      <c r="K1187" s="85"/>
      <c r="L1187" s="109"/>
      <c r="M1187" s="110"/>
      <c r="N1187" s="111"/>
      <c r="O1187" s="112"/>
      <c r="P1187" s="112"/>
      <c r="Q1187" s="118"/>
    </row>
    <row r="1188" spans="2:17" s="5" customFormat="1" ht="13">
      <c r="B1188" s="84"/>
      <c r="C1188" s="84"/>
      <c r="D1188" s="85"/>
      <c r="E1188" s="85"/>
      <c r="F1188" s="85"/>
      <c r="G1188" s="85"/>
      <c r="H1188" s="85"/>
      <c r="I1188" s="85"/>
      <c r="J1188" s="85"/>
      <c r="K1188" s="85"/>
      <c r="L1188" s="109"/>
      <c r="M1188" s="110"/>
      <c r="N1188" s="111"/>
      <c r="O1188" s="112"/>
      <c r="P1188" s="112"/>
      <c r="Q1188" s="118"/>
    </row>
    <row r="1189" spans="2:17" s="5" customFormat="1" ht="13">
      <c r="B1189" s="84"/>
      <c r="C1189" s="84"/>
      <c r="D1189" s="85"/>
      <c r="E1189" s="85"/>
      <c r="F1189" s="85"/>
      <c r="G1189" s="85"/>
      <c r="H1189" s="85"/>
      <c r="I1189" s="85"/>
      <c r="J1189" s="85"/>
      <c r="K1189" s="85"/>
      <c r="L1189" s="109"/>
      <c r="M1189" s="110"/>
      <c r="N1189" s="111"/>
      <c r="O1189" s="112"/>
      <c r="P1189" s="112"/>
      <c r="Q1189" s="118"/>
    </row>
    <row r="1190" spans="2:17" s="5" customFormat="1" ht="13">
      <c r="B1190" s="84"/>
      <c r="C1190" s="84"/>
      <c r="D1190" s="85"/>
      <c r="E1190" s="85"/>
      <c r="F1190" s="85"/>
      <c r="G1190" s="85"/>
      <c r="H1190" s="85"/>
      <c r="I1190" s="85"/>
      <c r="J1190" s="85"/>
      <c r="K1190" s="85"/>
      <c r="L1190" s="109"/>
      <c r="M1190" s="110"/>
      <c r="N1190" s="111"/>
      <c r="O1190" s="112"/>
      <c r="P1190" s="112"/>
      <c r="Q1190" s="118"/>
    </row>
    <row r="1191" spans="2:17" s="5" customFormat="1" ht="13">
      <c r="B1191" s="84"/>
      <c r="C1191" s="84"/>
      <c r="D1191" s="85"/>
      <c r="E1191" s="85"/>
      <c r="F1191" s="85"/>
      <c r="G1191" s="85"/>
      <c r="H1191" s="85"/>
      <c r="I1191" s="85"/>
      <c r="J1191" s="85"/>
      <c r="K1191" s="85"/>
      <c r="L1191" s="109"/>
      <c r="M1191" s="110"/>
      <c r="N1191" s="111"/>
      <c r="O1191" s="112"/>
      <c r="P1191" s="112"/>
      <c r="Q1191" s="118"/>
    </row>
    <row r="1192" spans="2:17" s="5" customFormat="1" ht="13">
      <c r="B1192" s="84"/>
      <c r="C1192" s="84"/>
      <c r="D1192" s="85"/>
      <c r="E1192" s="85"/>
      <c r="F1192" s="85"/>
      <c r="G1192" s="85"/>
      <c r="H1192" s="85"/>
      <c r="I1192" s="85"/>
      <c r="J1192" s="85"/>
      <c r="K1192" s="85"/>
      <c r="L1192" s="109"/>
      <c r="M1192" s="110"/>
      <c r="N1192" s="111"/>
      <c r="O1192" s="112"/>
      <c r="P1192" s="112"/>
      <c r="Q1192" s="118"/>
    </row>
    <row r="1193" spans="2:17" s="5" customFormat="1" ht="13">
      <c r="B1193" s="84"/>
      <c r="C1193" s="84"/>
      <c r="D1193" s="85"/>
      <c r="E1193" s="85"/>
      <c r="F1193" s="85"/>
      <c r="G1193" s="85"/>
      <c r="H1193" s="85"/>
      <c r="I1193" s="85"/>
      <c r="J1193" s="85"/>
      <c r="K1193" s="85"/>
      <c r="L1193" s="109"/>
      <c r="M1193" s="110"/>
      <c r="N1193" s="111"/>
      <c r="O1193" s="112"/>
      <c r="P1193" s="112"/>
      <c r="Q1193" s="118"/>
    </row>
    <row r="1194" spans="2:17" s="5" customFormat="1" ht="13">
      <c r="B1194" s="84"/>
      <c r="C1194" s="84"/>
      <c r="D1194" s="85"/>
      <c r="E1194" s="85"/>
      <c r="F1194" s="85"/>
      <c r="G1194" s="85"/>
      <c r="H1194" s="85"/>
      <c r="I1194" s="85"/>
      <c r="J1194" s="85"/>
      <c r="K1194" s="85"/>
      <c r="L1194" s="109"/>
      <c r="M1194" s="110"/>
      <c r="N1194" s="111"/>
      <c r="O1194" s="112"/>
      <c r="P1194" s="112"/>
      <c r="Q1194" s="118"/>
    </row>
    <row r="1195" spans="2:17" s="5" customFormat="1" ht="13">
      <c r="B1195" s="84"/>
      <c r="C1195" s="84"/>
      <c r="D1195" s="85"/>
      <c r="E1195" s="85"/>
      <c r="F1195" s="85"/>
      <c r="G1195" s="85"/>
      <c r="H1195" s="85"/>
      <c r="I1195" s="85"/>
      <c r="J1195" s="85"/>
      <c r="K1195" s="85"/>
      <c r="L1195" s="109"/>
      <c r="M1195" s="110"/>
      <c r="N1195" s="111"/>
      <c r="O1195" s="112"/>
      <c r="P1195" s="112"/>
      <c r="Q1195" s="118"/>
    </row>
    <row r="1196" spans="2:17" s="5" customFormat="1" ht="13">
      <c r="B1196" s="84"/>
      <c r="C1196" s="84"/>
      <c r="D1196" s="85"/>
      <c r="E1196" s="85"/>
      <c r="F1196" s="85"/>
      <c r="G1196" s="85"/>
      <c r="H1196" s="85"/>
      <c r="I1196" s="85"/>
      <c r="J1196" s="85"/>
      <c r="K1196" s="85"/>
      <c r="L1196" s="109"/>
      <c r="M1196" s="110"/>
      <c r="N1196" s="111"/>
      <c r="O1196" s="112"/>
      <c r="P1196" s="112"/>
      <c r="Q1196" s="118"/>
    </row>
    <row r="1197" spans="2:17" s="5" customFormat="1" ht="13">
      <c r="B1197" s="84"/>
      <c r="C1197" s="84"/>
      <c r="D1197" s="85"/>
      <c r="E1197" s="85"/>
      <c r="F1197" s="85"/>
      <c r="G1197" s="85"/>
      <c r="H1197" s="85"/>
      <c r="I1197" s="85"/>
      <c r="J1197" s="85"/>
      <c r="K1197" s="85"/>
      <c r="L1197" s="109"/>
      <c r="M1197" s="110"/>
      <c r="N1197" s="111"/>
      <c r="O1197" s="112"/>
      <c r="P1197" s="112"/>
      <c r="Q1197" s="118"/>
    </row>
    <row r="1198" spans="2:17" s="5" customFormat="1" ht="13">
      <c r="B1198" s="84"/>
      <c r="C1198" s="84"/>
      <c r="D1198" s="85"/>
      <c r="E1198" s="85"/>
      <c r="F1198" s="85"/>
      <c r="G1198" s="85"/>
      <c r="H1198" s="85"/>
      <c r="I1198" s="85"/>
      <c r="J1198" s="85"/>
      <c r="K1198" s="85"/>
      <c r="L1198" s="109"/>
      <c r="M1198" s="110"/>
      <c r="N1198" s="111"/>
      <c r="O1198" s="112"/>
      <c r="P1198" s="112"/>
      <c r="Q1198" s="118"/>
    </row>
    <row r="1199" spans="2:17" s="5" customFormat="1" ht="13">
      <c r="B1199" s="84"/>
      <c r="C1199" s="84"/>
      <c r="D1199" s="85"/>
      <c r="E1199" s="85"/>
      <c r="F1199" s="85"/>
      <c r="G1199" s="85"/>
      <c r="H1199" s="85"/>
      <c r="I1199" s="85"/>
      <c r="J1199" s="85"/>
      <c r="K1199" s="85"/>
      <c r="L1199" s="109"/>
      <c r="M1199" s="110"/>
      <c r="N1199" s="111"/>
      <c r="O1199" s="112"/>
      <c r="P1199" s="112"/>
      <c r="Q1199" s="118"/>
    </row>
    <row r="1200" spans="2:17" s="5" customFormat="1" ht="13">
      <c r="B1200" s="84"/>
      <c r="C1200" s="84"/>
      <c r="D1200" s="85"/>
      <c r="E1200" s="85"/>
      <c r="F1200" s="85"/>
      <c r="G1200" s="85"/>
      <c r="H1200" s="85"/>
      <c r="I1200" s="85"/>
      <c r="J1200" s="85"/>
      <c r="K1200" s="85"/>
      <c r="L1200" s="109"/>
      <c r="M1200" s="110"/>
      <c r="N1200" s="111"/>
      <c r="O1200" s="112"/>
      <c r="P1200" s="112"/>
      <c r="Q1200" s="118"/>
    </row>
    <row r="1201" spans="2:17" s="5" customFormat="1" ht="13">
      <c r="B1201" s="84"/>
      <c r="C1201" s="84"/>
      <c r="D1201" s="85"/>
      <c r="E1201" s="85"/>
      <c r="F1201" s="85"/>
      <c r="G1201" s="85"/>
      <c r="H1201" s="85"/>
      <c r="I1201" s="85"/>
      <c r="J1201" s="85"/>
      <c r="K1201" s="85"/>
      <c r="L1201" s="109"/>
      <c r="M1201" s="110"/>
      <c r="N1201" s="111"/>
      <c r="O1201" s="112"/>
      <c r="P1201" s="112"/>
      <c r="Q1201" s="118"/>
    </row>
    <row r="1202" spans="2:17" s="5" customFormat="1" ht="13">
      <c r="B1202" s="84"/>
      <c r="C1202" s="84"/>
      <c r="D1202" s="85"/>
      <c r="E1202" s="85"/>
      <c r="F1202" s="85"/>
      <c r="G1202" s="85"/>
      <c r="H1202" s="85"/>
      <c r="I1202" s="85"/>
      <c r="J1202" s="85"/>
      <c r="K1202" s="85"/>
      <c r="L1202" s="109"/>
      <c r="M1202" s="110"/>
      <c r="N1202" s="111"/>
      <c r="O1202" s="112"/>
      <c r="P1202" s="112"/>
      <c r="Q1202" s="118"/>
    </row>
    <row r="1203" spans="2:17" s="5" customFormat="1" ht="13">
      <c r="B1203" s="84"/>
      <c r="C1203" s="84"/>
      <c r="D1203" s="85"/>
      <c r="E1203" s="85"/>
      <c r="F1203" s="85"/>
      <c r="G1203" s="85"/>
      <c r="H1203" s="85"/>
      <c r="I1203" s="85"/>
      <c r="J1203" s="85"/>
      <c r="K1203" s="85"/>
      <c r="L1203" s="109"/>
      <c r="M1203" s="110"/>
      <c r="N1203" s="111"/>
      <c r="O1203" s="112"/>
      <c r="P1203" s="112"/>
      <c r="Q1203" s="118"/>
    </row>
    <row r="1204" spans="2:17" s="5" customFormat="1" ht="13">
      <c r="B1204" s="84"/>
      <c r="C1204" s="84"/>
      <c r="D1204" s="85"/>
      <c r="E1204" s="85"/>
      <c r="F1204" s="85"/>
      <c r="G1204" s="85"/>
      <c r="H1204" s="85"/>
      <c r="I1204" s="85"/>
      <c r="J1204" s="85"/>
      <c r="K1204" s="85"/>
      <c r="L1204" s="109"/>
      <c r="M1204" s="110"/>
      <c r="N1204" s="111"/>
      <c r="O1204" s="112"/>
      <c r="P1204" s="112"/>
      <c r="Q1204" s="118"/>
    </row>
    <row r="1205" spans="2:17" s="5" customFormat="1" ht="13">
      <c r="B1205" s="84"/>
      <c r="C1205" s="84"/>
      <c r="D1205" s="85"/>
      <c r="E1205" s="85"/>
      <c r="F1205" s="85"/>
      <c r="G1205" s="85"/>
      <c r="H1205" s="85"/>
      <c r="I1205" s="85"/>
      <c r="J1205" s="85"/>
      <c r="K1205" s="85"/>
      <c r="L1205" s="109"/>
      <c r="M1205" s="110"/>
      <c r="N1205" s="111"/>
      <c r="O1205" s="112"/>
      <c r="P1205" s="112"/>
      <c r="Q1205" s="118"/>
    </row>
    <row r="1206" spans="2:17" s="5" customFormat="1" ht="13">
      <c r="B1206" s="84"/>
      <c r="C1206" s="84"/>
      <c r="D1206" s="85"/>
      <c r="E1206" s="85"/>
      <c r="F1206" s="85"/>
      <c r="G1206" s="85"/>
      <c r="H1206" s="85"/>
      <c r="I1206" s="85"/>
      <c r="J1206" s="85"/>
      <c r="K1206" s="85"/>
      <c r="L1206" s="109"/>
      <c r="M1206" s="110"/>
      <c r="N1206" s="111"/>
      <c r="O1206" s="112"/>
      <c r="P1206" s="112"/>
      <c r="Q1206" s="118"/>
    </row>
    <row r="1207" spans="2:17" s="5" customFormat="1" ht="13">
      <c r="B1207" s="84"/>
      <c r="C1207" s="84"/>
      <c r="D1207" s="85"/>
      <c r="E1207" s="85"/>
      <c r="F1207" s="85"/>
      <c r="G1207" s="85"/>
      <c r="H1207" s="85"/>
      <c r="I1207" s="85"/>
      <c r="J1207" s="85"/>
      <c r="K1207" s="85"/>
      <c r="L1207" s="109"/>
      <c r="M1207" s="110"/>
      <c r="N1207" s="111"/>
      <c r="O1207" s="112"/>
      <c r="P1207" s="112"/>
      <c r="Q1207" s="118"/>
    </row>
    <row r="1208" spans="2:17" s="5" customFormat="1" ht="13">
      <c r="B1208" s="84"/>
      <c r="C1208" s="84"/>
      <c r="D1208" s="85"/>
      <c r="E1208" s="85"/>
      <c r="F1208" s="85"/>
      <c r="G1208" s="85"/>
      <c r="H1208" s="85"/>
      <c r="I1208" s="85"/>
      <c r="J1208" s="85"/>
      <c r="K1208" s="85"/>
      <c r="L1208" s="109"/>
      <c r="M1208" s="110"/>
      <c r="N1208" s="111"/>
      <c r="O1208" s="112"/>
      <c r="P1208" s="112"/>
      <c r="Q1208" s="118"/>
    </row>
    <row r="1209" spans="2:17" s="5" customFormat="1" ht="13">
      <c r="B1209" s="84"/>
      <c r="C1209" s="84"/>
      <c r="D1209" s="85"/>
      <c r="E1209" s="85"/>
      <c r="F1209" s="85"/>
      <c r="G1209" s="85"/>
      <c r="H1209" s="85"/>
      <c r="I1209" s="85"/>
      <c r="J1209" s="85"/>
      <c r="K1209" s="85"/>
      <c r="L1209" s="109"/>
      <c r="M1209" s="110"/>
      <c r="N1209" s="111"/>
      <c r="O1209" s="112"/>
      <c r="P1209" s="112"/>
      <c r="Q1209" s="118"/>
    </row>
    <row r="1210" spans="2:17" s="5" customFormat="1" ht="13">
      <c r="B1210" s="84"/>
      <c r="C1210" s="84"/>
      <c r="D1210" s="85"/>
      <c r="E1210" s="85"/>
      <c r="F1210" s="85"/>
      <c r="G1210" s="85"/>
      <c r="H1210" s="85"/>
      <c r="I1210" s="85"/>
      <c r="J1210" s="85"/>
      <c r="K1210" s="85"/>
      <c r="L1210" s="109"/>
      <c r="M1210" s="110"/>
      <c r="N1210" s="111"/>
      <c r="O1210" s="112"/>
      <c r="P1210" s="112"/>
      <c r="Q1210" s="118"/>
    </row>
    <row r="1211" spans="2:17" s="5" customFormat="1" ht="13">
      <c r="B1211" s="84"/>
      <c r="C1211" s="84"/>
      <c r="D1211" s="85"/>
      <c r="E1211" s="85"/>
      <c r="F1211" s="85"/>
      <c r="G1211" s="85"/>
      <c r="H1211" s="85"/>
      <c r="I1211" s="85"/>
      <c r="J1211" s="85"/>
      <c r="K1211" s="85"/>
      <c r="L1211" s="109"/>
      <c r="M1211" s="110"/>
      <c r="N1211" s="111"/>
      <c r="O1211" s="112"/>
      <c r="P1211" s="112"/>
      <c r="Q1211" s="118"/>
    </row>
    <row r="1212" spans="2:17" s="5" customFormat="1" ht="13">
      <c r="B1212" s="84"/>
      <c r="C1212" s="84"/>
      <c r="D1212" s="85"/>
      <c r="E1212" s="85"/>
      <c r="F1212" s="85"/>
      <c r="G1212" s="85"/>
      <c r="H1212" s="85"/>
      <c r="I1212" s="85"/>
      <c r="J1212" s="85"/>
      <c r="K1212" s="85"/>
      <c r="L1212" s="109"/>
      <c r="M1212" s="110"/>
      <c r="N1212" s="111"/>
      <c r="O1212" s="112"/>
      <c r="P1212" s="112"/>
      <c r="Q1212" s="118"/>
    </row>
    <row r="1213" spans="2:17" s="5" customFormat="1" ht="13">
      <c r="B1213" s="84"/>
      <c r="C1213" s="84"/>
      <c r="D1213" s="85"/>
      <c r="E1213" s="85"/>
      <c r="F1213" s="85"/>
      <c r="G1213" s="85"/>
      <c r="H1213" s="85"/>
      <c r="I1213" s="85"/>
      <c r="J1213" s="85"/>
      <c r="K1213" s="85"/>
      <c r="L1213" s="109"/>
      <c r="M1213" s="110"/>
      <c r="N1213" s="111"/>
      <c r="O1213" s="112"/>
      <c r="P1213" s="112"/>
      <c r="Q1213" s="118"/>
    </row>
    <row r="1214" spans="2:17" s="5" customFormat="1" ht="13">
      <c r="B1214" s="84"/>
      <c r="C1214" s="84"/>
      <c r="D1214" s="85"/>
      <c r="E1214" s="85"/>
      <c r="F1214" s="85"/>
      <c r="G1214" s="85"/>
      <c r="H1214" s="85"/>
      <c r="I1214" s="85"/>
      <c r="J1214" s="85"/>
      <c r="K1214" s="85"/>
      <c r="L1214" s="109"/>
      <c r="M1214" s="110"/>
      <c r="N1214" s="111"/>
      <c r="O1214" s="112"/>
      <c r="P1214" s="112"/>
      <c r="Q1214" s="118"/>
    </row>
    <row r="1215" spans="2:17" s="5" customFormat="1" ht="13">
      <c r="B1215" s="84"/>
      <c r="C1215" s="84"/>
      <c r="D1215" s="85"/>
      <c r="E1215" s="85"/>
      <c r="F1215" s="85"/>
      <c r="G1215" s="85"/>
      <c r="H1215" s="85"/>
      <c r="I1215" s="85"/>
      <c r="J1215" s="85"/>
      <c r="K1215" s="85"/>
      <c r="L1215" s="109"/>
      <c r="M1215" s="110"/>
      <c r="N1215" s="111"/>
      <c r="O1215" s="112"/>
      <c r="P1215" s="112"/>
      <c r="Q1215" s="118"/>
    </row>
    <row r="1216" spans="2:17" s="5" customFormat="1" ht="13">
      <c r="B1216" s="84"/>
      <c r="C1216" s="84"/>
      <c r="D1216" s="85"/>
      <c r="E1216" s="85"/>
      <c r="F1216" s="85"/>
      <c r="G1216" s="85"/>
      <c r="H1216" s="85"/>
      <c r="I1216" s="85"/>
      <c r="J1216" s="85"/>
      <c r="K1216" s="85"/>
      <c r="L1216" s="109"/>
      <c r="M1216" s="110"/>
      <c r="N1216" s="111"/>
      <c r="O1216" s="112"/>
      <c r="P1216" s="112"/>
      <c r="Q1216" s="118"/>
    </row>
    <row r="1217" spans="2:17" s="5" customFormat="1" ht="13">
      <c r="B1217" s="84"/>
      <c r="C1217" s="84"/>
      <c r="D1217" s="85"/>
      <c r="E1217" s="85"/>
      <c r="F1217" s="85"/>
      <c r="G1217" s="85"/>
      <c r="H1217" s="85"/>
      <c r="I1217" s="85"/>
      <c r="J1217" s="85"/>
      <c r="K1217" s="85"/>
      <c r="L1217" s="109"/>
      <c r="M1217" s="110"/>
      <c r="N1217" s="111"/>
      <c r="O1217" s="112"/>
      <c r="P1217" s="112"/>
      <c r="Q1217" s="118"/>
    </row>
    <row r="1218" spans="2:17" s="5" customFormat="1" ht="13">
      <c r="B1218" s="84"/>
      <c r="C1218" s="84"/>
      <c r="D1218" s="85"/>
      <c r="E1218" s="85"/>
      <c r="F1218" s="85"/>
      <c r="G1218" s="85"/>
      <c r="H1218" s="85"/>
      <c r="I1218" s="85"/>
      <c r="J1218" s="85"/>
      <c r="K1218" s="85"/>
      <c r="L1218" s="109"/>
      <c r="M1218" s="110"/>
      <c r="N1218" s="111"/>
      <c r="O1218" s="112"/>
      <c r="P1218" s="112"/>
      <c r="Q1218" s="118"/>
    </row>
    <row r="1219" spans="2:17" s="5" customFormat="1" ht="13">
      <c r="B1219" s="84"/>
      <c r="C1219" s="84"/>
      <c r="D1219" s="85"/>
      <c r="E1219" s="85"/>
      <c r="F1219" s="85"/>
      <c r="G1219" s="85"/>
      <c r="H1219" s="85"/>
      <c r="I1219" s="85"/>
      <c r="J1219" s="85"/>
      <c r="K1219" s="85"/>
      <c r="L1219" s="109"/>
      <c r="M1219" s="110"/>
      <c r="N1219" s="111"/>
      <c r="O1219" s="112"/>
      <c r="P1219" s="112"/>
      <c r="Q1219" s="118"/>
    </row>
    <row r="1220" spans="2:17" s="5" customFormat="1" ht="13">
      <c r="B1220" s="84"/>
      <c r="C1220" s="84"/>
      <c r="D1220" s="85"/>
      <c r="E1220" s="85"/>
      <c r="F1220" s="85"/>
      <c r="G1220" s="85"/>
      <c r="H1220" s="85"/>
      <c r="I1220" s="85"/>
      <c r="J1220" s="85"/>
      <c r="K1220" s="85"/>
      <c r="L1220" s="109"/>
      <c r="M1220" s="110"/>
      <c r="N1220" s="111"/>
      <c r="O1220" s="112"/>
      <c r="P1220" s="112"/>
      <c r="Q1220" s="118"/>
    </row>
    <row r="1221" spans="2:17" s="5" customFormat="1" ht="13">
      <c r="B1221" s="84"/>
      <c r="C1221" s="84"/>
      <c r="D1221" s="85"/>
      <c r="E1221" s="85"/>
      <c r="F1221" s="85"/>
      <c r="G1221" s="85"/>
      <c r="H1221" s="85"/>
      <c r="I1221" s="85"/>
      <c r="J1221" s="85"/>
      <c r="K1221" s="85"/>
      <c r="L1221" s="109"/>
      <c r="M1221" s="110"/>
      <c r="N1221" s="111"/>
      <c r="O1221" s="112"/>
      <c r="P1221" s="112"/>
      <c r="Q1221" s="118"/>
    </row>
    <row r="1222" spans="2:17" s="5" customFormat="1" ht="13">
      <c r="B1222" s="84"/>
      <c r="C1222" s="84"/>
      <c r="D1222" s="85"/>
      <c r="E1222" s="85"/>
      <c r="F1222" s="85"/>
      <c r="G1222" s="85"/>
      <c r="H1222" s="85"/>
      <c r="I1222" s="85"/>
      <c r="J1222" s="85"/>
      <c r="K1222" s="85"/>
      <c r="L1222" s="109"/>
      <c r="M1222" s="110"/>
      <c r="N1222" s="111"/>
      <c r="O1222" s="112"/>
      <c r="P1222" s="112"/>
      <c r="Q1222" s="118"/>
    </row>
    <row r="1223" spans="2:17" s="5" customFormat="1" ht="13">
      <c r="B1223" s="84"/>
      <c r="C1223" s="84"/>
      <c r="D1223" s="85"/>
      <c r="E1223" s="85"/>
      <c r="F1223" s="85"/>
      <c r="G1223" s="85"/>
      <c r="H1223" s="85"/>
      <c r="I1223" s="85"/>
      <c r="J1223" s="85"/>
      <c r="K1223" s="85"/>
      <c r="L1223" s="109"/>
      <c r="M1223" s="110"/>
      <c r="N1223" s="111"/>
      <c r="O1223" s="112"/>
      <c r="P1223" s="112"/>
      <c r="Q1223" s="118"/>
    </row>
    <row r="1224" spans="2:17" s="5" customFormat="1" ht="13">
      <c r="B1224" s="84"/>
      <c r="C1224" s="84"/>
      <c r="D1224" s="85"/>
      <c r="E1224" s="85"/>
      <c r="F1224" s="85"/>
      <c r="G1224" s="85"/>
      <c r="H1224" s="85"/>
      <c r="I1224" s="85"/>
      <c r="J1224" s="85"/>
      <c r="K1224" s="85"/>
      <c r="L1224" s="109"/>
      <c r="M1224" s="110"/>
      <c r="N1224" s="111"/>
      <c r="O1224" s="112"/>
      <c r="P1224" s="112"/>
      <c r="Q1224" s="118"/>
    </row>
    <row r="1225" spans="2:17" s="5" customFormat="1" ht="13">
      <c r="B1225" s="84"/>
      <c r="C1225" s="84"/>
      <c r="D1225" s="85"/>
      <c r="E1225" s="85"/>
      <c r="F1225" s="85"/>
      <c r="G1225" s="85"/>
      <c r="H1225" s="85"/>
      <c r="I1225" s="85"/>
      <c r="J1225" s="85"/>
      <c r="K1225" s="85"/>
      <c r="L1225" s="109"/>
      <c r="M1225" s="110"/>
      <c r="N1225" s="111"/>
      <c r="O1225" s="112"/>
      <c r="P1225" s="112"/>
      <c r="Q1225" s="118"/>
    </row>
    <row r="1226" spans="2:17" s="5" customFormat="1" ht="13">
      <c r="B1226" s="84"/>
      <c r="C1226" s="84"/>
      <c r="D1226" s="85"/>
      <c r="E1226" s="85"/>
      <c r="F1226" s="85"/>
      <c r="G1226" s="85"/>
      <c r="H1226" s="85"/>
      <c r="I1226" s="85"/>
      <c r="J1226" s="85"/>
      <c r="K1226" s="85"/>
      <c r="L1226" s="109"/>
      <c r="M1226" s="110"/>
      <c r="N1226" s="111"/>
      <c r="O1226" s="112"/>
      <c r="P1226" s="112"/>
      <c r="Q1226" s="118"/>
    </row>
    <row r="1227" spans="2:17" s="5" customFormat="1" ht="13">
      <c r="B1227" s="84"/>
      <c r="C1227" s="84"/>
      <c r="D1227" s="85"/>
      <c r="E1227" s="85"/>
      <c r="F1227" s="85"/>
      <c r="G1227" s="85"/>
      <c r="H1227" s="85"/>
      <c r="I1227" s="85"/>
      <c r="J1227" s="85"/>
      <c r="K1227" s="85"/>
      <c r="L1227" s="109"/>
      <c r="M1227" s="110"/>
      <c r="N1227" s="111"/>
      <c r="O1227" s="112"/>
      <c r="P1227" s="112"/>
      <c r="Q1227" s="118"/>
    </row>
    <row r="1228" spans="2:17" s="5" customFormat="1" ht="13">
      <c r="B1228" s="84"/>
      <c r="C1228" s="84"/>
      <c r="D1228" s="85"/>
      <c r="E1228" s="85"/>
      <c r="F1228" s="85"/>
      <c r="G1228" s="85"/>
      <c r="H1228" s="85"/>
      <c r="I1228" s="85"/>
      <c r="J1228" s="85"/>
      <c r="K1228" s="85"/>
      <c r="L1228" s="109"/>
      <c r="M1228" s="110"/>
      <c r="N1228" s="111"/>
      <c r="O1228" s="112"/>
      <c r="P1228" s="112"/>
      <c r="Q1228" s="118"/>
    </row>
    <row r="1229" spans="2:17" s="5" customFormat="1" ht="13">
      <c r="B1229" s="84"/>
      <c r="C1229" s="84"/>
      <c r="D1229" s="85"/>
      <c r="E1229" s="85"/>
      <c r="F1229" s="85"/>
      <c r="G1229" s="85"/>
      <c r="H1229" s="85"/>
      <c r="I1229" s="85"/>
      <c r="J1229" s="85"/>
      <c r="K1229" s="85"/>
      <c r="L1229" s="109"/>
      <c r="M1229" s="110"/>
      <c r="N1229" s="111"/>
      <c r="O1229" s="112"/>
      <c r="P1229" s="112"/>
      <c r="Q1229" s="118"/>
    </row>
    <row r="1230" spans="2:17" s="5" customFormat="1" ht="13">
      <c r="B1230" s="84"/>
      <c r="C1230" s="84"/>
      <c r="D1230" s="85"/>
      <c r="E1230" s="85"/>
      <c r="F1230" s="85"/>
      <c r="G1230" s="85"/>
      <c r="H1230" s="85"/>
      <c r="I1230" s="85"/>
      <c r="J1230" s="85"/>
      <c r="K1230" s="85"/>
      <c r="L1230" s="109"/>
      <c r="M1230" s="110"/>
      <c r="N1230" s="111"/>
      <c r="O1230" s="112"/>
      <c r="P1230" s="112"/>
      <c r="Q1230" s="118"/>
    </row>
    <row r="1231" spans="2:17" s="5" customFormat="1" ht="13">
      <c r="B1231" s="84"/>
      <c r="C1231" s="84"/>
      <c r="D1231" s="85"/>
      <c r="E1231" s="85"/>
      <c r="F1231" s="85"/>
      <c r="G1231" s="85"/>
      <c r="H1231" s="85"/>
      <c r="I1231" s="85"/>
      <c r="J1231" s="85"/>
      <c r="K1231" s="85"/>
      <c r="L1231" s="109"/>
      <c r="M1231" s="110"/>
      <c r="N1231" s="111"/>
      <c r="O1231" s="112"/>
      <c r="P1231" s="112"/>
      <c r="Q1231" s="118"/>
    </row>
    <row r="1232" spans="2:17" s="5" customFormat="1" ht="13">
      <c r="B1232" s="84"/>
      <c r="C1232" s="84"/>
      <c r="D1232" s="85"/>
      <c r="E1232" s="85"/>
      <c r="F1232" s="85"/>
      <c r="G1232" s="85"/>
      <c r="H1232" s="85"/>
      <c r="I1232" s="85"/>
      <c r="J1232" s="85"/>
      <c r="K1232" s="85"/>
      <c r="L1232" s="109"/>
      <c r="M1232" s="110"/>
      <c r="N1232" s="111"/>
      <c r="O1232" s="112"/>
      <c r="P1232" s="112"/>
      <c r="Q1232" s="118"/>
    </row>
    <row r="1233" spans="2:17" s="5" customFormat="1" ht="13">
      <c r="B1233" s="84"/>
      <c r="C1233" s="84"/>
      <c r="D1233" s="85"/>
      <c r="E1233" s="85"/>
      <c r="F1233" s="85"/>
      <c r="G1233" s="85"/>
      <c r="H1233" s="85"/>
      <c r="I1233" s="85"/>
      <c r="J1233" s="85"/>
      <c r="K1233" s="85"/>
      <c r="L1233" s="109"/>
      <c r="M1233" s="110"/>
      <c r="N1233" s="111"/>
      <c r="O1233" s="112"/>
      <c r="P1233" s="112"/>
      <c r="Q1233" s="118"/>
    </row>
    <row r="1234" spans="2:17" s="5" customFormat="1" ht="13">
      <c r="B1234" s="84"/>
      <c r="C1234" s="84"/>
      <c r="D1234" s="85"/>
      <c r="E1234" s="85"/>
      <c r="F1234" s="85"/>
      <c r="G1234" s="85"/>
      <c r="H1234" s="85"/>
      <c r="I1234" s="85"/>
      <c r="J1234" s="85"/>
      <c r="K1234" s="85"/>
      <c r="L1234" s="109"/>
      <c r="M1234" s="110"/>
      <c r="N1234" s="111"/>
      <c r="O1234" s="112"/>
      <c r="P1234" s="112"/>
      <c r="Q1234" s="118"/>
    </row>
    <row r="1235" spans="2:17" s="5" customFormat="1" ht="13">
      <c r="B1235" s="84"/>
      <c r="C1235" s="84"/>
      <c r="D1235" s="85"/>
      <c r="E1235" s="85"/>
      <c r="F1235" s="85"/>
      <c r="G1235" s="85"/>
      <c r="H1235" s="85"/>
      <c r="I1235" s="85"/>
      <c r="J1235" s="85"/>
      <c r="K1235" s="85"/>
      <c r="L1235" s="109"/>
      <c r="M1235" s="110"/>
      <c r="N1235" s="111"/>
      <c r="O1235" s="112"/>
      <c r="P1235" s="112"/>
      <c r="Q1235" s="118"/>
    </row>
    <row r="1236" spans="2:17" s="5" customFormat="1" ht="13">
      <c r="B1236" s="84"/>
      <c r="C1236" s="84"/>
      <c r="D1236" s="85"/>
      <c r="E1236" s="85"/>
      <c r="F1236" s="85"/>
      <c r="G1236" s="85"/>
      <c r="H1236" s="85"/>
      <c r="I1236" s="85"/>
      <c r="J1236" s="85"/>
      <c r="K1236" s="85"/>
      <c r="L1236" s="109"/>
      <c r="M1236" s="110"/>
      <c r="N1236" s="111"/>
      <c r="O1236" s="112"/>
      <c r="P1236" s="112"/>
      <c r="Q1236" s="118"/>
    </row>
    <row r="1237" spans="2:17" s="5" customFormat="1" ht="13">
      <c r="B1237" s="84"/>
      <c r="C1237" s="84"/>
      <c r="D1237" s="85"/>
      <c r="E1237" s="85"/>
      <c r="F1237" s="85"/>
      <c r="G1237" s="85"/>
      <c r="H1237" s="85"/>
      <c r="I1237" s="85"/>
      <c r="J1237" s="85"/>
      <c r="K1237" s="85"/>
      <c r="L1237" s="109"/>
      <c r="M1237" s="110"/>
      <c r="N1237" s="111"/>
      <c r="O1237" s="112"/>
      <c r="P1237" s="112"/>
      <c r="Q1237" s="118"/>
    </row>
    <row r="1238" spans="2:17" s="5" customFormat="1" ht="13">
      <c r="B1238" s="84"/>
      <c r="C1238" s="84"/>
      <c r="D1238" s="85"/>
      <c r="E1238" s="85"/>
      <c r="F1238" s="85"/>
      <c r="G1238" s="85"/>
      <c r="H1238" s="85"/>
      <c r="I1238" s="85"/>
      <c r="J1238" s="85"/>
      <c r="K1238" s="85"/>
      <c r="L1238" s="109"/>
      <c r="M1238" s="110"/>
      <c r="N1238" s="111"/>
      <c r="O1238" s="112"/>
      <c r="P1238" s="112"/>
      <c r="Q1238" s="118"/>
    </row>
    <row r="1239" spans="2:17" s="5" customFormat="1" ht="13">
      <c r="B1239" s="84"/>
      <c r="C1239" s="84"/>
      <c r="D1239" s="85"/>
      <c r="E1239" s="85"/>
      <c r="F1239" s="85"/>
      <c r="G1239" s="85"/>
      <c r="H1239" s="85"/>
      <c r="I1239" s="85"/>
      <c r="J1239" s="85"/>
      <c r="K1239" s="85"/>
      <c r="L1239" s="109"/>
      <c r="M1239" s="110"/>
      <c r="N1239" s="111"/>
      <c r="O1239" s="112"/>
      <c r="P1239" s="112"/>
      <c r="Q1239" s="118"/>
    </row>
    <row r="1240" spans="2:17" s="5" customFormat="1" ht="13">
      <c r="B1240" s="84"/>
      <c r="C1240" s="84"/>
      <c r="D1240" s="85"/>
      <c r="E1240" s="85"/>
      <c r="F1240" s="85"/>
      <c r="G1240" s="85"/>
      <c r="H1240" s="85"/>
      <c r="I1240" s="85"/>
      <c r="J1240" s="85"/>
      <c r="K1240" s="85"/>
      <c r="L1240" s="109"/>
      <c r="M1240" s="110"/>
      <c r="N1240" s="111"/>
      <c r="O1240" s="112"/>
      <c r="P1240" s="112"/>
      <c r="Q1240" s="118"/>
    </row>
    <row r="1241" spans="2:17" s="5" customFormat="1" ht="13">
      <c r="B1241" s="84"/>
      <c r="C1241" s="84"/>
      <c r="D1241" s="85"/>
      <c r="E1241" s="85"/>
      <c r="F1241" s="85"/>
      <c r="G1241" s="85"/>
      <c r="H1241" s="85"/>
      <c r="I1241" s="85"/>
      <c r="J1241" s="85"/>
      <c r="K1241" s="85"/>
      <c r="L1241" s="109"/>
      <c r="M1241" s="110"/>
      <c r="N1241" s="111"/>
      <c r="O1241" s="112"/>
      <c r="P1241" s="112"/>
      <c r="Q1241" s="118"/>
    </row>
    <row r="1242" spans="2:17" s="5" customFormat="1" ht="13">
      <c r="B1242" s="84"/>
      <c r="C1242" s="84"/>
      <c r="D1242" s="85"/>
      <c r="E1242" s="85"/>
      <c r="F1242" s="85"/>
      <c r="G1242" s="85"/>
      <c r="H1242" s="85"/>
      <c r="I1242" s="85"/>
      <c r="J1242" s="85"/>
      <c r="K1242" s="85"/>
      <c r="L1242" s="109"/>
      <c r="M1242" s="110"/>
      <c r="N1242" s="111"/>
      <c r="O1242" s="112"/>
      <c r="P1242" s="112"/>
      <c r="Q1242" s="118"/>
    </row>
    <row r="1243" spans="2:17" s="5" customFormat="1" ht="13">
      <c r="B1243" s="84"/>
      <c r="C1243" s="84"/>
      <c r="D1243" s="85"/>
      <c r="E1243" s="85"/>
      <c r="F1243" s="85"/>
      <c r="G1243" s="85"/>
      <c r="H1243" s="85"/>
      <c r="I1243" s="85"/>
      <c r="J1243" s="85"/>
      <c r="K1243" s="85"/>
      <c r="L1243" s="109"/>
      <c r="M1243" s="110"/>
      <c r="N1243" s="111"/>
      <c r="O1243" s="112"/>
      <c r="P1243" s="112"/>
      <c r="Q1243" s="118"/>
    </row>
    <row r="1244" spans="2:17" s="5" customFormat="1" ht="13">
      <c r="B1244" s="84"/>
      <c r="C1244" s="84"/>
      <c r="D1244" s="85"/>
      <c r="E1244" s="85"/>
      <c r="F1244" s="85"/>
      <c r="G1244" s="85"/>
      <c r="H1244" s="85"/>
      <c r="I1244" s="85"/>
      <c r="J1244" s="85"/>
      <c r="K1244" s="85"/>
      <c r="L1244" s="109"/>
      <c r="M1244" s="110"/>
      <c r="N1244" s="111"/>
      <c r="O1244" s="112"/>
      <c r="P1244" s="112"/>
      <c r="Q1244" s="118"/>
    </row>
    <row r="1245" spans="2:17" s="5" customFormat="1" ht="13">
      <c r="B1245" s="84"/>
      <c r="C1245" s="84"/>
      <c r="D1245" s="85"/>
      <c r="E1245" s="85"/>
      <c r="F1245" s="85"/>
      <c r="G1245" s="85"/>
      <c r="H1245" s="85"/>
      <c r="I1245" s="85"/>
      <c r="J1245" s="85"/>
      <c r="K1245" s="85"/>
      <c r="L1245" s="109"/>
      <c r="M1245" s="110"/>
      <c r="N1245" s="111"/>
      <c r="O1245" s="112"/>
      <c r="P1245" s="112"/>
      <c r="Q1245" s="118"/>
    </row>
    <row r="1246" spans="2:17" s="5" customFormat="1" ht="13">
      <c r="B1246" s="84"/>
      <c r="C1246" s="84"/>
      <c r="D1246" s="85"/>
      <c r="E1246" s="85"/>
      <c r="F1246" s="85"/>
      <c r="G1246" s="85"/>
      <c r="H1246" s="85"/>
      <c r="I1246" s="85"/>
      <c r="J1246" s="85"/>
      <c r="K1246" s="85"/>
      <c r="L1246" s="109"/>
      <c r="M1246" s="110"/>
      <c r="N1246" s="111"/>
      <c r="O1246" s="112"/>
      <c r="P1246" s="112"/>
      <c r="Q1246" s="118"/>
    </row>
    <row r="1247" spans="2:17" s="5" customFormat="1" ht="13">
      <c r="B1247" s="84"/>
      <c r="C1247" s="84"/>
      <c r="D1247" s="85"/>
      <c r="E1247" s="85"/>
      <c r="F1247" s="85"/>
      <c r="G1247" s="85"/>
      <c r="H1247" s="85"/>
      <c r="I1247" s="85"/>
      <c r="J1247" s="85"/>
      <c r="K1247" s="85"/>
      <c r="L1247" s="109"/>
      <c r="M1247" s="110"/>
      <c r="N1247" s="111"/>
      <c r="O1247" s="112"/>
      <c r="P1247" s="112"/>
      <c r="Q1247" s="118"/>
    </row>
    <row r="1248" spans="2:17" s="5" customFormat="1" ht="13">
      <c r="B1248" s="84"/>
      <c r="C1248" s="84"/>
      <c r="D1248" s="85"/>
      <c r="E1248" s="85"/>
      <c r="F1248" s="85"/>
      <c r="G1248" s="85"/>
      <c r="H1248" s="85"/>
      <c r="I1248" s="85"/>
      <c r="J1248" s="85"/>
      <c r="K1248" s="85"/>
      <c r="L1248" s="109"/>
      <c r="M1248" s="110"/>
      <c r="N1248" s="111"/>
      <c r="O1248" s="112"/>
      <c r="P1248" s="112"/>
      <c r="Q1248" s="118"/>
    </row>
    <row r="1249" spans="2:17" s="5" customFormat="1" ht="13">
      <c r="B1249" s="84"/>
      <c r="C1249" s="84"/>
      <c r="D1249" s="85"/>
      <c r="E1249" s="85"/>
      <c r="F1249" s="85"/>
      <c r="G1249" s="85"/>
      <c r="H1249" s="85"/>
      <c r="I1249" s="85"/>
      <c r="J1249" s="85"/>
      <c r="K1249" s="85"/>
      <c r="L1249" s="109"/>
      <c r="M1249" s="110"/>
      <c r="N1249" s="111"/>
      <c r="O1249" s="112"/>
      <c r="P1249" s="112"/>
      <c r="Q1249" s="118"/>
    </row>
    <row r="1250" spans="2:17" s="5" customFormat="1" ht="13">
      <c r="B1250" s="84"/>
      <c r="C1250" s="84"/>
      <c r="D1250" s="85"/>
      <c r="E1250" s="85"/>
      <c r="F1250" s="85"/>
      <c r="G1250" s="85"/>
      <c r="H1250" s="85"/>
      <c r="I1250" s="85"/>
      <c r="J1250" s="85"/>
      <c r="K1250" s="85"/>
      <c r="L1250" s="109"/>
      <c r="M1250" s="110"/>
      <c r="N1250" s="111"/>
      <c r="O1250" s="112"/>
      <c r="P1250" s="112"/>
      <c r="Q1250" s="118"/>
    </row>
    <row r="1251" spans="2:17" s="5" customFormat="1" ht="13">
      <c r="B1251" s="84"/>
      <c r="C1251" s="84"/>
      <c r="D1251" s="85"/>
      <c r="E1251" s="85"/>
      <c r="F1251" s="85"/>
      <c r="G1251" s="85"/>
      <c r="H1251" s="85"/>
      <c r="I1251" s="85"/>
      <c r="J1251" s="85"/>
      <c r="K1251" s="85"/>
      <c r="L1251" s="109"/>
      <c r="M1251" s="110"/>
      <c r="N1251" s="111"/>
      <c r="O1251" s="112"/>
      <c r="P1251" s="112"/>
      <c r="Q1251" s="118"/>
    </row>
    <row r="1252" spans="2:17" s="5" customFormat="1" ht="13">
      <c r="B1252" s="84"/>
      <c r="C1252" s="84"/>
      <c r="D1252" s="85"/>
      <c r="E1252" s="85"/>
      <c r="F1252" s="85"/>
      <c r="G1252" s="85"/>
      <c r="H1252" s="85"/>
      <c r="I1252" s="85"/>
      <c r="J1252" s="85"/>
      <c r="K1252" s="85"/>
      <c r="L1252" s="109"/>
      <c r="M1252" s="110"/>
      <c r="N1252" s="111"/>
      <c r="O1252" s="112"/>
      <c r="P1252" s="112"/>
      <c r="Q1252" s="118"/>
    </row>
    <row r="1253" spans="2:17" s="5" customFormat="1" ht="13">
      <c r="B1253" s="84"/>
      <c r="C1253" s="84"/>
      <c r="D1253" s="85"/>
      <c r="E1253" s="85"/>
      <c r="F1253" s="85"/>
      <c r="G1253" s="85"/>
      <c r="H1253" s="85"/>
      <c r="I1253" s="85"/>
      <c r="J1253" s="85"/>
      <c r="K1253" s="85"/>
      <c r="L1253" s="109"/>
      <c r="M1253" s="110"/>
      <c r="N1253" s="111"/>
      <c r="O1253" s="112"/>
      <c r="P1253" s="112"/>
      <c r="Q1253" s="118"/>
    </row>
    <row r="1254" spans="2:17" s="5" customFormat="1" ht="13">
      <c r="B1254" s="84"/>
      <c r="C1254" s="84"/>
      <c r="D1254" s="85"/>
      <c r="E1254" s="85"/>
      <c r="F1254" s="85"/>
      <c r="G1254" s="85"/>
      <c r="H1254" s="85"/>
      <c r="I1254" s="85"/>
      <c r="J1254" s="85"/>
      <c r="K1254" s="85"/>
      <c r="L1254" s="109"/>
      <c r="M1254" s="110"/>
      <c r="N1254" s="111"/>
      <c r="O1254" s="112"/>
      <c r="P1254" s="112"/>
      <c r="Q1254" s="118"/>
    </row>
    <row r="1255" spans="2:17" s="5" customFormat="1" ht="13">
      <c r="B1255" s="84"/>
      <c r="C1255" s="84"/>
      <c r="D1255" s="85"/>
      <c r="E1255" s="85"/>
      <c r="F1255" s="85"/>
      <c r="G1255" s="85"/>
      <c r="H1255" s="85"/>
      <c r="I1255" s="85"/>
      <c r="J1255" s="85"/>
      <c r="K1255" s="85"/>
      <c r="L1255" s="109"/>
      <c r="M1255" s="110"/>
      <c r="N1255" s="111"/>
      <c r="O1255" s="112"/>
      <c r="P1255" s="112"/>
      <c r="Q1255" s="118"/>
    </row>
    <row r="1256" spans="2:17" s="5" customFormat="1" ht="13">
      <c r="B1256" s="84"/>
      <c r="C1256" s="84"/>
      <c r="D1256" s="85"/>
      <c r="E1256" s="85"/>
      <c r="F1256" s="85"/>
      <c r="G1256" s="85"/>
      <c r="H1256" s="85"/>
      <c r="I1256" s="85"/>
      <c r="J1256" s="85"/>
      <c r="K1256" s="85"/>
      <c r="L1256" s="109"/>
      <c r="M1256" s="110"/>
      <c r="N1256" s="111"/>
      <c r="O1256" s="112"/>
      <c r="P1256" s="112"/>
      <c r="Q1256" s="118"/>
    </row>
    <row r="1257" spans="2:17" s="5" customFormat="1" ht="13">
      <c r="B1257" s="84"/>
      <c r="C1257" s="84"/>
      <c r="D1257" s="85"/>
      <c r="E1257" s="85"/>
      <c r="F1257" s="85"/>
      <c r="G1257" s="85"/>
      <c r="H1257" s="85"/>
      <c r="I1257" s="85"/>
      <c r="J1257" s="85"/>
      <c r="K1257" s="85"/>
      <c r="L1257" s="109"/>
      <c r="M1257" s="110"/>
      <c r="N1257" s="111"/>
      <c r="O1257" s="112"/>
      <c r="P1257" s="112"/>
      <c r="Q1257" s="118"/>
    </row>
    <row r="1258" spans="2:17" s="5" customFormat="1" ht="13">
      <c r="B1258" s="84"/>
      <c r="C1258" s="84"/>
      <c r="D1258" s="85"/>
      <c r="E1258" s="85"/>
      <c r="F1258" s="85"/>
      <c r="G1258" s="85"/>
      <c r="H1258" s="85"/>
      <c r="I1258" s="85"/>
      <c r="J1258" s="85"/>
      <c r="K1258" s="85"/>
      <c r="L1258" s="109"/>
      <c r="M1258" s="110"/>
      <c r="N1258" s="111"/>
      <c r="O1258" s="112"/>
      <c r="P1258" s="112"/>
      <c r="Q1258" s="118"/>
    </row>
    <row r="1259" spans="2:17" s="5" customFormat="1" ht="13">
      <c r="B1259" s="84"/>
      <c r="C1259" s="84"/>
      <c r="D1259" s="85"/>
      <c r="E1259" s="85"/>
      <c r="F1259" s="85"/>
      <c r="G1259" s="85"/>
      <c r="H1259" s="85"/>
      <c r="I1259" s="85"/>
      <c r="J1259" s="85"/>
      <c r="K1259" s="85"/>
      <c r="L1259" s="109"/>
      <c r="M1259" s="110"/>
      <c r="N1259" s="111"/>
      <c r="O1259" s="112"/>
      <c r="P1259" s="112"/>
      <c r="Q1259" s="118"/>
    </row>
    <row r="1260" spans="2:17" s="5" customFormat="1" ht="13">
      <c r="B1260" s="84"/>
      <c r="C1260" s="84"/>
      <c r="D1260" s="85"/>
      <c r="E1260" s="85"/>
      <c r="F1260" s="85"/>
      <c r="G1260" s="85"/>
      <c r="H1260" s="85"/>
      <c r="I1260" s="85"/>
      <c r="J1260" s="85"/>
      <c r="K1260" s="85"/>
      <c r="L1260" s="109"/>
      <c r="M1260" s="110"/>
      <c r="N1260" s="111"/>
      <c r="O1260" s="112"/>
      <c r="P1260" s="112"/>
      <c r="Q1260" s="118"/>
    </row>
    <row r="1261" spans="2:17" s="5" customFormat="1" ht="13">
      <c r="B1261" s="84"/>
      <c r="C1261" s="84"/>
      <c r="D1261" s="85"/>
      <c r="E1261" s="85"/>
      <c r="F1261" s="85"/>
      <c r="G1261" s="85"/>
      <c r="H1261" s="85"/>
      <c r="I1261" s="85"/>
      <c r="J1261" s="85"/>
      <c r="K1261" s="85"/>
      <c r="L1261" s="109"/>
      <c r="M1261" s="110"/>
      <c r="N1261" s="111"/>
      <c r="O1261" s="112"/>
      <c r="P1261" s="112"/>
      <c r="Q1261" s="118"/>
    </row>
    <row r="1262" spans="2:17" s="5" customFormat="1" ht="13">
      <c r="B1262" s="84"/>
      <c r="C1262" s="84"/>
      <c r="D1262" s="85"/>
      <c r="E1262" s="85"/>
      <c r="F1262" s="85"/>
      <c r="G1262" s="85"/>
      <c r="H1262" s="85"/>
      <c r="I1262" s="85"/>
      <c r="J1262" s="85"/>
      <c r="K1262" s="85"/>
      <c r="L1262" s="109"/>
      <c r="M1262" s="110"/>
      <c r="N1262" s="111"/>
      <c r="O1262" s="112"/>
      <c r="P1262" s="112"/>
      <c r="Q1262" s="118"/>
    </row>
    <row r="1263" spans="2:17" s="5" customFormat="1" ht="13">
      <c r="B1263" s="84"/>
      <c r="C1263" s="84"/>
      <c r="D1263" s="85"/>
      <c r="E1263" s="85"/>
      <c r="F1263" s="85"/>
      <c r="G1263" s="85"/>
      <c r="H1263" s="85"/>
      <c r="I1263" s="85"/>
      <c r="J1263" s="85"/>
      <c r="K1263" s="85"/>
      <c r="L1263" s="109"/>
      <c r="M1263" s="110"/>
      <c r="N1263" s="111"/>
      <c r="O1263" s="112"/>
      <c r="P1263" s="112"/>
      <c r="Q1263" s="118"/>
    </row>
    <row r="1264" spans="2:17" s="5" customFormat="1" ht="13">
      <c r="B1264" s="84"/>
      <c r="C1264" s="84"/>
      <c r="D1264" s="85"/>
      <c r="E1264" s="85"/>
      <c r="F1264" s="85"/>
      <c r="G1264" s="85"/>
      <c r="H1264" s="85"/>
      <c r="I1264" s="85"/>
      <c r="J1264" s="85"/>
      <c r="K1264" s="85"/>
      <c r="L1264" s="109"/>
      <c r="M1264" s="110"/>
      <c r="N1264" s="111"/>
      <c r="O1264" s="112"/>
      <c r="P1264" s="112"/>
      <c r="Q1264" s="118"/>
    </row>
    <row r="1265" spans="2:17" s="5" customFormat="1" ht="13">
      <c r="B1265" s="84"/>
      <c r="C1265" s="84"/>
      <c r="D1265" s="85"/>
      <c r="E1265" s="85"/>
      <c r="F1265" s="85"/>
      <c r="G1265" s="85"/>
      <c r="H1265" s="85"/>
      <c r="I1265" s="85"/>
      <c r="J1265" s="85"/>
      <c r="K1265" s="85"/>
      <c r="L1265" s="109"/>
      <c r="M1265" s="110"/>
      <c r="N1265" s="111"/>
      <c r="O1265" s="112"/>
      <c r="P1265" s="112"/>
      <c r="Q1265" s="118"/>
    </row>
    <row r="1266" spans="2:17" s="5" customFormat="1" ht="13">
      <c r="B1266" s="84"/>
      <c r="C1266" s="84"/>
      <c r="D1266" s="85"/>
      <c r="E1266" s="85"/>
      <c r="F1266" s="85"/>
      <c r="G1266" s="85"/>
      <c r="H1266" s="85"/>
      <c r="I1266" s="85"/>
      <c r="J1266" s="85"/>
      <c r="K1266" s="85"/>
      <c r="L1266" s="109"/>
      <c r="M1266" s="110"/>
      <c r="N1266" s="111"/>
      <c r="O1266" s="112"/>
      <c r="P1266" s="112"/>
      <c r="Q1266" s="118"/>
    </row>
    <row r="1267" spans="2:17" s="5" customFormat="1" ht="13">
      <c r="B1267" s="84"/>
      <c r="C1267" s="84"/>
      <c r="D1267" s="85"/>
      <c r="E1267" s="85"/>
      <c r="F1267" s="85"/>
      <c r="G1267" s="85"/>
      <c r="H1267" s="85"/>
      <c r="I1267" s="85"/>
      <c r="J1267" s="85"/>
      <c r="K1267" s="85"/>
      <c r="L1267" s="109"/>
      <c r="M1267" s="110"/>
      <c r="N1267" s="111"/>
      <c r="O1267" s="112"/>
      <c r="P1267" s="112"/>
      <c r="Q1267" s="118"/>
    </row>
    <row r="1268" spans="2:17" s="5" customFormat="1" ht="13">
      <c r="B1268" s="84"/>
      <c r="C1268" s="84"/>
      <c r="D1268" s="85"/>
      <c r="E1268" s="85"/>
      <c r="F1268" s="85"/>
      <c r="G1268" s="85"/>
      <c r="H1268" s="85"/>
      <c r="I1268" s="85"/>
      <c r="J1268" s="85"/>
      <c r="K1268" s="85"/>
      <c r="L1268" s="109"/>
      <c r="M1268" s="110"/>
      <c r="N1268" s="111"/>
      <c r="O1268" s="112"/>
      <c r="P1268" s="112"/>
      <c r="Q1268" s="118"/>
    </row>
    <row r="1269" spans="2:17" s="5" customFormat="1" ht="13">
      <c r="B1269" s="84"/>
      <c r="C1269" s="84"/>
      <c r="D1269" s="85"/>
      <c r="E1269" s="85"/>
      <c r="F1269" s="85"/>
      <c r="G1269" s="85"/>
      <c r="H1269" s="85"/>
      <c r="I1269" s="85"/>
      <c r="J1269" s="85"/>
      <c r="K1269" s="85"/>
      <c r="L1269" s="109"/>
      <c r="M1269" s="110"/>
      <c r="N1269" s="111"/>
      <c r="O1269" s="112"/>
      <c r="P1269" s="112"/>
      <c r="Q1269" s="118"/>
    </row>
    <row r="1270" spans="2:17" s="5" customFormat="1" ht="13">
      <c r="B1270" s="84"/>
      <c r="C1270" s="84"/>
      <c r="D1270" s="85"/>
      <c r="E1270" s="85"/>
      <c r="F1270" s="85"/>
      <c r="G1270" s="85"/>
      <c r="H1270" s="85"/>
      <c r="I1270" s="85"/>
      <c r="J1270" s="85"/>
      <c r="K1270" s="85"/>
      <c r="L1270" s="109"/>
      <c r="M1270" s="110"/>
      <c r="N1270" s="111"/>
      <c r="O1270" s="112"/>
      <c r="P1270" s="112"/>
      <c r="Q1270" s="118"/>
    </row>
    <row r="1271" spans="2:17" s="5" customFormat="1" ht="13">
      <c r="B1271" s="84"/>
      <c r="C1271" s="84"/>
      <c r="D1271" s="85"/>
      <c r="E1271" s="85"/>
      <c r="F1271" s="85"/>
      <c r="G1271" s="85"/>
      <c r="H1271" s="85"/>
      <c r="I1271" s="85"/>
      <c r="J1271" s="85"/>
      <c r="K1271" s="85"/>
      <c r="L1271" s="109"/>
      <c r="M1271" s="110"/>
      <c r="N1271" s="111"/>
      <c r="O1271" s="112"/>
      <c r="P1271" s="112"/>
      <c r="Q1271" s="118"/>
    </row>
    <row r="1272" spans="2:17" s="5" customFormat="1" ht="13">
      <c r="B1272" s="84"/>
      <c r="C1272" s="84"/>
      <c r="D1272" s="85"/>
      <c r="E1272" s="85"/>
      <c r="F1272" s="85"/>
      <c r="G1272" s="85"/>
      <c r="H1272" s="85"/>
      <c r="I1272" s="85"/>
      <c r="J1272" s="85"/>
      <c r="K1272" s="85"/>
      <c r="L1272" s="109"/>
      <c r="M1272" s="110"/>
      <c r="N1272" s="111"/>
      <c r="O1272" s="112"/>
      <c r="P1272" s="112"/>
      <c r="Q1272" s="118"/>
    </row>
    <row r="1273" spans="2:17" s="5" customFormat="1" ht="13">
      <c r="B1273" s="84"/>
      <c r="C1273" s="84"/>
      <c r="D1273" s="85"/>
      <c r="E1273" s="85"/>
      <c r="F1273" s="85"/>
      <c r="G1273" s="85"/>
      <c r="H1273" s="85"/>
      <c r="I1273" s="85"/>
      <c r="J1273" s="85"/>
      <c r="K1273" s="85"/>
      <c r="L1273" s="109"/>
      <c r="M1273" s="110"/>
      <c r="N1273" s="111"/>
      <c r="O1273" s="112"/>
      <c r="P1273" s="112"/>
      <c r="Q1273" s="118"/>
    </row>
    <row r="1274" spans="2:17" s="5" customFormat="1" ht="13">
      <c r="B1274" s="84"/>
      <c r="C1274" s="84"/>
      <c r="D1274" s="85"/>
      <c r="E1274" s="85"/>
      <c r="F1274" s="85"/>
      <c r="G1274" s="85"/>
      <c r="H1274" s="85"/>
      <c r="I1274" s="85"/>
      <c r="J1274" s="85"/>
      <c r="K1274" s="85"/>
      <c r="L1274" s="109"/>
      <c r="M1274" s="110"/>
      <c r="N1274" s="111"/>
      <c r="O1274" s="112"/>
      <c r="P1274" s="112"/>
      <c r="Q1274" s="118"/>
    </row>
    <row r="1275" spans="2:17" s="5" customFormat="1" ht="13">
      <c r="B1275" s="84"/>
      <c r="C1275" s="84"/>
      <c r="D1275" s="85"/>
      <c r="E1275" s="85"/>
      <c r="F1275" s="85"/>
      <c r="G1275" s="85"/>
      <c r="H1275" s="85"/>
      <c r="I1275" s="85"/>
      <c r="J1275" s="85"/>
      <c r="K1275" s="85"/>
      <c r="L1275" s="109"/>
      <c r="M1275" s="110"/>
      <c r="N1275" s="111"/>
      <c r="O1275" s="112"/>
      <c r="P1275" s="112"/>
      <c r="Q1275" s="118"/>
    </row>
    <row r="1276" spans="2:17" s="5" customFormat="1" ht="13">
      <c r="B1276" s="84"/>
      <c r="C1276" s="84"/>
      <c r="D1276" s="85"/>
      <c r="E1276" s="85"/>
      <c r="F1276" s="85"/>
      <c r="G1276" s="85"/>
      <c r="H1276" s="85"/>
      <c r="I1276" s="85"/>
      <c r="J1276" s="85"/>
      <c r="K1276" s="85"/>
      <c r="L1276" s="109"/>
      <c r="M1276" s="110"/>
      <c r="N1276" s="111"/>
      <c r="O1276" s="112"/>
      <c r="P1276" s="112"/>
      <c r="Q1276" s="118"/>
    </row>
    <row r="1277" spans="2:17" s="5" customFormat="1" ht="13">
      <c r="B1277" s="84"/>
      <c r="C1277" s="84"/>
      <c r="D1277" s="85"/>
      <c r="E1277" s="85"/>
      <c r="F1277" s="85"/>
      <c r="G1277" s="85"/>
      <c r="H1277" s="85"/>
      <c r="I1277" s="85"/>
      <c r="J1277" s="85"/>
      <c r="K1277" s="85"/>
      <c r="L1277" s="109"/>
      <c r="M1277" s="110"/>
      <c r="N1277" s="111"/>
      <c r="O1277" s="112"/>
      <c r="P1277" s="112"/>
      <c r="Q1277" s="118"/>
    </row>
    <row r="1278" spans="2:17" s="5" customFormat="1" ht="13">
      <c r="B1278" s="84"/>
      <c r="C1278" s="84"/>
      <c r="D1278" s="85"/>
      <c r="E1278" s="85"/>
      <c r="F1278" s="85"/>
      <c r="G1278" s="85"/>
      <c r="H1278" s="85"/>
      <c r="I1278" s="85"/>
      <c r="J1278" s="85"/>
      <c r="K1278" s="85"/>
      <c r="L1278" s="109"/>
      <c r="M1278" s="110"/>
      <c r="N1278" s="111"/>
      <c r="O1278" s="112"/>
      <c r="P1278" s="112"/>
      <c r="Q1278" s="118"/>
    </row>
    <row r="1279" spans="2:17" s="5" customFormat="1" ht="13">
      <c r="B1279" s="84"/>
      <c r="C1279" s="84"/>
      <c r="D1279" s="85"/>
      <c r="E1279" s="85"/>
      <c r="F1279" s="85"/>
      <c r="G1279" s="85"/>
      <c r="H1279" s="85"/>
      <c r="I1279" s="85"/>
      <c r="J1279" s="85"/>
      <c r="K1279" s="85"/>
      <c r="L1279" s="109"/>
      <c r="M1279" s="110"/>
      <c r="N1279" s="111"/>
      <c r="O1279" s="112"/>
      <c r="P1279" s="112"/>
      <c r="Q1279" s="118"/>
    </row>
    <row r="1280" spans="2:17" s="5" customFormat="1" ht="13">
      <c r="B1280" s="84"/>
      <c r="C1280" s="84"/>
      <c r="D1280" s="85"/>
      <c r="E1280" s="85"/>
      <c r="F1280" s="85"/>
      <c r="G1280" s="85"/>
      <c r="H1280" s="85"/>
      <c r="I1280" s="85"/>
      <c r="J1280" s="85"/>
      <c r="K1280" s="85"/>
      <c r="L1280" s="109"/>
      <c r="M1280" s="110"/>
      <c r="N1280" s="111"/>
      <c r="O1280" s="112"/>
      <c r="P1280" s="112"/>
      <c r="Q1280" s="118"/>
    </row>
    <row r="1281" spans="2:17" s="5" customFormat="1" ht="13">
      <c r="B1281" s="84"/>
      <c r="C1281" s="84"/>
      <c r="D1281" s="85"/>
      <c r="E1281" s="85"/>
      <c r="F1281" s="85"/>
      <c r="G1281" s="85"/>
      <c r="H1281" s="85"/>
      <c r="I1281" s="85"/>
      <c r="J1281" s="85"/>
      <c r="K1281" s="85"/>
      <c r="L1281" s="109"/>
      <c r="M1281" s="110"/>
      <c r="N1281" s="111"/>
      <c r="O1281" s="112"/>
      <c r="P1281" s="112"/>
      <c r="Q1281" s="118"/>
    </row>
    <row r="1282" spans="2:17" s="5" customFormat="1" ht="13">
      <c r="B1282" s="84"/>
      <c r="C1282" s="84"/>
      <c r="D1282" s="85"/>
      <c r="E1282" s="85"/>
      <c r="F1282" s="85"/>
      <c r="G1282" s="85"/>
      <c r="H1282" s="85"/>
      <c r="I1282" s="85"/>
      <c r="J1282" s="85"/>
      <c r="K1282" s="85"/>
      <c r="L1282" s="109"/>
      <c r="M1282" s="110"/>
      <c r="N1282" s="111"/>
      <c r="O1282" s="112"/>
      <c r="P1282" s="112"/>
      <c r="Q1282" s="118"/>
    </row>
    <row r="1283" spans="2:17" s="5" customFormat="1" ht="13">
      <c r="B1283" s="84"/>
      <c r="C1283" s="84"/>
      <c r="D1283" s="85"/>
      <c r="E1283" s="85"/>
      <c r="F1283" s="85"/>
      <c r="G1283" s="85"/>
      <c r="H1283" s="85"/>
      <c r="I1283" s="85"/>
      <c r="J1283" s="85"/>
      <c r="K1283" s="85"/>
      <c r="L1283" s="109"/>
      <c r="M1283" s="110"/>
      <c r="N1283" s="111"/>
      <c r="O1283" s="112"/>
      <c r="P1283" s="112"/>
      <c r="Q1283" s="118"/>
    </row>
    <row r="1284" spans="2:17" s="5" customFormat="1" ht="13">
      <c r="B1284" s="84"/>
      <c r="C1284" s="84"/>
      <c r="D1284" s="85"/>
      <c r="E1284" s="85"/>
      <c r="F1284" s="85"/>
      <c r="G1284" s="85"/>
      <c r="H1284" s="85"/>
      <c r="I1284" s="85"/>
      <c r="J1284" s="85"/>
      <c r="K1284" s="85"/>
      <c r="L1284" s="109"/>
      <c r="M1284" s="110"/>
      <c r="N1284" s="111"/>
      <c r="O1284" s="112"/>
      <c r="P1284" s="112"/>
      <c r="Q1284" s="118"/>
    </row>
    <row r="1285" spans="2:17" s="5" customFormat="1" ht="13">
      <c r="B1285" s="84"/>
      <c r="C1285" s="84"/>
      <c r="D1285" s="85"/>
      <c r="E1285" s="85"/>
      <c r="F1285" s="85"/>
      <c r="G1285" s="85"/>
      <c r="H1285" s="85"/>
      <c r="I1285" s="85"/>
      <c r="J1285" s="85"/>
      <c r="K1285" s="85"/>
      <c r="L1285" s="109"/>
      <c r="M1285" s="110"/>
      <c r="N1285" s="111"/>
      <c r="O1285" s="112"/>
      <c r="P1285" s="112"/>
      <c r="Q1285" s="118"/>
    </row>
    <row r="1286" spans="2:17" s="5" customFormat="1" ht="13">
      <c r="B1286" s="84"/>
      <c r="C1286" s="84"/>
      <c r="D1286" s="85"/>
      <c r="E1286" s="85"/>
      <c r="F1286" s="85"/>
      <c r="G1286" s="85"/>
      <c r="H1286" s="85"/>
      <c r="I1286" s="85"/>
      <c r="J1286" s="85"/>
      <c r="K1286" s="85"/>
      <c r="L1286" s="109"/>
      <c r="M1286" s="110"/>
      <c r="N1286" s="111"/>
      <c r="O1286" s="112"/>
      <c r="P1286" s="112"/>
      <c r="Q1286" s="118"/>
    </row>
    <row r="1287" spans="2:17" s="5" customFormat="1" ht="13">
      <c r="B1287" s="84"/>
      <c r="C1287" s="84"/>
      <c r="D1287" s="85"/>
      <c r="E1287" s="85"/>
      <c r="F1287" s="85"/>
      <c r="G1287" s="85"/>
      <c r="H1287" s="85"/>
      <c r="I1287" s="85"/>
      <c r="J1287" s="85"/>
      <c r="K1287" s="85"/>
      <c r="L1287" s="109"/>
      <c r="M1287" s="110"/>
      <c r="N1287" s="111"/>
      <c r="O1287" s="112"/>
      <c r="P1287" s="112"/>
      <c r="Q1287" s="118"/>
    </row>
    <row r="1288" spans="2:17" s="5" customFormat="1" ht="13">
      <c r="B1288" s="84"/>
      <c r="C1288" s="84"/>
      <c r="D1288" s="85"/>
      <c r="E1288" s="85"/>
      <c r="F1288" s="85"/>
      <c r="G1288" s="85"/>
      <c r="H1288" s="85"/>
      <c r="I1288" s="85"/>
      <c r="J1288" s="85"/>
      <c r="K1288" s="85"/>
      <c r="L1288" s="109"/>
      <c r="M1288" s="110"/>
      <c r="N1288" s="111"/>
      <c r="O1288" s="112"/>
      <c r="P1288" s="112"/>
      <c r="Q1288" s="118"/>
    </row>
    <row r="1289" spans="2:17" s="5" customFormat="1" ht="13">
      <c r="B1289" s="84"/>
      <c r="C1289" s="84"/>
      <c r="D1289" s="85"/>
      <c r="E1289" s="85"/>
      <c r="F1289" s="85"/>
      <c r="G1289" s="85"/>
      <c r="H1289" s="85"/>
      <c r="I1289" s="85"/>
      <c r="J1289" s="85"/>
      <c r="K1289" s="85"/>
      <c r="L1289" s="109"/>
      <c r="M1289" s="110"/>
      <c r="N1289" s="111"/>
      <c r="O1289" s="112"/>
      <c r="P1289" s="112"/>
      <c r="Q1289" s="118"/>
    </row>
    <row r="1290" spans="2:17" s="5" customFormat="1" ht="13">
      <c r="B1290" s="84"/>
      <c r="C1290" s="84"/>
      <c r="D1290" s="85"/>
      <c r="E1290" s="85"/>
      <c r="F1290" s="85"/>
      <c r="G1290" s="85"/>
      <c r="H1290" s="85"/>
      <c r="I1290" s="85"/>
      <c r="J1290" s="85"/>
      <c r="K1290" s="85"/>
      <c r="L1290" s="109"/>
      <c r="M1290" s="110"/>
      <c r="N1290" s="111"/>
      <c r="O1290" s="112"/>
      <c r="P1290" s="112"/>
      <c r="Q1290" s="118"/>
    </row>
    <row r="1291" spans="2:17" s="5" customFormat="1" ht="13">
      <c r="B1291" s="84"/>
      <c r="C1291" s="84"/>
      <c r="D1291" s="85"/>
      <c r="E1291" s="85"/>
      <c r="F1291" s="85"/>
      <c r="G1291" s="85"/>
      <c r="H1291" s="85"/>
      <c r="I1291" s="85"/>
      <c r="J1291" s="85"/>
      <c r="K1291" s="85"/>
      <c r="L1291" s="109"/>
      <c r="M1291" s="110"/>
      <c r="N1291" s="111"/>
      <c r="O1291" s="112"/>
      <c r="P1291" s="112"/>
      <c r="Q1291" s="118"/>
    </row>
    <row r="1292" spans="2:17" s="5" customFormat="1" ht="13">
      <c r="B1292" s="84"/>
      <c r="C1292" s="84"/>
      <c r="D1292" s="85"/>
      <c r="E1292" s="85"/>
      <c r="F1292" s="85"/>
      <c r="G1292" s="85"/>
      <c r="H1292" s="85"/>
      <c r="I1292" s="85"/>
      <c r="J1292" s="85"/>
      <c r="K1292" s="85"/>
      <c r="L1292" s="109"/>
      <c r="M1292" s="110"/>
      <c r="N1292" s="111"/>
      <c r="O1292" s="112"/>
      <c r="P1292" s="112"/>
      <c r="Q1292" s="118"/>
    </row>
    <row r="1293" spans="2:17" s="5" customFormat="1" ht="13">
      <c r="B1293" s="84"/>
      <c r="C1293" s="84"/>
      <c r="D1293" s="85"/>
      <c r="E1293" s="85"/>
      <c r="F1293" s="85"/>
      <c r="G1293" s="85"/>
      <c r="H1293" s="85"/>
      <c r="I1293" s="85"/>
      <c r="J1293" s="85"/>
      <c r="K1293" s="85"/>
      <c r="L1293" s="109"/>
      <c r="M1293" s="110"/>
      <c r="N1293" s="111"/>
      <c r="O1293" s="112"/>
      <c r="P1293" s="112"/>
      <c r="Q1293" s="118"/>
    </row>
    <row r="1294" spans="2:17" s="5" customFormat="1" ht="13">
      <c r="B1294" s="84"/>
      <c r="C1294" s="84"/>
      <c r="D1294" s="85"/>
      <c r="E1294" s="85"/>
      <c r="F1294" s="85"/>
      <c r="G1294" s="85"/>
      <c r="H1294" s="85"/>
      <c r="I1294" s="85"/>
      <c r="J1294" s="85"/>
      <c r="K1294" s="85"/>
      <c r="L1294" s="109"/>
      <c r="M1294" s="110"/>
      <c r="N1294" s="111"/>
      <c r="O1294" s="112"/>
      <c r="P1294" s="112"/>
      <c r="Q1294" s="118"/>
    </row>
    <row r="1295" spans="2:17" s="5" customFormat="1" ht="13">
      <c r="B1295" s="84"/>
      <c r="C1295" s="84"/>
      <c r="D1295" s="85"/>
      <c r="E1295" s="85"/>
      <c r="F1295" s="85"/>
      <c r="G1295" s="85"/>
      <c r="H1295" s="85"/>
      <c r="I1295" s="85"/>
      <c r="J1295" s="85"/>
      <c r="K1295" s="85"/>
      <c r="L1295" s="109"/>
      <c r="M1295" s="110"/>
      <c r="N1295" s="111"/>
      <c r="O1295" s="112"/>
      <c r="P1295" s="112"/>
      <c r="Q1295" s="118"/>
    </row>
    <row r="1296" spans="2:17" s="5" customFormat="1" ht="13">
      <c r="B1296" s="84"/>
      <c r="C1296" s="84"/>
      <c r="D1296" s="85"/>
      <c r="E1296" s="85"/>
      <c r="F1296" s="85"/>
      <c r="G1296" s="85"/>
      <c r="H1296" s="85"/>
      <c r="I1296" s="85"/>
      <c r="J1296" s="85"/>
      <c r="K1296" s="85"/>
      <c r="L1296" s="109"/>
      <c r="M1296" s="110"/>
      <c r="N1296" s="111"/>
      <c r="O1296" s="112"/>
      <c r="P1296" s="112"/>
      <c r="Q1296" s="118"/>
    </row>
    <row r="1297" spans="2:17" s="5" customFormat="1" ht="13">
      <c r="B1297" s="84"/>
      <c r="C1297" s="84"/>
      <c r="D1297" s="85"/>
      <c r="E1297" s="85"/>
      <c r="F1297" s="85"/>
      <c r="G1297" s="85"/>
      <c r="H1297" s="85"/>
      <c r="I1297" s="85"/>
      <c r="J1297" s="85"/>
      <c r="K1297" s="85"/>
      <c r="L1297" s="109"/>
      <c r="M1297" s="110"/>
      <c r="N1297" s="111"/>
      <c r="O1297" s="112"/>
      <c r="P1297" s="112"/>
      <c r="Q1297" s="118"/>
    </row>
    <row r="1298" spans="2:17" s="5" customFormat="1" ht="13">
      <c r="B1298" s="84"/>
      <c r="C1298" s="84"/>
      <c r="D1298" s="85"/>
      <c r="E1298" s="85"/>
      <c r="F1298" s="85"/>
      <c r="G1298" s="85"/>
      <c r="H1298" s="85"/>
      <c r="I1298" s="85"/>
      <c r="J1298" s="85"/>
      <c r="K1298" s="85"/>
      <c r="L1298" s="109"/>
      <c r="M1298" s="110"/>
      <c r="N1298" s="111"/>
      <c r="O1298" s="112"/>
      <c r="P1298" s="112"/>
      <c r="Q1298" s="118"/>
    </row>
    <row r="1299" spans="2:17" s="5" customFormat="1" ht="13">
      <c r="B1299" s="84"/>
      <c r="C1299" s="84"/>
      <c r="D1299" s="85"/>
      <c r="E1299" s="85"/>
      <c r="F1299" s="85"/>
      <c r="G1299" s="85"/>
      <c r="H1299" s="85"/>
      <c r="I1299" s="85"/>
      <c r="J1299" s="85"/>
      <c r="K1299" s="85"/>
      <c r="L1299" s="109"/>
      <c r="M1299" s="110"/>
      <c r="N1299" s="111"/>
      <c r="O1299" s="112"/>
      <c r="P1299" s="112"/>
      <c r="Q1299" s="118"/>
    </row>
    <row r="1300" spans="2:17" s="5" customFormat="1" ht="13">
      <c r="B1300" s="84"/>
      <c r="C1300" s="84"/>
      <c r="D1300" s="85"/>
      <c r="E1300" s="85"/>
      <c r="F1300" s="85"/>
      <c r="G1300" s="85"/>
      <c r="H1300" s="85"/>
      <c r="I1300" s="85"/>
      <c r="J1300" s="85"/>
      <c r="K1300" s="85"/>
      <c r="L1300" s="109"/>
      <c r="M1300" s="110"/>
      <c r="N1300" s="111"/>
      <c r="O1300" s="112"/>
      <c r="P1300" s="112"/>
      <c r="Q1300" s="118"/>
    </row>
    <row r="1301" spans="2:17" s="5" customFormat="1" ht="13">
      <c r="B1301" s="84"/>
      <c r="C1301" s="84"/>
      <c r="D1301" s="85"/>
      <c r="E1301" s="85"/>
      <c r="F1301" s="85"/>
      <c r="G1301" s="85"/>
      <c r="H1301" s="85"/>
      <c r="I1301" s="85"/>
      <c r="J1301" s="85"/>
      <c r="K1301" s="85"/>
      <c r="L1301" s="109"/>
      <c r="M1301" s="110"/>
      <c r="N1301" s="111"/>
      <c r="O1301" s="112"/>
      <c r="P1301" s="112"/>
      <c r="Q1301" s="118"/>
    </row>
    <row r="1302" spans="2:17" s="5" customFormat="1" ht="13">
      <c r="B1302" s="84"/>
      <c r="C1302" s="84"/>
      <c r="D1302" s="85"/>
      <c r="E1302" s="85"/>
      <c r="F1302" s="85"/>
      <c r="G1302" s="85"/>
      <c r="H1302" s="85"/>
      <c r="I1302" s="85"/>
      <c r="J1302" s="85"/>
      <c r="K1302" s="85"/>
      <c r="L1302" s="109"/>
      <c r="M1302" s="110"/>
      <c r="N1302" s="111"/>
      <c r="O1302" s="112"/>
      <c r="P1302" s="112"/>
      <c r="Q1302" s="118"/>
    </row>
    <row r="1303" spans="2:17" s="5" customFormat="1" ht="13">
      <c r="B1303" s="84"/>
      <c r="C1303" s="84"/>
      <c r="D1303" s="85"/>
      <c r="E1303" s="85"/>
      <c r="F1303" s="85"/>
      <c r="G1303" s="85"/>
      <c r="H1303" s="85"/>
      <c r="I1303" s="85"/>
      <c r="J1303" s="85"/>
      <c r="K1303" s="85"/>
      <c r="L1303" s="109"/>
      <c r="M1303" s="110"/>
      <c r="N1303" s="111"/>
      <c r="O1303" s="112"/>
      <c r="P1303" s="112"/>
      <c r="Q1303" s="118"/>
    </row>
    <row r="1304" spans="2:17" s="5" customFormat="1" ht="13">
      <c r="B1304" s="84"/>
      <c r="C1304" s="84"/>
      <c r="D1304" s="85"/>
      <c r="E1304" s="85"/>
      <c r="F1304" s="85"/>
      <c r="G1304" s="85"/>
      <c r="H1304" s="85"/>
      <c r="I1304" s="85"/>
      <c r="J1304" s="85"/>
      <c r="K1304" s="85"/>
      <c r="L1304" s="109"/>
      <c r="M1304" s="110"/>
      <c r="N1304" s="111"/>
      <c r="O1304" s="112"/>
      <c r="P1304" s="112"/>
      <c r="Q1304" s="118"/>
    </row>
    <row r="1305" spans="2:17" s="5" customFormat="1" ht="13">
      <c r="B1305" s="84"/>
      <c r="C1305" s="84"/>
      <c r="D1305" s="85"/>
      <c r="E1305" s="85"/>
      <c r="F1305" s="85"/>
      <c r="G1305" s="85"/>
      <c r="H1305" s="85"/>
      <c r="I1305" s="85"/>
      <c r="J1305" s="85"/>
      <c r="K1305" s="85"/>
      <c r="L1305" s="109"/>
      <c r="M1305" s="110"/>
      <c r="N1305" s="111"/>
      <c r="O1305" s="112"/>
      <c r="P1305" s="112"/>
      <c r="Q1305" s="118"/>
    </row>
    <row r="1306" spans="2:17" s="5" customFormat="1" ht="13">
      <c r="B1306" s="84"/>
      <c r="C1306" s="84"/>
      <c r="D1306" s="85"/>
      <c r="E1306" s="85"/>
      <c r="F1306" s="85"/>
      <c r="G1306" s="85"/>
      <c r="H1306" s="85"/>
      <c r="I1306" s="85"/>
      <c r="J1306" s="85"/>
      <c r="K1306" s="85"/>
      <c r="L1306" s="109"/>
      <c r="M1306" s="110"/>
      <c r="N1306" s="111"/>
      <c r="O1306" s="112"/>
      <c r="P1306" s="112"/>
      <c r="Q1306" s="118"/>
    </row>
    <row r="1307" spans="2:17" s="5" customFormat="1" ht="13">
      <c r="B1307" s="84"/>
      <c r="C1307" s="84"/>
      <c r="D1307" s="85"/>
      <c r="E1307" s="85"/>
      <c r="F1307" s="85"/>
      <c r="G1307" s="85"/>
      <c r="H1307" s="85"/>
      <c r="I1307" s="85"/>
      <c r="J1307" s="85"/>
      <c r="K1307" s="85"/>
      <c r="L1307" s="109"/>
      <c r="M1307" s="110"/>
      <c r="N1307" s="111"/>
      <c r="O1307" s="112"/>
      <c r="P1307" s="112"/>
      <c r="Q1307" s="118"/>
    </row>
    <row r="1308" spans="2:17" s="5" customFormat="1" ht="13">
      <c r="B1308" s="84"/>
      <c r="C1308" s="84"/>
      <c r="D1308" s="85"/>
      <c r="E1308" s="85"/>
      <c r="F1308" s="85"/>
      <c r="G1308" s="85"/>
      <c r="H1308" s="85"/>
      <c r="I1308" s="85"/>
      <c r="J1308" s="85"/>
      <c r="K1308" s="85"/>
      <c r="L1308" s="109"/>
      <c r="M1308" s="110"/>
      <c r="N1308" s="111"/>
      <c r="O1308" s="112"/>
      <c r="P1308" s="112"/>
      <c r="Q1308" s="118"/>
    </row>
    <row r="1309" spans="2:17" s="5" customFormat="1" ht="13">
      <c r="B1309" s="84"/>
      <c r="C1309" s="84"/>
      <c r="D1309" s="85"/>
      <c r="E1309" s="85"/>
      <c r="F1309" s="85"/>
      <c r="G1309" s="85"/>
      <c r="H1309" s="85"/>
      <c r="I1309" s="85"/>
      <c r="J1309" s="85"/>
      <c r="K1309" s="85"/>
      <c r="L1309" s="109"/>
      <c r="M1309" s="110"/>
      <c r="N1309" s="111"/>
      <c r="O1309" s="112"/>
      <c r="P1309" s="112"/>
      <c r="Q1309" s="118"/>
    </row>
    <row r="1310" spans="2:17" s="5" customFormat="1" ht="13">
      <c r="B1310" s="84"/>
      <c r="C1310" s="84"/>
      <c r="D1310" s="85"/>
      <c r="E1310" s="85"/>
      <c r="F1310" s="85"/>
      <c r="G1310" s="85"/>
      <c r="H1310" s="85"/>
      <c r="I1310" s="85"/>
      <c r="J1310" s="85"/>
      <c r="K1310" s="85"/>
      <c r="L1310" s="109"/>
      <c r="M1310" s="110"/>
      <c r="N1310" s="111"/>
      <c r="O1310" s="112"/>
      <c r="P1310" s="112"/>
      <c r="Q1310" s="118"/>
    </row>
    <row r="1311" spans="2:17" s="5" customFormat="1" ht="13">
      <c r="B1311" s="84"/>
      <c r="C1311" s="84"/>
      <c r="D1311" s="85"/>
      <c r="E1311" s="85"/>
      <c r="F1311" s="85"/>
      <c r="G1311" s="85"/>
      <c r="H1311" s="85"/>
      <c r="I1311" s="85"/>
      <c r="J1311" s="85"/>
      <c r="K1311" s="85"/>
      <c r="L1311" s="109"/>
      <c r="M1311" s="110"/>
      <c r="N1311" s="111"/>
      <c r="O1311" s="112"/>
      <c r="P1311" s="112"/>
      <c r="Q1311" s="118"/>
    </row>
    <row r="1312" spans="2:17" s="5" customFormat="1" ht="13">
      <c r="B1312" s="84"/>
      <c r="C1312" s="84"/>
      <c r="D1312" s="85"/>
      <c r="E1312" s="85"/>
      <c r="F1312" s="85"/>
      <c r="G1312" s="85"/>
      <c r="H1312" s="85"/>
      <c r="I1312" s="85"/>
      <c r="J1312" s="85"/>
      <c r="K1312" s="85"/>
      <c r="L1312" s="109"/>
      <c r="M1312" s="110"/>
      <c r="N1312" s="111"/>
      <c r="O1312" s="112"/>
      <c r="P1312" s="112"/>
      <c r="Q1312" s="118"/>
    </row>
    <row r="1313" spans="2:17" s="5" customFormat="1" ht="13">
      <c r="B1313" s="84"/>
      <c r="C1313" s="84"/>
      <c r="D1313" s="85"/>
      <c r="E1313" s="85"/>
      <c r="F1313" s="85"/>
      <c r="G1313" s="85"/>
      <c r="H1313" s="85"/>
      <c r="I1313" s="85"/>
      <c r="J1313" s="85"/>
      <c r="K1313" s="85"/>
      <c r="L1313" s="109"/>
      <c r="M1313" s="110"/>
      <c r="N1313" s="111"/>
      <c r="O1313" s="112"/>
      <c r="P1313" s="112"/>
      <c r="Q1313" s="118"/>
    </row>
    <row r="1314" spans="2:17" s="5" customFormat="1" ht="13">
      <c r="B1314" s="84"/>
      <c r="C1314" s="84"/>
      <c r="D1314" s="85"/>
      <c r="E1314" s="85"/>
      <c r="F1314" s="85"/>
      <c r="G1314" s="85"/>
      <c r="H1314" s="85"/>
      <c r="I1314" s="85"/>
      <c r="J1314" s="85"/>
      <c r="K1314" s="85"/>
      <c r="L1314" s="109"/>
      <c r="M1314" s="110"/>
      <c r="N1314" s="111"/>
      <c r="O1314" s="112"/>
      <c r="P1314" s="112"/>
      <c r="Q1314" s="118"/>
    </row>
    <row r="1315" spans="2:17" s="5" customFormat="1" ht="13">
      <c r="B1315" s="84"/>
      <c r="C1315" s="84"/>
      <c r="D1315" s="85"/>
      <c r="E1315" s="85"/>
      <c r="F1315" s="85"/>
      <c r="G1315" s="85"/>
      <c r="H1315" s="85"/>
      <c r="I1315" s="85"/>
      <c r="J1315" s="85"/>
      <c r="K1315" s="85"/>
      <c r="L1315" s="109"/>
      <c r="M1315" s="110"/>
      <c r="N1315" s="111"/>
      <c r="O1315" s="112"/>
      <c r="P1315" s="112"/>
      <c r="Q1315" s="118"/>
    </row>
    <row r="1316" spans="2:17" s="5" customFormat="1" ht="13">
      <c r="B1316" s="84"/>
      <c r="C1316" s="84"/>
      <c r="D1316" s="85"/>
      <c r="E1316" s="85"/>
      <c r="F1316" s="85"/>
      <c r="G1316" s="85"/>
      <c r="H1316" s="85"/>
      <c r="I1316" s="85"/>
      <c r="J1316" s="85"/>
      <c r="K1316" s="85"/>
      <c r="L1316" s="109"/>
      <c r="M1316" s="110"/>
      <c r="N1316" s="111"/>
      <c r="O1316" s="112"/>
      <c r="P1316" s="112"/>
      <c r="Q1316" s="118"/>
    </row>
    <row r="1317" spans="2:17" s="5" customFormat="1" ht="13">
      <c r="B1317" s="84"/>
      <c r="C1317" s="84"/>
      <c r="D1317" s="85"/>
      <c r="E1317" s="85"/>
      <c r="F1317" s="85"/>
      <c r="G1317" s="85"/>
      <c r="H1317" s="85"/>
      <c r="I1317" s="85"/>
      <c r="J1317" s="85"/>
      <c r="K1317" s="85"/>
      <c r="L1317" s="109"/>
      <c r="M1317" s="110"/>
      <c r="N1317" s="111"/>
      <c r="O1317" s="112"/>
      <c r="P1317" s="112"/>
      <c r="Q1317" s="118"/>
    </row>
    <row r="1318" spans="2:17" s="5" customFormat="1" ht="13">
      <c r="B1318" s="84"/>
      <c r="C1318" s="84"/>
      <c r="D1318" s="85"/>
      <c r="E1318" s="85"/>
      <c r="F1318" s="85"/>
      <c r="G1318" s="85"/>
      <c r="H1318" s="85"/>
      <c r="I1318" s="85"/>
      <c r="J1318" s="85"/>
      <c r="K1318" s="85"/>
      <c r="L1318" s="109"/>
      <c r="M1318" s="110"/>
      <c r="N1318" s="111"/>
      <c r="O1318" s="112"/>
      <c r="P1318" s="112"/>
      <c r="Q1318" s="118"/>
    </row>
    <row r="1319" spans="2:17" s="5" customFormat="1" ht="13">
      <c r="B1319" s="84"/>
      <c r="C1319" s="84"/>
      <c r="D1319" s="85"/>
      <c r="E1319" s="85"/>
      <c r="F1319" s="85"/>
      <c r="G1319" s="85"/>
      <c r="H1319" s="85"/>
      <c r="I1319" s="85"/>
      <c r="J1319" s="85"/>
      <c r="K1319" s="85"/>
      <c r="L1319" s="109"/>
      <c r="M1319" s="110"/>
      <c r="N1319" s="111"/>
      <c r="O1319" s="112"/>
      <c r="P1319" s="112"/>
      <c r="Q1319" s="118"/>
    </row>
    <row r="1320" spans="2:17" s="5" customFormat="1" ht="13">
      <c r="B1320" s="84"/>
      <c r="C1320" s="84"/>
      <c r="D1320" s="85"/>
      <c r="E1320" s="85"/>
      <c r="F1320" s="85"/>
      <c r="G1320" s="85"/>
      <c r="H1320" s="85"/>
      <c r="I1320" s="85"/>
      <c r="J1320" s="85"/>
      <c r="K1320" s="85"/>
      <c r="L1320" s="109"/>
      <c r="M1320" s="110"/>
      <c r="N1320" s="111"/>
      <c r="O1320" s="112"/>
      <c r="P1320" s="112"/>
      <c r="Q1320" s="118"/>
    </row>
    <row r="1321" spans="2:17" s="5" customFormat="1" ht="13">
      <c r="B1321" s="84"/>
      <c r="C1321" s="84"/>
      <c r="D1321" s="85"/>
      <c r="E1321" s="85"/>
      <c r="F1321" s="85"/>
      <c r="G1321" s="85"/>
      <c r="H1321" s="85"/>
      <c r="I1321" s="85"/>
      <c r="J1321" s="85"/>
      <c r="K1321" s="85"/>
      <c r="L1321" s="109"/>
      <c r="M1321" s="110"/>
      <c r="N1321" s="111"/>
      <c r="O1321" s="112"/>
      <c r="P1321" s="112"/>
      <c r="Q1321" s="118"/>
    </row>
    <row r="1322" spans="2:17" s="5" customFormat="1" ht="13">
      <c r="B1322" s="84"/>
      <c r="C1322" s="84"/>
      <c r="D1322" s="85"/>
      <c r="E1322" s="85"/>
      <c r="F1322" s="85"/>
      <c r="G1322" s="85"/>
      <c r="H1322" s="85"/>
      <c r="I1322" s="85"/>
      <c r="J1322" s="85"/>
      <c r="K1322" s="85"/>
      <c r="L1322" s="109"/>
      <c r="M1322" s="110"/>
      <c r="N1322" s="111"/>
      <c r="O1322" s="112"/>
      <c r="P1322" s="112"/>
      <c r="Q1322" s="118"/>
    </row>
    <row r="1323" spans="2:17" s="5" customFormat="1" ht="13">
      <c r="B1323" s="84"/>
      <c r="C1323" s="84"/>
      <c r="D1323" s="85"/>
      <c r="E1323" s="85"/>
      <c r="F1323" s="85"/>
      <c r="G1323" s="85"/>
      <c r="H1323" s="85"/>
      <c r="I1323" s="85"/>
      <c r="J1323" s="85"/>
      <c r="K1323" s="85"/>
      <c r="L1323" s="109"/>
      <c r="M1323" s="110"/>
      <c r="N1323" s="111"/>
      <c r="O1323" s="112"/>
      <c r="P1323" s="112"/>
      <c r="Q1323" s="118"/>
    </row>
    <row r="1324" spans="2:17" s="5" customFormat="1" ht="13">
      <c r="B1324" s="84"/>
      <c r="C1324" s="84"/>
      <c r="D1324" s="85"/>
      <c r="E1324" s="85"/>
      <c r="F1324" s="85"/>
      <c r="G1324" s="85"/>
      <c r="H1324" s="85"/>
      <c r="I1324" s="85"/>
      <c r="J1324" s="85"/>
      <c r="K1324" s="85"/>
      <c r="L1324" s="109"/>
      <c r="M1324" s="110"/>
      <c r="N1324" s="111"/>
      <c r="O1324" s="112"/>
      <c r="P1324" s="112"/>
      <c r="Q1324" s="118"/>
    </row>
    <row r="1325" spans="2:17" s="5" customFormat="1" ht="13">
      <c r="B1325" s="84"/>
      <c r="C1325" s="84"/>
      <c r="D1325" s="85"/>
      <c r="E1325" s="85"/>
      <c r="F1325" s="85"/>
      <c r="G1325" s="85"/>
      <c r="H1325" s="85"/>
      <c r="I1325" s="85"/>
      <c r="J1325" s="85"/>
      <c r="K1325" s="85"/>
      <c r="L1325" s="109"/>
      <c r="M1325" s="110"/>
      <c r="N1325" s="111"/>
      <c r="O1325" s="112"/>
      <c r="P1325" s="112"/>
      <c r="Q1325" s="118"/>
    </row>
    <row r="1326" spans="2:17" s="5" customFormat="1" ht="13">
      <c r="B1326" s="84"/>
      <c r="C1326" s="84"/>
      <c r="D1326" s="85"/>
      <c r="E1326" s="85"/>
      <c r="F1326" s="85"/>
      <c r="G1326" s="85"/>
      <c r="H1326" s="85"/>
      <c r="I1326" s="85"/>
      <c r="J1326" s="85"/>
      <c r="K1326" s="85"/>
      <c r="L1326" s="109"/>
      <c r="M1326" s="110"/>
      <c r="N1326" s="111"/>
      <c r="O1326" s="112"/>
      <c r="P1326" s="112"/>
      <c r="Q1326" s="118"/>
    </row>
    <row r="1327" spans="2:17" s="5" customFormat="1" ht="13">
      <c r="B1327" s="84"/>
      <c r="C1327" s="84"/>
      <c r="D1327" s="85"/>
      <c r="E1327" s="85"/>
      <c r="F1327" s="85"/>
      <c r="G1327" s="85"/>
      <c r="H1327" s="85"/>
      <c r="I1327" s="85"/>
      <c r="J1327" s="85"/>
      <c r="K1327" s="85"/>
      <c r="L1327" s="109"/>
      <c r="M1327" s="110"/>
      <c r="N1327" s="111"/>
      <c r="O1327" s="112"/>
      <c r="P1327" s="112"/>
      <c r="Q1327" s="118"/>
    </row>
    <row r="1328" spans="2:17" s="5" customFormat="1" ht="13">
      <c r="B1328" s="84"/>
      <c r="C1328" s="84"/>
      <c r="D1328" s="85"/>
      <c r="E1328" s="85"/>
      <c r="F1328" s="85"/>
      <c r="G1328" s="85"/>
      <c r="H1328" s="85"/>
      <c r="I1328" s="85"/>
      <c r="J1328" s="85"/>
      <c r="K1328" s="85"/>
      <c r="L1328" s="109"/>
      <c r="M1328" s="110"/>
      <c r="N1328" s="111"/>
      <c r="O1328" s="112"/>
      <c r="P1328" s="112"/>
      <c r="Q1328" s="118"/>
    </row>
    <row r="1329" spans="2:17" s="5" customFormat="1" ht="13">
      <c r="B1329" s="84"/>
      <c r="C1329" s="84"/>
      <c r="D1329" s="85"/>
      <c r="E1329" s="85"/>
      <c r="F1329" s="85"/>
      <c r="G1329" s="85"/>
      <c r="H1329" s="85"/>
      <c r="I1329" s="85"/>
      <c r="J1329" s="85"/>
      <c r="K1329" s="85"/>
      <c r="L1329" s="109"/>
      <c r="M1329" s="110"/>
      <c r="N1329" s="111"/>
      <c r="O1329" s="112"/>
      <c r="P1329" s="112"/>
      <c r="Q1329" s="118"/>
    </row>
    <row r="1330" spans="2:17" s="5" customFormat="1" ht="13">
      <c r="B1330" s="84"/>
      <c r="C1330" s="84"/>
      <c r="D1330" s="85"/>
      <c r="E1330" s="85"/>
      <c r="F1330" s="85"/>
      <c r="G1330" s="85"/>
      <c r="H1330" s="85"/>
      <c r="I1330" s="85"/>
      <c r="J1330" s="85"/>
      <c r="K1330" s="85"/>
      <c r="L1330" s="109"/>
      <c r="M1330" s="110"/>
      <c r="N1330" s="111"/>
      <c r="O1330" s="112"/>
      <c r="P1330" s="112"/>
      <c r="Q1330" s="118"/>
    </row>
    <row r="1331" spans="2:17" s="5" customFormat="1" ht="13">
      <c r="B1331" s="84"/>
      <c r="C1331" s="84"/>
      <c r="D1331" s="85"/>
      <c r="E1331" s="85"/>
      <c r="F1331" s="85"/>
      <c r="G1331" s="85"/>
      <c r="H1331" s="85"/>
      <c r="I1331" s="85"/>
      <c r="J1331" s="85"/>
      <c r="K1331" s="85"/>
      <c r="L1331" s="109"/>
      <c r="M1331" s="110"/>
      <c r="N1331" s="111"/>
      <c r="O1331" s="112"/>
      <c r="P1331" s="112"/>
      <c r="Q1331" s="118"/>
    </row>
    <row r="1332" spans="2:17" s="5" customFormat="1" ht="13">
      <c r="B1332" s="84"/>
      <c r="C1332" s="84"/>
      <c r="D1332" s="85"/>
      <c r="E1332" s="85"/>
      <c r="F1332" s="85"/>
      <c r="G1332" s="85"/>
      <c r="H1332" s="85"/>
      <c r="I1332" s="85"/>
      <c r="J1332" s="85"/>
      <c r="K1332" s="85"/>
      <c r="L1332" s="109"/>
      <c r="M1332" s="110"/>
      <c r="N1332" s="111"/>
      <c r="O1332" s="112"/>
      <c r="P1332" s="112"/>
      <c r="Q1332" s="118"/>
    </row>
    <row r="1333" spans="2:17" s="5" customFormat="1" ht="13">
      <c r="B1333" s="84"/>
      <c r="C1333" s="84"/>
      <c r="D1333" s="85"/>
      <c r="E1333" s="85"/>
      <c r="F1333" s="85"/>
      <c r="G1333" s="85"/>
      <c r="H1333" s="85"/>
      <c r="I1333" s="85"/>
      <c r="J1333" s="85"/>
      <c r="K1333" s="85"/>
      <c r="L1333" s="109"/>
      <c r="M1333" s="110"/>
      <c r="N1333" s="111"/>
      <c r="O1333" s="112"/>
      <c r="P1333" s="112"/>
      <c r="Q1333" s="118"/>
    </row>
    <row r="1334" spans="2:17" s="5" customFormat="1" ht="13">
      <c r="B1334" s="84"/>
      <c r="C1334" s="84"/>
      <c r="D1334" s="85"/>
      <c r="E1334" s="85"/>
      <c r="F1334" s="85"/>
      <c r="G1334" s="85"/>
      <c r="H1334" s="85"/>
      <c r="I1334" s="85"/>
      <c r="J1334" s="85"/>
      <c r="K1334" s="85"/>
      <c r="L1334" s="109"/>
      <c r="M1334" s="110"/>
      <c r="N1334" s="111"/>
      <c r="O1334" s="112"/>
      <c r="P1334" s="112"/>
      <c r="Q1334" s="118"/>
    </row>
    <row r="1335" spans="2:17" s="5" customFormat="1" ht="13">
      <c r="B1335" s="84"/>
      <c r="C1335" s="84"/>
      <c r="D1335" s="85"/>
      <c r="E1335" s="85"/>
      <c r="F1335" s="85"/>
      <c r="G1335" s="85"/>
      <c r="H1335" s="85"/>
      <c r="I1335" s="85"/>
      <c r="J1335" s="85"/>
      <c r="K1335" s="85"/>
      <c r="L1335" s="109"/>
      <c r="M1335" s="110"/>
      <c r="N1335" s="111"/>
      <c r="O1335" s="112"/>
      <c r="P1335" s="112"/>
      <c r="Q1335" s="118"/>
    </row>
    <row r="1336" spans="2:17" s="5" customFormat="1" ht="13">
      <c r="B1336" s="84"/>
      <c r="C1336" s="84"/>
      <c r="D1336" s="85"/>
      <c r="E1336" s="85"/>
      <c r="F1336" s="85"/>
      <c r="G1336" s="85"/>
      <c r="H1336" s="85"/>
      <c r="I1336" s="85"/>
      <c r="J1336" s="85"/>
      <c r="K1336" s="85"/>
      <c r="L1336" s="109"/>
      <c r="M1336" s="110"/>
      <c r="N1336" s="111"/>
      <c r="O1336" s="112"/>
      <c r="P1336" s="112"/>
      <c r="Q1336" s="118"/>
    </row>
    <row r="1337" spans="2:17" s="5" customFormat="1" ht="13">
      <c r="B1337" s="84"/>
      <c r="C1337" s="84"/>
      <c r="D1337" s="85"/>
      <c r="E1337" s="85"/>
      <c r="F1337" s="85"/>
      <c r="G1337" s="85"/>
      <c r="H1337" s="85"/>
      <c r="I1337" s="85"/>
      <c r="J1337" s="85"/>
      <c r="K1337" s="85"/>
      <c r="L1337" s="109"/>
      <c r="M1337" s="110"/>
      <c r="N1337" s="111"/>
      <c r="O1337" s="112"/>
      <c r="P1337" s="112"/>
      <c r="Q1337" s="118"/>
    </row>
    <row r="1338" spans="2:17" s="5" customFormat="1" ht="13">
      <c r="B1338" s="84"/>
      <c r="C1338" s="84"/>
      <c r="D1338" s="85"/>
      <c r="E1338" s="85"/>
      <c r="F1338" s="85"/>
      <c r="G1338" s="85"/>
      <c r="H1338" s="85"/>
      <c r="I1338" s="85"/>
      <c r="J1338" s="85"/>
      <c r="K1338" s="85"/>
      <c r="L1338" s="109"/>
      <c r="M1338" s="110"/>
      <c r="N1338" s="111"/>
      <c r="O1338" s="112"/>
      <c r="P1338" s="112"/>
      <c r="Q1338" s="118"/>
    </row>
    <row r="1339" spans="2:17" s="5" customFormat="1" ht="13">
      <c r="B1339" s="84"/>
      <c r="C1339" s="84"/>
      <c r="D1339" s="85"/>
      <c r="E1339" s="85"/>
      <c r="F1339" s="85"/>
      <c r="G1339" s="85"/>
      <c r="H1339" s="85"/>
      <c r="I1339" s="85"/>
      <c r="J1339" s="85"/>
      <c r="K1339" s="85"/>
      <c r="L1339" s="109"/>
      <c r="M1339" s="110"/>
      <c r="N1339" s="111"/>
      <c r="O1339" s="112"/>
      <c r="P1339" s="112"/>
      <c r="Q1339" s="118"/>
    </row>
    <row r="1340" spans="2:17" s="5" customFormat="1" ht="13">
      <c r="B1340" s="84"/>
      <c r="C1340" s="84"/>
      <c r="D1340" s="85"/>
      <c r="E1340" s="85"/>
      <c r="F1340" s="85"/>
      <c r="G1340" s="85"/>
      <c r="H1340" s="85"/>
      <c r="I1340" s="85"/>
      <c r="J1340" s="85"/>
      <c r="K1340" s="85"/>
      <c r="L1340" s="109"/>
      <c r="M1340" s="110"/>
      <c r="N1340" s="111"/>
      <c r="O1340" s="112"/>
      <c r="P1340" s="112"/>
      <c r="Q1340" s="118"/>
    </row>
    <row r="1341" spans="2:17" s="5" customFormat="1" ht="13">
      <c r="B1341" s="84"/>
      <c r="C1341" s="84"/>
      <c r="D1341" s="85"/>
      <c r="E1341" s="85"/>
      <c r="F1341" s="85"/>
      <c r="G1341" s="85"/>
      <c r="H1341" s="85"/>
      <c r="I1341" s="85"/>
      <c r="J1341" s="85"/>
      <c r="K1341" s="85"/>
      <c r="L1341" s="109"/>
      <c r="M1341" s="110"/>
      <c r="N1341" s="111"/>
      <c r="O1341" s="112"/>
      <c r="P1341" s="112"/>
      <c r="Q1341" s="118"/>
    </row>
    <row r="1342" spans="2:17" s="5" customFormat="1" ht="13">
      <c r="B1342" s="84"/>
      <c r="C1342" s="84"/>
      <c r="D1342" s="85"/>
      <c r="E1342" s="85"/>
      <c r="F1342" s="85"/>
      <c r="G1342" s="85"/>
      <c r="H1342" s="85"/>
      <c r="I1342" s="85"/>
      <c r="J1342" s="85"/>
      <c r="K1342" s="85"/>
      <c r="L1342" s="109"/>
      <c r="M1342" s="110"/>
      <c r="N1342" s="111"/>
      <c r="O1342" s="112"/>
      <c r="P1342" s="112"/>
      <c r="Q1342" s="118"/>
    </row>
    <row r="1343" spans="2:17" s="5" customFormat="1" ht="13">
      <c r="B1343" s="84"/>
      <c r="C1343" s="84"/>
      <c r="D1343" s="85"/>
      <c r="E1343" s="85"/>
      <c r="F1343" s="85"/>
      <c r="G1343" s="85"/>
      <c r="H1343" s="85"/>
      <c r="I1343" s="85"/>
      <c r="J1343" s="85"/>
      <c r="K1343" s="85"/>
      <c r="L1343" s="109"/>
      <c r="M1343" s="110"/>
      <c r="N1343" s="111"/>
      <c r="O1343" s="112"/>
      <c r="P1343" s="112"/>
      <c r="Q1343" s="118"/>
    </row>
    <row r="1344" spans="2:17" s="5" customFormat="1" ht="13">
      <c r="B1344" s="84"/>
      <c r="C1344" s="84"/>
      <c r="D1344" s="85"/>
      <c r="E1344" s="85"/>
      <c r="F1344" s="85"/>
      <c r="G1344" s="85"/>
      <c r="H1344" s="85"/>
      <c r="I1344" s="85"/>
      <c r="J1344" s="85"/>
      <c r="K1344" s="85"/>
      <c r="L1344" s="109"/>
      <c r="M1344" s="110"/>
      <c r="N1344" s="111"/>
      <c r="O1344" s="112"/>
      <c r="P1344" s="112"/>
      <c r="Q1344" s="118"/>
    </row>
    <row r="1345" spans="2:17" s="5" customFormat="1" ht="13">
      <c r="B1345" s="84"/>
      <c r="C1345" s="84"/>
      <c r="D1345" s="85"/>
      <c r="E1345" s="85"/>
      <c r="F1345" s="85"/>
      <c r="G1345" s="85"/>
      <c r="H1345" s="85"/>
      <c r="I1345" s="85"/>
      <c r="J1345" s="85"/>
      <c r="K1345" s="85"/>
      <c r="L1345" s="109"/>
      <c r="M1345" s="110"/>
      <c r="N1345" s="111"/>
      <c r="O1345" s="112"/>
      <c r="P1345" s="112"/>
      <c r="Q1345" s="118"/>
    </row>
    <row r="1346" spans="2:17" s="5" customFormat="1" ht="13">
      <c r="B1346" s="84"/>
      <c r="C1346" s="84"/>
      <c r="D1346" s="85"/>
      <c r="E1346" s="85"/>
      <c r="F1346" s="85"/>
      <c r="G1346" s="85"/>
      <c r="H1346" s="85"/>
      <c r="I1346" s="85"/>
      <c r="J1346" s="85"/>
      <c r="K1346" s="85"/>
      <c r="L1346" s="109"/>
      <c r="M1346" s="110"/>
      <c r="N1346" s="111"/>
      <c r="O1346" s="112"/>
      <c r="P1346" s="112"/>
      <c r="Q1346" s="118"/>
    </row>
    <row r="1347" spans="2:17" s="5" customFormat="1" ht="13">
      <c r="B1347" s="84"/>
      <c r="C1347" s="84"/>
      <c r="D1347" s="85"/>
      <c r="E1347" s="85"/>
      <c r="F1347" s="85"/>
      <c r="G1347" s="85"/>
      <c r="H1347" s="85"/>
      <c r="I1347" s="85"/>
      <c r="J1347" s="85"/>
      <c r="K1347" s="85"/>
      <c r="L1347" s="109"/>
      <c r="M1347" s="110"/>
      <c r="N1347" s="111"/>
      <c r="O1347" s="112"/>
      <c r="P1347" s="112"/>
      <c r="Q1347" s="118"/>
    </row>
    <row r="1348" spans="2:17" s="5" customFormat="1" ht="13">
      <c r="B1348" s="84"/>
      <c r="C1348" s="84"/>
      <c r="D1348" s="85"/>
      <c r="E1348" s="85"/>
      <c r="F1348" s="85"/>
      <c r="G1348" s="85"/>
      <c r="H1348" s="85"/>
      <c r="I1348" s="85"/>
      <c r="J1348" s="85"/>
      <c r="K1348" s="85"/>
      <c r="L1348" s="109"/>
      <c r="M1348" s="110"/>
      <c r="N1348" s="111"/>
      <c r="O1348" s="112"/>
      <c r="P1348" s="112"/>
      <c r="Q1348" s="118"/>
    </row>
    <row r="1349" spans="2:17" s="5" customFormat="1" ht="13">
      <c r="B1349" s="84"/>
      <c r="C1349" s="84"/>
      <c r="D1349" s="85"/>
      <c r="E1349" s="85"/>
      <c r="F1349" s="85"/>
      <c r="G1349" s="85"/>
      <c r="H1349" s="85"/>
      <c r="I1349" s="85"/>
      <c r="J1349" s="85"/>
      <c r="K1349" s="85"/>
      <c r="L1349" s="109"/>
      <c r="M1349" s="110"/>
      <c r="N1349" s="111"/>
      <c r="O1349" s="112"/>
      <c r="P1349" s="112"/>
      <c r="Q1349" s="118"/>
    </row>
    <row r="1350" spans="2:17" s="5" customFormat="1" ht="13">
      <c r="B1350" s="84"/>
      <c r="C1350" s="84"/>
      <c r="D1350" s="85"/>
      <c r="E1350" s="85"/>
      <c r="F1350" s="85"/>
      <c r="G1350" s="85"/>
      <c r="H1350" s="85"/>
      <c r="I1350" s="85"/>
      <c r="J1350" s="85"/>
      <c r="K1350" s="85"/>
      <c r="L1350" s="109"/>
      <c r="M1350" s="110"/>
      <c r="N1350" s="111"/>
      <c r="O1350" s="112"/>
      <c r="P1350" s="112"/>
      <c r="Q1350" s="118"/>
    </row>
    <row r="1351" spans="2:17" s="5" customFormat="1" ht="13">
      <c r="B1351" s="84"/>
      <c r="C1351" s="84"/>
      <c r="D1351" s="85"/>
      <c r="E1351" s="85"/>
      <c r="F1351" s="85"/>
      <c r="G1351" s="85"/>
      <c r="H1351" s="85"/>
      <c r="I1351" s="85"/>
      <c r="J1351" s="85"/>
      <c r="K1351" s="85"/>
      <c r="L1351" s="109"/>
      <c r="M1351" s="110"/>
      <c r="N1351" s="111"/>
      <c r="O1351" s="112"/>
      <c r="P1351" s="112"/>
      <c r="Q1351" s="118"/>
    </row>
    <row r="1352" spans="2:17" s="5" customFormat="1" ht="13">
      <c r="B1352" s="84"/>
      <c r="C1352" s="84"/>
      <c r="D1352" s="85"/>
      <c r="E1352" s="85"/>
      <c r="F1352" s="85"/>
      <c r="G1352" s="85"/>
      <c r="H1352" s="85"/>
      <c r="I1352" s="85"/>
      <c r="J1352" s="85"/>
      <c r="K1352" s="85"/>
      <c r="L1352" s="109"/>
      <c r="M1352" s="110"/>
      <c r="N1352" s="111"/>
      <c r="O1352" s="112"/>
      <c r="P1352" s="112"/>
      <c r="Q1352" s="118"/>
    </row>
    <row r="1353" spans="2:17" s="5" customFormat="1" ht="13">
      <c r="B1353" s="84"/>
      <c r="C1353" s="84"/>
      <c r="D1353" s="85"/>
      <c r="E1353" s="85"/>
      <c r="F1353" s="85"/>
      <c r="G1353" s="85"/>
      <c r="H1353" s="85"/>
      <c r="I1353" s="85"/>
      <c r="J1353" s="85"/>
      <c r="K1353" s="85"/>
      <c r="L1353" s="109"/>
      <c r="M1353" s="110"/>
      <c r="N1353" s="111"/>
      <c r="O1353" s="112"/>
      <c r="P1353" s="112"/>
      <c r="Q1353" s="118"/>
    </row>
    <row r="1354" spans="2:17" s="5" customFormat="1" ht="13">
      <c r="B1354" s="84"/>
      <c r="C1354" s="84"/>
      <c r="D1354" s="85"/>
      <c r="E1354" s="85"/>
      <c r="F1354" s="85"/>
      <c r="G1354" s="85"/>
      <c r="H1354" s="85"/>
      <c r="I1354" s="85"/>
      <c r="J1354" s="85"/>
      <c r="K1354" s="85"/>
      <c r="L1354" s="109"/>
      <c r="M1354" s="110"/>
      <c r="N1354" s="111"/>
      <c r="O1354" s="112"/>
      <c r="P1354" s="112"/>
      <c r="Q1354" s="118"/>
    </row>
    <row r="1355" spans="2:17" s="5" customFormat="1" ht="13">
      <c r="B1355" s="84"/>
      <c r="C1355" s="84"/>
      <c r="D1355" s="85"/>
      <c r="E1355" s="85"/>
      <c r="F1355" s="85"/>
      <c r="G1355" s="85"/>
      <c r="H1355" s="85"/>
      <c r="I1355" s="85"/>
      <c r="J1355" s="85"/>
      <c r="K1355" s="85"/>
      <c r="L1355" s="109"/>
      <c r="M1355" s="110"/>
      <c r="N1355" s="111"/>
      <c r="O1355" s="112"/>
      <c r="P1355" s="112"/>
      <c r="Q1355" s="118"/>
    </row>
    <row r="1356" spans="2:17" s="5" customFormat="1" ht="13">
      <c r="B1356" s="84"/>
      <c r="C1356" s="84"/>
      <c r="D1356" s="85"/>
      <c r="E1356" s="85"/>
      <c r="F1356" s="85"/>
      <c r="G1356" s="85"/>
      <c r="H1356" s="85"/>
      <c r="I1356" s="85"/>
      <c r="J1356" s="85"/>
      <c r="K1356" s="85"/>
      <c r="L1356" s="109"/>
      <c r="M1356" s="110"/>
      <c r="N1356" s="111"/>
      <c r="O1356" s="112"/>
      <c r="P1356" s="112"/>
      <c r="Q1356" s="118"/>
    </row>
    <row r="1357" spans="2:17" s="5" customFormat="1" ht="13">
      <c r="B1357" s="84"/>
      <c r="C1357" s="84"/>
      <c r="D1357" s="85"/>
      <c r="E1357" s="85"/>
      <c r="F1357" s="85"/>
      <c r="G1357" s="85"/>
      <c r="H1357" s="85"/>
      <c r="I1357" s="85"/>
      <c r="J1357" s="85"/>
      <c r="K1357" s="85"/>
      <c r="L1357" s="109"/>
      <c r="M1357" s="110"/>
      <c r="N1357" s="111"/>
      <c r="O1357" s="112"/>
      <c r="P1357" s="112"/>
      <c r="Q1357" s="118"/>
    </row>
    <row r="1358" spans="2:17" s="5" customFormat="1" ht="13">
      <c r="B1358" s="84"/>
      <c r="C1358" s="84"/>
      <c r="D1358" s="85"/>
      <c r="E1358" s="85"/>
      <c r="F1358" s="85"/>
      <c r="G1358" s="85"/>
      <c r="H1358" s="85"/>
      <c r="I1358" s="85"/>
      <c r="J1358" s="85"/>
      <c r="K1358" s="85"/>
      <c r="L1358" s="109"/>
      <c r="M1358" s="110"/>
      <c r="N1358" s="111"/>
      <c r="O1358" s="112"/>
      <c r="P1358" s="112"/>
      <c r="Q1358" s="118"/>
    </row>
    <row r="1359" spans="2:17" s="5" customFormat="1" ht="13">
      <c r="B1359" s="84"/>
      <c r="C1359" s="84"/>
      <c r="D1359" s="85"/>
      <c r="E1359" s="85"/>
      <c r="F1359" s="85"/>
      <c r="G1359" s="85"/>
      <c r="H1359" s="85"/>
      <c r="I1359" s="85"/>
      <c r="J1359" s="85"/>
      <c r="K1359" s="85"/>
      <c r="L1359" s="109"/>
      <c r="M1359" s="110"/>
      <c r="N1359" s="111"/>
      <c r="O1359" s="112"/>
      <c r="P1359" s="112"/>
      <c r="Q1359" s="118"/>
    </row>
    <row r="1360" spans="2:17" s="5" customFormat="1" ht="13">
      <c r="B1360" s="84"/>
      <c r="C1360" s="84"/>
      <c r="D1360" s="85"/>
      <c r="E1360" s="85"/>
      <c r="F1360" s="85"/>
      <c r="G1360" s="85"/>
      <c r="H1360" s="85"/>
      <c r="I1360" s="85"/>
      <c r="J1360" s="85"/>
      <c r="K1360" s="85"/>
      <c r="L1360" s="109"/>
      <c r="M1360" s="110"/>
      <c r="N1360" s="111"/>
      <c r="O1360" s="112"/>
      <c r="P1360" s="112"/>
      <c r="Q1360" s="118"/>
    </row>
    <row r="1361" spans="2:17" s="5" customFormat="1" ht="13">
      <c r="B1361" s="84"/>
      <c r="C1361" s="84"/>
      <c r="D1361" s="85"/>
      <c r="E1361" s="85"/>
      <c r="F1361" s="85"/>
      <c r="G1361" s="85"/>
      <c r="H1361" s="85"/>
      <c r="I1361" s="85"/>
      <c r="J1361" s="85"/>
      <c r="K1361" s="85"/>
      <c r="L1361" s="109"/>
      <c r="M1361" s="110"/>
      <c r="N1361" s="111"/>
      <c r="O1361" s="112"/>
      <c r="P1361" s="112"/>
      <c r="Q1361" s="118"/>
    </row>
    <row r="1362" spans="2:17" s="5" customFormat="1" ht="13">
      <c r="B1362" s="84"/>
      <c r="C1362" s="84"/>
      <c r="D1362" s="85"/>
      <c r="E1362" s="85"/>
      <c r="F1362" s="85"/>
      <c r="G1362" s="85"/>
      <c r="H1362" s="85"/>
      <c r="I1362" s="85"/>
      <c r="J1362" s="85"/>
      <c r="K1362" s="85"/>
      <c r="L1362" s="109"/>
      <c r="M1362" s="110"/>
      <c r="N1362" s="111"/>
      <c r="O1362" s="112"/>
      <c r="P1362" s="112"/>
      <c r="Q1362" s="118"/>
    </row>
    <row r="1363" spans="2:17" s="5" customFormat="1" ht="13">
      <c r="B1363" s="84"/>
      <c r="C1363" s="84"/>
      <c r="D1363" s="85"/>
      <c r="E1363" s="85"/>
      <c r="F1363" s="85"/>
      <c r="G1363" s="85"/>
      <c r="H1363" s="85"/>
      <c r="I1363" s="85"/>
      <c r="J1363" s="85"/>
      <c r="K1363" s="85"/>
      <c r="L1363" s="109"/>
      <c r="M1363" s="110"/>
      <c r="N1363" s="111"/>
      <c r="O1363" s="112"/>
      <c r="P1363" s="112"/>
      <c r="Q1363" s="118"/>
    </row>
    <row r="1364" spans="2:17" s="5" customFormat="1" ht="13">
      <c r="B1364" s="84"/>
      <c r="C1364" s="84"/>
      <c r="D1364" s="85"/>
      <c r="E1364" s="85"/>
      <c r="F1364" s="85"/>
      <c r="G1364" s="85"/>
      <c r="H1364" s="85"/>
      <c r="I1364" s="85"/>
      <c r="J1364" s="85"/>
      <c r="K1364" s="85"/>
      <c r="L1364" s="109"/>
      <c r="M1364" s="110"/>
      <c r="N1364" s="111"/>
      <c r="O1364" s="112"/>
      <c r="P1364" s="112"/>
      <c r="Q1364" s="118"/>
    </row>
    <row r="1365" spans="2:17" s="5" customFormat="1" ht="13">
      <c r="B1365" s="84"/>
      <c r="C1365" s="84"/>
      <c r="D1365" s="85"/>
      <c r="E1365" s="85"/>
      <c r="F1365" s="85"/>
      <c r="G1365" s="85"/>
      <c r="H1365" s="85"/>
      <c r="I1365" s="85"/>
      <c r="J1365" s="85"/>
      <c r="K1365" s="85"/>
      <c r="L1365" s="109"/>
      <c r="M1365" s="110"/>
      <c r="N1365" s="111"/>
      <c r="O1365" s="112"/>
      <c r="P1365" s="112"/>
      <c r="Q1365" s="118"/>
    </row>
    <row r="1366" spans="2:17" s="5" customFormat="1" ht="13">
      <c r="B1366" s="84"/>
      <c r="C1366" s="84"/>
      <c r="D1366" s="85"/>
      <c r="E1366" s="85"/>
      <c r="F1366" s="85"/>
      <c r="G1366" s="85"/>
      <c r="H1366" s="85"/>
      <c r="I1366" s="85"/>
      <c r="J1366" s="85"/>
      <c r="K1366" s="85"/>
      <c r="L1366" s="109"/>
      <c r="M1366" s="110"/>
      <c r="N1366" s="111"/>
      <c r="O1366" s="112"/>
      <c r="P1366" s="112"/>
      <c r="Q1366" s="118"/>
    </row>
    <row r="1367" spans="2:17" s="5" customFormat="1" ht="13">
      <c r="B1367" s="84"/>
      <c r="C1367" s="84"/>
      <c r="D1367" s="85"/>
      <c r="E1367" s="85"/>
      <c r="F1367" s="85"/>
      <c r="G1367" s="85"/>
      <c r="H1367" s="85"/>
      <c r="I1367" s="85"/>
      <c r="J1367" s="85"/>
      <c r="K1367" s="85"/>
      <c r="L1367" s="109"/>
      <c r="M1367" s="110"/>
      <c r="N1367" s="111"/>
      <c r="O1367" s="112"/>
      <c r="P1367" s="112"/>
      <c r="Q1367" s="118"/>
    </row>
    <row r="1368" spans="2:17" s="5" customFormat="1" ht="13">
      <c r="B1368" s="84"/>
      <c r="C1368" s="84"/>
      <c r="D1368" s="85"/>
      <c r="E1368" s="85"/>
      <c r="F1368" s="85"/>
      <c r="G1368" s="85"/>
      <c r="H1368" s="85"/>
      <c r="I1368" s="85"/>
      <c r="J1368" s="85"/>
      <c r="K1368" s="85"/>
      <c r="L1368" s="109"/>
      <c r="M1368" s="110"/>
      <c r="N1368" s="111"/>
      <c r="O1368" s="112"/>
      <c r="P1368" s="112"/>
      <c r="Q1368" s="118"/>
    </row>
    <row r="1369" spans="2:17" s="5" customFormat="1" ht="13">
      <c r="B1369" s="84"/>
      <c r="C1369" s="84"/>
      <c r="D1369" s="85"/>
      <c r="E1369" s="85"/>
      <c r="F1369" s="85"/>
      <c r="G1369" s="85"/>
      <c r="H1369" s="85"/>
      <c r="I1369" s="85"/>
      <c r="J1369" s="85"/>
      <c r="K1369" s="85"/>
      <c r="L1369" s="109"/>
      <c r="M1369" s="110"/>
      <c r="N1369" s="111"/>
      <c r="O1369" s="112"/>
      <c r="P1369" s="112"/>
      <c r="Q1369" s="118"/>
    </row>
    <row r="1370" spans="2:17" s="5" customFormat="1" ht="13">
      <c r="B1370" s="84"/>
      <c r="C1370" s="84"/>
      <c r="D1370" s="85"/>
      <c r="E1370" s="85"/>
      <c r="F1370" s="85"/>
      <c r="G1370" s="85"/>
      <c r="H1370" s="85"/>
      <c r="I1370" s="85"/>
      <c r="J1370" s="85"/>
      <c r="K1370" s="85"/>
      <c r="L1370" s="109"/>
      <c r="M1370" s="110"/>
      <c r="N1370" s="111"/>
      <c r="O1370" s="112"/>
      <c r="P1370" s="112"/>
      <c r="Q1370" s="118"/>
    </row>
    <row r="1371" spans="2:17" s="5" customFormat="1" ht="13">
      <c r="B1371" s="84"/>
      <c r="C1371" s="84"/>
      <c r="D1371" s="85"/>
      <c r="E1371" s="85"/>
      <c r="F1371" s="85"/>
      <c r="G1371" s="85"/>
      <c r="H1371" s="85"/>
      <c r="I1371" s="85"/>
      <c r="J1371" s="85"/>
      <c r="K1371" s="85"/>
      <c r="L1371" s="109"/>
      <c r="M1371" s="110"/>
      <c r="N1371" s="111"/>
      <c r="O1371" s="112"/>
      <c r="P1371" s="112"/>
      <c r="Q1371" s="118"/>
    </row>
    <row r="1372" spans="2:17" s="5" customFormat="1" ht="13">
      <c r="B1372" s="84"/>
      <c r="C1372" s="84"/>
      <c r="D1372" s="85"/>
      <c r="E1372" s="85"/>
      <c r="F1372" s="85"/>
      <c r="G1372" s="85"/>
      <c r="H1372" s="85"/>
      <c r="I1372" s="85"/>
      <c r="J1372" s="85"/>
      <c r="K1372" s="85"/>
      <c r="L1372" s="109"/>
      <c r="M1372" s="110"/>
      <c r="N1372" s="111"/>
      <c r="O1372" s="112"/>
      <c r="P1372" s="112"/>
      <c r="Q1372" s="118"/>
    </row>
    <row r="1373" spans="2:17" s="5" customFormat="1" ht="13">
      <c r="B1373" s="84"/>
      <c r="C1373" s="84"/>
      <c r="D1373" s="85"/>
      <c r="E1373" s="85"/>
      <c r="F1373" s="85"/>
      <c r="G1373" s="85"/>
      <c r="H1373" s="85"/>
      <c r="I1373" s="85"/>
      <c r="J1373" s="85"/>
      <c r="K1373" s="85"/>
      <c r="L1373" s="109"/>
      <c r="M1373" s="110"/>
      <c r="N1373" s="111"/>
      <c r="O1373" s="112"/>
      <c r="P1373" s="112"/>
      <c r="Q1373" s="118"/>
    </row>
    <row r="1374" spans="2:17" s="5" customFormat="1" ht="13">
      <c r="B1374" s="84"/>
      <c r="C1374" s="84"/>
      <c r="D1374" s="85"/>
      <c r="E1374" s="85"/>
      <c r="F1374" s="85"/>
      <c r="G1374" s="85"/>
      <c r="H1374" s="85"/>
      <c r="I1374" s="85"/>
      <c r="J1374" s="85"/>
      <c r="K1374" s="85"/>
      <c r="L1374" s="109"/>
      <c r="M1374" s="110"/>
      <c r="N1374" s="111"/>
      <c r="O1374" s="112"/>
      <c r="P1374" s="112"/>
      <c r="Q1374" s="118"/>
    </row>
    <row r="1375" spans="2:17" s="5" customFormat="1" ht="13">
      <c r="B1375" s="84"/>
      <c r="C1375" s="84"/>
      <c r="D1375" s="85"/>
      <c r="E1375" s="85"/>
      <c r="F1375" s="85"/>
      <c r="G1375" s="85"/>
      <c r="H1375" s="85"/>
      <c r="I1375" s="85"/>
      <c r="J1375" s="85"/>
      <c r="K1375" s="85"/>
      <c r="L1375" s="109"/>
      <c r="M1375" s="110"/>
      <c r="N1375" s="111"/>
      <c r="O1375" s="112"/>
      <c r="P1375" s="112"/>
      <c r="Q1375" s="118"/>
    </row>
    <row r="1376" spans="2:17" s="5" customFormat="1" ht="13">
      <c r="B1376" s="84"/>
      <c r="C1376" s="84"/>
      <c r="D1376" s="85"/>
      <c r="E1376" s="85"/>
      <c r="F1376" s="85"/>
      <c r="G1376" s="85"/>
      <c r="H1376" s="85"/>
      <c r="I1376" s="85"/>
      <c r="J1376" s="85"/>
      <c r="K1376" s="85"/>
      <c r="L1376" s="109"/>
      <c r="M1376" s="110"/>
      <c r="N1376" s="111"/>
      <c r="O1376" s="112"/>
      <c r="P1376" s="112"/>
      <c r="Q1376" s="118"/>
    </row>
    <row r="1377" spans="2:17" s="5" customFormat="1" ht="13">
      <c r="B1377" s="84"/>
      <c r="C1377" s="84"/>
      <c r="D1377" s="85"/>
      <c r="E1377" s="85"/>
      <c r="F1377" s="85"/>
      <c r="G1377" s="85"/>
      <c r="H1377" s="85"/>
      <c r="I1377" s="85"/>
      <c r="J1377" s="85"/>
      <c r="K1377" s="85"/>
      <c r="L1377" s="109"/>
      <c r="M1377" s="110"/>
      <c r="N1377" s="111"/>
      <c r="O1377" s="112"/>
      <c r="P1377" s="112"/>
      <c r="Q1377" s="118"/>
    </row>
    <row r="1378" spans="2:17" s="5" customFormat="1" ht="13">
      <c r="B1378" s="84"/>
      <c r="C1378" s="84"/>
      <c r="D1378" s="85"/>
      <c r="E1378" s="85"/>
      <c r="F1378" s="85"/>
      <c r="G1378" s="85"/>
      <c r="H1378" s="85"/>
      <c r="I1378" s="85"/>
      <c r="J1378" s="85"/>
      <c r="K1378" s="85"/>
      <c r="L1378" s="109"/>
      <c r="M1378" s="110"/>
      <c r="N1378" s="111"/>
      <c r="O1378" s="112"/>
      <c r="P1378" s="112"/>
      <c r="Q1378" s="118"/>
    </row>
    <row r="1379" spans="2:17" s="5" customFormat="1" ht="13">
      <c r="B1379" s="84"/>
      <c r="C1379" s="84"/>
      <c r="D1379" s="85"/>
      <c r="E1379" s="85"/>
      <c r="F1379" s="85"/>
      <c r="G1379" s="85"/>
      <c r="H1379" s="85"/>
      <c r="I1379" s="85"/>
      <c r="J1379" s="85"/>
      <c r="K1379" s="85"/>
      <c r="L1379" s="109"/>
      <c r="M1379" s="110"/>
      <c r="N1379" s="111"/>
      <c r="O1379" s="112"/>
      <c r="P1379" s="112"/>
      <c r="Q1379" s="118"/>
    </row>
    <row r="1380" spans="2:17" s="5" customFormat="1" ht="13">
      <c r="B1380" s="84"/>
      <c r="C1380" s="84"/>
      <c r="D1380" s="85"/>
      <c r="E1380" s="85"/>
      <c r="F1380" s="85"/>
      <c r="G1380" s="85"/>
      <c r="H1380" s="85"/>
      <c r="I1380" s="85"/>
      <c r="J1380" s="85"/>
      <c r="K1380" s="85"/>
      <c r="L1380" s="109"/>
      <c r="M1380" s="110"/>
      <c r="N1380" s="111"/>
      <c r="O1380" s="112"/>
      <c r="P1380" s="112"/>
      <c r="Q1380" s="118"/>
    </row>
    <row r="1381" spans="2:17" s="5" customFormat="1" ht="13">
      <c r="B1381" s="84"/>
      <c r="C1381" s="84"/>
      <c r="D1381" s="85"/>
      <c r="E1381" s="85"/>
      <c r="F1381" s="85"/>
      <c r="G1381" s="85"/>
      <c r="H1381" s="85"/>
      <c r="I1381" s="85"/>
      <c r="J1381" s="85"/>
      <c r="K1381" s="85"/>
      <c r="L1381" s="109"/>
      <c r="M1381" s="110"/>
      <c r="N1381" s="111"/>
      <c r="O1381" s="112"/>
      <c r="P1381" s="112"/>
      <c r="Q1381" s="118"/>
    </row>
    <row r="1382" spans="2:17" s="5" customFormat="1" ht="13">
      <c r="B1382" s="84"/>
      <c r="C1382" s="84"/>
      <c r="D1382" s="85"/>
      <c r="E1382" s="85"/>
      <c r="F1382" s="85"/>
      <c r="G1382" s="85"/>
      <c r="H1382" s="85"/>
      <c r="I1382" s="85"/>
      <c r="J1382" s="85"/>
      <c r="K1382" s="85"/>
      <c r="L1382" s="109"/>
      <c r="M1382" s="110"/>
      <c r="N1382" s="111"/>
      <c r="O1382" s="112"/>
      <c r="P1382" s="112"/>
      <c r="Q1382" s="118"/>
    </row>
    <row r="1383" spans="2:17" s="5" customFormat="1" ht="13">
      <c r="B1383" s="84"/>
      <c r="C1383" s="84"/>
      <c r="D1383" s="85"/>
      <c r="E1383" s="85"/>
      <c r="F1383" s="85"/>
      <c r="G1383" s="85"/>
      <c r="H1383" s="85"/>
      <c r="I1383" s="85"/>
      <c r="J1383" s="85"/>
      <c r="K1383" s="85"/>
      <c r="L1383" s="109"/>
      <c r="M1383" s="110"/>
      <c r="N1383" s="111"/>
      <c r="O1383" s="112"/>
      <c r="P1383" s="112"/>
      <c r="Q1383" s="118"/>
    </row>
    <row r="1384" spans="2:17" s="5" customFormat="1" ht="13">
      <c r="B1384" s="84"/>
      <c r="C1384" s="84"/>
      <c r="D1384" s="85"/>
      <c r="E1384" s="85"/>
      <c r="F1384" s="85"/>
      <c r="G1384" s="85"/>
      <c r="H1384" s="85"/>
      <c r="I1384" s="85"/>
      <c r="J1384" s="85"/>
      <c r="K1384" s="85"/>
      <c r="L1384" s="109"/>
      <c r="M1384" s="110"/>
      <c r="N1384" s="111"/>
      <c r="O1384" s="112"/>
      <c r="P1384" s="112"/>
      <c r="Q1384" s="118"/>
    </row>
    <row r="1385" spans="2:17" s="5" customFormat="1" ht="13">
      <c r="B1385" s="84"/>
      <c r="C1385" s="84"/>
      <c r="D1385" s="85"/>
      <c r="E1385" s="85"/>
      <c r="F1385" s="85"/>
      <c r="G1385" s="85"/>
      <c r="H1385" s="85"/>
      <c r="I1385" s="85"/>
      <c r="J1385" s="85"/>
      <c r="K1385" s="85"/>
      <c r="L1385" s="109"/>
      <c r="M1385" s="110"/>
      <c r="N1385" s="111"/>
      <c r="O1385" s="112"/>
      <c r="P1385" s="112"/>
      <c r="Q1385" s="118"/>
    </row>
    <row r="1386" spans="2:17" s="5" customFormat="1" ht="13">
      <c r="B1386" s="84"/>
      <c r="C1386" s="84"/>
      <c r="D1386" s="85"/>
      <c r="E1386" s="85"/>
      <c r="F1386" s="85"/>
      <c r="G1386" s="85"/>
      <c r="H1386" s="85"/>
      <c r="I1386" s="85"/>
      <c r="J1386" s="85"/>
      <c r="K1386" s="85"/>
      <c r="L1386" s="109"/>
      <c r="M1386" s="110"/>
      <c r="N1386" s="111"/>
      <c r="O1386" s="112"/>
      <c r="P1386" s="112"/>
      <c r="Q1386" s="118"/>
    </row>
    <row r="1387" spans="2:17" s="5" customFormat="1" ht="13">
      <c r="B1387" s="84"/>
      <c r="C1387" s="84"/>
      <c r="D1387" s="85"/>
      <c r="E1387" s="85"/>
      <c r="F1387" s="85"/>
      <c r="G1387" s="85"/>
      <c r="H1387" s="85"/>
      <c r="I1387" s="85"/>
      <c r="J1387" s="85"/>
      <c r="K1387" s="85"/>
      <c r="L1387" s="109"/>
      <c r="M1387" s="110"/>
      <c r="N1387" s="111"/>
      <c r="O1387" s="112"/>
      <c r="P1387" s="112"/>
      <c r="Q1387" s="118"/>
    </row>
    <row r="1388" spans="2:17" s="5" customFormat="1" ht="13">
      <c r="B1388" s="84"/>
      <c r="C1388" s="84"/>
      <c r="D1388" s="85"/>
      <c r="E1388" s="85"/>
      <c r="F1388" s="85"/>
      <c r="G1388" s="85"/>
      <c r="H1388" s="85"/>
      <c r="I1388" s="85"/>
      <c r="J1388" s="85"/>
      <c r="K1388" s="85"/>
      <c r="L1388" s="109"/>
      <c r="M1388" s="110"/>
      <c r="N1388" s="111"/>
      <c r="O1388" s="112"/>
      <c r="P1388" s="112"/>
      <c r="Q1388" s="118"/>
    </row>
    <row r="1389" spans="2:17" s="5" customFormat="1" ht="13">
      <c r="B1389" s="84"/>
      <c r="C1389" s="84"/>
      <c r="D1389" s="85"/>
      <c r="E1389" s="85"/>
      <c r="F1389" s="85"/>
      <c r="G1389" s="85"/>
      <c r="H1389" s="85"/>
      <c r="I1389" s="85"/>
      <c r="J1389" s="85"/>
      <c r="K1389" s="85"/>
      <c r="L1389" s="109"/>
      <c r="M1389" s="110"/>
      <c r="N1389" s="111"/>
      <c r="O1389" s="112"/>
      <c r="P1389" s="112"/>
      <c r="Q1389" s="118"/>
    </row>
    <row r="1390" spans="2:17" s="5" customFormat="1" ht="13">
      <c r="B1390" s="84"/>
      <c r="C1390" s="84"/>
      <c r="D1390" s="85"/>
      <c r="E1390" s="85"/>
      <c r="F1390" s="85"/>
      <c r="G1390" s="85"/>
      <c r="H1390" s="85"/>
      <c r="I1390" s="85"/>
      <c r="J1390" s="85"/>
      <c r="K1390" s="85"/>
      <c r="L1390" s="109"/>
      <c r="M1390" s="110"/>
      <c r="N1390" s="111"/>
      <c r="O1390" s="112"/>
      <c r="P1390" s="112"/>
      <c r="Q1390" s="118"/>
    </row>
    <row r="1391" spans="2:17" s="5" customFormat="1" ht="13">
      <c r="B1391" s="84"/>
      <c r="C1391" s="84"/>
      <c r="D1391" s="85"/>
      <c r="E1391" s="85"/>
      <c r="F1391" s="85"/>
      <c r="G1391" s="85"/>
      <c r="H1391" s="85"/>
      <c r="I1391" s="85"/>
      <c r="J1391" s="85"/>
      <c r="K1391" s="85"/>
      <c r="L1391" s="109"/>
      <c r="M1391" s="110"/>
      <c r="N1391" s="111"/>
      <c r="O1391" s="112"/>
      <c r="P1391" s="112"/>
      <c r="Q1391" s="118"/>
    </row>
    <row r="1392" spans="2:17" s="5" customFormat="1" ht="13">
      <c r="B1392" s="84"/>
      <c r="C1392" s="84"/>
      <c r="D1392" s="85"/>
      <c r="E1392" s="85"/>
      <c r="F1392" s="85"/>
      <c r="G1392" s="85"/>
      <c r="H1392" s="85"/>
      <c r="I1392" s="85"/>
      <c r="J1392" s="85"/>
      <c r="K1392" s="85"/>
      <c r="L1392" s="109"/>
      <c r="M1392" s="110"/>
      <c r="N1392" s="111"/>
      <c r="O1392" s="112"/>
      <c r="P1392" s="112"/>
      <c r="Q1392" s="118"/>
    </row>
    <row r="1393" spans="2:17" s="5" customFormat="1" ht="13">
      <c r="B1393" s="84"/>
      <c r="C1393" s="84"/>
      <c r="D1393" s="85"/>
      <c r="E1393" s="85"/>
      <c r="F1393" s="85"/>
      <c r="G1393" s="85"/>
      <c r="H1393" s="85"/>
      <c r="I1393" s="85"/>
      <c r="J1393" s="85"/>
      <c r="K1393" s="85"/>
      <c r="L1393" s="109"/>
      <c r="M1393" s="110"/>
      <c r="N1393" s="111"/>
      <c r="O1393" s="112"/>
      <c r="P1393" s="112"/>
      <c r="Q1393" s="118"/>
    </row>
    <row r="1394" spans="2:17" s="5" customFormat="1" ht="13">
      <c r="B1394" s="84"/>
      <c r="C1394" s="84"/>
      <c r="D1394" s="85"/>
      <c r="E1394" s="85"/>
      <c r="F1394" s="85"/>
      <c r="G1394" s="85"/>
      <c r="H1394" s="85"/>
      <c r="I1394" s="85"/>
      <c r="J1394" s="85"/>
      <c r="K1394" s="85"/>
      <c r="L1394" s="109"/>
      <c r="M1394" s="110"/>
      <c r="N1394" s="111"/>
      <c r="O1394" s="112"/>
      <c r="P1394" s="112"/>
      <c r="Q1394" s="118"/>
    </row>
    <row r="1395" spans="2:17" s="5" customFormat="1" ht="13">
      <c r="B1395" s="84"/>
      <c r="C1395" s="84"/>
      <c r="D1395" s="85"/>
      <c r="E1395" s="85"/>
      <c r="F1395" s="85"/>
      <c r="G1395" s="85"/>
      <c r="H1395" s="85"/>
      <c r="I1395" s="85"/>
      <c r="J1395" s="85"/>
      <c r="K1395" s="85"/>
      <c r="L1395" s="109"/>
      <c r="M1395" s="110"/>
      <c r="N1395" s="111"/>
      <c r="O1395" s="112"/>
      <c r="P1395" s="112"/>
      <c r="Q1395" s="118"/>
    </row>
    <row r="1396" spans="2:17" s="5" customFormat="1" ht="13">
      <c r="B1396" s="84"/>
      <c r="C1396" s="84"/>
      <c r="D1396" s="85"/>
      <c r="E1396" s="85"/>
      <c r="F1396" s="85"/>
      <c r="G1396" s="85"/>
      <c r="H1396" s="85"/>
      <c r="I1396" s="85"/>
      <c r="J1396" s="85"/>
      <c r="K1396" s="85"/>
      <c r="L1396" s="109"/>
      <c r="M1396" s="110"/>
      <c r="N1396" s="111"/>
      <c r="O1396" s="112"/>
      <c r="P1396" s="112"/>
      <c r="Q1396" s="118"/>
    </row>
    <row r="1397" spans="2:17" s="5" customFormat="1" ht="13">
      <c r="B1397" s="84"/>
      <c r="C1397" s="84"/>
      <c r="D1397" s="85"/>
      <c r="E1397" s="85"/>
      <c r="F1397" s="85"/>
      <c r="G1397" s="85"/>
      <c r="H1397" s="85"/>
      <c r="I1397" s="85"/>
      <c r="J1397" s="85"/>
      <c r="K1397" s="85"/>
      <c r="L1397" s="109"/>
      <c r="M1397" s="110"/>
      <c r="N1397" s="111"/>
      <c r="O1397" s="112"/>
      <c r="P1397" s="112"/>
      <c r="Q1397" s="118"/>
    </row>
    <row r="1398" spans="2:17" s="5" customFormat="1" ht="13">
      <c r="B1398" s="84"/>
      <c r="C1398" s="84"/>
      <c r="D1398" s="85"/>
      <c r="E1398" s="85"/>
      <c r="F1398" s="85"/>
      <c r="G1398" s="85"/>
      <c r="H1398" s="85"/>
      <c r="I1398" s="85"/>
      <c r="J1398" s="85"/>
      <c r="K1398" s="85"/>
      <c r="L1398" s="109"/>
      <c r="M1398" s="110"/>
      <c r="N1398" s="111"/>
      <c r="O1398" s="112"/>
      <c r="P1398" s="112"/>
      <c r="Q1398" s="118"/>
    </row>
    <row r="1399" spans="2:17" s="5" customFormat="1" ht="13">
      <c r="B1399" s="84"/>
      <c r="C1399" s="84"/>
      <c r="D1399" s="85"/>
      <c r="E1399" s="85"/>
      <c r="F1399" s="85"/>
      <c r="G1399" s="85"/>
      <c r="H1399" s="85"/>
      <c r="I1399" s="85"/>
      <c r="J1399" s="85"/>
      <c r="K1399" s="85"/>
      <c r="L1399" s="109"/>
      <c r="M1399" s="110"/>
      <c r="N1399" s="111"/>
      <c r="O1399" s="112"/>
      <c r="P1399" s="112"/>
      <c r="Q1399" s="118"/>
    </row>
    <row r="1400" spans="2:17" s="5" customFormat="1" ht="13">
      <c r="B1400" s="84"/>
      <c r="C1400" s="84"/>
      <c r="D1400" s="85"/>
      <c r="E1400" s="85"/>
      <c r="F1400" s="85"/>
      <c r="G1400" s="85"/>
      <c r="H1400" s="85"/>
      <c r="I1400" s="85"/>
      <c r="J1400" s="85"/>
      <c r="K1400" s="85"/>
      <c r="L1400" s="109"/>
      <c r="M1400" s="110"/>
      <c r="N1400" s="111"/>
      <c r="O1400" s="112"/>
      <c r="P1400" s="112"/>
      <c r="Q1400" s="118"/>
    </row>
    <row r="1401" spans="2:17" s="5" customFormat="1" ht="13">
      <c r="B1401" s="84"/>
      <c r="C1401" s="84"/>
      <c r="D1401" s="85"/>
      <c r="E1401" s="85"/>
      <c r="F1401" s="85"/>
      <c r="G1401" s="85"/>
      <c r="H1401" s="85"/>
      <c r="I1401" s="85"/>
      <c r="J1401" s="85"/>
      <c r="K1401" s="85"/>
      <c r="L1401" s="109"/>
      <c r="M1401" s="110"/>
      <c r="N1401" s="111"/>
      <c r="O1401" s="112"/>
      <c r="P1401" s="112"/>
      <c r="Q1401" s="118"/>
    </row>
    <row r="1402" spans="2:17" s="5" customFormat="1" ht="13">
      <c r="B1402" s="84"/>
      <c r="C1402" s="84"/>
      <c r="D1402" s="85"/>
      <c r="E1402" s="85"/>
      <c r="F1402" s="85"/>
      <c r="G1402" s="85"/>
      <c r="H1402" s="85"/>
      <c r="I1402" s="85"/>
      <c r="J1402" s="85"/>
      <c r="K1402" s="85"/>
      <c r="L1402" s="109"/>
      <c r="M1402" s="110"/>
      <c r="N1402" s="111"/>
      <c r="O1402" s="112"/>
      <c r="P1402" s="112"/>
      <c r="Q1402" s="118"/>
    </row>
    <row r="1403" spans="2:17" s="5" customFormat="1" ht="13">
      <c r="B1403" s="84"/>
      <c r="C1403" s="84"/>
      <c r="D1403" s="85"/>
      <c r="E1403" s="85"/>
      <c r="F1403" s="85"/>
      <c r="G1403" s="85"/>
      <c r="H1403" s="85"/>
      <c r="I1403" s="85"/>
      <c r="J1403" s="85"/>
      <c r="K1403" s="85"/>
      <c r="L1403" s="109"/>
      <c r="M1403" s="110"/>
      <c r="N1403" s="111"/>
      <c r="O1403" s="112"/>
      <c r="P1403" s="112"/>
      <c r="Q1403" s="118"/>
    </row>
    <row r="1404" spans="2:17" s="5" customFormat="1" ht="13">
      <c r="B1404" s="84"/>
      <c r="C1404" s="84"/>
      <c r="D1404" s="85"/>
      <c r="E1404" s="85"/>
      <c r="F1404" s="85"/>
      <c r="G1404" s="85"/>
      <c r="H1404" s="85"/>
      <c r="I1404" s="85"/>
      <c r="J1404" s="85"/>
      <c r="K1404" s="85"/>
      <c r="L1404" s="109"/>
      <c r="M1404" s="110"/>
      <c r="N1404" s="111"/>
      <c r="O1404" s="112"/>
      <c r="P1404" s="112"/>
      <c r="Q1404" s="118"/>
    </row>
    <row r="1405" spans="2:17" s="5" customFormat="1" ht="13">
      <c r="B1405" s="84"/>
      <c r="C1405" s="84"/>
      <c r="D1405" s="85"/>
      <c r="E1405" s="85"/>
      <c r="F1405" s="85"/>
      <c r="G1405" s="85"/>
      <c r="H1405" s="85"/>
      <c r="I1405" s="85"/>
      <c r="J1405" s="85"/>
      <c r="K1405" s="85"/>
      <c r="L1405" s="109"/>
      <c r="M1405" s="110"/>
      <c r="N1405" s="111"/>
      <c r="O1405" s="112"/>
      <c r="P1405" s="112"/>
      <c r="Q1405" s="118"/>
    </row>
    <row r="1406" spans="2:17" s="5" customFormat="1" ht="13">
      <c r="B1406" s="84"/>
      <c r="C1406" s="84"/>
      <c r="D1406" s="85"/>
      <c r="E1406" s="85"/>
      <c r="F1406" s="85"/>
      <c r="G1406" s="85"/>
      <c r="H1406" s="85"/>
      <c r="I1406" s="85"/>
      <c r="J1406" s="85"/>
      <c r="K1406" s="85"/>
      <c r="L1406" s="109"/>
      <c r="M1406" s="110"/>
      <c r="N1406" s="111"/>
      <c r="O1406" s="112"/>
      <c r="P1406" s="112"/>
      <c r="Q1406" s="118"/>
    </row>
    <row r="1407" spans="2:17" s="5" customFormat="1" ht="13">
      <c r="B1407" s="84"/>
      <c r="C1407" s="84"/>
      <c r="D1407" s="85"/>
      <c r="E1407" s="85"/>
      <c r="F1407" s="85"/>
      <c r="G1407" s="85"/>
      <c r="H1407" s="85"/>
      <c r="I1407" s="85"/>
      <c r="J1407" s="85"/>
      <c r="K1407" s="85"/>
      <c r="L1407" s="109"/>
      <c r="M1407" s="110"/>
      <c r="N1407" s="111"/>
      <c r="O1407" s="112"/>
      <c r="P1407" s="112"/>
      <c r="Q1407" s="118"/>
    </row>
    <row r="1408" spans="2:17" s="5" customFormat="1" ht="13">
      <c r="B1408" s="84"/>
      <c r="C1408" s="84"/>
      <c r="D1408" s="85"/>
      <c r="E1408" s="85"/>
      <c r="F1408" s="85"/>
      <c r="G1408" s="85"/>
      <c r="H1408" s="85"/>
      <c r="I1408" s="85"/>
      <c r="J1408" s="85"/>
      <c r="K1408" s="85"/>
      <c r="L1408" s="109"/>
      <c r="M1408" s="110"/>
      <c r="N1408" s="111"/>
      <c r="O1408" s="112"/>
      <c r="P1408" s="112"/>
      <c r="Q1408" s="118"/>
    </row>
    <row r="1409" spans="2:17" s="5" customFormat="1" ht="13">
      <c r="B1409" s="84"/>
      <c r="C1409" s="84"/>
      <c r="D1409" s="85"/>
      <c r="E1409" s="85"/>
      <c r="F1409" s="85"/>
      <c r="G1409" s="85"/>
      <c r="H1409" s="85"/>
      <c r="I1409" s="85"/>
      <c r="J1409" s="85"/>
      <c r="K1409" s="85"/>
      <c r="L1409" s="109"/>
      <c r="M1409" s="110"/>
      <c r="N1409" s="111"/>
      <c r="O1409" s="112"/>
      <c r="P1409" s="112"/>
      <c r="Q1409" s="118"/>
    </row>
    <row r="1410" spans="2:17" s="5" customFormat="1" ht="13">
      <c r="B1410" s="84"/>
      <c r="C1410" s="84"/>
      <c r="D1410" s="85"/>
      <c r="E1410" s="85"/>
      <c r="F1410" s="85"/>
      <c r="G1410" s="85"/>
      <c r="H1410" s="85"/>
      <c r="I1410" s="85"/>
      <c r="J1410" s="85"/>
      <c r="K1410" s="85"/>
      <c r="L1410" s="109"/>
      <c r="M1410" s="110"/>
      <c r="N1410" s="111"/>
      <c r="O1410" s="112"/>
      <c r="P1410" s="112"/>
      <c r="Q1410" s="118"/>
    </row>
    <row r="1411" spans="2:17" s="5" customFormat="1" ht="13">
      <c r="B1411" s="84"/>
      <c r="C1411" s="84"/>
      <c r="D1411" s="85"/>
      <c r="E1411" s="85"/>
      <c r="F1411" s="85"/>
      <c r="G1411" s="85"/>
      <c r="H1411" s="85"/>
      <c r="I1411" s="85"/>
      <c r="J1411" s="85"/>
      <c r="K1411" s="85"/>
      <c r="L1411" s="109"/>
      <c r="M1411" s="110"/>
      <c r="N1411" s="111"/>
      <c r="O1411" s="112"/>
      <c r="P1411" s="112"/>
      <c r="Q1411" s="118"/>
    </row>
    <row r="1412" spans="2:17" s="5" customFormat="1" ht="13">
      <c r="B1412" s="84"/>
      <c r="C1412" s="84"/>
      <c r="D1412" s="85"/>
      <c r="E1412" s="85"/>
      <c r="F1412" s="85"/>
      <c r="G1412" s="85"/>
      <c r="H1412" s="85"/>
      <c r="I1412" s="85"/>
      <c r="J1412" s="85"/>
      <c r="K1412" s="85"/>
      <c r="L1412" s="109"/>
      <c r="M1412" s="110"/>
      <c r="N1412" s="111"/>
      <c r="O1412" s="112"/>
      <c r="P1412" s="112"/>
      <c r="Q1412" s="118"/>
    </row>
    <row r="1413" spans="2:17" s="5" customFormat="1" ht="13">
      <c r="B1413" s="84"/>
      <c r="C1413" s="84"/>
      <c r="D1413" s="85"/>
      <c r="E1413" s="85"/>
      <c r="F1413" s="85"/>
      <c r="G1413" s="85"/>
      <c r="H1413" s="85"/>
      <c r="I1413" s="85"/>
      <c r="J1413" s="85"/>
      <c r="K1413" s="85"/>
      <c r="L1413" s="109"/>
      <c r="M1413" s="110"/>
      <c r="N1413" s="111"/>
      <c r="O1413" s="112"/>
      <c r="P1413" s="112"/>
      <c r="Q1413" s="118"/>
    </row>
    <row r="1414" spans="2:17" s="5" customFormat="1" ht="13">
      <c r="B1414" s="84"/>
      <c r="C1414" s="84"/>
      <c r="D1414" s="85"/>
      <c r="E1414" s="85"/>
      <c r="F1414" s="85"/>
      <c r="G1414" s="85"/>
      <c r="H1414" s="85"/>
      <c r="I1414" s="85"/>
      <c r="J1414" s="85"/>
      <c r="K1414" s="85"/>
      <c r="L1414" s="109"/>
      <c r="M1414" s="110"/>
      <c r="N1414" s="111"/>
      <c r="O1414" s="112"/>
      <c r="P1414" s="112"/>
      <c r="Q1414" s="118"/>
    </row>
    <row r="1415" spans="2:17" s="5" customFormat="1" ht="13">
      <c r="B1415" s="84"/>
      <c r="C1415" s="84"/>
      <c r="D1415" s="85"/>
      <c r="E1415" s="85"/>
      <c r="F1415" s="85"/>
      <c r="G1415" s="85"/>
      <c r="H1415" s="85"/>
      <c r="I1415" s="85"/>
      <c r="J1415" s="85"/>
      <c r="K1415" s="85"/>
      <c r="L1415" s="109"/>
      <c r="M1415" s="110"/>
      <c r="N1415" s="111"/>
      <c r="O1415" s="112"/>
      <c r="P1415" s="112"/>
      <c r="Q1415" s="118"/>
    </row>
    <row r="1416" spans="2:17" s="5" customFormat="1" ht="13">
      <c r="B1416" s="84"/>
      <c r="C1416" s="84"/>
      <c r="D1416" s="85"/>
      <c r="E1416" s="85"/>
      <c r="F1416" s="85"/>
      <c r="G1416" s="85"/>
      <c r="H1416" s="85"/>
      <c r="I1416" s="85"/>
      <c r="J1416" s="85"/>
      <c r="K1416" s="85"/>
      <c r="L1416" s="109"/>
      <c r="M1416" s="110"/>
      <c r="N1416" s="111"/>
      <c r="O1416" s="112"/>
      <c r="P1416" s="112"/>
      <c r="Q1416" s="118"/>
    </row>
    <row r="1417" spans="2:17" s="5" customFormat="1" ht="13">
      <c r="B1417" s="84"/>
      <c r="C1417" s="84"/>
      <c r="D1417" s="85"/>
      <c r="E1417" s="85"/>
      <c r="F1417" s="85"/>
      <c r="G1417" s="85"/>
      <c r="H1417" s="85"/>
      <c r="I1417" s="85"/>
      <c r="J1417" s="85"/>
      <c r="K1417" s="85"/>
      <c r="L1417" s="109"/>
      <c r="M1417" s="110"/>
      <c r="N1417" s="111"/>
      <c r="O1417" s="112"/>
      <c r="P1417" s="112"/>
      <c r="Q1417" s="118"/>
    </row>
    <row r="1418" spans="2:17" s="5" customFormat="1" ht="13">
      <c r="B1418" s="84"/>
      <c r="C1418" s="84"/>
      <c r="D1418" s="85"/>
      <c r="E1418" s="85"/>
      <c r="F1418" s="85"/>
      <c r="G1418" s="85"/>
      <c r="H1418" s="85"/>
      <c r="I1418" s="85"/>
      <c r="J1418" s="85"/>
      <c r="K1418" s="85"/>
      <c r="L1418" s="109"/>
      <c r="M1418" s="110"/>
      <c r="N1418" s="111"/>
      <c r="O1418" s="112"/>
      <c r="P1418" s="112"/>
      <c r="Q1418" s="118"/>
    </row>
    <row r="1419" spans="2:17" s="5" customFormat="1" ht="13">
      <c r="B1419" s="84"/>
      <c r="C1419" s="84"/>
      <c r="D1419" s="85"/>
      <c r="E1419" s="85"/>
      <c r="F1419" s="85"/>
      <c r="G1419" s="85"/>
      <c r="H1419" s="85"/>
      <c r="I1419" s="85"/>
      <c r="J1419" s="85"/>
      <c r="K1419" s="85"/>
      <c r="L1419" s="109"/>
      <c r="M1419" s="110"/>
      <c r="N1419" s="111"/>
      <c r="O1419" s="112"/>
      <c r="P1419" s="112"/>
      <c r="Q1419" s="118"/>
    </row>
    <row r="1420" spans="2:17" s="5" customFormat="1" ht="13">
      <c r="B1420" s="84"/>
      <c r="C1420" s="84"/>
      <c r="D1420" s="85"/>
      <c r="E1420" s="85"/>
      <c r="F1420" s="85"/>
      <c r="G1420" s="85"/>
      <c r="H1420" s="85"/>
      <c r="I1420" s="85"/>
      <c r="J1420" s="85"/>
      <c r="K1420" s="85"/>
      <c r="L1420" s="109"/>
      <c r="M1420" s="110"/>
      <c r="N1420" s="111"/>
      <c r="O1420" s="112"/>
      <c r="P1420" s="112"/>
      <c r="Q1420" s="118"/>
    </row>
    <row r="1421" spans="2:17" s="5" customFormat="1" ht="13">
      <c r="B1421" s="84"/>
      <c r="C1421" s="84"/>
      <c r="D1421" s="85"/>
      <c r="E1421" s="85"/>
      <c r="F1421" s="85"/>
      <c r="G1421" s="85"/>
      <c r="H1421" s="85"/>
      <c r="I1421" s="85"/>
      <c r="J1421" s="85"/>
      <c r="K1421" s="85"/>
      <c r="L1421" s="109"/>
      <c r="M1421" s="110"/>
      <c r="N1421" s="111"/>
      <c r="O1421" s="112"/>
      <c r="P1421" s="112"/>
      <c r="Q1421" s="118"/>
    </row>
    <row r="1422" spans="2:17" s="5" customFormat="1" ht="13">
      <c r="B1422" s="84"/>
      <c r="C1422" s="84"/>
      <c r="D1422" s="85"/>
      <c r="E1422" s="85"/>
      <c r="F1422" s="85"/>
      <c r="G1422" s="85"/>
      <c r="H1422" s="85"/>
      <c r="I1422" s="85"/>
      <c r="J1422" s="85"/>
      <c r="K1422" s="85"/>
      <c r="L1422" s="109"/>
      <c r="M1422" s="110"/>
      <c r="N1422" s="111"/>
      <c r="O1422" s="112"/>
      <c r="P1422" s="112"/>
      <c r="Q1422" s="118"/>
    </row>
    <row r="1423" spans="2:17" s="5" customFormat="1" ht="13">
      <c r="B1423" s="84"/>
      <c r="C1423" s="84"/>
      <c r="D1423" s="85"/>
      <c r="E1423" s="85"/>
      <c r="F1423" s="85"/>
      <c r="G1423" s="85"/>
      <c r="H1423" s="85"/>
      <c r="I1423" s="85"/>
      <c r="J1423" s="85"/>
      <c r="K1423" s="85"/>
      <c r="L1423" s="109"/>
      <c r="M1423" s="110"/>
      <c r="N1423" s="111"/>
      <c r="O1423" s="112"/>
      <c r="P1423" s="112"/>
      <c r="Q1423" s="118"/>
    </row>
    <row r="1424" spans="2:17" s="5" customFormat="1" ht="13">
      <c r="B1424" s="84"/>
      <c r="C1424" s="84"/>
      <c r="D1424" s="85"/>
      <c r="E1424" s="85"/>
      <c r="F1424" s="85"/>
      <c r="G1424" s="85"/>
      <c r="H1424" s="85"/>
      <c r="I1424" s="85"/>
      <c r="J1424" s="85"/>
      <c r="K1424" s="85"/>
      <c r="L1424" s="109"/>
      <c r="M1424" s="110"/>
      <c r="N1424" s="111"/>
      <c r="O1424" s="112"/>
      <c r="P1424" s="112"/>
      <c r="Q1424" s="118"/>
    </row>
    <row r="1425" spans="2:17" s="5" customFormat="1" ht="13">
      <c r="B1425" s="84"/>
      <c r="C1425" s="84"/>
      <c r="D1425" s="85"/>
      <c r="E1425" s="85"/>
      <c r="F1425" s="85"/>
      <c r="G1425" s="85"/>
      <c r="H1425" s="85"/>
      <c r="I1425" s="85"/>
      <c r="J1425" s="85"/>
      <c r="K1425" s="85"/>
      <c r="L1425" s="109"/>
      <c r="M1425" s="110"/>
      <c r="N1425" s="111"/>
      <c r="O1425" s="112"/>
      <c r="P1425" s="112"/>
      <c r="Q1425" s="118"/>
    </row>
    <row r="1426" spans="2:17" s="5" customFormat="1" ht="13">
      <c r="B1426" s="84"/>
      <c r="C1426" s="84"/>
      <c r="D1426" s="85"/>
      <c r="E1426" s="85"/>
      <c r="F1426" s="85"/>
      <c r="G1426" s="85"/>
      <c r="H1426" s="85"/>
      <c r="I1426" s="85"/>
      <c r="J1426" s="85"/>
      <c r="K1426" s="85"/>
      <c r="L1426" s="109"/>
      <c r="M1426" s="110"/>
      <c r="N1426" s="111"/>
      <c r="O1426" s="112"/>
      <c r="P1426" s="112"/>
      <c r="Q1426" s="118"/>
    </row>
    <row r="1427" spans="2:17" s="5" customFormat="1" ht="13">
      <c r="B1427" s="84"/>
      <c r="C1427" s="84"/>
      <c r="D1427" s="85"/>
      <c r="E1427" s="85"/>
      <c r="F1427" s="85"/>
      <c r="G1427" s="85"/>
      <c r="H1427" s="85"/>
      <c r="I1427" s="85"/>
      <c r="J1427" s="85"/>
      <c r="K1427" s="85"/>
      <c r="L1427" s="109"/>
      <c r="M1427" s="110"/>
      <c r="N1427" s="111"/>
      <c r="O1427" s="112"/>
      <c r="P1427" s="112"/>
      <c r="Q1427" s="118"/>
    </row>
    <row r="1428" spans="2:17" s="5" customFormat="1" ht="13">
      <c r="B1428" s="84"/>
      <c r="C1428" s="84"/>
      <c r="D1428" s="85"/>
      <c r="E1428" s="85"/>
      <c r="F1428" s="85"/>
      <c r="G1428" s="85"/>
      <c r="H1428" s="85"/>
      <c r="I1428" s="85"/>
      <c r="J1428" s="85"/>
      <c r="K1428" s="85"/>
      <c r="L1428" s="109"/>
      <c r="M1428" s="110"/>
      <c r="N1428" s="111"/>
      <c r="O1428" s="112"/>
      <c r="P1428" s="112"/>
      <c r="Q1428" s="118"/>
    </row>
    <row r="1429" spans="2:17" s="5" customFormat="1" ht="13">
      <c r="B1429" s="84"/>
      <c r="C1429" s="84"/>
      <c r="D1429" s="85"/>
      <c r="E1429" s="85"/>
      <c r="F1429" s="85"/>
      <c r="G1429" s="85"/>
      <c r="H1429" s="85"/>
      <c r="I1429" s="85"/>
      <c r="J1429" s="85"/>
      <c r="K1429" s="85"/>
      <c r="L1429" s="109"/>
      <c r="M1429" s="110"/>
      <c r="N1429" s="111"/>
      <c r="O1429" s="112"/>
      <c r="P1429" s="112"/>
      <c r="Q1429" s="118"/>
    </row>
    <row r="1430" spans="2:17" s="5" customFormat="1" ht="13">
      <c r="B1430" s="84"/>
      <c r="C1430" s="84"/>
      <c r="D1430" s="85"/>
      <c r="E1430" s="85"/>
      <c r="F1430" s="85"/>
      <c r="G1430" s="85"/>
      <c r="H1430" s="85"/>
      <c r="I1430" s="85"/>
      <c r="J1430" s="85"/>
      <c r="K1430" s="85"/>
      <c r="L1430" s="109"/>
      <c r="M1430" s="110"/>
      <c r="N1430" s="111"/>
      <c r="O1430" s="112"/>
      <c r="P1430" s="112"/>
      <c r="Q1430" s="118"/>
    </row>
    <row r="1431" spans="2:17" s="5" customFormat="1" ht="13">
      <c r="B1431" s="84"/>
      <c r="C1431" s="84"/>
      <c r="D1431" s="85"/>
      <c r="E1431" s="85"/>
      <c r="F1431" s="85"/>
      <c r="G1431" s="85"/>
      <c r="H1431" s="85"/>
      <c r="I1431" s="85"/>
      <c r="J1431" s="85"/>
      <c r="K1431" s="85"/>
      <c r="L1431" s="109"/>
      <c r="M1431" s="110"/>
      <c r="N1431" s="111"/>
      <c r="O1431" s="112"/>
      <c r="P1431" s="112"/>
      <c r="Q1431" s="118"/>
    </row>
    <row r="1432" spans="2:17" s="5" customFormat="1" ht="13">
      <c r="B1432" s="84"/>
      <c r="C1432" s="84"/>
      <c r="D1432" s="85"/>
      <c r="E1432" s="85"/>
      <c r="F1432" s="85"/>
      <c r="G1432" s="85"/>
      <c r="H1432" s="85"/>
      <c r="I1432" s="85"/>
      <c r="J1432" s="85"/>
      <c r="K1432" s="85"/>
      <c r="L1432" s="109"/>
      <c r="M1432" s="110"/>
      <c r="N1432" s="111"/>
      <c r="O1432" s="112"/>
      <c r="P1432" s="112"/>
      <c r="Q1432" s="118"/>
    </row>
    <row r="1433" spans="2:17" s="5" customFormat="1" ht="13">
      <c r="B1433" s="84"/>
      <c r="C1433" s="84"/>
      <c r="D1433" s="85"/>
      <c r="E1433" s="85"/>
      <c r="F1433" s="85"/>
      <c r="G1433" s="85"/>
      <c r="H1433" s="85"/>
      <c r="I1433" s="85"/>
      <c r="J1433" s="85"/>
      <c r="K1433" s="85"/>
      <c r="L1433" s="109"/>
      <c r="M1433" s="110"/>
      <c r="N1433" s="111"/>
      <c r="O1433" s="112"/>
      <c r="P1433" s="112"/>
      <c r="Q1433" s="118"/>
    </row>
  </sheetData>
  <autoFilter ref="A14:Q333" xr:uid="{00000000-0009-0000-0000-000002000000}"/>
  <mergeCells count="34">
    <mergeCell ref="P11:P13"/>
    <mergeCell ref="Q11:Q13"/>
    <mergeCell ref="A332:O332"/>
    <mergeCell ref="A333:O333"/>
    <mergeCell ref="M345:P345"/>
    <mergeCell ref="M346:P346"/>
    <mergeCell ref="M347:P347"/>
    <mergeCell ref="O10:Q10"/>
    <mergeCell ref="F11:I11"/>
    <mergeCell ref="F13:G13"/>
    <mergeCell ref="H13:I13"/>
    <mergeCell ref="A331:O331"/>
    <mergeCell ref="A11:A13"/>
    <mergeCell ref="B11:B13"/>
    <mergeCell ref="C11:C13"/>
    <mergeCell ref="D11:D13"/>
    <mergeCell ref="E11:E13"/>
    <mergeCell ref="J11:J13"/>
    <mergeCell ref="K11:K13"/>
    <mergeCell ref="L11:L13"/>
    <mergeCell ref="M11:M13"/>
    <mergeCell ref="N11:N13"/>
    <mergeCell ref="O11:O13"/>
    <mergeCell ref="A7:M7"/>
    <mergeCell ref="A8:M8"/>
    <mergeCell ref="A9:M9"/>
    <mergeCell ref="A10:B10"/>
    <mergeCell ref="D10:M10"/>
    <mergeCell ref="D2:Q2"/>
    <mergeCell ref="D3:Q3"/>
    <mergeCell ref="D4:Q4"/>
    <mergeCell ref="D5:Q5"/>
    <mergeCell ref="A6:Q6"/>
    <mergeCell ref="B3:B4"/>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BOQ</vt:lpstr>
      <vt:lpstr>BG 1</vt:lpstr>
      <vt:lpstr>BG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LTKT</dc:creator>
  <cp:lastModifiedBy>Win 11</cp:lastModifiedBy>
  <dcterms:created xsi:type="dcterms:W3CDTF">2024-08-23T04:59:00Z</dcterms:created>
  <dcterms:modified xsi:type="dcterms:W3CDTF">2026-09-29T09:44:41Z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6B87DB66A0AE4B3A870D51C9F4A2D462_13</vt:lpwstr>
  </property>
  <property fmtid="{D5CDD505-2E9C-101B-9397-08002B2CF9AE}" pid="3" name="KSOProductBuildVer">
    <vt:lpwstr>1033-12.2.0.23196</vt:lpwstr>
  </property>
</Properties>
</file>
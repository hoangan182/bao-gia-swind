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5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Hạng mục: HỆ THỐNG ĐIỀU ÁP VÀ HÚT KHÓI - KHỐI A3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TẦNG HẦM (TẦNG B1, B2, B3)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HỆ THỐNG TẠO ÁP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a. Thiết bị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Quạt tạo áp_Loại hướng trục SPAF-B3-BF-04
16.920m3/h@300Pa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cái</t>
        </is>
      </c>
      <c r="M18" s="10" t="n">
        <v>1</v>
      </c>
      <c r="N18" s="11" t="n"/>
      <c r="O18" s="11" t="n"/>
      <c r="P18" s="9" t="n"/>
    </row>
    <row r="19">
      <c r="A19" s="8" t="n"/>
      <c r="B19" s="9" t="inlineStr">
        <is>
          <t>Quạt tạo áp_Loại hướng trục SPAF-B3-BF-02
6.000m3/h@200Pa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cái</t>
        </is>
      </c>
      <c r="M19" s="10" t="n">
        <v>1</v>
      </c>
      <c r="N19" s="11" t="n"/>
      <c r="O19" s="11" t="n"/>
      <c r="P19" s="9" t="n"/>
    </row>
    <row r="20">
      <c r="A20" s="8" t="n"/>
      <c r="B20" s="9" t="inlineStr">
        <is>
          <t>Quạt tạo áp_Loại hướng trục SPAF-B1-BF-01
14.040m3/h@300Pa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cái</t>
        </is>
      </c>
      <c r="M20" s="10" t="n">
        <v>1</v>
      </c>
      <c r="N20" s="11" t="n"/>
      <c r="O20" s="11" t="n"/>
      <c r="P20" s="9" t="n"/>
    </row>
    <row r="21">
      <c r="A21" s="8" t="n"/>
      <c r="B21" s="9" t="inlineStr">
        <is>
          <t>Quạt tạo áp_Loại hướng trục SPAF-B2-BF-04
18.000m3/h@300Pa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cái</t>
        </is>
      </c>
      <c r="M21" s="10" t="n">
        <v>1</v>
      </c>
      <c r="N21" s="11" t="n"/>
      <c r="O21" s="11" t="n"/>
      <c r="P21" s="9" t="n"/>
    </row>
    <row r="22">
      <c r="A22" s="8" t="n"/>
      <c r="B22" s="9" t="inlineStr">
        <is>
          <t>Quạt tạo áp_Loại hướng trục SPAF-B2-BF-02
6.000m3/h@200Pa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cái</t>
        </is>
      </c>
      <c r="M22" s="10" t="n">
        <v>1</v>
      </c>
      <c r="N22" s="11" t="n"/>
      <c r="O22" s="11" t="n"/>
      <c r="P22" s="9" t="n"/>
    </row>
    <row r="23">
      <c r="A23" s="8" t="n"/>
      <c r="B23" s="9" t="inlineStr">
        <is>
          <t>Quạt tạo áp_Loại hướng trục SPAF-B1-BF-01
14.040m3/h@300Pa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cái</t>
        </is>
      </c>
      <c r="M23" s="10" t="n">
        <v>1</v>
      </c>
      <c r="N23" s="11" t="n"/>
      <c r="O23" s="11" t="n"/>
      <c r="P23" s="9" t="n"/>
    </row>
    <row r="24">
      <c r="A24" s="8" t="n"/>
      <c r="B24" s="9" t="inlineStr">
        <is>
          <t>Quạt tạo áp_Loại hướng trục SPAF-B1-BF-02
17.640m3/h@300Pa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cái</t>
        </is>
      </c>
      <c r="M24" s="10" t="n">
        <v>1</v>
      </c>
      <c r="N24" s="11" t="n"/>
      <c r="O24" s="11" t="n"/>
      <c r="P24" s="9" t="n"/>
    </row>
    <row r="25">
      <c r="A25" s="8" t="n"/>
      <c r="B25" s="9" t="inlineStr">
        <is>
          <t>Quạt tạo áp_Loại hướng trục SPAF-B1-BF-03
16.200m3/h@300Pa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cái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Quạt tạo áp_Loại hướng trục SPAF-B1-BF-04
16.920m3/h@300Pa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cái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Nối mềm chống cháy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bộ</t>
        </is>
      </c>
      <c r="M27" s="10" t="n">
        <v>9</v>
      </c>
      <c r="N27" s="11" t="n"/>
      <c r="O27" s="11" t="n"/>
      <c r="P27" s="9" t="n"/>
    </row>
    <row r="28">
      <c r="A28" s="8" t="n"/>
      <c r="B28" s="9" t="inlineStr">
        <is>
          <t>Ty treo giá đỡ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trọn gói</t>
        </is>
      </c>
      <c r="M28" s="10" t="n">
        <v>1</v>
      </c>
      <c r="N28" s="11" t="n"/>
      <c r="O28" s="11" t="n"/>
      <c r="P28" s="9" t="n"/>
    </row>
    <row r="29">
      <c r="A29" s="8" t="n"/>
      <c r="B29" s="9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1" t="n"/>
      <c r="N29" s="11" t="n"/>
      <c r="O29" s="11" t="n"/>
      <c r="P29" s="9" t="n"/>
    </row>
    <row r="30">
      <c r="A30" s="6" t="n"/>
      <c r="B30" s="7" t="inlineStr">
        <is>
          <t>b. Ống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7" t="inlineStr">
        <is>
          <t>Ống gió chống cháy EI120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7" t="inlineStr">
        <is>
          <t>Ống gió thẳng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8" t="n"/>
      <c r="B33" s="9" t="inlineStr">
        <is>
          <t>Ống gió chống cháy EI120 800x450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150</v>
      </c>
      <c r="N33" s="11" t="n"/>
      <c r="O33" s="11" t="n"/>
      <c r="P33" s="9" t="n"/>
    </row>
    <row r="34">
      <c r="A34" s="8" t="n"/>
      <c r="B34" s="9" t="inlineStr">
        <is>
          <t>Ống gió chống cháy EI120 800x400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282</v>
      </c>
      <c r="N34" s="11" t="n"/>
      <c r="O34" s="11" t="n"/>
      <c r="P34" s="9" t="n"/>
    </row>
    <row r="35">
      <c r="A35" s="8" t="n"/>
      <c r="B35" s="9" t="inlineStr">
        <is>
          <t>Ống gió chống cháy EI120 600x300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inlineStr">
        <is>
          <t>m</t>
        </is>
      </c>
      <c r="M35" s="10" t="n">
        <v>63</v>
      </c>
      <c r="N35" s="11" t="n"/>
      <c r="O35" s="11" t="n"/>
      <c r="P35" s="9" t="n"/>
    </row>
    <row r="36">
      <c r="A36" s="8" t="n"/>
      <c r="B36" s="9" t="inlineStr">
        <is>
          <t>Ống gió chống cháy EI120 1000x500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11</v>
      </c>
      <c r="N36" s="11" t="n"/>
      <c r="O36" s="11" t="n"/>
      <c r="P36" s="9" t="n"/>
    </row>
    <row r="37">
      <c r="A37" s="8" t="n"/>
      <c r="B37" s="9" t="inlineStr">
        <is>
          <t>Ống gió chống cháy EI120 800x350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inlineStr">
        <is>
          <t>m</t>
        </is>
      </c>
      <c r="M37" s="10" t="n">
        <v>41</v>
      </c>
      <c r="N37" s="11" t="n"/>
      <c r="O37" s="11" t="n"/>
      <c r="P37" s="9" t="n"/>
    </row>
    <row r="38">
      <c r="A38" s="8" t="n"/>
      <c r="B38" s="9" t="inlineStr">
        <is>
          <t>Ống gió chống cháy EI120 550x550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98</v>
      </c>
      <c r="N38" s="11" t="n"/>
      <c r="O38" s="11" t="n"/>
      <c r="P38" s="9" t="n"/>
    </row>
    <row r="39">
      <c r="A39" s="8" t="n"/>
      <c r="B39" s="9" t="inlineStr">
        <is>
          <t>Ống gió chống cháy EI120 800x400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13</v>
      </c>
      <c r="N39" s="11" t="n"/>
      <c r="O39" s="11" t="n"/>
      <c r="P39" s="9" t="n"/>
    </row>
    <row r="40">
      <c r="A40" s="6" t="n"/>
      <c r="B40" s="7" t="inlineStr">
        <is>
          <t>Chân rẽ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8" t="n"/>
      <c r="B41" s="9" t="inlineStr">
        <is>
          <t>Chân rẽ 800x450-200H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cái</t>
        </is>
      </c>
      <c r="M41" s="10" t="n">
        <v>1</v>
      </c>
      <c r="N41" s="11" t="n"/>
      <c r="O41" s="11" t="n"/>
      <c r="P41" s="9" t="n"/>
    </row>
    <row r="42">
      <c r="A42" s="6" t="n"/>
      <c r="B42" s="7" t="inlineStr">
        <is>
          <t>Co ngang ống gió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8" t="n"/>
      <c r="B43" s="9" t="inlineStr">
        <is>
          <t>Co ngang ống gió 800x400-600R-45°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cái</t>
        </is>
      </c>
      <c r="M43" s="10" t="n">
        <v>4</v>
      </c>
      <c r="N43" s="11" t="n"/>
      <c r="O43" s="11" t="n"/>
      <c r="P43" s="9" t="n"/>
    </row>
    <row r="44">
      <c r="A44" s="8" t="n"/>
      <c r="B44" s="9" t="inlineStr">
        <is>
          <t>Co ngang ống gió 800x450-600R-45°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cái</t>
        </is>
      </c>
      <c r="M44" s="10" t="n">
        <v>1</v>
      </c>
      <c r="N44" s="11" t="n"/>
      <c r="O44" s="11" t="n"/>
      <c r="P44" s="9" t="n"/>
    </row>
    <row r="45">
      <c r="A45" s="8" t="n"/>
      <c r="B45" s="9" t="inlineStr">
        <is>
          <t>Co ngang ống gió 600x300-600R-45°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cái</t>
        </is>
      </c>
      <c r="M45" s="10" t="n">
        <v>2</v>
      </c>
      <c r="N45" s="11" t="n"/>
      <c r="O45" s="11" t="n"/>
      <c r="P45" s="9" t="n"/>
    </row>
    <row r="46">
      <c r="A46" s="8" t="n"/>
      <c r="B46" s="9" t="inlineStr">
        <is>
          <t>Co ngang ống gió 800x400-400R-90°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0" t="n">
        <v>10</v>
      </c>
      <c r="N46" s="11" t="n"/>
      <c r="O46" s="11" t="n"/>
      <c r="P46" s="9" t="n"/>
    </row>
    <row r="47">
      <c r="A47" s="8" t="n"/>
      <c r="B47" s="9" t="inlineStr">
        <is>
          <t>Co ngang ống gió 600x300-400R-90°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0" t="n">
        <v>4</v>
      </c>
      <c r="N47" s="11" t="n"/>
      <c r="O47" s="11" t="n"/>
      <c r="P47" s="9" t="n"/>
    </row>
    <row r="48">
      <c r="A48" s="8" t="n"/>
      <c r="B48" s="9" t="inlineStr">
        <is>
          <t>Co ngang ống gió 800x450-400R-90°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0" t="n">
        <v>4</v>
      </c>
      <c r="N48" s="11" t="n"/>
      <c r="O48" s="11" t="n"/>
      <c r="P48" s="9" t="n"/>
    </row>
    <row r="49">
      <c r="A49" s="8" t="n"/>
      <c r="B49" s="9" t="inlineStr">
        <is>
          <t>Co ngang ống gió 800x350-400R-90°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0" t="n">
        <v>4</v>
      </c>
      <c r="N49" s="11" t="n"/>
      <c r="O49" s="11" t="n"/>
      <c r="P49" s="9" t="n"/>
    </row>
    <row r="50">
      <c r="A50" s="8" t="n"/>
      <c r="B50" s="9" t="inlineStr">
        <is>
          <t>Ty treo giá đỡ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trọn gói</t>
        </is>
      </c>
      <c r="M50" s="10" t="n">
        <v>1</v>
      </c>
      <c r="N50" s="11" t="n"/>
      <c r="O50" s="11" t="n"/>
      <c r="P50" s="9" t="n"/>
    </row>
    <row r="51">
      <c r="A51" s="8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11" t="n"/>
      <c r="N51" s="11" t="n"/>
      <c r="O51" s="11" t="n"/>
      <c r="P51" s="9" t="n"/>
    </row>
    <row r="52">
      <c r="A52" s="6" t="n"/>
      <c r="B52" s="7" t="inlineStr">
        <is>
          <t>Miệng gió
Air grill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Miệng gió OAG + OBD 500x800</t>
        </is>
      </c>
      <c r="C53" s="8" t="inlineStr">
        <is>
          <t>SDG+O</t>
        </is>
      </c>
      <c r="D53" s="8" t="inlineStr">
        <is>
          <t>SWIND</t>
        </is>
      </c>
      <c r="E53" s="8" t="n">
        <v>500</v>
      </c>
      <c r="F53" s="8" t="n">
        <v>800</v>
      </c>
      <c r="G53" s="8" t="n">
        <v>450</v>
      </c>
      <c r="H53" s="8" t="n">
        <v>750</v>
      </c>
      <c r="I53" s="8" t="n"/>
      <c r="J53" s="8" t="n"/>
      <c r="K53" s="8" t="n"/>
      <c r="L53" s="8" t="inlineStr">
        <is>
          <t>cái</t>
        </is>
      </c>
      <c r="M53" s="10" t="n">
        <v>6</v>
      </c>
      <c r="N53" s="10">
        <f>ROUND('00_TONG_HOP_BAO_GIA'!Q2, 0)</f>
        <v/>
      </c>
      <c r="O53" s="10">
        <f>ROUNDUP(N53*M53, -2)</f>
        <v/>
      </c>
      <c r="P53" s="9" t="inlineStr">
        <is>
          <t>Cửa nan bầu dục 1 lớp kèm van OBD</t>
        </is>
      </c>
    </row>
    <row r="54">
      <c r="A54" s="8" t="n"/>
      <c r="B54" s="9" t="inlineStr">
        <is>
          <t>Miệng gió OAG + OBD 500x1000</t>
        </is>
      </c>
      <c r="C54" s="8" t="inlineStr">
        <is>
          <t>SDG+O</t>
        </is>
      </c>
      <c r="D54" s="8" t="inlineStr">
        <is>
          <t>SWIND</t>
        </is>
      </c>
      <c r="E54" s="8" t="n">
        <v>500</v>
      </c>
      <c r="F54" s="8" t="n">
        <v>1000</v>
      </c>
      <c r="G54" s="8" t="n">
        <v>450</v>
      </c>
      <c r="H54" s="8" t="n">
        <v>950</v>
      </c>
      <c r="I54" s="8" t="n"/>
      <c r="J54" s="8" t="n"/>
      <c r="K54" s="8" t="n"/>
      <c r="L54" s="8" t="inlineStr">
        <is>
          <t>cái</t>
        </is>
      </c>
      <c r="M54" s="10" t="n">
        <v>20</v>
      </c>
      <c r="N54" s="10">
        <f>ROUND('00_TONG_HOP_BAO_GIA'!Q3, 0)</f>
        <v/>
      </c>
      <c r="O54" s="10">
        <f>ROUNDUP(N54*M54, -2)</f>
        <v/>
      </c>
      <c r="P54" s="9" t="inlineStr">
        <is>
          <t>Cửa nan bầu dục 1 lớp kèm van OBD</t>
        </is>
      </c>
    </row>
    <row r="55">
      <c r="A55" s="8" t="n"/>
      <c r="B55" s="9" t="inlineStr">
        <is>
          <t>Cửa gió nan thẳng 800x400</t>
        </is>
      </c>
      <c r="C55" s="8" t="inlineStr">
        <is>
          <t>SDG</t>
        </is>
      </c>
      <c r="D55" s="8" t="inlineStr">
        <is>
          <t>SWIND</t>
        </is>
      </c>
      <c r="E55" s="8" t="n">
        <v>800</v>
      </c>
      <c r="F55" s="8" t="n">
        <v>400</v>
      </c>
      <c r="G55" s="8" t="n">
        <v>750</v>
      </c>
      <c r="H55" s="8" t="n">
        <v>350</v>
      </c>
      <c r="I55" s="8" t="n"/>
      <c r="J55" s="8" t="n"/>
      <c r="K55" s="8" t="n"/>
      <c r="L55" s="8" t="inlineStr">
        <is>
          <t>cái</t>
        </is>
      </c>
      <c r="M55" s="10" t="n">
        <v>4</v>
      </c>
      <c r="N55" s="10">
        <f>ROUND('00_TONG_HOP_BAO_GIA'!Q4, 0)</f>
        <v/>
      </c>
      <c r="O55" s="10">
        <f>ROUNDUP(N55*M55, -2)</f>
        <v/>
      </c>
      <c r="P55" s="9" t="inlineStr">
        <is>
          <t>Cửa nan bầu dục 1 lớp</t>
        </is>
      </c>
    </row>
    <row r="56">
      <c r="A56" s="8" t="n"/>
      <c r="B56" s="9" t="inlineStr">
        <is>
          <t>Van MFD 800x400 - EI60</t>
        </is>
      </c>
      <c r="C56" s="8" t="inlineStr">
        <is>
          <t>SWIND-1.03-MFD-EI90</t>
        </is>
      </c>
      <c r="D56" s="8" t="inlineStr">
        <is>
          <t>SWIND</t>
        </is>
      </c>
      <c r="E56" s="8" t="n">
        <v>800</v>
      </c>
      <c r="F56" s="8" t="n">
        <v>400</v>
      </c>
      <c r="G56" s="8" t="n"/>
      <c r="H56" s="8" t="n"/>
      <c r="I56" s="8" t="n"/>
      <c r="J56" s="8" t="n">
        <v>200</v>
      </c>
      <c r="K56" s="12" t="n">
        <v>1.15</v>
      </c>
      <c r="L56" s="8" t="inlineStr">
        <is>
          <t>cái</t>
        </is>
      </c>
      <c r="M56" s="10" t="n">
        <v>4</v>
      </c>
      <c r="N56" s="10">
        <f>ROUND('00_TONG_HOP_BAO_GIA'!Q5, 0)</f>
        <v/>
      </c>
      <c r="O56" s="10">
        <f>ROUNDUP(N56*M56, -2)</f>
        <v/>
      </c>
      <c r="P56" s="9" t="inlineStr">
        <is>
          <t>- Van ngăn cháy động cơ - Tiêu chuẩn EI 90
- 2 đầu bích TDC - Gắn kèm động cơ ON-OFF 5Nm, Hãng KLB
- Sản xuất theo BCTN số 4651/VLXD-TBMT</t>
        </is>
      </c>
    </row>
    <row r="57">
      <c r="A57" s="8" t="n"/>
      <c r="B57" s="9" t="inlineStr">
        <is>
          <t>Cửa gió nan thẳng 800x450</t>
        </is>
      </c>
      <c r="C57" s="8" t="inlineStr">
        <is>
          <t>SDG</t>
        </is>
      </c>
      <c r="D57" s="8" t="inlineStr">
        <is>
          <t>SWIND</t>
        </is>
      </c>
      <c r="E57" s="8" t="n">
        <v>800</v>
      </c>
      <c r="F57" s="8" t="n">
        <v>450</v>
      </c>
      <c r="G57" s="8" t="n">
        <v>750</v>
      </c>
      <c r="H57" s="8" t="n">
        <v>400</v>
      </c>
      <c r="I57" s="8" t="n"/>
      <c r="J57" s="8" t="n"/>
      <c r="K57" s="8" t="n"/>
      <c r="L57" s="8" t="inlineStr">
        <is>
          <t>cái</t>
        </is>
      </c>
      <c r="M57" s="10" t="n">
        <v>1</v>
      </c>
      <c r="N57" s="10">
        <f>ROUND('00_TONG_HOP_BAO_GIA'!Q6, 0)</f>
        <v/>
      </c>
      <c r="O57" s="10">
        <f>ROUNDUP(N57*M57, -2)</f>
        <v/>
      </c>
      <c r="P57" s="9" t="inlineStr">
        <is>
          <t>Cửa nan bầu dục 1 lớp</t>
        </is>
      </c>
    </row>
    <row r="58">
      <c r="A58" s="8" t="n"/>
      <c r="B58" s="9" t="inlineStr">
        <is>
          <t>Van MFD 800x450 - EI60</t>
        </is>
      </c>
      <c r="C58" s="8" t="inlineStr">
        <is>
          <t>SWIND-1.03-MFD-EI90</t>
        </is>
      </c>
      <c r="D58" s="8" t="inlineStr">
        <is>
          <t>SWIND</t>
        </is>
      </c>
      <c r="E58" s="8" t="n">
        <v>800</v>
      </c>
      <c r="F58" s="8" t="n">
        <v>450</v>
      </c>
      <c r="G58" s="8" t="n"/>
      <c r="H58" s="8" t="n"/>
      <c r="I58" s="8" t="n"/>
      <c r="J58" s="8" t="n">
        <v>200</v>
      </c>
      <c r="K58" s="12" t="n">
        <v>1.15</v>
      </c>
      <c r="L58" s="8" t="inlineStr">
        <is>
          <t>cái</t>
        </is>
      </c>
      <c r="M58" s="10" t="n">
        <v>1</v>
      </c>
      <c r="N58" s="10">
        <f>ROUND('00_TONG_HOP_BAO_GIA'!Q7, 0)</f>
        <v/>
      </c>
      <c r="O58" s="10">
        <f>ROUNDUP(N58*M58, -2)</f>
        <v/>
      </c>
      <c r="P58" s="9" t="inlineStr">
        <is>
          <t>- Van ngăn cháy động cơ - Tiêu chuẩn EI 90
- 2 đầu bích TDC - Gắn kèm động cơ ON-OFF 5Nm, Hãng KLB
- Sản xuất theo BCTN số 4651/VLXD-TBMT</t>
        </is>
      </c>
    </row>
    <row r="59">
      <c r="A59" s="8" t="n"/>
      <c r="B59" s="9" t="inlineStr">
        <is>
          <t>Cửa gió nan thẳng 800x350</t>
        </is>
      </c>
      <c r="C59" s="8" t="inlineStr">
        <is>
          <t>SDG</t>
        </is>
      </c>
      <c r="D59" s="8" t="inlineStr">
        <is>
          <t>SWIND</t>
        </is>
      </c>
      <c r="E59" s="8" t="n">
        <v>800</v>
      </c>
      <c r="F59" s="8" t="n">
        <v>350</v>
      </c>
      <c r="G59" s="8" t="n">
        <v>750</v>
      </c>
      <c r="H59" s="8" t="n">
        <v>300</v>
      </c>
      <c r="I59" s="8" t="n"/>
      <c r="J59" s="8" t="n"/>
      <c r="K59" s="8" t="n"/>
      <c r="L59" s="8" t="inlineStr">
        <is>
          <t>cái</t>
        </is>
      </c>
      <c r="M59" s="10" t="n">
        <v>2</v>
      </c>
      <c r="N59" s="10">
        <f>ROUND('00_TONG_HOP_BAO_GIA'!Q8, 0)</f>
        <v/>
      </c>
      <c r="O59" s="10">
        <f>ROUNDUP(N59*M59, -2)</f>
        <v/>
      </c>
      <c r="P59" s="9" t="inlineStr">
        <is>
          <t>Cửa nan bầu dục 1 lớp</t>
        </is>
      </c>
    </row>
    <row r="60">
      <c r="A60" s="8" t="n"/>
      <c r="B60" s="9" t="inlineStr">
        <is>
          <t>Van MFD 800x350 - EI60</t>
        </is>
      </c>
      <c r="C60" s="8" t="inlineStr">
        <is>
          <t>SWIND-1.03-MFD-EI90</t>
        </is>
      </c>
      <c r="D60" s="8" t="inlineStr">
        <is>
          <t>SWIND</t>
        </is>
      </c>
      <c r="E60" s="8" t="n">
        <v>800</v>
      </c>
      <c r="F60" s="8" t="n">
        <v>350</v>
      </c>
      <c r="G60" s="8" t="n"/>
      <c r="H60" s="8" t="n"/>
      <c r="I60" s="8" t="n"/>
      <c r="J60" s="8" t="n">
        <v>200</v>
      </c>
      <c r="K60" s="12" t="n">
        <v>1.15</v>
      </c>
      <c r="L60" s="8" t="inlineStr">
        <is>
          <t>cái</t>
        </is>
      </c>
      <c r="M60" s="10" t="n">
        <v>2</v>
      </c>
      <c r="N60" s="10">
        <f>ROUND('00_TONG_HOP_BAO_GIA'!Q9, 0)</f>
        <v/>
      </c>
      <c r="O60" s="10">
        <f>ROUNDUP(N60*M60, -2)</f>
        <v/>
      </c>
      <c r="P60" s="9" t="inlineStr">
        <is>
          <t>- Van ngăn cháy động cơ - Tiêu chuẩn EI 90
- 2 đầu bích TDC - Gắn kèm động cơ ON-OFF 5Nm, Hãng KLB
- Sản xuất theo BCTN số 4651/VLXD-TBMT</t>
        </is>
      </c>
    </row>
    <row r="61">
      <c r="A61" s="8" t="n"/>
      <c r="B61" s="9" t="inlineStr">
        <is>
          <t>Cửa gió nan thẳng 600x300</t>
        </is>
      </c>
      <c r="C61" s="8" t="inlineStr">
        <is>
          <t>SDG</t>
        </is>
      </c>
      <c r="D61" s="8" t="inlineStr">
        <is>
          <t>SWIND</t>
        </is>
      </c>
      <c r="E61" s="8" t="n">
        <v>600</v>
      </c>
      <c r="F61" s="8" t="n">
        <v>300</v>
      </c>
      <c r="G61" s="8" t="n">
        <v>550</v>
      </c>
      <c r="H61" s="8" t="n">
        <v>250</v>
      </c>
      <c r="I61" s="8" t="n"/>
      <c r="J61" s="8" t="n"/>
      <c r="K61" s="8" t="n"/>
      <c r="L61" s="8" t="inlineStr">
        <is>
          <t>cái</t>
        </is>
      </c>
      <c r="M61" s="10" t="n">
        <v>2</v>
      </c>
      <c r="N61" s="10">
        <f>ROUND('00_TONG_HOP_BAO_GIA'!Q10, 0)</f>
        <v/>
      </c>
      <c r="O61" s="10">
        <f>ROUNDUP(N61*M61, -2)</f>
        <v/>
      </c>
      <c r="P61" s="9" t="inlineStr">
        <is>
          <t>Cửa nan bầu dục 1 lớp</t>
        </is>
      </c>
    </row>
    <row r="62">
      <c r="A62" s="8" t="n"/>
      <c r="B62" s="9" t="inlineStr">
        <is>
          <t>Van MFD 600x300 - EI60</t>
        </is>
      </c>
      <c r="C62" s="8" t="inlineStr">
        <is>
          <t>SWIND-1.03-MFD-EI90</t>
        </is>
      </c>
      <c r="D62" s="8" t="inlineStr">
        <is>
          <t>SWIND</t>
        </is>
      </c>
      <c r="E62" s="8" t="n">
        <v>600</v>
      </c>
      <c r="F62" s="8" t="n">
        <v>300</v>
      </c>
      <c r="G62" s="8" t="n"/>
      <c r="H62" s="8" t="n"/>
      <c r="I62" s="8" t="n"/>
      <c r="J62" s="8" t="n">
        <v>200</v>
      </c>
      <c r="K62" s="12" t="n">
        <v>1.15</v>
      </c>
      <c r="L62" s="8" t="inlineStr">
        <is>
          <t>cái</t>
        </is>
      </c>
      <c r="M62" s="10" t="n">
        <v>2</v>
      </c>
      <c r="N62" s="10">
        <f>ROUND('00_TONG_HOP_BAO_GIA'!Q11, 0)</f>
        <v/>
      </c>
      <c r="O62" s="10">
        <f>ROUNDUP(N62*M62, -2)</f>
        <v/>
      </c>
      <c r="P62" s="9" t="inlineStr">
        <is>
          <t>- Van ngăn cháy động cơ - Tiêu chuẩn EI 90
- 2 đầu bích TDC - Gắn kèm động cơ ON-OFF 5Nm, Hãng KLB
- Sản xuất theo BCTN số 4651/VLXD-TBMT</t>
        </is>
      </c>
    </row>
    <row r="63">
      <c r="A63" s="8" t="n"/>
      <c r="B63" s="9" t="inlineStr">
        <is>
          <t>Cửa gió nan thẳng 200x200</t>
        </is>
      </c>
      <c r="C63" s="8" t="inlineStr">
        <is>
          <t>SDG</t>
        </is>
      </c>
      <c r="D63" s="8" t="inlineStr">
        <is>
          <t>SWIND</t>
        </is>
      </c>
      <c r="E63" s="8" t="n">
        <v>200</v>
      </c>
      <c r="F63" s="8" t="n">
        <v>200</v>
      </c>
      <c r="G63" s="8" t="n">
        <v>150</v>
      </c>
      <c r="H63" s="8" t="n">
        <v>150</v>
      </c>
      <c r="I63" s="8" t="n"/>
      <c r="J63" s="8" t="n"/>
      <c r="K63" s="8" t="n"/>
      <c r="L63" s="8" t="inlineStr">
        <is>
          <t>cái</t>
        </is>
      </c>
      <c r="M63" s="10" t="n">
        <v>17</v>
      </c>
      <c r="N63" s="10">
        <f>ROUND('00_TONG_HOP_BAO_GIA'!Q12, 0)</f>
        <v/>
      </c>
      <c r="O63" s="10">
        <f>ROUNDUP(N63*M63, -2)</f>
        <v/>
      </c>
      <c r="P63" s="9" t="inlineStr">
        <is>
          <t>Cửa nan bầu dục 1 lớp</t>
        </is>
      </c>
    </row>
    <row r="64">
      <c r="A64" s="8" t="n"/>
      <c r="B64" s="9" t="inlineStr">
        <is>
          <t>Van PRD 200x200</t>
        </is>
      </c>
      <c r="C64" s="8" t="inlineStr">
        <is>
          <t>PRD</t>
        </is>
      </c>
      <c r="D64" s="8" t="inlineStr">
        <is>
          <t>SWIND</t>
        </is>
      </c>
      <c r="E64" s="8" t="n">
        <v>200</v>
      </c>
      <c r="F64" s="8" t="n">
        <v>200</v>
      </c>
      <c r="G64" s="8" t="n"/>
      <c r="H64" s="8" t="n"/>
      <c r="I64" s="8" t="n"/>
      <c r="J64" s="8" t="n">
        <v>200</v>
      </c>
      <c r="K64" s="12" t="n">
        <v>0.75</v>
      </c>
      <c r="L64" s="8" t="inlineStr">
        <is>
          <t>cái</t>
        </is>
      </c>
      <c r="M64" s="10" t="n">
        <v>17</v>
      </c>
      <c r="N64" s="10">
        <f>ROUND('00_TONG_HOP_BAO_GIA'!Q13, 0)</f>
        <v/>
      </c>
      <c r="O64" s="10">
        <f>ROUNDUP(N64*M64, -2)</f>
        <v/>
      </c>
      <c r="P64" s="9" t="inlineStr">
        <is>
          <t>Van xả áp đối trọng tôn mạ kẽm</t>
        </is>
      </c>
    </row>
    <row r="65">
      <c r="A65" s="8" t="n"/>
      <c r="B65" s="9" t="inlineStr">
        <is>
          <t>Cửa gió nan thẳng 800x400</t>
        </is>
      </c>
      <c r="C65" s="8" t="inlineStr">
        <is>
          <t>SDG</t>
        </is>
      </c>
      <c r="D65" s="8" t="inlineStr">
        <is>
          <t>SWIND</t>
        </is>
      </c>
      <c r="E65" s="8" t="n">
        <v>800</v>
      </c>
      <c r="F65" s="8" t="n">
        <v>400</v>
      </c>
      <c r="G65" s="8" t="n">
        <v>750</v>
      </c>
      <c r="H65" s="8" t="n">
        <v>350</v>
      </c>
      <c r="I65" s="8" t="n"/>
      <c r="J65" s="8" t="n"/>
      <c r="K65" s="8" t="n"/>
      <c r="L65" s="8" t="inlineStr">
        <is>
          <t>cái</t>
        </is>
      </c>
      <c r="M65" s="10" t="n">
        <v>4</v>
      </c>
      <c r="N65" s="10">
        <f>ROUND('00_TONG_HOP_BAO_GIA'!Q14, 0)</f>
        <v/>
      </c>
      <c r="O65" s="10">
        <f>ROUNDUP(N65*M65, -2)</f>
        <v/>
      </c>
      <c r="P65" s="9" t="inlineStr">
        <is>
          <t>Cửa nan bầu dục 1 lớp</t>
        </is>
      </c>
    </row>
    <row r="66">
      <c r="A66" s="8" t="n"/>
      <c r="B66" s="9" t="inlineStr">
        <is>
          <t>Van NRD 800x400</t>
        </is>
      </c>
      <c r="C66" s="8" t="inlineStr">
        <is>
          <t>NRD</t>
        </is>
      </c>
      <c r="D66" s="8" t="inlineStr">
        <is>
          <t>SWIND</t>
        </is>
      </c>
      <c r="E66" s="8" t="n">
        <v>800</v>
      </c>
      <c r="F66" s="8" t="n">
        <v>400</v>
      </c>
      <c r="G66" s="8" t="n"/>
      <c r="H66" s="8" t="n"/>
      <c r="I66" s="8" t="n"/>
      <c r="J66" s="8" t="n">
        <v>200</v>
      </c>
      <c r="K66" s="12" t="n">
        <v>0.75</v>
      </c>
      <c r="L66" s="8" t="inlineStr">
        <is>
          <t>cái</t>
        </is>
      </c>
      <c r="M66" s="10" t="n">
        <v>4</v>
      </c>
      <c r="N66" s="10">
        <f>ROUND('00_TONG_HOP_BAO_GIA'!Q15, 0)</f>
        <v/>
      </c>
      <c r="O66" s="10">
        <f>ROUNDUP(N66*M66, -2)</f>
        <v/>
      </c>
      <c r="P66" s="9" t="inlineStr">
        <is>
          <t>Van 1 chiều tôn mạ kẽm</t>
        </is>
      </c>
    </row>
    <row r="67">
      <c r="A67" s="8" t="n"/>
      <c r="B67" s="9" t="inlineStr">
        <is>
          <t>Cửa gió nan thẳng 800x450</t>
        </is>
      </c>
      <c r="C67" s="8" t="inlineStr">
        <is>
          <t>SDG</t>
        </is>
      </c>
      <c r="D67" s="8" t="inlineStr">
        <is>
          <t>SWIND</t>
        </is>
      </c>
      <c r="E67" s="8" t="n">
        <v>800</v>
      </c>
      <c r="F67" s="8" t="n">
        <v>450</v>
      </c>
      <c r="G67" s="8" t="n">
        <v>750</v>
      </c>
      <c r="H67" s="8" t="n">
        <v>400</v>
      </c>
      <c r="I67" s="8" t="n"/>
      <c r="J67" s="8" t="n"/>
      <c r="K67" s="8" t="n"/>
      <c r="L67" s="8" t="inlineStr">
        <is>
          <t>cái</t>
        </is>
      </c>
      <c r="M67" s="10" t="n">
        <v>1</v>
      </c>
      <c r="N67" s="10">
        <f>ROUND('00_TONG_HOP_BAO_GIA'!Q16, 0)</f>
        <v/>
      </c>
      <c r="O67" s="10">
        <f>ROUNDUP(N67*M67, -2)</f>
        <v/>
      </c>
      <c r="P67" s="9" t="inlineStr">
        <is>
          <t>Cửa nan bầu dục 1 lớp</t>
        </is>
      </c>
    </row>
    <row r="68">
      <c r="A68" s="8" t="n"/>
      <c r="B68" s="9" t="inlineStr">
        <is>
          <t>Van NRD 800x450</t>
        </is>
      </c>
      <c r="C68" s="8" t="inlineStr">
        <is>
          <t>NRD</t>
        </is>
      </c>
      <c r="D68" s="8" t="inlineStr">
        <is>
          <t>SWIND</t>
        </is>
      </c>
      <c r="E68" s="8" t="n">
        <v>800</v>
      </c>
      <c r="F68" s="8" t="n">
        <v>450</v>
      </c>
      <c r="G68" s="8" t="n"/>
      <c r="H68" s="8" t="n"/>
      <c r="I68" s="8" t="n"/>
      <c r="J68" s="8" t="n">
        <v>200</v>
      </c>
      <c r="K68" s="12" t="n">
        <v>0.95</v>
      </c>
      <c r="L68" s="8" t="inlineStr">
        <is>
          <t>cái</t>
        </is>
      </c>
      <c r="M68" s="10" t="n">
        <v>1</v>
      </c>
      <c r="N68" s="10">
        <f>ROUND('00_TONG_HOP_BAO_GIA'!Q17, 0)</f>
        <v/>
      </c>
      <c r="O68" s="10">
        <f>ROUNDUP(N68*M68, -2)</f>
        <v/>
      </c>
      <c r="P68" s="9" t="inlineStr">
        <is>
          <t>Van 1 chiều tôn mạ kẽm</t>
        </is>
      </c>
    </row>
    <row r="69">
      <c r="A69" s="8" t="n"/>
      <c r="B69" s="9" t="inlineStr">
        <is>
          <t>Cửa gió nan thẳng 800x350</t>
        </is>
      </c>
      <c r="C69" s="8" t="inlineStr">
        <is>
          <t>SDG</t>
        </is>
      </c>
      <c r="D69" s="8" t="inlineStr">
        <is>
          <t>SWIND</t>
        </is>
      </c>
      <c r="E69" s="8" t="n">
        <v>800</v>
      </c>
      <c r="F69" s="8" t="n">
        <v>350</v>
      </c>
      <c r="G69" s="8" t="n">
        <v>750</v>
      </c>
      <c r="H69" s="8" t="n">
        <v>300</v>
      </c>
      <c r="I69" s="8" t="n"/>
      <c r="J69" s="8" t="n"/>
      <c r="K69" s="8" t="n"/>
      <c r="L69" s="8" t="inlineStr">
        <is>
          <t>cái</t>
        </is>
      </c>
      <c r="M69" s="10" t="n">
        <v>2</v>
      </c>
      <c r="N69" s="10">
        <f>ROUND('00_TONG_HOP_BAO_GIA'!Q18, 0)</f>
        <v/>
      </c>
      <c r="O69" s="10">
        <f>ROUNDUP(N69*M69, -2)</f>
        <v/>
      </c>
      <c r="P69" s="9" t="inlineStr">
        <is>
          <t>Cửa nan bầu dục 1 lớp</t>
        </is>
      </c>
    </row>
    <row r="70">
      <c r="A70" s="8" t="n"/>
      <c r="B70" s="9" t="inlineStr">
        <is>
          <t>Van NRD 800x350</t>
        </is>
      </c>
      <c r="C70" s="8" t="inlineStr">
        <is>
          <t>NRD</t>
        </is>
      </c>
      <c r="D70" s="8" t="inlineStr">
        <is>
          <t>SWIND</t>
        </is>
      </c>
      <c r="E70" s="8" t="n">
        <v>800</v>
      </c>
      <c r="F70" s="8" t="n">
        <v>350</v>
      </c>
      <c r="G70" s="8" t="n"/>
      <c r="H70" s="8" t="n"/>
      <c r="I70" s="8" t="n"/>
      <c r="J70" s="8" t="n">
        <v>200</v>
      </c>
      <c r="K70" s="12" t="n">
        <v>0.75</v>
      </c>
      <c r="L70" s="8" t="inlineStr">
        <is>
          <t>cái</t>
        </is>
      </c>
      <c r="M70" s="10" t="n">
        <v>2</v>
      </c>
      <c r="N70" s="10">
        <f>ROUND('00_TONG_HOP_BAO_GIA'!Q19, 0)</f>
        <v/>
      </c>
      <c r="O70" s="10">
        <f>ROUNDUP(N70*M70, -2)</f>
        <v/>
      </c>
      <c r="P70" s="9" t="inlineStr">
        <is>
          <t>Van 1 chiều tôn mạ kẽm</t>
        </is>
      </c>
    </row>
    <row r="71">
      <c r="A71" s="8" t="n"/>
      <c r="B71" s="9" t="inlineStr">
        <is>
          <t>Cửa gió nan thẳng 600x300</t>
        </is>
      </c>
      <c r="C71" s="8" t="inlineStr">
        <is>
          <t>SDG</t>
        </is>
      </c>
      <c r="D71" s="8" t="inlineStr">
        <is>
          <t>SWIND</t>
        </is>
      </c>
      <c r="E71" s="8" t="n">
        <v>600</v>
      </c>
      <c r="F71" s="8" t="n">
        <v>300</v>
      </c>
      <c r="G71" s="8" t="n">
        <v>550</v>
      </c>
      <c r="H71" s="8" t="n">
        <v>250</v>
      </c>
      <c r="I71" s="8" t="n"/>
      <c r="J71" s="8" t="n"/>
      <c r="K71" s="8" t="n"/>
      <c r="L71" s="8" t="inlineStr">
        <is>
          <t>cái</t>
        </is>
      </c>
      <c r="M71" s="10" t="n">
        <v>2</v>
      </c>
      <c r="N71" s="10">
        <f>ROUND('00_TONG_HOP_BAO_GIA'!Q20, 0)</f>
        <v/>
      </c>
      <c r="O71" s="10">
        <f>ROUNDUP(N71*M71, -2)</f>
        <v/>
      </c>
      <c r="P71" s="9" t="inlineStr">
        <is>
          <t>Cửa nan bầu dục 1 lớp</t>
        </is>
      </c>
    </row>
    <row r="72">
      <c r="A72" s="8" t="n"/>
      <c r="B72" s="9" t="inlineStr">
        <is>
          <t>Van NRD 600x300</t>
        </is>
      </c>
      <c r="C72" s="8" t="inlineStr">
        <is>
          <t>NRD</t>
        </is>
      </c>
      <c r="D72" s="8" t="inlineStr">
        <is>
          <t>SWIND</t>
        </is>
      </c>
      <c r="E72" s="8" t="n">
        <v>600</v>
      </c>
      <c r="F72" s="8" t="n">
        <v>300</v>
      </c>
      <c r="G72" s="8" t="n"/>
      <c r="H72" s="8" t="n"/>
      <c r="I72" s="8" t="n"/>
      <c r="J72" s="8" t="n">
        <v>200</v>
      </c>
      <c r="K72" s="12" t="n">
        <v>0.75</v>
      </c>
      <c r="L72" s="8" t="inlineStr">
        <is>
          <t>cái</t>
        </is>
      </c>
      <c r="M72" s="10" t="n">
        <v>2</v>
      </c>
      <c r="N72" s="10">
        <f>ROUND('00_TONG_HOP_BAO_GIA'!Q21, 0)</f>
        <v/>
      </c>
      <c r="O72" s="10">
        <f>ROUNDUP(N72*M72, -2)</f>
        <v/>
      </c>
      <c r="P72" s="9" t="inlineStr">
        <is>
          <t>Van 1 chiều tôn mạ kẽm</t>
        </is>
      </c>
    </row>
    <row r="73">
      <c r="A73" s="8" t="n"/>
      <c r="B73" s="9" t="inlineStr">
        <is>
          <t>Cảm biến khói gắn ống gió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cái</t>
        </is>
      </c>
      <c r="M73" s="10" t="n">
        <v>3</v>
      </c>
      <c r="N73" s="11" t="n"/>
      <c r="O73" s="11" t="n"/>
      <c r="P73" s="9" t="n"/>
    </row>
    <row r="74">
      <c r="A74" s="8" t="n"/>
      <c r="B74" s="9" t="inlineStr">
        <is>
          <t>Ty treo giá đỡ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trọn gói</t>
        </is>
      </c>
      <c r="M74" s="10" t="n">
        <v>1</v>
      </c>
      <c r="N74" s="11" t="n"/>
      <c r="O74" s="11" t="n"/>
      <c r="P74" s="9" t="n"/>
    </row>
    <row r="75">
      <c r="A75" s="8" t="n"/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11" t="n"/>
      <c r="N75" s="11" t="n"/>
      <c r="O75" s="11" t="n"/>
      <c r="P75" s="9" t="n"/>
    </row>
    <row r="76">
      <c r="A76" s="6" t="n"/>
      <c r="B76" s="7" t="inlineStr">
        <is>
          <t>II. HỆ THỐNG BÙ GIÓ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n"/>
      <c r="B77" s="7" t="inlineStr">
        <is>
          <t>Thiết bị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8" t="n"/>
      <c r="B78" s="9" t="inlineStr">
        <is>
          <t>Quạt bù gió_Loại hướng trục MAF-B3-Z1.01
21.000 m3/h@300Pa
Motor chống cháy 300°C/2h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cái</t>
        </is>
      </c>
      <c r="M78" s="10" t="n">
        <v>1</v>
      </c>
      <c r="N78" s="11" t="n"/>
      <c r="O78" s="11" t="n"/>
      <c r="P78" s="9" t="n"/>
    </row>
    <row r="79">
      <c r="A79" s="8" t="n"/>
      <c r="B79" s="9" t="inlineStr">
        <is>
          <t>Quạt bù gió_Loại hướng trục MAF-B3-Z1.02
26.800 m3/h@500Pa
Motor chống cháy 300°C/2h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cái</t>
        </is>
      </c>
      <c r="M79" s="10" t="n">
        <v>1</v>
      </c>
      <c r="N79" s="11" t="n"/>
      <c r="O79" s="11" t="n"/>
      <c r="P79" s="9" t="n"/>
    </row>
    <row r="80">
      <c r="A80" s="8" t="n"/>
      <c r="B80" s="9" t="inlineStr">
        <is>
          <t>Quạt bù gió_Loại hướng trục MAF-B3-Z2.01
21.000 m3/h@300Pa
Motor chống cháy 300°C/2h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cái</t>
        </is>
      </c>
      <c r="M80" s="10" t="n">
        <v>1</v>
      </c>
      <c r="N80" s="11" t="n"/>
      <c r="O80" s="11" t="n"/>
      <c r="P80" s="9" t="n"/>
    </row>
    <row r="81">
      <c r="A81" s="8" t="n"/>
      <c r="B81" s="9" t="inlineStr">
        <is>
          <t>Quạt bù gió_Loại hướng trục MAF-B3-Z2.02
26.800 m3/h@500Pa
Motor chống cháy 300°C/2h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cái</t>
        </is>
      </c>
      <c r="M81" s="10" t="n">
        <v>1</v>
      </c>
      <c r="N81" s="11" t="n"/>
      <c r="O81" s="11" t="n"/>
      <c r="P81" s="9" t="n"/>
    </row>
    <row r="82">
      <c r="A82" s="8" t="n"/>
      <c r="B82" s="9" t="inlineStr">
        <is>
          <t>Quạt bù gió_Loại hướng trục MAF-B3-Z3.01
21.000 m3/h@300Pa
Motor chống cháy 300°C/2h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cái</t>
        </is>
      </c>
      <c r="M82" s="10" t="n">
        <v>1</v>
      </c>
      <c r="N82" s="11" t="n"/>
      <c r="O82" s="11" t="n"/>
      <c r="P82" s="9" t="n"/>
    </row>
    <row r="83">
      <c r="A83" s="8" t="n"/>
      <c r="B83" s="9" t="inlineStr">
        <is>
          <t>Quạt bù gió_Loại hướng trục MAF-B3-Z3.02
26.800 m3/h@500Pa
Motor chống cháy 300°C/2h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inlineStr">
        <is>
          <t>cái</t>
        </is>
      </c>
      <c r="M83" s="10" t="n">
        <v>1</v>
      </c>
      <c r="N83" s="11" t="n"/>
      <c r="O83" s="11" t="n"/>
      <c r="P83" s="9" t="n"/>
    </row>
    <row r="84">
      <c r="A84" s="8" t="n"/>
      <c r="B84" s="9" t="inlineStr">
        <is>
          <t>Quạt bù gió_Loại hướng trục MAF-B2-Z1.01
27.000 m3/h@300Pa
Motor chống cháy 300°C/2h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cái</t>
        </is>
      </c>
      <c r="M84" s="10" t="n">
        <v>1</v>
      </c>
      <c r="N84" s="11" t="n"/>
      <c r="O84" s="11" t="n"/>
      <c r="P84" s="9" t="n"/>
    </row>
    <row r="85">
      <c r="A85" s="8" t="n"/>
      <c r="B85" s="9" t="inlineStr">
        <is>
          <t>Quạt bù gió_Loại hướng trục MAF-B2-Z1.02
34.425 m3/h@500Pa
Motor chống cháy 300°C/2h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cái</t>
        </is>
      </c>
      <c r="M85" s="10" t="n">
        <v>1</v>
      </c>
      <c r="N85" s="11" t="n"/>
      <c r="O85" s="11" t="n"/>
      <c r="P85" s="9" t="n"/>
    </row>
    <row r="86">
      <c r="A86" s="8" t="n"/>
      <c r="B86" s="9" t="inlineStr">
        <is>
          <t>Quạt bù gió_Loại hướng trục MAF-B2-Z2.01
27.000 m3/h@300Pa
Motor chống cháy 300°C/2h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cái</t>
        </is>
      </c>
      <c r="M86" s="10" t="n">
        <v>1</v>
      </c>
      <c r="N86" s="11" t="n"/>
      <c r="O86" s="11" t="n"/>
      <c r="P86" s="9" t="n"/>
    </row>
    <row r="87">
      <c r="A87" s="8" t="n"/>
      <c r="B87" s="9" t="inlineStr">
        <is>
          <t>Quạt bù gió_Loại hướng trục MAF-B2-Z2.02
26.800 m3/h@500Pa
Motor chống cháy 300°C/2h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cái</t>
        </is>
      </c>
      <c r="M87" s="10" t="n">
        <v>1</v>
      </c>
      <c r="N87" s="11" t="n"/>
      <c r="O87" s="11" t="n"/>
      <c r="P87" s="9" t="n"/>
    </row>
    <row r="88">
      <c r="A88" s="8" t="n"/>
      <c r="B88" s="9" t="inlineStr">
        <is>
          <t>Quạt bù gió_Loại hướng trục MAF-B2-Z3.01
27.000 m3/h@300Pa
Motor chống cháy 300°C/2h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cái</t>
        </is>
      </c>
      <c r="M88" s="10" t="n">
        <v>1</v>
      </c>
      <c r="N88" s="11" t="n"/>
      <c r="O88" s="11" t="n"/>
      <c r="P88" s="9" t="n"/>
    </row>
    <row r="89">
      <c r="A89" s="8" t="n"/>
      <c r="B89" s="9" t="inlineStr">
        <is>
          <t>Quạt bù gió_Loại hướng trục MAF-B2-Z3.02
34.425 m3/h@500Pa
Motor chống cháy 300°C/2h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cái</t>
        </is>
      </c>
      <c r="M89" s="10" t="n">
        <v>1</v>
      </c>
      <c r="N89" s="11" t="n"/>
      <c r="O89" s="11" t="n"/>
      <c r="P89" s="9" t="n"/>
    </row>
    <row r="90">
      <c r="A90" s="8" t="n"/>
      <c r="B90" s="9" t="inlineStr">
        <is>
          <t>Quạt bù gió_Loại hướng trục MAF-B1-Z1.01
21.000 m3/h@300Pa
Motor chống cháy 300°C/2h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cái</t>
        </is>
      </c>
      <c r="M90" s="10" t="n">
        <v>1</v>
      </c>
      <c r="N90" s="11" t="n"/>
      <c r="O90" s="11" t="n"/>
      <c r="P90" s="9" t="n"/>
    </row>
    <row r="91">
      <c r="A91" s="8" t="n"/>
      <c r="B91" s="9" t="inlineStr">
        <is>
          <t>Quạt bù gió_Loại hướng trục MAF-B1-Z1.02
26.800 m3/h@500Pa
Motor chống cháy 300°C/2h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cái</t>
        </is>
      </c>
      <c r="M91" s="10" t="n">
        <v>1</v>
      </c>
      <c r="N91" s="11" t="n"/>
      <c r="O91" s="11" t="n"/>
      <c r="P91" s="9" t="n"/>
    </row>
    <row r="92">
      <c r="A92" s="8" t="n"/>
      <c r="B92" s="9" t="inlineStr">
        <is>
          <t>Quạt bù gió_Loại hướng trục MAF-B1-Z2.01
21.000 m3/h@300Pa
Motor chống cháy 300°C/2h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cái</t>
        </is>
      </c>
      <c r="M92" s="10" t="n">
        <v>1</v>
      </c>
      <c r="N92" s="11" t="n"/>
      <c r="O92" s="11" t="n"/>
      <c r="P92" s="9" t="n"/>
    </row>
    <row r="93">
      <c r="A93" s="8" t="n"/>
      <c r="B93" s="9" t="inlineStr">
        <is>
          <t>Quạt bù gió_Loại hướng trục MAF-B1-Z2.02
26.800 m3/h@500Pa
Motor chống cháy 300°C/2h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cái</t>
        </is>
      </c>
      <c r="M93" s="10" t="n">
        <v>1</v>
      </c>
      <c r="N93" s="11" t="n"/>
      <c r="O93" s="11" t="n"/>
      <c r="P93" s="9" t="n"/>
    </row>
    <row r="94">
      <c r="A94" s="8" t="n"/>
      <c r="B94" s="9" t="inlineStr">
        <is>
          <t>Quạt bù gió_Loại hướng trục MAF-B1-Z3.01
27.000 m3/h@300Pa
Motor chống cháy 300°C/2h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cái</t>
        </is>
      </c>
      <c r="M94" s="10" t="n">
        <v>1</v>
      </c>
      <c r="N94" s="11" t="n"/>
      <c r="O94" s="11" t="n"/>
      <c r="P94" s="9" t="n"/>
    </row>
    <row r="95">
      <c r="A95" s="8" t="n"/>
      <c r="B95" s="9" t="inlineStr">
        <is>
          <t>Quạt bù gió_Loại hướng trục MAF-B1-Z3.02
34.425 m3/h@500Pa
Motor chống cháy 300°C/2h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cái</t>
        </is>
      </c>
      <c r="M95" s="10" t="n">
        <v>1</v>
      </c>
      <c r="N95" s="11" t="n"/>
      <c r="O95" s="11" t="n"/>
      <c r="P95" s="9" t="n"/>
    </row>
    <row r="96">
      <c r="A96" s="8" t="n"/>
      <c r="B96" s="9" t="inlineStr">
        <is>
          <t>Nối mềm chống cháy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bộ</t>
        </is>
      </c>
      <c r="M96" s="10" t="n">
        <v>18</v>
      </c>
      <c r="N96" s="11" t="n"/>
      <c r="O96" s="11" t="n"/>
      <c r="P96" s="9" t="n"/>
    </row>
    <row r="97">
      <c r="A97" s="8" t="n"/>
      <c r="B97" s="9" t="inlineStr">
        <is>
          <t>Ty treo giá đỡ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trọn gói</t>
        </is>
      </c>
      <c r="M97" s="10" t="n">
        <v>1</v>
      </c>
      <c r="N97" s="11" t="n"/>
      <c r="O97" s="11" t="n"/>
      <c r="P97" s="9" t="n"/>
    </row>
    <row r="98">
      <c r="A98" s="8" t="n"/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11" t="n"/>
      <c r="N98" s="11" t="n"/>
      <c r="O98" s="11" t="n"/>
      <c r="P98" s="9" t="n"/>
    </row>
    <row r="99">
      <c r="A99" s="6" t="n"/>
      <c r="B99" s="7" t="inlineStr">
        <is>
          <t>Ống gió
Air duct</t>
        </is>
      </c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n"/>
      <c r="B100" s="7" t="inlineStr">
        <is>
          <t>Ống gió chống cháy EI120</t>
        </is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n"/>
      <c r="B101" s="7" t="inlineStr">
        <is>
          <t>Ống gió thẳng</t>
        </is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8" t="n"/>
      <c r="B102" s="9" t="inlineStr">
        <is>
          <t>Ống gió chống cháy EI120 1400x400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m</t>
        </is>
      </c>
      <c r="M102" s="10" t="n">
        <v>180</v>
      </c>
      <c r="N102" s="11" t="n"/>
      <c r="O102" s="11" t="n"/>
      <c r="P102" s="9" t="n"/>
    </row>
    <row r="103">
      <c r="A103" s="8" t="n"/>
      <c r="B103" s="9" t="inlineStr">
        <is>
          <t>Ống gió chống cháy EI120 1200x550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m</t>
        </is>
      </c>
      <c r="M103" s="10" t="n">
        <v>120</v>
      </c>
      <c r="N103" s="11" t="n"/>
      <c r="O103" s="11" t="n"/>
      <c r="P103" s="9" t="n"/>
    </row>
    <row r="104">
      <c r="A104" s="8" t="n"/>
      <c r="B104" s="9" t="inlineStr">
        <is>
          <t>Ống gió chống cháy EI120 1200x400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m</t>
        </is>
      </c>
      <c r="M104" s="10" t="n">
        <v>225</v>
      </c>
      <c r="N104" s="11" t="n"/>
      <c r="O104" s="11" t="n"/>
      <c r="P104" s="9" t="n"/>
    </row>
    <row r="105">
      <c r="A105" s="8" t="n"/>
      <c r="B105" s="9" t="inlineStr">
        <is>
          <t>Ống gió chống cháy EI120 1100x350</t>
        </is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inlineStr">
        <is>
          <t>m</t>
        </is>
      </c>
      <c r="M105" s="10" t="n">
        <v>555</v>
      </c>
      <c r="N105" s="11" t="n"/>
      <c r="O105" s="11" t="n"/>
      <c r="P105" s="9" t="n"/>
    </row>
    <row r="106">
      <c r="A106" s="8" t="n"/>
      <c r="B106" s="9" t="inlineStr">
        <is>
          <t>Ống gió chống cháy EI120 900x300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m</t>
        </is>
      </c>
      <c r="M106" s="10" t="n">
        <v>534</v>
      </c>
      <c r="N106" s="11" t="n"/>
      <c r="O106" s="11" t="n"/>
      <c r="P106" s="9" t="n"/>
    </row>
    <row r="107">
      <c r="A107" s="8" t="n"/>
      <c r="B107" s="9" t="inlineStr">
        <is>
          <t>Ống gió chống cháy EI120 900x350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m</t>
        </is>
      </c>
      <c r="M107" s="10" t="n">
        <v>30</v>
      </c>
      <c r="N107" s="11" t="n"/>
      <c r="O107" s="11" t="n"/>
      <c r="P107" s="9" t="n"/>
    </row>
    <row r="108">
      <c r="A108" s="8" t="n"/>
      <c r="B108" s="9" t="inlineStr">
        <is>
          <t>Ống gió chống cháy EI120 900x300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m</t>
        </is>
      </c>
      <c r="M108" s="10" t="n">
        <v>209</v>
      </c>
      <c r="N108" s="11" t="n"/>
      <c r="O108" s="11" t="n"/>
      <c r="P108" s="9" t="n"/>
    </row>
    <row r="109">
      <c r="A109" s="6" t="n"/>
      <c r="B109" s="7" t="inlineStr">
        <is>
          <t>Côn chuyển</t>
        </is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8" t="n"/>
      <c r="B110" s="9" t="inlineStr">
        <is>
          <t>Côn chuyển 1200x550/ 1100x350-500L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4</v>
      </c>
      <c r="N110" s="11" t="n"/>
      <c r="O110" s="11" t="n"/>
      <c r="P110" s="9" t="n"/>
    </row>
    <row r="111">
      <c r="A111" s="8" t="n"/>
      <c r="B111" s="9" t="inlineStr">
        <is>
          <t>Côn chuyển 1200x400/ 1100x350-500L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8</v>
      </c>
      <c r="N111" s="11" t="n"/>
      <c r="O111" s="11" t="n"/>
      <c r="P111" s="9" t="n"/>
    </row>
    <row r="112">
      <c r="A112" s="8" t="n"/>
      <c r="B112" s="9" t="inlineStr">
        <is>
          <t>Côn chuyển 1100x350/ 900x300-500L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17</v>
      </c>
      <c r="N112" s="11" t="n"/>
      <c r="O112" s="11" t="n"/>
      <c r="P112" s="9" t="n"/>
    </row>
    <row r="113">
      <c r="A113" s="8" t="n"/>
      <c r="B113" s="9" t="inlineStr">
        <is>
          <t>Côn chuyển 1400x400/ 1200x400-500L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3</v>
      </c>
      <c r="N113" s="11" t="n"/>
      <c r="O113" s="11" t="n"/>
      <c r="P113" s="9" t="n"/>
    </row>
    <row r="114">
      <c r="A114" s="8" t="n"/>
      <c r="B114" s="9" t="inlineStr">
        <is>
          <t>Côn chuyển 1400x400/ 1100x350-500L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2</v>
      </c>
      <c r="N114" s="11" t="n"/>
      <c r="O114" s="11" t="n"/>
      <c r="P114" s="9" t="n"/>
    </row>
    <row r="115">
      <c r="A115" s="6" t="n"/>
      <c r="B115" s="7" t="inlineStr">
        <is>
          <t>Chân rẽ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8" t="n"/>
      <c r="B116" s="9" t="inlineStr">
        <is>
          <t>Chân rẽ 1100x350-200H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11</v>
      </c>
      <c r="N116" s="11" t="n"/>
      <c r="O116" s="11" t="n"/>
      <c r="P116" s="9" t="n"/>
    </row>
    <row r="117">
      <c r="A117" s="8" t="n"/>
      <c r="B117" s="9" t="inlineStr">
        <is>
          <t>Chân rẽ 900x300-200H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44</v>
      </c>
      <c r="N117" s="11" t="n"/>
      <c r="O117" s="11" t="n"/>
      <c r="P117" s="9" t="n"/>
    </row>
    <row r="118">
      <c r="A118" s="8" t="n"/>
      <c r="B118" s="9" t="inlineStr">
        <is>
          <t>Chân rẽ 900x350-200H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6" t="n"/>
      <c r="B119" s="7" t="inlineStr">
        <is>
          <t>Co ngang ống gió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/>
      <c r="B120" s="9" t="inlineStr">
        <is>
          <t>Co ngang ống gió 1200x550-600R-45°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4</v>
      </c>
      <c r="N120" s="11" t="n"/>
      <c r="O120" s="11" t="n"/>
      <c r="P120" s="9" t="n"/>
    </row>
    <row r="121">
      <c r="A121" s="8" t="n"/>
      <c r="B121" s="9" t="inlineStr">
        <is>
          <t>Co ngang ống gió 1200x400-600R-45°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2</v>
      </c>
      <c r="N121" s="11" t="n"/>
      <c r="O121" s="11" t="n"/>
      <c r="P121" s="9" t="n"/>
    </row>
    <row r="122">
      <c r="A122" s="8" t="n"/>
      <c r="B122" s="9" t="inlineStr">
        <is>
          <t>Co ngang ống gió 1400x400-400R-90°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9</v>
      </c>
      <c r="N122" s="11" t="n"/>
      <c r="O122" s="11" t="n"/>
      <c r="P122" s="9" t="n"/>
    </row>
    <row r="123">
      <c r="A123" s="8" t="n"/>
      <c r="B123" s="9" t="inlineStr">
        <is>
          <t>Co ngang ống gió 1200x400-400R-90°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5</v>
      </c>
      <c r="N123" s="11" t="n"/>
      <c r="O123" s="11" t="n"/>
      <c r="P123" s="9" t="n"/>
    </row>
    <row r="124">
      <c r="A124" s="8" t="n"/>
      <c r="B124" s="9" t="inlineStr">
        <is>
          <t>Co ngang ống gió 1100x350-400R-90°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5</v>
      </c>
      <c r="N124" s="11" t="n"/>
      <c r="O124" s="11" t="n"/>
      <c r="P124" s="9" t="n"/>
    </row>
    <row r="125">
      <c r="A125" s="8" t="n"/>
      <c r="B125" s="9" t="inlineStr">
        <is>
          <t>Co ngang ống gió 900x350-400R-90°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2</v>
      </c>
      <c r="N125" s="11" t="n"/>
      <c r="O125" s="11" t="n"/>
      <c r="P125" s="9" t="n"/>
    </row>
    <row r="126">
      <c r="A126" s="8" t="n"/>
      <c r="B126" s="9" t="inlineStr">
        <is>
          <t>Co ngang ống gió 900x300-400R-90°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28</v>
      </c>
      <c r="N126" s="11" t="n"/>
      <c r="O126" s="11" t="n"/>
      <c r="P126" s="9" t="n"/>
    </row>
    <row r="127">
      <c r="A127" s="8" t="n"/>
      <c r="B127" s="9" t="inlineStr">
        <is>
          <t>Ty treo giá đỡ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trọn gói</t>
        </is>
      </c>
      <c r="M127" s="10" t="n">
        <v>1</v>
      </c>
      <c r="N127" s="11" t="n"/>
      <c r="O127" s="11" t="n"/>
      <c r="P127" s="9" t="n"/>
    </row>
    <row r="128">
      <c r="A128" s="8" t="n"/>
      <c r="B128" s="9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11" t="n"/>
      <c r="N128" s="11" t="n"/>
      <c r="O128" s="11" t="n"/>
      <c r="P128" s="9" t="n"/>
    </row>
    <row r="129">
      <c r="A129" s="6" t="n"/>
      <c r="B129" s="7" t="inlineStr">
        <is>
          <t>Miệng gió</t>
        </is>
      </c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8" t="n"/>
      <c r="B130" s="9" t="inlineStr">
        <is>
          <t>Miệng gió OAG+OBD 900x900</t>
        </is>
      </c>
      <c r="C130" s="8" t="inlineStr">
        <is>
          <t>SDG+O</t>
        </is>
      </c>
      <c r="D130" s="8" t="inlineStr">
        <is>
          <t>SWIND</t>
        </is>
      </c>
      <c r="E130" s="8" t="n">
        <v>900</v>
      </c>
      <c r="F130" s="8" t="n">
        <v>900</v>
      </c>
      <c r="G130" s="8" t="n">
        <v>850</v>
      </c>
      <c r="H130" s="8" t="n">
        <v>850</v>
      </c>
      <c r="I130" s="8" t="n"/>
      <c r="J130" s="8" t="n"/>
      <c r="K130" s="8" t="n"/>
      <c r="L130" s="8" t="inlineStr">
        <is>
          <t>cái</t>
        </is>
      </c>
      <c r="M130" s="10" t="n">
        <v>64</v>
      </c>
      <c r="N130" s="10">
        <f>ROUND('00_TONG_HOP_BAO_GIA'!Q22, 0)</f>
        <v/>
      </c>
      <c r="O130" s="10">
        <f>ROUNDUP(N130*M130, -2)</f>
        <v/>
      </c>
      <c r="P130" s="9" t="inlineStr">
        <is>
          <t>Cửa nan bầu dục 1 lớp kèm van OBD</t>
        </is>
      </c>
    </row>
    <row r="131">
      <c r="A131" s="8" t="n"/>
      <c r="B131" s="9" t="inlineStr">
        <is>
          <t>Cửa gió nan thẳng 1200x550</t>
        </is>
      </c>
      <c r="C131" s="8" t="inlineStr">
        <is>
          <t>SDG</t>
        </is>
      </c>
      <c r="D131" s="8" t="inlineStr">
        <is>
          <t>SWIND</t>
        </is>
      </c>
      <c r="E131" s="8" t="n">
        <v>1200</v>
      </c>
      <c r="F131" s="8" t="n">
        <v>550</v>
      </c>
      <c r="G131" s="8" t="n">
        <v>1150</v>
      </c>
      <c r="H131" s="8" t="n">
        <v>500</v>
      </c>
      <c r="I131" s="8" t="n"/>
      <c r="J131" s="8" t="n"/>
      <c r="K131" s="8" t="n"/>
      <c r="L131" s="8" t="inlineStr">
        <is>
          <t>cái</t>
        </is>
      </c>
      <c r="M131" s="10" t="n">
        <v>4</v>
      </c>
      <c r="N131" s="10">
        <f>ROUND('00_TONG_HOP_BAO_GIA'!Q23, 0)</f>
        <v/>
      </c>
      <c r="O131" s="10">
        <f>ROUNDUP(N131*M131, -2)</f>
        <v/>
      </c>
      <c r="P131" s="9" t="inlineStr">
        <is>
          <t>Cửa nan bầu dục 1 lớp</t>
        </is>
      </c>
    </row>
    <row r="132">
      <c r="A132" s="8" t="n"/>
      <c r="B132" s="9" t="inlineStr">
        <is>
          <t>Van MFD 1200x550 - EI60</t>
        </is>
      </c>
      <c r="C132" s="8" t="inlineStr">
        <is>
          <t>SWIND-1.03-MFD-EI90</t>
        </is>
      </c>
      <c r="D132" s="8" t="inlineStr">
        <is>
          <t>SWIND</t>
        </is>
      </c>
      <c r="E132" s="8" t="n">
        <v>1200</v>
      </c>
      <c r="F132" s="8" t="n">
        <v>550</v>
      </c>
      <c r="G132" s="8" t="n"/>
      <c r="H132" s="8" t="n"/>
      <c r="I132" s="8" t="n"/>
      <c r="J132" s="8" t="n">
        <v>200</v>
      </c>
      <c r="K132" s="12" t="n">
        <v>1.15</v>
      </c>
      <c r="L132" s="8" t="inlineStr">
        <is>
          <t>cái</t>
        </is>
      </c>
      <c r="M132" s="10" t="n">
        <v>4</v>
      </c>
      <c r="N132" s="10">
        <f>ROUND('00_TONG_HOP_BAO_GIA'!Q24, 0)</f>
        <v/>
      </c>
      <c r="O132" s="10">
        <f>ROUNDUP(N132*M132, -2)</f>
        <v/>
      </c>
      <c r="P132" s="9" t="inlineStr">
        <is>
          <t>- Van ngăn cháy động cơ - Tiêu chuẩn EI 90
- 2 đầu bích TDC - Gắn kèm động cơ ON-OFF 5Nm, Hãng KLB
- Sản xuất theo BCTN số 4651/VLXD-TBMT</t>
        </is>
      </c>
    </row>
    <row r="133">
      <c r="A133" s="8" t="n"/>
      <c r="B133" s="9" t="inlineStr">
        <is>
          <t>Cửa gió nan thẳng 1200x400</t>
        </is>
      </c>
      <c r="C133" s="8" t="inlineStr">
        <is>
          <t>SDG</t>
        </is>
      </c>
      <c r="D133" s="8" t="inlineStr">
        <is>
          <t>SWIND</t>
        </is>
      </c>
      <c r="E133" s="8" t="n">
        <v>1200</v>
      </c>
      <c r="F133" s="8" t="n">
        <v>400</v>
      </c>
      <c r="G133" s="8" t="n">
        <v>1150</v>
      </c>
      <c r="H133" s="8" t="n">
        <v>350</v>
      </c>
      <c r="I133" s="8" t="n"/>
      <c r="J133" s="8" t="n"/>
      <c r="K133" s="8" t="n"/>
      <c r="L133" s="8" t="inlineStr">
        <is>
          <t>cái</t>
        </is>
      </c>
      <c r="M133" s="10" t="n">
        <v>12</v>
      </c>
      <c r="N133" s="10">
        <f>ROUND('00_TONG_HOP_BAO_GIA'!Q25, 0)</f>
        <v/>
      </c>
      <c r="O133" s="10">
        <f>ROUNDUP(N133*M133, -2)</f>
        <v/>
      </c>
      <c r="P133" s="9" t="inlineStr">
        <is>
          <t>Cửa nan bầu dục 1 lớp</t>
        </is>
      </c>
    </row>
    <row r="134">
      <c r="A134" s="8" t="n"/>
      <c r="B134" s="9" t="inlineStr">
        <is>
          <t>Van MFD 1200x400 - EI60</t>
        </is>
      </c>
      <c r="C134" s="8" t="inlineStr">
        <is>
          <t>SWIND-1.03-MFD-EI90</t>
        </is>
      </c>
      <c r="D134" s="8" t="inlineStr">
        <is>
          <t>SWIND</t>
        </is>
      </c>
      <c r="E134" s="8" t="n">
        <v>1200</v>
      </c>
      <c r="F134" s="8" t="n">
        <v>400</v>
      </c>
      <c r="G134" s="8" t="n"/>
      <c r="H134" s="8" t="n"/>
      <c r="I134" s="8" t="n"/>
      <c r="J134" s="8" t="n">
        <v>200</v>
      </c>
      <c r="K134" s="12" t="n">
        <v>1.15</v>
      </c>
      <c r="L134" s="8" t="inlineStr">
        <is>
          <t>cái</t>
        </is>
      </c>
      <c r="M134" s="10" t="n">
        <v>12</v>
      </c>
      <c r="N134" s="10">
        <f>ROUND('00_TONG_HOP_BAO_GIA'!Q26, 0)</f>
        <v/>
      </c>
      <c r="O134" s="10">
        <f>ROUNDUP(N134*M134, -2)</f>
        <v/>
      </c>
      <c r="P134" s="9" t="inlineStr">
        <is>
          <t>- Van ngăn cháy động cơ - Tiêu chuẩn EI 90
- 2 đầu bích TDC - Gắn kèm động cơ ON-OFF 5Nm, Hãng KLB
- Sản xuất theo BCTN số 4651/VLXD-TBMT</t>
        </is>
      </c>
    </row>
    <row r="135">
      <c r="A135" s="8" t="n"/>
      <c r="B135" s="9" t="inlineStr">
        <is>
          <t>Cửa gió nan thẳng 1400x400</t>
        </is>
      </c>
      <c r="C135" s="8" t="inlineStr">
        <is>
          <t>SDG</t>
        </is>
      </c>
      <c r="D135" s="8" t="inlineStr">
        <is>
          <t>SWIND</t>
        </is>
      </c>
      <c r="E135" s="8" t="n">
        <v>1400</v>
      </c>
      <c r="F135" s="8" t="n">
        <v>400</v>
      </c>
      <c r="G135" s="8" t="n">
        <v>1350</v>
      </c>
      <c r="H135" s="8" t="n">
        <v>350</v>
      </c>
      <c r="I135" s="8" t="n"/>
      <c r="J135" s="8" t="n"/>
      <c r="K135" s="8" t="n"/>
      <c r="L135" s="8" t="inlineStr">
        <is>
          <t>cái</t>
        </is>
      </c>
      <c r="M135" s="10" t="n">
        <v>2</v>
      </c>
      <c r="N135" s="10">
        <f>ROUND('00_TONG_HOP_BAO_GIA'!Q27, 0)</f>
        <v/>
      </c>
      <c r="O135" s="10">
        <f>ROUNDUP(N135*M135, -2)</f>
        <v/>
      </c>
      <c r="P135" s="9" t="inlineStr">
        <is>
          <t>Cửa nan bầu dục 1 lớp</t>
        </is>
      </c>
    </row>
    <row r="136">
      <c r="A136" s="8" t="n"/>
      <c r="B136" s="9" t="inlineStr">
        <is>
          <t>Van MFD 1400x400</t>
        </is>
      </c>
      <c r="C136" s="8" t="inlineStr">
        <is>
          <t>SWIND-1.03-MFD-EI90</t>
        </is>
      </c>
      <c r="D136" s="8" t="inlineStr">
        <is>
          <t>SWIND</t>
        </is>
      </c>
      <c r="E136" s="8" t="n">
        <v>1400</v>
      </c>
      <c r="F136" s="8" t="n">
        <v>400</v>
      </c>
      <c r="G136" s="8" t="n"/>
      <c r="H136" s="8" t="n"/>
      <c r="I136" s="8" t="n"/>
      <c r="J136" s="8" t="n">
        <v>200</v>
      </c>
      <c r="K136" s="12" t="n">
        <v>1.15</v>
      </c>
      <c r="L136" s="8" t="inlineStr">
        <is>
          <t>cái</t>
        </is>
      </c>
      <c r="M136" s="10" t="n">
        <v>2</v>
      </c>
      <c r="N136" s="10">
        <f>ROUND('00_TONG_HOP_BAO_GIA'!Q28, 0)</f>
        <v/>
      </c>
      <c r="O136" s="10">
        <f>ROUNDUP(N136*M136, -2)</f>
        <v/>
      </c>
      <c r="P136" s="9" t="inlineStr">
        <is>
          <t>- Van ngăn cháy động cơ - Tiêu chuẩn EI 90
- 2 đầu bích TDC - Gắn kèm động cơ ON-OFF 5Nm, Hãng KLB
- Sản xuất theo BCTN số 4651/VLXD-TBMT</t>
        </is>
      </c>
    </row>
    <row r="137">
      <c r="A137" s="8" t="n"/>
      <c r="B137" s="9" t="inlineStr">
        <is>
          <t>Cửa gió nan thẳng 1200x550</t>
        </is>
      </c>
      <c r="C137" s="8" t="inlineStr">
        <is>
          <t>SDG</t>
        </is>
      </c>
      <c r="D137" s="8" t="inlineStr">
        <is>
          <t>SWIND</t>
        </is>
      </c>
      <c r="E137" s="8" t="n">
        <v>1200</v>
      </c>
      <c r="F137" s="8" t="n">
        <v>550</v>
      </c>
      <c r="G137" s="8" t="n">
        <v>1150</v>
      </c>
      <c r="H137" s="8" t="n">
        <v>500</v>
      </c>
      <c r="I137" s="8" t="n"/>
      <c r="J137" s="8" t="n"/>
      <c r="K137" s="8" t="n"/>
      <c r="L137" s="8" t="inlineStr">
        <is>
          <t>cái</t>
        </is>
      </c>
      <c r="M137" s="10" t="n">
        <v>4</v>
      </c>
      <c r="N137" s="10">
        <f>ROUND('00_TONG_HOP_BAO_GIA'!Q29, 0)</f>
        <v/>
      </c>
      <c r="O137" s="10">
        <f>ROUNDUP(N137*M137, -2)</f>
        <v/>
      </c>
      <c r="P137" s="9" t="inlineStr">
        <is>
          <t>Cửa nan bầu dục 1 lớp</t>
        </is>
      </c>
    </row>
    <row r="138">
      <c r="A138" s="8" t="n"/>
      <c r="B138" s="9" t="inlineStr">
        <is>
          <t>Van NRD 1200x550</t>
        </is>
      </c>
      <c r="C138" s="8" t="inlineStr">
        <is>
          <t>NRD</t>
        </is>
      </c>
      <c r="D138" s="8" t="inlineStr">
        <is>
          <t>SWIND</t>
        </is>
      </c>
      <c r="E138" s="8" t="n">
        <v>1200</v>
      </c>
      <c r="F138" s="8" t="n">
        <v>550</v>
      </c>
      <c r="G138" s="8" t="n"/>
      <c r="H138" s="8" t="n"/>
      <c r="I138" s="8" t="n"/>
      <c r="J138" s="8" t="n">
        <v>200</v>
      </c>
      <c r="K138" s="12" t="n">
        <v>1.15</v>
      </c>
      <c r="L138" s="8" t="inlineStr">
        <is>
          <t>cái</t>
        </is>
      </c>
      <c r="M138" s="10" t="n">
        <v>4</v>
      </c>
      <c r="N138" s="10">
        <f>ROUND('00_TONG_HOP_BAO_GIA'!Q30, 0)</f>
        <v/>
      </c>
      <c r="O138" s="10">
        <f>ROUNDUP(N138*M138, -2)</f>
        <v/>
      </c>
      <c r="P138" s="9" t="inlineStr">
        <is>
          <t>Van 1 chiều tôn mạ kẽm</t>
        </is>
      </c>
    </row>
    <row r="139">
      <c r="A139" s="8" t="n"/>
      <c r="B139" s="9" t="inlineStr">
        <is>
          <t>Cửa gió nan thẳng 1200x400</t>
        </is>
      </c>
      <c r="C139" s="8" t="inlineStr">
        <is>
          <t>SDG</t>
        </is>
      </c>
      <c r="D139" s="8" t="inlineStr">
        <is>
          <t>SWIND</t>
        </is>
      </c>
      <c r="E139" s="8" t="n">
        <v>1200</v>
      </c>
      <c r="F139" s="8" t="n">
        <v>400</v>
      </c>
      <c r="G139" s="8" t="n">
        <v>1150</v>
      </c>
      <c r="H139" s="8" t="n">
        <v>350</v>
      </c>
      <c r="I139" s="8" t="n"/>
      <c r="J139" s="8" t="n"/>
      <c r="K139" s="8" t="n"/>
      <c r="L139" s="8" t="inlineStr">
        <is>
          <t>cái</t>
        </is>
      </c>
      <c r="M139" s="10" t="n">
        <v>12</v>
      </c>
      <c r="N139" s="10">
        <f>ROUND('00_TONG_HOP_BAO_GIA'!Q31, 0)</f>
        <v/>
      </c>
      <c r="O139" s="10">
        <f>ROUNDUP(N139*M139, -2)</f>
        <v/>
      </c>
      <c r="P139" s="9" t="inlineStr">
        <is>
          <t>Cửa nan bầu dục 1 lớp</t>
        </is>
      </c>
    </row>
    <row r="140">
      <c r="A140" s="8" t="n"/>
      <c r="B140" s="9" t="inlineStr">
        <is>
          <t>Van NRD 1200x400</t>
        </is>
      </c>
      <c r="C140" s="8" t="inlineStr">
        <is>
          <t>NRD</t>
        </is>
      </c>
      <c r="D140" s="8" t="inlineStr">
        <is>
          <t>SWIND</t>
        </is>
      </c>
      <c r="E140" s="8" t="n">
        <v>1200</v>
      </c>
      <c r="F140" s="8" t="n">
        <v>400</v>
      </c>
      <c r="G140" s="8" t="n"/>
      <c r="H140" s="8" t="n"/>
      <c r="I140" s="8" t="n"/>
      <c r="J140" s="8" t="n">
        <v>200</v>
      </c>
      <c r="K140" s="12" t="n">
        <v>1.15</v>
      </c>
      <c r="L140" s="8" t="inlineStr">
        <is>
          <t>cái</t>
        </is>
      </c>
      <c r="M140" s="10" t="n">
        <v>12</v>
      </c>
      <c r="N140" s="10">
        <f>ROUND('00_TONG_HOP_BAO_GIA'!Q32, 0)</f>
        <v/>
      </c>
      <c r="O140" s="10">
        <f>ROUNDUP(N140*M140, -2)</f>
        <v/>
      </c>
      <c r="P140" s="9" t="inlineStr">
        <is>
          <t>Van 1 chiều tôn mạ kẽm</t>
        </is>
      </c>
    </row>
    <row r="141">
      <c r="A141" s="8" t="n"/>
      <c r="B141" s="9" t="inlineStr">
        <is>
          <t>Cửa gió nan thẳng 1400x400</t>
        </is>
      </c>
      <c r="C141" s="8" t="inlineStr">
        <is>
          <t>SDG</t>
        </is>
      </c>
      <c r="D141" s="8" t="inlineStr">
        <is>
          <t>SWIND</t>
        </is>
      </c>
      <c r="E141" s="8" t="n">
        <v>1400</v>
      </c>
      <c r="F141" s="8" t="n">
        <v>400</v>
      </c>
      <c r="G141" s="8" t="n">
        <v>1350</v>
      </c>
      <c r="H141" s="8" t="n">
        <v>350</v>
      </c>
      <c r="I141" s="8" t="n"/>
      <c r="J141" s="8" t="n"/>
      <c r="K141" s="8" t="n"/>
      <c r="L141" s="8" t="inlineStr">
        <is>
          <t>cái</t>
        </is>
      </c>
      <c r="M141" s="10" t="n">
        <v>2</v>
      </c>
      <c r="N141" s="10">
        <f>ROUND('00_TONG_HOP_BAO_GIA'!Q33, 0)</f>
        <v/>
      </c>
      <c r="O141" s="10">
        <f>ROUNDUP(N141*M141, -2)</f>
        <v/>
      </c>
      <c r="P141" s="9" t="inlineStr">
        <is>
          <t>Cửa nan bầu dục 1 lớp</t>
        </is>
      </c>
    </row>
    <row r="142">
      <c r="A142" s="8" t="n"/>
      <c r="B142" s="9" t="inlineStr">
        <is>
          <t>Van NRD 1400x400</t>
        </is>
      </c>
      <c r="C142" s="8" t="inlineStr">
        <is>
          <t>NRD</t>
        </is>
      </c>
      <c r="D142" s="8" t="inlineStr">
        <is>
          <t>SWIND</t>
        </is>
      </c>
      <c r="E142" s="8" t="n">
        <v>1400</v>
      </c>
      <c r="F142" s="8" t="n">
        <v>400</v>
      </c>
      <c r="G142" s="8" t="n"/>
      <c r="H142" s="8" t="n"/>
      <c r="I142" s="8" t="n"/>
      <c r="J142" s="8" t="n">
        <v>200</v>
      </c>
      <c r="K142" s="12" t="n">
        <v>1.15</v>
      </c>
      <c r="L142" s="8" t="inlineStr">
        <is>
          <t>cái</t>
        </is>
      </c>
      <c r="M142" s="10" t="n">
        <v>2</v>
      </c>
      <c r="N142" s="10">
        <f>ROUND('00_TONG_HOP_BAO_GIA'!Q34, 0)</f>
        <v/>
      </c>
      <c r="O142" s="10">
        <f>ROUNDUP(N142*M142, -2)</f>
        <v/>
      </c>
      <c r="P142" s="9" t="inlineStr">
        <is>
          <t>Van 1 chiều tôn mạ kẽm</t>
        </is>
      </c>
    </row>
    <row r="143">
      <c r="A143" s="8" t="n"/>
      <c r="B143" s="9" t="inlineStr">
        <is>
          <t>Cảm biến khói gắn ống gió</t>
        </is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inlineStr">
        <is>
          <t>cái</t>
        </is>
      </c>
      <c r="M143" s="10" t="n">
        <v>3</v>
      </c>
      <c r="N143" s="11" t="n"/>
      <c r="O143" s="11" t="n"/>
      <c r="P143" s="9" t="n"/>
    </row>
    <row r="144">
      <c r="A144" s="8" t="n"/>
      <c r="B144" s="9" t="inlineStr">
        <is>
          <t>Ty treo giá đỡ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trọn gói</t>
        </is>
      </c>
      <c r="M144" s="10" t="n">
        <v>1</v>
      </c>
      <c r="N144" s="11" t="n"/>
      <c r="O144" s="11" t="n"/>
      <c r="P144" s="9" t="n"/>
    </row>
    <row r="145">
      <c r="A145" s="8" t="n"/>
      <c r="B145" s="9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11" t="n"/>
      <c r="N145" s="11" t="n"/>
      <c r="O145" s="11" t="n"/>
      <c r="P145" s="9" t="n"/>
    </row>
    <row r="146">
      <c r="A146" s="6" t="n"/>
      <c r="B146" s="7" t="inlineStr">
        <is>
          <t>III. HỆ THỐNG HÚT KHÓI</t>
        </is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>
      <c r="A147" s="6" t="n"/>
      <c r="B147" s="7" t="inlineStr">
        <is>
          <t>Thiết bị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8" t="n"/>
      <c r="B148" s="9" t="inlineStr">
        <is>
          <t>Quạt hút khói_Hướng trục SEAF-B3-Z1.01
21.000m3/h@300Pa
Motor chống cháy 300°C/2h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cái</t>
        </is>
      </c>
      <c r="M148" s="10" t="n">
        <v>1</v>
      </c>
      <c r="N148" s="11" t="n"/>
      <c r="O148" s="11" t="n"/>
      <c r="P148" s="9" t="n"/>
    </row>
    <row r="149">
      <c r="A149" s="8" t="n"/>
      <c r="B149" s="9" t="inlineStr">
        <is>
          <t>Quạt hút khói_Hướng trục SEAF-B3-Z1.01
31.500m3/h@675Pa
Motor chống cháy 300°C/2h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inlineStr">
        <is>
          <t>cái</t>
        </is>
      </c>
      <c r="M149" s="10" t="n">
        <v>1</v>
      </c>
      <c r="N149" s="11" t="n"/>
      <c r="O149" s="11" t="n"/>
      <c r="P149" s="9" t="n"/>
    </row>
    <row r="150">
      <c r="A150" s="8" t="n"/>
      <c r="B150" s="9" t="inlineStr">
        <is>
          <t>Quạt hút khói_Hướng trục SEAF-B3-Z2.01
21.000m3/h@300Pa
Motor chống cháy 300°C/2h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cái</t>
        </is>
      </c>
      <c r="M150" s="10" t="n">
        <v>1</v>
      </c>
      <c r="N150" s="11" t="n"/>
      <c r="O150" s="11" t="n"/>
      <c r="P150" s="9" t="n"/>
    </row>
    <row r="151">
      <c r="A151" s="8" t="n"/>
      <c r="B151" s="9" t="inlineStr">
        <is>
          <t>Quạt hút khói_Hướng trục SEAF-B3-Z2.01
31.500m3/h@675Pa
Motor chống cháy 300°C/2h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cái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Quạt hút khói_Hướng trục SEAF-B3-Z3.01
21.000m3/h@300Pa
Motor chống cháy 300°C/2h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cái</t>
        </is>
      </c>
      <c r="M152" s="10" t="n">
        <v>1</v>
      </c>
      <c r="N152" s="11" t="n"/>
      <c r="O152" s="11" t="n"/>
      <c r="P152" s="9" t="n"/>
    </row>
    <row r="153">
      <c r="A153" s="8" t="n"/>
      <c r="B153" s="9" t="inlineStr">
        <is>
          <t>Quạt hút khói_Hướng trục SEAF-B3-Z3.01
31.500m3/h@675Pa
Motor chống cháy 300°C/2h</t>
        </is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inlineStr">
        <is>
          <t>cái</t>
        </is>
      </c>
      <c r="M153" s="10" t="n">
        <v>1</v>
      </c>
      <c r="N153" s="11" t="n"/>
      <c r="O153" s="11" t="n"/>
      <c r="P153" s="9" t="n"/>
    </row>
    <row r="154">
      <c r="A154" s="8" t="n"/>
      <c r="B154" s="9" t="inlineStr">
        <is>
          <t>Quạt hút khói_Hướng trục SEAF-B2-Z1.01
27.000m3/h@300Pa
Motor chống cháy 300°C/2h</t>
        </is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inlineStr">
        <is>
          <t>cái</t>
        </is>
      </c>
      <c r="M154" s="10" t="n">
        <v>1</v>
      </c>
      <c r="N154" s="11" t="n"/>
      <c r="O154" s="11" t="n"/>
      <c r="P154" s="9" t="n"/>
    </row>
    <row r="155">
      <c r="A155" s="8" t="n"/>
      <c r="B155" s="9" t="inlineStr">
        <is>
          <t>Quạt hút khói_Hướng trục SEAF-B2-Z1.01
40.500m3/h@675Pa
Motor chống cháy 300°C/2h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inlineStr">
        <is>
          <t>cái</t>
        </is>
      </c>
      <c r="M155" s="10" t="n">
        <v>1</v>
      </c>
      <c r="N155" s="11" t="n"/>
      <c r="O155" s="11" t="n"/>
      <c r="P155" s="9" t="n"/>
    </row>
    <row r="156">
      <c r="A156" s="8" t="n"/>
      <c r="B156" s="9" t="inlineStr">
        <is>
          <t>Quạt hút khói_Hướng trục SEAF-B2-Z2.01
27.000m3/h@300Pa
Motor chống cháy 300°C/2h</t>
        </is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inlineStr">
        <is>
          <t>cái</t>
        </is>
      </c>
      <c r="M156" s="10" t="n">
        <v>1</v>
      </c>
      <c r="N156" s="11" t="n"/>
      <c r="O156" s="11" t="n"/>
      <c r="P156" s="9" t="n"/>
    </row>
    <row r="157">
      <c r="A157" s="8" t="n"/>
      <c r="B157" s="9" t="inlineStr">
        <is>
          <t>Quạt hút khói_Hướng trục SEAF-B2-Z2.01
40.500m3/h@675Pa
Motor chống cháy 300°C/2h</t>
        </is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inlineStr">
        <is>
          <t>cái</t>
        </is>
      </c>
      <c r="M157" s="10" t="n">
        <v>1</v>
      </c>
      <c r="N157" s="11" t="n"/>
      <c r="O157" s="11" t="n"/>
      <c r="P157" s="9" t="n"/>
    </row>
    <row r="158">
      <c r="A158" s="8" t="n"/>
      <c r="B158" s="9" t="inlineStr">
        <is>
          <t>Quạt hút khói_Hướng trục SEAF-B2-Z3.01
27.000m3/h@300Pa
Motor chống cháy 300°C/2h</t>
        </is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inlineStr">
        <is>
          <t>cái</t>
        </is>
      </c>
      <c r="M158" s="10" t="n">
        <v>1</v>
      </c>
      <c r="N158" s="11" t="n"/>
      <c r="O158" s="11" t="n"/>
      <c r="P158" s="9" t="n"/>
    </row>
    <row r="159">
      <c r="A159" s="8" t="n"/>
      <c r="B159" s="9" t="inlineStr">
        <is>
          <t>Quạt hút khói_Hướng trục SEAF-B2-Z3.01
40.500m3/h@675Pa
Motor chống cháy 300°C/2h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inlineStr">
        <is>
          <t>cái</t>
        </is>
      </c>
      <c r="M159" s="10" t="n">
        <v>1</v>
      </c>
      <c r="N159" s="11" t="n"/>
      <c r="O159" s="11" t="n"/>
      <c r="P159" s="9" t="n"/>
    </row>
    <row r="160">
      <c r="A160" s="8" t="n"/>
      <c r="B160" s="9" t="inlineStr">
        <is>
          <t>Quạt hút khói_Hướng trục SEAF-B1-Z1.01
21.000m3/h@300Pa
Motor chống cháy 300°C/2h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inlineStr">
        <is>
          <t>cái</t>
        </is>
      </c>
      <c r="M160" s="10" t="n">
        <v>1</v>
      </c>
      <c r="N160" s="11" t="n"/>
      <c r="O160" s="11" t="n"/>
      <c r="P160" s="9" t="n"/>
    </row>
    <row r="161">
      <c r="A161" s="8" t="n"/>
      <c r="B161" s="9" t="inlineStr">
        <is>
          <t>Quạt hút khói_Hướng trục SEAF-B1-Z1.01
31.500m3/h@675Pa
Motor chống cháy 300°C/2h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inlineStr">
        <is>
          <t>cái</t>
        </is>
      </c>
      <c r="M161" s="10" t="n">
        <v>1</v>
      </c>
      <c r="N161" s="11" t="n"/>
      <c r="O161" s="11" t="n"/>
      <c r="P161" s="9" t="n"/>
    </row>
    <row r="162">
      <c r="A162" s="8" t="n"/>
      <c r="B162" s="9" t="inlineStr">
        <is>
          <t>Quạt hút khói_Hướng trục SEAF-B1-Z2.01
21.000m3/h@300Pa
Motor chống cháy 300°C/2h</t>
        </is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inlineStr">
        <is>
          <t>cái</t>
        </is>
      </c>
      <c r="M162" s="10" t="n">
        <v>1</v>
      </c>
      <c r="N162" s="11" t="n"/>
      <c r="O162" s="11" t="n"/>
      <c r="P162" s="9" t="n"/>
    </row>
    <row r="163">
      <c r="A163" s="8" t="n"/>
      <c r="B163" s="9" t="inlineStr">
        <is>
          <t>Quạt hút khói_Hướng trục SEAF-B1-Z2.01
31.500m3/h@675Pa
Motor chống cháy 300°C/2h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inlineStr">
        <is>
          <t>cái</t>
        </is>
      </c>
      <c r="M163" s="10" t="n">
        <v>1</v>
      </c>
      <c r="N163" s="11" t="n"/>
      <c r="O163" s="11" t="n"/>
      <c r="P163" s="9" t="n"/>
    </row>
    <row r="164">
      <c r="A164" s="8" t="n"/>
      <c r="B164" s="9" t="inlineStr">
        <is>
          <t>Quạt hút khói_Hướng trục SEAF-B1-Z3.01
27.000m3/h@300Pa
Motor chống cháy 300°C/2h</t>
        </is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inlineStr">
        <is>
          <t>cái</t>
        </is>
      </c>
      <c r="M164" s="10" t="n">
        <v>1</v>
      </c>
      <c r="N164" s="11" t="n"/>
      <c r="O164" s="11" t="n"/>
      <c r="P164" s="9" t="n"/>
    </row>
    <row r="165">
      <c r="A165" s="8" t="n"/>
      <c r="B165" s="9" t="inlineStr">
        <is>
          <t>Quạt hút khói_Hướng trục SEAF-B1-Z3.01
40.500m3/h@675Pa
Motor chống cháy 300°C/2h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inlineStr">
        <is>
          <t>cái</t>
        </is>
      </c>
      <c r="M165" s="10" t="n">
        <v>1</v>
      </c>
      <c r="N165" s="11" t="n"/>
      <c r="O165" s="11" t="n"/>
      <c r="P165" s="9" t="n"/>
    </row>
    <row r="166">
      <c r="A166" s="8" t="n"/>
      <c r="B166" s="9" t="inlineStr">
        <is>
          <t>Nối mềm chống cháy</t>
        </is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inlineStr">
        <is>
          <t>bộ</t>
        </is>
      </c>
      <c r="M166" s="10" t="n">
        <v>18</v>
      </c>
      <c r="N166" s="11" t="n"/>
      <c r="O166" s="11" t="n"/>
      <c r="P166" s="9" t="n"/>
    </row>
    <row r="167">
      <c r="A167" s="8" t="n"/>
      <c r="B167" s="9" t="inlineStr">
        <is>
          <t>Ty treo giá đỡ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inlineStr">
        <is>
          <t>trọn gói</t>
        </is>
      </c>
      <c r="M167" s="10" t="n">
        <v>1</v>
      </c>
      <c r="N167" s="11" t="n"/>
      <c r="O167" s="11" t="n"/>
      <c r="P167" s="9" t="n"/>
    </row>
    <row r="168">
      <c r="A168" s="8" t="n"/>
      <c r="B168" s="9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11" t="n"/>
      <c r="N168" s="11" t="n"/>
      <c r="O168" s="11" t="n"/>
      <c r="P168" s="9" t="n"/>
    </row>
    <row r="169">
      <c r="A169" s="6" t="n"/>
      <c r="B169" s="7" t="inlineStr">
        <is>
          <t>Ống gió
Air duct</t>
        </is>
      </c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6" t="n"/>
      <c r="B170" s="7" t="inlineStr">
        <is>
          <t>Ống gió chống cháy EI120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6" t="n"/>
      <c r="B171" s="7" t="inlineStr">
        <is>
          <t>Ống gió thẳng</t>
        </is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8" t="n"/>
      <c r="B172" s="9" t="inlineStr">
        <is>
          <t>Ống gió chống cháy EI120 1400x400</t>
        </is>
      </c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inlineStr">
        <is>
          <t>m</t>
        </is>
      </c>
      <c r="M172" s="10" t="n">
        <v>430</v>
      </c>
      <c r="N172" s="11" t="n"/>
      <c r="O172" s="11" t="n"/>
      <c r="P172" s="9" t="n"/>
    </row>
    <row r="173">
      <c r="A173" s="8" t="n"/>
      <c r="B173" s="9" t="inlineStr">
        <is>
          <t>Ống gió chống cháy EI120 1200x400</t>
        </is>
      </c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inlineStr">
        <is>
          <t>m</t>
        </is>
      </c>
      <c r="M173" s="10" t="n">
        <v>341</v>
      </c>
      <c r="N173" s="11" t="n"/>
      <c r="O173" s="11" t="n"/>
      <c r="P173" s="9" t="n"/>
    </row>
    <row r="174">
      <c r="A174" s="8" t="n"/>
      <c r="B174" s="9" t="inlineStr">
        <is>
          <t>Ống gió chống cháy EI120 1100x350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inlineStr">
        <is>
          <t>m</t>
        </is>
      </c>
      <c r="M174" s="10" t="n">
        <v>69</v>
      </c>
      <c r="N174" s="11" t="n"/>
      <c r="O174" s="11" t="n"/>
      <c r="P174" s="9" t="n"/>
    </row>
    <row r="175">
      <c r="A175" s="8" t="n"/>
      <c r="B175" s="9" t="inlineStr">
        <is>
          <t>Ống gió chống cháy EI120 1000x350</t>
        </is>
      </c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inlineStr">
        <is>
          <t>m</t>
        </is>
      </c>
      <c r="M175" s="10" t="n">
        <v>147</v>
      </c>
      <c r="N175" s="11" t="n"/>
      <c r="O175" s="11" t="n"/>
      <c r="P175" s="9" t="n"/>
    </row>
    <row r="176">
      <c r="A176" s="8" t="n"/>
      <c r="B176" s="9" t="inlineStr">
        <is>
          <t>Ống gió chống cháy EI120 950x300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inlineStr">
        <is>
          <t>m</t>
        </is>
      </c>
      <c r="M176" s="10" t="n">
        <v>294</v>
      </c>
      <c r="N176" s="11" t="n"/>
      <c r="O176" s="11" t="n"/>
      <c r="P176" s="9" t="n"/>
    </row>
    <row r="177">
      <c r="A177" s="8" t="n"/>
      <c r="B177" s="9" t="inlineStr">
        <is>
          <t>Ống gió chống cháy EI120 800x300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inlineStr">
        <is>
          <t>m</t>
        </is>
      </c>
      <c r="M177" s="10" t="n">
        <v>607</v>
      </c>
      <c r="N177" s="11" t="n"/>
      <c r="O177" s="11" t="n"/>
      <c r="P177" s="9" t="n"/>
    </row>
    <row r="178">
      <c r="A178" s="8" t="n"/>
      <c r="B178" s="9" t="inlineStr">
        <is>
          <t>Ống gió chống cháy EI120 400x400</t>
        </is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inlineStr">
        <is>
          <t>m</t>
        </is>
      </c>
      <c r="M178" s="10" t="n">
        <v>2</v>
      </c>
      <c r="N178" s="11" t="n"/>
      <c r="O178" s="11" t="n"/>
      <c r="P178" s="9" t="n"/>
    </row>
    <row r="179">
      <c r="A179" s="8" t="n"/>
      <c r="B179" s="9" t="inlineStr">
        <is>
          <t>Ống gió chống cháy EI120 300x300</t>
        </is>
      </c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inlineStr">
        <is>
          <t>m</t>
        </is>
      </c>
      <c r="M179" s="10" t="n">
        <v>6</v>
      </c>
      <c r="N179" s="11" t="n"/>
      <c r="O179" s="11" t="n"/>
      <c r="P179" s="9" t="n"/>
    </row>
    <row r="180">
      <c r="A180" s="8" t="n"/>
      <c r="B180" s="9" t="inlineStr">
        <is>
          <t>Ống gió chống cháy EI120 300x200</t>
        </is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inlineStr">
        <is>
          <t>m</t>
        </is>
      </c>
      <c r="M180" s="10" t="n">
        <v>5</v>
      </c>
      <c r="N180" s="11" t="n"/>
      <c r="O180" s="11" t="n"/>
      <c r="P180" s="9" t="n"/>
    </row>
    <row r="181">
      <c r="A181" s="8" t="n"/>
      <c r="B181" s="9" t="inlineStr">
        <is>
          <t>Ống gió chống cháy EI120 200x200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inlineStr">
        <is>
          <t>m</t>
        </is>
      </c>
      <c r="M181" s="10" t="n">
        <v>2</v>
      </c>
      <c r="N181" s="11" t="n"/>
      <c r="O181" s="11" t="n"/>
      <c r="P181" s="9" t="n"/>
    </row>
    <row r="182">
      <c r="A182" s="6" t="n"/>
      <c r="B182" s="7" t="inlineStr">
        <is>
          <t>Côn chuyển</t>
        </is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</row>
    <row r="183">
      <c r="A183" s="8" t="n"/>
      <c r="B183" s="9" t="inlineStr">
        <is>
          <t>Côn chuyển 1400x400/ 1200x400-500L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inlineStr">
        <is>
          <t>cái</t>
        </is>
      </c>
      <c r="M183" s="10" t="n">
        <v>9</v>
      </c>
      <c r="N183" s="11" t="n"/>
      <c r="O183" s="11" t="n"/>
      <c r="P183" s="9" t="n"/>
    </row>
    <row r="184">
      <c r="A184" s="8" t="n"/>
      <c r="B184" s="9" t="inlineStr">
        <is>
          <t>Côn chuyển 1200x400/ 1100x350-500L</t>
        </is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inlineStr">
        <is>
          <t>cái</t>
        </is>
      </c>
      <c r="M184" s="10" t="n">
        <v>7</v>
      </c>
      <c r="N184" s="11" t="n"/>
      <c r="O184" s="11" t="n"/>
      <c r="P184" s="9" t="n"/>
    </row>
    <row r="185">
      <c r="A185" s="8" t="n"/>
      <c r="B185" s="9" t="inlineStr">
        <is>
          <t>Côn chuyển 1200x400/ 1000x350-500L</t>
        </is>
      </c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inlineStr">
        <is>
          <t>cái</t>
        </is>
      </c>
      <c r="M185" s="10" t="n">
        <v>7</v>
      </c>
      <c r="N185" s="11" t="n"/>
      <c r="O185" s="11" t="n"/>
      <c r="P185" s="9" t="n"/>
    </row>
    <row r="186">
      <c r="A186" s="8" t="n"/>
      <c r="B186" s="9" t="inlineStr">
        <is>
          <t>Côn chuyển 1100x350/ 1000x350-500L</t>
        </is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inlineStr">
        <is>
          <t>cái</t>
        </is>
      </c>
      <c r="M186" s="10" t="n">
        <v>7</v>
      </c>
      <c r="N186" s="11" t="n"/>
      <c r="O186" s="11" t="n"/>
      <c r="P186" s="9" t="n"/>
    </row>
    <row r="187">
      <c r="A187" s="8" t="n"/>
      <c r="B187" s="9" t="inlineStr">
        <is>
          <t>Côn chuyển 1000x350/ 950x300-500L</t>
        </is>
      </c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inlineStr">
        <is>
          <t>cái</t>
        </is>
      </c>
      <c r="M187" s="10" t="n">
        <v>14</v>
      </c>
      <c r="N187" s="11" t="n"/>
      <c r="O187" s="11" t="n"/>
      <c r="P187" s="9" t="n"/>
    </row>
    <row r="188">
      <c r="A188" s="8" t="n"/>
      <c r="B188" s="9" t="inlineStr">
        <is>
          <t>Côn chuyển 950x300/ 800x300-500L</t>
        </is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inlineStr">
        <is>
          <t>cái</t>
        </is>
      </c>
      <c r="M188" s="10" t="n">
        <v>24</v>
      </c>
      <c r="N188" s="11" t="n"/>
      <c r="O188" s="11" t="n"/>
      <c r="P188" s="9" t="n"/>
    </row>
    <row r="189">
      <c r="A189" s="8" t="n"/>
      <c r="B189" s="9" t="inlineStr">
        <is>
          <t>Côn chuyển 1200x400/ 950x300-500L</t>
        </is>
      </c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inlineStr">
        <is>
          <t>cái</t>
        </is>
      </c>
      <c r="M189" s="10" t="n">
        <v>3</v>
      </c>
      <c r="N189" s="11" t="n"/>
      <c r="O189" s="11" t="n"/>
      <c r="P189" s="9" t="n"/>
    </row>
    <row r="190">
      <c r="A190" s="8" t="n"/>
      <c r="B190" s="9" t="inlineStr">
        <is>
          <t>Côn chuyển 1000x350/ 800x300-500L</t>
        </is>
      </c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inlineStr">
        <is>
          <t>cái</t>
        </is>
      </c>
      <c r="M190" s="10" t="n">
        <v>1</v>
      </c>
      <c r="N190" s="11" t="n"/>
      <c r="O190" s="11" t="n"/>
      <c r="P190" s="9" t="n"/>
    </row>
    <row r="191">
      <c r="A191" s="8" t="n"/>
      <c r="B191" s="9" t="inlineStr">
        <is>
          <t>Côn chuyển 400x400/ 300x200-500L</t>
        </is>
      </c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inlineStr">
        <is>
          <t>cái</t>
        </is>
      </c>
      <c r="M191" s="10" t="n">
        <v>1</v>
      </c>
      <c r="N191" s="11" t="n"/>
      <c r="O191" s="11" t="n"/>
      <c r="P191" s="9" t="n"/>
    </row>
    <row r="192">
      <c r="A192" s="6" t="n"/>
      <c r="B192" s="7" t="inlineStr">
        <is>
          <t>Chân rẽ</t>
        </is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</row>
    <row r="193">
      <c r="A193" s="8" t="n"/>
      <c r="B193" s="9" t="inlineStr">
        <is>
          <t>Chân rẽ 1200x400-200H</t>
        </is>
      </c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inlineStr">
        <is>
          <t>cái</t>
        </is>
      </c>
      <c r="M193" s="10" t="n">
        <v>3</v>
      </c>
      <c r="N193" s="11" t="n"/>
      <c r="O193" s="11" t="n"/>
      <c r="P193" s="9" t="n"/>
    </row>
    <row r="194">
      <c r="A194" s="8" t="n"/>
      <c r="B194" s="9" t="inlineStr">
        <is>
          <t>Chân rẽ 1000x350-200H</t>
        </is>
      </c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inlineStr">
        <is>
          <t>cái</t>
        </is>
      </c>
      <c r="M194" s="10" t="n">
        <v>1</v>
      </c>
      <c r="N194" s="11" t="n"/>
      <c r="O194" s="11" t="n"/>
      <c r="P194" s="9" t="n"/>
    </row>
    <row r="195">
      <c r="A195" s="8" t="n"/>
      <c r="B195" s="9" t="inlineStr">
        <is>
          <t>Chân rẽ 950x300-200H</t>
        </is>
      </c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inlineStr">
        <is>
          <t>cái</t>
        </is>
      </c>
      <c r="M195" s="10" t="n">
        <v>8</v>
      </c>
      <c r="N195" s="11" t="n"/>
      <c r="O195" s="11" t="n"/>
      <c r="P195" s="9" t="n"/>
    </row>
    <row r="196">
      <c r="A196" s="8" t="n"/>
      <c r="B196" s="9" t="inlineStr">
        <is>
          <t>Chân rẽ 800x300-200H</t>
        </is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inlineStr">
        <is>
          <t>cái</t>
        </is>
      </c>
      <c r="M196" s="10" t="n">
        <v>5</v>
      </c>
      <c r="N196" s="11" t="n"/>
      <c r="O196" s="11" t="n"/>
      <c r="P196" s="9" t="n"/>
    </row>
    <row r="197">
      <c r="A197" s="8" t="n"/>
      <c r="B197" s="9" t="inlineStr">
        <is>
          <t>Chân rẽ 300x300-200H</t>
        </is>
      </c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inlineStr">
        <is>
          <t>cái</t>
        </is>
      </c>
      <c r="M197" s="10" t="n">
        <v>1</v>
      </c>
      <c r="N197" s="11" t="n"/>
      <c r="O197" s="11" t="n"/>
      <c r="P197" s="9" t="n"/>
    </row>
    <row r="198">
      <c r="A198" s="6" t="n"/>
      <c r="B198" s="7" t="inlineStr">
        <is>
          <t>Co ngang ống gió</t>
        </is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</row>
    <row r="199">
      <c r="A199" s="8" t="n"/>
      <c r="B199" s="9" t="inlineStr">
        <is>
          <t>Co ngang ống gió 1400x400-400R-90°</t>
        </is>
      </c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inlineStr">
        <is>
          <t>cái</t>
        </is>
      </c>
      <c r="M199" s="10" t="n">
        <v>12</v>
      </c>
      <c r="N199" s="11" t="n"/>
      <c r="O199" s="11" t="n"/>
      <c r="P199" s="9" t="n"/>
    </row>
    <row r="200">
      <c r="A200" s="8" t="n"/>
      <c r="B200" s="9" t="inlineStr">
        <is>
          <t>Co ngang ống gió 1200x400-400R-90°</t>
        </is>
      </c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inlineStr">
        <is>
          <t>cái</t>
        </is>
      </c>
      <c r="M200" s="10" t="n">
        <v>12</v>
      </c>
      <c r="N200" s="11" t="n"/>
      <c r="O200" s="11" t="n"/>
      <c r="P200" s="9" t="n"/>
    </row>
    <row r="201">
      <c r="A201" s="8" t="n"/>
      <c r="B201" s="9" t="inlineStr">
        <is>
          <t>Co ngang ống gió 1000x350-400R-90°</t>
        </is>
      </c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inlineStr">
        <is>
          <t>cái</t>
        </is>
      </c>
      <c r="M201" s="10" t="n">
        <v>5</v>
      </c>
      <c r="N201" s="11" t="n"/>
      <c r="O201" s="11" t="n"/>
      <c r="P201" s="9" t="n"/>
    </row>
    <row r="202">
      <c r="A202" s="8" t="n"/>
      <c r="B202" s="9" t="inlineStr">
        <is>
          <t>Co ngang ống gió 950x300-400R-90°</t>
        </is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inlineStr">
        <is>
          <t>cái</t>
        </is>
      </c>
      <c r="M202" s="10" t="n">
        <v>4</v>
      </c>
      <c r="N202" s="11" t="n"/>
      <c r="O202" s="11" t="n"/>
      <c r="P202" s="9" t="n"/>
    </row>
    <row r="203">
      <c r="A203" s="8" t="n"/>
      <c r="B203" s="9" t="inlineStr">
        <is>
          <t>Co ngang ống gió 800x300-400R-90°</t>
        </is>
      </c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inlineStr">
        <is>
          <t>cái</t>
        </is>
      </c>
      <c r="M203" s="10" t="n">
        <v>13</v>
      </c>
      <c r="N203" s="11" t="n"/>
      <c r="O203" s="11" t="n"/>
      <c r="P203" s="9" t="n"/>
    </row>
    <row r="204">
      <c r="A204" s="8" t="n"/>
      <c r="B204" s="9" t="inlineStr">
        <is>
          <t>Co ngang ống gió 1100x350-400R-90°</t>
        </is>
      </c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inlineStr">
        <is>
          <t>cái</t>
        </is>
      </c>
      <c r="M204" s="10" t="n">
        <v>1</v>
      </c>
      <c r="N204" s="11" t="n"/>
      <c r="O204" s="11" t="n"/>
      <c r="P204" s="9" t="n"/>
    </row>
    <row r="205">
      <c r="A205" s="8" t="n"/>
      <c r="B205" s="9" t="inlineStr">
        <is>
          <t>Ty treo giá đỡ</t>
        </is>
      </c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inlineStr">
        <is>
          <t>trọn gói</t>
        </is>
      </c>
      <c r="M205" s="10" t="n">
        <v>1</v>
      </c>
      <c r="N205" s="11" t="n"/>
      <c r="O205" s="11" t="n"/>
      <c r="P205" s="9" t="n"/>
    </row>
    <row r="206">
      <c r="A206" s="8" t="n"/>
      <c r="B206" s="9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11" t="n"/>
      <c r="N206" s="11" t="n"/>
      <c r="O206" s="11" t="n"/>
      <c r="P206" s="9" t="n"/>
    </row>
    <row r="207">
      <c r="A207" s="6" t="n"/>
      <c r="B207" s="7" t="inlineStr">
        <is>
          <t>Miệng gió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8" t="n"/>
      <c r="B208" s="9" t="inlineStr">
        <is>
          <t>Miệng gió SEAG+OBD 800x500</t>
        </is>
      </c>
      <c r="C208" s="8" t="inlineStr">
        <is>
          <t>SDG+O</t>
        </is>
      </c>
      <c r="D208" s="8" t="inlineStr">
        <is>
          <t>SWIND</t>
        </is>
      </c>
      <c r="E208" s="8" t="n">
        <v>800</v>
      </c>
      <c r="F208" s="8" t="n">
        <v>500</v>
      </c>
      <c r="G208" s="8" t="n">
        <v>750</v>
      </c>
      <c r="H208" s="8" t="n">
        <v>450</v>
      </c>
      <c r="I208" s="8" t="n"/>
      <c r="J208" s="8" t="n"/>
      <c r="K208" s="8" t="n"/>
      <c r="L208" s="8" t="inlineStr">
        <is>
          <t>cái</t>
        </is>
      </c>
      <c r="M208" s="10" t="n">
        <v>152</v>
      </c>
      <c r="N208" s="10">
        <f>ROUND('00_TONG_HOP_BAO_GIA'!Q35, 0)</f>
        <v/>
      </c>
      <c r="O208" s="10">
        <f>ROUNDUP(N208*M208, -2)</f>
        <v/>
      </c>
      <c r="P208" s="9" t="inlineStr">
        <is>
          <t>Cửa nan bầu dục 1 lớp kèm van OBD</t>
        </is>
      </c>
    </row>
    <row r="209">
      <c r="A209" s="8" t="n"/>
      <c r="B209" s="9" t="inlineStr">
        <is>
          <t>Miệng gió EAG+OBD 200x200</t>
        </is>
      </c>
      <c r="C209" s="8" t="inlineStr">
        <is>
          <t>SDG+O</t>
        </is>
      </c>
      <c r="D209" s="8" t="inlineStr">
        <is>
          <t>SWIND</t>
        </is>
      </c>
      <c r="E209" s="8" t="n">
        <v>200</v>
      </c>
      <c r="F209" s="8" t="n">
        <v>200</v>
      </c>
      <c r="G209" s="8" t="n">
        <v>150</v>
      </c>
      <c r="H209" s="8" t="n">
        <v>150</v>
      </c>
      <c r="I209" s="8" t="n"/>
      <c r="J209" s="8" t="n"/>
      <c r="K209" s="8" t="n"/>
      <c r="L209" s="8" t="inlineStr">
        <is>
          <t>cái</t>
        </is>
      </c>
      <c r="M209" s="10" t="n">
        <v>3</v>
      </c>
      <c r="N209" s="10">
        <f>ROUND('00_TONG_HOP_BAO_GIA'!Q36, 0)</f>
        <v/>
      </c>
      <c r="O209" s="10">
        <f>ROUNDUP(N209*M209, -2)</f>
        <v/>
      </c>
      <c r="P209" s="9" t="inlineStr">
        <is>
          <t>Cửa nan bầu dục 1 lớp kèm van OBD</t>
        </is>
      </c>
    </row>
    <row r="210">
      <c r="A210" s="8" t="n"/>
      <c r="B210" s="9" t="inlineStr">
        <is>
          <t>Miệng gió EAG+OBD 400x250</t>
        </is>
      </c>
      <c r="C210" s="8" t="inlineStr">
        <is>
          <t>SDG+O</t>
        </is>
      </c>
      <c r="D210" s="8" t="inlineStr">
        <is>
          <t>SWIND</t>
        </is>
      </c>
      <c r="E210" s="8" t="n">
        <v>400</v>
      </c>
      <c r="F210" s="8" t="n">
        <v>250</v>
      </c>
      <c r="G210" s="8" t="n">
        <v>350</v>
      </c>
      <c r="H210" s="8" t="n">
        <v>200</v>
      </c>
      <c r="I210" s="8" t="n"/>
      <c r="J210" s="8" t="n"/>
      <c r="K210" s="8" t="n"/>
      <c r="L210" s="8" t="inlineStr">
        <is>
          <t>cái</t>
        </is>
      </c>
      <c r="M210" s="10" t="n">
        <v>3</v>
      </c>
      <c r="N210" s="10">
        <f>ROUND('00_TONG_HOP_BAO_GIA'!Q37, 0)</f>
        <v/>
      </c>
      <c r="O210" s="10">
        <f>ROUNDUP(N210*M210, -2)</f>
        <v/>
      </c>
      <c r="P210" s="9" t="inlineStr">
        <is>
          <t>Cửa nan bầu dục 1 lớp kèm van OBD</t>
        </is>
      </c>
    </row>
    <row r="211">
      <c r="A211" s="8" t="n"/>
      <c r="B211" s="9" t="inlineStr">
        <is>
          <t>Cửa gió nan thẳng 200x200</t>
        </is>
      </c>
      <c r="C211" s="8" t="inlineStr">
        <is>
          <t>SDG</t>
        </is>
      </c>
      <c r="D211" s="8" t="inlineStr">
        <is>
          <t>SWIND</t>
        </is>
      </c>
      <c r="E211" s="8" t="n">
        <v>200</v>
      </c>
      <c r="F211" s="8" t="n">
        <v>200</v>
      </c>
      <c r="G211" s="8" t="n">
        <v>150</v>
      </c>
      <c r="H211" s="8" t="n">
        <v>150</v>
      </c>
      <c r="I211" s="8" t="n"/>
      <c r="J211" s="8" t="n"/>
      <c r="K211" s="8" t="n"/>
      <c r="L211" s="8" t="inlineStr">
        <is>
          <t>cái</t>
        </is>
      </c>
      <c r="M211" s="10" t="n">
        <v>3</v>
      </c>
      <c r="N211" s="10">
        <f>ROUND('00_TONG_HOP_BAO_GIA'!Q38, 0)</f>
        <v/>
      </c>
      <c r="O211" s="10">
        <f>ROUNDUP(N211*M211, -2)</f>
        <v/>
      </c>
      <c r="P211" s="9" t="inlineStr">
        <is>
          <t>Cửa nan bầu dục 1 lớp</t>
        </is>
      </c>
    </row>
    <row r="212">
      <c r="A212" s="8" t="n"/>
      <c r="B212" s="9" t="inlineStr">
        <is>
          <t>Van MFD 200x200 - EI60</t>
        </is>
      </c>
      <c r="C212" s="8" t="inlineStr">
        <is>
          <t>SWIND-1.03-MFD-EI90</t>
        </is>
      </c>
      <c r="D212" s="8" t="inlineStr">
        <is>
          <t>SWIND</t>
        </is>
      </c>
      <c r="E212" s="8" t="n">
        <v>200</v>
      </c>
      <c r="F212" s="8" t="n">
        <v>200</v>
      </c>
      <c r="G212" s="8" t="n"/>
      <c r="H212" s="8" t="n"/>
      <c r="I212" s="8" t="n"/>
      <c r="J212" s="8" t="n">
        <v>200</v>
      </c>
      <c r="K212" s="12" t="n">
        <v>1.15</v>
      </c>
      <c r="L212" s="8" t="inlineStr">
        <is>
          <t>cái</t>
        </is>
      </c>
      <c r="M212" s="10" t="n">
        <v>3</v>
      </c>
      <c r="N212" s="10">
        <f>ROUND('00_TONG_HOP_BAO_GIA'!Q39, 0)</f>
        <v/>
      </c>
      <c r="O212" s="10">
        <f>ROUNDUP(N212*M212, -2)</f>
        <v/>
      </c>
      <c r="P212" s="9" t="inlineStr">
        <is>
          <t>- Van ngăn cháy động cơ - Tiêu chuẩn EI 90
- 2 đầu bích TDC - Gắn kèm động cơ ON-OFF 5Nm, Hãng KLB
- Sản xuất theo BCTN số 4651/VLXD-TBMT</t>
        </is>
      </c>
    </row>
    <row r="213">
      <c r="A213" s="8" t="n"/>
      <c r="B213" s="9" t="inlineStr">
        <is>
          <t>Cửa gió nan thẳng 1200x400</t>
        </is>
      </c>
      <c r="C213" s="8" t="inlineStr">
        <is>
          <t>SDG</t>
        </is>
      </c>
      <c r="D213" s="8" t="inlineStr">
        <is>
          <t>SWIND</t>
        </is>
      </c>
      <c r="E213" s="8" t="n">
        <v>1200</v>
      </c>
      <c r="F213" s="8" t="n">
        <v>400</v>
      </c>
      <c r="G213" s="8" t="n">
        <v>1150</v>
      </c>
      <c r="H213" s="8" t="n">
        <v>350</v>
      </c>
      <c r="I213" s="8" t="n"/>
      <c r="J213" s="8" t="n"/>
      <c r="K213" s="8" t="n"/>
      <c r="L213" s="8" t="inlineStr">
        <is>
          <t>cái</t>
        </is>
      </c>
      <c r="M213" s="10" t="n">
        <v>6</v>
      </c>
      <c r="N213" s="10">
        <f>ROUND('00_TONG_HOP_BAO_GIA'!Q40, 0)</f>
        <v/>
      </c>
      <c r="O213" s="10">
        <f>ROUNDUP(N213*M213, -2)</f>
        <v/>
      </c>
      <c r="P213" s="9" t="inlineStr">
        <is>
          <t>Cửa nan bầu dục 1 lớp</t>
        </is>
      </c>
    </row>
    <row r="214">
      <c r="A214" s="8" t="n"/>
      <c r="B214" s="9" t="inlineStr">
        <is>
          <t>Van MFD 1200x400 - EI60</t>
        </is>
      </c>
      <c r="C214" s="8" t="inlineStr">
        <is>
          <t>SWIND-1.03-MFD-EI90</t>
        </is>
      </c>
      <c r="D214" s="8" t="inlineStr">
        <is>
          <t>SWIND</t>
        </is>
      </c>
      <c r="E214" s="8" t="n">
        <v>1200</v>
      </c>
      <c r="F214" s="8" t="n">
        <v>400</v>
      </c>
      <c r="G214" s="8" t="n"/>
      <c r="H214" s="8" t="n"/>
      <c r="I214" s="8" t="n"/>
      <c r="J214" s="8" t="n">
        <v>200</v>
      </c>
      <c r="K214" s="12" t="n">
        <v>1.15</v>
      </c>
      <c r="L214" s="8" t="inlineStr">
        <is>
          <t>cái</t>
        </is>
      </c>
      <c r="M214" s="10" t="n">
        <v>6</v>
      </c>
      <c r="N214" s="10">
        <f>ROUND('00_TONG_HOP_BAO_GIA'!Q41, 0)</f>
        <v/>
      </c>
      <c r="O214" s="10">
        <f>ROUNDUP(N214*M214, -2)</f>
        <v/>
      </c>
      <c r="P214" s="9" t="inlineStr">
        <is>
          <t>- Van ngăn cháy động cơ - Tiêu chuẩn EI 90
- 2 đầu bích TDC - Gắn kèm động cơ ON-OFF 5Nm, Hãng KLB
- Sản xuất theo BCTN số 4651/VLXD-TBMT</t>
        </is>
      </c>
    </row>
    <row r="215">
      <c r="A215" s="8" t="n"/>
      <c r="B215" s="9" t="inlineStr">
        <is>
          <t>Cửa gió nan thẳng 1400x400</t>
        </is>
      </c>
      <c r="C215" s="8" t="inlineStr">
        <is>
          <t>SDG</t>
        </is>
      </c>
      <c r="D215" s="8" t="inlineStr">
        <is>
          <t>SWIND</t>
        </is>
      </c>
      <c r="E215" s="8" t="n">
        <v>1400</v>
      </c>
      <c r="F215" s="8" t="n">
        <v>400</v>
      </c>
      <c r="G215" s="8" t="n">
        <v>1350</v>
      </c>
      <c r="H215" s="8" t="n">
        <v>350</v>
      </c>
      <c r="I215" s="8" t="n"/>
      <c r="J215" s="8" t="n"/>
      <c r="K215" s="8" t="n"/>
      <c r="L215" s="8" t="inlineStr">
        <is>
          <t>cái</t>
        </is>
      </c>
      <c r="M215" s="10" t="n">
        <v>12</v>
      </c>
      <c r="N215" s="10">
        <f>ROUND('00_TONG_HOP_BAO_GIA'!Q42, 0)</f>
        <v/>
      </c>
      <c r="O215" s="10">
        <f>ROUNDUP(N215*M215, -2)</f>
        <v/>
      </c>
      <c r="P215" s="9" t="inlineStr">
        <is>
          <t>Cửa nan bầu dục 1 lớp</t>
        </is>
      </c>
    </row>
    <row r="216">
      <c r="A216" s="8" t="n"/>
      <c r="B216" s="9" t="inlineStr">
        <is>
          <t>Van MFD 1400x400 - EI60</t>
        </is>
      </c>
      <c r="C216" s="8" t="inlineStr">
        <is>
          <t>SWIND-1.03-MFD-EI90</t>
        </is>
      </c>
      <c r="D216" s="8" t="inlineStr">
        <is>
          <t>SWIND</t>
        </is>
      </c>
      <c r="E216" s="8" t="n">
        <v>1400</v>
      </c>
      <c r="F216" s="8" t="n">
        <v>400</v>
      </c>
      <c r="G216" s="8" t="n"/>
      <c r="H216" s="8" t="n"/>
      <c r="I216" s="8" t="n"/>
      <c r="J216" s="8" t="n">
        <v>200</v>
      </c>
      <c r="K216" s="12" t="n">
        <v>1.15</v>
      </c>
      <c r="L216" s="8" t="inlineStr">
        <is>
          <t>cái</t>
        </is>
      </c>
      <c r="M216" s="10" t="n">
        <v>12</v>
      </c>
      <c r="N216" s="10">
        <f>ROUND('00_TONG_HOP_BAO_GIA'!Q43, 0)</f>
        <v/>
      </c>
      <c r="O216" s="10">
        <f>ROUNDUP(N216*M216, -2)</f>
        <v/>
      </c>
      <c r="P216" s="9" t="inlineStr">
        <is>
          <t>- Van ngăn cháy động cơ - Tiêu chuẩn EI 90
- 2 đầu bích TDC - Gắn kèm động cơ ON-OFF 5Nm, Hãng KLB
- Sản xuất theo BCTN số 4651/VLXD-TBMT</t>
        </is>
      </c>
    </row>
    <row r="217">
      <c r="A217" s="8" t="n"/>
      <c r="B217" s="9" t="inlineStr">
        <is>
          <t>Cửa gió nan thẳng 1200x400</t>
        </is>
      </c>
      <c r="C217" s="8" t="inlineStr">
        <is>
          <t>SDG</t>
        </is>
      </c>
      <c r="D217" s="8" t="inlineStr">
        <is>
          <t>SWIND</t>
        </is>
      </c>
      <c r="E217" s="8" t="n">
        <v>1200</v>
      </c>
      <c r="F217" s="8" t="n">
        <v>400</v>
      </c>
      <c r="G217" s="8" t="n">
        <v>1150</v>
      </c>
      <c r="H217" s="8" t="n">
        <v>350</v>
      </c>
      <c r="I217" s="8" t="n"/>
      <c r="J217" s="8" t="n"/>
      <c r="K217" s="8" t="n"/>
      <c r="L217" s="8" t="inlineStr">
        <is>
          <t>cái</t>
        </is>
      </c>
      <c r="M217" s="10" t="n">
        <v>6</v>
      </c>
      <c r="N217" s="10">
        <f>ROUND('00_TONG_HOP_BAO_GIA'!Q44, 0)</f>
        <v/>
      </c>
      <c r="O217" s="10">
        <f>ROUNDUP(N217*M217, -2)</f>
        <v/>
      </c>
      <c r="P217" s="9" t="inlineStr">
        <is>
          <t>Cửa nan bầu dục 1 lớp</t>
        </is>
      </c>
    </row>
    <row r="218">
      <c r="A218" s="8" t="n"/>
      <c r="B218" s="9" t="inlineStr">
        <is>
          <t>Van NRD 1200x400</t>
        </is>
      </c>
      <c r="C218" s="8" t="inlineStr">
        <is>
          <t>NRD</t>
        </is>
      </c>
      <c r="D218" s="8" t="inlineStr">
        <is>
          <t>SWIND</t>
        </is>
      </c>
      <c r="E218" s="8" t="n">
        <v>1200</v>
      </c>
      <c r="F218" s="8" t="n">
        <v>400</v>
      </c>
      <c r="G218" s="8" t="n"/>
      <c r="H218" s="8" t="n"/>
      <c r="I218" s="8" t="n"/>
      <c r="J218" s="8" t="n">
        <v>200</v>
      </c>
      <c r="K218" s="12" t="n">
        <v>1.15</v>
      </c>
      <c r="L218" s="8" t="inlineStr">
        <is>
          <t>cái</t>
        </is>
      </c>
      <c r="M218" s="10" t="n">
        <v>6</v>
      </c>
      <c r="N218" s="10">
        <f>ROUND('00_TONG_HOP_BAO_GIA'!Q45, 0)</f>
        <v/>
      </c>
      <c r="O218" s="10">
        <f>ROUNDUP(N218*M218, -2)</f>
        <v/>
      </c>
      <c r="P218" s="9" t="inlineStr">
        <is>
          <t>Van 1 chiều tôn mạ kẽm</t>
        </is>
      </c>
    </row>
    <row r="219">
      <c r="A219" s="8" t="n"/>
      <c r="B219" s="9" t="inlineStr">
        <is>
          <t>Cửa gió nan thẳng 1400x400</t>
        </is>
      </c>
      <c r="C219" s="8" t="inlineStr">
        <is>
          <t>SDG</t>
        </is>
      </c>
      <c r="D219" s="8" t="inlineStr">
        <is>
          <t>SWIND</t>
        </is>
      </c>
      <c r="E219" s="8" t="n">
        <v>1400</v>
      </c>
      <c r="F219" s="8" t="n">
        <v>400</v>
      </c>
      <c r="G219" s="8" t="n">
        <v>1350</v>
      </c>
      <c r="H219" s="8" t="n">
        <v>350</v>
      </c>
      <c r="I219" s="8" t="n"/>
      <c r="J219" s="8" t="n"/>
      <c r="K219" s="8" t="n"/>
      <c r="L219" s="8" t="inlineStr">
        <is>
          <t>cái</t>
        </is>
      </c>
      <c r="M219" s="10" t="n">
        <v>12</v>
      </c>
      <c r="N219" s="10">
        <f>ROUND('00_TONG_HOP_BAO_GIA'!Q46, 0)</f>
        <v/>
      </c>
      <c r="O219" s="10">
        <f>ROUNDUP(N219*M219, -2)</f>
        <v/>
      </c>
      <c r="P219" s="9" t="inlineStr">
        <is>
          <t>Cửa nan bầu dục 1 lớp</t>
        </is>
      </c>
    </row>
    <row r="220">
      <c r="A220" s="8" t="n"/>
      <c r="B220" s="9" t="inlineStr">
        <is>
          <t>Van NRD 1400x400</t>
        </is>
      </c>
      <c r="C220" s="8" t="inlineStr">
        <is>
          <t>NRD</t>
        </is>
      </c>
      <c r="D220" s="8" t="inlineStr">
        <is>
          <t>SWIND</t>
        </is>
      </c>
      <c r="E220" s="8" t="n">
        <v>1400</v>
      </c>
      <c r="F220" s="8" t="n">
        <v>400</v>
      </c>
      <c r="G220" s="8" t="n"/>
      <c r="H220" s="8" t="n"/>
      <c r="I220" s="8" t="n"/>
      <c r="J220" s="8" t="n">
        <v>200</v>
      </c>
      <c r="K220" s="12" t="n">
        <v>1.15</v>
      </c>
      <c r="L220" s="8" t="inlineStr">
        <is>
          <t>cái</t>
        </is>
      </c>
      <c r="M220" s="10" t="n">
        <v>12</v>
      </c>
      <c r="N220" s="10">
        <f>ROUND('00_TONG_HOP_BAO_GIA'!Q47, 0)</f>
        <v/>
      </c>
      <c r="O220" s="10">
        <f>ROUNDUP(N220*M220, -2)</f>
        <v/>
      </c>
      <c r="P220" s="9" t="inlineStr">
        <is>
          <t>Van 1 chiều tôn mạ kẽm</t>
        </is>
      </c>
    </row>
    <row r="221">
      <c r="A221" s="8" t="n"/>
      <c r="B221" s="9" t="inlineStr">
        <is>
          <t>Ty treo giá đỡ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trọn gói</t>
        </is>
      </c>
      <c r="M221" s="10" t="n">
        <v>1</v>
      </c>
      <c r="N221" s="11" t="n"/>
      <c r="O221" s="11" t="n"/>
      <c r="P221" s="9" t="n"/>
    </row>
    <row r="222">
      <c r="A222" s="8" t="n"/>
      <c r="B222" s="9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11" t="n"/>
      <c r="N222" s="11" t="n"/>
      <c r="O222" s="11" t="n"/>
      <c r="P222" s="9" t="n"/>
    </row>
    <row r="223">
      <c r="A223" s="6" t="n"/>
      <c r="B223" s="7" t="inlineStr">
        <is>
          <t>B. KHỐI CĂN HỘ (TỪ TẦNG 1 ĐẾN TẦNG MÁI)</t>
        </is>
      </c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</row>
    <row r="224">
      <c r="A224" s="6" t="n"/>
      <c r="B224" s="7" t="inlineStr">
        <is>
          <t>I. HỆ THỐNG TẠO ÁP</t>
        </is>
      </c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</row>
    <row r="225">
      <c r="A225" s="6" t="n"/>
      <c r="B225" s="7" t="inlineStr">
        <is>
          <t>a. Thiết bị</t>
        </is>
      </c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</row>
    <row r="226">
      <c r="A226" s="8" t="n"/>
      <c r="B226" s="9" t="inlineStr">
        <is>
          <t>Quạt tạo áp_Loại hướng trục SPAF-21-01
16.200 m3/h@300Pa</t>
        </is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inlineStr">
        <is>
          <t>cái</t>
        </is>
      </c>
      <c r="M226" s="10" t="n">
        <v>1</v>
      </c>
      <c r="N226" s="11" t="n"/>
      <c r="O226" s="11" t="n"/>
      <c r="P226" s="9" t="n"/>
    </row>
    <row r="227">
      <c r="A227" s="8" t="n"/>
      <c r="B227" s="9" t="inlineStr">
        <is>
          <t>Quạt tạo áp_Loại hướng trục SPAF-TF-01~02
12.240 m3/h@350Pa</t>
        </is>
      </c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inlineStr">
        <is>
          <t>cái</t>
        </is>
      </c>
      <c r="M227" s="10" t="n">
        <v>2</v>
      </c>
      <c r="N227" s="11" t="n"/>
      <c r="O227" s="11" t="n"/>
      <c r="P227" s="9" t="n"/>
    </row>
    <row r="228">
      <c r="A228" s="8" t="n"/>
      <c r="B228" s="9" t="inlineStr">
        <is>
          <t>Quạt tạo áp_Loại hướng trục SPAF-RF-01
27.360 m3/h@500Pa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cái</t>
        </is>
      </c>
      <c r="M228" s="10" t="n">
        <v>1</v>
      </c>
      <c r="N228" s="11" t="n"/>
      <c r="O228" s="11" t="n"/>
      <c r="P228" s="9" t="n"/>
    </row>
    <row r="229">
      <c r="A229" s="8" t="n"/>
      <c r="B229" s="9" t="inlineStr">
        <is>
          <t>Quạt tạo áp_Loại hướng trục SPAF-RF-02
39.250 m3/h@500Pa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cái</t>
        </is>
      </c>
      <c r="M229" s="10" t="n">
        <v>2</v>
      </c>
      <c r="N229" s="11" t="n"/>
      <c r="O229" s="11" t="n"/>
      <c r="P229" s="9" t="n"/>
    </row>
    <row r="230">
      <c r="A230" s="8" t="n"/>
      <c r="B230" s="9" t="inlineStr">
        <is>
          <t>Quạt tạo áp_Loại hướng trục SPAF-RF-LIFT 01
66.960 m3/h@300Pa</t>
        </is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inlineStr">
        <is>
          <t>cái</t>
        </is>
      </c>
      <c r="M230" s="10" t="n">
        <v>1</v>
      </c>
      <c r="N230" s="11" t="n"/>
      <c r="O230" s="11" t="n"/>
      <c r="P230" s="9" t="n"/>
    </row>
    <row r="231">
      <c r="A231" s="8" t="n"/>
      <c r="B231" s="9" t="inlineStr">
        <is>
          <t>Quạt tạo áp_Loại hướng trục SPAF-RF-LIFT 02
44.640 m3/h@300Pa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cái</t>
        </is>
      </c>
      <c r="M231" s="10" t="n">
        <v>1</v>
      </c>
      <c r="N231" s="11" t="n"/>
      <c r="O231" s="11" t="n"/>
      <c r="P231" s="9" t="n"/>
    </row>
    <row r="232">
      <c r="A232" s="8" t="n"/>
      <c r="B232" s="9" t="inlineStr">
        <is>
          <t>Quạt tạo áp_Loại hướng trục SPAF-RF-LIFT 03
22.320 m3/h@300Pa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cái</t>
        </is>
      </c>
      <c r="M232" s="10" t="n">
        <v>1</v>
      </c>
      <c r="N232" s="11" t="n"/>
      <c r="O232" s="11" t="n"/>
      <c r="P232" s="9" t="n"/>
    </row>
    <row r="233">
      <c r="A233" s="8" t="n"/>
      <c r="B233" s="9" t="inlineStr">
        <is>
          <t>Quạt tạo áp_Loại hướng trục SPAF-RF-LIFT 04
44.640 m3/h@300Pa</t>
        </is>
      </c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inlineStr">
        <is>
          <t>cái</t>
        </is>
      </c>
      <c r="M233" s="10" t="n">
        <v>1</v>
      </c>
      <c r="N233" s="11" t="n"/>
      <c r="O233" s="11" t="n"/>
      <c r="P233" s="9" t="n"/>
    </row>
    <row r="234">
      <c r="A234" s="8" t="n"/>
      <c r="B234" s="9" t="inlineStr">
        <is>
          <t>Quạt tạo áp_Loại hướng trục SPAF-RF-LIFT 05
66.960 m3/h@300Pa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cái</t>
        </is>
      </c>
      <c r="M234" s="10" t="n">
        <v>1</v>
      </c>
      <c r="N234" s="11" t="n"/>
      <c r="O234" s="11" t="n"/>
      <c r="P234" s="9" t="n"/>
    </row>
    <row r="235">
      <c r="A235" s="8" t="n"/>
      <c r="B235" s="9" t="inlineStr">
        <is>
          <t>Quạt tạo áp_Loại hướng trục SPAF-RF-FF-LIFT
36.360 m3/h@300Pa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cái</t>
        </is>
      </c>
      <c r="M235" s="10" t="n">
        <v>1</v>
      </c>
      <c r="N235" s="11" t="n"/>
      <c r="O235" s="11" t="n"/>
      <c r="P235" s="9" t="n"/>
    </row>
    <row r="236">
      <c r="A236" s="8" t="n"/>
      <c r="B236" s="9" t="inlineStr">
        <is>
          <t>Nối mềm chống cháy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bộ</t>
        </is>
      </c>
      <c r="M236" s="10" t="n">
        <v>12</v>
      </c>
      <c r="N236" s="11" t="n"/>
      <c r="O236" s="11" t="n"/>
      <c r="P236" s="9" t="n"/>
    </row>
    <row r="237">
      <c r="A237" s="8" t="n"/>
      <c r="B237" s="9" t="inlineStr">
        <is>
          <t>Hộp chống cháy loại 1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bộ</t>
        </is>
      </c>
      <c r="M237" s="10" t="n">
        <v>1</v>
      </c>
      <c r="N237" s="11" t="n"/>
      <c r="O237" s="11" t="n"/>
      <c r="P237" s="9" t="n"/>
    </row>
    <row r="238">
      <c r="A238" s="8" t="n"/>
      <c r="B238" s="9" t="inlineStr">
        <is>
          <t>Ty treo giá đỡ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inlineStr">
        <is>
          <t>trọn gói</t>
        </is>
      </c>
      <c r="M238" s="10" t="n">
        <v>1</v>
      </c>
      <c r="N238" s="11" t="n"/>
      <c r="O238" s="11" t="n"/>
      <c r="P238" s="9" t="n"/>
    </row>
    <row r="239">
      <c r="A239" s="8" t="n"/>
      <c r="B239" s="9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11" t="n"/>
      <c r="N239" s="11" t="n"/>
      <c r="O239" s="11" t="n"/>
      <c r="P239" s="9" t="n"/>
    </row>
    <row r="240">
      <c r="A240" s="6" t="n"/>
      <c r="B240" s="7" t="inlineStr">
        <is>
          <t>Ống gió
Air duct</t>
        </is>
      </c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6" t="n"/>
      <c r="B241" s="7" t="inlineStr">
        <is>
          <t>Ống gió không chống cháy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6" t="n"/>
      <c r="B242" s="7" t="inlineStr">
        <is>
          <t>Ống gió thẳng</t>
        </is>
      </c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</row>
    <row r="243">
      <c r="A243" s="8" t="n"/>
      <c r="B243" s="9" t="inlineStr">
        <is>
          <t>Ống gió không chống cháy 300x300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55</v>
      </c>
      <c r="N243" s="11" t="n"/>
      <c r="O243" s="11" t="n"/>
      <c r="P243" s="9" t="n"/>
    </row>
    <row r="244">
      <c r="A244" s="8" t="n"/>
      <c r="B244" s="9" t="inlineStr">
        <is>
          <t>Ống gió không chống cháy 200x200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m</t>
        </is>
      </c>
      <c r="M244" s="10" t="n">
        <v>1</v>
      </c>
      <c r="N244" s="11" t="n"/>
      <c r="O244" s="11" t="n"/>
      <c r="P244" s="9" t="n"/>
    </row>
    <row r="245">
      <c r="A245" s="8" t="n"/>
      <c r="B245" s="9" t="inlineStr">
        <is>
          <t>Ống gió không chống cháy 800x400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m</t>
        </is>
      </c>
      <c r="M245" s="10" t="n">
        <v>36</v>
      </c>
      <c r="N245" s="11" t="n"/>
      <c r="O245" s="11" t="n"/>
      <c r="P245" s="9" t="n"/>
    </row>
    <row r="246">
      <c r="A246" s="8" t="n"/>
      <c r="B246" s="9" t="inlineStr">
        <is>
          <t>Ống gió không chống cháy 600x750</t>
        </is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inlineStr">
        <is>
          <t>m</t>
        </is>
      </c>
      <c r="M246" s="10" t="n">
        <v>135</v>
      </c>
      <c r="N246" s="11" t="n"/>
      <c r="O246" s="11" t="n"/>
      <c r="P246" s="9" t="n"/>
    </row>
    <row r="247">
      <c r="A247" s="8" t="n"/>
      <c r="B247" s="9" t="inlineStr">
        <is>
          <t>Ống gió không chống cháy 500x600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138</v>
      </c>
      <c r="N247" s="11" t="n"/>
      <c r="O247" s="11" t="n"/>
      <c r="P247" s="9" t="n"/>
    </row>
    <row r="248">
      <c r="A248" s="8" t="n"/>
      <c r="B248" s="9" t="inlineStr">
        <is>
          <t>Ống gió không chống cháy 1150x650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138</v>
      </c>
      <c r="N248" s="11" t="n"/>
      <c r="O248" s="11" t="n"/>
      <c r="P248" s="9" t="n"/>
    </row>
    <row r="249">
      <c r="A249" s="8" t="n"/>
      <c r="B249" s="9" t="inlineStr">
        <is>
          <t>Ống gió không chống cháy 1700x450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inlineStr">
        <is>
          <t>m</t>
        </is>
      </c>
      <c r="M249" s="10" t="n">
        <v>278</v>
      </c>
      <c r="N249" s="11" t="n"/>
      <c r="O249" s="11" t="n"/>
      <c r="P249" s="9" t="n"/>
    </row>
    <row r="250">
      <c r="A250" s="8" t="n"/>
      <c r="B250" s="9" t="inlineStr">
        <is>
          <t>Ống gió không chống cháy 1700x750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19</v>
      </c>
      <c r="N250" s="11" t="n"/>
      <c r="O250" s="11" t="n"/>
      <c r="P250" s="9" t="n"/>
    </row>
    <row r="251">
      <c r="A251" s="8" t="n"/>
      <c r="B251" s="9" t="inlineStr">
        <is>
          <t>Ống gió không chống cháy 1200x550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25</v>
      </c>
      <c r="N251" s="11" t="n"/>
      <c r="O251" s="11" t="n"/>
      <c r="P251" s="9" t="n"/>
    </row>
    <row r="252">
      <c r="A252" s="8" t="n"/>
      <c r="B252" s="9" t="inlineStr">
        <is>
          <t>Ống gió không chống cháy 1200x350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7</v>
      </c>
      <c r="N252" s="11" t="n"/>
      <c r="O252" s="11" t="n"/>
      <c r="P252" s="9" t="n"/>
    </row>
    <row r="253">
      <c r="A253" s="8" t="n"/>
      <c r="B253" s="9" t="inlineStr">
        <is>
          <t>Ống gió không chống cháy 700x250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m</t>
        </is>
      </c>
      <c r="M253" s="10" t="n">
        <v>138</v>
      </c>
      <c r="N253" s="11" t="n"/>
      <c r="O253" s="11" t="n"/>
      <c r="P253" s="9" t="n"/>
    </row>
    <row r="254">
      <c r="A254" s="8" t="n"/>
      <c r="B254" s="9" t="inlineStr">
        <is>
          <t>Ống gió không chống cháy 400x550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inlineStr">
        <is>
          <t>m</t>
        </is>
      </c>
      <c r="M254" s="10" t="n">
        <v>138</v>
      </c>
      <c r="N254" s="11" t="n"/>
      <c r="O254" s="11" t="n"/>
      <c r="P254" s="9" t="n"/>
    </row>
    <row r="255">
      <c r="A255" s="8" t="n"/>
      <c r="B255" s="9" t="inlineStr">
        <is>
          <t>Ống gió không chống cháy 1000x1000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12</v>
      </c>
      <c r="N255" s="11" t="n"/>
      <c r="O255" s="11" t="n"/>
      <c r="P255" s="9" t="n"/>
    </row>
    <row r="256">
      <c r="A256" s="6" t="n"/>
      <c r="B256" s="7" t="inlineStr">
        <is>
          <t>Co ngang ống gió</t>
        </is>
      </c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</row>
    <row r="257">
      <c r="A257" s="8" t="n"/>
      <c r="B257" s="9" t="inlineStr">
        <is>
          <t>Co ngang ống gió 1700x450-400R-90°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cái</t>
        </is>
      </c>
      <c r="M257" s="10" t="n">
        <v>3</v>
      </c>
      <c r="N257" s="11" t="n"/>
      <c r="O257" s="11" t="n"/>
      <c r="P257" s="9" t="n"/>
    </row>
    <row r="258">
      <c r="A258" s="8" t="n"/>
      <c r="B258" s="9" t="inlineStr">
        <is>
          <t>Co ngang ống gió 1200x550-400R-90°</t>
        </is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inlineStr">
        <is>
          <t>cái</t>
        </is>
      </c>
      <c r="M258" s="10" t="n">
        <v>2</v>
      </c>
      <c r="N258" s="11" t="n"/>
      <c r="O258" s="11" t="n"/>
      <c r="P258" s="9" t="n"/>
    </row>
    <row r="259">
      <c r="A259" s="8" t="n"/>
      <c r="B259" s="9" t="inlineStr">
        <is>
          <t>Co ngang ống gió 500x600-400R-90°</t>
        </is>
      </c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inlineStr">
        <is>
          <t>cái</t>
        </is>
      </c>
      <c r="M259" s="10" t="n">
        <v>2</v>
      </c>
      <c r="N259" s="11" t="n"/>
      <c r="O259" s="11" t="n"/>
      <c r="P259" s="9" t="n"/>
    </row>
    <row r="260">
      <c r="A260" s="8" t="n"/>
      <c r="B260" s="9" t="inlineStr">
        <is>
          <t>Ty treo giá đỡ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inlineStr">
        <is>
          <t>trọn gói</t>
        </is>
      </c>
      <c r="M260" s="10" t="n">
        <v>1</v>
      </c>
      <c r="N260" s="11" t="n"/>
      <c r="O260" s="11" t="n"/>
      <c r="P260" s="9" t="n"/>
    </row>
    <row r="261">
      <c r="A261" s="6" t="n"/>
      <c r="B261" s="7" t="inlineStr">
        <is>
          <t>Ống gió chống cháy EI30</t>
        </is>
      </c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</row>
    <row r="262">
      <c r="A262" s="6" t="n"/>
      <c r="B262" s="7" t="inlineStr">
        <is>
          <t>Ống gió thẳng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Ống gió chống cháy EI30 1500x500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inlineStr">
        <is>
          <t>m</t>
        </is>
      </c>
      <c r="M263" s="10" t="n">
        <v>2</v>
      </c>
      <c r="N263" s="11" t="n"/>
      <c r="O263" s="11" t="n"/>
      <c r="P263" s="9" t="n"/>
    </row>
    <row r="264">
      <c r="A264" s="8" t="n"/>
      <c r="B264" s="9" t="inlineStr">
        <is>
          <t>Ống gió chống cháy EI30 800x350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inlineStr">
        <is>
          <t>m</t>
        </is>
      </c>
      <c r="M264" s="10" t="n">
        <v>21</v>
      </c>
      <c r="N264" s="11" t="n"/>
      <c r="O264" s="11" t="n"/>
      <c r="P264" s="9" t="n"/>
    </row>
    <row r="265">
      <c r="A265" s="6" t="n"/>
      <c r="B265" s="7" t="inlineStr">
        <is>
          <t>Chân rẽ</t>
        </is>
      </c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8" t="n"/>
      <c r="B266" s="9" t="inlineStr">
        <is>
          <t>Chân rẽ 800x350-200H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inlineStr">
        <is>
          <t>cái</t>
        </is>
      </c>
      <c r="M266" s="10" t="n">
        <v>1</v>
      </c>
      <c r="N266" s="11" t="n"/>
      <c r="O266" s="11" t="n"/>
      <c r="P266" s="9" t="n"/>
    </row>
    <row r="267">
      <c r="A267" s="6" t="n"/>
      <c r="B267" s="7" t="inlineStr">
        <is>
          <t>Co ngang ống gió</t>
        </is>
      </c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</row>
    <row r="268">
      <c r="A268" s="8" t="n"/>
      <c r="B268" s="9" t="inlineStr">
        <is>
          <t>Co ngang ống gió 800x350-400R-90°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inlineStr">
        <is>
          <t>cái</t>
        </is>
      </c>
      <c r="M268" s="10" t="n">
        <v>2</v>
      </c>
      <c r="N268" s="11" t="n"/>
      <c r="O268" s="11" t="n"/>
      <c r="P268" s="9" t="n"/>
    </row>
    <row r="269">
      <c r="A269" s="8" t="n"/>
      <c r="B269" s="9" t="inlineStr">
        <is>
          <t>Ty treo giá đỡ</t>
        </is>
      </c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inlineStr">
        <is>
          <t>trọn gói</t>
        </is>
      </c>
      <c r="M269" s="10" t="n">
        <v>1</v>
      </c>
      <c r="N269" s="11" t="n"/>
      <c r="O269" s="11" t="n"/>
      <c r="P269" s="9" t="n"/>
    </row>
    <row r="270">
      <c r="A270" s="8" t="n"/>
      <c r="B270" s="9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11" t="n"/>
      <c r="N270" s="11" t="n"/>
      <c r="O270" s="11" t="n"/>
      <c r="P270" s="9" t="n"/>
    </row>
    <row r="271">
      <c r="A271" s="6" t="n"/>
      <c r="B271" s="7" t="inlineStr">
        <is>
          <t>Miệng gió</t>
        </is>
      </c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</row>
    <row r="272">
      <c r="A272" s="8" t="n"/>
      <c r="B272" s="9" t="inlineStr">
        <is>
          <t>Miệng gió
 OAG + OBD 800x400</t>
        </is>
      </c>
      <c r="C272" s="8" t="inlineStr">
        <is>
          <t>SDG+O</t>
        </is>
      </c>
      <c r="D272" s="8" t="inlineStr">
        <is>
          <t>SWIND</t>
        </is>
      </c>
      <c r="E272" s="8" t="n">
        <v>800</v>
      </c>
      <c r="F272" s="8" t="n">
        <v>400</v>
      </c>
      <c r="G272" s="8" t="n">
        <v>750</v>
      </c>
      <c r="H272" s="8" t="n">
        <v>350</v>
      </c>
      <c r="I272" s="8" t="n"/>
      <c r="J272" s="8" t="n"/>
      <c r="K272" s="8" t="n"/>
      <c r="L272" s="8" t="inlineStr">
        <is>
          <t>cái</t>
        </is>
      </c>
      <c r="M272" s="10" t="n">
        <v>68</v>
      </c>
      <c r="N272" s="10">
        <f>ROUND('00_TONG_HOP_BAO_GIA'!Q48, 0)</f>
        <v/>
      </c>
      <c r="O272" s="10">
        <f>ROUNDUP(N272*M272, -2)</f>
        <v/>
      </c>
      <c r="P272" s="9" t="inlineStr">
        <is>
          <t>Cửa nan bầu dục 1 lớp kèm van OBD</t>
        </is>
      </c>
    </row>
    <row r="273">
      <c r="A273" s="8" t="n"/>
      <c r="B273" s="9" t="inlineStr">
        <is>
          <t>Miệng gió
 OAG + OBD 300x300</t>
        </is>
      </c>
      <c r="C273" s="8" t="inlineStr">
        <is>
          <t>SDG+O</t>
        </is>
      </c>
      <c r="D273" s="8" t="inlineStr">
        <is>
          <t>SWIND</t>
        </is>
      </c>
      <c r="E273" s="8" t="n">
        <v>300</v>
      </c>
      <c r="F273" s="8" t="n">
        <v>300</v>
      </c>
      <c r="G273" s="8" t="n">
        <v>250</v>
      </c>
      <c r="H273" s="8" t="n">
        <v>250</v>
      </c>
      <c r="I273" s="8" t="n"/>
      <c r="J273" s="8" t="n"/>
      <c r="K273" s="8" t="n"/>
      <c r="L273" s="8" t="inlineStr">
        <is>
          <t>cái</t>
        </is>
      </c>
      <c r="M273" s="10" t="n">
        <v>105</v>
      </c>
      <c r="N273" s="10">
        <f>ROUND('00_TONG_HOP_BAO_GIA'!Q49, 0)</f>
        <v/>
      </c>
      <c r="O273" s="10">
        <f>ROUNDUP(N273*M273, -2)</f>
        <v/>
      </c>
      <c r="P273" s="9" t="inlineStr">
        <is>
          <t>Cửa nan bầu dục 1 lớp kèm van OBD</t>
        </is>
      </c>
    </row>
    <row r="274">
      <c r="A274" s="8" t="n"/>
      <c r="B274" s="9" t="inlineStr">
        <is>
          <t>Miệng gió
 OAG + OBD 1000x500</t>
        </is>
      </c>
      <c r="C274" s="8" t="inlineStr">
        <is>
          <t>SDG+O</t>
        </is>
      </c>
      <c r="D274" s="8" t="inlineStr">
        <is>
          <t>SWIND</t>
        </is>
      </c>
      <c r="E274" s="8" t="n">
        <v>1000</v>
      </c>
      <c r="F274" s="8" t="n">
        <v>500</v>
      </c>
      <c r="G274" s="8" t="n">
        <v>950</v>
      </c>
      <c r="H274" s="8" t="n">
        <v>450</v>
      </c>
      <c r="I274" s="8" t="n"/>
      <c r="J274" s="8" t="n"/>
      <c r="K274" s="8" t="n"/>
      <c r="L274" s="8" t="inlineStr">
        <is>
          <t>cái</t>
        </is>
      </c>
      <c r="M274" s="10" t="n">
        <v>1</v>
      </c>
      <c r="N274" s="10">
        <f>ROUND('00_TONG_HOP_BAO_GIA'!Q50, 0)</f>
        <v/>
      </c>
      <c r="O274" s="10">
        <f>ROUNDUP(N274*M274, -2)</f>
        <v/>
      </c>
      <c r="P274" s="9" t="inlineStr">
        <is>
          <t>Cửa nan bầu dục 1 lớp kèm van OBD</t>
        </is>
      </c>
    </row>
    <row r="275">
      <c r="A275" s="8" t="n"/>
      <c r="B275" s="9" t="inlineStr">
        <is>
          <t>Cửa gió nan thẳng 700x250</t>
        </is>
      </c>
      <c r="C275" s="8" t="inlineStr">
        <is>
          <t>SDG</t>
        </is>
      </c>
      <c r="D275" s="8" t="inlineStr">
        <is>
          <t>SWIND</t>
        </is>
      </c>
      <c r="E275" s="8" t="n">
        <v>700</v>
      </c>
      <c r="F275" s="8" t="n">
        <v>250</v>
      </c>
      <c r="G275" s="8" t="n">
        <v>650</v>
      </c>
      <c r="H275" s="8" t="n">
        <v>200</v>
      </c>
      <c r="I275" s="8" t="n"/>
      <c r="J275" s="8" t="n"/>
      <c r="K275" s="8" t="n"/>
      <c r="L275" s="8" t="inlineStr">
        <is>
          <t>cái</t>
        </is>
      </c>
      <c r="M275" s="10" t="n">
        <v>37</v>
      </c>
      <c r="N275" s="10">
        <f>ROUND('00_TONG_HOP_BAO_GIA'!Q51, 0)</f>
        <v/>
      </c>
      <c r="O275" s="10">
        <f>ROUNDUP(N275*M275, -2)</f>
        <v/>
      </c>
      <c r="P275" s="9" t="inlineStr">
        <is>
          <t>Cửa nan bầu dục 1 lớp</t>
        </is>
      </c>
    </row>
    <row r="276">
      <c r="A276" s="8" t="n"/>
      <c r="B276" s="9" t="inlineStr">
        <is>
          <t>Van PRD 700x250</t>
        </is>
      </c>
      <c r="C276" s="8" t="inlineStr">
        <is>
          <t>PRD</t>
        </is>
      </c>
      <c r="D276" s="8" t="inlineStr">
        <is>
          <t>SWIND</t>
        </is>
      </c>
      <c r="E276" s="8" t="n">
        <v>700</v>
      </c>
      <c r="F276" s="8" t="n">
        <v>250</v>
      </c>
      <c r="G276" s="8" t="n"/>
      <c r="H276" s="8" t="n"/>
      <c r="I276" s="8" t="n"/>
      <c r="J276" s="8" t="n">
        <v>200</v>
      </c>
      <c r="K276" s="12" t="n">
        <v>0.75</v>
      </c>
      <c r="L276" s="8" t="inlineStr">
        <is>
          <t>cái</t>
        </is>
      </c>
      <c r="M276" s="10" t="n">
        <v>37</v>
      </c>
      <c r="N276" s="10">
        <f>ROUND('00_TONG_HOP_BAO_GIA'!Q52, 0)</f>
        <v/>
      </c>
      <c r="O276" s="10">
        <f>ROUNDUP(N276*M276, -2)</f>
        <v/>
      </c>
      <c r="P276" s="9" t="inlineStr">
        <is>
          <t>Van xả áp đối trọng tôn mạ kẽm</t>
        </is>
      </c>
    </row>
    <row r="277">
      <c r="A277" s="8" t="n"/>
      <c r="B277" s="9" t="inlineStr">
        <is>
          <t>Cửa gió nan thẳng 550x400</t>
        </is>
      </c>
      <c r="C277" s="8" t="inlineStr">
        <is>
          <t>SDG</t>
        </is>
      </c>
      <c r="D277" s="8" t="inlineStr">
        <is>
          <t>SWIND</t>
        </is>
      </c>
      <c r="E277" s="8" t="n">
        <v>550</v>
      </c>
      <c r="F277" s="8" t="n">
        <v>400</v>
      </c>
      <c r="G277" s="8" t="n">
        <v>500</v>
      </c>
      <c r="H277" s="8" t="n">
        <v>350</v>
      </c>
      <c r="I277" s="8" t="n"/>
      <c r="J277" s="8" t="n"/>
      <c r="K277" s="8" t="n"/>
      <c r="L277" s="8" t="inlineStr">
        <is>
          <t>cái</t>
        </is>
      </c>
      <c r="M277" s="10" t="n">
        <v>36</v>
      </c>
      <c r="N277" s="10">
        <f>ROUND('00_TONG_HOP_BAO_GIA'!Q53, 0)</f>
        <v/>
      </c>
      <c r="O277" s="10">
        <f>ROUNDUP(N277*M277, -2)</f>
        <v/>
      </c>
      <c r="P277" s="9" t="inlineStr">
        <is>
          <t>Cửa nan bầu dục 1 lớp</t>
        </is>
      </c>
    </row>
    <row r="278">
      <c r="A278" s="8" t="n"/>
      <c r="B278" s="9" t="inlineStr">
        <is>
          <t>Van PRD 550x400</t>
        </is>
      </c>
      <c r="C278" s="8" t="inlineStr">
        <is>
          <t>PRD</t>
        </is>
      </c>
      <c r="D278" s="8" t="inlineStr">
        <is>
          <t>SWIND</t>
        </is>
      </c>
      <c r="E278" s="8" t="n">
        <v>550</v>
      </c>
      <c r="F278" s="8" t="n">
        <v>400</v>
      </c>
      <c r="G278" s="8" t="n"/>
      <c r="H278" s="8" t="n"/>
      <c r="I278" s="8" t="n"/>
      <c r="J278" s="8" t="n">
        <v>200</v>
      </c>
      <c r="K278" s="12" t="n">
        <v>0.75</v>
      </c>
      <c r="L278" s="8" t="inlineStr">
        <is>
          <t>cái</t>
        </is>
      </c>
      <c r="M278" s="10" t="n">
        <v>36</v>
      </c>
      <c r="N278" s="10">
        <f>ROUND('00_TONG_HOP_BAO_GIA'!Q54, 0)</f>
        <v/>
      </c>
      <c r="O278" s="10">
        <f>ROUNDUP(N278*M278, -2)</f>
        <v/>
      </c>
      <c r="P278" s="9" t="inlineStr">
        <is>
          <t>Van xả áp đối trọng tôn mạ kẽm</t>
        </is>
      </c>
    </row>
    <row r="279">
      <c r="A279" s="8" t="n"/>
      <c r="B279" s="9" t="inlineStr">
        <is>
          <t>Cửa gió nan thẳng 200x200</t>
        </is>
      </c>
      <c r="C279" s="8" t="inlineStr">
        <is>
          <t>SDG</t>
        </is>
      </c>
      <c r="D279" s="8" t="inlineStr">
        <is>
          <t>SWIND</t>
        </is>
      </c>
      <c r="E279" s="8" t="n">
        <v>200</v>
      </c>
      <c r="F279" s="8" t="n">
        <v>200</v>
      </c>
      <c r="G279" s="8" t="n">
        <v>150</v>
      </c>
      <c r="H279" s="8" t="n">
        <v>150</v>
      </c>
      <c r="I279" s="8" t="n"/>
      <c r="J279" s="8" t="n"/>
      <c r="K279" s="8" t="n"/>
      <c r="L279" s="8" t="inlineStr">
        <is>
          <t>cái</t>
        </is>
      </c>
      <c r="M279" s="10" t="n">
        <v>70</v>
      </c>
      <c r="N279" s="10">
        <f>ROUND('00_TONG_HOP_BAO_GIA'!Q55, 0)</f>
        <v/>
      </c>
      <c r="O279" s="10">
        <f>ROUNDUP(N279*M279, -2)</f>
        <v/>
      </c>
      <c r="P279" s="9" t="inlineStr">
        <is>
          <t>Cửa nan bầu dục 1 lớp</t>
        </is>
      </c>
    </row>
    <row r="280">
      <c r="A280" s="8" t="n"/>
      <c r="B280" s="9" t="inlineStr">
        <is>
          <t>Van PRD 200x200</t>
        </is>
      </c>
      <c r="C280" s="8" t="inlineStr">
        <is>
          <t>PRD</t>
        </is>
      </c>
      <c r="D280" s="8" t="inlineStr">
        <is>
          <t>SWIND</t>
        </is>
      </c>
      <c r="E280" s="8" t="n">
        <v>200</v>
      </c>
      <c r="F280" s="8" t="n">
        <v>200</v>
      </c>
      <c r="G280" s="8" t="n"/>
      <c r="H280" s="8" t="n"/>
      <c r="I280" s="8" t="n"/>
      <c r="J280" s="8" t="n">
        <v>200</v>
      </c>
      <c r="K280" s="12" t="n">
        <v>0.75</v>
      </c>
      <c r="L280" s="8" t="inlineStr">
        <is>
          <t>cái</t>
        </is>
      </c>
      <c r="M280" s="10" t="n">
        <v>70</v>
      </c>
      <c r="N280" s="10">
        <f>ROUND('00_TONG_HOP_BAO_GIA'!Q56, 0)</f>
        <v/>
      </c>
      <c r="O280" s="10">
        <f>ROUNDUP(N280*M280, -2)</f>
        <v/>
      </c>
      <c r="P280" s="9" t="inlineStr">
        <is>
          <t>Van xả áp đối trọng tôn mạ kẽm</t>
        </is>
      </c>
    </row>
    <row r="281">
      <c r="A281" s="8" t="n"/>
      <c r="B281" s="9" t="inlineStr">
        <is>
          <t>Cửa gió nan thẳng 400x200</t>
        </is>
      </c>
      <c r="C281" s="8" t="inlineStr">
        <is>
          <t>SDG</t>
        </is>
      </c>
      <c r="D281" s="8" t="inlineStr">
        <is>
          <t>SWIND</t>
        </is>
      </c>
      <c r="E281" s="8" t="n">
        <v>400</v>
      </c>
      <c r="F281" s="8" t="n">
        <v>200</v>
      </c>
      <c r="G281" s="8" t="n">
        <v>350</v>
      </c>
      <c r="H281" s="8" t="n">
        <v>150</v>
      </c>
      <c r="I281" s="8" t="n"/>
      <c r="J281" s="8" t="n"/>
      <c r="K281" s="8" t="n"/>
      <c r="L281" s="8" t="inlineStr">
        <is>
          <t>cái</t>
        </is>
      </c>
      <c r="M281" s="10" t="n">
        <v>68</v>
      </c>
      <c r="N281" s="10">
        <f>ROUND('00_TONG_HOP_BAO_GIA'!Q57, 0)</f>
        <v/>
      </c>
      <c r="O281" s="10">
        <f>ROUNDUP(N281*M281, -2)</f>
        <v/>
      </c>
      <c r="P281" s="9" t="inlineStr">
        <is>
          <t>Cửa nan bầu dục 1 lớp</t>
        </is>
      </c>
    </row>
    <row r="282">
      <c r="A282" s="8" t="n"/>
      <c r="B282" s="9" t="inlineStr">
        <is>
          <t>Van PRD 400x200</t>
        </is>
      </c>
      <c r="C282" s="8" t="inlineStr">
        <is>
          <t>PRD</t>
        </is>
      </c>
      <c r="D282" s="8" t="inlineStr">
        <is>
          <t>SWIND</t>
        </is>
      </c>
      <c r="E282" s="8" t="n">
        <v>400</v>
      </c>
      <c r="F282" s="8" t="n">
        <v>200</v>
      </c>
      <c r="G282" s="8" t="n"/>
      <c r="H282" s="8" t="n"/>
      <c r="I282" s="8" t="n"/>
      <c r="J282" s="8" t="n">
        <v>200</v>
      </c>
      <c r="K282" s="12" t="n">
        <v>0.75</v>
      </c>
      <c r="L282" s="8" t="inlineStr">
        <is>
          <t>cái</t>
        </is>
      </c>
      <c r="M282" s="10" t="n">
        <v>68</v>
      </c>
      <c r="N282" s="10">
        <f>ROUND('00_TONG_HOP_BAO_GIA'!Q58, 0)</f>
        <v/>
      </c>
      <c r="O282" s="10">
        <f>ROUNDUP(N282*M282, -2)</f>
        <v/>
      </c>
      <c r="P282" s="9" t="inlineStr">
        <is>
          <t>Van xả áp đối trọng tôn mạ kẽm</t>
        </is>
      </c>
    </row>
    <row r="283">
      <c r="A283" s="8" t="n"/>
      <c r="B283" s="9" t="inlineStr">
        <is>
          <t>Cửa gió nan thẳng 800x350</t>
        </is>
      </c>
      <c r="C283" s="8" t="inlineStr">
        <is>
          <t>SDG</t>
        </is>
      </c>
      <c r="D283" s="8" t="inlineStr">
        <is>
          <t>SWIND</t>
        </is>
      </c>
      <c r="E283" s="8" t="n">
        <v>800</v>
      </c>
      <c r="F283" s="8" t="n">
        <v>350</v>
      </c>
      <c r="G283" s="8" t="n">
        <v>750</v>
      </c>
      <c r="H283" s="8" t="n">
        <v>300</v>
      </c>
      <c r="I283" s="8" t="n"/>
      <c r="J283" s="8" t="n"/>
      <c r="K283" s="8" t="n"/>
      <c r="L283" s="8" t="inlineStr">
        <is>
          <t>cái</t>
        </is>
      </c>
      <c r="M283" s="10" t="n">
        <v>1</v>
      </c>
      <c r="N283" s="10">
        <f>ROUND('00_TONG_HOP_BAO_GIA'!Q59, 0)</f>
        <v/>
      </c>
      <c r="O283" s="10">
        <f>ROUNDUP(N283*M283, -2)</f>
        <v/>
      </c>
      <c r="P283" s="9" t="inlineStr">
        <is>
          <t>Cửa nan bầu dục 1 lớp</t>
        </is>
      </c>
    </row>
    <row r="284">
      <c r="A284" s="8" t="n"/>
      <c r="B284" s="9" t="inlineStr">
        <is>
          <t>Van PRD 800x350 - EI30</t>
        </is>
      </c>
      <c r="C284" s="8" t="inlineStr">
        <is>
          <t>PRD</t>
        </is>
      </c>
      <c r="D284" s="8" t="inlineStr">
        <is>
          <t>SWIND</t>
        </is>
      </c>
      <c r="E284" s="8" t="n">
        <v>800</v>
      </c>
      <c r="F284" s="8" t="n">
        <v>350</v>
      </c>
      <c r="G284" s="8" t="n"/>
      <c r="H284" s="8" t="n"/>
      <c r="I284" s="8" t="n"/>
      <c r="J284" s="8" t="n">
        <v>200</v>
      </c>
      <c r="K284" s="12" t="n">
        <v>1.15</v>
      </c>
      <c r="L284" s="8" t="inlineStr">
        <is>
          <t>cái</t>
        </is>
      </c>
      <c r="M284" s="10" t="n">
        <v>1</v>
      </c>
      <c r="N284" s="10">
        <f>ROUND('00_TONG_HOP_BAO_GIA'!Q60, 0)</f>
        <v/>
      </c>
      <c r="O284" s="10">
        <f>ROUNDUP(N284*M284, -2)</f>
        <v/>
      </c>
      <c r="P284" s="9" t="inlineStr">
        <is>
          <t>Van xả áp đối trọng bọc tấm cách nhiệt KHS 10mm</t>
        </is>
      </c>
    </row>
    <row r="285">
      <c r="A285" s="8" t="n"/>
      <c r="B285" s="9" t="inlineStr">
        <is>
          <t>Cửa gió nan thẳng 1500x300</t>
        </is>
      </c>
      <c r="C285" s="8" t="inlineStr">
        <is>
          <t>SDG</t>
        </is>
      </c>
      <c r="D285" s="8" t="inlineStr">
        <is>
          <t>SWIND</t>
        </is>
      </c>
      <c r="E285" s="8" t="n">
        <v>1500</v>
      </c>
      <c r="F285" s="8" t="n">
        <v>300</v>
      </c>
      <c r="G285" s="8" t="n">
        <v>1450</v>
      </c>
      <c r="H285" s="8" t="n">
        <v>250</v>
      </c>
      <c r="I285" s="8" t="n"/>
      <c r="J285" s="8" t="n"/>
      <c r="K285" s="8" t="n"/>
      <c r="L285" s="8" t="inlineStr">
        <is>
          <t>cái</t>
        </is>
      </c>
      <c r="M285" s="10" t="n">
        <v>1</v>
      </c>
      <c r="N285" s="10">
        <f>ROUND('00_TONG_HOP_BAO_GIA'!Q61, 0)</f>
        <v/>
      </c>
      <c r="O285" s="10">
        <f>ROUNDUP(N285*M285, -2)</f>
        <v/>
      </c>
      <c r="P285" s="9" t="inlineStr">
        <is>
          <t>Cửa nan bầu dục 1 lớp</t>
        </is>
      </c>
    </row>
    <row r="286">
      <c r="A286" s="8" t="n"/>
      <c r="B286" s="9" t="inlineStr">
        <is>
          <t>Van PRD 1500x300</t>
        </is>
      </c>
      <c r="C286" s="8" t="inlineStr">
        <is>
          <t>PRD</t>
        </is>
      </c>
      <c r="D286" s="8" t="inlineStr">
        <is>
          <t>SWIND</t>
        </is>
      </c>
      <c r="E286" s="8" t="n">
        <v>1500</v>
      </c>
      <c r="F286" s="8" t="n">
        <v>300</v>
      </c>
      <c r="G286" s="8" t="n"/>
      <c r="H286" s="8" t="n"/>
      <c r="I286" s="8" t="n"/>
      <c r="J286" s="8" t="n">
        <v>200</v>
      </c>
      <c r="K286" s="12" t="n">
        <v>1.15</v>
      </c>
      <c r="L286" s="8" t="inlineStr">
        <is>
          <t>cái</t>
        </is>
      </c>
      <c r="M286" s="10" t="n">
        <v>1</v>
      </c>
      <c r="N286" s="10">
        <f>ROUND('00_TONG_HOP_BAO_GIA'!Q62, 0)</f>
        <v/>
      </c>
      <c r="O286" s="10">
        <f>ROUNDUP(N286*M286, -2)</f>
        <v/>
      </c>
      <c r="P286" s="9" t="inlineStr">
        <is>
          <t>Van xả áp đối trọng tôn mạ kẽm</t>
        </is>
      </c>
    </row>
    <row r="287">
      <c r="A287" s="8" t="n"/>
      <c r="B287" s="9" t="inlineStr">
        <is>
          <t>Cửa gió nan thẳng 800x350</t>
        </is>
      </c>
      <c r="C287" s="8" t="inlineStr">
        <is>
          <t>SDG</t>
        </is>
      </c>
      <c r="D287" s="8" t="inlineStr">
        <is>
          <t>SWIND</t>
        </is>
      </c>
      <c r="E287" s="8" t="n">
        <v>800</v>
      </c>
      <c r="F287" s="8" t="n">
        <v>350</v>
      </c>
      <c r="G287" s="8" t="n">
        <v>750</v>
      </c>
      <c r="H287" s="8" t="n">
        <v>300</v>
      </c>
      <c r="I287" s="8" t="n"/>
      <c r="J287" s="8" t="n"/>
      <c r="K287" s="8" t="n"/>
      <c r="L287" s="8" t="inlineStr">
        <is>
          <t>cái</t>
        </is>
      </c>
      <c r="M287" s="10" t="n">
        <v>1</v>
      </c>
      <c r="N287" s="10">
        <f>ROUND('00_TONG_HOP_BAO_GIA'!Q63, 0)</f>
        <v/>
      </c>
      <c r="O287" s="10">
        <f>ROUNDUP(N287*M287, -2)</f>
        <v/>
      </c>
      <c r="P287" s="9" t="inlineStr">
        <is>
          <t>Cửa nan bầu dục 1 lớp</t>
        </is>
      </c>
    </row>
    <row r="288">
      <c r="A288" s="8" t="n"/>
      <c r="B288" s="9" t="inlineStr">
        <is>
          <t>Van MD 800x350 - EI30</t>
        </is>
      </c>
      <c r="C288" s="8" t="inlineStr">
        <is>
          <t>MD</t>
        </is>
      </c>
      <c r="D288" s="8" t="inlineStr">
        <is>
          <t>SWIND</t>
        </is>
      </c>
      <c r="E288" s="8" t="n">
        <v>800</v>
      </c>
      <c r="F288" s="8" t="n">
        <v>350</v>
      </c>
      <c r="G288" s="8" t="n"/>
      <c r="H288" s="8" t="n"/>
      <c r="I288" s="8" t="n"/>
      <c r="J288" s="8" t="n">
        <v>200</v>
      </c>
      <c r="K288" s="12" t="n">
        <v>1.15</v>
      </c>
      <c r="L288" s="8" t="inlineStr">
        <is>
          <t>cái</t>
        </is>
      </c>
      <c r="M288" s="10" t="n">
        <v>1</v>
      </c>
      <c r="N288" s="10">
        <f>ROUND('00_TONG_HOP_BAO_GIA'!Q64, 0)</f>
        <v/>
      </c>
      <c r="O288" s="10">
        <f>ROUNDUP(N288*M288, -2)</f>
        <v/>
      </c>
      <c r="P288" s="9" t="inlineStr">
        <is>
          <t>Van MD, động cơ KLB/VIWECO 24v-10N</t>
        </is>
      </c>
    </row>
    <row r="289">
      <c r="A289" s="8" t="n"/>
      <c r="B289" s="9" t="inlineStr">
        <is>
          <t>Miệng gió
 OAL+IS 1500x500</t>
        </is>
      </c>
      <c r="C289" s="8" t="inlineStr">
        <is>
          <t>WL+N</t>
        </is>
      </c>
      <c r="D289" s="8" t="inlineStr">
        <is>
          <t>SWIND</t>
        </is>
      </c>
      <c r="E289" s="8" t="n">
        <v>1500</v>
      </c>
      <c r="F289" s="8" t="n">
        <v>500</v>
      </c>
      <c r="G289" s="8" t="n">
        <v>1450</v>
      </c>
      <c r="H289" s="8" t="n">
        <v>450</v>
      </c>
      <c r="I289" s="8" t="n"/>
      <c r="J289" s="8" t="n"/>
      <c r="K289" s="8" t="n"/>
      <c r="L289" s="8" t="inlineStr">
        <is>
          <t>cái</t>
        </is>
      </c>
      <c r="M289" s="10" t="n">
        <v>1</v>
      </c>
      <c r="N289" s="10">
        <f>ROUND('00_TONG_HOP_BAO_GIA'!Q65, 0)</f>
        <v/>
      </c>
      <c r="O289" s="10">
        <f>ROUNDUP(N289*M289, -2)</f>
        <v/>
      </c>
      <c r="P289" s="9" t="inlineStr">
        <is>
          <t>Louver nan Z ngoài trời kèm lưới chắn côn trùng Inox 304</t>
        </is>
      </c>
    </row>
    <row r="290">
      <c r="A290" s="8" t="n"/>
      <c r="B290" s="9" t="inlineStr">
        <is>
          <t>Miệng gió
 OAL+IS 1500x300</t>
        </is>
      </c>
      <c r="C290" s="8" t="inlineStr">
        <is>
          <t>WL+N</t>
        </is>
      </c>
      <c r="D290" s="8" t="inlineStr">
        <is>
          <t>SWIND</t>
        </is>
      </c>
      <c r="E290" s="8" t="n">
        <v>1500</v>
      </c>
      <c r="F290" s="8" t="n">
        <v>300</v>
      </c>
      <c r="G290" s="8" t="n">
        <v>1450</v>
      </c>
      <c r="H290" s="8" t="n">
        <v>250</v>
      </c>
      <c r="I290" s="8" t="n"/>
      <c r="J290" s="8" t="n"/>
      <c r="K290" s="8" t="n"/>
      <c r="L290" s="8" t="inlineStr">
        <is>
          <t>cái</t>
        </is>
      </c>
      <c r="M290" s="10" t="n">
        <v>2</v>
      </c>
      <c r="N290" s="10">
        <f>ROUND('00_TONG_HOP_BAO_GIA'!Q66, 0)</f>
        <v/>
      </c>
      <c r="O290" s="10">
        <f>ROUNDUP(N290*M290, -2)</f>
        <v/>
      </c>
      <c r="P290" s="9" t="inlineStr">
        <is>
          <t>Louver nan Z ngoài trời kèm lưới chắn côn trùng Inox 304</t>
        </is>
      </c>
    </row>
    <row r="291">
      <c r="A291" s="8" t="n"/>
      <c r="B291" s="9" t="inlineStr">
        <is>
          <t>Miệng gió
 OAL+IS 550x550</t>
        </is>
      </c>
      <c r="C291" s="8" t="inlineStr">
        <is>
          <t>WL+N</t>
        </is>
      </c>
      <c r="D291" s="8" t="inlineStr">
        <is>
          <t>SWIND</t>
        </is>
      </c>
      <c r="E291" s="8" t="n">
        <v>550</v>
      </c>
      <c r="F291" s="8" t="n">
        <v>550</v>
      </c>
      <c r="G291" s="8" t="n">
        <v>500</v>
      </c>
      <c r="H291" s="8" t="n">
        <v>500</v>
      </c>
      <c r="I291" s="8" t="n"/>
      <c r="J291" s="8" t="n"/>
      <c r="K291" s="8" t="n"/>
      <c r="L291" s="8" t="inlineStr">
        <is>
          <t>cái</t>
        </is>
      </c>
      <c r="M291" s="10" t="n">
        <v>1</v>
      </c>
      <c r="N291" s="10">
        <f>ROUND('00_TONG_HOP_BAO_GIA'!Q67, 0)</f>
        <v/>
      </c>
      <c r="O291" s="10">
        <f>ROUNDUP(N291*M291, -2)</f>
        <v/>
      </c>
      <c r="P291" s="9" t="inlineStr">
        <is>
          <t>Louver nan Z ngoài trời kèm lưới chắn côn trùng Inox 304</t>
        </is>
      </c>
    </row>
    <row r="292">
      <c r="A292" s="8" t="n"/>
      <c r="B292" s="9" t="inlineStr">
        <is>
          <t>Miệng gió
 OAL+IS 700x400</t>
        </is>
      </c>
      <c r="C292" s="8" t="inlineStr">
        <is>
          <t>WL+N</t>
        </is>
      </c>
      <c r="D292" s="8" t="inlineStr">
        <is>
          <t>SWIND</t>
        </is>
      </c>
      <c r="E292" s="8" t="n">
        <v>700</v>
      </c>
      <c r="F292" s="8" t="n">
        <v>400</v>
      </c>
      <c r="G292" s="8" t="n">
        <v>650</v>
      </c>
      <c r="H292" s="8" t="n">
        <v>350</v>
      </c>
      <c r="I292" s="8" t="n"/>
      <c r="J292" s="8" t="n"/>
      <c r="K292" s="8" t="n"/>
      <c r="L292" s="8" t="inlineStr">
        <is>
          <t>cái</t>
        </is>
      </c>
      <c r="M292" s="10" t="n">
        <v>1</v>
      </c>
      <c r="N292" s="10">
        <f>ROUND('00_TONG_HOP_BAO_GIA'!Q68, 0)</f>
        <v/>
      </c>
      <c r="O292" s="10">
        <f>ROUNDUP(N292*M292, -2)</f>
        <v/>
      </c>
      <c r="P292" s="9" t="inlineStr">
        <is>
          <t>Louver nan Z ngoài trời kèm lưới chắn côn trùng Inox 304</t>
        </is>
      </c>
    </row>
    <row r="293">
      <c r="A293" s="8" t="n"/>
      <c r="B293" s="9" t="inlineStr">
        <is>
          <t>Cover che mưa kèm LCCT 800x350</t>
        </is>
      </c>
      <c r="C293" s="8" t="inlineStr">
        <is>
          <t>SDG</t>
        </is>
      </c>
      <c r="D293" s="8" t="inlineStr">
        <is>
          <t>SWIND</t>
        </is>
      </c>
      <c r="E293" s="8" t="n">
        <v>800</v>
      </c>
      <c r="F293" s="8" t="n">
        <v>350</v>
      </c>
      <c r="G293" s="8" t="n">
        <v>750</v>
      </c>
      <c r="H293" s="8" t="n">
        <v>300</v>
      </c>
      <c r="I293" s="8" t="n"/>
      <c r="J293" s="8" t="n"/>
      <c r="K293" s="8" t="n"/>
      <c r="L293" s="8" t="inlineStr">
        <is>
          <t>cái</t>
        </is>
      </c>
      <c r="M293" s="10" t="n">
        <v>1</v>
      </c>
      <c r="N293" s="10">
        <f>ROUND('00_TONG_HOP_BAO_GIA'!Q69, 0)</f>
        <v/>
      </c>
      <c r="O293" s="10">
        <f>ROUNDUP(N293*M293, -2)</f>
        <v/>
      </c>
      <c r="P293" s="9" t="inlineStr">
        <is>
          <t>Cửa nan bầu dục 1 lớp kèm LCCT</t>
        </is>
      </c>
    </row>
    <row r="294">
      <c r="A294" s="8" t="n"/>
      <c r="B294" s="9" t="inlineStr">
        <is>
          <t>Lưới chắn côn trùng 1500x300</t>
        </is>
      </c>
      <c r="C294" s="8" t="inlineStr">
        <is>
          <t>LCCT</t>
        </is>
      </c>
      <c r="D294" s="8" t="inlineStr">
        <is>
          <t>SWIND</t>
        </is>
      </c>
      <c r="E294" s="8" t="n">
        <v>1500</v>
      </c>
      <c r="F294" s="8" t="n">
        <v>300</v>
      </c>
      <c r="G294" s="8" t="n"/>
      <c r="H294" s="8" t="n"/>
      <c r="I294" s="8" t="n"/>
      <c r="J294" s="8" t="n"/>
      <c r="K294" s="8" t="n"/>
      <c r="L294" s="8" t="inlineStr">
        <is>
          <t>cái</t>
        </is>
      </c>
      <c r="M294" s="10" t="n">
        <v>1</v>
      </c>
      <c r="N294" s="10">
        <f>ROUND('00_TONG_HOP_BAO_GIA'!Q70, 0)</f>
        <v/>
      </c>
      <c r="O294" s="10">
        <f>ROUNDUP(N294*M294, -2)</f>
        <v/>
      </c>
      <c r="P294" s="9" t="inlineStr">
        <is>
          <t>Lưới chắn côn trùng</t>
        </is>
      </c>
    </row>
    <row r="295">
      <c r="A295" s="8" t="n"/>
      <c r="B295" s="9" t="inlineStr">
        <is>
          <t>Lưới chắn côn trùng 500x600</t>
        </is>
      </c>
      <c r="C295" s="8" t="inlineStr">
        <is>
          <t>LCCT</t>
        </is>
      </c>
      <c r="D295" s="8" t="inlineStr">
        <is>
          <t>SWIND</t>
        </is>
      </c>
      <c r="E295" s="8" t="n">
        <v>500</v>
      </c>
      <c r="F295" s="8" t="n">
        <v>600</v>
      </c>
      <c r="G295" s="8" t="n"/>
      <c r="H295" s="8" t="n"/>
      <c r="I295" s="8" t="n"/>
      <c r="J295" s="8" t="n"/>
      <c r="K295" s="8" t="n"/>
      <c r="L295" s="8" t="inlineStr">
        <is>
          <t>cái</t>
        </is>
      </c>
      <c r="M295" s="10" t="n">
        <v>1</v>
      </c>
      <c r="N295" s="10">
        <f>ROUND('00_TONG_HOP_BAO_GIA'!Q71, 0)</f>
        <v/>
      </c>
      <c r="O295" s="10">
        <f>ROUNDUP(N295*M295, -2)</f>
        <v/>
      </c>
      <c r="P295" s="9" t="inlineStr">
        <is>
          <t>Lưới chắn côn trùng</t>
        </is>
      </c>
    </row>
    <row r="296">
      <c r="A296" s="8" t="n"/>
      <c r="B296" s="9" t="inlineStr">
        <is>
          <t>Lưới chắn côn trùng 600x750</t>
        </is>
      </c>
      <c r="C296" s="8" t="inlineStr">
        <is>
          <t>LCCT</t>
        </is>
      </c>
      <c r="D296" s="8" t="inlineStr">
        <is>
          <t>SWIND</t>
        </is>
      </c>
      <c r="E296" s="8" t="n">
        <v>600</v>
      </c>
      <c r="F296" s="8" t="n">
        <v>750</v>
      </c>
      <c r="G296" s="8" t="n"/>
      <c r="H296" s="8" t="n"/>
      <c r="I296" s="8" t="n"/>
      <c r="J296" s="8" t="n"/>
      <c r="K296" s="8" t="n"/>
      <c r="L296" s="8" t="inlineStr">
        <is>
          <t>cái</t>
        </is>
      </c>
      <c r="M296" s="10" t="n">
        <v>1</v>
      </c>
      <c r="N296" s="10">
        <f>ROUND('00_TONG_HOP_BAO_GIA'!Q72, 0)</f>
        <v/>
      </c>
      <c r="O296" s="10">
        <f>ROUNDUP(N296*M296, -2)</f>
        <v/>
      </c>
      <c r="P296" s="9" t="inlineStr">
        <is>
          <t>Lưới chắn côn trùng</t>
        </is>
      </c>
    </row>
    <row r="297">
      <c r="A297" s="8" t="n"/>
      <c r="B297" s="9" t="inlineStr">
        <is>
          <t>Lưới chắn côn trùng 1000x1000</t>
        </is>
      </c>
      <c r="C297" s="8" t="inlineStr">
        <is>
          <t>LCCT</t>
        </is>
      </c>
      <c r="D297" s="8" t="inlineStr">
        <is>
          <t>SWIND</t>
        </is>
      </c>
      <c r="E297" s="8" t="n">
        <v>1000</v>
      </c>
      <c r="F297" s="8" t="n">
        <v>1000</v>
      </c>
      <c r="G297" s="8" t="n"/>
      <c r="H297" s="8" t="n"/>
      <c r="I297" s="8" t="n"/>
      <c r="J297" s="8" t="n"/>
      <c r="K297" s="8" t="n"/>
      <c r="L297" s="8" t="inlineStr">
        <is>
          <t>cái</t>
        </is>
      </c>
      <c r="M297" s="10" t="n">
        <v>9</v>
      </c>
      <c r="N297" s="10">
        <f>ROUND('00_TONG_HOP_BAO_GIA'!Q73, 0)</f>
        <v/>
      </c>
      <c r="O297" s="10">
        <f>ROUNDUP(N297*M297, -2)</f>
        <v/>
      </c>
      <c r="P297" s="9" t="inlineStr">
        <is>
          <t>Lưới chắn côn trùng</t>
        </is>
      </c>
    </row>
    <row r="298">
      <c r="A298" s="8" t="n"/>
      <c r="B298" s="9" t="inlineStr">
        <is>
          <t>Cảm biến khói gắn ống gió</t>
        </is>
      </c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inlineStr">
        <is>
          <t>cái</t>
        </is>
      </c>
      <c r="M298" s="10" t="n">
        <v>12</v>
      </c>
      <c r="N298" s="11" t="n"/>
      <c r="O298" s="11" t="n"/>
      <c r="P298" s="9" t="n"/>
    </row>
    <row r="299">
      <c r="A299" s="8" t="n"/>
      <c r="B299" s="9" t="inlineStr">
        <is>
          <t>Ty treo giá đỡ</t>
        </is>
      </c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inlineStr">
        <is>
          <t>trọn gói</t>
        </is>
      </c>
      <c r="M299" s="10" t="n">
        <v>1</v>
      </c>
      <c r="N299" s="11" t="n"/>
      <c r="O299" s="11" t="n"/>
      <c r="P299" s="9" t="n"/>
    </row>
    <row r="300">
      <c r="A300" s="8" t="n"/>
      <c r="B300" s="9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11" t="n"/>
      <c r="N300" s="11" t="n"/>
      <c r="O300" s="11" t="n"/>
      <c r="P300" s="9" t="n"/>
    </row>
    <row r="301">
      <c r="A301" s="6" t="n"/>
      <c r="B301" s="7" t="inlineStr">
        <is>
          <t>II. HỆ THỐNG BÙ GIÓ</t>
        </is>
      </c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</row>
    <row r="302">
      <c r="A302" s="6" t="n"/>
      <c r="B302" s="7" t="inlineStr">
        <is>
          <t>Thiết bị</t>
        </is>
      </c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</row>
    <row r="303">
      <c r="A303" s="8" t="n"/>
      <c r="B303" s="9" t="inlineStr">
        <is>
          <t>Quạt bù gió_Loại hướng trục MAF-2.01
32.000 m3/h@350Pa
Motor chống cháy 300°C/2h</t>
        </is>
      </c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inlineStr">
        <is>
          <t>cái</t>
        </is>
      </c>
      <c r="M303" s="10" t="n">
        <v>1</v>
      </c>
      <c r="N303" s="11" t="n"/>
      <c r="O303" s="11" t="n"/>
      <c r="P303" s="9" t="n"/>
    </row>
    <row r="304">
      <c r="A304" s="8" t="n"/>
      <c r="B304" s="9" t="inlineStr">
        <is>
          <t>Quạt bù gió_Loại hướng trục MAF-2.02
30.900 m3/h@300Pa
Motor chống cháy 300°C/2h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inlineStr">
        <is>
          <t>cái</t>
        </is>
      </c>
      <c r="M304" s="10" t="n">
        <v>1</v>
      </c>
      <c r="N304" s="11" t="n"/>
      <c r="O304" s="11" t="n"/>
      <c r="P304" s="9" t="n"/>
    </row>
    <row r="305">
      <c r="A305" s="8" t="n"/>
      <c r="B305" s="9" t="inlineStr">
        <is>
          <t>Quạt bù gió_Loại hướng trục MAF-2.03
36.100 m3/h@350Pa
Motor chống cháy 300°C/2h</t>
        </is>
      </c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inlineStr">
        <is>
          <t>cái</t>
        </is>
      </c>
      <c r="M305" s="10" t="n">
        <v>1</v>
      </c>
      <c r="N305" s="11" t="n"/>
      <c r="O305" s="11" t="n"/>
      <c r="P305" s="9" t="n"/>
    </row>
    <row r="306">
      <c r="A306" s="8" t="n"/>
      <c r="B306" s="9" t="inlineStr">
        <is>
          <t>Nối mềm chống cháy</t>
        </is>
      </c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inlineStr">
        <is>
          <t>bộ</t>
        </is>
      </c>
      <c r="M306" s="10" t="n">
        <v>3</v>
      </c>
      <c r="N306" s="11" t="n"/>
      <c r="O306" s="11" t="n"/>
      <c r="P306" s="9" t="n"/>
    </row>
    <row r="307">
      <c r="A307" s="8" t="n"/>
      <c r="B307" s="9" t="inlineStr">
        <is>
          <t>Hộp chống cháy loại 1 cho quạt</t>
        </is>
      </c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inlineStr">
        <is>
          <t>bộ</t>
        </is>
      </c>
      <c r="M307" s="10" t="n">
        <v>3</v>
      </c>
      <c r="N307" s="11" t="n"/>
      <c r="O307" s="11" t="n"/>
      <c r="P307" s="9" t="n"/>
    </row>
    <row r="308">
      <c r="A308" s="8" t="n"/>
      <c r="B308" s="9" t="inlineStr">
        <is>
          <t>Ty treo giá đỡ</t>
        </is>
      </c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inlineStr">
        <is>
          <t>trọn gói</t>
        </is>
      </c>
      <c r="M308" s="10" t="n">
        <v>1</v>
      </c>
      <c r="N308" s="11" t="n"/>
      <c r="O308" s="11" t="n"/>
      <c r="P308" s="9" t="n"/>
    </row>
    <row r="309">
      <c r="A309" s="8" t="n"/>
      <c r="B309" s="9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11" t="n"/>
      <c r="N309" s="11" t="n"/>
      <c r="O309" s="11" t="n"/>
      <c r="P309" s="9" t="n"/>
    </row>
    <row r="310">
      <c r="A310" s="6" t="n"/>
      <c r="B310" s="7" t="inlineStr">
        <is>
          <t>Ống gió
Air duct</t>
        </is>
      </c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</row>
    <row r="311">
      <c r="A311" s="6" t="n"/>
      <c r="B311" s="7" t="inlineStr">
        <is>
          <t>Ống gió chống cháy EI45</t>
        </is>
      </c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6" t="n"/>
      <c r="B312" s="7" t="inlineStr">
        <is>
          <t>Ống gió thẳng</t>
        </is>
      </c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</row>
    <row r="313">
      <c r="A313" s="8" t="n"/>
      <c r="B313" s="9" t="inlineStr">
        <is>
          <t>Ống gió chống cháy EI45 3000x1500</t>
        </is>
      </c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inlineStr">
        <is>
          <t>m</t>
        </is>
      </c>
      <c r="M313" s="10" t="n">
        <v>4</v>
      </c>
      <c r="N313" s="11" t="n"/>
      <c r="O313" s="11" t="n"/>
      <c r="P313" s="9" t="n"/>
    </row>
    <row r="314">
      <c r="A314" s="8" t="n"/>
      <c r="B314" s="9" t="inlineStr">
        <is>
          <t>Ống gió chống cháy EI45 1500x600</t>
        </is>
      </c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inlineStr">
        <is>
          <t>m</t>
        </is>
      </c>
      <c r="M314" s="10" t="n">
        <v>23</v>
      </c>
      <c r="N314" s="11" t="n"/>
      <c r="O314" s="11" t="n"/>
      <c r="P314" s="9" t="n"/>
    </row>
    <row r="315">
      <c r="A315" s="8" t="n"/>
      <c r="B315" s="9" t="inlineStr">
        <is>
          <t>Ống gió chống cháy EI45 1500x400</t>
        </is>
      </c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inlineStr">
        <is>
          <t>m</t>
        </is>
      </c>
      <c r="M315" s="10" t="n">
        <v>29</v>
      </c>
      <c r="N315" s="11" t="n"/>
      <c r="O315" s="11" t="n"/>
      <c r="P315" s="9" t="n"/>
    </row>
    <row r="316">
      <c r="A316" s="8" t="n"/>
      <c r="B316" s="9" t="inlineStr">
        <is>
          <t>Ống gió chống cháy EI45 1500x500</t>
        </is>
      </c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inlineStr">
        <is>
          <t>m</t>
        </is>
      </c>
      <c r="M316" s="10" t="n">
        <v>19</v>
      </c>
      <c r="N316" s="11" t="n"/>
      <c r="O316" s="11" t="n"/>
      <c r="P316" s="9" t="n"/>
    </row>
    <row r="317">
      <c r="A317" s="6" t="n"/>
      <c r="B317" s="7" t="inlineStr">
        <is>
          <t>Chân rẽ</t>
        </is>
      </c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8" t="n"/>
      <c r="B318" s="9" t="inlineStr">
        <is>
          <t>Chân rẽ 1500x400-200H</t>
        </is>
      </c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inlineStr">
        <is>
          <t>cái</t>
        </is>
      </c>
      <c r="M318" s="10" t="n">
        <v>1</v>
      </c>
      <c r="N318" s="11" t="n"/>
      <c r="O318" s="11" t="n"/>
      <c r="P318" s="9" t="n"/>
    </row>
    <row r="319">
      <c r="A319" s="6" t="n"/>
      <c r="B319" s="7" t="inlineStr">
        <is>
          <t>Co ngang ống gió</t>
        </is>
      </c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</row>
    <row r="320">
      <c r="A320" s="8" t="n"/>
      <c r="B320" s="9" t="inlineStr">
        <is>
          <t>Co ngang ống gió 1500x400-600R-45°</t>
        </is>
      </c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inlineStr">
        <is>
          <t>cái</t>
        </is>
      </c>
      <c r="M320" s="10" t="n">
        <v>2</v>
      </c>
      <c r="N320" s="11" t="n"/>
      <c r="O320" s="11" t="n"/>
      <c r="P320" s="9" t="n"/>
    </row>
    <row r="321">
      <c r="A321" s="8" t="n"/>
      <c r="B321" s="9" t="inlineStr">
        <is>
          <t>Co ngang ống gió 1500x600-400R-90°</t>
        </is>
      </c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inlineStr">
        <is>
          <t>cái</t>
        </is>
      </c>
      <c r="M321" s="10" t="n">
        <v>1</v>
      </c>
      <c r="N321" s="11" t="n"/>
      <c r="O321" s="11" t="n"/>
      <c r="P321" s="9" t="n"/>
    </row>
    <row r="322">
      <c r="A322" s="8" t="n"/>
      <c r="B322" s="9" t="inlineStr">
        <is>
          <t>Co ngang ống gió 1500x400-400R-90°</t>
        </is>
      </c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inlineStr">
        <is>
          <t>cái</t>
        </is>
      </c>
      <c r="M322" s="10" t="n">
        <v>1</v>
      </c>
      <c r="N322" s="11" t="n"/>
      <c r="O322" s="11" t="n"/>
      <c r="P322" s="9" t="n"/>
    </row>
    <row r="323">
      <c r="A323" s="8" t="n"/>
      <c r="B323" s="9" t="inlineStr">
        <is>
          <t>Ty treo giá đỡ</t>
        </is>
      </c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inlineStr">
        <is>
          <t>trọn gói</t>
        </is>
      </c>
      <c r="M323" s="10" t="n">
        <v>1</v>
      </c>
      <c r="N323" s="11" t="n"/>
      <c r="O323" s="11" t="n"/>
      <c r="P323" s="9" t="n"/>
    </row>
    <row r="324">
      <c r="A324" s="8" t="n"/>
      <c r="B324" s="9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11" t="n"/>
      <c r="N324" s="11" t="n"/>
      <c r="O324" s="11" t="n"/>
      <c r="P324" s="9" t="n"/>
    </row>
    <row r="325">
      <c r="A325" s="6" t="n"/>
      <c r="B325" s="7" t="inlineStr">
        <is>
          <t>Miệng gió</t>
        </is>
      </c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8" t="n"/>
      <c r="B326" s="9" t="inlineStr">
        <is>
          <t>Miệng gió
 OAG+OBD 1500x1000</t>
        </is>
      </c>
      <c r="C326" s="8" t="inlineStr">
        <is>
          <t>SDG+O</t>
        </is>
      </c>
      <c r="D326" s="8" t="inlineStr">
        <is>
          <t>SWIND</t>
        </is>
      </c>
      <c r="E326" s="8" t="n">
        <v>1500</v>
      </c>
      <c r="F326" s="8" t="n">
        <v>1000</v>
      </c>
      <c r="G326" s="8" t="n">
        <v>1450</v>
      </c>
      <c r="H326" s="8" t="n">
        <v>950</v>
      </c>
      <c r="I326" s="8" t="n"/>
      <c r="J326" s="8" t="n"/>
      <c r="K326" s="8" t="n"/>
      <c r="L326" s="8" t="inlineStr">
        <is>
          <t>cái</t>
        </is>
      </c>
      <c r="M326" s="10" t="n">
        <v>4</v>
      </c>
      <c r="N326" s="10">
        <f>ROUND('00_TONG_HOP_BAO_GIA'!Q74, 0)</f>
        <v/>
      </c>
      <c r="O326" s="10">
        <f>ROUNDUP(N326*M326, -2)</f>
        <v/>
      </c>
      <c r="P326" s="9" t="inlineStr">
        <is>
          <t>Cửa nan bầu dục 1 lớp kèm van OBD</t>
        </is>
      </c>
    </row>
    <row r="327">
      <c r="A327" s="8" t="n"/>
      <c r="B327" s="9" t="inlineStr">
        <is>
          <t>Miệng gió OAL+IS 3000x1500</t>
        </is>
      </c>
      <c r="C327" s="8" t="inlineStr">
        <is>
          <t>WL+N</t>
        </is>
      </c>
      <c r="D327" s="8" t="inlineStr">
        <is>
          <t>SWIND</t>
        </is>
      </c>
      <c r="E327" s="8" t="n">
        <v>3000</v>
      </c>
      <c r="F327" s="8" t="n">
        <v>1500</v>
      </c>
      <c r="G327" s="8" t="n">
        <v>2950</v>
      </c>
      <c r="H327" s="8" t="n">
        <v>1450</v>
      </c>
      <c r="I327" s="8" t="n"/>
      <c r="J327" s="8" t="n"/>
      <c r="K327" s="8" t="n"/>
      <c r="L327" s="8" t="inlineStr">
        <is>
          <t>cái</t>
        </is>
      </c>
      <c r="M327" s="10" t="n">
        <v>3</v>
      </c>
      <c r="N327" s="10">
        <f>ROUND('00_TONG_HOP_BAO_GIA'!Q75, 0)</f>
        <v/>
      </c>
      <c r="O327" s="10">
        <f>ROUNDUP(N327*M327, -2)</f>
        <v/>
      </c>
      <c r="P327" s="9" t="inlineStr">
        <is>
          <t>Louver nan Z ngoài trời kèm lưới chắn côn trùng Inox 304</t>
        </is>
      </c>
    </row>
    <row r="328">
      <c r="A328" s="8" t="n"/>
      <c r="B328" s="9" t="inlineStr">
        <is>
          <t>Cửa cấp gió bù 1500x1000</t>
        </is>
      </c>
      <c r="C328" s="8" t="inlineStr">
        <is>
          <t>WL</t>
        </is>
      </c>
      <c r="D328" s="8" t="inlineStr">
        <is>
          <t>SWIND</t>
        </is>
      </c>
      <c r="E328" s="8" t="n">
        <v>1500</v>
      </c>
      <c r="F328" s="8" t="n">
        <v>1000</v>
      </c>
      <c r="G328" s="8" t="n">
        <v>1450</v>
      </c>
      <c r="H328" s="8" t="n">
        <v>950</v>
      </c>
      <c r="I328" s="8" t="n"/>
      <c r="J328" s="8" t="n"/>
      <c r="K328" s="8" t="n"/>
      <c r="L328" s="8" t="inlineStr">
        <is>
          <t>cái</t>
        </is>
      </c>
      <c r="M328" s="10" t="n">
        <v>99</v>
      </c>
      <c r="N328" s="10">
        <f>ROUND('00_TONG_HOP_BAO_GIA'!Q76, 0)</f>
        <v/>
      </c>
      <c r="O328" s="10">
        <f>ROUNDUP(N328*M328, -2)</f>
        <v/>
      </c>
      <c r="P328" s="9" t="inlineStr">
        <is>
          <t>Louver nan Z ngoài trời</t>
        </is>
      </c>
    </row>
    <row r="329">
      <c r="A329" s="8" t="n"/>
      <c r="B329" s="9" t="inlineStr">
        <is>
          <t>Cảm biến khói gắn ống gió</t>
        </is>
      </c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inlineStr">
        <is>
          <t>cái</t>
        </is>
      </c>
      <c r="M329" s="10" t="n">
        <v>3</v>
      </c>
      <c r="N329" s="11" t="n"/>
      <c r="O329" s="11" t="n"/>
      <c r="P329" s="9" t="n"/>
    </row>
    <row r="330">
      <c r="A330" s="8" t="n"/>
      <c r="B330" s="9" t="inlineStr">
        <is>
          <t>Ty treo giá đỡ</t>
        </is>
      </c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inlineStr">
        <is>
          <t>trọn gói</t>
        </is>
      </c>
      <c r="M330" s="10" t="n">
        <v>1</v>
      </c>
      <c r="N330" s="11" t="n"/>
      <c r="O330" s="11" t="n"/>
      <c r="P330" s="9" t="n"/>
    </row>
    <row r="331">
      <c r="A331" s="8" t="n"/>
      <c r="B331" s="9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11" t="n"/>
      <c r="N331" s="11" t="n"/>
      <c r="O331" s="11" t="n"/>
      <c r="P331" s="9" t="n"/>
    </row>
    <row r="332">
      <c r="A332" s="6" t="n"/>
      <c r="B332" s="7" t="inlineStr">
        <is>
          <t>III. HỆ THỐNG HÚT KHÓI</t>
        </is>
      </c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6" t="n"/>
      <c r="B333" s="7" t="inlineStr">
        <is>
          <t>Thiết bị</t>
        </is>
      </c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</row>
    <row r="334">
      <c r="A334" s="8" t="n"/>
      <c r="B334" s="9" t="inlineStr">
        <is>
          <t>Quạt hút khói_Hướng trục SEAF-2.01
37.650m3/h@350Pa
Motor chống cháy 300°C/2h</t>
        </is>
      </c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inlineStr">
        <is>
          <t>cái</t>
        </is>
      </c>
      <c r="M334" s="10" t="n">
        <v>1</v>
      </c>
      <c r="N334" s="11" t="n"/>
      <c r="O334" s="11" t="n"/>
      <c r="P334" s="9" t="n"/>
    </row>
    <row r="335">
      <c r="A335" s="8" t="n"/>
      <c r="B335" s="9" t="inlineStr">
        <is>
          <t>Quạt hút khói_Hướng trục SEAF-2.02
36.350m3/h@350Pa
Motor chống cháy 300°C/2h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inlineStr">
        <is>
          <t>cái</t>
        </is>
      </c>
      <c r="M335" s="10" t="n">
        <v>1</v>
      </c>
      <c r="N335" s="11" t="n"/>
      <c r="O335" s="11" t="n"/>
      <c r="P335" s="9" t="n"/>
    </row>
    <row r="336">
      <c r="A336" s="8" t="n"/>
      <c r="B336" s="9" t="inlineStr">
        <is>
          <t>Quạt hút khói_Hướng trục SEAF-2.03
42.450m3/h@350Pa
Motor chống cháy 300°C/2h</t>
        </is>
      </c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inlineStr">
        <is>
          <t>cái</t>
        </is>
      </c>
      <c r="M336" s="10" t="n">
        <v>1</v>
      </c>
      <c r="N336" s="11" t="n"/>
      <c r="O336" s="11" t="n"/>
      <c r="P336" s="9" t="n"/>
    </row>
    <row r="337">
      <c r="A337" s="8" t="n"/>
      <c r="B337" s="9" t="inlineStr">
        <is>
          <t>Quạt hút khói_Hướng trục SEAF-COR-01~09
22.900m3/h@500Pa
Motor chống cháy 300°C/2h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inlineStr">
        <is>
          <t>cái</t>
        </is>
      </c>
      <c r="M337" s="10" t="n">
        <v>9</v>
      </c>
      <c r="N337" s="11" t="n"/>
      <c r="O337" s="11" t="n"/>
      <c r="P337" s="9" t="n"/>
    </row>
    <row r="338">
      <c r="A338" s="8" t="n"/>
      <c r="B338" s="9" t="inlineStr">
        <is>
          <t>Quạt hút khói_Hướng trục GAF-B1
1550m3/h@300Pa
Motor chống cháy 300°C/2h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inlineStr">
        <is>
          <t>cái</t>
        </is>
      </c>
      <c r="M338" s="10" t="n">
        <v>1</v>
      </c>
      <c r="N338" s="11" t="n"/>
      <c r="O338" s="11" t="n"/>
      <c r="P338" s="9" t="n"/>
    </row>
    <row r="339">
      <c r="A339" s="8" t="n"/>
      <c r="B339" s="9" t="inlineStr">
        <is>
          <t>Quạt hút khói_Hướng trục GEAF-RF-01
2740m3/h@300Pa
Motor chống cháy 300°C/2h</t>
        </is>
      </c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inlineStr">
        <is>
          <t>cái</t>
        </is>
      </c>
      <c r="M339" s="10" t="n">
        <v>1</v>
      </c>
      <c r="N339" s="11" t="n"/>
      <c r="O339" s="11" t="n"/>
      <c r="P339" s="9" t="n"/>
    </row>
    <row r="340">
      <c r="A340" s="8" t="n"/>
      <c r="B340" s="9" t="inlineStr">
        <is>
          <t>Nối mềm chống cháy</t>
        </is>
      </c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inlineStr">
        <is>
          <t>bộ</t>
        </is>
      </c>
      <c r="M340" s="10" t="n">
        <v>14</v>
      </c>
      <c r="N340" s="11" t="n"/>
      <c r="O340" s="11" t="n"/>
      <c r="P340" s="9" t="n"/>
    </row>
    <row r="341">
      <c r="A341" s="8" t="n"/>
      <c r="B341" s="9" t="inlineStr">
        <is>
          <t>Hộp chống cháy loại 1 cho quạt</t>
        </is>
      </c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inlineStr">
        <is>
          <t>bộ</t>
        </is>
      </c>
      <c r="M341" s="10" t="n">
        <v>3</v>
      </c>
      <c r="N341" s="11" t="n"/>
      <c r="O341" s="11" t="n"/>
      <c r="P341" s="9" t="n"/>
    </row>
    <row r="342">
      <c r="A342" s="8" t="n"/>
      <c r="B342" s="9" t="inlineStr">
        <is>
          <t>Ty treo giá đỡ</t>
        </is>
      </c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inlineStr">
        <is>
          <t>trọn gói</t>
        </is>
      </c>
      <c r="M342" s="10" t="n">
        <v>1</v>
      </c>
      <c r="N342" s="11" t="n"/>
      <c r="O342" s="11" t="n"/>
      <c r="P342" s="9" t="n"/>
    </row>
    <row r="343">
      <c r="A343" s="8" t="n"/>
      <c r="B343" s="9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11" t="n"/>
      <c r="N343" s="11" t="n"/>
      <c r="O343" s="11" t="n"/>
      <c r="P343" s="9" t="n"/>
    </row>
    <row r="344">
      <c r="A344" s="6" t="n"/>
      <c r="B344" s="7" t="inlineStr">
        <is>
          <t>Ống gió
Air duct</t>
        </is>
      </c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</row>
    <row r="345">
      <c r="A345" s="6" t="n"/>
      <c r="B345" s="7" t="inlineStr">
        <is>
          <t>Ống gió không chống cháy</t>
        </is>
      </c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</row>
    <row r="346">
      <c r="A346" s="6" t="n"/>
      <c r="B346" s="7" t="inlineStr">
        <is>
          <t>Ống gió thẳng</t>
        </is>
      </c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</row>
    <row r="347">
      <c r="A347" s="8" t="n"/>
      <c r="B347" s="9" t="inlineStr">
        <is>
          <t>Ống gió không chống cháy 200x200</t>
        </is>
      </c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inlineStr">
        <is>
          <t>m</t>
        </is>
      </c>
      <c r="M347" s="10" t="n">
        <v>19</v>
      </c>
      <c r="N347" s="11" t="n"/>
      <c r="O347" s="11" t="n"/>
      <c r="P347" s="9" t="n"/>
    </row>
    <row r="348">
      <c r="A348" s="8" t="n"/>
      <c r="B348" s="9" t="inlineStr">
        <is>
          <t>Ống gió không chống cháy 600x300</t>
        </is>
      </c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inlineStr">
        <is>
          <t>m</t>
        </is>
      </c>
      <c r="M348" s="10" t="n">
        <v>162</v>
      </c>
      <c r="N348" s="11" t="n"/>
      <c r="O348" s="11" t="n"/>
      <c r="P348" s="9" t="n"/>
    </row>
    <row r="349">
      <c r="A349" s="8" t="n"/>
      <c r="B349" s="9" t="inlineStr">
        <is>
          <t>Ống gió không chống cháy 800x600</t>
        </is>
      </c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inlineStr">
        <is>
          <t>m</t>
        </is>
      </c>
      <c r="M349" s="10" t="n">
        <v>63</v>
      </c>
      <c r="N349" s="11" t="n"/>
      <c r="O349" s="11" t="n"/>
      <c r="P349" s="9" t="n"/>
    </row>
    <row r="350">
      <c r="A350" s="8" t="n"/>
      <c r="B350" s="9" t="inlineStr">
        <is>
          <t>Ống gió không chống cháy 1400x400</t>
        </is>
      </c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inlineStr">
        <is>
          <t>m</t>
        </is>
      </c>
      <c r="M350" s="10" t="n">
        <v>272</v>
      </c>
      <c r="N350" s="11" t="n"/>
      <c r="O350" s="11" t="n"/>
      <c r="P350" s="9" t="n"/>
    </row>
    <row r="351">
      <c r="A351" s="8" t="n"/>
      <c r="B351" s="9" t="inlineStr">
        <is>
          <t>Ống gió không chống cháy 1250x600</t>
        </is>
      </c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inlineStr">
        <is>
          <t>m</t>
        </is>
      </c>
      <c r="M351" s="10" t="n">
        <v>291</v>
      </c>
      <c r="N351" s="11" t="n"/>
      <c r="O351" s="11" t="n"/>
      <c r="P351" s="9" t="n"/>
    </row>
    <row r="352">
      <c r="A352" s="8" t="n"/>
      <c r="B352" s="9" t="inlineStr">
        <is>
          <t>Ống gió không chống cháy 1000x1000</t>
        </is>
      </c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inlineStr">
        <is>
          <t>m</t>
        </is>
      </c>
      <c r="M352" s="10" t="n">
        <v>12</v>
      </c>
      <c r="N352" s="11" t="n"/>
      <c r="O352" s="11" t="n"/>
      <c r="P352" s="9" t="n"/>
    </row>
    <row r="353">
      <c r="A353" s="6" t="n"/>
      <c r="B353" s="7" t="inlineStr">
        <is>
          <t>Co ngang ống gió</t>
        </is>
      </c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</row>
    <row r="354">
      <c r="A354" s="8" t="n"/>
      <c r="B354" s="9" t="inlineStr">
        <is>
          <t>Co ngang ống gió 1400x400-600R-45°</t>
        </is>
      </c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inlineStr">
        <is>
          <t>cái</t>
        </is>
      </c>
      <c r="M354" s="10" t="n">
        <v>2</v>
      </c>
      <c r="N354" s="11" t="n"/>
      <c r="O354" s="11" t="n"/>
      <c r="P354" s="9" t="n"/>
    </row>
    <row r="355">
      <c r="A355" s="8" t="n"/>
      <c r="B355" s="9" t="inlineStr">
        <is>
          <t>Co ngang ống gió 400x400-400R-90°</t>
        </is>
      </c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inlineStr">
        <is>
          <t>cái</t>
        </is>
      </c>
      <c r="M355" s="10" t="n">
        <v>1</v>
      </c>
      <c r="N355" s="11" t="n"/>
      <c r="O355" s="11" t="n"/>
      <c r="P355" s="9" t="n"/>
    </row>
    <row r="356">
      <c r="A356" s="8" t="n"/>
      <c r="B356" s="9" t="inlineStr">
        <is>
          <t>Co ngang ống gió 600x300-400R-90°</t>
        </is>
      </c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inlineStr">
        <is>
          <t>cái</t>
        </is>
      </c>
      <c r="M356" s="10" t="n">
        <v>1</v>
      </c>
      <c r="N356" s="11" t="n"/>
      <c r="O356" s="11" t="n"/>
      <c r="P356" s="9" t="n"/>
    </row>
    <row r="357">
      <c r="A357" s="8" t="n"/>
      <c r="B357" s="9" t="inlineStr">
        <is>
          <t>Co ngang ống gió 800x600-400R-90°</t>
        </is>
      </c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inlineStr">
        <is>
          <t>cái</t>
        </is>
      </c>
      <c r="M357" s="10" t="n">
        <v>5</v>
      </c>
      <c r="N357" s="11" t="n"/>
      <c r="O357" s="11" t="n"/>
      <c r="P357" s="9" t="n"/>
    </row>
    <row r="358">
      <c r="A358" s="8" t="n"/>
      <c r="B358" s="9" t="inlineStr">
        <is>
          <t>Ty treo giá đỡ</t>
        </is>
      </c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inlineStr">
        <is>
          <t>trọn gói</t>
        </is>
      </c>
      <c r="M358" s="10" t="n">
        <v>1</v>
      </c>
      <c r="N358" s="11" t="n"/>
      <c r="O358" s="11" t="n"/>
      <c r="P358" s="9" t="n"/>
    </row>
    <row r="359">
      <c r="A359" s="8" t="n"/>
      <c r="B359" s="9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11" t="n"/>
      <c r="N359" s="11" t="n"/>
      <c r="O359" s="11" t="n"/>
      <c r="P359" s="9" t="n"/>
    </row>
    <row r="360">
      <c r="A360" s="6" t="n"/>
      <c r="B360" s="7" t="inlineStr">
        <is>
          <t>Ống gió chống cháy EI45</t>
        </is>
      </c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6" t="n"/>
      <c r="B361" s="7" t="inlineStr">
        <is>
          <t>Ống gió thẳng</t>
        </is>
      </c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</row>
    <row r="362">
      <c r="A362" s="8" t="n"/>
      <c r="B362" s="9" t="inlineStr">
        <is>
          <t>Ống gió chống cháy EI45 3000x1500</t>
        </is>
      </c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inlineStr">
        <is>
          <t>m</t>
        </is>
      </c>
      <c r="M362" s="10" t="n">
        <v>4</v>
      </c>
      <c r="N362" s="11" t="n"/>
      <c r="O362" s="11" t="n"/>
      <c r="P362" s="9" t="n"/>
    </row>
    <row r="363">
      <c r="A363" s="8" t="n"/>
      <c r="B363" s="9" t="inlineStr">
        <is>
          <t>Ống gió chống cháy EI45 1500x600</t>
        </is>
      </c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inlineStr">
        <is>
          <t>m</t>
        </is>
      </c>
      <c r="M363" s="10" t="n">
        <v>36</v>
      </c>
      <c r="N363" s="11" t="n"/>
      <c r="O363" s="11" t="n"/>
      <c r="P363" s="9" t="n"/>
    </row>
    <row r="364">
      <c r="A364" s="8" t="n"/>
      <c r="B364" s="9" t="inlineStr">
        <is>
          <t>Ống gió chống cháy EI45 1500x450</t>
        </is>
      </c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inlineStr">
        <is>
          <t>m</t>
        </is>
      </c>
      <c r="M364" s="10" t="n">
        <v>11</v>
      </c>
      <c r="N364" s="11" t="n"/>
      <c r="O364" s="11" t="n"/>
      <c r="P364" s="9" t="n"/>
    </row>
    <row r="365">
      <c r="A365" s="8" t="n"/>
      <c r="B365" s="9" t="inlineStr">
        <is>
          <t>Ống gió chống cháy EI45 1000x350</t>
        </is>
      </c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inlineStr">
        <is>
          <t>m</t>
        </is>
      </c>
      <c r="M365" s="10" t="n">
        <v>5</v>
      </c>
      <c r="N365" s="11" t="n"/>
      <c r="O365" s="11" t="n"/>
      <c r="P365" s="9" t="n"/>
    </row>
    <row r="366">
      <c r="A366" s="8" t="n"/>
      <c r="B366" s="9" t="inlineStr">
        <is>
          <t>Ống gió chống cháy EI45 1000x450</t>
        </is>
      </c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inlineStr">
        <is>
          <t>m</t>
        </is>
      </c>
      <c r="M366" s="10" t="n">
        <v>20</v>
      </c>
      <c r="N366" s="11" t="n"/>
      <c r="O366" s="11" t="n"/>
      <c r="P366" s="9" t="n"/>
    </row>
    <row r="367">
      <c r="A367" s="8" t="n"/>
      <c r="B367" s="9" t="inlineStr">
        <is>
          <t>Ống gió chống cháy EI45 400x400</t>
        </is>
      </c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inlineStr">
        <is>
          <t>m</t>
        </is>
      </c>
      <c r="M367" s="10" t="n">
        <v>147</v>
      </c>
      <c r="N367" s="11" t="n"/>
      <c r="O367" s="11" t="n"/>
      <c r="P367" s="9" t="n"/>
    </row>
    <row r="368">
      <c r="A368" s="6" t="n"/>
      <c r="B368" s="7" t="inlineStr">
        <is>
          <t>Côn chuyển</t>
        </is>
      </c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</row>
    <row r="369">
      <c r="A369" s="8" t="n"/>
      <c r="B369" s="9" t="inlineStr">
        <is>
          <t>Côn chuyển 1500x450/ 1000x350-500L</t>
        </is>
      </c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inlineStr">
        <is>
          <t>cái</t>
        </is>
      </c>
      <c r="M369" s="10" t="n">
        <v>1</v>
      </c>
      <c r="N369" s="11" t="n"/>
      <c r="O369" s="11" t="n"/>
      <c r="P369" s="9" t="n"/>
    </row>
    <row r="370">
      <c r="A370" s="8" t="n"/>
      <c r="B370" s="9" t="inlineStr">
        <is>
          <t>Côn chuyển 1500x600/ 1000x450-500L</t>
        </is>
      </c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inlineStr">
        <is>
          <t>cái</t>
        </is>
      </c>
      <c r="M370" s="10" t="n">
        <v>2</v>
      </c>
      <c r="N370" s="11" t="n"/>
      <c r="O370" s="11" t="n"/>
      <c r="P370" s="9" t="n"/>
    </row>
    <row r="371">
      <c r="A371" s="6" t="n"/>
      <c r="B371" s="7" t="inlineStr">
        <is>
          <t>Co ngang ống gió</t>
        </is>
      </c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</row>
    <row r="372">
      <c r="A372" s="8" t="n"/>
      <c r="B372" s="9" t="inlineStr">
        <is>
          <t>Co ngang ống gió 1500x450-400R-90°</t>
        </is>
      </c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inlineStr">
        <is>
          <t>cái</t>
        </is>
      </c>
      <c r="M372" s="10" t="n">
        <v>1</v>
      </c>
      <c r="N372" s="11" t="n"/>
      <c r="O372" s="11" t="n"/>
      <c r="P372" s="9" t="n"/>
    </row>
    <row r="373">
      <c r="A373" s="8" t="n"/>
      <c r="B373" s="9" t="inlineStr">
        <is>
          <t>Co ngang ống gió 1500x600-400R-90°</t>
        </is>
      </c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inlineStr">
        <is>
          <t>cái</t>
        </is>
      </c>
      <c r="M373" s="10" t="n">
        <v>3</v>
      </c>
      <c r="N373" s="11" t="n"/>
      <c r="O373" s="11" t="n"/>
      <c r="P373" s="9" t="n"/>
    </row>
    <row r="374">
      <c r="A374" s="8" t="n"/>
      <c r="B374" s="9" t="inlineStr">
        <is>
          <t>Ty treo giá đỡ</t>
        </is>
      </c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inlineStr">
        <is>
          <t>trọn gói</t>
        </is>
      </c>
      <c r="M374" s="10" t="n">
        <v>1</v>
      </c>
      <c r="N374" s="11" t="n"/>
      <c r="O374" s="11" t="n"/>
      <c r="P374" s="9" t="n"/>
    </row>
    <row r="375">
      <c r="A375" s="8" t="n"/>
      <c r="B375" s="9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11" t="n"/>
      <c r="N375" s="11" t="n"/>
      <c r="O375" s="11" t="n"/>
      <c r="P375" s="9" t="n"/>
    </row>
    <row r="376">
      <c r="A376" s="6" t="n"/>
      <c r="B376" s="7" t="inlineStr">
        <is>
          <t>Ống gió chống cháy EI30</t>
        </is>
      </c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6" t="n"/>
      <c r="B377" s="7" t="inlineStr">
        <is>
          <t>Ống gió thẳng</t>
        </is>
      </c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</row>
    <row r="378">
      <c r="A378" s="8" t="n"/>
      <c r="B378" s="9" t="inlineStr">
        <is>
          <t>Ống gió chống cháy EI30 1000x350</t>
        </is>
      </c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inlineStr">
        <is>
          <t>m</t>
        </is>
      </c>
      <c r="M378" s="10" t="n">
        <v>1205</v>
      </c>
      <c r="N378" s="11" t="n"/>
      <c r="O378" s="11" t="n"/>
      <c r="P378" s="9" t="n"/>
    </row>
    <row r="379">
      <c r="A379" s="8" t="n"/>
      <c r="B379" s="9" t="inlineStr">
        <is>
          <t>Ống gió chống cháy EI30 800x250</t>
        </is>
      </c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inlineStr">
        <is>
          <t>m</t>
        </is>
      </c>
      <c r="M379" s="10" t="n">
        <v>1428</v>
      </c>
      <c r="N379" s="11" t="n"/>
      <c r="O379" s="11" t="n"/>
      <c r="P379" s="9" t="n"/>
    </row>
    <row r="380">
      <c r="A380" s="6" t="n"/>
      <c r="B380" s="7" t="inlineStr">
        <is>
          <t>Côn chuyển</t>
        </is>
      </c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</row>
    <row r="381">
      <c r="A381" s="8" t="n"/>
      <c r="B381" s="9" t="inlineStr">
        <is>
          <t>Côn chuyển 1000x350/ 800x250-500L</t>
        </is>
      </c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inlineStr">
        <is>
          <t>cái</t>
        </is>
      </c>
      <c r="M381" s="10" t="n">
        <v>99</v>
      </c>
      <c r="N381" s="11" t="n"/>
      <c r="O381" s="11" t="n"/>
      <c r="P381" s="9" t="n"/>
    </row>
    <row r="382">
      <c r="A382" s="6" t="n"/>
      <c r="B382" s="7" t="inlineStr">
        <is>
          <t>Co ngang ống gió</t>
        </is>
      </c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8" t="n"/>
      <c r="B383" s="9" t="inlineStr">
        <is>
          <t>Co ngang ống gió 1000x350-400R-90°</t>
        </is>
      </c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inlineStr">
        <is>
          <t>cái</t>
        </is>
      </c>
      <c r="M383" s="10" t="n">
        <v>99</v>
      </c>
      <c r="N383" s="11" t="n"/>
      <c r="O383" s="11" t="n"/>
      <c r="P383" s="9" t="n"/>
    </row>
    <row r="384">
      <c r="A384" s="8" t="n"/>
      <c r="B384" s="9" t="inlineStr">
        <is>
          <t>Ty treo giá đỡ</t>
        </is>
      </c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inlineStr">
        <is>
          <t>trọn gói</t>
        </is>
      </c>
      <c r="M384" s="10" t="n">
        <v>1</v>
      </c>
      <c r="N384" s="11" t="n"/>
      <c r="O384" s="11" t="n"/>
      <c r="P384" s="9" t="n"/>
    </row>
    <row r="385">
      <c r="A385" s="8" t="n"/>
      <c r="B385" s="9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11" t="n"/>
      <c r="N385" s="11" t="n"/>
      <c r="O385" s="11" t="n"/>
      <c r="P385" s="9" t="n"/>
    </row>
    <row r="386">
      <c r="A386" s="6" t="n"/>
      <c r="B386" s="7" t="inlineStr">
        <is>
          <t>Miệng gió</t>
        </is>
      </c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</row>
    <row r="387">
      <c r="A387" s="8" t="n"/>
      <c r="B387" s="9" t="inlineStr">
        <is>
          <t>Miệng gió
 EAG + OBD 200x200</t>
        </is>
      </c>
      <c r="C387" s="8" t="inlineStr">
        <is>
          <t>SDG+O</t>
        </is>
      </c>
      <c r="D387" s="8" t="inlineStr">
        <is>
          <t>SWIND</t>
        </is>
      </c>
      <c r="E387" s="8" t="n">
        <v>200</v>
      </c>
      <c r="F387" s="8" t="n">
        <v>200</v>
      </c>
      <c r="G387" s="8" t="n">
        <v>150</v>
      </c>
      <c r="H387" s="8" t="n">
        <v>150</v>
      </c>
      <c r="I387" s="8" t="n"/>
      <c r="J387" s="8" t="n"/>
      <c r="K387" s="8" t="n"/>
      <c r="L387" s="8" t="inlineStr">
        <is>
          <t>cái</t>
        </is>
      </c>
      <c r="M387" s="10" t="n">
        <v>35</v>
      </c>
      <c r="N387" s="10">
        <f>ROUND('00_TONG_HOP_BAO_GIA'!Q77, 0)</f>
        <v/>
      </c>
      <c r="O387" s="10">
        <f>ROUNDUP(N387*M387, -2)</f>
        <v/>
      </c>
      <c r="P387" s="9" t="inlineStr">
        <is>
          <t>Cửa nan bầu dục 1 lớp kèm van OBD</t>
        </is>
      </c>
    </row>
    <row r="388">
      <c r="A388" s="8" t="n"/>
      <c r="B388" s="9" t="inlineStr">
        <is>
          <t>Miệng gió
 SEAG + OBD 950x950</t>
        </is>
      </c>
      <c r="C388" s="8" t="inlineStr">
        <is>
          <t>SDG+O</t>
        </is>
      </c>
      <c r="D388" s="8" t="inlineStr">
        <is>
          <t>SWIND</t>
        </is>
      </c>
      <c r="E388" s="8" t="n">
        <v>950</v>
      </c>
      <c r="F388" s="8" t="n">
        <v>950</v>
      </c>
      <c r="G388" s="8" t="n">
        <v>900</v>
      </c>
      <c r="H388" s="8" t="n">
        <v>900</v>
      </c>
      <c r="I388" s="8" t="n"/>
      <c r="J388" s="8" t="n"/>
      <c r="K388" s="8" t="n"/>
      <c r="L388" s="8" t="inlineStr">
        <is>
          <t>cái</t>
        </is>
      </c>
      <c r="M388" s="10" t="n">
        <v>12</v>
      </c>
      <c r="N388" s="10">
        <f>ROUND('00_TONG_HOP_BAO_GIA'!Q78, 0)</f>
        <v/>
      </c>
      <c r="O388" s="10">
        <f>ROUNDUP(N388*M388, -2)</f>
        <v/>
      </c>
      <c r="P388" s="9" t="inlineStr">
        <is>
          <t>Cửa nan bầu dục 1 lớp kèm van OBD</t>
        </is>
      </c>
    </row>
    <row r="389">
      <c r="A389" s="8" t="n"/>
      <c r="B389" s="9" t="inlineStr">
        <is>
          <t>Miệng gió
 SEAG + OBD 1000x550</t>
        </is>
      </c>
      <c r="C389" s="8" t="inlineStr">
        <is>
          <t>SDG+O</t>
        </is>
      </c>
      <c r="D389" s="8" t="inlineStr">
        <is>
          <t>SWIND</t>
        </is>
      </c>
      <c r="E389" s="8" t="n">
        <v>1000</v>
      </c>
      <c r="F389" s="8" t="n">
        <v>550</v>
      </c>
      <c r="G389" s="8" t="n">
        <v>950</v>
      </c>
      <c r="H389" s="8" t="n">
        <v>500</v>
      </c>
      <c r="I389" s="8" t="n"/>
      <c r="J389" s="8" t="n"/>
      <c r="K389" s="8" t="n"/>
      <c r="L389" s="8" t="inlineStr">
        <is>
          <t>cái</t>
        </is>
      </c>
      <c r="M389" s="10" t="n">
        <v>198</v>
      </c>
      <c r="N389" s="10">
        <f>ROUND('00_TONG_HOP_BAO_GIA'!Q79, 0)</f>
        <v/>
      </c>
      <c r="O389" s="10">
        <f>ROUNDUP(N389*M389, -2)</f>
        <v/>
      </c>
      <c r="P389" s="9" t="inlineStr">
        <is>
          <t>Cửa nan bầu dục 1 lớp kèm van OBD</t>
        </is>
      </c>
    </row>
    <row r="390">
      <c r="A390" s="8" t="n"/>
      <c r="B390" s="9" t="inlineStr">
        <is>
          <t>Cửa gió nan thẳng 200x200</t>
        </is>
      </c>
      <c r="C390" s="8" t="inlineStr">
        <is>
          <t>SDG</t>
        </is>
      </c>
      <c r="D390" s="8" t="inlineStr">
        <is>
          <t>SWIND</t>
        </is>
      </c>
      <c r="E390" s="8" t="n">
        <v>200</v>
      </c>
      <c r="F390" s="8" t="n">
        <v>200</v>
      </c>
      <c r="G390" s="8" t="n">
        <v>150</v>
      </c>
      <c r="H390" s="8" t="n">
        <v>150</v>
      </c>
      <c r="I390" s="8" t="n"/>
      <c r="J390" s="8" t="n"/>
      <c r="K390" s="8" t="n"/>
      <c r="L390" s="8" t="inlineStr">
        <is>
          <t>cái</t>
        </is>
      </c>
      <c r="M390" s="10" t="n">
        <v>35</v>
      </c>
      <c r="N390" s="10">
        <f>ROUND('00_TONG_HOP_BAO_GIA'!Q80, 0)</f>
        <v/>
      </c>
      <c r="O390" s="10">
        <f>ROUNDUP(N390*M390, -2)</f>
        <v/>
      </c>
      <c r="P390" s="9" t="inlineStr">
        <is>
          <t>Cửa nan bầu dục 1 lớp</t>
        </is>
      </c>
    </row>
    <row r="391">
      <c r="A391" s="8" t="n"/>
      <c r="B391" s="9" t="inlineStr">
        <is>
          <t>Van MFD 200x200</t>
        </is>
      </c>
      <c r="C391" s="8" t="inlineStr">
        <is>
          <t>SWIND-1.03-MFD-EI90</t>
        </is>
      </c>
      <c r="D391" s="8" t="inlineStr">
        <is>
          <t>SWIND</t>
        </is>
      </c>
      <c r="E391" s="8" t="n">
        <v>200</v>
      </c>
      <c r="F391" s="8" t="n">
        <v>200</v>
      </c>
      <c r="G391" s="8" t="n"/>
      <c r="H391" s="8" t="n"/>
      <c r="I391" s="8" t="n"/>
      <c r="J391" s="8" t="n">
        <v>200</v>
      </c>
      <c r="K391" s="12" t="n">
        <v>1.15</v>
      </c>
      <c r="L391" s="8" t="inlineStr">
        <is>
          <t>cái</t>
        </is>
      </c>
      <c r="M391" s="10" t="n">
        <v>35</v>
      </c>
      <c r="N391" s="10">
        <f>ROUND('00_TONG_HOP_BAO_GIA'!Q81, 0)</f>
        <v/>
      </c>
      <c r="O391" s="10">
        <f>ROUNDUP(N391*M391, -2)</f>
        <v/>
      </c>
      <c r="P391" s="9" t="inlineStr">
        <is>
          <t>- Van ngăn cháy động cơ - Tiêu chuẩn EI 90
- 2 đầu bích TDC - Gắn kèm động cơ ON-OFF 5Nm, Hãng KLB
- Sản xuất theo BCTN số 4651/VLXD-TBMT</t>
        </is>
      </c>
    </row>
    <row r="392">
      <c r="A392" s="8" t="n"/>
      <c r="B392" s="9" t="inlineStr">
        <is>
          <t>Cửa gió nan thẳng 1000x350</t>
        </is>
      </c>
      <c r="C392" s="8" t="inlineStr">
        <is>
          <t>SDG</t>
        </is>
      </c>
      <c r="D392" s="8" t="inlineStr">
        <is>
          <t>SWIND</t>
        </is>
      </c>
      <c r="E392" s="8" t="n">
        <v>1000</v>
      </c>
      <c r="F392" s="8" t="n">
        <v>350</v>
      </c>
      <c r="G392" s="8" t="n">
        <v>950</v>
      </c>
      <c r="H392" s="8" t="n">
        <v>300</v>
      </c>
      <c r="I392" s="8" t="n"/>
      <c r="J392" s="8" t="n"/>
      <c r="K392" s="8" t="n"/>
      <c r="L392" s="8" t="inlineStr">
        <is>
          <t>cái</t>
        </is>
      </c>
      <c r="M392" s="10" t="n">
        <v>99</v>
      </c>
      <c r="N392" s="10">
        <f>ROUND('00_TONG_HOP_BAO_GIA'!Q82, 0)</f>
        <v/>
      </c>
      <c r="O392" s="10">
        <f>ROUNDUP(N392*M392, -2)</f>
        <v/>
      </c>
      <c r="P392" s="9" t="inlineStr">
        <is>
          <t>Cửa nan bầu dục 1 lớp</t>
        </is>
      </c>
    </row>
    <row r="393">
      <c r="A393" s="8" t="n"/>
      <c r="B393" s="9" t="inlineStr">
        <is>
          <t>Van MFD 1000x350 - EI30</t>
        </is>
      </c>
      <c r="C393" s="8" t="inlineStr">
        <is>
          <t>SWIND-1.03-MFD-EI90</t>
        </is>
      </c>
      <c r="D393" s="8" t="inlineStr">
        <is>
          <t>SWIND</t>
        </is>
      </c>
      <c r="E393" s="8" t="n">
        <v>1000</v>
      </c>
      <c r="F393" s="8" t="n">
        <v>350</v>
      </c>
      <c r="G393" s="8" t="n"/>
      <c r="H393" s="8" t="n"/>
      <c r="I393" s="8" t="n"/>
      <c r="J393" s="8" t="n">
        <v>200</v>
      </c>
      <c r="K393" s="12" t="n">
        <v>1.15</v>
      </c>
      <c r="L393" s="8" t="inlineStr">
        <is>
          <t>cái</t>
        </is>
      </c>
      <c r="M393" s="10" t="n">
        <v>99</v>
      </c>
      <c r="N393" s="10">
        <f>ROUND('00_TONG_HOP_BAO_GIA'!Q83, 0)</f>
        <v/>
      </c>
      <c r="O393" s="10">
        <f>ROUNDUP(N393*M393, -2)</f>
        <v/>
      </c>
      <c r="P393" s="9" t="inlineStr">
        <is>
          <t>- Van ngăn cháy động cơ - Tiêu chuẩn EI 90
- 2 đầu bích TDC - Gắn kèm động cơ ON-OFF 5Nm, Hãng KLB
- Sản xuất theo BCTN số 4651/VLXD-TBMT</t>
        </is>
      </c>
    </row>
    <row r="394">
      <c r="A394" s="8" t="n"/>
      <c r="B394" s="9" t="inlineStr">
        <is>
          <t>EAL+IS 3000x1500</t>
        </is>
      </c>
      <c r="C394" s="8" t="inlineStr">
        <is>
          <t>WL+N</t>
        </is>
      </c>
      <c r="D394" s="8" t="inlineStr">
        <is>
          <t>SWIND</t>
        </is>
      </c>
      <c r="E394" s="8" t="n">
        <v>3000</v>
      </c>
      <c r="F394" s="8" t="n">
        <v>1500</v>
      </c>
      <c r="G394" s="8" t="n">
        <v>2950</v>
      </c>
      <c r="H394" s="8" t="n">
        <v>1450</v>
      </c>
      <c r="I394" s="8" t="n"/>
      <c r="J394" s="8" t="n"/>
      <c r="K394" s="8" t="n"/>
      <c r="L394" s="8" t="inlineStr">
        <is>
          <t>cái</t>
        </is>
      </c>
      <c r="M394" s="10" t="n">
        <v>3</v>
      </c>
      <c r="N394" s="10">
        <f>ROUND('00_TONG_HOP_BAO_GIA'!Q84, 0)</f>
        <v/>
      </c>
      <c r="O394" s="10">
        <f>ROUNDUP(N394*M394, -2)</f>
        <v/>
      </c>
      <c r="P394" s="9" t="inlineStr">
        <is>
          <t>Louver nan Z ngoài trời kèm lưới chắn côn trùng Inox 304</t>
        </is>
      </c>
    </row>
    <row r="395">
      <c r="A395" s="8" t="n"/>
      <c r="B395" s="9" t="inlineStr">
        <is>
          <t>Lưới chắn côn trùng 1000x1000</t>
        </is>
      </c>
      <c r="C395" s="8" t="inlineStr">
        <is>
          <t>LCCT</t>
        </is>
      </c>
      <c r="D395" s="8" t="inlineStr">
        <is>
          <t>SWIND</t>
        </is>
      </c>
      <c r="E395" s="8" t="n">
        <v>1000</v>
      </c>
      <c r="F395" s="8" t="n">
        <v>1000</v>
      </c>
      <c r="G395" s="8" t="n"/>
      <c r="H395" s="8" t="n"/>
      <c r="I395" s="8" t="n"/>
      <c r="J395" s="8" t="n"/>
      <c r="K395" s="8" t="n"/>
      <c r="L395" s="8" t="inlineStr">
        <is>
          <t>cái</t>
        </is>
      </c>
      <c r="M395" s="10" t="n">
        <v>11</v>
      </c>
      <c r="N395" s="10">
        <f>ROUND('00_TONG_HOP_BAO_GIA'!Q85, 0)</f>
        <v/>
      </c>
      <c r="O395" s="10">
        <f>ROUNDUP(N395*M395, -2)</f>
        <v/>
      </c>
      <c r="P395" s="9" t="inlineStr">
        <is>
          <t>Lưới chắn côn trùng</t>
        </is>
      </c>
    </row>
    <row r="396">
      <c r="A396" s="8" t="n"/>
      <c r="B396" s="9" t="inlineStr">
        <is>
          <t>Ty treo giá đỡ
Hanger &amp; Support</t>
        </is>
      </c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inlineStr">
        <is>
          <t>trọn gói</t>
        </is>
      </c>
      <c r="M396" s="10" t="n">
        <v>1</v>
      </c>
      <c r="N396" s="11" t="n"/>
      <c r="O396" s="11" t="n"/>
      <c r="P396" s="9" t="n"/>
    </row>
    <row r="397">
      <c r="A397" s="8" t="n"/>
      <c r="B397" s="9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11" t="n"/>
      <c r="N397" s="11" t="n"/>
      <c r="O397" s="11" t="n"/>
      <c r="P397" s="9" t="n"/>
    </row>
    <row r="398">
      <c r="A398" s="6" t="n"/>
      <c r="B398" s="7" t="inlineStr">
        <is>
          <t>HỆ THỐNG BÁO KHÍ CO</t>
        </is>
      </c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8" t="n"/>
      <c r="B399" s="9" t="inlineStr">
        <is>
          <t>Trung tâm báo khí CO 4 zone</t>
        </is>
      </c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inlineStr">
        <is>
          <t>bộ</t>
        </is>
      </c>
      <c r="M399" s="10" t="n">
        <v>1</v>
      </c>
      <c r="N399" s="11" t="n"/>
      <c r="O399" s="11" t="n"/>
      <c r="P399" s="9" t="n"/>
    </row>
    <row r="400">
      <c r="A400" s="8" t="n"/>
      <c r="B400" s="9" t="inlineStr">
        <is>
          <t>Đầu báo khí CO gắn tường, cột</t>
        </is>
      </c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inlineStr">
        <is>
          <t>bộ</t>
        </is>
      </c>
      <c r="M400" s="10" t="n">
        <v>43</v>
      </c>
      <c r="N400" s="11" t="n"/>
      <c r="O400" s="11" t="n"/>
      <c r="P400" s="9" t="n"/>
    </row>
    <row r="401">
      <c r="A401" s="8" t="n"/>
      <c r="B401" s="9" t="inlineStr">
        <is>
          <t>Chuông và đèn kết hợp báo nồng độ khí CO</t>
        </is>
      </c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inlineStr">
        <is>
          <t>bộ</t>
        </is>
      </c>
      <c r="M401" s="10" t="n">
        <v>43</v>
      </c>
      <c r="N401" s="11" t="n"/>
      <c r="O401" s="11" t="n"/>
      <c r="P401" s="9" t="n"/>
    </row>
    <row r="402">
      <c r="A402" s="8" t="n"/>
      <c r="B402" s="9" t="inlineStr">
        <is>
          <t>Cáp chống cháy chống nhiễu 2Cx1.5mm2</t>
        </is>
      </c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inlineStr">
        <is>
          <t>m</t>
        </is>
      </c>
      <c r="M402" s="10" t="n">
        <v>3864</v>
      </c>
      <c r="N402" s="11" t="n"/>
      <c r="O402" s="11" t="n"/>
      <c r="P402" s="9" t="n"/>
    </row>
    <row r="403">
      <c r="A403" s="8" t="n"/>
      <c r="B403" s="9" t="inlineStr">
        <is>
          <t>Cáp cấp nguồn chống cháy 2Cx2.5mm2</t>
        </is>
      </c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inlineStr">
        <is>
          <t>m</t>
        </is>
      </c>
      <c r="M403" s="10" t="n">
        <v>1626</v>
      </c>
      <c r="N403" s="11" t="n"/>
      <c r="O403" s="11" t="n"/>
      <c r="P403" s="9" t="n"/>
    </row>
    <row r="404">
      <c r="A404" s="8" t="n"/>
      <c r="B404" s="9" t="inlineStr">
        <is>
          <t>Ống điện PVC D20</t>
        </is>
      </c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inlineStr">
        <is>
          <t>Mét</t>
        </is>
      </c>
      <c r="M404" s="10" t="n">
        <v>5099</v>
      </c>
      <c r="N404" s="11" t="n"/>
      <c r="O404" s="11" t="n"/>
      <c r="P404" s="9" t="n"/>
    </row>
    <row r="405">
      <c r="A405" s="8" t="n"/>
      <c r="B405" s="9" t="inlineStr">
        <is>
          <t>Ống ruột gà D20</t>
        </is>
      </c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inlineStr">
        <is>
          <t>Mét</t>
        </is>
      </c>
      <c r="M405" s="10" t="n">
        <v>103</v>
      </c>
      <c r="N405" s="11" t="n"/>
      <c r="O405" s="11" t="n"/>
      <c r="P405" s="9" t="n"/>
    </row>
    <row r="406">
      <c r="A406" s="8" t="n"/>
      <c r="B406" s="9" t="inlineStr">
        <is>
          <t>Box điện 1,2,3,4, box trung gian</t>
        </is>
      </c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inlineStr">
        <is>
          <t>hộp</t>
        </is>
      </c>
      <c r="M406" s="10" t="n">
        <v>86</v>
      </c>
      <c r="N406" s="11" t="n"/>
      <c r="O406" s="11" t="n"/>
      <c r="P406" s="9" t="n"/>
    </row>
    <row r="407">
      <c r="A407" s="8" t="n"/>
      <c r="B407" s="9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11" t="n"/>
      <c r="N407" s="11" t="n"/>
      <c r="O407" s="11" t="n"/>
      <c r="P407" s="9" t="n"/>
    </row>
    <row r="408">
      <c r="A408" s="6" t="n"/>
      <c r="B408" s="7" t="inlineStr">
        <is>
          <t>Dây nguồn quạt, van chặn lữa</t>
        </is>
      </c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</row>
    <row r="409">
      <c r="A409" s="8" t="n"/>
      <c r="B409" s="9" t="inlineStr">
        <is>
          <t>Dây điện Cu/PVC 1.5mm²</t>
        </is>
      </c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inlineStr">
        <is>
          <t>m</t>
        </is>
      </c>
      <c r="M409" s="10" t="n">
        <v>2134</v>
      </c>
      <c r="N409" s="11" t="n"/>
      <c r="O409" s="11" t="n"/>
      <c r="P409" s="9" t="n"/>
    </row>
    <row r="410">
      <c r="A410" s="8" t="n"/>
      <c r="B410" s="9" t="inlineStr">
        <is>
          <t>Dây điện Cu/PVC 2.5mm²</t>
        </is>
      </c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inlineStr">
        <is>
          <t>m</t>
        </is>
      </c>
      <c r="M410" s="10" t="n">
        <v>89</v>
      </c>
      <c r="N410" s="11" t="n"/>
      <c r="O410" s="11" t="n"/>
      <c r="P410" s="9" t="n"/>
    </row>
    <row r="411">
      <c r="A411" s="8" t="n"/>
      <c r="B411" s="9" t="inlineStr">
        <is>
          <t>Dây điện Cu/PVC 4.0mm²</t>
        </is>
      </c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inlineStr">
        <is>
          <t>m</t>
        </is>
      </c>
      <c r="M411" s="10" t="n">
        <v>264</v>
      </c>
      <c r="N411" s="11" t="n"/>
      <c r="O411" s="11" t="n"/>
      <c r="P411" s="9" t="n"/>
    </row>
    <row r="412">
      <c r="A412" s="8" t="n"/>
      <c r="B412" s="9" t="inlineStr">
        <is>
          <t>Dây điện Cu/PVC 6.0mm²</t>
        </is>
      </c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inlineStr">
        <is>
          <t>m</t>
        </is>
      </c>
      <c r="M412" s="10" t="n">
        <v>1195</v>
      </c>
      <c r="N412" s="11" t="n"/>
      <c r="O412" s="11" t="n"/>
      <c r="P412" s="9" t="n"/>
    </row>
    <row r="413">
      <c r="A413" s="8" t="n"/>
      <c r="B413" s="9" t="inlineStr">
        <is>
          <t>Dây điện Cu/PVC 10.0mm²</t>
        </is>
      </c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inlineStr">
        <is>
          <t>m</t>
        </is>
      </c>
      <c r="M413" s="10" t="n">
        <v>78</v>
      </c>
      <c r="N413" s="11" t="n"/>
      <c r="O413" s="11" t="n"/>
      <c r="P413" s="9" t="n"/>
    </row>
    <row r="414">
      <c r="A414" s="8" t="n"/>
      <c r="B414" s="9" t="inlineStr">
        <is>
          <t>Cáp Cu/XLPE/FR 1Cx1.5mm²</t>
        </is>
      </c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inlineStr">
        <is>
          <t>m</t>
        </is>
      </c>
      <c r="M414" s="10" t="n">
        <v>4267</v>
      </c>
      <c r="N414" s="11" t="n"/>
      <c r="O414" s="11" t="n"/>
      <c r="P414" s="9" t="n"/>
    </row>
    <row r="415">
      <c r="A415" s="8" t="n"/>
      <c r="B415" s="9" t="inlineStr">
        <is>
          <t>Cáp Cu/XLPE/FR 1Cx2.5mm²</t>
        </is>
      </c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inlineStr">
        <is>
          <t>m</t>
        </is>
      </c>
      <c r="M415" s="10" t="n">
        <v>266</v>
      </c>
      <c r="N415" s="11" t="n"/>
      <c r="O415" s="11" t="n"/>
      <c r="P415" s="9" t="n"/>
    </row>
    <row r="416">
      <c r="A416" s="8" t="n"/>
      <c r="B416" s="9" t="inlineStr">
        <is>
          <t>Cáp Cu/XLPE/FR 1Cx4.0mm²</t>
        </is>
      </c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inlineStr">
        <is>
          <t>m</t>
        </is>
      </c>
      <c r="M416" s="10" t="n">
        <v>1080</v>
      </c>
      <c r="N416" s="11" t="n"/>
      <c r="O416" s="11" t="n"/>
      <c r="P416" s="9" t="n"/>
    </row>
    <row r="417">
      <c r="A417" s="8" t="n"/>
      <c r="B417" s="9" t="inlineStr">
        <is>
          <t>Cáp Cu/XLPE/FR 1Cx6.0mm²</t>
        </is>
      </c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inlineStr">
        <is>
          <t>m</t>
        </is>
      </c>
      <c r="M417" s="10" t="n">
        <v>7171</v>
      </c>
      <c r="N417" s="11" t="n"/>
      <c r="O417" s="11" t="n"/>
      <c r="P417" s="9" t="n"/>
    </row>
    <row r="418">
      <c r="A418" s="8" t="n"/>
      <c r="B418" s="9" t="inlineStr">
        <is>
          <t>Cáp Cu/XLPE/FR 1Cx10.0mm²</t>
        </is>
      </c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inlineStr">
        <is>
          <t>m</t>
        </is>
      </c>
      <c r="M418" s="10" t="n">
        <v>468</v>
      </c>
      <c r="N418" s="11" t="n"/>
      <c r="O418" s="11" t="n"/>
      <c r="P418" s="9" t="n"/>
    </row>
    <row r="419">
      <c r="A419" s="8" t="n"/>
      <c r="B419" s="9" t="inlineStr">
        <is>
          <t>Ống điên PVC D20</t>
        </is>
      </c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inlineStr">
        <is>
          <t>m</t>
        </is>
      </c>
      <c r="M419" s="10" t="n">
        <v>1666</v>
      </c>
      <c r="N419" s="11" t="n"/>
      <c r="O419" s="11" t="n"/>
      <c r="P419" s="9" t="n"/>
    </row>
    <row r="420">
      <c r="A420" s="8" t="n"/>
      <c r="B420" s="9" t="inlineStr">
        <is>
          <t>Ống điên PVC D32</t>
        </is>
      </c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inlineStr">
        <is>
          <t>m</t>
        </is>
      </c>
      <c r="M420" s="10" t="n">
        <v>2627</v>
      </c>
      <c r="N420" s="11" t="n"/>
      <c r="O420" s="11" t="n"/>
      <c r="P420" s="9" t="n"/>
    </row>
    <row r="421">
      <c r="A421" s="8" t="n"/>
      <c r="B421" s="9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11" t="n"/>
      <c r="N421" s="11" t="n"/>
      <c r="O421" s="11" t="n"/>
      <c r="P421" s="9" t="n"/>
    </row>
    <row r="422">
      <c r="A422" s="6" t="n"/>
      <c r="B422" s="7" t="inlineStr">
        <is>
          <t>Tủ điện quạt, van chặn lữa</t>
        </is>
      </c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</row>
    <row r="423">
      <c r="A423" s="8" t="n"/>
      <c r="B423" s="9" t="inlineStr">
        <is>
          <t>Tủ điện  MCC-F-B3.1</t>
        </is>
      </c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inlineStr">
        <is>
          <t>tủ</t>
        </is>
      </c>
      <c r="M423" s="10" t="n">
        <v>1</v>
      </c>
      <c r="N423" s="11" t="n"/>
      <c r="O423" s="11" t="n"/>
      <c r="P423" s="9" t="n"/>
    </row>
    <row r="424">
      <c r="A424" s="8" t="n"/>
      <c r="B424" s="9" t="inlineStr">
        <is>
          <t>Tủ điện  MCC-F-B3.2</t>
        </is>
      </c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inlineStr">
        <is>
          <t>Tủ</t>
        </is>
      </c>
      <c r="M424" s="10" t="n">
        <v>1</v>
      </c>
      <c r="N424" s="11" t="n"/>
      <c r="O424" s="11" t="n"/>
      <c r="P424" s="9" t="n"/>
    </row>
    <row r="425">
      <c r="A425" s="8" t="n"/>
      <c r="B425" s="9" t="inlineStr">
        <is>
          <t>Tủ điện  MCC-F-B3.3</t>
        </is>
      </c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inlineStr">
        <is>
          <t>Tủ</t>
        </is>
      </c>
      <c r="M425" s="10" t="n">
        <v>1</v>
      </c>
      <c r="N425" s="11" t="n"/>
      <c r="O425" s="11" t="n"/>
      <c r="P425" s="9" t="n"/>
    </row>
    <row r="426">
      <c r="A426" s="8" t="n"/>
      <c r="B426" s="9" t="inlineStr">
        <is>
          <t>Tủ điện  MCC-F-B3.4</t>
        </is>
      </c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inlineStr">
        <is>
          <t>Tủ</t>
        </is>
      </c>
      <c r="M426" s="10" t="n">
        <v>1</v>
      </c>
      <c r="N426" s="11" t="n"/>
      <c r="O426" s="11" t="n"/>
      <c r="P426" s="9" t="n"/>
    </row>
    <row r="427">
      <c r="A427" s="8" t="n"/>
      <c r="B427" s="9" t="inlineStr">
        <is>
          <t>Tủ điện  MCC-F-B3.5</t>
        </is>
      </c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inlineStr">
        <is>
          <t>Tủ</t>
        </is>
      </c>
      <c r="M427" s="10" t="n">
        <v>1</v>
      </c>
      <c r="N427" s="11" t="n"/>
      <c r="O427" s="11" t="n"/>
      <c r="P427" s="9" t="n"/>
    </row>
    <row r="428">
      <c r="A428" s="8" t="n"/>
      <c r="B428" s="9" t="inlineStr">
        <is>
          <t>Tủ điện  MCC-F-B3.6</t>
        </is>
      </c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inlineStr">
        <is>
          <t>Tủ</t>
        </is>
      </c>
      <c r="M428" s="10" t="n">
        <v>1</v>
      </c>
      <c r="N428" s="11" t="n"/>
      <c r="O428" s="11" t="n"/>
      <c r="P428" s="9" t="n"/>
    </row>
    <row r="429">
      <c r="A429" s="8" t="n"/>
      <c r="B429" s="9" t="inlineStr">
        <is>
          <t>Tủ điện  MCC-F-B2.1</t>
        </is>
      </c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inlineStr">
        <is>
          <t>Tủ</t>
        </is>
      </c>
      <c r="M429" s="10" t="n">
        <v>1</v>
      </c>
      <c r="N429" s="11" t="n"/>
      <c r="O429" s="11" t="n"/>
      <c r="P429" s="9" t="n"/>
    </row>
    <row r="430">
      <c r="A430" s="8" t="n"/>
      <c r="B430" s="9" t="inlineStr">
        <is>
          <t>Tủ điện  MCC-F-B2.2</t>
        </is>
      </c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inlineStr">
        <is>
          <t>Tủ</t>
        </is>
      </c>
      <c r="M430" s="10" t="n">
        <v>1</v>
      </c>
      <c r="N430" s="11" t="n"/>
      <c r="O430" s="11" t="n"/>
      <c r="P430" s="9" t="n"/>
    </row>
    <row r="431">
      <c r="A431" s="8" t="n"/>
      <c r="B431" s="9" t="inlineStr">
        <is>
          <t>Tủ điện  MCC-F-B2.3</t>
        </is>
      </c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inlineStr">
        <is>
          <t>Tủ</t>
        </is>
      </c>
      <c r="M431" s="10" t="n">
        <v>1</v>
      </c>
      <c r="N431" s="11" t="n"/>
      <c r="O431" s="11" t="n"/>
      <c r="P431" s="9" t="n"/>
    </row>
    <row r="432">
      <c r="A432" s="8" t="n"/>
      <c r="B432" s="9" t="inlineStr">
        <is>
          <t>Tủ điện  MCC-F-B2.4</t>
        </is>
      </c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inlineStr">
        <is>
          <t>Tủ</t>
        </is>
      </c>
      <c r="M432" s="10" t="n">
        <v>1</v>
      </c>
      <c r="N432" s="11" t="n"/>
      <c r="O432" s="11" t="n"/>
      <c r="P432" s="9" t="n"/>
    </row>
    <row r="433">
      <c r="A433" s="8" t="n"/>
      <c r="B433" s="9" t="inlineStr">
        <is>
          <t>Tủ điện  MCC-F-B2.5</t>
        </is>
      </c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inlineStr">
        <is>
          <t>Tủ</t>
        </is>
      </c>
      <c r="M433" s="10" t="n">
        <v>1</v>
      </c>
      <c r="N433" s="11" t="n"/>
      <c r="O433" s="11" t="n"/>
      <c r="P433" s="9" t="n"/>
    </row>
    <row r="434">
      <c r="A434" s="8" t="n"/>
      <c r="B434" s="9" t="inlineStr">
        <is>
          <t>Tủ điện  MCC-F-B2.6</t>
        </is>
      </c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inlineStr">
        <is>
          <t>Tủ</t>
        </is>
      </c>
      <c r="M434" s="10" t="n">
        <v>1</v>
      </c>
      <c r="N434" s="11" t="n"/>
      <c r="O434" s="11" t="n"/>
      <c r="P434" s="9" t="n"/>
    </row>
    <row r="435">
      <c r="A435" s="8" t="n"/>
      <c r="B435" s="9" t="inlineStr">
        <is>
          <t>Tủ điện  MCC-F-B1.1</t>
        </is>
      </c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inlineStr">
        <is>
          <t>Tủ</t>
        </is>
      </c>
      <c r="M435" s="10" t="n">
        <v>1</v>
      </c>
      <c r="N435" s="11" t="n"/>
      <c r="O435" s="11" t="n"/>
      <c r="P435" s="9" t="n"/>
    </row>
    <row r="436">
      <c r="A436" s="8" t="n"/>
      <c r="B436" s="9" t="inlineStr">
        <is>
          <t>Tủ điện  MCC-F-B1.2</t>
        </is>
      </c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inlineStr">
        <is>
          <t>Tủ</t>
        </is>
      </c>
      <c r="M436" s="10" t="n">
        <v>1</v>
      </c>
      <c r="N436" s="11" t="n"/>
      <c r="O436" s="11" t="n"/>
      <c r="P436" s="9" t="n"/>
    </row>
    <row r="437">
      <c r="A437" s="8" t="n"/>
      <c r="B437" s="9" t="inlineStr">
        <is>
          <t>Tủ điện  MCC-F-B1.3</t>
        </is>
      </c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inlineStr">
        <is>
          <t>Tủ</t>
        </is>
      </c>
      <c r="M437" s="10" t="n">
        <v>1</v>
      </c>
      <c r="N437" s="11" t="n"/>
      <c r="O437" s="11" t="n"/>
      <c r="P437" s="9" t="n"/>
    </row>
    <row r="438">
      <c r="A438" s="8" t="n"/>
      <c r="B438" s="9" t="inlineStr">
        <is>
          <t>Tủ điện  MCC-F-B1.4</t>
        </is>
      </c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inlineStr">
        <is>
          <t>Tủ</t>
        </is>
      </c>
      <c r="M438" s="10" t="n">
        <v>1</v>
      </c>
      <c r="N438" s="11" t="n"/>
      <c r="O438" s="11" t="n"/>
      <c r="P438" s="9" t="n"/>
    </row>
    <row r="439">
      <c r="A439" s="8" t="n"/>
      <c r="B439" s="9" t="inlineStr">
        <is>
          <t>Tủ điện  MCC-F-B1.5</t>
        </is>
      </c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inlineStr">
        <is>
          <t>Tủ</t>
        </is>
      </c>
      <c r="M439" s="10" t="n">
        <v>1</v>
      </c>
      <c r="N439" s="11" t="n"/>
      <c r="O439" s="11" t="n"/>
      <c r="P439" s="9" t="n"/>
    </row>
    <row r="440">
      <c r="A440" s="8" t="n"/>
      <c r="B440" s="9" t="inlineStr">
        <is>
          <t>Tủ điện  MCC-F-B1.6</t>
        </is>
      </c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inlineStr">
        <is>
          <t>Tủ</t>
        </is>
      </c>
      <c r="M440" s="10" t="n">
        <v>1</v>
      </c>
      <c r="N440" s="11" t="n"/>
      <c r="O440" s="11" t="n"/>
      <c r="P440" s="9" t="n"/>
    </row>
    <row r="441">
      <c r="A441" s="8" t="n"/>
      <c r="B441" s="9" t="inlineStr">
        <is>
          <t>Tủ điện  MCC-TF-1</t>
        </is>
      </c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inlineStr">
        <is>
          <t>Tủ</t>
        </is>
      </c>
      <c r="M441" s="10" t="n">
        <v>1</v>
      </c>
      <c r="N441" s="11" t="n"/>
      <c r="O441" s="11" t="n"/>
      <c r="P441" s="9" t="n"/>
    </row>
    <row r="442">
      <c r="A442" s="8" t="n"/>
      <c r="B442" s="9" t="inlineStr">
        <is>
          <t>MCC-TF-1</t>
        </is>
      </c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inlineStr">
        <is>
          <t>Tủ</t>
        </is>
      </c>
      <c r="M442" s="10" t="n">
        <v>1</v>
      </c>
      <c r="N442" s="11" t="n"/>
      <c r="O442" s="11" t="n"/>
      <c r="P442" s="9" t="n"/>
    </row>
    <row r="443">
      <c r="A443" s="8" t="n"/>
      <c r="B443" s="9" t="inlineStr">
        <is>
          <t>MCC-TF-2</t>
        </is>
      </c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inlineStr">
        <is>
          <t>Tủ</t>
        </is>
      </c>
      <c r="M443" s="10" t="n">
        <v>1</v>
      </c>
      <c r="N443" s="11" t="n"/>
      <c r="O443" s="11" t="n"/>
      <c r="P443" s="9" t="n"/>
    </row>
    <row r="444">
      <c r="A444" s="8" t="n"/>
      <c r="B444" s="9" t="inlineStr">
        <is>
          <t>MCC-MFD-4</t>
        </is>
      </c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inlineStr">
        <is>
          <t>Tủ</t>
        </is>
      </c>
      <c r="M444" s="10" t="n">
        <v>1</v>
      </c>
      <c r="N444" s="11" t="n"/>
      <c r="O444" s="11" t="n"/>
      <c r="P444" s="9" t="n"/>
    </row>
    <row r="445">
      <c r="A445" s="8" t="n"/>
      <c r="B445" s="9" t="inlineStr">
        <is>
          <t>TỦ ĐIỆN MCC-MFD-1-3,5-7</t>
        </is>
      </c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inlineStr">
        <is>
          <t>Bộ</t>
        </is>
      </c>
      <c r="M445" s="10" t="n">
        <v>6</v>
      </c>
      <c r="N445" s="11" t="n"/>
      <c r="O445" s="11" t="n"/>
      <c r="P445" s="9" t="n"/>
    </row>
    <row r="446">
      <c r="A446" s="8" t="n"/>
      <c r="B446" s="9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11" t="n"/>
      <c r="N446" s="11" t="n"/>
      <c r="O446" s="11" t="n"/>
      <c r="P446" s="9" t="n"/>
    </row>
    <row r="447">
      <c r="A447" s="6" t="n"/>
      <c r="B447" s="7" t="inlineStr">
        <is>
          <t>CHI PHÍ KHÁC</t>
        </is>
      </c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</row>
    <row r="448">
      <c r="A448" s="8" t="n"/>
      <c r="B448" s="9" t="inlineStr">
        <is>
          <t>Chi phí thí nghiệm thiết bị PCCC</t>
        </is>
      </c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inlineStr">
        <is>
          <t>Lô</t>
        </is>
      </c>
      <c r="M448" s="10" t="n">
        <v>1</v>
      </c>
      <c r="N448" s="11" t="n"/>
      <c r="O448" s="11" t="n"/>
      <c r="P448" s="9" t="n"/>
    </row>
    <row r="449">
      <c r="A449" s="8" t="n"/>
      <c r="B449" s="9" t="inlineStr">
        <is>
          <t>Chi phí Fill chống cháy lan: Rock wool, foam, silicon chống cháy…</t>
        </is>
      </c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inlineStr">
        <is>
          <t>Lô</t>
        </is>
      </c>
      <c r="M449" s="10" t="n">
        <v>1</v>
      </c>
      <c r="N449" s="11" t="n"/>
      <c r="O449" s="11" t="n"/>
      <c r="P449" s="9" t="n"/>
    </row>
    <row r="450">
      <c r="A450" s="8" t="n"/>
      <c r="B450" s="9" t="inlineStr">
        <is>
          <t>Chi phí T&amp;C hệ thống</t>
        </is>
      </c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inlineStr">
        <is>
          <t>Lô</t>
        </is>
      </c>
      <c r="M450" s="10" t="n">
        <v>1</v>
      </c>
      <c r="N450" s="11" t="n"/>
      <c r="O450" s="11" t="n"/>
      <c r="P450" s="9" t="n"/>
    </row>
    <row r="452">
      <c r="B452" s="13" t="inlineStr">
        <is>
          <t>TỔNG CỘNG (CHƯA BAO GỒM VAT):</t>
        </is>
      </c>
      <c r="O452" s="14">
        <f>SUBTOTAL(9,O14:O450)</f>
        <v/>
      </c>
    </row>
    <row r="453">
      <c r="B453" s="13" t="inlineStr">
        <is>
          <t>THUẾ GTGT (VAT 8%):</t>
        </is>
      </c>
      <c r="O453" s="14">
        <f>ROUND(O452*0.08, 0)</f>
        <v/>
      </c>
    </row>
    <row r="454">
      <c r="B454" s="13" t="inlineStr">
        <is>
          <t>TỔNG CỘNG THANH TOÁN (ĐÃ GỒM VAT 8%):</t>
        </is>
      </c>
      <c r="O454" s="14">
        <f>O452+O453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5" t="inlineStr">
        <is>
          <t>STT</t>
        </is>
      </c>
      <c r="B1" s="15" t="inlineStr">
        <is>
          <t>ITEM_ID</t>
        </is>
      </c>
      <c r="C1" s="15" t="inlineStr">
        <is>
          <t>PHÂN NHÓM</t>
        </is>
      </c>
      <c r="D1" s="15" t="inlineStr">
        <is>
          <t>TÊN SẢN PHẨM</t>
        </is>
      </c>
      <c r="E1" s="15" t="inlineStr">
        <is>
          <t>QUY CÁCH (WxH)</t>
        </is>
      </c>
      <c r="F1" s="15" t="inlineStr">
        <is>
          <t>ĐVT</t>
        </is>
      </c>
      <c r="G1" s="15" t="inlineStr">
        <is>
          <t>SỐ LƯỢNG</t>
        </is>
      </c>
      <c r="H1" s="15" t="inlineStr">
        <is>
          <t>CP VẬT TƯ ỐNG</t>
        </is>
      </c>
      <c r="I1" s="15" t="inlineStr">
        <is>
          <t>CP VẬT TƯ CỬA</t>
        </is>
      </c>
      <c r="J1" s="15" t="inlineStr">
        <is>
          <t>CP VẬT TƯ VAN</t>
        </is>
      </c>
      <c r="K1" s="15" t="inlineStr">
        <is>
          <t>TỔNG CP VẬT TƯ</t>
        </is>
      </c>
      <c r="L1" s="15" t="inlineStr">
        <is>
          <t>NHÂN CÔNG (25%)</t>
        </is>
      </c>
      <c r="M1" s="15" t="inlineStr">
        <is>
          <t>CP XƯỞNG (10%)</t>
        </is>
      </c>
      <c r="N1" s="15" t="inlineStr">
        <is>
          <t>TỔNG GIÁ VỐN</t>
        </is>
      </c>
      <c r="O1" s="15" t="inlineStr">
        <is>
          <t>GIÁ VỐN / ĐVT</t>
        </is>
      </c>
      <c r="P1" s="15" t="inlineStr">
        <is>
          <t>MARGIN (%)</t>
        </is>
      </c>
      <c r="Q1" s="15" t="inlineStr">
        <is>
          <t>ĐƠN GIÁ BÁN</t>
        </is>
      </c>
      <c r="R1" s="15" t="inlineStr">
        <is>
          <t>THÀNH TIỀN (VNĐ)</t>
        </is>
      </c>
      <c r="S1" s="15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Miệng gió
Air grill Miệng gió OAG + OBD 500x800</t>
        </is>
      </c>
      <c r="E2" t="inlineStr">
        <is>
          <t>500x800</t>
        </is>
      </c>
      <c r="F2" t="inlineStr">
        <is>
          <t>cái</t>
        </is>
      </c>
      <c r="G2" s="16" t="n">
        <v>6</v>
      </c>
      <c r="H2" s="16">
        <f>SUMIF('01_BOC_TACH_ONG'!$B$2:$B$5000, B2, '01_BOC_TACH_ONG'!$K$2:$K$5000)</f>
        <v/>
      </c>
      <c r="I2" s="16">
        <f>SUMIF('02_BOC_TACH_CUA'!$B$2:$B$5000, B2, '02_BOC_TACH_CUA'!$K$2:$K$5000)</f>
        <v/>
      </c>
      <c r="J2" s="16">
        <f>SUMIF('03_BOC_TACH_VAN'!$B$2:$B$5000, B2, '03_BOC_TACH_VAN'!$K$2:$K$5000)</f>
        <v/>
      </c>
      <c r="K2" s="16">
        <f>SUM(H2:J2)</f>
        <v/>
      </c>
      <c r="L2" s="16">
        <f>(K2-SUMIFS('03_BOC_TACH_VAN'!$K$2:$K$5000, '03_BOC_TACH_VAN'!$B$2:$B$5000, B2, '03_BOC_TACH_VAN'!$D$2:$D$5000, "ĐỘNG_CƠ_VÀ_CẢM_BIẾN"))*0.25</f>
        <v/>
      </c>
      <c r="M2" s="16">
        <f>(K2-SUMIFS('03_BOC_TACH_VAN'!$K$2:$K$5000, '03_BOC_TACH_VAN'!$B$2:$B$5000, B2, '03_BOC_TACH_VAN'!$D$2:$D$5000, "ĐỘNG_CƠ_VÀ_CẢM_BIẾN"))*0.10</f>
        <v/>
      </c>
      <c r="N2" s="16">
        <f>K2+L2+M2</f>
        <v/>
      </c>
      <c r="O2" s="16">
        <f>IF(G2&gt;0, N2/G2, 0)</f>
        <v/>
      </c>
      <c r="P2" s="17" t="n">
        <v>0.18</v>
      </c>
      <c r="Q2" s="16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6">
        <f>G2*Q2</f>
        <v/>
      </c>
      <c r="S2" t="inlineStr">
        <is>
          <t>Cửa nan bầu dục 1 lớp kèm van OBD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Miệng gió
Air grill Miệng gió OAG + OBD 500x1000</t>
        </is>
      </c>
      <c r="E3" t="inlineStr">
        <is>
          <t>500x1000</t>
        </is>
      </c>
      <c r="F3" t="inlineStr">
        <is>
          <t>cái</t>
        </is>
      </c>
      <c r="G3" s="16" t="n">
        <v>20</v>
      </c>
      <c r="H3" s="16">
        <f>SUMIF('01_BOC_TACH_ONG'!$B$2:$B$5000, B3, '01_BOC_TACH_ONG'!$K$2:$K$5000)</f>
        <v/>
      </c>
      <c r="I3" s="16">
        <f>SUMIF('02_BOC_TACH_CUA'!$B$2:$B$5000, B3, '02_BOC_TACH_CUA'!$K$2:$K$5000)</f>
        <v/>
      </c>
      <c r="J3" s="16">
        <f>SUMIF('03_BOC_TACH_VAN'!$B$2:$B$5000, B3, '03_BOC_TACH_VAN'!$K$2:$K$5000)</f>
        <v/>
      </c>
      <c r="K3" s="16">
        <f>SUM(H3:J3)</f>
        <v/>
      </c>
      <c r="L3" s="16">
        <f>(K3-SUMIFS('03_BOC_TACH_VAN'!$K$2:$K$5000, '03_BOC_TACH_VAN'!$B$2:$B$5000, B3, '03_BOC_TACH_VAN'!$D$2:$D$5000, "ĐỘNG_CƠ_VÀ_CẢM_BIẾN"))*0.25</f>
        <v/>
      </c>
      <c r="M3" s="16">
        <f>(K3-SUMIFS('03_BOC_TACH_VAN'!$K$2:$K$5000, '03_BOC_TACH_VAN'!$B$2:$B$5000, B3, '03_BOC_TACH_VAN'!$D$2:$D$5000, "ĐỘNG_CƠ_VÀ_CẢM_BIẾN"))*0.10</f>
        <v/>
      </c>
      <c r="N3" s="16">
        <f>K3+L3+M3</f>
        <v/>
      </c>
      <c r="O3" s="16">
        <f>IF(G3&gt;0, N3/G3, 0)</f>
        <v/>
      </c>
      <c r="P3" s="17" t="n">
        <v>0.18</v>
      </c>
      <c r="Q3" s="16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6">
        <f>G3*Q3</f>
        <v/>
      </c>
      <c r="S3" t="inlineStr">
        <is>
          <t>Cửa nan bầu dục 1 lớp kèm van OBD</t>
        </is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Cửa gió nan thẳng 800x400</t>
        </is>
      </c>
      <c r="E4" t="inlineStr">
        <is>
          <t>800x400</t>
        </is>
      </c>
      <c r="F4" t="inlineStr">
        <is>
          <t>cái</t>
        </is>
      </c>
      <c r="G4" s="16" t="n">
        <v>4</v>
      </c>
      <c r="H4" s="16">
        <f>SUMIF('01_BOC_TACH_ONG'!$B$2:$B$5000, B4, '01_BOC_TACH_ONG'!$K$2:$K$5000)</f>
        <v/>
      </c>
      <c r="I4" s="16">
        <f>SUMIF('02_BOC_TACH_CUA'!$B$2:$B$5000, B4, '02_BOC_TACH_CUA'!$K$2:$K$5000)</f>
        <v/>
      </c>
      <c r="J4" s="16">
        <f>SUMIF('03_BOC_TACH_VAN'!$B$2:$B$5000, B4, '03_BOC_TACH_VAN'!$K$2:$K$5000)</f>
        <v/>
      </c>
      <c r="K4" s="16">
        <f>SUM(H4:J4)</f>
        <v/>
      </c>
      <c r="L4" s="16">
        <f>(K4-SUMIFS('03_BOC_TACH_VAN'!$K$2:$K$5000, '03_BOC_TACH_VAN'!$B$2:$B$5000, B4, '03_BOC_TACH_VAN'!$D$2:$D$5000, "ĐỘNG_CƠ_VÀ_CẢM_BIẾN"))*0.25</f>
        <v/>
      </c>
      <c r="M4" s="16">
        <f>(K4-SUMIFS('03_BOC_TACH_VAN'!$K$2:$K$5000, '03_BOC_TACH_VAN'!$B$2:$B$5000, B4, '03_BOC_TACH_VAN'!$D$2:$D$5000, "ĐỘNG_CƠ_VÀ_CẢM_BIẾN"))*0.10</f>
        <v/>
      </c>
      <c r="N4" s="16">
        <f>K4+L4+M4</f>
        <v/>
      </c>
      <c r="O4" s="16">
        <f>IF(G4&gt;0, N4/G4, 0)</f>
        <v/>
      </c>
      <c r="P4" s="17" t="n">
        <v>0.18</v>
      </c>
      <c r="Q4" s="16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6">
        <f>G4*Q4</f>
        <v/>
      </c>
      <c r="S4" t="inlineStr">
        <is>
          <t>Cửa nan bầu dục 1 lớp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Van chặn lửa động cơ MFD 800x400 - EI60</t>
        </is>
      </c>
      <c r="E5" t="inlineStr">
        <is>
          <t>800x400</t>
        </is>
      </c>
      <c r="F5" t="inlineStr">
        <is>
          <t>cái</t>
        </is>
      </c>
      <c r="G5" s="16" t="n">
        <v>4</v>
      </c>
      <c r="H5" s="16">
        <f>SUMIF('01_BOC_TACH_ONG'!$B$2:$B$5000, B5, '01_BOC_TACH_ONG'!$K$2:$K$5000)</f>
        <v/>
      </c>
      <c r="I5" s="16">
        <f>SUMIF('02_BOC_TACH_CUA'!$B$2:$B$5000, B5, '02_BOC_TACH_CUA'!$K$2:$K$5000)</f>
        <v/>
      </c>
      <c r="J5" s="16">
        <f>SUMIF('03_BOC_TACH_VAN'!$B$2:$B$5000, B5, '03_BOC_TACH_VAN'!$K$2:$K$5000)</f>
        <v/>
      </c>
      <c r="K5" s="16">
        <f>SUM(H5:J5)</f>
        <v/>
      </c>
      <c r="L5" s="16">
        <f>(K5-SUMIFS('03_BOC_TACH_VAN'!$K$2:$K$5000, '03_BOC_TACH_VAN'!$B$2:$B$5000, B5, '03_BOC_TACH_VAN'!$D$2:$D$5000, "ĐỘNG_CƠ_VÀ_CẢM_BIẾN"))*0.25</f>
        <v/>
      </c>
      <c r="M5" s="16">
        <f>(K5-SUMIFS('03_BOC_TACH_VAN'!$K$2:$K$5000, '03_BOC_TACH_VAN'!$B$2:$B$5000, B5, '03_BOC_TACH_VAN'!$D$2:$D$5000, "ĐỘNG_CƠ_VÀ_CẢM_BIẾN"))*0.10</f>
        <v/>
      </c>
      <c r="N5" s="16">
        <f>K5+L5+M5</f>
        <v/>
      </c>
      <c r="O5" s="16">
        <f>IF(G5&gt;0, N5/G5, 0)</f>
        <v/>
      </c>
      <c r="P5" s="17" t="n">
        <v>0.18</v>
      </c>
      <c r="Q5" s="16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6">
        <f>G5*Q5</f>
        <v/>
      </c>
      <c r="S5" t="inlineStr">
        <is>
          <t>- Van ngăn cháy động cơ - Tiêu chuẩn EI 90
- 2 đầu bích TDC - Gắn kèm động cơ ON-OFF 5Nm, Hãng KLB
- Sản xuất theo BCTN số 4651/VLXD-TBMT</t>
        </is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Cửa gió nan thẳng 800x450</t>
        </is>
      </c>
      <c r="E6" t="inlineStr">
        <is>
          <t>800x450</t>
        </is>
      </c>
      <c r="F6" t="inlineStr">
        <is>
          <t>cái</t>
        </is>
      </c>
      <c r="G6" s="16" t="n">
        <v>1</v>
      </c>
      <c r="H6" s="16">
        <f>SUMIF('01_BOC_TACH_ONG'!$B$2:$B$5000, B6, '01_BOC_TACH_ONG'!$K$2:$K$5000)</f>
        <v/>
      </c>
      <c r="I6" s="16">
        <f>SUMIF('02_BOC_TACH_CUA'!$B$2:$B$5000, B6, '02_BOC_TACH_CUA'!$K$2:$K$5000)</f>
        <v/>
      </c>
      <c r="J6" s="16">
        <f>SUMIF('03_BOC_TACH_VAN'!$B$2:$B$5000, B6, '03_BOC_TACH_VAN'!$K$2:$K$5000)</f>
        <v/>
      </c>
      <c r="K6" s="16">
        <f>SUM(H6:J6)</f>
        <v/>
      </c>
      <c r="L6" s="16">
        <f>(K6-SUMIFS('03_BOC_TACH_VAN'!$K$2:$K$5000, '03_BOC_TACH_VAN'!$B$2:$B$5000, B6, '03_BOC_TACH_VAN'!$D$2:$D$5000, "ĐỘNG_CƠ_VÀ_CẢM_BIẾN"))*0.25</f>
        <v/>
      </c>
      <c r="M6" s="16">
        <f>(K6-SUMIFS('03_BOC_TACH_VAN'!$K$2:$K$5000, '03_BOC_TACH_VAN'!$B$2:$B$5000, B6, '03_BOC_TACH_VAN'!$D$2:$D$5000, "ĐỘNG_CƠ_VÀ_CẢM_BIẾN"))*0.10</f>
        <v/>
      </c>
      <c r="N6" s="16">
        <f>K6+L6+M6</f>
        <v/>
      </c>
      <c r="O6" s="16">
        <f>IF(G6&gt;0, N6/G6, 0)</f>
        <v/>
      </c>
      <c r="P6" s="17" t="n">
        <v>0.18</v>
      </c>
      <c r="Q6" s="16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6">
        <f>G6*Q6</f>
        <v/>
      </c>
      <c r="S6" t="inlineStr">
        <is>
          <t>Cửa nan bầu dục 1 lớp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chặn lửa động cơ MFD 800x450 - EI60</t>
        </is>
      </c>
      <c r="E7" t="inlineStr">
        <is>
          <t>800x450</t>
        </is>
      </c>
      <c r="F7" t="inlineStr">
        <is>
          <t>cái</t>
        </is>
      </c>
      <c r="G7" s="16" t="n">
        <v>1</v>
      </c>
      <c r="H7" s="16">
        <f>SUMIF('01_BOC_TACH_ONG'!$B$2:$B$5000, B7, '01_BOC_TACH_ONG'!$K$2:$K$5000)</f>
        <v/>
      </c>
      <c r="I7" s="16">
        <f>SUMIF('02_BOC_TACH_CUA'!$B$2:$B$5000, B7, '02_BOC_TACH_CUA'!$K$2:$K$5000)</f>
        <v/>
      </c>
      <c r="J7" s="16">
        <f>SUMIF('03_BOC_TACH_VAN'!$B$2:$B$5000, B7, '03_BOC_TACH_VAN'!$K$2:$K$5000)</f>
        <v/>
      </c>
      <c r="K7" s="16">
        <f>SUM(H7:J7)</f>
        <v/>
      </c>
      <c r="L7" s="16">
        <f>(K7-SUMIFS('03_BOC_TACH_VAN'!$K$2:$K$5000, '03_BOC_TACH_VAN'!$B$2:$B$5000, B7, '03_BOC_TACH_VAN'!$D$2:$D$5000, "ĐỘNG_CƠ_VÀ_CẢM_BIẾN"))*0.25</f>
        <v/>
      </c>
      <c r="M7" s="16">
        <f>(K7-SUMIFS('03_BOC_TACH_VAN'!$K$2:$K$5000, '03_BOC_TACH_VAN'!$B$2:$B$5000, B7, '03_BOC_TACH_VAN'!$D$2:$D$5000, "ĐỘNG_CƠ_VÀ_CẢM_BIẾN"))*0.10</f>
        <v/>
      </c>
      <c r="N7" s="16">
        <f>K7+L7+M7</f>
        <v/>
      </c>
      <c r="O7" s="16">
        <f>IF(G7&gt;0, N7/G7, 0)</f>
        <v/>
      </c>
      <c r="P7" s="17" t="n">
        <v>0.18</v>
      </c>
      <c r="Q7" s="16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6">
        <f>G7*Q7</f>
        <v/>
      </c>
      <c r="S7" t="inlineStr">
        <is>
          <t>- Van ngăn cháy động cơ - Tiêu chuẩn EI 90
- 2 đầu bích TDC - Gắn kèm động cơ ON-OFF 5Nm, Hãng KLB
- Sản xuất theo BCTN số 4651/VLXD-TBMT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Cửa gió nan thẳng 800x350</t>
        </is>
      </c>
      <c r="E8" t="inlineStr">
        <is>
          <t>800x350</t>
        </is>
      </c>
      <c r="F8" t="inlineStr">
        <is>
          <t>cái</t>
        </is>
      </c>
      <c r="G8" s="16" t="n">
        <v>2</v>
      </c>
      <c r="H8" s="16">
        <f>SUMIF('01_BOC_TACH_ONG'!$B$2:$B$5000, B8, '01_BOC_TACH_ONG'!$K$2:$K$5000)</f>
        <v/>
      </c>
      <c r="I8" s="16">
        <f>SUMIF('02_BOC_TACH_CUA'!$B$2:$B$5000, B8, '02_BOC_TACH_CUA'!$K$2:$K$5000)</f>
        <v/>
      </c>
      <c r="J8" s="16">
        <f>SUMIF('03_BOC_TACH_VAN'!$B$2:$B$5000, B8, '03_BOC_TACH_VAN'!$K$2:$K$5000)</f>
        <v/>
      </c>
      <c r="K8" s="16">
        <f>SUM(H8:J8)</f>
        <v/>
      </c>
      <c r="L8" s="16">
        <f>(K8-SUMIFS('03_BOC_TACH_VAN'!$K$2:$K$5000, '03_BOC_TACH_VAN'!$B$2:$B$5000, B8, '03_BOC_TACH_VAN'!$D$2:$D$5000, "ĐỘNG_CƠ_VÀ_CẢM_BIẾN"))*0.25</f>
        <v/>
      </c>
      <c r="M8" s="16">
        <f>(K8-SUMIFS('03_BOC_TACH_VAN'!$K$2:$K$5000, '03_BOC_TACH_VAN'!$B$2:$B$5000, B8, '03_BOC_TACH_VAN'!$D$2:$D$5000, "ĐỘNG_CƠ_VÀ_CẢM_BIẾN"))*0.10</f>
        <v/>
      </c>
      <c r="N8" s="16">
        <f>K8+L8+M8</f>
        <v/>
      </c>
      <c r="O8" s="16">
        <f>IF(G8&gt;0, N8/G8, 0)</f>
        <v/>
      </c>
      <c r="P8" s="17" t="n">
        <v>0.18</v>
      </c>
      <c r="Q8" s="16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6">
        <f>G8*Q8</f>
        <v/>
      </c>
      <c r="S8" t="inlineStr">
        <is>
          <t>Cửa nan bầu dục 1 lớp</t>
        </is>
      </c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Van chặn lửa động cơ MFD 800x350 - EI60</t>
        </is>
      </c>
      <c r="E9" t="inlineStr">
        <is>
          <t>800x350</t>
        </is>
      </c>
      <c r="F9" t="inlineStr">
        <is>
          <t>cái</t>
        </is>
      </c>
      <c r="G9" s="16" t="n">
        <v>2</v>
      </c>
      <c r="H9" s="16">
        <f>SUMIF('01_BOC_TACH_ONG'!$B$2:$B$5000, B9, '01_BOC_TACH_ONG'!$K$2:$K$5000)</f>
        <v/>
      </c>
      <c r="I9" s="16">
        <f>SUMIF('02_BOC_TACH_CUA'!$B$2:$B$5000, B9, '02_BOC_TACH_CUA'!$K$2:$K$5000)</f>
        <v/>
      </c>
      <c r="J9" s="16">
        <f>SUMIF('03_BOC_TACH_VAN'!$B$2:$B$5000, B9, '03_BOC_TACH_VAN'!$K$2:$K$5000)</f>
        <v/>
      </c>
      <c r="K9" s="16">
        <f>SUM(H9:J9)</f>
        <v/>
      </c>
      <c r="L9" s="16">
        <f>(K9-SUMIFS('03_BOC_TACH_VAN'!$K$2:$K$5000, '03_BOC_TACH_VAN'!$B$2:$B$5000, B9, '03_BOC_TACH_VAN'!$D$2:$D$5000, "ĐỘNG_CƠ_VÀ_CẢM_BIẾN"))*0.25</f>
        <v/>
      </c>
      <c r="M9" s="16">
        <f>(K9-SUMIFS('03_BOC_TACH_VAN'!$K$2:$K$5000, '03_BOC_TACH_VAN'!$B$2:$B$5000, B9, '03_BOC_TACH_VAN'!$D$2:$D$5000, "ĐỘNG_CƠ_VÀ_CẢM_BIẾN"))*0.10</f>
        <v/>
      </c>
      <c r="N9" s="16">
        <f>K9+L9+M9</f>
        <v/>
      </c>
      <c r="O9" s="16">
        <f>IF(G9&gt;0, N9/G9, 0)</f>
        <v/>
      </c>
      <c r="P9" s="17" t="n">
        <v>0.18</v>
      </c>
      <c r="Q9" s="16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6">
        <f>G9*Q9</f>
        <v/>
      </c>
      <c r="S9" t="inlineStr">
        <is>
          <t>- Van ngăn cháy động cơ - Tiêu chuẩn EI 90
- 2 đầu bích TDC - Gắn kèm động cơ ON-OFF 5Nm, Hãng KLB
- Sản xuất theo BCTN số 4651/VLXD-TBMT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Cửa gió nan thẳng 600x300</t>
        </is>
      </c>
      <c r="E10" t="inlineStr">
        <is>
          <t>600x300</t>
        </is>
      </c>
      <c r="F10" t="inlineStr">
        <is>
          <t>cái</t>
        </is>
      </c>
      <c r="G10" s="16" t="n">
        <v>2</v>
      </c>
      <c r="H10" s="16">
        <f>SUMIF('01_BOC_TACH_ONG'!$B$2:$B$5000, B10, '01_BOC_TACH_ONG'!$K$2:$K$5000)</f>
        <v/>
      </c>
      <c r="I10" s="16">
        <f>SUMIF('02_BOC_TACH_CUA'!$B$2:$B$5000, B10, '02_BOC_TACH_CUA'!$K$2:$K$5000)</f>
        <v/>
      </c>
      <c r="J10" s="16">
        <f>SUMIF('03_BOC_TACH_VAN'!$B$2:$B$5000, B10, '03_BOC_TACH_VAN'!$K$2:$K$5000)</f>
        <v/>
      </c>
      <c r="K10" s="16">
        <f>SUM(H10:J10)</f>
        <v/>
      </c>
      <c r="L10" s="16">
        <f>(K10-SUMIFS('03_BOC_TACH_VAN'!$K$2:$K$5000, '03_BOC_TACH_VAN'!$B$2:$B$5000, B10, '03_BOC_TACH_VAN'!$D$2:$D$5000, "ĐỘNG_CƠ_VÀ_CẢM_BIẾN"))*0.25</f>
        <v/>
      </c>
      <c r="M10" s="16">
        <f>(K10-SUMIFS('03_BOC_TACH_VAN'!$K$2:$K$5000, '03_BOC_TACH_VAN'!$B$2:$B$5000, B10, '03_BOC_TACH_VAN'!$D$2:$D$5000, "ĐỘNG_CƠ_VÀ_CẢM_BIẾN"))*0.10</f>
        <v/>
      </c>
      <c r="N10" s="16">
        <f>K10+L10+M10</f>
        <v/>
      </c>
      <c r="O10" s="16">
        <f>IF(G10&gt;0, N10/G10, 0)</f>
        <v/>
      </c>
      <c r="P10" s="17" t="n">
        <v>0.18</v>
      </c>
      <c r="Q10" s="16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6">
        <f>G10*Q10</f>
        <v/>
      </c>
      <c r="S10" t="inlineStr">
        <is>
          <t>Cửa nan bầu dục 1 lớp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Van chặn lửa động cơ MFD 600x300 - EI60</t>
        </is>
      </c>
      <c r="E11" t="inlineStr">
        <is>
          <t>600x300</t>
        </is>
      </c>
      <c r="F11" t="inlineStr">
        <is>
          <t>cái</t>
        </is>
      </c>
      <c r="G11" s="16" t="n">
        <v>2</v>
      </c>
      <c r="H11" s="16">
        <f>SUMIF('01_BOC_TACH_ONG'!$B$2:$B$5000, B11, '01_BOC_TACH_ONG'!$K$2:$K$5000)</f>
        <v/>
      </c>
      <c r="I11" s="16">
        <f>SUMIF('02_BOC_TACH_CUA'!$B$2:$B$5000, B11, '02_BOC_TACH_CUA'!$K$2:$K$5000)</f>
        <v/>
      </c>
      <c r="J11" s="16">
        <f>SUMIF('03_BOC_TACH_VAN'!$B$2:$B$5000, B11, '03_BOC_TACH_VAN'!$K$2:$K$5000)</f>
        <v/>
      </c>
      <c r="K11" s="16">
        <f>SUM(H11:J11)</f>
        <v/>
      </c>
      <c r="L11" s="16">
        <f>(K11-SUMIFS('03_BOC_TACH_VAN'!$K$2:$K$5000, '03_BOC_TACH_VAN'!$B$2:$B$5000, B11, '03_BOC_TACH_VAN'!$D$2:$D$5000, "ĐỘNG_CƠ_VÀ_CẢM_BIẾN"))*0.25</f>
        <v/>
      </c>
      <c r="M11" s="16">
        <f>(K11-SUMIFS('03_BOC_TACH_VAN'!$K$2:$K$5000, '03_BOC_TACH_VAN'!$B$2:$B$5000, B11, '03_BOC_TACH_VAN'!$D$2:$D$5000, "ĐỘNG_CƠ_VÀ_CẢM_BIẾN"))*0.10</f>
        <v/>
      </c>
      <c r="N11" s="16">
        <f>K11+L11+M11</f>
        <v/>
      </c>
      <c r="O11" s="16">
        <f>IF(G11&gt;0, N11/G11, 0)</f>
        <v/>
      </c>
      <c r="P11" s="17" t="n">
        <v>0.18</v>
      </c>
      <c r="Q11" s="16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6">
        <f>G11*Q11</f>
        <v/>
      </c>
      <c r="S11" t="inlineStr">
        <is>
          <t>- Van ngăn cháy động cơ - Tiêu chuẩn EI 90
- 2 đầu bích TDC - Gắn kèm động cơ ON-OFF 5Nm, Hãng KLB
- Sản xuất theo BCTN số 4651/VLXD-TBMT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Cửa gió nan thẳng 200x200</t>
        </is>
      </c>
      <c r="E12" t="inlineStr">
        <is>
          <t>200x200</t>
        </is>
      </c>
      <c r="F12" t="inlineStr">
        <is>
          <t>cái</t>
        </is>
      </c>
      <c r="G12" s="16" t="n">
        <v>17</v>
      </c>
      <c r="H12" s="16">
        <f>SUMIF('01_BOC_TACH_ONG'!$B$2:$B$5000, B12, '01_BOC_TACH_ONG'!$K$2:$K$5000)</f>
        <v/>
      </c>
      <c r="I12" s="16">
        <f>SUMIF('02_BOC_TACH_CUA'!$B$2:$B$5000, B12, '02_BOC_TACH_CUA'!$K$2:$K$5000)</f>
        <v/>
      </c>
      <c r="J12" s="16">
        <f>SUMIF('03_BOC_TACH_VAN'!$B$2:$B$5000, B12, '03_BOC_TACH_VAN'!$K$2:$K$5000)</f>
        <v/>
      </c>
      <c r="K12" s="16">
        <f>SUM(H12:J12)</f>
        <v/>
      </c>
      <c r="L12" s="16">
        <f>(K12-SUMIFS('03_BOC_TACH_VAN'!$K$2:$K$5000, '03_BOC_TACH_VAN'!$B$2:$B$5000, B12, '03_BOC_TACH_VAN'!$D$2:$D$5000, "ĐỘNG_CƠ_VÀ_CẢM_BIẾN"))*0.25</f>
        <v/>
      </c>
      <c r="M12" s="16">
        <f>(K12-SUMIFS('03_BOC_TACH_VAN'!$K$2:$K$5000, '03_BOC_TACH_VAN'!$B$2:$B$5000, B12, '03_BOC_TACH_VAN'!$D$2:$D$5000, "ĐỘNG_CƠ_VÀ_CẢM_BIẾN"))*0.10</f>
        <v/>
      </c>
      <c r="N12" s="16">
        <f>K12+L12+M12</f>
        <v/>
      </c>
      <c r="O12" s="16">
        <f>IF(G12&gt;0, N12/G12, 0)</f>
        <v/>
      </c>
      <c r="P12" s="17" t="n">
        <v>0.18</v>
      </c>
      <c r="Q12" s="16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6">
        <f>G12*Q12</f>
        <v/>
      </c>
      <c r="S12" t="inlineStr">
        <is>
          <t>Cửa nan bầu dục 1 lớp</t>
        </is>
      </c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Van xả áp đối trọng PRD 200x200</t>
        </is>
      </c>
      <c r="E13" t="inlineStr">
        <is>
          <t>200x200</t>
        </is>
      </c>
      <c r="F13" t="inlineStr">
        <is>
          <t>cái</t>
        </is>
      </c>
      <c r="G13" s="16" t="n">
        <v>17</v>
      </c>
      <c r="H13" s="16">
        <f>SUMIF('01_BOC_TACH_ONG'!$B$2:$B$5000, B13, '01_BOC_TACH_ONG'!$K$2:$K$5000)</f>
        <v/>
      </c>
      <c r="I13" s="16">
        <f>SUMIF('02_BOC_TACH_CUA'!$B$2:$B$5000, B13, '02_BOC_TACH_CUA'!$K$2:$K$5000)</f>
        <v/>
      </c>
      <c r="J13" s="16">
        <f>SUMIF('03_BOC_TACH_VAN'!$B$2:$B$5000, B13, '03_BOC_TACH_VAN'!$K$2:$K$5000)</f>
        <v/>
      </c>
      <c r="K13" s="16">
        <f>SUM(H13:J13)</f>
        <v/>
      </c>
      <c r="L13" s="16">
        <f>(K13-SUMIFS('03_BOC_TACH_VAN'!$K$2:$K$5000, '03_BOC_TACH_VAN'!$B$2:$B$5000, B13, '03_BOC_TACH_VAN'!$D$2:$D$5000, "ĐỘNG_CƠ_VÀ_CẢM_BIẾN"))*0.25</f>
        <v/>
      </c>
      <c r="M13" s="16">
        <f>(K13-SUMIFS('03_BOC_TACH_VAN'!$K$2:$K$5000, '03_BOC_TACH_VAN'!$B$2:$B$5000, B13, '03_BOC_TACH_VAN'!$D$2:$D$5000, "ĐỘNG_CƠ_VÀ_CẢM_BIẾN"))*0.10</f>
        <v/>
      </c>
      <c r="N13" s="16">
        <f>K13+L13+M13</f>
        <v/>
      </c>
      <c r="O13" s="16">
        <f>IF(G13&gt;0, N13/G13, 0)</f>
        <v/>
      </c>
      <c r="P13" s="17" t="n">
        <v>0.18</v>
      </c>
      <c r="Q13" s="16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6">
        <f>G13*Q13</f>
        <v/>
      </c>
      <c r="S13" t="inlineStr">
        <is>
          <t>Van xả áp đối trọng tôn mạ kẽm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Cửa gió nan thẳng 800x400</t>
        </is>
      </c>
      <c r="E14" t="inlineStr">
        <is>
          <t>800x400</t>
        </is>
      </c>
      <c r="F14" t="inlineStr">
        <is>
          <t>cái</t>
        </is>
      </c>
      <c r="G14" s="16" t="n">
        <v>4</v>
      </c>
      <c r="H14" s="16">
        <f>SUMIF('01_BOC_TACH_ONG'!$B$2:$B$5000, B14, '01_BOC_TACH_ONG'!$K$2:$K$5000)</f>
        <v/>
      </c>
      <c r="I14" s="16">
        <f>SUMIF('02_BOC_TACH_CUA'!$B$2:$B$5000, B14, '02_BOC_TACH_CUA'!$K$2:$K$5000)</f>
        <v/>
      </c>
      <c r="J14" s="16">
        <f>SUMIF('03_BOC_TACH_VAN'!$B$2:$B$5000, B14, '03_BOC_TACH_VAN'!$K$2:$K$5000)</f>
        <v/>
      </c>
      <c r="K14" s="16">
        <f>SUM(H14:J14)</f>
        <v/>
      </c>
      <c r="L14" s="16">
        <f>(K14-SUMIFS('03_BOC_TACH_VAN'!$K$2:$K$5000, '03_BOC_TACH_VAN'!$B$2:$B$5000, B14, '03_BOC_TACH_VAN'!$D$2:$D$5000, "ĐỘNG_CƠ_VÀ_CẢM_BIẾN"))*0.25</f>
        <v/>
      </c>
      <c r="M14" s="16">
        <f>(K14-SUMIFS('03_BOC_TACH_VAN'!$K$2:$K$5000, '03_BOC_TACH_VAN'!$B$2:$B$5000, B14, '03_BOC_TACH_VAN'!$D$2:$D$5000, "ĐỘNG_CƠ_VÀ_CẢM_BIẾN"))*0.10</f>
        <v/>
      </c>
      <c r="N14" s="16">
        <f>K14+L14+M14</f>
        <v/>
      </c>
      <c r="O14" s="16">
        <f>IF(G14&gt;0, N14/G14, 0)</f>
        <v/>
      </c>
      <c r="P14" s="17" t="n">
        <v>0.18</v>
      </c>
      <c r="Q14" s="16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6">
        <f>G14*Q14</f>
        <v/>
      </c>
      <c r="S14" t="inlineStr">
        <is>
          <t>Cửa nan bầu dục 1 lớp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Van một chiều NRD 800x400</t>
        </is>
      </c>
      <c r="E15" t="inlineStr">
        <is>
          <t>800x400</t>
        </is>
      </c>
      <c r="F15" t="inlineStr">
        <is>
          <t>cái</t>
        </is>
      </c>
      <c r="G15" s="16" t="n">
        <v>4</v>
      </c>
      <c r="H15" s="16">
        <f>SUMIF('01_BOC_TACH_ONG'!$B$2:$B$5000, B15, '01_BOC_TACH_ONG'!$K$2:$K$5000)</f>
        <v/>
      </c>
      <c r="I15" s="16">
        <f>SUMIF('02_BOC_TACH_CUA'!$B$2:$B$5000, B15, '02_BOC_TACH_CUA'!$K$2:$K$5000)</f>
        <v/>
      </c>
      <c r="J15" s="16">
        <f>SUMIF('03_BOC_TACH_VAN'!$B$2:$B$5000, B15, '03_BOC_TACH_VAN'!$K$2:$K$5000)</f>
        <v/>
      </c>
      <c r="K15" s="16">
        <f>SUM(H15:J15)</f>
        <v/>
      </c>
      <c r="L15" s="16">
        <f>(K15-SUMIFS('03_BOC_TACH_VAN'!$K$2:$K$5000, '03_BOC_TACH_VAN'!$B$2:$B$5000, B15, '03_BOC_TACH_VAN'!$D$2:$D$5000, "ĐỘNG_CƠ_VÀ_CẢM_BIẾN"))*0.25</f>
        <v/>
      </c>
      <c r="M15" s="16">
        <f>(K15-SUMIFS('03_BOC_TACH_VAN'!$K$2:$K$5000, '03_BOC_TACH_VAN'!$B$2:$B$5000, B15, '03_BOC_TACH_VAN'!$D$2:$D$5000, "ĐỘNG_CƠ_VÀ_CẢM_BIẾN"))*0.10</f>
        <v/>
      </c>
      <c r="N15" s="16">
        <f>K15+L15+M15</f>
        <v/>
      </c>
      <c r="O15" s="16">
        <f>IF(G15&gt;0, N15/G15, 0)</f>
        <v/>
      </c>
      <c r="P15" s="17" t="n">
        <v>0.18</v>
      </c>
      <c r="Q15" s="16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6">
        <f>G15*Q15</f>
        <v/>
      </c>
      <c r="S15" t="inlineStr">
        <is>
          <t>Van 1 chiều tôn mạ kẽm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Cửa gió nan thẳng 800x450</t>
        </is>
      </c>
      <c r="E16" t="inlineStr">
        <is>
          <t>800x450</t>
        </is>
      </c>
      <c r="F16" t="inlineStr">
        <is>
          <t>cái</t>
        </is>
      </c>
      <c r="G16" s="16" t="n">
        <v>1</v>
      </c>
      <c r="H16" s="16">
        <f>SUMIF('01_BOC_TACH_ONG'!$B$2:$B$5000, B16, '01_BOC_TACH_ONG'!$K$2:$K$5000)</f>
        <v/>
      </c>
      <c r="I16" s="16">
        <f>SUMIF('02_BOC_TACH_CUA'!$B$2:$B$5000, B16, '02_BOC_TACH_CUA'!$K$2:$K$5000)</f>
        <v/>
      </c>
      <c r="J16" s="16">
        <f>SUMIF('03_BOC_TACH_VAN'!$B$2:$B$5000, B16, '03_BOC_TACH_VAN'!$K$2:$K$5000)</f>
        <v/>
      </c>
      <c r="K16" s="16">
        <f>SUM(H16:J16)</f>
        <v/>
      </c>
      <c r="L16" s="16">
        <f>(K16-SUMIFS('03_BOC_TACH_VAN'!$K$2:$K$5000, '03_BOC_TACH_VAN'!$B$2:$B$5000, B16, '03_BOC_TACH_VAN'!$D$2:$D$5000, "ĐỘNG_CƠ_VÀ_CẢM_BIẾN"))*0.25</f>
        <v/>
      </c>
      <c r="M16" s="16">
        <f>(K16-SUMIFS('03_BOC_TACH_VAN'!$K$2:$K$5000, '03_BOC_TACH_VAN'!$B$2:$B$5000, B16, '03_BOC_TACH_VAN'!$D$2:$D$5000, "ĐỘNG_CƠ_VÀ_CẢM_BIẾN"))*0.10</f>
        <v/>
      </c>
      <c r="N16" s="16">
        <f>K16+L16+M16</f>
        <v/>
      </c>
      <c r="O16" s="16">
        <f>IF(G16&gt;0, N16/G16, 0)</f>
        <v/>
      </c>
      <c r="P16" s="17" t="n">
        <v>0.18</v>
      </c>
      <c r="Q16" s="16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6">
        <f>G16*Q16</f>
        <v/>
      </c>
      <c r="S16" t="inlineStr">
        <is>
          <t>Cửa nan bầu dục 1 lớp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Van một chiều NRD 800x450</t>
        </is>
      </c>
      <c r="E17" t="inlineStr">
        <is>
          <t>800x450</t>
        </is>
      </c>
      <c r="F17" t="inlineStr">
        <is>
          <t>cái</t>
        </is>
      </c>
      <c r="G17" s="16" t="n">
        <v>1</v>
      </c>
      <c r="H17" s="16">
        <f>SUMIF('01_BOC_TACH_ONG'!$B$2:$B$5000, B17, '01_BOC_TACH_ONG'!$K$2:$K$5000)</f>
        <v/>
      </c>
      <c r="I17" s="16">
        <f>SUMIF('02_BOC_TACH_CUA'!$B$2:$B$5000, B17, '02_BOC_TACH_CUA'!$K$2:$K$5000)</f>
        <v/>
      </c>
      <c r="J17" s="16">
        <f>SUMIF('03_BOC_TACH_VAN'!$B$2:$B$5000, B17, '03_BOC_TACH_VAN'!$K$2:$K$5000)</f>
        <v/>
      </c>
      <c r="K17" s="16">
        <f>SUM(H17:J17)</f>
        <v/>
      </c>
      <c r="L17" s="16">
        <f>(K17-SUMIFS('03_BOC_TACH_VAN'!$K$2:$K$5000, '03_BOC_TACH_VAN'!$B$2:$B$5000, B17, '03_BOC_TACH_VAN'!$D$2:$D$5000, "ĐỘNG_CƠ_VÀ_CẢM_BIẾN"))*0.25</f>
        <v/>
      </c>
      <c r="M17" s="16">
        <f>(K17-SUMIFS('03_BOC_TACH_VAN'!$K$2:$K$5000, '03_BOC_TACH_VAN'!$B$2:$B$5000, B17, '03_BOC_TACH_VAN'!$D$2:$D$5000, "ĐỘNG_CƠ_VÀ_CẢM_BIẾN"))*0.10</f>
        <v/>
      </c>
      <c r="N17" s="16">
        <f>K17+L17+M17</f>
        <v/>
      </c>
      <c r="O17" s="16">
        <f>IF(G17&gt;0, N17/G17, 0)</f>
        <v/>
      </c>
      <c r="P17" s="17" t="n">
        <v>0.18</v>
      </c>
      <c r="Q17" s="16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6">
        <f>G17*Q17</f>
        <v/>
      </c>
      <c r="S17" t="inlineStr">
        <is>
          <t>Van 1 chiều tôn mạ kẽm</t>
        </is>
      </c>
    </row>
    <row r="18">
      <c r="A18" t="n">
        <v>17</v>
      </c>
      <c r="B18" t="inlineStr">
        <is>
          <t>SW-DIFF-017</t>
        </is>
      </c>
      <c r="C18" t="inlineStr">
        <is>
          <t>CỬA GIÓ</t>
        </is>
      </c>
      <c r="D18" t="inlineStr">
        <is>
          <t>Cửa gió nan thẳng 800x350</t>
        </is>
      </c>
      <c r="E18" t="inlineStr">
        <is>
          <t>800x350</t>
        </is>
      </c>
      <c r="F18" t="inlineStr">
        <is>
          <t>cái</t>
        </is>
      </c>
      <c r="G18" s="16" t="n">
        <v>2</v>
      </c>
      <c r="H18" s="16">
        <f>SUMIF('01_BOC_TACH_ONG'!$B$2:$B$5000, B18, '01_BOC_TACH_ONG'!$K$2:$K$5000)</f>
        <v/>
      </c>
      <c r="I18" s="16">
        <f>SUMIF('02_BOC_TACH_CUA'!$B$2:$B$5000, B18, '02_BOC_TACH_CUA'!$K$2:$K$5000)</f>
        <v/>
      </c>
      <c r="J18" s="16">
        <f>SUMIF('03_BOC_TACH_VAN'!$B$2:$B$5000, B18, '03_BOC_TACH_VAN'!$K$2:$K$5000)</f>
        <v/>
      </c>
      <c r="K18" s="16">
        <f>SUM(H18:J18)</f>
        <v/>
      </c>
      <c r="L18" s="16">
        <f>(K18-SUMIFS('03_BOC_TACH_VAN'!$K$2:$K$5000, '03_BOC_TACH_VAN'!$B$2:$B$5000, B18, '03_BOC_TACH_VAN'!$D$2:$D$5000, "ĐỘNG_CƠ_VÀ_CẢM_BIẾN"))*0.25</f>
        <v/>
      </c>
      <c r="M18" s="16">
        <f>(K18-SUMIFS('03_BOC_TACH_VAN'!$K$2:$K$5000, '03_BOC_TACH_VAN'!$B$2:$B$5000, B18, '03_BOC_TACH_VAN'!$D$2:$D$5000, "ĐỘNG_CƠ_VÀ_CẢM_BIẾN"))*0.10</f>
        <v/>
      </c>
      <c r="N18" s="16">
        <f>K18+L18+M18</f>
        <v/>
      </c>
      <c r="O18" s="16">
        <f>IF(G18&gt;0, N18/G18, 0)</f>
        <v/>
      </c>
      <c r="P18" s="17" t="n">
        <v>0.18</v>
      </c>
      <c r="Q18" s="16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6">
        <f>G18*Q18</f>
        <v/>
      </c>
      <c r="S18" t="inlineStr">
        <is>
          <t>Cửa nan bầu dục 1 lớp</t>
        </is>
      </c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một chiều NRD 800x350</t>
        </is>
      </c>
      <c r="E19" t="inlineStr">
        <is>
          <t>800x350</t>
        </is>
      </c>
      <c r="F19" t="inlineStr">
        <is>
          <t>cái</t>
        </is>
      </c>
      <c r="G19" s="16" t="n">
        <v>2</v>
      </c>
      <c r="H19" s="16">
        <f>SUMIF('01_BOC_TACH_ONG'!$B$2:$B$5000, B19, '01_BOC_TACH_ONG'!$K$2:$K$5000)</f>
        <v/>
      </c>
      <c r="I19" s="16">
        <f>SUMIF('02_BOC_TACH_CUA'!$B$2:$B$5000, B19, '02_BOC_TACH_CUA'!$K$2:$K$5000)</f>
        <v/>
      </c>
      <c r="J19" s="16">
        <f>SUMIF('03_BOC_TACH_VAN'!$B$2:$B$5000, B19, '03_BOC_TACH_VAN'!$K$2:$K$5000)</f>
        <v/>
      </c>
      <c r="K19" s="16">
        <f>SUM(H19:J19)</f>
        <v/>
      </c>
      <c r="L19" s="16">
        <f>(K19-SUMIFS('03_BOC_TACH_VAN'!$K$2:$K$5000, '03_BOC_TACH_VAN'!$B$2:$B$5000, B19, '03_BOC_TACH_VAN'!$D$2:$D$5000, "ĐỘNG_CƠ_VÀ_CẢM_BIẾN"))*0.25</f>
        <v/>
      </c>
      <c r="M19" s="16">
        <f>(K19-SUMIFS('03_BOC_TACH_VAN'!$K$2:$K$5000, '03_BOC_TACH_VAN'!$B$2:$B$5000, B19, '03_BOC_TACH_VAN'!$D$2:$D$5000, "ĐỘNG_CƠ_VÀ_CẢM_BIẾN"))*0.10</f>
        <v/>
      </c>
      <c r="N19" s="16">
        <f>K19+L19+M19</f>
        <v/>
      </c>
      <c r="O19" s="16">
        <f>IF(G19&gt;0, N19/G19, 0)</f>
        <v/>
      </c>
      <c r="P19" s="17" t="n">
        <v>0.18</v>
      </c>
      <c r="Q19" s="16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6">
        <f>G19*Q19</f>
        <v/>
      </c>
      <c r="S19" t="inlineStr">
        <is>
          <t>Van 1 chiều tôn mạ kẽm</t>
        </is>
      </c>
    </row>
    <row r="20">
      <c r="A20" t="n">
        <v>19</v>
      </c>
      <c r="B20" t="inlineStr">
        <is>
          <t>SW-DIFF-019</t>
        </is>
      </c>
      <c r="C20" t="inlineStr">
        <is>
          <t>CỬA GIÓ</t>
        </is>
      </c>
      <c r="D20" t="inlineStr">
        <is>
          <t>Cửa gió nan thẳng 600x300</t>
        </is>
      </c>
      <c r="E20" t="inlineStr">
        <is>
          <t>600x300</t>
        </is>
      </c>
      <c r="F20" t="inlineStr">
        <is>
          <t>cái</t>
        </is>
      </c>
      <c r="G20" s="16" t="n">
        <v>2</v>
      </c>
      <c r="H20" s="16">
        <f>SUMIF('01_BOC_TACH_ONG'!$B$2:$B$5000, B20, '01_BOC_TACH_ONG'!$K$2:$K$5000)</f>
        <v/>
      </c>
      <c r="I20" s="16">
        <f>SUMIF('02_BOC_TACH_CUA'!$B$2:$B$5000, B20, '02_BOC_TACH_CUA'!$K$2:$K$5000)</f>
        <v/>
      </c>
      <c r="J20" s="16">
        <f>SUMIF('03_BOC_TACH_VAN'!$B$2:$B$5000, B20, '03_BOC_TACH_VAN'!$K$2:$K$5000)</f>
        <v/>
      </c>
      <c r="K20" s="16">
        <f>SUM(H20:J20)</f>
        <v/>
      </c>
      <c r="L20" s="16">
        <f>(K20-SUMIFS('03_BOC_TACH_VAN'!$K$2:$K$5000, '03_BOC_TACH_VAN'!$B$2:$B$5000, B20, '03_BOC_TACH_VAN'!$D$2:$D$5000, "ĐỘNG_CƠ_VÀ_CẢM_BIẾN"))*0.25</f>
        <v/>
      </c>
      <c r="M20" s="16">
        <f>(K20-SUMIFS('03_BOC_TACH_VAN'!$K$2:$K$5000, '03_BOC_TACH_VAN'!$B$2:$B$5000, B20, '03_BOC_TACH_VAN'!$D$2:$D$5000, "ĐỘNG_CƠ_VÀ_CẢM_BIẾN"))*0.10</f>
        <v/>
      </c>
      <c r="N20" s="16">
        <f>K20+L20+M20</f>
        <v/>
      </c>
      <c r="O20" s="16">
        <f>IF(G20&gt;0, N20/G20, 0)</f>
        <v/>
      </c>
      <c r="P20" s="17" t="n">
        <v>0.18</v>
      </c>
      <c r="Q20" s="16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6">
        <f>G20*Q20</f>
        <v/>
      </c>
      <c r="S20" t="inlineStr">
        <is>
          <t>Cửa nan bầu dục 1 lớp</t>
        </is>
      </c>
    </row>
    <row r="21">
      <c r="A21" t="n">
        <v>20</v>
      </c>
      <c r="B21" t="inlineStr">
        <is>
          <t>SW-DAMPER-020</t>
        </is>
      </c>
      <c r="C21" t="inlineStr">
        <is>
          <t>VAN GIÓ</t>
        </is>
      </c>
      <c r="D21" t="inlineStr">
        <is>
          <t>Van một chiều NRD 600x300</t>
        </is>
      </c>
      <c r="E21" t="inlineStr">
        <is>
          <t>600x300</t>
        </is>
      </c>
      <c r="F21" t="inlineStr">
        <is>
          <t>cái</t>
        </is>
      </c>
      <c r="G21" s="16" t="n">
        <v>2</v>
      </c>
      <c r="H21" s="16">
        <f>SUMIF('01_BOC_TACH_ONG'!$B$2:$B$5000, B21, '01_BOC_TACH_ONG'!$K$2:$K$5000)</f>
        <v/>
      </c>
      <c r="I21" s="16">
        <f>SUMIF('02_BOC_TACH_CUA'!$B$2:$B$5000, B21, '02_BOC_TACH_CUA'!$K$2:$K$5000)</f>
        <v/>
      </c>
      <c r="J21" s="16">
        <f>SUMIF('03_BOC_TACH_VAN'!$B$2:$B$5000, B21, '03_BOC_TACH_VAN'!$K$2:$K$5000)</f>
        <v/>
      </c>
      <c r="K21" s="16">
        <f>SUM(H21:J21)</f>
        <v/>
      </c>
      <c r="L21" s="16">
        <f>(K21-SUMIFS('03_BOC_TACH_VAN'!$K$2:$K$5000, '03_BOC_TACH_VAN'!$B$2:$B$5000, B21, '03_BOC_TACH_VAN'!$D$2:$D$5000, "ĐỘNG_CƠ_VÀ_CẢM_BIẾN"))*0.25</f>
        <v/>
      </c>
      <c r="M21" s="16">
        <f>(K21-SUMIFS('03_BOC_TACH_VAN'!$K$2:$K$5000, '03_BOC_TACH_VAN'!$B$2:$B$5000, B21, '03_BOC_TACH_VAN'!$D$2:$D$5000, "ĐỘNG_CƠ_VÀ_CẢM_BIẾN"))*0.10</f>
        <v/>
      </c>
      <c r="N21" s="16">
        <f>K21+L21+M21</f>
        <v/>
      </c>
      <c r="O21" s="16">
        <f>IF(G21&gt;0, N21/G21, 0)</f>
        <v/>
      </c>
      <c r="P21" s="17" t="n">
        <v>0.18</v>
      </c>
      <c r="Q21" s="16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6">
        <f>G21*Q21</f>
        <v/>
      </c>
      <c r="S21" t="inlineStr">
        <is>
          <t>Van 1 chiều tôn mạ kẽm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Miệng gió OAG+OBD 900x900</t>
        </is>
      </c>
      <c r="E22" t="inlineStr">
        <is>
          <t>900x900</t>
        </is>
      </c>
      <c r="F22" t="inlineStr">
        <is>
          <t>cái</t>
        </is>
      </c>
      <c r="G22" s="16" t="n">
        <v>64</v>
      </c>
      <c r="H22" s="16">
        <f>SUMIF('01_BOC_TACH_ONG'!$B$2:$B$5000, B22, '01_BOC_TACH_ONG'!$K$2:$K$5000)</f>
        <v/>
      </c>
      <c r="I22" s="16">
        <f>SUMIF('02_BOC_TACH_CUA'!$B$2:$B$5000, B22, '02_BOC_TACH_CUA'!$K$2:$K$5000)</f>
        <v/>
      </c>
      <c r="J22" s="16">
        <f>SUMIF('03_BOC_TACH_VAN'!$B$2:$B$5000, B22, '03_BOC_TACH_VAN'!$K$2:$K$5000)</f>
        <v/>
      </c>
      <c r="K22" s="16">
        <f>SUM(H22:J22)</f>
        <v/>
      </c>
      <c r="L22" s="16">
        <f>(K22-SUMIFS('03_BOC_TACH_VAN'!$K$2:$K$5000, '03_BOC_TACH_VAN'!$B$2:$B$5000, B22, '03_BOC_TACH_VAN'!$D$2:$D$5000, "ĐỘNG_CƠ_VÀ_CẢM_BIẾN"))*0.25</f>
        <v/>
      </c>
      <c r="M22" s="16">
        <f>(K22-SUMIFS('03_BOC_TACH_VAN'!$K$2:$K$5000, '03_BOC_TACH_VAN'!$B$2:$B$5000, B22, '03_BOC_TACH_VAN'!$D$2:$D$5000, "ĐỘNG_CƠ_VÀ_CẢM_BIẾN"))*0.10</f>
        <v/>
      </c>
      <c r="N22" s="16">
        <f>K22+L22+M22</f>
        <v/>
      </c>
      <c r="O22" s="16">
        <f>IF(G22&gt;0, N22/G22, 0)</f>
        <v/>
      </c>
      <c r="P22" s="17" t="n">
        <v>0.18</v>
      </c>
      <c r="Q22" s="16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6">
        <f>G22*Q22</f>
        <v/>
      </c>
      <c r="S22" t="inlineStr">
        <is>
          <t>Cửa nan bầu dục 1 lớp kèm van OBD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Cửa gió nan thẳng 1200x550</t>
        </is>
      </c>
      <c r="E23" t="inlineStr">
        <is>
          <t>1200x550</t>
        </is>
      </c>
      <c r="F23" t="inlineStr">
        <is>
          <t>cái</t>
        </is>
      </c>
      <c r="G23" s="16" t="n">
        <v>4</v>
      </c>
      <c r="H23" s="16">
        <f>SUMIF('01_BOC_TACH_ONG'!$B$2:$B$5000, B23, '01_BOC_TACH_ONG'!$K$2:$K$5000)</f>
        <v/>
      </c>
      <c r="I23" s="16">
        <f>SUMIF('02_BOC_TACH_CUA'!$B$2:$B$5000, B23, '02_BOC_TACH_CUA'!$K$2:$K$5000)</f>
        <v/>
      </c>
      <c r="J23" s="16">
        <f>SUMIF('03_BOC_TACH_VAN'!$B$2:$B$5000, B23, '03_BOC_TACH_VAN'!$K$2:$K$5000)</f>
        <v/>
      </c>
      <c r="K23" s="16">
        <f>SUM(H23:J23)</f>
        <v/>
      </c>
      <c r="L23" s="16">
        <f>(K23-SUMIFS('03_BOC_TACH_VAN'!$K$2:$K$5000, '03_BOC_TACH_VAN'!$B$2:$B$5000, B23, '03_BOC_TACH_VAN'!$D$2:$D$5000, "ĐỘNG_CƠ_VÀ_CẢM_BIẾN"))*0.25</f>
        <v/>
      </c>
      <c r="M23" s="16">
        <f>(K23-SUMIFS('03_BOC_TACH_VAN'!$K$2:$K$5000, '03_BOC_TACH_VAN'!$B$2:$B$5000, B23, '03_BOC_TACH_VAN'!$D$2:$D$5000, "ĐỘNG_CƠ_VÀ_CẢM_BIẾN"))*0.10</f>
        <v/>
      </c>
      <c r="N23" s="16">
        <f>K23+L23+M23</f>
        <v/>
      </c>
      <c r="O23" s="16">
        <f>IF(G23&gt;0, N23/G23, 0)</f>
        <v/>
      </c>
      <c r="P23" s="17" t="n">
        <v>0.18</v>
      </c>
      <c r="Q23" s="16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6">
        <f>G23*Q23</f>
        <v/>
      </c>
      <c r="S23" t="inlineStr">
        <is>
          <t>Cửa nan bầu dục 1 lớp</t>
        </is>
      </c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chặn lửa động cơ MFD 1200x550 - EI60</t>
        </is>
      </c>
      <c r="E24" t="inlineStr">
        <is>
          <t>1200x550</t>
        </is>
      </c>
      <c r="F24" t="inlineStr">
        <is>
          <t>cái</t>
        </is>
      </c>
      <c r="G24" s="16" t="n">
        <v>4</v>
      </c>
      <c r="H24" s="16">
        <f>SUMIF('01_BOC_TACH_ONG'!$B$2:$B$5000, B24, '01_BOC_TACH_ONG'!$K$2:$K$5000)</f>
        <v/>
      </c>
      <c r="I24" s="16">
        <f>SUMIF('02_BOC_TACH_CUA'!$B$2:$B$5000, B24, '02_BOC_TACH_CUA'!$K$2:$K$5000)</f>
        <v/>
      </c>
      <c r="J24" s="16">
        <f>SUMIF('03_BOC_TACH_VAN'!$B$2:$B$5000, B24, '03_BOC_TACH_VAN'!$K$2:$K$5000)</f>
        <v/>
      </c>
      <c r="K24" s="16">
        <f>SUM(H24:J24)</f>
        <v/>
      </c>
      <c r="L24" s="16">
        <f>(K24-SUMIFS('03_BOC_TACH_VAN'!$K$2:$K$5000, '03_BOC_TACH_VAN'!$B$2:$B$5000, B24, '03_BOC_TACH_VAN'!$D$2:$D$5000, "ĐỘNG_CƠ_VÀ_CẢM_BIẾN"))*0.25</f>
        <v/>
      </c>
      <c r="M24" s="16">
        <f>(K24-SUMIFS('03_BOC_TACH_VAN'!$K$2:$K$5000, '03_BOC_TACH_VAN'!$B$2:$B$5000, B24, '03_BOC_TACH_VAN'!$D$2:$D$5000, "ĐỘNG_CƠ_VÀ_CẢM_BIẾN"))*0.10</f>
        <v/>
      </c>
      <c r="N24" s="16">
        <f>K24+L24+M24</f>
        <v/>
      </c>
      <c r="O24" s="16">
        <f>IF(G24&gt;0, N24/G24, 0)</f>
        <v/>
      </c>
      <c r="P24" s="17" t="n">
        <v>0.18</v>
      </c>
      <c r="Q24" s="16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6">
        <f>G24*Q24</f>
        <v/>
      </c>
      <c r="S24" t="inlineStr">
        <is>
          <t>- Van ngăn cháy động cơ - Tiêu chuẩn EI 90
- 2 đầu bích TDC - Gắn kèm động cơ ON-OFF 5Nm, Hãng KLB
- Sản xuất theo BCTN số 4651/VLXD-TBMT</t>
        </is>
      </c>
    </row>
    <row r="25">
      <c r="A25" t="n">
        <v>24</v>
      </c>
      <c r="B25" t="inlineStr">
        <is>
          <t>SW-DIFF-024</t>
        </is>
      </c>
      <c r="C25" t="inlineStr">
        <is>
          <t>CỬA GIÓ</t>
        </is>
      </c>
      <c r="D25" t="inlineStr">
        <is>
          <t>Cửa gió nan thẳng 1200x400</t>
        </is>
      </c>
      <c r="E25" t="inlineStr">
        <is>
          <t>1200x400</t>
        </is>
      </c>
      <c r="F25" t="inlineStr">
        <is>
          <t>cái</t>
        </is>
      </c>
      <c r="G25" s="16" t="n">
        <v>12</v>
      </c>
      <c r="H25" s="16">
        <f>SUMIF('01_BOC_TACH_ONG'!$B$2:$B$5000, B25, '01_BOC_TACH_ONG'!$K$2:$K$5000)</f>
        <v/>
      </c>
      <c r="I25" s="16">
        <f>SUMIF('02_BOC_TACH_CUA'!$B$2:$B$5000, B25, '02_BOC_TACH_CUA'!$K$2:$K$5000)</f>
        <v/>
      </c>
      <c r="J25" s="16">
        <f>SUMIF('03_BOC_TACH_VAN'!$B$2:$B$5000, B25, '03_BOC_TACH_VAN'!$K$2:$K$5000)</f>
        <v/>
      </c>
      <c r="K25" s="16">
        <f>SUM(H25:J25)</f>
        <v/>
      </c>
      <c r="L25" s="16">
        <f>(K25-SUMIFS('03_BOC_TACH_VAN'!$K$2:$K$5000, '03_BOC_TACH_VAN'!$B$2:$B$5000, B25, '03_BOC_TACH_VAN'!$D$2:$D$5000, "ĐỘNG_CƠ_VÀ_CẢM_BIẾN"))*0.25</f>
        <v/>
      </c>
      <c r="M25" s="16">
        <f>(K25-SUMIFS('03_BOC_TACH_VAN'!$K$2:$K$5000, '03_BOC_TACH_VAN'!$B$2:$B$5000, B25, '03_BOC_TACH_VAN'!$D$2:$D$5000, "ĐỘNG_CƠ_VÀ_CẢM_BIẾN"))*0.10</f>
        <v/>
      </c>
      <c r="N25" s="16">
        <f>K25+L25+M25</f>
        <v/>
      </c>
      <c r="O25" s="16">
        <f>IF(G25&gt;0, N25/G25, 0)</f>
        <v/>
      </c>
      <c r="P25" s="17" t="n">
        <v>0.18</v>
      </c>
      <c r="Q25" s="16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6">
        <f>G25*Q25</f>
        <v/>
      </c>
      <c r="S25" t="inlineStr">
        <is>
          <t>Cửa nan bầu dục 1 lớp</t>
        </is>
      </c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chặn lửa động cơ MFD 1200x400 - EI60</t>
        </is>
      </c>
      <c r="E26" t="inlineStr">
        <is>
          <t>1200x400</t>
        </is>
      </c>
      <c r="F26" t="inlineStr">
        <is>
          <t>cái</t>
        </is>
      </c>
      <c r="G26" s="16" t="n">
        <v>12</v>
      </c>
      <c r="H26" s="16">
        <f>SUMIF('01_BOC_TACH_ONG'!$B$2:$B$5000, B26, '01_BOC_TACH_ONG'!$K$2:$K$5000)</f>
        <v/>
      </c>
      <c r="I26" s="16">
        <f>SUMIF('02_BOC_TACH_CUA'!$B$2:$B$5000, B26, '02_BOC_TACH_CUA'!$K$2:$K$5000)</f>
        <v/>
      </c>
      <c r="J26" s="16">
        <f>SUMIF('03_BOC_TACH_VAN'!$B$2:$B$5000, B26, '03_BOC_TACH_VAN'!$K$2:$K$5000)</f>
        <v/>
      </c>
      <c r="K26" s="16">
        <f>SUM(H26:J26)</f>
        <v/>
      </c>
      <c r="L26" s="16">
        <f>(K26-SUMIFS('03_BOC_TACH_VAN'!$K$2:$K$5000, '03_BOC_TACH_VAN'!$B$2:$B$5000, B26, '03_BOC_TACH_VAN'!$D$2:$D$5000, "ĐỘNG_CƠ_VÀ_CẢM_BIẾN"))*0.25</f>
        <v/>
      </c>
      <c r="M26" s="16">
        <f>(K26-SUMIFS('03_BOC_TACH_VAN'!$K$2:$K$5000, '03_BOC_TACH_VAN'!$B$2:$B$5000, B26, '03_BOC_TACH_VAN'!$D$2:$D$5000, "ĐỘNG_CƠ_VÀ_CẢM_BIẾN"))*0.10</f>
        <v/>
      </c>
      <c r="N26" s="16">
        <f>K26+L26+M26</f>
        <v/>
      </c>
      <c r="O26" s="16">
        <f>IF(G26&gt;0, N26/G26, 0)</f>
        <v/>
      </c>
      <c r="P26" s="17" t="n">
        <v>0.18</v>
      </c>
      <c r="Q26" s="16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6">
        <f>G26*Q26</f>
        <v/>
      </c>
      <c r="S26" t="inlineStr">
        <is>
          <t>- Van ngăn cháy động cơ - Tiêu chuẩn EI 90
- 2 đầu bích TDC - Gắn kèm động cơ ON-OFF 5Nm, Hãng KLB
- Sản xuất theo BCTN số 4651/VLXD-TBMT</t>
        </is>
      </c>
    </row>
    <row r="27">
      <c r="A27" t="n">
        <v>26</v>
      </c>
      <c r="B27" t="inlineStr">
        <is>
          <t>SW-DIFF-026</t>
        </is>
      </c>
      <c r="C27" t="inlineStr">
        <is>
          <t>CỬA GIÓ</t>
        </is>
      </c>
      <c r="D27" t="inlineStr">
        <is>
          <t>Cửa gió nan thẳng 1400x400</t>
        </is>
      </c>
      <c r="E27" t="inlineStr">
        <is>
          <t>1400x400</t>
        </is>
      </c>
      <c r="F27" t="inlineStr">
        <is>
          <t>cái</t>
        </is>
      </c>
      <c r="G27" s="16" t="n">
        <v>2</v>
      </c>
      <c r="H27" s="16">
        <f>SUMIF('01_BOC_TACH_ONG'!$B$2:$B$5000, B27, '01_BOC_TACH_ONG'!$K$2:$K$5000)</f>
        <v/>
      </c>
      <c r="I27" s="16">
        <f>SUMIF('02_BOC_TACH_CUA'!$B$2:$B$5000, B27, '02_BOC_TACH_CUA'!$K$2:$K$5000)</f>
        <v/>
      </c>
      <c r="J27" s="16">
        <f>SUMIF('03_BOC_TACH_VAN'!$B$2:$B$5000, B27, '03_BOC_TACH_VAN'!$K$2:$K$5000)</f>
        <v/>
      </c>
      <c r="K27" s="16">
        <f>SUM(H27:J27)</f>
        <v/>
      </c>
      <c r="L27" s="16">
        <f>(K27-SUMIFS('03_BOC_TACH_VAN'!$K$2:$K$5000, '03_BOC_TACH_VAN'!$B$2:$B$5000, B27, '03_BOC_TACH_VAN'!$D$2:$D$5000, "ĐỘNG_CƠ_VÀ_CẢM_BIẾN"))*0.25</f>
        <v/>
      </c>
      <c r="M27" s="16">
        <f>(K27-SUMIFS('03_BOC_TACH_VAN'!$K$2:$K$5000, '03_BOC_TACH_VAN'!$B$2:$B$5000, B27, '03_BOC_TACH_VAN'!$D$2:$D$5000, "ĐỘNG_CƠ_VÀ_CẢM_BIẾN"))*0.10</f>
        <v/>
      </c>
      <c r="N27" s="16">
        <f>K27+L27+M27</f>
        <v/>
      </c>
      <c r="O27" s="16">
        <f>IF(G27&gt;0, N27/G27, 0)</f>
        <v/>
      </c>
      <c r="P27" s="17" t="n">
        <v>0.18</v>
      </c>
      <c r="Q27" s="16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6">
        <f>G27*Q27</f>
        <v/>
      </c>
      <c r="S27" t="inlineStr">
        <is>
          <t>Cửa nan bầu dục 1 lớp</t>
        </is>
      </c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chặn lửa động cơ MFD 1400x400</t>
        </is>
      </c>
      <c r="E28" t="inlineStr">
        <is>
          <t>1400x400</t>
        </is>
      </c>
      <c r="F28" t="inlineStr">
        <is>
          <t>cái</t>
        </is>
      </c>
      <c r="G28" s="16" t="n">
        <v>2</v>
      </c>
      <c r="H28" s="16">
        <f>SUMIF('01_BOC_TACH_ONG'!$B$2:$B$5000, B28, '01_BOC_TACH_ONG'!$K$2:$K$5000)</f>
        <v/>
      </c>
      <c r="I28" s="16">
        <f>SUMIF('02_BOC_TACH_CUA'!$B$2:$B$5000, B28, '02_BOC_TACH_CUA'!$K$2:$K$5000)</f>
        <v/>
      </c>
      <c r="J28" s="16">
        <f>SUMIF('03_BOC_TACH_VAN'!$B$2:$B$5000, B28, '03_BOC_TACH_VAN'!$K$2:$K$5000)</f>
        <v/>
      </c>
      <c r="K28" s="16">
        <f>SUM(H28:J28)</f>
        <v/>
      </c>
      <c r="L28" s="16">
        <f>(K28-SUMIFS('03_BOC_TACH_VAN'!$K$2:$K$5000, '03_BOC_TACH_VAN'!$B$2:$B$5000, B28, '03_BOC_TACH_VAN'!$D$2:$D$5000, "ĐỘNG_CƠ_VÀ_CẢM_BIẾN"))*0.25</f>
        <v/>
      </c>
      <c r="M28" s="16">
        <f>(K28-SUMIFS('03_BOC_TACH_VAN'!$K$2:$K$5000, '03_BOC_TACH_VAN'!$B$2:$B$5000, B28, '03_BOC_TACH_VAN'!$D$2:$D$5000, "ĐỘNG_CƠ_VÀ_CẢM_BIẾN"))*0.10</f>
        <v/>
      </c>
      <c r="N28" s="16">
        <f>K28+L28+M28</f>
        <v/>
      </c>
      <c r="O28" s="16">
        <f>IF(G28&gt;0, N28/G28, 0)</f>
        <v/>
      </c>
      <c r="P28" s="17" t="n">
        <v>0.18</v>
      </c>
      <c r="Q28" s="16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6">
        <f>G28*Q28</f>
        <v/>
      </c>
      <c r="S28" t="inlineStr">
        <is>
          <t>- Van ngăn cháy động cơ - Tiêu chuẩn EI 90
- 2 đầu bích TDC - Gắn kèm động cơ ON-OFF 5Nm, Hãng KLB
- Sản xuất theo BCTN số 4651/VLXD-TBMT</t>
        </is>
      </c>
    </row>
    <row r="29">
      <c r="A29" t="n">
        <v>28</v>
      </c>
      <c r="B29" t="inlineStr">
        <is>
          <t>SW-DIFF-028</t>
        </is>
      </c>
      <c r="C29" t="inlineStr">
        <is>
          <t>CỬA GIÓ</t>
        </is>
      </c>
      <c r="D29" t="inlineStr">
        <is>
          <t>Cửa gió nan thẳng 1200x550</t>
        </is>
      </c>
      <c r="E29" t="inlineStr">
        <is>
          <t>1200x550</t>
        </is>
      </c>
      <c r="F29" t="inlineStr">
        <is>
          <t>cái</t>
        </is>
      </c>
      <c r="G29" s="16" t="n">
        <v>4</v>
      </c>
      <c r="H29" s="16">
        <f>SUMIF('01_BOC_TACH_ONG'!$B$2:$B$5000, B29, '01_BOC_TACH_ONG'!$K$2:$K$5000)</f>
        <v/>
      </c>
      <c r="I29" s="16">
        <f>SUMIF('02_BOC_TACH_CUA'!$B$2:$B$5000, B29, '02_BOC_TACH_CUA'!$K$2:$K$5000)</f>
        <v/>
      </c>
      <c r="J29" s="16">
        <f>SUMIF('03_BOC_TACH_VAN'!$B$2:$B$5000, B29, '03_BOC_TACH_VAN'!$K$2:$K$5000)</f>
        <v/>
      </c>
      <c r="K29" s="16">
        <f>SUM(H29:J29)</f>
        <v/>
      </c>
      <c r="L29" s="16">
        <f>(K29-SUMIFS('03_BOC_TACH_VAN'!$K$2:$K$5000, '03_BOC_TACH_VAN'!$B$2:$B$5000, B29, '03_BOC_TACH_VAN'!$D$2:$D$5000, "ĐỘNG_CƠ_VÀ_CẢM_BIẾN"))*0.25</f>
        <v/>
      </c>
      <c r="M29" s="16">
        <f>(K29-SUMIFS('03_BOC_TACH_VAN'!$K$2:$K$5000, '03_BOC_TACH_VAN'!$B$2:$B$5000, B29, '03_BOC_TACH_VAN'!$D$2:$D$5000, "ĐỘNG_CƠ_VÀ_CẢM_BIẾN"))*0.10</f>
        <v/>
      </c>
      <c r="N29" s="16">
        <f>K29+L29+M29</f>
        <v/>
      </c>
      <c r="O29" s="16">
        <f>IF(G29&gt;0, N29/G29, 0)</f>
        <v/>
      </c>
      <c r="P29" s="17" t="n">
        <v>0.18</v>
      </c>
      <c r="Q29" s="16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6">
        <f>G29*Q29</f>
        <v/>
      </c>
      <c r="S29" t="inlineStr">
        <is>
          <t>Cửa nan bầu dục 1 lớp</t>
        </is>
      </c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một chiều NRD 1200x550</t>
        </is>
      </c>
      <c r="E30" t="inlineStr">
        <is>
          <t>1200x550</t>
        </is>
      </c>
      <c r="F30" t="inlineStr">
        <is>
          <t>cái</t>
        </is>
      </c>
      <c r="G30" s="16" t="n">
        <v>4</v>
      </c>
      <c r="H30" s="16">
        <f>SUMIF('01_BOC_TACH_ONG'!$B$2:$B$5000, B30, '01_BOC_TACH_ONG'!$K$2:$K$5000)</f>
        <v/>
      </c>
      <c r="I30" s="16">
        <f>SUMIF('02_BOC_TACH_CUA'!$B$2:$B$5000, B30, '02_BOC_TACH_CUA'!$K$2:$K$5000)</f>
        <v/>
      </c>
      <c r="J30" s="16">
        <f>SUMIF('03_BOC_TACH_VAN'!$B$2:$B$5000, B30, '03_BOC_TACH_VAN'!$K$2:$K$5000)</f>
        <v/>
      </c>
      <c r="K30" s="16">
        <f>SUM(H30:J30)</f>
        <v/>
      </c>
      <c r="L30" s="16">
        <f>(K30-SUMIFS('03_BOC_TACH_VAN'!$K$2:$K$5000, '03_BOC_TACH_VAN'!$B$2:$B$5000, B30, '03_BOC_TACH_VAN'!$D$2:$D$5000, "ĐỘNG_CƠ_VÀ_CẢM_BIẾN"))*0.25</f>
        <v/>
      </c>
      <c r="M30" s="16">
        <f>(K30-SUMIFS('03_BOC_TACH_VAN'!$K$2:$K$5000, '03_BOC_TACH_VAN'!$B$2:$B$5000, B30, '03_BOC_TACH_VAN'!$D$2:$D$5000, "ĐỘNG_CƠ_VÀ_CẢM_BIẾN"))*0.10</f>
        <v/>
      </c>
      <c r="N30" s="16">
        <f>K30+L30+M30</f>
        <v/>
      </c>
      <c r="O30" s="16">
        <f>IF(G30&gt;0, N30/G30, 0)</f>
        <v/>
      </c>
      <c r="P30" s="17" t="n">
        <v>0.18</v>
      </c>
      <c r="Q30" s="16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6">
        <f>G30*Q30</f>
        <v/>
      </c>
      <c r="S30" t="inlineStr">
        <is>
          <t>Van 1 chiều tôn mạ kẽm</t>
        </is>
      </c>
    </row>
    <row r="31">
      <c r="A31" t="n">
        <v>30</v>
      </c>
      <c r="B31" t="inlineStr">
        <is>
          <t>SW-DIFF-030</t>
        </is>
      </c>
      <c r="C31" t="inlineStr">
        <is>
          <t>CỬA GIÓ</t>
        </is>
      </c>
      <c r="D31" t="inlineStr">
        <is>
          <t>Cửa gió nan thẳng 1200x400</t>
        </is>
      </c>
      <c r="E31" t="inlineStr">
        <is>
          <t>1200x400</t>
        </is>
      </c>
      <c r="F31" t="inlineStr">
        <is>
          <t>cái</t>
        </is>
      </c>
      <c r="G31" s="16" t="n">
        <v>12</v>
      </c>
      <c r="H31" s="16">
        <f>SUMIF('01_BOC_TACH_ONG'!$B$2:$B$5000, B31, '01_BOC_TACH_ONG'!$K$2:$K$5000)</f>
        <v/>
      </c>
      <c r="I31" s="16">
        <f>SUMIF('02_BOC_TACH_CUA'!$B$2:$B$5000, B31, '02_BOC_TACH_CUA'!$K$2:$K$5000)</f>
        <v/>
      </c>
      <c r="J31" s="16">
        <f>SUMIF('03_BOC_TACH_VAN'!$B$2:$B$5000, B31, '03_BOC_TACH_VAN'!$K$2:$K$5000)</f>
        <v/>
      </c>
      <c r="K31" s="16">
        <f>SUM(H31:J31)</f>
        <v/>
      </c>
      <c r="L31" s="16">
        <f>(K31-SUMIFS('03_BOC_TACH_VAN'!$K$2:$K$5000, '03_BOC_TACH_VAN'!$B$2:$B$5000, B31, '03_BOC_TACH_VAN'!$D$2:$D$5000, "ĐỘNG_CƠ_VÀ_CẢM_BIẾN"))*0.25</f>
        <v/>
      </c>
      <c r="M31" s="16">
        <f>(K31-SUMIFS('03_BOC_TACH_VAN'!$K$2:$K$5000, '03_BOC_TACH_VAN'!$B$2:$B$5000, B31, '03_BOC_TACH_VAN'!$D$2:$D$5000, "ĐỘNG_CƠ_VÀ_CẢM_BIẾN"))*0.10</f>
        <v/>
      </c>
      <c r="N31" s="16">
        <f>K31+L31+M31</f>
        <v/>
      </c>
      <c r="O31" s="16">
        <f>IF(G31&gt;0, N31/G31, 0)</f>
        <v/>
      </c>
      <c r="P31" s="17" t="n">
        <v>0.18</v>
      </c>
      <c r="Q31" s="16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6">
        <f>G31*Q31</f>
        <v/>
      </c>
      <c r="S31" t="inlineStr">
        <is>
          <t>Cửa nan bầu dục 1 lớp</t>
        </is>
      </c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Van một chiều NRD 1200x400</t>
        </is>
      </c>
      <c r="E32" t="inlineStr">
        <is>
          <t>1200x400</t>
        </is>
      </c>
      <c r="F32" t="inlineStr">
        <is>
          <t>cái</t>
        </is>
      </c>
      <c r="G32" s="16" t="n">
        <v>12</v>
      </c>
      <c r="H32" s="16">
        <f>SUMIF('01_BOC_TACH_ONG'!$B$2:$B$5000, B32, '01_BOC_TACH_ONG'!$K$2:$K$5000)</f>
        <v/>
      </c>
      <c r="I32" s="16">
        <f>SUMIF('02_BOC_TACH_CUA'!$B$2:$B$5000, B32, '02_BOC_TACH_CUA'!$K$2:$K$5000)</f>
        <v/>
      </c>
      <c r="J32" s="16">
        <f>SUMIF('03_BOC_TACH_VAN'!$B$2:$B$5000, B32, '03_BOC_TACH_VAN'!$K$2:$K$5000)</f>
        <v/>
      </c>
      <c r="K32" s="16">
        <f>SUM(H32:J32)</f>
        <v/>
      </c>
      <c r="L32" s="16">
        <f>(K32-SUMIFS('03_BOC_TACH_VAN'!$K$2:$K$5000, '03_BOC_TACH_VAN'!$B$2:$B$5000, B32, '03_BOC_TACH_VAN'!$D$2:$D$5000, "ĐỘNG_CƠ_VÀ_CẢM_BIẾN"))*0.25</f>
        <v/>
      </c>
      <c r="M32" s="16">
        <f>(K32-SUMIFS('03_BOC_TACH_VAN'!$K$2:$K$5000, '03_BOC_TACH_VAN'!$B$2:$B$5000, B32, '03_BOC_TACH_VAN'!$D$2:$D$5000, "ĐỘNG_CƠ_VÀ_CẢM_BIẾN"))*0.10</f>
        <v/>
      </c>
      <c r="N32" s="16">
        <f>K32+L32+M32</f>
        <v/>
      </c>
      <c r="O32" s="16">
        <f>IF(G32&gt;0, N32/G32, 0)</f>
        <v/>
      </c>
      <c r="P32" s="17" t="n">
        <v>0.18</v>
      </c>
      <c r="Q32" s="16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6">
        <f>G32*Q32</f>
        <v/>
      </c>
      <c r="S32" t="inlineStr">
        <is>
          <t>Van 1 chiều tôn mạ kẽm</t>
        </is>
      </c>
    </row>
    <row r="33">
      <c r="A33" t="n">
        <v>32</v>
      </c>
      <c r="B33" t="inlineStr">
        <is>
          <t>SW-DIFF-032</t>
        </is>
      </c>
      <c r="C33" t="inlineStr">
        <is>
          <t>CỬA GIÓ</t>
        </is>
      </c>
      <c r="D33" t="inlineStr">
        <is>
          <t>Cửa gió nan thẳng 1400x400</t>
        </is>
      </c>
      <c r="E33" t="inlineStr">
        <is>
          <t>1400x400</t>
        </is>
      </c>
      <c r="F33" t="inlineStr">
        <is>
          <t>cái</t>
        </is>
      </c>
      <c r="G33" s="16" t="n">
        <v>2</v>
      </c>
      <c r="H33" s="16">
        <f>SUMIF('01_BOC_TACH_ONG'!$B$2:$B$5000, B33, '01_BOC_TACH_ONG'!$K$2:$K$5000)</f>
        <v/>
      </c>
      <c r="I33" s="16">
        <f>SUMIF('02_BOC_TACH_CUA'!$B$2:$B$5000, B33, '02_BOC_TACH_CUA'!$K$2:$K$5000)</f>
        <v/>
      </c>
      <c r="J33" s="16">
        <f>SUMIF('03_BOC_TACH_VAN'!$B$2:$B$5000, B33, '03_BOC_TACH_VAN'!$K$2:$K$5000)</f>
        <v/>
      </c>
      <c r="K33" s="16">
        <f>SUM(H33:J33)</f>
        <v/>
      </c>
      <c r="L33" s="16">
        <f>(K33-SUMIFS('03_BOC_TACH_VAN'!$K$2:$K$5000, '03_BOC_TACH_VAN'!$B$2:$B$5000, B33, '03_BOC_TACH_VAN'!$D$2:$D$5000, "ĐỘNG_CƠ_VÀ_CẢM_BIẾN"))*0.25</f>
        <v/>
      </c>
      <c r="M33" s="16">
        <f>(K33-SUMIFS('03_BOC_TACH_VAN'!$K$2:$K$5000, '03_BOC_TACH_VAN'!$B$2:$B$5000, B33, '03_BOC_TACH_VAN'!$D$2:$D$5000, "ĐỘNG_CƠ_VÀ_CẢM_BIẾN"))*0.10</f>
        <v/>
      </c>
      <c r="N33" s="16">
        <f>K33+L33+M33</f>
        <v/>
      </c>
      <c r="O33" s="16">
        <f>IF(G33&gt;0, N33/G33, 0)</f>
        <v/>
      </c>
      <c r="P33" s="17" t="n">
        <v>0.18</v>
      </c>
      <c r="Q33" s="16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6">
        <f>G33*Q33</f>
        <v/>
      </c>
      <c r="S33" t="inlineStr">
        <is>
          <t>Cửa nan bầu dục 1 lớp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Van một chiều NRD 1400x400</t>
        </is>
      </c>
      <c r="E34" t="inlineStr">
        <is>
          <t>1400x400</t>
        </is>
      </c>
      <c r="F34" t="inlineStr">
        <is>
          <t>cái</t>
        </is>
      </c>
      <c r="G34" s="16" t="n">
        <v>2</v>
      </c>
      <c r="H34" s="16">
        <f>SUMIF('01_BOC_TACH_ONG'!$B$2:$B$5000, B34, '01_BOC_TACH_ONG'!$K$2:$K$5000)</f>
        <v/>
      </c>
      <c r="I34" s="16">
        <f>SUMIF('02_BOC_TACH_CUA'!$B$2:$B$5000, B34, '02_BOC_TACH_CUA'!$K$2:$K$5000)</f>
        <v/>
      </c>
      <c r="J34" s="16">
        <f>SUMIF('03_BOC_TACH_VAN'!$B$2:$B$5000, B34, '03_BOC_TACH_VAN'!$K$2:$K$5000)</f>
        <v/>
      </c>
      <c r="K34" s="16">
        <f>SUM(H34:J34)</f>
        <v/>
      </c>
      <c r="L34" s="16">
        <f>(K34-SUMIFS('03_BOC_TACH_VAN'!$K$2:$K$5000, '03_BOC_TACH_VAN'!$B$2:$B$5000, B34, '03_BOC_TACH_VAN'!$D$2:$D$5000, "ĐỘNG_CƠ_VÀ_CẢM_BIẾN"))*0.25</f>
        <v/>
      </c>
      <c r="M34" s="16">
        <f>(K34-SUMIFS('03_BOC_TACH_VAN'!$K$2:$K$5000, '03_BOC_TACH_VAN'!$B$2:$B$5000, B34, '03_BOC_TACH_VAN'!$D$2:$D$5000, "ĐỘNG_CƠ_VÀ_CẢM_BIẾN"))*0.10</f>
        <v/>
      </c>
      <c r="N34" s="16">
        <f>K34+L34+M34</f>
        <v/>
      </c>
      <c r="O34" s="16">
        <f>IF(G34&gt;0, N34/G34, 0)</f>
        <v/>
      </c>
      <c r="P34" s="17" t="n">
        <v>0.18</v>
      </c>
      <c r="Q34" s="16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6">
        <f>G34*Q34</f>
        <v/>
      </c>
      <c r="S34" t="inlineStr">
        <is>
          <t>Van 1 chiều tôn mạ kẽm</t>
        </is>
      </c>
    </row>
    <row r="35">
      <c r="A35" t="n">
        <v>34</v>
      </c>
      <c r="B35" t="inlineStr">
        <is>
          <t>SW-DIFF-034</t>
        </is>
      </c>
      <c r="C35" t="inlineStr">
        <is>
          <t>CỬA GIÓ</t>
        </is>
      </c>
      <c r="D35" t="inlineStr">
        <is>
          <t>Miệng gió SEAG+OBD 800x500</t>
        </is>
      </c>
      <c r="E35" t="inlineStr">
        <is>
          <t>800x500</t>
        </is>
      </c>
      <c r="F35" t="inlineStr">
        <is>
          <t>cái</t>
        </is>
      </c>
      <c r="G35" s="16" t="n">
        <v>152</v>
      </c>
      <c r="H35" s="16">
        <f>SUMIF('01_BOC_TACH_ONG'!$B$2:$B$5000, B35, '01_BOC_TACH_ONG'!$K$2:$K$5000)</f>
        <v/>
      </c>
      <c r="I35" s="16">
        <f>SUMIF('02_BOC_TACH_CUA'!$B$2:$B$5000, B35, '02_BOC_TACH_CUA'!$K$2:$K$5000)</f>
        <v/>
      </c>
      <c r="J35" s="16">
        <f>SUMIF('03_BOC_TACH_VAN'!$B$2:$B$5000, B35, '03_BOC_TACH_VAN'!$K$2:$K$5000)</f>
        <v/>
      </c>
      <c r="K35" s="16">
        <f>SUM(H35:J35)</f>
        <v/>
      </c>
      <c r="L35" s="16">
        <f>(K35-SUMIFS('03_BOC_TACH_VAN'!$K$2:$K$5000, '03_BOC_TACH_VAN'!$B$2:$B$5000, B35, '03_BOC_TACH_VAN'!$D$2:$D$5000, "ĐỘNG_CƠ_VÀ_CẢM_BIẾN"))*0.25</f>
        <v/>
      </c>
      <c r="M35" s="16">
        <f>(K35-SUMIFS('03_BOC_TACH_VAN'!$K$2:$K$5000, '03_BOC_TACH_VAN'!$B$2:$B$5000, B35, '03_BOC_TACH_VAN'!$D$2:$D$5000, "ĐỘNG_CƠ_VÀ_CẢM_BIẾN"))*0.10</f>
        <v/>
      </c>
      <c r="N35" s="16">
        <f>K35+L35+M35</f>
        <v/>
      </c>
      <c r="O35" s="16">
        <f>IF(G35&gt;0, N35/G35, 0)</f>
        <v/>
      </c>
      <c r="P35" s="17" t="n">
        <v>0.18</v>
      </c>
      <c r="Q35" s="16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6">
        <f>G35*Q35</f>
        <v/>
      </c>
      <c r="S35" t="inlineStr">
        <is>
          <t>Cửa nan bầu dục 1 lớp kèm van OBD</t>
        </is>
      </c>
    </row>
    <row r="36">
      <c r="A36" t="n">
        <v>35</v>
      </c>
      <c r="B36" t="inlineStr">
        <is>
          <t>SW-DIFF-035</t>
        </is>
      </c>
      <c r="C36" t="inlineStr">
        <is>
          <t>CỬA GIÓ</t>
        </is>
      </c>
      <c r="D36" t="inlineStr">
        <is>
          <t>Miệng gió EAG+OBD 200x200</t>
        </is>
      </c>
      <c r="E36" t="inlineStr">
        <is>
          <t>200x200</t>
        </is>
      </c>
      <c r="F36" t="inlineStr">
        <is>
          <t>cái</t>
        </is>
      </c>
      <c r="G36" s="16" t="n">
        <v>3</v>
      </c>
      <c r="H36" s="16">
        <f>SUMIF('01_BOC_TACH_ONG'!$B$2:$B$5000, B36, '01_BOC_TACH_ONG'!$K$2:$K$5000)</f>
        <v/>
      </c>
      <c r="I36" s="16">
        <f>SUMIF('02_BOC_TACH_CUA'!$B$2:$B$5000, B36, '02_BOC_TACH_CUA'!$K$2:$K$5000)</f>
        <v/>
      </c>
      <c r="J36" s="16">
        <f>SUMIF('03_BOC_TACH_VAN'!$B$2:$B$5000, B36, '03_BOC_TACH_VAN'!$K$2:$K$5000)</f>
        <v/>
      </c>
      <c r="K36" s="16">
        <f>SUM(H36:J36)</f>
        <v/>
      </c>
      <c r="L36" s="16">
        <f>(K36-SUMIFS('03_BOC_TACH_VAN'!$K$2:$K$5000, '03_BOC_TACH_VAN'!$B$2:$B$5000, B36, '03_BOC_TACH_VAN'!$D$2:$D$5000, "ĐỘNG_CƠ_VÀ_CẢM_BIẾN"))*0.25</f>
        <v/>
      </c>
      <c r="M36" s="16">
        <f>(K36-SUMIFS('03_BOC_TACH_VAN'!$K$2:$K$5000, '03_BOC_TACH_VAN'!$B$2:$B$5000, B36, '03_BOC_TACH_VAN'!$D$2:$D$5000, "ĐỘNG_CƠ_VÀ_CẢM_BIẾN"))*0.10</f>
        <v/>
      </c>
      <c r="N36" s="16">
        <f>K36+L36+M36</f>
        <v/>
      </c>
      <c r="O36" s="16">
        <f>IF(G36&gt;0, N36/G36, 0)</f>
        <v/>
      </c>
      <c r="P36" s="17" t="n">
        <v>0.18</v>
      </c>
      <c r="Q36" s="16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6">
        <f>G36*Q36</f>
        <v/>
      </c>
      <c r="S36" t="inlineStr">
        <is>
          <t>Cửa nan bầu dục 1 lớp kèm van OBD</t>
        </is>
      </c>
    </row>
    <row r="37">
      <c r="A37" t="n">
        <v>36</v>
      </c>
      <c r="B37" t="inlineStr">
        <is>
          <t>SW-DIFF-036</t>
        </is>
      </c>
      <c r="C37" t="inlineStr">
        <is>
          <t>CỬA GIÓ</t>
        </is>
      </c>
      <c r="D37" t="inlineStr">
        <is>
          <t>Miệng gió EAG+OBD 400x250</t>
        </is>
      </c>
      <c r="E37" t="inlineStr">
        <is>
          <t>400x250</t>
        </is>
      </c>
      <c r="F37" t="inlineStr">
        <is>
          <t>cái</t>
        </is>
      </c>
      <c r="G37" s="16" t="n">
        <v>3</v>
      </c>
      <c r="H37" s="16">
        <f>SUMIF('01_BOC_TACH_ONG'!$B$2:$B$5000, B37, '01_BOC_TACH_ONG'!$K$2:$K$5000)</f>
        <v/>
      </c>
      <c r="I37" s="16">
        <f>SUMIF('02_BOC_TACH_CUA'!$B$2:$B$5000, B37, '02_BOC_TACH_CUA'!$K$2:$K$5000)</f>
        <v/>
      </c>
      <c r="J37" s="16">
        <f>SUMIF('03_BOC_TACH_VAN'!$B$2:$B$5000, B37, '03_BOC_TACH_VAN'!$K$2:$K$5000)</f>
        <v/>
      </c>
      <c r="K37" s="16">
        <f>SUM(H37:J37)</f>
        <v/>
      </c>
      <c r="L37" s="16">
        <f>(K37-SUMIFS('03_BOC_TACH_VAN'!$K$2:$K$5000, '03_BOC_TACH_VAN'!$B$2:$B$5000, B37, '03_BOC_TACH_VAN'!$D$2:$D$5000, "ĐỘNG_CƠ_VÀ_CẢM_BIẾN"))*0.25</f>
        <v/>
      </c>
      <c r="M37" s="16">
        <f>(K37-SUMIFS('03_BOC_TACH_VAN'!$K$2:$K$5000, '03_BOC_TACH_VAN'!$B$2:$B$5000, B37, '03_BOC_TACH_VAN'!$D$2:$D$5000, "ĐỘNG_CƠ_VÀ_CẢM_BIẾN"))*0.10</f>
        <v/>
      </c>
      <c r="N37" s="16">
        <f>K37+L37+M37</f>
        <v/>
      </c>
      <c r="O37" s="16">
        <f>IF(G37&gt;0, N37/G37, 0)</f>
        <v/>
      </c>
      <c r="P37" s="17" t="n">
        <v>0.18</v>
      </c>
      <c r="Q37" s="16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6">
        <f>G37*Q37</f>
        <v/>
      </c>
      <c r="S37" t="inlineStr">
        <is>
          <t>Cửa nan bầu dục 1 lớp kèm van OBD</t>
        </is>
      </c>
    </row>
    <row r="38">
      <c r="A38" t="n">
        <v>37</v>
      </c>
      <c r="B38" t="inlineStr">
        <is>
          <t>SW-DIFF-037</t>
        </is>
      </c>
      <c r="C38" t="inlineStr">
        <is>
          <t>CỬA GIÓ</t>
        </is>
      </c>
      <c r="D38" t="inlineStr">
        <is>
          <t>Cửa gió nan thẳng 200x200</t>
        </is>
      </c>
      <c r="E38" t="inlineStr">
        <is>
          <t>200x200</t>
        </is>
      </c>
      <c r="F38" t="inlineStr">
        <is>
          <t>cái</t>
        </is>
      </c>
      <c r="G38" s="16" t="n">
        <v>3</v>
      </c>
      <c r="H38" s="16">
        <f>SUMIF('01_BOC_TACH_ONG'!$B$2:$B$5000, B38, '01_BOC_TACH_ONG'!$K$2:$K$5000)</f>
        <v/>
      </c>
      <c r="I38" s="16">
        <f>SUMIF('02_BOC_TACH_CUA'!$B$2:$B$5000, B38, '02_BOC_TACH_CUA'!$K$2:$K$5000)</f>
        <v/>
      </c>
      <c r="J38" s="16">
        <f>SUMIF('03_BOC_TACH_VAN'!$B$2:$B$5000, B38, '03_BOC_TACH_VAN'!$K$2:$K$5000)</f>
        <v/>
      </c>
      <c r="K38" s="16">
        <f>SUM(H38:J38)</f>
        <v/>
      </c>
      <c r="L38" s="16">
        <f>(K38-SUMIFS('03_BOC_TACH_VAN'!$K$2:$K$5000, '03_BOC_TACH_VAN'!$B$2:$B$5000, B38, '03_BOC_TACH_VAN'!$D$2:$D$5000, "ĐỘNG_CƠ_VÀ_CẢM_BIẾN"))*0.25</f>
        <v/>
      </c>
      <c r="M38" s="16">
        <f>(K38-SUMIFS('03_BOC_TACH_VAN'!$K$2:$K$5000, '03_BOC_TACH_VAN'!$B$2:$B$5000, B38, '03_BOC_TACH_VAN'!$D$2:$D$5000, "ĐỘNG_CƠ_VÀ_CẢM_BIẾN"))*0.10</f>
        <v/>
      </c>
      <c r="N38" s="16">
        <f>K38+L38+M38</f>
        <v/>
      </c>
      <c r="O38" s="16">
        <f>IF(G38&gt;0, N38/G38, 0)</f>
        <v/>
      </c>
      <c r="P38" s="17" t="n">
        <v>0.18</v>
      </c>
      <c r="Q38" s="16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6">
        <f>G38*Q38</f>
        <v/>
      </c>
      <c r="S38" t="inlineStr">
        <is>
          <t>Cửa nan bầu dục 1 lớp</t>
        </is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Van chặn lửa động cơ MFD 200x200 - EI60</t>
        </is>
      </c>
      <c r="E39" t="inlineStr">
        <is>
          <t>200x200</t>
        </is>
      </c>
      <c r="F39" t="inlineStr">
        <is>
          <t>cái</t>
        </is>
      </c>
      <c r="G39" s="16" t="n">
        <v>3</v>
      </c>
      <c r="H39" s="16">
        <f>SUMIF('01_BOC_TACH_ONG'!$B$2:$B$5000, B39, '01_BOC_TACH_ONG'!$K$2:$K$5000)</f>
        <v/>
      </c>
      <c r="I39" s="16">
        <f>SUMIF('02_BOC_TACH_CUA'!$B$2:$B$5000, B39, '02_BOC_TACH_CUA'!$K$2:$K$5000)</f>
        <v/>
      </c>
      <c r="J39" s="16">
        <f>SUMIF('03_BOC_TACH_VAN'!$B$2:$B$5000, B39, '03_BOC_TACH_VAN'!$K$2:$K$5000)</f>
        <v/>
      </c>
      <c r="K39" s="16">
        <f>SUM(H39:J39)</f>
        <v/>
      </c>
      <c r="L39" s="16">
        <f>(K39-SUMIFS('03_BOC_TACH_VAN'!$K$2:$K$5000, '03_BOC_TACH_VAN'!$B$2:$B$5000, B39, '03_BOC_TACH_VAN'!$D$2:$D$5000, "ĐỘNG_CƠ_VÀ_CẢM_BIẾN"))*0.25</f>
        <v/>
      </c>
      <c r="M39" s="16">
        <f>(K39-SUMIFS('03_BOC_TACH_VAN'!$K$2:$K$5000, '03_BOC_TACH_VAN'!$B$2:$B$5000, B39, '03_BOC_TACH_VAN'!$D$2:$D$5000, "ĐỘNG_CƠ_VÀ_CẢM_BIẾN"))*0.10</f>
        <v/>
      </c>
      <c r="N39" s="16">
        <f>K39+L39+M39</f>
        <v/>
      </c>
      <c r="O39" s="16">
        <f>IF(G39&gt;0, N39/G39, 0)</f>
        <v/>
      </c>
      <c r="P39" s="17" t="n">
        <v>0.18</v>
      </c>
      <c r="Q39" s="16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6">
        <f>G39*Q39</f>
        <v/>
      </c>
      <c r="S39" t="inlineStr">
        <is>
          <t>- Van ngăn cháy động cơ - Tiêu chuẩn EI 90
- 2 đầu bích TDC - Gắn kèm động cơ ON-OFF 5Nm, Hãng KLB
- Sản xuất theo BCTN số 4651/VLXD-TBMT</t>
        </is>
      </c>
    </row>
    <row r="40">
      <c r="A40" t="n">
        <v>39</v>
      </c>
      <c r="B40" t="inlineStr">
        <is>
          <t>SW-DIFF-039</t>
        </is>
      </c>
      <c r="C40" t="inlineStr">
        <is>
          <t>CỬA GIÓ</t>
        </is>
      </c>
      <c r="D40" t="inlineStr">
        <is>
          <t>Cửa gió nan thẳng 1200x400</t>
        </is>
      </c>
      <c r="E40" t="inlineStr">
        <is>
          <t>1200x400</t>
        </is>
      </c>
      <c r="F40" t="inlineStr">
        <is>
          <t>cái</t>
        </is>
      </c>
      <c r="G40" s="16" t="n">
        <v>6</v>
      </c>
      <c r="H40" s="16">
        <f>SUMIF('01_BOC_TACH_ONG'!$B$2:$B$5000, B40, '01_BOC_TACH_ONG'!$K$2:$K$5000)</f>
        <v/>
      </c>
      <c r="I40" s="16">
        <f>SUMIF('02_BOC_TACH_CUA'!$B$2:$B$5000, B40, '02_BOC_TACH_CUA'!$K$2:$K$5000)</f>
        <v/>
      </c>
      <c r="J40" s="16">
        <f>SUMIF('03_BOC_TACH_VAN'!$B$2:$B$5000, B40, '03_BOC_TACH_VAN'!$K$2:$K$5000)</f>
        <v/>
      </c>
      <c r="K40" s="16">
        <f>SUM(H40:J40)</f>
        <v/>
      </c>
      <c r="L40" s="16">
        <f>(K40-SUMIFS('03_BOC_TACH_VAN'!$K$2:$K$5000, '03_BOC_TACH_VAN'!$B$2:$B$5000, B40, '03_BOC_TACH_VAN'!$D$2:$D$5000, "ĐỘNG_CƠ_VÀ_CẢM_BIẾN"))*0.25</f>
        <v/>
      </c>
      <c r="M40" s="16">
        <f>(K40-SUMIFS('03_BOC_TACH_VAN'!$K$2:$K$5000, '03_BOC_TACH_VAN'!$B$2:$B$5000, B40, '03_BOC_TACH_VAN'!$D$2:$D$5000, "ĐỘNG_CƠ_VÀ_CẢM_BIẾN"))*0.10</f>
        <v/>
      </c>
      <c r="N40" s="16">
        <f>K40+L40+M40</f>
        <v/>
      </c>
      <c r="O40" s="16">
        <f>IF(G40&gt;0, N40/G40, 0)</f>
        <v/>
      </c>
      <c r="P40" s="17" t="n">
        <v>0.18</v>
      </c>
      <c r="Q40" s="16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6">
        <f>G40*Q40</f>
        <v/>
      </c>
      <c r="S40" t="inlineStr">
        <is>
          <t>Cửa nan bầu dục 1 lớp</t>
        </is>
      </c>
    </row>
    <row r="41">
      <c r="A41" t="n">
        <v>40</v>
      </c>
      <c r="B41" t="inlineStr">
        <is>
          <t>SW-DAMPER-040</t>
        </is>
      </c>
      <c r="C41" t="inlineStr">
        <is>
          <t>VAN GIÓ</t>
        </is>
      </c>
      <c r="D41" t="inlineStr">
        <is>
          <t>Van chặn lửa động cơ MFD 1200x400 - EI60</t>
        </is>
      </c>
      <c r="E41" t="inlineStr">
        <is>
          <t>1200x400</t>
        </is>
      </c>
      <c r="F41" t="inlineStr">
        <is>
          <t>cái</t>
        </is>
      </c>
      <c r="G41" s="16" t="n">
        <v>6</v>
      </c>
      <c r="H41" s="16">
        <f>SUMIF('01_BOC_TACH_ONG'!$B$2:$B$5000, B41, '01_BOC_TACH_ONG'!$K$2:$K$5000)</f>
        <v/>
      </c>
      <c r="I41" s="16">
        <f>SUMIF('02_BOC_TACH_CUA'!$B$2:$B$5000, B41, '02_BOC_TACH_CUA'!$K$2:$K$5000)</f>
        <v/>
      </c>
      <c r="J41" s="16">
        <f>SUMIF('03_BOC_TACH_VAN'!$B$2:$B$5000, B41, '03_BOC_TACH_VAN'!$K$2:$K$5000)</f>
        <v/>
      </c>
      <c r="K41" s="16">
        <f>SUM(H41:J41)</f>
        <v/>
      </c>
      <c r="L41" s="16">
        <f>(K41-SUMIFS('03_BOC_TACH_VAN'!$K$2:$K$5000, '03_BOC_TACH_VAN'!$B$2:$B$5000, B41, '03_BOC_TACH_VAN'!$D$2:$D$5000, "ĐỘNG_CƠ_VÀ_CẢM_BIẾN"))*0.25</f>
        <v/>
      </c>
      <c r="M41" s="16">
        <f>(K41-SUMIFS('03_BOC_TACH_VAN'!$K$2:$K$5000, '03_BOC_TACH_VAN'!$B$2:$B$5000, B41, '03_BOC_TACH_VAN'!$D$2:$D$5000, "ĐỘNG_CƠ_VÀ_CẢM_BIẾN"))*0.10</f>
        <v/>
      </c>
      <c r="N41" s="16">
        <f>K41+L41+M41</f>
        <v/>
      </c>
      <c r="O41" s="16">
        <f>IF(G41&gt;0, N41/G41, 0)</f>
        <v/>
      </c>
      <c r="P41" s="17" t="n">
        <v>0.18</v>
      </c>
      <c r="Q41" s="16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6">
        <f>G41*Q41</f>
        <v/>
      </c>
      <c r="S41" t="inlineStr">
        <is>
          <t>- Van ngăn cháy động cơ - Tiêu chuẩn EI 90
- 2 đầu bích TDC - Gắn kèm động cơ ON-OFF 5Nm, Hãng KLB
- Sản xuất theo BCTN số 4651/VLXD-TBMT</t>
        </is>
      </c>
    </row>
    <row r="42">
      <c r="A42" t="n">
        <v>41</v>
      </c>
      <c r="B42" t="inlineStr">
        <is>
          <t>SW-DIFF-041</t>
        </is>
      </c>
      <c r="C42" t="inlineStr">
        <is>
          <t>CỬA GIÓ</t>
        </is>
      </c>
      <c r="D42" t="inlineStr">
        <is>
          <t>Cửa gió nan thẳng 1400x400</t>
        </is>
      </c>
      <c r="E42" t="inlineStr">
        <is>
          <t>1400x400</t>
        </is>
      </c>
      <c r="F42" t="inlineStr">
        <is>
          <t>cái</t>
        </is>
      </c>
      <c r="G42" s="16" t="n">
        <v>12</v>
      </c>
      <c r="H42" s="16">
        <f>SUMIF('01_BOC_TACH_ONG'!$B$2:$B$5000, B42, '01_BOC_TACH_ONG'!$K$2:$K$5000)</f>
        <v/>
      </c>
      <c r="I42" s="16">
        <f>SUMIF('02_BOC_TACH_CUA'!$B$2:$B$5000, B42, '02_BOC_TACH_CUA'!$K$2:$K$5000)</f>
        <v/>
      </c>
      <c r="J42" s="16">
        <f>SUMIF('03_BOC_TACH_VAN'!$B$2:$B$5000, B42, '03_BOC_TACH_VAN'!$K$2:$K$5000)</f>
        <v/>
      </c>
      <c r="K42" s="16">
        <f>SUM(H42:J42)</f>
        <v/>
      </c>
      <c r="L42" s="16">
        <f>(K42-SUMIFS('03_BOC_TACH_VAN'!$K$2:$K$5000, '03_BOC_TACH_VAN'!$B$2:$B$5000, B42, '03_BOC_TACH_VAN'!$D$2:$D$5000, "ĐỘNG_CƠ_VÀ_CẢM_BIẾN"))*0.25</f>
        <v/>
      </c>
      <c r="M42" s="16">
        <f>(K42-SUMIFS('03_BOC_TACH_VAN'!$K$2:$K$5000, '03_BOC_TACH_VAN'!$B$2:$B$5000, B42, '03_BOC_TACH_VAN'!$D$2:$D$5000, "ĐỘNG_CƠ_VÀ_CẢM_BIẾN"))*0.10</f>
        <v/>
      </c>
      <c r="N42" s="16">
        <f>K42+L42+M42</f>
        <v/>
      </c>
      <c r="O42" s="16">
        <f>IF(G42&gt;0, N42/G42, 0)</f>
        <v/>
      </c>
      <c r="P42" s="17" t="n">
        <v>0.18</v>
      </c>
      <c r="Q42" s="16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6">
        <f>G42*Q42</f>
        <v/>
      </c>
      <c r="S42" t="inlineStr">
        <is>
          <t>Cửa nan bầu dục 1 lớp</t>
        </is>
      </c>
    </row>
    <row r="43">
      <c r="A43" t="n">
        <v>42</v>
      </c>
      <c r="B43" t="inlineStr">
        <is>
          <t>SW-DAMPER-042</t>
        </is>
      </c>
      <c r="C43" t="inlineStr">
        <is>
          <t>VAN GIÓ</t>
        </is>
      </c>
      <c r="D43" t="inlineStr">
        <is>
          <t>Van chặn lửa động cơ MFD 1400x400 - EI60</t>
        </is>
      </c>
      <c r="E43" t="inlineStr">
        <is>
          <t>1400x400</t>
        </is>
      </c>
      <c r="F43" t="inlineStr">
        <is>
          <t>cái</t>
        </is>
      </c>
      <c r="G43" s="16" t="n">
        <v>12</v>
      </c>
      <c r="H43" s="16">
        <f>SUMIF('01_BOC_TACH_ONG'!$B$2:$B$5000, B43, '01_BOC_TACH_ONG'!$K$2:$K$5000)</f>
        <v/>
      </c>
      <c r="I43" s="16">
        <f>SUMIF('02_BOC_TACH_CUA'!$B$2:$B$5000, B43, '02_BOC_TACH_CUA'!$K$2:$K$5000)</f>
        <v/>
      </c>
      <c r="J43" s="16">
        <f>SUMIF('03_BOC_TACH_VAN'!$B$2:$B$5000, B43, '03_BOC_TACH_VAN'!$K$2:$K$5000)</f>
        <v/>
      </c>
      <c r="K43" s="16">
        <f>SUM(H43:J43)</f>
        <v/>
      </c>
      <c r="L43" s="16">
        <f>(K43-SUMIFS('03_BOC_TACH_VAN'!$K$2:$K$5000, '03_BOC_TACH_VAN'!$B$2:$B$5000, B43, '03_BOC_TACH_VAN'!$D$2:$D$5000, "ĐỘNG_CƠ_VÀ_CẢM_BIẾN"))*0.25</f>
        <v/>
      </c>
      <c r="M43" s="16">
        <f>(K43-SUMIFS('03_BOC_TACH_VAN'!$K$2:$K$5000, '03_BOC_TACH_VAN'!$B$2:$B$5000, B43, '03_BOC_TACH_VAN'!$D$2:$D$5000, "ĐỘNG_CƠ_VÀ_CẢM_BIẾN"))*0.10</f>
        <v/>
      </c>
      <c r="N43" s="16">
        <f>K43+L43+M43</f>
        <v/>
      </c>
      <c r="O43" s="16">
        <f>IF(G43&gt;0, N43/G43, 0)</f>
        <v/>
      </c>
      <c r="P43" s="17" t="n">
        <v>0.18</v>
      </c>
      <c r="Q43" s="16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6">
        <f>G43*Q43</f>
        <v/>
      </c>
      <c r="S43" t="inlineStr">
        <is>
          <t>- Van ngăn cháy động cơ - Tiêu chuẩn EI 90
- 2 đầu bích TDC - Gắn kèm động cơ ON-OFF 5Nm, Hãng KLB
- Sản xuất theo BCTN số 4651/VLXD-TBMT</t>
        </is>
      </c>
    </row>
    <row r="44">
      <c r="A44" t="n">
        <v>43</v>
      </c>
      <c r="B44" t="inlineStr">
        <is>
          <t>SW-DIFF-043</t>
        </is>
      </c>
      <c r="C44" t="inlineStr">
        <is>
          <t>CỬA GIÓ</t>
        </is>
      </c>
      <c r="D44" t="inlineStr">
        <is>
          <t>Cửa gió nan thẳng 1200x400</t>
        </is>
      </c>
      <c r="E44" t="inlineStr">
        <is>
          <t>1200x400</t>
        </is>
      </c>
      <c r="F44" t="inlineStr">
        <is>
          <t>cái</t>
        </is>
      </c>
      <c r="G44" s="16" t="n">
        <v>6</v>
      </c>
      <c r="H44" s="16">
        <f>SUMIF('01_BOC_TACH_ONG'!$B$2:$B$5000, B44, '01_BOC_TACH_ONG'!$K$2:$K$5000)</f>
        <v/>
      </c>
      <c r="I44" s="16">
        <f>SUMIF('02_BOC_TACH_CUA'!$B$2:$B$5000, B44, '02_BOC_TACH_CUA'!$K$2:$K$5000)</f>
        <v/>
      </c>
      <c r="J44" s="16">
        <f>SUMIF('03_BOC_TACH_VAN'!$B$2:$B$5000, B44, '03_BOC_TACH_VAN'!$K$2:$K$5000)</f>
        <v/>
      </c>
      <c r="K44" s="16">
        <f>SUM(H44:J44)</f>
        <v/>
      </c>
      <c r="L44" s="16">
        <f>(K44-SUMIFS('03_BOC_TACH_VAN'!$K$2:$K$5000, '03_BOC_TACH_VAN'!$B$2:$B$5000, B44, '03_BOC_TACH_VAN'!$D$2:$D$5000, "ĐỘNG_CƠ_VÀ_CẢM_BIẾN"))*0.25</f>
        <v/>
      </c>
      <c r="M44" s="16">
        <f>(K44-SUMIFS('03_BOC_TACH_VAN'!$K$2:$K$5000, '03_BOC_TACH_VAN'!$B$2:$B$5000, B44, '03_BOC_TACH_VAN'!$D$2:$D$5000, "ĐỘNG_CƠ_VÀ_CẢM_BIẾN"))*0.10</f>
        <v/>
      </c>
      <c r="N44" s="16">
        <f>K44+L44+M44</f>
        <v/>
      </c>
      <c r="O44" s="16">
        <f>IF(G44&gt;0, N44/G44, 0)</f>
        <v/>
      </c>
      <c r="P44" s="17" t="n">
        <v>0.18</v>
      </c>
      <c r="Q44" s="16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6">
        <f>G44*Q44</f>
        <v/>
      </c>
      <c r="S44" t="inlineStr">
        <is>
          <t>Cửa nan bầu dục 1 lớp</t>
        </is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Van một chiều NRD 1200x400</t>
        </is>
      </c>
      <c r="E45" t="inlineStr">
        <is>
          <t>1200x400</t>
        </is>
      </c>
      <c r="F45" t="inlineStr">
        <is>
          <t>cái</t>
        </is>
      </c>
      <c r="G45" s="16" t="n">
        <v>6</v>
      </c>
      <c r="H45" s="16">
        <f>SUMIF('01_BOC_TACH_ONG'!$B$2:$B$5000, B45, '01_BOC_TACH_ONG'!$K$2:$K$5000)</f>
        <v/>
      </c>
      <c r="I45" s="16">
        <f>SUMIF('02_BOC_TACH_CUA'!$B$2:$B$5000, B45, '02_BOC_TACH_CUA'!$K$2:$K$5000)</f>
        <v/>
      </c>
      <c r="J45" s="16">
        <f>SUMIF('03_BOC_TACH_VAN'!$B$2:$B$5000, B45, '03_BOC_TACH_VAN'!$K$2:$K$5000)</f>
        <v/>
      </c>
      <c r="K45" s="16">
        <f>SUM(H45:J45)</f>
        <v/>
      </c>
      <c r="L45" s="16">
        <f>(K45-SUMIFS('03_BOC_TACH_VAN'!$K$2:$K$5000, '03_BOC_TACH_VAN'!$B$2:$B$5000, B45, '03_BOC_TACH_VAN'!$D$2:$D$5000, "ĐỘNG_CƠ_VÀ_CẢM_BIẾN"))*0.25</f>
        <v/>
      </c>
      <c r="M45" s="16">
        <f>(K45-SUMIFS('03_BOC_TACH_VAN'!$K$2:$K$5000, '03_BOC_TACH_VAN'!$B$2:$B$5000, B45, '03_BOC_TACH_VAN'!$D$2:$D$5000, "ĐỘNG_CƠ_VÀ_CẢM_BIẾN"))*0.10</f>
        <v/>
      </c>
      <c r="N45" s="16">
        <f>K45+L45+M45</f>
        <v/>
      </c>
      <c r="O45" s="16">
        <f>IF(G45&gt;0, N45/G45, 0)</f>
        <v/>
      </c>
      <c r="P45" s="17" t="n">
        <v>0.18</v>
      </c>
      <c r="Q45" s="16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6">
        <f>G45*Q45</f>
        <v/>
      </c>
      <c r="S45" t="inlineStr">
        <is>
          <t>Van 1 chiều tôn mạ kẽm</t>
        </is>
      </c>
    </row>
    <row r="46">
      <c r="A46" t="n">
        <v>45</v>
      </c>
      <c r="B46" t="inlineStr">
        <is>
          <t>SW-DIFF-045</t>
        </is>
      </c>
      <c r="C46" t="inlineStr">
        <is>
          <t>CỬA GIÓ</t>
        </is>
      </c>
      <c r="D46" t="inlineStr">
        <is>
          <t>Cửa gió nan thẳng 1400x400</t>
        </is>
      </c>
      <c r="E46" t="inlineStr">
        <is>
          <t>1400x400</t>
        </is>
      </c>
      <c r="F46" t="inlineStr">
        <is>
          <t>cái</t>
        </is>
      </c>
      <c r="G46" s="16" t="n">
        <v>12</v>
      </c>
      <c r="H46" s="16">
        <f>SUMIF('01_BOC_TACH_ONG'!$B$2:$B$5000, B46, '01_BOC_TACH_ONG'!$K$2:$K$5000)</f>
        <v/>
      </c>
      <c r="I46" s="16">
        <f>SUMIF('02_BOC_TACH_CUA'!$B$2:$B$5000, B46, '02_BOC_TACH_CUA'!$K$2:$K$5000)</f>
        <v/>
      </c>
      <c r="J46" s="16">
        <f>SUMIF('03_BOC_TACH_VAN'!$B$2:$B$5000, B46, '03_BOC_TACH_VAN'!$K$2:$K$5000)</f>
        <v/>
      </c>
      <c r="K46" s="16">
        <f>SUM(H46:J46)</f>
        <v/>
      </c>
      <c r="L46" s="16">
        <f>(K46-SUMIFS('03_BOC_TACH_VAN'!$K$2:$K$5000, '03_BOC_TACH_VAN'!$B$2:$B$5000, B46, '03_BOC_TACH_VAN'!$D$2:$D$5000, "ĐỘNG_CƠ_VÀ_CẢM_BIẾN"))*0.25</f>
        <v/>
      </c>
      <c r="M46" s="16">
        <f>(K46-SUMIFS('03_BOC_TACH_VAN'!$K$2:$K$5000, '03_BOC_TACH_VAN'!$B$2:$B$5000, B46, '03_BOC_TACH_VAN'!$D$2:$D$5000, "ĐỘNG_CƠ_VÀ_CẢM_BIẾN"))*0.10</f>
        <v/>
      </c>
      <c r="N46" s="16">
        <f>K46+L46+M46</f>
        <v/>
      </c>
      <c r="O46" s="16">
        <f>IF(G46&gt;0, N46/G46, 0)</f>
        <v/>
      </c>
      <c r="P46" s="17" t="n">
        <v>0.18</v>
      </c>
      <c r="Q46" s="16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6">
        <f>G46*Q46</f>
        <v/>
      </c>
      <c r="S46" t="inlineStr">
        <is>
          <t>Cửa nan bầu dục 1 lớp</t>
        </is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Van một chiều NRD 1400x400</t>
        </is>
      </c>
      <c r="E47" t="inlineStr">
        <is>
          <t>1400x400</t>
        </is>
      </c>
      <c r="F47" t="inlineStr">
        <is>
          <t>cái</t>
        </is>
      </c>
      <c r="G47" s="16" t="n">
        <v>12</v>
      </c>
      <c r="H47" s="16">
        <f>SUMIF('01_BOC_TACH_ONG'!$B$2:$B$5000, B47, '01_BOC_TACH_ONG'!$K$2:$K$5000)</f>
        <v/>
      </c>
      <c r="I47" s="16">
        <f>SUMIF('02_BOC_TACH_CUA'!$B$2:$B$5000, B47, '02_BOC_TACH_CUA'!$K$2:$K$5000)</f>
        <v/>
      </c>
      <c r="J47" s="16">
        <f>SUMIF('03_BOC_TACH_VAN'!$B$2:$B$5000, B47, '03_BOC_TACH_VAN'!$K$2:$K$5000)</f>
        <v/>
      </c>
      <c r="K47" s="16">
        <f>SUM(H47:J47)</f>
        <v/>
      </c>
      <c r="L47" s="16">
        <f>(K47-SUMIFS('03_BOC_TACH_VAN'!$K$2:$K$5000, '03_BOC_TACH_VAN'!$B$2:$B$5000, B47, '03_BOC_TACH_VAN'!$D$2:$D$5000, "ĐỘNG_CƠ_VÀ_CẢM_BIẾN"))*0.25</f>
        <v/>
      </c>
      <c r="M47" s="16">
        <f>(K47-SUMIFS('03_BOC_TACH_VAN'!$K$2:$K$5000, '03_BOC_TACH_VAN'!$B$2:$B$5000, B47, '03_BOC_TACH_VAN'!$D$2:$D$5000, "ĐỘNG_CƠ_VÀ_CẢM_BIẾN"))*0.10</f>
        <v/>
      </c>
      <c r="N47" s="16">
        <f>K47+L47+M47</f>
        <v/>
      </c>
      <c r="O47" s="16">
        <f>IF(G47&gt;0, N47/G47, 0)</f>
        <v/>
      </c>
      <c r="P47" s="17" t="n">
        <v>0.18</v>
      </c>
      <c r="Q47" s="16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6">
        <f>G47*Q47</f>
        <v/>
      </c>
      <c r="S47" t="inlineStr">
        <is>
          <t>Van 1 chiều tôn mạ kẽm</t>
        </is>
      </c>
    </row>
    <row r="48">
      <c r="A48" t="n">
        <v>47</v>
      </c>
      <c r="B48" t="inlineStr">
        <is>
          <t>SW-DIFF-047</t>
        </is>
      </c>
      <c r="C48" t="inlineStr">
        <is>
          <t>CỬA GIÓ</t>
        </is>
      </c>
      <c r="D48" t="inlineStr">
        <is>
          <t>Miệng gió
 OAG + OBD 800x400</t>
        </is>
      </c>
      <c r="E48" t="inlineStr">
        <is>
          <t>800x400</t>
        </is>
      </c>
      <c r="F48" t="inlineStr">
        <is>
          <t>cái</t>
        </is>
      </c>
      <c r="G48" s="16" t="n">
        <v>68</v>
      </c>
      <c r="H48" s="16">
        <f>SUMIF('01_BOC_TACH_ONG'!$B$2:$B$5000, B48, '01_BOC_TACH_ONG'!$K$2:$K$5000)</f>
        <v/>
      </c>
      <c r="I48" s="16">
        <f>SUMIF('02_BOC_TACH_CUA'!$B$2:$B$5000, B48, '02_BOC_TACH_CUA'!$K$2:$K$5000)</f>
        <v/>
      </c>
      <c r="J48" s="16">
        <f>SUMIF('03_BOC_TACH_VAN'!$B$2:$B$5000, B48, '03_BOC_TACH_VAN'!$K$2:$K$5000)</f>
        <v/>
      </c>
      <c r="K48" s="16">
        <f>SUM(H48:J48)</f>
        <v/>
      </c>
      <c r="L48" s="16">
        <f>(K48-SUMIFS('03_BOC_TACH_VAN'!$K$2:$K$5000, '03_BOC_TACH_VAN'!$B$2:$B$5000, B48, '03_BOC_TACH_VAN'!$D$2:$D$5000, "ĐỘNG_CƠ_VÀ_CẢM_BIẾN"))*0.25</f>
        <v/>
      </c>
      <c r="M48" s="16">
        <f>(K48-SUMIFS('03_BOC_TACH_VAN'!$K$2:$K$5000, '03_BOC_TACH_VAN'!$B$2:$B$5000, B48, '03_BOC_TACH_VAN'!$D$2:$D$5000, "ĐỘNG_CƠ_VÀ_CẢM_BIẾN"))*0.10</f>
        <v/>
      </c>
      <c r="N48" s="16">
        <f>K48+L48+M48</f>
        <v/>
      </c>
      <c r="O48" s="16">
        <f>IF(G48&gt;0, N48/G48, 0)</f>
        <v/>
      </c>
      <c r="P48" s="17" t="n">
        <v>0.18</v>
      </c>
      <c r="Q48" s="16">
        <f>IF(G48&gt;0, ((N48-SUMIFS('03_BOC_TACH_VAN'!$K$2:$K$5000, '03_BOC_TACH_VAN'!$B$2:$B$5000, B48, '03_BOC_TACH_VAN'!$D$2:$D$5000, "ĐỘNG_CƠ_VÀ_CẢM_BIẾN"))*(1+P48)+SUMIFS('03_BOC_TACH_VAN'!$K$2:$K$5000, '03_BOC_TACH_VAN'!$B$2:$B$5000, B48, '03_BOC_TACH_VAN'!$D$2:$D$5000, "ĐỘNG_CƠ_VÀ_CẢM_BIẾN"))/G48, 0)</f>
        <v/>
      </c>
      <c r="R48" s="16">
        <f>G48*Q48</f>
        <v/>
      </c>
      <c r="S48" t="inlineStr">
        <is>
          <t>Cửa nan bầu dục 1 lớp kèm van OBD</t>
        </is>
      </c>
    </row>
    <row r="49">
      <c r="A49" t="n">
        <v>48</v>
      </c>
      <c r="B49" t="inlineStr">
        <is>
          <t>SW-DIFF-048</t>
        </is>
      </c>
      <c r="C49" t="inlineStr">
        <is>
          <t>CỬA GIÓ</t>
        </is>
      </c>
      <c r="D49" t="inlineStr">
        <is>
          <t>Miệng gió
 OAG + OBD 300x300</t>
        </is>
      </c>
      <c r="E49" t="inlineStr">
        <is>
          <t>300x300</t>
        </is>
      </c>
      <c r="F49" t="inlineStr">
        <is>
          <t>cái</t>
        </is>
      </c>
      <c r="G49" s="16" t="n">
        <v>105</v>
      </c>
      <c r="H49" s="16">
        <f>SUMIF('01_BOC_TACH_ONG'!$B$2:$B$5000, B49, '01_BOC_TACH_ONG'!$K$2:$K$5000)</f>
        <v/>
      </c>
      <c r="I49" s="16">
        <f>SUMIF('02_BOC_TACH_CUA'!$B$2:$B$5000, B49, '02_BOC_TACH_CUA'!$K$2:$K$5000)</f>
        <v/>
      </c>
      <c r="J49" s="16">
        <f>SUMIF('03_BOC_TACH_VAN'!$B$2:$B$5000, B49, '03_BOC_TACH_VAN'!$K$2:$K$5000)</f>
        <v/>
      </c>
      <c r="K49" s="16">
        <f>SUM(H49:J49)</f>
        <v/>
      </c>
      <c r="L49" s="16">
        <f>(K49-SUMIFS('03_BOC_TACH_VAN'!$K$2:$K$5000, '03_BOC_TACH_VAN'!$B$2:$B$5000, B49, '03_BOC_TACH_VAN'!$D$2:$D$5000, "ĐỘNG_CƠ_VÀ_CẢM_BIẾN"))*0.25</f>
        <v/>
      </c>
      <c r="M49" s="16">
        <f>(K49-SUMIFS('03_BOC_TACH_VAN'!$K$2:$K$5000, '03_BOC_TACH_VAN'!$B$2:$B$5000, B49, '03_BOC_TACH_VAN'!$D$2:$D$5000, "ĐỘNG_CƠ_VÀ_CẢM_BIẾN"))*0.10</f>
        <v/>
      </c>
      <c r="N49" s="16">
        <f>K49+L49+M49</f>
        <v/>
      </c>
      <c r="O49" s="16">
        <f>IF(G49&gt;0, N49/G49, 0)</f>
        <v/>
      </c>
      <c r="P49" s="17" t="n">
        <v>0.18</v>
      </c>
      <c r="Q49" s="16">
        <f>IF(G49&gt;0, ((N49-SUMIFS('03_BOC_TACH_VAN'!$K$2:$K$5000, '03_BOC_TACH_VAN'!$B$2:$B$5000, B49, '03_BOC_TACH_VAN'!$D$2:$D$5000, "ĐỘNG_CƠ_VÀ_CẢM_BIẾN"))*(1+P49)+SUMIFS('03_BOC_TACH_VAN'!$K$2:$K$5000, '03_BOC_TACH_VAN'!$B$2:$B$5000, B49, '03_BOC_TACH_VAN'!$D$2:$D$5000, "ĐỘNG_CƠ_VÀ_CẢM_BIẾN"))/G49, 0)</f>
        <v/>
      </c>
      <c r="R49" s="16">
        <f>G49*Q49</f>
        <v/>
      </c>
      <c r="S49" t="inlineStr">
        <is>
          <t>Cửa nan bầu dục 1 lớp kèm van OBD</t>
        </is>
      </c>
    </row>
    <row r="50">
      <c r="A50" t="n">
        <v>49</v>
      </c>
      <c r="B50" t="inlineStr">
        <is>
          <t>SW-DIFF-049</t>
        </is>
      </c>
      <c r="C50" t="inlineStr">
        <is>
          <t>CỬA GIÓ</t>
        </is>
      </c>
      <c r="D50" t="inlineStr">
        <is>
          <t>Miệng gió
 OAG + OBD 1000x500</t>
        </is>
      </c>
      <c r="E50" t="inlineStr">
        <is>
          <t>1000x500</t>
        </is>
      </c>
      <c r="F50" t="inlineStr">
        <is>
          <t>cái</t>
        </is>
      </c>
      <c r="G50" s="16" t="n">
        <v>1</v>
      </c>
      <c r="H50" s="16">
        <f>SUMIF('01_BOC_TACH_ONG'!$B$2:$B$5000, B50, '01_BOC_TACH_ONG'!$K$2:$K$5000)</f>
        <v/>
      </c>
      <c r="I50" s="16">
        <f>SUMIF('02_BOC_TACH_CUA'!$B$2:$B$5000, B50, '02_BOC_TACH_CUA'!$K$2:$K$5000)</f>
        <v/>
      </c>
      <c r="J50" s="16">
        <f>SUMIF('03_BOC_TACH_VAN'!$B$2:$B$5000, B50, '03_BOC_TACH_VAN'!$K$2:$K$5000)</f>
        <v/>
      </c>
      <c r="K50" s="16">
        <f>SUM(H50:J50)</f>
        <v/>
      </c>
      <c r="L50" s="16">
        <f>(K50-SUMIFS('03_BOC_TACH_VAN'!$K$2:$K$5000, '03_BOC_TACH_VAN'!$B$2:$B$5000, B50, '03_BOC_TACH_VAN'!$D$2:$D$5000, "ĐỘNG_CƠ_VÀ_CẢM_BIẾN"))*0.25</f>
        <v/>
      </c>
      <c r="M50" s="16">
        <f>(K50-SUMIFS('03_BOC_TACH_VAN'!$K$2:$K$5000, '03_BOC_TACH_VAN'!$B$2:$B$5000, B50, '03_BOC_TACH_VAN'!$D$2:$D$5000, "ĐỘNG_CƠ_VÀ_CẢM_BIẾN"))*0.10</f>
        <v/>
      </c>
      <c r="N50" s="16">
        <f>K50+L50+M50</f>
        <v/>
      </c>
      <c r="O50" s="16">
        <f>IF(G50&gt;0, N50/G50, 0)</f>
        <v/>
      </c>
      <c r="P50" s="17" t="n">
        <v>0.18</v>
      </c>
      <c r="Q50" s="16">
        <f>IF(G50&gt;0, ((N50-SUMIFS('03_BOC_TACH_VAN'!$K$2:$K$5000, '03_BOC_TACH_VAN'!$B$2:$B$5000, B50, '03_BOC_TACH_VAN'!$D$2:$D$5000, "ĐỘNG_CƠ_VÀ_CẢM_BIẾN"))*(1+P50)+SUMIFS('03_BOC_TACH_VAN'!$K$2:$K$5000, '03_BOC_TACH_VAN'!$B$2:$B$5000, B50, '03_BOC_TACH_VAN'!$D$2:$D$5000, "ĐỘNG_CƠ_VÀ_CẢM_BIẾN"))/G50, 0)</f>
        <v/>
      </c>
      <c r="R50" s="16">
        <f>G50*Q50</f>
        <v/>
      </c>
      <c r="S50" t="inlineStr">
        <is>
          <t>Cửa nan bầu dục 1 lớp kèm van OBD</t>
        </is>
      </c>
    </row>
    <row r="51">
      <c r="A51" t="n">
        <v>50</v>
      </c>
      <c r="B51" t="inlineStr">
        <is>
          <t>SW-DIFF-050</t>
        </is>
      </c>
      <c r="C51" t="inlineStr">
        <is>
          <t>CỬA GIÓ</t>
        </is>
      </c>
      <c r="D51" t="inlineStr">
        <is>
          <t>Cửa gió nan thẳng 700x250</t>
        </is>
      </c>
      <c r="E51" t="inlineStr">
        <is>
          <t>700x250</t>
        </is>
      </c>
      <c r="F51" t="inlineStr">
        <is>
          <t>cái</t>
        </is>
      </c>
      <c r="G51" s="16" t="n">
        <v>37</v>
      </c>
      <c r="H51" s="16">
        <f>SUMIF('01_BOC_TACH_ONG'!$B$2:$B$5000, B51, '01_BOC_TACH_ONG'!$K$2:$K$5000)</f>
        <v/>
      </c>
      <c r="I51" s="16">
        <f>SUMIF('02_BOC_TACH_CUA'!$B$2:$B$5000, B51, '02_BOC_TACH_CUA'!$K$2:$K$5000)</f>
        <v/>
      </c>
      <c r="J51" s="16">
        <f>SUMIF('03_BOC_TACH_VAN'!$B$2:$B$5000, B51, '03_BOC_TACH_VAN'!$K$2:$K$5000)</f>
        <v/>
      </c>
      <c r="K51" s="16">
        <f>SUM(H51:J51)</f>
        <v/>
      </c>
      <c r="L51" s="16">
        <f>(K51-SUMIFS('03_BOC_TACH_VAN'!$K$2:$K$5000, '03_BOC_TACH_VAN'!$B$2:$B$5000, B51, '03_BOC_TACH_VAN'!$D$2:$D$5000, "ĐỘNG_CƠ_VÀ_CẢM_BIẾN"))*0.25</f>
        <v/>
      </c>
      <c r="M51" s="16">
        <f>(K51-SUMIFS('03_BOC_TACH_VAN'!$K$2:$K$5000, '03_BOC_TACH_VAN'!$B$2:$B$5000, B51, '03_BOC_TACH_VAN'!$D$2:$D$5000, "ĐỘNG_CƠ_VÀ_CẢM_BIẾN"))*0.10</f>
        <v/>
      </c>
      <c r="N51" s="16">
        <f>K51+L51+M51</f>
        <v/>
      </c>
      <c r="O51" s="16">
        <f>IF(G51&gt;0, N51/G51, 0)</f>
        <v/>
      </c>
      <c r="P51" s="17" t="n">
        <v>0.18</v>
      </c>
      <c r="Q51" s="16">
        <f>IF(G51&gt;0, ((N51-SUMIFS('03_BOC_TACH_VAN'!$K$2:$K$5000, '03_BOC_TACH_VAN'!$B$2:$B$5000, B51, '03_BOC_TACH_VAN'!$D$2:$D$5000, "ĐỘNG_CƠ_VÀ_CẢM_BIẾN"))*(1+P51)+SUMIFS('03_BOC_TACH_VAN'!$K$2:$K$5000, '03_BOC_TACH_VAN'!$B$2:$B$5000, B51, '03_BOC_TACH_VAN'!$D$2:$D$5000, "ĐỘNG_CƠ_VÀ_CẢM_BIẾN"))/G51, 0)</f>
        <v/>
      </c>
      <c r="R51" s="16">
        <f>G51*Q51</f>
        <v/>
      </c>
      <c r="S51" t="inlineStr">
        <is>
          <t>Cửa nan bầu dục 1 lớp</t>
        </is>
      </c>
    </row>
    <row r="52">
      <c r="A52" t="n">
        <v>51</v>
      </c>
      <c r="B52" t="inlineStr">
        <is>
          <t>SW-DAMPER-051</t>
        </is>
      </c>
      <c r="C52" t="inlineStr">
        <is>
          <t>VAN GIÓ</t>
        </is>
      </c>
      <c r="D52" t="inlineStr">
        <is>
          <t>Van xả áp đối trọng PRD 700x250</t>
        </is>
      </c>
      <c r="E52" t="inlineStr">
        <is>
          <t>700x250</t>
        </is>
      </c>
      <c r="F52" t="inlineStr">
        <is>
          <t>cái</t>
        </is>
      </c>
      <c r="G52" s="16" t="n">
        <v>37</v>
      </c>
      <c r="H52" s="16">
        <f>SUMIF('01_BOC_TACH_ONG'!$B$2:$B$5000, B52, '01_BOC_TACH_ONG'!$K$2:$K$5000)</f>
        <v/>
      </c>
      <c r="I52" s="16">
        <f>SUMIF('02_BOC_TACH_CUA'!$B$2:$B$5000, B52, '02_BOC_TACH_CUA'!$K$2:$K$5000)</f>
        <v/>
      </c>
      <c r="J52" s="16">
        <f>SUMIF('03_BOC_TACH_VAN'!$B$2:$B$5000, B52, '03_BOC_TACH_VAN'!$K$2:$K$5000)</f>
        <v/>
      </c>
      <c r="K52" s="16">
        <f>SUM(H52:J52)</f>
        <v/>
      </c>
      <c r="L52" s="16">
        <f>(K52-SUMIFS('03_BOC_TACH_VAN'!$K$2:$K$5000, '03_BOC_TACH_VAN'!$B$2:$B$5000, B52, '03_BOC_TACH_VAN'!$D$2:$D$5000, "ĐỘNG_CƠ_VÀ_CẢM_BIẾN"))*0.25</f>
        <v/>
      </c>
      <c r="M52" s="16">
        <f>(K52-SUMIFS('03_BOC_TACH_VAN'!$K$2:$K$5000, '03_BOC_TACH_VAN'!$B$2:$B$5000, B52, '03_BOC_TACH_VAN'!$D$2:$D$5000, "ĐỘNG_CƠ_VÀ_CẢM_BIẾN"))*0.10</f>
        <v/>
      </c>
      <c r="N52" s="16">
        <f>K52+L52+M52</f>
        <v/>
      </c>
      <c r="O52" s="16">
        <f>IF(G52&gt;0, N52/G52, 0)</f>
        <v/>
      </c>
      <c r="P52" s="17" t="n">
        <v>0.18</v>
      </c>
      <c r="Q52" s="16">
        <f>IF(G52&gt;0, ((N52-SUMIFS('03_BOC_TACH_VAN'!$K$2:$K$5000, '03_BOC_TACH_VAN'!$B$2:$B$5000, B52, '03_BOC_TACH_VAN'!$D$2:$D$5000, "ĐỘNG_CƠ_VÀ_CẢM_BIẾN"))*(1+P52)+SUMIFS('03_BOC_TACH_VAN'!$K$2:$K$5000, '03_BOC_TACH_VAN'!$B$2:$B$5000, B52, '03_BOC_TACH_VAN'!$D$2:$D$5000, "ĐỘNG_CƠ_VÀ_CẢM_BIẾN"))/G52, 0)</f>
        <v/>
      </c>
      <c r="R52" s="16">
        <f>G52*Q52</f>
        <v/>
      </c>
      <c r="S52" t="inlineStr">
        <is>
          <t>Van xả áp đối trọng tôn mạ kẽm</t>
        </is>
      </c>
    </row>
    <row r="53">
      <c r="A53" t="n">
        <v>52</v>
      </c>
      <c r="B53" t="inlineStr">
        <is>
          <t>SW-DIFF-052</t>
        </is>
      </c>
      <c r="C53" t="inlineStr">
        <is>
          <t>CỬA GIÓ</t>
        </is>
      </c>
      <c r="D53" t="inlineStr">
        <is>
          <t>Cửa gió nan thẳng 550x400</t>
        </is>
      </c>
      <c r="E53" t="inlineStr">
        <is>
          <t>550x400</t>
        </is>
      </c>
      <c r="F53" t="inlineStr">
        <is>
          <t>cái</t>
        </is>
      </c>
      <c r="G53" s="16" t="n">
        <v>36</v>
      </c>
      <c r="H53" s="16">
        <f>SUMIF('01_BOC_TACH_ONG'!$B$2:$B$5000, B53, '01_BOC_TACH_ONG'!$K$2:$K$5000)</f>
        <v/>
      </c>
      <c r="I53" s="16">
        <f>SUMIF('02_BOC_TACH_CUA'!$B$2:$B$5000, B53, '02_BOC_TACH_CUA'!$K$2:$K$5000)</f>
        <v/>
      </c>
      <c r="J53" s="16">
        <f>SUMIF('03_BOC_TACH_VAN'!$B$2:$B$5000, B53, '03_BOC_TACH_VAN'!$K$2:$K$5000)</f>
        <v/>
      </c>
      <c r="K53" s="16">
        <f>SUM(H53:J53)</f>
        <v/>
      </c>
      <c r="L53" s="16">
        <f>(K53-SUMIFS('03_BOC_TACH_VAN'!$K$2:$K$5000, '03_BOC_TACH_VAN'!$B$2:$B$5000, B53, '03_BOC_TACH_VAN'!$D$2:$D$5000, "ĐỘNG_CƠ_VÀ_CẢM_BIẾN"))*0.25</f>
        <v/>
      </c>
      <c r="M53" s="16">
        <f>(K53-SUMIFS('03_BOC_TACH_VAN'!$K$2:$K$5000, '03_BOC_TACH_VAN'!$B$2:$B$5000, B53, '03_BOC_TACH_VAN'!$D$2:$D$5000, "ĐỘNG_CƠ_VÀ_CẢM_BIẾN"))*0.10</f>
        <v/>
      </c>
      <c r="N53" s="16">
        <f>K53+L53+M53</f>
        <v/>
      </c>
      <c r="O53" s="16">
        <f>IF(G53&gt;0, N53/G53, 0)</f>
        <v/>
      </c>
      <c r="P53" s="17" t="n">
        <v>0.18</v>
      </c>
      <c r="Q53" s="16">
        <f>IF(G53&gt;0, ((N53-SUMIFS('03_BOC_TACH_VAN'!$K$2:$K$5000, '03_BOC_TACH_VAN'!$B$2:$B$5000, B53, '03_BOC_TACH_VAN'!$D$2:$D$5000, "ĐỘNG_CƠ_VÀ_CẢM_BIẾN"))*(1+P53)+SUMIFS('03_BOC_TACH_VAN'!$K$2:$K$5000, '03_BOC_TACH_VAN'!$B$2:$B$5000, B53, '03_BOC_TACH_VAN'!$D$2:$D$5000, "ĐỘNG_CƠ_VÀ_CẢM_BIẾN"))/G53, 0)</f>
        <v/>
      </c>
      <c r="R53" s="16">
        <f>G53*Q53</f>
        <v/>
      </c>
      <c r="S53" t="inlineStr">
        <is>
          <t>Cửa nan bầu dục 1 lớp</t>
        </is>
      </c>
    </row>
    <row r="54">
      <c r="A54" t="n">
        <v>53</v>
      </c>
      <c r="B54" t="inlineStr">
        <is>
          <t>SW-DAMPER-053</t>
        </is>
      </c>
      <c r="C54" t="inlineStr">
        <is>
          <t>VAN GIÓ</t>
        </is>
      </c>
      <c r="D54" t="inlineStr">
        <is>
          <t>Van xả áp đối trọng PRD 550x400</t>
        </is>
      </c>
      <c r="E54" t="inlineStr">
        <is>
          <t>550x400</t>
        </is>
      </c>
      <c r="F54" t="inlineStr">
        <is>
          <t>cái</t>
        </is>
      </c>
      <c r="G54" s="16" t="n">
        <v>36</v>
      </c>
      <c r="H54" s="16">
        <f>SUMIF('01_BOC_TACH_ONG'!$B$2:$B$5000, B54, '01_BOC_TACH_ONG'!$K$2:$K$5000)</f>
        <v/>
      </c>
      <c r="I54" s="16">
        <f>SUMIF('02_BOC_TACH_CUA'!$B$2:$B$5000, B54, '02_BOC_TACH_CUA'!$K$2:$K$5000)</f>
        <v/>
      </c>
      <c r="J54" s="16">
        <f>SUMIF('03_BOC_TACH_VAN'!$B$2:$B$5000, B54, '03_BOC_TACH_VAN'!$K$2:$K$5000)</f>
        <v/>
      </c>
      <c r="K54" s="16">
        <f>SUM(H54:J54)</f>
        <v/>
      </c>
      <c r="L54" s="16">
        <f>(K54-SUMIFS('03_BOC_TACH_VAN'!$K$2:$K$5000, '03_BOC_TACH_VAN'!$B$2:$B$5000, B54, '03_BOC_TACH_VAN'!$D$2:$D$5000, "ĐỘNG_CƠ_VÀ_CẢM_BIẾN"))*0.25</f>
        <v/>
      </c>
      <c r="M54" s="16">
        <f>(K54-SUMIFS('03_BOC_TACH_VAN'!$K$2:$K$5000, '03_BOC_TACH_VAN'!$B$2:$B$5000, B54, '03_BOC_TACH_VAN'!$D$2:$D$5000, "ĐỘNG_CƠ_VÀ_CẢM_BIẾN"))*0.10</f>
        <v/>
      </c>
      <c r="N54" s="16">
        <f>K54+L54+M54</f>
        <v/>
      </c>
      <c r="O54" s="16">
        <f>IF(G54&gt;0, N54/G54, 0)</f>
        <v/>
      </c>
      <c r="P54" s="17" t="n">
        <v>0.18</v>
      </c>
      <c r="Q54" s="16">
        <f>IF(G54&gt;0, ((N54-SUMIFS('03_BOC_TACH_VAN'!$K$2:$K$5000, '03_BOC_TACH_VAN'!$B$2:$B$5000, B54, '03_BOC_TACH_VAN'!$D$2:$D$5000, "ĐỘNG_CƠ_VÀ_CẢM_BIẾN"))*(1+P54)+SUMIFS('03_BOC_TACH_VAN'!$K$2:$K$5000, '03_BOC_TACH_VAN'!$B$2:$B$5000, B54, '03_BOC_TACH_VAN'!$D$2:$D$5000, "ĐỘNG_CƠ_VÀ_CẢM_BIẾN"))/G54, 0)</f>
        <v/>
      </c>
      <c r="R54" s="16">
        <f>G54*Q54</f>
        <v/>
      </c>
      <c r="S54" t="inlineStr">
        <is>
          <t>Van xả áp đối trọng tôn mạ kẽm</t>
        </is>
      </c>
    </row>
    <row r="55">
      <c r="A55" t="n">
        <v>54</v>
      </c>
      <c r="B55" t="inlineStr">
        <is>
          <t>SW-DIFF-054</t>
        </is>
      </c>
      <c r="C55" t="inlineStr">
        <is>
          <t>CỬA GIÓ</t>
        </is>
      </c>
      <c r="D55" t="inlineStr">
        <is>
          <t>Cửa gió nan thẳng 200x200</t>
        </is>
      </c>
      <c r="E55" t="inlineStr">
        <is>
          <t>200x200</t>
        </is>
      </c>
      <c r="F55" t="inlineStr">
        <is>
          <t>cái</t>
        </is>
      </c>
      <c r="G55" s="16" t="n">
        <v>70</v>
      </c>
      <c r="H55" s="16">
        <f>SUMIF('01_BOC_TACH_ONG'!$B$2:$B$5000, B55, '01_BOC_TACH_ONG'!$K$2:$K$5000)</f>
        <v/>
      </c>
      <c r="I55" s="16">
        <f>SUMIF('02_BOC_TACH_CUA'!$B$2:$B$5000, B55, '02_BOC_TACH_CUA'!$K$2:$K$5000)</f>
        <v/>
      </c>
      <c r="J55" s="16">
        <f>SUMIF('03_BOC_TACH_VAN'!$B$2:$B$5000, B55, '03_BOC_TACH_VAN'!$K$2:$K$5000)</f>
        <v/>
      </c>
      <c r="K55" s="16">
        <f>SUM(H55:J55)</f>
        <v/>
      </c>
      <c r="L55" s="16">
        <f>(K55-SUMIFS('03_BOC_TACH_VAN'!$K$2:$K$5000, '03_BOC_TACH_VAN'!$B$2:$B$5000, B55, '03_BOC_TACH_VAN'!$D$2:$D$5000, "ĐỘNG_CƠ_VÀ_CẢM_BIẾN"))*0.25</f>
        <v/>
      </c>
      <c r="M55" s="16">
        <f>(K55-SUMIFS('03_BOC_TACH_VAN'!$K$2:$K$5000, '03_BOC_TACH_VAN'!$B$2:$B$5000, B55, '03_BOC_TACH_VAN'!$D$2:$D$5000, "ĐỘNG_CƠ_VÀ_CẢM_BIẾN"))*0.10</f>
        <v/>
      </c>
      <c r="N55" s="16">
        <f>K55+L55+M55</f>
        <v/>
      </c>
      <c r="O55" s="16">
        <f>IF(G55&gt;0, N55/G55, 0)</f>
        <v/>
      </c>
      <c r="P55" s="17" t="n">
        <v>0.18</v>
      </c>
      <c r="Q55" s="16">
        <f>IF(G55&gt;0, ((N55-SUMIFS('03_BOC_TACH_VAN'!$K$2:$K$5000, '03_BOC_TACH_VAN'!$B$2:$B$5000, B55, '03_BOC_TACH_VAN'!$D$2:$D$5000, "ĐỘNG_CƠ_VÀ_CẢM_BIẾN"))*(1+P55)+SUMIFS('03_BOC_TACH_VAN'!$K$2:$K$5000, '03_BOC_TACH_VAN'!$B$2:$B$5000, B55, '03_BOC_TACH_VAN'!$D$2:$D$5000, "ĐỘNG_CƠ_VÀ_CẢM_BIẾN"))/G55, 0)</f>
        <v/>
      </c>
      <c r="R55" s="16">
        <f>G55*Q55</f>
        <v/>
      </c>
      <c r="S55" t="inlineStr">
        <is>
          <t>Cửa nan bầu dục 1 lớp</t>
        </is>
      </c>
    </row>
    <row r="56">
      <c r="A56" t="n">
        <v>55</v>
      </c>
      <c r="B56" t="inlineStr">
        <is>
          <t>SW-DAMPER-055</t>
        </is>
      </c>
      <c r="C56" t="inlineStr">
        <is>
          <t>VAN GIÓ</t>
        </is>
      </c>
      <c r="D56" t="inlineStr">
        <is>
          <t>Van xả áp đối trọng PRD 200x200</t>
        </is>
      </c>
      <c r="E56" t="inlineStr">
        <is>
          <t>200x200</t>
        </is>
      </c>
      <c r="F56" t="inlineStr">
        <is>
          <t>cái</t>
        </is>
      </c>
      <c r="G56" s="16" t="n">
        <v>70</v>
      </c>
      <c r="H56" s="16">
        <f>SUMIF('01_BOC_TACH_ONG'!$B$2:$B$5000, B56, '01_BOC_TACH_ONG'!$K$2:$K$5000)</f>
        <v/>
      </c>
      <c r="I56" s="16">
        <f>SUMIF('02_BOC_TACH_CUA'!$B$2:$B$5000, B56, '02_BOC_TACH_CUA'!$K$2:$K$5000)</f>
        <v/>
      </c>
      <c r="J56" s="16">
        <f>SUMIF('03_BOC_TACH_VAN'!$B$2:$B$5000, B56, '03_BOC_TACH_VAN'!$K$2:$K$5000)</f>
        <v/>
      </c>
      <c r="K56" s="16">
        <f>SUM(H56:J56)</f>
        <v/>
      </c>
      <c r="L56" s="16">
        <f>(K56-SUMIFS('03_BOC_TACH_VAN'!$K$2:$K$5000, '03_BOC_TACH_VAN'!$B$2:$B$5000, B56, '03_BOC_TACH_VAN'!$D$2:$D$5000, "ĐỘNG_CƠ_VÀ_CẢM_BIẾN"))*0.25</f>
        <v/>
      </c>
      <c r="M56" s="16">
        <f>(K56-SUMIFS('03_BOC_TACH_VAN'!$K$2:$K$5000, '03_BOC_TACH_VAN'!$B$2:$B$5000, B56, '03_BOC_TACH_VAN'!$D$2:$D$5000, "ĐỘNG_CƠ_VÀ_CẢM_BIẾN"))*0.10</f>
        <v/>
      </c>
      <c r="N56" s="16">
        <f>K56+L56+M56</f>
        <v/>
      </c>
      <c r="O56" s="16">
        <f>IF(G56&gt;0, N56/G56, 0)</f>
        <v/>
      </c>
      <c r="P56" s="17" t="n">
        <v>0.18</v>
      </c>
      <c r="Q56" s="16">
        <f>IF(G56&gt;0, ((N56-SUMIFS('03_BOC_TACH_VAN'!$K$2:$K$5000, '03_BOC_TACH_VAN'!$B$2:$B$5000, B56, '03_BOC_TACH_VAN'!$D$2:$D$5000, "ĐỘNG_CƠ_VÀ_CẢM_BIẾN"))*(1+P56)+SUMIFS('03_BOC_TACH_VAN'!$K$2:$K$5000, '03_BOC_TACH_VAN'!$B$2:$B$5000, B56, '03_BOC_TACH_VAN'!$D$2:$D$5000, "ĐỘNG_CƠ_VÀ_CẢM_BIẾN"))/G56, 0)</f>
        <v/>
      </c>
      <c r="R56" s="16">
        <f>G56*Q56</f>
        <v/>
      </c>
      <c r="S56" t="inlineStr">
        <is>
          <t>Van xả áp đối trọng tôn mạ kẽm</t>
        </is>
      </c>
    </row>
    <row r="57">
      <c r="A57" t="n">
        <v>56</v>
      </c>
      <c r="B57" t="inlineStr">
        <is>
          <t>SW-DIFF-056</t>
        </is>
      </c>
      <c r="C57" t="inlineStr">
        <is>
          <t>CỬA GIÓ</t>
        </is>
      </c>
      <c r="D57" t="inlineStr">
        <is>
          <t>Cửa gió nan thẳng 400x200</t>
        </is>
      </c>
      <c r="E57" t="inlineStr">
        <is>
          <t>400x200</t>
        </is>
      </c>
      <c r="F57" t="inlineStr">
        <is>
          <t>cái</t>
        </is>
      </c>
      <c r="G57" s="16" t="n">
        <v>68</v>
      </c>
      <c r="H57" s="16">
        <f>SUMIF('01_BOC_TACH_ONG'!$B$2:$B$5000, B57, '01_BOC_TACH_ONG'!$K$2:$K$5000)</f>
        <v/>
      </c>
      <c r="I57" s="16">
        <f>SUMIF('02_BOC_TACH_CUA'!$B$2:$B$5000, B57, '02_BOC_TACH_CUA'!$K$2:$K$5000)</f>
        <v/>
      </c>
      <c r="J57" s="16">
        <f>SUMIF('03_BOC_TACH_VAN'!$B$2:$B$5000, B57, '03_BOC_TACH_VAN'!$K$2:$K$5000)</f>
        <v/>
      </c>
      <c r="K57" s="16">
        <f>SUM(H57:J57)</f>
        <v/>
      </c>
      <c r="L57" s="16">
        <f>(K57-SUMIFS('03_BOC_TACH_VAN'!$K$2:$K$5000, '03_BOC_TACH_VAN'!$B$2:$B$5000, B57, '03_BOC_TACH_VAN'!$D$2:$D$5000, "ĐỘNG_CƠ_VÀ_CẢM_BIẾN"))*0.25</f>
        <v/>
      </c>
      <c r="M57" s="16">
        <f>(K57-SUMIFS('03_BOC_TACH_VAN'!$K$2:$K$5000, '03_BOC_TACH_VAN'!$B$2:$B$5000, B57, '03_BOC_TACH_VAN'!$D$2:$D$5000, "ĐỘNG_CƠ_VÀ_CẢM_BIẾN"))*0.10</f>
        <v/>
      </c>
      <c r="N57" s="16">
        <f>K57+L57+M57</f>
        <v/>
      </c>
      <c r="O57" s="16">
        <f>IF(G57&gt;0, N57/G57, 0)</f>
        <v/>
      </c>
      <c r="P57" s="17" t="n">
        <v>0.18</v>
      </c>
      <c r="Q57" s="16">
        <f>IF(G57&gt;0, ((N57-SUMIFS('03_BOC_TACH_VAN'!$K$2:$K$5000, '03_BOC_TACH_VAN'!$B$2:$B$5000, B57, '03_BOC_TACH_VAN'!$D$2:$D$5000, "ĐỘNG_CƠ_VÀ_CẢM_BIẾN"))*(1+P57)+SUMIFS('03_BOC_TACH_VAN'!$K$2:$K$5000, '03_BOC_TACH_VAN'!$B$2:$B$5000, B57, '03_BOC_TACH_VAN'!$D$2:$D$5000, "ĐỘNG_CƠ_VÀ_CẢM_BIẾN"))/G57, 0)</f>
        <v/>
      </c>
      <c r="R57" s="16">
        <f>G57*Q57</f>
        <v/>
      </c>
      <c r="S57" t="inlineStr">
        <is>
          <t>Cửa nan bầu dục 1 lớp</t>
        </is>
      </c>
    </row>
    <row r="58">
      <c r="A58" t="n">
        <v>57</v>
      </c>
      <c r="B58" t="inlineStr">
        <is>
          <t>SW-DAMPER-057</t>
        </is>
      </c>
      <c r="C58" t="inlineStr">
        <is>
          <t>VAN GIÓ</t>
        </is>
      </c>
      <c r="D58" t="inlineStr">
        <is>
          <t>Van xả áp đối trọng PRD 400x200</t>
        </is>
      </c>
      <c r="E58" t="inlineStr">
        <is>
          <t>400x200</t>
        </is>
      </c>
      <c r="F58" t="inlineStr">
        <is>
          <t>cái</t>
        </is>
      </c>
      <c r="G58" s="16" t="n">
        <v>68</v>
      </c>
      <c r="H58" s="16">
        <f>SUMIF('01_BOC_TACH_ONG'!$B$2:$B$5000, B58, '01_BOC_TACH_ONG'!$K$2:$K$5000)</f>
        <v/>
      </c>
      <c r="I58" s="16">
        <f>SUMIF('02_BOC_TACH_CUA'!$B$2:$B$5000, B58, '02_BOC_TACH_CUA'!$K$2:$K$5000)</f>
        <v/>
      </c>
      <c r="J58" s="16">
        <f>SUMIF('03_BOC_TACH_VAN'!$B$2:$B$5000, B58, '03_BOC_TACH_VAN'!$K$2:$K$5000)</f>
        <v/>
      </c>
      <c r="K58" s="16">
        <f>SUM(H58:J58)</f>
        <v/>
      </c>
      <c r="L58" s="16">
        <f>(K58-SUMIFS('03_BOC_TACH_VAN'!$K$2:$K$5000, '03_BOC_TACH_VAN'!$B$2:$B$5000, B58, '03_BOC_TACH_VAN'!$D$2:$D$5000, "ĐỘNG_CƠ_VÀ_CẢM_BIẾN"))*0.25</f>
        <v/>
      </c>
      <c r="M58" s="16">
        <f>(K58-SUMIFS('03_BOC_TACH_VAN'!$K$2:$K$5000, '03_BOC_TACH_VAN'!$B$2:$B$5000, B58, '03_BOC_TACH_VAN'!$D$2:$D$5000, "ĐỘNG_CƠ_VÀ_CẢM_BIẾN"))*0.10</f>
        <v/>
      </c>
      <c r="N58" s="16">
        <f>K58+L58+M58</f>
        <v/>
      </c>
      <c r="O58" s="16">
        <f>IF(G58&gt;0, N58/G58, 0)</f>
        <v/>
      </c>
      <c r="P58" s="17" t="n">
        <v>0.18</v>
      </c>
      <c r="Q58" s="16">
        <f>IF(G58&gt;0, ((N58-SUMIFS('03_BOC_TACH_VAN'!$K$2:$K$5000, '03_BOC_TACH_VAN'!$B$2:$B$5000, B58, '03_BOC_TACH_VAN'!$D$2:$D$5000, "ĐỘNG_CƠ_VÀ_CẢM_BIẾN"))*(1+P58)+SUMIFS('03_BOC_TACH_VAN'!$K$2:$K$5000, '03_BOC_TACH_VAN'!$B$2:$B$5000, B58, '03_BOC_TACH_VAN'!$D$2:$D$5000, "ĐỘNG_CƠ_VÀ_CẢM_BIẾN"))/G58, 0)</f>
        <v/>
      </c>
      <c r="R58" s="16">
        <f>G58*Q58</f>
        <v/>
      </c>
      <c r="S58" t="inlineStr">
        <is>
          <t>Van xả áp đối trọng tôn mạ kẽm</t>
        </is>
      </c>
    </row>
    <row r="59">
      <c r="A59" t="n">
        <v>58</v>
      </c>
      <c r="B59" t="inlineStr">
        <is>
          <t>SW-DIFF-058</t>
        </is>
      </c>
      <c r="C59" t="inlineStr">
        <is>
          <t>CỬA GIÓ</t>
        </is>
      </c>
      <c r="D59" t="inlineStr">
        <is>
          <t>Cửa gió nan thẳng 800x350</t>
        </is>
      </c>
      <c r="E59" t="inlineStr">
        <is>
          <t>800x350</t>
        </is>
      </c>
      <c r="F59" t="inlineStr">
        <is>
          <t>cái</t>
        </is>
      </c>
      <c r="G59" s="16" t="n">
        <v>1</v>
      </c>
      <c r="H59" s="16">
        <f>SUMIF('01_BOC_TACH_ONG'!$B$2:$B$5000, B59, '01_BOC_TACH_ONG'!$K$2:$K$5000)</f>
        <v/>
      </c>
      <c r="I59" s="16">
        <f>SUMIF('02_BOC_TACH_CUA'!$B$2:$B$5000, B59, '02_BOC_TACH_CUA'!$K$2:$K$5000)</f>
        <v/>
      </c>
      <c r="J59" s="16">
        <f>SUMIF('03_BOC_TACH_VAN'!$B$2:$B$5000, B59, '03_BOC_TACH_VAN'!$K$2:$K$5000)</f>
        <v/>
      </c>
      <c r="K59" s="16">
        <f>SUM(H59:J59)</f>
        <v/>
      </c>
      <c r="L59" s="16">
        <f>(K59-SUMIFS('03_BOC_TACH_VAN'!$K$2:$K$5000, '03_BOC_TACH_VAN'!$B$2:$B$5000, B59, '03_BOC_TACH_VAN'!$D$2:$D$5000, "ĐỘNG_CƠ_VÀ_CẢM_BIẾN"))*0.25</f>
        <v/>
      </c>
      <c r="M59" s="16">
        <f>(K59-SUMIFS('03_BOC_TACH_VAN'!$K$2:$K$5000, '03_BOC_TACH_VAN'!$B$2:$B$5000, B59, '03_BOC_TACH_VAN'!$D$2:$D$5000, "ĐỘNG_CƠ_VÀ_CẢM_BIẾN"))*0.10</f>
        <v/>
      </c>
      <c r="N59" s="16">
        <f>K59+L59+M59</f>
        <v/>
      </c>
      <c r="O59" s="16">
        <f>IF(G59&gt;0, N59/G59, 0)</f>
        <v/>
      </c>
      <c r="P59" s="17" t="n">
        <v>0.18</v>
      </c>
      <c r="Q59" s="16">
        <f>IF(G59&gt;0, ((N59-SUMIFS('03_BOC_TACH_VAN'!$K$2:$K$5000, '03_BOC_TACH_VAN'!$B$2:$B$5000, B59, '03_BOC_TACH_VAN'!$D$2:$D$5000, "ĐỘNG_CƠ_VÀ_CẢM_BIẾN"))*(1+P59)+SUMIFS('03_BOC_TACH_VAN'!$K$2:$K$5000, '03_BOC_TACH_VAN'!$B$2:$B$5000, B59, '03_BOC_TACH_VAN'!$D$2:$D$5000, "ĐỘNG_CƠ_VÀ_CẢM_BIẾN"))/G59, 0)</f>
        <v/>
      </c>
      <c r="R59" s="16">
        <f>G59*Q59</f>
        <v/>
      </c>
      <c r="S59" t="inlineStr">
        <is>
          <t>Cửa nan bầu dục 1 lớp</t>
        </is>
      </c>
    </row>
    <row r="60">
      <c r="A60" t="n">
        <v>59</v>
      </c>
      <c r="B60" t="inlineStr">
        <is>
          <t>SW-DAMPER-059</t>
        </is>
      </c>
      <c r="C60" t="inlineStr">
        <is>
          <t>VAN GIÓ</t>
        </is>
      </c>
      <c r="D60" t="inlineStr">
        <is>
          <t>Van xả áp đối trọng PRD 800x350 - EI30</t>
        </is>
      </c>
      <c r="E60" t="inlineStr">
        <is>
          <t>800x350</t>
        </is>
      </c>
      <c r="F60" t="inlineStr">
        <is>
          <t>cái</t>
        </is>
      </c>
      <c r="G60" s="16" t="n">
        <v>1</v>
      </c>
      <c r="H60" s="16">
        <f>SUMIF('01_BOC_TACH_ONG'!$B$2:$B$5000, B60, '01_BOC_TACH_ONG'!$K$2:$K$5000)</f>
        <v/>
      </c>
      <c r="I60" s="16">
        <f>SUMIF('02_BOC_TACH_CUA'!$B$2:$B$5000, B60, '02_BOC_TACH_CUA'!$K$2:$K$5000)</f>
        <v/>
      </c>
      <c r="J60" s="16">
        <f>SUMIF('03_BOC_TACH_VAN'!$B$2:$B$5000, B60, '03_BOC_TACH_VAN'!$K$2:$K$5000)</f>
        <v/>
      </c>
      <c r="K60" s="16">
        <f>SUM(H60:J60)</f>
        <v/>
      </c>
      <c r="L60" s="16">
        <f>(K60-SUMIFS('03_BOC_TACH_VAN'!$K$2:$K$5000, '03_BOC_TACH_VAN'!$B$2:$B$5000, B60, '03_BOC_TACH_VAN'!$D$2:$D$5000, "ĐỘNG_CƠ_VÀ_CẢM_BIẾN"))*0.25</f>
        <v/>
      </c>
      <c r="M60" s="16">
        <f>(K60-SUMIFS('03_BOC_TACH_VAN'!$K$2:$K$5000, '03_BOC_TACH_VAN'!$B$2:$B$5000, B60, '03_BOC_TACH_VAN'!$D$2:$D$5000, "ĐỘNG_CƠ_VÀ_CẢM_BIẾN"))*0.10</f>
        <v/>
      </c>
      <c r="N60" s="16">
        <f>K60+L60+M60</f>
        <v/>
      </c>
      <c r="O60" s="16">
        <f>IF(G60&gt;0, N60/G60, 0)</f>
        <v/>
      </c>
      <c r="P60" s="17" t="n">
        <v>0.18</v>
      </c>
      <c r="Q60" s="16">
        <f>IF(G60&gt;0, ((N60-SUMIFS('03_BOC_TACH_VAN'!$K$2:$K$5000, '03_BOC_TACH_VAN'!$B$2:$B$5000, B60, '03_BOC_TACH_VAN'!$D$2:$D$5000, "ĐỘNG_CƠ_VÀ_CẢM_BIẾN"))*(1+P60)+SUMIFS('03_BOC_TACH_VAN'!$K$2:$K$5000, '03_BOC_TACH_VAN'!$B$2:$B$5000, B60, '03_BOC_TACH_VAN'!$D$2:$D$5000, "ĐỘNG_CƠ_VÀ_CẢM_BIẾN"))/G60, 0)</f>
        <v/>
      </c>
      <c r="R60" s="16">
        <f>G60*Q60</f>
        <v/>
      </c>
      <c r="S60" t="inlineStr">
        <is>
          <t>Van xả áp đối trọng bọc tấm cách nhiệt KHS 10mm</t>
        </is>
      </c>
    </row>
    <row r="61">
      <c r="A61" t="n">
        <v>60</v>
      </c>
      <c r="B61" t="inlineStr">
        <is>
          <t>SW-DIFF-060</t>
        </is>
      </c>
      <c r="C61" t="inlineStr">
        <is>
          <t>CỬA GIÓ</t>
        </is>
      </c>
      <c r="D61" t="inlineStr">
        <is>
          <t>Cửa gió nan thẳng 1500x300</t>
        </is>
      </c>
      <c r="E61" t="inlineStr">
        <is>
          <t>1500x300</t>
        </is>
      </c>
      <c r="F61" t="inlineStr">
        <is>
          <t>cái</t>
        </is>
      </c>
      <c r="G61" s="16" t="n">
        <v>1</v>
      </c>
      <c r="H61" s="16">
        <f>SUMIF('01_BOC_TACH_ONG'!$B$2:$B$5000, B61, '01_BOC_TACH_ONG'!$K$2:$K$5000)</f>
        <v/>
      </c>
      <c r="I61" s="16">
        <f>SUMIF('02_BOC_TACH_CUA'!$B$2:$B$5000, B61, '02_BOC_TACH_CUA'!$K$2:$K$5000)</f>
        <v/>
      </c>
      <c r="J61" s="16">
        <f>SUMIF('03_BOC_TACH_VAN'!$B$2:$B$5000, B61, '03_BOC_TACH_VAN'!$K$2:$K$5000)</f>
        <v/>
      </c>
      <c r="K61" s="16">
        <f>SUM(H61:J61)</f>
        <v/>
      </c>
      <c r="L61" s="16">
        <f>(K61-SUMIFS('03_BOC_TACH_VAN'!$K$2:$K$5000, '03_BOC_TACH_VAN'!$B$2:$B$5000, B61, '03_BOC_TACH_VAN'!$D$2:$D$5000, "ĐỘNG_CƠ_VÀ_CẢM_BIẾN"))*0.25</f>
        <v/>
      </c>
      <c r="M61" s="16">
        <f>(K61-SUMIFS('03_BOC_TACH_VAN'!$K$2:$K$5000, '03_BOC_TACH_VAN'!$B$2:$B$5000, B61, '03_BOC_TACH_VAN'!$D$2:$D$5000, "ĐỘNG_CƠ_VÀ_CẢM_BIẾN"))*0.10</f>
        <v/>
      </c>
      <c r="N61" s="16">
        <f>K61+L61+M61</f>
        <v/>
      </c>
      <c r="O61" s="16">
        <f>IF(G61&gt;0, N61/G61, 0)</f>
        <v/>
      </c>
      <c r="P61" s="17" t="n">
        <v>0.18</v>
      </c>
      <c r="Q61" s="16">
        <f>IF(G61&gt;0, ((N61-SUMIFS('03_BOC_TACH_VAN'!$K$2:$K$5000, '03_BOC_TACH_VAN'!$B$2:$B$5000, B61, '03_BOC_TACH_VAN'!$D$2:$D$5000, "ĐỘNG_CƠ_VÀ_CẢM_BIẾN"))*(1+P61)+SUMIFS('03_BOC_TACH_VAN'!$K$2:$K$5000, '03_BOC_TACH_VAN'!$B$2:$B$5000, B61, '03_BOC_TACH_VAN'!$D$2:$D$5000, "ĐỘNG_CƠ_VÀ_CẢM_BIẾN"))/G61, 0)</f>
        <v/>
      </c>
      <c r="R61" s="16">
        <f>G61*Q61</f>
        <v/>
      </c>
      <c r="S61" t="inlineStr">
        <is>
          <t>Cửa nan bầu dục 1 lớp</t>
        </is>
      </c>
    </row>
    <row r="62">
      <c r="A62" t="n">
        <v>61</v>
      </c>
      <c r="B62" t="inlineStr">
        <is>
          <t>SW-DAMPER-061</t>
        </is>
      </c>
      <c r="C62" t="inlineStr">
        <is>
          <t>VAN GIÓ</t>
        </is>
      </c>
      <c r="D62" t="inlineStr">
        <is>
          <t>Van xả áp đối trọng PRD 1500x300</t>
        </is>
      </c>
      <c r="E62" t="inlineStr">
        <is>
          <t>1500x300</t>
        </is>
      </c>
      <c r="F62" t="inlineStr">
        <is>
          <t>cái</t>
        </is>
      </c>
      <c r="G62" s="16" t="n">
        <v>1</v>
      </c>
      <c r="H62" s="16">
        <f>SUMIF('01_BOC_TACH_ONG'!$B$2:$B$5000, B62, '01_BOC_TACH_ONG'!$K$2:$K$5000)</f>
        <v/>
      </c>
      <c r="I62" s="16">
        <f>SUMIF('02_BOC_TACH_CUA'!$B$2:$B$5000, B62, '02_BOC_TACH_CUA'!$K$2:$K$5000)</f>
        <v/>
      </c>
      <c r="J62" s="16">
        <f>SUMIF('03_BOC_TACH_VAN'!$B$2:$B$5000, B62, '03_BOC_TACH_VAN'!$K$2:$K$5000)</f>
        <v/>
      </c>
      <c r="K62" s="16">
        <f>SUM(H62:J62)</f>
        <v/>
      </c>
      <c r="L62" s="16">
        <f>(K62-SUMIFS('03_BOC_TACH_VAN'!$K$2:$K$5000, '03_BOC_TACH_VAN'!$B$2:$B$5000, B62, '03_BOC_TACH_VAN'!$D$2:$D$5000, "ĐỘNG_CƠ_VÀ_CẢM_BIẾN"))*0.25</f>
        <v/>
      </c>
      <c r="M62" s="16">
        <f>(K62-SUMIFS('03_BOC_TACH_VAN'!$K$2:$K$5000, '03_BOC_TACH_VAN'!$B$2:$B$5000, B62, '03_BOC_TACH_VAN'!$D$2:$D$5000, "ĐỘNG_CƠ_VÀ_CẢM_BIẾN"))*0.10</f>
        <v/>
      </c>
      <c r="N62" s="16">
        <f>K62+L62+M62</f>
        <v/>
      </c>
      <c r="O62" s="16">
        <f>IF(G62&gt;0, N62/G62, 0)</f>
        <v/>
      </c>
      <c r="P62" s="17" t="n">
        <v>0.18</v>
      </c>
      <c r="Q62" s="16">
        <f>IF(G62&gt;0, ((N62-SUMIFS('03_BOC_TACH_VAN'!$K$2:$K$5000, '03_BOC_TACH_VAN'!$B$2:$B$5000, B62, '03_BOC_TACH_VAN'!$D$2:$D$5000, "ĐỘNG_CƠ_VÀ_CẢM_BIẾN"))*(1+P62)+SUMIFS('03_BOC_TACH_VAN'!$K$2:$K$5000, '03_BOC_TACH_VAN'!$B$2:$B$5000, B62, '03_BOC_TACH_VAN'!$D$2:$D$5000, "ĐỘNG_CƠ_VÀ_CẢM_BIẾN"))/G62, 0)</f>
        <v/>
      </c>
      <c r="R62" s="16">
        <f>G62*Q62</f>
        <v/>
      </c>
      <c r="S62" t="inlineStr">
        <is>
          <t>Van xả áp đối trọng tôn mạ kẽm</t>
        </is>
      </c>
    </row>
    <row r="63">
      <c r="A63" t="n">
        <v>62</v>
      </c>
      <c r="B63" t="inlineStr">
        <is>
          <t>SW-DIFF-062</t>
        </is>
      </c>
      <c r="C63" t="inlineStr">
        <is>
          <t>CỬA GIÓ</t>
        </is>
      </c>
      <c r="D63" t="inlineStr">
        <is>
          <t>Cửa gió nan thẳng 800x350</t>
        </is>
      </c>
      <c r="E63" t="inlineStr">
        <is>
          <t>800x350</t>
        </is>
      </c>
      <c r="F63" t="inlineStr">
        <is>
          <t>cái</t>
        </is>
      </c>
      <c r="G63" s="16" t="n">
        <v>1</v>
      </c>
      <c r="H63" s="16">
        <f>SUMIF('01_BOC_TACH_ONG'!$B$2:$B$5000, B63, '01_BOC_TACH_ONG'!$K$2:$K$5000)</f>
        <v/>
      </c>
      <c r="I63" s="16">
        <f>SUMIF('02_BOC_TACH_CUA'!$B$2:$B$5000, B63, '02_BOC_TACH_CUA'!$K$2:$K$5000)</f>
        <v/>
      </c>
      <c r="J63" s="16">
        <f>SUMIF('03_BOC_TACH_VAN'!$B$2:$B$5000, B63, '03_BOC_TACH_VAN'!$K$2:$K$5000)</f>
        <v/>
      </c>
      <c r="K63" s="16">
        <f>SUM(H63:J63)</f>
        <v/>
      </c>
      <c r="L63" s="16">
        <f>(K63-SUMIFS('03_BOC_TACH_VAN'!$K$2:$K$5000, '03_BOC_TACH_VAN'!$B$2:$B$5000, B63, '03_BOC_TACH_VAN'!$D$2:$D$5000, "ĐỘNG_CƠ_VÀ_CẢM_BIẾN"))*0.25</f>
        <v/>
      </c>
      <c r="M63" s="16">
        <f>(K63-SUMIFS('03_BOC_TACH_VAN'!$K$2:$K$5000, '03_BOC_TACH_VAN'!$B$2:$B$5000, B63, '03_BOC_TACH_VAN'!$D$2:$D$5000, "ĐỘNG_CƠ_VÀ_CẢM_BIẾN"))*0.10</f>
        <v/>
      </c>
      <c r="N63" s="16">
        <f>K63+L63+M63</f>
        <v/>
      </c>
      <c r="O63" s="16">
        <f>IF(G63&gt;0, N63/G63, 0)</f>
        <v/>
      </c>
      <c r="P63" s="17" t="n">
        <v>0.18</v>
      </c>
      <c r="Q63" s="16">
        <f>IF(G63&gt;0, ((N63-SUMIFS('03_BOC_TACH_VAN'!$K$2:$K$5000, '03_BOC_TACH_VAN'!$B$2:$B$5000, B63, '03_BOC_TACH_VAN'!$D$2:$D$5000, "ĐỘNG_CƠ_VÀ_CẢM_BIẾN"))*(1+P63)+SUMIFS('03_BOC_TACH_VAN'!$K$2:$K$5000, '03_BOC_TACH_VAN'!$B$2:$B$5000, B63, '03_BOC_TACH_VAN'!$D$2:$D$5000, "ĐỘNG_CƠ_VÀ_CẢM_BIẾN"))/G63, 0)</f>
        <v/>
      </c>
      <c r="R63" s="16">
        <f>G63*Q63</f>
        <v/>
      </c>
      <c r="S63" t="inlineStr">
        <is>
          <t>Cửa nan bầu dục 1 lớp</t>
        </is>
      </c>
    </row>
    <row r="64">
      <c r="A64" t="n">
        <v>63</v>
      </c>
      <c r="B64" t="inlineStr">
        <is>
          <t>SW-DAMPER-063</t>
        </is>
      </c>
      <c r="C64" t="inlineStr">
        <is>
          <t>VAN GIÓ</t>
        </is>
      </c>
      <c r="D64" t="inlineStr">
        <is>
          <t>Van gió động cơ ON/OFF MD 800x350 - EI30</t>
        </is>
      </c>
      <c r="E64" t="inlineStr">
        <is>
          <t>800x350</t>
        </is>
      </c>
      <c r="F64" t="inlineStr">
        <is>
          <t>cái</t>
        </is>
      </c>
      <c r="G64" s="16" t="n">
        <v>1</v>
      </c>
      <c r="H64" s="16">
        <f>SUMIF('01_BOC_TACH_ONG'!$B$2:$B$5000, B64, '01_BOC_TACH_ONG'!$K$2:$K$5000)</f>
        <v/>
      </c>
      <c r="I64" s="16">
        <f>SUMIF('02_BOC_TACH_CUA'!$B$2:$B$5000, B64, '02_BOC_TACH_CUA'!$K$2:$K$5000)</f>
        <v/>
      </c>
      <c r="J64" s="16">
        <f>SUMIF('03_BOC_TACH_VAN'!$B$2:$B$5000, B64, '03_BOC_TACH_VAN'!$K$2:$K$5000)</f>
        <v/>
      </c>
      <c r="K64" s="16">
        <f>SUM(H64:J64)</f>
        <v/>
      </c>
      <c r="L64" s="16">
        <f>(K64-SUMIFS('03_BOC_TACH_VAN'!$K$2:$K$5000, '03_BOC_TACH_VAN'!$B$2:$B$5000, B64, '03_BOC_TACH_VAN'!$D$2:$D$5000, "ĐỘNG_CƠ_VÀ_CẢM_BIẾN"))*0.25</f>
        <v/>
      </c>
      <c r="M64" s="16">
        <f>(K64-SUMIFS('03_BOC_TACH_VAN'!$K$2:$K$5000, '03_BOC_TACH_VAN'!$B$2:$B$5000, B64, '03_BOC_TACH_VAN'!$D$2:$D$5000, "ĐỘNG_CƠ_VÀ_CẢM_BIẾN"))*0.10</f>
        <v/>
      </c>
      <c r="N64" s="16">
        <f>K64+L64+M64</f>
        <v/>
      </c>
      <c r="O64" s="16">
        <f>IF(G64&gt;0, N64/G64, 0)</f>
        <v/>
      </c>
      <c r="P64" s="17" t="n">
        <v>0.18</v>
      </c>
      <c r="Q64" s="16">
        <f>IF(G64&gt;0, ((N64-SUMIFS('03_BOC_TACH_VAN'!$K$2:$K$5000, '03_BOC_TACH_VAN'!$B$2:$B$5000, B64, '03_BOC_TACH_VAN'!$D$2:$D$5000, "ĐỘNG_CƠ_VÀ_CẢM_BIẾN"))*(1+P64)+SUMIFS('03_BOC_TACH_VAN'!$K$2:$K$5000, '03_BOC_TACH_VAN'!$B$2:$B$5000, B64, '03_BOC_TACH_VAN'!$D$2:$D$5000, "ĐỘNG_CƠ_VÀ_CẢM_BIẾN"))/G64, 0)</f>
        <v/>
      </c>
      <c r="R64" s="16">
        <f>G64*Q64</f>
        <v/>
      </c>
      <c r="S64" t="inlineStr">
        <is>
          <t>Van MD, động cơ KLB/VIWECO 24v-10N</t>
        </is>
      </c>
    </row>
    <row r="65">
      <c r="A65" t="n">
        <v>64</v>
      </c>
      <c r="B65" t="inlineStr">
        <is>
          <t>SW-DIFF-064</t>
        </is>
      </c>
      <c r="C65" t="inlineStr">
        <is>
          <t>CỬA GIÓ</t>
        </is>
      </c>
      <c r="D65" t="inlineStr">
        <is>
          <t>Miệng gió
 OAL+IS 1500x500</t>
        </is>
      </c>
      <c r="E65" t="inlineStr">
        <is>
          <t>1500x500</t>
        </is>
      </c>
      <c r="F65" t="inlineStr">
        <is>
          <t>cái</t>
        </is>
      </c>
      <c r="G65" s="16" t="n">
        <v>1</v>
      </c>
      <c r="H65" s="16">
        <f>SUMIF('01_BOC_TACH_ONG'!$B$2:$B$5000, B65, '01_BOC_TACH_ONG'!$K$2:$K$5000)</f>
        <v/>
      </c>
      <c r="I65" s="16">
        <f>SUMIF('02_BOC_TACH_CUA'!$B$2:$B$5000, B65, '02_BOC_TACH_CUA'!$K$2:$K$5000)</f>
        <v/>
      </c>
      <c r="J65" s="16">
        <f>SUMIF('03_BOC_TACH_VAN'!$B$2:$B$5000, B65, '03_BOC_TACH_VAN'!$K$2:$K$5000)</f>
        <v/>
      </c>
      <c r="K65" s="16">
        <f>SUM(H65:J65)</f>
        <v/>
      </c>
      <c r="L65" s="16">
        <f>(K65-SUMIFS('03_BOC_TACH_VAN'!$K$2:$K$5000, '03_BOC_TACH_VAN'!$B$2:$B$5000, B65, '03_BOC_TACH_VAN'!$D$2:$D$5000, "ĐỘNG_CƠ_VÀ_CẢM_BIẾN"))*0.25</f>
        <v/>
      </c>
      <c r="M65" s="16">
        <f>(K65-SUMIFS('03_BOC_TACH_VAN'!$K$2:$K$5000, '03_BOC_TACH_VAN'!$B$2:$B$5000, B65, '03_BOC_TACH_VAN'!$D$2:$D$5000, "ĐỘNG_CƠ_VÀ_CẢM_BIẾN"))*0.10</f>
        <v/>
      </c>
      <c r="N65" s="16">
        <f>K65+L65+M65</f>
        <v/>
      </c>
      <c r="O65" s="16">
        <f>IF(G65&gt;0, N65/G65, 0)</f>
        <v/>
      </c>
      <c r="P65" s="17" t="n">
        <v>0.18</v>
      </c>
      <c r="Q65" s="16">
        <f>IF(G65&gt;0, ((N65-SUMIFS('03_BOC_TACH_VAN'!$K$2:$K$5000, '03_BOC_TACH_VAN'!$B$2:$B$5000, B65, '03_BOC_TACH_VAN'!$D$2:$D$5000, "ĐỘNG_CƠ_VÀ_CẢM_BIẾN"))*(1+P65)+SUMIFS('03_BOC_TACH_VAN'!$K$2:$K$5000, '03_BOC_TACH_VAN'!$B$2:$B$5000, B65, '03_BOC_TACH_VAN'!$D$2:$D$5000, "ĐỘNG_CƠ_VÀ_CẢM_BIẾN"))/G65, 0)</f>
        <v/>
      </c>
      <c r="R65" s="16">
        <f>G65*Q65</f>
        <v/>
      </c>
      <c r="S65" t="inlineStr">
        <is>
          <t>Louver nan Z ngoài trời kèm lưới chắn côn trùng Inox 304</t>
        </is>
      </c>
    </row>
    <row r="66">
      <c r="A66" t="n">
        <v>65</v>
      </c>
      <c r="B66" t="inlineStr">
        <is>
          <t>SW-DIFF-065</t>
        </is>
      </c>
      <c r="C66" t="inlineStr">
        <is>
          <t>CỬA GIÓ</t>
        </is>
      </c>
      <c r="D66" t="inlineStr">
        <is>
          <t>Miệng gió
 OAL+IS 1500x300</t>
        </is>
      </c>
      <c r="E66" t="inlineStr">
        <is>
          <t>1500x300</t>
        </is>
      </c>
      <c r="F66" t="inlineStr">
        <is>
          <t>cái</t>
        </is>
      </c>
      <c r="G66" s="16" t="n">
        <v>2</v>
      </c>
      <c r="H66" s="16">
        <f>SUMIF('01_BOC_TACH_ONG'!$B$2:$B$5000, B66, '01_BOC_TACH_ONG'!$K$2:$K$5000)</f>
        <v/>
      </c>
      <c r="I66" s="16">
        <f>SUMIF('02_BOC_TACH_CUA'!$B$2:$B$5000, B66, '02_BOC_TACH_CUA'!$K$2:$K$5000)</f>
        <v/>
      </c>
      <c r="J66" s="16">
        <f>SUMIF('03_BOC_TACH_VAN'!$B$2:$B$5000, B66, '03_BOC_TACH_VAN'!$K$2:$K$5000)</f>
        <v/>
      </c>
      <c r="K66" s="16">
        <f>SUM(H66:J66)</f>
        <v/>
      </c>
      <c r="L66" s="16">
        <f>(K66-SUMIFS('03_BOC_TACH_VAN'!$K$2:$K$5000, '03_BOC_TACH_VAN'!$B$2:$B$5000, B66, '03_BOC_TACH_VAN'!$D$2:$D$5000, "ĐỘNG_CƠ_VÀ_CẢM_BIẾN"))*0.25</f>
        <v/>
      </c>
      <c r="M66" s="16">
        <f>(K66-SUMIFS('03_BOC_TACH_VAN'!$K$2:$K$5000, '03_BOC_TACH_VAN'!$B$2:$B$5000, B66, '03_BOC_TACH_VAN'!$D$2:$D$5000, "ĐỘNG_CƠ_VÀ_CẢM_BIẾN"))*0.10</f>
        <v/>
      </c>
      <c r="N66" s="16">
        <f>K66+L66+M66</f>
        <v/>
      </c>
      <c r="O66" s="16">
        <f>IF(G66&gt;0, N66/G66, 0)</f>
        <v/>
      </c>
      <c r="P66" s="17" t="n">
        <v>0.18</v>
      </c>
      <c r="Q66" s="16">
        <f>IF(G66&gt;0, ((N66-SUMIFS('03_BOC_TACH_VAN'!$K$2:$K$5000, '03_BOC_TACH_VAN'!$B$2:$B$5000, B66, '03_BOC_TACH_VAN'!$D$2:$D$5000, "ĐỘNG_CƠ_VÀ_CẢM_BIẾN"))*(1+P66)+SUMIFS('03_BOC_TACH_VAN'!$K$2:$K$5000, '03_BOC_TACH_VAN'!$B$2:$B$5000, B66, '03_BOC_TACH_VAN'!$D$2:$D$5000, "ĐỘNG_CƠ_VÀ_CẢM_BIẾN"))/G66, 0)</f>
        <v/>
      </c>
      <c r="R66" s="16">
        <f>G66*Q66</f>
        <v/>
      </c>
      <c r="S66" t="inlineStr">
        <is>
          <t>Louver nan Z ngoài trời kèm lưới chắn côn trùng Inox 304</t>
        </is>
      </c>
    </row>
    <row r="67">
      <c r="A67" t="n">
        <v>66</v>
      </c>
      <c r="B67" t="inlineStr">
        <is>
          <t>SW-DIFF-066</t>
        </is>
      </c>
      <c r="C67" t="inlineStr">
        <is>
          <t>CỬA GIÓ</t>
        </is>
      </c>
      <c r="D67" t="inlineStr">
        <is>
          <t>Miệng gió
 OAL+IS 550x550</t>
        </is>
      </c>
      <c r="E67" t="inlineStr">
        <is>
          <t>550x550</t>
        </is>
      </c>
      <c r="F67" t="inlineStr">
        <is>
          <t>cái</t>
        </is>
      </c>
      <c r="G67" s="16" t="n">
        <v>1</v>
      </c>
      <c r="H67" s="16">
        <f>SUMIF('01_BOC_TACH_ONG'!$B$2:$B$5000, B67, '01_BOC_TACH_ONG'!$K$2:$K$5000)</f>
        <v/>
      </c>
      <c r="I67" s="16">
        <f>SUMIF('02_BOC_TACH_CUA'!$B$2:$B$5000, B67, '02_BOC_TACH_CUA'!$K$2:$K$5000)</f>
        <v/>
      </c>
      <c r="J67" s="16">
        <f>SUMIF('03_BOC_TACH_VAN'!$B$2:$B$5000, B67, '03_BOC_TACH_VAN'!$K$2:$K$5000)</f>
        <v/>
      </c>
      <c r="K67" s="16">
        <f>SUM(H67:J67)</f>
        <v/>
      </c>
      <c r="L67" s="16">
        <f>(K67-SUMIFS('03_BOC_TACH_VAN'!$K$2:$K$5000, '03_BOC_TACH_VAN'!$B$2:$B$5000, B67, '03_BOC_TACH_VAN'!$D$2:$D$5000, "ĐỘNG_CƠ_VÀ_CẢM_BIẾN"))*0.25</f>
        <v/>
      </c>
      <c r="M67" s="16">
        <f>(K67-SUMIFS('03_BOC_TACH_VAN'!$K$2:$K$5000, '03_BOC_TACH_VAN'!$B$2:$B$5000, B67, '03_BOC_TACH_VAN'!$D$2:$D$5000, "ĐỘNG_CƠ_VÀ_CẢM_BIẾN"))*0.10</f>
        <v/>
      </c>
      <c r="N67" s="16">
        <f>K67+L67+M67</f>
        <v/>
      </c>
      <c r="O67" s="16">
        <f>IF(G67&gt;0, N67/G67, 0)</f>
        <v/>
      </c>
      <c r="P67" s="17" t="n">
        <v>0.18</v>
      </c>
      <c r="Q67" s="16">
        <f>IF(G67&gt;0, ((N67-SUMIFS('03_BOC_TACH_VAN'!$K$2:$K$5000, '03_BOC_TACH_VAN'!$B$2:$B$5000, B67, '03_BOC_TACH_VAN'!$D$2:$D$5000, "ĐỘNG_CƠ_VÀ_CẢM_BIẾN"))*(1+P67)+SUMIFS('03_BOC_TACH_VAN'!$K$2:$K$5000, '03_BOC_TACH_VAN'!$B$2:$B$5000, B67, '03_BOC_TACH_VAN'!$D$2:$D$5000, "ĐỘNG_CƠ_VÀ_CẢM_BIẾN"))/G67, 0)</f>
        <v/>
      </c>
      <c r="R67" s="16">
        <f>G67*Q67</f>
        <v/>
      </c>
      <c r="S67" t="inlineStr">
        <is>
          <t>Louver nan Z ngoài trời kèm lưới chắn côn trùng Inox 304</t>
        </is>
      </c>
    </row>
    <row r="68">
      <c r="A68" t="n">
        <v>67</v>
      </c>
      <c r="B68" t="inlineStr">
        <is>
          <t>SW-DIFF-067</t>
        </is>
      </c>
      <c r="C68" t="inlineStr">
        <is>
          <t>CỬA GIÓ</t>
        </is>
      </c>
      <c r="D68" t="inlineStr">
        <is>
          <t>Miệng gió
 OAL+IS 700x400</t>
        </is>
      </c>
      <c r="E68" t="inlineStr">
        <is>
          <t>700x400</t>
        </is>
      </c>
      <c r="F68" t="inlineStr">
        <is>
          <t>cái</t>
        </is>
      </c>
      <c r="G68" s="16" t="n">
        <v>1</v>
      </c>
      <c r="H68" s="16">
        <f>SUMIF('01_BOC_TACH_ONG'!$B$2:$B$5000, B68, '01_BOC_TACH_ONG'!$K$2:$K$5000)</f>
        <v/>
      </c>
      <c r="I68" s="16">
        <f>SUMIF('02_BOC_TACH_CUA'!$B$2:$B$5000, B68, '02_BOC_TACH_CUA'!$K$2:$K$5000)</f>
        <v/>
      </c>
      <c r="J68" s="16">
        <f>SUMIF('03_BOC_TACH_VAN'!$B$2:$B$5000, B68, '03_BOC_TACH_VAN'!$K$2:$K$5000)</f>
        <v/>
      </c>
      <c r="K68" s="16">
        <f>SUM(H68:J68)</f>
        <v/>
      </c>
      <c r="L68" s="16">
        <f>(K68-SUMIFS('03_BOC_TACH_VAN'!$K$2:$K$5000, '03_BOC_TACH_VAN'!$B$2:$B$5000, B68, '03_BOC_TACH_VAN'!$D$2:$D$5000, "ĐỘNG_CƠ_VÀ_CẢM_BIẾN"))*0.25</f>
        <v/>
      </c>
      <c r="M68" s="16">
        <f>(K68-SUMIFS('03_BOC_TACH_VAN'!$K$2:$K$5000, '03_BOC_TACH_VAN'!$B$2:$B$5000, B68, '03_BOC_TACH_VAN'!$D$2:$D$5000, "ĐỘNG_CƠ_VÀ_CẢM_BIẾN"))*0.10</f>
        <v/>
      </c>
      <c r="N68" s="16">
        <f>K68+L68+M68</f>
        <v/>
      </c>
      <c r="O68" s="16">
        <f>IF(G68&gt;0, N68/G68, 0)</f>
        <v/>
      </c>
      <c r="P68" s="17" t="n">
        <v>0.18</v>
      </c>
      <c r="Q68" s="16">
        <f>IF(G68&gt;0, ((N68-SUMIFS('03_BOC_TACH_VAN'!$K$2:$K$5000, '03_BOC_TACH_VAN'!$B$2:$B$5000, B68, '03_BOC_TACH_VAN'!$D$2:$D$5000, "ĐỘNG_CƠ_VÀ_CẢM_BIẾN"))*(1+P68)+SUMIFS('03_BOC_TACH_VAN'!$K$2:$K$5000, '03_BOC_TACH_VAN'!$B$2:$B$5000, B68, '03_BOC_TACH_VAN'!$D$2:$D$5000, "ĐỘNG_CƠ_VÀ_CẢM_BIẾN"))/G68, 0)</f>
        <v/>
      </c>
      <c r="R68" s="16">
        <f>G68*Q68</f>
        <v/>
      </c>
      <c r="S68" t="inlineStr">
        <is>
          <t>Louver nan Z ngoài trời kèm lưới chắn côn trùng Inox 304</t>
        </is>
      </c>
    </row>
    <row r="69">
      <c r="A69" t="n">
        <v>68</v>
      </c>
      <c r="B69" t="inlineStr">
        <is>
          <t>SW-DIFF-068</t>
        </is>
      </c>
      <c r="C69" t="inlineStr">
        <is>
          <t>CỬA GIÓ</t>
        </is>
      </c>
      <c r="D69" t="inlineStr">
        <is>
          <t>Miệng gió Cover che mưa kèm LCCT 800x350</t>
        </is>
      </c>
      <c r="E69" t="inlineStr">
        <is>
          <t>800x350</t>
        </is>
      </c>
      <c r="F69" t="inlineStr">
        <is>
          <t>cái</t>
        </is>
      </c>
      <c r="G69" s="16" t="n">
        <v>1</v>
      </c>
      <c r="H69" s="16">
        <f>SUMIF('01_BOC_TACH_ONG'!$B$2:$B$5000, B69, '01_BOC_TACH_ONG'!$K$2:$K$5000)</f>
        <v/>
      </c>
      <c r="I69" s="16">
        <f>SUMIF('02_BOC_TACH_CUA'!$B$2:$B$5000, B69, '02_BOC_TACH_CUA'!$K$2:$K$5000)</f>
        <v/>
      </c>
      <c r="J69" s="16">
        <f>SUMIF('03_BOC_TACH_VAN'!$B$2:$B$5000, B69, '03_BOC_TACH_VAN'!$K$2:$K$5000)</f>
        <v/>
      </c>
      <c r="K69" s="16">
        <f>SUM(H69:J69)</f>
        <v/>
      </c>
      <c r="L69" s="16">
        <f>(K69-SUMIFS('03_BOC_TACH_VAN'!$K$2:$K$5000, '03_BOC_TACH_VAN'!$B$2:$B$5000, B69, '03_BOC_TACH_VAN'!$D$2:$D$5000, "ĐỘNG_CƠ_VÀ_CẢM_BIẾN"))*0.25</f>
        <v/>
      </c>
      <c r="M69" s="16">
        <f>(K69-SUMIFS('03_BOC_TACH_VAN'!$K$2:$K$5000, '03_BOC_TACH_VAN'!$B$2:$B$5000, B69, '03_BOC_TACH_VAN'!$D$2:$D$5000, "ĐỘNG_CƠ_VÀ_CẢM_BIẾN"))*0.10</f>
        <v/>
      </c>
      <c r="N69" s="16">
        <f>K69+L69+M69</f>
        <v/>
      </c>
      <c r="O69" s="16">
        <f>IF(G69&gt;0, N69/G69, 0)</f>
        <v/>
      </c>
      <c r="P69" s="17" t="n">
        <v>0.18</v>
      </c>
      <c r="Q69" s="16">
        <f>IF(G69&gt;0, ((N69-SUMIFS('03_BOC_TACH_VAN'!$K$2:$K$5000, '03_BOC_TACH_VAN'!$B$2:$B$5000, B69, '03_BOC_TACH_VAN'!$D$2:$D$5000, "ĐỘNG_CƠ_VÀ_CẢM_BIẾN"))*(1+P69)+SUMIFS('03_BOC_TACH_VAN'!$K$2:$K$5000, '03_BOC_TACH_VAN'!$B$2:$B$5000, B69, '03_BOC_TACH_VAN'!$D$2:$D$5000, "ĐỘNG_CƠ_VÀ_CẢM_BIẾN"))/G69, 0)</f>
        <v/>
      </c>
      <c r="R69" s="16">
        <f>G69*Q69</f>
        <v/>
      </c>
      <c r="S69" t="inlineStr">
        <is>
          <t>Cửa nan bầu dục 1 lớp kèm LCCT</t>
        </is>
      </c>
    </row>
    <row r="70">
      <c r="A70" t="n">
        <v>69</v>
      </c>
      <c r="B70" t="inlineStr">
        <is>
          <t>SW-DIFF-069</t>
        </is>
      </c>
      <c r="C70" t="inlineStr">
        <is>
          <t>CỬA GIÓ</t>
        </is>
      </c>
      <c r="D70" t="inlineStr">
        <is>
          <t>Miệng gió Lưới chắn côn trùng 1500x300</t>
        </is>
      </c>
      <c r="E70" t="inlineStr">
        <is>
          <t>1500x300</t>
        </is>
      </c>
      <c r="F70" t="inlineStr">
        <is>
          <t>cái</t>
        </is>
      </c>
      <c r="G70" s="16" t="n">
        <v>1</v>
      </c>
      <c r="H70" s="16">
        <f>SUMIF('01_BOC_TACH_ONG'!$B$2:$B$5000, B70, '01_BOC_TACH_ONG'!$K$2:$K$5000)</f>
        <v/>
      </c>
      <c r="I70" s="16">
        <f>SUMIF('02_BOC_TACH_CUA'!$B$2:$B$5000, B70, '02_BOC_TACH_CUA'!$K$2:$K$5000)</f>
        <v/>
      </c>
      <c r="J70" s="16">
        <f>SUMIF('03_BOC_TACH_VAN'!$B$2:$B$5000, B70, '03_BOC_TACH_VAN'!$K$2:$K$5000)</f>
        <v/>
      </c>
      <c r="K70" s="16">
        <f>SUM(H70:J70)</f>
        <v/>
      </c>
      <c r="L70" s="16">
        <f>(K70-SUMIFS('03_BOC_TACH_VAN'!$K$2:$K$5000, '03_BOC_TACH_VAN'!$B$2:$B$5000, B70, '03_BOC_TACH_VAN'!$D$2:$D$5000, "ĐỘNG_CƠ_VÀ_CẢM_BIẾN"))*0.25</f>
        <v/>
      </c>
      <c r="M70" s="16">
        <f>(K70-SUMIFS('03_BOC_TACH_VAN'!$K$2:$K$5000, '03_BOC_TACH_VAN'!$B$2:$B$5000, B70, '03_BOC_TACH_VAN'!$D$2:$D$5000, "ĐỘNG_CƠ_VÀ_CẢM_BIẾN"))*0.10</f>
        <v/>
      </c>
      <c r="N70" s="16">
        <f>K70+L70+M70</f>
        <v/>
      </c>
      <c r="O70" s="16">
        <f>IF(G70&gt;0, N70/G70, 0)</f>
        <v/>
      </c>
      <c r="P70" s="17" t="n">
        <v>0.18</v>
      </c>
      <c r="Q70" s="16">
        <f>IF(G70&gt;0, ((N70-SUMIFS('03_BOC_TACH_VAN'!$K$2:$K$5000, '03_BOC_TACH_VAN'!$B$2:$B$5000, B70, '03_BOC_TACH_VAN'!$D$2:$D$5000, "ĐỘNG_CƠ_VÀ_CẢM_BIẾN"))*(1+P70)+SUMIFS('03_BOC_TACH_VAN'!$K$2:$K$5000, '03_BOC_TACH_VAN'!$B$2:$B$5000, B70, '03_BOC_TACH_VAN'!$D$2:$D$5000, "ĐỘNG_CƠ_VÀ_CẢM_BIẾN"))/G70, 0)</f>
        <v/>
      </c>
      <c r="R70" s="16">
        <f>G70*Q70</f>
        <v/>
      </c>
      <c r="S70" t="inlineStr">
        <is>
          <t>Lưới chắn côn trùng</t>
        </is>
      </c>
    </row>
    <row r="71">
      <c r="A71" t="n">
        <v>70</v>
      </c>
      <c r="B71" t="inlineStr">
        <is>
          <t>SW-DIFF-070</t>
        </is>
      </c>
      <c r="C71" t="inlineStr">
        <is>
          <t>CỬA GIÓ</t>
        </is>
      </c>
      <c r="D71" t="inlineStr">
        <is>
          <t>Miệng gió Lưới chắn côn trùng 500x600</t>
        </is>
      </c>
      <c r="E71" t="inlineStr">
        <is>
          <t>500x600</t>
        </is>
      </c>
      <c r="F71" t="inlineStr">
        <is>
          <t>cái</t>
        </is>
      </c>
      <c r="G71" s="16" t="n">
        <v>1</v>
      </c>
      <c r="H71" s="16">
        <f>SUMIF('01_BOC_TACH_ONG'!$B$2:$B$5000, B71, '01_BOC_TACH_ONG'!$K$2:$K$5000)</f>
        <v/>
      </c>
      <c r="I71" s="16">
        <f>SUMIF('02_BOC_TACH_CUA'!$B$2:$B$5000, B71, '02_BOC_TACH_CUA'!$K$2:$K$5000)</f>
        <v/>
      </c>
      <c r="J71" s="16">
        <f>SUMIF('03_BOC_TACH_VAN'!$B$2:$B$5000, B71, '03_BOC_TACH_VAN'!$K$2:$K$5000)</f>
        <v/>
      </c>
      <c r="K71" s="16">
        <f>SUM(H71:J71)</f>
        <v/>
      </c>
      <c r="L71" s="16">
        <f>(K71-SUMIFS('03_BOC_TACH_VAN'!$K$2:$K$5000, '03_BOC_TACH_VAN'!$B$2:$B$5000, B71, '03_BOC_TACH_VAN'!$D$2:$D$5000, "ĐỘNG_CƠ_VÀ_CẢM_BIẾN"))*0.25</f>
        <v/>
      </c>
      <c r="M71" s="16">
        <f>(K71-SUMIFS('03_BOC_TACH_VAN'!$K$2:$K$5000, '03_BOC_TACH_VAN'!$B$2:$B$5000, B71, '03_BOC_TACH_VAN'!$D$2:$D$5000, "ĐỘNG_CƠ_VÀ_CẢM_BIẾN"))*0.10</f>
        <v/>
      </c>
      <c r="N71" s="16">
        <f>K71+L71+M71</f>
        <v/>
      </c>
      <c r="O71" s="16">
        <f>IF(G71&gt;0, N71/G71, 0)</f>
        <v/>
      </c>
      <c r="P71" s="17" t="n">
        <v>0.18</v>
      </c>
      <c r="Q71" s="16">
        <f>IF(G71&gt;0, ((N71-SUMIFS('03_BOC_TACH_VAN'!$K$2:$K$5000, '03_BOC_TACH_VAN'!$B$2:$B$5000, B71, '03_BOC_TACH_VAN'!$D$2:$D$5000, "ĐỘNG_CƠ_VÀ_CẢM_BIẾN"))*(1+P71)+SUMIFS('03_BOC_TACH_VAN'!$K$2:$K$5000, '03_BOC_TACH_VAN'!$B$2:$B$5000, B71, '03_BOC_TACH_VAN'!$D$2:$D$5000, "ĐỘNG_CƠ_VÀ_CẢM_BIẾN"))/G71, 0)</f>
        <v/>
      </c>
      <c r="R71" s="16">
        <f>G71*Q71</f>
        <v/>
      </c>
      <c r="S71" t="inlineStr">
        <is>
          <t>Lưới chắn côn trùng</t>
        </is>
      </c>
    </row>
    <row r="72">
      <c r="A72" t="n">
        <v>71</v>
      </c>
      <c r="B72" t="inlineStr">
        <is>
          <t>SW-DIFF-071</t>
        </is>
      </c>
      <c r="C72" t="inlineStr">
        <is>
          <t>CỬA GIÓ</t>
        </is>
      </c>
      <c r="D72" t="inlineStr">
        <is>
          <t>Miệng gió Lưới chắn côn trùng 600x750</t>
        </is>
      </c>
      <c r="E72" t="inlineStr">
        <is>
          <t>600x750</t>
        </is>
      </c>
      <c r="F72" t="inlineStr">
        <is>
          <t>cái</t>
        </is>
      </c>
      <c r="G72" s="16" t="n">
        <v>1</v>
      </c>
      <c r="H72" s="16">
        <f>SUMIF('01_BOC_TACH_ONG'!$B$2:$B$5000, B72, '01_BOC_TACH_ONG'!$K$2:$K$5000)</f>
        <v/>
      </c>
      <c r="I72" s="16">
        <f>SUMIF('02_BOC_TACH_CUA'!$B$2:$B$5000, B72, '02_BOC_TACH_CUA'!$K$2:$K$5000)</f>
        <v/>
      </c>
      <c r="J72" s="16">
        <f>SUMIF('03_BOC_TACH_VAN'!$B$2:$B$5000, B72, '03_BOC_TACH_VAN'!$K$2:$K$5000)</f>
        <v/>
      </c>
      <c r="K72" s="16">
        <f>SUM(H72:J72)</f>
        <v/>
      </c>
      <c r="L72" s="16">
        <f>(K72-SUMIFS('03_BOC_TACH_VAN'!$K$2:$K$5000, '03_BOC_TACH_VAN'!$B$2:$B$5000, B72, '03_BOC_TACH_VAN'!$D$2:$D$5000, "ĐỘNG_CƠ_VÀ_CẢM_BIẾN"))*0.25</f>
        <v/>
      </c>
      <c r="M72" s="16">
        <f>(K72-SUMIFS('03_BOC_TACH_VAN'!$K$2:$K$5000, '03_BOC_TACH_VAN'!$B$2:$B$5000, B72, '03_BOC_TACH_VAN'!$D$2:$D$5000, "ĐỘNG_CƠ_VÀ_CẢM_BIẾN"))*0.10</f>
        <v/>
      </c>
      <c r="N72" s="16">
        <f>K72+L72+M72</f>
        <v/>
      </c>
      <c r="O72" s="16">
        <f>IF(G72&gt;0, N72/G72, 0)</f>
        <v/>
      </c>
      <c r="P72" s="17" t="n">
        <v>0.18</v>
      </c>
      <c r="Q72" s="16">
        <f>IF(G72&gt;0, ((N72-SUMIFS('03_BOC_TACH_VAN'!$K$2:$K$5000, '03_BOC_TACH_VAN'!$B$2:$B$5000, B72, '03_BOC_TACH_VAN'!$D$2:$D$5000, "ĐỘNG_CƠ_VÀ_CẢM_BIẾN"))*(1+P72)+SUMIFS('03_BOC_TACH_VAN'!$K$2:$K$5000, '03_BOC_TACH_VAN'!$B$2:$B$5000, B72, '03_BOC_TACH_VAN'!$D$2:$D$5000, "ĐỘNG_CƠ_VÀ_CẢM_BIẾN"))/G72, 0)</f>
        <v/>
      </c>
      <c r="R72" s="16">
        <f>G72*Q72</f>
        <v/>
      </c>
      <c r="S72" t="inlineStr">
        <is>
          <t>Lưới chắn côn trùng</t>
        </is>
      </c>
    </row>
    <row r="73">
      <c r="A73" t="n">
        <v>72</v>
      </c>
      <c r="B73" t="inlineStr">
        <is>
          <t>SW-DIFF-072</t>
        </is>
      </c>
      <c r="C73" t="inlineStr">
        <is>
          <t>CỬA GIÓ</t>
        </is>
      </c>
      <c r="D73" t="inlineStr">
        <is>
          <t>Miệng gió Lưới chắn côn trùng 1000x1000</t>
        </is>
      </c>
      <c r="E73" t="inlineStr">
        <is>
          <t>1000x1000</t>
        </is>
      </c>
      <c r="F73" t="inlineStr">
        <is>
          <t>cái</t>
        </is>
      </c>
      <c r="G73" s="16" t="n">
        <v>9</v>
      </c>
      <c r="H73" s="16">
        <f>SUMIF('01_BOC_TACH_ONG'!$B$2:$B$5000, B73, '01_BOC_TACH_ONG'!$K$2:$K$5000)</f>
        <v/>
      </c>
      <c r="I73" s="16">
        <f>SUMIF('02_BOC_TACH_CUA'!$B$2:$B$5000, B73, '02_BOC_TACH_CUA'!$K$2:$K$5000)</f>
        <v/>
      </c>
      <c r="J73" s="16">
        <f>SUMIF('03_BOC_TACH_VAN'!$B$2:$B$5000, B73, '03_BOC_TACH_VAN'!$K$2:$K$5000)</f>
        <v/>
      </c>
      <c r="K73" s="16">
        <f>SUM(H73:J73)</f>
        <v/>
      </c>
      <c r="L73" s="16">
        <f>(K73-SUMIFS('03_BOC_TACH_VAN'!$K$2:$K$5000, '03_BOC_TACH_VAN'!$B$2:$B$5000, B73, '03_BOC_TACH_VAN'!$D$2:$D$5000, "ĐỘNG_CƠ_VÀ_CẢM_BIẾN"))*0.25</f>
        <v/>
      </c>
      <c r="M73" s="16">
        <f>(K73-SUMIFS('03_BOC_TACH_VAN'!$K$2:$K$5000, '03_BOC_TACH_VAN'!$B$2:$B$5000, B73, '03_BOC_TACH_VAN'!$D$2:$D$5000, "ĐỘNG_CƠ_VÀ_CẢM_BIẾN"))*0.10</f>
        <v/>
      </c>
      <c r="N73" s="16">
        <f>K73+L73+M73</f>
        <v/>
      </c>
      <c r="O73" s="16">
        <f>IF(G73&gt;0, N73/G73, 0)</f>
        <v/>
      </c>
      <c r="P73" s="17" t="n">
        <v>0.18</v>
      </c>
      <c r="Q73" s="16">
        <f>IF(G73&gt;0, ((N73-SUMIFS('03_BOC_TACH_VAN'!$K$2:$K$5000, '03_BOC_TACH_VAN'!$B$2:$B$5000, B73, '03_BOC_TACH_VAN'!$D$2:$D$5000, "ĐỘNG_CƠ_VÀ_CẢM_BIẾN"))*(1+P73)+SUMIFS('03_BOC_TACH_VAN'!$K$2:$K$5000, '03_BOC_TACH_VAN'!$B$2:$B$5000, B73, '03_BOC_TACH_VAN'!$D$2:$D$5000, "ĐỘNG_CƠ_VÀ_CẢM_BIẾN"))/G73, 0)</f>
        <v/>
      </c>
      <c r="R73" s="16">
        <f>G73*Q73</f>
        <v/>
      </c>
      <c r="S73" t="inlineStr">
        <is>
          <t>Lưới chắn côn trùng</t>
        </is>
      </c>
    </row>
    <row r="74">
      <c r="A74" t="n">
        <v>73</v>
      </c>
      <c r="B74" t="inlineStr">
        <is>
          <t>SW-DIFF-073</t>
        </is>
      </c>
      <c r="C74" t="inlineStr">
        <is>
          <t>CỬA GIÓ</t>
        </is>
      </c>
      <c r="D74" t="inlineStr">
        <is>
          <t>Miệng gió
 OAG+OBD 1500x1000</t>
        </is>
      </c>
      <c r="E74" t="inlineStr">
        <is>
          <t>1500x1000</t>
        </is>
      </c>
      <c r="F74" t="inlineStr">
        <is>
          <t>cái</t>
        </is>
      </c>
      <c r="G74" s="16" t="n">
        <v>4</v>
      </c>
      <c r="H74" s="16">
        <f>SUMIF('01_BOC_TACH_ONG'!$B$2:$B$5000, B74, '01_BOC_TACH_ONG'!$K$2:$K$5000)</f>
        <v/>
      </c>
      <c r="I74" s="16">
        <f>SUMIF('02_BOC_TACH_CUA'!$B$2:$B$5000, B74, '02_BOC_TACH_CUA'!$K$2:$K$5000)</f>
        <v/>
      </c>
      <c r="J74" s="16">
        <f>SUMIF('03_BOC_TACH_VAN'!$B$2:$B$5000, B74, '03_BOC_TACH_VAN'!$K$2:$K$5000)</f>
        <v/>
      </c>
      <c r="K74" s="16">
        <f>SUM(H74:J74)</f>
        <v/>
      </c>
      <c r="L74" s="16">
        <f>(K74-SUMIFS('03_BOC_TACH_VAN'!$K$2:$K$5000, '03_BOC_TACH_VAN'!$B$2:$B$5000, B74, '03_BOC_TACH_VAN'!$D$2:$D$5000, "ĐỘNG_CƠ_VÀ_CẢM_BIẾN"))*0.25</f>
        <v/>
      </c>
      <c r="M74" s="16">
        <f>(K74-SUMIFS('03_BOC_TACH_VAN'!$K$2:$K$5000, '03_BOC_TACH_VAN'!$B$2:$B$5000, B74, '03_BOC_TACH_VAN'!$D$2:$D$5000, "ĐỘNG_CƠ_VÀ_CẢM_BIẾN"))*0.10</f>
        <v/>
      </c>
      <c r="N74" s="16">
        <f>K74+L74+M74</f>
        <v/>
      </c>
      <c r="O74" s="16">
        <f>IF(G74&gt;0, N74/G74, 0)</f>
        <v/>
      </c>
      <c r="P74" s="17" t="n">
        <v>0.18</v>
      </c>
      <c r="Q74" s="16">
        <f>IF(G74&gt;0, ((N74-SUMIFS('03_BOC_TACH_VAN'!$K$2:$K$5000, '03_BOC_TACH_VAN'!$B$2:$B$5000, B74, '03_BOC_TACH_VAN'!$D$2:$D$5000, "ĐỘNG_CƠ_VÀ_CẢM_BIẾN"))*(1+P74)+SUMIFS('03_BOC_TACH_VAN'!$K$2:$K$5000, '03_BOC_TACH_VAN'!$B$2:$B$5000, B74, '03_BOC_TACH_VAN'!$D$2:$D$5000, "ĐỘNG_CƠ_VÀ_CẢM_BIẾN"))/G74, 0)</f>
        <v/>
      </c>
      <c r="R74" s="16">
        <f>G74*Q74</f>
        <v/>
      </c>
      <c r="S74" t="inlineStr">
        <is>
          <t>Cửa nan bầu dục 1 lớp kèm van OBD</t>
        </is>
      </c>
    </row>
    <row r="75">
      <c r="A75" t="n">
        <v>74</v>
      </c>
      <c r="B75" t="inlineStr">
        <is>
          <t>SW-DIFF-074</t>
        </is>
      </c>
      <c r="C75" t="inlineStr">
        <is>
          <t>CỬA GIÓ</t>
        </is>
      </c>
      <c r="D75" t="inlineStr">
        <is>
          <t>Miệng gió OAL+IS 3000x1500</t>
        </is>
      </c>
      <c r="E75" t="inlineStr">
        <is>
          <t>3000x1500</t>
        </is>
      </c>
      <c r="F75" t="inlineStr">
        <is>
          <t>cái</t>
        </is>
      </c>
      <c r="G75" s="16" t="n">
        <v>3</v>
      </c>
      <c r="H75" s="16">
        <f>SUMIF('01_BOC_TACH_ONG'!$B$2:$B$5000, B75, '01_BOC_TACH_ONG'!$K$2:$K$5000)</f>
        <v/>
      </c>
      <c r="I75" s="16">
        <f>SUMIF('02_BOC_TACH_CUA'!$B$2:$B$5000, B75, '02_BOC_TACH_CUA'!$K$2:$K$5000)</f>
        <v/>
      </c>
      <c r="J75" s="16">
        <f>SUMIF('03_BOC_TACH_VAN'!$B$2:$B$5000, B75, '03_BOC_TACH_VAN'!$K$2:$K$5000)</f>
        <v/>
      </c>
      <c r="K75" s="16">
        <f>SUM(H75:J75)</f>
        <v/>
      </c>
      <c r="L75" s="16">
        <f>(K75-SUMIFS('03_BOC_TACH_VAN'!$K$2:$K$5000, '03_BOC_TACH_VAN'!$B$2:$B$5000, B75, '03_BOC_TACH_VAN'!$D$2:$D$5000, "ĐỘNG_CƠ_VÀ_CẢM_BIẾN"))*0.25</f>
        <v/>
      </c>
      <c r="M75" s="16">
        <f>(K75-SUMIFS('03_BOC_TACH_VAN'!$K$2:$K$5000, '03_BOC_TACH_VAN'!$B$2:$B$5000, B75, '03_BOC_TACH_VAN'!$D$2:$D$5000, "ĐỘNG_CƠ_VÀ_CẢM_BIẾN"))*0.10</f>
        <v/>
      </c>
      <c r="N75" s="16">
        <f>K75+L75+M75</f>
        <v/>
      </c>
      <c r="O75" s="16">
        <f>IF(G75&gt;0, N75/G75, 0)</f>
        <v/>
      </c>
      <c r="P75" s="17" t="n">
        <v>0.18</v>
      </c>
      <c r="Q75" s="16">
        <f>IF(G75&gt;0, ((N75-SUMIFS('03_BOC_TACH_VAN'!$K$2:$K$5000, '03_BOC_TACH_VAN'!$B$2:$B$5000, B75, '03_BOC_TACH_VAN'!$D$2:$D$5000, "ĐỘNG_CƠ_VÀ_CẢM_BIẾN"))*(1+P75)+SUMIFS('03_BOC_TACH_VAN'!$K$2:$K$5000, '03_BOC_TACH_VAN'!$B$2:$B$5000, B75, '03_BOC_TACH_VAN'!$D$2:$D$5000, "ĐỘNG_CƠ_VÀ_CẢM_BIẾN"))/G75, 0)</f>
        <v/>
      </c>
      <c r="R75" s="16">
        <f>G75*Q75</f>
        <v/>
      </c>
      <c r="S75" t="inlineStr">
        <is>
          <t>Louver nan Z ngoài trời kèm lưới chắn côn trùng Inox 304</t>
        </is>
      </c>
    </row>
    <row r="76">
      <c r="A76" t="n">
        <v>75</v>
      </c>
      <c r="B76" t="inlineStr">
        <is>
          <t>SW-DIFF-075</t>
        </is>
      </c>
      <c r="C76" t="inlineStr">
        <is>
          <t>CỬA GIÓ</t>
        </is>
      </c>
      <c r="D76" t="inlineStr">
        <is>
          <t>Miệng gió Cửa cấp gió bù 1500x1000</t>
        </is>
      </c>
      <c r="E76" t="inlineStr">
        <is>
          <t>1500x1000</t>
        </is>
      </c>
      <c r="F76" t="inlineStr">
        <is>
          <t>cái</t>
        </is>
      </c>
      <c r="G76" s="16" t="n">
        <v>99</v>
      </c>
      <c r="H76" s="16">
        <f>SUMIF('01_BOC_TACH_ONG'!$B$2:$B$5000, B76, '01_BOC_TACH_ONG'!$K$2:$K$5000)</f>
        <v/>
      </c>
      <c r="I76" s="16">
        <f>SUMIF('02_BOC_TACH_CUA'!$B$2:$B$5000, B76, '02_BOC_TACH_CUA'!$K$2:$K$5000)</f>
        <v/>
      </c>
      <c r="J76" s="16">
        <f>SUMIF('03_BOC_TACH_VAN'!$B$2:$B$5000, B76, '03_BOC_TACH_VAN'!$K$2:$K$5000)</f>
        <v/>
      </c>
      <c r="K76" s="16">
        <f>SUM(H76:J76)</f>
        <v/>
      </c>
      <c r="L76" s="16">
        <f>(K76-SUMIFS('03_BOC_TACH_VAN'!$K$2:$K$5000, '03_BOC_TACH_VAN'!$B$2:$B$5000, B76, '03_BOC_TACH_VAN'!$D$2:$D$5000, "ĐỘNG_CƠ_VÀ_CẢM_BIẾN"))*0.25</f>
        <v/>
      </c>
      <c r="M76" s="16">
        <f>(K76-SUMIFS('03_BOC_TACH_VAN'!$K$2:$K$5000, '03_BOC_TACH_VAN'!$B$2:$B$5000, B76, '03_BOC_TACH_VAN'!$D$2:$D$5000, "ĐỘNG_CƠ_VÀ_CẢM_BIẾN"))*0.10</f>
        <v/>
      </c>
      <c r="N76" s="16">
        <f>K76+L76+M76</f>
        <v/>
      </c>
      <c r="O76" s="16">
        <f>IF(G76&gt;0, N76/G76, 0)</f>
        <v/>
      </c>
      <c r="P76" s="17" t="n">
        <v>0.18</v>
      </c>
      <c r="Q76" s="16">
        <f>IF(G76&gt;0, ((N76-SUMIFS('03_BOC_TACH_VAN'!$K$2:$K$5000, '03_BOC_TACH_VAN'!$B$2:$B$5000, B76, '03_BOC_TACH_VAN'!$D$2:$D$5000, "ĐỘNG_CƠ_VÀ_CẢM_BIẾN"))*(1+P76)+SUMIFS('03_BOC_TACH_VAN'!$K$2:$K$5000, '03_BOC_TACH_VAN'!$B$2:$B$5000, B76, '03_BOC_TACH_VAN'!$D$2:$D$5000, "ĐỘNG_CƠ_VÀ_CẢM_BIẾN"))/G76, 0)</f>
        <v/>
      </c>
      <c r="R76" s="16">
        <f>G76*Q76</f>
        <v/>
      </c>
      <c r="S76" t="inlineStr">
        <is>
          <t>Louver nan Z ngoài trời</t>
        </is>
      </c>
    </row>
    <row r="77">
      <c r="A77" t="n">
        <v>76</v>
      </c>
      <c r="B77" t="inlineStr">
        <is>
          <t>SW-DIFF-076</t>
        </is>
      </c>
      <c r="C77" t="inlineStr">
        <is>
          <t>CỬA GIÓ</t>
        </is>
      </c>
      <c r="D77" t="inlineStr">
        <is>
          <t>Miệng gió
 EAG + OBD 200x200</t>
        </is>
      </c>
      <c r="E77" t="inlineStr">
        <is>
          <t>200x200</t>
        </is>
      </c>
      <c r="F77" t="inlineStr">
        <is>
          <t>cái</t>
        </is>
      </c>
      <c r="G77" s="16" t="n">
        <v>35</v>
      </c>
      <c r="H77" s="16">
        <f>SUMIF('01_BOC_TACH_ONG'!$B$2:$B$5000, B77, '01_BOC_TACH_ONG'!$K$2:$K$5000)</f>
        <v/>
      </c>
      <c r="I77" s="16">
        <f>SUMIF('02_BOC_TACH_CUA'!$B$2:$B$5000, B77, '02_BOC_TACH_CUA'!$K$2:$K$5000)</f>
        <v/>
      </c>
      <c r="J77" s="16">
        <f>SUMIF('03_BOC_TACH_VAN'!$B$2:$B$5000, B77, '03_BOC_TACH_VAN'!$K$2:$K$5000)</f>
        <v/>
      </c>
      <c r="K77" s="16">
        <f>SUM(H77:J77)</f>
        <v/>
      </c>
      <c r="L77" s="16">
        <f>(K77-SUMIFS('03_BOC_TACH_VAN'!$K$2:$K$5000, '03_BOC_TACH_VAN'!$B$2:$B$5000, B77, '03_BOC_TACH_VAN'!$D$2:$D$5000, "ĐỘNG_CƠ_VÀ_CẢM_BIẾN"))*0.25</f>
        <v/>
      </c>
      <c r="M77" s="16">
        <f>(K77-SUMIFS('03_BOC_TACH_VAN'!$K$2:$K$5000, '03_BOC_TACH_VAN'!$B$2:$B$5000, B77, '03_BOC_TACH_VAN'!$D$2:$D$5000, "ĐỘNG_CƠ_VÀ_CẢM_BIẾN"))*0.10</f>
        <v/>
      </c>
      <c r="N77" s="16">
        <f>K77+L77+M77</f>
        <v/>
      </c>
      <c r="O77" s="16">
        <f>IF(G77&gt;0, N77/G77, 0)</f>
        <v/>
      </c>
      <c r="P77" s="17" t="n">
        <v>0.18</v>
      </c>
      <c r="Q77" s="16">
        <f>IF(G77&gt;0, ((N77-SUMIFS('03_BOC_TACH_VAN'!$K$2:$K$5000, '03_BOC_TACH_VAN'!$B$2:$B$5000, B77, '03_BOC_TACH_VAN'!$D$2:$D$5000, "ĐỘNG_CƠ_VÀ_CẢM_BIẾN"))*(1+P77)+SUMIFS('03_BOC_TACH_VAN'!$K$2:$K$5000, '03_BOC_TACH_VAN'!$B$2:$B$5000, B77, '03_BOC_TACH_VAN'!$D$2:$D$5000, "ĐỘNG_CƠ_VÀ_CẢM_BIẾN"))/G77, 0)</f>
        <v/>
      </c>
      <c r="R77" s="16">
        <f>G77*Q77</f>
        <v/>
      </c>
      <c r="S77" t="inlineStr">
        <is>
          <t>Cửa nan bầu dục 1 lớp kèm van OBD</t>
        </is>
      </c>
    </row>
    <row r="78">
      <c r="A78" t="n">
        <v>77</v>
      </c>
      <c r="B78" t="inlineStr">
        <is>
          <t>SW-DIFF-077</t>
        </is>
      </c>
      <c r="C78" t="inlineStr">
        <is>
          <t>CỬA GIÓ</t>
        </is>
      </c>
      <c r="D78" t="inlineStr">
        <is>
          <t>Miệng gió
 SEAG + OBD 950x950</t>
        </is>
      </c>
      <c r="E78" t="inlineStr">
        <is>
          <t>950x950</t>
        </is>
      </c>
      <c r="F78" t="inlineStr">
        <is>
          <t>cái</t>
        </is>
      </c>
      <c r="G78" s="16" t="n">
        <v>12</v>
      </c>
      <c r="H78" s="16">
        <f>SUMIF('01_BOC_TACH_ONG'!$B$2:$B$5000, B78, '01_BOC_TACH_ONG'!$K$2:$K$5000)</f>
        <v/>
      </c>
      <c r="I78" s="16">
        <f>SUMIF('02_BOC_TACH_CUA'!$B$2:$B$5000, B78, '02_BOC_TACH_CUA'!$K$2:$K$5000)</f>
        <v/>
      </c>
      <c r="J78" s="16">
        <f>SUMIF('03_BOC_TACH_VAN'!$B$2:$B$5000, B78, '03_BOC_TACH_VAN'!$K$2:$K$5000)</f>
        <v/>
      </c>
      <c r="K78" s="16">
        <f>SUM(H78:J78)</f>
        <v/>
      </c>
      <c r="L78" s="16">
        <f>(K78-SUMIFS('03_BOC_TACH_VAN'!$K$2:$K$5000, '03_BOC_TACH_VAN'!$B$2:$B$5000, B78, '03_BOC_TACH_VAN'!$D$2:$D$5000, "ĐỘNG_CƠ_VÀ_CẢM_BIẾN"))*0.25</f>
        <v/>
      </c>
      <c r="M78" s="16">
        <f>(K78-SUMIFS('03_BOC_TACH_VAN'!$K$2:$K$5000, '03_BOC_TACH_VAN'!$B$2:$B$5000, B78, '03_BOC_TACH_VAN'!$D$2:$D$5000, "ĐỘNG_CƠ_VÀ_CẢM_BIẾN"))*0.10</f>
        <v/>
      </c>
      <c r="N78" s="16">
        <f>K78+L78+M78</f>
        <v/>
      </c>
      <c r="O78" s="16">
        <f>IF(G78&gt;0, N78/G78, 0)</f>
        <v/>
      </c>
      <c r="P78" s="17" t="n">
        <v>0.18</v>
      </c>
      <c r="Q78" s="16">
        <f>IF(G78&gt;0, ((N78-SUMIFS('03_BOC_TACH_VAN'!$K$2:$K$5000, '03_BOC_TACH_VAN'!$B$2:$B$5000, B78, '03_BOC_TACH_VAN'!$D$2:$D$5000, "ĐỘNG_CƠ_VÀ_CẢM_BIẾN"))*(1+P78)+SUMIFS('03_BOC_TACH_VAN'!$K$2:$K$5000, '03_BOC_TACH_VAN'!$B$2:$B$5000, B78, '03_BOC_TACH_VAN'!$D$2:$D$5000, "ĐỘNG_CƠ_VÀ_CẢM_BIẾN"))/G78, 0)</f>
        <v/>
      </c>
      <c r="R78" s="16">
        <f>G78*Q78</f>
        <v/>
      </c>
      <c r="S78" t="inlineStr">
        <is>
          <t>Cửa nan bầu dục 1 lớp kèm van OBD</t>
        </is>
      </c>
    </row>
    <row r="79">
      <c r="A79" t="n">
        <v>78</v>
      </c>
      <c r="B79" t="inlineStr">
        <is>
          <t>SW-DIFF-078</t>
        </is>
      </c>
      <c r="C79" t="inlineStr">
        <is>
          <t>CỬA GIÓ</t>
        </is>
      </c>
      <c r="D79" t="inlineStr">
        <is>
          <t>Miệng gió
 SEAG + OBD 1000x550</t>
        </is>
      </c>
      <c r="E79" t="inlineStr">
        <is>
          <t>1000x550</t>
        </is>
      </c>
      <c r="F79" t="inlineStr">
        <is>
          <t>cái</t>
        </is>
      </c>
      <c r="G79" s="16" t="n">
        <v>198</v>
      </c>
      <c r="H79" s="16">
        <f>SUMIF('01_BOC_TACH_ONG'!$B$2:$B$5000, B79, '01_BOC_TACH_ONG'!$K$2:$K$5000)</f>
        <v/>
      </c>
      <c r="I79" s="16">
        <f>SUMIF('02_BOC_TACH_CUA'!$B$2:$B$5000, B79, '02_BOC_TACH_CUA'!$K$2:$K$5000)</f>
        <v/>
      </c>
      <c r="J79" s="16">
        <f>SUMIF('03_BOC_TACH_VAN'!$B$2:$B$5000, B79, '03_BOC_TACH_VAN'!$K$2:$K$5000)</f>
        <v/>
      </c>
      <c r="K79" s="16">
        <f>SUM(H79:J79)</f>
        <v/>
      </c>
      <c r="L79" s="16">
        <f>(K79-SUMIFS('03_BOC_TACH_VAN'!$K$2:$K$5000, '03_BOC_TACH_VAN'!$B$2:$B$5000, B79, '03_BOC_TACH_VAN'!$D$2:$D$5000, "ĐỘNG_CƠ_VÀ_CẢM_BIẾN"))*0.25</f>
        <v/>
      </c>
      <c r="M79" s="16">
        <f>(K79-SUMIFS('03_BOC_TACH_VAN'!$K$2:$K$5000, '03_BOC_TACH_VAN'!$B$2:$B$5000, B79, '03_BOC_TACH_VAN'!$D$2:$D$5000, "ĐỘNG_CƠ_VÀ_CẢM_BIẾN"))*0.10</f>
        <v/>
      </c>
      <c r="N79" s="16">
        <f>K79+L79+M79</f>
        <v/>
      </c>
      <c r="O79" s="16">
        <f>IF(G79&gt;0, N79/G79, 0)</f>
        <v/>
      </c>
      <c r="P79" s="17" t="n">
        <v>0.18</v>
      </c>
      <c r="Q79" s="16">
        <f>IF(G79&gt;0, ((N79-SUMIFS('03_BOC_TACH_VAN'!$K$2:$K$5000, '03_BOC_TACH_VAN'!$B$2:$B$5000, B79, '03_BOC_TACH_VAN'!$D$2:$D$5000, "ĐỘNG_CƠ_VÀ_CẢM_BIẾN"))*(1+P79)+SUMIFS('03_BOC_TACH_VAN'!$K$2:$K$5000, '03_BOC_TACH_VAN'!$B$2:$B$5000, B79, '03_BOC_TACH_VAN'!$D$2:$D$5000, "ĐỘNG_CƠ_VÀ_CẢM_BIẾN"))/G79, 0)</f>
        <v/>
      </c>
      <c r="R79" s="16">
        <f>G79*Q79</f>
        <v/>
      </c>
      <c r="S79" t="inlineStr">
        <is>
          <t>Cửa nan bầu dục 1 lớp kèm van OBD</t>
        </is>
      </c>
    </row>
    <row r="80">
      <c r="A80" t="n">
        <v>79</v>
      </c>
      <c r="B80" t="inlineStr">
        <is>
          <t>SW-DIFF-079</t>
        </is>
      </c>
      <c r="C80" t="inlineStr">
        <is>
          <t>CỬA GIÓ</t>
        </is>
      </c>
      <c r="D80" t="inlineStr">
        <is>
          <t>Cửa gió nan thẳng 200x200</t>
        </is>
      </c>
      <c r="E80" t="inlineStr">
        <is>
          <t>200x200</t>
        </is>
      </c>
      <c r="F80" t="inlineStr">
        <is>
          <t>cái</t>
        </is>
      </c>
      <c r="G80" s="16" t="n">
        <v>35</v>
      </c>
      <c r="H80" s="16">
        <f>SUMIF('01_BOC_TACH_ONG'!$B$2:$B$5000, B80, '01_BOC_TACH_ONG'!$K$2:$K$5000)</f>
        <v/>
      </c>
      <c r="I80" s="16">
        <f>SUMIF('02_BOC_TACH_CUA'!$B$2:$B$5000, B80, '02_BOC_TACH_CUA'!$K$2:$K$5000)</f>
        <v/>
      </c>
      <c r="J80" s="16">
        <f>SUMIF('03_BOC_TACH_VAN'!$B$2:$B$5000, B80, '03_BOC_TACH_VAN'!$K$2:$K$5000)</f>
        <v/>
      </c>
      <c r="K80" s="16">
        <f>SUM(H80:J80)</f>
        <v/>
      </c>
      <c r="L80" s="16">
        <f>(K80-SUMIFS('03_BOC_TACH_VAN'!$K$2:$K$5000, '03_BOC_TACH_VAN'!$B$2:$B$5000, B80, '03_BOC_TACH_VAN'!$D$2:$D$5000, "ĐỘNG_CƠ_VÀ_CẢM_BIẾN"))*0.25</f>
        <v/>
      </c>
      <c r="M80" s="16">
        <f>(K80-SUMIFS('03_BOC_TACH_VAN'!$K$2:$K$5000, '03_BOC_TACH_VAN'!$B$2:$B$5000, B80, '03_BOC_TACH_VAN'!$D$2:$D$5000, "ĐỘNG_CƠ_VÀ_CẢM_BIẾN"))*0.10</f>
        <v/>
      </c>
      <c r="N80" s="16">
        <f>K80+L80+M80</f>
        <v/>
      </c>
      <c r="O80" s="16">
        <f>IF(G80&gt;0, N80/G80, 0)</f>
        <v/>
      </c>
      <c r="P80" s="17" t="n">
        <v>0.18</v>
      </c>
      <c r="Q80" s="16">
        <f>IF(G80&gt;0, ((N80-SUMIFS('03_BOC_TACH_VAN'!$K$2:$K$5000, '03_BOC_TACH_VAN'!$B$2:$B$5000, B80, '03_BOC_TACH_VAN'!$D$2:$D$5000, "ĐỘNG_CƠ_VÀ_CẢM_BIẾN"))*(1+P80)+SUMIFS('03_BOC_TACH_VAN'!$K$2:$K$5000, '03_BOC_TACH_VAN'!$B$2:$B$5000, B80, '03_BOC_TACH_VAN'!$D$2:$D$5000, "ĐỘNG_CƠ_VÀ_CẢM_BIẾN"))/G80, 0)</f>
        <v/>
      </c>
      <c r="R80" s="16">
        <f>G80*Q80</f>
        <v/>
      </c>
      <c r="S80" t="inlineStr">
        <is>
          <t>Cửa nan bầu dục 1 lớp</t>
        </is>
      </c>
    </row>
    <row r="81">
      <c r="A81" t="n">
        <v>80</v>
      </c>
      <c r="B81" t="inlineStr">
        <is>
          <t>SW-DAMPER-080</t>
        </is>
      </c>
      <c r="C81" t="inlineStr">
        <is>
          <t>VAN GIÓ</t>
        </is>
      </c>
      <c r="D81" t="inlineStr">
        <is>
          <t>Van chặn lửa động cơ MFD 200x200</t>
        </is>
      </c>
      <c r="E81" t="inlineStr">
        <is>
          <t>200x200</t>
        </is>
      </c>
      <c r="F81" t="inlineStr">
        <is>
          <t>cái</t>
        </is>
      </c>
      <c r="G81" s="16" t="n">
        <v>35</v>
      </c>
      <c r="H81" s="16">
        <f>SUMIF('01_BOC_TACH_ONG'!$B$2:$B$5000, B81, '01_BOC_TACH_ONG'!$K$2:$K$5000)</f>
        <v/>
      </c>
      <c r="I81" s="16">
        <f>SUMIF('02_BOC_TACH_CUA'!$B$2:$B$5000, B81, '02_BOC_TACH_CUA'!$K$2:$K$5000)</f>
        <v/>
      </c>
      <c r="J81" s="16">
        <f>SUMIF('03_BOC_TACH_VAN'!$B$2:$B$5000, B81, '03_BOC_TACH_VAN'!$K$2:$K$5000)</f>
        <v/>
      </c>
      <c r="K81" s="16">
        <f>SUM(H81:J81)</f>
        <v/>
      </c>
      <c r="L81" s="16">
        <f>(K81-SUMIFS('03_BOC_TACH_VAN'!$K$2:$K$5000, '03_BOC_TACH_VAN'!$B$2:$B$5000, B81, '03_BOC_TACH_VAN'!$D$2:$D$5000, "ĐỘNG_CƠ_VÀ_CẢM_BIẾN"))*0.25</f>
        <v/>
      </c>
      <c r="M81" s="16">
        <f>(K81-SUMIFS('03_BOC_TACH_VAN'!$K$2:$K$5000, '03_BOC_TACH_VAN'!$B$2:$B$5000, B81, '03_BOC_TACH_VAN'!$D$2:$D$5000, "ĐỘNG_CƠ_VÀ_CẢM_BIẾN"))*0.10</f>
        <v/>
      </c>
      <c r="N81" s="16">
        <f>K81+L81+M81</f>
        <v/>
      </c>
      <c r="O81" s="16">
        <f>IF(G81&gt;0, N81/G81, 0)</f>
        <v/>
      </c>
      <c r="P81" s="17" t="n">
        <v>0.18</v>
      </c>
      <c r="Q81" s="16">
        <f>IF(G81&gt;0, ((N81-SUMIFS('03_BOC_TACH_VAN'!$K$2:$K$5000, '03_BOC_TACH_VAN'!$B$2:$B$5000, B81, '03_BOC_TACH_VAN'!$D$2:$D$5000, "ĐỘNG_CƠ_VÀ_CẢM_BIẾN"))*(1+P81)+SUMIFS('03_BOC_TACH_VAN'!$K$2:$K$5000, '03_BOC_TACH_VAN'!$B$2:$B$5000, B81, '03_BOC_TACH_VAN'!$D$2:$D$5000, "ĐỘNG_CƠ_VÀ_CẢM_BIẾN"))/G81, 0)</f>
        <v/>
      </c>
      <c r="R81" s="16">
        <f>G81*Q81</f>
        <v/>
      </c>
      <c r="S81" t="inlineStr">
        <is>
          <t>- Van ngăn cháy động cơ - Tiêu chuẩn EI 90
- 2 đầu bích TDC - Gắn kèm động cơ ON-OFF 5Nm, Hãng KLB
- Sản xuất theo BCTN số 4651/VLXD-TBMT</t>
        </is>
      </c>
    </row>
    <row r="82">
      <c r="A82" t="n">
        <v>81</v>
      </c>
      <c r="B82" t="inlineStr">
        <is>
          <t>SW-DIFF-081</t>
        </is>
      </c>
      <c r="C82" t="inlineStr">
        <is>
          <t>CỬA GIÓ</t>
        </is>
      </c>
      <c r="D82" t="inlineStr">
        <is>
          <t>Cửa gió nan thẳng 1000x350</t>
        </is>
      </c>
      <c r="E82" t="inlineStr">
        <is>
          <t>1000x350</t>
        </is>
      </c>
      <c r="F82" t="inlineStr">
        <is>
          <t>cái</t>
        </is>
      </c>
      <c r="G82" s="16" t="n">
        <v>99</v>
      </c>
      <c r="H82" s="16">
        <f>SUMIF('01_BOC_TACH_ONG'!$B$2:$B$5000, B82, '01_BOC_TACH_ONG'!$K$2:$K$5000)</f>
        <v/>
      </c>
      <c r="I82" s="16">
        <f>SUMIF('02_BOC_TACH_CUA'!$B$2:$B$5000, B82, '02_BOC_TACH_CUA'!$K$2:$K$5000)</f>
        <v/>
      </c>
      <c r="J82" s="16">
        <f>SUMIF('03_BOC_TACH_VAN'!$B$2:$B$5000, B82, '03_BOC_TACH_VAN'!$K$2:$K$5000)</f>
        <v/>
      </c>
      <c r="K82" s="16">
        <f>SUM(H82:J82)</f>
        <v/>
      </c>
      <c r="L82" s="16">
        <f>(K82-SUMIFS('03_BOC_TACH_VAN'!$K$2:$K$5000, '03_BOC_TACH_VAN'!$B$2:$B$5000, B82, '03_BOC_TACH_VAN'!$D$2:$D$5000, "ĐỘNG_CƠ_VÀ_CẢM_BIẾN"))*0.25</f>
        <v/>
      </c>
      <c r="M82" s="16">
        <f>(K82-SUMIFS('03_BOC_TACH_VAN'!$K$2:$K$5000, '03_BOC_TACH_VAN'!$B$2:$B$5000, B82, '03_BOC_TACH_VAN'!$D$2:$D$5000, "ĐỘNG_CƠ_VÀ_CẢM_BIẾN"))*0.10</f>
        <v/>
      </c>
      <c r="N82" s="16">
        <f>K82+L82+M82</f>
        <v/>
      </c>
      <c r="O82" s="16">
        <f>IF(G82&gt;0, N82/G82, 0)</f>
        <v/>
      </c>
      <c r="P82" s="17" t="n">
        <v>0.18</v>
      </c>
      <c r="Q82" s="16">
        <f>IF(G82&gt;0, ((N82-SUMIFS('03_BOC_TACH_VAN'!$K$2:$K$5000, '03_BOC_TACH_VAN'!$B$2:$B$5000, B82, '03_BOC_TACH_VAN'!$D$2:$D$5000, "ĐỘNG_CƠ_VÀ_CẢM_BIẾN"))*(1+P82)+SUMIFS('03_BOC_TACH_VAN'!$K$2:$K$5000, '03_BOC_TACH_VAN'!$B$2:$B$5000, B82, '03_BOC_TACH_VAN'!$D$2:$D$5000, "ĐỘNG_CƠ_VÀ_CẢM_BIẾN"))/G82, 0)</f>
        <v/>
      </c>
      <c r="R82" s="16">
        <f>G82*Q82</f>
        <v/>
      </c>
      <c r="S82" t="inlineStr">
        <is>
          <t>Cửa nan bầu dục 1 lớp</t>
        </is>
      </c>
    </row>
    <row r="83">
      <c r="A83" t="n">
        <v>82</v>
      </c>
      <c r="B83" t="inlineStr">
        <is>
          <t>SW-DAMPER-082</t>
        </is>
      </c>
      <c r="C83" t="inlineStr">
        <is>
          <t>VAN GIÓ</t>
        </is>
      </c>
      <c r="D83" t="inlineStr">
        <is>
          <t>Van chặn lửa động cơ MFD 1000x350 - EI30</t>
        </is>
      </c>
      <c r="E83" t="inlineStr">
        <is>
          <t>1000x350</t>
        </is>
      </c>
      <c r="F83" t="inlineStr">
        <is>
          <t>cái</t>
        </is>
      </c>
      <c r="G83" s="16" t="n">
        <v>99</v>
      </c>
      <c r="H83" s="16">
        <f>SUMIF('01_BOC_TACH_ONG'!$B$2:$B$5000, B83, '01_BOC_TACH_ONG'!$K$2:$K$5000)</f>
        <v/>
      </c>
      <c r="I83" s="16">
        <f>SUMIF('02_BOC_TACH_CUA'!$B$2:$B$5000, B83, '02_BOC_TACH_CUA'!$K$2:$K$5000)</f>
        <v/>
      </c>
      <c r="J83" s="16">
        <f>SUMIF('03_BOC_TACH_VAN'!$B$2:$B$5000, B83, '03_BOC_TACH_VAN'!$K$2:$K$5000)</f>
        <v/>
      </c>
      <c r="K83" s="16">
        <f>SUM(H83:J83)</f>
        <v/>
      </c>
      <c r="L83" s="16">
        <f>(K83-SUMIFS('03_BOC_TACH_VAN'!$K$2:$K$5000, '03_BOC_TACH_VAN'!$B$2:$B$5000, B83, '03_BOC_TACH_VAN'!$D$2:$D$5000, "ĐỘNG_CƠ_VÀ_CẢM_BIẾN"))*0.25</f>
        <v/>
      </c>
      <c r="M83" s="16">
        <f>(K83-SUMIFS('03_BOC_TACH_VAN'!$K$2:$K$5000, '03_BOC_TACH_VAN'!$B$2:$B$5000, B83, '03_BOC_TACH_VAN'!$D$2:$D$5000, "ĐỘNG_CƠ_VÀ_CẢM_BIẾN"))*0.10</f>
        <v/>
      </c>
      <c r="N83" s="16">
        <f>K83+L83+M83</f>
        <v/>
      </c>
      <c r="O83" s="16">
        <f>IF(G83&gt;0, N83/G83, 0)</f>
        <v/>
      </c>
      <c r="P83" s="17" t="n">
        <v>0.18</v>
      </c>
      <c r="Q83" s="16">
        <f>IF(G83&gt;0, ((N83-SUMIFS('03_BOC_TACH_VAN'!$K$2:$K$5000, '03_BOC_TACH_VAN'!$B$2:$B$5000, B83, '03_BOC_TACH_VAN'!$D$2:$D$5000, "ĐỘNG_CƠ_VÀ_CẢM_BIẾN"))*(1+P83)+SUMIFS('03_BOC_TACH_VAN'!$K$2:$K$5000, '03_BOC_TACH_VAN'!$B$2:$B$5000, B83, '03_BOC_TACH_VAN'!$D$2:$D$5000, "ĐỘNG_CƠ_VÀ_CẢM_BIẾN"))/G83, 0)</f>
        <v/>
      </c>
      <c r="R83" s="16">
        <f>G83*Q83</f>
        <v/>
      </c>
      <c r="S83" t="inlineStr">
        <is>
          <t>- Van ngăn cháy động cơ - Tiêu chuẩn EI 90
- 2 đầu bích TDC - Gắn kèm động cơ ON-OFF 5Nm, Hãng KLB
- Sản xuất theo BCTN số 4651/VLXD-TBMT</t>
        </is>
      </c>
    </row>
    <row r="84">
      <c r="A84" t="n">
        <v>83</v>
      </c>
      <c r="B84" t="inlineStr">
        <is>
          <t>SW-DIFF-083</t>
        </is>
      </c>
      <c r="C84" t="inlineStr">
        <is>
          <t>CỬA GIÓ</t>
        </is>
      </c>
      <c r="D84" t="inlineStr">
        <is>
          <t>Miệng gió EAL+IS 3000x1500</t>
        </is>
      </c>
      <c r="E84" t="inlineStr">
        <is>
          <t>3000x1500</t>
        </is>
      </c>
      <c r="F84" t="inlineStr">
        <is>
          <t>cái</t>
        </is>
      </c>
      <c r="G84" s="16" t="n">
        <v>3</v>
      </c>
      <c r="H84" s="16">
        <f>SUMIF('01_BOC_TACH_ONG'!$B$2:$B$5000, B84, '01_BOC_TACH_ONG'!$K$2:$K$5000)</f>
        <v/>
      </c>
      <c r="I84" s="16">
        <f>SUMIF('02_BOC_TACH_CUA'!$B$2:$B$5000, B84, '02_BOC_TACH_CUA'!$K$2:$K$5000)</f>
        <v/>
      </c>
      <c r="J84" s="16">
        <f>SUMIF('03_BOC_TACH_VAN'!$B$2:$B$5000, B84, '03_BOC_TACH_VAN'!$K$2:$K$5000)</f>
        <v/>
      </c>
      <c r="K84" s="16">
        <f>SUM(H84:J84)</f>
        <v/>
      </c>
      <c r="L84" s="16">
        <f>(K84-SUMIFS('03_BOC_TACH_VAN'!$K$2:$K$5000, '03_BOC_TACH_VAN'!$B$2:$B$5000, B84, '03_BOC_TACH_VAN'!$D$2:$D$5000, "ĐỘNG_CƠ_VÀ_CẢM_BIẾN"))*0.25</f>
        <v/>
      </c>
      <c r="M84" s="16">
        <f>(K84-SUMIFS('03_BOC_TACH_VAN'!$K$2:$K$5000, '03_BOC_TACH_VAN'!$B$2:$B$5000, B84, '03_BOC_TACH_VAN'!$D$2:$D$5000, "ĐỘNG_CƠ_VÀ_CẢM_BIẾN"))*0.10</f>
        <v/>
      </c>
      <c r="N84" s="16">
        <f>K84+L84+M84</f>
        <v/>
      </c>
      <c r="O84" s="16">
        <f>IF(G84&gt;0, N84/G84, 0)</f>
        <v/>
      </c>
      <c r="P84" s="17" t="n">
        <v>0.18</v>
      </c>
      <c r="Q84" s="16">
        <f>IF(G84&gt;0, ((N84-SUMIFS('03_BOC_TACH_VAN'!$K$2:$K$5000, '03_BOC_TACH_VAN'!$B$2:$B$5000, B84, '03_BOC_TACH_VAN'!$D$2:$D$5000, "ĐỘNG_CƠ_VÀ_CẢM_BIẾN"))*(1+P84)+SUMIFS('03_BOC_TACH_VAN'!$K$2:$K$5000, '03_BOC_TACH_VAN'!$B$2:$B$5000, B84, '03_BOC_TACH_VAN'!$D$2:$D$5000, "ĐỘNG_CƠ_VÀ_CẢM_BIẾN"))/G84, 0)</f>
        <v/>
      </c>
      <c r="R84" s="16">
        <f>G84*Q84</f>
        <v/>
      </c>
      <c r="S84" t="inlineStr">
        <is>
          <t>Louver nan Z ngoài trời kèm lưới chắn côn trùng Inox 304</t>
        </is>
      </c>
    </row>
    <row r="85">
      <c r="A85" t="n">
        <v>84</v>
      </c>
      <c r="B85" t="inlineStr">
        <is>
          <t>SW-DIFF-084</t>
        </is>
      </c>
      <c r="C85" t="inlineStr">
        <is>
          <t>CỬA GIÓ</t>
        </is>
      </c>
      <c r="D85" t="inlineStr">
        <is>
          <t>Miệng gió Lưới chắn côn trùng 1000x1000</t>
        </is>
      </c>
      <c r="E85" t="inlineStr">
        <is>
          <t>1000x1000</t>
        </is>
      </c>
      <c r="F85" t="inlineStr">
        <is>
          <t>cái</t>
        </is>
      </c>
      <c r="G85" s="16" t="n">
        <v>11</v>
      </c>
      <c r="H85" s="16">
        <f>SUMIF('01_BOC_TACH_ONG'!$B$2:$B$5000, B85, '01_BOC_TACH_ONG'!$K$2:$K$5000)</f>
        <v/>
      </c>
      <c r="I85" s="16">
        <f>SUMIF('02_BOC_TACH_CUA'!$B$2:$B$5000, B85, '02_BOC_TACH_CUA'!$K$2:$K$5000)</f>
        <v/>
      </c>
      <c r="J85" s="16">
        <f>SUMIF('03_BOC_TACH_VAN'!$B$2:$B$5000, B85, '03_BOC_TACH_VAN'!$K$2:$K$5000)</f>
        <v/>
      </c>
      <c r="K85" s="16">
        <f>SUM(H85:J85)</f>
        <v/>
      </c>
      <c r="L85" s="16">
        <f>(K85-SUMIFS('03_BOC_TACH_VAN'!$K$2:$K$5000, '03_BOC_TACH_VAN'!$B$2:$B$5000, B85, '03_BOC_TACH_VAN'!$D$2:$D$5000, "ĐỘNG_CƠ_VÀ_CẢM_BIẾN"))*0.25</f>
        <v/>
      </c>
      <c r="M85" s="16">
        <f>(K85-SUMIFS('03_BOC_TACH_VAN'!$K$2:$K$5000, '03_BOC_TACH_VAN'!$B$2:$B$5000, B85, '03_BOC_TACH_VAN'!$D$2:$D$5000, "ĐỘNG_CƠ_VÀ_CẢM_BIẾN"))*0.10</f>
        <v/>
      </c>
      <c r="N85" s="16">
        <f>K85+L85+M85</f>
        <v/>
      </c>
      <c r="O85" s="16">
        <f>IF(G85&gt;0, N85/G85, 0)</f>
        <v/>
      </c>
      <c r="P85" s="17" t="n">
        <v>0.18</v>
      </c>
      <c r="Q85" s="16">
        <f>IF(G85&gt;0, ((N85-SUMIFS('03_BOC_TACH_VAN'!$K$2:$K$5000, '03_BOC_TACH_VAN'!$B$2:$B$5000, B85, '03_BOC_TACH_VAN'!$D$2:$D$5000, "ĐỘNG_CƠ_VÀ_CẢM_BIẾN"))*(1+P85)+SUMIFS('03_BOC_TACH_VAN'!$K$2:$K$5000, '03_BOC_TACH_VAN'!$B$2:$B$5000, B85, '03_BOC_TACH_VAN'!$D$2:$D$5000, "ĐỘNG_CƠ_VÀ_CẢM_BIẾN"))/G85, 0)</f>
        <v/>
      </c>
      <c r="R85" s="16">
        <f>G85*Q85</f>
        <v/>
      </c>
      <c r="S85" t="inlineStr">
        <is>
          <t>Lưới chắn côn trùng</t>
        </is>
      </c>
    </row>
    <row r="86">
      <c r="A86" s="18" t="inlineStr">
        <is>
          <t>TỔNG CỘNG</t>
        </is>
      </c>
      <c r="H86" s="19">
        <f>SUM(H2:H85)</f>
        <v/>
      </c>
      <c r="I86" s="19">
        <f>SUM(I2:I85)</f>
        <v/>
      </c>
      <c r="J86" s="19">
        <f>SUM(J2:J85)</f>
        <v/>
      </c>
      <c r="K86" s="19">
        <f>SUM(K2:K85)</f>
        <v/>
      </c>
      <c r="L86" s="19">
        <f>SUM(L2:L85)</f>
        <v/>
      </c>
      <c r="M86" s="19">
        <f>SUM(M2:M85)</f>
        <v/>
      </c>
      <c r="N86" s="19">
        <f>SUM(N2:N85)</f>
        <v/>
      </c>
      <c r="R86" s="19">
        <f>SUM(R2:R85)</f>
        <v/>
      </c>
    </row>
  </sheetData>
  <mergeCells count="1">
    <mergeCell ref="A86:F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0" t="n">
        <v>0.5032687408761508</v>
      </c>
      <c r="H2" s="16">
        <f>'00_TONG_HOP_BAO_GIA'!G2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Khung bao 500x800mm (cổ 450x750mm)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(37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0" t="n">
        <v>0.9026868927639282</v>
      </c>
      <c r="H3" s="16">
        <f>'00_TONG_HOP_BAO_GIA'!G2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0" t="n">
        <v>0.1646279543891302</v>
      </c>
      <c r="H4" s="16">
        <f>'00_TONG_HOP_BAO_GIA'!G2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0" t="n">
        <v>0.3001934476409487</v>
      </c>
      <c r="H5" s="16">
        <f>'00_TONG_HOP_BAO_GIA'!G2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0" t="n">
        <v>0.3290847858084771</v>
      </c>
      <c r="H6" s="16">
        <f>'00_TONG_HOP_BAO_GIA'!G2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Khung OBD 450x750mm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0" t="n">
        <v>0.7322396836126123</v>
      </c>
      <c r="H7" s="16">
        <f>'00_TONG_HOP_BAO_GIA'!G2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0" t="n">
        <v>1.052029545437256</v>
      </c>
      <c r="H8" s="16">
        <f>'00_TONG_HOP_BAO_GIA'!G2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(1 lớp BD)</t>
        </is>
      </c>
      <c r="D9" t="inlineStr">
        <is>
          <t>NHÔM_ĐỊNH_HÌNH</t>
        </is>
      </c>
      <c r="E9" t="inlineStr">
        <is>
          <t>MAT-ALU-KHUNG-BD</t>
        </is>
      </c>
      <c r="F9" t="inlineStr">
        <is>
          <t>kg</t>
        </is>
      </c>
      <c r="G9" s="20" t="n">
        <v>0.5867658832015974</v>
      </c>
      <c r="H9" s="16">
        <f>'00_TONG_HOP_BAO_GIA'!G3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Khung bao 500x1000mm (cổ 450x950mm)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nhôm bầu dục (47 nan)</t>
        </is>
      </c>
      <c r="D10" t="inlineStr">
        <is>
          <t>NHÔM_ĐỊNH_HÌNH</t>
        </is>
      </c>
      <c r="E10" t="inlineStr">
        <is>
          <t>MAT-ALU-NAN-BD</t>
        </is>
      </c>
      <c r="F10" t="inlineStr">
        <is>
          <t>kg</t>
        </is>
      </c>
      <c r="G10" s="20" t="n">
        <v>1.146155587457643</v>
      </c>
      <c r="H10" s="16">
        <f>'00_TONG_HOP_BAO_GIA'!G3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Nan bầu dục @ 0.058kg/m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0" t="n">
        <v>0.2090306741876773</v>
      </c>
      <c r="H11" s="16">
        <f>'00_TONG_HOP_BAO_GIA'!G3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4 ke góc chìm và vít ghép khung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0" t="n">
        <v>0.3697566879473037</v>
      </c>
      <c r="H12" s="16">
        <f>'00_TONG_HOP_BAO_GIA'!G3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Sơn tĩnh điện hoàn thiện</t>
        </is>
      </c>
    </row>
    <row r="13">
      <c r="A13" t="inlineStr">
        <is>
          <t>SW-DIFF-002-OBD-FRAME</t>
        </is>
      </c>
      <c r="B13" t="inlineStr">
        <is>
          <t>SW-DIFF-002</t>
        </is>
      </c>
      <c r="C13" t="inlineStr">
        <is>
          <t>Khung nhôm van OBD gắn cửa (SOBD)</t>
        </is>
      </c>
      <c r="D13" t="inlineStr">
        <is>
          <t>NHÔM_ĐỊNH_HÌNH</t>
        </is>
      </c>
      <c r="E13" t="inlineStr">
        <is>
          <t>MAT-ALU-KHUNG-OBD</t>
        </is>
      </c>
      <c r="F13" t="inlineStr">
        <is>
          <t>kg</t>
        </is>
      </c>
      <c r="G13" s="20" t="n">
        <v>0.3839438470454767</v>
      </c>
      <c r="H13" s="16">
        <f>'00_TONG_HOP_BAO_GIA'!G3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Khung OBD 450x950mm</t>
        </is>
      </c>
    </row>
    <row r="14">
      <c r="A14" t="inlineStr">
        <is>
          <t>SW-DIFF-002-OBD-BLADE</t>
        </is>
      </c>
      <c r="B14" t="inlineStr">
        <is>
          <t>SW-DIFF-002</t>
        </is>
      </c>
      <c r="C14" t="inlineStr">
        <is>
          <t>Nan nhôm &amp; thanh truyền van OBD (SOBD)</t>
        </is>
      </c>
      <c r="D14" t="inlineStr">
        <is>
          <t>NHÔM_ĐỊNH_HÌNH</t>
        </is>
      </c>
      <c r="E14" t="inlineStr">
        <is>
          <t>MAT-ALU-NAN-OBD</t>
        </is>
      </c>
      <c r="F14" t="inlineStr">
        <is>
          <t>kg</t>
        </is>
      </c>
      <c r="G14" s="20" t="n">
        <v>0.9275316151217299</v>
      </c>
      <c r="H14" s="16">
        <f>'00_TONG_HOP_BAO_GIA'!G3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Nan OBD đối xứng &amp; thanh liên kết</t>
        </is>
      </c>
    </row>
    <row r="15">
      <c r="A15" t="inlineStr">
        <is>
          <t>SW-DIFF-002-OBD-ACC</t>
        </is>
      </c>
      <c r="B15" t="inlineStr">
        <is>
          <t>SW-DIFF-002</t>
        </is>
      </c>
      <c r="C15" t="inlineStr">
        <is>
          <t>Bánh răng nhựa &amp; phụ kiện van OBD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0" t="n">
        <v>1.052061322707518</v>
      </c>
      <c r="H15" s="16">
        <f>'00_TONG_HOP_BAO_GIA'!G3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Cơ cấu bánh răng đóng mở OBD</t>
        </is>
      </c>
    </row>
    <row r="16">
      <c r="A16" t="inlineStr">
        <is>
          <t>SW-DIFF-003-FRAME</t>
        </is>
      </c>
      <c r="B16" t="inlineStr">
        <is>
          <t>SW-DIFF-003</t>
        </is>
      </c>
      <c r="C16" t="inlineStr">
        <is>
          <t>Khung nhôm định hình (1 lớp BD)</t>
        </is>
      </c>
      <c r="D16" t="inlineStr">
        <is>
          <t>NHÔM_ĐỊNH_HÌNH</t>
        </is>
      </c>
      <c r="E16" t="inlineStr">
        <is>
          <t>MAT-ALU-KHUNG-BD</t>
        </is>
      </c>
      <c r="F16" t="inlineStr">
        <is>
          <t>kg</t>
        </is>
      </c>
      <c r="G16" s="20" t="n">
        <v>0.4358396488527693</v>
      </c>
      <c r="H16" s="16">
        <f>'00_TONG_HOP_BAO_GIA'!G4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Khung bao 800x400mm (cổ 750x350mm)</t>
        </is>
      </c>
    </row>
    <row r="17">
      <c r="A17" t="inlineStr">
        <is>
          <t>SW-DIFF-003-BLADE</t>
        </is>
      </c>
      <c r="B17" t="inlineStr">
        <is>
          <t>SW-DIFF-003</t>
        </is>
      </c>
      <c r="C17" t="inlineStr">
        <is>
          <t>Nan nhôm bầu dục (17 nan)</t>
        </is>
      </c>
      <c r="D17" t="inlineStr">
        <is>
          <t>NHÔM_ĐỊNH_HÌNH</t>
        </is>
      </c>
      <c r="E17" t="inlineStr">
        <is>
          <t>MAT-ALU-NAN-BD</t>
        </is>
      </c>
      <c r="F17" t="inlineStr">
        <is>
          <t>kg</t>
        </is>
      </c>
      <c r="G17" s="20" t="n">
        <v>0.6898617729593812</v>
      </c>
      <c r="H17" s="16">
        <f>'00_TONG_HOP_BAO_GIA'!G4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Nan bầu dục @ 0.058kg/m</t>
        </is>
      </c>
    </row>
    <row r="18">
      <c r="A18" t="inlineStr">
        <is>
          <t>SW-DIFF-003-ACCESSORY</t>
        </is>
      </c>
      <c r="B18" t="inlineStr">
        <is>
          <t>SW-DIFF-003</t>
        </is>
      </c>
      <c r="C18" t="inlineStr">
        <is>
          <t>Phụ kiện lắp ghép / Ke góc cửa gió</t>
        </is>
      </c>
      <c r="D18" t="inlineStr">
        <is>
          <t>PHỤ_KIỆN_CỬA</t>
        </is>
      </c>
      <c r="E18" t="inlineStr">
        <is>
          <t>MAT-DOOR-ACCESSORY</t>
        </is>
      </c>
      <c r="F18" t="inlineStr">
        <is>
          <t>Bộ</t>
        </is>
      </c>
      <c r="G18" s="20" t="n">
        <v>0.07548832274222195</v>
      </c>
      <c r="H18" s="16">
        <f>'00_TONG_HOP_BAO_GIA'!G4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4 ke góc chìm và vít ghép khung</t>
        </is>
      </c>
    </row>
    <row r="19">
      <c r="A19" t="inlineStr">
        <is>
          <t>SW-DIFF-003-PAINT</t>
        </is>
      </c>
      <c r="B19" t="inlineStr">
        <is>
          <t>SW-DIFF-003</t>
        </is>
      </c>
      <c r="C19" t="inlineStr">
        <is>
          <t>Sơn tĩnh điện tiêu chuẩn Polyester</t>
        </is>
      </c>
      <c r="D19" t="inlineStr">
        <is>
          <t>SƠN_TĨNH_ĐIỆN</t>
        </is>
      </c>
      <c r="E19" t="inlineStr">
        <is>
          <t>MAT-PAINT-POWDER</t>
        </is>
      </c>
      <c r="F19" t="inlineStr">
        <is>
          <t>m2</t>
        </is>
      </c>
      <c r="G19" s="20" t="n">
        <v>0.2448015781107626</v>
      </c>
      <c r="H19" s="16">
        <f>'00_TONG_HOP_BAO_GIA'!G4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Sơn tĩnh điện hoàn thiện</t>
        </is>
      </c>
    </row>
    <row r="20">
      <c r="A20" t="inlineStr">
        <is>
          <t>SW-DIFF-005-FRAME</t>
        </is>
      </c>
      <c r="B20" t="inlineStr">
        <is>
          <t>SW-DIFF-005</t>
        </is>
      </c>
      <c r="C20" t="inlineStr">
        <is>
          <t>Khung nhôm định hình (1 lớp BD)</t>
        </is>
      </c>
      <c r="D20" t="inlineStr">
        <is>
          <t>NHÔM_ĐỊNH_HÌNH</t>
        </is>
      </c>
      <c r="E20" t="inlineStr">
        <is>
          <t>MAT-ALU-KHUNG-BD</t>
        </is>
      </c>
      <c r="F20" t="inlineStr">
        <is>
          <t>kg</t>
        </is>
      </c>
      <c r="G20" s="20" t="n">
        <v>0.4578468889845411</v>
      </c>
      <c r="H20" s="16">
        <f>'00_TONG_HOP_BAO_GIA'!G6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Khung bao 800x450mm (cổ 750x400mm)</t>
        </is>
      </c>
    </row>
    <row r="21">
      <c r="A21" t="inlineStr">
        <is>
          <t>SW-DIFF-005-BLADE</t>
        </is>
      </c>
      <c r="B21" t="inlineStr">
        <is>
          <t>SW-DIFF-005</t>
        </is>
      </c>
      <c r="C21" t="inlineStr">
        <is>
          <t>Nan nhôm bầu dục (19 nan)</t>
        </is>
      </c>
      <c r="D21" t="inlineStr">
        <is>
          <t>NHÔM_ĐỊNH_HÌNH</t>
        </is>
      </c>
      <c r="E21" t="inlineStr">
        <is>
          <t>MAT-ALU-NAN-BD</t>
        </is>
      </c>
      <c r="F21" t="inlineStr">
        <is>
          <t>kg</t>
        </is>
      </c>
      <c r="G21" s="20" t="n">
        <v>0.7728971685982911</v>
      </c>
      <c r="H21" s="16">
        <f>'00_TONG_HOP_BAO_GIA'!G6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Nan bầu dục @ 0.058kg/m</t>
        </is>
      </c>
    </row>
    <row r="22">
      <c r="A22" t="inlineStr">
        <is>
          <t>SW-DIFF-005-ACCESSORY</t>
        </is>
      </c>
      <c r="B22" t="inlineStr">
        <is>
          <t>SW-DIFF-005</t>
        </is>
      </c>
      <c r="C22" t="inlineStr">
        <is>
          <t>Phụ kiện lắp ghép / Ke góc cửa gió</t>
        </is>
      </c>
      <c r="D22" t="inlineStr">
        <is>
          <t>PHỤ_KIỆN_CỬA</t>
        </is>
      </c>
      <c r="E22" t="inlineStr">
        <is>
          <t>MAT-DOOR-ACCESSORY</t>
        </is>
      </c>
      <c r="F22" t="inlineStr">
        <is>
          <t>Bộ</t>
        </is>
      </c>
      <c r="G22" s="20" t="n">
        <v>0.08457449477075553</v>
      </c>
      <c r="H22" s="16">
        <f>'00_TONG_HOP_BAO_GIA'!G6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4 ke góc chìm và vít ghép khung</t>
        </is>
      </c>
    </row>
    <row r="23">
      <c r="A23" t="inlineStr">
        <is>
          <t>SW-DIFF-005-PAINT</t>
        </is>
      </c>
      <c r="B23" t="inlineStr">
        <is>
          <t>SW-DIFF-005</t>
        </is>
      </c>
      <c r="C23" t="inlineStr">
        <is>
          <t>Sơn tĩnh điện tiêu chuẩn Polyester</t>
        </is>
      </c>
      <c r="D23" t="inlineStr">
        <is>
          <t>SƠN_TĨNH_ĐIỆN</t>
        </is>
      </c>
      <c r="E23" t="inlineStr">
        <is>
          <t>MAT-PAINT-POWDER</t>
        </is>
      </c>
      <c r="F23" t="inlineStr">
        <is>
          <t>m2</t>
        </is>
      </c>
      <c r="G23" s="20" t="n">
        <v>0.2673915605569521</v>
      </c>
      <c r="H23" s="16">
        <f>'00_TONG_HOP_BAO_GIA'!G6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Sơn tĩnh điện hoàn thiện</t>
        </is>
      </c>
    </row>
    <row r="24">
      <c r="A24" t="inlineStr">
        <is>
          <t>SW-DIFF-007-FRAME</t>
        </is>
      </c>
      <c r="B24" t="inlineStr">
        <is>
          <t>SW-DIFF-007</t>
        </is>
      </c>
      <c r="C24" t="inlineStr">
        <is>
          <t>Khung nhôm định hình (1 lớp BD)</t>
        </is>
      </c>
      <c r="D24" t="inlineStr">
        <is>
          <t>NHÔM_ĐỊNH_HÌNH</t>
        </is>
      </c>
      <c r="E24" t="inlineStr">
        <is>
          <t>MAT-ALU-KHUNG-BD</t>
        </is>
      </c>
      <c r="F24" t="inlineStr">
        <is>
          <t>kg</t>
        </is>
      </c>
      <c r="G24" s="20" t="n">
        <v>0.416155678390341</v>
      </c>
      <c r="H24" s="16">
        <f>'00_TONG_HOP_BAO_GIA'!G8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Khung bao 800x350mm (cổ 750x300mm)</t>
        </is>
      </c>
    </row>
    <row r="25">
      <c r="A25" t="inlineStr">
        <is>
          <t>SW-DIFF-007-BLADE</t>
        </is>
      </c>
      <c r="B25" t="inlineStr">
        <is>
          <t>SW-DIFF-007</t>
        </is>
      </c>
      <c r="C25" t="inlineStr">
        <is>
          <t>Nan nhôm bầu dục (14 nan)</t>
        </is>
      </c>
      <c r="D25" t="inlineStr">
        <is>
          <t>NHÔM_ĐỊNH_HÌNH</t>
        </is>
      </c>
      <c r="E25" t="inlineStr">
        <is>
          <t>MAT-ALU-NAN-BD</t>
        </is>
      </c>
      <c r="F25" t="inlineStr">
        <is>
          <t>kg</t>
        </is>
      </c>
      <c r="G25" s="20" t="n">
        <v>0.5697814931198688</v>
      </c>
      <c r="H25" s="16">
        <f>'00_TONG_HOP_BAO_GIA'!G8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Nan bầu dục @ 0.058kg/m</t>
        </is>
      </c>
    </row>
    <row r="26">
      <c r="A26" t="inlineStr">
        <is>
          <t>SW-DIFF-007-ACCESSORY</t>
        </is>
      </c>
      <c r="B26" t="inlineStr">
        <is>
          <t>SW-DIFF-007</t>
        </is>
      </c>
      <c r="C26" t="inlineStr">
        <is>
          <t>Phụ kiện lắp ghép / Ke góc cửa gió</t>
        </is>
      </c>
      <c r="D26" t="inlineStr">
        <is>
          <t>PHỤ_KIỆN_CỬA</t>
        </is>
      </c>
      <c r="E26" t="inlineStr">
        <is>
          <t>MAT-DOOR-ACCESSORY</t>
        </is>
      </c>
      <c r="F26" t="inlineStr">
        <is>
          <t>Bộ</t>
        </is>
      </c>
      <c r="G26" s="20" t="n">
        <v>0.06234850361495576</v>
      </c>
      <c r="H26" s="16">
        <f>'00_TONG_HOP_BAO_GIA'!G8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4 ke góc chìm và vít ghép khung</t>
        </is>
      </c>
    </row>
    <row r="27">
      <c r="A27" t="inlineStr">
        <is>
          <t>SW-DIFF-007-PAINT</t>
        </is>
      </c>
      <c r="B27" t="inlineStr">
        <is>
          <t>SW-DIFF-007</t>
        </is>
      </c>
      <c r="C27" t="inlineStr">
        <is>
          <t>Sơn tĩnh điện tiêu chuẩn Polyester</t>
        </is>
      </c>
      <c r="D27" t="inlineStr">
        <is>
          <t>SƠN_TĨNH_ĐIỆN</t>
        </is>
      </c>
      <c r="E27" t="inlineStr">
        <is>
          <t>MAT-PAINT-POWDER</t>
        </is>
      </c>
      <c r="F27" t="inlineStr">
        <is>
          <t>m2</t>
        </is>
      </c>
      <c r="G27" s="20" t="n">
        <v>0.214395022514621</v>
      </c>
      <c r="H27" s="16">
        <f>'00_TONG_HOP_BAO_GIA'!G8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Sơn tĩnh điện hoàn thiện</t>
        </is>
      </c>
    </row>
    <row r="28">
      <c r="A28" t="inlineStr">
        <is>
          <t>SW-DIFF-009-FRAME</t>
        </is>
      </c>
      <c r="B28" t="inlineStr">
        <is>
          <t>SW-DIFF-009</t>
        </is>
      </c>
      <c r="C28" t="inlineStr">
        <is>
          <t>Khung nhôm định hình (1 lớp BD)</t>
        </is>
      </c>
      <c r="D28" t="inlineStr">
        <is>
          <t>NHÔM_ĐỊNH_HÌNH</t>
        </is>
      </c>
      <c r="E28" t="inlineStr">
        <is>
          <t>MAT-ALU-KHUNG-BD</t>
        </is>
      </c>
      <c r="F28" t="inlineStr">
        <is>
          <t>kg</t>
        </is>
      </c>
      <c r="G28" s="20" t="n">
        <v>0.3264460104909221</v>
      </c>
      <c r="H28" s="16">
        <f>'00_TONG_HOP_BAO_GIA'!G10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Khung bao 600x300mm (cổ 550x250mm)</t>
        </is>
      </c>
    </row>
    <row r="29">
      <c r="A29" t="inlineStr">
        <is>
          <t>SW-DIFF-009-BLADE</t>
        </is>
      </c>
      <c r="B29" t="inlineStr">
        <is>
          <t>SW-DIFF-009</t>
        </is>
      </c>
      <c r="C29" t="inlineStr">
        <is>
          <t>Nan nhôm bầu dục (12 nan)</t>
        </is>
      </c>
      <c r="D29" t="inlineStr">
        <is>
          <t>NHÔM_ĐỊNH_HÌNH</t>
        </is>
      </c>
      <c r="E29" t="inlineStr">
        <is>
          <t>MAT-ALU-NAN-BD</t>
        </is>
      </c>
      <c r="F29" t="inlineStr">
        <is>
          <t>kg</t>
        </is>
      </c>
      <c r="G29" s="20" t="n">
        <v>0.356631086803439</v>
      </c>
      <c r="H29" s="16">
        <f>'00_TONG_HOP_BAO_GIA'!G10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Nan bầu dục @ 0.058kg/m</t>
        </is>
      </c>
    </row>
    <row r="30">
      <c r="A30" t="inlineStr">
        <is>
          <t>SW-DIFF-009-ACCESSORY</t>
        </is>
      </c>
      <c r="B30" t="inlineStr">
        <is>
          <t>SW-DIFF-009</t>
        </is>
      </c>
      <c r="C30" t="inlineStr">
        <is>
          <t>Phụ kiện lắp ghép / Ke góc cửa gió</t>
        </is>
      </c>
      <c r="D30" t="inlineStr">
        <is>
          <t>PHỤ_KIỆN_CỬA</t>
        </is>
      </c>
      <c r="E30" t="inlineStr">
        <is>
          <t>MAT-DOOR-ACCESSORY</t>
        </is>
      </c>
      <c r="F30" t="inlineStr">
        <is>
          <t>Bộ</t>
        </is>
      </c>
      <c r="G30" s="20" t="n">
        <v>0.05321517157317773</v>
      </c>
      <c r="H30" s="16">
        <f>'00_TONG_HOP_BAO_GIA'!G10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4 ke góc chìm và vít ghép khung</t>
        </is>
      </c>
    </row>
    <row r="31">
      <c r="A31" t="inlineStr">
        <is>
          <t>SW-DIFF-009-PAINT</t>
        </is>
      </c>
      <c r="B31" t="inlineStr">
        <is>
          <t>SW-DIFF-009</t>
        </is>
      </c>
      <c r="C31" t="inlineStr">
        <is>
          <t>Sơn tĩnh điện tiêu chuẩn Polyester</t>
        </is>
      </c>
      <c r="D31" t="inlineStr">
        <is>
          <t>SƠN_TĨNH_ĐIỆN</t>
        </is>
      </c>
      <c r="E31" t="inlineStr">
        <is>
          <t>MAT-PAINT-POWDER</t>
        </is>
      </c>
      <c r="F31" t="inlineStr">
        <is>
          <t>m2</t>
        </is>
      </c>
      <c r="G31" s="20" t="n">
        <v>0.1474999343840079</v>
      </c>
      <c r="H31" s="16">
        <f>'00_TONG_HOP_BAO_GIA'!G10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Sơn tĩnh điện hoàn thiện</t>
        </is>
      </c>
    </row>
    <row r="32">
      <c r="A32" t="inlineStr">
        <is>
          <t>SW-DIFF-011-FRAME</t>
        </is>
      </c>
      <c r="B32" t="inlineStr">
        <is>
          <t>SW-DIFF-011</t>
        </is>
      </c>
      <c r="C32" t="inlineStr">
        <is>
          <t>Khung nhôm định hình (1 lớp BD)</t>
        </is>
      </c>
      <c r="D32" t="inlineStr">
        <is>
          <t>NHÔM_ĐỊNH_HÌNH</t>
        </is>
      </c>
      <c r="E32" t="inlineStr">
        <is>
          <t>MAT-ALU-KHUNG-BD</t>
        </is>
      </c>
      <c r="F32" t="inlineStr">
        <is>
          <t>kg</t>
        </is>
      </c>
      <c r="G32" s="20" t="n">
        <v>0.1522746013870727</v>
      </c>
      <c r="H32" s="16">
        <f>'00_TONG_HOP_BAO_GIA'!G12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Khung bao 200x200mm (cổ 150x150mm)</t>
        </is>
      </c>
    </row>
    <row r="33">
      <c r="A33" t="inlineStr">
        <is>
          <t>SW-DIFF-011-BLADE</t>
        </is>
      </c>
      <c r="B33" t="inlineStr">
        <is>
          <t>SW-DIFF-011</t>
        </is>
      </c>
      <c r="C33" t="inlineStr">
        <is>
          <t>Nan nhôm bầu dục (7 nan)</t>
        </is>
      </c>
      <c r="D33" t="inlineStr">
        <is>
          <t>NHÔM_ĐỊNH_HÌNH</t>
        </is>
      </c>
      <c r="E33" t="inlineStr">
        <is>
          <t>MAT-ALU-NAN-BD</t>
        </is>
      </c>
      <c r="F33" t="inlineStr">
        <is>
          <t>kg</t>
        </is>
      </c>
      <c r="G33" s="20" t="n">
        <v>0.0573856635177768</v>
      </c>
      <c r="H33" s="16">
        <f>'00_TONG_HOP_BAO_GIA'!G12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Nan bầu dục @ 0.058kg/m</t>
        </is>
      </c>
    </row>
    <row r="34">
      <c r="A34" t="inlineStr">
        <is>
          <t>SW-DIFF-011-ACCESSORY</t>
        </is>
      </c>
      <c r="B34" t="inlineStr">
        <is>
          <t>SW-DIFF-011</t>
        </is>
      </c>
      <c r="C34" t="inlineStr">
        <is>
          <t>Phụ kiện lắp ghép / Ke góc cửa gió</t>
        </is>
      </c>
      <c r="D34" t="inlineStr">
        <is>
          <t>PHỤ_KIỆN_CỬA</t>
        </is>
      </c>
      <c r="E34" t="inlineStr">
        <is>
          <t>MAT-DOOR-ACCESSORY</t>
        </is>
      </c>
      <c r="F34" t="inlineStr">
        <is>
          <t>Bộ</t>
        </is>
      </c>
      <c r="G34" s="20" t="n">
        <v>0.0313972136028296</v>
      </c>
      <c r="H34" s="16">
        <f>'00_TONG_HOP_BAO_GIA'!G12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4 ke góc chìm và vít ghép khung</t>
        </is>
      </c>
    </row>
    <row r="35">
      <c r="A35" t="inlineStr">
        <is>
          <t>SW-DIFF-011-PAINT</t>
        </is>
      </c>
      <c r="B35" t="inlineStr">
        <is>
          <t>SW-DIFF-011</t>
        </is>
      </c>
      <c r="C35" t="inlineStr">
        <is>
          <t>Sơn tĩnh điện tiêu chuẩn Polyester</t>
        </is>
      </c>
      <c r="D35" t="inlineStr">
        <is>
          <t>SƠN_TĨNH_ĐIỆN</t>
        </is>
      </c>
      <c r="E35" t="inlineStr">
        <is>
          <t>MAT-PAINT-POWDER</t>
        </is>
      </c>
      <c r="F35" t="inlineStr">
        <is>
          <t>m2</t>
        </is>
      </c>
      <c r="G35" s="20" t="n">
        <v>0.04324900213256998</v>
      </c>
      <c r="H35" s="16">
        <f>'00_TONG_HOP_BAO_GIA'!G12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Sơn tĩnh điện hoàn thiện</t>
        </is>
      </c>
    </row>
    <row r="36">
      <c r="A36" t="inlineStr">
        <is>
          <t>SW-DIFF-013-FRAME</t>
        </is>
      </c>
      <c r="B36" t="inlineStr">
        <is>
          <t>SW-DIFF-013</t>
        </is>
      </c>
      <c r="C36" t="inlineStr">
        <is>
          <t>Khung nhôm định hình (1 lớp BD)</t>
        </is>
      </c>
      <c r="D36" t="inlineStr">
        <is>
          <t>NHÔM_ĐỊNH_HÌNH</t>
        </is>
      </c>
      <c r="E36" t="inlineStr">
        <is>
          <t>MAT-ALU-KHUNG-BD</t>
        </is>
      </c>
      <c r="F36" t="inlineStr">
        <is>
          <t>kg</t>
        </is>
      </c>
      <c r="G36" s="20" t="n">
        <v>0.4358396488527693</v>
      </c>
      <c r="H36" s="16">
        <f>'00_TONG_HOP_BAO_GIA'!G14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Khung bao 800x400mm (cổ 750x350mm)</t>
        </is>
      </c>
    </row>
    <row r="37">
      <c r="A37" t="inlineStr">
        <is>
          <t>SW-DIFF-013-BLADE</t>
        </is>
      </c>
      <c r="B37" t="inlineStr">
        <is>
          <t>SW-DIFF-013</t>
        </is>
      </c>
      <c r="C37" t="inlineStr">
        <is>
          <t>Nan nhôm bầu dục (17 nan)</t>
        </is>
      </c>
      <c r="D37" t="inlineStr">
        <is>
          <t>NHÔM_ĐỊNH_HÌNH</t>
        </is>
      </c>
      <c r="E37" t="inlineStr">
        <is>
          <t>MAT-ALU-NAN-BD</t>
        </is>
      </c>
      <c r="F37" t="inlineStr">
        <is>
          <t>kg</t>
        </is>
      </c>
      <c r="G37" s="20" t="n">
        <v>0.6898617729593812</v>
      </c>
      <c r="H37" s="16">
        <f>'00_TONG_HOP_BAO_GIA'!G14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Nan bầu dục @ 0.058kg/m</t>
        </is>
      </c>
    </row>
    <row r="38">
      <c r="A38" t="inlineStr">
        <is>
          <t>SW-DIFF-013-ACCESSORY</t>
        </is>
      </c>
      <c r="B38" t="inlineStr">
        <is>
          <t>SW-DIFF-013</t>
        </is>
      </c>
      <c r="C38" t="inlineStr">
        <is>
          <t>Phụ kiện lắp ghép / Ke góc cửa gió</t>
        </is>
      </c>
      <c r="D38" t="inlineStr">
        <is>
          <t>PHỤ_KIỆN_CỬA</t>
        </is>
      </c>
      <c r="E38" t="inlineStr">
        <is>
          <t>MAT-DOOR-ACCESSORY</t>
        </is>
      </c>
      <c r="F38" t="inlineStr">
        <is>
          <t>Bộ</t>
        </is>
      </c>
      <c r="G38" s="20" t="n">
        <v>0.07548832274222195</v>
      </c>
      <c r="H38" s="16">
        <f>'00_TONG_HOP_BAO_GIA'!G14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4 ke góc chìm và vít ghép khung</t>
        </is>
      </c>
    </row>
    <row r="39">
      <c r="A39" t="inlineStr">
        <is>
          <t>SW-DIFF-013-PAINT</t>
        </is>
      </c>
      <c r="B39" t="inlineStr">
        <is>
          <t>SW-DIFF-013</t>
        </is>
      </c>
      <c r="C39" t="inlineStr">
        <is>
          <t>Sơn tĩnh điện tiêu chuẩn Polyester</t>
        </is>
      </c>
      <c r="D39" t="inlineStr">
        <is>
          <t>SƠN_TĨNH_ĐIỆN</t>
        </is>
      </c>
      <c r="E39" t="inlineStr">
        <is>
          <t>MAT-PAINT-POWDER</t>
        </is>
      </c>
      <c r="F39" t="inlineStr">
        <is>
          <t>m2</t>
        </is>
      </c>
      <c r="G39" s="20" t="n">
        <v>0.2448015781107626</v>
      </c>
      <c r="H39" s="16">
        <f>'00_TONG_HOP_BAO_GIA'!G14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Sơn tĩnh điện hoàn thiện</t>
        </is>
      </c>
    </row>
    <row r="40">
      <c r="A40" t="inlineStr">
        <is>
          <t>SW-DIFF-015-FRAME</t>
        </is>
      </c>
      <c r="B40" t="inlineStr">
        <is>
          <t>SW-DIFF-015</t>
        </is>
      </c>
      <c r="C40" t="inlineStr">
        <is>
          <t>Khung nhôm định hình (1 lớp BD)</t>
        </is>
      </c>
      <c r="D40" t="inlineStr">
        <is>
          <t>NHÔM_ĐỊNH_HÌNH</t>
        </is>
      </c>
      <c r="E40" t="inlineStr">
        <is>
          <t>MAT-ALU-KHUNG-BD</t>
        </is>
      </c>
      <c r="F40" t="inlineStr">
        <is>
          <t>kg</t>
        </is>
      </c>
      <c r="G40" s="20" t="n">
        <v>0.4578468889845411</v>
      </c>
      <c r="H40" s="16">
        <f>'00_TONG_HOP_BAO_GIA'!G16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Khung bao 800x450mm (cổ 750x400mm)</t>
        </is>
      </c>
    </row>
    <row r="41">
      <c r="A41" t="inlineStr">
        <is>
          <t>SW-DIFF-015-BLADE</t>
        </is>
      </c>
      <c r="B41" t="inlineStr">
        <is>
          <t>SW-DIFF-015</t>
        </is>
      </c>
      <c r="C41" t="inlineStr">
        <is>
          <t>Nan nhôm bầu dục (19 nan)</t>
        </is>
      </c>
      <c r="D41" t="inlineStr">
        <is>
          <t>NHÔM_ĐỊNH_HÌNH</t>
        </is>
      </c>
      <c r="E41" t="inlineStr">
        <is>
          <t>MAT-ALU-NAN-BD</t>
        </is>
      </c>
      <c r="F41" t="inlineStr">
        <is>
          <t>kg</t>
        </is>
      </c>
      <c r="G41" s="20" t="n">
        <v>0.7728971685982911</v>
      </c>
      <c r="H41" s="16">
        <f>'00_TONG_HOP_BAO_GIA'!G16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Nan bầu dục @ 0.058kg/m</t>
        </is>
      </c>
    </row>
    <row r="42">
      <c r="A42" t="inlineStr">
        <is>
          <t>SW-DIFF-015-ACCESSORY</t>
        </is>
      </c>
      <c r="B42" t="inlineStr">
        <is>
          <t>SW-DIFF-015</t>
        </is>
      </c>
      <c r="C42" t="inlineStr">
        <is>
          <t>Phụ kiện lắp ghép / Ke góc cửa gió</t>
        </is>
      </c>
      <c r="D42" t="inlineStr">
        <is>
          <t>PHỤ_KIỆN_CỬA</t>
        </is>
      </c>
      <c r="E42" t="inlineStr">
        <is>
          <t>MAT-DOOR-ACCESSORY</t>
        </is>
      </c>
      <c r="F42" t="inlineStr">
        <is>
          <t>Bộ</t>
        </is>
      </c>
      <c r="G42" s="20" t="n">
        <v>0.08457449477075553</v>
      </c>
      <c r="H42" s="16">
        <f>'00_TONG_HOP_BAO_GIA'!G16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4 ke góc chìm và vít ghép khung</t>
        </is>
      </c>
    </row>
    <row r="43">
      <c r="A43" t="inlineStr">
        <is>
          <t>SW-DIFF-015-PAINT</t>
        </is>
      </c>
      <c r="B43" t="inlineStr">
        <is>
          <t>SW-DIFF-015</t>
        </is>
      </c>
      <c r="C43" t="inlineStr">
        <is>
          <t>Sơn tĩnh điện tiêu chuẩn Polyester</t>
        </is>
      </c>
      <c r="D43" t="inlineStr">
        <is>
          <t>SƠN_TĨNH_ĐIỆN</t>
        </is>
      </c>
      <c r="E43" t="inlineStr">
        <is>
          <t>MAT-PAINT-POWDER</t>
        </is>
      </c>
      <c r="F43" t="inlineStr">
        <is>
          <t>m2</t>
        </is>
      </c>
      <c r="G43" s="20" t="n">
        <v>0.2673915605569521</v>
      </c>
      <c r="H43" s="16">
        <f>'00_TONG_HOP_BAO_GIA'!G16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Sơn tĩnh điện hoàn thiện</t>
        </is>
      </c>
    </row>
    <row r="44">
      <c r="A44" t="inlineStr">
        <is>
          <t>SW-DIFF-017-FRAME</t>
        </is>
      </c>
      <c r="B44" t="inlineStr">
        <is>
          <t>SW-DIFF-017</t>
        </is>
      </c>
      <c r="C44" t="inlineStr">
        <is>
          <t>Khung nhôm định hình (1 lớp BD)</t>
        </is>
      </c>
      <c r="D44" t="inlineStr">
        <is>
          <t>NHÔM_ĐỊNH_HÌNH</t>
        </is>
      </c>
      <c r="E44" t="inlineStr">
        <is>
          <t>MAT-ALU-KHUNG-BD</t>
        </is>
      </c>
      <c r="F44" t="inlineStr">
        <is>
          <t>kg</t>
        </is>
      </c>
      <c r="G44" s="20" t="n">
        <v>0.416155678390341</v>
      </c>
      <c r="H44" s="16">
        <f>'00_TONG_HOP_BAO_GIA'!G18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Khung bao 800x350mm (cổ 750x300mm)</t>
        </is>
      </c>
    </row>
    <row r="45">
      <c r="A45" t="inlineStr">
        <is>
          <t>SW-DIFF-017-BLADE</t>
        </is>
      </c>
      <c r="B45" t="inlineStr">
        <is>
          <t>SW-DIFF-017</t>
        </is>
      </c>
      <c r="C45" t="inlineStr">
        <is>
          <t>Nan nhôm bầu dục (14 nan)</t>
        </is>
      </c>
      <c r="D45" t="inlineStr">
        <is>
          <t>NHÔM_ĐỊNH_HÌNH</t>
        </is>
      </c>
      <c r="E45" t="inlineStr">
        <is>
          <t>MAT-ALU-NAN-BD</t>
        </is>
      </c>
      <c r="F45" t="inlineStr">
        <is>
          <t>kg</t>
        </is>
      </c>
      <c r="G45" s="20" t="n">
        <v>0.5697814931198688</v>
      </c>
      <c r="H45" s="16">
        <f>'00_TONG_HOP_BAO_GIA'!G18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Nan bầu dục @ 0.058kg/m</t>
        </is>
      </c>
    </row>
    <row r="46">
      <c r="A46" t="inlineStr">
        <is>
          <t>SW-DIFF-017-ACCESSORY</t>
        </is>
      </c>
      <c r="B46" t="inlineStr">
        <is>
          <t>SW-DIFF-017</t>
        </is>
      </c>
      <c r="C46" t="inlineStr">
        <is>
          <t>Phụ kiện lắp ghép / Ke góc cửa gió</t>
        </is>
      </c>
      <c r="D46" t="inlineStr">
        <is>
          <t>PHỤ_KIỆN_CỬA</t>
        </is>
      </c>
      <c r="E46" t="inlineStr">
        <is>
          <t>MAT-DOOR-ACCESSORY</t>
        </is>
      </c>
      <c r="F46" t="inlineStr">
        <is>
          <t>Bộ</t>
        </is>
      </c>
      <c r="G46" s="20" t="n">
        <v>0.06234850361495576</v>
      </c>
      <c r="H46" s="16">
        <f>'00_TONG_HOP_BAO_GIA'!G18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4 ke góc chìm và vít ghép khung</t>
        </is>
      </c>
    </row>
    <row r="47">
      <c r="A47" t="inlineStr">
        <is>
          <t>SW-DIFF-017-PAINT</t>
        </is>
      </c>
      <c r="B47" t="inlineStr">
        <is>
          <t>SW-DIFF-017</t>
        </is>
      </c>
      <c r="C47" t="inlineStr">
        <is>
          <t>Sơn tĩnh điện tiêu chuẩn Polyester</t>
        </is>
      </c>
      <c r="D47" t="inlineStr">
        <is>
          <t>SƠN_TĨNH_ĐIỆN</t>
        </is>
      </c>
      <c r="E47" t="inlineStr">
        <is>
          <t>MAT-PAINT-POWDER</t>
        </is>
      </c>
      <c r="F47" t="inlineStr">
        <is>
          <t>m2</t>
        </is>
      </c>
      <c r="G47" s="20" t="n">
        <v>0.214395022514621</v>
      </c>
      <c r="H47" s="16">
        <f>'00_TONG_HOP_BAO_GIA'!G18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Sơn tĩnh điện hoàn thiện</t>
        </is>
      </c>
    </row>
    <row r="48">
      <c r="A48" t="inlineStr">
        <is>
          <t>SW-DIFF-019-FRAME</t>
        </is>
      </c>
      <c r="B48" t="inlineStr">
        <is>
          <t>SW-DIFF-019</t>
        </is>
      </c>
      <c r="C48" t="inlineStr">
        <is>
          <t>Khung nhôm định hình (1 lớp BD)</t>
        </is>
      </c>
      <c r="D48" t="inlineStr">
        <is>
          <t>NHÔM_ĐỊNH_HÌNH</t>
        </is>
      </c>
      <c r="E48" t="inlineStr">
        <is>
          <t>MAT-ALU-KHUNG-BD</t>
        </is>
      </c>
      <c r="F48" t="inlineStr">
        <is>
          <t>kg</t>
        </is>
      </c>
      <c r="G48" s="20" t="n">
        <v>0.3264460104909221</v>
      </c>
      <c r="H48" s="16">
        <f>'00_TONG_HOP_BAO_GIA'!G20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Khung bao 600x300mm (cổ 550x250mm)</t>
        </is>
      </c>
    </row>
    <row r="49">
      <c r="A49" t="inlineStr">
        <is>
          <t>SW-DIFF-019-BLADE</t>
        </is>
      </c>
      <c r="B49" t="inlineStr">
        <is>
          <t>SW-DIFF-019</t>
        </is>
      </c>
      <c r="C49" t="inlineStr">
        <is>
          <t>Nan nhôm bầu dục (12 nan)</t>
        </is>
      </c>
      <c r="D49" t="inlineStr">
        <is>
          <t>NHÔM_ĐỊNH_HÌNH</t>
        </is>
      </c>
      <c r="E49" t="inlineStr">
        <is>
          <t>MAT-ALU-NAN-BD</t>
        </is>
      </c>
      <c r="F49" t="inlineStr">
        <is>
          <t>kg</t>
        </is>
      </c>
      <c r="G49" s="20" t="n">
        <v>0.356631086803439</v>
      </c>
      <c r="H49" s="16">
        <f>'00_TONG_HOP_BAO_GIA'!G20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Nan bầu dục @ 0.058kg/m</t>
        </is>
      </c>
    </row>
    <row r="50">
      <c r="A50" t="inlineStr">
        <is>
          <t>SW-DIFF-019-ACCESSORY</t>
        </is>
      </c>
      <c r="B50" t="inlineStr">
        <is>
          <t>SW-DIFF-019</t>
        </is>
      </c>
      <c r="C50" t="inlineStr">
        <is>
          <t>Phụ kiện lắp ghép / Ke góc cửa gió</t>
        </is>
      </c>
      <c r="D50" t="inlineStr">
        <is>
          <t>PHỤ_KIỆN_CỬA</t>
        </is>
      </c>
      <c r="E50" t="inlineStr">
        <is>
          <t>MAT-DOOR-ACCESSORY</t>
        </is>
      </c>
      <c r="F50" t="inlineStr">
        <is>
          <t>Bộ</t>
        </is>
      </c>
      <c r="G50" s="20" t="n">
        <v>0.05321517157317773</v>
      </c>
      <c r="H50" s="16">
        <f>'00_TONG_HOP_BAO_GIA'!G20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4 ke góc chìm và vít ghép khung</t>
        </is>
      </c>
    </row>
    <row r="51">
      <c r="A51" t="inlineStr">
        <is>
          <t>SW-DIFF-019-PAINT</t>
        </is>
      </c>
      <c r="B51" t="inlineStr">
        <is>
          <t>SW-DIFF-019</t>
        </is>
      </c>
      <c r="C51" t="inlineStr">
        <is>
          <t>Sơn tĩnh điện tiêu chuẩn Polyester</t>
        </is>
      </c>
      <c r="D51" t="inlineStr">
        <is>
          <t>SƠN_TĨNH_ĐIỆN</t>
        </is>
      </c>
      <c r="E51" t="inlineStr">
        <is>
          <t>MAT-PAINT-POWDER</t>
        </is>
      </c>
      <c r="F51" t="inlineStr">
        <is>
          <t>m2</t>
        </is>
      </c>
      <c r="G51" s="20" t="n">
        <v>0.1474999343840079</v>
      </c>
      <c r="H51" s="16">
        <f>'00_TONG_HOP_BAO_GIA'!G20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Sơn tĩnh điện hoàn thiện</t>
        </is>
      </c>
    </row>
    <row r="52">
      <c r="A52" t="inlineStr">
        <is>
          <t>SW-DIFF-021-FRAME</t>
        </is>
      </c>
      <c r="B52" t="inlineStr">
        <is>
          <t>SW-DIFF-021</t>
        </is>
      </c>
      <c r="C52" t="inlineStr">
        <is>
          <t>Khung nhôm định hình (1 lớp BD)</t>
        </is>
      </c>
      <c r="D52" t="inlineStr">
        <is>
          <t>NHÔM_ĐỊNH_HÌNH</t>
        </is>
      </c>
      <c r="E52" t="inlineStr">
        <is>
          <t>MAT-ALU-KHUNG-BD</t>
        </is>
      </c>
      <c r="F52" t="inlineStr">
        <is>
          <t>kg</t>
        </is>
      </c>
      <c r="G52" s="20" t="n">
        <v>0.6792942048380229</v>
      </c>
      <c r="H52" s="16">
        <f>'00_TONG_HOP_BAO_GIA'!G22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Khung bao 900x900mm (cổ 850x850mm)</t>
        </is>
      </c>
    </row>
    <row r="53">
      <c r="A53" t="inlineStr">
        <is>
          <t>SW-DIFF-021-BLADE</t>
        </is>
      </c>
      <c r="B53" t="inlineStr">
        <is>
          <t>SW-DIFF-021</t>
        </is>
      </c>
      <c r="C53" t="inlineStr">
        <is>
          <t>Nan nhôm bầu dục (42 nan)</t>
        </is>
      </c>
      <c r="D53" t="inlineStr">
        <is>
          <t>NHÔM_ĐỊNH_HÌNH</t>
        </is>
      </c>
      <c r="E53" t="inlineStr">
        <is>
          <t>MAT-ALU-NAN-BD</t>
        </is>
      </c>
      <c r="F53" t="inlineStr">
        <is>
          <t>kg</t>
        </is>
      </c>
      <c r="G53" s="20" t="n">
        <v>1.934194967735987</v>
      </c>
      <c r="H53" s="16">
        <f>'00_TONG_HOP_BAO_GIA'!G22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Nan bầu dục @ 0.058kg/m</t>
        </is>
      </c>
    </row>
    <row r="54">
      <c r="A54" t="inlineStr">
        <is>
          <t>SW-DIFF-021-ACCESSORY</t>
        </is>
      </c>
      <c r="B54" t="inlineStr">
        <is>
          <t>SW-DIFF-021</t>
        </is>
      </c>
      <c r="C54" t="inlineStr">
        <is>
          <t>Phụ kiện lắp ghép / Ke góc cửa gió</t>
        </is>
      </c>
      <c r="D54" t="inlineStr">
        <is>
          <t>PHỤ_KIỆN_CỬA</t>
        </is>
      </c>
      <c r="E54" t="inlineStr">
        <is>
          <t>MAT-DOOR-ACCESSORY</t>
        </is>
      </c>
      <c r="F54" t="inlineStr">
        <is>
          <t>Bộ</t>
        </is>
      </c>
      <c r="G54" s="20" t="n">
        <v>0.1867498589538195</v>
      </c>
      <c r="H54" s="16">
        <f>'00_TONG_HOP_BAO_GIA'!G22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4 ke góc chìm và vít ghép khung</t>
        </is>
      </c>
    </row>
    <row r="55">
      <c r="A55" t="inlineStr">
        <is>
          <t>SW-DIFF-021-PAINT</t>
        </is>
      </c>
      <c r="B55" t="inlineStr">
        <is>
          <t>SW-DIFF-021</t>
        </is>
      </c>
      <c r="C55" t="inlineStr">
        <is>
          <t>Sơn tĩnh điện tiêu chuẩn Polyester</t>
        </is>
      </c>
      <c r="D55" t="inlineStr">
        <is>
          <t>SƠN_TĨNH_ĐIỆN</t>
        </is>
      </c>
      <c r="E55" t="inlineStr">
        <is>
          <t>MAT-PAINT-POWDER</t>
        </is>
      </c>
      <c r="F55" t="inlineStr">
        <is>
          <t>m2</t>
        </is>
      </c>
      <c r="G55" s="20" t="n">
        <v>0.5688494863326091</v>
      </c>
      <c r="H55" s="16">
        <f>'00_TONG_HOP_BAO_GIA'!G22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Sơn tĩnh điện hoàn thiện</t>
        </is>
      </c>
    </row>
    <row r="56">
      <c r="A56" t="inlineStr">
        <is>
          <t>SW-DIFF-021-OBD-FRAME</t>
        </is>
      </c>
      <c r="B56" t="inlineStr">
        <is>
          <t>SW-DIFF-021</t>
        </is>
      </c>
      <c r="C56" t="inlineStr">
        <is>
          <t>Khung nhôm van OBD gắn cửa (SOBD)</t>
        </is>
      </c>
      <c r="D56" t="inlineStr">
        <is>
          <t>NHÔM_ĐỊNH_HÌNH</t>
        </is>
      </c>
      <c r="E56" t="inlineStr">
        <is>
          <t>MAT-ALU-KHUNG-OBD</t>
        </is>
      </c>
      <c r="F56" t="inlineStr">
        <is>
          <t>kg</t>
        </is>
      </c>
      <c r="G56" s="20" t="n">
        <v>0.4669303411742584</v>
      </c>
      <c r="H56" s="16">
        <f>'00_TONG_HOP_BAO_GIA'!G22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Khung OBD 850x850mm</t>
        </is>
      </c>
    </row>
    <row r="57">
      <c r="A57" t="inlineStr">
        <is>
          <t>SW-DIFF-021-OBD-BLADE</t>
        </is>
      </c>
      <c r="B57" t="inlineStr">
        <is>
          <t>SW-DIFF-021</t>
        </is>
      </c>
      <c r="C57" t="inlineStr">
        <is>
          <t>Nan nhôm &amp; thanh truyền van OBD (SOBD)</t>
        </is>
      </c>
      <c r="D57" t="inlineStr">
        <is>
          <t>NHÔM_ĐỊNH_HÌNH</t>
        </is>
      </c>
      <c r="E57" t="inlineStr">
        <is>
          <t>MAT-ALU-NAN-OBD</t>
        </is>
      </c>
      <c r="F57" t="inlineStr">
        <is>
          <t>kg</t>
        </is>
      </c>
      <c r="G57" s="20" t="n">
        <v>1.569979390815347</v>
      </c>
      <c r="H57" s="16">
        <f>'00_TONG_HOP_BAO_GIA'!G22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Nan OBD đối xứng &amp; thanh liên kết</t>
        </is>
      </c>
    </row>
    <row r="58">
      <c r="A58" t="inlineStr">
        <is>
          <t>SW-DIFF-021-OBD-ACC</t>
        </is>
      </c>
      <c r="B58" t="inlineStr">
        <is>
          <t>SW-DIFF-021</t>
        </is>
      </c>
      <c r="C58" t="inlineStr">
        <is>
          <t>Bánh răng nhựa &amp; phụ kiện van OBD</t>
        </is>
      </c>
      <c r="D58" t="inlineStr">
        <is>
          <t>PHỤ_KIỆN_CỬA</t>
        </is>
      </c>
      <c r="E58" t="inlineStr">
        <is>
          <t>MAT-DOOR-ACCESSORY</t>
        </is>
      </c>
      <c r="F58" t="inlineStr">
        <is>
          <t>Bộ</t>
        </is>
      </c>
      <c r="G58" s="20" t="n">
        <v>1.776186314839681</v>
      </c>
      <c r="H58" s="16">
        <f>'00_TONG_HOP_BAO_GIA'!G22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Cơ cấu bánh răng đóng mở OBD</t>
        </is>
      </c>
    </row>
    <row r="59">
      <c r="A59" t="inlineStr">
        <is>
          <t>SW-DIFF-022-FRAME</t>
        </is>
      </c>
      <c r="B59" t="inlineStr">
        <is>
          <t>SW-DIFF-022</t>
        </is>
      </c>
      <c r="C59" t="inlineStr">
        <is>
          <t>Khung nhôm định hình (1 lớp BD)</t>
        </is>
      </c>
      <c r="D59" t="inlineStr">
        <is>
          <t>NHÔM_ĐỊNH_HÌNH</t>
        </is>
      </c>
      <c r="E59" t="inlineStr">
        <is>
          <t>MAT-ALU-KHUNG-BD</t>
        </is>
      </c>
      <c r="F59" t="inlineStr">
        <is>
          <t>kg</t>
        </is>
      </c>
      <c r="G59" s="20" t="n">
        <v>0.6341555269421125</v>
      </c>
      <c r="H59" s="16">
        <f>'00_TONG_HOP_BAO_GIA'!G23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Khung bao 1200x550mm (cổ 1150x500mm)</t>
        </is>
      </c>
    </row>
    <row r="60">
      <c r="A60" t="inlineStr">
        <is>
          <t>SW-DIFF-022-BLADE</t>
        </is>
      </c>
      <c r="B60" t="inlineStr">
        <is>
          <t>SW-DIFF-022</t>
        </is>
      </c>
      <c r="C60" t="inlineStr">
        <is>
          <t>Nan nhôm bầu dục (24 nan)</t>
        </is>
      </c>
      <c r="D60" t="inlineStr">
        <is>
          <t>NHÔM_ĐỊNH_HÌNH</t>
        </is>
      </c>
      <c r="E60" t="inlineStr">
        <is>
          <t>MAT-ALU-NAN-BD</t>
        </is>
      </c>
      <c r="F60" t="inlineStr">
        <is>
          <t>kg</t>
        </is>
      </c>
      <c r="G60" s="20" t="n">
        <v>1.496397652607508</v>
      </c>
      <c r="H60" s="16">
        <f>'00_TONG_HOP_BAO_GIA'!G23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Nan bầu dục @ 0.058kg/m</t>
        </is>
      </c>
    </row>
    <row r="61">
      <c r="A61" t="inlineStr">
        <is>
          <t>SW-DIFF-022-ACCESSORY</t>
        </is>
      </c>
      <c r="B61" t="inlineStr">
        <is>
          <t>SW-DIFF-022</t>
        </is>
      </c>
      <c r="C61" t="inlineStr">
        <is>
          <t>Phụ kiện lắp ghép / Ke góc cửa gió</t>
        </is>
      </c>
      <c r="D61" t="inlineStr">
        <is>
          <t>PHỤ_KIỆN_CỬA</t>
        </is>
      </c>
      <c r="E61" t="inlineStr">
        <is>
          <t>MAT-DOOR-ACCESSORY</t>
        </is>
      </c>
      <c r="F61" t="inlineStr">
        <is>
          <t>Bộ</t>
        </is>
      </c>
      <c r="G61" s="20" t="n">
        <v>0.1067893976973274</v>
      </c>
      <c r="H61" s="16">
        <f>'00_TONG_HOP_BAO_GIA'!G23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4 ke góc chìm và vít ghép khung</t>
        </is>
      </c>
    </row>
    <row r="62">
      <c r="A62" t="inlineStr">
        <is>
          <t>SW-DIFF-022-PAINT</t>
        </is>
      </c>
      <c r="B62" t="inlineStr">
        <is>
          <t>SW-DIFF-022</t>
        </is>
      </c>
      <c r="C62" t="inlineStr">
        <is>
          <t>Sơn tĩnh điện tiêu chuẩn Polyester</t>
        </is>
      </c>
      <c r="D62" t="inlineStr">
        <is>
          <t>SƠN_TĨNH_ĐIỆN</t>
        </is>
      </c>
      <c r="E62" t="inlineStr">
        <is>
          <t>MAT-PAINT-POWDER</t>
        </is>
      </c>
      <c r="F62" t="inlineStr">
        <is>
          <t>m2</t>
        </is>
      </c>
      <c r="G62" s="20" t="n">
        <v>0.4671093889866628</v>
      </c>
      <c r="H62" s="16">
        <f>'00_TONG_HOP_BAO_GIA'!G23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Sơn tĩnh điện hoàn thiện</t>
        </is>
      </c>
    </row>
    <row r="63">
      <c r="A63" t="inlineStr">
        <is>
          <t>SW-DIFF-024-FRAME</t>
        </is>
      </c>
      <c r="B63" t="inlineStr">
        <is>
          <t>SW-DIFF-024</t>
        </is>
      </c>
      <c r="C63" t="inlineStr">
        <is>
          <t>Khung nhôm định hình (1 lớp BD)</t>
        </is>
      </c>
      <c r="D63" t="inlineStr">
        <is>
          <t>NHÔM_ĐỊNH_HÌNH</t>
        </is>
      </c>
      <c r="E63" t="inlineStr">
        <is>
          <t>MAT-ALU-KHUNG-BD</t>
        </is>
      </c>
      <c r="F63" t="inlineStr">
        <is>
          <t>kg</t>
        </is>
      </c>
      <c r="G63" s="20" t="n">
        <v>0.571318881291052</v>
      </c>
      <c r="H63" s="16">
        <f>'00_TONG_HOP_BAO_GIA'!G25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Khung bao 1200x400mm (cổ 1150x350mm)</t>
        </is>
      </c>
    </row>
    <row r="64">
      <c r="A64" t="inlineStr">
        <is>
          <t>SW-DIFF-024-BLADE</t>
        </is>
      </c>
      <c r="B64" t="inlineStr">
        <is>
          <t>SW-DIFF-024</t>
        </is>
      </c>
      <c r="C64" t="inlineStr">
        <is>
          <t>Nan nhôm bầu dục (17 nan)</t>
        </is>
      </c>
      <c r="D64" t="inlineStr">
        <is>
          <t>NHÔM_ĐỊNH_HÌNH</t>
        </is>
      </c>
      <c r="E64" t="inlineStr">
        <is>
          <t>MAT-ALU-NAN-BD</t>
        </is>
      </c>
      <c r="F64" t="inlineStr">
        <is>
          <t>kg</t>
        </is>
      </c>
      <c r="G64" s="20" t="n">
        <v>1.059912433730242</v>
      </c>
      <c r="H64" s="16">
        <f>'00_TONG_HOP_BAO_GIA'!G25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Nan bầu dục @ 0.058kg/m</t>
        </is>
      </c>
    </row>
    <row r="65">
      <c r="A65" t="inlineStr">
        <is>
          <t>SW-DIFF-024-ACCESSORY</t>
        </is>
      </c>
      <c r="B65" t="inlineStr">
        <is>
          <t>SW-DIFF-024</t>
        </is>
      </c>
      <c r="C65" t="inlineStr">
        <is>
          <t>Phụ kiện lắp ghép / Ke góc cửa gió</t>
        </is>
      </c>
      <c r="D65" t="inlineStr">
        <is>
          <t>PHỤ_KIỆN_CỬA</t>
        </is>
      </c>
      <c r="E65" t="inlineStr">
        <is>
          <t>MAT-DOOR-ACCESSORY</t>
        </is>
      </c>
      <c r="F65" t="inlineStr">
        <is>
          <t>Bộ</t>
        </is>
      </c>
      <c r="G65" s="20" t="n">
        <v>0.07563992780443707</v>
      </c>
      <c r="H65" s="16">
        <f>'00_TONG_HOP_BAO_GIA'!G25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4 ke góc chìm và vít ghép khung</t>
        </is>
      </c>
    </row>
    <row r="66">
      <c r="A66" t="inlineStr">
        <is>
          <t>SW-DIFF-024-PAINT</t>
        </is>
      </c>
      <c r="B66" t="inlineStr">
        <is>
          <t>SW-DIFF-024</t>
        </is>
      </c>
      <c r="C66" t="inlineStr">
        <is>
          <t>Sơn tĩnh điện tiêu chuẩn Polyester</t>
        </is>
      </c>
      <c r="D66" t="inlineStr">
        <is>
          <t>SƠN_TĨNH_ĐIỆN</t>
        </is>
      </c>
      <c r="E66" t="inlineStr">
        <is>
          <t>MAT-PAINT-POWDER</t>
        </is>
      </c>
      <c r="F66" t="inlineStr">
        <is>
          <t>m2</t>
        </is>
      </c>
      <c r="G66" s="20" t="n">
        <v>0.3580255018762821</v>
      </c>
      <c r="H66" s="16">
        <f>'00_TONG_HOP_BAO_GIA'!G25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Sơn tĩnh điện hoàn thiện</t>
        </is>
      </c>
    </row>
    <row r="67">
      <c r="A67" t="inlineStr">
        <is>
          <t>SW-DIFF-026-FRAME</t>
        </is>
      </c>
      <c r="B67" t="inlineStr">
        <is>
          <t>SW-DIFF-026</t>
        </is>
      </c>
      <c r="C67" t="inlineStr">
        <is>
          <t>Khung nhôm định hình (1 lớp BD)</t>
        </is>
      </c>
      <c r="D67" t="inlineStr">
        <is>
          <t>NHÔM_ĐỊNH_HÌNH</t>
        </is>
      </c>
      <c r="E67" t="inlineStr">
        <is>
          <t>MAT-ALU-KHUNG-BD</t>
        </is>
      </c>
      <c r="F67" t="inlineStr">
        <is>
          <t>kg</t>
        </is>
      </c>
      <c r="G67" s="20" t="n">
        <v>0.6382609028670587</v>
      </c>
      <c r="H67" s="16">
        <f>'00_TONG_HOP_BAO_GIA'!G27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Khung bao 1400x400mm (cổ 1350x350mm)</t>
        </is>
      </c>
    </row>
    <row r="68">
      <c r="A68" t="inlineStr">
        <is>
          <t>SW-DIFF-026-BLADE</t>
        </is>
      </c>
      <c r="B68" t="inlineStr">
        <is>
          <t>SW-DIFF-026</t>
        </is>
      </c>
      <c r="C68" t="inlineStr">
        <is>
          <t>Nan nhôm bầu dục (17 nan)</t>
        </is>
      </c>
      <c r="D68" t="inlineStr">
        <is>
          <t>NHÔM_ĐỊNH_HÌNH</t>
        </is>
      </c>
      <c r="E68" t="inlineStr">
        <is>
          <t>MAT-ALU-NAN-BD</t>
        </is>
      </c>
      <c r="F68" t="inlineStr">
        <is>
          <t>kg</t>
        </is>
      </c>
      <c r="G68" s="20" t="n">
        <v>1.243543746789142</v>
      </c>
      <c r="H68" s="16">
        <f>'00_TONG_HOP_BAO_GIA'!G27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Nan bầu dục @ 0.058kg/m</t>
        </is>
      </c>
    </row>
    <row r="69">
      <c r="A69" t="inlineStr">
        <is>
          <t>SW-DIFF-026-ACCESSORY</t>
        </is>
      </c>
      <c r="B69" t="inlineStr">
        <is>
          <t>SW-DIFF-026</t>
        </is>
      </c>
      <c r="C69" t="inlineStr">
        <is>
          <t>Phụ kiện lắp ghép / Ke góc cửa gió</t>
        </is>
      </c>
      <c r="D69" t="inlineStr">
        <is>
          <t>PHỤ_KIỆN_CỬA</t>
        </is>
      </c>
      <c r="E69" t="inlineStr">
        <is>
          <t>MAT-DOOR-ACCESSORY</t>
        </is>
      </c>
      <c r="F69" t="inlineStr">
        <is>
          <t>Bộ</t>
        </is>
      </c>
      <c r="G69" s="20" t="n">
        <v>0.07559729546253278</v>
      </c>
      <c r="H69" s="16">
        <f>'00_TONG_HOP_BAO_GIA'!G27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4 ke góc chìm và vít ghép khung</t>
        </is>
      </c>
    </row>
    <row r="70">
      <c r="A70" t="inlineStr">
        <is>
          <t>SW-DIFF-026-PAINT</t>
        </is>
      </c>
      <c r="B70" t="inlineStr">
        <is>
          <t>SW-DIFF-026</t>
        </is>
      </c>
      <c r="C70" t="inlineStr">
        <is>
          <t>Sơn tĩnh điện tiêu chuẩn Polyester</t>
        </is>
      </c>
      <c r="D70" t="inlineStr">
        <is>
          <t>SƠN_TĨNH_ĐIỆN</t>
        </is>
      </c>
      <c r="E70" t="inlineStr">
        <is>
          <t>MAT-PAINT-POWDER</t>
        </is>
      </c>
      <c r="F70" t="inlineStr">
        <is>
          <t>m2</t>
        </is>
      </c>
      <c r="G70" s="20" t="n">
        <v>0.4141580829062938</v>
      </c>
      <c r="H70" s="16">
        <f>'00_TONG_HOP_BAO_GIA'!G27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Sơn tĩnh điện hoàn thiện</t>
        </is>
      </c>
    </row>
    <row r="71">
      <c r="A71" t="inlineStr">
        <is>
          <t>SW-DIFF-028-FRAME</t>
        </is>
      </c>
      <c r="B71" t="inlineStr">
        <is>
          <t>SW-DIFF-028</t>
        </is>
      </c>
      <c r="C71" t="inlineStr">
        <is>
          <t>Khung nhôm định hình (1 lớp BD)</t>
        </is>
      </c>
      <c r="D71" t="inlineStr">
        <is>
          <t>NHÔM_ĐỊNH_HÌNH</t>
        </is>
      </c>
      <c r="E71" t="inlineStr">
        <is>
          <t>MAT-ALU-KHUNG-BD</t>
        </is>
      </c>
      <c r="F71" t="inlineStr">
        <is>
          <t>kg</t>
        </is>
      </c>
      <c r="G71" s="20" t="n">
        <v>0.6341555269421125</v>
      </c>
      <c r="H71" s="16">
        <f>'00_TONG_HOP_BAO_GIA'!G29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Khung bao 1200x550mm (cổ 1150x500mm)</t>
        </is>
      </c>
    </row>
    <row r="72">
      <c r="A72" t="inlineStr">
        <is>
          <t>SW-DIFF-028-BLADE</t>
        </is>
      </c>
      <c r="B72" t="inlineStr">
        <is>
          <t>SW-DIFF-028</t>
        </is>
      </c>
      <c r="C72" t="inlineStr">
        <is>
          <t>Nan nhôm bầu dục (24 nan)</t>
        </is>
      </c>
      <c r="D72" t="inlineStr">
        <is>
          <t>NHÔM_ĐỊNH_HÌNH</t>
        </is>
      </c>
      <c r="E72" t="inlineStr">
        <is>
          <t>MAT-ALU-NAN-BD</t>
        </is>
      </c>
      <c r="F72" t="inlineStr">
        <is>
          <t>kg</t>
        </is>
      </c>
      <c r="G72" s="20" t="n">
        <v>1.496397652607508</v>
      </c>
      <c r="H72" s="16">
        <f>'00_TONG_HOP_BAO_GIA'!G29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Nan bầu dục @ 0.058kg/m</t>
        </is>
      </c>
    </row>
    <row r="73">
      <c r="A73" t="inlineStr">
        <is>
          <t>SW-DIFF-028-ACCESSORY</t>
        </is>
      </c>
      <c r="B73" t="inlineStr">
        <is>
          <t>SW-DIFF-028</t>
        </is>
      </c>
      <c r="C73" t="inlineStr">
        <is>
          <t>Phụ kiện lắp ghép / Ke góc cửa gió</t>
        </is>
      </c>
      <c r="D73" t="inlineStr">
        <is>
          <t>PHỤ_KIỆN_CỬA</t>
        </is>
      </c>
      <c r="E73" t="inlineStr">
        <is>
          <t>MAT-DOOR-ACCESSORY</t>
        </is>
      </c>
      <c r="F73" t="inlineStr">
        <is>
          <t>Bộ</t>
        </is>
      </c>
      <c r="G73" s="20" t="n">
        <v>0.1067893976973274</v>
      </c>
      <c r="H73" s="16">
        <f>'00_TONG_HOP_BAO_GIA'!G29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4 ke góc chìm và vít ghép khung</t>
        </is>
      </c>
    </row>
    <row r="74">
      <c r="A74" t="inlineStr">
        <is>
          <t>SW-DIFF-028-PAINT</t>
        </is>
      </c>
      <c r="B74" t="inlineStr">
        <is>
          <t>SW-DIFF-028</t>
        </is>
      </c>
      <c r="C74" t="inlineStr">
        <is>
          <t>Sơn tĩnh điện tiêu chuẩn Polyester</t>
        </is>
      </c>
      <c r="D74" t="inlineStr">
        <is>
          <t>SƠN_TĨNH_ĐIỆN</t>
        </is>
      </c>
      <c r="E74" t="inlineStr">
        <is>
          <t>MAT-PAINT-POWDER</t>
        </is>
      </c>
      <c r="F74" t="inlineStr">
        <is>
          <t>m2</t>
        </is>
      </c>
      <c r="G74" s="20" t="n">
        <v>0.4671093889866628</v>
      </c>
      <c r="H74" s="16">
        <f>'00_TONG_HOP_BAO_GIA'!G29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Sơn tĩnh điện hoàn thiện</t>
        </is>
      </c>
    </row>
    <row r="75">
      <c r="A75" t="inlineStr">
        <is>
          <t>SW-DIFF-030-FRAME</t>
        </is>
      </c>
      <c r="B75" t="inlineStr">
        <is>
          <t>SW-DIFF-030</t>
        </is>
      </c>
      <c r="C75" t="inlineStr">
        <is>
          <t>Khung nhôm định hình (1 lớp BD)</t>
        </is>
      </c>
      <c r="D75" t="inlineStr">
        <is>
          <t>NHÔM_ĐỊNH_HÌNH</t>
        </is>
      </c>
      <c r="E75" t="inlineStr">
        <is>
          <t>MAT-ALU-KHUNG-BD</t>
        </is>
      </c>
      <c r="F75" t="inlineStr">
        <is>
          <t>kg</t>
        </is>
      </c>
      <c r="G75" s="20" t="n">
        <v>0.571318881291052</v>
      </c>
      <c r="H75" s="16">
        <f>'00_TONG_HOP_BAO_GIA'!G31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Khung bao 1200x400mm (cổ 1150x350mm)</t>
        </is>
      </c>
    </row>
    <row r="76">
      <c r="A76" t="inlineStr">
        <is>
          <t>SW-DIFF-030-BLADE</t>
        </is>
      </c>
      <c r="B76" t="inlineStr">
        <is>
          <t>SW-DIFF-030</t>
        </is>
      </c>
      <c r="C76" t="inlineStr">
        <is>
          <t>Nan nhôm bầu dục (17 nan)</t>
        </is>
      </c>
      <c r="D76" t="inlineStr">
        <is>
          <t>NHÔM_ĐỊNH_HÌNH</t>
        </is>
      </c>
      <c r="E76" t="inlineStr">
        <is>
          <t>MAT-ALU-NAN-BD</t>
        </is>
      </c>
      <c r="F76" t="inlineStr">
        <is>
          <t>kg</t>
        </is>
      </c>
      <c r="G76" s="20" t="n">
        <v>1.059912433730242</v>
      </c>
      <c r="H76" s="16">
        <f>'00_TONG_HOP_BAO_GIA'!G31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Nan bầu dục @ 0.058kg/m</t>
        </is>
      </c>
    </row>
    <row r="77">
      <c r="A77" t="inlineStr">
        <is>
          <t>SW-DIFF-030-ACCESSORY</t>
        </is>
      </c>
      <c r="B77" t="inlineStr">
        <is>
          <t>SW-DIFF-030</t>
        </is>
      </c>
      <c r="C77" t="inlineStr">
        <is>
          <t>Phụ kiện lắp ghép / Ke góc cửa gió</t>
        </is>
      </c>
      <c r="D77" t="inlineStr">
        <is>
          <t>PHỤ_KIỆN_CỬA</t>
        </is>
      </c>
      <c r="E77" t="inlineStr">
        <is>
          <t>MAT-DOOR-ACCESSORY</t>
        </is>
      </c>
      <c r="F77" t="inlineStr">
        <is>
          <t>Bộ</t>
        </is>
      </c>
      <c r="G77" s="20" t="n">
        <v>0.07563992780443707</v>
      </c>
      <c r="H77" s="16">
        <f>'00_TONG_HOP_BAO_GIA'!G31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4 ke góc chìm và vít ghép khung</t>
        </is>
      </c>
    </row>
    <row r="78">
      <c r="A78" t="inlineStr">
        <is>
          <t>SW-DIFF-030-PAINT</t>
        </is>
      </c>
      <c r="B78" t="inlineStr">
        <is>
          <t>SW-DIFF-030</t>
        </is>
      </c>
      <c r="C78" t="inlineStr">
        <is>
          <t>Sơn tĩnh điện tiêu chuẩn Polyester</t>
        </is>
      </c>
      <c r="D78" t="inlineStr">
        <is>
          <t>SƠN_TĨNH_ĐIỆN</t>
        </is>
      </c>
      <c r="E78" t="inlineStr">
        <is>
          <t>MAT-PAINT-POWDER</t>
        </is>
      </c>
      <c r="F78" t="inlineStr">
        <is>
          <t>m2</t>
        </is>
      </c>
      <c r="G78" s="20" t="n">
        <v>0.3580255018762821</v>
      </c>
      <c r="H78" s="16">
        <f>'00_TONG_HOP_BAO_GIA'!G31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Sơn tĩnh điện hoàn thiện</t>
        </is>
      </c>
    </row>
    <row r="79">
      <c r="A79" t="inlineStr">
        <is>
          <t>SW-DIFF-032-FRAME</t>
        </is>
      </c>
      <c r="B79" t="inlineStr">
        <is>
          <t>SW-DIFF-032</t>
        </is>
      </c>
      <c r="C79" t="inlineStr">
        <is>
          <t>Khung nhôm định hình (1 lớp BD)</t>
        </is>
      </c>
      <c r="D79" t="inlineStr">
        <is>
          <t>NHÔM_ĐỊNH_HÌNH</t>
        </is>
      </c>
      <c r="E79" t="inlineStr">
        <is>
          <t>MAT-ALU-KHUNG-BD</t>
        </is>
      </c>
      <c r="F79" t="inlineStr">
        <is>
          <t>kg</t>
        </is>
      </c>
      <c r="G79" s="20" t="n">
        <v>0.6382609028670587</v>
      </c>
      <c r="H79" s="16">
        <f>'00_TONG_HOP_BAO_GIA'!G33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Khung bao 1400x400mm (cổ 1350x350mm)</t>
        </is>
      </c>
    </row>
    <row r="80">
      <c r="A80" t="inlineStr">
        <is>
          <t>SW-DIFF-032-BLADE</t>
        </is>
      </c>
      <c r="B80" t="inlineStr">
        <is>
          <t>SW-DIFF-032</t>
        </is>
      </c>
      <c r="C80" t="inlineStr">
        <is>
          <t>Nan nhôm bầu dục (17 nan)</t>
        </is>
      </c>
      <c r="D80" t="inlineStr">
        <is>
          <t>NHÔM_ĐỊNH_HÌNH</t>
        </is>
      </c>
      <c r="E80" t="inlineStr">
        <is>
          <t>MAT-ALU-NAN-BD</t>
        </is>
      </c>
      <c r="F80" t="inlineStr">
        <is>
          <t>kg</t>
        </is>
      </c>
      <c r="G80" s="20" t="n">
        <v>1.243543746789142</v>
      </c>
      <c r="H80" s="16">
        <f>'00_TONG_HOP_BAO_GIA'!G33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Nan bầu dục @ 0.058kg/m</t>
        </is>
      </c>
    </row>
    <row r="81">
      <c r="A81" t="inlineStr">
        <is>
          <t>SW-DIFF-032-ACCESSORY</t>
        </is>
      </c>
      <c r="B81" t="inlineStr">
        <is>
          <t>SW-DIFF-032</t>
        </is>
      </c>
      <c r="C81" t="inlineStr">
        <is>
          <t>Phụ kiện lắp ghép / Ke góc cửa gió</t>
        </is>
      </c>
      <c r="D81" t="inlineStr">
        <is>
          <t>PHỤ_KIỆN_CỬA</t>
        </is>
      </c>
      <c r="E81" t="inlineStr">
        <is>
          <t>MAT-DOOR-ACCESSORY</t>
        </is>
      </c>
      <c r="F81" t="inlineStr">
        <is>
          <t>Bộ</t>
        </is>
      </c>
      <c r="G81" s="20" t="n">
        <v>0.07559729546253278</v>
      </c>
      <c r="H81" s="16">
        <f>'00_TONG_HOP_BAO_GIA'!G33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4 ke góc chìm và vít ghép khung</t>
        </is>
      </c>
    </row>
    <row r="82">
      <c r="A82" t="inlineStr">
        <is>
          <t>SW-DIFF-032-PAINT</t>
        </is>
      </c>
      <c r="B82" t="inlineStr">
        <is>
          <t>SW-DIFF-032</t>
        </is>
      </c>
      <c r="C82" t="inlineStr">
        <is>
          <t>Sơn tĩnh điện tiêu chuẩn Polyester</t>
        </is>
      </c>
      <c r="D82" t="inlineStr">
        <is>
          <t>SƠN_TĨNH_ĐIỆN</t>
        </is>
      </c>
      <c r="E82" t="inlineStr">
        <is>
          <t>MAT-PAINT-POWDER</t>
        </is>
      </c>
      <c r="F82" t="inlineStr">
        <is>
          <t>m2</t>
        </is>
      </c>
      <c r="G82" s="20" t="n">
        <v>0.4141580829062938</v>
      </c>
      <c r="H82" s="16">
        <f>'00_TONG_HOP_BAO_GIA'!G33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Sơn tĩnh điện hoàn thiện</t>
        </is>
      </c>
    </row>
    <row r="83">
      <c r="A83" t="inlineStr">
        <is>
          <t>SW-DIFF-034-FRAME</t>
        </is>
      </c>
      <c r="B83" t="inlineStr">
        <is>
          <t>SW-DIFF-034</t>
        </is>
      </c>
      <c r="C83" t="inlineStr">
        <is>
          <t>Khung nhôm định hình (1 lớp BD)</t>
        </is>
      </c>
      <c r="D83" t="inlineStr">
        <is>
          <t>NHÔM_ĐỊNH_HÌNH</t>
        </is>
      </c>
      <c r="E83" t="inlineStr">
        <is>
          <t>MAT-ALU-KHUNG-BD</t>
        </is>
      </c>
      <c r="F83" t="inlineStr">
        <is>
          <t>kg</t>
        </is>
      </c>
      <c r="G83" s="20" t="n">
        <v>0.4776725200435986</v>
      </c>
      <c r="H83" s="16">
        <f>'00_TONG_HOP_BAO_GIA'!G35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Khung bao 800x500mm (cổ 750x450mm)</t>
        </is>
      </c>
    </row>
    <row r="84">
      <c r="A84" t="inlineStr">
        <is>
          <t>SW-DIFF-034-BLADE</t>
        </is>
      </c>
      <c r="B84" t="inlineStr">
        <is>
          <t>SW-DIFF-034</t>
        </is>
      </c>
      <c r="C84" t="inlineStr">
        <is>
          <t>Nan nhôm bầu dục (22 nan)</t>
        </is>
      </c>
      <c r="D84" t="inlineStr">
        <is>
          <t>NHÔM_ĐỊNH_HÌNH</t>
        </is>
      </c>
      <c r="E84" t="inlineStr">
        <is>
          <t>MAT-ALU-NAN-BD</t>
        </is>
      </c>
      <c r="F84" t="inlineStr">
        <is>
          <t>kg</t>
        </is>
      </c>
      <c r="G84" s="20" t="n">
        <v>0.8928371126596171</v>
      </c>
      <c r="H84" s="16">
        <f>'00_TONG_HOP_BAO_GIA'!G35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Nan bầu dục @ 0.058kg/m</t>
        </is>
      </c>
    </row>
    <row r="85">
      <c r="A85" t="inlineStr">
        <is>
          <t>SW-DIFF-034-ACCESSORY</t>
        </is>
      </c>
      <c r="B85" t="inlineStr">
        <is>
          <t>SW-DIFF-034</t>
        </is>
      </c>
      <c r="C85" t="inlineStr">
        <is>
          <t>Phụ kiện lắp ghép / Ke góc cửa gió</t>
        </is>
      </c>
      <c r="D85" t="inlineStr">
        <is>
          <t>PHỤ_KIỆN_CỬA</t>
        </is>
      </c>
      <c r="E85" t="inlineStr">
        <is>
          <t>MAT-DOOR-ACCESSORY</t>
        </is>
      </c>
      <c r="F85" t="inlineStr">
        <is>
          <t>Bộ</t>
        </is>
      </c>
      <c r="G85" s="20" t="n">
        <v>0.0976989576151673</v>
      </c>
      <c r="H85" s="16">
        <f>'00_TONG_HOP_BAO_GIA'!G35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4 ke góc chìm và vít ghép khung</t>
        </is>
      </c>
    </row>
    <row r="86">
      <c r="A86" t="inlineStr">
        <is>
          <t>SW-DIFF-034-PAINT</t>
        </is>
      </c>
      <c r="B86" t="inlineStr">
        <is>
          <t>SW-DIFF-034</t>
        </is>
      </c>
      <c r="C86" t="inlineStr">
        <is>
          <t>Sơn tĩnh điện tiêu chuẩn Polyester</t>
        </is>
      </c>
      <c r="D86" t="inlineStr">
        <is>
          <t>SƠN_TĨNH_ĐIỆN</t>
        </is>
      </c>
      <c r="E86" t="inlineStr">
        <is>
          <t>MAT-PAINT-POWDER</t>
        </is>
      </c>
      <c r="F86" t="inlineStr">
        <is>
          <t>m2</t>
        </is>
      </c>
      <c r="G86" s="20" t="n">
        <v>0.2977989617146811</v>
      </c>
      <c r="H86" s="16">
        <f>'00_TONG_HOP_BAO_GIA'!G35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Sơn tĩnh điện hoàn thiện</t>
        </is>
      </c>
    </row>
    <row r="87">
      <c r="A87" t="inlineStr">
        <is>
          <t>SW-DIFF-034-OBD-FRAME</t>
        </is>
      </c>
      <c r="B87" t="inlineStr">
        <is>
          <t>SW-DIFF-034</t>
        </is>
      </c>
      <c r="C87" t="inlineStr">
        <is>
          <t>Khung nhôm van OBD gắn cửa (SOBD)</t>
        </is>
      </c>
      <c r="D87" t="inlineStr">
        <is>
          <t>NHÔM_ĐỊNH_HÌNH</t>
        </is>
      </c>
      <c r="E87" t="inlineStr">
        <is>
          <t>MAT-ALU-KHUNG-OBD</t>
        </is>
      </c>
      <c r="F87" t="inlineStr">
        <is>
          <t>kg</t>
        </is>
      </c>
      <c r="G87" s="20" t="n">
        <v>0.3291746006677848</v>
      </c>
      <c r="H87" s="16">
        <f>'00_TONG_HOP_BAO_GIA'!G35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Khung OBD 750x450mm</t>
        </is>
      </c>
    </row>
    <row r="88">
      <c r="A88" t="inlineStr">
        <is>
          <t>SW-DIFF-034-OBD-BLADE</t>
        </is>
      </c>
      <c r="B88" t="inlineStr">
        <is>
          <t>SW-DIFF-034</t>
        </is>
      </c>
      <c r="C88" t="inlineStr">
        <is>
          <t>Nan nhôm &amp; thanh truyền van OBD (SOBD)</t>
        </is>
      </c>
      <c r="D88" t="inlineStr">
        <is>
          <t>NHÔM_ĐỊNH_HÌNH</t>
        </is>
      </c>
      <c r="E88" t="inlineStr">
        <is>
          <t>MAT-ALU-NAN-OBD</t>
        </is>
      </c>
      <c r="F88" t="inlineStr">
        <is>
          <t>kg</t>
        </is>
      </c>
      <c r="G88" s="20" t="n">
        <v>0.7324395287801777</v>
      </c>
      <c r="H88" s="16">
        <f>'00_TONG_HOP_BAO_GIA'!G35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Nan OBD đối xứng &amp; thanh liên kết</t>
        </is>
      </c>
    </row>
    <row r="89">
      <c r="A89" t="inlineStr">
        <is>
          <t>SW-DIFF-034-OBD-ACC</t>
        </is>
      </c>
      <c r="B89" t="inlineStr">
        <is>
          <t>SW-DIFF-034</t>
        </is>
      </c>
      <c r="C89" t="inlineStr">
        <is>
          <t>Bánh răng nhựa &amp; phụ kiện van OBD</t>
        </is>
      </c>
      <c r="D89" t="inlineStr">
        <is>
          <t>PHỤ_KIỆN_CỬA</t>
        </is>
      </c>
      <c r="E89" t="inlineStr">
        <is>
          <t>MAT-DOOR-ACCESSORY</t>
        </is>
      </c>
      <c r="F89" t="inlineStr">
        <is>
          <t>Bộ</t>
        </is>
      </c>
      <c r="G89" s="20" t="n">
        <v>1.5935080982628</v>
      </c>
      <c r="H89" s="16">
        <f>'00_TONG_HOP_BAO_GIA'!G35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Cơ cấu bánh răng đóng mở OBD</t>
        </is>
      </c>
    </row>
    <row r="90">
      <c r="A90" t="inlineStr">
        <is>
          <t>SW-DIFF-035-FRAME</t>
        </is>
      </c>
      <c r="B90" t="inlineStr">
        <is>
          <t>SW-DIFF-035</t>
        </is>
      </c>
      <c r="C90" t="inlineStr">
        <is>
          <t>Khung nhôm định hình (1 lớp BD)</t>
        </is>
      </c>
      <c r="D90" t="inlineStr">
        <is>
          <t>NHÔM_ĐỊNH_HÌNH</t>
        </is>
      </c>
      <c r="E90" t="inlineStr">
        <is>
          <t>MAT-ALU-KHUNG-BD</t>
        </is>
      </c>
      <c r="F90" t="inlineStr">
        <is>
          <t>kg</t>
        </is>
      </c>
      <c r="G90" s="20" t="n">
        <v>0.1522746013870727</v>
      </c>
      <c r="H90" s="16">
        <f>'00_TONG_HOP_BAO_GIA'!G36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Khung bao 200x200mm (cổ 150x150mm)</t>
        </is>
      </c>
    </row>
    <row r="91">
      <c r="A91" t="inlineStr">
        <is>
          <t>SW-DIFF-035-BLADE</t>
        </is>
      </c>
      <c r="B91" t="inlineStr">
        <is>
          <t>SW-DIFF-035</t>
        </is>
      </c>
      <c r="C91" t="inlineStr">
        <is>
          <t>Nan nhôm bầu dục (7 nan)</t>
        </is>
      </c>
      <c r="D91" t="inlineStr">
        <is>
          <t>NHÔM_ĐỊNH_HÌNH</t>
        </is>
      </c>
      <c r="E91" t="inlineStr">
        <is>
          <t>MAT-ALU-NAN-BD</t>
        </is>
      </c>
      <c r="F91" t="inlineStr">
        <is>
          <t>kg</t>
        </is>
      </c>
      <c r="G91" s="20" t="n">
        <v>0.0573856635177768</v>
      </c>
      <c r="H91" s="16">
        <f>'00_TONG_HOP_BAO_GIA'!G36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Nan bầu dục @ 0.058kg/m</t>
        </is>
      </c>
    </row>
    <row r="92">
      <c r="A92" t="inlineStr">
        <is>
          <t>SW-DIFF-035-ACCESSORY</t>
        </is>
      </c>
      <c r="B92" t="inlineStr">
        <is>
          <t>SW-DIFF-035</t>
        </is>
      </c>
      <c r="C92" t="inlineStr">
        <is>
          <t>Phụ kiện lắp ghép / Ke góc cửa gió</t>
        </is>
      </c>
      <c r="D92" t="inlineStr">
        <is>
          <t>PHỤ_KIỆN_CỬA</t>
        </is>
      </c>
      <c r="E92" t="inlineStr">
        <is>
          <t>MAT-DOOR-ACCESSORY</t>
        </is>
      </c>
      <c r="F92" t="inlineStr">
        <is>
          <t>Bộ</t>
        </is>
      </c>
      <c r="G92" s="20" t="n">
        <v>0.0313972136028296</v>
      </c>
      <c r="H92" s="16">
        <f>'00_TONG_HOP_BAO_GIA'!G36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4 ke góc chìm và vít ghép khung</t>
        </is>
      </c>
    </row>
    <row r="93">
      <c r="A93" t="inlineStr">
        <is>
          <t>SW-DIFF-035-PAINT</t>
        </is>
      </c>
      <c r="B93" t="inlineStr">
        <is>
          <t>SW-DIFF-035</t>
        </is>
      </c>
      <c r="C93" t="inlineStr">
        <is>
          <t>Sơn tĩnh điện tiêu chuẩn Polyester</t>
        </is>
      </c>
      <c r="D93" t="inlineStr">
        <is>
          <t>SƠN_TĨNH_ĐIỆN</t>
        </is>
      </c>
      <c r="E93" t="inlineStr">
        <is>
          <t>MAT-PAINT-POWDER</t>
        </is>
      </c>
      <c r="F93" t="inlineStr">
        <is>
          <t>m2</t>
        </is>
      </c>
      <c r="G93" s="20" t="n">
        <v>0.04324900213256998</v>
      </c>
      <c r="H93" s="16">
        <f>'00_TONG_HOP_BAO_GIA'!G36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Sơn tĩnh điện hoàn thiện</t>
        </is>
      </c>
    </row>
    <row r="94">
      <c r="A94" t="inlineStr">
        <is>
          <t>SW-DIFF-035-OBD-FRAME</t>
        </is>
      </c>
      <c r="B94" t="inlineStr">
        <is>
          <t>SW-DIFF-035</t>
        </is>
      </c>
      <c r="C94" t="inlineStr">
        <is>
          <t>Khung nhôm van OBD gắn cửa (SOBD)</t>
        </is>
      </c>
      <c r="D94" t="inlineStr">
        <is>
          <t>NHÔM_ĐỊNH_HÌNH</t>
        </is>
      </c>
      <c r="E94" t="inlineStr">
        <is>
          <t>MAT-ALU-KHUNG-OBD</t>
        </is>
      </c>
      <c r="F94" t="inlineStr">
        <is>
          <t>kg</t>
        </is>
      </c>
      <c r="G94" s="20" t="n">
        <v>0.08230553030583942</v>
      </c>
      <c r="H94" s="16">
        <f>'00_TONG_HOP_BAO_GIA'!G36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Khung OBD 150x150mm</t>
        </is>
      </c>
    </row>
    <row r="95">
      <c r="A95" t="inlineStr">
        <is>
          <t>SW-DIFF-035-OBD-BLADE</t>
        </is>
      </c>
      <c r="B95" t="inlineStr">
        <is>
          <t>SW-DIFF-035</t>
        </is>
      </c>
      <c r="C95" t="inlineStr">
        <is>
          <t>Nan nhôm &amp; thanh truyền van OBD (SOBD)</t>
        </is>
      </c>
      <c r="D95" t="inlineStr">
        <is>
          <t>NHÔM_ĐỊNH_HÌNH</t>
        </is>
      </c>
      <c r="E95" t="inlineStr">
        <is>
          <t>MAT-ALU-NAN-OBD</t>
        </is>
      </c>
      <c r="F95" t="inlineStr">
        <is>
          <t>kg</t>
        </is>
      </c>
      <c r="G95" s="20" t="n">
        <v>0.04883635105172434</v>
      </c>
      <c r="H95" s="16">
        <f>'00_TONG_HOP_BAO_GIA'!G36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Nan OBD đối xứng &amp; thanh liên kết</t>
        </is>
      </c>
    </row>
    <row r="96">
      <c r="A96" t="inlineStr">
        <is>
          <t>SW-DIFF-035-OBD-ACC</t>
        </is>
      </c>
      <c r="B96" t="inlineStr">
        <is>
          <t>SW-DIFF-035</t>
        </is>
      </c>
      <c r="C96" t="inlineStr">
        <is>
          <t>Bánh răng nhựa &amp; phụ kiện van OBD</t>
        </is>
      </c>
      <c r="D96" t="inlineStr">
        <is>
          <t>PHỤ_KIỆN_CỬA</t>
        </is>
      </c>
      <c r="E96" t="inlineStr">
        <is>
          <t>MAT-DOOR-ACCESSORY</t>
        </is>
      </c>
      <c r="F96" t="inlineStr">
        <is>
          <t>Bộ</t>
        </is>
      </c>
      <c r="G96" s="20" t="n">
        <v>0.5111990265182811</v>
      </c>
      <c r="H96" s="16">
        <f>'00_TONG_HOP_BAO_GIA'!G36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Cơ cấu bánh răng đóng mở OBD</t>
        </is>
      </c>
    </row>
    <row r="97">
      <c r="A97" t="inlineStr">
        <is>
          <t>SW-DIFF-036-FRAME</t>
        </is>
      </c>
      <c r="B97" t="inlineStr">
        <is>
          <t>SW-DIFF-036</t>
        </is>
      </c>
      <c r="C97" t="inlineStr">
        <is>
          <t>Khung nhôm định hình (1 lớp BD)</t>
        </is>
      </c>
      <c r="D97" t="inlineStr">
        <is>
          <t>NHÔM_ĐỊNH_HÌNH</t>
        </is>
      </c>
      <c r="E97" t="inlineStr">
        <is>
          <t>MAT-ALU-KHUNG-BD</t>
        </is>
      </c>
      <c r="F97" t="inlineStr">
        <is>
          <t>kg</t>
        </is>
      </c>
      <c r="G97" s="20" t="n">
        <v>0.2400865034225944</v>
      </c>
      <c r="H97" s="16">
        <f>'00_TONG_HOP_BAO_GIA'!G37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Khung bao 400x250mm (cổ 350x200mm)</t>
        </is>
      </c>
    </row>
    <row r="98">
      <c r="A98" t="inlineStr">
        <is>
          <t>SW-DIFF-036-BLADE</t>
        </is>
      </c>
      <c r="B98" t="inlineStr">
        <is>
          <t>SW-DIFF-036</t>
        </is>
      </c>
      <c r="C98" t="inlineStr">
        <is>
          <t>Nan nhôm bầu dục (9 nan)</t>
        </is>
      </c>
      <c r="D98" t="inlineStr">
        <is>
          <t>NHÔM_ĐỊNH_HÌNH</t>
        </is>
      </c>
      <c r="E98" t="inlineStr">
        <is>
          <t>MAT-ALU-NAN-BD</t>
        </is>
      </c>
      <c r="F98" t="inlineStr">
        <is>
          <t>kg</t>
        </is>
      </c>
      <c r="G98" s="20" t="n">
        <v>0.1713429850597968</v>
      </c>
      <c r="H98" s="16">
        <f>'00_TONG_HOP_BAO_GIA'!G37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Nan bầu dục @ 0.058kg/m</t>
        </is>
      </c>
    </row>
    <row r="99">
      <c r="A99" t="inlineStr">
        <is>
          <t>SW-DIFF-036-ACCESSORY</t>
        </is>
      </c>
      <c r="B99" t="inlineStr">
        <is>
          <t>SW-DIFF-036</t>
        </is>
      </c>
      <c r="C99" t="inlineStr">
        <is>
          <t>Phụ kiện lắp ghép / Ke góc cửa gió</t>
        </is>
      </c>
      <c r="D99" t="inlineStr">
        <is>
          <t>PHỤ_KIỆN_CỬA</t>
        </is>
      </c>
      <c r="E99" t="inlineStr">
        <is>
          <t>MAT-DOOR-ACCESSORY</t>
        </is>
      </c>
      <c r="F99" t="inlineStr">
        <is>
          <t>Bộ</t>
        </is>
      </c>
      <c r="G99" s="20" t="n">
        <v>0.04017697580712477</v>
      </c>
      <c r="H99" s="16">
        <f>'00_TONG_HOP_BAO_GIA'!G37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4 ke góc chìm và vít ghép khung</t>
        </is>
      </c>
    </row>
    <row r="100">
      <c r="A100" t="inlineStr">
        <is>
          <t>SW-DIFF-036-PAINT</t>
        </is>
      </c>
      <c r="B100" t="inlineStr">
        <is>
          <t>SW-DIFF-036</t>
        </is>
      </c>
      <c r="C100" t="inlineStr">
        <is>
          <t>Sơn tĩnh điện tiêu chuẩn Polyester</t>
        </is>
      </c>
      <c r="D100" t="inlineStr">
        <is>
          <t>SƠN_TĨNH_ĐIỆN</t>
        </is>
      </c>
      <c r="E100" t="inlineStr">
        <is>
          <t>MAT-PAINT-POWDER</t>
        </is>
      </c>
      <c r="F100" t="inlineStr">
        <is>
          <t>m2</t>
        </is>
      </c>
      <c r="G100" s="20" t="n">
        <v>0.08753854022917067</v>
      </c>
      <c r="H100" s="16">
        <f>'00_TONG_HOP_BAO_GIA'!G37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Sơn tĩnh điện hoàn thiện</t>
        </is>
      </c>
    </row>
    <row r="101">
      <c r="A101" t="inlineStr">
        <is>
          <t>SW-DIFF-036-OBD-FRAME</t>
        </is>
      </c>
      <c r="B101" t="inlineStr">
        <is>
          <t>SW-DIFF-036</t>
        </is>
      </c>
      <c r="C101" t="inlineStr">
        <is>
          <t>Khung nhôm van OBD gắn cửa (SOBD)</t>
        </is>
      </c>
      <c r="D101" t="inlineStr">
        <is>
          <t>NHÔM_ĐỊNH_HÌNH</t>
        </is>
      </c>
      <c r="E101" t="inlineStr">
        <is>
          <t>MAT-ALU-KHUNG-OBD</t>
        </is>
      </c>
      <c r="F101" t="inlineStr">
        <is>
          <t>kg</t>
        </is>
      </c>
      <c r="G101" s="20" t="n">
        <v>0.1508978092437044</v>
      </c>
      <c r="H101" s="16">
        <f>'00_TONG_HOP_BAO_GIA'!G37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Khung OBD 350x200mm</t>
        </is>
      </c>
    </row>
    <row r="102">
      <c r="A102" t="inlineStr">
        <is>
          <t>SW-DIFF-036-OBD-BLADE</t>
        </is>
      </c>
      <c r="B102" t="inlineStr">
        <is>
          <t>SW-DIFF-036</t>
        </is>
      </c>
      <c r="C102" t="inlineStr">
        <is>
          <t>Nan nhôm &amp; thanh truyền van OBD (SOBD)</t>
        </is>
      </c>
      <c r="D102" t="inlineStr">
        <is>
          <t>NHÔM_ĐỊNH_HÌNH</t>
        </is>
      </c>
      <c r="E102" t="inlineStr">
        <is>
          <t>MAT-ALU-NAN-OBD</t>
        </is>
      </c>
      <c r="F102" t="inlineStr">
        <is>
          <t>kg</t>
        </is>
      </c>
      <c r="G102" s="20" t="n">
        <v>0.1519396813443514</v>
      </c>
      <c r="H102" s="16">
        <f>'00_TONG_HOP_BAO_GIA'!G37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Nan OBD đối xứng &amp; thanh liên kết</t>
        </is>
      </c>
    </row>
    <row r="103">
      <c r="A103" t="inlineStr">
        <is>
          <t>SW-DIFF-036-OBD-ACC</t>
        </is>
      </c>
      <c r="B103" t="inlineStr">
        <is>
          <t>SW-DIFF-036</t>
        </is>
      </c>
      <c r="C103" t="inlineStr">
        <is>
          <t>Bánh răng nhựa &amp; phụ kiện van OBD</t>
        </is>
      </c>
      <c r="D103" t="inlineStr">
        <is>
          <t>PHỤ_KIỆN_CỬA</t>
        </is>
      </c>
      <c r="E103" t="inlineStr">
        <is>
          <t>MAT-DOOR-ACCESSORY</t>
        </is>
      </c>
      <c r="F103" t="inlineStr">
        <is>
          <t>Bộ</t>
        </is>
      </c>
      <c r="G103" s="20" t="n">
        <v>0.8720704627160166</v>
      </c>
      <c r="H103" s="16">
        <f>'00_TONG_HOP_BAO_GIA'!G37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Cơ cấu bánh răng đóng mở OBD</t>
        </is>
      </c>
    </row>
    <row r="104">
      <c r="A104" t="inlineStr">
        <is>
          <t>SW-DIFF-037-FRAME</t>
        </is>
      </c>
      <c r="B104" t="inlineStr">
        <is>
          <t>SW-DIFF-037</t>
        </is>
      </c>
      <c r="C104" t="inlineStr">
        <is>
          <t>Khung nhôm định hình (1 lớp BD)</t>
        </is>
      </c>
      <c r="D104" t="inlineStr">
        <is>
          <t>NHÔM_ĐỊNH_HÌNH</t>
        </is>
      </c>
      <c r="E104" t="inlineStr">
        <is>
          <t>MAT-ALU-KHUNG-BD</t>
        </is>
      </c>
      <c r="F104" t="inlineStr">
        <is>
          <t>kg</t>
        </is>
      </c>
      <c r="G104" s="20" t="n">
        <v>0.1522746013870727</v>
      </c>
      <c r="H104" s="16">
        <f>'00_TONG_HOP_BAO_GIA'!G38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Khung bao 200x200mm (cổ 150x150mm)</t>
        </is>
      </c>
    </row>
    <row r="105">
      <c r="A105" t="inlineStr">
        <is>
          <t>SW-DIFF-037-BLADE</t>
        </is>
      </c>
      <c r="B105" t="inlineStr">
        <is>
          <t>SW-DIFF-037</t>
        </is>
      </c>
      <c r="C105" t="inlineStr">
        <is>
          <t>Nan nhôm bầu dục (7 nan)</t>
        </is>
      </c>
      <c r="D105" t="inlineStr">
        <is>
          <t>NHÔM_ĐỊNH_HÌNH</t>
        </is>
      </c>
      <c r="E105" t="inlineStr">
        <is>
          <t>MAT-ALU-NAN-BD</t>
        </is>
      </c>
      <c r="F105" t="inlineStr">
        <is>
          <t>kg</t>
        </is>
      </c>
      <c r="G105" s="20" t="n">
        <v>0.0573856635177768</v>
      </c>
      <c r="H105" s="16">
        <f>'00_TONG_HOP_BAO_GIA'!G38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Nan bầu dục @ 0.058kg/m</t>
        </is>
      </c>
    </row>
    <row r="106">
      <c r="A106" t="inlineStr">
        <is>
          <t>SW-DIFF-037-ACCESSORY</t>
        </is>
      </c>
      <c r="B106" t="inlineStr">
        <is>
          <t>SW-DIFF-037</t>
        </is>
      </c>
      <c r="C106" t="inlineStr">
        <is>
          <t>Phụ kiện lắp ghép / Ke góc cửa gió</t>
        </is>
      </c>
      <c r="D106" t="inlineStr">
        <is>
          <t>PHỤ_KIỆN_CỬA</t>
        </is>
      </c>
      <c r="E106" t="inlineStr">
        <is>
          <t>MAT-DOOR-ACCESSORY</t>
        </is>
      </c>
      <c r="F106" t="inlineStr">
        <is>
          <t>Bộ</t>
        </is>
      </c>
      <c r="G106" s="20" t="n">
        <v>0.0313972136028296</v>
      </c>
      <c r="H106" s="16">
        <f>'00_TONG_HOP_BAO_GIA'!G38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4 ke góc chìm và vít ghép khung</t>
        </is>
      </c>
    </row>
    <row r="107">
      <c r="A107" t="inlineStr">
        <is>
          <t>SW-DIFF-037-PAINT</t>
        </is>
      </c>
      <c r="B107" t="inlineStr">
        <is>
          <t>SW-DIFF-037</t>
        </is>
      </c>
      <c r="C107" t="inlineStr">
        <is>
          <t>Sơn tĩnh điện tiêu chuẩn Polyester</t>
        </is>
      </c>
      <c r="D107" t="inlineStr">
        <is>
          <t>SƠN_TĨNH_ĐIỆN</t>
        </is>
      </c>
      <c r="E107" t="inlineStr">
        <is>
          <t>MAT-PAINT-POWDER</t>
        </is>
      </c>
      <c r="F107" t="inlineStr">
        <is>
          <t>m2</t>
        </is>
      </c>
      <c r="G107" s="20" t="n">
        <v>0.04324900213256998</v>
      </c>
      <c r="H107" s="16">
        <f>'00_TONG_HOP_BAO_GIA'!G38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Sơn tĩnh điện hoàn thiện</t>
        </is>
      </c>
    </row>
    <row r="108">
      <c r="A108" t="inlineStr">
        <is>
          <t>SW-DIFF-039-FRAME</t>
        </is>
      </c>
      <c r="B108" t="inlineStr">
        <is>
          <t>SW-DIFF-039</t>
        </is>
      </c>
      <c r="C108" t="inlineStr">
        <is>
          <t>Khung nhôm định hình (1 lớp BD)</t>
        </is>
      </c>
      <c r="D108" t="inlineStr">
        <is>
          <t>NHÔM_ĐỊNH_HÌNH</t>
        </is>
      </c>
      <c r="E108" t="inlineStr">
        <is>
          <t>MAT-ALU-KHUNG-BD</t>
        </is>
      </c>
      <c r="F108" t="inlineStr">
        <is>
          <t>kg</t>
        </is>
      </c>
      <c r="G108" s="20" t="n">
        <v>0.571318881291052</v>
      </c>
      <c r="H108" s="16">
        <f>'00_TONG_HOP_BAO_GIA'!G40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Khung bao 1200x400mm (cổ 1150x350mm)</t>
        </is>
      </c>
    </row>
    <row r="109">
      <c r="A109" t="inlineStr">
        <is>
          <t>SW-DIFF-039-BLADE</t>
        </is>
      </c>
      <c r="B109" t="inlineStr">
        <is>
          <t>SW-DIFF-039</t>
        </is>
      </c>
      <c r="C109" t="inlineStr">
        <is>
          <t>Nan nhôm bầu dục (17 nan)</t>
        </is>
      </c>
      <c r="D109" t="inlineStr">
        <is>
          <t>NHÔM_ĐỊNH_HÌNH</t>
        </is>
      </c>
      <c r="E109" t="inlineStr">
        <is>
          <t>MAT-ALU-NAN-BD</t>
        </is>
      </c>
      <c r="F109" t="inlineStr">
        <is>
          <t>kg</t>
        </is>
      </c>
      <c r="G109" s="20" t="n">
        <v>1.059912433730242</v>
      </c>
      <c r="H109" s="16">
        <f>'00_TONG_HOP_BAO_GIA'!G40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Nan bầu dục @ 0.058kg/m</t>
        </is>
      </c>
    </row>
    <row r="110">
      <c r="A110" t="inlineStr">
        <is>
          <t>SW-DIFF-039-ACCESSORY</t>
        </is>
      </c>
      <c r="B110" t="inlineStr">
        <is>
          <t>SW-DIFF-039</t>
        </is>
      </c>
      <c r="C110" t="inlineStr">
        <is>
          <t>Phụ kiện lắp ghép / Ke góc cửa gió</t>
        </is>
      </c>
      <c r="D110" t="inlineStr">
        <is>
          <t>PHỤ_KIỆN_CỬA</t>
        </is>
      </c>
      <c r="E110" t="inlineStr">
        <is>
          <t>MAT-DOOR-ACCESSORY</t>
        </is>
      </c>
      <c r="F110" t="inlineStr">
        <is>
          <t>Bộ</t>
        </is>
      </c>
      <c r="G110" s="20" t="n">
        <v>0.07563992780443707</v>
      </c>
      <c r="H110" s="16">
        <f>'00_TONG_HOP_BAO_GIA'!G40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4 ke góc chìm và vít ghép khung</t>
        </is>
      </c>
    </row>
    <row r="111">
      <c r="A111" t="inlineStr">
        <is>
          <t>SW-DIFF-039-PAINT</t>
        </is>
      </c>
      <c r="B111" t="inlineStr">
        <is>
          <t>SW-DIFF-039</t>
        </is>
      </c>
      <c r="C111" t="inlineStr">
        <is>
          <t>Sơn tĩnh điện tiêu chuẩn Polyester</t>
        </is>
      </c>
      <c r="D111" t="inlineStr">
        <is>
          <t>SƠN_TĨNH_ĐIỆN</t>
        </is>
      </c>
      <c r="E111" t="inlineStr">
        <is>
          <t>MAT-PAINT-POWDER</t>
        </is>
      </c>
      <c r="F111" t="inlineStr">
        <is>
          <t>m2</t>
        </is>
      </c>
      <c r="G111" s="20" t="n">
        <v>0.3580255018762821</v>
      </c>
      <c r="H111" s="16">
        <f>'00_TONG_HOP_BAO_GIA'!G40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Sơn tĩnh điện hoàn thiện</t>
        </is>
      </c>
    </row>
    <row r="112">
      <c r="A112" t="inlineStr">
        <is>
          <t>SW-DIFF-041-FRAME</t>
        </is>
      </c>
      <c r="B112" t="inlineStr">
        <is>
          <t>SW-DIFF-041</t>
        </is>
      </c>
      <c r="C112" t="inlineStr">
        <is>
          <t>Khung nhôm định hình (1 lớp BD)</t>
        </is>
      </c>
      <c r="D112" t="inlineStr">
        <is>
          <t>NHÔM_ĐỊNH_HÌNH</t>
        </is>
      </c>
      <c r="E112" t="inlineStr">
        <is>
          <t>MAT-ALU-KHUNG-BD</t>
        </is>
      </c>
      <c r="F112" t="inlineStr">
        <is>
          <t>kg</t>
        </is>
      </c>
      <c r="G112" s="20" t="n">
        <v>0.6382609028670587</v>
      </c>
      <c r="H112" s="16">
        <f>'00_TONG_HOP_BAO_GIA'!G42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Khung bao 1400x400mm (cổ 1350x350mm)</t>
        </is>
      </c>
    </row>
    <row r="113">
      <c r="A113" t="inlineStr">
        <is>
          <t>SW-DIFF-041-BLADE</t>
        </is>
      </c>
      <c r="B113" t="inlineStr">
        <is>
          <t>SW-DIFF-041</t>
        </is>
      </c>
      <c r="C113" t="inlineStr">
        <is>
          <t>Nan nhôm bầu dục (17 nan)</t>
        </is>
      </c>
      <c r="D113" t="inlineStr">
        <is>
          <t>NHÔM_ĐỊNH_HÌNH</t>
        </is>
      </c>
      <c r="E113" t="inlineStr">
        <is>
          <t>MAT-ALU-NAN-BD</t>
        </is>
      </c>
      <c r="F113" t="inlineStr">
        <is>
          <t>kg</t>
        </is>
      </c>
      <c r="G113" s="20" t="n">
        <v>1.243543746789142</v>
      </c>
      <c r="H113" s="16">
        <f>'00_TONG_HOP_BAO_GIA'!G42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Nan bầu dục @ 0.058kg/m</t>
        </is>
      </c>
    </row>
    <row r="114">
      <c r="A114" t="inlineStr">
        <is>
          <t>SW-DIFF-041-ACCESSORY</t>
        </is>
      </c>
      <c r="B114" t="inlineStr">
        <is>
          <t>SW-DIFF-041</t>
        </is>
      </c>
      <c r="C114" t="inlineStr">
        <is>
          <t>Phụ kiện lắp ghép / Ke góc cửa gió</t>
        </is>
      </c>
      <c r="D114" t="inlineStr">
        <is>
          <t>PHỤ_KIỆN_CỬA</t>
        </is>
      </c>
      <c r="E114" t="inlineStr">
        <is>
          <t>MAT-DOOR-ACCESSORY</t>
        </is>
      </c>
      <c r="F114" t="inlineStr">
        <is>
          <t>Bộ</t>
        </is>
      </c>
      <c r="G114" s="20" t="n">
        <v>0.07559729546253278</v>
      </c>
      <c r="H114" s="16">
        <f>'00_TONG_HOP_BAO_GIA'!G42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4 ke góc chìm và vít ghép khung</t>
        </is>
      </c>
    </row>
    <row r="115">
      <c r="A115" t="inlineStr">
        <is>
          <t>SW-DIFF-041-PAINT</t>
        </is>
      </c>
      <c r="B115" t="inlineStr">
        <is>
          <t>SW-DIFF-041</t>
        </is>
      </c>
      <c r="C115" t="inlineStr">
        <is>
          <t>Sơn tĩnh điện tiêu chuẩn Polyester</t>
        </is>
      </c>
      <c r="D115" t="inlineStr">
        <is>
          <t>SƠN_TĨNH_ĐIỆN</t>
        </is>
      </c>
      <c r="E115" t="inlineStr">
        <is>
          <t>MAT-PAINT-POWDER</t>
        </is>
      </c>
      <c r="F115" t="inlineStr">
        <is>
          <t>m2</t>
        </is>
      </c>
      <c r="G115" s="20" t="n">
        <v>0.4141580829062938</v>
      </c>
      <c r="H115" s="16">
        <f>'00_TONG_HOP_BAO_GIA'!G42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Sơn tĩnh điện hoàn thiện</t>
        </is>
      </c>
    </row>
    <row r="116">
      <c r="A116" t="inlineStr">
        <is>
          <t>SW-DIFF-043-FRAME</t>
        </is>
      </c>
      <c r="B116" t="inlineStr">
        <is>
          <t>SW-DIFF-043</t>
        </is>
      </c>
      <c r="C116" t="inlineStr">
        <is>
          <t>Khung nhôm định hình (1 lớp BD)</t>
        </is>
      </c>
      <c r="D116" t="inlineStr">
        <is>
          <t>NHÔM_ĐỊNH_HÌNH</t>
        </is>
      </c>
      <c r="E116" t="inlineStr">
        <is>
          <t>MAT-ALU-KHUNG-BD</t>
        </is>
      </c>
      <c r="F116" t="inlineStr">
        <is>
          <t>kg</t>
        </is>
      </c>
      <c r="G116" s="20" t="n">
        <v>0.571318881291052</v>
      </c>
      <c r="H116" s="16">
        <f>'00_TONG_HOP_BAO_GIA'!G44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Khung bao 1200x400mm (cổ 1150x350mm)</t>
        </is>
      </c>
    </row>
    <row r="117">
      <c r="A117" t="inlineStr">
        <is>
          <t>SW-DIFF-043-BLADE</t>
        </is>
      </c>
      <c r="B117" t="inlineStr">
        <is>
          <t>SW-DIFF-043</t>
        </is>
      </c>
      <c r="C117" t="inlineStr">
        <is>
          <t>Nan nhôm bầu dục (17 nan)</t>
        </is>
      </c>
      <c r="D117" t="inlineStr">
        <is>
          <t>NHÔM_ĐỊNH_HÌNH</t>
        </is>
      </c>
      <c r="E117" t="inlineStr">
        <is>
          <t>MAT-ALU-NAN-BD</t>
        </is>
      </c>
      <c r="F117" t="inlineStr">
        <is>
          <t>kg</t>
        </is>
      </c>
      <c r="G117" s="20" t="n">
        <v>1.059912433730242</v>
      </c>
      <c r="H117" s="16">
        <f>'00_TONG_HOP_BAO_GIA'!G44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Nan bầu dục @ 0.058kg/m</t>
        </is>
      </c>
    </row>
    <row r="118">
      <c r="A118" t="inlineStr">
        <is>
          <t>SW-DIFF-043-ACCESSORY</t>
        </is>
      </c>
      <c r="B118" t="inlineStr">
        <is>
          <t>SW-DIFF-043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t="inlineStr">
        <is>
          <t>MAT-DOOR-ACCESSORY</t>
        </is>
      </c>
      <c r="F118" t="inlineStr">
        <is>
          <t>Bộ</t>
        </is>
      </c>
      <c r="G118" s="20" t="n">
        <v>0.07563992780443707</v>
      </c>
      <c r="H118" s="16">
        <f>'00_TONG_HOP_BAO_GIA'!G44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4 ke góc chìm và vít ghép khung</t>
        </is>
      </c>
    </row>
    <row r="119">
      <c r="A119" t="inlineStr">
        <is>
          <t>SW-DIFF-043-PAINT</t>
        </is>
      </c>
      <c r="B119" t="inlineStr">
        <is>
          <t>SW-DIFF-043</t>
        </is>
      </c>
      <c r="C119" t="inlineStr">
        <is>
          <t>Sơn tĩnh điện tiêu chuẩn Polyester</t>
        </is>
      </c>
      <c r="D119" t="inlineStr">
        <is>
          <t>SƠN_TĨNH_ĐIỆN</t>
        </is>
      </c>
      <c r="E119" t="inlineStr">
        <is>
          <t>MAT-PAINT-POWDER</t>
        </is>
      </c>
      <c r="F119" t="inlineStr">
        <is>
          <t>m2</t>
        </is>
      </c>
      <c r="G119" s="20" t="n">
        <v>0.3580255018762821</v>
      </c>
      <c r="H119" s="16">
        <f>'00_TONG_HOP_BAO_GIA'!G44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Sơn tĩnh điện hoàn thiện</t>
        </is>
      </c>
    </row>
    <row r="120">
      <c r="A120" t="inlineStr">
        <is>
          <t>SW-DIFF-045-FRAME</t>
        </is>
      </c>
      <c r="B120" t="inlineStr">
        <is>
          <t>SW-DIFF-045</t>
        </is>
      </c>
      <c r="C120" t="inlineStr">
        <is>
          <t>Khung nhôm định hình (1 lớp BD)</t>
        </is>
      </c>
      <c r="D120" t="inlineStr">
        <is>
          <t>NHÔM_ĐỊNH_HÌNH</t>
        </is>
      </c>
      <c r="E120" t="inlineStr">
        <is>
          <t>MAT-ALU-KHUNG-BD</t>
        </is>
      </c>
      <c r="F120" t="inlineStr">
        <is>
          <t>kg</t>
        </is>
      </c>
      <c r="G120" s="20" t="n">
        <v>0.6382609028670587</v>
      </c>
      <c r="H120" s="16">
        <f>'00_TONG_HOP_BAO_GIA'!G46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Khung bao 1400x400mm (cổ 1350x350mm)</t>
        </is>
      </c>
    </row>
    <row r="121">
      <c r="A121" t="inlineStr">
        <is>
          <t>SW-DIFF-045-BLADE</t>
        </is>
      </c>
      <c r="B121" t="inlineStr">
        <is>
          <t>SW-DIFF-045</t>
        </is>
      </c>
      <c r="C121" t="inlineStr">
        <is>
          <t>Nan nhôm bầu dục (17 nan)</t>
        </is>
      </c>
      <c r="D121" t="inlineStr">
        <is>
          <t>NHÔM_ĐỊNH_HÌNH</t>
        </is>
      </c>
      <c r="E121" t="inlineStr">
        <is>
          <t>MAT-ALU-NAN-BD</t>
        </is>
      </c>
      <c r="F121" t="inlineStr">
        <is>
          <t>kg</t>
        </is>
      </c>
      <c r="G121" s="20" t="n">
        <v>1.243543746789142</v>
      </c>
      <c r="H121" s="16">
        <f>'00_TONG_HOP_BAO_GIA'!G46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Nan bầu dục @ 0.058kg/m</t>
        </is>
      </c>
    </row>
    <row r="122">
      <c r="A122" t="inlineStr">
        <is>
          <t>SW-DIFF-045-ACCESSORY</t>
        </is>
      </c>
      <c r="B122" t="inlineStr">
        <is>
          <t>SW-DIFF-045</t>
        </is>
      </c>
      <c r="C122" t="inlineStr">
        <is>
          <t>Phụ kiện lắp ghép / Ke góc cửa gió</t>
        </is>
      </c>
      <c r="D122" t="inlineStr">
        <is>
          <t>PHỤ_KIỆN_CỬA</t>
        </is>
      </c>
      <c r="E122" t="inlineStr">
        <is>
          <t>MAT-DOOR-ACCESSORY</t>
        </is>
      </c>
      <c r="F122" t="inlineStr">
        <is>
          <t>Bộ</t>
        </is>
      </c>
      <c r="G122" s="20" t="n">
        <v>0.07559729546253278</v>
      </c>
      <c r="H122" s="16">
        <f>'00_TONG_HOP_BAO_GIA'!G46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4 ke góc chìm và vít ghép khung</t>
        </is>
      </c>
    </row>
    <row r="123">
      <c r="A123" t="inlineStr">
        <is>
          <t>SW-DIFF-045-PAINT</t>
        </is>
      </c>
      <c r="B123" t="inlineStr">
        <is>
          <t>SW-DIFF-045</t>
        </is>
      </c>
      <c r="C123" t="inlineStr">
        <is>
          <t>Sơn tĩnh điện tiêu chuẩn Polyester</t>
        </is>
      </c>
      <c r="D123" t="inlineStr">
        <is>
          <t>SƠN_TĨNH_ĐIỆN</t>
        </is>
      </c>
      <c r="E123" t="inlineStr">
        <is>
          <t>MAT-PAINT-POWDER</t>
        </is>
      </c>
      <c r="F123" t="inlineStr">
        <is>
          <t>m2</t>
        </is>
      </c>
      <c r="G123" s="20" t="n">
        <v>0.4141580829062938</v>
      </c>
      <c r="H123" s="16">
        <f>'00_TONG_HOP_BAO_GIA'!G46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Sơn tĩnh điện hoàn thiện</t>
        </is>
      </c>
    </row>
    <row r="124">
      <c r="A124" t="inlineStr">
        <is>
          <t>SW-DIFF-047-FRAME</t>
        </is>
      </c>
      <c r="B124" t="inlineStr">
        <is>
          <t>SW-DIFF-047</t>
        </is>
      </c>
      <c r="C124" t="inlineStr">
        <is>
          <t>Khung nhôm định hình (1 lớp BD)</t>
        </is>
      </c>
      <c r="D124" t="inlineStr">
        <is>
          <t>NHÔM_ĐỊNH_HÌNH</t>
        </is>
      </c>
      <c r="E124" t="inlineStr">
        <is>
          <t>MAT-ALU-KHUNG-BD</t>
        </is>
      </c>
      <c r="F124" t="inlineStr">
        <is>
          <t>kg</t>
        </is>
      </c>
      <c r="G124" s="20" t="n">
        <v>0.4358396488527693</v>
      </c>
      <c r="H124" s="16">
        <f>'00_TONG_HOP_BAO_GIA'!G48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Khung bao 800x400mm (cổ 750x350mm)</t>
        </is>
      </c>
    </row>
    <row r="125">
      <c r="A125" t="inlineStr">
        <is>
          <t>SW-DIFF-047-BLADE</t>
        </is>
      </c>
      <c r="B125" t="inlineStr">
        <is>
          <t>SW-DIFF-047</t>
        </is>
      </c>
      <c r="C125" t="inlineStr">
        <is>
          <t>Nan nhôm bầu dục (17 nan)</t>
        </is>
      </c>
      <c r="D125" t="inlineStr">
        <is>
          <t>NHÔM_ĐỊNH_HÌNH</t>
        </is>
      </c>
      <c r="E125" t="inlineStr">
        <is>
          <t>MAT-ALU-NAN-BD</t>
        </is>
      </c>
      <c r="F125" t="inlineStr">
        <is>
          <t>kg</t>
        </is>
      </c>
      <c r="G125" s="20" t="n">
        <v>0.6898617729593812</v>
      </c>
      <c r="H125" s="16">
        <f>'00_TONG_HOP_BAO_GIA'!G48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Nan bầu dục @ 0.058kg/m</t>
        </is>
      </c>
    </row>
    <row r="126">
      <c r="A126" t="inlineStr">
        <is>
          <t>SW-DIFF-047-ACCESSORY</t>
        </is>
      </c>
      <c r="B126" t="inlineStr">
        <is>
          <t>SW-DIFF-047</t>
        </is>
      </c>
      <c r="C126" t="inlineStr">
        <is>
          <t>Phụ kiện lắp ghép / Ke góc cửa gió</t>
        </is>
      </c>
      <c r="D126" t="inlineStr">
        <is>
          <t>PHỤ_KIỆN_CỬA</t>
        </is>
      </c>
      <c r="E126" t="inlineStr">
        <is>
          <t>MAT-DOOR-ACCESSORY</t>
        </is>
      </c>
      <c r="F126" t="inlineStr">
        <is>
          <t>Bộ</t>
        </is>
      </c>
      <c r="G126" s="20" t="n">
        <v>0.07548832274222195</v>
      </c>
      <c r="H126" s="16">
        <f>'00_TONG_HOP_BAO_GIA'!G48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4 ke góc chìm và vít ghép khung</t>
        </is>
      </c>
    </row>
    <row r="127">
      <c r="A127" t="inlineStr">
        <is>
          <t>SW-DIFF-047-PAINT</t>
        </is>
      </c>
      <c r="B127" t="inlineStr">
        <is>
          <t>SW-DIFF-047</t>
        </is>
      </c>
      <c r="C127" t="inlineStr">
        <is>
          <t>Sơn tĩnh điện tiêu chuẩn Polyester</t>
        </is>
      </c>
      <c r="D127" t="inlineStr">
        <is>
          <t>SƠN_TĨNH_ĐIỆN</t>
        </is>
      </c>
      <c r="E127" t="inlineStr">
        <is>
          <t>MAT-PAINT-POWDER</t>
        </is>
      </c>
      <c r="F127" t="inlineStr">
        <is>
          <t>m2</t>
        </is>
      </c>
      <c r="G127" s="20" t="n">
        <v>0.2448015781107626</v>
      </c>
      <c r="H127" s="16">
        <f>'00_TONG_HOP_BAO_GIA'!G48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Sơn tĩnh điện hoàn thiện</t>
        </is>
      </c>
    </row>
    <row r="128">
      <c r="A128" t="inlineStr">
        <is>
          <t>SW-DIFF-047-OBD-FRAME</t>
        </is>
      </c>
      <c r="B128" t="inlineStr">
        <is>
          <t>SW-DIFF-047</t>
        </is>
      </c>
      <c r="C128" t="inlineStr">
        <is>
          <t>Khung nhôm van OBD gắn cửa (SOBD)</t>
        </is>
      </c>
      <c r="D128" t="inlineStr">
        <is>
          <t>NHÔM_ĐỊNH_HÌNH</t>
        </is>
      </c>
      <c r="E128" t="inlineStr">
        <is>
          <t>MAT-ALU-KHUNG-OBD</t>
        </is>
      </c>
      <c r="F128" t="inlineStr">
        <is>
          <t>kg</t>
        </is>
      </c>
      <c r="G128" s="20" t="n">
        <v>0.3021451724630184</v>
      </c>
      <c r="H128" s="16">
        <f>'00_TONG_HOP_BAO_GIA'!G48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Khung OBD 750x350mm</t>
        </is>
      </c>
    </row>
    <row r="129">
      <c r="A129" t="inlineStr">
        <is>
          <t>SW-DIFF-047-OBD-BLADE</t>
        </is>
      </c>
      <c r="B129" t="inlineStr">
        <is>
          <t>SW-DIFF-047</t>
        </is>
      </c>
      <c r="C129" t="inlineStr">
        <is>
          <t>Nan nhôm &amp; thanh truyền van OBD (SOBD)</t>
        </is>
      </c>
      <c r="D129" t="inlineStr">
        <is>
          <t>NHÔM_ĐỊNH_HÌNH</t>
        </is>
      </c>
      <c r="E129" t="inlineStr">
        <is>
          <t>MAT-ALU-NAN-OBD</t>
        </is>
      </c>
      <c r="F129" t="inlineStr">
        <is>
          <t>kg</t>
        </is>
      </c>
      <c r="G129" s="20" t="n">
        <v>0.5704337440415874</v>
      </c>
      <c r="H129" s="16">
        <f>'00_TONG_HOP_BAO_GIA'!G48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Nan OBD đối xứng &amp; thanh liên kết</t>
        </is>
      </c>
    </row>
    <row r="130">
      <c r="A130" t="inlineStr">
        <is>
          <t>SW-DIFF-047-OBD-ACC</t>
        </is>
      </c>
      <c r="B130" t="inlineStr">
        <is>
          <t>SW-DIFF-047</t>
        </is>
      </c>
      <c r="C130" t="inlineStr">
        <is>
          <t>Bánh răng nhựa &amp; phụ kiện van OBD</t>
        </is>
      </c>
      <c r="D130" t="inlineStr">
        <is>
          <t>PHỤ_KIỆN_CỬA</t>
        </is>
      </c>
      <c r="E130" t="inlineStr">
        <is>
          <t>MAT-DOOR-ACCESSORY</t>
        </is>
      </c>
      <c r="F130" t="inlineStr">
        <is>
          <t>Bộ</t>
        </is>
      </c>
      <c r="G130" s="20" t="n">
        <v>1.595629945138551</v>
      </c>
      <c r="H130" s="16">
        <f>'00_TONG_HOP_BAO_GIA'!G48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Cơ cấu bánh răng đóng mở OBD</t>
        </is>
      </c>
    </row>
    <row r="131">
      <c r="A131" t="inlineStr">
        <is>
          <t>SW-DIFF-048-FRAME</t>
        </is>
      </c>
      <c r="B131" t="inlineStr">
        <is>
          <t>SW-DIFF-048</t>
        </is>
      </c>
      <c r="C131" t="inlineStr">
        <is>
          <t>Khung nhôm định hình (1 lớp BD)</t>
        </is>
      </c>
      <c r="D131" t="inlineStr">
        <is>
          <t>NHÔM_ĐỊNH_HÌNH</t>
        </is>
      </c>
      <c r="E131" t="inlineStr">
        <is>
          <t>MAT-ALU-KHUNG-BD</t>
        </is>
      </c>
      <c r="F131" t="inlineStr">
        <is>
          <t>kg</t>
        </is>
      </c>
      <c r="G131" s="20" t="n">
        <v>0.2261829526947753</v>
      </c>
      <c r="H131" s="16">
        <f>'00_TONG_HOP_BAO_GIA'!G49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Khung bao 300x300mm (cổ 250x250mm)</t>
        </is>
      </c>
    </row>
    <row r="132">
      <c r="A132" t="inlineStr">
        <is>
          <t>SW-DIFF-048-BLADE</t>
        </is>
      </c>
      <c r="B132" t="inlineStr">
        <is>
          <t>SW-DIFF-048</t>
        </is>
      </c>
      <c r="C132" t="inlineStr">
        <is>
          <t>Nan nhôm bầu dục (12 nan)</t>
        </is>
      </c>
      <c r="D132" t="inlineStr">
        <is>
          <t>NHÔM_ĐỊNH_HÌNH</t>
        </is>
      </c>
      <c r="E132" t="inlineStr">
        <is>
          <t>MAT-ALU-NAN-BD</t>
        </is>
      </c>
      <c r="F132" t="inlineStr">
        <is>
          <t>kg</t>
        </is>
      </c>
      <c r="G132" s="20" t="n">
        <v>0.1623590502016951</v>
      </c>
      <c r="H132" s="16">
        <f>'00_TONG_HOP_BAO_GIA'!G49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Nan bầu dục @ 0.058kg/m</t>
        </is>
      </c>
    </row>
    <row r="133">
      <c r="A133" t="inlineStr">
        <is>
          <t>SW-DIFF-048-ACCESSORY</t>
        </is>
      </c>
      <c r="B133" t="inlineStr">
        <is>
          <t>SW-DIFF-048</t>
        </is>
      </c>
      <c r="C133" t="inlineStr">
        <is>
          <t>Phụ kiện lắp ghép / Ke góc cửa gió</t>
        </is>
      </c>
      <c r="D133" t="inlineStr">
        <is>
          <t>PHỤ_KIỆN_CỬA</t>
        </is>
      </c>
      <c r="E133" t="inlineStr">
        <is>
          <t>MAT-DOOR-ACCESSORY</t>
        </is>
      </c>
      <c r="F133" t="inlineStr">
        <is>
          <t>Bộ</t>
        </is>
      </c>
      <c r="G133" s="20" t="n">
        <v>0.05329855716965991</v>
      </c>
      <c r="H133" s="16">
        <f>'00_TONG_HOP_BAO_GIA'!G49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4 ke góc chìm và vít ghép khung</t>
        </is>
      </c>
    </row>
    <row r="134">
      <c r="A134" t="inlineStr">
        <is>
          <t>SW-DIFF-048-PAINT</t>
        </is>
      </c>
      <c r="B134" t="inlineStr">
        <is>
          <t>SW-DIFF-048</t>
        </is>
      </c>
      <c r="C134" t="inlineStr">
        <is>
          <t>Sơn tĩnh điện tiêu chuẩn Polyester</t>
        </is>
      </c>
      <c r="D134" t="inlineStr">
        <is>
          <t>SƠN_TĨNH_ĐIỆN</t>
        </is>
      </c>
      <c r="E134" t="inlineStr">
        <is>
          <t>MAT-PAINT-POWDER</t>
        </is>
      </c>
      <c r="F134" t="inlineStr">
        <is>
          <t>m2</t>
        </is>
      </c>
      <c r="G134" s="20" t="n">
        <v>0.08151544037712692</v>
      </c>
      <c r="H134" s="16">
        <f>'00_TONG_HOP_BAO_GIA'!G49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Sơn tĩnh điện hoàn thiện</t>
        </is>
      </c>
    </row>
    <row r="135">
      <c r="A135" t="inlineStr">
        <is>
          <t>SW-DIFF-048-OBD-FRAME</t>
        </is>
      </c>
      <c r="B135" t="inlineStr">
        <is>
          <t>SW-DIFF-048</t>
        </is>
      </c>
      <c r="C135" t="inlineStr">
        <is>
          <t>Khung nhôm van OBD gắn cửa (SOBD)</t>
        </is>
      </c>
      <c r="D135" t="inlineStr">
        <is>
          <t>NHÔM_ĐỊNH_HÌNH</t>
        </is>
      </c>
      <c r="E135" t="inlineStr">
        <is>
          <t>MAT-ALU-KHUNG-OBD</t>
        </is>
      </c>
      <c r="F135" t="inlineStr">
        <is>
          <t>kg</t>
        </is>
      </c>
      <c r="G135" s="20" t="n">
        <v>0.1365649520396072</v>
      </c>
      <c r="H135" s="16">
        <f>'00_TONG_HOP_BAO_GIA'!G49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Khung OBD 250x250mm</t>
        </is>
      </c>
    </row>
    <row r="136">
      <c r="A136" t="inlineStr">
        <is>
          <t>SW-DIFF-048-OBD-BLADE</t>
        </is>
      </c>
      <c r="B136" t="inlineStr">
        <is>
          <t>SW-DIFF-048</t>
        </is>
      </c>
      <c r="C136" t="inlineStr">
        <is>
          <t>Nan nhôm &amp; thanh truyền van OBD (SOBD)</t>
        </is>
      </c>
      <c r="D136" t="inlineStr">
        <is>
          <t>NHÔM_ĐỊNH_HÌNH</t>
        </is>
      </c>
      <c r="E136" t="inlineStr">
        <is>
          <t>MAT-ALU-NAN-OBD</t>
        </is>
      </c>
      <c r="F136" t="inlineStr">
        <is>
          <t>kg</t>
        </is>
      </c>
      <c r="G136" s="20" t="n">
        <v>0.1350523655454976</v>
      </c>
      <c r="H136" s="16">
        <f>'00_TONG_HOP_BAO_GIA'!G49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Nan OBD đối xứng &amp; thanh liên kết</t>
        </is>
      </c>
    </row>
    <row r="137">
      <c r="A137" t="inlineStr">
        <is>
          <t>SW-DIFF-048-OBD-ACC</t>
        </is>
      </c>
      <c r="B137" t="inlineStr">
        <is>
          <t>SW-DIFF-048</t>
        </is>
      </c>
      <c r="C137" t="inlineStr">
        <is>
          <t>Bánh răng nhựa &amp; phụ kiện van OBD</t>
        </is>
      </c>
      <c r="D137" t="inlineStr">
        <is>
          <t>PHỤ_KIỆN_CỬA</t>
        </is>
      </c>
      <c r="E137" t="inlineStr">
        <is>
          <t>MAT-DOOR-ACCESSORY</t>
        </is>
      </c>
      <c r="F137" t="inlineStr">
        <is>
          <t>Bộ</t>
        </is>
      </c>
      <c r="G137" s="20" t="n">
        <v>0.6885419770061285</v>
      </c>
      <c r="H137" s="16">
        <f>'00_TONG_HOP_BAO_GIA'!G49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Cơ cấu bánh răng đóng mở OBD</t>
        </is>
      </c>
    </row>
    <row r="138">
      <c r="A138" t="inlineStr">
        <is>
          <t>SW-DIFF-049-FRAME</t>
        </is>
      </c>
      <c r="B138" t="inlineStr">
        <is>
          <t>SW-DIFF-049</t>
        </is>
      </c>
      <c r="C138" t="inlineStr">
        <is>
          <t>Khung nhôm định hình (1 lớp BD)</t>
        </is>
      </c>
      <c r="D138" t="inlineStr">
        <is>
          <t>NHÔM_ĐỊNH_HÌNH</t>
        </is>
      </c>
      <c r="E138" t="inlineStr">
        <is>
          <t>MAT-ALU-KHUNG-BD</t>
        </is>
      </c>
      <c r="F138" t="inlineStr">
        <is>
          <t>kg</t>
        </is>
      </c>
      <c r="G138" s="20" t="n">
        <v>0.5456412315449407</v>
      </c>
      <c r="H138" s="16">
        <f>'00_TONG_HOP_BAO_GIA'!G50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Khung bao 1000x500mm (cổ 950x450mm)</t>
        </is>
      </c>
    </row>
    <row r="139">
      <c r="A139" t="inlineStr">
        <is>
          <t>SW-DIFF-049-BLADE</t>
        </is>
      </c>
      <c r="B139" t="inlineStr">
        <is>
          <t>SW-DIFF-049</t>
        </is>
      </c>
      <c r="C139" t="inlineStr">
        <is>
          <t>Nan nhôm bầu dục (22 nan)</t>
        </is>
      </c>
      <c r="D139" t="inlineStr">
        <is>
          <t>NHÔM_ĐỊNH_HÌNH</t>
        </is>
      </c>
      <c r="E139" t="inlineStr">
        <is>
          <t>MAT-ALU-NAN-BD</t>
        </is>
      </c>
      <c r="F139" t="inlineStr">
        <is>
          <t>kg</t>
        </is>
      </c>
      <c r="G139" s="20" t="n">
        <v>1.132579282326673</v>
      </c>
      <c r="H139" s="16">
        <f>'00_TONG_HOP_BAO_GIA'!G50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Nan bầu dục @ 0.058kg/m</t>
        </is>
      </c>
    </row>
    <row r="140">
      <c r="A140" t="inlineStr">
        <is>
          <t>SW-DIFF-049-ACCESSORY</t>
        </is>
      </c>
      <c r="B140" t="inlineStr">
        <is>
          <t>SW-DIFF-049</t>
        </is>
      </c>
      <c r="C140" t="inlineStr">
        <is>
          <t>Phụ kiện lắp ghép / Ke góc cửa gió</t>
        </is>
      </c>
      <c r="D140" t="inlineStr">
        <is>
          <t>PHỤ_KIỆN_CỬA</t>
        </is>
      </c>
      <c r="E140" t="inlineStr">
        <is>
          <t>MAT-DOOR-ACCESSORY</t>
        </is>
      </c>
      <c r="F140" t="inlineStr">
        <is>
          <t>Bộ</t>
        </is>
      </c>
      <c r="G140" s="20" t="n">
        <v>0.09784169480716814</v>
      </c>
      <c r="H140" s="16">
        <f>'00_TONG_HOP_BAO_GIA'!G50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4 ke góc chìm và vít ghép khung</t>
        </is>
      </c>
    </row>
    <row r="141">
      <c r="A141" t="inlineStr">
        <is>
          <t>SW-DIFF-049-PAINT</t>
        </is>
      </c>
      <c r="B141" t="inlineStr">
        <is>
          <t>SW-DIFF-049</t>
        </is>
      </c>
      <c r="C141" t="inlineStr">
        <is>
          <t>Sơn tĩnh điện tiêu chuẩn Polyester</t>
        </is>
      </c>
      <c r="D141" t="inlineStr">
        <is>
          <t>SƠN_TĨNH_ĐIỆN</t>
        </is>
      </c>
      <c r="E141" t="inlineStr">
        <is>
          <t>MAT-PAINT-POWDER</t>
        </is>
      </c>
      <c r="F141" t="inlineStr">
        <is>
          <t>m2</t>
        </is>
      </c>
      <c r="G141" s="20" t="n">
        <v>0.3667127650077433</v>
      </c>
      <c r="H141" s="16">
        <f>'00_TONG_HOP_BAO_GIA'!G50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Sơn tĩnh điện hoàn thiện</t>
        </is>
      </c>
    </row>
    <row r="142">
      <c r="A142" t="inlineStr">
        <is>
          <t>SW-DIFF-049-OBD-FRAME</t>
        </is>
      </c>
      <c r="B142" t="inlineStr">
        <is>
          <t>SW-DIFF-049</t>
        </is>
      </c>
      <c r="C142" t="inlineStr">
        <is>
          <t>Khung nhôm van OBD gắn cửa (SOBD)</t>
        </is>
      </c>
      <c r="D142" t="inlineStr">
        <is>
          <t>NHÔM_ĐỊNH_HÌNH</t>
        </is>
      </c>
      <c r="E142" t="inlineStr">
        <is>
          <t>MAT-ALU-KHUNG-OBD</t>
        </is>
      </c>
      <c r="F142" t="inlineStr">
        <is>
          <t>kg</t>
        </is>
      </c>
      <c r="G142" s="20" t="n">
        <v>0.3844789010939917</v>
      </c>
      <c r="H142" s="16">
        <f>'00_TONG_HOP_BAO_GIA'!G50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Khung OBD 950x450mm</t>
        </is>
      </c>
    </row>
    <row r="143">
      <c r="A143" t="inlineStr">
        <is>
          <t>SW-DIFF-049-OBD-BLADE</t>
        </is>
      </c>
      <c r="B143" t="inlineStr">
        <is>
          <t>SW-DIFF-049</t>
        </is>
      </c>
      <c r="C143" t="inlineStr">
        <is>
          <t>Nan nhôm &amp; thanh truyền van OBD (SOBD)</t>
        </is>
      </c>
      <c r="D143" t="inlineStr">
        <is>
          <t>NHÔM_ĐỊNH_HÌNH</t>
        </is>
      </c>
      <c r="E143" t="inlineStr">
        <is>
          <t>MAT-ALU-NAN-OBD</t>
        </is>
      </c>
      <c r="F143" t="inlineStr">
        <is>
          <t>kg</t>
        </is>
      </c>
      <c r="G143" s="20" t="n">
        <v>0.9288241987888872</v>
      </c>
      <c r="H143" s="16">
        <f>'00_TONG_HOP_BAO_GIA'!G50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Nan OBD đối xứng &amp; thanh liên kết</t>
        </is>
      </c>
    </row>
    <row r="144">
      <c r="A144" t="inlineStr">
        <is>
          <t>SW-DIFF-049-OBD-ACC</t>
        </is>
      </c>
      <c r="B144" t="inlineStr">
        <is>
          <t>SW-DIFF-049</t>
        </is>
      </c>
      <c r="C144" t="inlineStr">
        <is>
          <t>Bánh răng nhựa &amp; phụ kiện van OBD</t>
        </is>
      </c>
      <c r="D144" t="inlineStr">
        <is>
          <t>PHỤ_KIỆN_CỬA</t>
        </is>
      </c>
      <c r="E144" t="inlineStr">
        <is>
          <t>MAT-DOOR-ACCESSORY</t>
        </is>
      </c>
      <c r="F144" t="inlineStr">
        <is>
          <t>Bộ</t>
        </is>
      </c>
      <c r="G144" s="20" t="n">
        <v>1.956550974300665</v>
      </c>
      <c r="H144" s="16">
        <f>'00_TONG_HOP_BAO_GIA'!G50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Cơ cấu bánh răng đóng mở OBD</t>
        </is>
      </c>
    </row>
    <row r="145">
      <c r="A145" t="inlineStr">
        <is>
          <t>SW-DIFF-050-FRAME</t>
        </is>
      </c>
      <c r="B145" t="inlineStr">
        <is>
          <t>SW-DIFF-050</t>
        </is>
      </c>
      <c r="C145" t="inlineStr">
        <is>
          <t>Khung nhôm định hình (1 lớp BD)</t>
        </is>
      </c>
      <c r="D145" t="inlineStr">
        <is>
          <t>NHÔM_ĐỊNH_HÌNH</t>
        </is>
      </c>
      <c r="E145" t="inlineStr">
        <is>
          <t>MAT-ALU-KHUNG-BD</t>
        </is>
      </c>
      <c r="F145" t="inlineStr">
        <is>
          <t>kg</t>
        </is>
      </c>
      <c r="G145" s="20" t="n">
        <v>0.3403526298298932</v>
      </c>
      <c r="H145" s="16">
        <f>'00_TONG_HOP_BAO_GIA'!G51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Khung bao 700x250mm (cổ 650x200mm)</t>
        </is>
      </c>
    </row>
    <row r="146">
      <c r="A146" t="inlineStr">
        <is>
          <t>SW-DIFF-050-BLADE</t>
        </is>
      </c>
      <c r="B146" t="inlineStr">
        <is>
          <t>SW-DIFF-050</t>
        </is>
      </c>
      <c r="C146" t="inlineStr">
        <is>
          <t>Nan nhôm bầu dục (9 nan)</t>
        </is>
      </c>
      <c r="D146" t="inlineStr">
        <is>
          <t>NHÔM_ĐỊNH_HÌNH</t>
        </is>
      </c>
      <c r="E146" t="inlineStr">
        <is>
          <t>MAT-ALU-NAN-BD</t>
        </is>
      </c>
      <c r="F146" t="inlineStr">
        <is>
          <t>kg</t>
        </is>
      </c>
      <c r="G146" s="20" t="n">
        <v>0.3172572728057219</v>
      </c>
      <c r="H146" s="16">
        <f>'00_TONG_HOP_BAO_GIA'!G51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Nan bầu dục @ 0.058kg/m</t>
        </is>
      </c>
    </row>
    <row r="147">
      <c r="A147" t="inlineStr">
        <is>
          <t>SW-DIFF-050-ACCESSORY</t>
        </is>
      </c>
      <c r="B147" t="inlineStr">
        <is>
          <t>SW-DIFF-050</t>
        </is>
      </c>
      <c r="C147" t="inlineStr">
        <is>
          <t>Phụ kiện lắp ghép / Ke góc cửa gió</t>
        </is>
      </c>
      <c r="D147" t="inlineStr">
        <is>
          <t>PHỤ_KIỆN_CỬA</t>
        </is>
      </c>
      <c r="E147" t="inlineStr">
        <is>
          <t>MAT-DOOR-ACCESSORY</t>
        </is>
      </c>
      <c r="F147" t="inlineStr">
        <is>
          <t>Bộ</t>
        </is>
      </c>
      <c r="G147" s="20" t="n">
        <v>0.04005688643382588</v>
      </c>
      <c r="H147" s="16">
        <f>'00_TONG_HOP_BAO_GIA'!G51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4 ke góc chìm và vít ghép khung</t>
        </is>
      </c>
    </row>
    <row r="148">
      <c r="A148" t="inlineStr">
        <is>
          <t>SW-DIFF-050-PAINT</t>
        </is>
      </c>
      <c r="B148" t="inlineStr">
        <is>
          <t>SW-DIFF-050</t>
        </is>
      </c>
      <c r="C148" t="inlineStr">
        <is>
          <t>Sơn tĩnh điện tiêu chuẩn Polyester</t>
        </is>
      </c>
      <c r="D148" t="inlineStr">
        <is>
          <t>SƠN_TĨNH_ĐIỆN</t>
        </is>
      </c>
      <c r="E148" t="inlineStr">
        <is>
          <t>MAT-PAINT-POWDER</t>
        </is>
      </c>
      <c r="F148" t="inlineStr">
        <is>
          <t>m2</t>
        </is>
      </c>
      <c r="G148" s="20" t="n">
        <v>0.1426967672019115</v>
      </c>
      <c r="H148" s="16">
        <f>'00_TONG_HOP_BAO_GIA'!G51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Sơn tĩnh điện hoàn thiện</t>
        </is>
      </c>
    </row>
    <row r="149">
      <c r="A149" t="inlineStr">
        <is>
          <t>SW-DIFF-052-FRAME</t>
        </is>
      </c>
      <c r="B149" t="inlineStr">
        <is>
          <t>SW-DIFF-052</t>
        </is>
      </c>
      <c r="C149" t="inlineStr">
        <is>
          <t>Khung nhôm định hình (1 lớp BD)</t>
        </is>
      </c>
      <c r="D149" t="inlineStr">
        <is>
          <t>NHÔM_ĐỊNH_HÌNH</t>
        </is>
      </c>
      <c r="E149" t="inlineStr">
        <is>
          <t>MAT-ALU-KHUNG-BD</t>
        </is>
      </c>
      <c r="F149" t="inlineStr">
        <is>
          <t>kg</t>
        </is>
      </c>
      <c r="G149" s="20" t="n">
        <v>0.3526562777345824</v>
      </c>
      <c r="H149" s="16">
        <f>'00_TONG_HOP_BAO_GIA'!G53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Khung bao 550x400mm (cổ 500x350mm)</t>
        </is>
      </c>
    </row>
    <row r="150">
      <c r="A150" t="inlineStr">
        <is>
          <t>SW-DIFF-052-BLADE</t>
        </is>
      </c>
      <c r="B150" t="inlineStr">
        <is>
          <t>SW-DIFF-052</t>
        </is>
      </c>
      <c r="C150" t="inlineStr">
        <is>
          <t>Nan nhôm bầu dục (17 nan)</t>
        </is>
      </c>
      <c r="D150" t="inlineStr">
        <is>
          <t>NHÔM_ĐỊNH_HÌNH</t>
        </is>
      </c>
      <c r="E150" t="inlineStr">
        <is>
          <t>MAT-ALU-NAN-BD</t>
        </is>
      </c>
      <c r="F150" t="inlineStr">
        <is>
          <t>kg</t>
        </is>
      </c>
      <c r="G150" s="20" t="n">
        <v>0.4609213810263763</v>
      </c>
      <c r="H150" s="16">
        <f>'00_TONG_HOP_BAO_GIA'!G53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Nan bầu dục @ 0.058kg/m</t>
        </is>
      </c>
    </row>
    <row r="151">
      <c r="A151" t="inlineStr">
        <is>
          <t>SW-DIFF-052-ACCESSORY</t>
        </is>
      </c>
      <c r="B151" t="inlineStr">
        <is>
          <t>SW-DIFF-052</t>
        </is>
      </c>
      <c r="C151" t="inlineStr">
        <is>
          <t>Phụ kiện lắp ghép / Ke góc cửa gió</t>
        </is>
      </c>
      <c r="D151" t="inlineStr">
        <is>
          <t>PHỤ_KIỆN_CỬA</t>
        </is>
      </c>
      <c r="E151" t="inlineStr">
        <is>
          <t>MAT-DOOR-ACCESSORY</t>
        </is>
      </c>
      <c r="F151" t="inlineStr">
        <is>
          <t>Bộ</t>
        </is>
      </c>
      <c r="G151" s="20" t="n">
        <v>0.0756546818512259</v>
      </c>
      <c r="H151" s="16">
        <f>'00_TONG_HOP_BAO_GIA'!G53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4 ke góc chìm và vít ghép khung</t>
        </is>
      </c>
    </row>
    <row r="152">
      <c r="A152" t="inlineStr">
        <is>
          <t>SW-DIFF-052-PAINT</t>
        </is>
      </c>
      <c r="B152" t="inlineStr">
        <is>
          <t>SW-DIFF-052</t>
        </is>
      </c>
      <c r="C152" t="inlineStr">
        <is>
          <t>Sơn tĩnh điện tiêu chuẩn Polyester</t>
        </is>
      </c>
      <c r="D152" t="inlineStr">
        <is>
          <t>SƠN_TĨNH_ĐIỆN</t>
        </is>
      </c>
      <c r="E152" t="inlineStr">
        <is>
          <t>MAT-PAINT-POWDER</t>
        </is>
      </c>
      <c r="F152" t="inlineStr">
        <is>
          <t>m2</t>
        </is>
      </c>
      <c r="G152" s="20" t="n">
        <v>0.1748696452478163</v>
      </c>
      <c r="H152" s="16">
        <f>'00_TONG_HOP_BAO_GIA'!G53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Sơn tĩnh điện hoàn thiện</t>
        </is>
      </c>
    </row>
    <row r="153">
      <c r="A153" t="inlineStr">
        <is>
          <t>SW-DIFF-054-FRAME</t>
        </is>
      </c>
      <c r="B153" t="inlineStr">
        <is>
          <t>SW-DIFF-054</t>
        </is>
      </c>
      <c r="C153" t="inlineStr">
        <is>
          <t>Khung nhôm định hình (1 lớp BD)</t>
        </is>
      </c>
      <c r="D153" t="inlineStr">
        <is>
          <t>NHÔM_ĐỊNH_HÌNH</t>
        </is>
      </c>
      <c r="E153" t="inlineStr">
        <is>
          <t>MAT-ALU-KHUNG-BD</t>
        </is>
      </c>
      <c r="F153" t="inlineStr">
        <is>
          <t>kg</t>
        </is>
      </c>
      <c r="G153" s="20" t="n">
        <v>0.1522746013870727</v>
      </c>
      <c r="H153" s="16">
        <f>'00_TONG_HOP_BAO_GIA'!G55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Khung bao 200x200mm (cổ 150x150mm)</t>
        </is>
      </c>
    </row>
    <row r="154">
      <c r="A154" t="inlineStr">
        <is>
          <t>SW-DIFF-054-BLADE</t>
        </is>
      </c>
      <c r="B154" t="inlineStr">
        <is>
          <t>SW-DIFF-054</t>
        </is>
      </c>
      <c r="C154" t="inlineStr">
        <is>
          <t>Nan nhôm bầu dục (7 nan)</t>
        </is>
      </c>
      <c r="D154" t="inlineStr">
        <is>
          <t>NHÔM_ĐỊNH_HÌNH</t>
        </is>
      </c>
      <c r="E154" t="inlineStr">
        <is>
          <t>MAT-ALU-NAN-BD</t>
        </is>
      </c>
      <c r="F154" t="inlineStr">
        <is>
          <t>kg</t>
        </is>
      </c>
      <c r="G154" s="20" t="n">
        <v>0.0573856635177768</v>
      </c>
      <c r="H154" s="16">
        <f>'00_TONG_HOP_BAO_GIA'!G55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Nan bầu dục @ 0.058kg/m</t>
        </is>
      </c>
    </row>
    <row r="155">
      <c r="A155" t="inlineStr">
        <is>
          <t>SW-DIFF-054-ACCESSORY</t>
        </is>
      </c>
      <c r="B155" t="inlineStr">
        <is>
          <t>SW-DIFF-054</t>
        </is>
      </c>
      <c r="C155" t="inlineStr">
        <is>
          <t>Phụ kiện lắp ghép / Ke góc cửa gió</t>
        </is>
      </c>
      <c r="D155" t="inlineStr">
        <is>
          <t>PHỤ_KIỆN_CỬA</t>
        </is>
      </c>
      <c r="E155" t="inlineStr">
        <is>
          <t>MAT-DOOR-ACCESSORY</t>
        </is>
      </c>
      <c r="F155" t="inlineStr">
        <is>
          <t>Bộ</t>
        </is>
      </c>
      <c r="G155" s="20" t="n">
        <v>0.0313972136028296</v>
      </c>
      <c r="H155" s="16">
        <f>'00_TONG_HOP_BAO_GIA'!G55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4 ke góc chìm và vít ghép khung</t>
        </is>
      </c>
    </row>
    <row r="156">
      <c r="A156" t="inlineStr">
        <is>
          <t>SW-DIFF-054-PAINT</t>
        </is>
      </c>
      <c r="B156" t="inlineStr">
        <is>
          <t>SW-DIFF-054</t>
        </is>
      </c>
      <c r="C156" t="inlineStr">
        <is>
          <t>Sơn tĩnh điện tiêu chuẩn Polyester</t>
        </is>
      </c>
      <c r="D156" t="inlineStr">
        <is>
          <t>SƠN_TĨNH_ĐIỆN</t>
        </is>
      </c>
      <c r="E156" t="inlineStr">
        <is>
          <t>MAT-PAINT-POWDER</t>
        </is>
      </c>
      <c r="F156" t="inlineStr">
        <is>
          <t>m2</t>
        </is>
      </c>
      <c r="G156" s="20" t="n">
        <v>0.04324900213256998</v>
      </c>
      <c r="H156" s="16">
        <f>'00_TONG_HOP_BAO_GIA'!G55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Sơn tĩnh điện hoàn thiện</t>
        </is>
      </c>
    </row>
    <row r="157">
      <c r="A157" t="inlineStr">
        <is>
          <t>SW-DIFF-056-FRAME</t>
        </is>
      </c>
      <c r="B157" t="inlineStr">
        <is>
          <t>SW-DIFF-056</t>
        </is>
      </c>
      <c r="C157" t="inlineStr">
        <is>
          <t>Khung nhôm định hình (1 lớp BD)</t>
        </is>
      </c>
      <c r="D157" t="inlineStr">
        <is>
          <t>NHÔM_ĐỊNH_HÌNH</t>
        </is>
      </c>
      <c r="E157" t="inlineStr">
        <is>
          <t>MAT-ALU-KHUNG-BD</t>
        </is>
      </c>
      <c r="F157" t="inlineStr">
        <is>
          <t>kg</t>
        </is>
      </c>
      <c r="G157" s="20" t="n">
        <v>0.2178353904640812</v>
      </c>
      <c r="H157" s="16">
        <f>'00_TONG_HOP_BAO_GIA'!G57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Khung bao 400x200mm (cổ 350x150mm)</t>
        </is>
      </c>
    </row>
    <row r="158">
      <c r="A158" t="inlineStr">
        <is>
          <t>SW-DIFF-056-BLADE</t>
        </is>
      </c>
      <c r="B158" t="inlineStr">
        <is>
          <t>SW-DIFF-056</t>
        </is>
      </c>
      <c r="C158" t="inlineStr">
        <is>
          <t>Nan nhôm bầu dục (7 nan)</t>
        </is>
      </c>
      <c r="D158" t="inlineStr">
        <is>
          <t>NHÔM_ĐỊNH_HÌNH</t>
        </is>
      </c>
      <c r="E158" t="inlineStr">
        <is>
          <t>MAT-ALU-NAN-BD</t>
        </is>
      </c>
      <c r="F158" t="inlineStr">
        <is>
          <t>kg</t>
        </is>
      </c>
      <c r="G158" s="20" t="n">
        <v>0.1325103124355562</v>
      </c>
      <c r="H158" s="16">
        <f>'00_TONG_HOP_BAO_GIA'!G57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Nan bầu dục @ 0.058kg/m</t>
        </is>
      </c>
    </row>
    <row r="159">
      <c r="A159" t="inlineStr">
        <is>
          <t>SW-DIFF-056-ACCESSORY</t>
        </is>
      </c>
      <c r="B159" t="inlineStr">
        <is>
          <t>SW-DIFF-056</t>
        </is>
      </c>
      <c r="C159" t="inlineStr">
        <is>
          <t>Phụ kiện lắp ghép / Ke góc cửa gió</t>
        </is>
      </c>
      <c r="D159" t="inlineStr">
        <is>
          <t>PHỤ_KIỆN_CỬA</t>
        </is>
      </c>
      <c r="E159" t="inlineStr">
        <is>
          <t>MAT-DOOR-ACCESSORY</t>
        </is>
      </c>
      <c r="F159" t="inlineStr">
        <is>
          <t>Bộ</t>
        </is>
      </c>
      <c r="G159" s="20" t="n">
        <v>0.0310713836055787</v>
      </c>
      <c r="H159" s="16">
        <f>'00_TONG_HOP_BAO_GIA'!G57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4 ke góc chìm và vít ghép khung</t>
        </is>
      </c>
    </row>
    <row r="160">
      <c r="A160" t="inlineStr">
        <is>
          <t>SW-DIFF-056-PAINT</t>
        </is>
      </c>
      <c r="B160" t="inlineStr">
        <is>
          <t>SW-DIFF-056</t>
        </is>
      </c>
      <c r="C160" t="inlineStr">
        <is>
          <t>Sơn tĩnh điện tiêu chuẩn Polyester</t>
        </is>
      </c>
      <c r="D160" t="inlineStr">
        <is>
          <t>SƠN_TĨNH_ĐIỆN</t>
        </is>
      </c>
      <c r="E160" t="inlineStr">
        <is>
          <t>MAT-PAINT-POWDER</t>
        </is>
      </c>
      <c r="F160" t="inlineStr">
        <is>
          <t>m2</t>
        </is>
      </c>
      <c r="G160" s="20" t="n">
        <v>0.07480109222963183</v>
      </c>
      <c r="H160" s="16">
        <f>'00_TONG_HOP_BAO_GIA'!G57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Sơn tĩnh điện hoàn thiện</t>
        </is>
      </c>
    </row>
    <row r="161">
      <c r="A161" t="inlineStr">
        <is>
          <t>SW-DIFF-058-FRAME</t>
        </is>
      </c>
      <c r="B161" t="inlineStr">
        <is>
          <t>SW-DIFF-058</t>
        </is>
      </c>
      <c r="C161" t="inlineStr">
        <is>
          <t>Khung nhôm định hình (1 lớp BD)</t>
        </is>
      </c>
      <c r="D161" t="inlineStr">
        <is>
          <t>NHÔM_ĐỊNH_HÌNH</t>
        </is>
      </c>
      <c r="E161" t="inlineStr">
        <is>
          <t>MAT-ALU-KHUNG-BD</t>
        </is>
      </c>
      <c r="F161" t="inlineStr">
        <is>
          <t>kg</t>
        </is>
      </c>
      <c r="G161" s="20" t="n">
        <v>0.416155678390341</v>
      </c>
      <c r="H161" s="16">
        <f>'00_TONG_HOP_BAO_GIA'!G59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Khung bao 800x350mm (cổ 750x300mm)</t>
        </is>
      </c>
    </row>
    <row r="162">
      <c r="A162" t="inlineStr">
        <is>
          <t>SW-DIFF-058-BLADE</t>
        </is>
      </c>
      <c r="B162" t="inlineStr">
        <is>
          <t>SW-DIFF-058</t>
        </is>
      </c>
      <c r="C162" t="inlineStr">
        <is>
          <t>Nan nhôm bầu dục (14 nan)</t>
        </is>
      </c>
      <c r="D162" t="inlineStr">
        <is>
          <t>NHÔM_ĐỊNH_HÌNH</t>
        </is>
      </c>
      <c r="E162" t="inlineStr">
        <is>
          <t>MAT-ALU-NAN-BD</t>
        </is>
      </c>
      <c r="F162" t="inlineStr">
        <is>
          <t>kg</t>
        </is>
      </c>
      <c r="G162" s="20" t="n">
        <v>0.5697814931198688</v>
      </c>
      <c r="H162" s="16">
        <f>'00_TONG_HOP_BAO_GIA'!G59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Nan bầu dục @ 0.058kg/m</t>
        </is>
      </c>
    </row>
    <row r="163">
      <c r="A163" t="inlineStr">
        <is>
          <t>SW-DIFF-058-ACCESSORY</t>
        </is>
      </c>
      <c r="B163" t="inlineStr">
        <is>
          <t>SW-DIFF-058</t>
        </is>
      </c>
      <c r="C163" t="inlineStr">
        <is>
          <t>Phụ kiện lắp ghép / Ke góc cửa gió</t>
        </is>
      </c>
      <c r="D163" t="inlineStr">
        <is>
          <t>PHỤ_KIỆN_CỬA</t>
        </is>
      </c>
      <c r="E163" t="inlineStr">
        <is>
          <t>MAT-DOOR-ACCESSORY</t>
        </is>
      </c>
      <c r="F163" t="inlineStr">
        <is>
          <t>Bộ</t>
        </is>
      </c>
      <c r="G163" s="20" t="n">
        <v>0.06234850361495576</v>
      </c>
      <c r="H163" s="16">
        <f>'00_TONG_HOP_BAO_GIA'!G59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4 ke góc chìm và vít ghép khung</t>
        </is>
      </c>
    </row>
    <row r="164">
      <c r="A164" t="inlineStr">
        <is>
          <t>SW-DIFF-058-PAINT</t>
        </is>
      </c>
      <c r="B164" t="inlineStr">
        <is>
          <t>SW-DIFF-058</t>
        </is>
      </c>
      <c r="C164" t="inlineStr">
        <is>
          <t>Sơn tĩnh điện tiêu chuẩn Polyester</t>
        </is>
      </c>
      <c r="D164" t="inlineStr">
        <is>
          <t>SƠN_TĨNH_ĐIỆN</t>
        </is>
      </c>
      <c r="E164" t="inlineStr">
        <is>
          <t>MAT-PAINT-POWDER</t>
        </is>
      </c>
      <c r="F164" t="inlineStr">
        <is>
          <t>m2</t>
        </is>
      </c>
      <c r="G164" s="20" t="n">
        <v>0.214395022514621</v>
      </c>
      <c r="H164" s="16">
        <f>'00_TONG_HOP_BAO_GIA'!G59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Sơn tĩnh điện hoàn thiện</t>
        </is>
      </c>
    </row>
    <row r="165">
      <c r="A165" t="inlineStr">
        <is>
          <t>SW-DIFF-060-FRAME</t>
        </is>
      </c>
      <c r="B165" t="inlineStr">
        <is>
          <t>SW-DIFF-060</t>
        </is>
      </c>
      <c r="C165" t="inlineStr">
        <is>
          <t>Khung nhôm định hình (1 lớp BD)</t>
        </is>
      </c>
      <c r="D165" t="inlineStr">
        <is>
          <t>NHÔM_ĐỊNH_HÌNH</t>
        </is>
      </c>
      <c r="E165" t="inlineStr">
        <is>
          <t>MAT-ALU-KHUNG-BD</t>
        </is>
      </c>
      <c r="F165" t="inlineStr">
        <is>
          <t>kg</t>
        </is>
      </c>
      <c r="G165" s="20" t="n">
        <v>0.6293203481870752</v>
      </c>
      <c r="H165" s="16">
        <f>'00_TONG_HOP_BAO_GIA'!G61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Khung bao 1500x300mm (cổ 1450x250mm)</t>
        </is>
      </c>
    </row>
    <row r="166">
      <c r="A166" t="inlineStr">
        <is>
          <t>SW-DIFF-060-BLADE</t>
        </is>
      </c>
      <c r="B166" t="inlineStr">
        <is>
          <t>SW-DIFF-060</t>
        </is>
      </c>
      <c r="C166" t="inlineStr">
        <is>
          <t>Nan nhôm bầu dục (12 nan)</t>
        </is>
      </c>
      <c r="D166" t="inlineStr">
        <is>
          <t>NHÔM_ĐỊNH_HÌNH</t>
        </is>
      </c>
      <c r="E166" t="inlineStr">
        <is>
          <t>MAT-ALU-NAN-BD</t>
        </is>
      </c>
      <c r="F166" t="inlineStr">
        <is>
          <t>kg</t>
        </is>
      </c>
      <c r="G166" s="20" t="n">
        <v>0.9417409480877761</v>
      </c>
      <c r="H166" s="16">
        <f>'00_TONG_HOP_BAO_GIA'!G61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Nan bầu dục @ 0.058kg/m</t>
        </is>
      </c>
    </row>
    <row r="167">
      <c r="A167" t="inlineStr">
        <is>
          <t>SW-DIFF-060-ACCESSORY</t>
        </is>
      </c>
      <c r="B167" t="inlineStr">
        <is>
          <t>SW-DIFF-060</t>
        </is>
      </c>
      <c r="C167" t="inlineStr">
        <is>
          <t>Phụ kiện lắp ghép / Ke góc cửa gió</t>
        </is>
      </c>
      <c r="D167" t="inlineStr">
        <is>
          <t>PHỤ_KIỆN_CỬA</t>
        </is>
      </c>
      <c r="E167" t="inlineStr">
        <is>
          <t>MAT-DOOR-ACCESSORY</t>
        </is>
      </c>
      <c r="F167" t="inlineStr">
        <is>
          <t>Bộ</t>
        </is>
      </c>
      <c r="G167" s="20" t="n">
        <v>0.05330186578951028</v>
      </c>
      <c r="H167" s="16">
        <f>'00_TONG_HOP_BAO_GIA'!G61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4 ke góc chìm và vít ghép khung</t>
        </is>
      </c>
    </row>
    <row r="168">
      <c r="A168" t="inlineStr">
        <is>
          <t>SW-DIFF-060-PAINT</t>
        </is>
      </c>
      <c r="B168" t="inlineStr">
        <is>
          <t>SW-DIFF-060</t>
        </is>
      </c>
      <c r="C168" t="inlineStr">
        <is>
          <t>Sơn tĩnh điện tiêu chuẩn Polyester</t>
        </is>
      </c>
      <c r="D168" t="inlineStr">
        <is>
          <t>SƠN_TĨNH_ĐIỆN</t>
        </is>
      </c>
      <c r="E168" t="inlineStr">
        <is>
          <t>MAT-PAINT-POWDER</t>
        </is>
      </c>
      <c r="F168" t="inlineStr">
        <is>
          <t>m2</t>
        </is>
      </c>
      <c r="G168" s="20" t="n">
        <v>0.3463994195544174</v>
      </c>
      <c r="H168" s="16">
        <f>'00_TONG_HOP_BAO_GIA'!G61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Sơn tĩnh điện hoàn thiện</t>
        </is>
      </c>
    </row>
    <row r="169">
      <c r="A169" t="inlineStr">
        <is>
          <t>SW-DIFF-062-FRAME</t>
        </is>
      </c>
      <c r="B169" t="inlineStr">
        <is>
          <t>SW-DIFF-062</t>
        </is>
      </c>
      <c r="C169" t="inlineStr">
        <is>
          <t>Khung nhôm định hình (1 lớp BD)</t>
        </is>
      </c>
      <c r="D169" t="inlineStr">
        <is>
          <t>NHÔM_ĐỊNH_HÌNH</t>
        </is>
      </c>
      <c r="E169" t="inlineStr">
        <is>
          <t>MAT-ALU-KHUNG-BD</t>
        </is>
      </c>
      <c r="F169" t="inlineStr">
        <is>
          <t>kg</t>
        </is>
      </c>
      <c r="G169" s="20" t="n">
        <v>0.416155678390341</v>
      </c>
      <c r="H169" s="16">
        <f>'00_TONG_HOP_BAO_GIA'!G63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Khung bao 800x350mm (cổ 750x300mm)</t>
        </is>
      </c>
    </row>
    <row r="170">
      <c r="A170" t="inlineStr">
        <is>
          <t>SW-DIFF-062-BLADE</t>
        </is>
      </c>
      <c r="B170" t="inlineStr">
        <is>
          <t>SW-DIFF-062</t>
        </is>
      </c>
      <c r="C170" t="inlineStr">
        <is>
          <t>Nan nhôm bầu dục (14 nan)</t>
        </is>
      </c>
      <c r="D170" t="inlineStr">
        <is>
          <t>NHÔM_ĐỊNH_HÌNH</t>
        </is>
      </c>
      <c r="E170" t="inlineStr">
        <is>
          <t>MAT-ALU-NAN-BD</t>
        </is>
      </c>
      <c r="F170" t="inlineStr">
        <is>
          <t>kg</t>
        </is>
      </c>
      <c r="G170" s="20" t="n">
        <v>0.5697814931198688</v>
      </c>
      <c r="H170" s="16">
        <f>'00_TONG_HOP_BAO_GIA'!G63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Nan bầu dục @ 0.058kg/m</t>
        </is>
      </c>
    </row>
    <row r="171">
      <c r="A171" t="inlineStr">
        <is>
          <t>SW-DIFF-062-ACCESSORY</t>
        </is>
      </c>
      <c r="B171" t="inlineStr">
        <is>
          <t>SW-DIFF-062</t>
        </is>
      </c>
      <c r="C171" t="inlineStr">
        <is>
          <t>Phụ kiện lắp ghép / Ke góc cửa gió</t>
        </is>
      </c>
      <c r="D171" t="inlineStr">
        <is>
          <t>PHỤ_KIỆN_CỬA</t>
        </is>
      </c>
      <c r="E171" t="inlineStr">
        <is>
          <t>MAT-DOOR-ACCESSORY</t>
        </is>
      </c>
      <c r="F171" t="inlineStr">
        <is>
          <t>Bộ</t>
        </is>
      </c>
      <c r="G171" s="20" t="n">
        <v>0.06234850361495576</v>
      </c>
      <c r="H171" s="16">
        <f>'00_TONG_HOP_BAO_GIA'!G63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4 ke góc chìm và vít ghép khung</t>
        </is>
      </c>
    </row>
    <row r="172">
      <c r="A172" t="inlineStr">
        <is>
          <t>SW-DIFF-062-PAINT</t>
        </is>
      </c>
      <c r="B172" t="inlineStr">
        <is>
          <t>SW-DIFF-062</t>
        </is>
      </c>
      <c r="C172" t="inlineStr">
        <is>
          <t>Sơn tĩnh điện tiêu chuẩn Polyester</t>
        </is>
      </c>
      <c r="D172" t="inlineStr">
        <is>
          <t>SƠN_TĨNH_ĐIỆN</t>
        </is>
      </c>
      <c r="E172" t="inlineStr">
        <is>
          <t>MAT-PAINT-POWDER</t>
        </is>
      </c>
      <c r="F172" t="inlineStr">
        <is>
          <t>m2</t>
        </is>
      </c>
      <c r="G172" s="20" t="n">
        <v>0.214395022514621</v>
      </c>
      <c r="H172" s="16">
        <f>'00_TONG_HOP_BAO_GIA'!G63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Sơn tĩnh điện hoàn thiện</t>
        </is>
      </c>
    </row>
    <row r="173">
      <c r="A173" t="inlineStr">
        <is>
          <t>SW-DIFF-064-FRAME</t>
        </is>
      </c>
      <c r="B173" t="inlineStr">
        <is>
          <t>SW-DIFF-064</t>
        </is>
      </c>
      <c r="C173" t="inlineStr">
        <is>
          <t>Khung nhôm định hình Louver (SWL)</t>
        </is>
      </c>
      <c r="D173" t="inlineStr">
        <is>
          <t>NHÔM_ĐỊNH_HÌNH</t>
        </is>
      </c>
      <c r="E173" t="inlineStr">
        <is>
          <t>MAT-ALU-KHUNG-Z-2-LOP</t>
        </is>
      </c>
      <c r="F173" t="inlineStr">
        <is>
          <t>kg</t>
        </is>
      </c>
      <c r="G173" s="20" t="n">
        <v>0.9331625244604916</v>
      </c>
      <c r="H173" s="16">
        <f>'00_TONG_HOP_BAO_GIA'!G65</f>
        <v/>
      </c>
      <c r="I173" s="21">
        <f>G173*H173</f>
        <v/>
      </c>
      <c r="J173" s="16">
        <f>IFERROR(INDEX('06_BANG_GIA_VAT_TU_AP_DUNG'!$E$1:$E$5000, MATCH(E173, '06_BANG_GIA_VAT_TU_AP_DUNG'!$B$1:$B$5000, 0)), 0)</f>
        <v/>
      </c>
      <c r="K173" s="16">
        <f>I173*J173</f>
        <v/>
      </c>
      <c r="L173" t="inlineStr">
        <is>
          <t>Khung Louver phủ bì 1500x500mm</t>
        </is>
      </c>
    </row>
    <row r="174">
      <c r="A174" t="inlineStr">
        <is>
          <t>SW-DIFF-064-BLADE</t>
        </is>
      </c>
      <c r="B174" t="inlineStr">
        <is>
          <t>SW-DIFF-064</t>
        </is>
      </c>
      <c r="C174" t="inlineStr">
        <is>
          <t>Nan Z Louver &amp; thanh tăng cứng (10 nan)</t>
        </is>
      </c>
      <c r="D174" t="inlineStr">
        <is>
          <t>NHÔM_ĐỊNH_HÌNH</t>
        </is>
      </c>
      <c r="E174" t="inlineStr">
        <is>
          <t>MAT-ALU-NAN-Z-DAY</t>
        </is>
      </c>
      <c r="F174" t="inlineStr">
        <is>
          <t>kg</t>
        </is>
      </c>
      <c r="G174" s="20" t="n">
        <v>3.301833214302496</v>
      </c>
      <c r="H174" s="16">
        <f>'00_TONG_HOP_BAO_GIA'!G65</f>
        <v/>
      </c>
      <c r="I174" s="21">
        <f>G174*H174</f>
        <v/>
      </c>
      <c r="J174" s="16">
        <f>IFERROR(INDEX('06_BANG_GIA_VAT_TU_AP_DUNG'!$E$1:$E$5000, MATCH(E174, '06_BANG_GIA_VAT_TU_AP_DUNG'!$B$1:$B$5000, 0)), 0)</f>
        <v/>
      </c>
      <c r="K174" s="16">
        <f>I174*J174</f>
        <v/>
      </c>
      <c r="L174" t="inlineStr">
        <is>
          <t>10 nan Z dày @ 0.217kg/m + thanh giằng</t>
        </is>
      </c>
    </row>
    <row r="175">
      <c r="A175" t="inlineStr">
        <is>
          <t>SW-DIFF-064-ACCESSORY</t>
        </is>
      </c>
      <c r="B175" t="inlineStr">
        <is>
          <t>SW-DIFF-064</t>
        </is>
      </c>
      <c r="C175" t="inlineStr">
        <is>
          <t>Phụ kiện lắp ghép / Ke góc cửa gió</t>
        </is>
      </c>
      <c r="D175" t="inlineStr">
        <is>
          <t>PHỤ_KIỆN_CỬA</t>
        </is>
      </c>
      <c r="E175" t="inlineStr">
        <is>
          <t>MAT-DOOR-ACCESSORY</t>
        </is>
      </c>
      <c r="F175" t="inlineStr">
        <is>
          <t>Bộ</t>
        </is>
      </c>
      <c r="G175" s="20" t="n">
        <v>0.08894380489451222</v>
      </c>
      <c r="H175" s="16">
        <f>'00_TONG_HOP_BAO_GIA'!G65</f>
        <v/>
      </c>
      <c r="I175" s="21">
        <f>G175*H175</f>
        <v/>
      </c>
      <c r="J175" s="16">
        <f>IFERROR(INDEX('06_BANG_GIA_VAT_TU_AP_DUNG'!$E$1:$E$5000, MATCH(E175, '06_BANG_GIA_VAT_TU_AP_DUNG'!$B$1:$B$5000, 0)), 0)</f>
        <v/>
      </c>
      <c r="K175" s="16">
        <f>I175*J175</f>
        <v/>
      </c>
      <c r="L175" t="inlineStr">
        <is>
          <t>Ke góc và vít ghép khung Louver</t>
        </is>
      </c>
    </row>
    <row r="176">
      <c r="A176" t="inlineStr">
        <is>
          <t>SW-DIFF-064-PAINT</t>
        </is>
      </c>
      <c r="B176" t="inlineStr">
        <is>
          <t>SW-DIFF-064</t>
        </is>
      </c>
      <c r="C176" t="inlineStr">
        <is>
          <t>Sơn tĩnh điện tiêu chuẩn Polyester</t>
        </is>
      </c>
      <c r="D176" t="inlineStr">
        <is>
          <t>SƠN_TĨNH_ĐIỆN</t>
        </is>
      </c>
      <c r="E176" t="inlineStr">
        <is>
          <t>MAT-PAINT-POWDER</t>
        </is>
      </c>
      <c r="F176" t="inlineStr">
        <is>
          <t>m2</t>
        </is>
      </c>
      <c r="G176" s="20" t="n">
        <v>0.843982532655503</v>
      </c>
      <c r="H176" s="16">
        <f>'00_TONG_HOP_BAO_GIA'!G65</f>
        <v/>
      </c>
      <c r="I176" s="21">
        <f>G176*H176</f>
        <v/>
      </c>
      <c r="J176" s="16">
        <f>IFERROR(INDEX('06_BANG_GIA_VAT_TU_AP_DUNG'!$E$1:$E$5000, MATCH(E176, '06_BANG_GIA_VAT_TU_AP_DUNG'!$B$1:$B$5000, 0)), 0)</f>
        <v/>
      </c>
      <c r="K176" s="16">
        <f>I176*J176</f>
        <v/>
      </c>
      <c r="L176" t="inlineStr">
        <is>
          <t>Sơn tĩnh điện khung và nan Louver</t>
        </is>
      </c>
    </row>
    <row r="177">
      <c r="A177" t="inlineStr">
        <is>
          <t>SW-DIFF-064-MESH</t>
        </is>
      </c>
      <c r="B177" t="inlineStr">
        <is>
          <t>SW-DIFF-064</t>
        </is>
      </c>
      <c r="C177" t="inlineStr">
        <is>
          <t>Lưới chắn côn trùng Inox 304 (LCCT)</t>
        </is>
      </c>
      <c r="D177" t="inlineStr">
        <is>
          <t>PHỤ_KIỆN_CỬA</t>
        </is>
      </c>
      <c r="E177" t="inlineStr">
        <is>
          <t>MAT-MESH-INOX-304</t>
        </is>
      </c>
      <c r="F177" t="inlineStr">
        <is>
          <t>m2</t>
        </is>
      </c>
      <c r="G177" s="20" t="n">
        <v>0.4101276417660599</v>
      </c>
      <c r="H177" s="16">
        <f>'00_TONG_HOP_BAO_GIA'!G65</f>
        <v/>
      </c>
      <c r="I177" s="21">
        <f>G177*H177</f>
        <v/>
      </c>
      <c r="J177" s="16">
        <f>IFERROR(INDEX('06_BANG_GIA_VAT_TU_AP_DUNG'!$E$1:$E$5000, MATCH(E177, '06_BANG_GIA_VAT_TU_AP_DUNG'!$B$1:$B$5000, 0)), 0)</f>
        <v/>
      </c>
      <c r="K177" s="16">
        <f>I177*J177</f>
        <v/>
      </c>
      <c r="L177" t="inlineStr">
        <is>
          <t>Lưới chắn côn trùng cổ 1450x450mm</t>
        </is>
      </c>
    </row>
    <row r="178">
      <c r="A178" t="inlineStr">
        <is>
          <t>SW-DIFF-065-FRAME</t>
        </is>
      </c>
      <c r="B178" t="inlineStr">
        <is>
          <t>SW-DIFF-065</t>
        </is>
      </c>
      <c r="C178" t="inlineStr">
        <is>
          <t>Khung nhôm định hình Louver (SWL)</t>
        </is>
      </c>
      <c r="D178" t="inlineStr">
        <is>
          <t>NHÔM_ĐỊNH_HÌNH</t>
        </is>
      </c>
      <c r="E178" t="inlineStr">
        <is>
          <t>MAT-ALU-KHUNG-Z-2-LOP</t>
        </is>
      </c>
      <c r="F178" t="inlineStr">
        <is>
          <t>kg</t>
        </is>
      </c>
      <c r="G178" s="20" t="n">
        <v>0.8401085509377167</v>
      </c>
      <c r="H178" s="16">
        <f>'00_TONG_HOP_BAO_GIA'!G66</f>
        <v/>
      </c>
      <c r="I178" s="21">
        <f>G178*H178</f>
        <v/>
      </c>
      <c r="J178" s="16">
        <f>IFERROR(INDEX('06_BANG_GIA_VAT_TU_AP_DUNG'!$E$1:$E$5000, MATCH(E178, '06_BANG_GIA_VAT_TU_AP_DUNG'!$B$1:$B$5000, 0)), 0)</f>
        <v/>
      </c>
      <c r="K178" s="16">
        <f>I178*J178</f>
        <v/>
      </c>
      <c r="L178" t="inlineStr">
        <is>
          <t>Khung Louver phủ bì 1500x300mm</t>
        </is>
      </c>
    </row>
    <row r="179">
      <c r="A179" t="inlineStr">
        <is>
          <t>SW-DIFF-065-BLADE</t>
        </is>
      </c>
      <c r="B179" t="inlineStr">
        <is>
          <t>SW-DIFF-065</t>
        </is>
      </c>
      <c r="C179" t="inlineStr">
        <is>
          <t>Nan Z Louver &amp; thanh tăng cứng (6 nan)</t>
        </is>
      </c>
      <c r="D179" t="inlineStr">
        <is>
          <t>NHÔM_ĐỊNH_HÌNH</t>
        </is>
      </c>
      <c r="E179" t="inlineStr">
        <is>
          <t>MAT-ALU-NAN-Z-DAY</t>
        </is>
      </c>
      <c r="F179" t="inlineStr">
        <is>
          <t>kg</t>
        </is>
      </c>
      <c r="G179" s="20" t="n">
        <v>1.981718614135606</v>
      </c>
      <c r="H179" s="16">
        <f>'00_TONG_HOP_BAO_GIA'!G66</f>
        <v/>
      </c>
      <c r="I179" s="21">
        <f>G179*H179</f>
        <v/>
      </c>
      <c r="J179" s="16">
        <f>IFERROR(INDEX('06_BANG_GIA_VAT_TU_AP_DUNG'!$E$1:$E$5000, MATCH(E179, '06_BANG_GIA_VAT_TU_AP_DUNG'!$B$1:$B$5000, 0)), 0)</f>
        <v/>
      </c>
      <c r="K179" s="16">
        <f>I179*J179</f>
        <v/>
      </c>
      <c r="L179" t="inlineStr">
        <is>
          <t>6 nan Z dày @ 0.217kg/m + thanh giằng</t>
        </is>
      </c>
    </row>
    <row r="180">
      <c r="A180" t="inlineStr">
        <is>
          <t>SW-DIFF-065-ACCESSORY</t>
        </is>
      </c>
      <c r="B180" t="inlineStr">
        <is>
          <t>SW-DIFF-065</t>
        </is>
      </c>
      <c r="C180" t="inlineStr">
        <is>
          <t>Phụ kiện lắp ghép / Ke góc cửa gió</t>
        </is>
      </c>
      <c r="D180" t="inlineStr">
        <is>
          <t>PHỤ_KIỆN_CỬA</t>
        </is>
      </c>
      <c r="E180" t="inlineStr">
        <is>
          <t>MAT-DOOR-ACCESSORY</t>
        </is>
      </c>
      <c r="F180" t="inlineStr">
        <is>
          <t>Bộ</t>
        </is>
      </c>
      <c r="G180" s="20" t="n">
        <v>0.05338294890486626</v>
      </c>
      <c r="H180" s="16">
        <f>'00_TONG_HOP_BAO_GIA'!G66</f>
        <v/>
      </c>
      <c r="I180" s="21">
        <f>G180*H180</f>
        <v/>
      </c>
      <c r="J180" s="16">
        <f>IFERROR(INDEX('06_BANG_GIA_VAT_TU_AP_DUNG'!$E$1:$E$5000, MATCH(E180, '06_BANG_GIA_VAT_TU_AP_DUNG'!$B$1:$B$5000, 0)), 0)</f>
        <v/>
      </c>
      <c r="K180" s="16">
        <f>I180*J180</f>
        <v/>
      </c>
      <c r="L180" t="inlineStr">
        <is>
          <t>Ke góc và vít ghép khung Louver</t>
        </is>
      </c>
    </row>
    <row r="181">
      <c r="A181" t="inlineStr">
        <is>
          <t>SW-DIFF-065-PAINT</t>
        </is>
      </c>
      <c r="B181" t="inlineStr">
        <is>
          <t>SW-DIFF-065</t>
        </is>
      </c>
      <c r="C181" t="inlineStr">
        <is>
          <t>Sơn tĩnh điện tiêu chuẩn Polyester</t>
        </is>
      </c>
      <c r="D181" t="inlineStr">
        <is>
          <t>SƠN_TĨNH_ĐIỆN</t>
        </is>
      </c>
      <c r="E181" t="inlineStr">
        <is>
          <t>MAT-PAINT-POWDER</t>
        </is>
      </c>
      <c r="F181" t="inlineStr">
        <is>
          <t>m2</t>
        </is>
      </c>
      <c r="G181" s="20" t="n">
        <v>0.5635732121090681</v>
      </c>
      <c r="H181" s="16">
        <f>'00_TONG_HOP_BAO_GIA'!G66</f>
        <v/>
      </c>
      <c r="I181" s="21">
        <f>G181*H181</f>
        <v/>
      </c>
      <c r="J181" s="16">
        <f>IFERROR(INDEX('06_BANG_GIA_VAT_TU_AP_DUNG'!$E$1:$E$5000, MATCH(E181, '06_BANG_GIA_VAT_TU_AP_DUNG'!$B$1:$B$5000, 0)), 0)</f>
        <v/>
      </c>
      <c r="K181" s="16">
        <f>I181*J181</f>
        <v/>
      </c>
      <c r="L181" t="inlineStr">
        <is>
          <t>Sơn tĩnh điện khung và nan Louver</t>
        </is>
      </c>
    </row>
    <row r="182">
      <c r="A182" t="inlineStr">
        <is>
          <t>SW-DIFF-065-MESH</t>
        </is>
      </c>
      <c r="B182" t="inlineStr">
        <is>
          <t>SW-DIFF-065</t>
        </is>
      </c>
      <c r="C182" t="inlineStr">
        <is>
          <t>Lưới chắn côn trùng Inox 304 (LCCT)</t>
        </is>
      </c>
      <c r="D182" t="inlineStr">
        <is>
          <t>PHỤ_KIỆN_CỬA</t>
        </is>
      </c>
      <c r="E182" t="inlineStr">
        <is>
          <t>MAT-MESH-INOX-304</t>
        </is>
      </c>
      <c r="F182" t="inlineStr">
        <is>
          <t>m2</t>
        </is>
      </c>
      <c r="G182" s="20" t="n">
        <v>0.2259887005649718</v>
      </c>
      <c r="H182" s="16">
        <f>'00_TONG_HOP_BAO_GIA'!G66</f>
        <v/>
      </c>
      <c r="I182" s="21">
        <f>G182*H182</f>
        <v/>
      </c>
      <c r="J182" s="16">
        <f>IFERROR(INDEX('06_BANG_GIA_VAT_TU_AP_DUNG'!$E$1:$E$5000, MATCH(E182, '06_BANG_GIA_VAT_TU_AP_DUNG'!$B$1:$B$5000, 0)), 0)</f>
        <v/>
      </c>
      <c r="K182" s="16">
        <f>I182*J182</f>
        <v/>
      </c>
      <c r="L182" t="inlineStr">
        <is>
          <t>Lưới chắn côn trùng cổ 1450x250mm</t>
        </is>
      </c>
    </row>
    <row r="183">
      <c r="A183" t="inlineStr">
        <is>
          <t>SW-DIFF-066-FRAME</t>
        </is>
      </c>
      <c r="B183" t="inlineStr">
        <is>
          <t>SW-DIFF-066</t>
        </is>
      </c>
      <c r="C183" t="inlineStr">
        <is>
          <t>Khung nhôm định hình Louver (SWL)</t>
        </is>
      </c>
      <c r="D183" t="inlineStr">
        <is>
          <t>NHÔM_ĐỊNH_HÌNH</t>
        </is>
      </c>
      <c r="E183" t="inlineStr">
        <is>
          <t>MAT-ALU-KHUNG-Z-2-LOP</t>
        </is>
      </c>
      <c r="F183" t="inlineStr">
        <is>
          <t>kg</t>
        </is>
      </c>
      <c r="G183" s="20" t="n">
        <v>0.5128300389895123</v>
      </c>
      <c r="H183" s="16">
        <f>'00_TONG_HOP_BAO_GIA'!G67</f>
        <v/>
      </c>
      <c r="I183" s="21">
        <f>G183*H183</f>
        <v/>
      </c>
      <c r="J183" s="16">
        <f>IFERROR(INDEX('06_BANG_GIA_VAT_TU_AP_DUNG'!$E$1:$E$5000, MATCH(E183, '06_BANG_GIA_VAT_TU_AP_DUNG'!$B$1:$B$5000, 0)), 0)</f>
        <v/>
      </c>
      <c r="K183" s="16">
        <f>I183*J183</f>
        <v/>
      </c>
      <c r="L183" t="inlineStr">
        <is>
          <t>Khung Louver phủ bì 550x550mm</t>
        </is>
      </c>
    </row>
    <row r="184">
      <c r="A184" t="inlineStr">
        <is>
          <t>SW-DIFF-066-BLADE</t>
        </is>
      </c>
      <c r="B184" t="inlineStr">
        <is>
          <t>SW-DIFF-066</t>
        </is>
      </c>
      <c r="C184" t="inlineStr">
        <is>
          <t>Nan Z Louver &amp; thanh tăng cứng (11 nan)</t>
        </is>
      </c>
      <c r="D184" t="inlineStr">
        <is>
          <t>NHÔM_ĐỊNH_HÌNH</t>
        </is>
      </c>
      <c r="E184" t="inlineStr">
        <is>
          <t>MAT-ALU-NAN-Z-DAY</t>
        </is>
      </c>
      <c r="F184" t="inlineStr">
        <is>
          <t>kg</t>
        </is>
      </c>
      <c r="G184" s="20" t="n">
        <v>1.300487277287721</v>
      </c>
      <c r="H184" s="16">
        <f>'00_TONG_HOP_BAO_GIA'!G67</f>
        <v/>
      </c>
      <c r="I184" s="21">
        <f>G184*H184</f>
        <v/>
      </c>
      <c r="J184" s="16">
        <f>IFERROR(INDEX('06_BANG_GIA_VAT_TU_AP_DUNG'!$E$1:$E$5000, MATCH(E184, '06_BANG_GIA_VAT_TU_AP_DUNG'!$B$1:$B$5000, 0)), 0)</f>
        <v/>
      </c>
      <c r="K184" s="16">
        <f>I184*J184</f>
        <v/>
      </c>
      <c r="L184" t="inlineStr">
        <is>
          <t>11 nan Z dày @ 0.217kg/m + thanh giằng</t>
        </is>
      </c>
    </row>
    <row r="185">
      <c r="A185" t="inlineStr">
        <is>
          <t>SW-DIFF-066-ACCESSORY</t>
        </is>
      </c>
      <c r="B185" t="inlineStr">
        <is>
          <t>SW-DIFF-066</t>
        </is>
      </c>
      <c r="C185" t="inlineStr">
        <is>
          <t>Phụ kiện lắp ghép / Ke góc cửa gió</t>
        </is>
      </c>
      <c r="D185" t="inlineStr">
        <is>
          <t>PHỤ_KIỆN_CỬA</t>
        </is>
      </c>
      <c r="E185" t="inlineStr">
        <is>
          <t>MAT-DOOR-ACCESSORY</t>
        </is>
      </c>
      <c r="F185" t="inlineStr">
        <is>
          <t>Bộ</t>
        </is>
      </c>
      <c r="G185" s="20" t="n">
        <v>0.09776015160552978</v>
      </c>
      <c r="H185" s="16">
        <f>'00_TONG_HOP_BAO_GIA'!G67</f>
        <v/>
      </c>
      <c r="I185" s="21">
        <f>G185*H185</f>
        <v/>
      </c>
      <c r="J185" s="16">
        <f>IFERROR(INDEX('06_BANG_GIA_VAT_TU_AP_DUNG'!$E$1:$E$5000, MATCH(E185, '06_BANG_GIA_VAT_TU_AP_DUNG'!$B$1:$B$5000, 0)), 0)</f>
        <v/>
      </c>
      <c r="K185" s="16">
        <f>I185*J185</f>
        <v/>
      </c>
      <c r="L185" t="inlineStr">
        <is>
          <t>Ke góc và vít ghép khung Louver</t>
        </is>
      </c>
    </row>
    <row r="186">
      <c r="A186" t="inlineStr">
        <is>
          <t>SW-DIFF-066-PAINT</t>
        </is>
      </c>
      <c r="B186" t="inlineStr">
        <is>
          <t>SW-DIFF-066</t>
        </is>
      </c>
      <c r="C186" t="inlineStr">
        <is>
          <t>Sơn tĩnh điện tiêu chuẩn Polyester</t>
        </is>
      </c>
      <c r="D186" t="inlineStr">
        <is>
          <t>SƠN_TĨNH_ĐIỆN</t>
        </is>
      </c>
      <c r="E186" t="inlineStr">
        <is>
          <t>MAT-PAINT-POWDER</t>
        </is>
      </c>
      <c r="F186" t="inlineStr">
        <is>
          <t>m2</t>
        </is>
      </c>
      <c r="G186" s="20" t="n">
        <v>0.3490152424260479</v>
      </c>
      <c r="H186" s="16">
        <f>'00_TONG_HOP_BAO_GIA'!G67</f>
        <v/>
      </c>
      <c r="I186" s="21">
        <f>G186*H186</f>
        <v/>
      </c>
      <c r="J186" s="16">
        <f>IFERROR(INDEX('06_BANG_GIA_VAT_TU_AP_DUNG'!$E$1:$E$5000, MATCH(E186, '06_BANG_GIA_VAT_TU_AP_DUNG'!$B$1:$B$5000, 0)), 0)</f>
        <v/>
      </c>
      <c r="K186" s="16">
        <f>I186*J186</f>
        <v/>
      </c>
      <c r="L186" t="inlineStr">
        <is>
          <t>Sơn tĩnh điện khung và nan Louver</t>
        </is>
      </c>
    </row>
    <row r="187">
      <c r="A187" t="inlineStr">
        <is>
          <t>SW-DIFF-066-MESH</t>
        </is>
      </c>
      <c r="B187" t="inlineStr">
        <is>
          <t>SW-DIFF-066</t>
        </is>
      </c>
      <c r="C187" t="inlineStr">
        <is>
          <t>Lưới chắn côn trùng Inox 304 (LCCT)</t>
        </is>
      </c>
      <c r="D187" t="inlineStr">
        <is>
          <t>PHỤ_KIỆN_CỬA</t>
        </is>
      </c>
      <c r="E187" t="inlineStr">
        <is>
          <t>MAT-MESH-INOX-304</t>
        </is>
      </c>
      <c r="F187" t="inlineStr">
        <is>
          <t>m2</t>
        </is>
      </c>
      <c r="G187" s="20" t="n">
        <v>0.1590290855827579</v>
      </c>
      <c r="H187" s="16">
        <f>'00_TONG_HOP_BAO_GIA'!G67</f>
        <v/>
      </c>
      <c r="I187" s="21">
        <f>G187*H187</f>
        <v/>
      </c>
      <c r="J187" s="16">
        <f>IFERROR(INDEX('06_BANG_GIA_VAT_TU_AP_DUNG'!$E$1:$E$5000, MATCH(E187, '06_BANG_GIA_VAT_TU_AP_DUNG'!$B$1:$B$5000, 0)), 0)</f>
        <v/>
      </c>
      <c r="K187" s="16">
        <f>I187*J187</f>
        <v/>
      </c>
      <c r="L187" t="inlineStr">
        <is>
          <t>Lưới chắn côn trùng cổ 500x500mm</t>
        </is>
      </c>
    </row>
    <row r="188">
      <c r="A188" t="inlineStr">
        <is>
          <t>SW-DIFF-067-FRAME</t>
        </is>
      </c>
      <c r="B188" t="inlineStr">
        <is>
          <t>SW-DIFF-067</t>
        </is>
      </c>
      <c r="C188" t="inlineStr">
        <is>
          <t>Khung nhôm định hình Louver (SWL)</t>
        </is>
      </c>
      <c r="D188" t="inlineStr">
        <is>
          <t>NHÔM_ĐỊNH_HÌNH</t>
        </is>
      </c>
      <c r="E188" t="inlineStr">
        <is>
          <t>MAT-ALU-KHUNG-Z-2-LOP</t>
        </is>
      </c>
      <c r="F188" t="inlineStr">
        <is>
          <t>kg</t>
        </is>
      </c>
      <c r="G188" s="20" t="n">
        <v>0.5136469382318972</v>
      </c>
      <c r="H188" s="16">
        <f>'00_TONG_HOP_BAO_GIA'!G68</f>
        <v/>
      </c>
      <c r="I188" s="21">
        <f>G188*H188</f>
        <v/>
      </c>
      <c r="J188" s="16">
        <f>IFERROR(INDEX('06_BANG_GIA_VAT_TU_AP_DUNG'!$E$1:$E$5000, MATCH(E188, '06_BANG_GIA_VAT_TU_AP_DUNG'!$B$1:$B$5000, 0)), 0)</f>
        <v/>
      </c>
      <c r="K188" s="16">
        <f>I188*J188</f>
        <v/>
      </c>
      <c r="L188" t="inlineStr">
        <is>
          <t>Khung Louver phủ bì 700x400mm</t>
        </is>
      </c>
    </row>
    <row r="189">
      <c r="A189" t="inlineStr">
        <is>
          <t>SW-DIFF-067-BLADE</t>
        </is>
      </c>
      <c r="B189" t="inlineStr">
        <is>
          <t>SW-DIFF-067</t>
        </is>
      </c>
      <c r="C189" t="inlineStr">
        <is>
          <t>Nan Z Louver &amp; thanh tăng cứng (8 nan)</t>
        </is>
      </c>
      <c r="D189" t="inlineStr">
        <is>
          <t>NHÔM_ĐỊNH_HÌNH</t>
        </is>
      </c>
      <c r="E189" t="inlineStr">
        <is>
          <t>MAT-ALU-NAN-Z-DAY</t>
        </is>
      </c>
      <c r="F189" t="inlineStr">
        <is>
          <t>kg</t>
        </is>
      </c>
      <c r="G189" s="20" t="n">
        <v>1.215144250509997</v>
      </c>
      <c r="H189" s="16">
        <f>'00_TONG_HOP_BAO_GIA'!G68</f>
        <v/>
      </c>
      <c r="I189" s="21">
        <f>G189*H189</f>
        <v/>
      </c>
      <c r="J189" s="16">
        <f>IFERROR(INDEX('06_BANG_GIA_VAT_TU_AP_DUNG'!$E$1:$E$5000, MATCH(E189, '06_BANG_GIA_VAT_TU_AP_DUNG'!$B$1:$B$5000, 0)), 0)</f>
        <v/>
      </c>
      <c r="K189" s="16">
        <f>I189*J189</f>
        <v/>
      </c>
      <c r="L189" t="inlineStr">
        <is>
          <t>8 nan Z dày @ 0.217kg/m + thanh giằng</t>
        </is>
      </c>
    </row>
    <row r="190">
      <c r="A190" t="inlineStr">
        <is>
          <t>SW-DIFF-067-ACCESSORY</t>
        </is>
      </c>
      <c r="B190" t="inlineStr">
        <is>
          <t>SW-DIFF-067</t>
        </is>
      </c>
      <c r="C190" t="inlineStr">
        <is>
          <t>Phụ kiện lắp ghép / Ke góc cửa gió</t>
        </is>
      </c>
      <c r="D190" t="inlineStr">
        <is>
          <t>PHỤ_KIỆN_CỬA</t>
        </is>
      </c>
      <c r="E190" t="inlineStr">
        <is>
          <t>MAT-DOOR-ACCESSORY</t>
        </is>
      </c>
      <c r="F190" t="inlineStr">
        <is>
          <t>Bộ</t>
        </is>
      </c>
      <c r="G190" s="20" t="n">
        <v>0.07121154624775419</v>
      </c>
      <c r="H190" s="16">
        <f>'00_TONG_HOP_BAO_GIA'!G68</f>
        <v/>
      </c>
      <c r="I190" s="21">
        <f>G190*H190</f>
        <v/>
      </c>
      <c r="J190" s="16">
        <f>IFERROR(INDEX('06_BANG_GIA_VAT_TU_AP_DUNG'!$E$1:$E$5000, MATCH(E190, '06_BANG_GIA_VAT_TU_AP_DUNG'!$B$1:$B$5000, 0)), 0)</f>
        <v/>
      </c>
      <c r="K190" s="16">
        <f>I190*J190</f>
        <v/>
      </c>
      <c r="L190" t="inlineStr">
        <is>
          <t>Ke góc và vít ghép khung Louver</t>
        </is>
      </c>
    </row>
    <row r="191">
      <c r="A191" t="inlineStr">
        <is>
          <t>SW-DIFF-067-PAINT</t>
        </is>
      </c>
      <c r="B191" t="inlineStr">
        <is>
          <t>SW-DIFF-067</t>
        </is>
      </c>
      <c r="C191" t="inlineStr">
        <is>
          <t>Sơn tĩnh điện tiêu chuẩn Polyester</t>
        </is>
      </c>
      <c r="D191" t="inlineStr">
        <is>
          <t>SƠN_TĨNH_ĐIỆN</t>
        </is>
      </c>
      <c r="E191" t="inlineStr">
        <is>
          <t>MAT-PAINT-POWDER</t>
        </is>
      </c>
      <c r="F191" t="inlineStr">
        <is>
          <t>m2</t>
        </is>
      </c>
      <c r="G191" s="20" t="n">
        <v>0.3372997721742155</v>
      </c>
      <c r="H191" s="16">
        <f>'00_TONG_HOP_BAO_GIA'!G68</f>
        <v/>
      </c>
      <c r="I191" s="21">
        <f>G191*H191</f>
        <v/>
      </c>
      <c r="J191" s="16">
        <f>IFERROR(INDEX('06_BANG_GIA_VAT_TU_AP_DUNG'!$E$1:$E$5000, MATCH(E191, '06_BANG_GIA_VAT_TU_AP_DUNG'!$B$1:$B$5000, 0)), 0)</f>
        <v/>
      </c>
      <c r="K191" s="16">
        <f>I191*J191</f>
        <v/>
      </c>
      <c r="L191" t="inlineStr">
        <is>
          <t>Sơn tĩnh điện khung và nan Louver</t>
        </is>
      </c>
    </row>
    <row r="192">
      <c r="A192" t="inlineStr">
        <is>
          <t>SW-DIFF-067-MESH</t>
        </is>
      </c>
      <c r="B192" t="inlineStr">
        <is>
          <t>SW-DIFF-067</t>
        </is>
      </c>
      <c r="C192" t="inlineStr">
        <is>
          <t>Lưới chắn côn trùng Inox 304 (LCCT)</t>
        </is>
      </c>
      <c r="D192" t="inlineStr">
        <is>
          <t>PHỤ_KIỆN_CỬA</t>
        </is>
      </c>
      <c r="E192" t="inlineStr">
        <is>
          <t>MAT-MESH-INOX-304</t>
        </is>
      </c>
      <c r="F192" t="inlineStr">
        <is>
          <t>m2</t>
        </is>
      </c>
      <c r="G192" s="20" t="n">
        <v>0.1422891818372044</v>
      </c>
      <c r="H192" s="16">
        <f>'00_TONG_HOP_BAO_GIA'!G68</f>
        <v/>
      </c>
      <c r="I192" s="21">
        <f>G192*H192</f>
        <v/>
      </c>
      <c r="J192" s="16">
        <f>IFERROR(INDEX('06_BANG_GIA_VAT_TU_AP_DUNG'!$E$1:$E$5000, MATCH(E192, '06_BANG_GIA_VAT_TU_AP_DUNG'!$B$1:$B$5000, 0)), 0)</f>
        <v/>
      </c>
      <c r="K192" s="16">
        <f>I192*J192</f>
        <v/>
      </c>
      <c r="L192" t="inlineStr">
        <is>
          <t>Lưới chắn côn trùng cổ 650x350mm</t>
        </is>
      </c>
    </row>
    <row r="193">
      <c r="A193" t="inlineStr">
        <is>
          <t>SW-DIFF-068-FRAME</t>
        </is>
      </c>
      <c r="B193" t="inlineStr">
        <is>
          <t>SW-DIFF-068</t>
        </is>
      </c>
      <c r="C193" t="inlineStr">
        <is>
          <t>Khung nhôm định hình (1 lớp BD)</t>
        </is>
      </c>
      <c r="D193" t="inlineStr">
        <is>
          <t>NHÔM_ĐỊNH_HÌNH</t>
        </is>
      </c>
      <c r="E193" t="inlineStr">
        <is>
          <t>MAT-ALU-KHUNG-BD</t>
        </is>
      </c>
      <c r="F193" t="inlineStr">
        <is>
          <t>kg</t>
        </is>
      </c>
      <c r="G193" s="20" t="n">
        <v>0.416155678390341</v>
      </c>
      <c r="H193" s="16">
        <f>'00_TONG_HOP_BAO_GIA'!G69</f>
        <v/>
      </c>
      <c r="I193" s="21">
        <f>G193*H193</f>
        <v/>
      </c>
      <c r="J193" s="16">
        <f>IFERROR(INDEX('06_BANG_GIA_VAT_TU_AP_DUNG'!$E$1:$E$5000, MATCH(E193, '06_BANG_GIA_VAT_TU_AP_DUNG'!$B$1:$B$5000, 0)), 0)</f>
        <v/>
      </c>
      <c r="K193" s="16">
        <f>I193*J193</f>
        <v/>
      </c>
      <c r="L193" t="inlineStr">
        <is>
          <t>Khung bao 800x350mm (cổ 750x300mm)</t>
        </is>
      </c>
    </row>
    <row r="194">
      <c r="A194" t="inlineStr">
        <is>
          <t>SW-DIFF-068-BLADE</t>
        </is>
      </c>
      <c r="B194" t="inlineStr">
        <is>
          <t>SW-DIFF-068</t>
        </is>
      </c>
      <c r="C194" t="inlineStr">
        <is>
          <t>Nan nhôm bầu dục (14 nan)</t>
        </is>
      </c>
      <c r="D194" t="inlineStr">
        <is>
          <t>NHÔM_ĐỊNH_HÌNH</t>
        </is>
      </c>
      <c r="E194" t="inlineStr">
        <is>
          <t>MAT-ALU-NAN-BD</t>
        </is>
      </c>
      <c r="F194" t="inlineStr">
        <is>
          <t>kg</t>
        </is>
      </c>
      <c r="G194" s="20" t="n">
        <v>0.5697814931198688</v>
      </c>
      <c r="H194" s="16">
        <f>'00_TONG_HOP_BAO_GIA'!G69</f>
        <v/>
      </c>
      <c r="I194" s="21">
        <f>G194*H194</f>
        <v/>
      </c>
      <c r="J194" s="16">
        <f>IFERROR(INDEX('06_BANG_GIA_VAT_TU_AP_DUNG'!$E$1:$E$5000, MATCH(E194, '06_BANG_GIA_VAT_TU_AP_DUNG'!$B$1:$B$5000, 0)), 0)</f>
        <v/>
      </c>
      <c r="K194" s="16">
        <f>I194*J194</f>
        <v/>
      </c>
      <c r="L194" t="inlineStr">
        <is>
          <t>Nan bầu dục @ 0.058kg/m</t>
        </is>
      </c>
    </row>
    <row r="195">
      <c r="A195" t="inlineStr">
        <is>
          <t>SW-DIFF-068-ACCESSORY</t>
        </is>
      </c>
      <c r="B195" t="inlineStr">
        <is>
          <t>SW-DIFF-068</t>
        </is>
      </c>
      <c r="C195" t="inlineStr">
        <is>
          <t>Phụ kiện lắp ghép / Ke góc cửa gió</t>
        </is>
      </c>
      <c r="D195" t="inlineStr">
        <is>
          <t>PHỤ_KIỆN_CỬA</t>
        </is>
      </c>
      <c r="E195" t="inlineStr">
        <is>
          <t>MAT-DOOR-ACCESSORY</t>
        </is>
      </c>
      <c r="F195" t="inlineStr">
        <is>
          <t>Bộ</t>
        </is>
      </c>
      <c r="G195" s="20" t="n">
        <v>0.06234850361495576</v>
      </c>
      <c r="H195" s="16">
        <f>'00_TONG_HOP_BAO_GIA'!G69</f>
        <v/>
      </c>
      <c r="I195" s="21">
        <f>G195*H195</f>
        <v/>
      </c>
      <c r="J195" s="16">
        <f>IFERROR(INDEX('06_BANG_GIA_VAT_TU_AP_DUNG'!$E$1:$E$5000, MATCH(E195, '06_BANG_GIA_VAT_TU_AP_DUNG'!$B$1:$B$5000, 0)), 0)</f>
        <v/>
      </c>
      <c r="K195" s="16">
        <f>I195*J195</f>
        <v/>
      </c>
      <c r="L195" t="inlineStr">
        <is>
          <t>4 ke góc chìm và vít ghép khung</t>
        </is>
      </c>
    </row>
    <row r="196">
      <c r="A196" t="inlineStr">
        <is>
          <t>SW-DIFF-068-PAINT</t>
        </is>
      </c>
      <c r="B196" t="inlineStr">
        <is>
          <t>SW-DIFF-068</t>
        </is>
      </c>
      <c r="C196" t="inlineStr">
        <is>
          <t>Sơn tĩnh điện tiêu chuẩn Polyester</t>
        </is>
      </c>
      <c r="D196" t="inlineStr">
        <is>
          <t>SƠN_TĨNH_ĐIỆN</t>
        </is>
      </c>
      <c r="E196" t="inlineStr">
        <is>
          <t>MAT-PAINT-POWDER</t>
        </is>
      </c>
      <c r="F196" t="inlineStr">
        <is>
          <t>m2</t>
        </is>
      </c>
      <c r="G196" s="20" t="n">
        <v>0.214395022514621</v>
      </c>
      <c r="H196" s="16">
        <f>'00_TONG_HOP_BAO_GIA'!G69</f>
        <v/>
      </c>
      <c r="I196" s="21">
        <f>G196*H196</f>
        <v/>
      </c>
      <c r="J196" s="16">
        <f>IFERROR(INDEX('06_BANG_GIA_VAT_TU_AP_DUNG'!$E$1:$E$5000, MATCH(E196, '06_BANG_GIA_VAT_TU_AP_DUNG'!$B$1:$B$5000, 0)), 0)</f>
        <v/>
      </c>
      <c r="K196" s="16">
        <f>I196*J196</f>
        <v/>
      </c>
      <c r="L196" t="inlineStr">
        <is>
          <t>Sơn tĩnh điện hoàn thiện</t>
        </is>
      </c>
    </row>
    <row r="197">
      <c r="A197" t="inlineStr">
        <is>
          <t>SW-DIFF-068-MESH</t>
        </is>
      </c>
      <c r="B197" t="inlineStr">
        <is>
          <t>SW-DIFF-068</t>
        </is>
      </c>
      <c r="C197" t="inlineStr">
        <is>
          <t>Lưới chắn côn trùng Inox 304 (LCCT)</t>
        </is>
      </c>
      <c r="D197" t="inlineStr">
        <is>
          <t>PHỤ_KIỆN_CỬA</t>
        </is>
      </c>
      <c r="E197" t="inlineStr">
        <is>
          <t>MAT-MESH-INOX-304</t>
        </is>
      </c>
      <c r="F197" t="inlineStr">
        <is>
          <t>m2</t>
        </is>
      </c>
      <c r="G197" s="20" t="n">
        <v>0.234816384180791</v>
      </c>
      <c r="H197" s="16">
        <f>'00_TONG_HOP_BAO_GIA'!G69</f>
        <v/>
      </c>
      <c r="I197" s="21">
        <f>G197*H197</f>
        <v/>
      </c>
      <c r="J197" s="16">
        <f>IFERROR(INDEX('06_BANG_GIA_VAT_TU_AP_DUNG'!$E$1:$E$5000, MATCH(E197, '06_BANG_GIA_VAT_TU_AP_DUNG'!$B$1:$B$5000, 0)), 0)</f>
        <v/>
      </c>
      <c r="K197" s="16">
        <f>I197*J197</f>
        <v/>
      </c>
      <c r="L197" t="inlineStr">
        <is>
          <t>Lưới chắn côn trùng cổ 750x300mm</t>
        </is>
      </c>
    </row>
    <row r="198">
      <c r="A198" t="inlineStr">
        <is>
          <t>SW-DIFF-069-MESH</t>
        </is>
      </c>
      <c r="B198" t="inlineStr">
        <is>
          <t>SW-DIFF-069</t>
        </is>
      </c>
      <c r="C198" t="inlineStr">
        <is>
          <t>Lưới chắn côn trùng Inox 304 (LCCT)</t>
        </is>
      </c>
      <c r="D198" t="inlineStr">
        <is>
          <t>PHỤ_KIỆN_CỬA</t>
        </is>
      </c>
      <c r="E198" t="inlineStr">
        <is>
          <t>MAT-MESH-INOX-304</t>
        </is>
      </c>
      <c r="F198" t="inlineStr">
        <is>
          <t>m2</t>
        </is>
      </c>
      <c r="G198" s="20" t="n">
        <v>0.3766478342749529</v>
      </c>
      <c r="H198" s="16">
        <f>'00_TONG_HOP_BAO_GIA'!G70</f>
        <v/>
      </c>
      <c r="I198" s="21">
        <f>G198*H198</f>
        <v/>
      </c>
      <c r="J198" s="16">
        <f>IFERROR(INDEX('06_BANG_GIA_VAT_TU_AP_DUNG'!$E$1:$E$5000, MATCH(E198, '06_BANG_GIA_VAT_TU_AP_DUNG'!$B$1:$B$5000, 0)), 0)</f>
        <v/>
      </c>
      <c r="K198" s="16">
        <f>I198*J198</f>
        <v/>
      </c>
      <c r="L198" t="inlineStr">
        <is>
          <t>Lưới chắn côn trùng 1500x300mm</t>
        </is>
      </c>
    </row>
    <row r="199">
      <c r="A199" t="inlineStr">
        <is>
          <t>SW-DIFF-070-MESH</t>
        </is>
      </c>
      <c r="B199" t="inlineStr">
        <is>
          <t>SW-DIFF-070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t="inlineStr">
        <is>
          <t>MAT-MESH-INOX-304</t>
        </is>
      </c>
      <c r="F199" t="inlineStr">
        <is>
          <t>m2</t>
        </is>
      </c>
      <c r="G199" s="20" t="n">
        <v>0.251098556183302</v>
      </c>
      <c r="H199" s="16">
        <f>'00_TONG_HOP_BAO_GIA'!G71</f>
        <v/>
      </c>
      <c r="I199" s="21">
        <f>G199*H199</f>
        <v/>
      </c>
      <c r="J199" s="16">
        <f>IFERROR(INDEX('06_BANG_GIA_VAT_TU_AP_DUNG'!$E$1:$E$5000, MATCH(E199, '06_BANG_GIA_VAT_TU_AP_DUNG'!$B$1:$B$5000, 0)), 0)</f>
        <v/>
      </c>
      <c r="K199" s="16">
        <f>I199*J199</f>
        <v/>
      </c>
      <c r="L199" t="inlineStr">
        <is>
          <t>Lưới chắn côn trùng 500x600mm</t>
        </is>
      </c>
    </row>
    <row r="200">
      <c r="A200" t="inlineStr">
        <is>
          <t>SW-DIFF-071-MESH</t>
        </is>
      </c>
      <c r="B200" t="inlineStr">
        <is>
          <t>SW-DIFF-071</t>
        </is>
      </c>
      <c r="C200" t="inlineStr">
        <is>
          <t>Lưới chắn côn trùng Inox 304 (LCCT)</t>
        </is>
      </c>
      <c r="D200" t="inlineStr">
        <is>
          <t>PHỤ_KIỆN_CỬA</t>
        </is>
      </c>
      <c r="E200" t="inlineStr">
        <is>
          <t>MAT-MESH-INOX-304</t>
        </is>
      </c>
      <c r="F200" t="inlineStr">
        <is>
          <t>m2</t>
        </is>
      </c>
      <c r="G200" s="20" t="n">
        <v>0.3766478342749529</v>
      </c>
      <c r="H200" s="16">
        <f>'00_TONG_HOP_BAO_GIA'!G72</f>
        <v/>
      </c>
      <c r="I200" s="21">
        <f>G200*H200</f>
        <v/>
      </c>
      <c r="J200" s="16">
        <f>IFERROR(INDEX('06_BANG_GIA_VAT_TU_AP_DUNG'!$E$1:$E$5000, MATCH(E200, '06_BANG_GIA_VAT_TU_AP_DUNG'!$B$1:$B$5000, 0)), 0)</f>
        <v/>
      </c>
      <c r="K200" s="16">
        <f>I200*J200</f>
        <v/>
      </c>
      <c r="L200" t="inlineStr">
        <is>
          <t>Lưới chắn côn trùng 600x750mm</t>
        </is>
      </c>
    </row>
    <row r="201">
      <c r="A201" t="inlineStr">
        <is>
          <t>SW-DIFF-072-MESH</t>
        </is>
      </c>
      <c r="B201" t="inlineStr">
        <is>
          <t>SW-DIFF-072</t>
        </is>
      </c>
      <c r="C201" t="inlineStr">
        <is>
          <t>Lưới chắn côn trùng Inox 304 (LCCT)</t>
        </is>
      </c>
      <c r="D201" t="inlineStr">
        <is>
          <t>PHỤ_KIỆN_CỬA</t>
        </is>
      </c>
      <c r="E201" t="inlineStr">
        <is>
          <t>MAT-MESH-INOX-304</t>
        </is>
      </c>
      <c r="F201" t="inlineStr">
        <is>
          <t>m2</t>
        </is>
      </c>
      <c r="G201" s="20" t="n">
        <v>0.8369951872776732</v>
      </c>
      <c r="H201" s="16">
        <f>'00_TONG_HOP_BAO_GIA'!G73</f>
        <v/>
      </c>
      <c r="I201" s="21">
        <f>G201*H201</f>
        <v/>
      </c>
      <c r="J201" s="16">
        <f>IFERROR(INDEX('06_BANG_GIA_VAT_TU_AP_DUNG'!$E$1:$E$5000, MATCH(E201, '06_BANG_GIA_VAT_TU_AP_DUNG'!$B$1:$B$5000, 0)), 0)</f>
        <v/>
      </c>
      <c r="K201" s="16">
        <f>I201*J201</f>
        <v/>
      </c>
      <c r="L201" t="inlineStr">
        <is>
          <t>Lưới chắn côn trùng 1000x1000mm</t>
        </is>
      </c>
    </row>
    <row r="202">
      <c r="A202" t="inlineStr">
        <is>
          <t>SW-DIFF-073-FRAME</t>
        </is>
      </c>
      <c r="B202" t="inlineStr">
        <is>
          <t>SW-DIFF-073</t>
        </is>
      </c>
      <c r="C202" t="inlineStr">
        <is>
          <t>Khung nhôm định hình (1 lớp BD)</t>
        </is>
      </c>
      <c r="D202" t="inlineStr">
        <is>
          <t>NHÔM_ĐỊNH_HÌNH</t>
        </is>
      </c>
      <c r="E202" t="inlineStr">
        <is>
          <t>MAT-ALU-KHUNG-BD</t>
        </is>
      </c>
      <c r="F202" t="inlineStr">
        <is>
          <t>kg</t>
        </is>
      </c>
      <c r="G202" s="20" t="n">
        <v>0.9232062546680351</v>
      </c>
      <c r="H202" s="16">
        <f>'00_TONG_HOP_BAO_GIA'!G74</f>
        <v/>
      </c>
      <c r="I202" s="21">
        <f>G202*H202</f>
        <v/>
      </c>
      <c r="J202" s="16">
        <f>IFERROR(INDEX('06_BANG_GIA_VAT_TU_AP_DUNG'!$E$1:$E$5000, MATCH(E202, '06_BANG_GIA_VAT_TU_AP_DUNG'!$B$1:$B$5000, 0)), 0)</f>
        <v/>
      </c>
      <c r="K202" s="16">
        <f>I202*J202</f>
        <v/>
      </c>
      <c r="L202" t="inlineStr">
        <is>
          <t>Khung bao 1500x1000mm (cổ 1450x950mm)</t>
        </is>
      </c>
    </row>
    <row r="203">
      <c r="A203" t="inlineStr">
        <is>
          <t>SW-DIFF-073-BLADE</t>
        </is>
      </c>
      <c r="B203" t="inlineStr">
        <is>
          <t>SW-DIFF-073</t>
        </is>
      </c>
      <c r="C203" t="inlineStr">
        <is>
          <t>Nan nhôm bầu dục (47 nan)</t>
        </is>
      </c>
      <c r="D203" t="inlineStr">
        <is>
          <t>NHÔM_ĐỊNH_HÌNH</t>
        </is>
      </c>
      <c r="E203" t="inlineStr">
        <is>
          <t>MAT-ALU-NAN-BD</t>
        </is>
      </c>
      <c r="F203" t="inlineStr">
        <is>
          <t>kg</t>
        </is>
      </c>
      <c r="G203" s="20" t="n">
        <v>3.693479112172411</v>
      </c>
      <c r="H203" s="16">
        <f>'00_TONG_HOP_BAO_GIA'!G74</f>
        <v/>
      </c>
      <c r="I203" s="21">
        <f>G203*H203</f>
        <v/>
      </c>
      <c r="J203" s="16">
        <f>IFERROR(INDEX('06_BANG_GIA_VAT_TU_AP_DUNG'!$E$1:$E$5000, MATCH(E203, '06_BANG_GIA_VAT_TU_AP_DUNG'!$B$1:$B$5000, 0)), 0)</f>
        <v/>
      </c>
      <c r="K203" s="16">
        <f>I203*J203</f>
        <v/>
      </c>
      <c r="L203" t="inlineStr">
        <is>
          <t>Nan bầu dục @ 0.058kg/m</t>
        </is>
      </c>
    </row>
    <row r="204">
      <c r="A204" t="inlineStr">
        <is>
          <t>SW-DIFF-073-ACCESSORY</t>
        </is>
      </c>
      <c r="B204" t="inlineStr">
        <is>
          <t>SW-DIFF-073</t>
        </is>
      </c>
      <c r="C204" t="inlineStr">
        <is>
          <t>Phụ kiện lắp ghép / Ke góc cửa gió</t>
        </is>
      </c>
      <c r="D204" t="inlineStr">
        <is>
          <t>PHỤ_KIỆN_CỬA</t>
        </is>
      </c>
      <c r="E204" t="inlineStr">
        <is>
          <t>MAT-DOOR-ACCESSORY</t>
        </is>
      </c>
      <c r="F204" t="inlineStr">
        <is>
          <t>Bộ</t>
        </is>
      </c>
      <c r="G204" s="20" t="n">
        <v>0.2090482826865717</v>
      </c>
      <c r="H204" s="16">
        <f>'00_TONG_HOP_BAO_GIA'!G74</f>
        <v/>
      </c>
      <c r="I204" s="21">
        <f>G204*H204</f>
        <v/>
      </c>
      <c r="J204" s="16">
        <f>IFERROR(INDEX('06_BANG_GIA_VAT_TU_AP_DUNG'!$E$1:$E$5000, MATCH(E204, '06_BANG_GIA_VAT_TU_AP_DUNG'!$B$1:$B$5000, 0)), 0)</f>
        <v/>
      </c>
      <c r="K204" s="16">
        <f>I204*J204</f>
        <v/>
      </c>
      <c r="L204" t="inlineStr">
        <is>
          <t>4 ke góc chìm và vít ghép khung</t>
        </is>
      </c>
    </row>
    <row r="205">
      <c r="A205" t="inlineStr">
        <is>
          <t>SW-DIFF-073-PAINT</t>
        </is>
      </c>
      <c r="B205" t="inlineStr">
        <is>
          <t>SW-DIFF-073</t>
        </is>
      </c>
      <c r="C205" t="inlineStr">
        <is>
          <t>Sơn tĩnh điện tiêu chuẩn Polyester</t>
        </is>
      </c>
      <c r="D205" t="inlineStr">
        <is>
          <t>SƠN_TĨNH_ĐIỆN</t>
        </is>
      </c>
      <c r="E205" t="inlineStr">
        <is>
          <t>MAT-PAINT-POWDER</t>
        </is>
      </c>
      <c r="F205" t="inlineStr">
        <is>
          <t>m2</t>
        </is>
      </c>
      <c r="G205" s="20" t="n">
        <v>1.015718249204632</v>
      </c>
      <c r="H205" s="16">
        <f>'00_TONG_HOP_BAO_GIA'!G74</f>
        <v/>
      </c>
      <c r="I205" s="21">
        <f>G205*H205</f>
        <v/>
      </c>
      <c r="J205" s="16">
        <f>IFERROR(INDEX('06_BANG_GIA_VAT_TU_AP_DUNG'!$E$1:$E$5000, MATCH(E205, '06_BANG_GIA_VAT_TU_AP_DUNG'!$B$1:$B$5000, 0)), 0)</f>
        <v/>
      </c>
      <c r="K205" s="16">
        <f>I205*J205</f>
        <v/>
      </c>
      <c r="L205" t="inlineStr">
        <is>
          <t>Sơn tĩnh điện hoàn thiện</t>
        </is>
      </c>
    </row>
    <row r="206">
      <c r="A206" t="inlineStr">
        <is>
          <t>SW-DIFF-073-OBD-FRAME</t>
        </is>
      </c>
      <c r="B206" t="inlineStr">
        <is>
          <t>SW-DIFF-073</t>
        </is>
      </c>
      <c r="C206" t="inlineStr">
        <is>
          <t>Khung nhôm van OBD gắn cửa (SOBD)</t>
        </is>
      </c>
      <c r="D206" t="inlineStr">
        <is>
          <t>NHÔM_ĐỊNH_HÌNH</t>
        </is>
      </c>
      <c r="E206" t="inlineStr">
        <is>
          <t>MAT-ALU-KHUNG-OBD</t>
        </is>
      </c>
      <c r="F206" t="inlineStr">
        <is>
          <t>kg</t>
        </is>
      </c>
      <c r="G206" s="20" t="n">
        <v>0.6582677125229851</v>
      </c>
      <c r="H206" s="16">
        <f>'00_TONG_HOP_BAO_GIA'!G74</f>
        <v/>
      </c>
      <c r="I206" s="21">
        <f>G206*H206</f>
        <v/>
      </c>
      <c r="J206" s="16">
        <f>IFERROR(INDEX('06_BANG_GIA_VAT_TU_AP_DUNG'!$E$1:$E$5000, MATCH(E206, '06_BANG_GIA_VAT_TU_AP_DUNG'!$B$1:$B$5000, 0)), 0)</f>
        <v/>
      </c>
      <c r="K206" s="16">
        <f>I206*J206</f>
        <v/>
      </c>
      <c r="L206" t="inlineStr">
        <is>
          <t>Khung OBD 1450x950mm</t>
        </is>
      </c>
    </row>
    <row r="207">
      <c r="A207" t="inlineStr">
        <is>
          <t>SW-DIFF-073-OBD-BLADE</t>
        </is>
      </c>
      <c r="B207" t="inlineStr">
        <is>
          <t>SW-DIFF-073</t>
        </is>
      </c>
      <c r="C207" t="inlineStr">
        <is>
          <t>Nan nhôm &amp; thanh truyền van OBD (SOBD)</t>
        </is>
      </c>
      <c r="D207" t="inlineStr">
        <is>
          <t>NHÔM_ĐỊNH_HÌNH</t>
        </is>
      </c>
      <c r="E207" t="inlineStr">
        <is>
          <t>MAT-ALU-NAN-OBD</t>
        </is>
      </c>
      <c r="F207" t="inlineStr">
        <is>
          <t>kg</t>
        </is>
      </c>
      <c r="G207" s="20" t="n">
        <v>2.989068347838912</v>
      </c>
      <c r="H207" s="16">
        <f>'00_TONG_HOP_BAO_GIA'!G74</f>
        <v/>
      </c>
      <c r="I207" s="21">
        <f>G207*H207</f>
        <v/>
      </c>
      <c r="J207" s="16">
        <f>IFERROR(INDEX('06_BANG_GIA_VAT_TU_AP_DUNG'!$E$1:$E$5000, MATCH(E207, '06_BANG_GIA_VAT_TU_AP_DUNG'!$B$1:$B$5000, 0)), 0)</f>
        <v/>
      </c>
      <c r="K207" s="16">
        <f>I207*J207</f>
        <v/>
      </c>
      <c r="L207" t="inlineStr">
        <is>
          <t>Nan OBD đối xứng &amp; thanh liên kết</t>
        </is>
      </c>
    </row>
    <row r="208">
      <c r="A208" t="inlineStr">
        <is>
          <t>SW-DIFF-073-OBD-ACC</t>
        </is>
      </c>
      <c r="B208" t="inlineStr">
        <is>
          <t>SW-DIFF-073</t>
        </is>
      </c>
      <c r="C208" t="inlineStr">
        <is>
          <t>Bánh răng nhựa &amp; phụ kiện van OBD</t>
        </is>
      </c>
      <c r="D208" t="inlineStr">
        <is>
          <t>PHỤ_KIỆN_CỬA</t>
        </is>
      </c>
      <c r="E208" t="inlineStr">
        <is>
          <t>MAT-DOOR-ACCESSORY</t>
        </is>
      </c>
      <c r="F208" t="inlineStr">
        <is>
          <t>Bộ</t>
        </is>
      </c>
      <c r="G208" s="20" t="n">
        <v>2.855934556484017</v>
      </c>
      <c r="H208" s="16">
        <f>'00_TONG_HOP_BAO_GIA'!G74</f>
        <v/>
      </c>
      <c r="I208" s="21">
        <f>G208*H208</f>
        <v/>
      </c>
      <c r="J208" s="16">
        <f>IFERROR(INDEX('06_BANG_GIA_VAT_TU_AP_DUNG'!$E$1:$E$5000, MATCH(E208, '06_BANG_GIA_VAT_TU_AP_DUNG'!$B$1:$B$5000, 0)), 0)</f>
        <v/>
      </c>
      <c r="K208" s="16">
        <f>I208*J208</f>
        <v/>
      </c>
      <c r="L208" t="inlineStr">
        <is>
          <t>Cơ cấu bánh răng đóng mở OBD</t>
        </is>
      </c>
    </row>
    <row r="209">
      <c r="A209" t="inlineStr">
        <is>
          <t>SW-DIFF-074-FRAME</t>
        </is>
      </c>
      <c r="B209" t="inlineStr">
        <is>
          <t>SW-DIFF-074</t>
        </is>
      </c>
      <c r="C209" t="inlineStr">
        <is>
          <t>Khung nhôm định hình Louver (SWL)</t>
        </is>
      </c>
      <c r="D209" t="inlineStr">
        <is>
          <t>NHÔM_ĐỊNH_HÌNH</t>
        </is>
      </c>
      <c r="E209" t="inlineStr">
        <is>
          <t>MAT-ALU-KHUNG-Z-2-LOP</t>
        </is>
      </c>
      <c r="F209" t="inlineStr">
        <is>
          <t>kg</t>
        </is>
      </c>
      <c r="G209" s="20" t="n">
        <v>2.09940881165095</v>
      </c>
      <c r="H209" s="16">
        <f>'00_TONG_HOP_BAO_GIA'!G75</f>
        <v/>
      </c>
      <c r="I209" s="21">
        <f>G209*H209</f>
        <v/>
      </c>
      <c r="J209" s="16">
        <f>IFERROR(INDEX('06_BANG_GIA_VAT_TU_AP_DUNG'!$E$1:$E$5000, MATCH(E209, '06_BANG_GIA_VAT_TU_AP_DUNG'!$B$1:$B$5000, 0)), 0)</f>
        <v/>
      </c>
      <c r="K209" s="16">
        <f>I209*J209</f>
        <v/>
      </c>
      <c r="L209" t="inlineStr">
        <is>
          <t>Khung Louver phủ bì 3000x1500mm</t>
        </is>
      </c>
    </row>
    <row r="210">
      <c r="A210" t="inlineStr">
        <is>
          <t>SW-DIFF-074-BLADE</t>
        </is>
      </c>
      <c r="B210" t="inlineStr">
        <is>
          <t>SW-DIFF-074</t>
        </is>
      </c>
      <c r="C210" t="inlineStr">
        <is>
          <t>Nan Z Louver &amp; thanh tăng cứng (32 nan)</t>
        </is>
      </c>
      <c r="D210" t="inlineStr">
        <is>
          <t>NHÔM_ĐỊNH_HÌNH</t>
        </is>
      </c>
      <c r="E210" t="inlineStr">
        <is>
          <t>MAT-ALU-NAN-Z-DAY</t>
        </is>
      </c>
      <c r="F210" t="inlineStr">
        <is>
          <t>kg</t>
        </is>
      </c>
      <c r="G210" s="20" t="n">
        <v>21.25033313915917</v>
      </c>
      <c r="H210" s="16">
        <f>'00_TONG_HOP_BAO_GIA'!G75</f>
        <v/>
      </c>
      <c r="I210" s="21">
        <f>G210*H210</f>
        <v/>
      </c>
      <c r="J210" s="16">
        <f>IFERROR(INDEX('06_BANG_GIA_VAT_TU_AP_DUNG'!$E$1:$E$5000, MATCH(E210, '06_BANG_GIA_VAT_TU_AP_DUNG'!$B$1:$B$5000, 0)), 0)</f>
        <v/>
      </c>
      <c r="K210" s="16">
        <f>I210*J210</f>
        <v/>
      </c>
      <c r="L210" t="inlineStr">
        <is>
          <t>32 nan Z dày @ 0.217kg/m + thanh giằng</t>
        </is>
      </c>
    </row>
    <row r="211">
      <c r="A211" t="inlineStr">
        <is>
          <t>SW-DIFF-074-ACCESSORY</t>
        </is>
      </c>
      <c r="B211" t="inlineStr">
        <is>
          <t>SW-DIFF-074</t>
        </is>
      </c>
      <c r="C211" t="inlineStr">
        <is>
          <t>Phụ kiện lắp ghép / Ke góc cửa gió</t>
        </is>
      </c>
      <c r="D211" t="inlineStr">
        <is>
          <t>PHỤ_KIỆN_CỬA</t>
        </is>
      </c>
      <c r="E211" t="inlineStr">
        <is>
          <t>MAT-DOOR-ACCESSORY</t>
        </is>
      </c>
      <c r="F211" t="inlineStr">
        <is>
          <t>Bộ</t>
        </is>
      </c>
      <c r="G211" s="20" t="n">
        <v>0.2845921329512505</v>
      </c>
      <c r="H211" s="16">
        <f>'00_TONG_HOP_BAO_GIA'!G75</f>
        <v/>
      </c>
      <c r="I211" s="21">
        <f>G211*H211</f>
        <v/>
      </c>
      <c r="J211" s="16">
        <f>IFERROR(INDEX('06_BANG_GIA_VAT_TU_AP_DUNG'!$E$1:$E$5000, MATCH(E211, '06_BANG_GIA_VAT_TU_AP_DUNG'!$B$1:$B$5000, 0)), 0)</f>
        <v/>
      </c>
      <c r="K211" s="16">
        <f>I211*J211</f>
        <v/>
      </c>
      <c r="L211" t="inlineStr">
        <is>
          <t>Ke góc và vít ghép khung Louver</t>
        </is>
      </c>
    </row>
    <row r="212">
      <c r="A212" t="inlineStr">
        <is>
          <t>SW-DIFF-074-PAINT</t>
        </is>
      </c>
      <c r="B212" t="inlineStr">
        <is>
          <t>SW-DIFF-074</t>
        </is>
      </c>
      <c r="C212" t="inlineStr">
        <is>
          <t>Sơn tĩnh điện tiêu chuẩn Polyester</t>
        </is>
      </c>
      <c r="D212" t="inlineStr">
        <is>
          <t>SƠN_TĨNH_ĐIỆN</t>
        </is>
      </c>
      <c r="E212" t="inlineStr">
        <is>
          <t>MAT-PAINT-POWDER</t>
        </is>
      </c>
      <c r="F212" t="inlineStr">
        <is>
          <t>m2</t>
        </is>
      </c>
      <c r="G212" s="20" t="n">
        <v>4.699612187490476</v>
      </c>
      <c r="H212" s="16">
        <f>'00_TONG_HOP_BAO_GIA'!G75</f>
        <v/>
      </c>
      <c r="I212" s="21">
        <f>G212*H212</f>
        <v/>
      </c>
      <c r="J212" s="16">
        <f>IFERROR(INDEX('06_BANG_GIA_VAT_TU_AP_DUNG'!$E$1:$E$5000, MATCH(E212, '06_BANG_GIA_VAT_TU_AP_DUNG'!$B$1:$B$5000, 0)), 0)</f>
        <v/>
      </c>
      <c r="K212" s="16">
        <f>I212*J212</f>
        <v/>
      </c>
      <c r="L212" t="inlineStr">
        <is>
          <t>Sơn tĩnh điện khung và nan Louver</t>
        </is>
      </c>
    </row>
    <row r="213">
      <c r="A213" t="inlineStr">
        <is>
          <t>SW-DIFF-074-MESH</t>
        </is>
      </c>
      <c r="B213" t="inlineStr">
        <is>
          <t>SW-DIFF-074</t>
        </is>
      </c>
      <c r="C213" t="inlineStr">
        <is>
          <t>Lưới chắn côn trùng Inox 304 (LCCT)</t>
        </is>
      </c>
      <c r="D213" t="inlineStr">
        <is>
          <t>PHỤ_KIỆN_CỬA</t>
        </is>
      </c>
      <c r="E213" t="inlineStr">
        <is>
          <t>MAT-MESH-INOX-304</t>
        </is>
      </c>
      <c r="F213" t="inlineStr">
        <is>
          <t>m2</t>
        </is>
      </c>
      <c r="G213" s="20" t="n">
        <v>2.686754551161331</v>
      </c>
      <c r="H213" s="16">
        <f>'00_TONG_HOP_BAO_GIA'!G75</f>
        <v/>
      </c>
      <c r="I213" s="21">
        <f>G213*H213</f>
        <v/>
      </c>
      <c r="J213" s="16">
        <f>IFERROR(INDEX('06_BANG_GIA_VAT_TU_AP_DUNG'!$E$1:$E$5000, MATCH(E213, '06_BANG_GIA_VAT_TU_AP_DUNG'!$B$1:$B$5000, 0)), 0)</f>
        <v/>
      </c>
      <c r="K213" s="16">
        <f>I213*J213</f>
        <v/>
      </c>
      <c r="L213" t="inlineStr">
        <is>
          <t>Lưới chắn côn trùng cổ 2950x1450mm</t>
        </is>
      </c>
    </row>
    <row r="214">
      <c r="A214" t="inlineStr">
        <is>
          <t>SW-DIFF-075-FRAME</t>
        </is>
      </c>
      <c r="B214" t="inlineStr">
        <is>
          <t>SW-DIFF-075</t>
        </is>
      </c>
      <c r="C214" t="inlineStr">
        <is>
          <t>Khung nhôm định hình Louver (SWL)</t>
        </is>
      </c>
      <c r="D214" t="inlineStr">
        <is>
          <t>NHÔM_ĐỊNH_HÌNH</t>
        </is>
      </c>
      <c r="E214" t="inlineStr">
        <is>
          <t>MAT-ALU-KHUNG-Z-2-LOP</t>
        </is>
      </c>
      <c r="F214" t="inlineStr">
        <is>
          <t>kg</t>
        </is>
      </c>
      <c r="G214" s="20" t="n">
        <v>1.166466120489014</v>
      </c>
      <c r="H214" s="16">
        <f>'00_TONG_HOP_BAO_GIA'!G76</f>
        <v/>
      </c>
      <c r="I214" s="21">
        <f>G214*H214</f>
        <v/>
      </c>
      <c r="J214" s="16">
        <f>IFERROR(INDEX('06_BANG_GIA_VAT_TU_AP_DUNG'!$E$1:$E$5000, MATCH(E214, '06_BANG_GIA_VAT_TU_AP_DUNG'!$B$1:$B$5000, 0)), 0)</f>
        <v/>
      </c>
      <c r="K214" s="16">
        <f>I214*J214</f>
        <v/>
      </c>
      <c r="L214" t="inlineStr">
        <is>
          <t>Khung Louver phủ bì 1500x1000mm</t>
        </is>
      </c>
    </row>
    <row r="215">
      <c r="A215" t="inlineStr">
        <is>
          <t>SW-DIFF-075-BLADE</t>
        </is>
      </c>
      <c r="B215" t="inlineStr">
        <is>
          <t>SW-DIFF-075</t>
        </is>
      </c>
      <c r="C215" t="inlineStr">
        <is>
          <t>Nan Z Louver &amp; thanh tăng cứng (21 nan)</t>
        </is>
      </c>
      <c r="D215" t="inlineStr">
        <is>
          <t>NHÔM_ĐỊNH_HÌNH</t>
        </is>
      </c>
      <c r="E215" t="inlineStr">
        <is>
          <t>MAT-ALU-NAN-Z-DAY</t>
        </is>
      </c>
      <c r="F215" t="inlineStr">
        <is>
          <t>kg</t>
        </is>
      </c>
      <c r="G215" s="20" t="n">
        <v>6.924882852109795</v>
      </c>
      <c r="H215" s="16">
        <f>'00_TONG_HOP_BAO_GIA'!G76</f>
        <v/>
      </c>
      <c r="I215" s="21">
        <f>G215*H215</f>
        <v/>
      </c>
      <c r="J215" s="16">
        <f>IFERROR(INDEX('06_BANG_GIA_VAT_TU_AP_DUNG'!$E$1:$E$5000, MATCH(E215, '06_BANG_GIA_VAT_TU_AP_DUNG'!$B$1:$B$5000, 0)), 0)</f>
        <v/>
      </c>
      <c r="K215" s="16">
        <f>I215*J215</f>
        <v/>
      </c>
      <c r="L215" t="inlineStr">
        <is>
          <t>21 nan Z dày @ 0.217kg/m + thanh giằng</t>
        </is>
      </c>
    </row>
    <row r="216">
      <c r="A216" t="inlineStr">
        <is>
          <t>SW-DIFF-075-ACCESSORY</t>
        </is>
      </c>
      <c r="B216" t="inlineStr">
        <is>
          <t>SW-DIFF-075</t>
        </is>
      </c>
      <c r="C216" t="inlineStr">
        <is>
          <t>Phụ kiện lắp ghép / Ke góc cửa gió</t>
        </is>
      </c>
      <c r="D216" t="inlineStr">
        <is>
          <t>PHỤ_KIỆN_CỬA</t>
        </is>
      </c>
      <c r="E216" t="inlineStr">
        <is>
          <t>MAT-DOOR-ACCESSORY</t>
        </is>
      </c>
      <c r="F216" t="inlineStr">
        <is>
          <t>Bộ</t>
        </is>
      </c>
      <c r="G216" s="20" t="n">
        <v>0.1867840663261223</v>
      </c>
      <c r="H216" s="16">
        <f>'00_TONG_HOP_BAO_GIA'!G76</f>
        <v/>
      </c>
      <c r="I216" s="21">
        <f>G216*H216</f>
        <v/>
      </c>
      <c r="J216" s="16">
        <f>IFERROR(INDEX('06_BANG_GIA_VAT_TU_AP_DUNG'!$E$1:$E$5000, MATCH(E216, '06_BANG_GIA_VAT_TU_AP_DUNG'!$B$1:$B$5000, 0)), 0)</f>
        <v/>
      </c>
      <c r="K216" s="16">
        <f>I216*J216</f>
        <v/>
      </c>
      <c r="L216" t="inlineStr">
        <is>
          <t>Ke góc và vít ghép khung Louver</t>
        </is>
      </c>
    </row>
    <row r="217">
      <c r="A217" t="inlineStr">
        <is>
          <t>SW-DIFF-075-PAINT</t>
        </is>
      </c>
      <c r="B217" t="inlineStr">
        <is>
          <t>SW-DIFF-075</t>
        </is>
      </c>
      <c r="C217" t="inlineStr">
        <is>
          <t>Sơn tĩnh điện tiêu chuẩn Polyester</t>
        </is>
      </c>
      <c r="D217" t="inlineStr">
        <is>
          <t>SƠN_TĨNH_ĐIỆN</t>
        </is>
      </c>
      <c r="E217" t="inlineStr">
        <is>
          <t>MAT-PAINT-POWDER</t>
        </is>
      </c>
      <c r="F217" t="inlineStr">
        <is>
          <t>m2</t>
        </is>
      </c>
      <c r="G217" s="20" t="n">
        <v>1.610859273095204</v>
      </c>
      <c r="H217" s="16">
        <f>'00_TONG_HOP_BAO_GIA'!G76</f>
        <v/>
      </c>
      <c r="I217" s="21">
        <f>G217*H217</f>
        <v/>
      </c>
      <c r="J217" s="16">
        <f>IFERROR(INDEX('06_BANG_GIA_VAT_TU_AP_DUNG'!$E$1:$E$5000, MATCH(E217, '06_BANG_GIA_VAT_TU_AP_DUNG'!$B$1:$B$5000, 0)), 0)</f>
        <v/>
      </c>
      <c r="K217" s="16">
        <f>I217*J217</f>
        <v/>
      </c>
      <c r="L217" t="inlineStr">
        <is>
          <t>Sơn tĩnh điện khung và nan Louver</t>
        </is>
      </c>
    </row>
    <row r="218">
      <c r="A218" t="inlineStr">
        <is>
          <t>SW-DIFF-076-FRAME</t>
        </is>
      </c>
      <c r="B218" t="inlineStr">
        <is>
          <t>SW-DIFF-076</t>
        </is>
      </c>
      <c r="C218" t="inlineStr">
        <is>
          <t>Khung nhôm định hình (1 lớp BD)</t>
        </is>
      </c>
      <c r="D218" t="inlineStr">
        <is>
          <t>NHÔM_ĐỊNH_HÌNH</t>
        </is>
      </c>
      <c r="E218" t="inlineStr">
        <is>
          <t>MAT-ALU-KHUNG-BD</t>
        </is>
      </c>
      <c r="F218" t="inlineStr">
        <is>
          <t>kg</t>
        </is>
      </c>
      <c r="G218" s="20" t="n">
        <v>0.1522746013870727</v>
      </c>
      <c r="H218" s="16">
        <f>'00_TONG_HOP_BAO_GIA'!G77</f>
        <v/>
      </c>
      <c r="I218" s="21">
        <f>G218*H218</f>
        <v/>
      </c>
      <c r="J218" s="16">
        <f>IFERROR(INDEX('06_BANG_GIA_VAT_TU_AP_DUNG'!$E$1:$E$5000, MATCH(E218, '06_BANG_GIA_VAT_TU_AP_DUNG'!$B$1:$B$5000, 0)), 0)</f>
        <v/>
      </c>
      <c r="K218" s="16">
        <f>I218*J218</f>
        <v/>
      </c>
      <c r="L218" t="inlineStr">
        <is>
          <t>Khung bao 200x200mm (cổ 150x150mm)</t>
        </is>
      </c>
    </row>
    <row r="219">
      <c r="A219" t="inlineStr">
        <is>
          <t>SW-DIFF-076-BLADE</t>
        </is>
      </c>
      <c r="B219" t="inlineStr">
        <is>
          <t>SW-DIFF-076</t>
        </is>
      </c>
      <c r="C219" t="inlineStr">
        <is>
          <t>Nan nhôm bầu dục (7 nan)</t>
        </is>
      </c>
      <c r="D219" t="inlineStr">
        <is>
          <t>NHÔM_ĐỊNH_HÌNH</t>
        </is>
      </c>
      <c r="E219" t="inlineStr">
        <is>
          <t>MAT-ALU-NAN-BD</t>
        </is>
      </c>
      <c r="F219" t="inlineStr">
        <is>
          <t>kg</t>
        </is>
      </c>
      <c r="G219" s="20" t="n">
        <v>0.0573856635177768</v>
      </c>
      <c r="H219" s="16">
        <f>'00_TONG_HOP_BAO_GIA'!G77</f>
        <v/>
      </c>
      <c r="I219" s="21">
        <f>G219*H219</f>
        <v/>
      </c>
      <c r="J219" s="16">
        <f>IFERROR(INDEX('06_BANG_GIA_VAT_TU_AP_DUNG'!$E$1:$E$5000, MATCH(E219, '06_BANG_GIA_VAT_TU_AP_DUNG'!$B$1:$B$5000, 0)), 0)</f>
        <v/>
      </c>
      <c r="K219" s="16">
        <f>I219*J219</f>
        <v/>
      </c>
      <c r="L219" t="inlineStr">
        <is>
          <t>Nan bầu dục @ 0.058kg/m</t>
        </is>
      </c>
    </row>
    <row r="220">
      <c r="A220" t="inlineStr">
        <is>
          <t>SW-DIFF-076-ACCESSORY</t>
        </is>
      </c>
      <c r="B220" t="inlineStr">
        <is>
          <t>SW-DIFF-076</t>
        </is>
      </c>
      <c r="C220" t="inlineStr">
        <is>
          <t>Phụ kiện lắp ghép / Ke góc cửa gió</t>
        </is>
      </c>
      <c r="D220" t="inlineStr">
        <is>
          <t>PHỤ_KIỆN_CỬA</t>
        </is>
      </c>
      <c r="E220" t="inlineStr">
        <is>
          <t>MAT-DOOR-ACCESSORY</t>
        </is>
      </c>
      <c r="F220" t="inlineStr">
        <is>
          <t>Bộ</t>
        </is>
      </c>
      <c r="G220" s="20" t="n">
        <v>0.0313972136028296</v>
      </c>
      <c r="H220" s="16">
        <f>'00_TONG_HOP_BAO_GIA'!G77</f>
        <v/>
      </c>
      <c r="I220" s="21">
        <f>G220*H220</f>
        <v/>
      </c>
      <c r="J220" s="16">
        <f>IFERROR(INDEX('06_BANG_GIA_VAT_TU_AP_DUNG'!$E$1:$E$5000, MATCH(E220, '06_BANG_GIA_VAT_TU_AP_DUNG'!$B$1:$B$5000, 0)), 0)</f>
        <v/>
      </c>
      <c r="K220" s="16">
        <f>I220*J220</f>
        <v/>
      </c>
      <c r="L220" t="inlineStr">
        <is>
          <t>4 ke góc chìm và vít ghép khung</t>
        </is>
      </c>
    </row>
    <row r="221">
      <c r="A221" t="inlineStr">
        <is>
          <t>SW-DIFF-076-PAINT</t>
        </is>
      </c>
      <c r="B221" t="inlineStr">
        <is>
          <t>SW-DIFF-076</t>
        </is>
      </c>
      <c r="C221" t="inlineStr">
        <is>
          <t>Sơn tĩnh điện tiêu chuẩn Polyester</t>
        </is>
      </c>
      <c r="D221" t="inlineStr">
        <is>
          <t>SƠN_TĨNH_ĐIỆN</t>
        </is>
      </c>
      <c r="E221" t="inlineStr">
        <is>
          <t>MAT-PAINT-POWDER</t>
        </is>
      </c>
      <c r="F221" t="inlineStr">
        <is>
          <t>m2</t>
        </is>
      </c>
      <c r="G221" s="20" t="n">
        <v>0.04324900213256998</v>
      </c>
      <c r="H221" s="16">
        <f>'00_TONG_HOP_BAO_GIA'!G77</f>
        <v/>
      </c>
      <c r="I221" s="21">
        <f>G221*H221</f>
        <v/>
      </c>
      <c r="J221" s="16">
        <f>IFERROR(INDEX('06_BANG_GIA_VAT_TU_AP_DUNG'!$E$1:$E$5000, MATCH(E221, '06_BANG_GIA_VAT_TU_AP_DUNG'!$B$1:$B$5000, 0)), 0)</f>
        <v/>
      </c>
      <c r="K221" s="16">
        <f>I221*J221</f>
        <v/>
      </c>
      <c r="L221" t="inlineStr">
        <is>
          <t>Sơn tĩnh điện hoàn thiện</t>
        </is>
      </c>
    </row>
    <row r="222">
      <c r="A222" t="inlineStr">
        <is>
          <t>SW-DIFF-076-OBD-FRAME</t>
        </is>
      </c>
      <c r="B222" t="inlineStr">
        <is>
          <t>SW-DIFF-076</t>
        </is>
      </c>
      <c r="C222" t="inlineStr">
        <is>
          <t>Khung nhôm van OBD gắn cửa (SOBD)</t>
        </is>
      </c>
      <c r="D222" t="inlineStr">
        <is>
          <t>NHÔM_ĐỊNH_HÌNH</t>
        </is>
      </c>
      <c r="E222" t="inlineStr">
        <is>
          <t>MAT-ALU-KHUNG-OBD</t>
        </is>
      </c>
      <c r="F222" t="inlineStr">
        <is>
          <t>kg</t>
        </is>
      </c>
      <c r="G222" s="20" t="n">
        <v>0.08230553030583942</v>
      </c>
      <c r="H222" s="16">
        <f>'00_TONG_HOP_BAO_GIA'!G77</f>
        <v/>
      </c>
      <c r="I222" s="21">
        <f>G222*H222</f>
        <v/>
      </c>
      <c r="J222" s="16">
        <f>IFERROR(INDEX('06_BANG_GIA_VAT_TU_AP_DUNG'!$E$1:$E$5000, MATCH(E222, '06_BANG_GIA_VAT_TU_AP_DUNG'!$B$1:$B$5000, 0)), 0)</f>
        <v/>
      </c>
      <c r="K222" s="16">
        <f>I222*J222</f>
        <v/>
      </c>
      <c r="L222" t="inlineStr">
        <is>
          <t>Khung OBD 150x150mm</t>
        </is>
      </c>
    </row>
    <row r="223">
      <c r="A223" t="inlineStr">
        <is>
          <t>SW-DIFF-076-OBD-BLADE</t>
        </is>
      </c>
      <c r="B223" t="inlineStr">
        <is>
          <t>SW-DIFF-076</t>
        </is>
      </c>
      <c r="C223" t="inlineStr">
        <is>
          <t>Nan nhôm &amp; thanh truyền van OBD (SOBD)</t>
        </is>
      </c>
      <c r="D223" t="inlineStr">
        <is>
          <t>NHÔM_ĐỊNH_HÌNH</t>
        </is>
      </c>
      <c r="E223" t="inlineStr">
        <is>
          <t>MAT-ALU-NAN-OBD</t>
        </is>
      </c>
      <c r="F223" t="inlineStr">
        <is>
          <t>kg</t>
        </is>
      </c>
      <c r="G223" s="20" t="n">
        <v>0.04883635105172434</v>
      </c>
      <c r="H223" s="16">
        <f>'00_TONG_HOP_BAO_GIA'!G77</f>
        <v/>
      </c>
      <c r="I223" s="21">
        <f>G223*H223</f>
        <v/>
      </c>
      <c r="J223" s="16">
        <f>IFERROR(INDEX('06_BANG_GIA_VAT_TU_AP_DUNG'!$E$1:$E$5000, MATCH(E223, '06_BANG_GIA_VAT_TU_AP_DUNG'!$B$1:$B$5000, 0)), 0)</f>
        <v/>
      </c>
      <c r="K223" s="16">
        <f>I223*J223</f>
        <v/>
      </c>
      <c r="L223" t="inlineStr">
        <is>
          <t>Nan OBD đối xứng &amp; thanh liên kết</t>
        </is>
      </c>
    </row>
    <row r="224">
      <c r="A224" t="inlineStr">
        <is>
          <t>SW-DIFF-076-OBD-ACC</t>
        </is>
      </c>
      <c r="B224" t="inlineStr">
        <is>
          <t>SW-DIFF-076</t>
        </is>
      </c>
      <c r="C224" t="inlineStr">
        <is>
          <t>Bánh răng nhựa &amp; phụ kiện van OBD</t>
        </is>
      </c>
      <c r="D224" t="inlineStr">
        <is>
          <t>PHỤ_KIỆN_CỬA</t>
        </is>
      </c>
      <c r="E224" t="inlineStr">
        <is>
          <t>MAT-DOOR-ACCESSORY</t>
        </is>
      </c>
      <c r="F224" t="inlineStr">
        <is>
          <t>Bộ</t>
        </is>
      </c>
      <c r="G224" s="20" t="n">
        <v>0.5111990265182811</v>
      </c>
      <c r="H224" s="16">
        <f>'00_TONG_HOP_BAO_GIA'!G77</f>
        <v/>
      </c>
      <c r="I224" s="21">
        <f>G224*H224</f>
        <v/>
      </c>
      <c r="J224" s="16">
        <f>IFERROR(INDEX('06_BANG_GIA_VAT_TU_AP_DUNG'!$E$1:$E$5000, MATCH(E224, '06_BANG_GIA_VAT_TU_AP_DUNG'!$B$1:$B$5000, 0)), 0)</f>
        <v/>
      </c>
      <c r="K224" s="16">
        <f>I224*J224</f>
        <v/>
      </c>
      <c r="L224" t="inlineStr">
        <is>
          <t>Cơ cấu bánh răng đóng mở OBD</t>
        </is>
      </c>
    </row>
    <row r="225">
      <c r="A225" t="inlineStr">
        <is>
          <t>SW-DIFF-077-FRAME</t>
        </is>
      </c>
      <c r="B225" t="inlineStr">
        <is>
          <t>SW-DIFF-077</t>
        </is>
      </c>
      <c r="C225" t="inlineStr">
        <is>
          <t>Khung nhôm định hình (1 lớp BD)</t>
        </is>
      </c>
      <c r="D225" t="inlineStr">
        <is>
          <t>NHÔM_ĐỊNH_HÌNH</t>
        </is>
      </c>
      <c r="E225" t="inlineStr">
        <is>
          <t>MAT-ALU-KHUNG-BD</t>
        </is>
      </c>
      <c r="F225" t="inlineStr">
        <is>
          <t>kg</t>
        </is>
      </c>
      <c r="G225" s="20" t="n">
        <v>0.7173030502128513</v>
      </c>
      <c r="H225" s="16">
        <f>'00_TONG_HOP_BAO_GIA'!G78</f>
        <v/>
      </c>
      <c r="I225" s="21">
        <f>G225*H225</f>
        <v/>
      </c>
      <c r="J225" s="16">
        <f>IFERROR(INDEX('06_BANG_GIA_VAT_TU_AP_DUNG'!$E$1:$E$5000, MATCH(E225, '06_BANG_GIA_VAT_TU_AP_DUNG'!$B$1:$B$5000, 0)), 0)</f>
        <v/>
      </c>
      <c r="K225" s="16">
        <f>I225*J225</f>
        <v/>
      </c>
      <c r="L225" t="inlineStr">
        <is>
          <t>Khung bao 950x950mm (cổ 900x900mm)</t>
        </is>
      </c>
    </row>
    <row r="226">
      <c r="A226" t="inlineStr">
        <is>
          <t>SW-DIFF-077-BLADE</t>
        </is>
      </c>
      <c r="B226" t="inlineStr">
        <is>
          <t>SW-DIFF-077</t>
        </is>
      </c>
      <c r="C226" t="inlineStr">
        <is>
          <t>Nan nhôm bầu dục (44 nan)</t>
        </is>
      </c>
      <c r="D226" t="inlineStr">
        <is>
          <t>NHÔM_ĐỊNH_HÌNH</t>
        </is>
      </c>
      <c r="E226" t="inlineStr">
        <is>
          <t>MAT-ALU-NAN-BD</t>
        </is>
      </c>
      <c r="F226" t="inlineStr">
        <is>
          <t>kg</t>
        </is>
      </c>
      <c r="G226" s="20" t="n">
        <v>2.146302300324228</v>
      </c>
      <c r="H226" s="16">
        <f>'00_TONG_HOP_BAO_GIA'!G78</f>
        <v/>
      </c>
      <c r="I226" s="21">
        <f>G226*H226</f>
        <v/>
      </c>
      <c r="J226" s="16">
        <f>IFERROR(INDEX('06_BANG_GIA_VAT_TU_AP_DUNG'!$E$1:$E$5000, MATCH(E226, '06_BANG_GIA_VAT_TU_AP_DUNG'!$B$1:$B$5000, 0)), 0)</f>
        <v/>
      </c>
      <c r="K226" s="16">
        <f>I226*J226</f>
        <v/>
      </c>
      <c r="L226" t="inlineStr">
        <is>
          <t>Nan bầu dục @ 0.058kg/m</t>
        </is>
      </c>
    </row>
    <row r="227">
      <c r="A227" t="inlineStr">
        <is>
          <t>SW-DIFF-077-ACCESSORY</t>
        </is>
      </c>
      <c r="B227" t="inlineStr">
        <is>
          <t>SW-DIFF-077</t>
        </is>
      </c>
      <c r="C227" t="inlineStr">
        <is>
          <t>Phụ kiện lắp ghép / Ke góc cửa gió</t>
        </is>
      </c>
      <c r="D227" t="inlineStr">
        <is>
          <t>PHỤ_KIỆN_CỬA</t>
        </is>
      </c>
      <c r="E227" t="inlineStr">
        <is>
          <t>MAT-DOOR-ACCESSORY</t>
        </is>
      </c>
      <c r="F227" t="inlineStr">
        <is>
          <t>Bộ</t>
        </is>
      </c>
      <c r="G227" s="20" t="n">
        <v>0.1957164549720943</v>
      </c>
      <c r="H227" s="16">
        <f>'00_TONG_HOP_BAO_GIA'!G78</f>
        <v/>
      </c>
      <c r="I227" s="21">
        <f>G227*H227</f>
        <v/>
      </c>
      <c r="J227" s="16">
        <f>IFERROR(INDEX('06_BANG_GIA_VAT_TU_AP_DUNG'!$E$1:$E$5000, MATCH(E227, '06_BANG_GIA_VAT_TU_AP_DUNG'!$B$1:$B$5000, 0)), 0)</f>
        <v/>
      </c>
      <c r="K227" s="16">
        <f>I227*J227</f>
        <v/>
      </c>
      <c r="L227" t="inlineStr">
        <is>
          <t>4 ke góc chìm và vít ghép khung</t>
        </is>
      </c>
    </row>
    <row r="228">
      <c r="A228" t="inlineStr">
        <is>
          <t>SW-DIFF-077-PAINT</t>
        </is>
      </c>
      <c r="B228" t="inlineStr">
        <is>
          <t>SW-DIFF-077</t>
        </is>
      </c>
      <c r="C228" t="inlineStr">
        <is>
          <t>Sơn tĩnh điện tiêu chuẩn Polyester</t>
        </is>
      </c>
      <c r="D228" t="inlineStr">
        <is>
          <t>SƠN_TĨNH_ĐIỆN</t>
        </is>
      </c>
      <c r="E228" t="inlineStr">
        <is>
          <t>MAT-PAINT-POWDER</t>
        </is>
      </c>
      <c r="F228" t="inlineStr">
        <is>
          <t>m2</t>
        </is>
      </c>
      <c r="G228" s="20" t="n">
        <v>0.6239482448992714</v>
      </c>
      <c r="H228" s="16">
        <f>'00_TONG_HOP_BAO_GIA'!G78</f>
        <v/>
      </c>
      <c r="I228" s="21">
        <f>G228*H228</f>
        <v/>
      </c>
      <c r="J228" s="16">
        <f>IFERROR(INDEX('06_BANG_GIA_VAT_TU_AP_DUNG'!$E$1:$E$5000, MATCH(E228, '06_BANG_GIA_VAT_TU_AP_DUNG'!$B$1:$B$5000, 0)), 0)</f>
        <v/>
      </c>
      <c r="K228" s="16">
        <f>I228*J228</f>
        <v/>
      </c>
      <c r="L228" t="inlineStr">
        <is>
          <t>Sơn tĩnh điện hoàn thiện</t>
        </is>
      </c>
    </row>
    <row r="229">
      <c r="A229" t="inlineStr">
        <is>
          <t>SW-DIFF-077-OBD-FRAME</t>
        </is>
      </c>
      <c r="B229" t="inlineStr">
        <is>
          <t>SW-DIFF-077</t>
        </is>
      </c>
      <c r="C229" t="inlineStr">
        <is>
          <t>Khung nhôm van OBD gắn cửa (SOBD)</t>
        </is>
      </c>
      <c r="D229" t="inlineStr">
        <is>
          <t>NHÔM_ĐỊNH_HÌNH</t>
        </is>
      </c>
      <c r="E229" t="inlineStr">
        <is>
          <t>MAT-ALU-KHUNG-OBD</t>
        </is>
      </c>
      <c r="F229" t="inlineStr">
        <is>
          <t>kg</t>
        </is>
      </c>
      <c r="G229" s="20" t="n">
        <v>0.4941495015788214</v>
      </c>
      <c r="H229" s="16">
        <f>'00_TONG_HOP_BAO_GIA'!G78</f>
        <v/>
      </c>
      <c r="I229" s="21">
        <f>G229*H229</f>
        <v/>
      </c>
      <c r="J229" s="16">
        <f>IFERROR(INDEX('06_BANG_GIA_VAT_TU_AP_DUNG'!$E$1:$E$5000, MATCH(E229, '06_BANG_GIA_VAT_TU_AP_DUNG'!$B$1:$B$5000, 0)), 0)</f>
        <v/>
      </c>
      <c r="K229" s="16">
        <f>I229*J229</f>
        <v/>
      </c>
      <c r="L229" t="inlineStr">
        <is>
          <t>Khung OBD 900x900mm</t>
        </is>
      </c>
    </row>
    <row r="230">
      <c r="A230" t="inlineStr">
        <is>
          <t>SW-DIFF-077-OBD-BLADE</t>
        </is>
      </c>
      <c r="B230" t="inlineStr">
        <is>
          <t>SW-DIFF-077</t>
        </is>
      </c>
      <c r="C230" t="inlineStr">
        <is>
          <t>Nan nhôm &amp; thanh truyền van OBD (SOBD)</t>
        </is>
      </c>
      <c r="D230" t="inlineStr">
        <is>
          <t>NHÔM_ĐỊNH_HÌNH</t>
        </is>
      </c>
      <c r="E230" t="inlineStr">
        <is>
          <t>MAT-ALU-NAN-OBD</t>
        </is>
      </c>
      <c r="F230" t="inlineStr">
        <is>
          <t>kg</t>
        </is>
      </c>
      <c r="G230" s="20" t="n">
        <v>1.759234776190424</v>
      </c>
      <c r="H230" s="16">
        <f>'00_TONG_HOP_BAO_GIA'!G78</f>
        <v/>
      </c>
      <c r="I230" s="21">
        <f>G230*H230</f>
        <v/>
      </c>
      <c r="J230" s="16">
        <f>IFERROR(INDEX('06_BANG_GIA_VAT_TU_AP_DUNG'!$E$1:$E$5000, MATCH(E230, '06_BANG_GIA_VAT_TU_AP_DUNG'!$B$1:$B$5000, 0)), 0)</f>
        <v/>
      </c>
      <c r="K230" s="16">
        <f>I230*J230</f>
        <v/>
      </c>
      <c r="L230" t="inlineStr">
        <is>
          <t>Nan OBD đối xứng &amp; thanh liên kết</t>
        </is>
      </c>
    </row>
    <row r="231">
      <c r="A231" t="inlineStr">
        <is>
          <t>SW-DIFF-077-OBD-ACC</t>
        </is>
      </c>
      <c r="B231" t="inlineStr">
        <is>
          <t>SW-DIFF-077</t>
        </is>
      </c>
      <c r="C231" t="inlineStr">
        <is>
          <t>Bánh răng nhựa &amp; phụ kiện van OBD</t>
        </is>
      </c>
      <c r="D231" t="inlineStr">
        <is>
          <t>PHỤ_KIỆN_CỬA</t>
        </is>
      </c>
      <c r="E231" t="inlineStr">
        <is>
          <t>MAT-DOOR-ACCESSORY</t>
        </is>
      </c>
      <c r="F231" t="inlineStr">
        <is>
          <t>Bộ</t>
        </is>
      </c>
      <c r="G231" s="20" t="n">
        <v>1.865567125059959</v>
      </c>
      <c r="H231" s="16">
        <f>'00_TONG_HOP_BAO_GIA'!G78</f>
        <v/>
      </c>
      <c r="I231" s="21">
        <f>G231*H231</f>
        <v/>
      </c>
      <c r="J231" s="16">
        <f>IFERROR(INDEX('06_BANG_GIA_VAT_TU_AP_DUNG'!$E$1:$E$5000, MATCH(E231, '06_BANG_GIA_VAT_TU_AP_DUNG'!$B$1:$B$5000, 0)), 0)</f>
        <v/>
      </c>
      <c r="K231" s="16">
        <f>I231*J231</f>
        <v/>
      </c>
      <c r="L231" t="inlineStr">
        <is>
          <t>Cơ cấu bánh răng đóng mở OBD</t>
        </is>
      </c>
    </row>
    <row r="232">
      <c r="A232" t="inlineStr">
        <is>
          <t>SW-DIFF-078-FRAME</t>
        </is>
      </c>
      <c r="B232" t="inlineStr">
        <is>
          <t>SW-DIFF-078</t>
        </is>
      </c>
      <c r="C232" t="inlineStr">
        <is>
          <t>Khung nhôm định hình (1 lớp BD)</t>
        </is>
      </c>
      <c r="D232" t="inlineStr">
        <is>
          <t>NHÔM_ĐỊNH_HÌNH</t>
        </is>
      </c>
      <c r="E232" t="inlineStr">
        <is>
          <t>MAT-ALU-KHUNG-BD</t>
        </is>
      </c>
      <c r="F232" t="inlineStr">
        <is>
          <t>kg</t>
        </is>
      </c>
      <c r="G232" s="20" t="n">
        <v>0.5661770981070493</v>
      </c>
      <c r="H232" s="16">
        <f>'00_TONG_HOP_BAO_GIA'!G79</f>
        <v/>
      </c>
      <c r="I232" s="21">
        <f>G232*H232</f>
        <v/>
      </c>
      <c r="J232" s="16">
        <f>IFERROR(INDEX('06_BANG_GIA_VAT_TU_AP_DUNG'!$E$1:$E$5000, MATCH(E232, '06_BANG_GIA_VAT_TU_AP_DUNG'!$B$1:$B$5000, 0)), 0)</f>
        <v/>
      </c>
      <c r="K232" s="16">
        <f>I232*J232</f>
        <v/>
      </c>
      <c r="L232" t="inlineStr">
        <is>
          <t>Khung bao 1000x550mm (cổ 950x500mm)</t>
        </is>
      </c>
    </row>
    <row r="233">
      <c r="A233" t="inlineStr">
        <is>
          <t>SW-DIFF-078-BLADE</t>
        </is>
      </c>
      <c r="B233" t="inlineStr">
        <is>
          <t>SW-DIFF-078</t>
        </is>
      </c>
      <c r="C233" t="inlineStr">
        <is>
          <t>Nan nhôm bầu dục (24 nan)</t>
        </is>
      </c>
      <c r="D233" t="inlineStr">
        <is>
          <t>NHÔM_ĐỊNH_HÌNH</t>
        </is>
      </c>
      <c r="E233" t="inlineStr">
        <is>
          <t>MAT-ALU-NAN-BD</t>
        </is>
      </c>
      <c r="F233" t="inlineStr">
        <is>
          <t>kg</t>
        </is>
      </c>
      <c r="G233" s="20" t="n">
        <v>1.23468435774532</v>
      </c>
      <c r="H233" s="16">
        <f>'00_TONG_HOP_BAO_GIA'!G79</f>
        <v/>
      </c>
      <c r="I233" s="21">
        <f>G233*H233</f>
        <v/>
      </c>
      <c r="J233" s="16">
        <f>IFERROR(INDEX('06_BANG_GIA_VAT_TU_AP_DUNG'!$E$1:$E$5000, MATCH(E233, '06_BANG_GIA_VAT_TU_AP_DUNG'!$B$1:$B$5000, 0)), 0)</f>
        <v/>
      </c>
      <c r="K233" s="16">
        <f>I233*J233</f>
        <v/>
      </c>
      <c r="L233" t="inlineStr">
        <is>
          <t>Nan bầu dục @ 0.058kg/m</t>
        </is>
      </c>
    </row>
    <row r="234">
      <c r="A234" t="inlineStr">
        <is>
          <t>SW-DIFF-078-ACCESSORY</t>
        </is>
      </c>
      <c r="B234" t="inlineStr">
        <is>
          <t>SW-DIFF-078</t>
        </is>
      </c>
      <c r="C234" t="inlineStr">
        <is>
          <t>Phụ kiện lắp ghép / Ke góc cửa gió</t>
        </is>
      </c>
      <c r="D234" t="inlineStr">
        <is>
          <t>PHỤ_KIỆN_CỬA</t>
        </is>
      </c>
      <c r="E234" t="inlineStr">
        <is>
          <t>MAT-DOOR-ACCESSORY</t>
        </is>
      </c>
      <c r="F234" t="inlineStr">
        <is>
          <t>Bộ</t>
        </is>
      </c>
      <c r="G234" s="20" t="n">
        <v>0.1066623873478716</v>
      </c>
      <c r="H234" s="16">
        <f>'00_TONG_HOP_BAO_GIA'!G79</f>
        <v/>
      </c>
      <c r="I234" s="21">
        <f>G234*H234</f>
        <v/>
      </c>
      <c r="J234" s="16">
        <f>IFERROR(INDEX('06_BANG_GIA_VAT_TU_AP_DUNG'!$E$1:$E$5000, MATCH(E234, '06_BANG_GIA_VAT_TU_AP_DUNG'!$B$1:$B$5000, 0)), 0)</f>
        <v/>
      </c>
      <c r="K234" s="16">
        <f>I234*J234</f>
        <v/>
      </c>
      <c r="L234" t="inlineStr">
        <is>
          <t>4 ke góc chìm và vít ghép khung</t>
        </is>
      </c>
    </row>
    <row r="235">
      <c r="A235" t="inlineStr">
        <is>
          <t>SW-DIFF-078-PAINT</t>
        </is>
      </c>
      <c r="B235" t="inlineStr">
        <is>
          <t>SW-DIFF-078</t>
        </is>
      </c>
      <c r="C235" t="inlineStr">
        <is>
          <t>Sơn tĩnh điện tiêu chuẩn Polyester</t>
        </is>
      </c>
      <c r="D235" t="inlineStr">
        <is>
          <t>SƠN_TĨNH_ĐIỆN</t>
        </is>
      </c>
      <c r="E235" t="inlineStr">
        <is>
          <t>MAT-PAINT-POWDER</t>
        </is>
      </c>
      <c r="F235" t="inlineStr">
        <is>
          <t>m2</t>
        </is>
      </c>
      <c r="G235" s="20" t="n">
        <v>0.3932704964096817</v>
      </c>
      <c r="H235" s="16">
        <f>'00_TONG_HOP_BAO_GIA'!G79</f>
        <v/>
      </c>
      <c r="I235" s="21">
        <f>G235*H235</f>
        <v/>
      </c>
      <c r="J235" s="16">
        <f>IFERROR(INDEX('06_BANG_GIA_VAT_TU_AP_DUNG'!$E$1:$E$5000, MATCH(E235, '06_BANG_GIA_VAT_TU_AP_DUNG'!$B$1:$B$5000, 0)), 0)</f>
        <v/>
      </c>
      <c r="K235" s="16">
        <f>I235*J235</f>
        <v/>
      </c>
      <c r="L235" t="inlineStr">
        <is>
          <t>Sơn tĩnh điện hoàn thiện</t>
        </is>
      </c>
    </row>
    <row r="236">
      <c r="A236" t="inlineStr">
        <is>
          <t>SW-DIFF-078-OBD-FRAME</t>
        </is>
      </c>
      <c r="B236" t="inlineStr">
        <is>
          <t>SW-DIFF-078</t>
        </is>
      </c>
      <c r="C236" t="inlineStr">
        <is>
          <t>Khung nhôm van OBD gắn cửa (SOBD)</t>
        </is>
      </c>
      <c r="D236" t="inlineStr">
        <is>
          <t>NHÔM_ĐỊNH_HÌNH</t>
        </is>
      </c>
      <c r="E236" t="inlineStr">
        <is>
          <t>MAT-ALU-KHUNG-OBD</t>
        </is>
      </c>
      <c r="F236" t="inlineStr">
        <is>
          <t>kg</t>
        </is>
      </c>
      <c r="G236" s="20" t="n">
        <v>0.3984667821333089</v>
      </c>
      <c r="H236" s="16">
        <f>'00_TONG_HOP_BAO_GIA'!G79</f>
        <v/>
      </c>
      <c r="I236" s="21">
        <f>G236*H236</f>
        <v/>
      </c>
      <c r="J236" s="16">
        <f>IFERROR(INDEX('06_BANG_GIA_VAT_TU_AP_DUNG'!$E$1:$E$5000, MATCH(E236, '06_BANG_GIA_VAT_TU_AP_DUNG'!$B$1:$B$5000, 0)), 0)</f>
        <v/>
      </c>
      <c r="K236" s="16">
        <f>I236*J236</f>
        <v/>
      </c>
      <c r="L236" t="inlineStr">
        <is>
          <t>Khung OBD 950x500mm</t>
        </is>
      </c>
    </row>
    <row r="237">
      <c r="A237" t="inlineStr">
        <is>
          <t>SW-DIFF-078-OBD-BLADE</t>
        </is>
      </c>
      <c r="B237" t="inlineStr">
        <is>
          <t>SW-DIFF-078</t>
        </is>
      </c>
      <c r="C237" t="inlineStr">
        <is>
          <t>Nan nhôm &amp; thanh truyền van OBD (SOBD)</t>
        </is>
      </c>
      <c r="D237" t="inlineStr">
        <is>
          <t>NHÔM_ĐỊNH_HÌNH</t>
        </is>
      </c>
      <c r="E237" t="inlineStr">
        <is>
          <t>MAT-ALU-NAN-OBD</t>
        </is>
      </c>
      <c r="F237" t="inlineStr">
        <is>
          <t>kg</t>
        </is>
      </c>
      <c r="G237" s="20" t="n">
        <v>1.032691627637068</v>
      </c>
      <c r="H237" s="16">
        <f>'00_TONG_HOP_BAO_GIA'!G79</f>
        <v/>
      </c>
      <c r="I237" s="21">
        <f>G237*H237</f>
        <v/>
      </c>
      <c r="J237" s="16">
        <f>IFERROR(INDEX('06_BANG_GIA_VAT_TU_AP_DUNG'!$E$1:$E$5000, MATCH(E237, '06_BANG_GIA_VAT_TU_AP_DUNG'!$B$1:$B$5000, 0)), 0)</f>
        <v/>
      </c>
      <c r="K237" s="16">
        <f>I237*J237</f>
        <v/>
      </c>
      <c r="L237" t="inlineStr">
        <is>
          <t>Nan OBD đối xứng &amp; thanh liên kết</t>
        </is>
      </c>
    </row>
    <row r="238">
      <c r="A238" t="inlineStr">
        <is>
          <t>SW-DIFF-078-OBD-ACC</t>
        </is>
      </c>
      <c r="B238" t="inlineStr">
        <is>
          <t>SW-DIFF-078</t>
        </is>
      </c>
      <c r="C238" t="inlineStr">
        <is>
          <t>Bánh răng nhựa &amp; phụ kiện van OBD</t>
        </is>
      </c>
      <c r="D238" t="inlineStr">
        <is>
          <t>PHỤ_KIỆN_CỬA</t>
        </is>
      </c>
      <c r="E238" t="inlineStr">
        <is>
          <t>MAT-DOOR-ACCESSORY</t>
        </is>
      </c>
      <c r="F238" t="inlineStr">
        <is>
          <t>Bộ</t>
        </is>
      </c>
      <c r="G238" s="20" t="n">
        <v>1.957811210728607</v>
      </c>
      <c r="H238" s="16">
        <f>'00_TONG_HOP_BAO_GIA'!G79</f>
        <v/>
      </c>
      <c r="I238" s="21">
        <f>G238*H238</f>
        <v/>
      </c>
      <c r="J238" s="16">
        <f>IFERROR(INDEX('06_BANG_GIA_VAT_TU_AP_DUNG'!$E$1:$E$5000, MATCH(E238, '06_BANG_GIA_VAT_TU_AP_DUNG'!$B$1:$B$5000, 0)), 0)</f>
        <v/>
      </c>
      <c r="K238" s="16">
        <f>I238*J238</f>
        <v/>
      </c>
      <c r="L238" t="inlineStr">
        <is>
          <t>Cơ cấu bánh răng đóng mở OBD</t>
        </is>
      </c>
    </row>
    <row r="239">
      <c r="A239" t="inlineStr">
        <is>
          <t>SW-DIFF-079-FRAME</t>
        </is>
      </c>
      <c r="B239" t="inlineStr">
        <is>
          <t>SW-DIFF-079</t>
        </is>
      </c>
      <c r="C239" t="inlineStr">
        <is>
          <t>Khung nhôm định hình (1 lớp BD)</t>
        </is>
      </c>
      <c r="D239" t="inlineStr">
        <is>
          <t>NHÔM_ĐỊNH_HÌNH</t>
        </is>
      </c>
      <c r="E239" t="inlineStr">
        <is>
          <t>MAT-ALU-KHUNG-BD</t>
        </is>
      </c>
      <c r="F239" t="inlineStr">
        <is>
          <t>kg</t>
        </is>
      </c>
      <c r="G239" s="20" t="n">
        <v>0.1522746013870727</v>
      </c>
      <c r="H239" s="16">
        <f>'00_TONG_HOP_BAO_GIA'!G80</f>
        <v/>
      </c>
      <c r="I239" s="21">
        <f>G239*H239</f>
        <v/>
      </c>
      <c r="J239" s="16">
        <f>IFERROR(INDEX('06_BANG_GIA_VAT_TU_AP_DUNG'!$E$1:$E$5000, MATCH(E239, '06_BANG_GIA_VAT_TU_AP_DUNG'!$B$1:$B$5000, 0)), 0)</f>
        <v/>
      </c>
      <c r="K239" s="16">
        <f>I239*J239</f>
        <v/>
      </c>
      <c r="L239" t="inlineStr">
        <is>
          <t>Khung bao 200x200mm (cổ 150x150mm)</t>
        </is>
      </c>
    </row>
    <row r="240">
      <c r="A240" t="inlineStr">
        <is>
          <t>SW-DIFF-079-BLADE</t>
        </is>
      </c>
      <c r="B240" t="inlineStr">
        <is>
          <t>SW-DIFF-079</t>
        </is>
      </c>
      <c r="C240" t="inlineStr">
        <is>
          <t>Nan nhôm bầu dục (7 nan)</t>
        </is>
      </c>
      <c r="D240" t="inlineStr">
        <is>
          <t>NHÔM_ĐỊNH_HÌNH</t>
        </is>
      </c>
      <c r="E240" t="inlineStr">
        <is>
          <t>MAT-ALU-NAN-BD</t>
        </is>
      </c>
      <c r="F240" t="inlineStr">
        <is>
          <t>kg</t>
        </is>
      </c>
      <c r="G240" s="20" t="n">
        <v>0.0573856635177768</v>
      </c>
      <c r="H240" s="16">
        <f>'00_TONG_HOP_BAO_GIA'!G80</f>
        <v/>
      </c>
      <c r="I240" s="21">
        <f>G240*H240</f>
        <v/>
      </c>
      <c r="J240" s="16">
        <f>IFERROR(INDEX('06_BANG_GIA_VAT_TU_AP_DUNG'!$E$1:$E$5000, MATCH(E240, '06_BANG_GIA_VAT_TU_AP_DUNG'!$B$1:$B$5000, 0)), 0)</f>
        <v/>
      </c>
      <c r="K240" s="16">
        <f>I240*J240</f>
        <v/>
      </c>
      <c r="L240" t="inlineStr">
        <is>
          <t>Nan bầu dục @ 0.058kg/m</t>
        </is>
      </c>
    </row>
    <row r="241">
      <c r="A241" t="inlineStr">
        <is>
          <t>SW-DIFF-079-ACCESSORY</t>
        </is>
      </c>
      <c r="B241" t="inlineStr">
        <is>
          <t>SW-DIFF-079</t>
        </is>
      </c>
      <c r="C241" t="inlineStr">
        <is>
          <t>Phụ kiện lắp ghép / Ke góc cửa gió</t>
        </is>
      </c>
      <c r="D241" t="inlineStr">
        <is>
          <t>PHỤ_KIỆN_CỬA</t>
        </is>
      </c>
      <c r="E241" t="inlineStr">
        <is>
          <t>MAT-DOOR-ACCESSORY</t>
        </is>
      </c>
      <c r="F241" t="inlineStr">
        <is>
          <t>Bộ</t>
        </is>
      </c>
      <c r="G241" s="20" t="n">
        <v>0.0313972136028296</v>
      </c>
      <c r="H241" s="16">
        <f>'00_TONG_HOP_BAO_GIA'!G80</f>
        <v/>
      </c>
      <c r="I241" s="21">
        <f>G241*H241</f>
        <v/>
      </c>
      <c r="J241" s="16">
        <f>IFERROR(INDEX('06_BANG_GIA_VAT_TU_AP_DUNG'!$E$1:$E$5000, MATCH(E241, '06_BANG_GIA_VAT_TU_AP_DUNG'!$B$1:$B$5000, 0)), 0)</f>
        <v/>
      </c>
      <c r="K241" s="16">
        <f>I241*J241</f>
        <v/>
      </c>
      <c r="L241" t="inlineStr">
        <is>
          <t>4 ke góc chìm và vít ghép khung</t>
        </is>
      </c>
    </row>
    <row r="242">
      <c r="A242" t="inlineStr">
        <is>
          <t>SW-DIFF-079-PAINT</t>
        </is>
      </c>
      <c r="B242" t="inlineStr">
        <is>
          <t>SW-DIFF-079</t>
        </is>
      </c>
      <c r="C242" t="inlineStr">
        <is>
          <t>Sơn tĩnh điện tiêu chuẩn Polyester</t>
        </is>
      </c>
      <c r="D242" t="inlineStr">
        <is>
          <t>SƠN_TĨNH_ĐIỆN</t>
        </is>
      </c>
      <c r="E242" t="inlineStr">
        <is>
          <t>MAT-PAINT-POWDER</t>
        </is>
      </c>
      <c r="F242" t="inlineStr">
        <is>
          <t>m2</t>
        </is>
      </c>
      <c r="G242" s="20" t="n">
        <v>0.04324900213256998</v>
      </c>
      <c r="H242" s="16">
        <f>'00_TONG_HOP_BAO_GIA'!G80</f>
        <v/>
      </c>
      <c r="I242" s="21">
        <f>G242*H242</f>
        <v/>
      </c>
      <c r="J242" s="16">
        <f>IFERROR(INDEX('06_BANG_GIA_VAT_TU_AP_DUNG'!$E$1:$E$5000, MATCH(E242, '06_BANG_GIA_VAT_TU_AP_DUNG'!$B$1:$B$5000, 0)), 0)</f>
        <v/>
      </c>
      <c r="K242" s="16">
        <f>I242*J242</f>
        <v/>
      </c>
      <c r="L242" t="inlineStr">
        <is>
          <t>Sơn tĩnh điện hoàn thiện</t>
        </is>
      </c>
    </row>
    <row r="243">
      <c r="A243" t="inlineStr">
        <is>
          <t>SW-DIFF-081-FRAME</t>
        </is>
      </c>
      <c r="B243" t="inlineStr">
        <is>
          <t>SW-DIFF-081</t>
        </is>
      </c>
      <c r="C243" t="inlineStr">
        <is>
          <t>Khung nhôm định hình (1 lớp BD)</t>
        </is>
      </c>
      <c r="D243" t="inlineStr">
        <is>
          <t>NHÔM_ĐỊNH_HÌNH</t>
        </is>
      </c>
      <c r="E243" t="inlineStr">
        <is>
          <t>MAT-ALU-KHUNG-BD</t>
        </is>
      </c>
      <c r="F243" t="inlineStr">
        <is>
          <t>kg</t>
        </is>
      </c>
      <c r="G243" s="20" t="n">
        <v>0.4819577408134456</v>
      </c>
      <c r="H243" s="16">
        <f>'00_TONG_HOP_BAO_GIA'!G82</f>
        <v/>
      </c>
      <c r="I243" s="21">
        <f>G243*H243</f>
        <v/>
      </c>
      <c r="J243" s="16">
        <f>IFERROR(INDEX('06_BANG_GIA_VAT_TU_AP_DUNG'!$E$1:$E$5000, MATCH(E243, '06_BANG_GIA_VAT_TU_AP_DUNG'!$B$1:$B$5000, 0)), 0)</f>
        <v/>
      </c>
      <c r="K243" s="16">
        <f>I243*J243</f>
        <v/>
      </c>
      <c r="L243" t="inlineStr">
        <is>
          <t>Khung bao 1000x350mm (cổ 950x300mm)</t>
        </is>
      </c>
    </row>
    <row r="244">
      <c r="A244" t="inlineStr">
        <is>
          <t>SW-DIFF-081-BLADE</t>
        </is>
      </c>
      <c r="B244" t="inlineStr">
        <is>
          <t>SW-DIFF-081</t>
        </is>
      </c>
      <c r="C244" t="inlineStr">
        <is>
          <t>Nan nhôm bầu dục (14 nan)</t>
        </is>
      </c>
      <c r="D244" t="inlineStr">
        <is>
          <t>NHÔM_ĐỊNH_HÌNH</t>
        </is>
      </c>
      <c r="E244" t="inlineStr">
        <is>
          <t>MAT-ALU-NAN-BD</t>
        </is>
      </c>
      <c r="F244" t="inlineStr">
        <is>
          <t>kg</t>
        </is>
      </c>
      <c r="G244" s="20" t="n">
        <v>0.7193928043024225</v>
      </c>
      <c r="H244" s="16">
        <f>'00_TONG_HOP_BAO_GIA'!G82</f>
        <v/>
      </c>
      <c r="I244" s="21">
        <f>G244*H244</f>
        <v/>
      </c>
      <c r="J244" s="16">
        <f>IFERROR(INDEX('06_BANG_GIA_VAT_TU_AP_DUNG'!$E$1:$E$5000, MATCH(E244, '06_BANG_GIA_VAT_TU_AP_DUNG'!$B$1:$B$5000, 0)), 0)</f>
        <v/>
      </c>
      <c r="K244" s="16">
        <f>I244*J244</f>
        <v/>
      </c>
      <c r="L244" t="inlineStr">
        <is>
          <t>Nan bầu dục @ 0.058kg/m</t>
        </is>
      </c>
    </row>
    <row r="245">
      <c r="A245" t="inlineStr">
        <is>
          <t>SW-DIFF-081-ACCESSORY</t>
        </is>
      </c>
      <c r="B245" t="inlineStr">
        <is>
          <t>SW-DIFF-081</t>
        </is>
      </c>
      <c r="C245" t="inlineStr">
        <is>
          <t>Phụ kiện lắp ghép / Ke góc cửa gió</t>
        </is>
      </c>
      <c r="D245" t="inlineStr">
        <is>
          <t>PHỤ_KIỆN_CỬA</t>
        </is>
      </c>
      <c r="E245" t="inlineStr">
        <is>
          <t>MAT-DOOR-ACCESSORY</t>
        </is>
      </c>
      <c r="F245" t="inlineStr">
        <is>
          <t>Bộ</t>
        </is>
      </c>
      <c r="G245" s="20" t="n">
        <v>0.06214718236804956</v>
      </c>
      <c r="H245" s="16">
        <f>'00_TONG_HOP_BAO_GIA'!G82</f>
        <v/>
      </c>
      <c r="I245" s="21">
        <f>G245*H245</f>
        <v/>
      </c>
      <c r="J245" s="16">
        <f>IFERROR(INDEX('06_BANG_GIA_VAT_TU_AP_DUNG'!$E$1:$E$5000, MATCH(E245, '06_BANG_GIA_VAT_TU_AP_DUNG'!$B$1:$B$5000, 0)), 0)</f>
        <v/>
      </c>
      <c r="K245" s="16">
        <f>I245*J245</f>
        <v/>
      </c>
      <c r="L245" t="inlineStr">
        <is>
          <t>4 ke góc chìm và vít ghép khung</t>
        </is>
      </c>
    </row>
    <row r="246">
      <c r="A246" t="inlineStr">
        <is>
          <t>SW-DIFF-081-PAINT</t>
        </is>
      </c>
      <c r="B246" t="inlineStr">
        <is>
          <t>SW-DIFF-081</t>
        </is>
      </c>
      <c r="C246" t="inlineStr">
        <is>
          <t>Sơn tĩnh điện tiêu chuẩn Polyester</t>
        </is>
      </c>
      <c r="D246" t="inlineStr">
        <is>
          <t>SƠN_TĨNH_ĐIỆN</t>
        </is>
      </c>
      <c r="E246" t="inlineStr">
        <is>
          <t>MAT-PAINT-POWDER</t>
        </is>
      </c>
      <c r="F246" t="inlineStr">
        <is>
          <t>m2</t>
        </is>
      </c>
      <c r="G246" s="20" t="n">
        <v>0.2626684608725564</v>
      </c>
      <c r="H246" s="16">
        <f>'00_TONG_HOP_BAO_GIA'!G82</f>
        <v/>
      </c>
      <c r="I246" s="21">
        <f>G246*H246</f>
        <v/>
      </c>
      <c r="J246" s="16">
        <f>IFERROR(INDEX('06_BANG_GIA_VAT_TU_AP_DUNG'!$E$1:$E$5000, MATCH(E246, '06_BANG_GIA_VAT_TU_AP_DUNG'!$B$1:$B$5000, 0)), 0)</f>
        <v/>
      </c>
      <c r="K246" s="16">
        <f>I246*J246</f>
        <v/>
      </c>
      <c r="L246" t="inlineStr">
        <is>
          <t>Sơn tĩnh điện hoàn thiện</t>
        </is>
      </c>
    </row>
    <row r="247">
      <c r="A247" t="inlineStr">
        <is>
          <t>SW-DIFF-083-FRAME</t>
        </is>
      </c>
      <c r="B247" t="inlineStr">
        <is>
          <t>SW-DIFF-083</t>
        </is>
      </c>
      <c r="C247" t="inlineStr">
        <is>
          <t>Khung nhôm định hình Louver (SWL)</t>
        </is>
      </c>
      <c r="D247" t="inlineStr">
        <is>
          <t>NHÔM_ĐỊNH_HÌNH</t>
        </is>
      </c>
      <c r="E247" t="inlineStr">
        <is>
          <t>MAT-ALU-KHUNG-Z-2-LOP</t>
        </is>
      </c>
      <c r="F247" t="inlineStr">
        <is>
          <t>kg</t>
        </is>
      </c>
      <c r="G247" s="20" t="n">
        <v>2.09940881165095</v>
      </c>
      <c r="H247" s="16">
        <f>'00_TONG_HOP_BAO_GIA'!G84</f>
        <v/>
      </c>
      <c r="I247" s="21">
        <f>G247*H247</f>
        <v/>
      </c>
      <c r="J247" s="16">
        <f>IFERROR(INDEX('06_BANG_GIA_VAT_TU_AP_DUNG'!$E$1:$E$5000, MATCH(E247, '06_BANG_GIA_VAT_TU_AP_DUNG'!$B$1:$B$5000, 0)), 0)</f>
        <v/>
      </c>
      <c r="K247" s="16">
        <f>I247*J247</f>
        <v/>
      </c>
      <c r="L247" t="inlineStr">
        <is>
          <t>Khung Louver phủ bì 3000x1500mm</t>
        </is>
      </c>
    </row>
    <row r="248">
      <c r="A248" t="inlineStr">
        <is>
          <t>SW-DIFF-083-BLADE</t>
        </is>
      </c>
      <c r="B248" t="inlineStr">
        <is>
          <t>SW-DIFF-083</t>
        </is>
      </c>
      <c r="C248" t="inlineStr">
        <is>
          <t>Nan Z Louver &amp; thanh tăng cứng (32 nan)</t>
        </is>
      </c>
      <c r="D248" t="inlineStr">
        <is>
          <t>NHÔM_ĐỊNH_HÌNH</t>
        </is>
      </c>
      <c r="E248" t="inlineStr">
        <is>
          <t>MAT-ALU-NAN-Z-DAY</t>
        </is>
      </c>
      <c r="F248" t="inlineStr">
        <is>
          <t>kg</t>
        </is>
      </c>
      <c r="G248" s="20" t="n">
        <v>21.25033313915917</v>
      </c>
      <c r="H248" s="16">
        <f>'00_TONG_HOP_BAO_GIA'!G84</f>
        <v/>
      </c>
      <c r="I248" s="21">
        <f>G248*H248</f>
        <v/>
      </c>
      <c r="J248" s="16">
        <f>IFERROR(INDEX('06_BANG_GIA_VAT_TU_AP_DUNG'!$E$1:$E$5000, MATCH(E248, '06_BANG_GIA_VAT_TU_AP_DUNG'!$B$1:$B$5000, 0)), 0)</f>
        <v/>
      </c>
      <c r="K248" s="16">
        <f>I248*J248</f>
        <v/>
      </c>
      <c r="L248" t="inlineStr">
        <is>
          <t>32 nan Z dày @ 0.217kg/m + thanh giằng</t>
        </is>
      </c>
    </row>
    <row r="249">
      <c r="A249" t="inlineStr">
        <is>
          <t>SW-DIFF-083-ACCESSORY</t>
        </is>
      </c>
      <c r="B249" t="inlineStr">
        <is>
          <t>SW-DIFF-083</t>
        </is>
      </c>
      <c r="C249" t="inlineStr">
        <is>
          <t>Phụ kiện lắp ghép / Ke góc cửa gió</t>
        </is>
      </c>
      <c r="D249" t="inlineStr">
        <is>
          <t>PHỤ_KIỆN_CỬA</t>
        </is>
      </c>
      <c r="E249" t="inlineStr">
        <is>
          <t>MAT-DOOR-ACCESSORY</t>
        </is>
      </c>
      <c r="F249" t="inlineStr">
        <is>
          <t>Bộ</t>
        </is>
      </c>
      <c r="G249" s="20" t="n">
        <v>0.2845921329512505</v>
      </c>
      <c r="H249" s="16">
        <f>'00_TONG_HOP_BAO_GIA'!G84</f>
        <v/>
      </c>
      <c r="I249" s="21">
        <f>G249*H249</f>
        <v/>
      </c>
      <c r="J249" s="16">
        <f>IFERROR(INDEX('06_BANG_GIA_VAT_TU_AP_DUNG'!$E$1:$E$5000, MATCH(E249, '06_BANG_GIA_VAT_TU_AP_DUNG'!$B$1:$B$5000, 0)), 0)</f>
        <v/>
      </c>
      <c r="K249" s="16">
        <f>I249*J249</f>
        <v/>
      </c>
      <c r="L249" t="inlineStr">
        <is>
          <t>Ke góc và vít ghép khung Louver</t>
        </is>
      </c>
    </row>
    <row r="250">
      <c r="A250" t="inlineStr">
        <is>
          <t>SW-DIFF-083-PAINT</t>
        </is>
      </c>
      <c r="B250" t="inlineStr">
        <is>
          <t>SW-DIFF-083</t>
        </is>
      </c>
      <c r="C250" t="inlineStr">
        <is>
          <t>Sơn tĩnh điện tiêu chuẩn Polyester</t>
        </is>
      </c>
      <c r="D250" t="inlineStr">
        <is>
          <t>SƠN_TĨNH_ĐIỆN</t>
        </is>
      </c>
      <c r="E250" t="inlineStr">
        <is>
          <t>MAT-PAINT-POWDER</t>
        </is>
      </c>
      <c r="F250" t="inlineStr">
        <is>
          <t>m2</t>
        </is>
      </c>
      <c r="G250" s="20" t="n">
        <v>4.699612187490476</v>
      </c>
      <c r="H250" s="16">
        <f>'00_TONG_HOP_BAO_GIA'!G84</f>
        <v/>
      </c>
      <c r="I250" s="21">
        <f>G250*H250</f>
        <v/>
      </c>
      <c r="J250" s="16">
        <f>IFERROR(INDEX('06_BANG_GIA_VAT_TU_AP_DUNG'!$E$1:$E$5000, MATCH(E250, '06_BANG_GIA_VAT_TU_AP_DUNG'!$B$1:$B$5000, 0)), 0)</f>
        <v/>
      </c>
      <c r="K250" s="16">
        <f>I250*J250</f>
        <v/>
      </c>
      <c r="L250" t="inlineStr">
        <is>
          <t>Sơn tĩnh điện khung và nan Louver</t>
        </is>
      </c>
    </row>
    <row r="251">
      <c r="A251" t="inlineStr">
        <is>
          <t>SW-DIFF-083-MESH</t>
        </is>
      </c>
      <c r="B251" t="inlineStr">
        <is>
          <t>SW-DIFF-083</t>
        </is>
      </c>
      <c r="C251" t="inlineStr">
        <is>
          <t>Lưới chắn côn trùng Inox 304 (LCCT)</t>
        </is>
      </c>
      <c r="D251" t="inlineStr">
        <is>
          <t>PHỤ_KIỆN_CỬA</t>
        </is>
      </c>
      <c r="E251" t="inlineStr">
        <is>
          <t>MAT-MESH-INOX-304</t>
        </is>
      </c>
      <c r="F251" t="inlineStr">
        <is>
          <t>m2</t>
        </is>
      </c>
      <c r="G251" s="20" t="n">
        <v>2.686754551161331</v>
      </c>
      <c r="H251" s="16">
        <f>'00_TONG_HOP_BAO_GIA'!G84</f>
        <v/>
      </c>
      <c r="I251" s="21">
        <f>G251*H251</f>
        <v/>
      </c>
      <c r="J251" s="16">
        <f>IFERROR(INDEX('06_BANG_GIA_VAT_TU_AP_DUNG'!$E$1:$E$5000, MATCH(E251, '06_BANG_GIA_VAT_TU_AP_DUNG'!$B$1:$B$5000, 0)), 0)</f>
        <v/>
      </c>
      <c r="K251" s="16">
        <f>I251*J251</f>
        <v/>
      </c>
      <c r="L251" t="inlineStr">
        <is>
          <t>Lưới chắn côn trùng cổ 2950x1450mm</t>
        </is>
      </c>
    </row>
    <row r="252">
      <c r="A252" t="inlineStr">
        <is>
          <t>SW-DIFF-084-MESH</t>
        </is>
      </c>
      <c r="B252" t="inlineStr">
        <is>
          <t>SW-DIFF-084</t>
        </is>
      </c>
      <c r="C252" t="inlineStr">
        <is>
          <t>Lưới chắn côn trùng Inox 304 (LCCT)</t>
        </is>
      </c>
      <c r="D252" t="inlineStr">
        <is>
          <t>PHỤ_KIỆN_CỬA</t>
        </is>
      </c>
      <c r="E252" t="inlineStr">
        <is>
          <t>MAT-MESH-INOX-304</t>
        </is>
      </c>
      <c r="F252" t="inlineStr">
        <is>
          <t>m2</t>
        </is>
      </c>
      <c r="G252" s="20" t="n">
        <v>0.8369951872776732</v>
      </c>
      <c r="H252" s="16">
        <f>'00_TONG_HOP_BAO_GIA'!G85</f>
        <v/>
      </c>
      <c r="I252" s="21">
        <f>G252*H252</f>
        <v/>
      </c>
      <c r="J252" s="16">
        <f>IFERROR(INDEX('06_BANG_GIA_VAT_TU_AP_DUNG'!$E$1:$E$5000, MATCH(E252, '06_BANG_GIA_VAT_TU_AP_DUNG'!$B$1:$B$5000, 0)), 0)</f>
        <v/>
      </c>
      <c r="K252" s="16">
        <f>I252*J252</f>
        <v/>
      </c>
      <c r="L252" t="inlineStr">
        <is>
          <t>Lưới chắn côn trùng 1000x1000mm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SW-DAMPER-004-BODY</t>
        </is>
      </c>
      <c r="B2" t="inlineStr">
        <is>
          <t>SW-DAMPER-004</t>
        </is>
      </c>
      <c r="C2" t="inlineStr">
        <is>
          <t>Thân vỏ van MFD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0" t="n">
        <v>7.679104353563735</v>
      </c>
      <c r="H2" s="16">
        <f>'00_TONG_HOP_BAO_GIA'!G5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Kích thước vỏ 800x400x200mm</t>
        </is>
      </c>
    </row>
    <row r="3">
      <c r="A3" t="inlineStr">
        <is>
          <t>SW-DAMPER-004-BLADE</t>
        </is>
      </c>
      <c r="B3" t="inlineStr">
        <is>
          <t>SW-DAMPER-004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0" t="n">
        <v>7.104731237575954</v>
      </c>
      <c r="H3" s="16">
        <f>'00_TONG_HOP_BAO_GIA'!G5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Tôn bọc cánh &amp; thân (1 cánh/modul)</t>
        </is>
      </c>
    </row>
    <row r="4">
      <c r="A4" t="inlineStr">
        <is>
          <t>SW-DAMPER-004-AXLE</t>
        </is>
      </c>
      <c r="B4" t="inlineStr">
        <is>
          <t>SW-DAMPER-004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0" t="n">
        <v>1.057544458653302</v>
      </c>
      <c r="H4" s="16">
        <f>'00_TONG_HOP_BAO_GIA'!G5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1 trục dài 860mm</t>
        </is>
      </c>
    </row>
    <row r="5">
      <c r="A5" t="inlineStr">
        <is>
          <t>SW-DAMPER-004-BEARING</t>
        </is>
      </c>
      <c r="B5" t="inlineStr">
        <is>
          <t>SW-DAMPER-004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0" t="n">
        <v>1</v>
      </c>
      <c r="H5" s="16">
        <f>'00_TONG_HOP_BAO_GIA'!G5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1 đôi bạc đỡ 2 bên thân</t>
        </is>
      </c>
    </row>
    <row r="6">
      <c r="A6" t="inlineStr">
        <is>
          <t>SW-DAMPER-004-ACTUATOR</t>
        </is>
      </c>
      <c r="B6" t="inlineStr">
        <is>
          <t>SW-DAMPER-004</t>
        </is>
      </c>
      <c r="C6" t="inlineStr">
        <is>
          <t>Động cơ chặn lửa ON/OFF KLB (Swin V6006FS500S EI90) 5Nm</t>
        </is>
      </c>
      <c r="D6" t="inlineStr">
        <is>
          <t>ĐỘNG_CƠ_VÀ_CẢM_BIẾN</t>
        </is>
      </c>
      <c r="E6" t="inlineStr">
        <is>
          <t>MAT-ACTUATOR-KLB-V6006FS500S</t>
        </is>
      </c>
      <c r="F6" t="inlineStr">
        <is>
          <t>Cái</t>
        </is>
      </c>
      <c r="G6" s="20" t="n">
        <v>1</v>
      </c>
      <c r="H6" s="16">
        <f>'00_TONG_HOP_BAO_GIA'!G5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Động cơ lò xo phản hồi MFD (1 bộ)</t>
        </is>
      </c>
    </row>
    <row r="7">
      <c r="A7" t="inlineStr">
        <is>
          <t>SW-DAMPER-004-FB10-BODY</t>
        </is>
      </c>
      <c r="B7" t="inlineStr">
        <is>
          <t>SW-DAMPER-004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0" t="n">
        <v>1.770772116814832</v>
      </c>
      <c r="H7" s="16">
        <f>'00_TONG_HOP_BAO_GIA'!G5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Bọc 2 lớp tấm 10mm quanh thân L=300mm</t>
        </is>
      </c>
    </row>
    <row r="8">
      <c r="A8" t="inlineStr">
        <is>
          <t>SW-DAMPER-004-FB20-BLADE</t>
        </is>
      </c>
      <c r="B8" t="inlineStr">
        <is>
          <t>SW-DAMPER-004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0" t="n">
        <v>0.3935049148477405</v>
      </c>
      <c r="H8" s="16">
        <f>'00_TONG_HOP_BAO_GIA'!G5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Lõi cánh tấm 20mm (Cánh đơn 800x400mm)</t>
        </is>
      </c>
    </row>
    <row r="9">
      <c r="A9" t="inlineStr">
        <is>
          <t>SW-DAMPER-004-FB10-BLADE</t>
        </is>
      </c>
      <c r="B9" t="inlineStr">
        <is>
          <t>SW-DAMPER-004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0" t="n">
        <v>0.7870098296954811</v>
      </c>
      <c r="H9" s="16">
        <f>'00_TONG_HOP_BAO_GIA'!G5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Ốp 2 mặt cánh tấm 10mm (Cánh đơn 800x400mm)</t>
        </is>
      </c>
    </row>
    <row r="10">
      <c r="A10" t="inlineStr">
        <is>
          <t>SW-DAMPER-004-SPRING-BOX</t>
        </is>
      </c>
      <c r="B10" t="inlineStr">
        <is>
          <t>SW-DAMPER-004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0" t="n">
        <v>1</v>
      </c>
      <c r="H10" s="16">
        <f>'00_TONG_HOP_BAO_GIA'!G5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SW-DAMPER-004-SILICON-BOLT</t>
        </is>
      </c>
      <c r="B11" t="inlineStr">
        <is>
          <t>SW-DAMPER-004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0" t="n">
        <v>1</v>
      </c>
      <c r="H11" s="16">
        <f>'00_TONG_HOP_BAO_GIA'!G5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SW-DAMPER-006-BODY</t>
        </is>
      </c>
      <c r="B12" t="inlineStr">
        <is>
          <t>SW-DAMPER-006</t>
        </is>
      </c>
      <c r="C12" t="inlineStr">
        <is>
          <t>Thân vỏ van MFD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0" t="n">
        <v>7.991514718196779</v>
      </c>
      <c r="H12" s="16">
        <f>'00_TONG_HOP_BAO_GIA'!G7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Kích thước vỏ 800x450x200mm</t>
        </is>
      </c>
    </row>
    <row r="13">
      <c r="A13" t="inlineStr">
        <is>
          <t>SW-DAMPER-006-BLADE</t>
        </is>
      </c>
      <c r="B13" t="inlineStr">
        <is>
          <t>SW-DAMPER-006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0" t="n">
        <v>7.990515903708816</v>
      </c>
      <c r="H13" s="16">
        <f>'00_TONG_HOP_BAO_GIA'!G7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SW-DAMPER-006-AXLE</t>
        </is>
      </c>
      <c r="B14" t="inlineStr">
        <is>
          <t>SW-DAMPER-006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0" t="n">
        <v>1.05723925000609</v>
      </c>
      <c r="H14" s="16">
        <f>'00_TONG_HOP_BAO_GIA'!G7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1 trục dài 860mm</t>
        </is>
      </c>
    </row>
    <row r="15">
      <c r="A15" t="inlineStr">
        <is>
          <t>SW-DAMPER-006-BEARING</t>
        </is>
      </c>
      <c r="B15" t="inlineStr">
        <is>
          <t>SW-DAMPER-006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0" t="n">
        <v>1</v>
      </c>
      <c r="H15" s="16">
        <f>'00_TONG_HOP_BAO_GIA'!G7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1 đôi bạc đỡ 2 bên thân</t>
        </is>
      </c>
    </row>
    <row r="16">
      <c r="A16" t="inlineStr">
        <is>
          <t>SW-DAMPER-006-ACTUATOR</t>
        </is>
      </c>
      <c r="B16" t="inlineStr">
        <is>
          <t>SW-DAMPER-006</t>
        </is>
      </c>
      <c r="C16" t="inlineStr">
        <is>
          <t>Động cơ chặn lửa ON/OFF KLB (Swin V6006FS500S EI90) 5Nm</t>
        </is>
      </c>
      <c r="D16" t="inlineStr">
        <is>
          <t>ĐỘNG_CƠ_VÀ_CẢM_BIẾN</t>
        </is>
      </c>
      <c r="E16" t="inlineStr">
        <is>
          <t>MAT-ACTUATOR-KLB-V6006FS500S</t>
        </is>
      </c>
      <c r="F16" t="inlineStr">
        <is>
          <t>Cái</t>
        </is>
      </c>
      <c r="G16" s="20" t="n">
        <v>1</v>
      </c>
      <c r="H16" s="16">
        <f>'00_TONG_HOP_BAO_GIA'!G7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Động cơ lò xo phản hồi MFD (1 bộ)</t>
        </is>
      </c>
    </row>
    <row r="17">
      <c r="A17" t="inlineStr">
        <is>
          <t>SW-DAMPER-006-FB10-BODY</t>
        </is>
      </c>
      <c r="B17" t="inlineStr">
        <is>
          <t>SW-DAMPER-006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0" t="n">
        <v>1.84402194768504</v>
      </c>
      <c r="H17" s="16">
        <f>'00_TONG_HOP_BAO_GIA'!G7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SW-DAMPER-006-FB20-BLADE</t>
        </is>
      </c>
      <c r="B18" t="inlineStr">
        <is>
          <t>SW-DAMPER-006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0" t="n">
        <v>0.4425652674444097</v>
      </c>
      <c r="H18" s="16">
        <f>'00_TONG_HOP_BAO_GIA'!G7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Lõi cánh tấm 20mm (Cánh đơn 800x450mm)</t>
        </is>
      </c>
    </row>
    <row r="19">
      <c r="A19" t="inlineStr">
        <is>
          <t>SW-DAMPER-006-FB10-BLADE</t>
        </is>
      </c>
      <c r="B19" t="inlineStr">
        <is>
          <t>SW-DAMPER-006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0" t="n">
        <v>0.8851305348888193</v>
      </c>
      <c r="H19" s="16">
        <f>'00_TONG_HOP_BAO_GIA'!G7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Ốp 2 mặt cánh tấm 10mm (Cánh đơn 800x450mm)</t>
        </is>
      </c>
    </row>
    <row r="20">
      <c r="A20" t="inlineStr">
        <is>
          <t>SW-DAMPER-006-SPRING-BOX</t>
        </is>
      </c>
      <c r="B20" t="inlineStr">
        <is>
          <t>SW-DAMPER-006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0" t="n">
        <v>1</v>
      </c>
      <c r="H20" s="16">
        <f>'00_TONG_HOP_BAO_GIA'!G7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SW-DAMPER-006-SILICON-BOLT</t>
        </is>
      </c>
      <c r="B21" t="inlineStr">
        <is>
          <t>SW-DAMPER-006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0" t="n">
        <v>1</v>
      </c>
      <c r="H21" s="16">
        <f>'00_TONG_HOP_BAO_GIA'!G7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SW-DAMPER-008-BODY</t>
        </is>
      </c>
      <c r="B22" t="inlineStr">
        <is>
          <t>SW-DAMPER-008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0" t="n">
        <v>7.366855505109025</v>
      </c>
      <c r="H22" s="16">
        <f>'00_TONG_HOP_BAO_GIA'!G9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Kích thước vỏ 800x350x200mm</t>
        </is>
      </c>
    </row>
    <row r="23">
      <c r="A23" t="inlineStr">
        <is>
          <t>SW-DAMPER-008-BLADE</t>
        </is>
      </c>
      <c r="B23" t="inlineStr">
        <is>
          <t>SW-DAMPER-008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0" t="n">
        <v>6.218723651036425</v>
      </c>
      <c r="H23" s="16">
        <f>'00_TONG_HOP_BAO_GIA'!G9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SW-DAMPER-008-AXLE</t>
        </is>
      </c>
      <c r="B24" t="inlineStr">
        <is>
          <t>SW-DAMPER-008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0" t="n">
        <v>1.057898947638432</v>
      </c>
      <c r="H24" s="16">
        <f>'00_TONG_HOP_BAO_GIA'!G9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1 trục dài 860mm</t>
        </is>
      </c>
    </row>
    <row r="25">
      <c r="A25" t="inlineStr">
        <is>
          <t>SW-DAMPER-008-BEARING</t>
        </is>
      </c>
      <c r="B25" t="inlineStr">
        <is>
          <t>SW-DAMPER-008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0" t="n">
        <v>1</v>
      </c>
      <c r="H25" s="16">
        <f>'00_TONG_HOP_BAO_GIA'!G9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1 đôi bạc đỡ 2 bên thân</t>
        </is>
      </c>
    </row>
    <row r="26">
      <c r="A26" t="inlineStr">
        <is>
          <t>SW-DAMPER-008-ACTUATOR</t>
        </is>
      </c>
      <c r="B26" t="inlineStr">
        <is>
          <t>SW-DAMPER-008</t>
        </is>
      </c>
      <c r="C26" t="inlineStr">
        <is>
          <t>Động cơ chặn lửa ON/OFF KLB (Swin V6006FS500S EI90) 5Nm</t>
        </is>
      </c>
      <c r="D26" t="inlineStr">
        <is>
          <t>ĐỘNG_CƠ_VÀ_CẢM_BIẾN</t>
        </is>
      </c>
      <c r="E26" t="inlineStr">
        <is>
          <t>MAT-ACTUATOR-KLB-V6006FS500S</t>
        </is>
      </c>
      <c r="F26" t="inlineStr">
        <is>
          <t>Cái</t>
        </is>
      </c>
      <c r="G26" s="20" t="n">
        <v>1</v>
      </c>
      <c r="H26" s="16">
        <f>'00_TONG_HOP_BAO_GIA'!G9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Động cơ lò xo phản hồi MFD (1 bộ)</t>
        </is>
      </c>
    </row>
    <row r="27">
      <c r="A27" t="inlineStr">
        <is>
          <t>SW-DAMPER-008-FB10-BODY</t>
        </is>
      </c>
      <c r="B27" t="inlineStr">
        <is>
          <t>SW-DAMPER-008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0" t="n">
        <v>1.697558776443064</v>
      </c>
      <c r="H27" s="16">
        <f>'00_TONG_HOP_BAO_GIA'!G9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SW-DAMPER-008-FB20-BLADE</t>
        </is>
      </c>
      <c r="B28" t="inlineStr">
        <is>
          <t>SW-DAMPER-008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0" t="n">
        <v>0.3444322155101869</v>
      </c>
      <c r="H28" s="16">
        <f>'00_TONG_HOP_BAO_GIA'!G9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Lõi cánh tấm 20mm (Cánh đơn 800x350mm)</t>
        </is>
      </c>
    </row>
    <row r="29">
      <c r="A29" t="inlineStr">
        <is>
          <t>SW-DAMPER-008-FB10-BLADE</t>
        </is>
      </c>
      <c r="B29" t="inlineStr">
        <is>
          <t>SW-DAMPER-008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0" t="n">
        <v>0.6888644310203739</v>
      </c>
      <c r="H29" s="16">
        <f>'00_TONG_HOP_BAO_GIA'!G9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Ốp 2 mặt cánh tấm 10mm (Cánh đơn 800x350mm)</t>
        </is>
      </c>
    </row>
    <row r="30">
      <c r="A30" t="inlineStr">
        <is>
          <t>SW-DAMPER-008-SPRING-BOX</t>
        </is>
      </c>
      <c r="B30" t="inlineStr">
        <is>
          <t>SW-DAMPER-008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0" t="n">
        <v>1</v>
      </c>
      <c r="H30" s="16">
        <f>'00_TONG_HOP_BAO_GIA'!G9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SW-DAMPER-008-SILICON-BOLT</t>
        </is>
      </c>
      <c r="B31" t="inlineStr">
        <is>
          <t>SW-DAMPER-008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0" t="n">
        <v>1</v>
      </c>
      <c r="H31" s="16">
        <f>'00_TONG_HOP_BAO_GIA'!G9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Keo silicon chống cháy &amp; phụ kiện lắp ghép (1 bộ)</t>
        </is>
      </c>
    </row>
    <row r="32">
      <c r="A32" t="inlineStr">
        <is>
          <t>SW-DAMPER-010-BODY</t>
        </is>
      </c>
      <c r="B32" t="inlineStr">
        <is>
          <t>SW-DAMPER-010</t>
        </is>
      </c>
      <c r="C32" t="inlineStr">
        <is>
          <t>Thân vỏ van MFD bích C30/TDF (1.15mm)</t>
        </is>
      </c>
      <c r="D32" t="inlineStr">
        <is>
          <t>TÔN_CUỘN_MẠ_KẼM</t>
        </is>
      </c>
      <c r="E32" t="inlineStr">
        <is>
          <t>MAT-STEEL-PN-1.15</t>
        </is>
      </c>
      <c r="F32" t="inlineStr">
        <is>
          <t>kg</t>
        </is>
      </c>
      <c r="G32" s="20" t="n">
        <v>5.892308208023908</v>
      </c>
      <c r="H32" s="16">
        <f>'00_TONG_HOP_BAO_GIA'!G11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Kích thước vỏ 600x300x200mm</t>
        </is>
      </c>
    </row>
    <row r="33">
      <c r="A33" t="inlineStr">
        <is>
          <t>SW-DAMPER-010-BLADE</t>
        </is>
      </c>
      <c r="B33" t="inlineStr">
        <is>
          <t>SW-DAMPER-010</t>
        </is>
      </c>
      <c r="C33" t="inlineStr">
        <is>
          <t>Lá cánh / Tôn tấm bọc van (1 cánh)</t>
        </is>
      </c>
      <c r="D33" t="inlineStr">
        <is>
          <t>TÔN_CUỘN_MẠ_KẼM</t>
        </is>
      </c>
      <c r="E33" t="inlineStr">
        <is>
          <t>MAT-STEEL-PN-1.15</t>
        </is>
      </c>
      <c r="F33" t="inlineStr">
        <is>
          <t>kg</t>
        </is>
      </c>
      <c r="G33" s="20" t="n">
        <v>4.066465291941965</v>
      </c>
      <c r="H33" s="16">
        <f>'00_TONG_HOP_BAO_GIA'!G11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Tôn bọc cánh &amp; thân (1 cánh/modul)</t>
        </is>
      </c>
    </row>
    <row r="34">
      <c r="A34" t="inlineStr">
        <is>
          <t>SW-DAMPER-010-AXLE</t>
        </is>
      </c>
      <c r="B34" t="inlineStr">
        <is>
          <t>SW-DAMPER-010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20" t="n">
        <v>0.825830669461121</v>
      </c>
      <c r="H34" s="16">
        <f>'00_TONG_HOP_BAO_GIA'!G11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1 trục dài 660mm</t>
        </is>
      </c>
    </row>
    <row r="35">
      <c r="A35" t="inlineStr">
        <is>
          <t>SW-DAMPER-010-BEARING</t>
        </is>
      </c>
      <c r="B35" t="inlineStr">
        <is>
          <t>SW-DAMPER-010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20" t="n">
        <v>1</v>
      </c>
      <c r="H35" s="16">
        <f>'00_TONG_HOP_BAO_GIA'!G11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1 đôi bạc đỡ 2 bên thân</t>
        </is>
      </c>
    </row>
    <row r="36">
      <c r="A36" t="inlineStr">
        <is>
          <t>SW-DAMPER-010-ACTUATOR</t>
        </is>
      </c>
      <c r="B36" t="inlineStr">
        <is>
          <t>SW-DAMPER-010</t>
        </is>
      </c>
      <c r="C36" t="inlineStr">
        <is>
          <t>Động cơ chặn lửa ON/OFF KLB (Swin V6006FS500S EI90) 5Nm</t>
        </is>
      </c>
      <c r="D36" t="inlineStr">
        <is>
          <t>ĐỘNG_CƠ_VÀ_CẢM_BIẾN</t>
        </is>
      </c>
      <c r="E36" t="inlineStr">
        <is>
          <t>MAT-ACTUATOR-KLB-V6006FS500S</t>
        </is>
      </c>
      <c r="F36" t="inlineStr">
        <is>
          <t>Cái</t>
        </is>
      </c>
      <c r="G36" s="20" t="n">
        <v>1</v>
      </c>
      <c r="H36" s="16">
        <f>'00_TONG_HOP_BAO_GIA'!G11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Động cơ lò xo phản hồi MFD (1 bộ)</t>
        </is>
      </c>
    </row>
    <row r="37">
      <c r="A37" t="inlineStr">
        <is>
          <t>SW-DAMPER-010-FB10-BODY</t>
        </is>
      </c>
      <c r="B37" t="inlineStr">
        <is>
          <t>SW-DAMPER-010</t>
        </is>
      </c>
      <c r="C37" t="inlineStr">
        <is>
          <t>Tấm chống cháy dày 10mm bọc thân van FD/MFD (2 lớp)</t>
        </is>
      </c>
      <c r="D37" t="inlineStr">
        <is>
          <t>VẬT_LIỆU_CÁCH_NHIỆT</t>
        </is>
      </c>
      <c r="E37" t="inlineStr">
        <is>
          <t>MAT-FIREBOARD-10MM-BODY</t>
        </is>
      </c>
      <c r="F37" t="inlineStr">
        <is>
          <t>m2</t>
        </is>
      </c>
      <c r="G37" s="20" t="n">
        <v>1.351359277300016</v>
      </c>
      <c r="H37" s="16">
        <f>'00_TONG_HOP_BAO_GIA'!G11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Bọc 2 lớp tấm 10mm quanh thân L=300mm</t>
        </is>
      </c>
    </row>
    <row r="38">
      <c r="A38" t="inlineStr">
        <is>
          <t>SW-DAMPER-010-FB20-BLADE</t>
        </is>
      </c>
      <c r="B38" t="inlineStr">
        <is>
          <t>SW-DAMPER-010</t>
        </is>
      </c>
      <c r="C38" t="inlineStr">
        <is>
          <t>Tấm chống cháy dày 20mm làm lõi cánh van FD/MFD</t>
        </is>
      </c>
      <c r="D38" t="inlineStr">
        <is>
          <t>VẬT_LIỆU_CÁCH_NHIỆT</t>
        </is>
      </c>
      <c r="E38" t="inlineStr">
        <is>
          <t>MAT-FIREBOARD-20MM-BLADE</t>
        </is>
      </c>
      <c r="F38" t="inlineStr">
        <is>
          <t>m2</t>
        </is>
      </c>
      <c r="G38" s="20" t="n">
        <v>0.2252265462166694</v>
      </c>
      <c r="H38" s="16">
        <f>'00_TONG_HOP_BAO_GIA'!G11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Lõi cánh tấm 20mm (Cánh đơn 600x300mm)</t>
        </is>
      </c>
    </row>
    <row r="39">
      <c r="A39" t="inlineStr">
        <is>
          <t>SW-DAMPER-010-FB10-BLADE</t>
        </is>
      </c>
      <c r="B39" t="inlineStr">
        <is>
          <t>SW-DAMPER-010</t>
        </is>
      </c>
      <c r="C39" t="inlineStr">
        <is>
          <t>Tấm chống cháy dày 10mm ốp 2 mặt cánh van FD/MFD</t>
        </is>
      </c>
      <c r="D39" t="inlineStr">
        <is>
          <t>VẬT_LIỆU_CÁCH_NHIỆT</t>
        </is>
      </c>
      <c r="E39" t="inlineStr">
        <is>
          <t>MAT-FIREBOARD-10MM-BLADE</t>
        </is>
      </c>
      <c r="F39" t="inlineStr">
        <is>
          <t>m2</t>
        </is>
      </c>
      <c r="G39" s="20" t="n">
        <v>0.4504530924333388</v>
      </c>
      <c r="H39" s="16">
        <f>'00_TONG_HOP_BAO_GIA'!G11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Ốp 2 mặt cánh tấm 10mm (Cánh đơn 600x300mm)</t>
        </is>
      </c>
    </row>
    <row r="40">
      <c r="A40" t="inlineStr">
        <is>
          <t>SW-DAMPER-010-SPRING-BOX</t>
        </is>
      </c>
      <c r="B40" t="inlineStr">
        <is>
          <t>SW-DAMPER-010</t>
        </is>
      </c>
      <c r="C40" t="inlineStr">
        <is>
          <t>Hộp lò xo van chặn lửa FD/MFD</t>
        </is>
      </c>
      <c r="D40" t="inlineStr">
        <is>
          <t>PHỤ_KIỆN_VAN</t>
        </is>
      </c>
      <c r="E40" t="inlineStr">
        <is>
          <t>MAT-DAMPER-HOP-LO-XO</t>
        </is>
      </c>
      <c r="F40" t="inlineStr">
        <is>
          <t>Bộ</t>
        </is>
      </c>
      <c r="G40" s="20" t="n">
        <v>1</v>
      </c>
      <c r="H40" s="16">
        <f>'00_TONG_HOP_BAO_GIA'!G11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Hộp lò xo cơ cấu đóng sập (1 bộ)</t>
        </is>
      </c>
    </row>
    <row r="41">
      <c r="A41" t="inlineStr">
        <is>
          <t>SW-DAMPER-010-SILICON-BOLT</t>
        </is>
      </c>
      <c r="B41" t="inlineStr">
        <is>
          <t>SW-DAMPER-010</t>
        </is>
      </c>
      <c r="C41" t="inlineStr">
        <is>
          <t>Silicon chống cháy + bu lông, ốc vít van FD/MFD</t>
        </is>
      </c>
      <c r="D41" t="inlineStr">
        <is>
          <t>PHỤ_KIỆN_VAN</t>
        </is>
      </c>
      <c r="E41" t="inlineStr">
        <is>
          <t>MAT-DAMPER-SILICON-BULONG-VIT</t>
        </is>
      </c>
      <c r="F41" t="inlineStr">
        <is>
          <t>Bộ</t>
        </is>
      </c>
      <c r="G41" s="20" t="n">
        <v>1</v>
      </c>
      <c r="H41" s="16">
        <f>'00_TONG_HOP_BAO_GIA'!G11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Keo silicon chống cháy &amp; phụ kiện lắp ghép (1 bộ)</t>
        </is>
      </c>
    </row>
    <row r="42">
      <c r="A42" t="inlineStr">
        <is>
          <t>SW-DAMPER-012-BODY</t>
        </is>
      </c>
      <c r="B42" t="inlineStr">
        <is>
          <t>SW-DAMPER-012</t>
        </is>
      </c>
      <c r="C42" t="inlineStr">
        <is>
          <t>Thân vỏ van PRD bích C30/TDF (0.75mm)</t>
        </is>
      </c>
      <c r="D42" t="inlineStr">
        <is>
          <t>TÔN_CUỘN_MẠ_KẼM</t>
        </is>
      </c>
      <c r="E42" t="inlineStr">
        <is>
          <t>MAT-STEEL-PN-0.75</t>
        </is>
      </c>
      <c r="F42" t="inlineStr">
        <is>
          <t>kg</t>
        </is>
      </c>
      <c r="G42" s="20" t="n">
        <v>0.5714456364768785</v>
      </c>
      <c r="H42" s="16">
        <f>'00_TONG_HOP_BAO_GIA'!G13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Kích thước vỏ 200x200x210mm</t>
        </is>
      </c>
    </row>
    <row r="43">
      <c r="A43" t="inlineStr">
        <is>
          <t>SW-DAMPER-012-BLADE</t>
        </is>
      </c>
      <c r="B43" t="inlineStr">
        <is>
          <t>SW-DAMPER-012</t>
        </is>
      </c>
      <c r="C43" t="inlineStr">
        <is>
          <t>Lá cánh / Tôn tấm bọc van (2 cánh)</t>
        </is>
      </c>
      <c r="D43" t="inlineStr">
        <is>
          <t>TÔN_CUỘN_MẠ_KẼM</t>
        </is>
      </c>
      <c r="E43" t="inlineStr">
        <is>
          <t>MAT-STEEL-PN-0.75</t>
        </is>
      </c>
      <c r="F43" t="inlineStr">
        <is>
          <t>kg</t>
        </is>
      </c>
      <c r="G43" s="20" t="n">
        <v>0.119953602992231</v>
      </c>
      <c r="H43" s="16">
        <f>'00_TONG_HOP_BAO_GIA'!G13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2 cánh cao 120mm</t>
        </is>
      </c>
    </row>
    <row r="44">
      <c r="A44" t="inlineStr">
        <is>
          <t>SW-DAMPER-012-AXLE</t>
        </is>
      </c>
      <c r="B44" t="inlineStr">
        <is>
          <t>SW-DAMPER-012</t>
        </is>
      </c>
      <c r="C44" t="inlineStr">
        <is>
          <t>Trục Sus 201 D10</t>
        </is>
      </c>
      <c r="D44" t="inlineStr">
        <is>
          <t>PHỤ_KIỆN_VAN</t>
        </is>
      </c>
      <c r="E44" t="inlineStr">
        <is>
          <t>MAT-DAMPER-TRUC-SUS-201-D10</t>
        </is>
      </c>
      <c r="F44" t="inlineStr">
        <is>
          <t>m</t>
        </is>
      </c>
      <c r="G44" s="20" t="n">
        <v>0.2043716860500385</v>
      </c>
      <c r="H44" s="16">
        <f>'00_TONG_HOP_BAO_GIA'!G13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2 trục dài 260mm</t>
        </is>
      </c>
    </row>
    <row r="45">
      <c r="A45" t="inlineStr">
        <is>
          <t>SW-DAMPER-012-BEARING</t>
        </is>
      </c>
      <c r="B45" t="inlineStr">
        <is>
          <t>SW-DAMPER-012</t>
        </is>
      </c>
      <c r="C45" t="inlineStr">
        <is>
          <t>Bạc đồng D10</t>
        </is>
      </c>
      <c r="D45" t="inlineStr">
        <is>
          <t>PHỤ_KIỆN_VAN</t>
        </is>
      </c>
      <c r="E45" t="inlineStr">
        <is>
          <t>MAT-DAMPER-BAC-DONG-D10</t>
        </is>
      </c>
      <c r="F45" t="inlineStr">
        <is>
          <t>Đôi</t>
        </is>
      </c>
      <c r="G45" s="20" t="n">
        <v>2</v>
      </c>
      <c r="H45" s="16">
        <f>'00_TONG_HOP_BAO_GIA'!G13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2 đôi bạc đỡ 2 bên thân</t>
        </is>
      </c>
    </row>
    <row r="46">
      <c r="A46" t="inlineStr">
        <is>
          <t>SW-DAMPER-012-GEAR</t>
        </is>
      </c>
      <c r="B46" t="inlineStr">
        <is>
          <t>SW-DAMPER-012</t>
        </is>
      </c>
      <c r="C46" t="inlineStr">
        <is>
          <t>Bánh răng van nhôm</t>
        </is>
      </c>
      <c r="D46" t="inlineStr">
        <is>
          <t>PHỤ_KIỆN_VAN</t>
        </is>
      </c>
      <c r="E46" t="inlineStr">
        <is>
          <t>MAT-DAMPER-BANH-RANG-VAN-NHOM</t>
        </is>
      </c>
      <c r="F46" t="inlineStr">
        <is>
          <t>Bộ</t>
        </is>
      </c>
      <c r="G46" s="20" t="n">
        <v>1</v>
      </c>
      <c r="H46" s="16">
        <f>'00_TONG_HOP_BAO_GIA'!G13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Cơ cấu liên động cánh (1 bộ)</t>
        </is>
      </c>
    </row>
    <row r="47">
      <c r="A47" t="inlineStr">
        <is>
          <t>SW-DAMPER-012-ECCENTRIC</t>
        </is>
      </c>
      <c r="B47" t="inlineStr">
        <is>
          <t>SW-DAMPER-012</t>
        </is>
      </c>
      <c r="C47" t="inlineStr">
        <is>
          <t>Cơ cấu đối trọng xả áp (PRD)</t>
        </is>
      </c>
      <c r="D47" t="inlineStr">
        <is>
          <t>PHỤ_KIỆN_VAN</t>
        </is>
      </c>
      <c r="E47" t="inlineStr">
        <is>
          <t>ECCENTRIC_SHAFT</t>
        </is>
      </c>
      <c r="F47" t="inlineStr">
        <is>
          <t>Bộ</t>
        </is>
      </c>
      <c r="G47" s="20" t="n">
        <v>1</v>
      </c>
      <c r="H47" s="16">
        <f>'00_TONG_HOP_BAO_GIA'!G13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Cơ cấu van xả áp đối trọng</t>
        </is>
      </c>
    </row>
    <row r="48">
      <c r="A48" t="inlineStr">
        <is>
          <t>SW-DAMPER-014-BODY</t>
        </is>
      </c>
      <c r="B48" t="inlineStr">
        <is>
          <t>SW-DAMPER-014</t>
        </is>
      </c>
      <c r="C48" t="inlineStr">
        <is>
          <t>Thân vỏ van NRD bích C30/TDF (0.75mm)</t>
        </is>
      </c>
      <c r="D48" t="inlineStr">
        <is>
          <t>TÔN_CUỘN_MẠ_KẼM</t>
        </is>
      </c>
      <c r="E48" t="inlineStr">
        <is>
          <t>MAT-STEEL-PN-0.75</t>
        </is>
      </c>
      <c r="F48" t="inlineStr">
        <is>
          <t>kg</t>
        </is>
      </c>
      <c r="G48" s="20" t="n">
        <v>2.319897786978244</v>
      </c>
      <c r="H48" s="16">
        <f>'00_TONG_HOP_BAO_GIA'!G15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Kích thước vỏ 800x400x210mm</t>
        </is>
      </c>
    </row>
    <row r="49">
      <c r="A49" t="inlineStr">
        <is>
          <t>SW-DAMPER-014-BLADE</t>
        </is>
      </c>
      <c r="B49" t="inlineStr">
        <is>
          <t>SW-DAMPER-014</t>
        </is>
      </c>
      <c r="C49" t="inlineStr">
        <is>
          <t>Lá cánh / Tôn tấm bọc van (3 cánh)</t>
        </is>
      </c>
      <c r="D49" t="inlineStr">
        <is>
          <t>TÔN_CUỘN_MẠ_KẼM</t>
        </is>
      </c>
      <c r="E49" t="inlineStr">
        <is>
          <t>MAT-STEEL-PN-0.75</t>
        </is>
      </c>
      <c r="F49" t="inlineStr">
        <is>
          <t>kg</t>
        </is>
      </c>
      <c r="G49" s="20" t="n">
        <v>1.285296331627961</v>
      </c>
      <c r="H49" s="16">
        <f>'00_TONG_HOP_BAO_GIA'!G15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3 cánh cao 153mm</t>
        </is>
      </c>
    </row>
    <row r="50">
      <c r="A50" t="inlineStr">
        <is>
          <t>SW-DAMPER-014-AXLE</t>
        </is>
      </c>
      <c r="B50" t="inlineStr">
        <is>
          <t>SW-DAMPER-014</t>
        </is>
      </c>
      <c r="C50" t="inlineStr">
        <is>
          <t>Trục Sus 201 D10</t>
        </is>
      </c>
      <c r="D50" t="inlineStr">
        <is>
          <t>PHỤ_KIỆN_VAN</t>
        </is>
      </c>
      <c r="E50" t="inlineStr">
        <is>
          <t>MAT-DAMPER-TRUC-SUS-201-D10</t>
        </is>
      </c>
      <c r="F50" t="inlineStr">
        <is>
          <t>m</t>
        </is>
      </c>
      <c r="G50" s="20" t="n">
        <v>1.417165201493438</v>
      </c>
      <c r="H50" s="16">
        <f>'00_TONG_HOP_BAO_GIA'!G15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3 trục dài 860mm</t>
        </is>
      </c>
    </row>
    <row r="51">
      <c r="A51" t="inlineStr">
        <is>
          <t>SW-DAMPER-014-BEARING</t>
        </is>
      </c>
      <c r="B51" t="inlineStr">
        <is>
          <t>SW-DAMPER-014</t>
        </is>
      </c>
      <c r="C51" t="inlineStr">
        <is>
          <t>Bạc đồng D10</t>
        </is>
      </c>
      <c r="D51" t="inlineStr">
        <is>
          <t>PHỤ_KIỆN_VAN</t>
        </is>
      </c>
      <c r="E51" t="inlineStr">
        <is>
          <t>MAT-DAMPER-BAC-DONG-D10</t>
        </is>
      </c>
      <c r="F51" t="inlineStr">
        <is>
          <t>Đôi</t>
        </is>
      </c>
      <c r="G51" s="20" t="n">
        <v>3</v>
      </c>
      <c r="H51" s="16">
        <f>'00_TONG_HOP_BAO_GIA'!G15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3 đôi bạc đỡ 2 bên thân</t>
        </is>
      </c>
    </row>
    <row r="52">
      <c r="A52" t="inlineStr">
        <is>
          <t>SW-DAMPER-014-GEAR</t>
        </is>
      </c>
      <c r="B52" t="inlineStr">
        <is>
          <t>SW-DAMPER-014</t>
        </is>
      </c>
      <c r="C52" t="inlineStr">
        <is>
          <t>Bánh răng van nhôm</t>
        </is>
      </c>
      <c r="D52" t="inlineStr">
        <is>
          <t>PHỤ_KIỆN_VAN</t>
        </is>
      </c>
      <c r="E52" t="inlineStr">
        <is>
          <t>MAT-DAMPER-BANH-RANG-VAN-NHOM</t>
        </is>
      </c>
      <c r="F52" t="inlineStr">
        <is>
          <t>Bộ</t>
        </is>
      </c>
      <c r="G52" s="20" t="n">
        <v>1</v>
      </c>
      <c r="H52" s="16">
        <f>'00_TONG_HOP_BAO_GIA'!G15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Cơ cấu liên động cánh (1 bộ)</t>
        </is>
      </c>
    </row>
    <row r="53">
      <c r="A53" t="inlineStr">
        <is>
          <t>SW-DAMPER-014-ECCENTRIC</t>
        </is>
      </c>
      <c r="B53" t="inlineStr">
        <is>
          <t>SW-DAMPER-014</t>
        </is>
      </c>
      <c r="C53" t="inlineStr">
        <is>
          <t>Cơ cấu lệch tâm / Lò xo đóng mở (NRD)</t>
        </is>
      </c>
      <c r="D53" t="inlineStr">
        <is>
          <t>PHỤ_KIỆN_VAN</t>
        </is>
      </c>
      <c r="E53" t="inlineStr">
        <is>
          <t>ECCENTRIC_SHAFT</t>
        </is>
      </c>
      <c r="F53" t="inlineStr">
        <is>
          <t>Bộ</t>
        </is>
      </c>
      <c r="G53" s="20" t="n">
        <v>1</v>
      </c>
      <c r="H53" s="16">
        <f>'00_TONG_HOP_BAO_GIA'!G15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Cơ cấu đóng mở một chiều</t>
        </is>
      </c>
    </row>
    <row r="54">
      <c r="A54" t="inlineStr">
        <is>
          <t>SW-DAMPER-016-BODY</t>
        </is>
      </c>
      <c r="B54" t="inlineStr">
        <is>
          <t>SW-DAMPER-016</t>
        </is>
      </c>
      <c r="C54" t="inlineStr">
        <is>
          <t>Thân vỏ van NRD bích C30/TDF (0.95mm)</t>
        </is>
      </c>
      <c r="D54" t="inlineStr">
        <is>
          <t>TÔN_CUỘN_MẠ_KẼM</t>
        </is>
      </c>
      <c r="E54" t="inlineStr">
        <is>
          <t>MAT-STEEL-PN-0.95</t>
        </is>
      </c>
      <c r="F54" t="inlineStr">
        <is>
          <t>kg</t>
        </is>
      </c>
      <c r="G54" s="20" t="n">
        <v>4.161857040128462</v>
      </c>
      <c r="H54" s="16">
        <f>'00_TONG_HOP_BAO_GIA'!G17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Kích thước vỏ 800x450x210mm</t>
        </is>
      </c>
    </row>
    <row r="55">
      <c r="A55" t="inlineStr">
        <is>
          <t>SW-DAMPER-016-BLADE</t>
        </is>
      </c>
      <c r="B55" t="inlineStr">
        <is>
          <t>SW-DAMPER-016</t>
        </is>
      </c>
      <c r="C55" t="inlineStr">
        <is>
          <t>Lá cánh / Tôn tấm bọc van (3 cánh)</t>
        </is>
      </c>
      <c r="D55" t="inlineStr">
        <is>
          <t>TÔN_CUỘN_MẠ_KẼM</t>
        </is>
      </c>
      <c r="E55" t="inlineStr">
        <is>
          <t>MAT-STEEL-PN-0.75</t>
        </is>
      </c>
      <c r="F55" t="inlineStr">
        <is>
          <t>kg</t>
        </is>
      </c>
      <c r="G55" s="20" t="n">
        <v>1.938776235613858</v>
      </c>
      <c r="H55" s="16">
        <f>'00_TONG_HOP_BAO_GIA'!G17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3 cánh cao 170mm</t>
        </is>
      </c>
    </row>
    <row r="56">
      <c r="A56" t="inlineStr">
        <is>
          <t>SW-DAMPER-016-AXLE</t>
        </is>
      </c>
      <c r="B56" t="inlineStr">
        <is>
          <t>SW-DAMPER-016</t>
        </is>
      </c>
      <c r="C56" t="inlineStr">
        <is>
          <t>Trục Sus 201 D10</t>
        </is>
      </c>
      <c r="D56" t="inlineStr">
        <is>
          <t>PHỤ_KIỆN_VAN</t>
        </is>
      </c>
      <c r="E56" t="inlineStr">
        <is>
          <t>MAT-DAMPER-TRUC-SUS-201-D10</t>
        </is>
      </c>
      <c r="F56" t="inlineStr">
        <is>
          <t>m</t>
        </is>
      </c>
      <c r="G56" s="20" t="n">
        <v>1.928113320552754</v>
      </c>
      <c r="H56" s="16">
        <f>'00_TONG_HOP_BAO_GIA'!G17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3 trục dài 860mm</t>
        </is>
      </c>
    </row>
    <row r="57">
      <c r="A57" t="inlineStr">
        <is>
          <t>SW-DAMPER-016-BEARING</t>
        </is>
      </c>
      <c r="B57" t="inlineStr">
        <is>
          <t>SW-DAMPER-016</t>
        </is>
      </c>
      <c r="C57" t="inlineStr">
        <is>
          <t>Bạc đồng D10</t>
        </is>
      </c>
      <c r="D57" t="inlineStr">
        <is>
          <t>PHỤ_KIỆN_VAN</t>
        </is>
      </c>
      <c r="E57" t="inlineStr">
        <is>
          <t>MAT-DAMPER-BAC-DONG-D10</t>
        </is>
      </c>
      <c r="F57" t="inlineStr">
        <is>
          <t>Đôi</t>
        </is>
      </c>
      <c r="G57" s="20" t="n">
        <v>3</v>
      </c>
      <c r="H57" s="16">
        <f>'00_TONG_HOP_BAO_GIA'!G17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3 đôi bạc đỡ 2 bên thân</t>
        </is>
      </c>
    </row>
    <row r="58">
      <c r="A58" t="inlineStr">
        <is>
          <t>SW-DAMPER-016-GEAR</t>
        </is>
      </c>
      <c r="B58" t="inlineStr">
        <is>
          <t>SW-DAMPER-016</t>
        </is>
      </c>
      <c r="C58" t="inlineStr">
        <is>
          <t>Bánh răng van nhôm</t>
        </is>
      </c>
      <c r="D58" t="inlineStr">
        <is>
          <t>PHỤ_KIỆN_VAN</t>
        </is>
      </c>
      <c r="E58" t="inlineStr">
        <is>
          <t>MAT-DAMPER-BANH-RANG-VAN-NHOM</t>
        </is>
      </c>
      <c r="F58" t="inlineStr">
        <is>
          <t>Bộ</t>
        </is>
      </c>
      <c r="G58" s="20" t="n">
        <v>1</v>
      </c>
      <c r="H58" s="16">
        <f>'00_TONG_HOP_BAO_GIA'!G17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Cơ cấu liên động cánh (1 bộ)</t>
        </is>
      </c>
    </row>
    <row r="59">
      <c r="A59" t="inlineStr">
        <is>
          <t>SW-DAMPER-016-ECCENTRIC</t>
        </is>
      </c>
      <c r="B59" t="inlineStr">
        <is>
          <t>SW-DAMPER-016</t>
        </is>
      </c>
      <c r="C59" t="inlineStr">
        <is>
          <t>Cơ cấu lệch tâm / Lò xo đóng mở (NRD)</t>
        </is>
      </c>
      <c r="D59" t="inlineStr">
        <is>
          <t>PHỤ_KIỆN_VAN</t>
        </is>
      </c>
      <c r="E59" t="inlineStr">
        <is>
          <t>ECCENTRIC_SHAFT</t>
        </is>
      </c>
      <c r="F59" t="inlineStr">
        <is>
          <t>Bộ</t>
        </is>
      </c>
      <c r="G59" s="20" t="n">
        <v>1</v>
      </c>
      <c r="H59" s="16">
        <f>'00_TONG_HOP_BAO_GIA'!G17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Cơ cấu đóng mở một chiều</t>
        </is>
      </c>
    </row>
    <row r="60">
      <c r="A60" t="inlineStr">
        <is>
          <t>SW-DAMPER-018-BODY</t>
        </is>
      </c>
      <c r="B60" t="inlineStr">
        <is>
          <t>SW-DAMPER-018</t>
        </is>
      </c>
      <c r="C60" t="inlineStr">
        <is>
          <t>Thân vỏ van NRD bích C30/TDF (0.75mm)</t>
        </is>
      </c>
      <c r="D60" t="inlineStr">
        <is>
          <t>TÔN_CUỘN_MẠ_KẼM</t>
        </is>
      </c>
      <c r="E60" t="inlineStr">
        <is>
          <t>MAT-STEEL-PN-0.75</t>
        </is>
      </c>
      <c r="F60" t="inlineStr">
        <is>
          <t>kg</t>
        </is>
      </c>
      <c r="G60" s="20" t="n">
        <v>2.671215202196903</v>
      </c>
      <c r="H60" s="16">
        <f>'00_TONG_HOP_BAO_GIA'!G19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Kích thước vỏ 800x350x210mm</t>
        </is>
      </c>
    </row>
    <row r="61">
      <c r="A61" t="inlineStr">
        <is>
          <t>SW-DAMPER-018-BLADE</t>
        </is>
      </c>
      <c r="B61" t="inlineStr">
        <is>
          <t>SW-DAMPER-018</t>
        </is>
      </c>
      <c r="C61" t="inlineStr">
        <is>
          <t>Lá cánh / Tôn tấm bọc van (2 cánh)</t>
        </is>
      </c>
      <c r="D61" t="inlineStr">
        <is>
          <t>TÔN_CUỘN_MẠ_KẼM</t>
        </is>
      </c>
      <c r="E61" t="inlineStr">
        <is>
          <t>MAT-STEEL-PN-0.75</t>
        </is>
      </c>
      <c r="F61" t="inlineStr">
        <is>
          <t>kg</t>
        </is>
      </c>
      <c r="G61" s="20" t="n">
        <v>1.308350303116851</v>
      </c>
      <c r="H61" s="16">
        <f>'00_TONG_HOP_BAO_GIA'!G19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2 cánh cao 195mm</t>
        </is>
      </c>
    </row>
    <row r="62">
      <c r="A62" t="inlineStr">
        <is>
          <t>SW-DAMPER-018-AXLE</t>
        </is>
      </c>
      <c r="B62" t="inlineStr">
        <is>
          <t>SW-DAMPER-018</t>
        </is>
      </c>
      <c r="C62" t="inlineStr">
        <is>
          <t>Trục Sus 201 D10</t>
        </is>
      </c>
      <c r="D62" t="inlineStr">
        <is>
          <t>PHỤ_KIỆN_VAN</t>
        </is>
      </c>
      <c r="E62" t="inlineStr">
        <is>
          <t>MAT-DAMPER-TRUC-SUS-201-D10</t>
        </is>
      </c>
      <c r="F62" t="inlineStr">
        <is>
          <t>m</t>
        </is>
      </c>
      <c r="G62" s="20" t="n">
        <v>1.134339921204295</v>
      </c>
      <c r="H62" s="16">
        <f>'00_TONG_HOP_BAO_GIA'!G19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2 trục dài 860mm</t>
        </is>
      </c>
    </row>
    <row r="63">
      <c r="A63" t="inlineStr">
        <is>
          <t>SW-DAMPER-018-BEARING</t>
        </is>
      </c>
      <c r="B63" t="inlineStr">
        <is>
          <t>SW-DAMPER-018</t>
        </is>
      </c>
      <c r="C63" t="inlineStr">
        <is>
          <t>Bạc đồng D10</t>
        </is>
      </c>
      <c r="D63" t="inlineStr">
        <is>
          <t>PHỤ_KIỆN_VAN</t>
        </is>
      </c>
      <c r="E63" t="inlineStr">
        <is>
          <t>MAT-DAMPER-BAC-DONG-D10</t>
        </is>
      </c>
      <c r="F63" t="inlineStr">
        <is>
          <t>Đôi</t>
        </is>
      </c>
      <c r="G63" s="20" t="n">
        <v>2</v>
      </c>
      <c r="H63" s="16">
        <f>'00_TONG_HOP_BAO_GIA'!G19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2 đôi bạc đỡ 2 bên thân</t>
        </is>
      </c>
    </row>
    <row r="64">
      <c r="A64" t="inlineStr">
        <is>
          <t>SW-DAMPER-018-GEAR</t>
        </is>
      </c>
      <c r="B64" t="inlineStr">
        <is>
          <t>SW-DAMPER-018</t>
        </is>
      </c>
      <c r="C64" t="inlineStr">
        <is>
          <t>Bánh răng van nhôm</t>
        </is>
      </c>
      <c r="D64" t="inlineStr">
        <is>
          <t>PHỤ_KIỆN_VAN</t>
        </is>
      </c>
      <c r="E64" t="inlineStr">
        <is>
          <t>MAT-DAMPER-BANH-RANG-VAN-NHOM</t>
        </is>
      </c>
      <c r="F64" t="inlineStr">
        <is>
          <t>Bộ</t>
        </is>
      </c>
      <c r="G64" s="20" t="n">
        <v>1</v>
      </c>
      <c r="H64" s="16">
        <f>'00_TONG_HOP_BAO_GIA'!G19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Cơ cấu liên động cánh (1 bộ)</t>
        </is>
      </c>
    </row>
    <row r="65">
      <c r="A65" t="inlineStr">
        <is>
          <t>SW-DAMPER-018-ECCENTRIC</t>
        </is>
      </c>
      <c r="B65" t="inlineStr">
        <is>
          <t>SW-DAMPER-018</t>
        </is>
      </c>
      <c r="C65" t="inlineStr">
        <is>
          <t>Cơ cấu lệch tâm / Lò xo đóng mở (NRD)</t>
        </is>
      </c>
      <c r="D65" t="inlineStr">
        <is>
          <t>PHỤ_KIỆN_VAN</t>
        </is>
      </c>
      <c r="E65" t="inlineStr">
        <is>
          <t>ECCENTRIC_SHAFT</t>
        </is>
      </c>
      <c r="F65" t="inlineStr">
        <is>
          <t>Bộ</t>
        </is>
      </c>
      <c r="G65" s="20" t="n">
        <v>1</v>
      </c>
      <c r="H65" s="16">
        <f>'00_TONG_HOP_BAO_GIA'!G19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Cơ cấu đóng mở một chiều</t>
        </is>
      </c>
    </row>
    <row r="66">
      <c r="A66" t="inlineStr">
        <is>
          <t>SW-DAMPER-020-BODY</t>
        </is>
      </c>
      <c r="B66" t="inlineStr">
        <is>
          <t>SW-DAMPER-020</t>
        </is>
      </c>
      <c r="C66" t="inlineStr">
        <is>
          <t>Thân vỏ van NRD bích C30/TDF (0.75mm)</t>
        </is>
      </c>
      <c r="D66" t="inlineStr">
        <is>
          <t>TÔN_CUỘN_MẠ_KẼM</t>
        </is>
      </c>
      <c r="E66" t="inlineStr">
        <is>
          <t>MAT-STEEL-PN-0.75</t>
        </is>
      </c>
      <c r="F66" t="inlineStr">
        <is>
          <t>kg</t>
        </is>
      </c>
      <c r="G66" s="20" t="n">
        <v>1.951908997506971</v>
      </c>
      <c r="H66" s="16">
        <f>'00_TONG_HOP_BAO_GIA'!G21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Kích thước vỏ 600x300x210mm</t>
        </is>
      </c>
    </row>
    <row r="67">
      <c r="A67" t="inlineStr">
        <is>
          <t>SW-DAMPER-020-BLADE</t>
        </is>
      </c>
      <c r="B67" t="inlineStr">
        <is>
          <t>SW-DAMPER-020</t>
        </is>
      </c>
      <c r="C67" t="inlineStr">
        <is>
          <t>Lá cánh / Tôn tấm bọc van (2 cánh)</t>
        </is>
      </c>
      <c r="D67" t="inlineStr">
        <is>
          <t>TÔN_CUỘN_MẠ_KẼM</t>
        </is>
      </c>
      <c r="E67" t="inlineStr">
        <is>
          <t>MAT-STEEL-PN-0.75</t>
        </is>
      </c>
      <c r="F67" t="inlineStr">
        <is>
          <t>kg</t>
        </is>
      </c>
      <c r="G67" s="20" t="n">
        <v>0.7949655988071869</v>
      </c>
      <c r="H67" s="16">
        <f>'00_TONG_HOP_BAO_GIA'!G21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2 cánh cao 170mm</t>
        </is>
      </c>
    </row>
    <row r="68">
      <c r="A68" t="inlineStr">
        <is>
          <t>SW-DAMPER-020-AXLE</t>
        </is>
      </c>
      <c r="B68" t="inlineStr">
        <is>
          <t>SW-DAMPER-020</t>
        </is>
      </c>
      <c r="C68" t="inlineStr">
        <is>
          <t>Trục Sus 201 D10</t>
        </is>
      </c>
      <c r="D68" t="inlineStr">
        <is>
          <t>PHỤ_KIỆN_VAN</t>
        </is>
      </c>
      <c r="E68" t="inlineStr">
        <is>
          <t>MAT-DAMPER-TRUC-SUS-201-D10</t>
        </is>
      </c>
      <c r="F68" t="inlineStr">
        <is>
          <t>m</t>
        </is>
      </c>
      <c r="G68" s="20" t="n">
        <v>0.8089793270591062</v>
      </c>
      <c r="H68" s="16">
        <f>'00_TONG_HOP_BAO_GIA'!G21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2 trục dài 660mm</t>
        </is>
      </c>
    </row>
    <row r="69">
      <c r="A69" t="inlineStr">
        <is>
          <t>SW-DAMPER-020-BEARING</t>
        </is>
      </c>
      <c r="B69" t="inlineStr">
        <is>
          <t>SW-DAMPER-020</t>
        </is>
      </c>
      <c r="C69" t="inlineStr">
        <is>
          <t>Bạc đồng D10</t>
        </is>
      </c>
      <c r="D69" t="inlineStr">
        <is>
          <t>PHỤ_KIỆN_VAN</t>
        </is>
      </c>
      <c r="E69" t="inlineStr">
        <is>
          <t>MAT-DAMPER-BAC-DONG-D10</t>
        </is>
      </c>
      <c r="F69" t="inlineStr">
        <is>
          <t>Đôi</t>
        </is>
      </c>
      <c r="G69" s="20" t="n">
        <v>2</v>
      </c>
      <c r="H69" s="16">
        <f>'00_TONG_HOP_BAO_GIA'!G21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2 đôi bạc đỡ 2 bên thân</t>
        </is>
      </c>
    </row>
    <row r="70">
      <c r="A70" t="inlineStr">
        <is>
          <t>SW-DAMPER-020-GEAR</t>
        </is>
      </c>
      <c r="B70" t="inlineStr">
        <is>
          <t>SW-DAMPER-020</t>
        </is>
      </c>
      <c r="C70" t="inlineStr">
        <is>
          <t>Bánh răng van nhôm</t>
        </is>
      </c>
      <c r="D70" t="inlineStr">
        <is>
          <t>PHỤ_KIỆN_VAN</t>
        </is>
      </c>
      <c r="E70" t="inlineStr">
        <is>
          <t>MAT-DAMPER-BANH-RANG-VAN-NHOM</t>
        </is>
      </c>
      <c r="F70" t="inlineStr">
        <is>
          <t>Bộ</t>
        </is>
      </c>
      <c r="G70" s="20" t="n">
        <v>1</v>
      </c>
      <c r="H70" s="16">
        <f>'00_TONG_HOP_BAO_GIA'!G21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Cơ cấu liên động cánh (1 bộ)</t>
        </is>
      </c>
    </row>
    <row r="71">
      <c r="A71" t="inlineStr">
        <is>
          <t>SW-DAMPER-020-ECCENTRIC</t>
        </is>
      </c>
      <c r="B71" t="inlineStr">
        <is>
          <t>SW-DAMPER-020</t>
        </is>
      </c>
      <c r="C71" t="inlineStr">
        <is>
          <t>Cơ cấu lệch tâm / Lò xo đóng mở (NRD)</t>
        </is>
      </c>
      <c r="D71" t="inlineStr">
        <is>
          <t>PHỤ_KIỆN_VAN</t>
        </is>
      </c>
      <c r="E71" t="inlineStr">
        <is>
          <t>ECCENTRIC_SHAFT</t>
        </is>
      </c>
      <c r="F71" t="inlineStr">
        <is>
          <t>Bộ</t>
        </is>
      </c>
      <c r="G71" s="20" t="n">
        <v>1</v>
      </c>
      <c r="H71" s="16">
        <f>'00_TONG_HOP_BAO_GIA'!G21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Cơ cấu đóng mở một chiều</t>
        </is>
      </c>
    </row>
    <row r="72">
      <c r="A72" t="inlineStr">
        <is>
          <t>SW-DAMPER-023-BODY</t>
        </is>
      </c>
      <c r="B72" t="inlineStr">
        <is>
          <t>SW-DAMPER-023</t>
        </is>
      </c>
      <c r="C72" t="inlineStr">
        <is>
          <t>Thân vỏ van MFD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20" t="n">
        <v>11.01184956095909</v>
      </c>
      <c r="H72" s="16">
        <f>'00_TONG_HOP_BAO_GIA'!G24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Kích thước vỏ 1200x550x200mm</t>
        </is>
      </c>
    </row>
    <row r="73">
      <c r="A73" t="inlineStr">
        <is>
          <t>SW-DAMPER-023-BLADE</t>
        </is>
      </c>
      <c r="B73" t="inlineStr">
        <is>
          <t>SW-DAMPER-023</t>
        </is>
      </c>
      <c r="C73" t="inlineStr">
        <is>
          <t>Lá cánh / Tôn tấm bọc van (1 cánh)</t>
        </is>
      </c>
      <c r="D73" t="inlineStr">
        <is>
          <t>TÔN_CUỘN_MẠ_KẼM</t>
        </is>
      </c>
      <c r="E73" t="inlineStr">
        <is>
          <t>MAT-STEEL-PN-1.15</t>
        </is>
      </c>
      <c r="F73" t="inlineStr">
        <is>
          <t>kg</t>
        </is>
      </c>
      <c r="G73" s="20" t="n">
        <v>14.48364513443338</v>
      </c>
      <c r="H73" s="16">
        <f>'00_TONG_HOP_BAO_GIA'!G24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Tôn bọc cánh &amp; thân (1 cánh/modul)</t>
        </is>
      </c>
    </row>
    <row r="74">
      <c r="A74" t="inlineStr">
        <is>
          <t>SW-DAMPER-023-AXLE</t>
        </is>
      </c>
      <c r="B74" t="inlineStr">
        <is>
          <t>SW-DAMPER-023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20" t="n">
        <v>1.531464705435921</v>
      </c>
      <c r="H74" s="16">
        <f>'00_TONG_HOP_BAO_GIA'!G24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1 trục dài 1260mm</t>
        </is>
      </c>
    </row>
    <row r="75">
      <c r="A75" t="inlineStr">
        <is>
          <t>SW-DAMPER-023-BEARING</t>
        </is>
      </c>
      <c r="B75" t="inlineStr">
        <is>
          <t>SW-DAMPER-023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20" t="n">
        <v>1</v>
      </c>
      <c r="H75" s="16">
        <f>'00_TONG_HOP_BAO_GIA'!G24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1 đôi bạc đỡ 2 bên thân</t>
        </is>
      </c>
    </row>
    <row r="76">
      <c r="A76" t="inlineStr">
        <is>
          <t>SW-DAMPER-023-ACTUATOR</t>
        </is>
      </c>
      <c r="B76" t="inlineStr">
        <is>
          <t>SW-DAMPER-023</t>
        </is>
      </c>
      <c r="C76" t="inlineStr">
        <is>
          <t>Động cơ chặn lửa ON/OFF KLB (Swin V6006FS500S EI90) 5Nm</t>
        </is>
      </c>
      <c r="D76" t="inlineStr">
        <is>
          <t>ĐỘNG_CƠ_VÀ_CẢM_BIẾN</t>
        </is>
      </c>
      <c r="E76" t="inlineStr">
        <is>
          <t>MAT-ACTUATOR-KLB-V6006FS500S</t>
        </is>
      </c>
      <c r="F76" t="inlineStr">
        <is>
          <t>Cái</t>
        </is>
      </c>
      <c r="G76" s="20" t="n">
        <v>1</v>
      </c>
      <c r="H76" s="16">
        <f>'00_TONG_HOP_BAO_GIA'!G24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Động cơ lò xo phản hồi MFD (1 bộ)</t>
        </is>
      </c>
    </row>
    <row r="77">
      <c r="A77" t="inlineStr">
        <is>
          <t>SW-DAMPER-023-FB10-BODY</t>
        </is>
      </c>
      <c r="B77" t="inlineStr">
        <is>
          <t>SW-DAMPER-023</t>
        </is>
      </c>
      <c r="C77" t="inlineStr">
        <is>
          <t>Tấm chống cháy dày 10mm bọc thân van FD/MFD (2 lớp)</t>
        </is>
      </c>
      <c r="D77" t="inlineStr">
        <is>
          <t>VẬT_LIỆU_CÁCH_NHIỆT</t>
        </is>
      </c>
      <c r="E77" t="inlineStr">
        <is>
          <t>MAT-FIREBOARD-10MM-BODY</t>
        </is>
      </c>
      <c r="F77" t="inlineStr">
        <is>
          <t>m2</t>
        </is>
      </c>
      <c r="G77" s="20" t="n">
        <v>2.552441175726535</v>
      </c>
      <c r="H77" s="16">
        <f>'00_TONG_HOP_BAO_GIA'!G24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Bọc 2 lớp tấm 10mm quanh thân L=300mm</t>
        </is>
      </c>
    </row>
    <row r="78">
      <c r="A78" t="inlineStr">
        <is>
          <t>SW-DAMPER-023-FB20-BLADE</t>
        </is>
      </c>
      <c r="B78" t="inlineStr">
        <is>
          <t>SW-DAMPER-023</t>
        </is>
      </c>
      <c r="C78" t="inlineStr">
        <is>
          <t>Tấm chống cháy dày 20mm làm lõi cánh van FD/MFD</t>
        </is>
      </c>
      <c r="D78" t="inlineStr">
        <is>
          <t>VẬT_LIỆU_CÁCH_NHIỆT</t>
        </is>
      </c>
      <c r="E78" t="inlineStr">
        <is>
          <t>MAT-FIREBOARD-20MM-BLADE</t>
        </is>
      </c>
      <c r="F78" t="inlineStr">
        <is>
          <t>m2</t>
        </is>
      </c>
      <c r="G78" s="20" t="n">
        <v>0.8021957980854824</v>
      </c>
      <c r="H78" s="16">
        <f>'00_TONG_HOP_BAO_GIA'!G24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Lõi cánh tấm 20mm (Cánh đơn 1200x550mm)</t>
        </is>
      </c>
    </row>
    <row r="79">
      <c r="A79" t="inlineStr">
        <is>
          <t>SW-DAMPER-023-FB10-BLADE</t>
        </is>
      </c>
      <c r="B79" t="inlineStr">
        <is>
          <t>SW-DAMPER-023</t>
        </is>
      </c>
      <c r="C79" t="inlineStr">
        <is>
          <t>Tấm chống cháy dày 10mm ốp 2 mặt cánh van FD/MFD</t>
        </is>
      </c>
      <c r="D79" t="inlineStr">
        <is>
          <t>VẬT_LIỆU_CÁCH_NHIỆT</t>
        </is>
      </c>
      <c r="E79" t="inlineStr">
        <is>
          <t>MAT-FIREBOARD-10MM-BLADE</t>
        </is>
      </c>
      <c r="F79" t="inlineStr">
        <is>
          <t>m2</t>
        </is>
      </c>
      <c r="G79" s="20" t="n">
        <v>1.604391596170965</v>
      </c>
      <c r="H79" s="16">
        <f>'00_TONG_HOP_BAO_GIA'!G24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Ốp 2 mặt cánh tấm 10mm (Cánh đơn 1200x550mm)</t>
        </is>
      </c>
    </row>
    <row r="80">
      <c r="A80" t="inlineStr">
        <is>
          <t>SW-DAMPER-023-SPRING-BOX</t>
        </is>
      </c>
      <c r="B80" t="inlineStr">
        <is>
          <t>SW-DAMPER-023</t>
        </is>
      </c>
      <c r="C80" t="inlineStr">
        <is>
          <t>Hộp lò xo van chặn lửa FD/MFD</t>
        </is>
      </c>
      <c r="D80" t="inlineStr">
        <is>
          <t>PHỤ_KIỆN_VAN</t>
        </is>
      </c>
      <c r="E80" t="inlineStr">
        <is>
          <t>MAT-DAMPER-HOP-LO-XO</t>
        </is>
      </c>
      <c r="F80" t="inlineStr">
        <is>
          <t>Bộ</t>
        </is>
      </c>
      <c r="G80" s="20" t="n">
        <v>1</v>
      </c>
      <c r="H80" s="16">
        <f>'00_TONG_HOP_BAO_GIA'!G24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Hộp lò xo cơ cấu đóng sập (1 bộ)</t>
        </is>
      </c>
    </row>
    <row r="81">
      <c r="A81" t="inlineStr">
        <is>
          <t>SW-DAMPER-023-SILICON-BOLT</t>
        </is>
      </c>
      <c r="B81" t="inlineStr">
        <is>
          <t>SW-DAMPER-023</t>
        </is>
      </c>
      <c r="C81" t="inlineStr">
        <is>
          <t>Silicon chống cháy + bu lông, ốc vít van FD/MFD</t>
        </is>
      </c>
      <c r="D81" t="inlineStr">
        <is>
          <t>PHỤ_KIỆN_VAN</t>
        </is>
      </c>
      <c r="E81" t="inlineStr">
        <is>
          <t>MAT-DAMPER-SILICON-BULONG-VIT</t>
        </is>
      </c>
      <c r="F81" t="inlineStr">
        <is>
          <t>Bộ</t>
        </is>
      </c>
      <c r="G81" s="20" t="n">
        <v>1</v>
      </c>
      <c r="H81" s="16">
        <f>'00_TONG_HOP_BAO_GIA'!G24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Keo silicon chống cháy &amp; phụ kiện lắp ghép (1 bộ)</t>
        </is>
      </c>
    </row>
    <row r="82">
      <c r="A82" t="inlineStr">
        <is>
          <t>SW-DAMPER-025-BODY</t>
        </is>
      </c>
      <c r="B82" t="inlineStr">
        <is>
          <t>SW-DAMPER-025</t>
        </is>
      </c>
      <c r="C82" t="inlineStr">
        <is>
          <t>Thân vỏ van MFD bích C30/TDF (1.15mm)</t>
        </is>
      </c>
      <c r="D82" t="inlineStr">
        <is>
          <t>TÔN_CUỘN_MẠ_KẼM</t>
        </is>
      </c>
      <c r="E82" t="inlineStr">
        <is>
          <t>MAT-STEEL-PN-1.15</t>
        </is>
      </c>
      <c r="F82" t="inlineStr">
        <is>
          <t>kg</t>
        </is>
      </c>
      <c r="G82" s="20" t="n">
        <v>10.04704861088303</v>
      </c>
      <c r="H82" s="16">
        <f>'00_TONG_HOP_BAO_GIA'!G26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Kích thước vỏ 1200x400x200mm</t>
        </is>
      </c>
    </row>
    <row r="83">
      <c r="A83" t="inlineStr">
        <is>
          <t>SW-DAMPER-025-BLADE</t>
        </is>
      </c>
      <c r="B83" t="inlineStr">
        <is>
          <t>SW-DAMPER-025</t>
        </is>
      </c>
      <c r="C83" t="inlineStr">
        <is>
          <t>Lá cánh / Tôn tấm bọc van (1 cánh)</t>
        </is>
      </c>
      <c r="D83" t="inlineStr">
        <is>
          <t>TÔN_CUỘN_MẠ_KẼM</t>
        </is>
      </c>
      <c r="E83" t="inlineStr">
        <is>
          <t>MAT-STEEL-PN-1.15</t>
        </is>
      </c>
      <c r="F83" t="inlineStr">
        <is>
          <t>kg</t>
        </is>
      </c>
      <c r="G83" s="20" t="n">
        <v>10.50054071292236</v>
      </c>
      <c r="H83" s="16">
        <f>'00_TONG_HOP_BAO_GIA'!G26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Tôn bọc cánh &amp; thân (1 cánh/modul)</t>
        </is>
      </c>
    </row>
    <row r="84">
      <c r="A84" t="inlineStr">
        <is>
          <t>SW-DAMPER-025-AXLE</t>
        </is>
      </c>
      <c r="B84" t="inlineStr">
        <is>
          <t>SW-DAMPER-025</t>
        </is>
      </c>
      <c r="C84" t="inlineStr">
        <is>
          <t>Trục Sus 201 D10</t>
        </is>
      </c>
      <c r="D84" t="inlineStr">
        <is>
          <t>PHỤ_KIỆN_VAN</t>
        </is>
      </c>
      <c r="E84" t="inlineStr">
        <is>
          <t>MAT-DAMPER-TRUC-SUS-201-D10</t>
        </is>
      </c>
      <c r="F84" t="inlineStr">
        <is>
          <t>m</t>
        </is>
      </c>
      <c r="G84" s="20" t="n">
        <v>1.526664047157087</v>
      </c>
      <c r="H84" s="16">
        <f>'00_TONG_HOP_BAO_GIA'!G26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1 trục dài 1260mm</t>
        </is>
      </c>
    </row>
    <row r="85">
      <c r="A85" t="inlineStr">
        <is>
          <t>SW-DAMPER-025-BEARING</t>
        </is>
      </c>
      <c r="B85" t="inlineStr">
        <is>
          <t>SW-DAMPER-025</t>
        </is>
      </c>
      <c r="C85" t="inlineStr">
        <is>
          <t>Bạc đồng D10</t>
        </is>
      </c>
      <c r="D85" t="inlineStr">
        <is>
          <t>PHỤ_KIỆN_VAN</t>
        </is>
      </c>
      <c r="E85" t="inlineStr">
        <is>
          <t>MAT-DAMPER-BAC-DONG-D10</t>
        </is>
      </c>
      <c r="F85" t="inlineStr">
        <is>
          <t>Đôi</t>
        </is>
      </c>
      <c r="G85" s="20" t="n">
        <v>1</v>
      </c>
      <c r="H85" s="16">
        <f>'00_TONG_HOP_BAO_GIA'!G26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1 đôi bạc đỡ 2 bên thân</t>
        </is>
      </c>
    </row>
    <row r="86">
      <c r="A86" t="inlineStr">
        <is>
          <t>SW-DAMPER-025-ACTUATOR</t>
        </is>
      </c>
      <c r="B86" t="inlineStr">
        <is>
          <t>SW-DAMPER-025</t>
        </is>
      </c>
      <c r="C86" t="inlineStr">
        <is>
          <t>Động cơ chặn lửa ON/OFF KLB (Swin V6006FS500S EI90) 5Nm</t>
        </is>
      </c>
      <c r="D86" t="inlineStr">
        <is>
          <t>ĐỘNG_CƠ_VÀ_CẢM_BIẾN</t>
        </is>
      </c>
      <c r="E86" t="inlineStr">
        <is>
          <t>MAT-ACTUATOR-KLB-V6006FS500S</t>
        </is>
      </c>
      <c r="F86" t="inlineStr">
        <is>
          <t>Cái</t>
        </is>
      </c>
      <c r="G86" s="20" t="n">
        <v>1</v>
      </c>
      <c r="H86" s="16">
        <f>'00_TONG_HOP_BAO_GIA'!G26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Động cơ lò xo phản hồi MFD (1 bộ)</t>
        </is>
      </c>
    </row>
    <row r="87">
      <c r="A87" t="inlineStr">
        <is>
          <t>SW-DAMPER-025-FB10-BODY</t>
        </is>
      </c>
      <c r="B87" t="inlineStr">
        <is>
          <t>SW-DAMPER-025</t>
        </is>
      </c>
      <c r="C87" t="inlineStr">
        <is>
          <t>Tấm chống cháy dày 10mm bọc thân van FD/MFD (2 lớp)</t>
        </is>
      </c>
      <c r="D87" t="inlineStr">
        <is>
          <t>VẬT_LIỆU_CÁCH_NHIỆT</t>
        </is>
      </c>
      <c r="E87" t="inlineStr">
        <is>
          <t>MAT-FIREBOARD-10MM-BODY</t>
        </is>
      </c>
      <c r="F87" t="inlineStr">
        <is>
          <t>m2</t>
        </is>
      </c>
      <c r="G87" s="20" t="n">
        <v>2.326345214715562</v>
      </c>
      <c r="H87" s="16">
        <f>'00_TONG_HOP_BAO_GIA'!G26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Bọc 2 lớp tấm 10mm quanh thân L=300mm</t>
        </is>
      </c>
    </row>
    <row r="88">
      <c r="A88" t="inlineStr">
        <is>
          <t>SW-DAMPER-025-FB20-BLADE</t>
        </is>
      </c>
      <c r="B88" t="inlineStr">
        <is>
          <t>SW-DAMPER-025</t>
        </is>
      </c>
      <c r="C88" t="inlineStr">
        <is>
          <t>Tấm chống cháy dày 20mm làm lõi cánh van FD/MFD</t>
        </is>
      </c>
      <c r="D88" t="inlineStr">
        <is>
          <t>VẬT_LIỆU_CÁCH_NHIỆT</t>
        </is>
      </c>
      <c r="E88" t="inlineStr">
        <is>
          <t>MAT-FIREBOARD-20MM-BLADE</t>
        </is>
      </c>
      <c r="F88" t="inlineStr">
        <is>
          <t>m2</t>
        </is>
      </c>
      <c r="G88" s="20" t="n">
        <v>0.5815863036788904</v>
      </c>
      <c r="H88" s="16">
        <f>'00_TONG_HOP_BAO_GIA'!G26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Lõi cánh tấm 20mm (Cánh đơn 1200x400mm)</t>
        </is>
      </c>
    </row>
    <row r="89">
      <c r="A89" t="inlineStr">
        <is>
          <t>SW-DAMPER-025-FB10-BLADE</t>
        </is>
      </c>
      <c r="B89" t="inlineStr">
        <is>
          <t>SW-DAMPER-025</t>
        </is>
      </c>
      <c r="C89" t="inlineStr">
        <is>
          <t>Tấm chống cháy dày 10mm ốp 2 mặt cánh van FD/MFD</t>
        </is>
      </c>
      <c r="D89" t="inlineStr">
        <is>
          <t>VẬT_LIỆU_CÁCH_NHIỆT</t>
        </is>
      </c>
      <c r="E89" t="inlineStr">
        <is>
          <t>MAT-FIREBOARD-10MM-BLADE</t>
        </is>
      </c>
      <c r="F89" t="inlineStr">
        <is>
          <t>m2</t>
        </is>
      </c>
      <c r="G89" s="20" t="n">
        <v>1.163172607357781</v>
      </c>
      <c r="H89" s="16">
        <f>'00_TONG_HOP_BAO_GIA'!G26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Ốp 2 mặt cánh tấm 10mm (Cánh đơn 1200x400mm)</t>
        </is>
      </c>
    </row>
    <row r="90">
      <c r="A90" t="inlineStr">
        <is>
          <t>SW-DAMPER-025-SPRING-BOX</t>
        </is>
      </c>
      <c r="B90" t="inlineStr">
        <is>
          <t>SW-DAMPER-025</t>
        </is>
      </c>
      <c r="C90" t="inlineStr">
        <is>
          <t>Hộp lò xo van chặn lửa FD/MFD</t>
        </is>
      </c>
      <c r="D90" t="inlineStr">
        <is>
          <t>PHỤ_KIỆN_VAN</t>
        </is>
      </c>
      <c r="E90" t="inlineStr">
        <is>
          <t>MAT-DAMPER-HOP-LO-XO</t>
        </is>
      </c>
      <c r="F90" t="inlineStr">
        <is>
          <t>Bộ</t>
        </is>
      </c>
      <c r="G90" s="20" t="n">
        <v>1</v>
      </c>
      <c r="H90" s="16">
        <f>'00_TONG_HOP_BAO_GIA'!G26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Hộp lò xo cơ cấu đóng sập (1 bộ)</t>
        </is>
      </c>
    </row>
    <row r="91">
      <c r="A91" t="inlineStr">
        <is>
          <t>SW-DAMPER-025-SILICON-BOLT</t>
        </is>
      </c>
      <c r="B91" t="inlineStr">
        <is>
          <t>SW-DAMPER-025</t>
        </is>
      </c>
      <c r="C91" t="inlineStr">
        <is>
          <t>Silicon chống cháy + bu lông, ốc vít van FD/MFD</t>
        </is>
      </c>
      <c r="D91" t="inlineStr">
        <is>
          <t>PHỤ_KIỆN_VAN</t>
        </is>
      </c>
      <c r="E91" t="inlineStr">
        <is>
          <t>MAT-DAMPER-SILICON-BULONG-VIT</t>
        </is>
      </c>
      <c r="F91" t="inlineStr">
        <is>
          <t>Bộ</t>
        </is>
      </c>
      <c r="G91" s="20" t="n">
        <v>1</v>
      </c>
      <c r="H91" s="16">
        <f>'00_TONG_HOP_BAO_GIA'!G26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Keo silicon chống cháy &amp; phụ kiện lắp ghép (1 bộ)</t>
        </is>
      </c>
    </row>
    <row r="92">
      <c r="A92" t="inlineStr">
        <is>
          <t>SW-DAMPER-027-BODY</t>
        </is>
      </c>
      <c r="B92" t="inlineStr">
        <is>
          <t>SW-DAMPER-027</t>
        </is>
      </c>
      <c r="C92" t="inlineStr">
        <is>
          <t>Thân vỏ van MFD bích C30/TDF (1.15mm)</t>
        </is>
      </c>
      <c r="D92" t="inlineStr">
        <is>
          <t>TÔN_CUỘN_MẠ_KẼM</t>
        </is>
      </c>
      <c r="E92" t="inlineStr">
        <is>
          <t>MAT-STEEL-PN-1.15</t>
        </is>
      </c>
      <c r="F92" t="inlineStr">
        <is>
          <t>kg</t>
        </is>
      </c>
      <c r="G92" s="20" t="n">
        <v>11.2350803045863</v>
      </c>
      <c r="H92" s="16">
        <f>'00_TONG_HOP_BAO_GIA'!G28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Kích thước vỏ 1400x400x200mm</t>
        </is>
      </c>
    </row>
    <row r="93">
      <c r="A93" t="inlineStr">
        <is>
          <t>SW-DAMPER-027-BLADE</t>
        </is>
      </c>
      <c r="B93" t="inlineStr">
        <is>
          <t>SW-DAMPER-027</t>
        </is>
      </c>
      <c r="C93" t="inlineStr">
        <is>
          <t>Lá cánh / Tôn tấm bọc van (1 cánh)</t>
        </is>
      </c>
      <c r="D93" t="inlineStr">
        <is>
          <t>TÔN_CUỘN_MẠ_KẼM</t>
        </is>
      </c>
      <c r="E93" t="inlineStr">
        <is>
          <t>MAT-STEEL-PN-1.15</t>
        </is>
      </c>
      <c r="F93" t="inlineStr">
        <is>
          <t>kg</t>
        </is>
      </c>
      <c r="G93" s="20" t="n">
        <v>12.19381935106368</v>
      </c>
      <c r="H93" s="16">
        <f>'00_TONG_HOP_BAO_GIA'!G28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Tôn bọc cánh &amp; thân (1 cánh/modul)</t>
        </is>
      </c>
    </row>
    <row r="94">
      <c r="A94" t="inlineStr">
        <is>
          <t>SW-DAMPER-027-AXLE</t>
        </is>
      </c>
      <c r="B94" t="inlineStr">
        <is>
          <t>SW-DAMPER-027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20" t="n">
        <v>1.760788093182832</v>
      </c>
      <c r="H94" s="16">
        <f>'00_TONG_HOP_BAO_GIA'!G28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1 trục dài 1460mm</t>
        </is>
      </c>
    </row>
    <row r="95">
      <c r="A95" t="inlineStr">
        <is>
          <t>SW-DAMPER-027-BEARING</t>
        </is>
      </c>
      <c r="B95" t="inlineStr">
        <is>
          <t>SW-DAMPER-027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20" t="n">
        <v>1</v>
      </c>
      <c r="H95" s="16">
        <f>'00_TONG_HOP_BAO_GIA'!G28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1 đôi bạc đỡ 2 bên thân</t>
        </is>
      </c>
    </row>
    <row r="96">
      <c r="A96" t="inlineStr">
        <is>
          <t>SW-DAMPER-027-ACTUATOR</t>
        </is>
      </c>
      <c r="B96" t="inlineStr">
        <is>
          <t>SW-DAMPER-027</t>
        </is>
      </c>
      <c r="C96" t="inlineStr">
        <is>
          <t>Động cơ chặn lửa ON/OFF KLB (Swin V6006FS500S EI90) 5Nm</t>
        </is>
      </c>
      <c r="D96" t="inlineStr">
        <is>
          <t>ĐỘNG_CƠ_VÀ_CẢM_BIẾN</t>
        </is>
      </c>
      <c r="E96" t="inlineStr">
        <is>
          <t>MAT-ACTUATOR-KLB-V6006FS500S</t>
        </is>
      </c>
      <c r="F96" t="inlineStr">
        <is>
          <t>Cái</t>
        </is>
      </c>
      <c r="G96" s="20" t="n">
        <v>1</v>
      </c>
      <c r="H96" s="16">
        <f>'00_TONG_HOP_BAO_GIA'!G28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Động cơ lò xo phản hồi MFD (1 bộ)</t>
        </is>
      </c>
    </row>
    <row r="97">
      <c r="A97" t="inlineStr">
        <is>
          <t>SW-DAMPER-027-FB10-BODY</t>
        </is>
      </c>
      <c r="B97" t="inlineStr">
        <is>
          <t>SW-DAMPER-027</t>
        </is>
      </c>
      <c r="C97" t="inlineStr">
        <is>
          <t>Tấm chống cháy dày 10mm bọc thân van FD/MFD (2 lớp)</t>
        </is>
      </c>
      <c r="D97" t="inlineStr">
        <is>
          <t>VẬT_LIỆU_CÁCH_NHIỆT</t>
        </is>
      </c>
      <c r="E97" t="inlineStr">
        <is>
          <t>MAT-FIREBOARD-10MM-BODY</t>
        </is>
      </c>
      <c r="F97" t="inlineStr">
        <is>
          <t>m2</t>
        </is>
      </c>
      <c r="G97" s="20" t="n">
        <v>2.605001562517067</v>
      </c>
      <c r="H97" s="16">
        <f>'00_TONG_HOP_BAO_GIA'!G28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Bọc 2 lớp tấm 10mm quanh thân L=300mm</t>
        </is>
      </c>
    </row>
    <row r="98">
      <c r="A98" t="inlineStr">
        <is>
          <t>SW-DAMPER-027-FB20-BLADE</t>
        </is>
      </c>
      <c r="B98" t="inlineStr">
        <is>
          <t>SW-DAMPER-027</t>
        </is>
      </c>
      <c r="C98" t="inlineStr">
        <is>
          <t>Tấm chống cháy dày 20mm làm lõi cánh van FD/MFD</t>
        </is>
      </c>
      <c r="D98" t="inlineStr">
        <is>
          <t>VẬT_LIỆU_CÁCH_NHIỆT</t>
        </is>
      </c>
      <c r="E98" t="inlineStr">
        <is>
          <t>MAT-FIREBOARD-20MM-BLADE</t>
        </is>
      </c>
      <c r="F98" t="inlineStr">
        <is>
          <t>m2</t>
        </is>
      </c>
      <c r="G98" s="20" t="n">
        <v>0.6753707754673877</v>
      </c>
      <c r="H98" s="16">
        <f>'00_TONG_HOP_BAO_GIA'!G28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Lõi cánh tấm 20mm (Cánh đơn 1400x400mm)</t>
        </is>
      </c>
    </row>
    <row r="99">
      <c r="A99" t="inlineStr">
        <is>
          <t>SW-DAMPER-027-FB10-BLADE</t>
        </is>
      </c>
      <c r="B99" t="inlineStr">
        <is>
          <t>SW-DAMPER-027</t>
        </is>
      </c>
      <c r="C99" t="inlineStr">
        <is>
          <t>Tấm chống cháy dày 10mm ốp 2 mặt cánh van FD/MFD</t>
        </is>
      </c>
      <c r="D99" t="inlineStr">
        <is>
          <t>VẬT_LIỆU_CÁCH_NHIỆT</t>
        </is>
      </c>
      <c r="E99" t="inlineStr">
        <is>
          <t>MAT-FIREBOARD-10MM-BLADE</t>
        </is>
      </c>
      <c r="F99" t="inlineStr">
        <is>
          <t>m2</t>
        </is>
      </c>
      <c r="G99" s="20" t="n">
        <v>1.350741550934775</v>
      </c>
      <c r="H99" s="16">
        <f>'00_TONG_HOP_BAO_GIA'!G28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Ốp 2 mặt cánh tấm 10mm (Cánh đơn 1400x400mm)</t>
        </is>
      </c>
    </row>
    <row r="100">
      <c r="A100" t="inlineStr">
        <is>
          <t>SW-DAMPER-027-SPRING-BOX</t>
        </is>
      </c>
      <c r="B100" t="inlineStr">
        <is>
          <t>SW-DAMPER-027</t>
        </is>
      </c>
      <c r="C100" t="inlineStr">
        <is>
          <t>Hộp lò xo van chặn lửa FD/MFD</t>
        </is>
      </c>
      <c r="D100" t="inlineStr">
        <is>
          <t>PHỤ_KIỆN_VAN</t>
        </is>
      </c>
      <c r="E100" t="inlineStr">
        <is>
          <t>MAT-DAMPER-HOP-LO-XO</t>
        </is>
      </c>
      <c r="F100" t="inlineStr">
        <is>
          <t>Bộ</t>
        </is>
      </c>
      <c r="G100" s="20" t="n">
        <v>1</v>
      </c>
      <c r="H100" s="16">
        <f>'00_TONG_HOP_BAO_GIA'!G28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Hộp lò xo cơ cấu đóng sập (1 bộ)</t>
        </is>
      </c>
    </row>
    <row r="101">
      <c r="A101" t="inlineStr">
        <is>
          <t>SW-DAMPER-027-SILICON-BOLT</t>
        </is>
      </c>
      <c r="B101" t="inlineStr">
        <is>
          <t>SW-DAMPER-027</t>
        </is>
      </c>
      <c r="C101" t="inlineStr">
        <is>
          <t>Silicon chống cháy + bu lông, ốc vít van FD/MFD</t>
        </is>
      </c>
      <c r="D101" t="inlineStr">
        <is>
          <t>PHỤ_KIỆN_VAN</t>
        </is>
      </c>
      <c r="E101" t="inlineStr">
        <is>
          <t>MAT-DAMPER-SILICON-BULONG-VIT</t>
        </is>
      </c>
      <c r="F101" t="inlineStr">
        <is>
          <t>Bộ</t>
        </is>
      </c>
      <c r="G101" s="20" t="n">
        <v>1</v>
      </c>
      <c r="H101" s="16">
        <f>'00_TONG_HOP_BAO_GIA'!G28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Keo silicon chống cháy &amp; phụ kiện lắp ghép (1 bộ)</t>
        </is>
      </c>
    </row>
    <row r="102">
      <c r="A102" t="inlineStr">
        <is>
          <t>SW-DAMPER-029-BODY</t>
        </is>
      </c>
      <c r="B102" t="inlineStr">
        <is>
          <t>SW-DAMPER-029</t>
        </is>
      </c>
      <c r="C102" t="inlineStr">
        <is>
          <t>Thân vỏ van NRD bích C30/TDF (1.15mm)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0" t="n">
        <v>10.56523641638746</v>
      </c>
      <c r="H102" s="16">
        <f>'00_TONG_HOP_BAO_GIA'!G30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Kích thước vỏ 1200x550x210mm</t>
        </is>
      </c>
    </row>
    <row r="103">
      <c r="A103" t="inlineStr">
        <is>
          <t>SW-DAMPER-029-BLADE</t>
        </is>
      </c>
      <c r="B103" t="inlineStr">
        <is>
          <t>SW-DAMPER-029</t>
        </is>
      </c>
      <c r="C103" t="inlineStr">
        <is>
          <t>Lá cánh / Tôn tấm bọc van (4 cánh)</t>
        </is>
      </c>
      <c r="D103" t="inlineStr">
        <is>
          <t>TÔN_CUỘN_MẠ_KẼM</t>
        </is>
      </c>
      <c r="E103" t="inlineStr">
        <is>
          <t>MAT-STEEL-PN-0.75</t>
        </is>
      </c>
      <c r="F103" t="inlineStr">
        <is>
          <t>kg</t>
        </is>
      </c>
      <c r="G103" s="20" t="n">
        <v>5.405521526859992</v>
      </c>
      <c r="H103" s="16">
        <f>'00_TONG_HOP_BAO_GIA'!G30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4 cánh cao 158mm</t>
        </is>
      </c>
    </row>
    <row r="104">
      <c r="A104" t="inlineStr">
        <is>
          <t>SW-DAMPER-029-AXLE</t>
        </is>
      </c>
      <c r="B104" t="inlineStr">
        <is>
          <t>SW-DAMPER-029</t>
        </is>
      </c>
      <c r="C104" t="inlineStr">
        <is>
          <t>Trục Sus 201 D10</t>
        </is>
      </c>
      <c r="D104" t="inlineStr">
        <is>
          <t>PHỤ_KIỆN_VAN</t>
        </is>
      </c>
      <c r="E104" t="inlineStr">
        <is>
          <t>MAT-DAMPER-TRUC-SUS-201-D10</t>
        </is>
      </c>
      <c r="F104" t="inlineStr">
        <is>
          <t>m</t>
        </is>
      </c>
      <c r="G104" s="20" t="n">
        <v>5.66750179744698</v>
      </c>
      <c r="H104" s="16">
        <f>'00_TONG_HOP_BAO_GIA'!G30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4 trục dài 1260mm</t>
        </is>
      </c>
    </row>
    <row r="105">
      <c r="A105" t="inlineStr">
        <is>
          <t>SW-DAMPER-029-BEARING</t>
        </is>
      </c>
      <c r="B105" t="inlineStr">
        <is>
          <t>SW-DAMPER-029</t>
        </is>
      </c>
      <c r="C105" t="inlineStr">
        <is>
          <t>Bạc đồng D10</t>
        </is>
      </c>
      <c r="D105" t="inlineStr">
        <is>
          <t>PHỤ_KIỆN_VAN</t>
        </is>
      </c>
      <c r="E105" t="inlineStr">
        <is>
          <t>MAT-DAMPER-BAC-DONG-D10</t>
        </is>
      </c>
      <c r="F105" t="inlineStr">
        <is>
          <t>Đôi</t>
        </is>
      </c>
      <c r="G105" s="20" t="n">
        <v>4</v>
      </c>
      <c r="H105" s="16">
        <f>'00_TONG_HOP_BAO_GIA'!G30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4 đôi bạc đỡ 2 bên thân</t>
        </is>
      </c>
    </row>
    <row r="106">
      <c r="A106" t="inlineStr">
        <is>
          <t>SW-DAMPER-029-GEAR</t>
        </is>
      </c>
      <c r="B106" t="inlineStr">
        <is>
          <t>SW-DAMPER-029</t>
        </is>
      </c>
      <c r="C106" t="inlineStr">
        <is>
          <t>Bánh răng van nhôm</t>
        </is>
      </c>
      <c r="D106" t="inlineStr">
        <is>
          <t>PHỤ_KIỆN_VAN</t>
        </is>
      </c>
      <c r="E106" t="inlineStr">
        <is>
          <t>MAT-DAMPER-BANH-RANG-VAN-NHOM</t>
        </is>
      </c>
      <c r="F106" t="inlineStr">
        <is>
          <t>Bộ</t>
        </is>
      </c>
      <c r="G106" s="20" t="n">
        <v>1</v>
      </c>
      <c r="H106" s="16">
        <f>'00_TONG_HOP_BAO_GIA'!G30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Cơ cấu liên động cánh (1 bộ)</t>
        </is>
      </c>
    </row>
    <row r="107">
      <c r="A107" t="inlineStr">
        <is>
          <t>SW-DAMPER-029-ECCENTRIC</t>
        </is>
      </c>
      <c r="B107" t="inlineStr">
        <is>
          <t>SW-DAMPER-029</t>
        </is>
      </c>
      <c r="C107" t="inlineStr">
        <is>
          <t>Cơ cấu lệch tâm / Lò xo đóng mở (NRD)</t>
        </is>
      </c>
      <c r="D107" t="inlineStr">
        <is>
          <t>PHỤ_KIỆN_VAN</t>
        </is>
      </c>
      <c r="E107" t="inlineStr">
        <is>
          <t>ECCENTRIC_SHAFT</t>
        </is>
      </c>
      <c r="F107" t="inlineStr">
        <is>
          <t>Bộ</t>
        </is>
      </c>
      <c r="G107" s="20" t="n">
        <v>1</v>
      </c>
      <c r="H107" s="16">
        <f>'00_TONG_HOP_BAO_GIA'!G30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Cơ cấu đóng mở một chiều</t>
        </is>
      </c>
    </row>
    <row r="108">
      <c r="A108" t="inlineStr">
        <is>
          <t>SW-DAMPER-031-BODY</t>
        </is>
      </c>
      <c r="B108" t="inlineStr">
        <is>
          <t>SW-DAMPER-031</t>
        </is>
      </c>
      <c r="C108" t="inlineStr">
        <is>
          <t>Thân vỏ van NRD bích C30/TDF (1.15mm)</t>
        </is>
      </c>
      <c r="D108" t="inlineStr">
        <is>
          <t>TÔN_CUỘN_MẠ_KẼM</t>
        </is>
      </c>
      <c r="E108" t="inlineStr">
        <is>
          <t>MAT-STEEL-PN-1.15</t>
        </is>
      </c>
      <c r="F108" t="inlineStr">
        <is>
          <t>kg</t>
        </is>
      </c>
      <c r="G108" s="20" t="n">
        <v>10.61729546347295</v>
      </c>
      <c r="H108" s="16">
        <f>'00_TONG_HOP_BAO_GIA'!G32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Kích thước vỏ 1200x400x210mm</t>
        </is>
      </c>
    </row>
    <row r="109">
      <c r="A109" t="inlineStr">
        <is>
          <t>SW-DAMPER-031-BLADE</t>
        </is>
      </c>
      <c r="B109" t="inlineStr">
        <is>
          <t>SW-DAMPER-031</t>
        </is>
      </c>
      <c r="C109" t="inlineStr">
        <is>
          <t>Lá cánh / Tôn tấm bọc van (3 cánh)</t>
        </is>
      </c>
      <c r="D109" t="inlineStr">
        <is>
          <t>TÔN_CUỘN_MẠ_KẼM</t>
        </is>
      </c>
      <c r="E109" t="inlineStr">
        <is>
          <t>MAT-STEEL-PN-0.75</t>
        </is>
      </c>
      <c r="F109" t="inlineStr">
        <is>
          <t>kg</t>
        </is>
      </c>
      <c r="G109" s="20" t="n">
        <v>4.333589985091002</v>
      </c>
      <c r="H109" s="16">
        <f>'00_TONG_HOP_BAO_GIA'!G32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3 cánh cao 153mm</t>
        </is>
      </c>
    </row>
    <row r="110">
      <c r="A110" t="inlineStr">
        <is>
          <t>SW-DAMPER-031-AXLE</t>
        </is>
      </c>
      <c r="B110" t="inlineStr">
        <is>
          <t>SW-DAMPER-031</t>
        </is>
      </c>
      <c r="C110" t="inlineStr">
        <is>
          <t>Trục Sus 201 D10</t>
        </is>
      </c>
      <c r="D110" t="inlineStr">
        <is>
          <t>PHỤ_KIỆN_VAN</t>
        </is>
      </c>
      <c r="E110" t="inlineStr">
        <is>
          <t>MAT-DAMPER-TRUC-SUS-201-D10</t>
        </is>
      </c>
      <c r="F110" t="inlineStr">
        <is>
          <t>m</t>
        </is>
      </c>
      <c r="G110" s="20" t="n">
        <v>4.667086663533803</v>
      </c>
      <c r="H110" s="16">
        <f>'00_TONG_HOP_BAO_GIA'!G32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3 trục dài 1260mm</t>
        </is>
      </c>
    </row>
    <row r="111">
      <c r="A111" t="inlineStr">
        <is>
          <t>SW-DAMPER-031-BEARING</t>
        </is>
      </c>
      <c r="B111" t="inlineStr">
        <is>
          <t>SW-DAMPER-031</t>
        </is>
      </c>
      <c r="C111" t="inlineStr">
        <is>
          <t>Bạc đồng D10</t>
        </is>
      </c>
      <c r="D111" t="inlineStr">
        <is>
          <t>PHỤ_KIỆN_VAN</t>
        </is>
      </c>
      <c r="E111" t="inlineStr">
        <is>
          <t>MAT-DAMPER-BAC-DONG-D10</t>
        </is>
      </c>
      <c r="F111" t="inlineStr">
        <is>
          <t>Đôi</t>
        </is>
      </c>
      <c r="G111" s="20" t="n">
        <v>3</v>
      </c>
      <c r="H111" s="16">
        <f>'00_TONG_HOP_BAO_GIA'!G32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3 đôi bạc đỡ 2 bên thân</t>
        </is>
      </c>
    </row>
    <row r="112">
      <c r="A112" t="inlineStr">
        <is>
          <t>SW-DAMPER-031-GEAR</t>
        </is>
      </c>
      <c r="B112" t="inlineStr">
        <is>
          <t>SW-DAMPER-031</t>
        </is>
      </c>
      <c r="C112" t="inlineStr">
        <is>
          <t>Bánh răng van nhôm</t>
        </is>
      </c>
      <c r="D112" t="inlineStr">
        <is>
          <t>PHỤ_KIỆN_VAN</t>
        </is>
      </c>
      <c r="E112" t="inlineStr">
        <is>
          <t>MAT-DAMPER-BANH-RANG-VAN-NHOM</t>
        </is>
      </c>
      <c r="F112" t="inlineStr">
        <is>
          <t>Bộ</t>
        </is>
      </c>
      <c r="G112" s="20" t="n">
        <v>1</v>
      </c>
      <c r="H112" s="16">
        <f>'00_TONG_HOP_BAO_GIA'!G32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Cơ cấu liên động cánh (1 bộ)</t>
        </is>
      </c>
    </row>
    <row r="113">
      <c r="A113" t="inlineStr">
        <is>
          <t>SW-DAMPER-031-ECCENTRIC</t>
        </is>
      </c>
      <c r="B113" t="inlineStr">
        <is>
          <t>SW-DAMPER-031</t>
        </is>
      </c>
      <c r="C113" t="inlineStr">
        <is>
          <t>Cơ cấu lệch tâm / Lò xo đóng mở (NRD)</t>
        </is>
      </c>
      <c r="D113" t="inlineStr">
        <is>
          <t>PHỤ_KIỆN_VAN</t>
        </is>
      </c>
      <c r="E113" t="inlineStr">
        <is>
          <t>ECCENTRIC_SHAFT</t>
        </is>
      </c>
      <c r="F113" t="inlineStr">
        <is>
          <t>Bộ</t>
        </is>
      </c>
      <c r="G113" s="20" t="n">
        <v>1</v>
      </c>
      <c r="H113" s="16">
        <f>'00_TONG_HOP_BAO_GIA'!G32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Cơ cấu đóng mở một chiều</t>
        </is>
      </c>
    </row>
    <row r="114">
      <c r="A114" t="inlineStr">
        <is>
          <t>SW-DAMPER-033-BODY</t>
        </is>
      </c>
      <c r="B114" t="inlineStr">
        <is>
          <t>SW-DAMPER-033</t>
        </is>
      </c>
      <c r="C114" t="inlineStr">
        <is>
          <t>Thân vỏ van NRD bích C30/TDF (1.15mm)</t>
        </is>
      </c>
      <c r="D114" t="inlineStr">
        <is>
          <t>TÔN_CUỘN_MẠ_KẼM</t>
        </is>
      </c>
      <c r="E114" t="inlineStr">
        <is>
          <t>MAT-STEEL-PN-1.15</t>
        </is>
      </c>
      <c r="F114" t="inlineStr">
        <is>
          <t>kg</t>
        </is>
      </c>
      <c r="G114" s="20" t="n">
        <v>11.51317075298888</v>
      </c>
      <c r="H114" s="16">
        <f>'00_TONG_HOP_BAO_GIA'!G34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Kích thước vỏ 1400x400x210mm</t>
        </is>
      </c>
    </row>
    <row r="115">
      <c r="A115" t="inlineStr">
        <is>
          <t>SW-DAMPER-033-BLADE</t>
        </is>
      </c>
      <c r="B115" t="inlineStr">
        <is>
          <t>SW-DAMPER-033</t>
        </is>
      </c>
      <c r="C115" t="inlineStr">
        <is>
          <t>Lá cánh / Tôn tấm bọc van (3 cánh)</t>
        </is>
      </c>
      <c r="D115" t="inlineStr">
        <is>
          <t>TÔN_CUỘN_MẠ_KẼM</t>
        </is>
      </c>
      <c r="E115" t="inlineStr">
        <is>
          <t>MAT-STEEL-PN-0.75</t>
        </is>
      </c>
      <c r="F115" t="inlineStr">
        <is>
          <t>kg</t>
        </is>
      </c>
      <c r="G115" s="20" t="n">
        <v>4.87999388274254</v>
      </c>
      <c r="H115" s="16">
        <f>'00_TONG_HOP_BAO_GIA'!G34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3 cánh cao 153mm</t>
        </is>
      </c>
    </row>
    <row r="116">
      <c r="A116" t="inlineStr">
        <is>
          <t>SW-DAMPER-033-AXLE</t>
        </is>
      </c>
      <c r="B116" t="inlineStr">
        <is>
          <t>SW-DAMPER-033</t>
        </is>
      </c>
      <c r="C116" t="inlineStr">
        <is>
          <t>Trục Sus 201 D10</t>
        </is>
      </c>
      <c r="D116" t="inlineStr">
        <is>
          <t>PHỤ_KIỆN_VAN</t>
        </is>
      </c>
      <c r="E116" t="inlineStr">
        <is>
          <t>MAT-DAMPER-TRUC-SUS-201-D10</t>
        </is>
      </c>
      <c r="F116" t="inlineStr">
        <is>
          <t>m</t>
        </is>
      </c>
      <c r="G116" s="20" t="n">
        <v>5.219787765487371</v>
      </c>
      <c r="H116" s="16">
        <f>'00_TONG_HOP_BAO_GIA'!G34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3 trục dài 1460mm</t>
        </is>
      </c>
    </row>
    <row r="117">
      <c r="A117" t="inlineStr">
        <is>
          <t>SW-DAMPER-033-BEARING</t>
        </is>
      </c>
      <c r="B117" t="inlineStr">
        <is>
          <t>SW-DAMPER-033</t>
        </is>
      </c>
      <c r="C117" t="inlineStr">
        <is>
          <t>Bạc đồng D10</t>
        </is>
      </c>
      <c r="D117" t="inlineStr">
        <is>
          <t>PHỤ_KIỆN_VAN</t>
        </is>
      </c>
      <c r="E117" t="inlineStr">
        <is>
          <t>MAT-DAMPER-BAC-DONG-D10</t>
        </is>
      </c>
      <c r="F117" t="inlineStr">
        <is>
          <t>Đôi</t>
        </is>
      </c>
      <c r="G117" s="20" t="n">
        <v>3</v>
      </c>
      <c r="H117" s="16">
        <f>'00_TONG_HOP_BAO_GIA'!G34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3 đôi bạc đỡ 2 bên thân</t>
        </is>
      </c>
    </row>
    <row r="118">
      <c r="A118" t="inlineStr">
        <is>
          <t>SW-DAMPER-033-GEAR</t>
        </is>
      </c>
      <c r="B118" t="inlineStr">
        <is>
          <t>SW-DAMPER-033</t>
        </is>
      </c>
      <c r="C118" t="inlineStr">
        <is>
          <t>Bánh răng van nhôm</t>
        </is>
      </c>
      <c r="D118" t="inlineStr">
        <is>
          <t>PHỤ_KIỆN_VAN</t>
        </is>
      </c>
      <c r="E118" t="inlineStr">
        <is>
          <t>MAT-DAMPER-BANH-RANG-VAN-NHOM</t>
        </is>
      </c>
      <c r="F118" t="inlineStr">
        <is>
          <t>Bộ</t>
        </is>
      </c>
      <c r="G118" s="20" t="n">
        <v>1</v>
      </c>
      <c r="H118" s="16">
        <f>'00_TONG_HOP_BAO_GIA'!G34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Cơ cấu liên động cánh (1 bộ)</t>
        </is>
      </c>
    </row>
    <row r="119">
      <c r="A119" t="inlineStr">
        <is>
          <t>SW-DAMPER-033-ECCENTRIC</t>
        </is>
      </c>
      <c r="B119" t="inlineStr">
        <is>
          <t>SW-DAMPER-033</t>
        </is>
      </c>
      <c r="C119" t="inlineStr">
        <is>
          <t>Cơ cấu lệch tâm / Lò xo đóng mở (NRD)</t>
        </is>
      </c>
      <c r="D119" t="inlineStr">
        <is>
          <t>PHỤ_KIỆN_VAN</t>
        </is>
      </c>
      <c r="E119" t="inlineStr">
        <is>
          <t>ECCENTRIC_SHAFT</t>
        </is>
      </c>
      <c r="F119" t="inlineStr">
        <is>
          <t>Bộ</t>
        </is>
      </c>
      <c r="G119" s="20" t="n">
        <v>1</v>
      </c>
      <c r="H119" s="16">
        <f>'00_TONG_HOP_BAO_GIA'!G34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Cơ cấu đóng mở một chiều</t>
        </is>
      </c>
    </row>
    <row r="120">
      <c r="A120" t="inlineStr">
        <is>
          <t>SW-DAMPER-038-BODY</t>
        </is>
      </c>
      <c r="B120" t="inlineStr">
        <is>
          <t>SW-DAMPER-038</t>
        </is>
      </c>
      <c r="C120" t="inlineStr">
        <is>
          <t>Thân vỏ van MFD bích C30/TDF (1.15mm)</t>
        </is>
      </c>
      <c r="D120" t="inlineStr">
        <is>
          <t>TÔN_CUỘN_MẠ_KẼM</t>
        </is>
      </c>
      <c r="E120" t="inlineStr">
        <is>
          <t>MAT-STEEL-PN-1.15</t>
        </is>
      </c>
      <c r="F120" t="inlineStr">
        <is>
          <t>kg</t>
        </is>
      </c>
      <c r="G120" s="20" t="n">
        <v>3.029807820958935</v>
      </c>
      <c r="H120" s="16">
        <f>'00_TONG_HOP_BAO_GIA'!G39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Kích thước vỏ 200x200x200mm</t>
        </is>
      </c>
    </row>
    <row r="121">
      <c r="A121" t="inlineStr">
        <is>
          <t>SW-DAMPER-038-BLADE</t>
        </is>
      </c>
      <c r="B121" t="inlineStr">
        <is>
          <t>SW-DAMPER-038</t>
        </is>
      </c>
      <c r="C121" t="inlineStr">
        <is>
          <t>Lá cánh / Tôn tấm bọc van (1 cánh)</t>
        </is>
      </c>
      <c r="D121" t="inlineStr">
        <is>
          <t>TÔN_CUỘN_MẠ_KẼM</t>
        </is>
      </c>
      <c r="E121" t="inlineStr">
        <is>
          <t>MAT-STEEL-PN-1.15</t>
        </is>
      </c>
      <c r="F121" t="inlineStr">
        <is>
          <t>kg</t>
        </is>
      </c>
      <c r="G121" s="20" t="n">
        <v>1.017824076915742</v>
      </c>
      <c r="H121" s="16">
        <f>'00_TONG_HOP_BAO_GIA'!G39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Tôn bọc cánh &amp; thân (1 cánh/modul)</t>
        </is>
      </c>
    </row>
    <row r="122">
      <c r="A122" t="inlineStr">
        <is>
          <t>SW-DAMPER-038-AXLE</t>
        </is>
      </c>
      <c r="B122" t="inlineStr">
        <is>
          <t>SW-DAMPER-038</t>
        </is>
      </c>
      <c r="C122" t="inlineStr">
        <is>
          <t>Trục Sus 201 D10</t>
        </is>
      </c>
      <c r="D122" t="inlineStr">
        <is>
          <t>PHỤ_KIỆN_VAN</t>
        </is>
      </c>
      <c r="E122" t="inlineStr">
        <is>
          <t>MAT-DAMPER-TRUC-SUS-201-D10</t>
        </is>
      </c>
      <c r="F122" t="inlineStr">
        <is>
          <t>m</t>
        </is>
      </c>
      <c r="G122" s="20" t="n">
        <v>0.3664279423955871</v>
      </c>
      <c r="H122" s="16">
        <f>'00_TONG_HOP_BAO_GIA'!G39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1 trục dài 260mm</t>
        </is>
      </c>
    </row>
    <row r="123">
      <c r="A123" t="inlineStr">
        <is>
          <t>SW-DAMPER-038-BEARING</t>
        </is>
      </c>
      <c r="B123" t="inlineStr">
        <is>
          <t>SW-DAMPER-038</t>
        </is>
      </c>
      <c r="C123" t="inlineStr">
        <is>
          <t>Bạc đồng D10</t>
        </is>
      </c>
      <c r="D123" t="inlineStr">
        <is>
          <t>PHỤ_KIỆN_VAN</t>
        </is>
      </c>
      <c r="E123" t="inlineStr">
        <is>
          <t>MAT-DAMPER-BAC-DONG-D10</t>
        </is>
      </c>
      <c r="F123" t="inlineStr">
        <is>
          <t>Đôi</t>
        </is>
      </c>
      <c r="G123" s="20" t="n">
        <v>1</v>
      </c>
      <c r="H123" s="16">
        <f>'00_TONG_HOP_BAO_GIA'!G39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1 đôi bạc đỡ 2 bên thân</t>
        </is>
      </c>
    </row>
    <row r="124">
      <c r="A124" t="inlineStr">
        <is>
          <t>SW-DAMPER-038-ACTUATOR</t>
        </is>
      </c>
      <c r="B124" t="inlineStr">
        <is>
          <t>SW-DAMPER-038</t>
        </is>
      </c>
      <c r="C124" t="inlineStr">
        <is>
          <t>Động cơ chặn lửa ON/OFF KLB (Swin V6006FS500S EI90) 5Nm</t>
        </is>
      </c>
      <c r="D124" t="inlineStr">
        <is>
          <t>ĐỘNG_CƠ_VÀ_CẢM_BIẾN</t>
        </is>
      </c>
      <c r="E124" t="inlineStr">
        <is>
          <t>MAT-ACTUATOR-KLB-V6006FS500S</t>
        </is>
      </c>
      <c r="F124" t="inlineStr">
        <is>
          <t>Cái</t>
        </is>
      </c>
      <c r="G124" s="20" t="n">
        <v>1</v>
      </c>
      <c r="H124" s="16">
        <f>'00_TONG_HOP_BAO_GIA'!G39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Động cơ lò xo phản hồi MFD (1 bộ)</t>
        </is>
      </c>
    </row>
    <row r="125">
      <c r="A125" t="inlineStr">
        <is>
          <t>SW-DAMPER-038-FB10-BODY</t>
        </is>
      </c>
      <c r="B125" t="inlineStr">
        <is>
          <t>SW-DAMPER-038</t>
        </is>
      </c>
      <c r="C125" t="inlineStr">
        <is>
          <t>Tấm chống cháy dày 10mm bọc thân van FD/MFD (2 lớp)</t>
        </is>
      </c>
      <c r="D125" t="inlineStr">
        <is>
          <t>VẬT_LIỆU_CÁCH_NHIỆT</t>
        </is>
      </c>
      <c r="E125" t="inlineStr">
        <is>
          <t>MAT-FIREBOARD-10MM-BODY</t>
        </is>
      </c>
      <c r="F125" t="inlineStr">
        <is>
          <t>m2</t>
        </is>
      </c>
      <c r="G125" s="20" t="n">
        <v>0.6764823551918531</v>
      </c>
      <c r="H125" s="16">
        <f>'00_TONG_HOP_BAO_GIA'!G39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Bọc 2 lớp tấm 10mm quanh thân L=300mm</t>
        </is>
      </c>
    </row>
    <row r="126">
      <c r="A126" t="inlineStr">
        <is>
          <t>SW-DAMPER-038-FB20-BLADE</t>
        </is>
      </c>
      <c r="B126" t="inlineStr">
        <is>
          <t>SW-DAMPER-038</t>
        </is>
      </c>
      <c r="C126" t="inlineStr">
        <is>
          <t>Tấm chống cháy dày 20mm làm lõi cánh van FD/MFD</t>
        </is>
      </c>
      <c r="D126" t="inlineStr">
        <is>
          <t>VẬT_LIỆU_CÁCH_NHIỆT</t>
        </is>
      </c>
      <c r="E126" t="inlineStr">
        <is>
          <t>MAT-FIREBOARD-20MM-BLADE</t>
        </is>
      </c>
      <c r="F126" t="inlineStr">
        <is>
          <t>m2</t>
        </is>
      </c>
      <c r="G126" s="20" t="n">
        <v>0.0563735295993211</v>
      </c>
      <c r="H126" s="16">
        <f>'00_TONG_HOP_BAO_GIA'!G39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Lõi cánh tấm 20mm (Cánh đơn 200x200mm)</t>
        </is>
      </c>
    </row>
    <row r="127">
      <c r="A127" t="inlineStr">
        <is>
          <t>SW-DAMPER-038-FB10-BLADE</t>
        </is>
      </c>
      <c r="B127" t="inlineStr">
        <is>
          <t>SW-DAMPER-038</t>
        </is>
      </c>
      <c r="C127" t="inlineStr">
        <is>
          <t>Tấm chống cháy dày 10mm ốp 2 mặt cánh van FD/MFD</t>
        </is>
      </c>
      <c r="D127" t="inlineStr">
        <is>
          <t>VẬT_LIỆU_CÁCH_NHIỆT</t>
        </is>
      </c>
      <c r="E127" t="inlineStr">
        <is>
          <t>MAT-FIREBOARD-10MM-BLADE</t>
        </is>
      </c>
      <c r="F127" t="inlineStr">
        <is>
          <t>m2</t>
        </is>
      </c>
      <c r="G127" s="20" t="n">
        <v>0.1127470591986422</v>
      </c>
      <c r="H127" s="16">
        <f>'00_TONG_HOP_BAO_GIA'!G39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Ốp 2 mặt cánh tấm 10mm (Cánh đơn 200x200mm)</t>
        </is>
      </c>
    </row>
    <row r="128">
      <c r="A128" t="inlineStr">
        <is>
          <t>SW-DAMPER-038-SPRING-BOX</t>
        </is>
      </c>
      <c r="B128" t="inlineStr">
        <is>
          <t>SW-DAMPER-038</t>
        </is>
      </c>
      <c r="C128" t="inlineStr">
        <is>
          <t>Hộp lò xo van chặn lửa FD/MFD</t>
        </is>
      </c>
      <c r="D128" t="inlineStr">
        <is>
          <t>PHỤ_KIỆN_VAN</t>
        </is>
      </c>
      <c r="E128" t="inlineStr">
        <is>
          <t>MAT-DAMPER-HOP-LO-XO</t>
        </is>
      </c>
      <c r="F128" t="inlineStr">
        <is>
          <t>Bộ</t>
        </is>
      </c>
      <c r="G128" s="20" t="n">
        <v>1</v>
      </c>
      <c r="H128" s="16">
        <f>'00_TONG_HOP_BAO_GIA'!G39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Hộp lò xo cơ cấu đóng sập (1 bộ)</t>
        </is>
      </c>
    </row>
    <row r="129">
      <c r="A129" t="inlineStr">
        <is>
          <t>SW-DAMPER-038-SILICON-BOLT</t>
        </is>
      </c>
      <c r="B129" t="inlineStr">
        <is>
          <t>SW-DAMPER-038</t>
        </is>
      </c>
      <c r="C129" t="inlineStr">
        <is>
          <t>Silicon chống cháy + bu lông, ốc vít van FD/MFD</t>
        </is>
      </c>
      <c r="D129" t="inlineStr">
        <is>
          <t>PHỤ_KIỆN_VAN</t>
        </is>
      </c>
      <c r="E129" t="inlineStr">
        <is>
          <t>MAT-DAMPER-SILICON-BULONG-VIT</t>
        </is>
      </c>
      <c r="F129" t="inlineStr">
        <is>
          <t>Bộ</t>
        </is>
      </c>
      <c r="G129" s="20" t="n">
        <v>1</v>
      </c>
      <c r="H129" s="16">
        <f>'00_TONG_HOP_BAO_GIA'!G39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Keo silicon chống cháy &amp; phụ kiện lắp ghép (1 bộ)</t>
        </is>
      </c>
    </row>
    <row r="130">
      <c r="A130" t="inlineStr">
        <is>
          <t>SW-DAMPER-040-BODY</t>
        </is>
      </c>
      <c r="B130" t="inlineStr">
        <is>
          <t>SW-DAMPER-040</t>
        </is>
      </c>
      <c r="C130" t="inlineStr">
        <is>
          <t>Thân vỏ van MFD bích C30/TDF (1.15mm)</t>
        </is>
      </c>
      <c r="D130" t="inlineStr">
        <is>
          <t>TÔN_CUỘN_MẠ_KẼM</t>
        </is>
      </c>
      <c r="E130" t="inlineStr">
        <is>
          <t>MAT-STEEL-PN-1.15</t>
        </is>
      </c>
      <c r="F130" t="inlineStr">
        <is>
          <t>kg</t>
        </is>
      </c>
      <c r="G130" s="20" t="n">
        <v>10.04704861088303</v>
      </c>
      <c r="H130" s="16">
        <f>'00_TONG_HOP_BAO_GIA'!G41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Kích thước vỏ 1200x400x200mm</t>
        </is>
      </c>
    </row>
    <row r="131">
      <c r="A131" t="inlineStr">
        <is>
          <t>SW-DAMPER-040-BLADE</t>
        </is>
      </c>
      <c r="B131" t="inlineStr">
        <is>
          <t>SW-DAMPER-040</t>
        </is>
      </c>
      <c r="C131" t="inlineStr">
        <is>
          <t>Lá cánh / Tôn tấm bọc van (1 cánh)</t>
        </is>
      </c>
      <c r="D131" t="inlineStr">
        <is>
          <t>TÔN_CUỘN_MẠ_KẼM</t>
        </is>
      </c>
      <c r="E131" t="inlineStr">
        <is>
          <t>MAT-STEEL-PN-1.15</t>
        </is>
      </c>
      <c r="F131" t="inlineStr">
        <is>
          <t>kg</t>
        </is>
      </c>
      <c r="G131" s="20" t="n">
        <v>10.50054071292236</v>
      </c>
      <c r="H131" s="16">
        <f>'00_TONG_HOP_BAO_GIA'!G41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Tôn bọc cánh &amp; thân (1 cánh/modul)</t>
        </is>
      </c>
    </row>
    <row r="132">
      <c r="A132" t="inlineStr">
        <is>
          <t>SW-DAMPER-040-AXLE</t>
        </is>
      </c>
      <c r="B132" t="inlineStr">
        <is>
          <t>SW-DAMPER-040</t>
        </is>
      </c>
      <c r="C132" t="inlineStr">
        <is>
          <t>Trục Sus 201 D10</t>
        </is>
      </c>
      <c r="D132" t="inlineStr">
        <is>
          <t>PHỤ_KIỆN_VAN</t>
        </is>
      </c>
      <c r="E132" t="inlineStr">
        <is>
          <t>MAT-DAMPER-TRUC-SUS-201-D10</t>
        </is>
      </c>
      <c r="F132" t="inlineStr">
        <is>
          <t>m</t>
        </is>
      </c>
      <c r="G132" s="20" t="n">
        <v>1.526664047157087</v>
      </c>
      <c r="H132" s="16">
        <f>'00_TONG_HOP_BAO_GIA'!G41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1 trục dài 1260mm</t>
        </is>
      </c>
    </row>
    <row r="133">
      <c r="A133" t="inlineStr">
        <is>
          <t>SW-DAMPER-040-BEARING</t>
        </is>
      </c>
      <c r="B133" t="inlineStr">
        <is>
          <t>SW-DAMPER-040</t>
        </is>
      </c>
      <c r="C133" t="inlineStr">
        <is>
          <t>Bạc đồng D10</t>
        </is>
      </c>
      <c r="D133" t="inlineStr">
        <is>
          <t>PHỤ_KIỆN_VAN</t>
        </is>
      </c>
      <c r="E133" t="inlineStr">
        <is>
          <t>MAT-DAMPER-BAC-DONG-D10</t>
        </is>
      </c>
      <c r="F133" t="inlineStr">
        <is>
          <t>Đôi</t>
        </is>
      </c>
      <c r="G133" s="20" t="n">
        <v>1</v>
      </c>
      <c r="H133" s="16">
        <f>'00_TONG_HOP_BAO_GIA'!G41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1 đôi bạc đỡ 2 bên thân</t>
        </is>
      </c>
    </row>
    <row r="134">
      <c r="A134" t="inlineStr">
        <is>
          <t>SW-DAMPER-040-ACTUATOR</t>
        </is>
      </c>
      <c r="B134" t="inlineStr">
        <is>
          <t>SW-DAMPER-040</t>
        </is>
      </c>
      <c r="C134" t="inlineStr">
        <is>
          <t>Động cơ chặn lửa ON/OFF KLB (Swin V6006FS500S EI90) 5Nm</t>
        </is>
      </c>
      <c r="D134" t="inlineStr">
        <is>
          <t>ĐỘNG_CƠ_VÀ_CẢM_BIẾN</t>
        </is>
      </c>
      <c r="E134" t="inlineStr">
        <is>
          <t>MAT-ACTUATOR-KLB-V6006FS500S</t>
        </is>
      </c>
      <c r="F134" t="inlineStr">
        <is>
          <t>Cái</t>
        </is>
      </c>
      <c r="G134" s="20" t="n">
        <v>1</v>
      </c>
      <c r="H134" s="16">
        <f>'00_TONG_HOP_BAO_GIA'!G41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Động cơ lò xo phản hồi MFD (1 bộ)</t>
        </is>
      </c>
    </row>
    <row r="135">
      <c r="A135" t="inlineStr">
        <is>
          <t>SW-DAMPER-040-FB10-BODY</t>
        </is>
      </c>
      <c r="B135" t="inlineStr">
        <is>
          <t>SW-DAMPER-040</t>
        </is>
      </c>
      <c r="C135" t="inlineStr">
        <is>
          <t>Tấm chống cháy dày 10mm bọc thân van FD/MFD (2 lớp)</t>
        </is>
      </c>
      <c r="D135" t="inlineStr">
        <is>
          <t>VẬT_LIỆU_CÁCH_NHIỆT</t>
        </is>
      </c>
      <c r="E135" t="inlineStr">
        <is>
          <t>MAT-FIREBOARD-10MM-BODY</t>
        </is>
      </c>
      <c r="F135" t="inlineStr">
        <is>
          <t>m2</t>
        </is>
      </c>
      <c r="G135" s="20" t="n">
        <v>2.326345214715562</v>
      </c>
      <c r="H135" s="16">
        <f>'00_TONG_HOP_BAO_GIA'!G41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Bọc 2 lớp tấm 10mm quanh thân L=300mm</t>
        </is>
      </c>
    </row>
    <row r="136">
      <c r="A136" t="inlineStr">
        <is>
          <t>SW-DAMPER-040-FB20-BLADE</t>
        </is>
      </c>
      <c r="B136" t="inlineStr">
        <is>
          <t>SW-DAMPER-040</t>
        </is>
      </c>
      <c r="C136" t="inlineStr">
        <is>
          <t>Tấm chống cháy dày 20mm làm lõi cánh van FD/MFD</t>
        </is>
      </c>
      <c r="D136" t="inlineStr">
        <is>
          <t>VẬT_LIỆU_CÁCH_NHIỆT</t>
        </is>
      </c>
      <c r="E136" t="inlineStr">
        <is>
          <t>MAT-FIREBOARD-20MM-BLADE</t>
        </is>
      </c>
      <c r="F136" t="inlineStr">
        <is>
          <t>m2</t>
        </is>
      </c>
      <c r="G136" s="20" t="n">
        <v>0.5815863036788904</v>
      </c>
      <c r="H136" s="16">
        <f>'00_TONG_HOP_BAO_GIA'!G41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Lõi cánh tấm 20mm (Cánh đơn 1200x400mm)</t>
        </is>
      </c>
    </row>
    <row r="137">
      <c r="A137" t="inlineStr">
        <is>
          <t>SW-DAMPER-040-FB10-BLADE</t>
        </is>
      </c>
      <c r="B137" t="inlineStr">
        <is>
          <t>SW-DAMPER-040</t>
        </is>
      </c>
      <c r="C137" t="inlineStr">
        <is>
          <t>Tấm chống cháy dày 10mm ốp 2 mặt cánh van FD/MFD</t>
        </is>
      </c>
      <c r="D137" t="inlineStr">
        <is>
          <t>VẬT_LIỆU_CÁCH_NHIỆT</t>
        </is>
      </c>
      <c r="E137" t="inlineStr">
        <is>
          <t>MAT-FIREBOARD-10MM-BLADE</t>
        </is>
      </c>
      <c r="F137" t="inlineStr">
        <is>
          <t>m2</t>
        </is>
      </c>
      <c r="G137" s="20" t="n">
        <v>1.163172607357781</v>
      </c>
      <c r="H137" s="16">
        <f>'00_TONG_HOP_BAO_GIA'!G41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Ốp 2 mặt cánh tấm 10mm (Cánh đơn 1200x400mm)</t>
        </is>
      </c>
    </row>
    <row r="138">
      <c r="A138" t="inlineStr">
        <is>
          <t>SW-DAMPER-040-SPRING-BOX</t>
        </is>
      </c>
      <c r="B138" t="inlineStr">
        <is>
          <t>SW-DAMPER-040</t>
        </is>
      </c>
      <c r="C138" t="inlineStr">
        <is>
          <t>Hộp lò xo van chặn lửa FD/MFD</t>
        </is>
      </c>
      <c r="D138" t="inlineStr">
        <is>
          <t>PHỤ_KIỆN_VAN</t>
        </is>
      </c>
      <c r="E138" t="inlineStr">
        <is>
          <t>MAT-DAMPER-HOP-LO-XO</t>
        </is>
      </c>
      <c r="F138" t="inlineStr">
        <is>
          <t>Bộ</t>
        </is>
      </c>
      <c r="G138" s="20" t="n">
        <v>1</v>
      </c>
      <c r="H138" s="16">
        <f>'00_TONG_HOP_BAO_GIA'!G41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Hộp lò xo cơ cấu đóng sập (1 bộ)</t>
        </is>
      </c>
    </row>
    <row r="139">
      <c r="A139" t="inlineStr">
        <is>
          <t>SW-DAMPER-040-SILICON-BOLT</t>
        </is>
      </c>
      <c r="B139" t="inlineStr">
        <is>
          <t>SW-DAMPER-040</t>
        </is>
      </c>
      <c r="C139" t="inlineStr">
        <is>
          <t>Silicon chống cháy + bu lông, ốc vít van FD/MFD</t>
        </is>
      </c>
      <c r="D139" t="inlineStr">
        <is>
          <t>PHỤ_KIỆN_VAN</t>
        </is>
      </c>
      <c r="E139" t="inlineStr">
        <is>
          <t>MAT-DAMPER-SILICON-BULONG-VIT</t>
        </is>
      </c>
      <c r="F139" t="inlineStr">
        <is>
          <t>Bộ</t>
        </is>
      </c>
      <c r="G139" s="20" t="n">
        <v>1</v>
      </c>
      <c r="H139" s="16">
        <f>'00_TONG_HOP_BAO_GIA'!G41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Keo silicon chống cháy &amp; phụ kiện lắp ghép (1 bộ)</t>
        </is>
      </c>
    </row>
    <row r="140">
      <c r="A140" t="inlineStr">
        <is>
          <t>SW-DAMPER-042-BODY</t>
        </is>
      </c>
      <c r="B140" t="inlineStr">
        <is>
          <t>SW-DAMPER-042</t>
        </is>
      </c>
      <c r="C140" t="inlineStr">
        <is>
          <t>Thân vỏ van MFD bích C30/TDF (1.15mm)</t>
        </is>
      </c>
      <c r="D140" t="inlineStr">
        <is>
          <t>TÔN_CUỘN_MẠ_KẼM</t>
        </is>
      </c>
      <c r="E140" t="inlineStr">
        <is>
          <t>MAT-STEEL-PN-1.15</t>
        </is>
      </c>
      <c r="F140" t="inlineStr">
        <is>
          <t>kg</t>
        </is>
      </c>
      <c r="G140" s="20" t="n">
        <v>11.2350803045863</v>
      </c>
      <c r="H140" s="16">
        <f>'00_TONG_HOP_BAO_GIA'!G43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Kích thước vỏ 1400x400x200mm</t>
        </is>
      </c>
    </row>
    <row r="141">
      <c r="A141" t="inlineStr">
        <is>
          <t>SW-DAMPER-042-BLADE</t>
        </is>
      </c>
      <c r="B141" t="inlineStr">
        <is>
          <t>SW-DAMPER-042</t>
        </is>
      </c>
      <c r="C141" t="inlineStr">
        <is>
          <t>Lá cánh / Tôn tấm bọc van (1 cánh)</t>
        </is>
      </c>
      <c r="D141" t="inlineStr">
        <is>
          <t>TÔN_CUỘN_MẠ_KẼM</t>
        </is>
      </c>
      <c r="E141" t="inlineStr">
        <is>
          <t>MAT-STEEL-PN-1.15</t>
        </is>
      </c>
      <c r="F141" t="inlineStr">
        <is>
          <t>kg</t>
        </is>
      </c>
      <c r="G141" s="20" t="n">
        <v>12.19381935106368</v>
      </c>
      <c r="H141" s="16">
        <f>'00_TONG_HOP_BAO_GIA'!G43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Tôn bọc cánh &amp; thân (1 cánh/modul)</t>
        </is>
      </c>
    </row>
    <row r="142">
      <c r="A142" t="inlineStr">
        <is>
          <t>SW-DAMPER-042-AXLE</t>
        </is>
      </c>
      <c r="B142" t="inlineStr">
        <is>
          <t>SW-DAMPER-042</t>
        </is>
      </c>
      <c r="C142" t="inlineStr">
        <is>
          <t>Trục Sus 201 D10</t>
        </is>
      </c>
      <c r="D142" t="inlineStr">
        <is>
          <t>PHỤ_KIỆN_VAN</t>
        </is>
      </c>
      <c r="E142" t="inlineStr">
        <is>
          <t>MAT-DAMPER-TRUC-SUS-201-D10</t>
        </is>
      </c>
      <c r="F142" t="inlineStr">
        <is>
          <t>m</t>
        </is>
      </c>
      <c r="G142" s="20" t="n">
        <v>1.760788093182832</v>
      </c>
      <c r="H142" s="16">
        <f>'00_TONG_HOP_BAO_GIA'!G43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1 trục dài 1460mm</t>
        </is>
      </c>
    </row>
    <row r="143">
      <c r="A143" t="inlineStr">
        <is>
          <t>SW-DAMPER-042-BEARING</t>
        </is>
      </c>
      <c r="B143" t="inlineStr">
        <is>
          <t>SW-DAMPER-042</t>
        </is>
      </c>
      <c r="C143" t="inlineStr">
        <is>
          <t>Bạc đồng D10</t>
        </is>
      </c>
      <c r="D143" t="inlineStr">
        <is>
          <t>PHỤ_KIỆN_VAN</t>
        </is>
      </c>
      <c r="E143" t="inlineStr">
        <is>
          <t>MAT-DAMPER-BAC-DONG-D10</t>
        </is>
      </c>
      <c r="F143" t="inlineStr">
        <is>
          <t>Đôi</t>
        </is>
      </c>
      <c r="G143" s="20" t="n">
        <v>1</v>
      </c>
      <c r="H143" s="16">
        <f>'00_TONG_HOP_BAO_GIA'!G43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1 đôi bạc đỡ 2 bên thân</t>
        </is>
      </c>
    </row>
    <row r="144">
      <c r="A144" t="inlineStr">
        <is>
          <t>SW-DAMPER-042-ACTUATOR</t>
        </is>
      </c>
      <c r="B144" t="inlineStr">
        <is>
          <t>SW-DAMPER-042</t>
        </is>
      </c>
      <c r="C144" t="inlineStr">
        <is>
          <t>Động cơ chặn lửa ON/OFF KLB (Swin V6006FS500S EI90) 5Nm</t>
        </is>
      </c>
      <c r="D144" t="inlineStr">
        <is>
          <t>ĐỘNG_CƠ_VÀ_CẢM_BIẾN</t>
        </is>
      </c>
      <c r="E144" t="inlineStr">
        <is>
          <t>MAT-ACTUATOR-KLB-V6006FS500S</t>
        </is>
      </c>
      <c r="F144" t="inlineStr">
        <is>
          <t>Cái</t>
        </is>
      </c>
      <c r="G144" s="20" t="n">
        <v>1</v>
      </c>
      <c r="H144" s="16">
        <f>'00_TONG_HOP_BAO_GIA'!G43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Động cơ lò xo phản hồi MFD (1 bộ)</t>
        </is>
      </c>
    </row>
    <row r="145">
      <c r="A145" t="inlineStr">
        <is>
          <t>SW-DAMPER-042-FB10-BODY</t>
        </is>
      </c>
      <c r="B145" t="inlineStr">
        <is>
          <t>SW-DAMPER-042</t>
        </is>
      </c>
      <c r="C145" t="inlineStr">
        <is>
          <t>Tấm chống cháy dày 10mm bọc thân van FD/MFD (2 lớp)</t>
        </is>
      </c>
      <c r="D145" t="inlineStr">
        <is>
          <t>VẬT_LIỆU_CÁCH_NHIỆT</t>
        </is>
      </c>
      <c r="E145" t="inlineStr">
        <is>
          <t>MAT-FIREBOARD-10MM-BODY</t>
        </is>
      </c>
      <c r="F145" t="inlineStr">
        <is>
          <t>m2</t>
        </is>
      </c>
      <c r="G145" s="20" t="n">
        <v>2.605001562517067</v>
      </c>
      <c r="H145" s="16">
        <f>'00_TONG_HOP_BAO_GIA'!G43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Bọc 2 lớp tấm 10mm quanh thân L=300mm</t>
        </is>
      </c>
    </row>
    <row r="146">
      <c r="A146" t="inlineStr">
        <is>
          <t>SW-DAMPER-042-FB20-BLADE</t>
        </is>
      </c>
      <c r="B146" t="inlineStr">
        <is>
          <t>SW-DAMPER-042</t>
        </is>
      </c>
      <c r="C146" t="inlineStr">
        <is>
          <t>Tấm chống cháy dày 20mm làm lõi cánh van FD/MFD</t>
        </is>
      </c>
      <c r="D146" t="inlineStr">
        <is>
          <t>VẬT_LIỆU_CÁCH_NHIỆT</t>
        </is>
      </c>
      <c r="E146" t="inlineStr">
        <is>
          <t>MAT-FIREBOARD-20MM-BLADE</t>
        </is>
      </c>
      <c r="F146" t="inlineStr">
        <is>
          <t>m2</t>
        </is>
      </c>
      <c r="G146" s="20" t="n">
        <v>0.6753707754673877</v>
      </c>
      <c r="H146" s="16">
        <f>'00_TONG_HOP_BAO_GIA'!G43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Lõi cánh tấm 20mm (Cánh đơn 1400x400mm)</t>
        </is>
      </c>
    </row>
    <row r="147">
      <c r="A147" t="inlineStr">
        <is>
          <t>SW-DAMPER-042-FB10-BLADE</t>
        </is>
      </c>
      <c r="B147" t="inlineStr">
        <is>
          <t>SW-DAMPER-042</t>
        </is>
      </c>
      <c r="C147" t="inlineStr">
        <is>
          <t>Tấm chống cháy dày 10mm ốp 2 mặt cánh van FD/MFD</t>
        </is>
      </c>
      <c r="D147" t="inlineStr">
        <is>
          <t>VẬT_LIỆU_CÁCH_NHIỆT</t>
        </is>
      </c>
      <c r="E147" t="inlineStr">
        <is>
          <t>MAT-FIREBOARD-10MM-BLADE</t>
        </is>
      </c>
      <c r="F147" t="inlineStr">
        <is>
          <t>m2</t>
        </is>
      </c>
      <c r="G147" s="20" t="n">
        <v>1.350741550934775</v>
      </c>
      <c r="H147" s="16">
        <f>'00_TONG_HOP_BAO_GIA'!G43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Ốp 2 mặt cánh tấm 10mm (Cánh đơn 1400x400mm)</t>
        </is>
      </c>
    </row>
    <row r="148">
      <c r="A148" t="inlineStr">
        <is>
          <t>SW-DAMPER-042-SPRING-BOX</t>
        </is>
      </c>
      <c r="B148" t="inlineStr">
        <is>
          <t>SW-DAMPER-042</t>
        </is>
      </c>
      <c r="C148" t="inlineStr">
        <is>
          <t>Hộp lò xo van chặn lửa FD/MFD</t>
        </is>
      </c>
      <c r="D148" t="inlineStr">
        <is>
          <t>PHỤ_KIỆN_VAN</t>
        </is>
      </c>
      <c r="E148" t="inlineStr">
        <is>
          <t>MAT-DAMPER-HOP-LO-XO</t>
        </is>
      </c>
      <c r="F148" t="inlineStr">
        <is>
          <t>Bộ</t>
        </is>
      </c>
      <c r="G148" s="20" t="n">
        <v>1</v>
      </c>
      <c r="H148" s="16">
        <f>'00_TONG_HOP_BAO_GIA'!G43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Hộp lò xo cơ cấu đóng sập (1 bộ)</t>
        </is>
      </c>
    </row>
    <row r="149">
      <c r="A149" t="inlineStr">
        <is>
          <t>SW-DAMPER-042-SILICON-BOLT</t>
        </is>
      </c>
      <c r="B149" t="inlineStr">
        <is>
          <t>SW-DAMPER-042</t>
        </is>
      </c>
      <c r="C149" t="inlineStr">
        <is>
          <t>Silicon chống cháy + bu lông, ốc vít van FD/MFD</t>
        </is>
      </c>
      <c r="D149" t="inlineStr">
        <is>
          <t>PHỤ_KIỆN_VAN</t>
        </is>
      </c>
      <c r="E149" t="inlineStr">
        <is>
          <t>MAT-DAMPER-SILICON-BULONG-VIT</t>
        </is>
      </c>
      <c r="F149" t="inlineStr">
        <is>
          <t>Bộ</t>
        </is>
      </c>
      <c r="G149" s="20" t="n">
        <v>1</v>
      </c>
      <c r="H149" s="16">
        <f>'00_TONG_HOP_BAO_GIA'!G43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Keo silicon chống cháy &amp; phụ kiện lắp ghép (1 bộ)</t>
        </is>
      </c>
    </row>
    <row r="150">
      <c r="A150" t="inlineStr">
        <is>
          <t>SW-DAMPER-044-BODY</t>
        </is>
      </c>
      <c r="B150" t="inlineStr">
        <is>
          <t>SW-DAMPER-044</t>
        </is>
      </c>
      <c r="C150" t="inlineStr">
        <is>
          <t>Thân vỏ van NRD bích C30/TDF (1.15mm)</t>
        </is>
      </c>
      <c r="D150" t="inlineStr">
        <is>
          <t>TÔN_CUỘN_MẠ_KẼM</t>
        </is>
      </c>
      <c r="E150" t="inlineStr">
        <is>
          <t>MAT-STEEL-PN-1.15</t>
        </is>
      </c>
      <c r="F150" t="inlineStr">
        <is>
          <t>kg</t>
        </is>
      </c>
      <c r="G150" s="20" t="n">
        <v>10.61729546347295</v>
      </c>
      <c r="H150" s="16">
        <f>'00_TONG_HOP_BAO_GIA'!G45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Kích thước vỏ 1200x400x210mm</t>
        </is>
      </c>
    </row>
    <row r="151">
      <c r="A151" t="inlineStr">
        <is>
          <t>SW-DAMPER-044-BLADE</t>
        </is>
      </c>
      <c r="B151" t="inlineStr">
        <is>
          <t>SW-DAMPER-044</t>
        </is>
      </c>
      <c r="C151" t="inlineStr">
        <is>
          <t>Lá cánh / Tôn tấm bọc van (3 cánh)</t>
        </is>
      </c>
      <c r="D151" t="inlineStr">
        <is>
          <t>TÔN_CUỘN_MẠ_KẼM</t>
        </is>
      </c>
      <c r="E151" t="inlineStr">
        <is>
          <t>MAT-STEEL-PN-0.75</t>
        </is>
      </c>
      <c r="F151" t="inlineStr">
        <is>
          <t>kg</t>
        </is>
      </c>
      <c r="G151" s="20" t="n">
        <v>4.333589985091002</v>
      </c>
      <c r="H151" s="16">
        <f>'00_TONG_HOP_BAO_GIA'!G45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3 cánh cao 153mm</t>
        </is>
      </c>
    </row>
    <row r="152">
      <c r="A152" t="inlineStr">
        <is>
          <t>SW-DAMPER-044-AXLE</t>
        </is>
      </c>
      <c r="B152" t="inlineStr">
        <is>
          <t>SW-DAMPER-044</t>
        </is>
      </c>
      <c r="C152" t="inlineStr">
        <is>
          <t>Trục Sus 201 D10</t>
        </is>
      </c>
      <c r="D152" t="inlineStr">
        <is>
          <t>PHỤ_KIỆN_VAN</t>
        </is>
      </c>
      <c r="E152" t="inlineStr">
        <is>
          <t>MAT-DAMPER-TRUC-SUS-201-D10</t>
        </is>
      </c>
      <c r="F152" t="inlineStr">
        <is>
          <t>m</t>
        </is>
      </c>
      <c r="G152" s="20" t="n">
        <v>4.667086663533803</v>
      </c>
      <c r="H152" s="16">
        <f>'00_TONG_HOP_BAO_GIA'!G45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3 trục dài 1260mm</t>
        </is>
      </c>
    </row>
    <row r="153">
      <c r="A153" t="inlineStr">
        <is>
          <t>SW-DAMPER-044-BEARING</t>
        </is>
      </c>
      <c r="B153" t="inlineStr">
        <is>
          <t>SW-DAMPER-044</t>
        </is>
      </c>
      <c r="C153" t="inlineStr">
        <is>
          <t>Bạc đồng D10</t>
        </is>
      </c>
      <c r="D153" t="inlineStr">
        <is>
          <t>PHỤ_KIỆN_VAN</t>
        </is>
      </c>
      <c r="E153" t="inlineStr">
        <is>
          <t>MAT-DAMPER-BAC-DONG-D10</t>
        </is>
      </c>
      <c r="F153" t="inlineStr">
        <is>
          <t>Đôi</t>
        </is>
      </c>
      <c r="G153" s="20" t="n">
        <v>3</v>
      </c>
      <c r="H153" s="16">
        <f>'00_TONG_HOP_BAO_GIA'!G45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3 đôi bạc đỡ 2 bên thân</t>
        </is>
      </c>
    </row>
    <row r="154">
      <c r="A154" t="inlineStr">
        <is>
          <t>SW-DAMPER-044-GEAR</t>
        </is>
      </c>
      <c r="B154" t="inlineStr">
        <is>
          <t>SW-DAMPER-044</t>
        </is>
      </c>
      <c r="C154" t="inlineStr">
        <is>
          <t>Bánh răng van nhôm</t>
        </is>
      </c>
      <c r="D154" t="inlineStr">
        <is>
          <t>PHỤ_KIỆN_VAN</t>
        </is>
      </c>
      <c r="E154" t="inlineStr">
        <is>
          <t>MAT-DAMPER-BANH-RANG-VAN-NHOM</t>
        </is>
      </c>
      <c r="F154" t="inlineStr">
        <is>
          <t>Bộ</t>
        </is>
      </c>
      <c r="G154" s="20" t="n">
        <v>1</v>
      </c>
      <c r="H154" s="16">
        <f>'00_TONG_HOP_BAO_GIA'!G45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Cơ cấu liên động cánh (1 bộ)</t>
        </is>
      </c>
    </row>
    <row r="155">
      <c r="A155" t="inlineStr">
        <is>
          <t>SW-DAMPER-044-ECCENTRIC</t>
        </is>
      </c>
      <c r="B155" t="inlineStr">
        <is>
          <t>SW-DAMPER-044</t>
        </is>
      </c>
      <c r="C155" t="inlineStr">
        <is>
          <t>Cơ cấu lệch tâm / Lò xo đóng mở (NRD)</t>
        </is>
      </c>
      <c r="D155" t="inlineStr">
        <is>
          <t>PHỤ_KIỆN_VAN</t>
        </is>
      </c>
      <c r="E155" t="inlineStr">
        <is>
          <t>ECCENTRIC_SHAFT</t>
        </is>
      </c>
      <c r="F155" t="inlineStr">
        <is>
          <t>Bộ</t>
        </is>
      </c>
      <c r="G155" s="20" t="n">
        <v>1</v>
      </c>
      <c r="H155" s="16">
        <f>'00_TONG_HOP_BAO_GIA'!G45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Cơ cấu đóng mở một chiều</t>
        </is>
      </c>
    </row>
    <row r="156">
      <c r="A156" t="inlineStr">
        <is>
          <t>SW-DAMPER-046-BODY</t>
        </is>
      </c>
      <c r="B156" t="inlineStr">
        <is>
          <t>SW-DAMPER-046</t>
        </is>
      </c>
      <c r="C156" t="inlineStr">
        <is>
          <t>Thân vỏ van NRD bích C30/TDF (1.15mm)</t>
        </is>
      </c>
      <c r="D156" t="inlineStr">
        <is>
          <t>TÔN_CUỘN_MẠ_KẼM</t>
        </is>
      </c>
      <c r="E156" t="inlineStr">
        <is>
          <t>MAT-STEEL-PN-1.15</t>
        </is>
      </c>
      <c r="F156" t="inlineStr">
        <is>
          <t>kg</t>
        </is>
      </c>
      <c r="G156" s="20" t="n">
        <v>11.51317075298888</v>
      </c>
      <c r="H156" s="16">
        <f>'00_TONG_HOP_BAO_GIA'!G47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Kích thước vỏ 1400x400x210mm</t>
        </is>
      </c>
    </row>
    <row r="157">
      <c r="A157" t="inlineStr">
        <is>
          <t>SW-DAMPER-046-BLADE</t>
        </is>
      </c>
      <c r="B157" t="inlineStr">
        <is>
          <t>SW-DAMPER-046</t>
        </is>
      </c>
      <c r="C157" t="inlineStr">
        <is>
          <t>Lá cánh / Tôn tấm bọc van (3 cánh)</t>
        </is>
      </c>
      <c r="D157" t="inlineStr">
        <is>
          <t>TÔN_CUỘN_MẠ_KẼM</t>
        </is>
      </c>
      <c r="E157" t="inlineStr">
        <is>
          <t>MAT-STEEL-PN-0.75</t>
        </is>
      </c>
      <c r="F157" t="inlineStr">
        <is>
          <t>kg</t>
        </is>
      </c>
      <c r="G157" s="20" t="n">
        <v>4.87999388274254</v>
      </c>
      <c r="H157" s="16">
        <f>'00_TONG_HOP_BAO_GIA'!G47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3 cánh cao 153mm</t>
        </is>
      </c>
    </row>
    <row r="158">
      <c r="A158" t="inlineStr">
        <is>
          <t>SW-DAMPER-046-AXLE</t>
        </is>
      </c>
      <c r="B158" t="inlineStr">
        <is>
          <t>SW-DAMPER-046</t>
        </is>
      </c>
      <c r="C158" t="inlineStr">
        <is>
          <t>Trục Sus 201 D10</t>
        </is>
      </c>
      <c r="D158" t="inlineStr">
        <is>
          <t>PHỤ_KIỆN_VAN</t>
        </is>
      </c>
      <c r="E158" t="inlineStr">
        <is>
          <t>MAT-DAMPER-TRUC-SUS-201-D10</t>
        </is>
      </c>
      <c r="F158" t="inlineStr">
        <is>
          <t>m</t>
        </is>
      </c>
      <c r="G158" s="20" t="n">
        <v>5.219787765487371</v>
      </c>
      <c r="H158" s="16">
        <f>'00_TONG_HOP_BAO_GIA'!G47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3 trục dài 1460mm</t>
        </is>
      </c>
    </row>
    <row r="159">
      <c r="A159" t="inlineStr">
        <is>
          <t>SW-DAMPER-046-BEARING</t>
        </is>
      </c>
      <c r="B159" t="inlineStr">
        <is>
          <t>SW-DAMPER-046</t>
        </is>
      </c>
      <c r="C159" t="inlineStr">
        <is>
          <t>Bạc đồng D10</t>
        </is>
      </c>
      <c r="D159" t="inlineStr">
        <is>
          <t>PHỤ_KIỆN_VAN</t>
        </is>
      </c>
      <c r="E159" t="inlineStr">
        <is>
          <t>MAT-DAMPER-BAC-DONG-D10</t>
        </is>
      </c>
      <c r="F159" t="inlineStr">
        <is>
          <t>Đôi</t>
        </is>
      </c>
      <c r="G159" s="20" t="n">
        <v>3</v>
      </c>
      <c r="H159" s="16">
        <f>'00_TONG_HOP_BAO_GIA'!G47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3 đôi bạc đỡ 2 bên thân</t>
        </is>
      </c>
    </row>
    <row r="160">
      <c r="A160" t="inlineStr">
        <is>
          <t>SW-DAMPER-046-GEAR</t>
        </is>
      </c>
      <c r="B160" t="inlineStr">
        <is>
          <t>SW-DAMPER-046</t>
        </is>
      </c>
      <c r="C160" t="inlineStr">
        <is>
          <t>Bánh răng van nhôm</t>
        </is>
      </c>
      <c r="D160" t="inlineStr">
        <is>
          <t>PHỤ_KIỆN_VAN</t>
        </is>
      </c>
      <c r="E160" t="inlineStr">
        <is>
          <t>MAT-DAMPER-BANH-RANG-VAN-NHOM</t>
        </is>
      </c>
      <c r="F160" t="inlineStr">
        <is>
          <t>Bộ</t>
        </is>
      </c>
      <c r="G160" s="20" t="n">
        <v>1</v>
      </c>
      <c r="H160" s="16">
        <f>'00_TONG_HOP_BAO_GIA'!G47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Cơ cấu liên động cánh (1 bộ)</t>
        </is>
      </c>
    </row>
    <row r="161">
      <c r="A161" t="inlineStr">
        <is>
          <t>SW-DAMPER-046-ECCENTRIC</t>
        </is>
      </c>
      <c r="B161" t="inlineStr">
        <is>
          <t>SW-DAMPER-046</t>
        </is>
      </c>
      <c r="C161" t="inlineStr">
        <is>
          <t>Cơ cấu lệch tâm / Lò xo đóng mở (NRD)</t>
        </is>
      </c>
      <c r="D161" t="inlineStr">
        <is>
          <t>PHỤ_KIỆN_VAN</t>
        </is>
      </c>
      <c r="E161" t="inlineStr">
        <is>
          <t>ECCENTRIC_SHAFT</t>
        </is>
      </c>
      <c r="F161" t="inlineStr">
        <is>
          <t>Bộ</t>
        </is>
      </c>
      <c r="G161" s="20" t="n">
        <v>1</v>
      </c>
      <c r="H161" s="16">
        <f>'00_TONG_HOP_BAO_GIA'!G47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Cơ cấu đóng mở một chiều</t>
        </is>
      </c>
    </row>
    <row r="162">
      <c r="A162" t="inlineStr">
        <is>
          <t>SW-DAMPER-051-BODY</t>
        </is>
      </c>
      <c r="B162" t="inlineStr">
        <is>
          <t>SW-DAMPER-051</t>
        </is>
      </c>
      <c r="C162" t="inlineStr">
        <is>
          <t>Thân vỏ van PRD bích C30/TDF (0.75mm)</t>
        </is>
      </c>
      <c r="D162" t="inlineStr">
        <is>
          <t>TÔN_CUỘN_MẠ_KẼM</t>
        </is>
      </c>
      <c r="E162" t="inlineStr">
        <is>
          <t>MAT-STEEL-PN-0.75</t>
        </is>
      </c>
      <c r="F162" t="inlineStr">
        <is>
          <t>kg</t>
        </is>
      </c>
      <c r="G162" s="20" t="n">
        <v>2.231668994924405</v>
      </c>
      <c r="H162" s="16">
        <f>'00_TONG_HOP_BAO_GIA'!G52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Kích thước vỏ 700x250x210mm</t>
        </is>
      </c>
    </row>
    <row r="163">
      <c r="A163" t="inlineStr">
        <is>
          <t>SW-DAMPER-051-BLADE</t>
        </is>
      </c>
      <c r="B163" t="inlineStr">
        <is>
          <t>SW-DAMPER-051</t>
        </is>
      </c>
      <c r="C163" t="inlineStr">
        <is>
          <t>Lá cánh / Tôn tấm bọc van (2 cánh)</t>
        </is>
      </c>
      <c r="D163" t="inlineStr">
        <is>
          <t>TÔN_CUỘN_MẠ_KẼM</t>
        </is>
      </c>
      <c r="E163" t="inlineStr">
        <is>
          <t>MAT-STEEL-PN-0.75</t>
        </is>
      </c>
      <c r="F163" t="inlineStr">
        <is>
          <t>kg</t>
        </is>
      </c>
      <c r="G163" s="20" t="n">
        <v>0.857828582732356</v>
      </c>
      <c r="H163" s="16">
        <f>'00_TONG_HOP_BAO_GIA'!G52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2 cánh cao 145mm</t>
        </is>
      </c>
    </row>
    <row r="164">
      <c r="A164" t="inlineStr">
        <is>
          <t>SW-DAMPER-051-AXLE</t>
        </is>
      </c>
      <c r="B164" t="inlineStr">
        <is>
          <t>SW-DAMPER-051</t>
        </is>
      </c>
      <c r="C164" t="inlineStr">
        <is>
          <t>Trục Sus 201 D10</t>
        </is>
      </c>
      <c r="D164" t="inlineStr">
        <is>
          <t>PHỤ_KIỆN_VAN</t>
        </is>
      </c>
      <c r="E164" t="inlineStr">
        <is>
          <t>MAT-DAMPER-TRUC-SUS-201-D10</t>
        </is>
      </c>
      <c r="F164" t="inlineStr">
        <is>
          <t>m</t>
        </is>
      </c>
      <c r="G164" s="20" t="n">
        <v>1.010167489042968</v>
      </c>
      <c r="H164" s="16">
        <f>'00_TONG_HOP_BAO_GIA'!G52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2 trục dài 760mm</t>
        </is>
      </c>
    </row>
    <row r="165">
      <c r="A165" t="inlineStr">
        <is>
          <t>SW-DAMPER-051-BEARING</t>
        </is>
      </c>
      <c r="B165" t="inlineStr">
        <is>
          <t>SW-DAMPER-051</t>
        </is>
      </c>
      <c r="C165" t="inlineStr">
        <is>
          <t>Bạc đồng D10</t>
        </is>
      </c>
      <c r="D165" t="inlineStr">
        <is>
          <t>PHỤ_KIỆN_VAN</t>
        </is>
      </c>
      <c r="E165" t="inlineStr">
        <is>
          <t>MAT-DAMPER-BAC-DONG-D10</t>
        </is>
      </c>
      <c r="F165" t="inlineStr">
        <is>
          <t>Đôi</t>
        </is>
      </c>
      <c r="G165" s="20" t="n">
        <v>2</v>
      </c>
      <c r="H165" s="16">
        <f>'00_TONG_HOP_BAO_GIA'!G52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2 đôi bạc đỡ 2 bên thân</t>
        </is>
      </c>
    </row>
    <row r="166">
      <c r="A166" t="inlineStr">
        <is>
          <t>SW-DAMPER-051-GEAR</t>
        </is>
      </c>
      <c r="B166" t="inlineStr">
        <is>
          <t>SW-DAMPER-051</t>
        </is>
      </c>
      <c r="C166" t="inlineStr">
        <is>
          <t>Bánh răng van nhôm</t>
        </is>
      </c>
      <c r="D166" t="inlineStr">
        <is>
          <t>PHỤ_KIỆN_VAN</t>
        </is>
      </c>
      <c r="E166" t="inlineStr">
        <is>
          <t>MAT-DAMPER-BANH-RANG-VAN-NHOM</t>
        </is>
      </c>
      <c r="F166" t="inlineStr">
        <is>
          <t>Bộ</t>
        </is>
      </c>
      <c r="G166" s="20" t="n">
        <v>1</v>
      </c>
      <c r="H166" s="16">
        <f>'00_TONG_HOP_BAO_GIA'!G52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Cơ cấu liên động cánh (1 bộ)</t>
        </is>
      </c>
    </row>
    <row r="167">
      <c r="A167" t="inlineStr">
        <is>
          <t>SW-DAMPER-051-ECCENTRIC</t>
        </is>
      </c>
      <c r="B167" t="inlineStr">
        <is>
          <t>SW-DAMPER-051</t>
        </is>
      </c>
      <c r="C167" t="inlineStr">
        <is>
          <t>Cơ cấu đối trọng xả áp (PRD)</t>
        </is>
      </c>
      <c r="D167" t="inlineStr">
        <is>
          <t>PHỤ_KIỆN_VAN</t>
        </is>
      </c>
      <c r="E167" t="inlineStr">
        <is>
          <t>ECCENTRIC_SHAFT</t>
        </is>
      </c>
      <c r="F167" t="inlineStr">
        <is>
          <t>Bộ</t>
        </is>
      </c>
      <c r="G167" s="20" t="n">
        <v>1</v>
      </c>
      <c r="H167" s="16">
        <f>'00_TONG_HOP_BAO_GIA'!G52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Cơ cấu van xả áp đối trọng</t>
        </is>
      </c>
    </row>
    <row r="168">
      <c r="A168" t="inlineStr">
        <is>
          <t>SW-DAMPER-053-BODY</t>
        </is>
      </c>
      <c r="B168" t="inlineStr">
        <is>
          <t>SW-DAMPER-053</t>
        </is>
      </c>
      <c r="C168" t="inlineStr">
        <is>
          <t>Thân vỏ van PRD bích C30/TDF (0.75mm)</t>
        </is>
      </c>
      <c r="D168" t="inlineStr">
        <is>
          <t>TÔN_CUỘN_MẠ_KẼM</t>
        </is>
      </c>
      <c r="E168" t="inlineStr">
        <is>
          <t>MAT-STEEL-PN-0.75</t>
        </is>
      </c>
      <c r="F168" t="inlineStr">
        <is>
          <t>kg</t>
        </is>
      </c>
      <c r="G168" s="20" t="n">
        <v>3.437177160441921</v>
      </c>
      <c r="H168" s="16">
        <f>'00_TONG_HOP_BAO_GIA'!G54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Kích thước vỏ 550x400x210mm</t>
        </is>
      </c>
    </row>
    <row r="169">
      <c r="A169" t="inlineStr">
        <is>
          <t>SW-DAMPER-053-BLADE</t>
        </is>
      </c>
      <c r="B169" t="inlineStr">
        <is>
          <t>SW-DAMPER-053</t>
        </is>
      </c>
      <c r="C169" t="inlineStr">
        <is>
          <t>Lá cánh / Tôn tấm bọc van (3 cánh)</t>
        </is>
      </c>
      <c r="D169" t="inlineStr">
        <is>
          <t>TÔN_CUỘN_MẠ_KẼM</t>
        </is>
      </c>
      <c r="E169" t="inlineStr">
        <is>
          <t>MAT-STEEL-PN-0.75</t>
        </is>
      </c>
      <c r="F169" t="inlineStr">
        <is>
          <t>kg</t>
        </is>
      </c>
      <c r="G169" s="20" t="n">
        <v>1.64663420877893</v>
      </c>
      <c r="H169" s="16">
        <f>'00_TONG_HOP_BAO_GIA'!G54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3 cánh cao 153mm</t>
        </is>
      </c>
    </row>
    <row r="170">
      <c r="A170" t="inlineStr">
        <is>
          <t>SW-DAMPER-053-AXLE</t>
        </is>
      </c>
      <c r="B170" t="inlineStr">
        <is>
          <t>SW-DAMPER-053</t>
        </is>
      </c>
      <c r="C170" t="inlineStr">
        <is>
          <t>Trục Sus 201 D10</t>
        </is>
      </c>
      <c r="D170" t="inlineStr">
        <is>
          <t>PHỤ_KIỆN_VAN</t>
        </is>
      </c>
      <c r="E170" t="inlineStr">
        <is>
          <t>MAT-DAMPER-TRUC-SUS-201-D10</t>
        </is>
      </c>
      <c r="F170" t="inlineStr">
        <is>
          <t>m</t>
        </is>
      </c>
      <c r="G170" s="20" t="n">
        <v>1.873152026785248</v>
      </c>
      <c r="H170" s="16">
        <f>'00_TONG_HOP_BAO_GIA'!G54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3 trục dài 610mm</t>
        </is>
      </c>
    </row>
    <row r="171">
      <c r="A171" t="inlineStr">
        <is>
          <t>SW-DAMPER-053-BEARING</t>
        </is>
      </c>
      <c r="B171" t="inlineStr">
        <is>
          <t>SW-DAMPER-053</t>
        </is>
      </c>
      <c r="C171" t="inlineStr">
        <is>
          <t>Bạc đồng D10</t>
        </is>
      </c>
      <c r="D171" t="inlineStr">
        <is>
          <t>PHỤ_KIỆN_VAN</t>
        </is>
      </c>
      <c r="E171" t="inlineStr">
        <is>
          <t>MAT-DAMPER-BAC-DONG-D10</t>
        </is>
      </c>
      <c r="F171" t="inlineStr">
        <is>
          <t>Đôi</t>
        </is>
      </c>
      <c r="G171" s="20" t="n">
        <v>3</v>
      </c>
      <c r="H171" s="16">
        <f>'00_TONG_HOP_BAO_GIA'!G54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3 đôi bạc đỡ 2 bên thân</t>
        </is>
      </c>
    </row>
    <row r="172">
      <c r="A172" t="inlineStr">
        <is>
          <t>SW-DAMPER-053-GEAR</t>
        </is>
      </c>
      <c r="B172" t="inlineStr">
        <is>
          <t>SW-DAMPER-053</t>
        </is>
      </c>
      <c r="C172" t="inlineStr">
        <is>
          <t>Bánh răng van nhôm</t>
        </is>
      </c>
      <c r="D172" t="inlineStr">
        <is>
          <t>PHỤ_KIỆN_VAN</t>
        </is>
      </c>
      <c r="E172" t="inlineStr">
        <is>
          <t>MAT-DAMPER-BANH-RANG-VAN-NHOM</t>
        </is>
      </c>
      <c r="F172" t="inlineStr">
        <is>
          <t>Bộ</t>
        </is>
      </c>
      <c r="G172" s="20" t="n">
        <v>1</v>
      </c>
      <c r="H172" s="16">
        <f>'00_TONG_HOP_BAO_GIA'!G54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Cơ cấu liên động cánh (1 bộ)</t>
        </is>
      </c>
    </row>
    <row r="173">
      <c r="A173" t="inlineStr">
        <is>
          <t>SW-DAMPER-053-ECCENTRIC</t>
        </is>
      </c>
      <c r="B173" t="inlineStr">
        <is>
          <t>SW-DAMPER-053</t>
        </is>
      </c>
      <c r="C173" t="inlineStr">
        <is>
          <t>Cơ cấu đối trọng xả áp (PRD)</t>
        </is>
      </c>
      <c r="D173" t="inlineStr">
        <is>
          <t>PHỤ_KIỆN_VAN</t>
        </is>
      </c>
      <c r="E173" t="inlineStr">
        <is>
          <t>ECCENTRIC_SHAFT</t>
        </is>
      </c>
      <c r="F173" t="inlineStr">
        <is>
          <t>Bộ</t>
        </is>
      </c>
      <c r="G173" s="20" t="n">
        <v>1</v>
      </c>
      <c r="H173" s="16">
        <f>'00_TONG_HOP_BAO_GIA'!G54</f>
        <v/>
      </c>
      <c r="I173" s="21">
        <f>G173*H173</f>
        <v/>
      </c>
      <c r="J173" s="16">
        <f>IFERROR(INDEX('06_BANG_GIA_VAT_TU_AP_DUNG'!$E$1:$E$5000, MATCH(E173, '06_BANG_GIA_VAT_TU_AP_DUNG'!$B$1:$B$5000, 0)), 0)</f>
        <v/>
      </c>
      <c r="K173" s="16">
        <f>I173*J173</f>
        <v/>
      </c>
      <c r="L173" t="inlineStr">
        <is>
          <t>Cơ cấu van xả áp đối trọng</t>
        </is>
      </c>
    </row>
    <row r="174">
      <c r="A174" t="inlineStr">
        <is>
          <t>SW-DAMPER-055-BODY</t>
        </is>
      </c>
      <c r="B174" t="inlineStr">
        <is>
          <t>SW-DAMPER-055</t>
        </is>
      </c>
      <c r="C174" t="inlineStr">
        <is>
          <t>Thân vỏ van PRD bích C30/TDF (0.75mm)</t>
        </is>
      </c>
      <c r="D174" t="inlineStr">
        <is>
          <t>TÔN_CUỘN_MẠ_KẼM</t>
        </is>
      </c>
      <c r="E174" t="inlineStr">
        <is>
          <t>MAT-STEEL-PN-0.75</t>
        </is>
      </c>
      <c r="F174" t="inlineStr">
        <is>
          <t>kg</t>
        </is>
      </c>
      <c r="G174" s="20" t="n">
        <v>0.5714456364768785</v>
      </c>
      <c r="H174" s="16">
        <f>'00_TONG_HOP_BAO_GIA'!G56</f>
        <v/>
      </c>
      <c r="I174" s="21">
        <f>G174*H174</f>
        <v/>
      </c>
      <c r="J174" s="16">
        <f>IFERROR(INDEX('06_BANG_GIA_VAT_TU_AP_DUNG'!$E$1:$E$5000, MATCH(E174, '06_BANG_GIA_VAT_TU_AP_DUNG'!$B$1:$B$5000, 0)), 0)</f>
        <v/>
      </c>
      <c r="K174" s="16">
        <f>I174*J174</f>
        <v/>
      </c>
      <c r="L174" t="inlineStr">
        <is>
          <t>Kích thước vỏ 200x200x210mm</t>
        </is>
      </c>
    </row>
    <row r="175">
      <c r="A175" t="inlineStr">
        <is>
          <t>SW-DAMPER-055-BLADE</t>
        </is>
      </c>
      <c r="B175" t="inlineStr">
        <is>
          <t>SW-DAMPER-055</t>
        </is>
      </c>
      <c r="C175" t="inlineStr">
        <is>
          <t>Lá cánh / Tôn tấm bọc van (2 cánh)</t>
        </is>
      </c>
      <c r="D175" t="inlineStr">
        <is>
          <t>TÔN_CUỘN_MẠ_KẼM</t>
        </is>
      </c>
      <c r="E175" t="inlineStr">
        <is>
          <t>MAT-STEEL-PN-0.75</t>
        </is>
      </c>
      <c r="F175" t="inlineStr">
        <is>
          <t>kg</t>
        </is>
      </c>
      <c r="G175" s="20" t="n">
        <v>0.119953602992231</v>
      </c>
      <c r="H175" s="16">
        <f>'00_TONG_HOP_BAO_GIA'!G56</f>
        <v/>
      </c>
      <c r="I175" s="21">
        <f>G175*H175</f>
        <v/>
      </c>
      <c r="J175" s="16">
        <f>IFERROR(INDEX('06_BANG_GIA_VAT_TU_AP_DUNG'!$E$1:$E$5000, MATCH(E175, '06_BANG_GIA_VAT_TU_AP_DUNG'!$B$1:$B$5000, 0)), 0)</f>
        <v/>
      </c>
      <c r="K175" s="16">
        <f>I175*J175</f>
        <v/>
      </c>
      <c r="L175" t="inlineStr">
        <is>
          <t>2 cánh cao 120mm</t>
        </is>
      </c>
    </row>
    <row r="176">
      <c r="A176" t="inlineStr">
        <is>
          <t>SW-DAMPER-055-AXLE</t>
        </is>
      </c>
      <c r="B176" t="inlineStr">
        <is>
          <t>SW-DAMPER-055</t>
        </is>
      </c>
      <c r="C176" t="inlineStr">
        <is>
          <t>Trục Sus 201 D10</t>
        </is>
      </c>
      <c r="D176" t="inlineStr">
        <is>
          <t>PHỤ_KIỆN_VAN</t>
        </is>
      </c>
      <c r="E176" t="inlineStr">
        <is>
          <t>MAT-DAMPER-TRUC-SUS-201-D10</t>
        </is>
      </c>
      <c r="F176" t="inlineStr">
        <is>
          <t>m</t>
        </is>
      </c>
      <c r="G176" s="20" t="n">
        <v>0.2043716860500385</v>
      </c>
      <c r="H176" s="16">
        <f>'00_TONG_HOP_BAO_GIA'!G56</f>
        <v/>
      </c>
      <c r="I176" s="21">
        <f>G176*H176</f>
        <v/>
      </c>
      <c r="J176" s="16">
        <f>IFERROR(INDEX('06_BANG_GIA_VAT_TU_AP_DUNG'!$E$1:$E$5000, MATCH(E176, '06_BANG_GIA_VAT_TU_AP_DUNG'!$B$1:$B$5000, 0)), 0)</f>
        <v/>
      </c>
      <c r="K176" s="16">
        <f>I176*J176</f>
        <v/>
      </c>
      <c r="L176" t="inlineStr">
        <is>
          <t>2 trục dài 260mm</t>
        </is>
      </c>
    </row>
    <row r="177">
      <c r="A177" t="inlineStr">
        <is>
          <t>SW-DAMPER-055-BEARING</t>
        </is>
      </c>
      <c r="B177" t="inlineStr">
        <is>
          <t>SW-DAMPER-055</t>
        </is>
      </c>
      <c r="C177" t="inlineStr">
        <is>
          <t>Bạc đồng D10</t>
        </is>
      </c>
      <c r="D177" t="inlineStr">
        <is>
          <t>PHỤ_KIỆN_VAN</t>
        </is>
      </c>
      <c r="E177" t="inlineStr">
        <is>
          <t>MAT-DAMPER-BAC-DONG-D10</t>
        </is>
      </c>
      <c r="F177" t="inlineStr">
        <is>
          <t>Đôi</t>
        </is>
      </c>
      <c r="G177" s="20" t="n">
        <v>2</v>
      </c>
      <c r="H177" s="16">
        <f>'00_TONG_HOP_BAO_GIA'!G56</f>
        <v/>
      </c>
      <c r="I177" s="21">
        <f>G177*H177</f>
        <v/>
      </c>
      <c r="J177" s="16">
        <f>IFERROR(INDEX('06_BANG_GIA_VAT_TU_AP_DUNG'!$E$1:$E$5000, MATCH(E177, '06_BANG_GIA_VAT_TU_AP_DUNG'!$B$1:$B$5000, 0)), 0)</f>
        <v/>
      </c>
      <c r="K177" s="16">
        <f>I177*J177</f>
        <v/>
      </c>
      <c r="L177" t="inlineStr">
        <is>
          <t>2 đôi bạc đỡ 2 bên thân</t>
        </is>
      </c>
    </row>
    <row r="178">
      <c r="A178" t="inlineStr">
        <is>
          <t>SW-DAMPER-055-GEAR</t>
        </is>
      </c>
      <c r="B178" t="inlineStr">
        <is>
          <t>SW-DAMPER-055</t>
        </is>
      </c>
      <c r="C178" t="inlineStr">
        <is>
          <t>Bánh răng van nhôm</t>
        </is>
      </c>
      <c r="D178" t="inlineStr">
        <is>
          <t>PHỤ_KIỆN_VAN</t>
        </is>
      </c>
      <c r="E178" t="inlineStr">
        <is>
          <t>MAT-DAMPER-BANH-RANG-VAN-NHOM</t>
        </is>
      </c>
      <c r="F178" t="inlineStr">
        <is>
          <t>Bộ</t>
        </is>
      </c>
      <c r="G178" s="20" t="n">
        <v>1</v>
      </c>
      <c r="H178" s="16">
        <f>'00_TONG_HOP_BAO_GIA'!G56</f>
        <v/>
      </c>
      <c r="I178" s="21">
        <f>G178*H178</f>
        <v/>
      </c>
      <c r="J178" s="16">
        <f>IFERROR(INDEX('06_BANG_GIA_VAT_TU_AP_DUNG'!$E$1:$E$5000, MATCH(E178, '06_BANG_GIA_VAT_TU_AP_DUNG'!$B$1:$B$5000, 0)), 0)</f>
        <v/>
      </c>
      <c r="K178" s="16">
        <f>I178*J178</f>
        <v/>
      </c>
      <c r="L178" t="inlineStr">
        <is>
          <t>Cơ cấu liên động cánh (1 bộ)</t>
        </is>
      </c>
    </row>
    <row r="179">
      <c r="A179" t="inlineStr">
        <is>
          <t>SW-DAMPER-055-ECCENTRIC</t>
        </is>
      </c>
      <c r="B179" t="inlineStr">
        <is>
          <t>SW-DAMPER-055</t>
        </is>
      </c>
      <c r="C179" t="inlineStr">
        <is>
          <t>Cơ cấu đối trọng xả áp (PRD)</t>
        </is>
      </c>
      <c r="D179" t="inlineStr">
        <is>
          <t>PHỤ_KIỆN_VAN</t>
        </is>
      </c>
      <c r="E179" t="inlineStr">
        <is>
          <t>ECCENTRIC_SHAFT</t>
        </is>
      </c>
      <c r="F179" t="inlineStr">
        <is>
          <t>Bộ</t>
        </is>
      </c>
      <c r="G179" s="20" t="n">
        <v>1</v>
      </c>
      <c r="H179" s="16">
        <f>'00_TONG_HOP_BAO_GIA'!G56</f>
        <v/>
      </c>
      <c r="I179" s="21">
        <f>G179*H179</f>
        <v/>
      </c>
      <c r="J179" s="16">
        <f>IFERROR(INDEX('06_BANG_GIA_VAT_TU_AP_DUNG'!$E$1:$E$5000, MATCH(E179, '06_BANG_GIA_VAT_TU_AP_DUNG'!$B$1:$B$5000, 0)), 0)</f>
        <v/>
      </c>
      <c r="K179" s="16">
        <f>I179*J179</f>
        <v/>
      </c>
      <c r="L179" t="inlineStr">
        <is>
          <t>Cơ cấu van xả áp đối trọng</t>
        </is>
      </c>
    </row>
    <row r="180">
      <c r="A180" t="inlineStr">
        <is>
          <t>SW-DAMPER-057-BODY</t>
        </is>
      </c>
      <c r="B180" t="inlineStr">
        <is>
          <t>SW-DAMPER-057</t>
        </is>
      </c>
      <c r="C180" t="inlineStr">
        <is>
          <t>Thân vỏ van PRD bích C30/TDF (0.75mm)</t>
        </is>
      </c>
      <c r="D180" t="inlineStr">
        <is>
          <t>TÔN_CUỘN_MẠ_KẼM</t>
        </is>
      </c>
      <c r="E180" t="inlineStr">
        <is>
          <t>MAT-STEEL-PN-0.75</t>
        </is>
      </c>
      <c r="F180" t="inlineStr">
        <is>
          <t>kg</t>
        </is>
      </c>
      <c r="G180" s="20" t="n">
        <v>1.05581104758976</v>
      </c>
      <c r="H180" s="16">
        <f>'00_TONG_HOP_BAO_GIA'!G58</f>
        <v/>
      </c>
      <c r="I180" s="21">
        <f>G180*H180</f>
        <v/>
      </c>
      <c r="J180" s="16">
        <f>IFERROR(INDEX('06_BANG_GIA_VAT_TU_AP_DUNG'!$E$1:$E$5000, MATCH(E180, '06_BANG_GIA_VAT_TU_AP_DUNG'!$B$1:$B$5000, 0)), 0)</f>
        <v/>
      </c>
      <c r="K180" s="16">
        <f>I180*J180</f>
        <v/>
      </c>
      <c r="L180" t="inlineStr">
        <is>
          <t>Kích thước vỏ 400x200x210mm</t>
        </is>
      </c>
    </row>
    <row r="181">
      <c r="A181" t="inlineStr">
        <is>
          <t>SW-DAMPER-057-BLADE</t>
        </is>
      </c>
      <c r="B181" t="inlineStr">
        <is>
          <t>SW-DAMPER-057</t>
        </is>
      </c>
      <c r="C181" t="inlineStr">
        <is>
          <t>Lá cánh / Tôn tấm bọc van (2 cánh)</t>
        </is>
      </c>
      <c r="D181" t="inlineStr">
        <is>
          <t>TÔN_CUỘN_MẠ_KẼM</t>
        </is>
      </c>
      <c r="E181" t="inlineStr">
        <is>
          <t>MAT-STEEL-PN-0.75</t>
        </is>
      </c>
      <c r="F181" t="inlineStr">
        <is>
          <t>kg</t>
        </is>
      </c>
      <c r="G181" s="20" t="n">
        <v>0.300270159683197</v>
      </c>
      <c r="H181" s="16">
        <f>'00_TONG_HOP_BAO_GIA'!G58</f>
        <v/>
      </c>
      <c r="I181" s="21">
        <f>G181*H181</f>
        <v/>
      </c>
      <c r="J181" s="16">
        <f>IFERROR(INDEX('06_BANG_GIA_VAT_TU_AP_DUNG'!$E$1:$E$5000, MATCH(E181, '06_BANG_GIA_VAT_TU_AP_DUNG'!$B$1:$B$5000, 0)), 0)</f>
        <v/>
      </c>
      <c r="K181" s="16">
        <f>I181*J181</f>
        <v/>
      </c>
      <c r="L181" t="inlineStr">
        <is>
          <t>2 cánh cao 120mm</t>
        </is>
      </c>
    </row>
    <row r="182">
      <c r="A182" t="inlineStr">
        <is>
          <t>SW-DAMPER-057-AXLE</t>
        </is>
      </c>
      <c r="B182" t="inlineStr">
        <is>
          <t>SW-DAMPER-057</t>
        </is>
      </c>
      <c r="C182" t="inlineStr">
        <is>
          <t>Trục Sus 201 D10</t>
        </is>
      </c>
      <c r="D182" t="inlineStr">
        <is>
          <t>PHỤ_KIỆN_VAN</t>
        </is>
      </c>
      <c r="E182" t="inlineStr">
        <is>
          <t>MAT-DAMPER-TRUC-SUS-201-D10</t>
        </is>
      </c>
      <c r="F182" t="inlineStr">
        <is>
          <t>m</t>
        </is>
      </c>
      <c r="G182" s="20" t="n">
        <v>0.4525578407324534</v>
      </c>
      <c r="H182" s="16">
        <f>'00_TONG_HOP_BAO_GIA'!G58</f>
        <v/>
      </c>
      <c r="I182" s="21">
        <f>G182*H182</f>
        <v/>
      </c>
      <c r="J182" s="16">
        <f>IFERROR(INDEX('06_BANG_GIA_VAT_TU_AP_DUNG'!$E$1:$E$5000, MATCH(E182, '06_BANG_GIA_VAT_TU_AP_DUNG'!$B$1:$B$5000, 0)), 0)</f>
        <v/>
      </c>
      <c r="K182" s="16">
        <f>I182*J182</f>
        <v/>
      </c>
      <c r="L182" t="inlineStr">
        <is>
          <t>2 trục dài 460mm</t>
        </is>
      </c>
    </row>
    <row r="183">
      <c r="A183" t="inlineStr">
        <is>
          <t>SW-DAMPER-057-BEARING</t>
        </is>
      </c>
      <c r="B183" t="inlineStr">
        <is>
          <t>SW-DAMPER-057</t>
        </is>
      </c>
      <c r="C183" t="inlineStr">
        <is>
          <t>Bạc đồng D10</t>
        </is>
      </c>
      <c r="D183" t="inlineStr">
        <is>
          <t>PHỤ_KIỆN_VAN</t>
        </is>
      </c>
      <c r="E183" t="inlineStr">
        <is>
          <t>MAT-DAMPER-BAC-DONG-D10</t>
        </is>
      </c>
      <c r="F183" t="inlineStr">
        <is>
          <t>Đôi</t>
        </is>
      </c>
      <c r="G183" s="20" t="n">
        <v>2</v>
      </c>
      <c r="H183" s="16">
        <f>'00_TONG_HOP_BAO_GIA'!G58</f>
        <v/>
      </c>
      <c r="I183" s="21">
        <f>G183*H183</f>
        <v/>
      </c>
      <c r="J183" s="16">
        <f>IFERROR(INDEX('06_BANG_GIA_VAT_TU_AP_DUNG'!$E$1:$E$5000, MATCH(E183, '06_BANG_GIA_VAT_TU_AP_DUNG'!$B$1:$B$5000, 0)), 0)</f>
        <v/>
      </c>
      <c r="K183" s="16">
        <f>I183*J183</f>
        <v/>
      </c>
      <c r="L183" t="inlineStr">
        <is>
          <t>2 đôi bạc đỡ 2 bên thân</t>
        </is>
      </c>
    </row>
    <row r="184">
      <c r="A184" t="inlineStr">
        <is>
          <t>SW-DAMPER-057-GEAR</t>
        </is>
      </c>
      <c r="B184" t="inlineStr">
        <is>
          <t>SW-DAMPER-057</t>
        </is>
      </c>
      <c r="C184" t="inlineStr">
        <is>
          <t>Bánh răng van nhôm</t>
        </is>
      </c>
      <c r="D184" t="inlineStr">
        <is>
          <t>PHỤ_KIỆN_VAN</t>
        </is>
      </c>
      <c r="E184" t="inlineStr">
        <is>
          <t>MAT-DAMPER-BANH-RANG-VAN-NHOM</t>
        </is>
      </c>
      <c r="F184" t="inlineStr">
        <is>
          <t>Bộ</t>
        </is>
      </c>
      <c r="G184" s="20" t="n">
        <v>1</v>
      </c>
      <c r="H184" s="16">
        <f>'00_TONG_HOP_BAO_GIA'!G58</f>
        <v/>
      </c>
      <c r="I184" s="21">
        <f>G184*H184</f>
        <v/>
      </c>
      <c r="J184" s="16">
        <f>IFERROR(INDEX('06_BANG_GIA_VAT_TU_AP_DUNG'!$E$1:$E$5000, MATCH(E184, '06_BANG_GIA_VAT_TU_AP_DUNG'!$B$1:$B$5000, 0)), 0)</f>
        <v/>
      </c>
      <c r="K184" s="16">
        <f>I184*J184</f>
        <v/>
      </c>
      <c r="L184" t="inlineStr">
        <is>
          <t>Cơ cấu liên động cánh (1 bộ)</t>
        </is>
      </c>
    </row>
    <row r="185">
      <c r="A185" t="inlineStr">
        <is>
          <t>SW-DAMPER-057-ECCENTRIC</t>
        </is>
      </c>
      <c r="B185" t="inlineStr">
        <is>
          <t>SW-DAMPER-057</t>
        </is>
      </c>
      <c r="C185" t="inlineStr">
        <is>
          <t>Cơ cấu đối trọng xả áp (PRD)</t>
        </is>
      </c>
      <c r="D185" t="inlineStr">
        <is>
          <t>PHỤ_KIỆN_VAN</t>
        </is>
      </c>
      <c r="E185" t="inlineStr">
        <is>
          <t>ECCENTRIC_SHAFT</t>
        </is>
      </c>
      <c r="F185" t="inlineStr">
        <is>
          <t>Bộ</t>
        </is>
      </c>
      <c r="G185" s="20" t="n">
        <v>1</v>
      </c>
      <c r="H185" s="16">
        <f>'00_TONG_HOP_BAO_GIA'!G58</f>
        <v/>
      </c>
      <c r="I185" s="21">
        <f>G185*H185</f>
        <v/>
      </c>
      <c r="J185" s="16">
        <f>IFERROR(INDEX('06_BANG_GIA_VAT_TU_AP_DUNG'!$E$1:$E$5000, MATCH(E185, '06_BANG_GIA_VAT_TU_AP_DUNG'!$B$1:$B$5000, 0)), 0)</f>
        <v/>
      </c>
      <c r="K185" s="16">
        <f>I185*J185</f>
        <v/>
      </c>
      <c r="L185" t="inlineStr">
        <is>
          <t>Cơ cấu van xả áp đối trọng</t>
        </is>
      </c>
    </row>
    <row r="186">
      <c r="A186" t="inlineStr">
        <is>
          <t>SW-DAMPER-059-BODY</t>
        </is>
      </c>
      <c r="B186" t="inlineStr">
        <is>
          <t>SW-DAMPER-059</t>
        </is>
      </c>
      <c r="C186" t="inlineStr">
        <is>
          <t>Thân vỏ van PRD bích C30/TDF (1.15mm)</t>
        </is>
      </c>
      <c r="D186" t="inlineStr">
        <is>
          <t>TÔN_CUỘN_MẠ_KẼM</t>
        </is>
      </c>
      <c r="E186" t="inlineStr">
        <is>
          <t>MAT-STEEL-PN-1.15</t>
        </is>
      </c>
      <c r="F186" t="inlineStr">
        <is>
          <t>kg</t>
        </is>
      </c>
      <c r="G186" s="20" t="n">
        <v>5.533971998348446</v>
      </c>
      <c r="H186" s="16">
        <f>'00_TONG_HOP_BAO_GIA'!G60</f>
        <v/>
      </c>
      <c r="I186" s="21">
        <f>G186*H186</f>
        <v/>
      </c>
      <c r="J186" s="16">
        <f>IFERROR(INDEX('06_BANG_GIA_VAT_TU_AP_DUNG'!$E$1:$E$5000, MATCH(E186, '06_BANG_GIA_VAT_TU_AP_DUNG'!$B$1:$B$5000, 0)), 0)</f>
        <v/>
      </c>
      <c r="K186" s="16">
        <f>I186*J186</f>
        <v/>
      </c>
      <c r="L186" t="inlineStr">
        <is>
          <t>Kích thước vỏ 800x350x210mm</t>
        </is>
      </c>
    </row>
    <row r="187">
      <c r="A187" t="inlineStr">
        <is>
          <t>SW-DAMPER-059-BLADE</t>
        </is>
      </c>
      <c r="B187" t="inlineStr">
        <is>
          <t>SW-DAMPER-059</t>
        </is>
      </c>
      <c r="C187" t="inlineStr">
        <is>
          <t>Lá cánh / Tôn tấm bọc van (2 cánh)</t>
        </is>
      </c>
      <c r="D187" t="inlineStr">
        <is>
          <t>TÔN_CUỘN_MẠ_KẼM</t>
        </is>
      </c>
      <c r="E187" t="inlineStr">
        <is>
          <t>MAT-STEEL-PN-1.15</t>
        </is>
      </c>
      <c r="F187" t="inlineStr">
        <is>
          <t>kg</t>
        </is>
      </c>
      <c r="G187" s="20" t="n">
        <v>2.71051689715026</v>
      </c>
      <c r="H187" s="16">
        <f>'00_TONG_HOP_BAO_GIA'!G60</f>
        <v/>
      </c>
      <c r="I187" s="21">
        <f>G187*H187</f>
        <v/>
      </c>
      <c r="J187" s="16">
        <f>IFERROR(INDEX('06_BANG_GIA_VAT_TU_AP_DUNG'!$E$1:$E$5000, MATCH(E187, '06_BANG_GIA_VAT_TU_AP_DUNG'!$B$1:$B$5000, 0)), 0)</f>
        <v/>
      </c>
      <c r="K187" s="16">
        <f>I187*J187</f>
        <v/>
      </c>
      <c r="L187" t="inlineStr">
        <is>
          <t>2 cánh cao 195mm</t>
        </is>
      </c>
    </row>
    <row r="188">
      <c r="A188" t="inlineStr">
        <is>
          <t>SW-DAMPER-059-AXLE</t>
        </is>
      </c>
      <c r="B188" t="inlineStr">
        <is>
          <t>SW-DAMPER-059</t>
        </is>
      </c>
      <c r="C188" t="inlineStr">
        <is>
          <t>Trục Sus 201 D10</t>
        </is>
      </c>
      <c r="D188" t="inlineStr">
        <is>
          <t>PHỤ_KIỆN_VAN</t>
        </is>
      </c>
      <c r="E188" t="inlineStr">
        <is>
          <t>MAT-DAMPER-TRUC-SUS-201-D10</t>
        </is>
      </c>
      <c r="F188" t="inlineStr">
        <is>
          <t>m</t>
        </is>
      </c>
      <c r="G188" s="20" t="n">
        <v>1.532620814071875</v>
      </c>
      <c r="H188" s="16">
        <f>'00_TONG_HOP_BAO_GIA'!G60</f>
        <v/>
      </c>
      <c r="I188" s="21">
        <f>G188*H188</f>
        <v/>
      </c>
      <c r="J188" s="16">
        <f>IFERROR(INDEX('06_BANG_GIA_VAT_TU_AP_DUNG'!$E$1:$E$5000, MATCH(E188, '06_BANG_GIA_VAT_TU_AP_DUNG'!$B$1:$B$5000, 0)), 0)</f>
        <v/>
      </c>
      <c r="K188" s="16">
        <f>I188*J188</f>
        <v/>
      </c>
      <c r="L188" t="inlineStr">
        <is>
          <t>2 trục dài 860mm</t>
        </is>
      </c>
    </row>
    <row r="189">
      <c r="A189" t="inlineStr">
        <is>
          <t>SW-DAMPER-059-BEARING</t>
        </is>
      </c>
      <c r="B189" t="inlineStr">
        <is>
          <t>SW-DAMPER-059</t>
        </is>
      </c>
      <c r="C189" t="inlineStr">
        <is>
          <t>Bạc đồng D10</t>
        </is>
      </c>
      <c r="D189" t="inlineStr">
        <is>
          <t>PHỤ_KIỆN_VAN</t>
        </is>
      </c>
      <c r="E189" t="inlineStr">
        <is>
          <t>MAT-DAMPER-BAC-DONG-D10</t>
        </is>
      </c>
      <c r="F189" t="inlineStr">
        <is>
          <t>Đôi</t>
        </is>
      </c>
      <c r="G189" s="20" t="n">
        <v>2</v>
      </c>
      <c r="H189" s="16">
        <f>'00_TONG_HOP_BAO_GIA'!G60</f>
        <v/>
      </c>
      <c r="I189" s="21">
        <f>G189*H189</f>
        <v/>
      </c>
      <c r="J189" s="16">
        <f>IFERROR(INDEX('06_BANG_GIA_VAT_TU_AP_DUNG'!$E$1:$E$5000, MATCH(E189, '06_BANG_GIA_VAT_TU_AP_DUNG'!$B$1:$B$5000, 0)), 0)</f>
        <v/>
      </c>
      <c r="K189" s="16">
        <f>I189*J189</f>
        <v/>
      </c>
      <c r="L189" t="inlineStr">
        <is>
          <t>2 đôi bạc đỡ 2 bên thân</t>
        </is>
      </c>
    </row>
    <row r="190">
      <c r="A190" t="inlineStr">
        <is>
          <t>SW-DAMPER-059-GEAR</t>
        </is>
      </c>
      <c r="B190" t="inlineStr">
        <is>
          <t>SW-DAMPER-059</t>
        </is>
      </c>
      <c r="C190" t="inlineStr">
        <is>
          <t>Bánh răng van nhôm</t>
        </is>
      </c>
      <c r="D190" t="inlineStr">
        <is>
          <t>PHỤ_KIỆN_VAN</t>
        </is>
      </c>
      <c r="E190" t="inlineStr">
        <is>
          <t>MAT-DAMPER-BANH-RANG-VAN-NHOM</t>
        </is>
      </c>
      <c r="F190" t="inlineStr">
        <is>
          <t>Bộ</t>
        </is>
      </c>
      <c r="G190" s="20" t="n">
        <v>1</v>
      </c>
      <c r="H190" s="16">
        <f>'00_TONG_HOP_BAO_GIA'!G60</f>
        <v/>
      </c>
      <c r="I190" s="21">
        <f>G190*H190</f>
        <v/>
      </c>
      <c r="J190" s="16">
        <f>IFERROR(INDEX('06_BANG_GIA_VAT_TU_AP_DUNG'!$E$1:$E$5000, MATCH(E190, '06_BANG_GIA_VAT_TU_AP_DUNG'!$B$1:$B$5000, 0)), 0)</f>
        <v/>
      </c>
      <c r="K190" s="16">
        <f>I190*J190</f>
        <v/>
      </c>
      <c r="L190" t="inlineStr">
        <is>
          <t>Cơ cấu liên động cánh (1 bộ)</t>
        </is>
      </c>
    </row>
    <row r="191">
      <c r="A191" t="inlineStr">
        <is>
          <t>SW-DAMPER-059-ECCENTRIC</t>
        </is>
      </c>
      <c r="B191" t="inlineStr">
        <is>
          <t>SW-DAMPER-059</t>
        </is>
      </c>
      <c r="C191" t="inlineStr">
        <is>
          <t>Cơ cấu đối trọng xả áp (PRD)</t>
        </is>
      </c>
      <c r="D191" t="inlineStr">
        <is>
          <t>PHỤ_KIỆN_VAN</t>
        </is>
      </c>
      <c r="E191" t="inlineStr">
        <is>
          <t>ECCENTRIC_SHAFT</t>
        </is>
      </c>
      <c r="F191" t="inlineStr">
        <is>
          <t>Bộ</t>
        </is>
      </c>
      <c r="G191" s="20" t="n">
        <v>1</v>
      </c>
      <c r="H191" s="16">
        <f>'00_TONG_HOP_BAO_GIA'!G60</f>
        <v/>
      </c>
      <c r="I191" s="21">
        <f>G191*H191</f>
        <v/>
      </c>
      <c r="J191" s="16">
        <f>IFERROR(INDEX('06_BANG_GIA_VAT_TU_AP_DUNG'!$E$1:$E$5000, MATCH(E191, '06_BANG_GIA_VAT_TU_AP_DUNG'!$B$1:$B$5000, 0)), 0)</f>
        <v/>
      </c>
      <c r="K191" s="16">
        <f>I191*J191</f>
        <v/>
      </c>
      <c r="L191" t="inlineStr">
        <is>
          <t>Cơ cấu van xả áp đối trọng</t>
        </is>
      </c>
    </row>
    <row r="192">
      <c r="A192" t="inlineStr">
        <is>
          <t>SW-DAMPER-059-FB10-EI</t>
        </is>
      </c>
      <c r="B192" t="inlineStr">
        <is>
          <t>SW-DAMPER-059</t>
        </is>
      </c>
      <c r="C192" t="inlineStr">
        <is>
          <t>Tấm chống cháy dày 10mm bọc thân van PRD (EI30)</t>
        </is>
      </c>
      <c r="D192" t="inlineStr">
        <is>
          <t>VẬT_LIỆU_CÁCH_NHIỆT</t>
        </is>
      </c>
      <c r="E192" t="inlineStr">
        <is>
          <t>MAT-FIREBOARD-10MM-BODY</t>
        </is>
      </c>
      <c r="F192" t="inlineStr">
        <is>
          <t>m2</t>
        </is>
      </c>
      <c r="G192" s="20" t="n">
        <v>0.3758003463804095</v>
      </c>
      <c r="H192" s="16">
        <f>'00_TONG_HOP_BAO_GIA'!G60</f>
        <v/>
      </c>
      <c r="I192" s="21">
        <f>G192*H192</f>
        <v/>
      </c>
      <c r="J192" s="16">
        <f>IFERROR(INDEX('06_BANG_GIA_VAT_TU_AP_DUNG'!$E$1:$E$5000, MATCH(E192, '06_BANG_GIA_VAT_TU_AP_DUNG'!$B$1:$B$5000, 0)), 0)</f>
        <v/>
      </c>
      <c r="K192" s="16">
        <f>I192*J192</f>
        <v/>
      </c>
      <c r="L192" t="inlineStr">
        <is>
          <t>Bọc chống cháy EI30 quanh thân van</t>
        </is>
      </c>
    </row>
    <row r="193">
      <c r="A193" t="inlineStr">
        <is>
          <t>SW-DAMPER-061-BODY</t>
        </is>
      </c>
      <c r="B193" t="inlineStr">
        <is>
          <t>SW-DAMPER-061</t>
        </is>
      </c>
      <c r="C193" t="inlineStr">
        <is>
          <t>Thân vỏ van PRD bích C30/TDF (1.15mm)</t>
        </is>
      </c>
      <c r="D193" t="inlineStr">
        <is>
          <t>TÔN_CUỘN_MẠ_KẼM</t>
        </is>
      </c>
      <c r="E193" t="inlineStr">
        <is>
          <t>MAT-STEEL-PN-1.15</t>
        </is>
      </c>
      <c r="F193" t="inlineStr">
        <is>
          <t>kg</t>
        </is>
      </c>
      <c r="G193" s="20" t="n">
        <v>15.118881859779</v>
      </c>
      <c r="H193" s="16">
        <f>'00_TONG_HOP_BAO_GIA'!G62</f>
        <v/>
      </c>
      <c r="I193" s="21">
        <f>G193*H193</f>
        <v/>
      </c>
      <c r="J193" s="16">
        <f>IFERROR(INDEX('06_BANG_GIA_VAT_TU_AP_DUNG'!$E$1:$E$5000, MATCH(E193, '06_BANG_GIA_VAT_TU_AP_DUNG'!$B$1:$B$5000, 0)), 0)</f>
        <v/>
      </c>
      <c r="K193" s="16">
        <f>I193*J193</f>
        <v/>
      </c>
      <c r="L193" t="inlineStr">
        <is>
          <t>Kích thước vỏ 1500x300x210mm</t>
        </is>
      </c>
    </row>
    <row r="194">
      <c r="A194" t="inlineStr">
        <is>
          <t>SW-DAMPER-061-BLADE</t>
        </is>
      </c>
      <c r="B194" t="inlineStr">
        <is>
          <t>SW-DAMPER-061</t>
        </is>
      </c>
      <c r="C194" t="inlineStr">
        <is>
          <t>Lá cánh / Tôn tấm bọc van (2 cánh)</t>
        </is>
      </c>
      <c r="D194" t="inlineStr">
        <is>
          <t>TÔN_CUỘN_MẠ_KẼM</t>
        </is>
      </c>
      <c r="E194" t="inlineStr">
        <is>
          <t>MAT-STEEL-PN-0.75</t>
        </is>
      </c>
      <c r="F194" t="inlineStr">
        <is>
          <t>kg</t>
        </is>
      </c>
      <c r="G194" s="20" t="n">
        <v>5.074909640715816</v>
      </c>
      <c r="H194" s="16">
        <f>'00_TONG_HOP_BAO_GIA'!G62</f>
        <v/>
      </c>
      <c r="I194" s="21">
        <f>G194*H194</f>
        <v/>
      </c>
      <c r="J194" s="16">
        <f>IFERROR(INDEX('06_BANG_GIA_VAT_TU_AP_DUNG'!$E$1:$E$5000, MATCH(E194, '06_BANG_GIA_VAT_TU_AP_DUNG'!$B$1:$B$5000, 0)), 0)</f>
        <v/>
      </c>
      <c r="K194" s="16">
        <f>I194*J194</f>
        <v/>
      </c>
      <c r="L194" t="inlineStr">
        <is>
          <t>2 cánh cao 170mm</t>
        </is>
      </c>
    </row>
    <row r="195">
      <c r="A195" t="inlineStr">
        <is>
          <t>SW-DAMPER-061-AXLE</t>
        </is>
      </c>
      <c r="B195" t="inlineStr">
        <is>
          <t>SW-DAMPER-061</t>
        </is>
      </c>
      <c r="C195" t="inlineStr">
        <is>
          <t>Trục Sus 201 D10</t>
        </is>
      </c>
      <c r="D195" t="inlineStr">
        <is>
          <t>PHỤ_KIỆN_VAN</t>
        </is>
      </c>
      <c r="E195" t="inlineStr">
        <is>
          <t>MAT-DAMPER-TRUC-SUS-201-D10</t>
        </is>
      </c>
      <c r="F195" t="inlineStr">
        <is>
          <t>m</t>
        </is>
      </c>
      <c r="G195" s="20" t="n">
        <v>4.882677681421765</v>
      </c>
      <c r="H195" s="16">
        <f>'00_TONG_HOP_BAO_GIA'!G62</f>
        <v/>
      </c>
      <c r="I195" s="21">
        <f>G195*H195</f>
        <v/>
      </c>
      <c r="J195" s="16">
        <f>IFERROR(INDEX('06_BANG_GIA_VAT_TU_AP_DUNG'!$E$1:$E$5000, MATCH(E195, '06_BANG_GIA_VAT_TU_AP_DUNG'!$B$1:$B$5000, 0)), 0)</f>
        <v/>
      </c>
      <c r="K195" s="16">
        <f>I195*J195</f>
        <v/>
      </c>
      <c r="L195" t="inlineStr">
        <is>
          <t>2 trục dài 1560mm</t>
        </is>
      </c>
    </row>
    <row r="196">
      <c r="A196" t="inlineStr">
        <is>
          <t>SW-DAMPER-061-BEARING</t>
        </is>
      </c>
      <c r="B196" t="inlineStr">
        <is>
          <t>SW-DAMPER-061</t>
        </is>
      </c>
      <c r="C196" t="inlineStr">
        <is>
          <t>Bạc đồng D10</t>
        </is>
      </c>
      <c r="D196" t="inlineStr">
        <is>
          <t>PHỤ_KIỆN_VAN</t>
        </is>
      </c>
      <c r="E196" t="inlineStr">
        <is>
          <t>MAT-DAMPER-BAC-DONG-D10</t>
        </is>
      </c>
      <c r="F196" t="inlineStr">
        <is>
          <t>Đôi</t>
        </is>
      </c>
      <c r="G196" s="20" t="n">
        <v>2</v>
      </c>
      <c r="H196" s="16">
        <f>'00_TONG_HOP_BAO_GIA'!G62</f>
        <v/>
      </c>
      <c r="I196" s="21">
        <f>G196*H196</f>
        <v/>
      </c>
      <c r="J196" s="16">
        <f>IFERROR(INDEX('06_BANG_GIA_VAT_TU_AP_DUNG'!$E$1:$E$5000, MATCH(E196, '06_BANG_GIA_VAT_TU_AP_DUNG'!$B$1:$B$5000, 0)), 0)</f>
        <v/>
      </c>
      <c r="K196" s="16">
        <f>I196*J196</f>
        <v/>
      </c>
      <c r="L196" t="inlineStr">
        <is>
          <t>2 đôi bạc đỡ 2 bên thân</t>
        </is>
      </c>
    </row>
    <row r="197">
      <c r="A197" t="inlineStr">
        <is>
          <t>SW-DAMPER-061-GEAR</t>
        </is>
      </c>
      <c r="B197" t="inlineStr">
        <is>
          <t>SW-DAMPER-061</t>
        </is>
      </c>
      <c r="C197" t="inlineStr">
        <is>
          <t>Bánh răng van nhôm</t>
        </is>
      </c>
      <c r="D197" t="inlineStr">
        <is>
          <t>PHỤ_KIỆN_VAN</t>
        </is>
      </c>
      <c r="E197" t="inlineStr">
        <is>
          <t>MAT-DAMPER-BANH-RANG-VAN-NHOM</t>
        </is>
      </c>
      <c r="F197" t="inlineStr">
        <is>
          <t>Bộ</t>
        </is>
      </c>
      <c r="G197" s="20" t="n">
        <v>1</v>
      </c>
      <c r="H197" s="16">
        <f>'00_TONG_HOP_BAO_GIA'!G62</f>
        <v/>
      </c>
      <c r="I197" s="21">
        <f>G197*H197</f>
        <v/>
      </c>
      <c r="J197" s="16">
        <f>IFERROR(INDEX('06_BANG_GIA_VAT_TU_AP_DUNG'!$E$1:$E$5000, MATCH(E197, '06_BANG_GIA_VAT_TU_AP_DUNG'!$B$1:$B$5000, 0)), 0)</f>
        <v/>
      </c>
      <c r="K197" s="16">
        <f>I197*J197</f>
        <v/>
      </c>
      <c r="L197" t="inlineStr">
        <is>
          <t>Cơ cấu liên động cánh (1 bộ)</t>
        </is>
      </c>
    </row>
    <row r="198">
      <c r="A198" t="inlineStr">
        <is>
          <t>SW-DAMPER-061-ECCENTRIC</t>
        </is>
      </c>
      <c r="B198" t="inlineStr">
        <is>
          <t>SW-DAMPER-061</t>
        </is>
      </c>
      <c r="C198" t="inlineStr">
        <is>
          <t>Cơ cấu đối trọng xả áp (PRD)</t>
        </is>
      </c>
      <c r="D198" t="inlineStr">
        <is>
          <t>PHỤ_KIỆN_VAN</t>
        </is>
      </c>
      <c r="E198" t="inlineStr">
        <is>
          <t>ECCENTRIC_SHAFT</t>
        </is>
      </c>
      <c r="F198" t="inlineStr">
        <is>
          <t>Bộ</t>
        </is>
      </c>
      <c r="G198" s="20" t="n">
        <v>1</v>
      </c>
      <c r="H198" s="16">
        <f>'00_TONG_HOP_BAO_GIA'!G62</f>
        <v/>
      </c>
      <c r="I198" s="21">
        <f>G198*H198</f>
        <v/>
      </c>
      <c r="J198" s="16">
        <f>IFERROR(INDEX('06_BANG_GIA_VAT_TU_AP_DUNG'!$E$1:$E$5000, MATCH(E198, '06_BANG_GIA_VAT_TU_AP_DUNG'!$B$1:$B$5000, 0)), 0)</f>
        <v/>
      </c>
      <c r="K198" s="16">
        <f>I198*J198</f>
        <v/>
      </c>
      <c r="L198" t="inlineStr">
        <is>
          <t>Cơ cấu van xả áp đối trọng</t>
        </is>
      </c>
    </row>
    <row r="199">
      <c r="A199" t="inlineStr">
        <is>
          <t>SW-DAMPER-063-BODY</t>
        </is>
      </c>
      <c r="B199" t="inlineStr">
        <is>
          <t>SW-DAMPER-063</t>
        </is>
      </c>
      <c r="C199" t="inlineStr">
        <is>
          <t>Thân vỏ van MD bích C30/TDF (1.15mm)</t>
        </is>
      </c>
      <c r="D199" t="inlineStr">
        <is>
          <t>TÔN_CUỘN_MẠ_KẼM</t>
        </is>
      </c>
      <c r="E199" t="inlineStr">
        <is>
          <t>MAT-STEEL-PN-1.15</t>
        </is>
      </c>
      <c r="F199" t="inlineStr">
        <is>
          <t>kg</t>
        </is>
      </c>
      <c r="G199" s="20" t="n">
        <v>5.035984460963048</v>
      </c>
      <c r="H199" s="16">
        <f>'00_TONG_HOP_BAO_GIA'!G64</f>
        <v/>
      </c>
      <c r="I199" s="21">
        <f>G199*H199</f>
        <v/>
      </c>
      <c r="J199" s="16">
        <f>IFERROR(INDEX('06_BANG_GIA_VAT_TU_AP_DUNG'!$E$1:$E$5000, MATCH(E199, '06_BANG_GIA_VAT_TU_AP_DUNG'!$B$1:$B$5000, 0)), 0)</f>
        <v/>
      </c>
      <c r="K199" s="16">
        <f>I199*J199</f>
        <v/>
      </c>
      <c r="L199" t="inlineStr">
        <is>
          <t>Kích thước vỏ 800x350x210mm</t>
        </is>
      </c>
    </row>
    <row r="200">
      <c r="A200" t="inlineStr">
        <is>
          <t>SW-DAMPER-063-BLADE</t>
        </is>
      </c>
      <c r="B200" t="inlineStr">
        <is>
          <t>SW-DAMPER-063</t>
        </is>
      </c>
      <c r="C200" t="inlineStr">
        <is>
          <t>Lá cánh / Tôn tấm bọc van (2 cánh)</t>
        </is>
      </c>
      <c r="D200" t="inlineStr">
        <is>
          <t>TÔN_CUỘN_MẠ_KẼM</t>
        </is>
      </c>
      <c r="E200" t="inlineStr">
        <is>
          <t>MAT-STEEL-PN-1.15</t>
        </is>
      </c>
      <c r="F200" t="inlineStr">
        <is>
          <t>kg</t>
        </is>
      </c>
      <c r="G200" s="20" t="n">
        <v>2.466604633941085</v>
      </c>
      <c r="H200" s="16">
        <f>'00_TONG_HOP_BAO_GIA'!G64</f>
        <v/>
      </c>
      <c r="I200" s="21">
        <f>G200*H200</f>
        <v/>
      </c>
      <c r="J200" s="16">
        <f>IFERROR(INDEX('06_BANG_GIA_VAT_TU_AP_DUNG'!$E$1:$E$5000, MATCH(E200, '06_BANG_GIA_VAT_TU_AP_DUNG'!$B$1:$B$5000, 0)), 0)</f>
        <v/>
      </c>
      <c r="K200" s="16">
        <f>I200*J200</f>
        <v/>
      </c>
      <c r="L200" t="inlineStr">
        <is>
          <t>2 cánh cao 195mm</t>
        </is>
      </c>
    </row>
    <row r="201">
      <c r="A201" t="inlineStr">
        <is>
          <t>SW-DAMPER-063-AXLE</t>
        </is>
      </c>
      <c r="B201" t="inlineStr">
        <is>
          <t>SW-DAMPER-063</t>
        </is>
      </c>
      <c r="C201" t="inlineStr">
        <is>
          <t>Trục Sus 201 D10</t>
        </is>
      </c>
      <c r="D201" t="inlineStr">
        <is>
          <t>PHỤ_KIỆN_VAN</t>
        </is>
      </c>
      <c r="E201" t="inlineStr">
        <is>
          <t>MAT-DAMPER-TRUC-SUS-201-D10</t>
        </is>
      </c>
      <c r="F201" t="inlineStr">
        <is>
          <t>m</t>
        </is>
      </c>
      <c r="G201" s="20" t="n">
        <v>1.394704311210452</v>
      </c>
      <c r="H201" s="16">
        <f>'00_TONG_HOP_BAO_GIA'!G64</f>
        <v/>
      </c>
      <c r="I201" s="21">
        <f>G201*H201</f>
        <v/>
      </c>
      <c r="J201" s="16">
        <f>IFERROR(INDEX('06_BANG_GIA_VAT_TU_AP_DUNG'!$E$1:$E$5000, MATCH(E201, '06_BANG_GIA_VAT_TU_AP_DUNG'!$B$1:$B$5000, 0)), 0)</f>
        <v/>
      </c>
      <c r="K201" s="16">
        <f>I201*J201</f>
        <v/>
      </c>
      <c r="L201" t="inlineStr">
        <is>
          <t>2 trục dài 860mm</t>
        </is>
      </c>
    </row>
    <row r="202">
      <c r="A202" t="inlineStr">
        <is>
          <t>SW-DAMPER-063-BEARING</t>
        </is>
      </c>
      <c r="B202" t="inlineStr">
        <is>
          <t>SW-DAMPER-063</t>
        </is>
      </c>
      <c r="C202" t="inlineStr">
        <is>
          <t>Bạc đồng D10</t>
        </is>
      </c>
      <c r="D202" t="inlineStr">
        <is>
          <t>PHỤ_KIỆN_VAN</t>
        </is>
      </c>
      <c r="E202" t="inlineStr">
        <is>
          <t>MAT-DAMPER-BAC-DONG-D10</t>
        </is>
      </c>
      <c r="F202" t="inlineStr">
        <is>
          <t>Đôi</t>
        </is>
      </c>
      <c r="G202" s="20" t="n">
        <v>2</v>
      </c>
      <c r="H202" s="16">
        <f>'00_TONG_HOP_BAO_GIA'!G64</f>
        <v/>
      </c>
      <c r="I202" s="21">
        <f>G202*H202</f>
        <v/>
      </c>
      <c r="J202" s="16">
        <f>IFERROR(INDEX('06_BANG_GIA_VAT_TU_AP_DUNG'!$E$1:$E$5000, MATCH(E202, '06_BANG_GIA_VAT_TU_AP_DUNG'!$B$1:$B$5000, 0)), 0)</f>
        <v/>
      </c>
      <c r="K202" s="16">
        <f>I202*J202</f>
        <v/>
      </c>
      <c r="L202" t="inlineStr">
        <is>
          <t>2 đôi bạc đỡ 2 bên thân</t>
        </is>
      </c>
    </row>
    <row r="203">
      <c r="A203" t="inlineStr">
        <is>
          <t>SW-DAMPER-063-GEAR</t>
        </is>
      </c>
      <c r="B203" t="inlineStr">
        <is>
          <t>SW-DAMPER-063</t>
        </is>
      </c>
      <c r="C203" t="inlineStr">
        <is>
          <t>Bánh răng van nhôm</t>
        </is>
      </c>
      <c r="D203" t="inlineStr">
        <is>
          <t>PHỤ_KIỆN_VAN</t>
        </is>
      </c>
      <c r="E203" t="inlineStr">
        <is>
          <t>MAT-DAMPER-BANH-RANG-VAN-NHOM</t>
        </is>
      </c>
      <c r="F203" t="inlineStr">
        <is>
          <t>Bộ</t>
        </is>
      </c>
      <c r="G203" s="20" t="n">
        <v>1</v>
      </c>
      <c r="H203" s="16">
        <f>'00_TONG_HOP_BAO_GIA'!G64</f>
        <v/>
      </c>
      <c r="I203" s="21">
        <f>G203*H203</f>
        <v/>
      </c>
      <c r="J203" s="16">
        <f>IFERROR(INDEX('06_BANG_GIA_VAT_TU_AP_DUNG'!$E$1:$E$5000, MATCH(E203, '06_BANG_GIA_VAT_TU_AP_DUNG'!$B$1:$B$5000, 0)), 0)</f>
        <v/>
      </c>
      <c r="K203" s="16">
        <f>I203*J203</f>
        <v/>
      </c>
      <c r="L203" t="inlineStr">
        <is>
          <t>Cơ cấu liên động cánh (1 bộ)</t>
        </is>
      </c>
    </row>
    <row r="204">
      <c r="A204" t="inlineStr">
        <is>
          <t>SW-DAMPER-063-ACTUATOR</t>
        </is>
      </c>
      <c r="B204" t="inlineStr">
        <is>
          <t>SW-DAMPER-063</t>
        </is>
      </c>
      <c r="C204" t="inlineStr">
        <is>
          <t>Động cơ van gió KLB/VIWECO 24V - 10Nm ON/OFF</t>
        </is>
      </c>
      <c r="D204" t="inlineStr">
        <is>
          <t>ĐỘNG_CƠ_VÀ_CẢM_BIẾN</t>
        </is>
      </c>
      <c r="E204" t="inlineStr">
        <is>
          <t>MAT-ACTUATOR-SWIND-VIWECO</t>
        </is>
      </c>
      <c r="F204" t="inlineStr">
        <is>
          <t>Cái</t>
        </is>
      </c>
      <c r="G204" s="20" t="n">
        <v>1</v>
      </c>
      <c r="H204" s="16">
        <f>'00_TONG_HOP_BAO_GIA'!G64</f>
        <v/>
      </c>
      <c r="I204" s="21">
        <f>G204*H204</f>
        <v/>
      </c>
      <c r="J204" s="16">
        <f>IFERROR(INDEX('06_BANG_GIA_VAT_TU_AP_DUNG'!$E$1:$E$5000, MATCH(E204, '06_BANG_GIA_VAT_TU_AP_DUNG'!$B$1:$B$5000, 0)), 0)</f>
        <v/>
      </c>
      <c r="K204" s="16">
        <f>I204*J204</f>
        <v/>
      </c>
      <c r="L204" t="inlineStr">
        <is>
          <t>Tiết diện 0.28m2/modul (1 bộ)</t>
        </is>
      </c>
    </row>
    <row r="205">
      <c r="A205" t="inlineStr">
        <is>
          <t>SW-DAMPER-063-FB10-EI</t>
        </is>
      </c>
      <c r="B205" t="inlineStr">
        <is>
          <t>SW-DAMPER-063</t>
        </is>
      </c>
      <c r="C205" t="inlineStr">
        <is>
          <t>Tấm chống cháy dày 10mm bọc thân van MD (EI30)</t>
        </is>
      </c>
      <c r="D205" t="inlineStr">
        <is>
          <t>VẬT_LIỆU_CÁCH_NHIỆT</t>
        </is>
      </c>
      <c r="E205" t="inlineStr">
        <is>
          <t>MAT-FIREBOARD-10MM-BODY</t>
        </is>
      </c>
      <c r="F205" t="inlineStr">
        <is>
          <t>m2</t>
        </is>
      </c>
      <c r="G205" s="20" t="n">
        <v>0.3758003463804095</v>
      </c>
      <c r="H205" s="16">
        <f>'00_TONG_HOP_BAO_GIA'!G64</f>
        <v/>
      </c>
      <c r="I205" s="21">
        <f>G205*H205</f>
        <v/>
      </c>
      <c r="J205" s="16">
        <f>IFERROR(INDEX('06_BANG_GIA_VAT_TU_AP_DUNG'!$E$1:$E$5000, MATCH(E205, '06_BANG_GIA_VAT_TU_AP_DUNG'!$B$1:$B$5000, 0)), 0)</f>
        <v/>
      </c>
      <c r="K205" s="16">
        <f>I205*J205</f>
        <v/>
      </c>
      <c r="L205" t="inlineStr">
        <is>
          <t>Bọc chống cháy EI30 quanh thân van</t>
        </is>
      </c>
    </row>
    <row r="206">
      <c r="A206" t="inlineStr">
        <is>
          <t>SW-DAMPER-080-BODY</t>
        </is>
      </c>
      <c r="B206" t="inlineStr">
        <is>
          <t>SW-DAMPER-080</t>
        </is>
      </c>
      <c r="C206" t="inlineStr">
        <is>
          <t>Thân vỏ van MFD bích C30/TDF (1.15mm)</t>
        </is>
      </c>
      <c r="D206" t="inlineStr">
        <is>
          <t>TÔN_CUỘN_MẠ_KẼM</t>
        </is>
      </c>
      <c r="E206" t="inlineStr">
        <is>
          <t>MAT-STEEL-PN-1.15</t>
        </is>
      </c>
      <c r="F206" t="inlineStr">
        <is>
          <t>kg</t>
        </is>
      </c>
      <c r="G206" s="20" t="n">
        <v>3.029807820958935</v>
      </c>
      <c r="H206" s="16">
        <f>'00_TONG_HOP_BAO_GIA'!G81</f>
        <v/>
      </c>
      <c r="I206" s="21">
        <f>G206*H206</f>
        <v/>
      </c>
      <c r="J206" s="16">
        <f>IFERROR(INDEX('06_BANG_GIA_VAT_TU_AP_DUNG'!$E$1:$E$5000, MATCH(E206, '06_BANG_GIA_VAT_TU_AP_DUNG'!$B$1:$B$5000, 0)), 0)</f>
        <v/>
      </c>
      <c r="K206" s="16">
        <f>I206*J206</f>
        <v/>
      </c>
      <c r="L206" t="inlineStr">
        <is>
          <t>Kích thước vỏ 200x200x200mm</t>
        </is>
      </c>
    </row>
    <row r="207">
      <c r="A207" t="inlineStr">
        <is>
          <t>SW-DAMPER-080-BLADE</t>
        </is>
      </c>
      <c r="B207" t="inlineStr">
        <is>
          <t>SW-DAMPER-080</t>
        </is>
      </c>
      <c r="C207" t="inlineStr">
        <is>
          <t>Lá cánh / Tôn tấm bọc van (1 cánh)</t>
        </is>
      </c>
      <c r="D207" t="inlineStr">
        <is>
          <t>TÔN_CUỘN_MẠ_KẼM</t>
        </is>
      </c>
      <c r="E207" t="inlineStr">
        <is>
          <t>MAT-STEEL-PN-1.15</t>
        </is>
      </c>
      <c r="F207" t="inlineStr">
        <is>
          <t>kg</t>
        </is>
      </c>
      <c r="G207" s="20" t="n">
        <v>1.017824076915742</v>
      </c>
      <c r="H207" s="16">
        <f>'00_TONG_HOP_BAO_GIA'!G81</f>
        <v/>
      </c>
      <c r="I207" s="21">
        <f>G207*H207</f>
        <v/>
      </c>
      <c r="J207" s="16">
        <f>IFERROR(INDEX('06_BANG_GIA_VAT_TU_AP_DUNG'!$E$1:$E$5000, MATCH(E207, '06_BANG_GIA_VAT_TU_AP_DUNG'!$B$1:$B$5000, 0)), 0)</f>
        <v/>
      </c>
      <c r="K207" s="16">
        <f>I207*J207</f>
        <v/>
      </c>
      <c r="L207" t="inlineStr">
        <is>
          <t>Tôn bọc cánh &amp; thân (1 cánh/modul)</t>
        </is>
      </c>
    </row>
    <row r="208">
      <c r="A208" t="inlineStr">
        <is>
          <t>SW-DAMPER-080-AXLE</t>
        </is>
      </c>
      <c r="B208" t="inlineStr">
        <is>
          <t>SW-DAMPER-080</t>
        </is>
      </c>
      <c r="C208" t="inlineStr">
        <is>
          <t>Trục Sus 201 D10</t>
        </is>
      </c>
      <c r="D208" t="inlineStr">
        <is>
          <t>PHỤ_KIỆN_VAN</t>
        </is>
      </c>
      <c r="E208" t="inlineStr">
        <is>
          <t>MAT-DAMPER-TRUC-SUS-201-D10</t>
        </is>
      </c>
      <c r="F208" t="inlineStr">
        <is>
          <t>m</t>
        </is>
      </c>
      <c r="G208" s="20" t="n">
        <v>0.3664279423955871</v>
      </c>
      <c r="H208" s="16">
        <f>'00_TONG_HOP_BAO_GIA'!G81</f>
        <v/>
      </c>
      <c r="I208" s="21">
        <f>G208*H208</f>
        <v/>
      </c>
      <c r="J208" s="16">
        <f>IFERROR(INDEX('06_BANG_GIA_VAT_TU_AP_DUNG'!$E$1:$E$5000, MATCH(E208, '06_BANG_GIA_VAT_TU_AP_DUNG'!$B$1:$B$5000, 0)), 0)</f>
        <v/>
      </c>
      <c r="K208" s="16">
        <f>I208*J208</f>
        <v/>
      </c>
      <c r="L208" t="inlineStr">
        <is>
          <t>1 trục dài 260mm</t>
        </is>
      </c>
    </row>
    <row r="209">
      <c r="A209" t="inlineStr">
        <is>
          <t>SW-DAMPER-080-BEARING</t>
        </is>
      </c>
      <c r="B209" t="inlineStr">
        <is>
          <t>SW-DAMPER-080</t>
        </is>
      </c>
      <c r="C209" t="inlineStr">
        <is>
          <t>Bạc đồng D10</t>
        </is>
      </c>
      <c r="D209" t="inlineStr">
        <is>
          <t>PHỤ_KIỆN_VAN</t>
        </is>
      </c>
      <c r="E209" t="inlineStr">
        <is>
          <t>MAT-DAMPER-BAC-DONG-D10</t>
        </is>
      </c>
      <c r="F209" t="inlineStr">
        <is>
          <t>Đôi</t>
        </is>
      </c>
      <c r="G209" s="20" t="n">
        <v>1</v>
      </c>
      <c r="H209" s="16">
        <f>'00_TONG_HOP_BAO_GIA'!G81</f>
        <v/>
      </c>
      <c r="I209" s="21">
        <f>G209*H209</f>
        <v/>
      </c>
      <c r="J209" s="16">
        <f>IFERROR(INDEX('06_BANG_GIA_VAT_TU_AP_DUNG'!$E$1:$E$5000, MATCH(E209, '06_BANG_GIA_VAT_TU_AP_DUNG'!$B$1:$B$5000, 0)), 0)</f>
        <v/>
      </c>
      <c r="K209" s="16">
        <f>I209*J209</f>
        <v/>
      </c>
      <c r="L209" t="inlineStr">
        <is>
          <t>1 đôi bạc đỡ 2 bên thân</t>
        </is>
      </c>
    </row>
    <row r="210">
      <c r="A210" t="inlineStr">
        <is>
          <t>SW-DAMPER-080-ACTUATOR</t>
        </is>
      </c>
      <c r="B210" t="inlineStr">
        <is>
          <t>SW-DAMPER-080</t>
        </is>
      </c>
      <c r="C210" t="inlineStr">
        <is>
          <t>Động cơ chặn lửa ON/OFF KLB (Swin V6006FS500S EI90) 5Nm</t>
        </is>
      </c>
      <c r="D210" t="inlineStr">
        <is>
          <t>ĐỘNG_CƠ_VÀ_CẢM_BIẾN</t>
        </is>
      </c>
      <c r="E210" t="inlineStr">
        <is>
          <t>MAT-ACTUATOR-KLB-V6006FS500S</t>
        </is>
      </c>
      <c r="F210" t="inlineStr">
        <is>
          <t>Cái</t>
        </is>
      </c>
      <c r="G210" s="20" t="n">
        <v>1</v>
      </c>
      <c r="H210" s="16">
        <f>'00_TONG_HOP_BAO_GIA'!G81</f>
        <v/>
      </c>
      <c r="I210" s="21">
        <f>G210*H210</f>
        <v/>
      </c>
      <c r="J210" s="16">
        <f>IFERROR(INDEX('06_BANG_GIA_VAT_TU_AP_DUNG'!$E$1:$E$5000, MATCH(E210, '06_BANG_GIA_VAT_TU_AP_DUNG'!$B$1:$B$5000, 0)), 0)</f>
        <v/>
      </c>
      <c r="K210" s="16">
        <f>I210*J210</f>
        <v/>
      </c>
      <c r="L210" t="inlineStr">
        <is>
          <t>Động cơ lò xo phản hồi MFD (1 bộ)</t>
        </is>
      </c>
    </row>
    <row r="211">
      <c r="A211" t="inlineStr">
        <is>
          <t>SW-DAMPER-080-FB10-BODY</t>
        </is>
      </c>
      <c r="B211" t="inlineStr">
        <is>
          <t>SW-DAMPER-080</t>
        </is>
      </c>
      <c r="C211" t="inlineStr">
        <is>
          <t>Tấm chống cháy dày 10mm bọc thân van FD/MFD (2 lớp)</t>
        </is>
      </c>
      <c r="D211" t="inlineStr">
        <is>
          <t>VẬT_LIỆU_CÁCH_NHIỆT</t>
        </is>
      </c>
      <c r="E211" t="inlineStr">
        <is>
          <t>MAT-FIREBOARD-10MM-BODY</t>
        </is>
      </c>
      <c r="F211" t="inlineStr">
        <is>
          <t>m2</t>
        </is>
      </c>
      <c r="G211" s="20" t="n">
        <v>0.6764823551918531</v>
      </c>
      <c r="H211" s="16">
        <f>'00_TONG_HOP_BAO_GIA'!G81</f>
        <v/>
      </c>
      <c r="I211" s="21">
        <f>G211*H211</f>
        <v/>
      </c>
      <c r="J211" s="16">
        <f>IFERROR(INDEX('06_BANG_GIA_VAT_TU_AP_DUNG'!$E$1:$E$5000, MATCH(E211, '06_BANG_GIA_VAT_TU_AP_DUNG'!$B$1:$B$5000, 0)), 0)</f>
        <v/>
      </c>
      <c r="K211" s="16">
        <f>I211*J211</f>
        <v/>
      </c>
      <c r="L211" t="inlineStr">
        <is>
          <t>Bọc 2 lớp tấm 10mm quanh thân L=300mm</t>
        </is>
      </c>
    </row>
    <row r="212">
      <c r="A212" t="inlineStr">
        <is>
          <t>SW-DAMPER-080-FB20-BLADE</t>
        </is>
      </c>
      <c r="B212" t="inlineStr">
        <is>
          <t>SW-DAMPER-080</t>
        </is>
      </c>
      <c r="C212" t="inlineStr">
        <is>
          <t>Tấm chống cháy dày 20mm làm lõi cánh van FD/MFD</t>
        </is>
      </c>
      <c r="D212" t="inlineStr">
        <is>
          <t>VẬT_LIỆU_CÁCH_NHIỆT</t>
        </is>
      </c>
      <c r="E212" t="inlineStr">
        <is>
          <t>MAT-FIREBOARD-20MM-BLADE</t>
        </is>
      </c>
      <c r="F212" t="inlineStr">
        <is>
          <t>m2</t>
        </is>
      </c>
      <c r="G212" s="20" t="n">
        <v>0.0563735295993211</v>
      </c>
      <c r="H212" s="16">
        <f>'00_TONG_HOP_BAO_GIA'!G81</f>
        <v/>
      </c>
      <c r="I212" s="21">
        <f>G212*H212</f>
        <v/>
      </c>
      <c r="J212" s="16">
        <f>IFERROR(INDEX('06_BANG_GIA_VAT_TU_AP_DUNG'!$E$1:$E$5000, MATCH(E212, '06_BANG_GIA_VAT_TU_AP_DUNG'!$B$1:$B$5000, 0)), 0)</f>
        <v/>
      </c>
      <c r="K212" s="16">
        <f>I212*J212</f>
        <v/>
      </c>
      <c r="L212" t="inlineStr">
        <is>
          <t>Lõi cánh tấm 20mm (Cánh đơn 200x200mm)</t>
        </is>
      </c>
    </row>
    <row r="213">
      <c r="A213" t="inlineStr">
        <is>
          <t>SW-DAMPER-080-FB10-BLADE</t>
        </is>
      </c>
      <c r="B213" t="inlineStr">
        <is>
          <t>SW-DAMPER-080</t>
        </is>
      </c>
      <c r="C213" t="inlineStr">
        <is>
          <t>Tấm chống cháy dày 10mm ốp 2 mặt cánh van FD/MFD</t>
        </is>
      </c>
      <c r="D213" t="inlineStr">
        <is>
          <t>VẬT_LIỆU_CÁCH_NHIỆT</t>
        </is>
      </c>
      <c r="E213" t="inlineStr">
        <is>
          <t>MAT-FIREBOARD-10MM-BLADE</t>
        </is>
      </c>
      <c r="F213" t="inlineStr">
        <is>
          <t>m2</t>
        </is>
      </c>
      <c r="G213" s="20" t="n">
        <v>0.1127470591986422</v>
      </c>
      <c r="H213" s="16">
        <f>'00_TONG_HOP_BAO_GIA'!G81</f>
        <v/>
      </c>
      <c r="I213" s="21">
        <f>G213*H213</f>
        <v/>
      </c>
      <c r="J213" s="16">
        <f>IFERROR(INDEX('06_BANG_GIA_VAT_TU_AP_DUNG'!$E$1:$E$5000, MATCH(E213, '06_BANG_GIA_VAT_TU_AP_DUNG'!$B$1:$B$5000, 0)), 0)</f>
        <v/>
      </c>
      <c r="K213" s="16">
        <f>I213*J213</f>
        <v/>
      </c>
      <c r="L213" t="inlineStr">
        <is>
          <t>Ốp 2 mặt cánh tấm 10mm (Cánh đơn 200x200mm)</t>
        </is>
      </c>
    </row>
    <row r="214">
      <c r="A214" t="inlineStr">
        <is>
          <t>SW-DAMPER-080-SPRING-BOX</t>
        </is>
      </c>
      <c r="B214" t="inlineStr">
        <is>
          <t>SW-DAMPER-080</t>
        </is>
      </c>
      <c r="C214" t="inlineStr">
        <is>
          <t>Hộp lò xo van chặn lửa FD/MFD</t>
        </is>
      </c>
      <c r="D214" t="inlineStr">
        <is>
          <t>PHỤ_KIỆN_VAN</t>
        </is>
      </c>
      <c r="E214" t="inlineStr">
        <is>
          <t>MAT-DAMPER-HOP-LO-XO</t>
        </is>
      </c>
      <c r="F214" t="inlineStr">
        <is>
          <t>Bộ</t>
        </is>
      </c>
      <c r="G214" s="20" t="n">
        <v>1</v>
      </c>
      <c r="H214" s="16">
        <f>'00_TONG_HOP_BAO_GIA'!G81</f>
        <v/>
      </c>
      <c r="I214" s="21">
        <f>G214*H214</f>
        <v/>
      </c>
      <c r="J214" s="16">
        <f>IFERROR(INDEX('06_BANG_GIA_VAT_TU_AP_DUNG'!$E$1:$E$5000, MATCH(E214, '06_BANG_GIA_VAT_TU_AP_DUNG'!$B$1:$B$5000, 0)), 0)</f>
        <v/>
      </c>
      <c r="K214" s="16">
        <f>I214*J214</f>
        <v/>
      </c>
      <c r="L214" t="inlineStr">
        <is>
          <t>Hộp lò xo cơ cấu đóng sập (1 bộ)</t>
        </is>
      </c>
    </row>
    <row r="215">
      <c r="A215" t="inlineStr">
        <is>
          <t>SW-DAMPER-080-SILICON-BOLT</t>
        </is>
      </c>
      <c r="B215" t="inlineStr">
        <is>
          <t>SW-DAMPER-080</t>
        </is>
      </c>
      <c r="C215" t="inlineStr">
        <is>
          <t>Silicon chống cháy + bu lông, ốc vít van FD/MFD</t>
        </is>
      </c>
      <c r="D215" t="inlineStr">
        <is>
          <t>PHỤ_KIỆN_VAN</t>
        </is>
      </c>
      <c r="E215" t="inlineStr">
        <is>
          <t>MAT-DAMPER-SILICON-BULONG-VIT</t>
        </is>
      </c>
      <c r="F215" t="inlineStr">
        <is>
          <t>Bộ</t>
        </is>
      </c>
      <c r="G215" s="20" t="n">
        <v>1</v>
      </c>
      <c r="H215" s="16">
        <f>'00_TONG_HOP_BAO_GIA'!G81</f>
        <v/>
      </c>
      <c r="I215" s="21">
        <f>G215*H215</f>
        <v/>
      </c>
      <c r="J215" s="16">
        <f>IFERROR(INDEX('06_BANG_GIA_VAT_TU_AP_DUNG'!$E$1:$E$5000, MATCH(E215, '06_BANG_GIA_VAT_TU_AP_DUNG'!$B$1:$B$5000, 0)), 0)</f>
        <v/>
      </c>
      <c r="K215" s="16">
        <f>I215*J215</f>
        <v/>
      </c>
      <c r="L215" t="inlineStr">
        <is>
          <t>Keo silicon chống cháy &amp; phụ kiện lắp ghép (1 bộ)</t>
        </is>
      </c>
    </row>
    <row r="216">
      <c r="A216" t="inlineStr">
        <is>
          <t>SW-DAMPER-082-BODY</t>
        </is>
      </c>
      <c r="B216" t="inlineStr">
        <is>
          <t>SW-DAMPER-082</t>
        </is>
      </c>
      <c r="C216" t="inlineStr">
        <is>
          <t>Thân vỏ van MFD bích C30/TDF (1.15mm)</t>
        </is>
      </c>
      <c r="D216" t="inlineStr">
        <is>
          <t>TÔN_CUỘN_MẠ_KẼM</t>
        </is>
      </c>
      <c r="E216" t="inlineStr">
        <is>
          <t>MAT-STEEL-PN-1.15</t>
        </is>
      </c>
      <c r="F216" t="inlineStr">
        <is>
          <t>kg</t>
        </is>
      </c>
      <c r="G216" s="20" t="n">
        <v>8.54563932977177</v>
      </c>
      <c r="H216" s="16">
        <f>'00_TONG_HOP_BAO_GIA'!G83</f>
        <v/>
      </c>
      <c r="I216" s="21">
        <f>G216*H216</f>
        <v/>
      </c>
      <c r="J216" s="16">
        <f>IFERROR(INDEX('06_BANG_GIA_VAT_TU_AP_DUNG'!$E$1:$E$5000, MATCH(E216, '06_BANG_GIA_VAT_TU_AP_DUNG'!$B$1:$B$5000, 0)), 0)</f>
        <v/>
      </c>
      <c r="K216" s="16">
        <f>I216*J216</f>
        <v/>
      </c>
      <c r="L216" t="inlineStr">
        <is>
          <t>Kích thước vỏ 1000x350x200mm</t>
        </is>
      </c>
    </row>
    <row r="217">
      <c r="A217" t="inlineStr">
        <is>
          <t>SW-DAMPER-082-BLADE</t>
        </is>
      </c>
      <c r="B217" t="inlineStr">
        <is>
          <t>SW-DAMPER-082</t>
        </is>
      </c>
      <c r="C217" t="inlineStr">
        <is>
          <t>Lá cánh / Tôn tấm bọc van (1 cánh)</t>
        </is>
      </c>
      <c r="D217" t="inlineStr">
        <is>
          <t>TÔN_CUỘN_MẠ_KẼM</t>
        </is>
      </c>
      <c r="E217" t="inlineStr">
        <is>
          <t>MAT-STEEL-PN-1.15</t>
        </is>
      </c>
      <c r="F217" t="inlineStr">
        <is>
          <t>kg</t>
        </is>
      </c>
      <c r="G217" s="20" t="n">
        <v>7.70085548325833</v>
      </c>
      <c r="H217" s="16">
        <f>'00_TONG_HOP_BAO_GIA'!G83</f>
        <v/>
      </c>
      <c r="I217" s="21">
        <f>G217*H217</f>
        <v/>
      </c>
      <c r="J217" s="16">
        <f>IFERROR(INDEX('06_BANG_GIA_VAT_TU_AP_DUNG'!$E$1:$E$5000, MATCH(E217, '06_BANG_GIA_VAT_TU_AP_DUNG'!$B$1:$B$5000, 0)), 0)</f>
        <v/>
      </c>
      <c r="K217" s="16">
        <f>I217*J217</f>
        <v/>
      </c>
      <c r="L217" t="inlineStr">
        <is>
          <t>Tôn bọc cánh &amp; thân (1 cánh/modul)</t>
        </is>
      </c>
    </row>
    <row r="218">
      <c r="A218" t="inlineStr">
        <is>
          <t>SW-DAMPER-082-AXLE</t>
        </is>
      </c>
      <c r="B218" t="inlineStr">
        <is>
          <t>SW-DAMPER-082</t>
        </is>
      </c>
      <c r="C218" t="inlineStr">
        <is>
          <t>Trục Sus 201 D10</t>
        </is>
      </c>
      <c r="D218" t="inlineStr">
        <is>
          <t>PHỤ_KIỆN_VAN</t>
        </is>
      </c>
      <c r="E218" t="inlineStr">
        <is>
          <t>MAT-DAMPER-TRUC-SUS-201-D10</t>
        </is>
      </c>
      <c r="F218" t="inlineStr">
        <is>
          <t>m</t>
        </is>
      </c>
      <c r="G218" s="20" t="n">
        <v>1.291752472564597</v>
      </c>
      <c r="H218" s="16">
        <f>'00_TONG_HOP_BAO_GIA'!G83</f>
        <v/>
      </c>
      <c r="I218" s="21">
        <f>G218*H218</f>
        <v/>
      </c>
      <c r="J218" s="16">
        <f>IFERROR(INDEX('06_BANG_GIA_VAT_TU_AP_DUNG'!$E$1:$E$5000, MATCH(E218, '06_BANG_GIA_VAT_TU_AP_DUNG'!$B$1:$B$5000, 0)), 0)</f>
        <v/>
      </c>
      <c r="K218" s="16">
        <f>I218*J218</f>
        <v/>
      </c>
      <c r="L218" t="inlineStr">
        <is>
          <t>1 trục dài 1060mm</t>
        </is>
      </c>
    </row>
    <row r="219">
      <c r="A219" t="inlineStr">
        <is>
          <t>SW-DAMPER-082-BEARING</t>
        </is>
      </c>
      <c r="B219" t="inlineStr">
        <is>
          <t>SW-DAMPER-082</t>
        </is>
      </c>
      <c r="C219" t="inlineStr">
        <is>
          <t>Bạc đồng D10</t>
        </is>
      </c>
      <c r="D219" t="inlineStr">
        <is>
          <t>PHỤ_KIỆN_VAN</t>
        </is>
      </c>
      <c r="E219" t="inlineStr">
        <is>
          <t>MAT-DAMPER-BAC-DONG-D10</t>
        </is>
      </c>
      <c r="F219" t="inlineStr">
        <is>
          <t>Đôi</t>
        </is>
      </c>
      <c r="G219" s="20" t="n">
        <v>1</v>
      </c>
      <c r="H219" s="16">
        <f>'00_TONG_HOP_BAO_GIA'!G83</f>
        <v/>
      </c>
      <c r="I219" s="21">
        <f>G219*H219</f>
        <v/>
      </c>
      <c r="J219" s="16">
        <f>IFERROR(INDEX('06_BANG_GIA_VAT_TU_AP_DUNG'!$E$1:$E$5000, MATCH(E219, '06_BANG_GIA_VAT_TU_AP_DUNG'!$B$1:$B$5000, 0)), 0)</f>
        <v/>
      </c>
      <c r="K219" s="16">
        <f>I219*J219</f>
        <v/>
      </c>
      <c r="L219" t="inlineStr">
        <is>
          <t>1 đôi bạc đỡ 2 bên thân</t>
        </is>
      </c>
    </row>
    <row r="220">
      <c r="A220" t="inlineStr">
        <is>
          <t>SW-DAMPER-082-ACTUATOR</t>
        </is>
      </c>
      <c r="B220" t="inlineStr">
        <is>
          <t>SW-DAMPER-082</t>
        </is>
      </c>
      <c r="C220" t="inlineStr">
        <is>
          <t>Động cơ chặn lửa ON/OFF KLB (Swin V6006FS500S EI90) 5Nm</t>
        </is>
      </c>
      <c r="D220" t="inlineStr">
        <is>
          <t>ĐỘNG_CƠ_VÀ_CẢM_BIẾN</t>
        </is>
      </c>
      <c r="E220" t="inlineStr">
        <is>
          <t>MAT-ACTUATOR-KLB-V6006FS500S</t>
        </is>
      </c>
      <c r="F220" t="inlineStr">
        <is>
          <t>Cái</t>
        </is>
      </c>
      <c r="G220" s="20" t="n">
        <v>1</v>
      </c>
      <c r="H220" s="16">
        <f>'00_TONG_HOP_BAO_GIA'!G83</f>
        <v/>
      </c>
      <c r="I220" s="21">
        <f>G220*H220</f>
        <v/>
      </c>
      <c r="J220" s="16">
        <f>IFERROR(INDEX('06_BANG_GIA_VAT_TU_AP_DUNG'!$E$1:$E$5000, MATCH(E220, '06_BANG_GIA_VAT_TU_AP_DUNG'!$B$1:$B$5000, 0)), 0)</f>
        <v/>
      </c>
      <c r="K220" s="16">
        <f>I220*J220</f>
        <v/>
      </c>
      <c r="L220" t="inlineStr">
        <is>
          <t>Động cơ lò xo phản hồi MFD (1 bộ)</t>
        </is>
      </c>
    </row>
    <row r="221">
      <c r="A221" t="inlineStr">
        <is>
          <t>SW-DAMPER-082-FB10-BODY</t>
        </is>
      </c>
      <c r="B221" t="inlineStr">
        <is>
          <t>SW-DAMPER-082</t>
        </is>
      </c>
      <c r="C221" t="inlineStr">
        <is>
          <t>Tấm chống cháy dày 10mm bọc thân van FD/MFD (2 lớp)</t>
        </is>
      </c>
      <c r="D221" t="inlineStr">
        <is>
          <t>VẬT_LIỆU_CÁCH_NHIỆT</t>
        </is>
      </c>
      <c r="E221" t="inlineStr">
        <is>
          <t>MAT-FIREBOARD-10MM-BODY</t>
        </is>
      </c>
      <c r="F221" t="inlineStr">
        <is>
          <t>m2</t>
        </is>
      </c>
      <c r="G221" s="20" t="n">
        <v>1.974187741089291</v>
      </c>
      <c r="H221" s="16">
        <f>'00_TONG_HOP_BAO_GIA'!G83</f>
        <v/>
      </c>
      <c r="I221" s="21">
        <f>G221*H221</f>
        <v/>
      </c>
      <c r="J221" s="16">
        <f>IFERROR(INDEX('06_BANG_GIA_VAT_TU_AP_DUNG'!$E$1:$E$5000, MATCH(E221, '06_BANG_GIA_VAT_TU_AP_DUNG'!$B$1:$B$5000, 0)), 0)</f>
        <v/>
      </c>
      <c r="K221" s="16">
        <f>I221*J221</f>
        <v/>
      </c>
      <c r="L221" t="inlineStr">
        <is>
          <t>Bọc 2 lớp tấm 10mm quanh thân L=300mm</t>
        </is>
      </c>
    </row>
    <row r="222">
      <c r="A222" t="inlineStr">
        <is>
          <t>SW-DAMPER-082-FB20-BLADE</t>
        </is>
      </c>
      <c r="B222" t="inlineStr">
        <is>
          <t>SW-DAMPER-082</t>
        </is>
      </c>
      <c r="C222" t="inlineStr">
        <is>
          <t>Tấm chống cháy dày 20mm làm lõi cánh van FD/MFD</t>
        </is>
      </c>
      <c r="D222" t="inlineStr">
        <is>
          <t>VẬT_LIỆU_CÁCH_NHIỆT</t>
        </is>
      </c>
      <c r="E222" t="inlineStr">
        <is>
          <t>MAT-FIREBOARD-20MM-BLADE</t>
        </is>
      </c>
      <c r="F222" t="inlineStr">
        <is>
          <t>m2</t>
        </is>
      </c>
      <c r="G222" s="20" t="n">
        <v>0.426522042827933</v>
      </c>
      <c r="H222" s="16">
        <f>'00_TONG_HOP_BAO_GIA'!G83</f>
        <v/>
      </c>
      <c r="I222" s="21">
        <f>G222*H222</f>
        <v/>
      </c>
      <c r="J222" s="16">
        <f>IFERROR(INDEX('06_BANG_GIA_VAT_TU_AP_DUNG'!$E$1:$E$5000, MATCH(E222, '06_BANG_GIA_VAT_TU_AP_DUNG'!$B$1:$B$5000, 0)), 0)</f>
        <v/>
      </c>
      <c r="K222" s="16">
        <f>I222*J222</f>
        <v/>
      </c>
      <c r="L222" t="inlineStr">
        <is>
          <t>Lõi cánh tấm 20mm (Cánh đơn 1000x350mm)</t>
        </is>
      </c>
    </row>
    <row r="223">
      <c r="A223" t="inlineStr">
        <is>
          <t>SW-DAMPER-082-FB10-BLADE</t>
        </is>
      </c>
      <c r="B223" t="inlineStr">
        <is>
          <t>SW-DAMPER-082</t>
        </is>
      </c>
      <c r="C223" t="inlineStr">
        <is>
          <t>Tấm chống cháy dày 10mm ốp 2 mặt cánh van FD/MFD</t>
        </is>
      </c>
      <c r="D223" t="inlineStr">
        <is>
          <t>VẬT_LIỆU_CÁCH_NHIỆT</t>
        </is>
      </c>
      <c r="E223" t="inlineStr">
        <is>
          <t>MAT-FIREBOARD-10MM-BLADE</t>
        </is>
      </c>
      <c r="F223" t="inlineStr">
        <is>
          <t>m2</t>
        </is>
      </c>
      <c r="G223" s="20" t="n">
        <v>0.8530440856558661</v>
      </c>
      <c r="H223" s="16">
        <f>'00_TONG_HOP_BAO_GIA'!G83</f>
        <v/>
      </c>
      <c r="I223" s="21">
        <f>G223*H223</f>
        <v/>
      </c>
      <c r="J223" s="16">
        <f>IFERROR(INDEX('06_BANG_GIA_VAT_TU_AP_DUNG'!$E$1:$E$5000, MATCH(E223, '06_BANG_GIA_VAT_TU_AP_DUNG'!$B$1:$B$5000, 0)), 0)</f>
        <v/>
      </c>
      <c r="K223" s="16">
        <f>I223*J223</f>
        <v/>
      </c>
      <c r="L223" t="inlineStr">
        <is>
          <t>Ốp 2 mặt cánh tấm 10mm (Cánh đơn 1000x350mm)</t>
        </is>
      </c>
    </row>
    <row r="224">
      <c r="A224" t="inlineStr">
        <is>
          <t>SW-DAMPER-082-SPRING-BOX</t>
        </is>
      </c>
      <c r="B224" t="inlineStr">
        <is>
          <t>SW-DAMPER-082</t>
        </is>
      </c>
      <c r="C224" t="inlineStr">
        <is>
          <t>Hộp lò xo van chặn lửa FD/MFD</t>
        </is>
      </c>
      <c r="D224" t="inlineStr">
        <is>
          <t>PHỤ_KIỆN_VAN</t>
        </is>
      </c>
      <c r="E224" t="inlineStr">
        <is>
          <t>MAT-DAMPER-HOP-LO-XO</t>
        </is>
      </c>
      <c r="F224" t="inlineStr">
        <is>
          <t>Bộ</t>
        </is>
      </c>
      <c r="G224" s="20" t="n">
        <v>1</v>
      </c>
      <c r="H224" s="16">
        <f>'00_TONG_HOP_BAO_GIA'!G83</f>
        <v/>
      </c>
      <c r="I224" s="21">
        <f>G224*H224</f>
        <v/>
      </c>
      <c r="J224" s="16">
        <f>IFERROR(INDEX('06_BANG_GIA_VAT_TU_AP_DUNG'!$E$1:$E$5000, MATCH(E224, '06_BANG_GIA_VAT_TU_AP_DUNG'!$B$1:$B$5000, 0)), 0)</f>
        <v/>
      </c>
      <c r="K224" s="16">
        <f>I224*J224</f>
        <v/>
      </c>
      <c r="L224" t="inlineStr">
        <is>
          <t>Hộp lò xo cơ cấu đóng sập (1 bộ)</t>
        </is>
      </c>
    </row>
    <row r="225">
      <c r="A225" t="inlineStr">
        <is>
          <t>SW-DAMPER-082-SILICON-BOLT</t>
        </is>
      </c>
      <c r="B225" t="inlineStr">
        <is>
          <t>SW-DAMPER-082</t>
        </is>
      </c>
      <c r="C225" t="inlineStr">
        <is>
          <t>Silicon chống cháy + bu lông, ốc vít van FD/MFD</t>
        </is>
      </c>
      <c r="D225" t="inlineStr">
        <is>
          <t>PHỤ_KIỆN_VAN</t>
        </is>
      </c>
      <c r="E225" t="inlineStr">
        <is>
          <t>MAT-DAMPER-SILICON-BULONG-VIT</t>
        </is>
      </c>
      <c r="F225" t="inlineStr">
        <is>
          <t>Bộ</t>
        </is>
      </c>
      <c r="G225" s="20" t="n">
        <v>1</v>
      </c>
      <c r="H225" s="16">
        <f>'00_TONG_HOP_BAO_GIA'!G83</f>
        <v/>
      </c>
      <c r="I225" s="21">
        <f>G225*H225</f>
        <v/>
      </c>
      <c r="J225" s="16">
        <f>IFERROR(INDEX('06_BANG_GIA_VAT_TU_AP_DUNG'!$E$1:$E$5000, MATCH(E225, '06_BANG_GIA_VAT_TU_AP_DUNG'!$B$1:$B$5000, 0)), 0)</f>
        <v/>
      </c>
      <c r="K225" s="16">
        <f>I225*J225</f>
        <v/>
      </c>
      <c r="L225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PHÂN LOẠI</t>
        </is>
      </c>
      <c r="D1" s="15" t="inlineStr">
        <is>
          <t>TÊN VẬT TƯ</t>
        </is>
      </c>
      <c r="E1" s="15" t="inlineStr">
        <is>
          <t>ĐVT</t>
        </is>
      </c>
      <c r="F1" s="15" t="inlineStr">
        <is>
          <t>BAREM KỸ THUẬT</t>
        </is>
      </c>
      <c r="G1" s="15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TÊN VẬT TƯ</t>
        </is>
      </c>
      <c r="D1" s="15" t="inlineStr">
        <is>
          <t>PHÂN LOẠI</t>
        </is>
      </c>
      <c r="E1" s="15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6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6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6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6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6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6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6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6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6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6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6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6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6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6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6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6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6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6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6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6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6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6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6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6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6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6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6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6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6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6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6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6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6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6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6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6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6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6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6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6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6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6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6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6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6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6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6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6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6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6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6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6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6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6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6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6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6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6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6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6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6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6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6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6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6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6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6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6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6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6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6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6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6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6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6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6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6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6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6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6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6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6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6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6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6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6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6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6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6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6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6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6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6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6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6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6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6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6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6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6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6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6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6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6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6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6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6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6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6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6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6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6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6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6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6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6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6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6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6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6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6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6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6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6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6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6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6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6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6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6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6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6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6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6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6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6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6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6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6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6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6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6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6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6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6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6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6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6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6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6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6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6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6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6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6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6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6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6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6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6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6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6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6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6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6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6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6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6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6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6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6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6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6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6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6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6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6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6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6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6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6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6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6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6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6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6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6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6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6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6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6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6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6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6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6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6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6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6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6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6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6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6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6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6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6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2026-10-19T04:37:22Z</dcterms:created>
  <dcterms:modified xsi:type="dcterms:W3CDTF">2026-10-19T04:37:22Z</dcterms:modified>
</cp:coreProperties>
</file>